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U:\Publico\UMM 3turno\"/>
    </mc:Choice>
  </mc:AlternateContent>
  <xr:revisionPtr revIDLastSave="0" documentId="13_ncr:8001_{9940E653-092F-456C-BF57-C0D2BE2ADFA1}" xr6:coauthVersionLast="47" xr6:coauthVersionMax="47" xr10:uidLastSave="{00000000-0000-0000-0000-000000000000}"/>
  <workbookProtection workbookAlgorithmName="SHA-512" workbookHashValue="g3DxOdukuTy5toj6Qp5RU2w90Eoy4o4CAZi+w9MwKgrwBz+TD13siAkY8z2fG6wv3yqv8eKgKWffr0m4Wu5Kfw==" workbookSaltValue="OfoFkGXf8DuhyXgJzP/c/w==" workbookSpinCount="100000" lockStructure="1"/>
  <bookViews>
    <workbookView xWindow="-120" yWindow="-120" windowWidth="19440" windowHeight="14880" tabRatio="760" xr2:uid="{00000000-000D-0000-FFFF-FFFF00000000}"/>
  </bookViews>
  <sheets>
    <sheet name="PAINEL" sheetId="1" r:id="rId1"/>
    <sheet name="JAN" sheetId="2" r:id="rId2"/>
    <sheet name="FEV" sheetId="3" r:id="rId3"/>
    <sheet name="MAR" sheetId="4" r:id="rId4"/>
    <sheet name="ABR" sheetId="5" r:id="rId5"/>
    <sheet name="MAI" sheetId="6" r:id="rId6"/>
    <sheet name="JUN" sheetId="7" r:id="rId7"/>
    <sheet name="JUL" sheetId="8" r:id="rId8"/>
    <sheet name="AGO" sheetId="9" r:id="rId9"/>
    <sheet name="SET" sheetId="10" r:id="rId10"/>
    <sheet name="OUT" sheetId="11" r:id="rId11"/>
    <sheet name="NOV" sheetId="12" r:id="rId12"/>
    <sheet name="DEZ" sheetId="13" r:id="rId13"/>
    <sheet name="FOLGAS_A_TIRAR" sheetId="14" r:id="rId14"/>
    <sheet name="REGISTRO_HE" sheetId="15" r:id="rId15"/>
    <sheet name="FALTAS_ATESTADOS" sheetId="16" r:id="rId16"/>
  </sheets>
  <definedNames>
    <definedName name="_xleta.T" hidden="1" xlm="1">#NAME?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59" i="16" l="1" a="1"/>
  <c r="Y459" i="16" s="1"/>
  <c r="X459" i="16" a="1"/>
  <c r="X459" i="16" s="1"/>
  <c r="W459" i="16" a="1"/>
  <c r="W459" i="16" s="1"/>
  <c r="V459" i="16" a="1"/>
  <c r="V459" i="16" s="1"/>
  <c r="U459" i="16" a="1"/>
  <c r="U459" i="16" s="1"/>
  <c r="R459" i="16" a="1"/>
  <c r="R459" i="16" s="1"/>
  <c r="Q459" i="16"/>
  <c r="AA458" i="16" a="1"/>
  <c r="AA458" i="16" s="1"/>
  <c r="Z458" i="16" a="1"/>
  <c r="Z458" i="16" s="1"/>
  <c r="Y458" i="16" a="1"/>
  <c r="Y458" i="16" s="1"/>
  <c r="Q458" i="16"/>
  <c r="AC457" i="16" a="1"/>
  <c r="AC457" i="16" s="1"/>
  <c r="Z457" i="16" a="1"/>
  <c r="Z457" i="16" s="1"/>
  <c r="Y457" i="16" a="1"/>
  <c r="Y457" i="16" s="1"/>
  <c r="X457" i="16" a="1"/>
  <c r="X457" i="16" s="1"/>
  <c r="W457" i="16" a="1"/>
  <c r="W457" i="16" s="1"/>
  <c r="V457" i="16" a="1"/>
  <c r="V457" i="16" s="1"/>
  <c r="S457" i="16" a="1"/>
  <c r="S457" i="16" s="1"/>
  <c r="Q457" i="16"/>
  <c r="U457" i="16" s="1" a="1"/>
  <c r="U457" i="16" s="1"/>
  <c r="AD456" i="16"/>
  <c r="AC456" i="16" a="1"/>
  <c r="AC456" i="16" s="1"/>
  <c r="AB456" i="16" a="1"/>
  <c r="AB456" i="16" s="1"/>
  <c r="X456" i="16" a="1"/>
  <c r="X456" i="16" s="1"/>
  <c r="W456" i="16" a="1"/>
  <c r="W456" i="16" s="1"/>
  <c r="R456" i="16" a="1"/>
  <c r="R456" i="16" s="1"/>
  <c r="Q456" i="16"/>
  <c r="AA456" i="16" s="1" a="1"/>
  <c r="AA456" i="16" s="1"/>
  <c r="AD455" i="16"/>
  <c r="AF455" i="16" s="1"/>
  <c r="AA455" i="16" a="1"/>
  <c r="AA455" i="16" s="1"/>
  <c r="Z455" i="16" a="1"/>
  <c r="Z455" i="16" s="1"/>
  <c r="Y455" i="16" a="1"/>
  <c r="Y455" i="16" s="1"/>
  <c r="X455" i="16" a="1"/>
  <c r="X455" i="16" s="1"/>
  <c r="W455" i="16" a="1"/>
  <c r="W455" i="16" s="1"/>
  <c r="T455" i="16" a="1"/>
  <c r="T455" i="16" s="1"/>
  <c r="Q455" i="16"/>
  <c r="AC454" i="16" a="1"/>
  <c r="AC454" i="16" s="1"/>
  <c r="AB454" i="16" a="1"/>
  <c r="AB454" i="16" s="1"/>
  <c r="AA454" i="16" a="1"/>
  <c r="AA454" i="16" s="1"/>
  <c r="Z454" i="16" a="1"/>
  <c r="Z454" i="16" s="1"/>
  <c r="W454" i="16" a="1"/>
  <c r="W454" i="16" s="1"/>
  <c r="T454" i="16" a="1"/>
  <c r="T454" i="16" s="1"/>
  <c r="S454" i="16" a="1"/>
  <c r="S454" i="16" s="1"/>
  <c r="Q454" i="16"/>
  <c r="AB453" i="16" a="1"/>
  <c r="AB453" i="16" s="1"/>
  <c r="AA453" i="16" a="1"/>
  <c r="AA453" i="16" s="1"/>
  <c r="X453" i="16" a="1"/>
  <c r="X453" i="16" s="1"/>
  <c r="R453" i="16" a="1"/>
  <c r="R453" i="16" s="1"/>
  <c r="Q453" i="16"/>
  <c r="AC452" i="16" a="1"/>
  <c r="AC452" i="16" s="1"/>
  <c r="AB452" i="16" a="1"/>
  <c r="AB452" i="16" s="1"/>
  <c r="AA452" i="16" a="1"/>
  <c r="AA452" i="16"/>
  <c r="Z452" i="16" a="1"/>
  <c r="Z452" i="16" s="1"/>
  <c r="Y452" i="16" a="1"/>
  <c r="Y452" i="16" s="1"/>
  <c r="T452" i="16" a="1"/>
  <c r="T452" i="16" s="1"/>
  <c r="S452" i="16" a="1"/>
  <c r="S452" i="16" s="1"/>
  <c r="R452" i="16" a="1"/>
  <c r="R452" i="16" s="1"/>
  <c r="Q452" i="16"/>
  <c r="AC451" i="16" a="1"/>
  <c r="AC451" i="16" s="1"/>
  <c r="AA451" i="16" a="1"/>
  <c r="AA451" i="16" s="1"/>
  <c r="Z451" i="16" a="1"/>
  <c r="Z451" i="16" s="1"/>
  <c r="R451" i="16" a="1"/>
  <c r="R451" i="16" s="1"/>
  <c r="Q451" i="16"/>
  <c r="AD450" i="16"/>
  <c r="AA450" i="16" a="1"/>
  <c r="AA450" i="16" s="1"/>
  <c r="Z450" i="16" a="1"/>
  <c r="Z450" i="16" s="1"/>
  <c r="Y450" i="16" a="1"/>
  <c r="Y450" i="16" s="1"/>
  <c r="R450" i="16" a="1"/>
  <c r="R450" i="16" s="1"/>
  <c r="Q450" i="16"/>
  <c r="AD449" i="16"/>
  <c r="AF449" i="16" s="1"/>
  <c r="AC449" i="16" a="1"/>
  <c r="AC449" i="16" s="1"/>
  <c r="AB449" i="16" a="1"/>
  <c r="AB449" i="16" s="1"/>
  <c r="Z449" i="16" a="1"/>
  <c r="Z449" i="16" s="1"/>
  <c r="W449" i="16" a="1"/>
  <c r="W449" i="16" s="1"/>
  <c r="Q449" i="16"/>
  <c r="AD448" i="16"/>
  <c r="AF448" i="16" s="1"/>
  <c r="AC448" i="16" a="1"/>
  <c r="AC448" i="16" s="1"/>
  <c r="Z448" i="16" a="1"/>
  <c r="Z448" i="16" s="1"/>
  <c r="W448" i="16" a="1"/>
  <c r="W448" i="16" s="1"/>
  <c r="V448" i="16" a="1"/>
  <c r="V448" i="16" s="1"/>
  <c r="U448" i="16" a="1"/>
  <c r="U448" i="16" s="1"/>
  <c r="Q448" i="16"/>
  <c r="AD447" i="16"/>
  <c r="AC447" i="16" a="1"/>
  <c r="AC447" i="16" s="1"/>
  <c r="AB447" i="16" a="1"/>
  <c r="AB447" i="16" s="1"/>
  <c r="AA447" i="16" a="1"/>
  <c r="AA447" i="16" s="1"/>
  <c r="U447" i="16" a="1"/>
  <c r="U447" i="16" s="1"/>
  <c r="T447" i="16" a="1"/>
  <c r="T447" i="16" s="1"/>
  <c r="S447" i="16" a="1"/>
  <c r="S447" i="16" s="1"/>
  <c r="R447" i="16" a="1"/>
  <c r="R447" i="16" s="1"/>
  <c r="Q447" i="16"/>
  <c r="AD446" i="16"/>
  <c r="AC446" i="16" a="1"/>
  <c r="AC446" i="16" s="1"/>
  <c r="AB446" i="16" a="1"/>
  <c r="AB446" i="16" s="1"/>
  <c r="AA446" i="16" a="1"/>
  <c r="AA446" i="16" s="1"/>
  <c r="X446" i="16" a="1"/>
  <c r="X446" i="16" s="1"/>
  <c r="W446" i="16" a="1"/>
  <c r="W446" i="16" s="1"/>
  <c r="V446" i="16" a="1"/>
  <c r="V446" i="16" s="1"/>
  <c r="U446" i="16" a="1"/>
  <c r="U446" i="16" s="1"/>
  <c r="T446" i="16" a="1"/>
  <c r="T446" i="16" s="1"/>
  <c r="S446" i="16" a="1"/>
  <c r="S446" i="16" s="1"/>
  <c r="Q446" i="16"/>
  <c r="AD445" i="16"/>
  <c r="AF445" i="16" s="1"/>
  <c r="AC445" i="16" a="1"/>
  <c r="AC445" i="16" s="1"/>
  <c r="AB445" i="16" a="1"/>
  <c r="AB445" i="16" s="1"/>
  <c r="Y445" i="16" a="1"/>
  <c r="Y445" i="16" s="1"/>
  <c r="V445" i="16" a="1"/>
  <c r="V445" i="16" s="1"/>
  <c r="U445" i="16" a="1"/>
  <c r="U445" i="16" s="1"/>
  <c r="T445" i="16" a="1"/>
  <c r="T445" i="16" s="1"/>
  <c r="S445" i="16" a="1"/>
  <c r="S445" i="16" s="1"/>
  <c r="R445" i="16" a="1"/>
  <c r="R445" i="16" s="1"/>
  <c r="Q445" i="16"/>
  <c r="AA445" i="16" s="1" a="1"/>
  <c r="AA445" i="16" s="1"/>
  <c r="AD444" i="16"/>
  <c r="AF444" i="16" s="1"/>
  <c r="AC444" i="16" a="1"/>
  <c r="AC444" i="16" s="1"/>
  <c r="AB444" i="16" a="1"/>
  <c r="AB444" i="16" s="1"/>
  <c r="Y444" i="16" a="1"/>
  <c r="Y444" i="16" s="1"/>
  <c r="X444" i="16" a="1"/>
  <c r="X444" i="16" s="1"/>
  <c r="W444" i="16" a="1"/>
  <c r="W444" i="16" s="1"/>
  <c r="V444" i="16" a="1"/>
  <c r="V444" i="16" s="1"/>
  <c r="U444" i="16" a="1"/>
  <c r="U444" i="16" s="1"/>
  <c r="T444" i="16" a="1"/>
  <c r="T444" i="16" s="1"/>
  <c r="S444" i="16" a="1"/>
  <c r="S444" i="16" s="1"/>
  <c r="R444" i="16" a="1"/>
  <c r="R444" i="16" s="1"/>
  <c r="Q444" i="16"/>
  <c r="AA444" i="16" s="1" a="1"/>
  <c r="AA444" i="16" s="1"/>
  <c r="AD443" i="16"/>
  <c r="AF443" i="16" s="1"/>
  <c r="AC443" i="16" a="1"/>
  <c r="AC443" i="16" s="1"/>
  <c r="Z443" i="16" a="1"/>
  <c r="Z443" i="16" s="1"/>
  <c r="W443" i="16" a="1"/>
  <c r="W443" i="16" s="1"/>
  <c r="V443" i="16" a="1"/>
  <c r="V443" i="16" s="1"/>
  <c r="U443" i="16" a="1"/>
  <c r="U443" i="16" s="1"/>
  <c r="T443" i="16" a="1"/>
  <c r="T443" i="16" s="1"/>
  <c r="S443" i="16" a="1"/>
  <c r="S443" i="16" s="1"/>
  <c r="Q443" i="16"/>
  <c r="AB443" i="16" s="1" a="1"/>
  <c r="AB443" i="16" s="1"/>
  <c r="AD442" i="16"/>
  <c r="AF442" i="16" s="1"/>
  <c r="AC442" i="16" a="1"/>
  <c r="AC442" i="16" s="1"/>
  <c r="Z442" i="16" a="1"/>
  <c r="Z442" i="16" s="1"/>
  <c r="Y442" i="16" a="1"/>
  <c r="Y442" i="16" s="1"/>
  <c r="X442" i="16" a="1"/>
  <c r="X442" i="16" s="1"/>
  <c r="W442" i="16" a="1"/>
  <c r="W442" i="16" s="1"/>
  <c r="V442" i="16" a="1"/>
  <c r="V442" i="16" s="1"/>
  <c r="U442" i="16" a="1"/>
  <c r="U442" i="16" s="1"/>
  <c r="T442" i="16" a="1"/>
  <c r="T442" i="16" s="1"/>
  <c r="S442" i="16" a="1"/>
  <c r="S442" i="16" s="1"/>
  <c r="Q442" i="16"/>
  <c r="AB442" i="16" s="1" a="1"/>
  <c r="AB442" i="16" s="1"/>
  <c r="Q441" i="16"/>
  <c r="Z440" i="16" a="1"/>
  <c r="Z440" i="16" s="1"/>
  <c r="T440" i="16" a="1"/>
  <c r="T440" i="16" s="1"/>
  <c r="Q440" i="16"/>
  <c r="AB439" i="16" a="1"/>
  <c r="AB439" i="16" s="1"/>
  <c r="Z439" i="16" a="1"/>
  <c r="Z439" i="16" s="1"/>
  <c r="Y439" i="16" a="1"/>
  <c r="Y439" i="16" s="1"/>
  <c r="X439" i="16" a="1"/>
  <c r="X439" i="16" s="1"/>
  <c r="W439" i="16" a="1"/>
  <c r="W439" i="16" s="1"/>
  <c r="V439" i="16" a="1"/>
  <c r="V439" i="16" s="1"/>
  <c r="U439" i="16" a="1"/>
  <c r="U439" i="16" s="1"/>
  <c r="R439" i="16" a="1"/>
  <c r="R439" i="16" s="1"/>
  <c r="Q439" i="16"/>
  <c r="Y438" i="16" a="1"/>
  <c r="Y438" i="16" s="1"/>
  <c r="X438" i="16" a="1"/>
  <c r="X438" i="16" s="1"/>
  <c r="U438" i="16" a="1"/>
  <c r="U438" i="16" s="1"/>
  <c r="R438" i="16" a="1"/>
  <c r="R438" i="16" s="1"/>
  <c r="Q438" i="16"/>
  <c r="AC437" i="16" a="1"/>
  <c r="AC437" i="16" s="1"/>
  <c r="Z437" i="16" a="1"/>
  <c r="Z437" i="16" s="1"/>
  <c r="Y437" i="16" a="1"/>
  <c r="Y437" i="16" s="1"/>
  <c r="X437" i="16" a="1"/>
  <c r="X437" i="16" s="1"/>
  <c r="W437" i="16" a="1"/>
  <c r="W437" i="16" s="1"/>
  <c r="V437" i="16" a="1"/>
  <c r="V437" i="16" s="1"/>
  <c r="S437" i="16" a="1"/>
  <c r="S437" i="16" s="1"/>
  <c r="Q437" i="16"/>
  <c r="U437" i="16" s="1" a="1"/>
  <c r="U437" i="16" s="1"/>
  <c r="AD436" i="16"/>
  <c r="AC436" i="16" a="1"/>
  <c r="AC436" i="16" s="1"/>
  <c r="AB436" i="16" a="1"/>
  <c r="AB436" i="16" s="1"/>
  <c r="AA436" i="16" a="1"/>
  <c r="AA436" i="16" s="1"/>
  <c r="Y436" i="16" a="1"/>
  <c r="Y436" i="16" s="1"/>
  <c r="X436" i="16" a="1"/>
  <c r="X436" i="16" s="1"/>
  <c r="W436" i="16" a="1"/>
  <c r="W436" i="16" s="1"/>
  <c r="V436" i="16" a="1"/>
  <c r="V436" i="16" s="1"/>
  <c r="S436" i="16" a="1"/>
  <c r="S436" i="16" s="1"/>
  <c r="R436" i="16" a="1"/>
  <c r="R436" i="16" s="1"/>
  <c r="Q436" i="16"/>
  <c r="AD435" i="16"/>
  <c r="AF435" i="16" s="1"/>
  <c r="AA435" i="16" a="1"/>
  <c r="AA435" i="16" s="1"/>
  <c r="Z435" i="16" a="1"/>
  <c r="Z435" i="16" s="1"/>
  <c r="Y435" i="16" a="1"/>
  <c r="Y435" i="16" s="1"/>
  <c r="X435" i="16" a="1"/>
  <c r="X435" i="16" s="1"/>
  <c r="W435" i="16" a="1"/>
  <c r="W435" i="16" s="1"/>
  <c r="T435" i="16" a="1"/>
  <c r="T435" i="16" s="1"/>
  <c r="Q435" i="16"/>
  <c r="AC434" i="16" a="1"/>
  <c r="AC434" i="16" s="1"/>
  <c r="Q434" i="16"/>
  <c r="AD433" i="16"/>
  <c r="AB433" i="16" a="1"/>
  <c r="AB433" i="16" s="1"/>
  <c r="AA433" i="16" a="1"/>
  <c r="AA433" i="16" s="1"/>
  <c r="Z433" i="16" a="1"/>
  <c r="Z433" i="16" s="1"/>
  <c r="Y433" i="16" a="1"/>
  <c r="Y433" i="16" s="1"/>
  <c r="X433" i="16" a="1"/>
  <c r="X433" i="16" s="1"/>
  <c r="U433" i="16" a="1"/>
  <c r="U433" i="16" s="1"/>
  <c r="R433" i="16" a="1"/>
  <c r="R433" i="16" s="1"/>
  <c r="Q433" i="16"/>
  <c r="Q432" i="16"/>
  <c r="AA431" i="16" a="1"/>
  <c r="AA431" i="16" s="1"/>
  <c r="Z431" i="16" a="1"/>
  <c r="Z431" i="16" s="1"/>
  <c r="S431" i="16" a="1"/>
  <c r="S431" i="16" s="1"/>
  <c r="R431" i="16" a="1"/>
  <c r="R431" i="16" s="1"/>
  <c r="Q431" i="16"/>
  <c r="AD431" i="16" s="1"/>
  <c r="AC430" i="16" a="1"/>
  <c r="AC430" i="16" s="1"/>
  <c r="AB430" i="16" a="1"/>
  <c r="AB430" i="16" s="1"/>
  <c r="AA430" i="16" a="1"/>
  <c r="AA430" i="16" s="1"/>
  <c r="Z430" i="16" a="1"/>
  <c r="Z430" i="16" s="1"/>
  <c r="Y430" i="16" a="1"/>
  <c r="Y430" i="16" s="1"/>
  <c r="V430" i="16" a="1"/>
  <c r="V430" i="16" s="1"/>
  <c r="S430" i="16" a="1"/>
  <c r="S430" i="16" s="1"/>
  <c r="Q430" i="16"/>
  <c r="AD429" i="16"/>
  <c r="AF429" i="16" s="1"/>
  <c r="AC429" i="16" a="1"/>
  <c r="AC429" i="16" s="1"/>
  <c r="Z429" i="16" a="1"/>
  <c r="Z429" i="16" s="1"/>
  <c r="W429" i="16" a="1"/>
  <c r="W429" i="16" s="1"/>
  <c r="Q429" i="16"/>
  <c r="Q428" i="16"/>
  <c r="AD427" i="16"/>
  <c r="AF427" i="16" s="1"/>
  <c r="AC427" i="16" a="1"/>
  <c r="AC427" i="16" s="1"/>
  <c r="AB427" i="16" a="1"/>
  <c r="AB427" i="16" s="1"/>
  <c r="R427" i="16" a="1"/>
  <c r="R427" i="16" s="1"/>
  <c r="Q427" i="16"/>
  <c r="AD426" i="16"/>
  <c r="Q426" i="16"/>
  <c r="AD425" i="16"/>
  <c r="AF425" i="16" s="1"/>
  <c r="AC425" i="16" a="1"/>
  <c r="AC425" i="16" s="1"/>
  <c r="AB425" i="16" a="1"/>
  <c r="AB425" i="16" s="1"/>
  <c r="Y425" i="16" a="1"/>
  <c r="Y425" i="16" s="1"/>
  <c r="W425" i="16" a="1"/>
  <c r="W425" i="16" s="1"/>
  <c r="V425" i="16" a="1"/>
  <c r="V425" i="16" s="1"/>
  <c r="U425" i="16" a="1"/>
  <c r="U425" i="16" s="1"/>
  <c r="T425" i="16" a="1"/>
  <c r="T425" i="16" s="1"/>
  <c r="S425" i="16" a="1"/>
  <c r="S425" i="16" s="1"/>
  <c r="R425" i="16" a="1"/>
  <c r="R425" i="16" s="1"/>
  <c r="Q425" i="16"/>
  <c r="AA425" i="16" s="1" a="1"/>
  <c r="AA425" i="16" s="1"/>
  <c r="AD424" i="16"/>
  <c r="AF424" i="16" s="1"/>
  <c r="AC424" i="16" a="1"/>
  <c r="AC424" i="16" s="1"/>
  <c r="AB424" i="16" a="1"/>
  <c r="AB424" i="16" s="1"/>
  <c r="Y424" i="16" a="1"/>
  <c r="Y424" i="16" s="1"/>
  <c r="X424" i="16" a="1"/>
  <c r="X424" i="16" s="1"/>
  <c r="W424" i="16" a="1"/>
  <c r="W424" i="16" s="1"/>
  <c r="V424" i="16" a="1"/>
  <c r="V424" i="16" s="1"/>
  <c r="U424" i="16" a="1"/>
  <c r="U424" i="16" s="1"/>
  <c r="T424" i="16" a="1"/>
  <c r="T424" i="16" s="1"/>
  <c r="S424" i="16" a="1"/>
  <c r="S424" i="16" s="1"/>
  <c r="R424" i="16" a="1"/>
  <c r="R424" i="16" s="1"/>
  <c r="Q424" i="16"/>
  <c r="AA424" i="16" s="1" a="1"/>
  <c r="AA424" i="16" s="1"/>
  <c r="AD423" i="16"/>
  <c r="AF423" i="16" s="1"/>
  <c r="AC423" i="16" a="1"/>
  <c r="AC423" i="16" s="1"/>
  <c r="Z423" i="16" a="1"/>
  <c r="Z423" i="16" s="1"/>
  <c r="X423" i="16" a="1"/>
  <c r="X423" i="16" s="1"/>
  <c r="W423" i="16" a="1"/>
  <c r="W423" i="16" s="1"/>
  <c r="V423" i="16" a="1"/>
  <c r="V423" i="16" s="1"/>
  <c r="U423" i="16" a="1"/>
  <c r="U423" i="16" s="1"/>
  <c r="T423" i="16" a="1"/>
  <c r="T423" i="16" s="1"/>
  <c r="S423" i="16" a="1"/>
  <c r="S423" i="16" s="1"/>
  <c r="Q423" i="16"/>
  <c r="AB423" i="16" s="1" a="1"/>
  <c r="AB423" i="16" s="1"/>
  <c r="AD422" i="16"/>
  <c r="AF422" i="16" s="1"/>
  <c r="AC422" i="16" a="1"/>
  <c r="AC422" i="16" s="1"/>
  <c r="Z422" i="16" a="1"/>
  <c r="Z422" i="16" s="1"/>
  <c r="Y422" i="16" a="1"/>
  <c r="Y422" i="16" s="1"/>
  <c r="X422" i="16" a="1"/>
  <c r="X422" i="16" s="1"/>
  <c r="W422" i="16" a="1"/>
  <c r="W422" i="16" s="1"/>
  <c r="V422" i="16" a="1"/>
  <c r="V422" i="16" s="1"/>
  <c r="U422" i="16" a="1"/>
  <c r="U422" i="16" s="1"/>
  <c r="T422" i="16" a="1"/>
  <c r="T422" i="16" s="1"/>
  <c r="S422" i="16" a="1"/>
  <c r="S422" i="16" s="1"/>
  <c r="Q422" i="16"/>
  <c r="AB422" i="16" s="1" a="1"/>
  <c r="AB422" i="16" s="1"/>
  <c r="AD421" i="16"/>
  <c r="AF421" i="16" s="1"/>
  <c r="AA421" i="16" a="1"/>
  <c r="AA421" i="16" s="1"/>
  <c r="V421" i="16" a="1"/>
  <c r="V421" i="16" s="1"/>
  <c r="U421" i="16" a="1"/>
  <c r="U421" i="16" s="1"/>
  <c r="Q421" i="16"/>
  <c r="X420" i="16" a="1"/>
  <c r="X420" i="16" s="1"/>
  <c r="W420" i="16" a="1"/>
  <c r="W420" i="16" s="1"/>
  <c r="U420" i="16" a="1"/>
  <c r="U420" i="16" s="1"/>
  <c r="Q420" i="16"/>
  <c r="AA420" i="16" s="1" a="1"/>
  <c r="AA420" i="16" s="1"/>
  <c r="AB419" i="16" a="1"/>
  <c r="AB419" i="16" s="1"/>
  <c r="Z419" i="16" a="1"/>
  <c r="Z419" i="16" s="1"/>
  <c r="Y419" i="16" a="1"/>
  <c r="Y419" i="16" s="1"/>
  <c r="X419" i="16" a="1"/>
  <c r="X419" i="16" s="1"/>
  <c r="W419" i="16" a="1"/>
  <c r="W419" i="16" s="1"/>
  <c r="V419" i="16" a="1"/>
  <c r="V419" i="16" s="1"/>
  <c r="U419" i="16" a="1"/>
  <c r="U419" i="16" s="1"/>
  <c r="R419" i="16" a="1"/>
  <c r="R419" i="16" s="1"/>
  <c r="Q419" i="16"/>
  <c r="AB418" i="16" a="1"/>
  <c r="AB418" i="16" s="1"/>
  <c r="AA418" i="16" a="1"/>
  <c r="AA418" i="16" s="1"/>
  <c r="Z418" i="16" a="1"/>
  <c r="Z418" i="16" s="1"/>
  <c r="W418" i="16" a="1"/>
  <c r="W418" i="16" s="1"/>
  <c r="V418" i="16" a="1"/>
  <c r="V418" i="16" s="1"/>
  <c r="R418" i="16" a="1"/>
  <c r="R418" i="16" s="1"/>
  <c r="Q418" i="16"/>
  <c r="AA417" i="16" a="1"/>
  <c r="AA417" i="16" s="1"/>
  <c r="Z417" i="16" a="1"/>
  <c r="Z417" i="16" s="1"/>
  <c r="T417" i="16" a="1"/>
  <c r="T417" i="16" s="1"/>
  <c r="Q417" i="16"/>
  <c r="AC416" i="16" a="1"/>
  <c r="AC416" i="16" s="1"/>
  <c r="AB416" i="16" a="1"/>
  <c r="AB416" i="16" s="1"/>
  <c r="AA416" i="16" a="1"/>
  <c r="AA416" i="16" s="1"/>
  <c r="Z416" i="16" a="1"/>
  <c r="Z416" i="16" s="1"/>
  <c r="Y416" i="16" a="1"/>
  <c r="Y416" i="16" s="1"/>
  <c r="W416" i="16" a="1"/>
  <c r="W416" i="16" s="1"/>
  <c r="V416" i="16" a="1"/>
  <c r="V416" i="16" s="1"/>
  <c r="U416" i="16" a="1"/>
  <c r="U416" i="16" s="1"/>
  <c r="T416" i="16" a="1"/>
  <c r="T416" i="16" s="1"/>
  <c r="S416" i="16" a="1"/>
  <c r="S416" i="16" s="1"/>
  <c r="R416" i="16" a="1"/>
  <c r="R416" i="16" s="1"/>
  <c r="Q416" i="16"/>
  <c r="Q415" i="16"/>
  <c r="AC414" i="16" a="1"/>
  <c r="AC414" i="16" s="1"/>
  <c r="AB414" i="16" a="1"/>
  <c r="AB414" i="16" s="1"/>
  <c r="AA414" i="16" a="1"/>
  <c r="AA414" i="16" s="1"/>
  <c r="Z414" i="16" a="1"/>
  <c r="Z414" i="16" s="1"/>
  <c r="X414" i="16" a="1"/>
  <c r="X414" i="16" s="1"/>
  <c r="W414" i="16" a="1"/>
  <c r="W414" i="16" s="1"/>
  <c r="V414" i="16" a="1"/>
  <c r="V414" i="16" s="1"/>
  <c r="U414" i="16" a="1"/>
  <c r="U414" i="16" s="1"/>
  <c r="T414" i="16" a="1"/>
  <c r="T414" i="16" s="1"/>
  <c r="S414" i="16" a="1"/>
  <c r="S414" i="16" s="1"/>
  <c r="Q414" i="16"/>
  <c r="Y414" i="16" s="1" a="1"/>
  <c r="Y414" i="16" s="1"/>
  <c r="Q413" i="16"/>
  <c r="AC412" i="16" a="1"/>
  <c r="AC412" i="16" s="1"/>
  <c r="AA412" i="16" a="1"/>
  <c r="AA412" i="16" s="1"/>
  <c r="Y412" i="16" a="1"/>
  <c r="Y412" i="16" s="1"/>
  <c r="X412" i="16" a="1"/>
  <c r="X412" i="16" s="1"/>
  <c r="W412" i="16" a="1"/>
  <c r="W412" i="16" s="1"/>
  <c r="V412" i="16" a="1"/>
  <c r="V412" i="16" s="1"/>
  <c r="U412" i="16" a="1"/>
  <c r="U412" i="16" s="1"/>
  <c r="T412" i="16" a="1"/>
  <c r="T412" i="16" s="1"/>
  <c r="Q412" i="16"/>
  <c r="Z412" i="16" s="1" a="1"/>
  <c r="Z412" i="16" s="1"/>
  <c r="AD411" i="16"/>
  <c r="AF411" i="16" s="1"/>
  <c r="AC411" i="16" a="1"/>
  <c r="AC411" i="16" s="1"/>
  <c r="AB411" i="16" a="1"/>
  <c r="AB411" i="16" s="1"/>
  <c r="Z411" i="16" a="1"/>
  <c r="Z411" i="16" s="1"/>
  <c r="Y411" i="16" a="1"/>
  <c r="Y411" i="16" s="1"/>
  <c r="X411" i="16" a="1"/>
  <c r="X411" i="16" s="1"/>
  <c r="W411" i="16" a="1"/>
  <c r="W411" i="16" s="1"/>
  <c r="V411" i="16" a="1"/>
  <c r="V411" i="16" s="1"/>
  <c r="U411" i="16" a="1"/>
  <c r="U411" i="16" s="1"/>
  <c r="T411" i="16" a="1"/>
  <c r="T411" i="16" s="1"/>
  <c r="S411" i="16" a="1"/>
  <c r="S411" i="16" s="1"/>
  <c r="R411" i="16" a="1"/>
  <c r="R411" i="16" s="1"/>
  <c r="Q411" i="16"/>
  <c r="AA411" i="16" s="1" a="1"/>
  <c r="AA411" i="16" s="1"/>
  <c r="AD410" i="16"/>
  <c r="AF410" i="16" s="1"/>
  <c r="AC410" i="16" a="1"/>
  <c r="AC410" i="16" s="1"/>
  <c r="AB410" i="16" a="1"/>
  <c r="AB410" i="16" s="1"/>
  <c r="Z410" i="16" a="1"/>
  <c r="Z410" i="16" s="1"/>
  <c r="Y410" i="16" a="1"/>
  <c r="Y410" i="16" s="1"/>
  <c r="X410" i="16" a="1"/>
  <c r="X410" i="16" s="1"/>
  <c r="W410" i="16" a="1"/>
  <c r="W410" i="16" s="1"/>
  <c r="V410" i="16" a="1"/>
  <c r="V410" i="16" s="1"/>
  <c r="U410" i="16" a="1"/>
  <c r="U410" i="16" s="1"/>
  <c r="T410" i="16" a="1"/>
  <c r="T410" i="16" s="1"/>
  <c r="S410" i="16" a="1"/>
  <c r="S410" i="16" s="1"/>
  <c r="R410" i="16" a="1"/>
  <c r="R410" i="16" s="1"/>
  <c r="Q410" i="16"/>
  <c r="AA410" i="16" s="1" a="1"/>
  <c r="AA410" i="16" s="1"/>
  <c r="AD409" i="16"/>
  <c r="AF409" i="16" s="1"/>
  <c r="AC409" i="16" a="1"/>
  <c r="AC409" i="16" s="1"/>
  <c r="Z409" i="16" a="1"/>
  <c r="Z409" i="16" s="1"/>
  <c r="Y409" i="16" a="1"/>
  <c r="Y409" i="16" s="1"/>
  <c r="X409" i="16" a="1"/>
  <c r="X409" i="16" s="1"/>
  <c r="W409" i="16" a="1"/>
  <c r="W409" i="16" s="1"/>
  <c r="V409" i="16" a="1"/>
  <c r="V409" i="16" s="1"/>
  <c r="U409" i="16" a="1"/>
  <c r="U409" i="16" s="1"/>
  <c r="T409" i="16" a="1"/>
  <c r="T409" i="16" s="1"/>
  <c r="S409" i="16" a="1"/>
  <c r="S409" i="16" s="1"/>
  <c r="Q409" i="16"/>
  <c r="AB409" i="16" s="1" a="1"/>
  <c r="AB409" i="16" s="1"/>
  <c r="AD408" i="16"/>
  <c r="AF408" i="16" s="1"/>
  <c r="AA408" i="16" a="1"/>
  <c r="AA408" i="16" s="1"/>
  <c r="W408" i="16" a="1"/>
  <c r="W408" i="16" s="1"/>
  <c r="U408" i="16" a="1"/>
  <c r="U408" i="16" s="1"/>
  <c r="Q408" i="16"/>
  <c r="AC408" i="16" s="1" a="1"/>
  <c r="AC408" i="16" s="1"/>
  <c r="AD407" i="16"/>
  <c r="AF407" i="16" s="1"/>
  <c r="AA407" i="16" a="1"/>
  <c r="AA407" i="16" s="1"/>
  <c r="Z407" i="16" a="1"/>
  <c r="Z407" i="16" s="1"/>
  <c r="X407" i="16" a="1"/>
  <c r="X407" i="16" s="1"/>
  <c r="W407" i="16" a="1"/>
  <c r="W407" i="16" s="1"/>
  <c r="T407" i="16" a="1"/>
  <c r="T407" i="16" s="1"/>
  <c r="Q407" i="16"/>
  <c r="AB406" i="16" a="1"/>
  <c r="AB406" i="16" s="1"/>
  <c r="AA406" i="16" a="1"/>
  <c r="AA406" i="16" s="1"/>
  <c r="Z406" i="16" a="1"/>
  <c r="Z406" i="16" s="1"/>
  <c r="Y406" i="16" a="1"/>
  <c r="Y406" i="16" s="1"/>
  <c r="X406" i="16" a="1"/>
  <c r="X406" i="16" s="1"/>
  <c r="W406" i="16" a="1"/>
  <c r="W406" i="16" s="1"/>
  <c r="V406" i="16" a="1"/>
  <c r="V406" i="16" s="1"/>
  <c r="U406" i="16" a="1"/>
  <c r="U406" i="16" s="1"/>
  <c r="T406" i="16" a="1"/>
  <c r="T406" i="16" s="1"/>
  <c r="R406" i="16" a="1"/>
  <c r="R406" i="16" s="1"/>
  <c r="Q406" i="16"/>
  <c r="AB405" i="16" a="1"/>
  <c r="AB405" i="16" s="1"/>
  <c r="AA405" i="16" a="1"/>
  <c r="AA405" i="16" s="1"/>
  <c r="U405" i="16" a="1"/>
  <c r="U405" i="16" s="1"/>
  <c r="R405" i="16" a="1"/>
  <c r="R405" i="16" s="1"/>
  <c r="Q405" i="16"/>
  <c r="AB404" i="16" a="1"/>
  <c r="AB404" i="16" s="1"/>
  <c r="AA404" i="16" a="1"/>
  <c r="AA404" i="16" s="1"/>
  <c r="Z404" i="16" a="1"/>
  <c r="Z404" i="16" s="1"/>
  <c r="Y404" i="16" a="1"/>
  <c r="Y404" i="16" s="1"/>
  <c r="X404" i="16" a="1"/>
  <c r="X404" i="16" s="1"/>
  <c r="W404" i="16" a="1"/>
  <c r="W404" i="16" s="1"/>
  <c r="V404" i="16" a="1"/>
  <c r="V404" i="16" s="1"/>
  <c r="R404" i="16" a="1"/>
  <c r="R404" i="16" s="1"/>
  <c r="Q404" i="16"/>
  <c r="AD403" i="16"/>
  <c r="AC403" i="16" a="1"/>
  <c r="AC403" i="16" s="1"/>
  <c r="AB403" i="16" a="1"/>
  <c r="AB403" i="16" s="1"/>
  <c r="Z403" i="16" a="1"/>
  <c r="Z403" i="16" s="1"/>
  <c r="Y403" i="16" a="1"/>
  <c r="Y403" i="16" s="1"/>
  <c r="X403" i="16" a="1"/>
  <c r="X403" i="16" s="1"/>
  <c r="W403" i="16" a="1"/>
  <c r="W403" i="16" s="1"/>
  <c r="V403" i="16" a="1"/>
  <c r="V403" i="16" s="1"/>
  <c r="S403" i="16" a="1"/>
  <c r="S403" i="16" s="1"/>
  <c r="R403" i="16" a="1"/>
  <c r="R403" i="16" s="1"/>
  <c r="Q403" i="16"/>
  <c r="U403" i="16" s="1" a="1"/>
  <c r="U403" i="16" s="1"/>
  <c r="AD402" i="16"/>
  <c r="AF402" i="16" s="1"/>
  <c r="AC402" i="16" a="1"/>
  <c r="AC402" i="16" s="1"/>
  <c r="AB402" i="16" a="1"/>
  <c r="AB402" i="16" s="1"/>
  <c r="AA402" i="16" a="1"/>
  <c r="AA402" i="16" s="1"/>
  <c r="Z402" i="16" a="1"/>
  <c r="Z402" i="16" s="1"/>
  <c r="W402" i="16" a="1"/>
  <c r="W402" i="16" s="1"/>
  <c r="S402" i="16" a="1"/>
  <c r="S402" i="16" s="1"/>
  <c r="R402" i="16" a="1"/>
  <c r="R402" i="16" s="1"/>
  <c r="Q402" i="16"/>
  <c r="AD401" i="16"/>
  <c r="AF401" i="16" s="1"/>
  <c r="AC401" i="16" a="1"/>
  <c r="AC401" i="16" s="1"/>
  <c r="AA401" i="16" a="1"/>
  <c r="AA401" i="16" s="1"/>
  <c r="Y401" i="16" a="1"/>
  <c r="Y401" i="16" s="1"/>
  <c r="X401" i="16" a="1"/>
  <c r="X401" i="16" s="1"/>
  <c r="Q401" i="16"/>
  <c r="AD400" i="16"/>
  <c r="AF400" i="16" s="1"/>
  <c r="AC400" i="16" a="1"/>
  <c r="AC400" i="16" s="1"/>
  <c r="Z400" i="16" a="1"/>
  <c r="Z400" i="16" s="1"/>
  <c r="Y400" i="16" a="1"/>
  <c r="Y400" i="16" s="1"/>
  <c r="X400" i="16" a="1"/>
  <c r="X400" i="16" s="1"/>
  <c r="W400" i="16" a="1"/>
  <c r="W400" i="16" s="1"/>
  <c r="U400" i="16" a="1"/>
  <c r="U400" i="16" s="1"/>
  <c r="T400" i="16" a="1"/>
  <c r="T400" i="16" s="1"/>
  <c r="S400" i="16" a="1"/>
  <c r="S400" i="16" s="1"/>
  <c r="R400" i="16" a="1"/>
  <c r="R400" i="16" s="1"/>
  <c r="Q400" i="16"/>
  <c r="AD399" i="16"/>
  <c r="AC399" i="16" a="1"/>
  <c r="AC399" i="16" s="1"/>
  <c r="AB399" i="16" a="1"/>
  <c r="AB399" i="16" s="1"/>
  <c r="AA399" i="16" a="1"/>
  <c r="AA399" i="16" s="1"/>
  <c r="Z399" i="16" a="1"/>
  <c r="Z399" i="16" s="1"/>
  <c r="S399" i="16" a="1"/>
  <c r="S399" i="16" s="1"/>
  <c r="R399" i="16" a="1"/>
  <c r="R399" i="16" s="1"/>
  <c r="Q399" i="16"/>
  <c r="AD398" i="16"/>
  <c r="AF398" i="16" s="1"/>
  <c r="AB398" i="16" a="1"/>
  <c r="AB398" i="16" s="1"/>
  <c r="Z398" i="16" a="1"/>
  <c r="Z398" i="16" s="1"/>
  <c r="Y398" i="16" a="1"/>
  <c r="Y398" i="16" s="1"/>
  <c r="R398" i="16" a="1"/>
  <c r="R398" i="16" s="1"/>
  <c r="Q398" i="16"/>
  <c r="V397" i="16" a="1"/>
  <c r="V397" i="16" s="1"/>
  <c r="T397" i="16" a="1"/>
  <c r="T397" i="16" s="1"/>
  <c r="Q397" i="16"/>
  <c r="AB397" i="16" s="1" a="1"/>
  <c r="AB397" i="16" s="1"/>
  <c r="AC396" i="16" a="1"/>
  <c r="AC396" i="16" s="1"/>
  <c r="AB396" i="16" a="1"/>
  <c r="AB396" i="16" s="1"/>
  <c r="V396" i="16" a="1"/>
  <c r="V396" i="16" s="1"/>
  <c r="U396" i="16" a="1"/>
  <c r="U396" i="16" s="1"/>
  <c r="Q396" i="16"/>
  <c r="AD396" i="16" s="1"/>
  <c r="AF396" i="16" s="1"/>
  <c r="AC395" i="16" a="1"/>
  <c r="AC395" i="16" s="1"/>
  <c r="Q395" i="16"/>
  <c r="AD394" i="16"/>
  <c r="AF394" i="16" s="1"/>
  <c r="AB394" i="16" a="1"/>
  <c r="AB394" i="16" s="1"/>
  <c r="AA394" i="16" a="1"/>
  <c r="AA394" i="16" s="1"/>
  <c r="Z394" i="16" a="1"/>
  <c r="Z394" i="16" s="1"/>
  <c r="X394" i="16" a="1"/>
  <c r="X394" i="16" s="1"/>
  <c r="W394" i="16" a="1"/>
  <c r="W394" i="16" s="1"/>
  <c r="S394" i="16" a="1"/>
  <c r="S394" i="16" s="1"/>
  <c r="R394" i="16" a="1"/>
  <c r="R394" i="16" s="1"/>
  <c r="Q394" i="16"/>
  <c r="AB393" i="16" a="1"/>
  <c r="AB393" i="16" s="1"/>
  <c r="X393" i="16" a="1"/>
  <c r="X393" i="16" s="1"/>
  <c r="W393" i="16" a="1"/>
  <c r="W393" i="16" s="1"/>
  <c r="S393" i="16" a="1"/>
  <c r="S393" i="16" s="1"/>
  <c r="Q393" i="16"/>
  <c r="R392" i="16" a="1"/>
  <c r="R392" i="16" s="1"/>
  <c r="Q392" i="16"/>
  <c r="Q391" i="16"/>
  <c r="AA391" i="16" s="1" a="1"/>
  <c r="AA391" i="16" s="1"/>
  <c r="AD390" i="16"/>
  <c r="AF390" i="16" s="1"/>
  <c r="AC390" i="16" a="1"/>
  <c r="AC390" i="16" s="1"/>
  <c r="AB390" i="16" a="1"/>
  <c r="AB390" i="16" s="1"/>
  <c r="Q390" i="16"/>
  <c r="AA390" i="16" s="1" a="1"/>
  <c r="AA390" i="16" s="1"/>
  <c r="Q389" i="16"/>
  <c r="AC389" i="16" s="1" a="1"/>
  <c r="AC389" i="16" s="1"/>
  <c r="Q388" i="16"/>
  <c r="AD388" i="16" s="1"/>
  <c r="Q387" i="16"/>
  <c r="AB386" i="16" a="1"/>
  <c r="AB386" i="16" s="1"/>
  <c r="Q386" i="16"/>
  <c r="AA386" i="16" s="1" a="1"/>
  <c r="AA386" i="16" s="1"/>
  <c r="Q385" i="16"/>
  <c r="Z385" i="16" s="1" a="1"/>
  <c r="Z385" i="16" s="1"/>
  <c r="S384" i="16" a="1"/>
  <c r="S384" i="16" s="1"/>
  <c r="Q384" i="16"/>
  <c r="Q383" i="16"/>
  <c r="U383" i="16" s="1" a="1"/>
  <c r="U383" i="16" s="1"/>
  <c r="Q382" i="16"/>
  <c r="AA382" i="16" s="1" a="1"/>
  <c r="AA382" i="16" s="1"/>
  <c r="Q381" i="16"/>
  <c r="Q380" i="16"/>
  <c r="Q379" i="16"/>
  <c r="AD378" i="16"/>
  <c r="AF378" i="16" s="1"/>
  <c r="Q378" i="16"/>
  <c r="AD377" i="16"/>
  <c r="AF377" i="16" s="1"/>
  <c r="Q377" i="16"/>
  <c r="AD376" i="16"/>
  <c r="Q376" i="16"/>
  <c r="Q375" i="16"/>
  <c r="AD374" i="16"/>
  <c r="AF374" i="16" s="1"/>
  <c r="Q374" i="16"/>
  <c r="Q373" i="16"/>
  <c r="AD373" i="16" s="1"/>
  <c r="AF373" i="16" s="1"/>
  <c r="Q372" i="16"/>
  <c r="AD371" i="16"/>
  <c r="AF371" i="16" s="1"/>
  <c r="Q371" i="16"/>
  <c r="AD370" i="16"/>
  <c r="AF370" i="16" s="1"/>
  <c r="Q370" i="16"/>
  <c r="Q369" i="16"/>
  <c r="AD368" i="16"/>
  <c r="AF368" i="16" s="1"/>
  <c r="Q368" i="16"/>
  <c r="AD367" i="16"/>
  <c r="Q367" i="16"/>
  <c r="Q366" i="16"/>
  <c r="Q365" i="16"/>
  <c r="Q364" i="16"/>
  <c r="AD363" i="16"/>
  <c r="AF363" i="16" s="1"/>
  <c r="Q363" i="16"/>
  <c r="Q362" i="16"/>
  <c r="Q361" i="16"/>
  <c r="Q360" i="16"/>
  <c r="AD360" i="16" s="1"/>
  <c r="AD359" i="16"/>
  <c r="Q359" i="16"/>
  <c r="AD358" i="16"/>
  <c r="AF358" i="16" s="1"/>
  <c r="Q358" i="16"/>
  <c r="Q357" i="16"/>
  <c r="Q356" i="16"/>
  <c r="Q355" i="16"/>
  <c r="AD354" i="16"/>
  <c r="Q354" i="16"/>
  <c r="Q353" i="16"/>
  <c r="AD352" i="16"/>
  <c r="Q352" i="16"/>
  <c r="Q351" i="16"/>
  <c r="Q350" i="16"/>
  <c r="AD349" i="16"/>
  <c r="Q349" i="16"/>
  <c r="AD348" i="16"/>
  <c r="AF348" i="16" s="1"/>
  <c r="Q348" i="16"/>
  <c r="Q347" i="16"/>
  <c r="Q346" i="16"/>
  <c r="AD345" i="16"/>
  <c r="AF345" i="16" s="1"/>
  <c r="Q345" i="16"/>
  <c r="AD344" i="16"/>
  <c r="AF344" i="16" s="1"/>
  <c r="Q344" i="16"/>
  <c r="Q343" i="16"/>
  <c r="Q342" i="16"/>
  <c r="Q341" i="16"/>
  <c r="Q340" i="16"/>
  <c r="AD340" i="16" s="1"/>
  <c r="AF340" i="16" s="1"/>
  <c r="Q339" i="16"/>
  <c r="Q338" i="16"/>
  <c r="AD337" i="16"/>
  <c r="AF337" i="16" s="1"/>
  <c r="Q337" i="16"/>
  <c r="Q336" i="16"/>
  <c r="AD335" i="16"/>
  <c r="Q335" i="16"/>
  <c r="AD334" i="16"/>
  <c r="AF334" i="16" s="1"/>
  <c r="Q334" i="16"/>
  <c r="Q333" i="16"/>
  <c r="AD332" i="16"/>
  <c r="Q332" i="16"/>
  <c r="AD331" i="16"/>
  <c r="Q331" i="16"/>
  <c r="Q330" i="16"/>
  <c r="Q329" i="16"/>
  <c r="Q328" i="16"/>
  <c r="AD327" i="16"/>
  <c r="AF327" i="16" s="1"/>
  <c r="Q327" i="16"/>
  <c r="Q326" i="16"/>
  <c r="AD325" i="16"/>
  <c r="Q325" i="16"/>
  <c r="Q324" i="16"/>
  <c r="AD323" i="16"/>
  <c r="Q323" i="16"/>
  <c r="AD322" i="16"/>
  <c r="Q322" i="16"/>
  <c r="AD321" i="16"/>
  <c r="AF321" i="16" s="1"/>
  <c r="Q321" i="16"/>
  <c r="Q320" i="16"/>
  <c r="Q319" i="16"/>
  <c r="Q318" i="16"/>
  <c r="Q317" i="16"/>
  <c r="Q316" i="16"/>
  <c r="AD315" i="16"/>
  <c r="Q315" i="16"/>
  <c r="Q314" i="16"/>
  <c r="AD313" i="16"/>
  <c r="Q313" i="16"/>
  <c r="Q312" i="16"/>
  <c r="Q311" i="16"/>
  <c r="Q310" i="16"/>
  <c r="AD306" i="16"/>
  <c r="AA306" i="16" a="1"/>
  <c r="AA306" i="16" s="1"/>
  <c r="Q306" i="16"/>
  <c r="AB305" i="16" a="1"/>
  <c r="AB305" i="16" s="1"/>
  <c r="AA305" i="16" a="1"/>
  <c r="AA305" i="16" s="1"/>
  <c r="Z305" i="16" a="1"/>
  <c r="Z305" i="16" s="1"/>
  <c r="X305" i="16" a="1"/>
  <c r="X305" i="16" s="1"/>
  <c r="W305" i="16" a="1"/>
  <c r="W305" i="16" s="1"/>
  <c r="V305" i="16" a="1"/>
  <c r="V305" i="16" s="1"/>
  <c r="U305" i="16" a="1"/>
  <c r="U305" i="16" s="1"/>
  <c r="T305" i="16" a="1"/>
  <c r="T305" i="16" s="1"/>
  <c r="R305" i="16" a="1"/>
  <c r="R305" i="16" s="1"/>
  <c r="Q305" i="16"/>
  <c r="AD304" i="16"/>
  <c r="AF304" i="16" s="1"/>
  <c r="X304" i="16" a="1"/>
  <c r="X304" i="16" s="1"/>
  <c r="W304" i="16" a="1"/>
  <c r="W304" i="16" s="1"/>
  <c r="U304" i="16" a="1"/>
  <c r="U304" i="16" s="1"/>
  <c r="Q304" i="16"/>
  <c r="AD303" i="16"/>
  <c r="AF303" i="16" s="1"/>
  <c r="AC303" i="16" a="1"/>
  <c r="AC303" i="16" s="1"/>
  <c r="AB303" i="16" a="1"/>
  <c r="AB303" i="16" s="1"/>
  <c r="Y303" i="16" a="1"/>
  <c r="Y303" i="16" s="1"/>
  <c r="X303" i="16" a="1"/>
  <c r="X303" i="16" s="1"/>
  <c r="W303" i="16" a="1"/>
  <c r="W303" i="16" s="1"/>
  <c r="V303" i="16" a="1"/>
  <c r="V303" i="16" s="1"/>
  <c r="T303" i="16" a="1"/>
  <c r="T303" i="16" s="1"/>
  <c r="S303" i="16" a="1"/>
  <c r="S303" i="16" s="1"/>
  <c r="R303" i="16" a="1"/>
  <c r="R303" i="16" s="1"/>
  <c r="Q303" i="16"/>
  <c r="AC302" i="16" a="1"/>
  <c r="AC302" i="16" s="1"/>
  <c r="AB302" i="16" a="1"/>
  <c r="AB302" i="16" s="1"/>
  <c r="X302" i="16" a="1"/>
  <c r="X302" i="16" s="1"/>
  <c r="W302" i="16" a="1"/>
  <c r="W302" i="16" s="1"/>
  <c r="V302" i="16" a="1"/>
  <c r="V302" i="16" s="1"/>
  <c r="S302" i="16" a="1"/>
  <c r="S302" i="16" s="1"/>
  <c r="Q302" i="16"/>
  <c r="AD301" i="16"/>
  <c r="AF301" i="16" s="1"/>
  <c r="AC301" i="16" a="1"/>
  <c r="AC301" i="16" s="1"/>
  <c r="AB301" i="16" a="1"/>
  <c r="AB301" i="16" s="1"/>
  <c r="Z301" i="16" a="1"/>
  <c r="Z301" i="16" s="1"/>
  <c r="Y301" i="16" a="1"/>
  <c r="Y301" i="16" s="1"/>
  <c r="X301" i="16" a="1"/>
  <c r="X301" i="16" s="1"/>
  <c r="W301" i="16" a="1"/>
  <c r="W301" i="16" s="1"/>
  <c r="V301" i="16" a="1"/>
  <c r="V301" i="16" s="1"/>
  <c r="U301" i="16" a="1"/>
  <c r="U301" i="16" s="1"/>
  <c r="T301" i="16" a="1"/>
  <c r="T301" i="16" s="1"/>
  <c r="S301" i="16" a="1"/>
  <c r="S301" i="16" s="1"/>
  <c r="R301" i="16" a="1"/>
  <c r="R301" i="16" s="1"/>
  <c r="Q301" i="16"/>
  <c r="AA301" i="16" s="1" a="1"/>
  <c r="AA301" i="16" s="1"/>
  <c r="AD300" i="16"/>
  <c r="AF300" i="16" s="1"/>
  <c r="AC300" i="16" a="1"/>
  <c r="AC300" i="16" s="1"/>
  <c r="AB300" i="16" a="1"/>
  <c r="AB300" i="16" s="1"/>
  <c r="Z300" i="16" a="1"/>
  <c r="Z300" i="16" s="1"/>
  <c r="Y300" i="16" a="1"/>
  <c r="Y300" i="16" s="1"/>
  <c r="X300" i="16" a="1"/>
  <c r="X300" i="16" s="1"/>
  <c r="W300" i="16" a="1"/>
  <c r="W300" i="16" s="1"/>
  <c r="V300" i="16" a="1"/>
  <c r="V300" i="16" s="1"/>
  <c r="U300" i="16" a="1"/>
  <c r="U300" i="16" s="1"/>
  <c r="T300" i="16" a="1"/>
  <c r="T300" i="16" s="1"/>
  <c r="S300" i="16" a="1"/>
  <c r="S300" i="16" s="1"/>
  <c r="R300" i="16" a="1"/>
  <c r="R300" i="16" s="1"/>
  <c r="Q300" i="16"/>
  <c r="AA300" i="16" s="1" a="1"/>
  <c r="AA300" i="16" s="1"/>
  <c r="Q299" i="16"/>
  <c r="AC298" i="16" a="1"/>
  <c r="AC298" i="16" s="1"/>
  <c r="AA298" i="16" a="1"/>
  <c r="AA298" i="16" s="1"/>
  <c r="Z298" i="16" a="1"/>
  <c r="Z298" i="16" s="1"/>
  <c r="Y298" i="16" a="1"/>
  <c r="Y298" i="16" s="1"/>
  <c r="X298" i="16" a="1"/>
  <c r="X298" i="16" s="1"/>
  <c r="W298" i="16" a="1"/>
  <c r="W298" i="16" s="1"/>
  <c r="V298" i="16" a="1"/>
  <c r="V298" i="16" s="1"/>
  <c r="U298" i="16" a="1"/>
  <c r="U298" i="16" s="1"/>
  <c r="S298" i="16" a="1"/>
  <c r="S298" i="16" s="1"/>
  <c r="Q298" i="16"/>
  <c r="Q297" i="16"/>
  <c r="AB296" i="16" a="1"/>
  <c r="AB296" i="16" s="1"/>
  <c r="Z296" i="16" a="1"/>
  <c r="Z296" i="16" s="1"/>
  <c r="Y296" i="16" a="1"/>
  <c r="Y296" i="16" s="1"/>
  <c r="X296" i="16" a="1"/>
  <c r="X296" i="16" s="1"/>
  <c r="W296" i="16" a="1"/>
  <c r="W296" i="16" s="1"/>
  <c r="V296" i="16" a="1"/>
  <c r="V296" i="16" s="1"/>
  <c r="U296" i="16" a="1"/>
  <c r="U296" i="16" s="1"/>
  <c r="T296" i="16" a="1"/>
  <c r="T296" i="16" s="1"/>
  <c r="R296" i="16" a="1"/>
  <c r="R296" i="16" s="1"/>
  <c r="Q296" i="16"/>
  <c r="AC295" i="16" a="1"/>
  <c r="AC295" i="16" s="1"/>
  <c r="AB295" i="16" a="1"/>
  <c r="AB295" i="16" s="1"/>
  <c r="AA295" i="16" a="1"/>
  <c r="AA295" i="16" s="1"/>
  <c r="Z295" i="16" a="1"/>
  <c r="Z295" i="16" s="1"/>
  <c r="Y295" i="16" a="1"/>
  <c r="Y295" i="16" s="1"/>
  <c r="X295" i="16" a="1"/>
  <c r="X295" i="16" s="1"/>
  <c r="W295" i="16" a="1"/>
  <c r="W295" i="16" s="1"/>
  <c r="V295" i="16" a="1"/>
  <c r="V295" i="16" s="1"/>
  <c r="S295" i="16" a="1"/>
  <c r="S295" i="16" s="1"/>
  <c r="R295" i="16" a="1"/>
  <c r="R295" i="16" s="1"/>
  <c r="Q295" i="16"/>
  <c r="Q294" i="16"/>
  <c r="Q293" i="16"/>
  <c r="AC292" i="16" a="1"/>
  <c r="AC292" i="16" s="1"/>
  <c r="AB292" i="16" a="1"/>
  <c r="AB292" i="16" s="1"/>
  <c r="Z292" i="16" a="1"/>
  <c r="Z292" i="16" s="1"/>
  <c r="Y292" i="16" a="1"/>
  <c r="Y292" i="16" s="1"/>
  <c r="X292" i="16" a="1"/>
  <c r="X292" i="16" s="1"/>
  <c r="W292" i="16" a="1"/>
  <c r="W292" i="16" s="1"/>
  <c r="V292" i="16" a="1"/>
  <c r="V292" i="16" s="1"/>
  <c r="U292" i="16" a="1"/>
  <c r="U292" i="16" s="1"/>
  <c r="S292" i="16" a="1"/>
  <c r="S292" i="16" s="1"/>
  <c r="R292" i="16" a="1"/>
  <c r="R292" i="16" s="1"/>
  <c r="Q292" i="16"/>
  <c r="AC291" i="16" a="1"/>
  <c r="AC291" i="16" s="1"/>
  <c r="AB291" i="16" a="1"/>
  <c r="AB291" i="16" s="1"/>
  <c r="AA291" i="16" a="1"/>
  <c r="AA291" i="16" s="1"/>
  <c r="Y291" i="16" a="1"/>
  <c r="Y291" i="16" s="1"/>
  <c r="X291" i="16" a="1"/>
  <c r="X291" i="16" s="1"/>
  <c r="V291" i="16" a="1"/>
  <c r="V291" i="16" s="1"/>
  <c r="T291" i="16" a="1"/>
  <c r="T291" i="16" s="1"/>
  <c r="Q291" i="16"/>
  <c r="Q290" i="16"/>
  <c r="AD289" i="16"/>
  <c r="AF289" i="16" s="1"/>
  <c r="AB289" i="16" a="1"/>
  <c r="AB289" i="16" s="1"/>
  <c r="AA289" i="16" a="1"/>
  <c r="AA289" i="16" s="1"/>
  <c r="Z289" i="16" a="1"/>
  <c r="Z289" i="16" s="1"/>
  <c r="Y289" i="16" a="1"/>
  <c r="Y289" i="16" s="1"/>
  <c r="X289" i="16" a="1"/>
  <c r="X289" i="16" s="1"/>
  <c r="W289" i="16" a="1"/>
  <c r="W289" i="16" s="1"/>
  <c r="V289" i="16"/>
  <c r="U289" i="16" a="1"/>
  <c r="U289" i="16" s="1"/>
  <c r="T289" i="16" a="1"/>
  <c r="T289" i="16" s="1"/>
  <c r="S289" i="16" a="1"/>
  <c r="S289" i="16" s="1"/>
  <c r="R289" i="16" a="1"/>
  <c r="R289" i="16" s="1"/>
  <c r="Q289" i="16"/>
  <c r="V289" i="16" s="1" a="1"/>
  <c r="AD288" i="16"/>
  <c r="AF288" i="16" s="1"/>
  <c r="AC288" i="16" a="1"/>
  <c r="AC288" i="16" s="1"/>
  <c r="Z288" i="16" a="1"/>
  <c r="Z288" i="16" s="1"/>
  <c r="S288" i="16" a="1"/>
  <c r="S288" i="16" s="1"/>
  <c r="Q288" i="16"/>
  <c r="AD287" i="16"/>
  <c r="AF287" i="16" s="1"/>
  <c r="AC287" i="16" a="1"/>
  <c r="AC287" i="16" s="1"/>
  <c r="AA287" i="16" a="1"/>
  <c r="AA287" i="16" s="1"/>
  <c r="Z287" i="16" a="1"/>
  <c r="Z287" i="16" s="1"/>
  <c r="Y287" i="16" a="1"/>
  <c r="Y287" i="16" s="1"/>
  <c r="U287" i="16" a="1"/>
  <c r="U287" i="16" s="1"/>
  <c r="T287" i="16" a="1"/>
  <c r="T287" i="16" s="1"/>
  <c r="S287" i="16" a="1"/>
  <c r="S287" i="16" s="1"/>
  <c r="R287" i="16" a="1"/>
  <c r="R287" i="16" s="1"/>
  <c r="Q287" i="16"/>
  <c r="W287" i="16" s="1" a="1"/>
  <c r="W287" i="16" s="1"/>
  <c r="AD286" i="16"/>
  <c r="AF286" i="16" s="1"/>
  <c r="AC286" i="16" a="1"/>
  <c r="AC286" i="16" s="1"/>
  <c r="AB286" i="16" a="1"/>
  <c r="AB286" i="16" s="1"/>
  <c r="AA286" i="16" a="1"/>
  <c r="AA286" i="16" s="1"/>
  <c r="Z286" i="16" a="1"/>
  <c r="Z286" i="16"/>
  <c r="Y286" i="16" a="1"/>
  <c r="Y286" i="16" s="1"/>
  <c r="X286" i="16" a="1"/>
  <c r="X286" i="16" s="1"/>
  <c r="W286" i="16" a="1"/>
  <c r="W286" i="16" s="1"/>
  <c r="V286" i="16" a="1"/>
  <c r="V286" i="16" s="1"/>
  <c r="U286" i="16" a="1"/>
  <c r="U286" i="16" s="1"/>
  <c r="T286" i="16" a="1"/>
  <c r="T286" i="16" s="1"/>
  <c r="S286" i="16" a="1"/>
  <c r="S286" i="16" s="1"/>
  <c r="R286" i="16" a="1"/>
  <c r="R286" i="16" s="1"/>
  <c r="Q286" i="16"/>
  <c r="AD285" i="16"/>
  <c r="Z285" i="16" a="1"/>
  <c r="Z285" i="16" s="1"/>
  <c r="Y285" i="16" a="1"/>
  <c r="Y285" i="16" s="1"/>
  <c r="W285" i="16" a="1"/>
  <c r="W285" i="16" s="1"/>
  <c r="T285" i="16" a="1"/>
  <c r="T285" i="16" s="1"/>
  <c r="R285" i="16" a="1"/>
  <c r="R285" i="16" s="1"/>
  <c r="Q285" i="16"/>
  <c r="AC285" i="16" s="1" a="1"/>
  <c r="AC285" i="16" s="1"/>
  <c r="AD284" i="16"/>
  <c r="AF284" i="16" s="1"/>
  <c r="AC284" i="16" a="1"/>
  <c r="AC284" i="16" s="1"/>
  <c r="AB284" i="16" a="1"/>
  <c r="AB284" i="16" s="1"/>
  <c r="X284" i="16" a="1"/>
  <c r="X284" i="16" s="1"/>
  <c r="R284" i="16" a="1"/>
  <c r="R284" i="16" s="1"/>
  <c r="Q284" i="16"/>
  <c r="W283" i="16" a="1"/>
  <c r="W283" i="16" s="1"/>
  <c r="V283" i="16" a="1"/>
  <c r="V283" i="16" s="1"/>
  <c r="S283" i="16" a="1"/>
  <c r="S283" i="16" s="1"/>
  <c r="Q283" i="16"/>
  <c r="AA282" i="16" a="1"/>
  <c r="AA282" i="16" s="1"/>
  <c r="Z282" i="16" a="1"/>
  <c r="Z282" i="16" s="1"/>
  <c r="Q282" i="16"/>
  <c r="AC281" i="16" a="1"/>
  <c r="AC281" i="16" s="1"/>
  <c r="AB281" i="16" a="1"/>
  <c r="AB281" i="16" s="1"/>
  <c r="AA281" i="16" a="1"/>
  <c r="AA281" i="16" s="1"/>
  <c r="Y281" i="16" a="1"/>
  <c r="Y281" i="16" s="1"/>
  <c r="X281" i="16" a="1"/>
  <c r="X281" i="16" s="1"/>
  <c r="V281" i="16" a="1"/>
  <c r="V281" i="16" s="1"/>
  <c r="U281" i="16" a="1"/>
  <c r="U281" i="16" s="1"/>
  <c r="R281" i="16" a="1"/>
  <c r="R281" i="16" s="1"/>
  <c r="Q281" i="16"/>
  <c r="AD280" i="16"/>
  <c r="AB280" i="16" a="1"/>
  <c r="AB280" i="16" s="1"/>
  <c r="AA280" i="16" a="1"/>
  <c r="AA280" i="16" s="1"/>
  <c r="Z280" i="16" a="1"/>
  <c r="Z280" i="16" s="1"/>
  <c r="Y280" i="16" a="1"/>
  <c r="Y280" i="16" s="1"/>
  <c r="V280" i="16" a="1"/>
  <c r="V280" i="16" s="1"/>
  <c r="Q280" i="16"/>
  <c r="AD279" i="16"/>
  <c r="AF279" i="16" s="1"/>
  <c r="AC279" i="16" a="1"/>
  <c r="AC279" i="16" s="1"/>
  <c r="AB279" i="16" a="1"/>
  <c r="AB279" i="16" s="1"/>
  <c r="Z279" i="16" a="1"/>
  <c r="Z279" i="16" s="1"/>
  <c r="Y279" i="16" a="1"/>
  <c r="Y279" i="16" s="1"/>
  <c r="X279" i="16" a="1"/>
  <c r="X279" i="16" s="1"/>
  <c r="W279" i="16" a="1"/>
  <c r="W279" i="16" s="1"/>
  <c r="V279" i="16" a="1"/>
  <c r="V279" i="16" s="1"/>
  <c r="U279" i="16" a="1"/>
  <c r="U279" i="16" s="1"/>
  <c r="T279" i="16" a="1"/>
  <c r="T279" i="16" s="1"/>
  <c r="S279" i="16" a="1"/>
  <c r="S279" i="16" s="1"/>
  <c r="R279" i="16" a="1"/>
  <c r="R279" i="16" s="1"/>
  <c r="Q279" i="16"/>
  <c r="AA279" i="16" s="1" a="1"/>
  <c r="AA279" i="16" s="1"/>
  <c r="AC278" i="16" a="1"/>
  <c r="AC278" i="16" s="1"/>
  <c r="AB278" i="16" a="1"/>
  <c r="AB278" i="16" s="1"/>
  <c r="AA278" i="16" a="1"/>
  <c r="AA278" i="16" s="1"/>
  <c r="Y278" i="16" a="1"/>
  <c r="Y278" i="16" s="1"/>
  <c r="W278" i="16" a="1"/>
  <c r="W278" i="16" s="1"/>
  <c r="Q278" i="16"/>
  <c r="AD277" i="16"/>
  <c r="Z277" i="16" a="1"/>
  <c r="Z277" i="16"/>
  <c r="Y277" i="16" a="1"/>
  <c r="Y277" i="16" s="1"/>
  <c r="X277" i="16" a="1"/>
  <c r="X277" i="16" s="1"/>
  <c r="V277" i="16" a="1"/>
  <c r="V277" i="16" s="1"/>
  <c r="U277" i="16" a="1"/>
  <c r="U277" i="16" s="1"/>
  <c r="R277" i="16" a="1"/>
  <c r="R277" i="16" s="1"/>
  <c r="Q277" i="16"/>
  <c r="AB277" i="16" s="1" a="1"/>
  <c r="AB277" i="16" s="1"/>
  <c r="AC276" i="16" a="1"/>
  <c r="AC276" i="16" s="1"/>
  <c r="AB276" i="16" a="1"/>
  <c r="AB276" i="16" s="1"/>
  <c r="T276" i="16" a="1"/>
  <c r="T276" i="16" s="1"/>
  <c r="S276" i="16" a="1"/>
  <c r="S276" i="16" s="1"/>
  <c r="R276" i="16" a="1"/>
  <c r="R276" i="16" s="1"/>
  <c r="Q276" i="16"/>
  <c r="AD275" i="16"/>
  <c r="AB275" i="16" a="1"/>
  <c r="AB275" i="16" s="1"/>
  <c r="AA275" i="16" a="1"/>
  <c r="AA275" i="16" s="1"/>
  <c r="Z275" i="16" a="1"/>
  <c r="Z275" i="16" s="1"/>
  <c r="Y275" i="16" a="1"/>
  <c r="Y275" i="16" s="1"/>
  <c r="V275" i="16" a="1"/>
  <c r="V275" i="16" s="1"/>
  <c r="Q275" i="16"/>
  <c r="AD274" i="16"/>
  <c r="AB274" i="16" a="1"/>
  <c r="AB274" i="16" s="1"/>
  <c r="AA274" i="16" a="1"/>
  <c r="AA274" i="16" s="1"/>
  <c r="Y274" i="16" a="1"/>
  <c r="Y274" i="16" s="1"/>
  <c r="X274" i="16" a="1"/>
  <c r="X274" i="16" s="1"/>
  <c r="W274" i="16" a="1"/>
  <c r="W274" i="16" s="1"/>
  <c r="U274" i="16" a="1"/>
  <c r="U274" i="16" s="1"/>
  <c r="T274" i="16" a="1"/>
  <c r="T274" i="16" s="1"/>
  <c r="S274" i="16" a="1"/>
  <c r="S274" i="16" s="1"/>
  <c r="Q274" i="16"/>
  <c r="Q273" i="16"/>
  <c r="AD272" i="16"/>
  <c r="AF272" i="16" s="1"/>
  <c r="AC272" i="16" a="1"/>
  <c r="AC272" i="16" s="1"/>
  <c r="AB272" i="16" a="1"/>
  <c r="AB272" i="16" s="1"/>
  <c r="Z272" i="16" a="1"/>
  <c r="Z272" i="16" s="1"/>
  <c r="Y272" i="16" a="1"/>
  <c r="Y272" i="16" s="1"/>
  <c r="X272" i="16" a="1"/>
  <c r="X272" i="16" s="1"/>
  <c r="W272" i="16" a="1"/>
  <c r="W272" i="16" s="1"/>
  <c r="V272" i="16" a="1"/>
  <c r="V272" i="16" s="1"/>
  <c r="U272" i="16" a="1"/>
  <c r="U272" i="16" s="1"/>
  <c r="T272" i="16" a="1"/>
  <c r="T272" i="16" s="1"/>
  <c r="S272" i="16" a="1"/>
  <c r="S272" i="16" s="1"/>
  <c r="R272" i="16" a="1"/>
  <c r="R272" i="16" s="1"/>
  <c r="Q272" i="16"/>
  <c r="AA272" i="16" s="1" a="1"/>
  <c r="AA272" i="16" s="1"/>
  <c r="AD271" i="16"/>
  <c r="AF271" i="16" s="1"/>
  <c r="AA271" i="16" a="1"/>
  <c r="AA271" i="16" s="1"/>
  <c r="Y271" i="16" a="1"/>
  <c r="Y271" i="16" s="1"/>
  <c r="X271" i="16" a="1"/>
  <c r="X271" i="16" s="1"/>
  <c r="W271" i="16" a="1"/>
  <c r="W271" i="16" s="1"/>
  <c r="U271" i="16" a="1"/>
  <c r="U271" i="16" s="1"/>
  <c r="S271" i="16" a="1"/>
  <c r="S271" i="16" s="1"/>
  <c r="R271" i="16" a="1"/>
  <c r="R271" i="16" s="1"/>
  <c r="Q271" i="16"/>
  <c r="AB271" i="16" s="1" a="1"/>
  <c r="AB271" i="16" s="1"/>
  <c r="AA270" i="16" a="1"/>
  <c r="AA270" i="16" s="1"/>
  <c r="Z270" i="16" a="1"/>
  <c r="Z270" i="16" s="1"/>
  <c r="Y270" i="16" a="1"/>
  <c r="Y270" i="16" s="1"/>
  <c r="X270" i="16" a="1"/>
  <c r="X270" i="16" s="1"/>
  <c r="W270" i="16" a="1"/>
  <c r="W270" i="16" s="1"/>
  <c r="V270" i="16" a="1"/>
  <c r="V270" i="16" s="1"/>
  <c r="U270" i="16" a="1"/>
  <c r="U270" i="16" s="1"/>
  <c r="T270" i="16" a="1"/>
  <c r="T270" i="16" s="1"/>
  <c r="S270" i="16" a="1"/>
  <c r="S270" i="16" s="1"/>
  <c r="Q270" i="16"/>
  <c r="AD269" i="16"/>
  <c r="AF269" i="16" s="1"/>
  <c r="AC269" i="16" a="1"/>
  <c r="AC269" i="16" s="1"/>
  <c r="AB269" i="16" a="1"/>
  <c r="AB269" i="16" s="1"/>
  <c r="Z269" i="16" a="1"/>
  <c r="Z269" i="16" s="1"/>
  <c r="Y269" i="16" a="1"/>
  <c r="Y269" i="16" s="1"/>
  <c r="X269" i="16" a="1"/>
  <c r="X269" i="16" s="1"/>
  <c r="W269" i="16" a="1"/>
  <c r="W269" i="16" s="1"/>
  <c r="V269" i="16" a="1"/>
  <c r="V269" i="16" s="1"/>
  <c r="U269" i="16" a="1"/>
  <c r="U269" i="16" s="1"/>
  <c r="T269" i="16" a="1"/>
  <c r="T269" i="16" s="1"/>
  <c r="S269" i="16" a="1"/>
  <c r="S269" i="16" s="1"/>
  <c r="R269" i="16" a="1"/>
  <c r="R269" i="16" s="1"/>
  <c r="Q269" i="16"/>
  <c r="AA269" i="16" s="1" a="1"/>
  <c r="AA269" i="16" s="1"/>
  <c r="Z268" i="16" a="1"/>
  <c r="Z268" i="16" s="1"/>
  <c r="Y268" i="16" a="1"/>
  <c r="Y268" i="16" s="1"/>
  <c r="R268" i="16" a="1"/>
  <c r="R268" i="16" s="1"/>
  <c r="Q268" i="16"/>
  <c r="AA267" i="16" a="1"/>
  <c r="AA267" i="16" s="1"/>
  <c r="Z267" i="16" a="1"/>
  <c r="Z267" i="16" s="1"/>
  <c r="Y267" i="16" a="1"/>
  <c r="Y267" i="16" s="1"/>
  <c r="W267" i="16" a="1"/>
  <c r="W267" i="16" s="1"/>
  <c r="V267" i="16" a="1"/>
  <c r="V267" i="16" s="1"/>
  <c r="S267" i="16" a="1"/>
  <c r="S267" i="16" s="1"/>
  <c r="Q267" i="16"/>
  <c r="AC266" i="16" a="1"/>
  <c r="AC266" i="16" s="1"/>
  <c r="AA266" i="16" a="1"/>
  <c r="AA266" i="16" s="1"/>
  <c r="W266" i="16" a="1"/>
  <c r="W266" i="16" s="1"/>
  <c r="V266" i="16" a="1"/>
  <c r="V266" i="16" s="1"/>
  <c r="U266" i="16" a="1"/>
  <c r="U266" i="16" s="1"/>
  <c r="Q266" i="16"/>
  <c r="AD265" i="16"/>
  <c r="AF265" i="16" s="1"/>
  <c r="AB265" i="16" a="1"/>
  <c r="AB265" i="16" s="1"/>
  <c r="Z265" i="16" a="1"/>
  <c r="Z265" i="16" s="1"/>
  <c r="X265" i="16" a="1"/>
  <c r="X265" i="16" s="1"/>
  <c r="U265" i="16" a="1"/>
  <c r="U265" i="16" s="1"/>
  <c r="T265" i="16" a="1"/>
  <c r="T265" i="16" s="1"/>
  <c r="R265" i="16" a="1"/>
  <c r="R265" i="16" s="1"/>
  <c r="Q265" i="16"/>
  <c r="Z264" i="16" a="1"/>
  <c r="Z264" i="16" s="1"/>
  <c r="Y264" i="16" a="1"/>
  <c r="Y264" i="16" s="1"/>
  <c r="Q264" i="16"/>
  <c r="AD263" i="16"/>
  <c r="AA263" i="16" a="1"/>
  <c r="AA263" i="16" s="1"/>
  <c r="Y263" i="16" a="1"/>
  <c r="Y263" i="16" s="1"/>
  <c r="X263" i="16" a="1"/>
  <c r="X263" i="16" s="1"/>
  <c r="W263" i="16" a="1"/>
  <c r="W263" i="16" s="1"/>
  <c r="V263" i="16" a="1"/>
  <c r="V263" i="16" s="1"/>
  <c r="R263" i="16" a="1"/>
  <c r="R263" i="16" s="1"/>
  <c r="Q263" i="16"/>
  <c r="AB263" i="16" s="1" a="1"/>
  <c r="AB263" i="16" s="1"/>
  <c r="AA262" i="16" a="1"/>
  <c r="AA262" i="16" s="1"/>
  <c r="W262" i="16" a="1"/>
  <c r="W262" i="16" s="1"/>
  <c r="U262" i="16" a="1"/>
  <c r="U262" i="16" s="1"/>
  <c r="T262" i="16" a="1"/>
  <c r="T262" i="16" s="1"/>
  <c r="S262" i="16" a="1"/>
  <c r="S262" i="16" s="1"/>
  <c r="Q262" i="16"/>
  <c r="AD261" i="16"/>
  <c r="AF261" i="16" s="1"/>
  <c r="AC261" i="16" a="1"/>
  <c r="AC261" i="16" s="1"/>
  <c r="AB261" i="16" a="1"/>
  <c r="AB261" i="16" s="1"/>
  <c r="Z261" i="16" a="1"/>
  <c r="Z261" i="16" s="1"/>
  <c r="Y261" i="16" a="1"/>
  <c r="Y261" i="16" s="1"/>
  <c r="X261" i="16" a="1"/>
  <c r="X261" i="16" s="1"/>
  <c r="W261" i="16" a="1"/>
  <c r="W261" i="16" s="1"/>
  <c r="V261" i="16" a="1"/>
  <c r="V261" i="16" s="1"/>
  <c r="T261" i="16" a="1"/>
  <c r="T261" i="16" s="1"/>
  <c r="S261" i="16" a="1"/>
  <c r="S261" i="16" s="1"/>
  <c r="R261" i="16" a="1"/>
  <c r="R261" i="16" s="1"/>
  <c r="Q261" i="16"/>
  <c r="U261" i="16" s="1" a="1"/>
  <c r="U261" i="16" s="1"/>
  <c r="AD260" i="16"/>
  <c r="AC260" i="16" a="1"/>
  <c r="AC260" i="16" s="1"/>
  <c r="AB260" i="16" a="1"/>
  <c r="AB260" i="16" s="1"/>
  <c r="AA260" i="16" a="1"/>
  <c r="AA260" i="16" s="1"/>
  <c r="Z260" i="16" a="1"/>
  <c r="Z260" i="16" s="1"/>
  <c r="Y260" i="16" a="1"/>
  <c r="Y260" i="16" s="1"/>
  <c r="R260" i="16" a="1"/>
  <c r="R260" i="16" s="1"/>
  <c r="Q260" i="16"/>
  <c r="AC259" i="16" a="1"/>
  <c r="AC259" i="16" s="1"/>
  <c r="AA259" i="16" a="1"/>
  <c r="AA259" i="16" s="1"/>
  <c r="Z259" i="16" a="1"/>
  <c r="Z259" i="16" s="1"/>
  <c r="Y259" i="16" a="1"/>
  <c r="Y259" i="16" s="1"/>
  <c r="X259" i="16" a="1"/>
  <c r="X259" i="16" s="1"/>
  <c r="W259" i="16" a="1"/>
  <c r="W259" i="16" s="1"/>
  <c r="T259" i="16" a="1"/>
  <c r="T259" i="16" s="1"/>
  <c r="S259" i="16" a="1"/>
  <c r="S259" i="16" s="1"/>
  <c r="Q259" i="16"/>
  <c r="AD258" i="16"/>
  <c r="AB258" i="16" a="1"/>
  <c r="AB258" i="16" s="1"/>
  <c r="Q258" i="16"/>
  <c r="Q257" i="16"/>
  <c r="S256" i="16" a="1"/>
  <c r="S256" i="16" s="1"/>
  <c r="R256" i="16" a="1"/>
  <c r="R256" i="16" s="1"/>
  <c r="Q256" i="16"/>
  <c r="AB255" i="16" a="1"/>
  <c r="AB255" i="16" s="1"/>
  <c r="S255" i="16" a="1"/>
  <c r="S255" i="16" s="1"/>
  <c r="R255" i="16" a="1"/>
  <c r="R255" i="16" s="1"/>
  <c r="Q255" i="16"/>
  <c r="AC254" i="16" a="1"/>
  <c r="AC254" i="16" s="1"/>
  <c r="AB254" i="16" a="1"/>
  <c r="AB254" i="16" s="1"/>
  <c r="AA254" i="16" a="1"/>
  <c r="AA254" i="16" s="1"/>
  <c r="Y254" i="16" a="1"/>
  <c r="Y254" i="16" s="1"/>
  <c r="X254" i="16" a="1"/>
  <c r="X254" i="16" s="1"/>
  <c r="U254" i="16" a="1"/>
  <c r="U254" i="16" s="1"/>
  <c r="S254" i="16" a="1"/>
  <c r="S254" i="16" s="1"/>
  <c r="R254" i="16" a="1"/>
  <c r="R254" i="16" s="1"/>
  <c r="Q254" i="16"/>
  <c r="AA253" i="16" a="1"/>
  <c r="AA253" i="16" s="1"/>
  <c r="Z253" i="16" a="1"/>
  <c r="Z253" i="16" s="1"/>
  <c r="X253" i="16" a="1"/>
  <c r="X253" i="16" s="1"/>
  <c r="W253" i="16" a="1"/>
  <c r="W253" i="16" s="1"/>
  <c r="U253" i="16" a="1"/>
  <c r="U253" i="16" s="1"/>
  <c r="T253" i="16" a="1"/>
  <c r="T253" i="16" s="1"/>
  <c r="Q253" i="16"/>
  <c r="Y253" i="16" s="1" a="1"/>
  <c r="Y253" i="16" s="1"/>
  <c r="AD252" i="16"/>
  <c r="AF252" i="16" s="1"/>
  <c r="AC252" i="16" a="1"/>
  <c r="AC252" i="16" s="1"/>
  <c r="AB252" i="16" a="1"/>
  <c r="AB252" i="16" s="1"/>
  <c r="Z252" i="16" a="1"/>
  <c r="Z252" i="16" s="1"/>
  <c r="Y252" i="16" a="1"/>
  <c r="Y252" i="16" s="1"/>
  <c r="X252" i="16" a="1"/>
  <c r="X252" i="16" s="1"/>
  <c r="W252" i="16" a="1"/>
  <c r="W252" i="16" s="1"/>
  <c r="V252" i="16" a="1"/>
  <c r="V252" i="16" s="1"/>
  <c r="U252" i="16" a="1"/>
  <c r="U252" i="16" s="1"/>
  <c r="T252" i="16" a="1"/>
  <c r="T252" i="16" s="1"/>
  <c r="S252" i="16" a="1"/>
  <c r="S252" i="16" s="1"/>
  <c r="R252" i="16" a="1"/>
  <c r="R252" i="16" s="1"/>
  <c r="Q252" i="16"/>
  <c r="AA252" i="16" s="1" a="1"/>
  <c r="AA252" i="16" s="1"/>
  <c r="AD251" i="16"/>
  <c r="AB251" i="16" a="1"/>
  <c r="AB251" i="16" s="1"/>
  <c r="Y251" i="16" a="1"/>
  <c r="Y251" i="16" s="1"/>
  <c r="X251" i="16" a="1"/>
  <c r="X251" i="16" s="1"/>
  <c r="W251" i="16" a="1"/>
  <c r="W251" i="16" s="1"/>
  <c r="V251" i="16" a="1"/>
  <c r="V251" i="16" s="1"/>
  <c r="U251" i="16" a="1"/>
  <c r="U251" i="16" s="1"/>
  <c r="Q251" i="16"/>
  <c r="AD250" i="16"/>
  <c r="AF250" i="16" s="1"/>
  <c r="AA250" i="16" a="1"/>
  <c r="AA250" i="16" s="1"/>
  <c r="Z250" i="16" a="1"/>
  <c r="Z250" i="16" s="1"/>
  <c r="Y250" i="16" a="1"/>
  <c r="Y250" i="16" s="1"/>
  <c r="X250" i="16" a="1"/>
  <c r="X250" i="16" s="1"/>
  <c r="W250" i="16" a="1"/>
  <c r="W250" i="16" s="1"/>
  <c r="V250" i="16" a="1"/>
  <c r="V250" i="16" s="1"/>
  <c r="U250" i="16" a="1"/>
  <c r="U250" i="16" s="1"/>
  <c r="T250" i="16" a="1"/>
  <c r="T250" i="16" s="1"/>
  <c r="S250" i="16" a="1"/>
  <c r="S250" i="16" s="1"/>
  <c r="Q250" i="16"/>
  <c r="AD249" i="16"/>
  <c r="AF249" i="16" s="1"/>
  <c r="AC249" i="16" a="1"/>
  <c r="AC249" i="16" s="1"/>
  <c r="AB249" i="16" a="1"/>
  <c r="AB249" i="16" s="1"/>
  <c r="Z249" i="16" a="1"/>
  <c r="Z249" i="16" s="1"/>
  <c r="Y249" i="16" a="1"/>
  <c r="Y249" i="16" s="1"/>
  <c r="X249" i="16" a="1"/>
  <c r="X249" i="16" s="1"/>
  <c r="W249" i="16" a="1"/>
  <c r="W249" i="16" s="1"/>
  <c r="V249" i="16" a="1"/>
  <c r="V249" i="16" s="1"/>
  <c r="U249" i="16" a="1"/>
  <c r="U249" i="16" s="1"/>
  <c r="T249" i="16" a="1"/>
  <c r="T249" i="16" s="1"/>
  <c r="S249" i="16" a="1"/>
  <c r="S249" i="16" s="1"/>
  <c r="R249" i="16" a="1"/>
  <c r="R249" i="16" s="1"/>
  <c r="Q249" i="16"/>
  <c r="AA249" i="16" s="1" a="1"/>
  <c r="AA249" i="16" s="1"/>
  <c r="AB248" i="16" a="1"/>
  <c r="AB248" i="16" s="1"/>
  <c r="AA248" i="16" a="1"/>
  <c r="AA248" i="16" s="1"/>
  <c r="U248" i="16" a="1"/>
  <c r="U248" i="16" s="1"/>
  <c r="Q248" i="16"/>
  <c r="AD248" i="16" s="1"/>
  <c r="AF248" i="16" s="1"/>
  <c r="AA247" i="16" a="1"/>
  <c r="AA247" i="16" s="1"/>
  <c r="V247" i="16" a="1"/>
  <c r="V247" i="16" s="1"/>
  <c r="Q247" i="16"/>
  <c r="AA246" i="16" a="1"/>
  <c r="AA246" i="16" s="1"/>
  <c r="Z246" i="16" a="1"/>
  <c r="Z246" i="16" s="1"/>
  <c r="Y246" i="16" a="1"/>
  <c r="Y246" i="16" s="1"/>
  <c r="Q246" i="16"/>
  <c r="AD245" i="16"/>
  <c r="AF245" i="16" s="1"/>
  <c r="Z245" i="16" a="1"/>
  <c r="Z245" i="16" s="1"/>
  <c r="Y245" i="16" a="1"/>
  <c r="Y245" i="16" s="1"/>
  <c r="X245" i="16" a="1"/>
  <c r="X245" i="16" s="1"/>
  <c r="W245" i="16" a="1"/>
  <c r="W245" i="16" s="1"/>
  <c r="V245" i="16" a="1"/>
  <c r="V245" i="16" s="1"/>
  <c r="R245" i="16" a="1"/>
  <c r="R245" i="16" s="1"/>
  <c r="Q245" i="16"/>
  <c r="AA245" i="16" s="1" a="1"/>
  <c r="AA245" i="16" s="1"/>
  <c r="AA244" i="16" a="1"/>
  <c r="AA244" i="16" s="1"/>
  <c r="Z244" i="16" a="1"/>
  <c r="Z244" i="16" s="1"/>
  <c r="Y244" i="16" a="1"/>
  <c r="Y244" i="16" s="1"/>
  <c r="X244" i="16" a="1"/>
  <c r="X244" i="16" s="1"/>
  <c r="W244" i="16" a="1"/>
  <c r="W244" i="16" s="1"/>
  <c r="V244" i="16" a="1"/>
  <c r="V244" i="16" s="1"/>
  <c r="T244" i="16" a="1"/>
  <c r="T244" i="16" s="1"/>
  <c r="S244" i="16" a="1"/>
  <c r="S244" i="16" s="1"/>
  <c r="Q244" i="16"/>
  <c r="AD243" i="16"/>
  <c r="AC243" i="16" a="1"/>
  <c r="AC243" i="16" s="1"/>
  <c r="AA243" i="16" a="1"/>
  <c r="AA243" i="16" s="1"/>
  <c r="Z243" i="16" a="1"/>
  <c r="Z243" i="16" s="1"/>
  <c r="Y243" i="16" a="1"/>
  <c r="Y243" i="16" s="1"/>
  <c r="X243" i="16" a="1"/>
  <c r="X243" i="16" s="1"/>
  <c r="W243" i="16" a="1"/>
  <c r="W243" i="16" s="1"/>
  <c r="V243" i="16" a="1"/>
  <c r="V243" i="16" s="1"/>
  <c r="U243" i="16" a="1"/>
  <c r="U243" i="16" s="1"/>
  <c r="S243" i="16" a="1"/>
  <c r="S243" i="16" s="1"/>
  <c r="R243" i="16" a="1"/>
  <c r="R243" i="16" s="1"/>
  <c r="Q243" i="16"/>
  <c r="AD242" i="16"/>
  <c r="AF242" i="16" s="1"/>
  <c r="AA242" i="16" a="1"/>
  <c r="AA242" i="16" s="1"/>
  <c r="X242" i="16" a="1"/>
  <c r="X242" i="16" s="1"/>
  <c r="W242" i="16" a="1"/>
  <c r="W242" i="16" s="1"/>
  <c r="U242" i="16" a="1"/>
  <c r="U242" i="16" s="1"/>
  <c r="T242" i="16" a="1"/>
  <c r="T242" i="16" s="1"/>
  <c r="S242" i="16" a="1"/>
  <c r="S242" i="16" s="1"/>
  <c r="Q242" i="16"/>
  <c r="AC242" i="16" s="1" a="1"/>
  <c r="AC242" i="16" s="1"/>
  <c r="AD241" i="16"/>
  <c r="AF241" i="16" s="1"/>
  <c r="AC241" i="16" a="1"/>
  <c r="AC241" i="16" s="1"/>
  <c r="AA241" i="16" a="1"/>
  <c r="AA241" i="16" s="1"/>
  <c r="Z241" i="16" a="1"/>
  <c r="Z241" i="16" s="1"/>
  <c r="Q241" i="16"/>
  <c r="AB241" i="16" s="1" a="1"/>
  <c r="AB241" i="16" s="1"/>
  <c r="T240" i="16" a="1"/>
  <c r="T240" i="16" s="1"/>
  <c r="S240" i="16" a="1"/>
  <c r="S240" i="16" s="1"/>
  <c r="Q240" i="16"/>
  <c r="AD239" i="16"/>
  <c r="AF239" i="16" s="1"/>
  <c r="AA239" i="16" a="1"/>
  <c r="AA239" i="16" s="1"/>
  <c r="Z239" i="16" a="1"/>
  <c r="Z239" i="16" s="1"/>
  <c r="Y239" i="16" a="1"/>
  <c r="Y239" i="16" s="1"/>
  <c r="X239" i="16" a="1"/>
  <c r="X239" i="16" s="1"/>
  <c r="W239" i="16" a="1"/>
  <c r="W239" i="16" s="1"/>
  <c r="T239" i="16" a="1"/>
  <c r="T239" i="16" s="1"/>
  <c r="S239" i="16" a="1"/>
  <c r="S239" i="16" s="1"/>
  <c r="Q239" i="16"/>
  <c r="V239" i="16" s="1" a="1"/>
  <c r="V239" i="16" s="1"/>
  <c r="Q238" i="16"/>
  <c r="Q237" i="16"/>
  <c r="AA237" i="16" s="1" a="1"/>
  <c r="AA237" i="16" s="1"/>
  <c r="Q236" i="16"/>
  <c r="Y236" i="16" s="1" a="1"/>
  <c r="Y236" i="16" s="1"/>
  <c r="Q235" i="16"/>
  <c r="AD235" i="16" s="1"/>
  <c r="AF235" i="16" s="1"/>
  <c r="Q234" i="16"/>
  <c r="Z234" i="16" s="1" a="1"/>
  <c r="Z234" i="16" s="1"/>
  <c r="AA233" i="16" a="1"/>
  <c r="AA233" i="16" s="1"/>
  <c r="Z233" i="16" a="1"/>
  <c r="Z233" i="16" s="1"/>
  <c r="Y233" i="16" a="1"/>
  <c r="Y233" i="16" s="1"/>
  <c r="X233" i="16" a="1"/>
  <c r="X233" i="16" s="1"/>
  <c r="Q233" i="16"/>
  <c r="W233" i="16" s="1" a="1"/>
  <c r="W233" i="16" s="1"/>
  <c r="AC232" i="16" a="1"/>
  <c r="AC232" i="16" s="1"/>
  <c r="Z232" i="16" a="1"/>
  <c r="Z232" i="16" s="1"/>
  <c r="Q232" i="16"/>
  <c r="AA232" i="16" s="1" a="1"/>
  <c r="AA232" i="16" s="1"/>
  <c r="AD231" i="16"/>
  <c r="AF231" i="16" s="1"/>
  <c r="R231" i="16" a="1"/>
  <c r="R231" i="16" s="1"/>
  <c r="Q231" i="16"/>
  <c r="AB231" i="16" s="1" a="1"/>
  <c r="AB231" i="16" s="1"/>
  <c r="Q230" i="16"/>
  <c r="AC230" i="16" s="1" a="1"/>
  <c r="AC230" i="16" s="1"/>
  <c r="T229" i="16" a="1"/>
  <c r="T229" i="16" s="1"/>
  <c r="Q229" i="16"/>
  <c r="Y229" i="16" s="1" a="1"/>
  <c r="Y229" i="16" s="1"/>
  <c r="AD228" i="16"/>
  <c r="Q228" i="16"/>
  <c r="AB228" i="16" s="1" a="1"/>
  <c r="AB228" i="16" s="1"/>
  <c r="Q227" i="16"/>
  <c r="Q226" i="16"/>
  <c r="Q225" i="16"/>
  <c r="AD224" i="16"/>
  <c r="AF224" i="16" s="1"/>
  <c r="Q224" i="16"/>
  <c r="AD223" i="16"/>
  <c r="Q223" i="16"/>
  <c r="Q222" i="16"/>
  <c r="AD221" i="16"/>
  <c r="AF221" i="16" s="1"/>
  <c r="Q221" i="16"/>
  <c r="Q220" i="16"/>
  <c r="AD220" i="16" s="1"/>
  <c r="AD219" i="16"/>
  <c r="AF219" i="16" s="1"/>
  <c r="Q219" i="16"/>
  <c r="AD218" i="16"/>
  <c r="Q218" i="16"/>
  <c r="AD217" i="16"/>
  <c r="Q217" i="16"/>
  <c r="Q216" i="16"/>
  <c r="Q215" i="16"/>
  <c r="Q214" i="16"/>
  <c r="AD213" i="16"/>
  <c r="Q213" i="16"/>
  <c r="AD212" i="16"/>
  <c r="AF212" i="16" s="1"/>
  <c r="Q212" i="16"/>
  <c r="AD211" i="16"/>
  <c r="Q211" i="16"/>
  <c r="Q210" i="16"/>
  <c r="Q209" i="16"/>
  <c r="Q208" i="16"/>
  <c r="Q207" i="16"/>
  <c r="Q206" i="16"/>
  <c r="Q205" i="16"/>
  <c r="Q204" i="16"/>
  <c r="AD203" i="16"/>
  <c r="Q203" i="16"/>
  <c r="Q202" i="16"/>
  <c r="Q201" i="16"/>
  <c r="AD200" i="16"/>
  <c r="Q200" i="16"/>
  <c r="AD199" i="16"/>
  <c r="Q199" i="16"/>
  <c r="AD198" i="16"/>
  <c r="Q198" i="16"/>
  <c r="AD197" i="16"/>
  <c r="AF197" i="16" s="1"/>
  <c r="Q197" i="16"/>
  <c r="AD196" i="16"/>
  <c r="AF196" i="16" s="1"/>
  <c r="Q196" i="16"/>
  <c r="Q195" i="16"/>
  <c r="AD194" i="16"/>
  <c r="Q194" i="16"/>
  <c r="AD193" i="16"/>
  <c r="Q193" i="16"/>
  <c r="Q192" i="16"/>
  <c r="Q191" i="16"/>
  <c r="Q190" i="16"/>
  <c r="AD189" i="16"/>
  <c r="Q189" i="16"/>
  <c r="AD188" i="16"/>
  <c r="Q188" i="16"/>
  <c r="Q187" i="16"/>
  <c r="Q186" i="16"/>
  <c r="AD185" i="16"/>
  <c r="Q185" i="16"/>
  <c r="AD184" i="16"/>
  <c r="Q184" i="16"/>
  <c r="Q183" i="16"/>
  <c r="AD182" i="16"/>
  <c r="Q182" i="16"/>
  <c r="Q181" i="16"/>
  <c r="AD180" i="16"/>
  <c r="AF180" i="16" s="1"/>
  <c r="Q180" i="16"/>
  <c r="AD179" i="16"/>
  <c r="Q179" i="16"/>
  <c r="AD178" i="16"/>
  <c r="AF178" i="16" s="1"/>
  <c r="Q178" i="16"/>
  <c r="Q177" i="16"/>
  <c r="AD176" i="16"/>
  <c r="AF176" i="16" s="1"/>
  <c r="Q176" i="16"/>
  <c r="AD175" i="16"/>
  <c r="AF175" i="16" s="1"/>
  <c r="Q175" i="16"/>
  <c r="AD174" i="16"/>
  <c r="Q174" i="16"/>
  <c r="AD173" i="16"/>
  <c r="Q173" i="16"/>
  <c r="Q172" i="16"/>
  <c r="Q171" i="16"/>
  <c r="Q170" i="16"/>
  <c r="AD169" i="16"/>
  <c r="Q169" i="16"/>
  <c r="AD168" i="16"/>
  <c r="Q168" i="16"/>
  <c r="AD167" i="16"/>
  <c r="AF167" i="16" s="1"/>
  <c r="Q167" i="16"/>
  <c r="Q166" i="16"/>
  <c r="AD165" i="16"/>
  <c r="Q165" i="16"/>
  <c r="AD164" i="16"/>
  <c r="AF164" i="16" s="1"/>
  <c r="Q164" i="16"/>
  <c r="Q163" i="16"/>
  <c r="Q162" i="16"/>
  <c r="AD161" i="16"/>
  <c r="Q161" i="16"/>
  <c r="Q160" i="16"/>
  <c r="Q159" i="16"/>
  <c r="AD158" i="16"/>
  <c r="Q158" i="16"/>
  <c r="AD157" i="16"/>
  <c r="AF157" i="16" s="1"/>
  <c r="Q157" i="16"/>
  <c r="AD153" i="16"/>
  <c r="AF153" i="16" s="1"/>
  <c r="AC153" i="16" a="1"/>
  <c r="AC153" i="16" s="1"/>
  <c r="AB153" i="16" a="1"/>
  <c r="AB153" i="16" s="1"/>
  <c r="Z153" i="16" a="1"/>
  <c r="Z153" i="16" s="1"/>
  <c r="Y153" i="16" a="1"/>
  <c r="Y153" i="16" s="1"/>
  <c r="X153" i="16" a="1"/>
  <c r="X153" i="16" s="1"/>
  <c r="W153" i="16" a="1"/>
  <c r="W153" i="16" s="1"/>
  <c r="V153" i="16" a="1"/>
  <c r="V153" i="16" s="1"/>
  <c r="U153" i="16" a="1"/>
  <c r="U153" i="16" s="1"/>
  <c r="T153" i="16" a="1"/>
  <c r="T153" i="16" s="1"/>
  <c r="S153" i="16" a="1"/>
  <c r="S153" i="16" s="1"/>
  <c r="R153" i="16" a="1"/>
  <c r="R153" i="16" s="1"/>
  <c r="Q153" i="16"/>
  <c r="AA153" i="16" s="1" a="1"/>
  <c r="AA153" i="16" s="1"/>
  <c r="AD152" i="16"/>
  <c r="AF152" i="16" s="1"/>
  <c r="AC152" i="16" a="1"/>
  <c r="AC152" i="16" s="1"/>
  <c r="AB152" i="16" a="1"/>
  <c r="AB152" i="16" s="1"/>
  <c r="Z152" i="16" a="1"/>
  <c r="Z152" i="16" s="1"/>
  <c r="Y152" i="16" a="1"/>
  <c r="Y152" i="16" s="1"/>
  <c r="X152" i="16" a="1"/>
  <c r="X152" i="16" s="1"/>
  <c r="W152" i="16" a="1"/>
  <c r="W152" i="16" s="1"/>
  <c r="V152" i="16" a="1"/>
  <c r="V152" i="16" s="1"/>
  <c r="U152" i="16" a="1"/>
  <c r="U152" i="16" s="1"/>
  <c r="T152" i="16" a="1"/>
  <c r="T152" i="16" s="1"/>
  <c r="S152" i="16" a="1"/>
  <c r="S152" i="16" s="1"/>
  <c r="R152" i="16" a="1"/>
  <c r="R152" i="16" s="1"/>
  <c r="Q152" i="16"/>
  <c r="AA152" i="16" s="1" a="1"/>
  <c r="AA152" i="16" s="1"/>
  <c r="AD151" i="16"/>
  <c r="AF151" i="16" s="1"/>
  <c r="AA151" i="16" a="1"/>
  <c r="AA151" i="16" s="1"/>
  <c r="Z151" i="16" a="1"/>
  <c r="Z151" i="16" s="1"/>
  <c r="Y151" i="16" a="1"/>
  <c r="Y151" i="16" s="1"/>
  <c r="X151" i="16" a="1"/>
  <c r="X151" i="16" s="1"/>
  <c r="W151" i="16" a="1"/>
  <c r="W151" i="16" s="1"/>
  <c r="T151" i="16" a="1"/>
  <c r="T151" i="16" s="1"/>
  <c r="S151" i="16" a="1"/>
  <c r="S151" i="16" s="1"/>
  <c r="Q151" i="16"/>
  <c r="AD150" i="16"/>
  <c r="AF150" i="16" s="1"/>
  <c r="AA150" i="16" a="1"/>
  <c r="AA150" i="16" s="1"/>
  <c r="Z150" i="16" a="1"/>
  <c r="Z150" i="16" s="1"/>
  <c r="Y150" i="16" a="1"/>
  <c r="Y150" i="16" s="1"/>
  <c r="X150" i="16" a="1"/>
  <c r="X150" i="16" s="1"/>
  <c r="W150" i="16" a="1"/>
  <c r="W150" i="16" s="1"/>
  <c r="V150" i="16" a="1"/>
  <c r="V150" i="16"/>
  <c r="U150" i="16" a="1"/>
  <c r="U150" i="16" s="1"/>
  <c r="S150" i="16" a="1"/>
  <c r="S150" i="16" s="1"/>
  <c r="Q150" i="16"/>
  <c r="AA149" i="16" a="1"/>
  <c r="AA149" i="16" s="1"/>
  <c r="Z149" i="16" a="1"/>
  <c r="Z149" i="16" s="1"/>
  <c r="X149" i="16" a="1"/>
  <c r="X149" i="16" s="1"/>
  <c r="W149" i="16" a="1"/>
  <c r="W149" i="16" s="1"/>
  <c r="V149" i="16" a="1"/>
  <c r="V149" i="16" s="1"/>
  <c r="U149" i="16" a="1"/>
  <c r="U149" i="16" s="1"/>
  <c r="T149" i="16" a="1"/>
  <c r="T149" i="16" s="1"/>
  <c r="Q149" i="16"/>
  <c r="Y149" i="16" s="1" a="1"/>
  <c r="Y149" i="16" s="1"/>
  <c r="AB148" i="16" a="1"/>
  <c r="AB148" i="16" s="1"/>
  <c r="Z148" i="16" a="1"/>
  <c r="Z148" i="16" s="1"/>
  <c r="X148" i="16" a="1"/>
  <c r="X148" i="16" s="1"/>
  <c r="W148" i="16" a="1"/>
  <c r="W148" i="16" s="1"/>
  <c r="V148" i="16" a="1"/>
  <c r="V148" i="16" s="1"/>
  <c r="U148" i="16" a="1"/>
  <c r="U148" i="16" s="1"/>
  <c r="T148" i="16" a="1"/>
  <c r="T148" i="16" s="1"/>
  <c r="Q148" i="16"/>
  <c r="AC147" i="16" a="1"/>
  <c r="AC147" i="16" s="1"/>
  <c r="AB147" i="16" a="1"/>
  <c r="AB147" i="16" s="1"/>
  <c r="U147" i="16" a="1"/>
  <c r="U147" i="16" s="1"/>
  <c r="Q147" i="16"/>
  <c r="AA147" i="16" s="1" a="1"/>
  <c r="AA147" i="16" s="1"/>
  <c r="AB146" i="16" a="1"/>
  <c r="AB146" i="16" s="1"/>
  <c r="AA146" i="16" a="1"/>
  <c r="AA146" i="16" s="1"/>
  <c r="Z146" i="16" a="1"/>
  <c r="Z146" i="16" s="1"/>
  <c r="X146" i="16" a="1"/>
  <c r="X146" i="16" s="1"/>
  <c r="W146" i="16" a="1"/>
  <c r="W146" i="16" s="1"/>
  <c r="V146" i="16" a="1"/>
  <c r="V146" i="16" s="1"/>
  <c r="U146" i="16" a="1"/>
  <c r="U146" i="16" s="1"/>
  <c r="T146" i="16" a="1"/>
  <c r="T146" i="16" s="1"/>
  <c r="S146" i="16" a="1"/>
  <c r="S146" i="16" s="1"/>
  <c r="Q146" i="16"/>
  <c r="Y146" i="16" s="1" a="1"/>
  <c r="Y146" i="16" s="1"/>
  <c r="AC145" i="16" a="1"/>
  <c r="AC145" i="16" s="1"/>
  <c r="AB145" i="16" a="1"/>
  <c r="AB145" i="16" s="1"/>
  <c r="AA145" i="16" a="1"/>
  <c r="AA145" i="16" s="1"/>
  <c r="V145" i="16" a="1"/>
  <c r="V145" i="16" s="1"/>
  <c r="R145" i="16" a="1"/>
  <c r="R145" i="16" s="1"/>
  <c r="Q145" i="16"/>
  <c r="W144" i="16" a="1"/>
  <c r="W144" i="16" s="1"/>
  <c r="Q144" i="16"/>
  <c r="Q143" i="16"/>
  <c r="Y142" i="16" a="1"/>
  <c r="Y142" i="16" s="1"/>
  <c r="X142" i="16" a="1"/>
  <c r="X142" i="16" s="1"/>
  <c r="R142" i="16" a="1"/>
  <c r="R142" i="16" s="1"/>
  <c r="Q142" i="16"/>
  <c r="AD141" i="16"/>
  <c r="AF141" i="16" s="1"/>
  <c r="Z141" i="16" a="1"/>
  <c r="Z141" i="16" s="1"/>
  <c r="U141" i="16" a="1"/>
  <c r="U141" i="16" s="1"/>
  <c r="T141" i="16" a="1"/>
  <c r="T141" i="16" s="1"/>
  <c r="S141" i="16" a="1"/>
  <c r="S141" i="16" s="1"/>
  <c r="R141" i="16" a="1"/>
  <c r="R141" i="16" s="1"/>
  <c r="Q141" i="16"/>
  <c r="AC140" i="16" a="1"/>
  <c r="AC140" i="16" s="1"/>
  <c r="AB140" i="16" a="1"/>
  <c r="AB140" i="16" s="1"/>
  <c r="Z140" i="16" a="1"/>
  <c r="Z140" i="16" s="1"/>
  <c r="Y140" i="16" a="1"/>
  <c r="Y140" i="16" s="1"/>
  <c r="S140" i="16" a="1"/>
  <c r="S140" i="16" s="1"/>
  <c r="Q140" i="16"/>
  <c r="AD140" i="16" s="1"/>
  <c r="AD139" i="16"/>
  <c r="AC139" i="16" a="1"/>
  <c r="AC139" i="16" s="1"/>
  <c r="AA139" i="16" a="1"/>
  <c r="AA139" i="16" s="1"/>
  <c r="Z139" i="16" a="1"/>
  <c r="Z139" i="16" s="1"/>
  <c r="Y139" i="16" a="1"/>
  <c r="Y139" i="16" s="1"/>
  <c r="W139" i="16" a="1"/>
  <c r="W139" i="16" s="1"/>
  <c r="V139" i="16" a="1"/>
  <c r="V139" i="16" s="1"/>
  <c r="T139" i="16" a="1"/>
  <c r="T139" i="16" s="1"/>
  <c r="S139" i="16" a="1"/>
  <c r="S139" i="16" s="1"/>
  <c r="R139" i="16" a="1"/>
  <c r="R139" i="16" s="1"/>
  <c r="Q139" i="16"/>
  <c r="AD138" i="16"/>
  <c r="AF138" i="16" s="1"/>
  <c r="AC138" i="16" a="1"/>
  <c r="AC138" i="16" s="1"/>
  <c r="AB138" i="16" a="1"/>
  <c r="AB138" i="16" s="1"/>
  <c r="AA138" i="16" a="1"/>
  <c r="AA138" i="16" s="1"/>
  <c r="Z138" i="16" a="1"/>
  <c r="Z138" i="16" s="1"/>
  <c r="Y138" i="16" a="1"/>
  <c r="Y138" i="16" s="1"/>
  <c r="X138" i="16" a="1"/>
  <c r="X138" i="16" s="1"/>
  <c r="W138" i="16" a="1"/>
  <c r="W138" i="16" s="1"/>
  <c r="V138" i="16" a="1"/>
  <c r="V138" i="16" s="1"/>
  <c r="T138" i="16" a="1"/>
  <c r="T138" i="16" s="1"/>
  <c r="S138" i="16" a="1"/>
  <c r="S138" i="16" s="1"/>
  <c r="R138" i="16" a="1"/>
  <c r="R138" i="16" s="1"/>
  <c r="Q138" i="16"/>
  <c r="U138" i="16" s="1" a="1"/>
  <c r="U138" i="16" s="1"/>
  <c r="Q137" i="16"/>
  <c r="AB136" i="16" a="1"/>
  <c r="AB136" i="16" s="1"/>
  <c r="X136" i="16" a="1"/>
  <c r="X136" i="16" s="1"/>
  <c r="W136" i="16" a="1"/>
  <c r="W136" i="16" s="1"/>
  <c r="U136" i="16" a="1"/>
  <c r="U136" i="16" s="1"/>
  <c r="Q136" i="16"/>
  <c r="X135" i="16" a="1"/>
  <c r="X135" i="16" s="1"/>
  <c r="W135" i="16" a="1"/>
  <c r="W135" i="16" s="1"/>
  <c r="R135" i="16" a="1"/>
  <c r="R135" i="16" s="1"/>
  <c r="Q135" i="16"/>
  <c r="V134" i="16" a="1"/>
  <c r="V134" i="16" s="1"/>
  <c r="U134" i="16" a="1"/>
  <c r="U134" i="16" s="1"/>
  <c r="T134" i="16" a="1"/>
  <c r="T134" i="16" s="1"/>
  <c r="Q134" i="16"/>
  <c r="AD133" i="16"/>
  <c r="AF133" i="16" s="1"/>
  <c r="AC133" i="16" a="1"/>
  <c r="AC133" i="16" s="1"/>
  <c r="AB133" i="16" a="1"/>
  <c r="AB133" i="16"/>
  <c r="Z133" i="16" a="1"/>
  <c r="Z133" i="16" s="1"/>
  <c r="Y133" i="16" a="1"/>
  <c r="Y133" i="16" s="1"/>
  <c r="X133" i="16" a="1"/>
  <c r="X133" i="16" s="1"/>
  <c r="W133" i="16" a="1"/>
  <c r="W133" i="16" s="1"/>
  <c r="V133" i="16" a="1"/>
  <c r="V133" i="16" s="1"/>
  <c r="U133" i="16" a="1"/>
  <c r="U133" i="16" s="1"/>
  <c r="T133" i="16" a="1"/>
  <c r="T133" i="16" s="1"/>
  <c r="S133" i="16" a="1"/>
  <c r="S133" i="16" s="1"/>
  <c r="R133" i="16" a="1"/>
  <c r="R133" i="16" s="1"/>
  <c r="Q133" i="16"/>
  <c r="AA133" i="16" s="1" a="1"/>
  <c r="AA133" i="16" s="1"/>
  <c r="AD132" i="16"/>
  <c r="AF132" i="16" s="1"/>
  <c r="AA132" i="16" a="1"/>
  <c r="AA132" i="16" s="1"/>
  <c r="Z132" i="16" a="1"/>
  <c r="Z132" i="16" s="1"/>
  <c r="Y132" i="16" a="1"/>
  <c r="Y132" i="16" s="1"/>
  <c r="X132" i="16" a="1"/>
  <c r="X132" i="16" s="1"/>
  <c r="W132" i="16" a="1"/>
  <c r="W132" i="16" s="1"/>
  <c r="V132" i="16" a="1"/>
  <c r="V132" i="16" s="1"/>
  <c r="U132" i="16" a="1"/>
  <c r="U132" i="16" s="1"/>
  <c r="T132" i="16" a="1"/>
  <c r="T132" i="16" s="1"/>
  <c r="S132" i="16" a="1"/>
  <c r="S132" i="16" s="1"/>
  <c r="Q132" i="16"/>
  <c r="AC132" i="16" s="1" a="1"/>
  <c r="AC132" i="16" s="1"/>
  <c r="AD131" i="16"/>
  <c r="AF131" i="16" s="1"/>
  <c r="AC131" i="16" a="1"/>
  <c r="AC131" i="16" s="1"/>
  <c r="AA131" i="16" a="1"/>
  <c r="AA131" i="16" s="1"/>
  <c r="Z131" i="16" a="1"/>
  <c r="Z131" i="16" s="1"/>
  <c r="Y131" i="16" a="1"/>
  <c r="Y131" i="16" s="1"/>
  <c r="X131" i="16" a="1"/>
  <c r="X131" i="16" s="1"/>
  <c r="W131" i="16" a="1"/>
  <c r="W131" i="16" s="1"/>
  <c r="V131" i="16" a="1"/>
  <c r="V131" i="16" s="1"/>
  <c r="U131" i="16" a="1"/>
  <c r="U131" i="16" s="1"/>
  <c r="T131" i="16" a="1"/>
  <c r="T131" i="16" s="1"/>
  <c r="S131" i="16" a="1"/>
  <c r="S131" i="16" s="1"/>
  <c r="Q131" i="16"/>
  <c r="AD130" i="16"/>
  <c r="AF130" i="16" s="1"/>
  <c r="AC130" i="16" a="1"/>
  <c r="AC130" i="16" s="1"/>
  <c r="AB130" i="16" a="1"/>
  <c r="AB130" i="16" s="1"/>
  <c r="AA130" i="16" a="1"/>
  <c r="AA130" i="16" s="1"/>
  <c r="Z130" i="16" a="1"/>
  <c r="Z130" i="16"/>
  <c r="Y130" i="16" a="1"/>
  <c r="Y130" i="16" s="1"/>
  <c r="X130" i="16" a="1"/>
  <c r="X130" i="16" s="1"/>
  <c r="W130" i="16" a="1"/>
  <c r="W130" i="16" s="1"/>
  <c r="V130" i="16" a="1"/>
  <c r="V130" i="16" s="1"/>
  <c r="U130" i="16" a="1"/>
  <c r="U130" i="16" s="1"/>
  <c r="T130" i="16" a="1"/>
  <c r="T130" i="16" s="1"/>
  <c r="S130" i="16" a="1"/>
  <c r="S130" i="16" s="1"/>
  <c r="R130" i="16" a="1"/>
  <c r="R130" i="16" s="1"/>
  <c r="Q130" i="16"/>
  <c r="AD129" i="16"/>
  <c r="AB129" i="16" a="1"/>
  <c r="AB129" i="16" s="1"/>
  <c r="Y129" i="16" a="1"/>
  <c r="Y129" i="16" s="1"/>
  <c r="X129" i="16" a="1"/>
  <c r="X129" i="16" s="1"/>
  <c r="V129" i="16" a="1"/>
  <c r="V129" i="16" s="1"/>
  <c r="R129" i="16" a="1"/>
  <c r="R129" i="16" s="1"/>
  <c r="Q129" i="16"/>
  <c r="Y128" i="16" a="1"/>
  <c r="Y128" i="16" s="1"/>
  <c r="X128" i="16" a="1"/>
  <c r="X128" i="16" s="1"/>
  <c r="S128" i="16" a="1"/>
  <c r="S128" i="16" s="1"/>
  <c r="Q128" i="16"/>
  <c r="AC127" i="16" a="1"/>
  <c r="AC127" i="16" s="1"/>
  <c r="AB127" i="16" a="1"/>
  <c r="AB127" i="16" s="1"/>
  <c r="AA127" i="16" a="1"/>
  <c r="AA127" i="16" s="1"/>
  <c r="X127" i="16" a="1"/>
  <c r="X127" i="16" s="1"/>
  <c r="S127" i="16" a="1"/>
  <c r="S127" i="16" s="1"/>
  <c r="Q127" i="16"/>
  <c r="AA126" i="16" a="1"/>
  <c r="AA126" i="16" s="1"/>
  <c r="Z126" i="16" a="1"/>
  <c r="Z126" i="16" s="1"/>
  <c r="X126" i="16" a="1"/>
  <c r="X126" i="16" s="1"/>
  <c r="W126" i="16" a="1"/>
  <c r="W126" i="16" s="1"/>
  <c r="V126" i="16" a="1"/>
  <c r="V126" i="16" s="1"/>
  <c r="U126" i="16" a="1"/>
  <c r="U126" i="16" s="1"/>
  <c r="T126" i="16" a="1"/>
  <c r="T126" i="16" s="1"/>
  <c r="S126" i="16" a="1"/>
  <c r="S126" i="16" s="1"/>
  <c r="Q126" i="16"/>
  <c r="Y126" i="16" s="1" a="1"/>
  <c r="Y126" i="16" s="1"/>
  <c r="R125" i="16" a="1"/>
  <c r="R125" i="16" s="1"/>
  <c r="Q125" i="16"/>
  <c r="AD124" i="16"/>
  <c r="AF124" i="16" s="1"/>
  <c r="AA124" i="16" a="1"/>
  <c r="AA124" i="16" s="1"/>
  <c r="Z124" i="16" a="1"/>
  <c r="Z124" i="16" s="1"/>
  <c r="Y124" i="16" a="1"/>
  <c r="Y124" i="16" s="1"/>
  <c r="W124" i="16" a="1"/>
  <c r="W124" i="16" s="1"/>
  <c r="S124" i="16" a="1"/>
  <c r="S124" i="16" s="1"/>
  <c r="R124" i="16" a="1"/>
  <c r="R124" i="16" s="1"/>
  <c r="Q124" i="16"/>
  <c r="X124" i="16" s="1" a="1"/>
  <c r="X124" i="16" s="1"/>
  <c r="AD123" i="16"/>
  <c r="AC123" i="16" a="1"/>
  <c r="AC123" i="16" s="1"/>
  <c r="AB123" i="16" a="1"/>
  <c r="AB123" i="16" s="1"/>
  <c r="AA123" i="16" a="1"/>
  <c r="AA123" i="16" s="1"/>
  <c r="Z123" i="16" a="1"/>
  <c r="Z123" i="16" s="1"/>
  <c r="Y123" i="16" a="1"/>
  <c r="Y123" i="16" s="1"/>
  <c r="W123" i="16" a="1"/>
  <c r="W123" i="16" s="1"/>
  <c r="U123" i="16" a="1"/>
  <c r="U123" i="16" s="1"/>
  <c r="T123" i="16" a="1"/>
  <c r="T123" i="16" s="1"/>
  <c r="R123" i="16" a="1"/>
  <c r="R123" i="16" s="1"/>
  <c r="Q123" i="16"/>
  <c r="AC122" i="16" a="1"/>
  <c r="AC122" i="16" s="1"/>
  <c r="S122" i="16" a="1"/>
  <c r="S122" i="16" s="1"/>
  <c r="Q122" i="16"/>
  <c r="AD121" i="16"/>
  <c r="AF121" i="16" s="1"/>
  <c r="AC121" i="16" a="1"/>
  <c r="AC121" i="16" s="1"/>
  <c r="AB121" i="16" a="1"/>
  <c r="AB121" i="16" s="1"/>
  <c r="AA121" i="16" a="1"/>
  <c r="AA121" i="16" s="1"/>
  <c r="Z121" i="16" a="1"/>
  <c r="Z121" i="16" s="1"/>
  <c r="U121" i="16" a="1"/>
  <c r="U121" i="16" s="1"/>
  <c r="R121" i="16" a="1"/>
  <c r="R121" i="16" s="1"/>
  <c r="Q121" i="16"/>
  <c r="AD120" i="16"/>
  <c r="AF120" i="16" s="1"/>
  <c r="AA120" i="16" a="1"/>
  <c r="AA120" i="16" s="1"/>
  <c r="Z120" i="16" a="1"/>
  <c r="Z120" i="16" s="1"/>
  <c r="Y120" i="16" a="1"/>
  <c r="Y120" i="16" s="1"/>
  <c r="X120" i="16" a="1"/>
  <c r="X120" i="16" s="1"/>
  <c r="S120" i="16" a="1"/>
  <c r="S120" i="16" s="1"/>
  <c r="Q120" i="16"/>
  <c r="V120" i="16" s="1" a="1"/>
  <c r="V120" i="16" s="1"/>
  <c r="AC119" i="16" a="1"/>
  <c r="AC119" i="16" s="1"/>
  <c r="Y119" i="16" a="1"/>
  <c r="Y119" i="16" s="1"/>
  <c r="Q119" i="16"/>
  <c r="AC118" i="16" a="1"/>
  <c r="AC118" i="16" s="1"/>
  <c r="AA118" i="16" a="1"/>
  <c r="AA118" i="16" s="1"/>
  <c r="Z118" i="16" a="1"/>
  <c r="Z118" i="16"/>
  <c r="Y118" i="16" a="1"/>
  <c r="Y118" i="16" s="1"/>
  <c r="X118" i="16" a="1"/>
  <c r="X118" i="16" s="1"/>
  <c r="V118" i="16" a="1"/>
  <c r="V118" i="16" s="1"/>
  <c r="U118" i="16" a="1"/>
  <c r="U118" i="16" s="1"/>
  <c r="T118" i="16" a="1"/>
  <c r="T118" i="16" s="1"/>
  <c r="R118" i="16" a="1"/>
  <c r="R118" i="16" s="1"/>
  <c r="Q118" i="16"/>
  <c r="W118" i="16" s="1" a="1"/>
  <c r="W118" i="16" s="1"/>
  <c r="AD117" i="16"/>
  <c r="AF117" i="16" s="1"/>
  <c r="AC117" i="16" a="1"/>
  <c r="AC117" i="16" s="1"/>
  <c r="AA117" i="16" a="1"/>
  <c r="AA117" i="16" s="1"/>
  <c r="Z117" i="16" a="1"/>
  <c r="Z117" i="16" s="1"/>
  <c r="Y117" i="16" a="1"/>
  <c r="Y117" i="16" s="1"/>
  <c r="W117" i="16" a="1"/>
  <c r="W117" i="16" s="1"/>
  <c r="V117" i="16" a="1"/>
  <c r="V117" i="16" s="1"/>
  <c r="U117" i="16" a="1"/>
  <c r="U117" i="16" s="1"/>
  <c r="T117" i="16" a="1"/>
  <c r="T117" i="16" s="1"/>
  <c r="S117" i="16" a="1"/>
  <c r="S117" i="16" s="1"/>
  <c r="R117" i="16" a="1"/>
  <c r="R117" i="16" s="1"/>
  <c r="Q117" i="16"/>
  <c r="X117" i="16" s="1" a="1"/>
  <c r="X117" i="16" s="1"/>
  <c r="W116" i="16" a="1"/>
  <c r="W116" i="16" s="1"/>
  <c r="T116" i="16" a="1"/>
  <c r="T116" i="16" s="1"/>
  <c r="S116" i="16" a="1"/>
  <c r="S116" i="16" s="1"/>
  <c r="Q116" i="16"/>
  <c r="AB115" i="16" a="1"/>
  <c r="AB115" i="16" s="1"/>
  <c r="AA115" i="16" a="1"/>
  <c r="AA115" i="16" s="1"/>
  <c r="U115" i="16" a="1"/>
  <c r="U115" i="16" s="1"/>
  <c r="S115" i="16" a="1"/>
  <c r="S115" i="16" s="1"/>
  <c r="Q115" i="16"/>
  <c r="AB114" i="16" a="1"/>
  <c r="AB114" i="16" s="1"/>
  <c r="Q114" i="16"/>
  <c r="AD113" i="16"/>
  <c r="AF113" i="16" s="1"/>
  <c r="AC113" i="16" a="1"/>
  <c r="AC113" i="16" s="1"/>
  <c r="AA113" i="16" a="1"/>
  <c r="AA113" i="16" s="1"/>
  <c r="Y113" i="16" a="1"/>
  <c r="Y113" i="16" s="1"/>
  <c r="X113" i="16" a="1"/>
  <c r="X113" i="16" s="1"/>
  <c r="W113" i="16" a="1"/>
  <c r="W113" i="16" s="1"/>
  <c r="V113" i="16" a="1"/>
  <c r="V113" i="16" s="1"/>
  <c r="S113" i="16" a="1"/>
  <c r="S113" i="16"/>
  <c r="R113" i="16" a="1"/>
  <c r="R113" i="16" s="1"/>
  <c r="Q113" i="16"/>
  <c r="Z113" i="16" s="1" a="1"/>
  <c r="Z113" i="16" s="1"/>
  <c r="AB112" i="16" a="1"/>
  <c r="AB112" i="16" s="1"/>
  <c r="X112" i="16" a="1"/>
  <c r="X112" i="16" s="1"/>
  <c r="W112" i="16" a="1"/>
  <c r="W112" i="16" s="1"/>
  <c r="V112" i="16" a="1"/>
  <c r="V112" i="16" s="1"/>
  <c r="Q112" i="16"/>
  <c r="AD111" i="16"/>
  <c r="AF111" i="16" s="1"/>
  <c r="AC111" i="16" a="1"/>
  <c r="AC111" i="16" s="1"/>
  <c r="AB111" i="16" a="1"/>
  <c r="AB111" i="16" s="1"/>
  <c r="Z111" i="16" a="1"/>
  <c r="Z111" i="16" s="1"/>
  <c r="Y111" i="16" a="1"/>
  <c r="Y111" i="16" s="1"/>
  <c r="X111" i="16" a="1"/>
  <c r="X111" i="16" s="1"/>
  <c r="W111" i="16" a="1"/>
  <c r="W111" i="16" s="1"/>
  <c r="V111" i="16" a="1"/>
  <c r="V111" i="16" s="1"/>
  <c r="U111" i="16" a="1"/>
  <c r="U111" i="16" s="1"/>
  <c r="T111" i="16" a="1"/>
  <c r="T111" i="16" s="1"/>
  <c r="S111" i="16" a="1"/>
  <c r="S111" i="16" s="1"/>
  <c r="R111" i="16" a="1"/>
  <c r="R111" i="16" s="1"/>
  <c r="Q111" i="16"/>
  <c r="AA111" i="16" s="1" a="1"/>
  <c r="AA111" i="16" s="1"/>
  <c r="AD110" i="16"/>
  <c r="AF110" i="16" s="1"/>
  <c r="AC110" i="16" a="1"/>
  <c r="AC110" i="16" s="1"/>
  <c r="AB110" i="16" a="1"/>
  <c r="AB110" i="16" s="1"/>
  <c r="Z110" i="16" a="1"/>
  <c r="Z110" i="16" s="1"/>
  <c r="Y110" i="16" a="1"/>
  <c r="Y110" i="16" s="1"/>
  <c r="X110" i="16" a="1"/>
  <c r="X110" i="16" s="1"/>
  <c r="W110" i="16" a="1"/>
  <c r="W110" i="16" s="1"/>
  <c r="V110" i="16" a="1"/>
  <c r="V110" i="16" s="1"/>
  <c r="U110" i="16" a="1"/>
  <c r="U110" i="16" s="1"/>
  <c r="T110" i="16" a="1"/>
  <c r="T110" i="16" s="1"/>
  <c r="S110" i="16" a="1"/>
  <c r="S110" i="16" s="1"/>
  <c r="R110" i="16" a="1"/>
  <c r="R110" i="16" s="1"/>
  <c r="Q110" i="16"/>
  <c r="AA110" i="16" s="1" a="1"/>
  <c r="AA110" i="16" s="1"/>
  <c r="AA109" i="16" a="1"/>
  <c r="AA109" i="16" s="1"/>
  <c r="X109" i="16" a="1"/>
  <c r="X109" i="16" s="1"/>
  <c r="S109" i="16" a="1"/>
  <c r="S109" i="16" s="1"/>
  <c r="Q109" i="16"/>
  <c r="AD109" i="16" s="1"/>
  <c r="AF109" i="16" s="1"/>
  <c r="AD108" i="16"/>
  <c r="AC108" i="16" a="1"/>
  <c r="AC108" i="16" s="1"/>
  <c r="Q108" i="16"/>
  <c r="Z107" i="16" a="1"/>
  <c r="Z107" i="16" s="1"/>
  <c r="Y107" i="16" a="1"/>
  <c r="Y107" i="16" s="1"/>
  <c r="U107" i="16" a="1"/>
  <c r="U107" i="16" s="1"/>
  <c r="T107" i="16" a="1"/>
  <c r="T107" i="16" s="1"/>
  <c r="R107" i="16" a="1"/>
  <c r="R107" i="16" s="1"/>
  <c r="Q107" i="16"/>
  <c r="AC106" i="16" a="1"/>
  <c r="AC106" i="16" s="1"/>
  <c r="AB106" i="16" a="1"/>
  <c r="AB106" i="16" s="1"/>
  <c r="AA106" i="16" a="1"/>
  <c r="AA106" i="16" s="1"/>
  <c r="Z106" i="16" a="1"/>
  <c r="Z106" i="16" s="1"/>
  <c r="Y106" i="16" a="1"/>
  <c r="Y106" i="16" s="1"/>
  <c r="X106" i="16" a="1"/>
  <c r="X106" i="16" s="1"/>
  <c r="W106" i="16" a="1"/>
  <c r="W106" i="16" s="1"/>
  <c r="T106" i="16" a="1"/>
  <c r="T106" i="16" s="1"/>
  <c r="S106" i="16" a="1"/>
  <c r="S106" i="16" s="1"/>
  <c r="Q106" i="16"/>
  <c r="AD106" i="16" s="1"/>
  <c r="AF106" i="16" s="1"/>
  <c r="AD105" i="16"/>
  <c r="R105" i="16" a="1"/>
  <c r="R105" i="16" s="1"/>
  <c r="Q105" i="16"/>
  <c r="AC104" i="16" a="1"/>
  <c r="AC104" i="16" s="1"/>
  <c r="AB104" i="16" a="1"/>
  <c r="AB104" i="16" s="1"/>
  <c r="AA104" i="16" a="1"/>
  <c r="AA104" i="16" s="1"/>
  <c r="Z104" i="16" a="1"/>
  <c r="Z104" i="16" s="1"/>
  <c r="Y104" i="16" a="1"/>
  <c r="Y104" i="16" s="1"/>
  <c r="X104" i="16" a="1"/>
  <c r="X104" i="16" s="1"/>
  <c r="W104" i="16" a="1"/>
  <c r="W104" i="16" s="1"/>
  <c r="V104" i="16" a="1"/>
  <c r="V104" i="16" s="1"/>
  <c r="T104" i="16" a="1"/>
  <c r="T104" i="16" s="1"/>
  <c r="R104" i="16" a="1"/>
  <c r="R104" i="16" s="1"/>
  <c r="Q104" i="16"/>
  <c r="U104" i="16" s="1" a="1"/>
  <c r="U104" i="16" s="1"/>
  <c r="AB103" i="16" a="1"/>
  <c r="AB103" i="16" s="1"/>
  <c r="Z103" i="16" a="1"/>
  <c r="Z103" i="16" s="1"/>
  <c r="Y103" i="16" a="1"/>
  <c r="Y103" i="16" s="1"/>
  <c r="X103" i="16" a="1"/>
  <c r="X103" i="16" s="1"/>
  <c r="W103" i="16" a="1"/>
  <c r="W103" i="16" s="1"/>
  <c r="Q103" i="16"/>
  <c r="AA102" i="16" a="1"/>
  <c r="AA102" i="16" s="1"/>
  <c r="Z102" i="16" a="1"/>
  <c r="Z102" i="16" s="1"/>
  <c r="W102" i="16" a="1"/>
  <c r="W102" i="16" s="1"/>
  <c r="Q102" i="16"/>
  <c r="W101" i="16" a="1"/>
  <c r="W101" i="16" s="1"/>
  <c r="Q101" i="16"/>
  <c r="AB100" i="16" a="1"/>
  <c r="AB100" i="16" s="1"/>
  <c r="AA100" i="16" a="1"/>
  <c r="AA100" i="16" s="1"/>
  <c r="Z100" i="16" a="1"/>
  <c r="Z100" i="16" s="1"/>
  <c r="Y100" i="16" a="1"/>
  <c r="Y100" i="16" s="1"/>
  <c r="X100" i="16" a="1"/>
  <c r="X100" i="16" s="1"/>
  <c r="W100" i="16" a="1"/>
  <c r="W100" i="16" s="1"/>
  <c r="V100" i="16" a="1"/>
  <c r="V100" i="16" s="1"/>
  <c r="U100" i="16" a="1"/>
  <c r="U100" i="16" s="1"/>
  <c r="T100" i="16" a="1"/>
  <c r="T100" i="16" s="1"/>
  <c r="R100" i="16" a="1"/>
  <c r="R100" i="16" s="1"/>
  <c r="Q100" i="16"/>
  <c r="AD100" i="16" s="1"/>
  <c r="AF100" i="16" s="1"/>
  <c r="AD99" i="16"/>
  <c r="AF99" i="16" s="1"/>
  <c r="AB99" i="16" a="1"/>
  <c r="AB99" i="16" s="1"/>
  <c r="Z99" i="16" a="1"/>
  <c r="Z99" i="16" s="1"/>
  <c r="Y99" i="16" a="1"/>
  <c r="Y99" i="16" s="1"/>
  <c r="X99" i="16" a="1"/>
  <c r="X99" i="16" s="1"/>
  <c r="V99" i="16" a="1"/>
  <c r="V99" i="16" s="1"/>
  <c r="U99" i="16" a="1"/>
  <c r="U99" i="16" s="1"/>
  <c r="T99" i="16" a="1"/>
  <c r="T99" i="16" s="1"/>
  <c r="S99" i="16" a="1"/>
  <c r="S99" i="16" s="1"/>
  <c r="Q99" i="16"/>
  <c r="W99" i="16" s="1" a="1"/>
  <c r="W99" i="16" s="1"/>
  <c r="AD98" i="16"/>
  <c r="AF98" i="16" s="1"/>
  <c r="AC98" i="16" a="1"/>
  <c r="AC98" i="16" s="1"/>
  <c r="Z98" i="16" a="1"/>
  <c r="Z98" i="16" s="1"/>
  <c r="Y98" i="16" a="1"/>
  <c r="Y98" i="16" s="1"/>
  <c r="X98" i="16" a="1"/>
  <c r="X98" i="16" s="1"/>
  <c r="W98" i="16" a="1"/>
  <c r="W98" i="16" s="1"/>
  <c r="V98" i="16" a="1"/>
  <c r="V98" i="16" s="1"/>
  <c r="U98" i="16" a="1"/>
  <c r="U98" i="16" s="1"/>
  <c r="T98" i="16" a="1"/>
  <c r="T98" i="16" s="1"/>
  <c r="S98" i="16" a="1"/>
  <c r="S98" i="16" s="1"/>
  <c r="Q98" i="16"/>
  <c r="R98" i="16" s="1" a="1"/>
  <c r="R98" i="16" s="1"/>
  <c r="AD97" i="16"/>
  <c r="AF97" i="16" s="1"/>
  <c r="AC97" i="16" a="1"/>
  <c r="AC97" i="16" s="1"/>
  <c r="AA97" i="16" a="1"/>
  <c r="AA97" i="16" s="1"/>
  <c r="Z97" i="16" a="1"/>
  <c r="Z97" i="16" s="1"/>
  <c r="Y97" i="16" a="1"/>
  <c r="Y97" i="16" s="1"/>
  <c r="W97" i="16" a="1"/>
  <c r="W97" i="16" s="1"/>
  <c r="V97" i="16" a="1"/>
  <c r="V97" i="16" s="1"/>
  <c r="U97" i="16" a="1"/>
  <c r="U97" i="16" s="1"/>
  <c r="T97" i="16" a="1"/>
  <c r="T97" i="16" s="1"/>
  <c r="S97" i="16" a="1"/>
  <c r="S97" i="16" s="1"/>
  <c r="R97" i="16" a="1"/>
  <c r="R97" i="16" s="1"/>
  <c r="Q97" i="16"/>
  <c r="X97" i="16" s="1" a="1"/>
  <c r="X97" i="16" s="1"/>
  <c r="AD96" i="16"/>
  <c r="AF96" i="16" s="1"/>
  <c r="AC96" i="16" a="1"/>
  <c r="AC96" i="16" s="1"/>
  <c r="AB96" i="16" a="1"/>
  <c r="AB96" i="16" s="1"/>
  <c r="AA96" i="16" a="1"/>
  <c r="AA96" i="16" s="1"/>
  <c r="Z96" i="16" a="1"/>
  <c r="Z96" i="16" s="1"/>
  <c r="Y96" i="16" a="1"/>
  <c r="Y96" i="16" s="1"/>
  <c r="X96" i="16" a="1"/>
  <c r="X96" i="16" s="1"/>
  <c r="W96" i="16" a="1"/>
  <c r="W96" i="16" s="1"/>
  <c r="V96" i="16" a="1"/>
  <c r="V96" i="16" s="1"/>
  <c r="U96" i="16" a="1"/>
  <c r="U96" i="16" s="1"/>
  <c r="T96" i="16" a="1"/>
  <c r="T96" i="16" s="1"/>
  <c r="S96" i="16" a="1"/>
  <c r="S96" i="16" s="1"/>
  <c r="R96" i="16" a="1"/>
  <c r="R96" i="16" s="1"/>
  <c r="Q96" i="16"/>
  <c r="AD95" i="16"/>
  <c r="AC95" i="16" a="1"/>
  <c r="AC95" i="16" s="1"/>
  <c r="AB95" i="16" a="1"/>
  <c r="AB95" i="16" s="1"/>
  <c r="Z95" i="16" a="1"/>
  <c r="Z95" i="16" s="1"/>
  <c r="X95" i="16" a="1"/>
  <c r="X95" i="16" s="1"/>
  <c r="W95" i="16" a="1"/>
  <c r="W95" i="16" s="1"/>
  <c r="V95" i="16" a="1"/>
  <c r="V95" i="16" s="1"/>
  <c r="U95" i="16" a="1"/>
  <c r="U95" i="16" s="1"/>
  <c r="T95" i="16" a="1"/>
  <c r="T95" i="16" s="1"/>
  <c r="S95" i="16" a="1"/>
  <c r="S95" i="16" s="1"/>
  <c r="Q95" i="16"/>
  <c r="AD94" i="16"/>
  <c r="AF94" i="16" s="1"/>
  <c r="Q94" i="16"/>
  <c r="AD93" i="16"/>
  <c r="AC93" i="16" a="1"/>
  <c r="AC93" i="16" s="1"/>
  <c r="AB93" i="16" a="1"/>
  <c r="AB93" i="16" s="1"/>
  <c r="AA93" i="16" a="1"/>
  <c r="AA93" i="16" s="1"/>
  <c r="W93" i="16" a="1"/>
  <c r="W93" i="16" s="1"/>
  <c r="V93" i="16" a="1"/>
  <c r="V93" i="16" s="1"/>
  <c r="U93" i="16" a="1"/>
  <c r="U93" i="16" s="1"/>
  <c r="T93" i="16" a="1"/>
  <c r="T93" i="16" s="1"/>
  <c r="S93" i="16" a="1"/>
  <c r="S93" i="16" s="1"/>
  <c r="R93" i="16" a="1"/>
  <c r="R93" i="16" s="1"/>
  <c r="Q93" i="16"/>
  <c r="AD92" i="16"/>
  <c r="AF92" i="16" s="1"/>
  <c r="AC92" i="16" a="1"/>
  <c r="AC92" i="16" s="1"/>
  <c r="Z92" i="16" a="1"/>
  <c r="Z92" i="16" s="1"/>
  <c r="X92" i="16" a="1"/>
  <c r="X92" i="16" s="1"/>
  <c r="S92" i="16" a="1"/>
  <c r="S92" i="16" s="1"/>
  <c r="Q92" i="16"/>
  <c r="AD91" i="16"/>
  <c r="AF91" i="16" s="1"/>
  <c r="AC91" i="16" a="1"/>
  <c r="AC91" i="16" s="1"/>
  <c r="AB91" i="16" a="1"/>
  <c r="AB91" i="16" s="1"/>
  <c r="Z91" i="16" a="1"/>
  <c r="Z91" i="16" s="1"/>
  <c r="Y91" i="16" a="1"/>
  <c r="Y91" i="16" s="1"/>
  <c r="X91" i="16" a="1"/>
  <c r="X91" i="16" s="1"/>
  <c r="W91" i="16" a="1"/>
  <c r="W91" i="16" s="1"/>
  <c r="V91" i="16" a="1"/>
  <c r="V91" i="16" s="1"/>
  <c r="U91" i="16" a="1"/>
  <c r="U91" i="16" s="1"/>
  <c r="T91" i="16" a="1"/>
  <c r="T91" i="16" s="1"/>
  <c r="S91" i="16" a="1"/>
  <c r="S91" i="16" s="1"/>
  <c r="R91" i="16" a="1"/>
  <c r="R91" i="16" s="1"/>
  <c r="Q91" i="16"/>
  <c r="AA91" i="16" s="1" a="1"/>
  <c r="AA91" i="16" s="1"/>
  <c r="AD90" i="16"/>
  <c r="AF90" i="16" s="1"/>
  <c r="AC90" i="16" a="1"/>
  <c r="AC90" i="16" s="1"/>
  <c r="Z90" i="16" a="1"/>
  <c r="Z90" i="16" s="1"/>
  <c r="T90" i="16" a="1"/>
  <c r="T90" i="16" s="1"/>
  <c r="Q90" i="16"/>
  <c r="W89" i="16" a="1"/>
  <c r="W89" i="16" s="1"/>
  <c r="Q89" i="16"/>
  <c r="AD88" i="16"/>
  <c r="AC88" i="16" a="1"/>
  <c r="AC88" i="16" s="1"/>
  <c r="AB88" i="16" a="1"/>
  <c r="AB88" i="16" s="1"/>
  <c r="AA88" i="16" a="1"/>
  <c r="AA88" i="16" s="1"/>
  <c r="Z88" i="16" a="1"/>
  <c r="Z88" i="16" s="1"/>
  <c r="Y88" i="16" a="1"/>
  <c r="Y88" i="16" s="1"/>
  <c r="T88" i="16" a="1"/>
  <c r="T88" i="16" s="1"/>
  <c r="S88" i="16" a="1"/>
  <c r="S88" i="16" s="1"/>
  <c r="R88" i="16" a="1"/>
  <c r="R88" i="16" s="1"/>
  <c r="Q88" i="16"/>
  <c r="AB87" i="16" a="1"/>
  <c r="AB87" i="16" s="1"/>
  <c r="AA87" i="16" a="1"/>
  <c r="AA87" i="16" s="1"/>
  <c r="Z87" i="16" a="1"/>
  <c r="Z87" i="16" s="1"/>
  <c r="Y87" i="16" a="1"/>
  <c r="Y87" i="16" s="1"/>
  <c r="X87" i="16" a="1"/>
  <c r="X87" i="16" s="1"/>
  <c r="V87" i="16" a="1"/>
  <c r="V87" i="16" s="1"/>
  <c r="T87" i="16" a="1"/>
  <c r="T87" i="16" s="1"/>
  <c r="R87" i="16" a="1"/>
  <c r="R87" i="16" s="1"/>
  <c r="Q87" i="16"/>
  <c r="U86" i="16" a="1"/>
  <c r="U86" i="16" s="1"/>
  <c r="T86" i="16" a="1"/>
  <c r="T86" i="16" s="1"/>
  <c r="Q86" i="16"/>
  <c r="Q85" i="16"/>
  <c r="Z85" i="16" s="1" a="1"/>
  <c r="Z85" i="16" s="1"/>
  <c r="AD84" i="16"/>
  <c r="AF84" i="16" s="1"/>
  <c r="AC84" i="16" a="1"/>
  <c r="AC84" i="16" s="1"/>
  <c r="AB84" i="16" a="1"/>
  <c r="AB84" i="16" s="1"/>
  <c r="Q84" i="16"/>
  <c r="W84" i="16" s="1" a="1"/>
  <c r="W84" i="16" s="1"/>
  <c r="Q83" i="16"/>
  <c r="AD83" i="16" s="1"/>
  <c r="AF83" i="16" s="1"/>
  <c r="Q82" i="16"/>
  <c r="AB82" i="16" s="1" a="1"/>
  <c r="AB82" i="16" s="1"/>
  <c r="Q81" i="16"/>
  <c r="AB81" i="16" s="1" a="1"/>
  <c r="AB81" i="16" s="1"/>
  <c r="Z80" i="16" a="1"/>
  <c r="Z80" i="16" s="1"/>
  <c r="W80" i="16" a="1"/>
  <c r="W80" i="16" s="1"/>
  <c r="V80" i="16" a="1"/>
  <c r="V80" i="16" s="1"/>
  <c r="U80" i="16" a="1"/>
  <c r="U80" i="16" s="1"/>
  <c r="T80" i="16" a="1"/>
  <c r="T80" i="16" s="1"/>
  <c r="Q80" i="16"/>
  <c r="Y80" i="16" s="1" a="1"/>
  <c r="Y80" i="16" s="1"/>
  <c r="AB79" i="16" a="1"/>
  <c r="AB79" i="16" s="1"/>
  <c r="R79" i="16" a="1"/>
  <c r="R79" i="16" s="1"/>
  <c r="Q79" i="16"/>
  <c r="AD79" i="16" s="1"/>
  <c r="AF79" i="16" s="1"/>
  <c r="Q78" i="16"/>
  <c r="AD77" i="16"/>
  <c r="U77" i="16" a="1"/>
  <c r="U77" i="16" s="1"/>
  <c r="Q77" i="16"/>
  <c r="AA77" i="16" s="1" a="1"/>
  <c r="AA77" i="16" s="1"/>
  <c r="AD76" i="16"/>
  <c r="X76" i="16" a="1"/>
  <c r="X76" i="16" s="1"/>
  <c r="V76" i="16" a="1"/>
  <c r="V76" i="16" s="1"/>
  <c r="U76" i="16" a="1"/>
  <c r="U76" i="16" s="1"/>
  <c r="Q76" i="16"/>
  <c r="AA76" i="16" s="1" a="1"/>
  <c r="AA76" i="16" s="1"/>
  <c r="Q75" i="16"/>
  <c r="V75" i="16" s="1" a="1"/>
  <c r="V75" i="16" s="1"/>
  <c r="AD74" i="16"/>
  <c r="Q74" i="16"/>
  <c r="Q73" i="16"/>
  <c r="Q72" i="16"/>
  <c r="Q71" i="16"/>
  <c r="AD70" i="16"/>
  <c r="Q70" i="16"/>
  <c r="AD69" i="16"/>
  <c r="Q69" i="16"/>
  <c r="Q68" i="16"/>
  <c r="Q67" i="16"/>
  <c r="Q66" i="16"/>
  <c r="Q65" i="16"/>
  <c r="Q64" i="16"/>
  <c r="Q63" i="16"/>
  <c r="Q62" i="16"/>
  <c r="AD61" i="16"/>
  <c r="Q61" i="16"/>
  <c r="Q60" i="16"/>
  <c r="Q59" i="16"/>
  <c r="AD58" i="16"/>
  <c r="Q58" i="16"/>
  <c r="Q57" i="16"/>
  <c r="Q56" i="16"/>
  <c r="Q55" i="16"/>
  <c r="Q54" i="16"/>
  <c r="AD53" i="16"/>
  <c r="Q53" i="16"/>
  <c r="AD52" i="16"/>
  <c r="Q52" i="16"/>
  <c r="AD51" i="16"/>
  <c r="Q51" i="16"/>
  <c r="Q50" i="16"/>
  <c r="Q49" i="16"/>
  <c r="Q48" i="16"/>
  <c r="Q47" i="16"/>
  <c r="Q46" i="16"/>
  <c r="AD45" i="16"/>
  <c r="Q45" i="16"/>
  <c r="Q44" i="16"/>
  <c r="Q43" i="16"/>
  <c r="AD42" i="16"/>
  <c r="AF42" i="16" s="1"/>
  <c r="Q42" i="16"/>
  <c r="Q41" i="16"/>
  <c r="AD40" i="16"/>
  <c r="Q40" i="16"/>
  <c r="Q39" i="16"/>
  <c r="Q38" i="16"/>
  <c r="Q37" i="16"/>
  <c r="Q36" i="16"/>
  <c r="Q35" i="16"/>
  <c r="AD34" i="16"/>
  <c r="Q34" i="16"/>
  <c r="AD33" i="16"/>
  <c r="AF33" i="16" s="1"/>
  <c r="Q33" i="16"/>
  <c r="AD32" i="16"/>
  <c r="AF32" i="16" s="1"/>
  <c r="Q32" i="16"/>
  <c r="AD31" i="16"/>
  <c r="Q31" i="16"/>
  <c r="AD30" i="16"/>
  <c r="Q30" i="16"/>
  <c r="AD29" i="16"/>
  <c r="Q29" i="16"/>
  <c r="Q28" i="16"/>
  <c r="AD27" i="16"/>
  <c r="Q27" i="16"/>
  <c r="AD26" i="16"/>
  <c r="Q26" i="16"/>
  <c r="AD25" i="16"/>
  <c r="Q25" i="16"/>
  <c r="Q24" i="16"/>
  <c r="Q23" i="16"/>
  <c r="Q22" i="16"/>
  <c r="AD22" i="16" s="1"/>
  <c r="Q21" i="16"/>
  <c r="AD21" i="16" s="1"/>
  <c r="AD20" i="16"/>
  <c r="Q20" i="16"/>
  <c r="Q19" i="16"/>
  <c r="Q18" i="16"/>
  <c r="Q17" i="16"/>
  <c r="Q16" i="16"/>
  <c r="Q15" i="16"/>
  <c r="AD14" i="16"/>
  <c r="Q14" i="16"/>
  <c r="AD13" i="16"/>
  <c r="Q13" i="16"/>
  <c r="AD12" i="16"/>
  <c r="AF12" i="16" s="1"/>
  <c r="Q12" i="16"/>
  <c r="Q11" i="16"/>
  <c r="Q10" i="16"/>
  <c r="Q9" i="16"/>
  <c r="Q8" i="16"/>
  <c r="Q7" i="16"/>
  <c r="Q6" i="16"/>
  <c r="AD5" i="16"/>
  <c r="AF5" i="16" s="1"/>
  <c r="Q5" i="16"/>
  <c r="Q4" i="16"/>
  <c r="N1" i="16"/>
  <c r="AF153" i="15"/>
  <c r="AD153" i="15"/>
  <c r="AC153" i="15" a="1"/>
  <c r="AC153" i="15"/>
  <c r="AA153" i="15" a="1"/>
  <c r="AA153" i="15"/>
  <c r="Z153" i="15" a="1"/>
  <c r="Z153" i="15" s="1"/>
  <c r="Y153" i="15" a="1"/>
  <c r="Y153" i="15" s="1"/>
  <c r="X153" i="15" a="1"/>
  <c r="X153" i="15" s="1"/>
  <c r="W153" i="15"/>
  <c r="V153" i="15" a="1"/>
  <c r="V153" i="15" s="1"/>
  <c r="U153" i="15" a="1"/>
  <c r="U153" i="15"/>
  <c r="T153" i="15" a="1"/>
  <c r="T153" i="15"/>
  <c r="S153" i="15" a="1"/>
  <c r="S153" i="15" s="1"/>
  <c r="R153" i="15" a="1"/>
  <c r="R153" i="15"/>
  <c r="Q153" i="15"/>
  <c r="W153" i="15" s="1" a="1"/>
  <c r="AD152" i="15"/>
  <c r="AF152" i="15" s="1"/>
  <c r="AC152" i="15" a="1"/>
  <c r="AC152" i="15"/>
  <c r="AA152" i="15" a="1"/>
  <c r="AA152" i="15" s="1"/>
  <c r="Z152" i="15" a="1"/>
  <c r="Z152" i="15"/>
  <c r="Y152" i="15" a="1"/>
  <c r="Y152" i="15" s="1"/>
  <c r="V152" i="15" a="1"/>
  <c r="V152" i="15" s="1"/>
  <c r="U152" i="15" a="1"/>
  <c r="U152" i="15" s="1"/>
  <c r="T152" i="15" a="1"/>
  <c r="T152" i="15" s="1"/>
  <c r="S152" i="15" a="1"/>
  <c r="S152" i="15" s="1"/>
  <c r="R152" i="15" a="1"/>
  <c r="R152" i="15" s="1"/>
  <c r="Q152" i="15"/>
  <c r="X152" i="15" s="1" a="1"/>
  <c r="X152" i="15" s="1"/>
  <c r="Q151" i="15"/>
  <c r="AC150" i="15" a="1"/>
  <c r="AC150" i="15" s="1"/>
  <c r="AB150" i="15" a="1"/>
  <c r="AB150" i="15"/>
  <c r="AA150" i="15" a="1"/>
  <c r="AA150" i="15"/>
  <c r="Z150" i="15" a="1"/>
  <c r="Z150" i="15"/>
  <c r="W150" i="15" a="1"/>
  <c r="W150" i="15" s="1"/>
  <c r="U150" i="15" a="1"/>
  <c r="U150" i="15" s="1"/>
  <c r="S150" i="15" a="1"/>
  <c r="S150" i="15" s="1"/>
  <c r="R150" i="15" a="1"/>
  <c r="R150" i="15" s="1"/>
  <c r="Q150" i="15"/>
  <c r="AC149" i="15" a="1"/>
  <c r="AC149" i="15"/>
  <c r="AA149" i="15" a="1"/>
  <c r="AA149" i="15" s="1"/>
  <c r="Z149" i="15" a="1"/>
  <c r="Z149" i="15" s="1"/>
  <c r="Y149" i="15"/>
  <c r="X149" i="15" a="1"/>
  <c r="X149" i="15"/>
  <c r="W149" i="15" a="1"/>
  <c r="W149" i="15" s="1"/>
  <c r="T149" i="15" a="1"/>
  <c r="T149" i="15" s="1"/>
  <c r="R149" i="15" a="1"/>
  <c r="R149" i="15" s="1"/>
  <c r="Q149" i="15"/>
  <c r="Y149" i="15" s="1" a="1"/>
  <c r="AD148" i="15"/>
  <c r="AF148" i="15" s="1"/>
  <c r="AC148" i="15" a="1"/>
  <c r="AC148" i="15" s="1"/>
  <c r="AA148" i="15" a="1"/>
  <c r="AA148" i="15" s="1"/>
  <c r="Y148" i="15" a="1"/>
  <c r="Y148" i="15" s="1"/>
  <c r="X148" i="15" a="1"/>
  <c r="X148" i="15" s="1"/>
  <c r="W148" i="15" a="1"/>
  <c r="W148" i="15" s="1"/>
  <c r="V148" i="15" a="1"/>
  <c r="V148" i="15"/>
  <c r="U148" i="15" a="1"/>
  <c r="U148" i="15" s="1"/>
  <c r="T148" i="15" a="1"/>
  <c r="T148" i="15" s="1"/>
  <c r="S148" i="15" a="1"/>
  <c r="S148" i="15"/>
  <c r="R148" i="15" a="1"/>
  <c r="R148" i="15" s="1"/>
  <c r="Q148" i="15"/>
  <c r="Z148" i="15" s="1" a="1"/>
  <c r="Z148" i="15" s="1"/>
  <c r="V147" i="15" a="1"/>
  <c r="V147" i="15" s="1"/>
  <c r="U147" i="15" a="1"/>
  <c r="U147" i="15" s="1"/>
  <c r="T147" i="15" a="1"/>
  <c r="T147" i="15" s="1"/>
  <c r="Q147" i="15"/>
  <c r="AF146" i="15"/>
  <c r="AD146" i="15"/>
  <c r="AC146" i="15" a="1"/>
  <c r="AC146" i="15" s="1"/>
  <c r="AB146" i="15" a="1"/>
  <c r="AB146" i="15" s="1"/>
  <c r="Z146" i="15" a="1"/>
  <c r="Z146" i="15"/>
  <c r="Y146" i="15" a="1"/>
  <c r="Y146" i="15" s="1"/>
  <c r="X146" i="15" a="1"/>
  <c r="X146" i="15"/>
  <c r="W146" i="15" a="1"/>
  <c r="W146" i="15" s="1"/>
  <c r="V146" i="15" a="1"/>
  <c r="V146" i="15"/>
  <c r="U146" i="15" a="1"/>
  <c r="U146" i="15"/>
  <c r="T146" i="15" a="1"/>
  <c r="T146" i="15" s="1"/>
  <c r="S146" i="15" a="1"/>
  <c r="S146" i="15" s="1"/>
  <c r="R146" i="15" a="1"/>
  <c r="R146" i="15" s="1"/>
  <c r="Q146" i="15"/>
  <c r="AA146" i="15" s="1" a="1"/>
  <c r="AA146" i="15" s="1"/>
  <c r="AD145" i="15"/>
  <c r="AF145" i="15" s="1"/>
  <c r="AC145" i="15" a="1"/>
  <c r="AC145" i="15"/>
  <c r="AB145" i="15" a="1"/>
  <c r="AB145" i="15" s="1"/>
  <c r="Z145" i="15" a="1"/>
  <c r="Z145" i="15" s="1"/>
  <c r="Y145" i="15" a="1"/>
  <c r="Y145" i="15"/>
  <c r="X145" i="15" a="1"/>
  <c r="X145" i="15" s="1"/>
  <c r="W145" i="15" a="1"/>
  <c r="W145" i="15"/>
  <c r="V145" i="15" a="1"/>
  <c r="V145" i="15" s="1"/>
  <c r="U145" i="15" a="1"/>
  <c r="U145" i="15"/>
  <c r="T145" i="15" a="1"/>
  <c r="T145" i="15"/>
  <c r="S145" i="15" a="1"/>
  <c r="S145" i="15"/>
  <c r="R145" i="15" a="1"/>
  <c r="R145" i="15" s="1"/>
  <c r="Q145" i="15"/>
  <c r="AA145" i="15" s="1" a="1"/>
  <c r="AA145" i="15" s="1"/>
  <c r="Q144" i="15"/>
  <c r="AD143" i="15"/>
  <c r="AC143" i="15" a="1"/>
  <c r="AC143" i="15" s="1"/>
  <c r="AA143" i="15" a="1"/>
  <c r="AA143" i="15" s="1"/>
  <c r="Z143" i="15" a="1"/>
  <c r="Z143" i="15" s="1"/>
  <c r="Y143" i="15" a="1"/>
  <c r="Y143" i="15" s="1"/>
  <c r="V143" i="15" a="1"/>
  <c r="V143" i="15" s="1"/>
  <c r="Q143" i="15"/>
  <c r="Q142" i="15"/>
  <c r="AA141" i="15" a="1"/>
  <c r="AA141" i="15"/>
  <c r="Z141" i="15" a="1"/>
  <c r="Z141" i="15"/>
  <c r="Y141" i="15" a="1"/>
  <c r="Y141" i="15"/>
  <c r="X141" i="15" a="1"/>
  <c r="X141" i="15"/>
  <c r="W141" i="15" a="1"/>
  <c r="W141" i="15"/>
  <c r="V141" i="15" a="1"/>
  <c r="V141" i="15" s="1"/>
  <c r="R141" i="15" a="1"/>
  <c r="R141" i="15"/>
  <c r="Q141" i="15"/>
  <c r="AC140" i="15" a="1"/>
  <c r="AC140" i="15" s="1"/>
  <c r="AB140" i="15" a="1"/>
  <c r="AB140" i="15" s="1"/>
  <c r="AA140" i="15" a="1"/>
  <c r="AA140" i="15" s="1"/>
  <c r="Y140" i="15" a="1"/>
  <c r="Y140" i="15" s="1"/>
  <c r="X140" i="15" a="1"/>
  <c r="X140" i="15"/>
  <c r="W140" i="15" a="1"/>
  <c r="W140" i="15"/>
  <c r="V140" i="15" a="1"/>
  <c r="V140" i="15" s="1"/>
  <c r="Q140" i="15"/>
  <c r="AD139" i="15"/>
  <c r="AC139" i="15" a="1"/>
  <c r="AC139" i="15" s="1"/>
  <c r="AA139" i="15"/>
  <c r="Z139" i="15" a="1"/>
  <c r="Z139" i="15" s="1"/>
  <c r="Y139" i="15" a="1"/>
  <c r="Y139" i="15" s="1"/>
  <c r="X139" i="15" a="1"/>
  <c r="X139" i="15" s="1"/>
  <c r="W139" i="15" a="1"/>
  <c r="W139" i="15"/>
  <c r="V139" i="15" a="1"/>
  <c r="V139" i="15" s="1"/>
  <c r="U139" i="15" a="1"/>
  <c r="U139" i="15" s="1"/>
  <c r="S139" i="15" a="1"/>
  <c r="S139" i="15" s="1"/>
  <c r="R139" i="15" a="1"/>
  <c r="R139" i="15" s="1"/>
  <c r="Q139" i="15"/>
  <c r="AA139" i="15" s="1" a="1"/>
  <c r="AF138" i="15"/>
  <c r="AD138" i="15"/>
  <c r="AC138" i="15" a="1"/>
  <c r="AC138" i="15"/>
  <c r="AB138" i="15" a="1"/>
  <c r="AB138" i="15" s="1"/>
  <c r="Z138" i="15" a="1"/>
  <c r="Z138" i="15" s="1"/>
  <c r="Y138" i="15" a="1"/>
  <c r="Y138" i="15"/>
  <c r="X138" i="15" a="1"/>
  <c r="X138" i="15" s="1"/>
  <c r="V138" i="15" a="1"/>
  <c r="V138" i="15" s="1"/>
  <c r="T138" i="15" a="1"/>
  <c r="T138" i="15"/>
  <c r="S138" i="15" a="1"/>
  <c r="S138" i="15" s="1"/>
  <c r="R138" i="15" a="1"/>
  <c r="R138" i="15" s="1"/>
  <c r="Q138" i="15"/>
  <c r="AD137" i="15"/>
  <c r="X137" i="15" a="1"/>
  <c r="X137" i="15" s="1"/>
  <c r="R137" i="15" a="1"/>
  <c r="R137" i="15" s="1"/>
  <c r="Q137" i="15"/>
  <c r="AD136" i="15"/>
  <c r="AF136" i="15" s="1"/>
  <c r="AC136" i="15" a="1"/>
  <c r="AC136" i="15"/>
  <c r="X136" i="15" a="1"/>
  <c r="X136" i="15"/>
  <c r="U136" i="15" a="1"/>
  <c r="U136" i="15" s="1"/>
  <c r="S136" i="15" a="1"/>
  <c r="S136" i="15"/>
  <c r="R136" i="15" a="1"/>
  <c r="R136" i="15"/>
  <c r="Q136" i="15"/>
  <c r="AC135" i="15" a="1"/>
  <c r="AC135" i="15" s="1"/>
  <c r="AB135" i="15" a="1"/>
  <c r="AB135" i="15"/>
  <c r="AA135" i="15" a="1"/>
  <c r="AA135" i="15"/>
  <c r="Z135" i="15" a="1"/>
  <c r="Z135" i="15" s="1"/>
  <c r="W135" i="15" a="1"/>
  <c r="W135" i="15" s="1"/>
  <c r="V135" i="15" a="1"/>
  <c r="V135" i="15" s="1"/>
  <c r="T135" i="15" a="1"/>
  <c r="T135" i="15" s="1"/>
  <c r="S135" i="15" a="1"/>
  <c r="S135" i="15" s="1"/>
  <c r="Q135" i="15"/>
  <c r="AD135" i="15" s="1"/>
  <c r="AC134" i="15" a="1"/>
  <c r="AC134" i="15" s="1"/>
  <c r="AB134" i="15" a="1"/>
  <c r="AB134" i="15" s="1"/>
  <c r="AA134" i="15" a="1"/>
  <c r="AA134" i="15"/>
  <c r="Z134" i="15" a="1"/>
  <c r="Z134" i="15" s="1"/>
  <c r="Q134" i="15"/>
  <c r="AD133" i="15"/>
  <c r="AF133" i="15" s="1"/>
  <c r="R133" i="15" a="1"/>
  <c r="R133" i="15" s="1"/>
  <c r="Q133" i="15"/>
  <c r="AD132" i="15"/>
  <c r="AC132" i="15" a="1"/>
  <c r="AC132" i="15" s="1"/>
  <c r="AB132" i="15" a="1"/>
  <c r="AB132" i="15" s="1"/>
  <c r="AA132" i="15" a="1"/>
  <c r="AA132" i="15" s="1"/>
  <c r="Z132" i="15" a="1"/>
  <c r="Z132" i="15" s="1"/>
  <c r="Y132" i="15" a="1"/>
  <c r="Y132" i="15" s="1"/>
  <c r="U132" i="15" a="1"/>
  <c r="U132" i="15"/>
  <c r="S132" i="15" a="1"/>
  <c r="S132" i="15" s="1"/>
  <c r="Q132" i="15"/>
  <c r="AC131" i="15" a="1"/>
  <c r="AC131" i="15" s="1"/>
  <c r="AA131" i="15" a="1"/>
  <c r="AA131" i="15"/>
  <c r="Z131" i="15" a="1"/>
  <c r="Z131" i="15" s="1"/>
  <c r="Q131" i="15"/>
  <c r="AB130" i="15" a="1"/>
  <c r="AB130" i="15" s="1"/>
  <c r="AA130" i="15" a="1"/>
  <c r="AA130" i="15"/>
  <c r="Z130" i="15" a="1"/>
  <c r="Z130" i="15" s="1"/>
  <c r="Y130" i="15"/>
  <c r="X130" i="15" a="1"/>
  <c r="X130" i="15"/>
  <c r="W130" i="15" a="1"/>
  <c r="W130" i="15" s="1"/>
  <c r="T130" i="15" a="1"/>
  <c r="T130" i="15" s="1"/>
  <c r="R130" i="15" a="1"/>
  <c r="R130" i="15"/>
  <c r="Q130" i="15"/>
  <c r="Y130" i="15" s="1" a="1"/>
  <c r="AD129" i="15"/>
  <c r="Z129" i="15" a="1"/>
  <c r="Z129" i="15" s="1"/>
  <c r="X129" i="15" a="1"/>
  <c r="X129" i="15"/>
  <c r="W129" i="15" a="1"/>
  <c r="W129" i="15" s="1"/>
  <c r="Q129" i="15"/>
  <c r="AF129" i="15" s="1"/>
  <c r="Q128" i="15"/>
  <c r="AD127" i="15"/>
  <c r="AC127" i="15" a="1"/>
  <c r="AC127" i="15"/>
  <c r="AA127" i="15" a="1"/>
  <c r="AA127" i="15" s="1"/>
  <c r="Z127" i="15" a="1"/>
  <c r="Z127" i="15" s="1"/>
  <c r="Y127" i="15" a="1"/>
  <c r="Y127" i="15" s="1"/>
  <c r="X127" i="15" a="1"/>
  <c r="X127" i="15" s="1"/>
  <c r="W127" i="15" a="1"/>
  <c r="W127" i="15"/>
  <c r="V127" i="15" a="1"/>
  <c r="V127" i="15"/>
  <c r="U127" i="15" a="1"/>
  <c r="U127" i="15" s="1"/>
  <c r="T127" i="15" a="1"/>
  <c r="T127" i="15" s="1"/>
  <c r="S127" i="15" a="1"/>
  <c r="S127" i="15" s="1"/>
  <c r="R127" i="15" a="1"/>
  <c r="R127" i="15" s="1"/>
  <c r="Q127" i="15"/>
  <c r="AF126" i="15"/>
  <c r="AC126" i="15" a="1"/>
  <c r="AC126" i="15" s="1"/>
  <c r="AB126" i="15" a="1"/>
  <c r="AB126" i="15" s="1"/>
  <c r="Z126" i="15" a="1"/>
  <c r="Z126" i="15" s="1"/>
  <c r="Y126" i="15" a="1"/>
  <c r="Y126" i="15"/>
  <c r="X126" i="15" a="1"/>
  <c r="X126" i="15" s="1"/>
  <c r="W126" i="15" a="1"/>
  <c r="W126" i="15" s="1"/>
  <c r="V126" i="15" a="1"/>
  <c r="V126" i="15" s="1"/>
  <c r="U126" i="15" a="1"/>
  <c r="U126" i="15" s="1"/>
  <c r="T126" i="15" a="1"/>
  <c r="T126" i="15" s="1"/>
  <c r="S126" i="15" a="1"/>
  <c r="S126" i="15" s="1"/>
  <c r="R126" i="15" a="1"/>
  <c r="R126" i="15" s="1"/>
  <c r="Q126" i="15"/>
  <c r="AD126" i="15" s="1"/>
  <c r="AD125" i="15"/>
  <c r="AC125" i="15" a="1"/>
  <c r="AC125" i="15"/>
  <c r="Y125" i="15" a="1"/>
  <c r="Y125" i="15" s="1"/>
  <c r="X125" i="15" a="1"/>
  <c r="X125" i="15" s="1"/>
  <c r="Q125" i="15"/>
  <c r="AA125" i="15" s="1" a="1"/>
  <c r="AA125" i="15" s="1"/>
  <c r="AA124" i="15" a="1"/>
  <c r="AA124" i="15" s="1"/>
  <c r="Z124" i="15" a="1"/>
  <c r="Z124" i="15" s="1"/>
  <c r="Y124" i="15" a="1"/>
  <c r="Y124" i="15" s="1"/>
  <c r="X124" i="15" a="1"/>
  <c r="X124" i="15" s="1"/>
  <c r="W124" i="15" a="1"/>
  <c r="W124" i="15" s="1"/>
  <c r="V124" i="15" a="1"/>
  <c r="V124" i="15" s="1"/>
  <c r="U124" i="15" a="1"/>
  <c r="U124" i="15" s="1"/>
  <c r="T124" i="15" a="1"/>
  <c r="T124" i="15"/>
  <c r="Q124" i="15"/>
  <c r="AD124" i="15" s="1"/>
  <c r="AD123" i="15"/>
  <c r="AB123" i="15" a="1"/>
  <c r="AB123" i="15"/>
  <c r="AA123" i="15" a="1"/>
  <c r="AA123" i="15" s="1"/>
  <c r="X123" i="15" a="1"/>
  <c r="X123" i="15"/>
  <c r="T123" i="15" a="1"/>
  <c r="T123" i="15"/>
  <c r="R123" i="15" a="1"/>
  <c r="R123" i="15"/>
  <c r="Q123" i="15"/>
  <c r="AB122" i="15" a="1"/>
  <c r="AB122" i="15" s="1"/>
  <c r="AA122" i="15" a="1"/>
  <c r="AA122" i="15" s="1"/>
  <c r="Z122" i="15" a="1"/>
  <c r="Z122" i="15" s="1"/>
  <c r="Y122" i="15" a="1"/>
  <c r="Y122" i="15"/>
  <c r="X122" i="15" a="1"/>
  <c r="X122" i="15" s="1"/>
  <c r="R122" i="15" a="1"/>
  <c r="R122" i="15" s="1"/>
  <c r="Q122" i="15"/>
  <c r="AA121" i="15" a="1"/>
  <c r="AA121" i="15"/>
  <c r="Z121" i="15" a="1"/>
  <c r="Z121" i="15"/>
  <c r="Y121" i="15" a="1"/>
  <c r="Y121" i="15"/>
  <c r="X121" i="15" a="1"/>
  <c r="X121" i="15"/>
  <c r="U121" i="15" a="1"/>
  <c r="U121" i="15"/>
  <c r="S121" i="15" a="1"/>
  <c r="S121" i="15"/>
  <c r="R121" i="15" a="1"/>
  <c r="R121" i="15" s="1"/>
  <c r="Q121" i="15"/>
  <c r="AB121" i="15" s="1" a="1"/>
  <c r="AB121" i="15" s="1"/>
  <c r="Q120" i="15"/>
  <c r="AD119" i="15"/>
  <c r="AF119" i="15" s="1"/>
  <c r="AB119" i="15" a="1"/>
  <c r="AB119" i="15"/>
  <c r="AA119" i="15" a="1"/>
  <c r="AA119" i="15"/>
  <c r="Z119" i="15" a="1"/>
  <c r="Z119" i="15"/>
  <c r="Y119" i="15" a="1"/>
  <c r="Y119" i="15"/>
  <c r="V119" i="15" a="1"/>
  <c r="V119" i="15" s="1"/>
  <c r="R119" i="15" a="1"/>
  <c r="R119" i="15"/>
  <c r="Q119" i="15"/>
  <c r="AA118" i="15" a="1"/>
  <c r="AA118" i="15" s="1"/>
  <c r="Z118" i="15" a="1"/>
  <c r="Z118" i="15" s="1"/>
  <c r="Y118" i="15" a="1"/>
  <c r="Y118" i="15" s="1"/>
  <c r="X118" i="15" a="1"/>
  <c r="X118" i="15" s="1"/>
  <c r="W118" i="15" a="1"/>
  <c r="W118" i="15" s="1"/>
  <c r="V118" i="15" a="1"/>
  <c r="V118" i="15" s="1"/>
  <c r="U118" i="15" a="1"/>
  <c r="U118" i="15"/>
  <c r="T118" i="15" a="1"/>
  <c r="T118" i="15"/>
  <c r="Q118" i="15"/>
  <c r="AF117" i="15"/>
  <c r="AD117" i="15"/>
  <c r="AC117" i="15" a="1"/>
  <c r="AC117" i="15" s="1"/>
  <c r="Z117" i="15" a="1"/>
  <c r="Z117" i="15"/>
  <c r="W117" i="15" a="1"/>
  <c r="W117" i="15"/>
  <c r="V117" i="15" a="1"/>
  <c r="V117" i="15"/>
  <c r="U117" i="15" a="1"/>
  <c r="U117" i="15"/>
  <c r="T117" i="15" a="1"/>
  <c r="T117" i="15"/>
  <c r="S117" i="15" a="1"/>
  <c r="S117" i="15"/>
  <c r="R117" i="15" a="1"/>
  <c r="R117" i="15" s="1"/>
  <c r="Q117" i="15"/>
  <c r="AA117" i="15" s="1" a="1"/>
  <c r="AA117" i="15" s="1"/>
  <c r="AC116" i="15" a="1"/>
  <c r="AC116" i="15" s="1"/>
  <c r="AB116" i="15" a="1"/>
  <c r="AB116" i="15"/>
  <c r="U116" i="15" a="1"/>
  <c r="U116" i="15" s="1"/>
  <c r="T116" i="15" a="1"/>
  <c r="T116" i="15" s="1"/>
  <c r="S116" i="15" a="1"/>
  <c r="S116" i="15" s="1"/>
  <c r="R116" i="15" a="1"/>
  <c r="R116" i="15" s="1"/>
  <c r="Q116" i="15"/>
  <c r="AD115" i="15"/>
  <c r="AF115" i="15" s="1"/>
  <c r="AC115" i="15" a="1"/>
  <c r="AC115" i="15"/>
  <c r="AA115" i="15" a="1"/>
  <c r="AA115" i="15" s="1"/>
  <c r="V115" i="15" a="1"/>
  <c r="V115" i="15"/>
  <c r="T115" i="15" a="1"/>
  <c r="T115" i="15"/>
  <c r="S115" i="15" a="1"/>
  <c r="S115" i="15"/>
  <c r="R115" i="15" a="1"/>
  <c r="R115" i="15"/>
  <c r="Q115" i="15"/>
  <c r="Q114" i="15"/>
  <c r="AD113" i="15"/>
  <c r="AF113" i="15" s="1"/>
  <c r="AC113" i="15" a="1"/>
  <c r="AC113" i="15"/>
  <c r="AB113" i="15" a="1"/>
  <c r="AB113" i="15"/>
  <c r="AA113" i="15"/>
  <c r="Y113" i="15" a="1"/>
  <c r="Y113" i="15"/>
  <c r="X113" i="15" a="1"/>
  <c r="X113" i="15"/>
  <c r="W113" i="15" a="1"/>
  <c r="W113" i="15"/>
  <c r="V113" i="15" a="1"/>
  <c r="V113" i="15" s="1"/>
  <c r="U113" i="15" a="1"/>
  <c r="U113" i="15"/>
  <c r="T113" i="15" a="1"/>
  <c r="T113" i="15"/>
  <c r="S113" i="15" a="1"/>
  <c r="S113" i="15" s="1"/>
  <c r="R113" i="15" a="1"/>
  <c r="R113" i="15"/>
  <c r="Q113" i="15"/>
  <c r="AA113" i="15" s="1" a="1"/>
  <c r="X112" i="15" a="1"/>
  <c r="X112" i="15" s="1"/>
  <c r="V112" i="15" a="1"/>
  <c r="V112" i="15"/>
  <c r="U112" i="15" a="1"/>
  <c r="U112" i="15" s="1"/>
  <c r="R112" i="15" a="1"/>
  <c r="R112" i="15" s="1"/>
  <c r="Q112" i="15"/>
  <c r="T112" i="15" s="1" a="1"/>
  <c r="T112" i="15" s="1"/>
  <c r="AF111" i="15"/>
  <c r="AD111" i="15"/>
  <c r="AC111" i="15" a="1"/>
  <c r="AC111" i="15" s="1"/>
  <c r="AB111" i="15"/>
  <c r="Z111" i="15" a="1"/>
  <c r="Z111" i="15" s="1"/>
  <c r="Y111" i="15" a="1"/>
  <c r="Y111" i="15" s="1"/>
  <c r="X111" i="15" a="1"/>
  <c r="X111" i="15" s="1"/>
  <c r="W111" i="15" a="1"/>
  <c r="W111" i="15"/>
  <c r="V111" i="15" a="1"/>
  <c r="V111" i="15" s="1"/>
  <c r="U111" i="15" a="1"/>
  <c r="U111" i="15"/>
  <c r="T111" i="15" a="1"/>
  <c r="T111" i="15"/>
  <c r="S111" i="15" a="1"/>
  <c r="S111" i="15" s="1"/>
  <c r="Q111" i="15"/>
  <c r="AB111" i="15" s="1" a="1"/>
  <c r="AD110" i="15"/>
  <c r="AF110" i="15" s="1"/>
  <c r="AA110" i="15" a="1"/>
  <c r="AA110" i="15" s="1"/>
  <c r="Z110" i="15" a="1"/>
  <c r="Z110" i="15"/>
  <c r="Y110" i="15" a="1"/>
  <c r="Y110" i="15" s="1"/>
  <c r="X110" i="15" a="1"/>
  <c r="X110" i="15" s="1"/>
  <c r="W110" i="15" a="1"/>
  <c r="W110" i="15" s="1"/>
  <c r="V110" i="15" a="1"/>
  <c r="V110" i="15"/>
  <c r="U110" i="15" a="1"/>
  <c r="U110" i="15" s="1"/>
  <c r="T110" i="15" a="1"/>
  <c r="T110" i="15" s="1"/>
  <c r="S110" i="15" a="1"/>
  <c r="S110" i="15" s="1"/>
  <c r="R110" i="15" a="1"/>
  <c r="R110" i="15" s="1"/>
  <c r="Q110" i="15"/>
  <c r="AC110" i="15" s="1" a="1"/>
  <c r="AC110" i="15" s="1"/>
  <c r="Q109" i="15"/>
  <c r="Q108" i="15"/>
  <c r="AF107" i="15"/>
  <c r="AD107" i="15"/>
  <c r="AC107" i="15" a="1"/>
  <c r="AC107" i="15" s="1"/>
  <c r="AB107" i="15" a="1"/>
  <c r="AB107" i="15"/>
  <c r="Z107" i="15" a="1"/>
  <c r="Z107" i="15" s="1"/>
  <c r="Y107" i="15" a="1"/>
  <c r="Y107" i="15"/>
  <c r="X107" i="15" a="1"/>
  <c r="X107" i="15" s="1"/>
  <c r="W107" i="15" a="1"/>
  <c r="W107" i="15" s="1"/>
  <c r="V107" i="15" a="1"/>
  <c r="V107" i="15" s="1"/>
  <c r="U107" i="15" a="1"/>
  <c r="U107" i="15" s="1"/>
  <c r="T107" i="15" a="1"/>
  <c r="T107" i="15" s="1"/>
  <c r="S107" i="15" a="1"/>
  <c r="S107" i="15"/>
  <c r="R107" i="15" a="1"/>
  <c r="R107" i="15"/>
  <c r="Q107" i="15"/>
  <c r="AA107" i="15" s="1" a="1"/>
  <c r="AA107" i="15" s="1"/>
  <c r="AD106" i="15"/>
  <c r="AF106" i="15" s="1"/>
  <c r="AC106" i="15" a="1"/>
  <c r="AC106" i="15"/>
  <c r="AB106" i="15" a="1"/>
  <c r="AB106" i="15" s="1"/>
  <c r="Y106" i="15" a="1"/>
  <c r="Y106" i="15" s="1"/>
  <c r="X106" i="15" a="1"/>
  <c r="X106" i="15"/>
  <c r="W106" i="15" a="1"/>
  <c r="W106" i="15"/>
  <c r="V106" i="15" a="1"/>
  <c r="V106" i="15"/>
  <c r="U106" i="15" a="1"/>
  <c r="U106" i="15"/>
  <c r="T106" i="15" a="1"/>
  <c r="T106" i="15"/>
  <c r="S106" i="15" a="1"/>
  <c r="S106" i="15"/>
  <c r="R106" i="15" a="1"/>
  <c r="R106" i="15" s="1"/>
  <c r="Q106" i="15"/>
  <c r="AA106" i="15" s="1" a="1"/>
  <c r="AA106" i="15" s="1"/>
  <c r="AF105" i="15"/>
  <c r="AD105" i="15"/>
  <c r="AC105" i="15" a="1"/>
  <c r="AC105" i="15"/>
  <c r="Y105" i="15" a="1"/>
  <c r="Y105" i="15" s="1"/>
  <c r="X105" i="15" a="1"/>
  <c r="X105" i="15" s="1"/>
  <c r="W105" i="15" a="1"/>
  <c r="W105" i="15" s="1"/>
  <c r="V105" i="15" a="1"/>
  <c r="V105" i="15"/>
  <c r="U105" i="15" a="1"/>
  <c r="U105" i="15" s="1"/>
  <c r="T105" i="15" a="1"/>
  <c r="T105" i="15" s="1"/>
  <c r="S105" i="15" a="1"/>
  <c r="S105" i="15" s="1"/>
  <c r="Q105" i="15"/>
  <c r="AB105" i="15" s="1" a="1"/>
  <c r="AB105" i="15" s="1"/>
  <c r="AD104" i="15"/>
  <c r="AF104" i="15" s="1"/>
  <c r="AC104" i="15" a="1"/>
  <c r="AC104" i="15" s="1"/>
  <c r="Z104" i="15" a="1"/>
  <c r="Z104" i="15" s="1"/>
  <c r="Y104" i="15" a="1"/>
  <c r="Y104" i="15"/>
  <c r="X104" i="15" a="1"/>
  <c r="X104" i="15"/>
  <c r="W104" i="15" a="1"/>
  <c r="W104" i="15"/>
  <c r="V104" i="15" a="1"/>
  <c r="V104" i="15"/>
  <c r="U104" i="15" a="1"/>
  <c r="U104" i="15"/>
  <c r="T104" i="15" a="1"/>
  <c r="T104" i="15"/>
  <c r="S104" i="15" a="1"/>
  <c r="S104" i="15" s="1"/>
  <c r="Q104" i="15"/>
  <c r="AB104" i="15" s="1" a="1"/>
  <c r="AB104" i="15" s="1"/>
  <c r="AD103" i="15"/>
  <c r="AF103" i="15" s="1"/>
  <c r="Z103" i="15" a="1"/>
  <c r="Z103" i="15" s="1"/>
  <c r="Y103" i="15" a="1"/>
  <c r="Y103" i="15" s="1"/>
  <c r="X103" i="15" a="1"/>
  <c r="X103" i="15" s="1"/>
  <c r="W103" i="15" a="1"/>
  <c r="W103" i="15" s="1"/>
  <c r="V103" i="15" a="1"/>
  <c r="V103" i="15" s="1"/>
  <c r="U103" i="15" a="1"/>
  <c r="U103" i="15"/>
  <c r="T103" i="15" a="1"/>
  <c r="T103" i="15"/>
  <c r="Q103" i="15"/>
  <c r="AC103" i="15" s="1" a="1"/>
  <c r="AC103" i="15" s="1"/>
  <c r="Q102" i="15"/>
  <c r="Q101" i="15"/>
  <c r="AB100" i="15" a="1"/>
  <c r="AB100" i="15"/>
  <c r="Z100" i="15" a="1"/>
  <c r="Z100" i="15"/>
  <c r="Y100" i="15" a="1"/>
  <c r="Y100" i="15"/>
  <c r="X100" i="15" a="1"/>
  <c r="X100" i="15" s="1"/>
  <c r="W100" i="15" a="1"/>
  <c r="W100" i="15"/>
  <c r="V100" i="15" a="1"/>
  <c r="V100" i="15" s="1"/>
  <c r="U100" i="15" a="1"/>
  <c r="U100" i="15" s="1"/>
  <c r="R100" i="15" a="1"/>
  <c r="R100" i="15"/>
  <c r="Q100" i="15"/>
  <c r="AB99" i="15" a="1"/>
  <c r="AB99" i="15" s="1"/>
  <c r="Z99" i="15" a="1"/>
  <c r="Z99" i="15" s="1"/>
  <c r="Y99" i="15" a="1"/>
  <c r="Y99" i="15"/>
  <c r="X99" i="15" a="1"/>
  <c r="X99" i="15" s="1"/>
  <c r="W99" i="15" a="1"/>
  <c r="W99" i="15" s="1"/>
  <c r="V99" i="15" a="1"/>
  <c r="V99" i="15" s="1"/>
  <c r="R99" i="15" a="1"/>
  <c r="R99" i="15" s="1"/>
  <c r="Q99" i="15"/>
  <c r="U99" i="15" s="1" a="1"/>
  <c r="U99" i="15" s="1"/>
  <c r="AC98" i="15" a="1"/>
  <c r="AC98" i="15"/>
  <c r="Z98" i="15" a="1"/>
  <c r="Z98" i="15"/>
  <c r="Y98" i="15" a="1"/>
  <c r="Y98" i="15"/>
  <c r="W98" i="15" a="1"/>
  <c r="W98" i="15"/>
  <c r="V98" i="15" a="1"/>
  <c r="V98" i="15" s="1"/>
  <c r="S98" i="15" a="1"/>
  <c r="S98" i="15"/>
  <c r="Q98" i="15"/>
  <c r="U98" i="15" s="1" a="1"/>
  <c r="U98" i="15" s="1"/>
  <c r="Z97" i="15" a="1"/>
  <c r="Z97" i="15" s="1"/>
  <c r="Y97" i="15" a="1"/>
  <c r="Y97" i="15" s="1"/>
  <c r="W97" i="15" a="1"/>
  <c r="W97" i="15" s="1"/>
  <c r="S97" i="15" a="1"/>
  <c r="S97" i="15" s="1"/>
  <c r="Q97" i="15"/>
  <c r="AD96" i="15"/>
  <c r="AF96" i="15" s="1"/>
  <c r="Z96" i="15" a="1"/>
  <c r="Z96" i="15"/>
  <c r="X96" i="15" a="1"/>
  <c r="X96" i="15"/>
  <c r="W96" i="15" a="1"/>
  <c r="W96" i="15" s="1"/>
  <c r="T96" i="15" a="1"/>
  <c r="T96" i="15" s="1"/>
  <c r="Q96" i="15"/>
  <c r="AB95" i="15" a="1"/>
  <c r="AB95" i="15" s="1"/>
  <c r="AA95" i="15" a="1"/>
  <c r="AA95" i="15" s="1"/>
  <c r="Z95" i="15" a="1"/>
  <c r="Z95" i="15" s="1"/>
  <c r="Y95" i="15" a="1"/>
  <c r="Y95" i="15" s="1"/>
  <c r="X95" i="15" a="1"/>
  <c r="X95" i="15" s="1"/>
  <c r="Q95" i="15"/>
  <c r="AA94" i="15" a="1"/>
  <c r="AA94" i="15" s="1"/>
  <c r="Y94" i="15" a="1"/>
  <c r="Y94" i="15"/>
  <c r="Q94" i="15"/>
  <c r="AB94" i="15" s="1" a="1"/>
  <c r="AB94" i="15" s="1"/>
  <c r="AC93" i="15"/>
  <c r="AB93" i="15" a="1"/>
  <c r="AB93" i="15"/>
  <c r="AA93" i="15" a="1"/>
  <c r="AA93" i="15" s="1"/>
  <c r="Z93" i="15" a="1"/>
  <c r="Z93" i="15" s="1"/>
  <c r="Q93" i="15"/>
  <c r="AC93" i="15" s="1" a="1"/>
  <c r="AD92" i="15"/>
  <c r="AF92" i="15" s="1"/>
  <c r="AC92" i="15" a="1"/>
  <c r="AC92" i="15"/>
  <c r="AB92" i="15" a="1"/>
  <c r="AB92" i="15" s="1"/>
  <c r="Z92" i="15" a="1"/>
  <c r="Z92" i="15" s="1"/>
  <c r="Y92" i="15" a="1"/>
  <c r="Y92" i="15" s="1"/>
  <c r="V92" i="15" a="1"/>
  <c r="V92" i="15"/>
  <c r="T92" i="15" a="1"/>
  <c r="T92" i="15"/>
  <c r="S92" i="15" a="1"/>
  <c r="S92" i="15"/>
  <c r="R92" i="15" a="1"/>
  <c r="R92" i="15" s="1"/>
  <c r="Q92" i="15"/>
  <c r="X92" i="15" s="1" a="1"/>
  <c r="X92" i="15" s="1"/>
  <c r="Q91" i="15"/>
  <c r="AD90" i="15"/>
  <c r="AF90" i="15" s="1"/>
  <c r="AC90" i="15" a="1"/>
  <c r="AC90" i="15" s="1"/>
  <c r="Z90" i="15" a="1"/>
  <c r="Z90" i="15" s="1"/>
  <c r="W90" i="15" a="1"/>
  <c r="W90" i="15"/>
  <c r="U90" i="15" a="1"/>
  <c r="U90" i="15" s="1"/>
  <c r="Q90" i="15"/>
  <c r="AA90" i="15" s="1" a="1"/>
  <c r="AA90" i="15" s="1"/>
  <c r="AF89" i="15"/>
  <c r="AD89" i="15"/>
  <c r="AC89" i="15" a="1"/>
  <c r="AC89" i="15" s="1"/>
  <c r="AB89" i="15" a="1"/>
  <c r="AB89" i="15"/>
  <c r="T89" i="15" a="1"/>
  <c r="T89" i="15"/>
  <c r="S89" i="15" a="1"/>
  <c r="S89" i="15" s="1"/>
  <c r="R89" i="15" a="1"/>
  <c r="R89" i="15" s="1"/>
  <c r="Q89" i="15"/>
  <c r="AD88" i="15"/>
  <c r="AF88" i="15" s="1"/>
  <c r="AB88" i="15" a="1"/>
  <c r="AB88" i="15"/>
  <c r="AA88" i="15" a="1"/>
  <c r="AA88" i="15" s="1"/>
  <c r="X88" i="15" a="1"/>
  <c r="X88" i="15"/>
  <c r="V88" i="15" a="1"/>
  <c r="V88" i="15"/>
  <c r="U88" i="15" a="1"/>
  <c r="U88" i="15"/>
  <c r="T88" i="15" a="1"/>
  <c r="T88" i="15" s="1"/>
  <c r="R88" i="15" a="1"/>
  <c r="R88" i="15" s="1"/>
  <c r="Q88" i="15"/>
  <c r="AF87" i="15"/>
  <c r="AD87" i="15"/>
  <c r="AC87" i="15" a="1"/>
  <c r="AC87" i="15" s="1"/>
  <c r="AB87" i="15" a="1"/>
  <c r="AB87" i="15"/>
  <c r="Z87" i="15" a="1"/>
  <c r="Z87" i="15" s="1"/>
  <c r="Y87" i="15" a="1"/>
  <c r="Y87" i="15"/>
  <c r="X87" i="15" a="1"/>
  <c r="X87" i="15" s="1"/>
  <c r="W87" i="15" a="1"/>
  <c r="W87" i="15" s="1"/>
  <c r="V87" i="15" a="1"/>
  <c r="V87" i="15" s="1"/>
  <c r="U87" i="15" a="1"/>
  <c r="U87" i="15"/>
  <c r="T87" i="15" a="1"/>
  <c r="T87" i="15" s="1"/>
  <c r="S87" i="15" a="1"/>
  <c r="S87" i="15" s="1"/>
  <c r="R87" i="15" a="1"/>
  <c r="R87" i="15"/>
  <c r="Q87" i="15"/>
  <c r="AA87" i="15" s="1" a="1"/>
  <c r="AA87" i="15" s="1"/>
  <c r="AD86" i="15"/>
  <c r="AF86" i="15" s="1"/>
  <c r="AC86" i="15" a="1"/>
  <c r="AC86" i="15" s="1"/>
  <c r="AB86" i="15" a="1"/>
  <c r="AB86" i="15" s="1"/>
  <c r="Y86" i="15" a="1"/>
  <c r="Y86" i="15"/>
  <c r="X86" i="15" a="1"/>
  <c r="X86" i="15"/>
  <c r="W86" i="15" a="1"/>
  <c r="W86" i="15" s="1"/>
  <c r="V86" i="15" a="1"/>
  <c r="V86" i="15"/>
  <c r="U86" i="15" a="1"/>
  <c r="U86" i="15" s="1"/>
  <c r="T86" i="15" a="1"/>
  <c r="T86" i="15"/>
  <c r="S86" i="15" a="1"/>
  <c r="S86" i="15"/>
  <c r="R86" i="15" a="1"/>
  <c r="R86" i="15" s="1"/>
  <c r="Q86" i="15"/>
  <c r="AA86" i="15" s="1" a="1"/>
  <c r="AA86" i="15" s="1"/>
  <c r="Q85" i="15"/>
  <c r="AB85" i="15" s="1" a="1"/>
  <c r="AB85" i="15" s="1"/>
  <c r="AC84" i="15" a="1"/>
  <c r="AC84" i="15" s="1"/>
  <c r="Z84" i="15" a="1"/>
  <c r="Z84" i="15" s="1"/>
  <c r="Y84" i="15" a="1"/>
  <c r="Y84" i="15" s="1"/>
  <c r="X84" i="15" a="1"/>
  <c r="X84" i="15" s="1"/>
  <c r="S84" i="15" a="1"/>
  <c r="S84" i="15" s="1"/>
  <c r="Q84" i="15"/>
  <c r="AB84" i="15" s="1" a="1"/>
  <c r="AB84" i="15" s="1"/>
  <c r="Q83" i="15"/>
  <c r="AC83" i="15" s="1" a="1"/>
  <c r="AC83" i="15" s="1"/>
  <c r="Q82" i="15"/>
  <c r="Q81" i="15"/>
  <c r="Q80" i="15"/>
  <c r="AB80" i="15" s="1" a="1"/>
  <c r="AB80" i="15" s="1"/>
  <c r="Q79" i="15"/>
  <c r="Y78" i="15" a="1"/>
  <c r="Y78" i="15" s="1"/>
  <c r="X78" i="15" a="1"/>
  <c r="X78" i="15" s="1"/>
  <c r="Q78" i="15"/>
  <c r="AC78" i="15" s="1" a="1"/>
  <c r="AC78" i="15" s="1"/>
  <c r="Q77" i="15"/>
  <c r="Q76" i="15"/>
  <c r="AA76" i="15" s="1" a="1"/>
  <c r="AA76" i="15" s="1"/>
  <c r="AB75" i="15" a="1"/>
  <c r="AB75" i="15" s="1"/>
  <c r="R75" i="15" a="1"/>
  <c r="R75" i="15" s="1"/>
  <c r="Q75" i="15"/>
  <c r="AA75" i="15" s="1" a="1"/>
  <c r="AA75" i="15" s="1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6" i="15"/>
  <c r="Q5" i="15"/>
  <c r="Q4" i="15"/>
  <c r="N1" i="15"/>
  <c r="H153" i="14"/>
  <c r="I152" i="14"/>
  <c r="H152" i="14"/>
  <c r="K152" i="14" s="1"/>
  <c r="M152" i="14" s="1"/>
  <c r="H151" i="14"/>
  <c r="H150" i="14"/>
  <c r="H149" i="14"/>
  <c r="K148" i="14"/>
  <c r="M148" i="14" s="1"/>
  <c r="J148" i="14"/>
  <c r="I148" i="14"/>
  <c r="H148" i="14"/>
  <c r="H147" i="14"/>
  <c r="H146" i="14"/>
  <c r="H145" i="14"/>
  <c r="I144" i="14"/>
  <c r="H144" i="14"/>
  <c r="K144" i="14" s="1"/>
  <c r="M144" i="14" s="1"/>
  <c r="H143" i="14"/>
  <c r="H142" i="14"/>
  <c r="H141" i="14"/>
  <c r="K140" i="14"/>
  <c r="M140" i="14" s="1"/>
  <c r="J140" i="14"/>
  <c r="I140" i="14"/>
  <c r="H140" i="14"/>
  <c r="H139" i="14"/>
  <c r="H138" i="14"/>
  <c r="H137" i="14"/>
  <c r="I136" i="14"/>
  <c r="H136" i="14"/>
  <c r="K136" i="14" s="1"/>
  <c r="M136" i="14" s="1"/>
  <c r="H135" i="14"/>
  <c r="H134" i="14"/>
  <c r="H133" i="14"/>
  <c r="K132" i="14"/>
  <c r="M132" i="14" s="1"/>
  <c r="J132" i="14"/>
  <c r="I132" i="14"/>
  <c r="H132" i="14"/>
  <c r="H131" i="14"/>
  <c r="K130" i="14"/>
  <c r="H130" i="14"/>
  <c r="H129" i="14"/>
  <c r="I128" i="14"/>
  <c r="H128" i="14"/>
  <c r="K128" i="14" s="1"/>
  <c r="M128" i="14" s="1"/>
  <c r="H127" i="14"/>
  <c r="H126" i="14"/>
  <c r="H125" i="14"/>
  <c r="K124" i="14"/>
  <c r="M124" i="14" s="1"/>
  <c r="J124" i="14"/>
  <c r="I124" i="14"/>
  <c r="H124" i="14"/>
  <c r="H123" i="14"/>
  <c r="H122" i="14"/>
  <c r="H121" i="14"/>
  <c r="I120" i="14"/>
  <c r="H120" i="14"/>
  <c r="K120" i="14" s="1"/>
  <c r="M120" i="14" s="1"/>
  <c r="H119" i="14"/>
  <c r="H118" i="14"/>
  <c r="H117" i="14"/>
  <c r="K116" i="14"/>
  <c r="M116" i="14" s="1"/>
  <c r="J116" i="14"/>
  <c r="I116" i="14"/>
  <c r="H116" i="14"/>
  <c r="H115" i="14"/>
  <c r="K114" i="14"/>
  <c r="H114" i="14"/>
  <c r="H113" i="14"/>
  <c r="I112" i="14"/>
  <c r="H112" i="14"/>
  <c r="K112" i="14" s="1"/>
  <c r="M112" i="14" s="1"/>
  <c r="H111" i="14"/>
  <c r="H110" i="14"/>
  <c r="H109" i="14"/>
  <c r="K108" i="14"/>
  <c r="M108" i="14" s="1"/>
  <c r="J108" i="14"/>
  <c r="I108" i="14"/>
  <c r="H108" i="14"/>
  <c r="H107" i="14"/>
  <c r="I106" i="14"/>
  <c r="H106" i="14"/>
  <c r="H105" i="14"/>
  <c r="M104" i="14"/>
  <c r="K104" i="14"/>
  <c r="J104" i="14"/>
  <c r="I104" i="14"/>
  <c r="H104" i="14"/>
  <c r="H103" i="14"/>
  <c r="I102" i="14"/>
  <c r="H102" i="14"/>
  <c r="K102" i="14" s="1"/>
  <c r="M102" i="14" s="1"/>
  <c r="H101" i="14"/>
  <c r="H100" i="14"/>
  <c r="H99" i="14"/>
  <c r="K98" i="14"/>
  <c r="M98" i="14" s="1"/>
  <c r="J98" i="14"/>
  <c r="I98" i="14"/>
  <c r="H98" i="14"/>
  <c r="H97" i="14"/>
  <c r="K96" i="14"/>
  <c r="I96" i="14"/>
  <c r="H96" i="14"/>
  <c r="H95" i="14"/>
  <c r="M94" i="14"/>
  <c r="K94" i="14"/>
  <c r="J94" i="14"/>
  <c r="I94" i="14"/>
  <c r="H94" i="14"/>
  <c r="H93" i="14"/>
  <c r="I92" i="14"/>
  <c r="H92" i="14"/>
  <c r="K92" i="14" s="1"/>
  <c r="M92" i="14" s="1"/>
  <c r="H91" i="14"/>
  <c r="H90" i="14"/>
  <c r="H89" i="14"/>
  <c r="M88" i="14"/>
  <c r="K88" i="14"/>
  <c r="J88" i="14"/>
  <c r="I88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H7" i="14"/>
  <c r="H6" i="14"/>
  <c r="H5" i="14"/>
  <c r="H4" i="14"/>
  <c r="E1" i="14"/>
  <c r="Z157" i="13"/>
  <c r="W157" i="13"/>
  <c r="U157" i="13"/>
  <c r="T157" i="13"/>
  <c r="R157" i="13"/>
  <c r="I157" i="13"/>
  <c r="F155" i="13"/>
  <c r="E155" i="13"/>
  <c r="D155" i="13"/>
  <c r="C155" i="13"/>
  <c r="A155" i="13"/>
  <c r="F154" i="13"/>
  <c r="E154" i="13"/>
  <c r="D154" i="13"/>
  <c r="C154" i="13"/>
  <c r="A154" i="13"/>
  <c r="F153" i="13"/>
  <c r="E153" i="13"/>
  <c r="D153" i="13"/>
  <c r="C153" i="13"/>
  <c r="A153" i="13"/>
  <c r="F152" i="13"/>
  <c r="E152" i="13"/>
  <c r="D152" i="13"/>
  <c r="C152" i="13"/>
  <c r="A152" i="13"/>
  <c r="F151" i="13"/>
  <c r="E151" i="13"/>
  <c r="D151" i="13"/>
  <c r="C151" i="13"/>
  <c r="A151" i="13"/>
  <c r="F150" i="13"/>
  <c r="E150" i="13"/>
  <c r="D150" i="13"/>
  <c r="C150" i="13"/>
  <c r="A150" i="13"/>
  <c r="F149" i="13"/>
  <c r="E149" i="13"/>
  <c r="D149" i="13"/>
  <c r="C149" i="13"/>
  <c r="A149" i="13"/>
  <c r="F148" i="13"/>
  <c r="E148" i="13"/>
  <c r="D148" i="13"/>
  <c r="C148" i="13"/>
  <c r="A148" i="13"/>
  <c r="F147" i="13"/>
  <c r="E147" i="13"/>
  <c r="D147" i="13"/>
  <c r="C147" i="13"/>
  <c r="A147" i="13"/>
  <c r="F146" i="13"/>
  <c r="E146" i="13"/>
  <c r="D146" i="13"/>
  <c r="C146" i="13"/>
  <c r="A146" i="13"/>
  <c r="F145" i="13"/>
  <c r="E145" i="13"/>
  <c r="D145" i="13"/>
  <c r="C145" i="13"/>
  <c r="A145" i="13"/>
  <c r="F144" i="13"/>
  <c r="E144" i="13"/>
  <c r="D144" i="13"/>
  <c r="C144" i="13"/>
  <c r="A144" i="13"/>
  <c r="F143" i="13"/>
  <c r="E143" i="13"/>
  <c r="D143" i="13"/>
  <c r="C143" i="13"/>
  <c r="A143" i="13"/>
  <c r="F142" i="13"/>
  <c r="E142" i="13"/>
  <c r="D142" i="13"/>
  <c r="C142" i="13"/>
  <c r="A142" i="13"/>
  <c r="F141" i="13"/>
  <c r="E141" i="13"/>
  <c r="D141" i="13"/>
  <c r="C141" i="13"/>
  <c r="A141" i="13"/>
  <c r="F140" i="13"/>
  <c r="E140" i="13"/>
  <c r="D140" i="13"/>
  <c r="C140" i="13"/>
  <c r="A140" i="13"/>
  <c r="F139" i="13"/>
  <c r="E139" i="13"/>
  <c r="D139" i="13"/>
  <c r="C139" i="13"/>
  <c r="A139" i="13"/>
  <c r="F138" i="13"/>
  <c r="E138" i="13"/>
  <c r="D138" i="13"/>
  <c r="C138" i="13"/>
  <c r="A138" i="13"/>
  <c r="F137" i="13"/>
  <c r="E137" i="13"/>
  <c r="D137" i="13"/>
  <c r="C137" i="13"/>
  <c r="A137" i="13"/>
  <c r="F136" i="13"/>
  <c r="E136" i="13"/>
  <c r="D136" i="13"/>
  <c r="C136" i="13"/>
  <c r="A136" i="13"/>
  <c r="F135" i="13"/>
  <c r="E135" i="13"/>
  <c r="D135" i="13"/>
  <c r="C135" i="13"/>
  <c r="A135" i="13"/>
  <c r="F134" i="13"/>
  <c r="E134" i="13"/>
  <c r="D134" i="13"/>
  <c r="C134" i="13"/>
  <c r="A134" i="13"/>
  <c r="F133" i="13"/>
  <c r="E133" i="13"/>
  <c r="D133" i="13"/>
  <c r="C133" i="13"/>
  <c r="A133" i="13"/>
  <c r="F132" i="13"/>
  <c r="E132" i="13"/>
  <c r="D132" i="13"/>
  <c r="C132" i="13"/>
  <c r="A132" i="13"/>
  <c r="F131" i="13"/>
  <c r="E131" i="13"/>
  <c r="D131" i="13"/>
  <c r="C131" i="13"/>
  <c r="A131" i="13"/>
  <c r="F130" i="13"/>
  <c r="E130" i="13"/>
  <c r="D130" i="13"/>
  <c r="C130" i="13"/>
  <c r="A130" i="13"/>
  <c r="F129" i="13"/>
  <c r="E129" i="13"/>
  <c r="D129" i="13"/>
  <c r="C129" i="13"/>
  <c r="A129" i="13"/>
  <c r="F128" i="13"/>
  <c r="E128" i="13"/>
  <c r="D128" i="13"/>
  <c r="C128" i="13"/>
  <c r="A128" i="13"/>
  <c r="F127" i="13"/>
  <c r="E127" i="13"/>
  <c r="D127" i="13"/>
  <c r="C127" i="13"/>
  <c r="A127" i="13"/>
  <c r="F126" i="13"/>
  <c r="E126" i="13"/>
  <c r="D126" i="13"/>
  <c r="C126" i="13"/>
  <c r="A126" i="13"/>
  <c r="F125" i="13"/>
  <c r="E125" i="13"/>
  <c r="D125" i="13"/>
  <c r="C125" i="13"/>
  <c r="A125" i="13"/>
  <c r="F124" i="13"/>
  <c r="E124" i="13"/>
  <c r="D124" i="13"/>
  <c r="C124" i="13"/>
  <c r="A124" i="13"/>
  <c r="F123" i="13"/>
  <c r="E123" i="13"/>
  <c r="D123" i="13"/>
  <c r="C123" i="13"/>
  <c r="A123" i="13"/>
  <c r="F122" i="13"/>
  <c r="E122" i="13"/>
  <c r="D122" i="13"/>
  <c r="C122" i="13"/>
  <c r="A122" i="13"/>
  <c r="F121" i="13"/>
  <c r="E121" i="13"/>
  <c r="D121" i="13"/>
  <c r="C121" i="13"/>
  <c r="A121" i="13"/>
  <c r="F120" i="13"/>
  <c r="E120" i="13"/>
  <c r="D120" i="13"/>
  <c r="C120" i="13"/>
  <c r="A120" i="13"/>
  <c r="F119" i="13"/>
  <c r="E119" i="13"/>
  <c r="D119" i="13"/>
  <c r="C119" i="13"/>
  <c r="A119" i="13"/>
  <c r="F118" i="13"/>
  <c r="E118" i="13"/>
  <c r="D118" i="13"/>
  <c r="C118" i="13"/>
  <c r="A118" i="13"/>
  <c r="F117" i="13"/>
  <c r="E117" i="13"/>
  <c r="D117" i="13"/>
  <c r="C117" i="13"/>
  <c r="A117" i="13"/>
  <c r="F116" i="13"/>
  <c r="E116" i="13"/>
  <c r="D116" i="13"/>
  <c r="C116" i="13"/>
  <c r="A116" i="13"/>
  <c r="F115" i="13"/>
  <c r="E115" i="13"/>
  <c r="D115" i="13"/>
  <c r="C115" i="13"/>
  <c r="A115" i="13"/>
  <c r="F114" i="13"/>
  <c r="E114" i="13"/>
  <c r="D114" i="13"/>
  <c r="C114" i="13"/>
  <c r="A114" i="13"/>
  <c r="F113" i="13"/>
  <c r="E113" i="13"/>
  <c r="D113" i="13"/>
  <c r="C113" i="13"/>
  <c r="A113" i="13"/>
  <c r="F112" i="13"/>
  <c r="E112" i="13"/>
  <c r="D112" i="13"/>
  <c r="C112" i="13"/>
  <c r="A112" i="13"/>
  <c r="F111" i="13"/>
  <c r="E111" i="13"/>
  <c r="D111" i="13"/>
  <c r="C111" i="13"/>
  <c r="A111" i="13"/>
  <c r="F110" i="13"/>
  <c r="E110" i="13"/>
  <c r="D110" i="13"/>
  <c r="C110" i="13"/>
  <c r="A110" i="13"/>
  <c r="F109" i="13"/>
  <c r="E109" i="13"/>
  <c r="D109" i="13"/>
  <c r="C109" i="13"/>
  <c r="A109" i="13"/>
  <c r="F108" i="13"/>
  <c r="E108" i="13"/>
  <c r="D108" i="13"/>
  <c r="C108" i="13"/>
  <c r="A108" i="13"/>
  <c r="F107" i="13"/>
  <c r="E107" i="13"/>
  <c r="D107" i="13"/>
  <c r="C107" i="13"/>
  <c r="A107" i="13"/>
  <c r="F106" i="13"/>
  <c r="E106" i="13"/>
  <c r="D106" i="13"/>
  <c r="C106" i="13"/>
  <c r="A106" i="13"/>
  <c r="F105" i="13"/>
  <c r="E105" i="13"/>
  <c r="D105" i="13"/>
  <c r="C105" i="13"/>
  <c r="A105" i="13"/>
  <c r="F104" i="13"/>
  <c r="E104" i="13"/>
  <c r="D104" i="13"/>
  <c r="C104" i="13"/>
  <c r="A104" i="13"/>
  <c r="F103" i="13"/>
  <c r="E103" i="13"/>
  <c r="D103" i="13"/>
  <c r="C103" i="13"/>
  <c r="A103" i="13"/>
  <c r="F102" i="13"/>
  <c r="E102" i="13"/>
  <c r="D102" i="13"/>
  <c r="C102" i="13"/>
  <c r="A102" i="13"/>
  <c r="F101" i="13"/>
  <c r="E101" i="13"/>
  <c r="D101" i="13"/>
  <c r="C101" i="13"/>
  <c r="A101" i="13"/>
  <c r="F100" i="13"/>
  <c r="E100" i="13"/>
  <c r="D100" i="13"/>
  <c r="C100" i="13"/>
  <c r="A100" i="13"/>
  <c r="F99" i="13"/>
  <c r="E99" i="13"/>
  <c r="D99" i="13"/>
  <c r="C99" i="13"/>
  <c r="A99" i="13"/>
  <c r="F98" i="13"/>
  <c r="E98" i="13"/>
  <c r="D98" i="13"/>
  <c r="C98" i="13"/>
  <c r="A98" i="13"/>
  <c r="F97" i="13"/>
  <c r="E97" i="13"/>
  <c r="D97" i="13"/>
  <c r="C97" i="13"/>
  <c r="A97" i="13"/>
  <c r="F96" i="13"/>
  <c r="E96" i="13"/>
  <c r="D96" i="13"/>
  <c r="C96" i="13"/>
  <c r="A96" i="13"/>
  <c r="F95" i="13"/>
  <c r="E95" i="13"/>
  <c r="D95" i="13"/>
  <c r="C95" i="13"/>
  <c r="A95" i="13"/>
  <c r="F94" i="13"/>
  <c r="E94" i="13"/>
  <c r="D94" i="13"/>
  <c r="C94" i="13"/>
  <c r="A94" i="13"/>
  <c r="F93" i="13"/>
  <c r="E93" i="13"/>
  <c r="D93" i="13"/>
  <c r="C93" i="13"/>
  <c r="A93" i="13"/>
  <c r="F92" i="13"/>
  <c r="E92" i="13"/>
  <c r="D92" i="13"/>
  <c r="C92" i="13"/>
  <c r="A92" i="13"/>
  <c r="F91" i="13"/>
  <c r="E91" i="13"/>
  <c r="D91" i="13"/>
  <c r="C91" i="13"/>
  <c r="A91" i="13"/>
  <c r="F90" i="13"/>
  <c r="E90" i="13"/>
  <c r="D90" i="13"/>
  <c r="C90" i="13"/>
  <c r="A90" i="13"/>
  <c r="F89" i="13"/>
  <c r="E89" i="13"/>
  <c r="D89" i="13"/>
  <c r="C89" i="13"/>
  <c r="A89" i="13"/>
  <c r="F88" i="13"/>
  <c r="E88" i="13"/>
  <c r="D88" i="13"/>
  <c r="C88" i="13"/>
  <c r="A88" i="13"/>
  <c r="E87" i="13"/>
  <c r="D87" i="13"/>
  <c r="C87" i="13"/>
  <c r="A87" i="13"/>
  <c r="E86" i="13"/>
  <c r="D86" i="13"/>
  <c r="C86" i="13"/>
  <c r="F86" i="13" s="1"/>
  <c r="A86" i="13"/>
  <c r="E85" i="13"/>
  <c r="D85" i="13"/>
  <c r="C85" i="13"/>
  <c r="F85" i="13" s="1"/>
  <c r="A85" i="13"/>
  <c r="E84" i="13"/>
  <c r="D84" i="13"/>
  <c r="C84" i="13"/>
  <c r="F84" i="13" s="1"/>
  <c r="A84" i="13"/>
  <c r="E83" i="13"/>
  <c r="D83" i="13"/>
  <c r="C83" i="13"/>
  <c r="A83" i="13"/>
  <c r="E82" i="13"/>
  <c r="D82" i="13"/>
  <c r="C82" i="13"/>
  <c r="F82" i="13" s="1"/>
  <c r="A82" i="13"/>
  <c r="E81" i="13"/>
  <c r="D81" i="13"/>
  <c r="C81" i="13"/>
  <c r="F81" i="13" s="1"/>
  <c r="A81" i="13"/>
  <c r="E80" i="13"/>
  <c r="D80" i="13"/>
  <c r="C80" i="13"/>
  <c r="F80" i="13" s="1"/>
  <c r="A80" i="13"/>
  <c r="E79" i="13"/>
  <c r="D79" i="13"/>
  <c r="C79" i="13"/>
  <c r="A79" i="13"/>
  <c r="E78" i="13"/>
  <c r="D78" i="13"/>
  <c r="C78" i="13"/>
  <c r="F78" i="13" s="1"/>
  <c r="A78" i="13"/>
  <c r="E77" i="13"/>
  <c r="D77" i="13"/>
  <c r="C77" i="13"/>
  <c r="F77" i="13" s="1"/>
  <c r="A77" i="13"/>
  <c r="E76" i="13"/>
  <c r="D76" i="13"/>
  <c r="C76" i="13"/>
  <c r="F76" i="13" s="1"/>
  <c r="A76" i="13"/>
  <c r="F75" i="13"/>
  <c r="E75" i="13"/>
  <c r="D75" i="13"/>
  <c r="C75" i="13"/>
  <c r="A75" i="13"/>
  <c r="E74" i="13"/>
  <c r="D74" i="13"/>
  <c r="C74" i="13"/>
  <c r="F74" i="13" s="1"/>
  <c r="A74" i="13"/>
  <c r="E73" i="13"/>
  <c r="D73" i="13"/>
  <c r="C73" i="13"/>
  <c r="F73" i="13" s="1"/>
  <c r="A73" i="13"/>
  <c r="E72" i="13"/>
  <c r="D72" i="13"/>
  <c r="C72" i="13"/>
  <c r="F72" i="13" s="1"/>
  <c r="A72" i="13"/>
  <c r="F71" i="13"/>
  <c r="E71" i="13"/>
  <c r="D71" i="13"/>
  <c r="C71" i="13"/>
  <c r="A71" i="13"/>
  <c r="E70" i="13"/>
  <c r="D70" i="13"/>
  <c r="C70" i="13"/>
  <c r="A70" i="13"/>
  <c r="E69" i="13"/>
  <c r="D69" i="13"/>
  <c r="C69" i="13"/>
  <c r="F69" i="13" s="1"/>
  <c r="A69" i="13"/>
  <c r="F68" i="13"/>
  <c r="E68" i="13"/>
  <c r="D68" i="13"/>
  <c r="C68" i="13"/>
  <c r="A68" i="13"/>
  <c r="E67" i="13"/>
  <c r="F67" i="13" s="1"/>
  <c r="D67" i="13"/>
  <c r="C67" i="13"/>
  <c r="A67" i="13"/>
  <c r="E66" i="13"/>
  <c r="D66" i="13"/>
  <c r="C66" i="13"/>
  <c r="F66" i="13" s="1"/>
  <c r="A66" i="13"/>
  <c r="E65" i="13"/>
  <c r="D65" i="13"/>
  <c r="C65" i="13"/>
  <c r="F65" i="13" s="1"/>
  <c r="A65" i="13"/>
  <c r="E64" i="13"/>
  <c r="F64" i="13" s="1"/>
  <c r="D64" i="13"/>
  <c r="C64" i="13"/>
  <c r="A64" i="13"/>
  <c r="F63" i="13"/>
  <c r="E63" i="13"/>
  <c r="D63" i="13"/>
  <c r="C63" i="13"/>
  <c r="A63" i="13"/>
  <c r="E62" i="13"/>
  <c r="D62" i="13"/>
  <c r="C62" i="13"/>
  <c r="F62" i="13" s="1"/>
  <c r="A62" i="13"/>
  <c r="F61" i="13"/>
  <c r="E61" i="13"/>
  <c r="D61" i="13"/>
  <c r="C61" i="13"/>
  <c r="A61" i="13"/>
  <c r="E60" i="13"/>
  <c r="D60" i="13"/>
  <c r="C60" i="13"/>
  <c r="F60" i="13" s="1"/>
  <c r="A60" i="13"/>
  <c r="E59" i="13"/>
  <c r="F59" i="13" s="1"/>
  <c r="D59" i="13"/>
  <c r="C59" i="13"/>
  <c r="A59" i="13"/>
  <c r="E58" i="13"/>
  <c r="D58" i="13"/>
  <c r="C58" i="13"/>
  <c r="F58" i="13" s="1"/>
  <c r="A58" i="13"/>
  <c r="F57" i="13"/>
  <c r="E57" i="13"/>
  <c r="D57" i="13"/>
  <c r="C57" i="13"/>
  <c r="A57" i="13"/>
  <c r="E56" i="13"/>
  <c r="D56" i="13"/>
  <c r="C56" i="13"/>
  <c r="F56" i="13" s="1"/>
  <c r="A56" i="13"/>
  <c r="E55" i="13"/>
  <c r="F55" i="13" s="1"/>
  <c r="D55" i="13"/>
  <c r="C55" i="13"/>
  <c r="A55" i="13"/>
  <c r="E54" i="13"/>
  <c r="D54" i="13"/>
  <c r="C54" i="13"/>
  <c r="F54" i="13" s="1"/>
  <c r="A54" i="13"/>
  <c r="F53" i="13"/>
  <c r="E53" i="13"/>
  <c r="D53" i="13"/>
  <c r="C53" i="13"/>
  <c r="A53" i="13"/>
  <c r="E52" i="13"/>
  <c r="D52" i="13"/>
  <c r="C52" i="13"/>
  <c r="F52" i="13" s="1"/>
  <c r="A52" i="13"/>
  <c r="E51" i="13"/>
  <c r="F51" i="13" s="1"/>
  <c r="D51" i="13"/>
  <c r="C51" i="13"/>
  <c r="A51" i="13"/>
  <c r="E50" i="13"/>
  <c r="D50" i="13"/>
  <c r="C50" i="13"/>
  <c r="A50" i="13"/>
  <c r="E49" i="13"/>
  <c r="D49" i="13"/>
  <c r="C49" i="13"/>
  <c r="F49" i="13" s="1"/>
  <c r="A49" i="13"/>
  <c r="F48" i="13"/>
  <c r="E48" i="13"/>
  <c r="D48" i="13"/>
  <c r="C48" i="13"/>
  <c r="A48" i="13"/>
  <c r="F47" i="13"/>
  <c r="E47" i="13"/>
  <c r="D47" i="13"/>
  <c r="C47" i="13"/>
  <c r="A47" i="13"/>
  <c r="E46" i="13"/>
  <c r="D46" i="13"/>
  <c r="C46" i="13"/>
  <c r="F46" i="13" s="1"/>
  <c r="A46" i="13"/>
  <c r="F45" i="13"/>
  <c r="E45" i="13"/>
  <c r="D45" i="13"/>
  <c r="C45" i="13"/>
  <c r="A45" i="13"/>
  <c r="E44" i="13"/>
  <c r="D44" i="13"/>
  <c r="C44" i="13"/>
  <c r="F44" i="13" s="1"/>
  <c r="A44" i="13"/>
  <c r="E43" i="13"/>
  <c r="F43" i="13" s="1"/>
  <c r="D43" i="13"/>
  <c r="C43" i="13"/>
  <c r="A43" i="13"/>
  <c r="E42" i="13"/>
  <c r="D42" i="13"/>
  <c r="C42" i="13"/>
  <c r="F42" i="13" s="1"/>
  <c r="A42" i="13"/>
  <c r="E41" i="13"/>
  <c r="D41" i="13"/>
  <c r="C41" i="13"/>
  <c r="F41" i="13" s="1"/>
  <c r="A41" i="13"/>
  <c r="F40" i="13"/>
  <c r="E40" i="13"/>
  <c r="D40" i="13"/>
  <c r="C40" i="13"/>
  <c r="A40" i="13"/>
  <c r="E39" i="13"/>
  <c r="D39" i="13"/>
  <c r="C39" i="13"/>
  <c r="F39" i="13" s="1"/>
  <c r="A39" i="13"/>
  <c r="E38" i="13"/>
  <c r="D38" i="13"/>
  <c r="C38" i="13"/>
  <c r="A38" i="13"/>
  <c r="F37" i="13"/>
  <c r="E37" i="13"/>
  <c r="D37" i="13"/>
  <c r="C37" i="13"/>
  <c r="A37" i="13"/>
  <c r="E36" i="13"/>
  <c r="F36" i="13" s="1"/>
  <c r="D36" i="13"/>
  <c r="C36" i="13"/>
  <c r="A36" i="13"/>
  <c r="E35" i="13"/>
  <c r="D35" i="13"/>
  <c r="C35" i="13"/>
  <c r="F35" i="13" s="1"/>
  <c r="A35" i="13"/>
  <c r="E34" i="13"/>
  <c r="D34" i="13"/>
  <c r="C34" i="13"/>
  <c r="F34" i="13" s="1"/>
  <c r="A34" i="13"/>
  <c r="F33" i="13"/>
  <c r="E33" i="13"/>
  <c r="D33" i="13"/>
  <c r="C33" i="13"/>
  <c r="A33" i="13"/>
  <c r="E32" i="13"/>
  <c r="F32" i="13" s="1"/>
  <c r="D32" i="13"/>
  <c r="C32" i="13"/>
  <c r="A32" i="13"/>
  <c r="E31" i="13"/>
  <c r="D31" i="13"/>
  <c r="C31" i="13"/>
  <c r="F31" i="13" s="1"/>
  <c r="A31" i="13"/>
  <c r="E30" i="13"/>
  <c r="D30" i="13"/>
  <c r="C30" i="13"/>
  <c r="F30" i="13" s="1"/>
  <c r="A30" i="13"/>
  <c r="E29" i="13"/>
  <c r="D29" i="13"/>
  <c r="C29" i="13"/>
  <c r="A29" i="13"/>
  <c r="E28" i="13"/>
  <c r="D28" i="13"/>
  <c r="C28" i="13"/>
  <c r="A28" i="13"/>
  <c r="F27" i="13"/>
  <c r="E27" i="13"/>
  <c r="D27" i="13"/>
  <c r="C27" i="13"/>
  <c r="A27" i="13"/>
  <c r="E26" i="13"/>
  <c r="D26" i="13"/>
  <c r="C26" i="13"/>
  <c r="A26" i="13"/>
  <c r="E25" i="13"/>
  <c r="D25" i="13"/>
  <c r="C25" i="13"/>
  <c r="F25" i="13" s="1"/>
  <c r="A25" i="13"/>
  <c r="F24" i="13"/>
  <c r="E24" i="13"/>
  <c r="D24" i="13"/>
  <c r="C24" i="13"/>
  <c r="A24" i="13"/>
  <c r="E23" i="13"/>
  <c r="D23" i="13"/>
  <c r="C23" i="13"/>
  <c r="F23" i="13" s="1"/>
  <c r="A23" i="13"/>
  <c r="E22" i="13"/>
  <c r="D22" i="13"/>
  <c r="C22" i="13"/>
  <c r="A22" i="13"/>
  <c r="E21" i="13"/>
  <c r="D21" i="13"/>
  <c r="C21" i="13"/>
  <c r="F21" i="13" s="1"/>
  <c r="A21" i="13"/>
  <c r="E20" i="13"/>
  <c r="D20" i="13"/>
  <c r="C20" i="13"/>
  <c r="F20" i="13" s="1"/>
  <c r="A20" i="13"/>
  <c r="F19" i="13"/>
  <c r="E19" i="13"/>
  <c r="D19" i="13"/>
  <c r="C19" i="13"/>
  <c r="A19" i="13"/>
  <c r="E18" i="13"/>
  <c r="D18" i="13"/>
  <c r="C18" i="13"/>
  <c r="F18" i="13" s="1"/>
  <c r="A18" i="13"/>
  <c r="E17" i="13"/>
  <c r="D17" i="13"/>
  <c r="C17" i="13"/>
  <c r="F17" i="13" s="1"/>
  <c r="A17" i="13"/>
  <c r="F16" i="13"/>
  <c r="E16" i="13"/>
  <c r="D16" i="13"/>
  <c r="C16" i="13"/>
  <c r="A16" i="13"/>
  <c r="F15" i="13"/>
  <c r="E15" i="13"/>
  <c r="D15" i="13"/>
  <c r="C15" i="13"/>
  <c r="A15" i="13"/>
  <c r="E14" i="13"/>
  <c r="D14" i="13"/>
  <c r="C14" i="13"/>
  <c r="F14" i="13" s="1"/>
  <c r="A14" i="13"/>
  <c r="E13" i="13"/>
  <c r="D13" i="13"/>
  <c r="C13" i="13"/>
  <c r="F13" i="13" s="1"/>
  <c r="A13" i="13"/>
  <c r="E12" i="13"/>
  <c r="D12" i="13"/>
  <c r="C12" i="13"/>
  <c r="F12" i="13" s="1"/>
  <c r="A12" i="13"/>
  <c r="F11" i="13"/>
  <c r="E11" i="13"/>
  <c r="D11" i="13"/>
  <c r="C11" i="13"/>
  <c r="A11" i="13"/>
  <c r="E10" i="13"/>
  <c r="D10" i="13"/>
  <c r="C10" i="13"/>
  <c r="F10" i="13" s="1"/>
  <c r="A10" i="13"/>
  <c r="F9" i="13"/>
  <c r="E9" i="13"/>
  <c r="D9" i="13"/>
  <c r="C9" i="13"/>
  <c r="A9" i="13"/>
  <c r="E8" i="13"/>
  <c r="D8" i="13"/>
  <c r="C8" i="13"/>
  <c r="F8" i="13" s="1"/>
  <c r="A8" i="13"/>
  <c r="E7" i="13"/>
  <c r="D7" i="13"/>
  <c r="C7" i="13"/>
  <c r="F7" i="13" s="1"/>
  <c r="A7" i="13"/>
  <c r="E6" i="13"/>
  <c r="D6" i="13"/>
  <c r="C6" i="13"/>
  <c r="A6" i="13"/>
  <c r="AJ5" i="13"/>
  <c r="AD5" i="13"/>
  <c r="Y5" i="13"/>
  <c r="W5" i="13"/>
  <c r="O5" i="13"/>
  <c r="I5" i="13"/>
  <c r="AK4" i="13"/>
  <c r="AJ4" i="13"/>
  <c r="AJ157" i="13" s="1"/>
  <c r="AI4" i="13"/>
  <c r="AH4" i="13"/>
  <c r="AF4" i="13"/>
  <c r="AD4" i="13"/>
  <c r="AD157" i="13" s="1"/>
  <c r="Z4" i="13"/>
  <c r="Z5" i="13" s="1"/>
  <c r="Y4" i="13"/>
  <c r="Y157" i="13" s="1"/>
  <c r="W4" i="13"/>
  <c r="V4" i="13"/>
  <c r="V5" i="13" s="1"/>
  <c r="U4" i="13"/>
  <c r="U5" i="13" s="1"/>
  <c r="T4" i="13"/>
  <c r="T5" i="13" s="1"/>
  <c r="S4" i="13"/>
  <c r="R4" i="13"/>
  <c r="R5" i="13" s="1"/>
  <c r="Q4" i="13"/>
  <c r="Q157" i="13" s="1"/>
  <c r="P4" i="13"/>
  <c r="O4" i="13"/>
  <c r="O157" i="13" s="1"/>
  <c r="N4" i="13"/>
  <c r="L4" i="13"/>
  <c r="K4" i="13"/>
  <c r="I4" i="13"/>
  <c r="F2" i="13"/>
  <c r="X4" i="13" s="1"/>
  <c r="X157" i="13" s="1"/>
  <c r="A1" i="13"/>
  <c r="AE157" i="12"/>
  <c r="X157" i="12"/>
  <c r="G157" i="12"/>
  <c r="F155" i="12"/>
  <c r="E155" i="12"/>
  <c r="D155" i="12"/>
  <c r="C155" i="12"/>
  <c r="A155" i="12"/>
  <c r="F154" i="12"/>
  <c r="E154" i="12"/>
  <c r="D154" i="12"/>
  <c r="C154" i="12"/>
  <c r="A154" i="12"/>
  <c r="F153" i="12"/>
  <c r="E153" i="12"/>
  <c r="D153" i="12"/>
  <c r="C153" i="12"/>
  <c r="A153" i="12"/>
  <c r="F152" i="12"/>
  <c r="E152" i="12"/>
  <c r="D152" i="12"/>
  <c r="C152" i="12"/>
  <c r="A152" i="12"/>
  <c r="F151" i="12"/>
  <c r="E151" i="12"/>
  <c r="D151" i="12"/>
  <c r="C151" i="12"/>
  <c r="A151" i="12"/>
  <c r="F150" i="12"/>
  <c r="E150" i="12"/>
  <c r="D150" i="12"/>
  <c r="C150" i="12"/>
  <c r="A150" i="12"/>
  <c r="F149" i="12"/>
  <c r="E149" i="12"/>
  <c r="D149" i="12"/>
  <c r="C149" i="12"/>
  <c r="A149" i="12"/>
  <c r="F148" i="12"/>
  <c r="E148" i="12"/>
  <c r="D148" i="12"/>
  <c r="C148" i="12"/>
  <c r="A148" i="12"/>
  <c r="F147" i="12"/>
  <c r="E147" i="12"/>
  <c r="D147" i="12"/>
  <c r="C147" i="12"/>
  <c r="A147" i="12"/>
  <c r="F146" i="12"/>
  <c r="E146" i="12"/>
  <c r="D146" i="12"/>
  <c r="C146" i="12"/>
  <c r="A146" i="12"/>
  <c r="F145" i="12"/>
  <c r="E145" i="12"/>
  <c r="D145" i="12"/>
  <c r="C145" i="12"/>
  <c r="A145" i="12"/>
  <c r="F144" i="12"/>
  <c r="E144" i="12"/>
  <c r="D144" i="12"/>
  <c r="C144" i="12"/>
  <c r="A144" i="12"/>
  <c r="F143" i="12"/>
  <c r="E143" i="12"/>
  <c r="D143" i="12"/>
  <c r="C143" i="12"/>
  <c r="A143" i="12"/>
  <c r="F142" i="12"/>
  <c r="E142" i="12"/>
  <c r="D142" i="12"/>
  <c r="C142" i="12"/>
  <c r="A142" i="12"/>
  <c r="F141" i="12"/>
  <c r="E141" i="12"/>
  <c r="D141" i="12"/>
  <c r="C141" i="12"/>
  <c r="A141" i="12"/>
  <c r="F140" i="12"/>
  <c r="E140" i="12"/>
  <c r="D140" i="12"/>
  <c r="C140" i="12"/>
  <c r="A140" i="12"/>
  <c r="F139" i="12"/>
  <c r="E139" i="12"/>
  <c r="D139" i="12"/>
  <c r="C139" i="12"/>
  <c r="A139" i="12"/>
  <c r="F138" i="12"/>
  <c r="E138" i="12"/>
  <c r="D138" i="12"/>
  <c r="C138" i="12"/>
  <c r="A138" i="12"/>
  <c r="F137" i="12"/>
  <c r="E137" i="12"/>
  <c r="D137" i="12"/>
  <c r="C137" i="12"/>
  <c r="A137" i="12"/>
  <c r="F136" i="12"/>
  <c r="E136" i="12"/>
  <c r="D136" i="12"/>
  <c r="C136" i="12"/>
  <c r="A136" i="12"/>
  <c r="F135" i="12"/>
  <c r="E135" i="12"/>
  <c r="D135" i="12"/>
  <c r="C135" i="12"/>
  <c r="A135" i="12"/>
  <c r="F134" i="12"/>
  <c r="E134" i="12"/>
  <c r="D134" i="12"/>
  <c r="C134" i="12"/>
  <c r="A134" i="12"/>
  <c r="F133" i="12"/>
  <c r="E133" i="12"/>
  <c r="D133" i="12"/>
  <c r="C133" i="12"/>
  <c r="A133" i="12"/>
  <c r="F132" i="12"/>
  <c r="E132" i="12"/>
  <c r="D132" i="12"/>
  <c r="C132" i="12"/>
  <c r="A132" i="12"/>
  <c r="F131" i="12"/>
  <c r="E131" i="12"/>
  <c r="D131" i="12"/>
  <c r="C131" i="12"/>
  <c r="A131" i="12"/>
  <c r="F130" i="12"/>
  <c r="E130" i="12"/>
  <c r="D130" i="12"/>
  <c r="C130" i="12"/>
  <c r="A130" i="12"/>
  <c r="F129" i="12"/>
  <c r="E129" i="12"/>
  <c r="D129" i="12"/>
  <c r="C129" i="12"/>
  <c r="A129" i="12"/>
  <c r="F128" i="12"/>
  <c r="E128" i="12"/>
  <c r="D128" i="12"/>
  <c r="C128" i="12"/>
  <c r="A128" i="12"/>
  <c r="F127" i="12"/>
  <c r="E127" i="12"/>
  <c r="D127" i="12"/>
  <c r="C127" i="12"/>
  <c r="A127" i="12"/>
  <c r="F126" i="12"/>
  <c r="E126" i="12"/>
  <c r="D126" i="12"/>
  <c r="C126" i="12"/>
  <c r="A126" i="12"/>
  <c r="F125" i="12"/>
  <c r="E125" i="12"/>
  <c r="D125" i="12"/>
  <c r="C125" i="12"/>
  <c r="A125" i="12"/>
  <c r="F124" i="12"/>
  <c r="E124" i="12"/>
  <c r="D124" i="12"/>
  <c r="C124" i="12"/>
  <c r="A124" i="12"/>
  <c r="F123" i="12"/>
  <c r="E123" i="12"/>
  <c r="D123" i="12"/>
  <c r="C123" i="12"/>
  <c r="A123" i="12"/>
  <c r="F122" i="12"/>
  <c r="E122" i="12"/>
  <c r="D122" i="12"/>
  <c r="C122" i="12"/>
  <c r="A122" i="12"/>
  <c r="F121" i="12"/>
  <c r="E121" i="12"/>
  <c r="D121" i="12"/>
  <c r="C121" i="12"/>
  <c r="A121" i="12"/>
  <c r="F120" i="12"/>
  <c r="E120" i="12"/>
  <c r="D120" i="12"/>
  <c r="C120" i="12"/>
  <c r="A120" i="12"/>
  <c r="F119" i="12"/>
  <c r="E119" i="12"/>
  <c r="D119" i="12"/>
  <c r="C119" i="12"/>
  <c r="A119" i="12"/>
  <c r="F118" i="12"/>
  <c r="E118" i="12"/>
  <c r="D118" i="12"/>
  <c r="C118" i="12"/>
  <c r="A118" i="12"/>
  <c r="F117" i="12"/>
  <c r="E117" i="12"/>
  <c r="D117" i="12"/>
  <c r="C117" i="12"/>
  <c r="A117" i="12"/>
  <c r="F116" i="12"/>
  <c r="E116" i="12"/>
  <c r="D116" i="12"/>
  <c r="C116" i="12"/>
  <c r="A116" i="12"/>
  <c r="F115" i="12"/>
  <c r="E115" i="12"/>
  <c r="D115" i="12"/>
  <c r="C115" i="12"/>
  <c r="A115" i="12"/>
  <c r="F114" i="12"/>
  <c r="E114" i="12"/>
  <c r="D114" i="12"/>
  <c r="C114" i="12"/>
  <c r="A114" i="12"/>
  <c r="F113" i="12"/>
  <c r="E113" i="12"/>
  <c r="D113" i="12"/>
  <c r="C113" i="12"/>
  <c r="A113" i="12"/>
  <c r="F112" i="12"/>
  <c r="E112" i="12"/>
  <c r="D112" i="12"/>
  <c r="C112" i="12"/>
  <c r="A112" i="12"/>
  <c r="F111" i="12"/>
  <c r="E111" i="12"/>
  <c r="D111" i="12"/>
  <c r="C111" i="12"/>
  <c r="A111" i="12"/>
  <c r="F110" i="12"/>
  <c r="E110" i="12"/>
  <c r="D110" i="12"/>
  <c r="C110" i="12"/>
  <c r="A110" i="12"/>
  <c r="F109" i="12"/>
  <c r="E109" i="12"/>
  <c r="D109" i="12"/>
  <c r="C109" i="12"/>
  <c r="A109" i="12"/>
  <c r="F108" i="12"/>
  <c r="E108" i="12"/>
  <c r="D108" i="12"/>
  <c r="C108" i="12"/>
  <c r="A108" i="12"/>
  <c r="F107" i="12"/>
  <c r="E107" i="12"/>
  <c r="D107" i="12"/>
  <c r="C107" i="12"/>
  <c r="A107" i="12"/>
  <c r="F106" i="12"/>
  <c r="E106" i="12"/>
  <c r="D106" i="12"/>
  <c r="C106" i="12"/>
  <c r="A106" i="12"/>
  <c r="F105" i="12"/>
  <c r="E105" i="12"/>
  <c r="D105" i="12"/>
  <c r="C105" i="12"/>
  <c r="A105" i="12"/>
  <c r="F104" i="12"/>
  <c r="E104" i="12"/>
  <c r="D104" i="12"/>
  <c r="C104" i="12"/>
  <c r="A104" i="12"/>
  <c r="F103" i="12"/>
  <c r="E103" i="12"/>
  <c r="D103" i="12"/>
  <c r="C103" i="12"/>
  <c r="A103" i="12"/>
  <c r="F102" i="12"/>
  <c r="E102" i="12"/>
  <c r="D102" i="12"/>
  <c r="C102" i="12"/>
  <c r="A102" i="12"/>
  <c r="F101" i="12"/>
  <c r="E101" i="12"/>
  <c r="D101" i="12"/>
  <c r="C101" i="12"/>
  <c r="A101" i="12"/>
  <c r="F100" i="12"/>
  <c r="E100" i="12"/>
  <c r="D100" i="12"/>
  <c r="C100" i="12"/>
  <c r="A100" i="12"/>
  <c r="F99" i="12"/>
  <c r="E99" i="12"/>
  <c r="D99" i="12"/>
  <c r="C99" i="12"/>
  <c r="A99" i="12"/>
  <c r="F98" i="12"/>
  <c r="E98" i="12"/>
  <c r="D98" i="12"/>
  <c r="C98" i="12"/>
  <c r="A98" i="12"/>
  <c r="F97" i="12"/>
  <c r="E97" i="12"/>
  <c r="D97" i="12"/>
  <c r="C97" i="12"/>
  <c r="A97" i="12"/>
  <c r="F96" i="12"/>
  <c r="E96" i="12"/>
  <c r="D96" i="12"/>
  <c r="C96" i="12"/>
  <c r="A96" i="12"/>
  <c r="F95" i="12"/>
  <c r="E95" i="12"/>
  <c r="D95" i="12"/>
  <c r="C95" i="12"/>
  <c r="A95" i="12"/>
  <c r="F94" i="12"/>
  <c r="E94" i="12"/>
  <c r="D94" i="12"/>
  <c r="C94" i="12"/>
  <c r="A94" i="12"/>
  <c r="F93" i="12"/>
  <c r="E93" i="12"/>
  <c r="D93" i="12"/>
  <c r="C93" i="12"/>
  <c r="A93" i="12"/>
  <c r="F92" i="12"/>
  <c r="E92" i="12"/>
  <c r="D92" i="12"/>
  <c r="C92" i="12"/>
  <c r="A92" i="12"/>
  <c r="F91" i="12"/>
  <c r="E91" i="12"/>
  <c r="D91" i="12"/>
  <c r="C91" i="12"/>
  <c r="A91" i="12"/>
  <c r="F90" i="12"/>
  <c r="E90" i="12"/>
  <c r="D90" i="12"/>
  <c r="C90" i="12"/>
  <c r="A90" i="12"/>
  <c r="F89" i="12"/>
  <c r="E89" i="12"/>
  <c r="D89" i="12"/>
  <c r="C89" i="12"/>
  <c r="A89" i="12"/>
  <c r="F88" i="12"/>
  <c r="E88" i="12"/>
  <c r="D88" i="12"/>
  <c r="C88" i="12"/>
  <c r="A88" i="12"/>
  <c r="E87" i="12"/>
  <c r="D87" i="12"/>
  <c r="C87" i="12"/>
  <c r="A87" i="12"/>
  <c r="E86" i="12"/>
  <c r="F86" i="12" s="1"/>
  <c r="D86" i="12"/>
  <c r="C86" i="12"/>
  <c r="A86" i="12"/>
  <c r="E85" i="12"/>
  <c r="D85" i="12"/>
  <c r="C85" i="12"/>
  <c r="A85" i="12"/>
  <c r="E84" i="12"/>
  <c r="D84" i="12"/>
  <c r="C84" i="12"/>
  <c r="A84" i="12"/>
  <c r="E83" i="12"/>
  <c r="F83" i="12" s="1"/>
  <c r="D83" i="12"/>
  <c r="C83" i="12"/>
  <c r="A83" i="12"/>
  <c r="E82" i="12"/>
  <c r="D82" i="12"/>
  <c r="C82" i="12"/>
  <c r="F82" i="12" s="1"/>
  <c r="A82" i="12"/>
  <c r="E81" i="12"/>
  <c r="D81" i="12"/>
  <c r="C81" i="12"/>
  <c r="F81" i="12" s="1"/>
  <c r="A81" i="12"/>
  <c r="E80" i="12"/>
  <c r="D80" i="12"/>
  <c r="C80" i="12"/>
  <c r="F80" i="12" s="1"/>
  <c r="A80" i="12"/>
  <c r="E79" i="12"/>
  <c r="F79" i="12" s="1"/>
  <c r="D79" i="12"/>
  <c r="C79" i="12"/>
  <c r="A79" i="12"/>
  <c r="F78" i="12"/>
  <c r="E78" i="12"/>
  <c r="D78" i="12"/>
  <c r="C78" i="12"/>
  <c r="A78" i="12"/>
  <c r="E77" i="12"/>
  <c r="D77" i="12"/>
  <c r="C77" i="12"/>
  <c r="F77" i="12" s="1"/>
  <c r="A77" i="12"/>
  <c r="E76" i="12"/>
  <c r="D76" i="12"/>
  <c r="C76" i="12"/>
  <c r="F76" i="12" s="1"/>
  <c r="A76" i="12"/>
  <c r="F75" i="12"/>
  <c r="E75" i="12"/>
  <c r="D75" i="12"/>
  <c r="C75" i="12"/>
  <c r="A75" i="12"/>
  <c r="E74" i="12"/>
  <c r="F74" i="12" s="1"/>
  <c r="D74" i="12"/>
  <c r="C74" i="12"/>
  <c r="A74" i="12"/>
  <c r="E73" i="12"/>
  <c r="D73" i="12"/>
  <c r="C73" i="12"/>
  <c r="F73" i="12" s="1"/>
  <c r="A73" i="12"/>
  <c r="E72" i="12"/>
  <c r="D72" i="12"/>
  <c r="C72" i="12"/>
  <c r="F72" i="12" s="1"/>
  <c r="A72" i="12"/>
  <c r="F71" i="12"/>
  <c r="E71" i="12"/>
  <c r="D71" i="12"/>
  <c r="C71" i="12"/>
  <c r="A71" i="12"/>
  <c r="E70" i="12"/>
  <c r="F70" i="12" s="1"/>
  <c r="D70" i="12"/>
  <c r="C70" i="12"/>
  <c r="A70" i="12"/>
  <c r="E69" i="12"/>
  <c r="D69" i="12"/>
  <c r="C69" i="12"/>
  <c r="F69" i="12" s="1"/>
  <c r="A69" i="12"/>
  <c r="E68" i="12"/>
  <c r="D68" i="12"/>
  <c r="C68" i="12"/>
  <c r="F68" i="12" s="1"/>
  <c r="A68" i="12"/>
  <c r="F67" i="12"/>
  <c r="E67" i="12"/>
  <c r="D67" i="12"/>
  <c r="C67" i="12"/>
  <c r="A67" i="12"/>
  <c r="E66" i="12"/>
  <c r="F66" i="12" s="1"/>
  <c r="D66" i="12"/>
  <c r="C66" i="12"/>
  <c r="A66" i="12"/>
  <c r="E65" i="12"/>
  <c r="D65" i="12"/>
  <c r="C65" i="12"/>
  <c r="F65" i="12" s="1"/>
  <c r="A65" i="12"/>
  <c r="E64" i="12"/>
  <c r="D64" i="12"/>
  <c r="C64" i="12"/>
  <c r="A64" i="12"/>
  <c r="F63" i="12"/>
  <c r="E63" i="12"/>
  <c r="D63" i="12"/>
  <c r="C63" i="12"/>
  <c r="A63" i="12"/>
  <c r="E62" i="12"/>
  <c r="F62" i="12" s="1"/>
  <c r="D62" i="12"/>
  <c r="C62" i="12"/>
  <c r="A62" i="12"/>
  <c r="E61" i="12"/>
  <c r="D61" i="12"/>
  <c r="C61" i="12"/>
  <c r="F61" i="12" s="1"/>
  <c r="A61" i="12"/>
  <c r="E60" i="12"/>
  <c r="D60" i="12"/>
  <c r="C60" i="12"/>
  <c r="F60" i="12" s="1"/>
  <c r="A60" i="12"/>
  <c r="F59" i="12"/>
  <c r="E59" i="12"/>
  <c r="D59" i="12"/>
  <c r="C59" i="12"/>
  <c r="A59" i="12"/>
  <c r="E58" i="12"/>
  <c r="F58" i="12" s="1"/>
  <c r="D58" i="12"/>
  <c r="C58" i="12"/>
  <c r="A58" i="12"/>
  <c r="E57" i="12"/>
  <c r="D57" i="12"/>
  <c r="C57" i="12"/>
  <c r="F57" i="12" s="1"/>
  <c r="A57" i="12"/>
  <c r="E56" i="12"/>
  <c r="D56" i="12"/>
  <c r="C56" i="12"/>
  <c r="A56" i="12"/>
  <c r="F55" i="12"/>
  <c r="E55" i="12"/>
  <c r="D55" i="12"/>
  <c r="C55" i="12"/>
  <c r="A55" i="12"/>
  <c r="E54" i="12"/>
  <c r="F54" i="12" s="1"/>
  <c r="D54" i="12"/>
  <c r="C54" i="12"/>
  <c r="A54" i="12"/>
  <c r="E53" i="12"/>
  <c r="D53" i="12"/>
  <c r="C53" i="12"/>
  <c r="F53" i="12" s="1"/>
  <c r="A53" i="12"/>
  <c r="E52" i="12"/>
  <c r="D52" i="12"/>
  <c r="C52" i="12"/>
  <c r="A52" i="12"/>
  <c r="F51" i="12"/>
  <c r="E51" i="12"/>
  <c r="D51" i="12"/>
  <c r="C51" i="12"/>
  <c r="A51" i="12"/>
  <c r="E50" i="12"/>
  <c r="F50" i="12" s="1"/>
  <c r="D50" i="12"/>
  <c r="C50" i="12"/>
  <c r="A50" i="12"/>
  <c r="E49" i="12"/>
  <c r="D49" i="12"/>
  <c r="C49" i="12"/>
  <c r="F49" i="12" s="1"/>
  <c r="A49" i="12"/>
  <c r="E48" i="12"/>
  <c r="D48" i="12"/>
  <c r="C48" i="12"/>
  <c r="F48" i="12" s="1"/>
  <c r="A48" i="12"/>
  <c r="F47" i="12"/>
  <c r="E47" i="12"/>
  <c r="D47" i="12"/>
  <c r="C47" i="12"/>
  <c r="A47" i="12"/>
  <c r="E46" i="12"/>
  <c r="F46" i="12" s="1"/>
  <c r="D46" i="12"/>
  <c r="C46" i="12"/>
  <c r="A46" i="12"/>
  <c r="E45" i="12"/>
  <c r="D45" i="12"/>
  <c r="C45" i="12"/>
  <c r="F45" i="12" s="1"/>
  <c r="A45" i="12"/>
  <c r="E44" i="12"/>
  <c r="D44" i="12"/>
  <c r="C44" i="12"/>
  <c r="A44" i="12"/>
  <c r="F43" i="12"/>
  <c r="E43" i="12"/>
  <c r="D43" i="12"/>
  <c r="C43" i="12"/>
  <c r="A43" i="12"/>
  <c r="E42" i="12"/>
  <c r="F42" i="12" s="1"/>
  <c r="D42" i="12"/>
  <c r="C42" i="12"/>
  <c r="A42" i="12"/>
  <c r="E41" i="12"/>
  <c r="D41" i="12"/>
  <c r="C41" i="12"/>
  <c r="F41" i="12" s="1"/>
  <c r="A41" i="12"/>
  <c r="E40" i="12"/>
  <c r="D40" i="12"/>
  <c r="C40" i="12"/>
  <c r="F40" i="12" s="1"/>
  <c r="A40" i="12"/>
  <c r="F39" i="12"/>
  <c r="E39" i="12"/>
  <c r="D39" i="12"/>
  <c r="C39" i="12"/>
  <c r="A39" i="12"/>
  <c r="E38" i="12"/>
  <c r="D38" i="12"/>
  <c r="C38" i="12"/>
  <c r="F38" i="12" s="1"/>
  <c r="A38" i="12"/>
  <c r="E37" i="12"/>
  <c r="D37" i="12"/>
  <c r="C37" i="12"/>
  <c r="F37" i="12" s="1"/>
  <c r="A37" i="12"/>
  <c r="E36" i="12"/>
  <c r="D36" i="12"/>
  <c r="C36" i="12"/>
  <c r="F36" i="12" s="1"/>
  <c r="A36" i="12"/>
  <c r="F35" i="12"/>
  <c r="E35" i="12"/>
  <c r="D35" i="12"/>
  <c r="C35" i="12"/>
  <c r="A35" i="12"/>
  <c r="E34" i="12"/>
  <c r="D34" i="12"/>
  <c r="C34" i="12"/>
  <c r="F34" i="12" s="1"/>
  <c r="A34" i="12"/>
  <c r="E33" i="12"/>
  <c r="D33" i="12"/>
  <c r="C33" i="12"/>
  <c r="F33" i="12" s="1"/>
  <c r="A33" i="12"/>
  <c r="E32" i="12"/>
  <c r="D32" i="12"/>
  <c r="C32" i="12"/>
  <c r="F32" i="12" s="1"/>
  <c r="A32" i="12"/>
  <c r="F31" i="12"/>
  <c r="E31" i="12"/>
  <c r="D31" i="12"/>
  <c r="C31" i="12"/>
  <c r="A31" i="12"/>
  <c r="E30" i="12"/>
  <c r="D30" i="12"/>
  <c r="C30" i="12"/>
  <c r="F30" i="12" s="1"/>
  <c r="A30" i="12"/>
  <c r="E29" i="12"/>
  <c r="D29" i="12"/>
  <c r="C29" i="12"/>
  <c r="F29" i="12" s="1"/>
  <c r="A29" i="12"/>
  <c r="E28" i="12"/>
  <c r="D28" i="12"/>
  <c r="C28" i="12"/>
  <c r="F28" i="12" s="1"/>
  <c r="A28" i="12"/>
  <c r="F27" i="12"/>
  <c r="E27" i="12"/>
  <c r="D27" i="12"/>
  <c r="C27" i="12"/>
  <c r="A27" i="12"/>
  <c r="E26" i="12"/>
  <c r="D26" i="12"/>
  <c r="C26" i="12"/>
  <c r="F26" i="12" s="1"/>
  <c r="A26" i="12"/>
  <c r="E25" i="12"/>
  <c r="D25" i="12"/>
  <c r="C25" i="12"/>
  <c r="F25" i="12" s="1"/>
  <c r="A25" i="12"/>
  <c r="E24" i="12"/>
  <c r="D24" i="12"/>
  <c r="C24" i="12"/>
  <c r="F24" i="12" s="1"/>
  <c r="A24" i="12"/>
  <c r="F23" i="12"/>
  <c r="E23" i="12"/>
  <c r="D23" i="12"/>
  <c r="C23" i="12"/>
  <c r="A23" i="12"/>
  <c r="E22" i="12"/>
  <c r="D22" i="12"/>
  <c r="C22" i="12"/>
  <c r="F22" i="12" s="1"/>
  <c r="A22" i="12"/>
  <c r="E21" i="12"/>
  <c r="D21" i="12"/>
  <c r="C21" i="12"/>
  <c r="F21" i="12" s="1"/>
  <c r="A21" i="12"/>
  <c r="E20" i="12"/>
  <c r="D20" i="12"/>
  <c r="C20" i="12"/>
  <c r="F20" i="12" s="1"/>
  <c r="A20" i="12"/>
  <c r="F19" i="12"/>
  <c r="E19" i="12"/>
  <c r="D19" i="12"/>
  <c r="C19" i="12"/>
  <c r="A19" i="12"/>
  <c r="E18" i="12"/>
  <c r="D18" i="12"/>
  <c r="C18" i="12"/>
  <c r="F18" i="12" s="1"/>
  <c r="A18" i="12"/>
  <c r="E17" i="12"/>
  <c r="D17" i="12"/>
  <c r="C17" i="12"/>
  <c r="F17" i="12" s="1"/>
  <c r="A17" i="12"/>
  <c r="E16" i="12"/>
  <c r="D16" i="12"/>
  <c r="C16" i="12"/>
  <c r="A16" i="12"/>
  <c r="F15" i="12"/>
  <c r="E15" i="12"/>
  <c r="D15" i="12"/>
  <c r="C15" i="12"/>
  <c r="A15" i="12"/>
  <c r="E14" i="12"/>
  <c r="D14" i="12"/>
  <c r="C14" i="12"/>
  <c r="F14" i="12" s="1"/>
  <c r="A14" i="12"/>
  <c r="E13" i="12"/>
  <c r="D13" i="12"/>
  <c r="C13" i="12"/>
  <c r="F13" i="12" s="1"/>
  <c r="A13" i="12"/>
  <c r="E12" i="12"/>
  <c r="D12" i="12"/>
  <c r="C12" i="12"/>
  <c r="A12" i="12"/>
  <c r="F11" i="12"/>
  <c r="E11" i="12"/>
  <c r="D11" i="12"/>
  <c r="C11" i="12"/>
  <c r="A11" i="12"/>
  <c r="E10" i="12"/>
  <c r="D10" i="12"/>
  <c r="C10" i="12"/>
  <c r="F10" i="12" s="1"/>
  <c r="A10" i="12"/>
  <c r="E9" i="12"/>
  <c r="D9" i="12"/>
  <c r="C9" i="12"/>
  <c r="F9" i="12" s="1"/>
  <c r="A9" i="12"/>
  <c r="E8" i="12"/>
  <c r="D8" i="12"/>
  <c r="C8" i="12"/>
  <c r="F8" i="12" s="1"/>
  <c r="A8" i="12"/>
  <c r="E7" i="12"/>
  <c r="F7" i="12" s="1"/>
  <c r="D7" i="12"/>
  <c r="C7" i="12"/>
  <c r="A7" i="12"/>
  <c r="E6" i="12"/>
  <c r="D6" i="12"/>
  <c r="C6" i="12"/>
  <c r="F6" i="12" s="1"/>
  <c r="A6" i="12"/>
  <c r="AE5" i="12"/>
  <c r="AA5" i="12"/>
  <c r="K5" i="12"/>
  <c r="G5" i="12"/>
  <c r="AF4" i="12"/>
  <c r="AF157" i="12" s="1"/>
  <c r="AE4" i="12"/>
  <c r="AA4" i="12"/>
  <c r="AA157" i="12" s="1"/>
  <c r="Y4" i="12"/>
  <c r="X4" i="12"/>
  <c r="X5" i="12" s="1"/>
  <c r="V4" i="12"/>
  <c r="U4" i="12"/>
  <c r="U157" i="12" s="1"/>
  <c r="T4" i="12"/>
  <c r="S4" i="12"/>
  <c r="R4" i="12"/>
  <c r="L4" i="12"/>
  <c r="L157" i="12" s="1"/>
  <c r="K4" i="12"/>
  <c r="K157" i="12" s="1"/>
  <c r="G4" i="12"/>
  <c r="F2" i="12"/>
  <c r="AK4" i="12" s="1"/>
  <c r="A1" i="12"/>
  <c r="AK157" i="11"/>
  <c r="AI157" i="11"/>
  <c r="AG157" i="11"/>
  <c r="AF157" i="11"/>
  <c r="AE157" i="11"/>
  <c r="Y157" i="11"/>
  <c r="S157" i="11"/>
  <c r="R157" i="11"/>
  <c r="Q157" i="11"/>
  <c r="O157" i="11"/>
  <c r="M157" i="11"/>
  <c r="L157" i="11"/>
  <c r="F155" i="11"/>
  <c r="E155" i="11"/>
  <c r="D155" i="11"/>
  <c r="C155" i="11"/>
  <c r="A155" i="11"/>
  <c r="F154" i="11"/>
  <c r="E154" i="11"/>
  <c r="D154" i="11"/>
  <c r="C154" i="11"/>
  <c r="A154" i="11"/>
  <c r="F153" i="11"/>
  <c r="E153" i="11"/>
  <c r="D153" i="11"/>
  <c r="C153" i="11"/>
  <c r="A153" i="11"/>
  <c r="F152" i="11"/>
  <c r="E152" i="11"/>
  <c r="D152" i="11"/>
  <c r="C152" i="11"/>
  <c r="A152" i="11"/>
  <c r="F151" i="11"/>
  <c r="E151" i="11"/>
  <c r="D151" i="11"/>
  <c r="C151" i="11"/>
  <c r="A151" i="11"/>
  <c r="F150" i="11"/>
  <c r="E150" i="11"/>
  <c r="D150" i="11"/>
  <c r="C150" i="11"/>
  <c r="A150" i="11"/>
  <c r="F149" i="11"/>
  <c r="E149" i="11"/>
  <c r="D149" i="11"/>
  <c r="C149" i="11"/>
  <c r="A149" i="11"/>
  <c r="F148" i="11"/>
  <c r="E148" i="11"/>
  <c r="D148" i="11"/>
  <c r="C148" i="11"/>
  <c r="A148" i="11"/>
  <c r="F147" i="11"/>
  <c r="E147" i="11"/>
  <c r="D147" i="11"/>
  <c r="C147" i="11"/>
  <c r="A147" i="11"/>
  <c r="F146" i="11"/>
  <c r="E146" i="11"/>
  <c r="D146" i="11"/>
  <c r="C146" i="11"/>
  <c r="A146" i="11"/>
  <c r="F145" i="11"/>
  <c r="E145" i="11"/>
  <c r="D145" i="11"/>
  <c r="C145" i="11"/>
  <c r="A145" i="11"/>
  <c r="F144" i="11"/>
  <c r="E144" i="11"/>
  <c r="D144" i="11"/>
  <c r="C144" i="11"/>
  <c r="A144" i="11"/>
  <c r="F143" i="11"/>
  <c r="E143" i="11"/>
  <c r="D143" i="11"/>
  <c r="C143" i="11"/>
  <c r="A143" i="11"/>
  <c r="F142" i="11"/>
  <c r="E142" i="11"/>
  <c r="D142" i="11"/>
  <c r="C142" i="11"/>
  <c r="A142" i="11"/>
  <c r="F141" i="11"/>
  <c r="E141" i="11"/>
  <c r="D141" i="11"/>
  <c r="C141" i="11"/>
  <c r="A141" i="11"/>
  <c r="F140" i="11"/>
  <c r="E140" i="11"/>
  <c r="D140" i="11"/>
  <c r="C140" i="11"/>
  <c r="A140" i="11"/>
  <c r="F139" i="11"/>
  <c r="E139" i="11"/>
  <c r="D139" i="11"/>
  <c r="C139" i="11"/>
  <c r="A139" i="11"/>
  <c r="F138" i="11"/>
  <c r="E138" i="11"/>
  <c r="D138" i="11"/>
  <c r="C138" i="11"/>
  <c r="A138" i="11"/>
  <c r="F137" i="11"/>
  <c r="E137" i="11"/>
  <c r="D137" i="11"/>
  <c r="C137" i="11"/>
  <c r="A137" i="11"/>
  <c r="F136" i="11"/>
  <c r="E136" i="11"/>
  <c r="D136" i="11"/>
  <c r="C136" i="11"/>
  <c r="A136" i="11"/>
  <c r="F135" i="11"/>
  <c r="E135" i="11"/>
  <c r="D135" i="11"/>
  <c r="C135" i="11"/>
  <c r="A135" i="11"/>
  <c r="F134" i="11"/>
  <c r="E134" i="11"/>
  <c r="D134" i="11"/>
  <c r="C134" i="11"/>
  <c r="A134" i="11"/>
  <c r="F133" i="11"/>
  <c r="E133" i="11"/>
  <c r="D133" i="11"/>
  <c r="C133" i="11"/>
  <c r="A133" i="11"/>
  <c r="F132" i="11"/>
  <c r="E132" i="11"/>
  <c r="D132" i="11"/>
  <c r="C132" i="11"/>
  <c r="A132" i="11"/>
  <c r="F131" i="11"/>
  <c r="E131" i="11"/>
  <c r="D131" i="11"/>
  <c r="C131" i="11"/>
  <c r="A131" i="11"/>
  <c r="F130" i="11"/>
  <c r="E130" i="11"/>
  <c r="D130" i="11"/>
  <c r="C130" i="11"/>
  <c r="A130" i="11"/>
  <c r="F129" i="11"/>
  <c r="E129" i="11"/>
  <c r="D129" i="11"/>
  <c r="C129" i="11"/>
  <c r="A129" i="11"/>
  <c r="F128" i="11"/>
  <c r="E128" i="11"/>
  <c r="D128" i="11"/>
  <c r="C128" i="11"/>
  <c r="A128" i="11"/>
  <c r="F127" i="11"/>
  <c r="E127" i="11"/>
  <c r="D127" i="11"/>
  <c r="C127" i="11"/>
  <c r="A127" i="11"/>
  <c r="F126" i="11"/>
  <c r="E126" i="11"/>
  <c r="D126" i="11"/>
  <c r="C126" i="11"/>
  <c r="A126" i="11"/>
  <c r="F125" i="11"/>
  <c r="E125" i="11"/>
  <c r="D125" i="11"/>
  <c r="C125" i="11"/>
  <c r="A125" i="11"/>
  <c r="F124" i="11"/>
  <c r="E124" i="11"/>
  <c r="D124" i="11"/>
  <c r="C124" i="11"/>
  <c r="A124" i="11"/>
  <c r="F123" i="11"/>
  <c r="E123" i="11"/>
  <c r="D123" i="11"/>
  <c r="C123" i="11"/>
  <c r="A123" i="11"/>
  <c r="F122" i="11"/>
  <c r="E122" i="11"/>
  <c r="D122" i="11"/>
  <c r="C122" i="11"/>
  <c r="A122" i="11"/>
  <c r="F121" i="11"/>
  <c r="E121" i="11"/>
  <c r="D121" i="11"/>
  <c r="C121" i="11"/>
  <c r="A121" i="11"/>
  <c r="F120" i="11"/>
  <c r="E120" i="11"/>
  <c r="D120" i="11"/>
  <c r="C120" i="11"/>
  <c r="A120" i="11"/>
  <c r="F119" i="11"/>
  <c r="E119" i="11"/>
  <c r="D119" i="11"/>
  <c r="C119" i="11"/>
  <c r="A119" i="11"/>
  <c r="F118" i="11"/>
  <c r="E118" i="11"/>
  <c r="D118" i="11"/>
  <c r="C118" i="11"/>
  <c r="A118" i="11"/>
  <c r="F117" i="11"/>
  <c r="E117" i="11"/>
  <c r="D117" i="11"/>
  <c r="C117" i="11"/>
  <c r="A117" i="11"/>
  <c r="F116" i="11"/>
  <c r="E116" i="11"/>
  <c r="D116" i="11"/>
  <c r="C116" i="11"/>
  <c r="A116" i="11"/>
  <c r="F115" i="11"/>
  <c r="E115" i="11"/>
  <c r="D115" i="11"/>
  <c r="C115" i="11"/>
  <c r="A115" i="11"/>
  <c r="F114" i="11"/>
  <c r="E114" i="11"/>
  <c r="D114" i="11"/>
  <c r="C114" i="11"/>
  <c r="A114" i="11"/>
  <c r="F113" i="11"/>
  <c r="E113" i="11"/>
  <c r="D113" i="11"/>
  <c r="C113" i="11"/>
  <c r="A113" i="11"/>
  <c r="F112" i="11"/>
  <c r="E112" i="11"/>
  <c r="D112" i="11"/>
  <c r="C112" i="11"/>
  <c r="A112" i="11"/>
  <c r="F111" i="11"/>
  <c r="E111" i="11"/>
  <c r="D111" i="11"/>
  <c r="C111" i="11"/>
  <c r="A111" i="11"/>
  <c r="F110" i="11"/>
  <c r="E110" i="11"/>
  <c r="D110" i="11"/>
  <c r="C110" i="11"/>
  <c r="A110" i="11"/>
  <c r="F109" i="11"/>
  <c r="E109" i="11"/>
  <c r="D109" i="11"/>
  <c r="C109" i="11"/>
  <c r="A109" i="11"/>
  <c r="F108" i="11"/>
  <c r="E108" i="11"/>
  <c r="D108" i="11"/>
  <c r="C108" i="11"/>
  <c r="A108" i="11"/>
  <c r="F107" i="11"/>
  <c r="E107" i="11"/>
  <c r="D107" i="11"/>
  <c r="C107" i="11"/>
  <c r="A107" i="11"/>
  <c r="F106" i="11"/>
  <c r="E106" i="11"/>
  <c r="D106" i="11"/>
  <c r="C106" i="11"/>
  <c r="A106" i="11"/>
  <c r="F105" i="11"/>
  <c r="E105" i="11"/>
  <c r="D105" i="11"/>
  <c r="C105" i="11"/>
  <c r="A105" i="11"/>
  <c r="F104" i="11"/>
  <c r="E104" i="11"/>
  <c r="D104" i="11"/>
  <c r="C104" i="11"/>
  <c r="A104" i="11"/>
  <c r="F103" i="11"/>
  <c r="E103" i="11"/>
  <c r="D103" i="11"/>
  <c r="C103" i="11"/>
  <c r="A103" i="11"/>
  <c r="F102" i="11"/>
  <c r="E102" i="11"/>
  <c r="D102" i="11"/>
  <c r="C102" i="11"/>
  <c r="A102" i="11"/>
  <c r="F101" i="11"/>
  <c r="E101" i="11"/>
  <c r="D101" i="11"/>
  <c r="C101" i="11"/>
  <c r="A101" i="11"/>
  <c r="F100" i="11"/>
  <c r="E100" i="11"/>
  <c r="D100" i="11"/>
  <c r="C100" i="11"/>
  <c r="A100" i="11"/>
  <c r="F99" i="11"/>
  <c r="E99" i="11"/>
  <c r="D99" i="11"/>
  <c r="C99" i="11"/>
  <c r="A99" i="11"/>
  <c r="F98" i="11"/>
  <c r="E98" i="11"/>
  <c r="D98" i="11"/>
  <c r="C98" i="11"/>
  <c r="A98" i="11"/>
  <c r="F97" i="11"/>
  <c r="E97" i="11"/>
  <c r="D97" i="11"/>
  <c r="C97" i="11"/>
  <c r="A97" i="11"/>
  <c r="F96" i="11"/>
  <c r="E96" i="11"/>
  <c r="D96" i="11"/>
  <c r="C96" i="11"/>
  <c r="A96" i="11"/>
  <c r="F95" i="11"/>
  <c r="E95" i="11"/>
  <c r="D95" i="11"/>
  <c r="C95" i="11"/>
  <c r="A95" i="11"/>
  <c r="F94" i="11"/>
  <c r="E94" i="11"/>
  <c r="D94" i="11"/>
  <c r="C94" i="11"/>
  <c r="A94" i="11"/>
  <c r="F93" i="11"/>
  <c r="E93" i="11"/>
  <c r="D93" i="11"/>
  <c r="C93" i="11"/>
  <c r="A93" i="11"/>
  <c r="F92" i="11"/>
  <c r="E92" i="11"/>
  <c r="D92" i="11"/>
  <c r="C92" i="11"/>
  <c r="A92" i="11"/>
  <c r="F91" i="11"/>
  <c r="E91" i="11"/>
  <c r="D91" i="11"/>
  <c r="C91" i="11"/>
  <c r="A91" i="11"/>
  <c r="F90" i="11"/>
  <c r="E90" i="11"/>
  <c r="D90" i="11"/>
  <c r="C90" i="11"/>
  <c r="A90" i="11"/>
  <c r="F89" i="11"/>
  <c r="E89" i="11"/>
  <c r="D89" i="11"/>
  <c r="C89" i="11"/>
  <c r="A89" i="11"/>
  <c r="F88" i="11"/>
  <c r="E88" i="11"/>
  <c r="D88" i="11"/>
  <c r="C88" i="11"/>
  <c r="A88" i="11"/>
  <c r="E87" i="11"/>
  <c r="D87" i="11"/>
  <c r="C87" i="11"/>
  <c r="A87" i="11"/>
  <c r="E86" i="11"/>
  <c r="D86" i="11"/>
  <c r="C86" i="11"/>
  <c r="F86" i="11" s="1"/>
  <c r="A86" i="11"/>
  <c r="E85" i="11"/>
  <c r="F85" i="11" s="1"/>
  <c r="D85" i="11"/>
  <c r="C85" i="11"/>
  <c r="A85" i="11"/>
  <c r="E84" i="11"/>
  <c r="D84" i="11"/>
  <c r="C84" i="11"/>
  <c r="A84" i="11"/>
  <c r="E83" i="11"/>
  <c r="D83" i="11"/>
  <c r="C83" i="11"/>
  <c r="A83" i="11"/>
  <c r="E82" i="11"/>
  <c r="D82" i="11"/>
  <c r="C82" i="11"/>
  <c r="A82" i="11"/>
  <c r="E81" i="11"/>
  <c r="D81" i="11"/>
  <c r="C81" i="11"/>
  <c r="F81" i="11" s="1"/>
  <c r="A81" i="11"/>
  <c r="E80" i="11"/>
  <c r="D80" i="11"/>
  <c r="C80" i="11"/>
  <c r="F80" i="11" s="1"/>
  <c r="A80" i="11"/>
  <c r="E79" i="11"/>
  <c r="D79" i="11"/>
  <c r="C79" i="11"/>
  <c r="F79" i="11" s="1"/>
  <c r="A79" i="11"/>
  <c r="E78" i="11"/>
  <c r="D78" i="11"/>
  <c r="C78" i="11"/>
  <c r="A78" i="11"/>
  <c r="E77" i="11"/>
  <c r="D77" i="11"/>
  <c r="C77" i="11"/>
  <c r="F77" i="11" s="1"/>
  <c r="A77" i="11"/>
  <c r="E76" i="11"/>
  <c r="D76" i="11"/>
  <c r="C76" i="11"/>
  <c r="A76" i="11"/>
  <c r="E75" i="11"/>
  <c r="D75" i="11"/>
  <c r="C75" i="11"/>
  <c r="F75" i="11" s="1"/>
  <c r="A75" i="11"/>
  <c r="E74" i="11"/>
  <c r="D74" i="11"/>
  <c r="C74" i="11"/>
  <c r="F74" i="11" s="1"/>
  <c r="A74" i="11"/>
  <c r="E73" i="11"/>
  <c r="F73" i="11" s="1"/>
  <c r="D73" i="11"/>
  <c r="C73" i="11"/>
  <c r="A73" i="11"/>
  <c r="E72" i="11"/>
  <c r="D72" i="11"/>
  <c r="C72" i="11"/>
  <c r="F72" i="11" s="1"/>
  <c r="A72" i="11"/>
  <c r="E71" i="11"/>
  <c r="D71" i="11"/>
  <c r="C71" i="11"/>
  <c r="F71" i="11" s="1"/>
  <c r="A71" i="11"/>
  <c r="F70" i="11"/>
  <c r="E70" i="11"/>
  <c r="D70" i="11"/>
  <c r="C70" i="11"/>
  <c r="A70" i="11"/>
  <c r="E69" i="11"/>
  <c r="D69" i="11"/>
  <c r="C69" i="11"/>
  <c r="F69" i="11" s="1"/>
  <c r="A69" i="11"/>
  <c r="E68" i="11"/>
  <c r="D68" i="11"/>
  <c r="C68" i="11"/>
  <c r="F68" i="11" s="1"/>
  <c r="A68" i="11"/>
  <c r="E67" i="11"/>
  <c r="D67" i="11"/>
  <c r="C67" i="11"/>
  <c r="F67" i="11" s="1"/>
  <c r="A67" i="11"/>
  <c r="F66" i="11"/>
  <c r="E66" i="11"/>
  <c r="D66" i="11"/>
  <c r="C66" i="11"/>
  <c r="A66" i="11"/>
  <c r="E65" i="11"/>
  <c r="D65" i="11"/>
  <c r="C65" i="11"/>
  <c r="F65" i="11" s="1"/>
  <c r="A65" i="11"/>
  <c r="E64" i="11"/>
  <c r="D64" i="11"/>
  <c r="C64" i="11"/>
  <c r="F64" i="11" s="1"/>
  <c r="A64" i="11"/>
  <c r="E63" i="11"/>
  <c r="D63" i="11"/>
  <c r="C63" i="11"/>
  <c r="A63" i="11"/>
  <c r="F62" i="11"/>
  <c r="E62" i="11"/>
  <c r="D62" i="11"/>
  <c r="C62" i="11"/>
  <c r="A62" i="11"/>
  <c r="E61" i="11"/>
  <c r="F61" i="11" s="1"/>
  <c r="D61" i="11"/>
  <c r="C61" i="11"/>
  <c r="A61" i="11"/>
  <c r="E60" i="11"/>
  <c r="D60" i="11"/>
  <c r="C60" i="11"/>
  <c r="A60" i="11"/>
  <c r="E59" i="11"/>
  <c r="D59" i="11"/>
  <c r="C59" i="11"/>
  <c r="F59" i="11" s="1"/>
  <c r="A59" i="11"/>
  <c r="E58" i="11"/>
  <c r="F58" i="11" s="1"/>
  <c r="D58" i="11"/>
  <c r="C58" i="11"/>
  <c r="A58" i="11"/>
  <c r="E57" i="11"/>
  <c r="F57" i="11" s="1"/>
  <c r="D57" i="11"/>
  <c r="C57" i="11"/>
  <c r="A57" i="11"/>
  <c r="E56" i="11"/>
  <c r="D56" i="11"/>
  <c r="C56" i="11"/>
  <c r="F56" i="11" s="1"/>
  <c r="A56" i="11"/>
  <c r="E55" i="11"/>
  <c r="D55" i="11"/>
  <c r="C55" i="11"/>
  <c r="F55" i="11" s="1"/>
  <c r="A55" i="11"/>
  <c r="E54" i="11"/>
  <c r="D54" i="11"/>
  <c r="C54" i="11"/>
  <c r="A54" i="11"/>
  <c r="E53" i="11"/>
  <c r="D53" i="11"/>
  <c r="C53" i="11"/>
  <c r="A53" i="11"/>
  <c r="E52" i="11"/>
  <c r="D52" i="11"/>
  <c r="C52" i="11"/>
  <c r="F52" i="11" s="1"/>
  <c r="A52" i="11"/>
  <c r="E51" i="11"/>
  <c r="D51" i="11"/>
  <c r="C51" i="11"/>
  <c r="A51" i="11"/>
  <c r="E50" i="11"/>
  <c r="D50" i="11"/>
  <c r="C50" i="11"/>
  <c r="F50" i="11" s="1"/>
  <c r="A50" i="11"/>
  <c r="E49" i="11"/>
  <c r="F49" i="11" s="1"/>
  <c r="D49" i="11"/>
  <c r="C49" i="11"/>
  <c r="A49" i="11"/>
  <c r="E48" i="11"/>
  <c r="D48" i="11"/>
  <c r="C48" i="11"/>
  <c r="A48" i="11"/>
  <c r="E47" i="11"/>
  <c r="D47" i="11"/>
  <c r="C47" i="11"/>
  <c r="A47" i="11"/>
  <c r="E46" i="11"/>
  <c r="D46" i="11"/>
  <c r="C46" i="11"/>
  <c r="F46" i="11" s="1"/>
  <c r="A46" i="11"/>
  <c r="E45" i="11"/>
  <c r="D45" i="11"/>
  <c r="C45" i="11"/>
  <c r="F45" i="11" s="1"/>
  <c r="A45" i="11"/>
  <c r="E44" i="11"/>
  <c r="D44" i="11"/>
  <c r="C44" i="11"/>
  <c r="F44" i="11" s="1"/>
  <c r="A44" i="11"/>
  <c r="E43" i="11"/>
  <c r="D43" i="11"/>
  <c r="C43" i="11"/>
  <c r="F43" i="11" s="1"/>
  <c r="A43" i="11"/>
  <c r="E42" i="11"/>
  <c r="D42" i="11"/>
  <c r="C42" i="11"/>
  <c r="F42" i="11" s="1"/>
  <c r="A42" i="11"/>
  <c r="E41" i="11"/>
  <c r="D41" i="11"/>
  <c r="C41" i="11"/>
  <c r="A41" i="11"/>
  <c r="E40" i="11"/>
  <c r="D40" i="11"/>
  <c r="C40" i="11"/>
  <c r="F40" i="11" s="1"/>
  <c r="A40" i="11"/>
  <c r="E39" i="11"/>
  <c r="D39" i="11"/>
  <c r="C39" i="11"/>
  <c r="F39" i="11" s="1"/>
  <c r="A39" i="11"/>
  <c r="E38" i="11"/>
  <c r="D38" i="11"/>
  <c r="C38" i="11"/>
  <c r="F38" i="11" s="1"/>
  <c r="A38" i="11"/>
  <c r="F37" i="11"/>
  <c r="E37" i="11"/>
  <c r="D37" i="11"/>
  <c r="C37" i="11"/>
  <c r="A37" i="11"/>
  <c r="E36" i="11"/>
  <c r="D36" i="11"/>
  <c r="C36" i="11"/>
  <c r="F36" i="11" s="1"/>
  <c r="A36" i="11"/>
  <c r="E35" i="11"/>
  <c r="D35" i="11"/>
  <c r="C35" i="11"/>
  <c r="F35" i="11" s="1"/>
  <c r="A35" i="11"/>
  <c r="E34" i="11"/>
  <c r="D34" i="11"/>
  <c r="C34" i="11"/>
  <c r="A34" i="11"/>
  <c r="E33" i="11"/>
  <c r="D33" i="11"/>
  <c r="C33" i="11"/>
  <c r="F33" i="11" s="1"/>
  <c r="A33" i="11"/>
  <c r="E32" i="11"/>
  <c r="D32" i="11"/>
  <c r="C32" i="11"/>
  <c r="F32" i="11" s="1"/>
  <c r="A32" i="11"/>
  <c r="E31" i="11"/>
  <c r="D31" i="11"/>
  <c r="C31" i="11"/>
  <c r="A31" i="11"/>
  <c r="E30" i="11"/>
  <c r="D30" i="11"/>
  <c r="C30" i="11"/>
  <c r="F30" i="11" s="1"/>
  <c r="A30" i="11"/>
  <c r="E29" i="11"/>
  <c r="D29" i="11"/>
  <c r="C29" i="11"/>
  <c r="A29" i="11"/>
  <c r="E28" i="11"/>
  <c r="D28" i="11"/>
  <c r="C28" i="11"/>
  <c r="F28" i="11" s="1"/>
  <c r="A28" i="11"/>
  <c r="E27" i="11"/>
  <c r="D27" i="11"/>
  <c r="C27" i="11"/>
  <c r="A27" i="11"/>
  <c r="E26" i="11"/>
  <c r="D26" i="11"/>
  <c r="C26" i="11"/>
  <c r="A26" i="11"/>
  <c r="E25" i="11"/>
  <c r="D25" i="11"/>
  <c r="C25" i="11"/>
  <c r="F25" i="11" s="1"/>
  <c r="A25" i="11"/>
  <c r="E24" i="11"/>
  <c r="D24" i="11"/>
  <c r="C24" i="11"/>
  <c r="F24" i="11" s="1"/>
  <c r="A24" i="11"/>
  <c r="E23" i="11"/>
  <c r="D23" i="11"/>
  <c r="C23" i="11"/>
  <c r="A23" i="11"/>
  <c r="E22" i="11"/>
  <c r="D22" i="11"/>
  <c r="C22" i="11"/>
  <c r="F22" i="11" s="1"/>
  <c r="A22" i="11"/>
  <c r="E21" i="11"/>
  <c r="D21" i="11"/>
  <c r="C21" i="11"/>
  <c r="A21" i="11"/>
  <c r="E20" i="11"/>
  <c r="D20" i="11"/>
  <c r="C20" i="11"/>
  <c r="F20" i="11" s="1"/>
  <c r="A20" i="11"/>
  <c r="E19" i="11"/>
  <c r="D19" i="11"/>
  <c r="C19" i="11"/>
  <c r="F19" i="11" s="1"/>
  <c r="A19" i="11"/>
  <c r="E18" i="11"/>
  <c r="D18" i="11"/>
  <c r="C18" i="11"/>
  <c r="F18" i="11" s="1"/>
  <c r="A18" i="11"/>
  <c r="E17" i="11"/>
  <c r="F17" i="11" s="1"/>
  <c r="D17" i="11"/>
  <c r="C17" i="11"/>
  <c r="A17" i="11"/>
  <c r="E16" i="11"/>
  <c r="D16" i="11"/>
  <c r="C16" i="11"/>
  <c r="F16" i="11" s="1"/>
  <c r="A16" i="11"/>
  <c r="E15" i="11"/>
  <c r="D15" i="11"/>
  <c r="C15" i="11"/>
  <c r="F15" i="11" s="1"/>
  <c r="A15" i="11"/>
  <c r="E14" i="11"/>
  <c r="D14" i="11"/>
  <c r="C14" i="11"/>
  <c r="F14" i="11" s="1"/>
  <c r="A14" i="11"/>
  <c r="E13" i="11"/>
  <c r="D13" i="11"/>
  <c r="C13" i="11"/>
  <c r="A13" i="11"/>
  <c r="E12" i="11"/>
  <c r="D12" i="11"/>
  <c r="C12" i="11"/>
  <c r="F12" i="11" s="1"/>
  <c r="A12" i="11"/>
  <c r="E11" i="11"/>
  <c r="D11" i="11"/>
  <c r="C11" i="11"/>
  <c r="F11" i="11" s="1"/>
  <c r="A11" i="11"/>
  <c r="E10" i="11"/>
  <c r="D10" i="11"/>
  <c r="C10" i="11"/>
  <c r="F10" i="11" s="1"/>
  <c r="A10" i="11"/>
  <c r="E9" i="11"/>
  <c r="D9" i="11"/>
  <c r="C9" i="11"/>
  <c r="A9" i="11"/>
  <c r="E8" i="11"/>
  <c r="D8" i="11"/>
  <c r="C8" i="11"/>
  <c r="F8" i="11" s="1"/>
  <c r="A8" i="11"/>
  <c r="E7" i="11"/>
  <c r="D7" i="11"/>
  <c r="C7" i="11"/>
  <c r="F7" i="11" s="1"/>
  <c r="A7" i="11"/>
  <c r="E6" i="11"/>
  <c r="D6" i="11"/>
  <c r="C6" i="11"/>
  <c r="A6" i="11"/>
  <c r="AK5" i="11"/>
  <c r="AJ5" i="11"/>
  <c r="Y5" i="11"/>
  <c r="V5" i="11"/>
  <c r="T5" i="11"/>
  <c r="S5" i="11"/>
  <c r="R5" i="11"/>
  <c r="Q5" i="11"/>
  <c r="P5" i="11"/>
  <c r="AK4" i="11"/>
  <c r="AJ4" i="11"/>
  <c r="AJ157" i="11" s="1"/>
  <c r="AI4" i="11"/>
  <c r="AI5" i="11" s="1"/>
  <c r="AH4" i="11"/>
  <c r="AG4" i="11"/>
  <c r="AG5" i="11" s="1"/>
  <c r="AF4" i="11"/>
  <c r="AF5" i="11" s="1"/>
  <c r="AE4" i="11"/>
  <c r="AE5" i="11" s="1"/>
  <c r="AD4" i="11"/>
  <c r="AD157" i="11" s="1"/>
  <c r="AC4" i="11"/>
  <c r="AB4" i="11"/>
  <c r="AA4" i="11"/>
  <c r="Y4" i="11"/>
  <c r="V4" i="11"/>
  <c r="V157" i="11" s="1"/>
  <c r="U4" i="11"/>
  <c r="U157" i="11" s="1"/>
  <c r="T4" i="11"/>
  <c r="T157" i="11" s="1"/>
  <c r="S4" i="11"/>
  <c r="R4" i="11"/>
  <c r="Q4" i="11"/>
  <c r="P4" i="11"/>
  <c r="P157" i="11" s="1"/>
  <c r="O4" i="11"/>
  <c r="O5" i="11" s="1"/>
  <c r="N4" i="11"/>
  <c r="M4" i="11"/>
  <c r="M5" i="11" s="1"/>
  <c r="L4" i="11"/>
  <c r="L5" i="11" s="1"/>
  <c r="K4" i="11"/>
  <c r="J4" i="11"/>
  <c r="J157" i="11" s="1"/>
  <c r="I4" i="11"/>
  <c r="H4" i="11"/>
  <c r="G4" i="11"/>
  <c r="F2" i="11"/>
  <c r="Z4" i="11" s="1"/>
  <c r="A1" i="11"/>
  <c r="X157" i="10"/>
  <c r="V157" i="10"/>
  <c r="U157" i="10"/>
  <c r="F155" i="10"/>
  <c r="E155" i="10"/>
  <c r="D155" i="10"/>
  <c r="C155" i="10"/>
  <c r="A155" i="10"/>
  <c r="F154" i="10"/>
  <c r="E154" i="10"/>
  <c r="D154" i="10"/>
  <c r="C154" i="10"/>
  <c r="A154" i="10"/>
  <c r="F153" i="10"/>
  <c r="E153" i="10"/>
  <c r="D153" i="10"/>
  <c r="C153" i="10"/>
  <c r="A153" i="10"/>
  <c r="F152" i="10"/>
  <c r="E152" i="10"/>
  <c r="D152" i="10"/>
  <c r="C152" i="10"/>
  <c r="A152" i="10"/>
  <c r="F151" i="10"/>
  <c r="E151" i="10"/>
  <c r="D151" i="10"/>
  <c r="C151" i="10"/>
  <c r="A151" i="10"/>
  <c r="F150" i="10"/>
  <c r="E150" i="10"/>
  <c r="D150" i="10"/>
  <c r="C150" i="10"/>
  <c r="A150" i="10"/>
  <c r="F149" i="10"/>
  <c r="E149" i="10"/>
  <c r="D149" i="10"/>
  <c r="C149" i="10"/>
  <c r="A149" i="10"/>
  <c r="F148" i="10"/>
  <c r="E148" i="10"/>
  <c r="D148" i="10"/>
  <c r="C148" i="10"/>
  <c r="A148" i="10"/>
  <c r="F147" i="10"/>
  <c r="E147" i="10"/>
  <c r="D147" i="10"/>
  <c r="C147" i="10"/>
  <c r="A147" i="10"/>
  <c r="F146" i="10"/>
  <c r="E146" i="10"/>
  <c r="D146" i="10"/>
  <c r="C146" i="10"/>
  <c r="A146" i="10"/>
  <c r="F145" i="10"/>
  <c r="E145" i="10"/>
  <c r="D145" i="10"/>
  <c r="C145" i="10"/>
  <c r="A145" i="10"/>
  <c r="F144" i="10"/>
  <c r="E144" i="10"/>
  <c r="D144" i="10"/>
  <c r="C144" i="10"/>
  <c r="A144" i="10"/>
  <c r="F143" i="10"/>
  <c r="E143" i="10"/>
  <c r="D143" i="10"/>
  <c r="C143" i="10"/>
  <c r="A143" i="10"/>
  <c r="F142" i="10"/>
  <c r="E142" i="10"/>
  <c r="D142" i="10"/>
  <c r="C142" i="10"/>
  <c r="A142" i="10"/>
  <c r="F141" i="10"/>
  <c r="E141" i="10"/>
  <c r="D141" i="10"/>
  <c r="C141" i="10"/>
  <c r="A141" i="10"/>
  <c r="F140" i="10"/>
  <c r="E140" i="10"/>
  <c r="D140" i="10"/>
  <c r="C140" i="10"/>
  <c r="A140" i="10"/>
  <c r="F139" i="10"/>
  <c r="E139" i="10"/>
  <c r="D139" i="10"/>
  <c r="C139" i="10"/>
  <c r="A139" i="10"/>
  <c r="F138" i="10"/>
  <c r="E138" i="10"/>
  <c r="D138" i="10"/>
  <c r="C138" i="10"/>
  <c r="A138" i="10"/>
  <c r="F137" i="10"/>
  <c r="E137" i="10"/>
  <c r="D137" i="10"/>
  <c r="C137" i="10"/>
  <c r="A137" i="10"/>
  <c r="F136" i="10"/>
  <c r="E136" i="10"/>
  <c r="D136" i="10"/>
  <c r="C136" i="10"/>
  <c r="A136" i="10"/>
  <c r="F135" i="10"/>
  <c r="E135" i="10"/>
  <c r="D135" i="10"/>
  <c r="C135" i="10"/>
  <c r="A135" i="10"/>
  <c r="F134" i="10"/>
  <c r="E134" i="10"/>
  <c r="D134" i="10"/>
  <c r="C134" i="10"/>
  <c r="A134" i="10"/>
  <c r="F133" i="10"/>
  <c r="E133" i="10"/>
  <c r="D133" i="10"/>
  <c r="C133" i="10"/>
  <c r="A133" i="10"/>
  <c r="F132" i="10"/>
  <c r="E132" i="10"/>
  <c r="D132" i="10"/>
  <c r="C132" i="10"/>
  <c r="A132" i="10"/>
  <c r="F131" i="10"/>
  <c r="E131" i="10"/>
  <c r="D131" i="10"/>
  <c r="C131" i="10"/>
  <c r="A131" i="10"/>
  <c r="F130" i="10"/>
  <c r="E130" i="10"/>
  <c r="D130" i="10"/>
  <c r="C130" i="10"/>
  <c r="A130" i="10"/>
  <c r="F129" i="10"/>
  <c r="E129" i="10"/>
  <c r="D129" i="10"/>
  <c r="C129" i="10"/>
  <c r="A129" i="10"/>
  <c r="F128" i="10"/>
  <c r="E128" i="10"/>
  <c r="D128" i="10"/>
  <c r="C128" i="10"/>
  <c r="A128" i="10"/>
  <c r="F127" i="10"/>
  <c r="E127" i="10"/>
  <c r="D127" i="10"/>
  <c r="C127" i="10"/>
  <c r="A127" i="10"/>
  <c r="F126" i="10"/>
  <c r="E126" i="10"/>
  <c r="D126" i="10"/>
  <c r="C126" i="10"/>
  <c r="A126" i="10"/>
  <c r="F125" i="10"/>
  <c r="E125" i="10"/>
  <c r="D125" i="10"/>
  <c r="C125" i="10"/>
  <c r="A125" i="10"/>
  <c r="F124" i="10"/>
  <c r="E124" i="10"/>
  <c r="D124" i="10"/>
  <c r="C124" i="10"/>
  <c r="A124" i="10"/>
  <c r="F123" i="10"/>
  <c r="E123" i="10"/>
  <c r="D123" i="10"/>
  <c r="C123" i="10"/>
  <c r="A123" i="10"/>
  <c r="F122" i="10"/>
  <c r="E122" i="10"/>
  <c r="D122" i="10"/>
  <c r="C122" i="10"/>
  <c r="A122" i="10"/>
  <c r="F121" i="10"/>
  <c r="E121" i="10"/>
  <c r="D121" i="10"/>
  <c r="C121" i="10"/>
  <c r="A121" i="10"/>
  <c r="F120" i="10"/>
  <c r="E120" i="10"/>
  <c r="D120" i="10"/>
  <c r="C120" i="10"/>
  <c r="A120" i="10"/>
  <c r="F119" i="10"/>
  <c r="E119" i="10"/>
  <c r="D119" i="10"/>
  <c r="C119" i="10"/>
  <c r="A119" i="10"/>
  <c r="F118" i="10"/>
  <c r="E118" i="10"/>
  <c r="D118" i="10"/>
  <c r="C118" i="10"/>
  <c r="A118" i="10"/>
  <c r="F117" i="10"/>
  <c r="E117" i="10"/>
  <c r="D117" i="10"/>
  <c r="C117" i="10"/>
  <c r="A117" i="10"/>
  <c r="F116" i="10"/>
  <c r="E116" i="10"/>
  <c r="D116" i="10"/>
  <c r="C116" i="10"/>
  <c r="A116" i="10"/>
  <c r="F115" i="10"/>
  <c r="E115" i="10"/>
  <c r="D115" i="10"/>
  <c r="C115" i="10"/>
  <c r="A115" i="10"/>
  <c r="F114" i="10"/>
  <c r="E114" i="10"/>
  <c r="D114" i="10"/>
  <c r="C114" i="10"/>
  <c r="A114" i="10"/>
  <c r="F113" i="10"/>
  <c r="E113" i="10"/>
  <c r="D113" i="10"/>
  <c r="C113" i="10"/>
  <c r="A113" i="10"/>
  <c r="F112" i="10"/>
  <c r="E112" i="10"/>
  <c r="D112" i="10"/>
  <c r="C112" i="10"/>
  <c r="A112" i="10"/>
  <c r="F111" i="10"/>
  <c r="E111" i="10"/>
  <c r="D111" i="10"/>
  <c r="C111" i="10"/>
  <c r="A111" i="10"/>
  <c r="F110" i="10"/>
  <c r="E110" i="10"/>
  <c r="D110" i="10"/>
  <c r="C110" i="10"/>
  <c r="A110" i="10"/>
  <c r="F109" i="10"/>
  <c r="E109" i="10"/>
  <c r="D109" i="10"/>
  <c r="C109" i="10"/>
  <c r="A109" i="10"/>
  <c r="F108" i="10"/>
  <c r="E108" i="10"/>
  <c r="D108" i="10"/>
  <c r="C108" i="10"/>
  <c r="A108" i="10"/>
  <c r="F107" i="10"/>
  <c r="E107" i="10"/>
  <c r="D107" i="10"/>
  <c r="C107" i="10"/>
  <c r="A107" i="10"/>
  <c r="F106" i="10"/>
  <c r="E106" i="10"/>
  <c r="D106" i="10"/>
  <c r="C106" i="10"/>
  <c r="A106" i="10"/>
  <c r="F105" i="10"/>
  <c r="E105" i="10"/>
  <c r="D105" i="10"/>
  <c r="C105" i="10"/>
  <c r="A105" i="10"/>
  <c r="F104" i="10"/>
  <c r="E104" i="10"/>
  <c r="D104" i="10"/>
  <c r="C104" i="10"/>
  <c r="A104" i="10"/>
  <c r="F103" i="10"/>
  <c r="E103" i="10"/>
  <c r="D103" i="10"/>
  <c r="C103" i="10"/>
  <c r="A103" i="10"/>
  <c r="F102" i="10"/>
  <c r="E102" i="10"/>
  <c r="D102" i="10"/>
  <c r="C102" i="10"/>
  <c r="A102" i="10"/>
  <c r="F101" i="10"/>
  <c r="E101" i="10"/>
  <c r="D101" i="10"/>
  <c r="C101" i="10"/>
  <c r="A101" i="10"/>
  <c r="F100" i="10"/>
  <c r="E100" i="10"/>
  <c r="D100" i="10"/>
  <c r="C100" i="10"/>
  <c r="A100" i="10"/>
  <c r="F99" i="10"/>
  <c r="E99" i="10"/>
  <c r="D99" i="10"/>
  <c r="C99" i="10"/>
  <c r="A99" i="10"/>
  <c r="F98" i="10"/>
  <c r="E98" i="10"/>
  <c r="D98" i="10"/>
  <c r="C98" i="10"/>
  <c r="A98" i="10"/>
  <c r="F97" i="10"/>
  <c r="E97" i="10"/>
  <c r="D97" i="10"/>
  <c r="C97" i="10"/>
  <c r="A97" i="10"/>
  <c r="F96" i="10"/>
  <c r="E96" i="10"/>
  <c r="D96" i="10"/>
  <c r="C96" i="10"/>
  <c r="A96" i="10"/>
  <c r="F95" i="10"/>
  <c r="E95" i="10"/>
  <c r="D95" i="10"/>
  <c r="C95" i="10"/>
  <c r="A95" i="10"/>
  <c r="F94" i="10"/>
  <c r="E94" i="10"/>
  <c r="D94" i="10"/>
  <c r="C94" i="10"/>
  <c r="A94" i="10"/>
  <c r="F93" i="10"/>
  <c r="E93" i="10"/>
  <c r="D93" i="10"/>
  <c r="C93" i="10"/>
  <c r="A93" i="10"/>
  <c r="F92" i="10"/>
  <c r="E92" i="10"/>
  <c r="D92" i="10"/>
  <c r="C92" i="10"/>
  <c r="A92" i="10"/>
  <c r="F91" i="10"/>
  <c r="E91" i="10"/>
  <c r="D91" i="10"/>
  <c r="C91" i="10"/>
  <c r="A91" i="10"/>
  <c r="F90" i="10"/>
  <c r="E90" i="10"/>
  <c r="D90" i="10"/>
  <c r="C90" i="10"/>
  <c r="A90" i="10"/>
  <c r="F89" i="10"/>
  <c r="E89" i="10"/>
  <c r="D89" i="10"/>
  <c r="C89" i="10"/>
  <c r="A89" i="10"/>
  <c r="F88" i="10"/>
  <c r="E88" i="10"/>
  <c r="D88" i="10"/>
  <c r="C88" i="10"/>
  <c r="A88" i="10"/>
  <c r="E87" i="10"/>
  <c r="D87" i="10"/>
  <c r="C87" i="10"/>
  <c r="A87" i="10"/>
  <c r="E86" i="10"/>
  <c r="D86" i="10"/>
  <c r="C86" i="10"/>
  <c r="F86" i="10" s="1"/>
  <c r="A86" i="10"/>
  <c r="E85" i="10"/>
  <c r="D85" i="10"/>
  <c r="C85" i="10"/>
  <c r="F85" i="10" s="1"/>
  <c r="A85" i="10"/>
  <c r="E84" i="10"/>
  <c r="F84" i="10" s="1"/>
  <c r="D84" i="10"/>
  <c r="C84" i="10"/>
  <c r="A84" i="10"/>
  <c r="E83" i="10"/>
  <c r="D83" i="10"/>
  <c r="C83" i="10"/>
  <c r="F83" i="10" s="1"/>
  <c r="A83" i="10"/>
  <c r="E82" i="10"/>
  <c r="D82" i="10"/>
  <c r="C82" i="10"/>
  <c r="A82" i="10"/>
  <c r="E81" i="10"/>
  <c r="D81" i="10"/>
  <c r="C81" i="10"/>
  <c r="F81" i="10" s="1"/>
  <c r="A81" i="10"/>
  <c r="E80" i="10"/>
  <c r="D80" i="10"/>
  <c r="C80" i="10"/>
  <c r="F80" i="10" s="1"/>
  <c r="A80" i="10"/>
  <c r="E79" i="10"/>
  <c r="D79" i="10"/>
  <c r="C79" i="10"/>
  <c r="F79" i="10" s="1"/>
  <c r="A79" i="10"/>
  <c r="E78" i="10"/>
  <c r="D78" i="10"/>
  <c r="C78" i="10"/>
  <c r="A78" i="10"/>
  <c r="E77" i="10"/>
  <c r="D77" i="10"/>
  <c r="C77" i="10"/>
  <c r="F77" i="10" s="1"/>
  <c r="A77" i="10"/>
  <c r="E76" i="10"/>
  <c r="D76" i="10"/>
  <c r="C76" i="10"/>
  <c r="A76" i="10"/>
  <c r="E75" i="10"/>
  <c r="F75" i="10" s="1"/>
  <c r="D75" i="10"/>
  <c r="C75" i="10"/>
  <c r="A75" i="10"/>
  <c r="E74" i="10"/>
  <c r="D74" i="10"/>
  <c r="C74" i="10"/>
  <c r="A74" i="10"/>
  <c r="E73" i="10"/>
  <c r="D73" i="10"/>
  <c r="C73" i="10"/>
  <c r="A73" i="10"/>
  <c r="E72" i="10"/>
  <c r="F72" i="10" s="1"/>
  <c r="D72" i="10"/>
  <c r="C72" i="10"/>
  <c r="A72" i="10"/>
  <c r="E71" i="10"/>
  <c r="F71" i="10" s="1"/>
  <c r="D71" i="10"/>
  <c r="C71" i="10"/>
  <c r="A71" i="10"/>
  <c r="E70" i="10"/>
  <c r="D70" i="10"/>
  <c r="C70" i="10"/>
  <c r="F70" i="10" s="1"/>
  <c r="A70" i="10"/>
  <c r="E69" i="10"/>
  <c r="D69" i="10"/>
  <c r="C69" i="10"/>
  <c r="F69" i="10" s="1"/>
  <c r="A69" i="10"/>
  <c r="E68" i="10"/>
  <c r="D68" i="10"/>
  <c r="C68" i="10"/>
  <c r="A68" i="10"/>
  <c r="E67" i="10"/>
  <c r="D67" i="10"/>
  <c r="C67" i="10"/>
  <c r="A67" i="10"/>
  <c r="E66" i="10"/>
  <c r="D66" i="10"/>
  <c r="C66" i="10"/>
  <c r="F66" i="10" s="1"/>
  <c r="A66" i="10"/>
  <c r="E65" i="10"/>
  <c r="D65" i="10"/>
  <c r="C65" i="10"/>
  <c r="A65" i="10"/>
  <c r="E64" i="10"/>
  <c r="D64" i="10"/>
  <c r="C64" i="10"/>
  <c r="F64" i="10" s="1"/>
  <c r="A64" i="10"/>
  <c r="F63" i="10"/>
  <c r="E63" i="10"/>
  <c r="D63" i="10"/>
  <c r="C63" i="10"/>
  <c r="A63" i="10"/>
  <c r="E62" i="10"/>
  <c r="D62" i="10"/>
  <c r="C62" i="10"/>
  <c r="A62" i="10"/>
  <c r="E61" i="10"/>
  <c r="D61" i="10"/>
  <c r="C61" i="10"/>
  <c r="A61" i="10"/>
  <c r="E60" i="10"/>
  <c r="D60" i="10"/>
  <c r="C60" i="10"/>
  <c r="F60" i="10" s="1"/>
  <c r="A60" i="10"/>
  <c r="E59" i="10"/>
  <c r="D59" i="10"/>
  <c r="C59" i="10"/>
  <c r="A59" i="10"/>
  <c r="E58" i="10"/>
  <c r="D58" i="10"/>
  <c r="C58" i="10"/>
  <c r="A58" i="10"/>
  <c r="E57" i="10"/>
  <c r="D57" i="10"/>
  <c r="C57" i="10"/>
  <c r="F57" i="10" s="1"/>
  <c r="A57" i="10"/>
  <c r="E56" i="10"/>
  <c r="D56" i="10"/>
  <c r="C56" i="10"/>
  <c r="A56" i="10"/>
  <c r="E55" i="10"/>
  <c r="D55" i="10"/>
  <c r="C55" i="10"/>
  <c r="F55" i="10" s="1"/>
  <c r="A55" i="10"/>
  <c r="E54" i="10"/>
  <c r="D54" i="10"/>
  <c r="C54" i="10"/>
  <c r="A54" i="10"/>
  <c r="E53" i="10"/>
  <c r="D53" i="10"/>
  <c r="C53" i="10"/>
  <c r="F53" i="10" s="1"/>
  <c r="A53" i="10"/>
  <c r="E52" i="10"/>
  <c r="D52" i="10"/>
  <c r="C52" i="10"/>
  <c r="F52" i="10" s="1"/>
  <c r="A52" i="10"/>
  <c r="E51" i="10"/>
  <c r="D51" i="10"/>
  <c r="C51" i="10"/>
  <c r="F51" i="10" s="1"/>
  <c r="A51" i="10"/>
  <c r="E50" i="10"/>
  <c r="D50" i="10"/>
  <c r="C50" i="10"/>
  <c r="A50" i="10"/>
  <c r="E49" i="10"/>
  <c r="D49" i="10"/>
  <c r="C49" i="10"/>
  <c r="F49" i="10" s="1"/>
  <c r="A49" i="10"/>
  <c r="E48" i="10"/>
  <c r="F48" i="10" s="1"/>
  <c r="D48" i="10"/>
  <c r="C48" i="10"/>
  <c r="A48" i="10"/>
  <c r="E47" i="10"/>
  <c r="D47" i="10"/>
  <c r="C47" i="10"/>
  <c r="F47" i="10" s="1"/>
  <c r="A47" i="10"/>
  <c r="E46" i="10"/>
  <c r="D46" i="10"/>
  <c r="C46" i="10"/>
  <c r="A46" i="10"/>
  <c r="E45" i="10"/>
  <c r="D45" i="10"/>
  <c r="C45" i="10"/>
  <c r="F45" i="10" s="1"/>
  <c r="A45" i="10"/>
  <c r="E44" i="10"/>
  <c r="D44" i="10"/>
  <c r="C44" i="10"/>
  <c r="F44" i="10" s="1"/>
  <c r="A44" i="10"/>
  <c r="E43" i="10"/>
  <c r="D43" i="10"/>
  <c r="C43" i="10"/>
  <c r="A43" i="10"/>
  <c r="E42" i="10"/>
  <c r="D42" i="10"/>
  <c r="C42" i="10"/>
  <c r="F42" i="10" s="1"/>
  <c r="A42" i="10"/>
  <c r="E41" i="10"/>
  <c r="D41" i="10"/>
  <c r="C41" i="10"/>
  <c r="A41" i="10"/>
  <c r="E40" i="10"/>
  <c r="D40" i="10"/>
  <c r="C40" i="10"/>
  <c r="F40" i="10" s="1"/>
  <c r="A40" i="10"/>
  <c r="E39" i="10"/>
  <c r="F39" i="10" s="1"/>
  <c r="D39" i="10"/>
  <c r="C39" i="10"/>
  <c r="A39" i="10"/>
  <c r="E38" i="10"/>
  <c r="D38" i="10"/>
  <c r="C38" i="10"/>
  <c r="A38" i="10"/>
  <c r="E37" i="10"/>
  <c r="D37" i="10"/>
  <c r="C37" i="10"/>
  <c r="F37" i="10" s="1"/>
  <c r="A37" i="10"/>
  <c r="E36" i="10"/>
  <c r="D36" i="10"/>
  <c r="C36" i="10"/>
  <c r="A36" i="10"/>
  <c r="E35" i="10"/>
  <c r="D35" i="10"/>
  <c r="C35" i="10"/>
  <c r="A35" i="10"/>
  <c r="E34" i="10"/>
  <c r="D34" i="10"/>
  <c r="C34" i="10"/>
  <c r="F34" i="10" s="1"/>
  <c r="A34" i="10"/>
  <c r="E33" i="10"/>
  <c r="D33" i="10"/>
  <c r="C33" i="10"/>
  <c r="A33" i="10"/>
  <c r="E32" i="10"/>
  <c r="D32" i="10"/>
  <c r="C32" i="10"/>
  <c r="A32" i="10"/>
  <c r="E31" i="10"/>
  <c r="D31" i="10"/>
  <c r="C31" i="10"/>
  <c r="A31" i="10"/>
  <c r="E30" i="10"/>
  <c r="D30" i="10"/>
  <c r="C30" i="10"/>
  <c r="F30" i="10" s="1"/>
  <c r="A30" i="10"/>
  <c r="E29" i="10"/>
  <c r="D29" i="10"/>
  <c r="C29" i="10"/>
  <c r="A29" i="10"/>
  <c r="E28" i="10"/>
  <c r="D28" i="10"/>
  <c r="C28" i="10"/>
  <c r="A28" i="10"/>
  <c r="E27" i="10"/>
  <c r="D27" i="10"/>
  <c r="C27" i="10"/>
  <c r="A27" i="10"/>
  <c r="E26" i="10"/>
  <c r="D26" i="10"/>
  <c r="C26" i="10"/>
  <c r="A26" i="10"/>
  <c r="E25" i="10"/>
  <c r="D25" i="10"/>
  <c r="C25" i="10"/>
  <c r="A25" i="10"/>
  <c r="E24" i="10"/>
  <c r="D24" i="10"/>
  <c r="C24" i="10"/>
  <c r="F24" i="10" s="1"/>
  <c r="A24" i="10"/>
  <c r="E23" i="10"/>
  <c r="D23" i="10"/>
  <c r="C23" i="10"/>
  <c r="F23" i="10" s="1"/>
  <c r="A23" i="10"/>
  <c r="E22" i="10"/>
  <c r="D22" i="10"/>
  <c r="C22" i="10"/>
  <c r="F22" i="10" s="1"/>
  <c r="A22" i="10"/>
  <c r="E21" i="10"/>
  <c r="D21" i="10"/>
  <c r="C21" i="10"/>
  <c r="F21" i="10" s="1"/>
  <c r="A21" i="10"/>
  <c r="F20" i="10"/>
  <c r="E20" i="10"/>
  <c r="D20" i="10"/>
  <c r="C20" i="10"/>
  <c r="A20" i="10"/>
  <c r="E19" i="10"/>
  <c r="D19" i="10"/>
  <c r="C19" i="10"/>
  <c r="A19" i="10"/>
  <c r="E18" i="10"/>
  <c r="D18" i="10"/>
  <c r="C18" i="10"/>
  <c r="A18" i="10"/>
  <c r="E17" i="10"/>
  <c r="D17" i="10"/>
  <c r="C17" i="10"/>
  <c r="F17" i="10" s="1"/>
  <c r="A17" i="10"/>
  <c r="E16" i="10"/>
  <c r="D16" i="10"/>
  <c r="C16" i="10"/>
  <c r="F16" i="10" s="1"/>
  <c r="A16" i="10"/>
  <c r="E15" i="10"/>
  <c r="D15" i="10"/>
  <c r="C15" i="10"/>
  <c r="F15" i="10" s="1"/>
  <c r="A15" i="10"/>
  <c r="E14" i="10"/>
  <c r="D14" i="10"/>
  <c r="C14" i="10"/>
  <c r="A14" i="10"/>
  <c r="E13" i="10"/>
  <c r="D13" i="10"/>
  <c r="C13" i="10"/>
  <c r="A13" i="10"/>
  <c r="F12" i="10"/>
  <c r="E12" i="10"/>
  <c r="D12" i="10"/>
  <c r="C12" i="10"/>
  <c r="A12" i="10"/>
  <c r="E11" i="10"/>
  <c r="F11" i="10" s="1"/>
  <c r="D11" i="10"/>
  <c r="C11" i="10"/>
  <c r="A11" i="10"/>
  <c r="E10" i="10"/>
  <c r="D10" i="10"/>
  <c r="C10" i="10"/>
  <c r="F10" i="10" s="1"/>
  <c r="A10" i="10"/>
  <c r="E9" i="10"/>
  <c r="D9" i="10"/>
  <c r="C9" i="10"/>
  <c r="F9" i="10" s="1"/>
  <c r="A9" i="10"/>
  <c r="E8" i="10"/>
  <c r="F8" i="10" s="1"/>
  <c r="D8" i="10"/>
  <c r="C8" i="10"/>
  <c r="A8" i="10"/>
  <c r="E7" i="10"/>
  <c r="D7" i="10"/>
  <c r="C7" i="10"/>
  <c r="A7" i="10"/>
  <c r="E6" i="10"/>
  <c r="D6" i="10"/>
  <c r="C6" i="10"/>
  <c r="A6" i="10"/>
  <c r="Y5" i="10"/>
  <c r="S5" i="10"/>
  <c r="AK4" i="10"/>
  <c r="AJ4" i="10"/>
  <c r="AD4" i="10"/>
  <c r="AC4" i="10"/>
  <c r="Y4" i="10"/>
  <c r="Y157" i="10" s="1"/>
  <c r="X4" i="10"/>
  <c r="X5" i="10" s="1"/>
  <c r="W4" i="10"/>
  <c r="V4" i="10"/>
  <c r="V5" i="10" s="1"/>
  <c r="U4" i="10"/>
  <c r="U5" i="10" s="1"/>
  <c r="T4" i="10"/>
  <c r="T5" i="10" s="1"/>
  <c r="S4" i="10"/>
  <c r="S157" i="10" s="1"/>
  <c r="R4" i="10"/>
  <c r="R157" i="10" s="1"/>
  <c r="Q4" i="10"/>
  <c r="P4" i="10"/>
  <c r="J4" i="10"/>
  <c r="I4" i="10"/>
  <c r="F2" i="10"/>
  <c r="AI4" i="10" s="1"/>
  <c r="A1" i="10"/>
  <c r="L157" i="9"/>
  <c r="K157" i="9"/>
  <c r="F155" i="9"/>
  <c r="E155" i="9"/>
  <c r="D155" i="9"/>
  <c r="C155" i="9"/>
  <c r="A155" i="9"/>
  <c r="F154" i="9"/>
  <c r="E154" i="9"/>
  <c r="D154" i="9"/>
  <c r="C154" i="9"/>
  <c r="A154" i="9"/>
  <c r="F153" i="9"/>
  <c r="E153" i="9"/>
  <c r="D153" i="9"/>
  <c r="C153" i="9"/>
  <c r="A153" i="9"/>
  <c r="F152" i="9"/>
  <c r="E152" i="9"/>
  <c r="D152" i="9"/>
  <c r="C152" i="9"/>
  <c r="A152" i="9"/>
  <c r="F151" i="9"/>
  <c r="E151" i="9"/>
  <c r="D151" i="9"/>
  <c r="C151" i="9"/>
  <c r="A151" i="9"/>
  <c r="F150" i="9"/>
  <c r="E150" i="9"/>
  <c r="D150" i="9"/>
  <c r="C150" i="9"/>
  <c r="A150" i="9"/>
  <c r="F149" i="9"/>
  <c r="E149" i="9"/>
  <c r="D149" i="9"/>
  <c r="C149" i="9"/>
  <c r="A149" i="9"/>
  <c r="F148" i="9"/>
  <c r="E148" i="9"/>
  <c r="D148" i="9"/>
  <c r="C148" i="9"/>
  <c r="A148" i="9"/>
  <c r="F147" i="9"/>
  <c r="E147" i="9"/>
  <c r="D147" i="9"/>
  <c r="C147" i="9"/>
  <c r="A147" i="9"/>
  <c r="F146" i="9"/>
  <c r="E146" i="9"/>
  <c r="D146" i="9"/>
  <c r="C146" i="9"/>
  <c r="A146" i="9"/>
  <c r="F145" i="9"/>
  <c r="E145" i="9"/>
  <c r="D145" i="9"/>
  <c r="C145" i="9"/>
  <c r="A145" i="9"/>
  <c r="F144" i="9"/>
  <c r="E144" i="9"/>
  <c r="D144" i="9"/>
  <c r="C144" i="9"/>
  <c r="A144" i="9"/>
  <c r="F143" i="9"/>
  <c r="E143" i="9"/>
  <c r="D143" i="9"/>
  <c r="C143" i="9"/>
  <c r="A143" i="9"/>
  <c r="F142" i="9"/>
  <c r="E142" i="9"/>
  <c r="D142" i="9"/>
  <c r="C142" i="9"/>
  <c r="A142" i="9"/>
  <c r="F141" i="9"/>
  <c r="E141" i="9"/>
  <c r="D141" i="9"/>
  <c r="C141" i="9"/>
  <c r="A141" i="9"/>
  <c r="F140" i="9"/>
  <c r="E140" i="9"/>
  <c r="D140" i="9"/>
  <c r="C140" i="9"/>
  <c r="A140" i="9"/>
  <c r="F139" i="9"/>
  <c r="E139" i="9"/>
  <c r="D139" i="9"/>
  <c r="C139" i="9"/>
  <c r="A139" i="9"/>
  <c r="F138" i="9"/>
  <c r="E138" i="9"/>
  <c r="D138" i="9"/>
  <c r="C138" i="9"/>
  <c r="A138" i="9"/>
  <c r="F137" i="9"/>
  <c r="E137" i="9"/>
  <c r="D137" i="9"/>
  <c r="C137" i="9"/>
  <c r="A137" i="9"/>
  <c r="F136" i="9"/>
  <c r="E136" i="9"/>
  <c r="D136" i="9"/>
  <c r="C136" i="9"/>
  <c r="A136" i="9"/>
  <c r="F135" i="9"/>
  <c r="E135" i="9"/>
  <c r="D135" i="9"/>
  <c r="C135" i="9"/>
  <c r="A135" i="9"/>
  <c r="F134" i="9"/>
  <c r="E134" i="9"/>
  <c r="D134" i="9"/>
  <c r="C134" i="9"/>
  <c r="A134" i="9"/>
  <c r="F133" i="9"/>
  <c r="E133" i="9"/>
  <c r="D133" i="9"/>
  <c r="C133" i="9"/>
  <c r="A133" i="9"/>
  <c r="F132" i="9"/>
  <c r="E132" i="9"/>
  <c r="D132" i="9"/>
  <c r="C132" i="9"/>
  <c r="A132" i="9"/>
  <c r="F131" i="9"/>
  <c r="E131" i="9"/>
  <c r="D131" i="9"/>
  <c r="C131" i="9"/>
  <c r="A131" i="9"/>
  <c r="F130" i="9"/>
  <c r="E130" i="9"/>
  <c r="D130" i="9"/>
  <c r="C130" i="9"/>
  <c r="A130" i="9"/>
  <c r="F129" i="9"/>
  <c r="E129" i="9"/>
  <c r="D129" i="9"/>
  <c r="C129" i="9"/>
  <c r="A129" i="9"/>
  <c r="F128" i="9"/>
  <c r="E128" i="9"/>
  <c r="D128" i="9"/>
  <c r="C128" i="9"/>
  <c r="A128" i="9"/>
  <c r="F127" i="9"/>
  <c r="E127" i="9"/>
  <c r="D127" i="9"/>
  <c r="C127" i="9"/>
  <c r="A127" i="9"/>
  <c r="F126" i="9"/>
  <c r="E126" i="9"/>
  <c r="D126" i="9"/>
  <c r="C126" i="9"/>
  <c r="A126" i="9"/>
  <c r="F125" i="9"/>
  <c r="E125" i="9"/>
  <c r="D125" i="9"/>
  <c r="C125" i="9"/>
  <c r="A125" i="9"/>
  <c r="F124" i="9"/>
  <c r="E124" i="9"/>
  <c r="D124" i="9"/>
  <c r="C124" i="9"/>
  <c r="A124" i="9"/>
  <c r="F123" i="9"/>
  <c r="E123" i="9"/>
  <c r="D123" i="9"/>
  <c r="C123" i="9"/>
  <c r="A123" i="9"/>
  <c r="F122" i="9"/>
  <c r="E122" i="9"/>
  <c r="D122" i="9"/>
  <c r="C122" i="9"/>
  <c r="A122" i="9"/>
  <c r="F121" i="9"/>
  <c r="E121" i="9"/>
  <c r="D121" i="9"/>
  <c r="C121" i="9"/>
  <c r="A121" i="9"/>
  <c r="F120" i="9"/>
  <c r="E120" i="9"/>
  <c r="D120" i="9"/>
  <c r="C120" i="9"/>
  <c r="A120" i="9"/>
  <c r="F119" i="9"/>
  <c r="E119" i="9"/>
  <c r="D119" i="9"/>
  <c r="C119" i="9"/>
  <c r="A119" i="9"/>
  <c r="F118" i="9"/>
  <c r="E118" i="9"/>
  <c r="D118" i="9"/>
  <c r="C118" i="9"/>
  <c r="A118" i="9"/>
  <c r="F117" i="9"/>
  <c r="E117" i="9"/>
  <c r="D117" i="9"/>
  <c r="C117" i="9"/>
  <c r="A117" i="9"/>
  <c r="F116" i="9"/>
  <c r="E116" i="9"/>
  <c r="D116" i="9"/>
  <c r="C116" i="9"/>
  <c r="A116" i="9"/>
  <c r="F115" i="9"/>
  <c r="E115" i="9"/>
  <c r="D115" i="9"/>
  <c r="C115" i="9"/>
  <c r="A115" i="9"/>
  <c r="F114" i="9"/>
  <c r="E114" i="9"/>
  <c r="D114" i="9"/>
  <c r="C114" i="9"/>
  <c r="A114" i="9"/>
  <c r="F113" i="9"/>
  <c r="E113" i="9"/>
  <c r="D113" i="9"/>
  <c r="C113" i="9"/>
  <c r="A113" i="9"/>
  <c r="F112" i="9"/>
  <c r="E112" i="9"/>
  <c r="D112" i="9"/>
  <c r="C112" i="9"/>
  <c r="A112" i="9"/>
  <c r="F111" i="9"/>
  <c r="E111" i="9"/>
  <c r="D111" i="9"/>
  <c r="C111" i="9"/>
  <c r="A111" i="9"/>
  <c r="F110" i="9"/>
  <c r="E110" i="9"/>
  <c r="D110" i="9"/>
  <c r="C110" i="9"/>
  <c r="A110" i="9"/>
  <c r="F109" i="9"/>
  <c r="E109" i="9"/>
  <c r="D109" i="9"/>
  <c r="C109" i="9"/>
  <c r="A109" i="9"/>
  <c r="F108" i="9"/>
  <c r="E108" i="9"/>
  <c r="D108" i="9"/>
  <c r="C108" i="9"/>
  <c r="A108" i="9"/>
  <c r="F107" i="9"/>
  <c r="E107" i="9"/>
  <c r="D107" i="9"/>
  <c r="C107" i="9"/>
  <c r="A107" i="9"/>
  <c r="F106" i="9"/>
  <c r="E106" i="9"/>
  <c r="D106" i="9"/>
  <c r="C106" i="9"/>
  <c r="A106" i="9"/>
  <c r="F105" i="9"/>
  <c r="E105" i="9"/>
  <c r="D105" i="9"/>
  <c r="C105" i="9"/>
  <c r="A105" i="9"/>
  <c r="F104" i="9"/>
  <c r="E104" i="9"/>
  <c r="D104" i="9"/>
  <c r="C104" i="9"/>
  <c r="A104" i="9"/>
  <c r="F103" i="9"/>
  <c r="E103" i="9"/>
  <c r="D103" i="9"/>
  <c r="C103" i="9"/>
  <c r="A103" i="9"/>
  <c r="F102" i="9"/>
  <c r="E102" i="9"/>
  <c r="D102" i="9"/>
  <c r="C102" i="9"/>
  <c r="A102" i="9"/>
  <c r="F101" i="9"/>
  <c r="E101" i="9"/>
  <c r="D101" i="9"/>
  <c r="C101" i="9"/>
  <c r="A101" i="9"/>
  <c r="F100" i="9"/>
  <c r="E100" i="9"/>
  <c r="D100" i="9"/>
  <c r="C100" i="9"/>
  <c r="A100" i="9"/>
  <c r="F99" i="9"/>
  <c r="E99" i="9"/>
  <c r="D99" i="9"/>
  <c r="C99" i="9"/>
  <c r="A99" i="9"/>
  <c r="F98" i="9"/>
  <c r="E98" i="9"/>
  <c r="D98" i="9"/>
  <c r="C98" i="9"/>
  <c r="A98" i="9"/>
  <c r="F97" i="9"/>
  <c r="E97" i="9"/>
  <c r="D97" i="9"/>
  <c r="C97" i="9"/>
  <c r="A97" i="9"/>
  <c r="F96" i="9"/>
  <c r="E96" i="9"/>
  <c r="D96" i="9"/>
  <c r="C96" i="9"/>
  <c r="A96" i="9"/>
  <c r="F95" i="9"/>
  <c r="E95" i="9"/>
  <c r="D95" i="9"/>
  <c r="C95" i="9"/>
  <c r="A95" i="9"/>
  <c r="F94" i="9"/>
  <c r="E94" i="9"/>
  <c r="D94" i="9"/>
  <c r="C94" i="9"/>
  <c r="A94" i="9"/>
  <c r="F93" i="9"/>
  <c r="E93" i="9"/>
  <c r="D93" i="9"/>
  <c r="C93" i="9"/>
  <c r="A93" i="9"/>
  <c r="F92" i="9"/>
  <c r="E92" i="9"/>
  <c r="D92" i="9"/>
  <c r="C92" i="9"/>
  <c r="A92" i="9"/>
  <c r="F91" i="9"/>
  <c r="E91" i="9"/>
  <c r="D91" i="9"/>
  <c r="C91" i="9"/>
  <c r="A91" i="9"/>
  <c r="F90" i="9"/>
  <c r="E90" i="9"/>
  <c r="D90" i="9"/>
  <c r="C90" i="9"/>
  <c r="A90" i="9"/>
  <c r="F89" i="9"/>
  <c r="E89" i="9"/>
  <c r="D89" i="9"/>
  <c r="C89" i="9"/>
  <c r="A89" i="9"/>
  <c r="F88" i="9"/>
  <c r="E88" i="9"/>
  <c r="D88" i="9"/>
  <c r="C88" i="9"/>
  <c r="A88" i="9"/>
  <c r="E87" i="9"/>
  <c r="F87" i="9" s="1"/>
  <c r="D87" i="9"/>
  <c r="C87" i="9"/>
  <c r="A87" i="9"/>
  <c r="E86" i="9"/>
  <c r="D86" i="9"/>
  <c r="C86" i="9"/>
  <c r="F86" i="9" s="1"/>
  <c r="A86" i="9"/>
  <c r="E85" i="9"/>
  <c r="D85" i="9"/>
  <c r="C85" i="9"/>
  <c r="F85" i="9" s="1"/>
  <c r="A85" i="9"/>
  <c r="E84" i="9"/>
  <c r="D84" i="9"/>
  <c r="C84" i="9"/>
  <c r="F84" i="9" s="1"/>
  <c r="A84" i="9"/>
  <c r="E83" i="9"/>
  <c r="D83" i="9"/>
  <c r="C83" i="9"/>
  <c r="A83" i="9"/>
  <c r="E82" i="9"/>
  <c r="D82" i="9"/>
  <c r="C82" i="9"/>
  <c r="F82" i="9" s="1"/>
  <c r="A82" i="9"/>
  <c r="E81" i="9"/>
  <c r="D81" i="9"/>
  <c r="C81" i="9"/>
  <c r="F81" i="9" s="1"/>
  <c r="A81" i="9"/>
  <c r="E80" i="9"/>
  <c r="D80" i="9"/>
  <c r="C80" i="9"/>
  <c r="F80" i="9" s="1"/>
  <c r="A80" i="9"/>
  <c r="E79" i="9"/>
  <c r="D79" i="9"/>
  <c r="C79" i="9"/>
  <c r="A79" i="9"/>
  <c r="F78" i="9"/>
  <c r="E78" i="9"/>
  <c r="D78" i="9"/>
  <c r="C78" i="9"/>
  <c r="A78" i="9"/>
  <c r="E77" i="9"/>
  <c r="D77" i="9"/>
  <c r="C77" i="9"/>
  <c r="F77" i="9" s="1"/>
  <c r="A77" i="9"/>
  <c r="F76" i="9"/>
  <c r="E76" i="9"/>
  <c r="D76" i="9"/>
  <c r="C76" i="9"/>
  <c r="A76" i="9"/>
  <c r="F75" i="9"/>
  <c r="E75" i="9"/>
  <c r="D75" i="9"/>
  <c r="C75" i="9"/>
  <c r="A75" i="9"/>
  <c r="F74" i="9"/>
  <c r="E74" i="9"/>
  <c r="D74" i="9"/>
  <c r="C74" i="9"/>
  <c r="A74" i="9"/>
  <c r="E73" i="9"/>
  <c r="D73" i="9"/>
  <c r="C73" i="9"/>
  <c r="F73" i="9" s="1"/>
  <c r="A73" i="9"/>
  <c r="F72" i="9"/>
  <c r="E72" i="9"/>
  <c r="D72" i="9"/>
  <c r="C72" i="9"/>
  <c r="A72" i="9"/>
  <c r="F71" i="9"/>
  <c r="E71" i="9"/>
  <c r="D71" i="9"/>
  <c r="C71" i="9"/>
  <c r="A71" i="9"/>
  <c r="E70" i="9"/>
  <c r="F70" i="9" s="1"/>
  <c r="D70" i="9"/>
  <c r="C70" i="9"/>
  <c r="A70" i="9"/>
  <c r="E69" i="9"/>
  <c r="D69" i="9"/>
  <c r="C69" i="9"/>
  <c r="F69" i="9" s="1"/>
  <c r="A69" i="9"/>
  <c r="F68" i="9"/>
  <c r="E68" i="9"/>
  <c r="D68" i="9"/>
  <c r="C68" i="9"/>
  <c r="A68" i="9"/>
  <c r="F67" i="9"/>
  <c r="E67" i="9"/>
  <c r="D67" i="9"/>
  <c r="C67" i="9"/>
  <c r="A67" i="9"/>
  <c r="E66" i="9"/>
  <c r="F66" i="9" s="1"/>
  <c r="D66" i="9"/>
  <c r="C66" i="9"/>
  <c r="A66" i="9"/>
  <c r="E65" i="9"/>
  <c r="D65" i="9"/>
  <c r="C65" i="9"/>
  <c r="F65" i="9" s="1"/>
  <c r="A65" i="9"/>
  <c r="F64" i="9"/>
  <c r="E64" i="9"/>
  <c r="D64" i="9"/>
  <c r="C64" i="9"/>
  <c r="A64" i="9"/>
  <c r="F63" i="9"/>
  <c r="E63" i="9"/>
  <c r="D63" i="9"/>
  <c r="C63" i="9"/>
  <c r="A63" i="9"/>
  <c r="E62" i="9"/>
  <c r="F62" i="9" s="1"/>
  <c r="D62" i="9"/>
  <c r="C62" i="9"/>
  <c r="A62" i="9"/>
  <c r="E61" i="9"/>
  <c r="D61" i="9"/>
  <c r="C61" i="9"/>
  <c r="F61" i="9" s="1"/>
  <c r="A61" i="9"/>
  <c r="F60" i="9"/>
  <c r="E60" i="9"/>
  <c r="D60" i="9"/>
  <c r="C60" i="9"/>
  <c r="A60" i="9"/>
  <c r="F59" i="9"/>
  <c r="E59" i="9"/>
  <c r="D59" i="9"/>
  <c r="C59" i="9"/>
  <c r="A59" i="9"/>
  <c r="F58" i="9"/>
  <c r="E58" i="9"/>
  <c r="D58" i="9"/>
  <c r="C58" i="9"/>
  <c r="A58" i="9"/>
  <c r="E57" i="9"/>
  <c r="D57" i="9"/>
  <c r="C57" i="9"/>
  <c r="F57" i="9" s="1"/>
  <c r="A57" i="9"/>
  <c r="F56" i="9"/>
  <c r="E56" i="9"/>
  <c r="D56" i="9"/>
  <c r="C56" i="9"/>
  <c r="A56" i="9"/>
  <c r="E55" i="9"/>
  <c r="D55" i="9"/>
  <c r="C55" i="9"/>
  <c r="F55" i="9" s="1"/>
  <c r="A55" i="9"/>
  <c r="E54" i="9"/>
  <c r="F54" i="9" s="1"/>
  <c r="D54" i="9"/>
  <c r="C54" i="9"/>
  <c r="A54" i="9"/>
  <c r="E53" i="9"/>
  <c r="D53" i="9"/>
  <c r="C53" i="9"/>
  <c r="F53" i="9" s="1"/>
  <c r="A53" i="9"/>
  <c r="F52" i="9"/>
  <c r="E52" i="9"/>
  <c r="D52" i="9"/>
  <c r="C52" i="9"/>
  <c r="A52" i="9"/>
  <c r="F51" i="9"/>
  <c r="E51" i="9"/>
  <c r="D51" i="9"/>
  <c r="C51" i="9"/>
  <c r="A51" i="9"/>
  <c r="E50" i="9"/>
  <c r="D50" i="9"/>
  <c r="C50" i="9"/>
  <c r="F50" i="9" s="1"/>
  <c r="A50" i="9"/>
  <c r="E49" i="9"/>
  <c r="D49" i="9"/>
  <c r="C49" i="9"/>
  <c r="F49" i="9" s="1"/>
  <c r="A49" i="9"/>
  <c r="F48" i="9"/>
  <c r="E48" i="9"/>
  <c r="D48" i="9"/>
  <c r="C48" i="9"/>
  <c r="A48" i="9"/>
  <c r="F47" i="9"/>
  <c r="E47" i="9"/>
  <c r="D47" i="9"/>
  <c r="C47" i="9"/>
  <c r="A47" i="9"/>
  <c r="F46" i="9"/>
  <c r="E46" i="9"/>
  <c r="D46" i="9"/>
  <c r="C46" i="9"/>
  <c r="A46" i="9"/>
  <c r="E45" i="9"/>
  <c r="D45" i="9"/>
  <c r="C45" i="9"/>
  <c r="F45" i="9" s="1"/>
  <c r="A45" i="9"/>
  <c r="F44" i="9"/>
  <c r="E44" i="9"/>
  <c r="D44" i="9"/>
  <c r="C44" i="9"/>
  <c r="A44" i="9"/>
  <c r="F43" i="9"/>
  <c r="E43" i="9"/>
  <c r="D43" i="9"/>
  <c r="C43" i="9"/>
  <c r="A43" i="9"/>
  <c r="E42" i="9"/>
  <c r="F42" i="9" s="1"/>
  <c r="D42" i="9"/>
  <c r="C42" i="9"/>
  <c r="A42" i="9"/>
  <c r="E41" i="9"/>
  <c r="D41" i="9"/>
  <c r="C41" i="9"/>
  <c r="F41" i="9" s="1"/>
  <c r="A41" i="9"/>
  <c r="F40" i="9"/>
  <c r="E40" i="9"/>
  <c r="D40" i="9"/>
  <c r="C40" i="9"/>
  <c r="A40" i="9"/>
  <c r="F39" i="9"/>
  <c r="E39" i="9"/>
  <c r="D39" i="9"/>
  <c r="C39" i="9"/>
  <c r="A39" i="9"/>
  <c r="E38" i="9"/>
  <c r="F38" i="9" s="1"/>
  <c r="D38" i="9"/>
  <c r="C38" i="9"/>
  <c r="A38" i="9"/>
  <c r="E37" i="9"/>
  <c r="D37" i="9"/>
  <c r="C37" i="9"/>
  <c r="F37" i="9" s="1"/>
  <c r="A37" i="9"/>
  <c r="F36" i="9"/>
  <c r="E36" i="9"/>
  <c r="D36" i="9"/>
  <c r="C36" i="9"/>
  <c r="A36" i="9"/>
  <c r="F35" i="9"/>
  <c r="E35" i="9"/>
  <c r="D35" i="9"/>
  <c r="C35" i="9"/>
  <c r="A35" i="9"/>
  <c r="E34" i="9"/>
  <c r="F34" i="9" s="1"/>
  <c r="D34" i="9"/>
  <c r="C34" i="9"/>
  <c r="A34" i="9"/>
  <c r="E33" i="9"/>
  <c r="D33" i="9"/>
  <c r="C33" i="9"/>
  <c r="F33" i="9" s="1"/>
  <c r="A33" i="9"/>
  <c r="F32" i="9"/>
  <c r="E32" i="9"/>
  <c r="D32" i="9"/>
  <c r="C32" i="9"/>
  <c r="A32" i="9"/>
  <c r="F31" i="9"/>
  <c r="E31" i="9"/>
  <c r="D31" i="9"/>
  <c r="C31" i="9"/>
  <c r="A31" i="9"/>
  <c r="E30" i="9"/>
  <c r="F30" i="9" s="1"/>
  <c r="D30" i="9"/>
  <c r="C30" i="9"/>
  <c r="A30" i="9"/>
  <c r="E29" i="9"/>
  <c r="D29" i="9"/>
  <c r="C29" i="9"/>
  <c r="F29" i="9" s="1"/>
  <c r="A29" i="9"/>
  <c r="E28" i="9"/>
  <c r="D28" i="9"/>
  <c r="C28" i="9"/>
  <c r="A28" i="9"/>
  <c r="F27" i="9"/>
  <c r="E27" i="9"/>
  <c r="D27" i="9"/>
  <c r="C27" i="9"/>
  <c r="A27" i="9"/>
  <c r="F26" i="9"/>
  <c r="E26" i="9"/>
  <c r="D26" i="9"/>
  <c r="C26" i="9"/>
  <c r="A26" i="9"/>
  <c r="E25" i="9"/>
  <c r="D25" i="9"/>
  <c r="C25" i="9"/>
  <c r="F25" i="9" s="1"/>
  <c r="A25" i="9"/>
  <c r="F24" i="9"/>
  <c r="E24" i="9"/>
  <c r="D24" i="9"/>
  <c r="C24" i="9"/>
  <c r="A24" i="9"/>
  <c r="F23" i="9"/>
  <c r="E23" i="9"/>
  <c r="D23" i="9"/>
  <c r="C23" i="9"/>
  <c r="A23" i="9"/>
  <c r="F22" i="9"/>
  <c r="E22" i="9"/>
  <c r="D22" i="9"/>
  <c r="C22" i="9"/>
  <c r="A22" i="9"/>
  <c r="E21" i="9"/>
  <c r="D21" i="9"/>
  <c r="C21" i="9"/>
  <c r="F21" i="9" s="1"/>
  <c r="A21" i="9"/>
  <c r="F20" i="9"/>
  <c r="E20" i="9"/>
  <c r="D20" i="9"/>
  <c r="C20" i="9"/>
  <c r="A20" i="9"/>
  <c r="E19" i="9"/>
  <c r="D19" i="9"/>
  <c r="C19" i="9"/>
  <c r="F19" i="9" s="1"/>
  <c r="A19" i="9"/>
  <c r="E18" i="9"/>
  <c r="F18" i="9" s="1"/>
  <c r="D18" i="9"/>
  <c r="C18" i="9"/>
  <c r="A18" i="9"/>
  <c r="E17" i="9"/>
  <c r="D17" i="9"/>
  <c r="C17" i="9"/>
  <c r="F17" i="9" s="1"/>
  <c r="A17" i="9"/>
  <c r="E16" i="9"/>
  <c r="D16" i="9"/>
  <c r="C16" i="9"/>
  <c r="F16" i="9" s="1"/>
  <c r="A16" i="9"/>
  <c r="F15" i="9"/>
  <c r="E15" i="9"/>
  <c r="D15" i="9"/>
  <c r="C15" i="9"/>
  <c r="A15" i="9"/>
  <c r="E14" i="9"/>
  <c r="F14" i="9" s="1"/>
  <c r="D14" i="9"/>
  <c r="C14" i="9"/>
  <c r="A14" i="9"/>
  <c r="F13" i="9"/>
  <c r="E13" i="9"/>
  <c r="D13" i="9"/>
  <c r="C13" i="9"/>
  <c r="A13" i="9"/>
  <c r="E12" i="9"/>
  <c r="D12" i="9"/>
  <c r="C12" i="9"/>
  <c r="F12" i="9" s="1"/>
  <c r="A12" i="9"/>
  <c r="E11" i="9"/>
  <c r="D11" i="9"/>
  <c r="C11" i="9"/>
  <c r="F11" i="9" s="1"/>
  <c r="A11" i="9"/>
  <c r="F10" i="9"/>
  <c r="E10" i="9"/>
  <c r="D10" i="9"/>
  <c r="C10" i="9"/>
  <c r="A10" i="9"/>
  <c r="E9" i="9"/>
  <c r="F9" i="9" s="1"/>
  <c r="D9" i="9"/>
  <c r="C9" i="9"/>
  <c r="A9" i="9"/>
  <c r="E8" i="9"/>
  <c r="D8" i="9"/>
  <c r="C8" i="9"/>
  <c r="F8" i="9" s="1"/>
  <c r="A8" i="9"/>
  <c r="F7" i="9"/>
  <c r="E7" i="9"/>
  <c r="D7" i="9"/>
  <c r="C7" i="9"/>
  <c r="A7" i="9"/>
  <c r="E6" i="9"/>
  <c r="D6" i="9"/>
  <c r="C6" i="9"/>
  <c r="A6" i="9"/>
  <c r="G5" i="9"/>
  <c r="AH4" i="9"/>
  <c r="AH157" i="9" s="1"/>
  <c r="AG4" i="9"/>
  <c r="AF4" i="9"/>
  <c r="AF5" i="9" s="1"/>
  <c r="AE4" i="9"/>
  <c r="AE5" i="9" s="1"/>
  <c r="AC4" i="9"/>
  <c r="AC5" i="9" s="1"/>
  <c r="AB4" i="9"/>
  <c r="AB157" i="9" s="1"/>
  <c r="AA4" i="9"/>
  <c r="AA157" i="9" s="1"/>
  <c r="S4" i="9"/>
  <c r="R4" i="9"/>
  <c r="R157" i="9" s="1"/>
  <c r="N4" i="9"/>
  <c r="M4" i="9"/>
  <c r="L4" i="9"/>
  <c r="L5" i="9" s="1"/>
  <c r="K4" i="9"/>
  <c r="K5" i="9" s="1"/>
  <c r="I4" i="9"/>
  <c r="H4" i="9"/>
  <c r="G4" i="9"/>
  <c r="F2" i="9"/>
  <c r="A1" i="9"/>
  <c r="AF157" i="8"/>
  <c r="AA157" i="8"/>
  <c r="Y157" i="8"/>
  <c r="S157" i="8"/>
  <c r="R157" i="8"/>
  <c r="L157" i="8"/>
  <c r="F155" i="8"/>
  <c r="E155" i="8"/>
  <c r="D155" i="8"/>
  <c r="C155" i="8"/>
  <c r="A155" i="8"/>
  <c r="F154" i="8"/>
  <c r="E154" i="8"/>
  <c r="D154" i="8"/>
  <c r="C154" i="8"/>
  <c r="A154" i="8"/>
  <c r="F153" i="8"/>
  <c r="E153" i="8"/>
  <c r="D153" i="8"/>
  <c r="C153" i="8"/>
  <c r="A153" i="8"/>
  <c r="F152" i="8"/>
  <c r="E152" i="8"/>
  <c r="D152" i="8"/>
  <c r="C152" i="8"/>
  <c r="A152" i="8"/>
  <c r="F151" i="8"/>
  <c r="E151" i="8"/>
  <c r="D151" i="8"/>
  <c r="C151" i="8"/>
  <c r="A151" i="8"/>
  <c r="F150" i="8"/>
  <c r="E150" i="8"/>
  <c r="D150" i="8"/>
  <c r="C150" i="8"/>
  <c r="A150" i="8"/>
  <c r="F149" i="8"/>
  <c r="E149" i="8"/>
  <c r="D149" i="8"/>
  <c r="C149" i="8"/>
  <c r="A149" i="8"/>
  <c r="F148" i="8"/>
  <c r="E148" i="8"/>
  <c r="D148" i="8"/>
  <c r="C148" i="8"/>
  <c r="A148" i="8"/>
  <c r="F147" i="8"/>
  <c r="E147" i="8"/>
  <c r="D147" i="8"/>
  <c r="C147" i="8"/>
  <c r="A147" i="8"/>
  <c r="F146" i="8"/>
  <c r="E146" i="8"/>
  <c r="D146" i="8"/>
  <c r="C146" i="8"/>
  <c r="A146" i="8"/>
  <c r="F145" i="8"/>
  <c r="E145" i="8"/>
  <c r="D145" i="8"/>
  <c r="C145" i="8"/>
  <c r="A145" i="8"/>
  <c r="F144" i="8"/>
  <c r="E144" i="8"/>
  <c r="D144" i="8"/>
  <c r="C144" i="8"/>
  <c r="A144" i="8"/>
  <c r="F143" i="8"/>
  <c r="E143" i="8"/>
  <c r="D143" i="8"/>
  <c r="C143" i="8"/>
  <c r="A143" i="8"/>
  <c r="F142" i="8"/>
  <c r="E142" i="8"/>
  <c r="D142" i="8"/>
  <c r="C142" i="8"/>
  <c r="A142" i="8"/>
  <c r="F141" i="8"/>
  <c r="E141" i="8"/>
  <c r="D141" i="8"/>
  <c r="C141" i="8"/>
  <c r="A141" i="8"/>
  <c r="F140" i="8"/>
  <c r="E140" i="8"/>
  <c r="D140" i="8"/>
  <c r="C140" i="8"/>
  <c r="A140" i="8"/>
  <c r="F139" i="8"/>
  <c r="E139" i="8"/>
  <c r="D139" i="8"/>
  <c r="C139" i="8"/>
  <c r="A139" i="8"/>
  <c r="F138" i="8"/>
  <c r="E138" i="8"/>
  <c r="D138" i="8"/>
  <c r="C138" i="8"/>
  <c r="A138" i="8"/>
  <c r="F137" i="8"/>
  <c r="E137" i="8"/>
  <c r="D137" i="8"/>
  <c r="C137" i="8"/>
  <c r="A137" i="8"/>
  <c r="F136" i="8"/>
  <c r="E136" i="8"/>
  <c r="D136" i="8"/>
  <c r="C136" i="8"/>
  <c r="A136" i="8"/>
  <c r="F135" i="8"/>
  <c r="E135" i="8"/>
  <c r="D135" i="8"/>
  <c r="C135" i="8"/>
  <c r="A135" i="8"/>
  <c r="F134" i="8"/>
  <c r="E134" i="8"/>
  <c r="D134" i="8"/>
  <c r="C134" i="8"/>
  <c r="A134" i="8"/>
  <c r="F133" i="8"/>
  <c r="E133" i="8"/>
  <c r="D133" i="8"/>
  <c r="C133" i="8"/>
  <c r="A133" i="8"/>
  <c r="F132" i="8"/>
  <c r="E132" i="8"/>
  <c r="D132" i="8"/>
  <c r="C132" i="8"/>
  <c r="A132" i="8"/>
  <c r="F131" i="8"/>
  <c r="E131" i="8"/>
  <c r="D131" i="8"/>
  <c r="C131" i="8"/>
  <c r="A131" i="8"/>
  <c r="F130" i="8"/>
  <c r="E130" i="8"/>
  <c r="D130" i="8"/>
  <c r="C130" i="8"/>
  <c r="A130" i="8"/>
  <c r="F129" i="8"/>
  <c r="E129" i="8"/>
  <c r="D129" i="8"/>
  <c r="C129" i="8"/>
  <c r="A129" i="8"/>
  <c r="F128" i="8"/>
  <c r="E128" i="8"/>
  <c r="D128" i="8"/>
  <c r="C128" i="8"/>
  <c r="A128" i="8"/>
  <c r="F127" i="8"/>
  <c r="E127" i="8"/>
  <c r="D127" i="8"/>
  <c r="C127" i="8"/>
  <c r="A127" i="8"/>
  <c r="F126" i="8"/>
  <c r="E126" i="8"/>
  <c r="D126" i="8"/>
  <c r="C126" i="8"/>
  <c r="A126" i="8"/>
  <c r="F125" i="8"/>
  <c r="E125" i="8"/>
  <c r="D125" i="8"/>
  <c r="C125" i="8"/>
  <c r="A125" i="8"/>
  <c r="F124" i="8"/>
  <c r="E124" i="8"/>
  <c r="D124" i="8"/>
  <c r="C124" i="8"/>
  <c r="A124" i="8"/>
  <c r="F123" i="8"/>
  <c r="E123" i="8"/>
  <c r="D123" i="8"/>
  <c r="C123" i="8"/>
  <c r="A123" i="8"/>
  <c r="F122" i="8"/>
  <c r="E122" i="8"/>
  <c r="D122" i="8"/>
  <c r="C122" i="8"/>
  <c r="A122" i="8"/>
  <c r="F121" i="8"/>
  <c r="E121" i="8"/>
  <c r="D121" i="8"/>
  <c r="C121" i="8"/>
  <c r="A121" i="8"/>
  <c r="F120" i="8"/>
  <c r="E120" i="8"/>
  <c r="D120" i="8"/>
  <c r="C120" i="8"/>
  <c r="A120" i="8"/>
  <c r="F119" i="8"/>
  <c r="E119" i="8"/>
  <c r="D119" i="8"/>
  <c r="C119" i="8"/>
  <c r="A119" i="8"/>
  <c r="F118" i="8"/>
  <c r="E118" i="8"/>
  <c r="D118" i="8"/>
  <c r="C118" i="8"/>
  <c r="A118" i="8"/>
  <c r="F117" i="8"/>
  <c r="E117" i="8"/>
  <c r="D117" i="8"/>
  <c r="C117" i="8"/>
  <c r="A117" i="8"/>
  <c r="F116" i="8"/>
  <c r="E116" i="8"/>
  <c r="D116" i="8"/>
  <c r="C116" i="8"/>
  <c r="A116" i="8"/>
  <c r="F115" i="8"/>
  <c r="E115" i="8"/>
  <c r="D115" i="8"/>
  <c r="C115" i="8"/>
  <c r="A115" i="8"/>
  <c r="F114" i="8"/>
  <c r="E114" i="8"/>
  <c r="D114" i="8"/>
  <c r="C114" i="8"/>
  <c r="A114" i="8"/>
  <c r="F113" i="8"/>
  <c r="E113" i="8"/>
  <c r="D113" i="8"/>
  <c r="C113" i="8"/>
  <c r="A113" i="8"/>
  <c r="F112" i="8"/>
  <c r="E112" i="8"/>
  <c r="D112" i="8"/>
  <c r="C112" i="8"/>
  <c r="A112" i="8"/>
  <c r="F111" i="8"/>
  <c r="E111" i="8"/>
  <c r="D111" i="8"/>
  <c r="C111" i="8"/>
  <c r="A111" i="8"/>
  <c r="F110" i="8"/>
  <c r="E110" i="8"/>
  <c r="D110" i="8"/>
  <c r="C110" i="8"/>
  <c r="A110" i="8"/>
  <c r="F109" i="8"/>
  <c r="E109" i="8"/>
  <c r="D109" i="8"/>
  <c r="C109" i="8"/>
  <c r="A109" i="8"/>
  <c r="F108" i="8"/>
  <c r="E108" i="8"/>
  <c r="D108" i="8"/>
  <c r="C108" i="8"/>
  <c r="A108" i="8"/>
  <c r="F107" i="8"/>
  <c r="E107" i="8"/>
  <c r="D107" i="8"/>
  <c r="C107" i="8"/>
  <c r="A107" i="8"/>
  <c r="F106" i="8"/>
  <c r="E106" i="8"/>
  <c r="D106" i="8"/>
  <c r="C106" i="8"/>
  <c r="A106" i="8"/>
  <c r="F105" i="8"/>
  <c r="E105" i="8"/>
  <c r="D105" i="8"/>
  <c r="C105" i="8"/>
  <c r="A105" i="8"/>
  <c r="F104" i="8"/>
  <c r="E104" i="8"/>
  <c r="D104" i="8"/>
  <c r="C104" i="8"/>
  <c r="A104" i="8"/>
  <c r="F103" i="8"/>
  <c r="E103" i="8"/>
  <c r="D103" i="8"/>
  <c r="C103" i="8"/>
  <c r="A103" i="8"/>
  <c r="F102" i="8"/>
  <c r="E102" i="8"/>
  <c r="D102" i="8"/>
  <c r="C102" i="8"/>
  <c r="A102" i="8"/>
  <c r="F101" i="8"/>
  <c r="E101" i="8"/>
  <c r="D101" i="8"/>
  <c r="C101" i="8"/>
  <c r="A101" i="8"/>
  <c r="F100" i="8"/>
  <c r="E100" i="8"/>
  <c r="D100" i="8"/>
  <c r="C100" i="8"/>
  <c r="A100" i="8"/>
  <c r="F99" i="8"/>
  <c r="E99" i="8"/>
  <c r="D99" i="8"/>
  <c r="C99" i="8"/>
  <c r="A99" i="8"/>
  <c r="F98" i="8"/>
  <c r="E98" i="8"/>
  <c r="D98" i="8"/>
  <c r="C98" i="8"/>
  <c r="A98" i="8"/>
  <c r="F97" i="8"/>
  <c r="E97" i="8"/>
  <c r="D97" i="8"/>
  <c r="C97" i="8"/>
  <c r="A97" i="8"/>
  <c r="F96" i="8"/>
  <c r="E96" i="8"/>
  <c r="D96" i="8"/>
  <c r="C96" i="8"/>
  <c r="A96" i="8"/>
  <c r="F95" i="8"/>
  <c r="E95" i="8"/>
  <c r="D95" i="8"/>
  <c r="C95" i="8"/>
  <c r="A95" i="8"/>
  <c r="F94" i="8"/>
  <c r="E94" i="8"/>
  <c r="D94" i="8"/>
  <c r="C94" i="8"/>
  <c r="A94" i="8"/>
  <c r="F93" i="8"/>
  <c r="E93" i="8"/>
  <c r="D93" i="8"/>
  <c r="C93" i="8"/>
  <c r="A93" i="8"/>
  <c r="F92" i="8"/>
  <c r="E92" i="8"/>
  <c r="D92" i="8"/>
  <c r="C92" i="8"/>
  <c r="A92" i="8"/>
  <c r="F91" i="8"/>
  <c r="E91" i="8"/>
  <c r="D91" i="8"/>
  <c r="C91" i="8"/>
  <c r="A91" i="8"/>
  <c r="F90" i="8"/>
  <c r="E90" i="8"/>
  <c r="D90" i="8"/>
  <c r="C90" i="8"/>
  <c r="A90" i="8"/>
  <c r="F89" i="8"/>
  <c r="E89" i="8"/>
  <c r="D89" i="8"/>
  <c r="C89" i="8"/>
  <c r="A89" i="8"/>
  <c r="F88" i="8"/>
  <c r="E88" i="8"/>
  <c r="D88" i="8"/>
  <c r="C88" i="8"/>
  <c r="A88" i="8"/>
  <c r="E87" i="8"/>
  <c r="D87" i="8"/>
  <c r="C87" i="8"/>
  <c r="F87" i="8" s="1"/>
  <c r="A87" i="8"/>
  <c r="E86" i="8"/>
  <c r="F86" i="8" s="1"/>
  <c r="D86" i="8"/>
  <c r="C86" i="8"/>
  <c r="A86" i="8"/>
  <c r="E85" i="8"/>
  <c r="D85" i="8"/>
  <c r="C85" i="8"/>
  <c r="F85" i="8" s="1"/>
  <c r="A85" i="8"/>
  <c r="E84" i="8"/>
  <c r="D84" i="8"/>
  <c r="C84" i="8"/>
  <c r="F84" i="8" s="1"/>
  <c r="A84" i="8"/>
  <c r="E83" i="8"/>
  <c r="D83" i="8"/>
  <c r="C83" i="8"/>
  <c r="A83" i="8"/>
  <c r="F82" i="8"/>
  <c r="E82" i="8"/>
  <c r="D82" i="8"/>
  <c r="C82" i="8"/>
  <c r="A82" i="8"/>
  <c r="E81" i="8"/>
  <c r="D81" i="8"/>
  <c r="C81" i="8"/>
  <c r="F81" i="8" s="1"/>
  <c r="A81" i="8"/>
  <c r="E80" i="8"/>
  <c r="F80" i="8" s="1"/>
  <c r="D80" i="8"/>
  <c r="C80" i="8"/>
  <c r="A80" i="8"/>
  <c r="E79" i="8"/>
  <c r="D79" i="8"/>
  <c r="C79" i="8"/>
  <c r="F79" i="8" s="1"/>
  <c r="A79" i="8"/>
  <c r="E78" i="8"/>
  <c r="D78" i="8"/>
  <c r="C78" i="8"/>
  <c r="F78" i="8" s="1"/>
  <c r="A78" i="8"/>
  <c r="E77" i="8"/>
  <c r="D77" i="8"/>
  <c r="C77" i="8"/>
  <c r="F77" i="8" s="1"/>
  <c r="A77" i="8"/>
  <c r="F76" i="8"/>
  <c r="E76" i="8"/>
  <c r="D76" i="8"/>
  <c r="C76" i="8"/>
  <c r="A76" i="8"/>
  <c r="E75" i="8"/>
  <c r="D75" i="8"/>
  <c r="C75" i="8"/>
  <c r="F75" i="8" s="1"/>
  <c r="A75" i="8"/>
  <c r="E74" i="8"/>
  <c r="D74" i="8"/>
  <c r="C74" i="8"/>
  <c r="F74" i="8" s="1"/>
  <c r="A74" i="8"/>
  <c r="F73" i="8"/>
  <c r="E73" i="8"/>
  <c r="D73" i="8"/>
  <c r="C73" i="8"/>
  <c r="A73" i="8"/>
  <c r="E72" i="8"/>
  <c r="F72" i="8" s="1"/>
  <c r="D72" i="8"/>
  <c r="C72" i="8"/>
  <c r="A72" i="8"/>
  <c r="E71" i="8"/>
  <c r="D71" i="8"/>
  <c r="C71" i="8"/>
  <c r="F71" i="8" s="1"/>
  <c r="A71" i="8"/>
  <c r="E70" i="8"/>
  <c r="D70" i="8"/>
  <c r="C70" i="8"/>
  <c r="F70" i="8" s="1"/>
  <c r="A70" i="8"/>
  <c r="E69" i="8"/>
  <c r="D69" i="8"/>
  <c r="C69" i="8"/>
  <c r="A69" i="8"/>
  <c r="E68" i="8"/>
  <c r="F68" i="8" s="1"/>
  <c r="D68" i="8"/>
  <c r="C68" i="8"/>
  <c r="A68" i="8"/>
  <c r="E67" i="8"/>
  <c r="F67" i="8" s="1"/>
  <c r="D67" i="8"/>
  <c r="C67" i="8"/>
  <c r="A67" i="8"/>
  <c r="E66" i="8"/>
  <c r="D66" i="8"/>
  <c r="C66" i="8"/>
  <c r="F66" i="8" s="1"/>
  <c r="A66" i="8"/>
  <c r="E65" i="8"/>
  <c r="F65" i="8" s="1"/>
  <c r="D65" i="8"/>
  <c r="C65" i="8"/>
  <c r="A65" i="8"/>
  <c r="E64" i="8"/>
  <c r="D64" i="8"/>
  <c r="C64" i="8"/>
  <c r="F64" i="8" s="1"/>
  <c r="A64" i="8"/>
  <c r="E63" i="8"/>
  <c r="D63" i="8"/>
  <c r="C63" i="8"/>
  <c r="F63" i="8" s="1"/>
  <c r="A63" i="8"/>
  <c r="E62" i="8"/>
  <c r="D62" i="8"/>
  <c r="C62" i="8"/>
  <c r="F62" i="8" s="1"/>
  <c r="A62" i="8"/>
  <c r="F61" i="8"/>
  <c r="E61" i="8"/>
  <c r="D61" i="8"/>
  <c r="C61" i="8"/>
  <c r="A61" i="8"/>
  <c r="E60" i="8"/>
  <c r="D60" i="8"/>
  <c r="C60" i="8"/>
  <c r="F60" i="8" s="1"/>
  <c r="A60" i="8"/>
  <c r="E59" i="8"/>
  <c r="D59" i="8"/>
  <c r="C59" i="8"/>
  <c r="F59" i="8" s="1"/>
  <c r="A59" i="8"/>
  <c r="E58" i="8"/>
  <c r="D58" i="8"/>
  <c r="C58" i="8"/>
  <c r="F58" i="8" s="1"/>
  <c r="A58" i="8"/>
  <c r="E57" i="8"/>
  <c r="F57" i="8" s="1"/>
  <c r="D57" i="8"/>
  <c r="C57" i="8"/>
  <c r="A57" i="8"/>
  <c r="E56" i="8"/>
  <c r="D56" i="8"/>
  <c r="C56" i="8"/>
  <c r="F56" i="8" s="1"/>
  <c r="A56" i="8"/>
  <c r="F55" i="8"/>
  <c r="E55" i="8"/>
  <c r="D55" i="8"/>
  <c r="C55" i="8"/>
  <c r="A55" i="8"/>
  <c r="E54" i="8"/>
  <c r="D54" i="8"/>
  <c r="C54" i="8"/>
  <c r="F54" i="8" s="1"/>
  <c r="A54" i="8"/>
  <c r="E53" i="8"/>
  <c r="F53" i="8" s="1"/>
  <c r="D53" i="8"/>
  <c r="C53" i="8"/>
  <c r="A53" i="8"/>
  <c r="E52" i="8"/>
  <c r="D52" i="8"/>
  <c r="C52" i="8"/>
  <c r="F52" i="8" s="1"/>
  <c r="A52" i="8"/>
  <c r="E51" i="8"/>
  <c r="F51" i="8" s="1"/>
  <c r="D51" i="8"/>
  <c r="C51" i="8"/>
  <c r="A51" i="8"/>
  <c r="E50" i="8"/>
  <c r="D50" i="8"/>
  <c r="C50" i="8"/>
  <c r="F50" i="8" s="1"/>
  <c r="A50" i="8"/>
  <c r="E49" i="8"/>
  <c r="F49" i="8" s="1"/>
  <c r="D49" i="8"/>
  <c r="C49" i="8"/>
  <c r="A49" i="8"/>
  <c r="F48" i="8"/>
  <c r="E48" i="8"/>
  <c r="D48" i="8"/>
  <c r="C48" i="8"/>
  <c r="A48" i="8"/>
  <c r="E47" i="8"/>
  <c r="F47" i="8" s="1"/>
  <c r="D47" i="8"/>
  <c r="C47" i="8"/>
  <c r="A47" i="8"/>
  <c r="E46" i="8"/>
  <c r="D46" i="8"/>
  <c r="C46" i="8"/>
  <c r="F46" i="8" s="1"/>
  <c r="A46" i="8"/>
  <c r="F45" i="8"/>
  <c r="E45" i="8"/>
  <c r="D45" i="8"/>
  <c r="C45" i="8"/>
  <c r="A45" i="8"/>
  <c r="E44" i="8"/>
  <c r="F44" i="8" s="1"/>
  <c r="D44" i="8"/>
  <c r="C44" i="8"/>
  <c r="A44" i="8"/>
  <c r="E43" i="8"/>
  <c r="D43" i="8"/>
  <c r="C43" i="8"/>
  <c r="F43" i="8" s="1"/>
  <c r="A43" i="8"/>
  <c r="E42" i="8"/>
  <c r="D42" i="8"/>
  <c r="C42" i="8"/>
  <c r="F42" i="8" s="1"/>
  <c r="A42" i="8"/>
  <c r="E41" i="8"/>
  <c r="F41" i="8" s="1"/>
  <c r="D41" i="8"/>
  <c r="C41" i="8"/>
  <c r="A41" i="8"/>
  <c r="F40" i="8"/>
  <c r="E40" i="8"/>
  <c r="D40" i="8"/>
  <c r="C40" i="8"/>
  <c r="A40" i="8"/>
  <c r="E39" i="8"/>
  <c r="D39" i="8"/>
  <c r="C39" i="8"/>
  <c r="F39" i="8" s="1"/>
  <c r="A39" i="8"/>
  <c r="E38" i="8"/>
  <c r="D38" i="8"/>
  <c r="C38" i="8"/>
  <c r="F38" i="8" s="1"/>
  <c r="A38" i="8"/>
  <c r="F37" i="8"/>
  <c r="E37" i="8"/>
  <c r="D37" i="8"/>
  <c r="C37" i="8"/>
  <c r="A37" i="8"/>
  <c r="E36" i="8"/>
  <c r="F36" i="8" s="1"/>
  <c r="D36" i="8"/>
  <c r="C36" i="8"/>
  <c r="A36" i="8"/>
  <c r="E35" i="8"/>
  <c r="D35" i="8"/>
  <c r="C35" i="8"/>
  <c r="F35" i="8" s="1"/>
  <c r="A35" i="8"/>
  <c r="E34" i="8"/>
  <c r="D34" i="8"/>
  <c r="C34" i="8"/>
  <c r="F34" i="8" s="1"/>
  <c r="A34" i="8"/>
  <c r="F33" i="8"/>
  <c r="E33" i="8"/>
  <c r="D33" i="8"/>
  <c r="C33" i="8"/>
  <c r="A33" i="8"/>
  <c r="F32" i="8"/>
  <c r="E32" i="8"/>
  <c r="D32" i="8"/>
  <c r="C32" i="8"/>
  <c r="A32" i="8"/>
  <c r="E31" i="8"/>
  <c r="D31" i="8"/>
  <c r="C31" i="8"/>
  <c r="F31" i="8" s="1"/>
  <c r="A31" i="8"/>
  <c r="E30" i="8"/>
  <c r="D30" i="8"/>
  <c r="C30" i="8"/>
  <c r="F30" i="8" s="1"/>
  <c r="A30" i="8"/>
  <c r="F29" i="8"/>
  <c r="E29" i="8"/>
  <c r="D29" i="8"/>
  <c r="C29" i="8"/>
  <c r="A29" i="8"/>
  <c r="E28" i="8"/>
  <c r="D28" i="8"/>
  <c r="C28" i="8"/>
  <c r="F28" i="8" s="1"/>
  <c r="A28" i="8"/>
  <c r="F27" i="8"/>
  <c r="E27" i="8"/>
  <c r="D27" i="8"/>
  <c r="C27" i="8"/>
  <c r="A27" i="8"/>
  <c r="E26" i="8"/>
  <c r="D26" i="8"/>
  <c r="C26" i="8"/>
  <c r="F26" i="8" s="1"/>
  <c r="A26" i="8"/>
  <c r="E25" i="8"/>
  <c r="F25" i="8" s="1"/>
  <c r="D25" i="8"/>
  <c r="C25" i="8"/>
  <c r="A25" i="8"/>
  <c r="E24" i="8"/>
  <c r="D24" i="8"/>
  <c r="C24" i="8"/>
  <c r="F24" i="8" s="1"/>
  <c r="A24" i="8"/>
  <c r="E23" i="8"/>
  <c r="F23" i="8" s="1"/>
  <c r="D23" i="8"/>
  <c r="C23" i="8"/>
  <c r="A23" i="8"/>
  <c r="E22" i="8"/>
  <c r="D22" i="8"/>
  <c r="C22" i="8"/>
  <c r="F22" i="8" s="1"/>
  <c r="A22" i="8"/>
  <c r="F21" i="8"/>
  <c r="E21" i="8"/>
  <c r="D21" i="8"/>
  <c r="C21" i="8"/>
  <c r="A21" i="8"/>
  <c r="E20" i="8"/>
  <c r="D20" i="8"/>
  <c r="C20" i="8"/>
  <c r="A20" i="8"/>
  <c r="F19" i="8"/>
  <c r="E19" i="8"/>
  <c r="D19" i="8"/>
  <c r="C19" i="8"/>
  <c r="A19" i="8"/>
  <c r="E18" i="8"/>
  <c r="D18" i="8"/>
  <c r="C18" i="8"/>
  <c r="F18" i="8" s="1"/>
  <c r="A18" i="8"/>
  <c r="F17" i="8"/>
  <c r="E17" i="8"/>
  <c r="D17" i="8"/>
  <c r="C17" i="8"/>
  <c r="A17" i="8"/>
  <c r="E16" i="8"/>
  <c r="D16" i="8"/>
  <c r="C16" i="8"/>
  <c r="F16" i="8" s="1"/>
  <c r="A16" i="8"/>
  <c r="F15" i="8"/>
  <c r="E15" i="8"/>
  <c r="D15" i="8"/>
  <c r="C15" i="8"/>
  <c r="A15" i="8"/>
  <c r="E14" i="8"/>
  <c r="D14" i="8"/>
  <c r="C14" i="8"/>
  <c r="F14" i="8" s="1"/>
  <c r="A14" i="8"/>
  <c r="E13" i="8"/>
  <c r="F13" i="8" s="1"/>
  <c r="D13" i="8"/>
  <c r="C13" i="8"/>
  <c r="A13" i="8"/>
  <c r="F12" i="8"/>
  <c r="E12" i="8"/>
  <c r="D12" i="8"/>
  <c r="C12" i="8"/>
  <c r="A12" i="8"/>
  <c r="F11" i="8"/>
  <c r="E11" i="8"/>
  <c r="D11" i="8"/>
  <c r="C11" i="8"/>
  <c r="A11" i="8"/>
  <c r="E10" i="8"/>
  <c r="D10" i="8"/>
  <c r="C10" i="8"/>
  <c r="F10" i="8" s="1"/>
  <c r="A10" i="8"/>
  <c r="E9" i="8"/>
  <c r="F9" i="8" s="1"/>
  <c r="D9" i="8"/>
  <c r="C9" i="8"/>
  <c r="A9" i="8"/>
  <c r="E8" i="8"/>
  <c r="F8" i="8" s="1"/>
  <c r="D8" i="8"/>
  <c r="C8" i="8"/>
  <c r="A8" i="8"/>
  <c r="E7" i="8"/>
  <c r="D7" i="8"/>
  <c r="C7" i="8"/>
  <c r="A7" i="8"/>
  <c r="E6" i="8"/>
  <c r="D6" i="8"/>
  <c r="C6" i="8"/>
  <c r="F6" i="8" s="1"/>
  <c r="A6" i="8"/>
  <c r="AJ5" i="8"/>
  <c r="AF5" i="8"/>
  <c r="AC5" i="8"/>
  <c r="AB5" i="8"/>
  <c r="AA5" i="8"/>
  <c r="Y5" i="8"/>
  <c r="Q5" i="8"/>
  <c r="P5" i="8"/>
  <c r="L5" i="8"/>
  <c r="I5" i="8"/>
  <c r="G5" i="8"/>
  <c r="AK4" i="8"/>
  <c r="AJ4" i="8"/>
  <c r="AJ157" i="8" s="1"/>
  <c r="AI4" i="8"/>
  <c r="AH4" i="8"/>
  <c r="AF4" i="8"/>
  <c r="AC4" i="8"/>
  <c r="AC157" i="8" s="1"/>
  <c r="AB4" i="8"/>
  <c r="AB157" i="8" s="1"/>
  <c r="AA4" i="8"/>
  <c r="Y4" i="8"/>
  <c r="X4" i="8"/>
  <c r="X157" i="8" s="1"/>
  <c r="W4" i="8"/>
  <c r="W157" i="8" s="1"/>
  <c r="V4" i="8"/>
  <c r="U4" i="8"/>
  <c r="T4" i="8"/>
  <c r="T5" i="8" s="1"/>
  <c r="S4" i="8"/>
  <c r="S5" i="8" s="1"/>
  <c r="R4" i="8"/>
  <c r="R5" i="8" s="1"/>
  <c r="Q4" i="8"/>
  <c r="Q157" i="8" s="1"/>
  <c r="P4" i="8"/>
  <c r="P157" i="8" s="1"/>
  <c r="O4" i="8"/>
  <c r="N4" i="8"/>
  <c r="L4" i="8"/>
  <c r="I4" i="8"/>
  <c r="I157" i="8" s="1"/>
  <c r="H4" i="8"/>
  <c r="H157" i="8" s="1"/>
  <c r="G4" i="8"/>
  <c r="F2" i="8"/>
  <c r="AG4" i="8" s="1"/>
  <c r="AG157" i="8" s="1"/>
  <c r="A1" i="8"/>
  <c r="F155" i="7"/>
  <c r="E155" i="7"/>
  <c r="D155" i="7"/>
  <c r="C155" i="7"/>
  <c r="A155" i="7"/>
  <c r="F154" i="7"/>
  <c r="E154" i="7"/>
  <c r="D154" i="7"/>
  <c r="C154" i="7"/>
  <c r="A154" i="7"/>
  <c r="F153" i="7"/>
  <c r="E153" i="7"/>
  <c r="D153" i="7"/>
  <c r="C153" i="7"/>
  <c r="A153" i="7"/>
  <c r="F152" i="7"/>
  <c r="E152" i="7"/>
  <c r="D152" i="7"/>
  <c r="C152" i="7"/>
  <c r="A152" i="7"/>
  <c r="F151" i="7"/>
  <c r="E151" i="7"/>
  <c r="D151" i="7"/>
  <c r="C151" i="7"/>
  <c r="A151" i="7"/>
  <c r="F150" i="7"/>
  <c r="E150" i="7"/>
  <c r="D150" i="7"/>
  <c r="C150" i="7"/>
  <c r="A150" i="7"/>
  <c r="F149" i="7"/>
  <c r="E149" i="7"/>
  <c r="D149" i="7"/>
  <c r="C149" i="7"/>
  <c r="A149" i="7"/>
  <c r="F148" i="7"/>
  <c r="E148" i="7"/>
  <c r="D148" i="7"/>
  <c r="C148" i="7"/>
  <c r="A148" i="7"/>
  <c r="F147" i="7"/>
  <c r="E147" i="7"/>
  <c r="D147" i="7"/>
  <c r="C147" i="7"/>
  <c r="A147" i="7"/>
  <c r="F146" i="7"/>
  <c r="E146" i="7"/>
  <c r="D146" i="7"/>
  <c r="C146" i="7"/>
  <c r="A146" i="7"/>
  <c r="F145" i="7"/>
  <c r="E145" i="7"/>
  <c r="D145" i="7"/>
  <c r="C145" i="7"/>
  <c r="A145" i="7"/>
  <c r="F144" i="7"/>
  <c r="E144" i="7"/>
  <c r="D144" i="7"/>
  <c r="C144" i="7"/>
  <c r="A144" i="7"/>
  <c r="F143" i="7"/>
  <c r="E143" i="7"/>
  <c r="D143" i="7"/>
  <c r="C143" i="7"/>
  <c r="A143" i="7"/>
  <c r="F142" i="7"/>
  <c r="E142" i="7"/>
  <c r="D142" i="7"/>
  <c r="C142" i="7"/>
  <c r="A142" i="7"/>
  <c r="F141" i="7"/>
  <c r="E141" i="7"/>
  <c r="D141" i="7"/>
  <c r="C141" i="7"/>
  <c r="A141" i="7"/>
  <c r="F140" i="7"/>
  <c r="E140" i="7"/>
  <c r="D140" i="7"/>
  <c r="C140" i="7"/>
  <c r="A140" i="7"/>
  <c r="F139" i="7"/>
  <c r="E139" i="7"/>
  <c r="D139" i="7"/>
  <c r="C139" i="7"/>
  <c r="A139" i="7"/>
  <c r="F138" i="7"/>
  <c r="E138" i="7"/>
  <c r="D138" i="7"/>
  <c r="C138" i="7"/>
  <c r="A138" i="7"/>
  <c r="F137" i="7"/>
  <c r="E137" i="7"/>
  <c r="D137" i="7"/>
  <c r="C137" i="7"/>
  <c r="A137" i="7"/>
  <c r="F136" i="7"/>
  <c r="E136" i="7"/>
  <c r="D136" i="7"/>
  <c r="C136" i="7"/>
  <c r="A136" i="7"/>
  <c r="F135" i="7"/>
  <c r="E135" i="7"/>
  <c r="D135" i="7"/>
  <c r="C135" i="7"/>
  <c r="A135" i="7"/>
  <c r="F134" i="7"/>
  <c r="E134" i="7"/>
  <c r="D134" i="7"/>
  <c r="C134" i="7"/>
  <c r="A134" i="7"/>
  <c r="F133" i="7"/>
  <c r="E133" i="7"/>
  <c r="D133" i="7"/>
  <c r="C133" i="7"/>
  <c r="A133" i="7"/>
  <c r="F132" i="7"/>
  <c r="E132" i="7"/>
  <c r="D132" i="7"/>
  <c r="C132" i="7"/>
  <c r="A132" i="7"/>
  <c r="F131" i="7"/>
  <c r="E131" i="7"/>
  <c r="D131" i="7"/>
  <c r="C131" i="7"/>
  <c r="A131" i="7"/>
  <c r="F130" i="7"/>
  <c r="E130" i="7"/>
  <c r="D130" i="7"/>
  <c r="C130" i="7"/>
  <c r="A130" i="7"/>
  <c r="F129" i="7"/>
  <c r="E129" i="7"/>
  <c r="D129" i="7"/>
  <c r="C129" i="7"/>
  <c r="A129" i="7"/>
  <c r="F128" i="7"/>
  <c r="E128" i="7"/>
  <c r="D128" i="7"/>
  <c r="C128" i="7"/>
  <c r="A128" i="7"/>
  <c r="F127" i="7"/>
  <c r="E127" i="7"/>
  <c r="D127" i="7"/>
  <c r="C127" i="7"/>
  <c r="A127" i="7"/>
  <c r="F126" i="7"/>
  <c r="E126" i="7"/>
  <c r="D126" i="7"/>
  <c r="C126" i="7"/>
  <c r="A126" i="7"/>
  <c r="F125" i="7"/>
  <c r="E125" i="7"/>
  <c r="D125" i="7"/>
  <c r="C125" i="7"/>
  <c r="A125" i="7"/>
  <c r="F124" i="7"/>
  <c r="E124" i="7"/>
  <c r="D124" i="7"/>
  <c r="C124" i="7"/>
  <c r="A124" i="7"/>
  <c r="F123" i="7"/>
  <c r="E123" i="7"/>
  <c r="D123" i="7"/>
  <c r="C123" i="7"/>
  <c r="A123" i="7"/>
  <c r="F122" i="7"/>
  <c r="E122" i="7"/>
  <c r="D122" i="7"/>
  <c r="C122" i="7"/>
  <c r="A122" i="7"/>
  <c r="F121" i="7"/>
  <c r="E121" i="7"/>
  <c r="D121" i="7"/>
  <c r="C121" i="7"/>
  <c r="A121" i="7"/>
  <c r="F120" i="7"/>
  <c r="E120" i="7"/>
  <c r="D120" i="7"/>
  <c r="C120" i="7"/>
  <c r="A120" i="7"/>
  <c r="F119" i="7"/>
  <c r="E119" i="7"/>
  <c r="D119" i="7"/>
  <c r="C119" i="7"/>
  <c r="A119" i="7"/>
  <c r="F118" i="7"/>
  <c r="E118" i="7"/>
  <c r="D118" i="7"/>
  <c r="C118" i="7"/>
  <c r="A118" i="7"/>
  <c r="F117" i="7"/>
  <c r="E117" i="7"/>
  <c r="D117" i="7"/>
  <c r="C117" i="7"/>
  <c r="A117" i="7"/>
  <c r="F116" i="7"/>
  <c r="E116" i="7"/>
  <c r="D116" i="7"/>
  <c r="C116" i="7"/>
  <c r="A116" i="7"/>
  <c r="F115" i="7"/>
  <c r="E115" i="7"/>
  <c r="D115" i="7"/>
  <c r="C115" i="7"/>
  <c r="A115" i="7"/>
  <c r="F114" i="7"/>
  <c r="E114" i="7"/>
  <c r="D114" i="7"/>
  <c r="C114" i="7"/>
  <c r="A114" i="7"/>
  <c r="F113" i="7"/>
  <c r="E113" i="7"/>
  <c r="D113" i="7"/>
  <c r="C113" i="7"/>
  <c r="A113" i="7"/>
  <c r="F112" i="7"/>
  <c r="E112" i="7"/>
  <c r="D112" i="7"/>
  <c r="C112" i="7"/>
  <c r="A112" i="7"/>
  <c r="F111" i="7"/>
  <c r="E111" i="7"/>
  <c r="D111" i="7"/>
  <c r="C111" i="7"/>
  <c r="A111" i="7"/>
  <c r="F110" i="7"/>
  <c r="E110" i="7"/>
  <c r="D110" i="7"/>
  <c r="C110" i="7"/>
  <c r="A110" i="7"/>
  <c r="F109" i="7"/>
  <c r="E109" i="7"/>
  <c r="D109" i="7"/>
  <c r="C109" i="7"/>
  <c r="A109" i="7"/>
  <c r="F108" i="7"/>
  <c r="E108" i="7"/>
  <c r="D108" i="7"/>
  <c r="C108" i="7"/>
  <c r="A108" i="7"/>
  <c r="F107" i="7"/>
  <c r="E107" i="7"/>
  <c r="D107" i="7"/>
  <c r="C107" i="7"/>
  <c r="A107" i="7"/>
  <c r="F106" i="7"/>
  <c r="E106" i="7"/>
  <c r="D106" i="7"/>
  <c r="C106" i="7"/>
  <c r="A106" i="7"/>
  <c r="F105" i="7"/>
  <c r="E105" i="7"/>
  <c r="D105" i="7"/>
  <c r="C105" i="7"/>
  <c r="A105" i="7"/>
  <c r="F104" i="7"/>
  <c r="E104" i="7"/>
  <c r="D104" i="7"/>
  <c r="C104" i="7"/>
  <c r="A104" i="7"/>
  <c r="F103" i="7"/>
  <c r="E103" i="7"/>
  <c r="D103" i="7"/>
  <c r="C103" i="7"/>
  <c r="A103" i="7"/>
  <c r="F102" i="7"/>
  <c r="E102" i="7"/>
  <c r="D102" i="7"/>
  <c r="C102" i="7"/>
  <c r="A102" i="7"/>
  <c r="F101" i="7"/>
  <c r="E101" i="7"/>
  <c r="D101" i="7"/>
  <c r="C101" i="7"/>
  <c r="A101" i="7"/>
  <c r="F100" i="7"/>
  <c r="E100" i="7"/>
  <c r="D100" i="7"/>
  <c r="C100" i="7"/>
  <c r="A100" i="7"/>
  <c r="F99" i="7"/>
  <c r="E99" i="7"/>
  <c r="D99" i="7"/>
  <c r="C99" i="7"/>
  <c r="A99" i="7"/>
  <c r="F98" i="7"/>
  <c r="E98" i="7"/>
  <c r="D98" i="7"/>
  <c r="C98" i="7"/>
  <c r="A98" i="7"/>
  <c r="F97" i="7"/>
  <c r="E97" i="7"/>
  <c r="D97" i="7"/>
  <c r="C97" i="7"/>
  <c r="A97" i="7"/>
  <c r="F96" i="7"/>
  <c r="E96" i="7"/>
  <c r="D96" i="7"/>
  <c r="C96" i="7"/>
  <c r="A96" i="7"/>
  <c r="F95" i="7"/>
  <c r="E95" i="7"/>
  <c r="D95" i="7"/>
  <c r="C95" i="7"/>
  <c r="A95" i="7"/>
  <c r="F94" i="7"/>
  <c r="E94" i="7"/>
  <c r="D94" i="7"/>
  <c r="C94" i="7"/>
  <c r="A94" i="7"/>
  <c r="F93" i="7"/>
  <c r="E93" i="7"/>
  <c r="D93" i="7"/>
  <c r="C93" i="7"/>
  <c r="A93" i="7"/>
  <c r="F92" i="7"/>
  <c r="E92" i="7"/>
  <c r="D92" i="7"/>
  <c r="C92" i="7"/>
  <c r="A92" i="7"/>
  <c r="F91" i="7"/>
  <c r="E91" i="7"/>
  <c r="D91" i="7"/>
  <c r="C91" i="7"/>
  <c r="A91" i="7"/>
  <c r="F90" i="7"/>
  <c r="E90" i="7"/>
  <c r="D90" i="7"/>
  <c r="C90" i="7"/>
  <c r="A90" i="7"/>
  <c r="F89" i="7"/>
  <c r="E89" i="7"/>
  <c r="D89" i="7"/>
  <c r="C89" i="7"/>
  <c r="A89" i="7"/>
  <c r="F88" i="7"/>
  <c r="E88" i="7"/>
  <c r="D88" i="7"/>
  <c r="C88" i="7"/>
  <c r="A88" i="7"/>
  <c r="E87" i="7"/>
  <c r="D87" i="7"/>
  <c r="C87" i="7"/>
  <c r="A87" i="7"/>
  <c r="E86" i="7"/>
  <c r="F86" i="7" s="1"/>
  <c r="D86" i="7"/>
  <c r="C86" i="7"/>
  <c r="A86" i="7"/>
  <c r="E85" i="7"/>
  <c r="D85" i="7"/>
  <c r="C85" i="7"/>
  <c r="F85" i="7" s="1"/>
  <c r="A85" i="7"/>
  <c r="F84" i="7"/>
  <c r="E84" i="7"/>
  <c r="D84" i="7"/>
  <c r="C84" i="7"/>
  <c r="A84" i="7"/>
  <c r="E83" i="7"/>
  <c r="D83" i="7"/>
  <c r="C83" i="7"/>
  <c r="F83" i="7" s="1"/>
  <c r="A83" i="7"/>
  <c r="E82" i="7"/>
  <c r="D82" i="7"/>
  <c r="C82" i="7"/>
  <c r="F82" i="7" s="1"/>
  <c r="A82" i="7"/>
  <c r="E81" i="7"/>
  <c r="D81" i="7"/>
  <c r="C81" i="7"/>
  <c r="F81" i="7" s="1"/>
  <c r="A81" i="7"/>
  <c r="E80" i="7"/>
  <c r="D80" i="7"/>
  <c r="C80" i="7"/>
  <c r="F80" i="7" s="1"/>
  <c r="A80" i="7"/>
  <c r="E79" i="7"/>
  <c r="D79" i="7"/>
  <c r="C79" i="7"/>
  <c r="F79" i="7" s="1"/>
  <c r="A79" i="7"/>
  <c r="E78" i="7"/>
  <c r="D78" i="7"/>
  <c r="C78" i="7"/>
  <c r="F78" i="7" s="1"/>
  <c r="A78" i="7"/>
  <c r="E77" i="7"/>
  <c r="F77" i="7" s="1"/>
  <c r="D77" i="7"/>
  <c r="C77" i="7"/>
  <c r="A77" i="7"/>
  <c r="F76" i="7"/>
  <c r="E76" i="7"/>
  <c r="D76" i="7"/>
  <c r="C76" i="7"/>
  <c r="A76" i="7"/>
  <c r="E75" i="7"/>
  <c r="D75" i="7"/>
  <c r="C75" i="7"/>
  <c r="F75" i="7" s="1"/>
  <c r="A75" i="7"/>
  <c r="F74" i="7"/>
  <c r="E74" i="7"/>
  <c r="D74" i="7"/>
  <c r="C74" i="7"/>
  <c r="A74" i="7"/>
  <c r="E73" i="7"/>
  <c r="F73" i="7" s="1"/>
  <c r="D73" i="7"/>
  <c r="C73" i="7"/>
  <c r="A73" i="7"/>
  <c r="F72" i="7"/>
  <c r="E72" i="7"/>
  <c r="D72" i="7"/>
  <c r="C72" i="7"/>
  <c r="A72" i="7"/>
  <c r="E71" i="7"/>
  <c r="D71" i="7"/>
  <c r="C71" i="7"/>
  <c r="F71" i="7" s="1"/>
  <c r="A71" i="7"/>
  <c r="E70" i="7"/>
  <c r="F70" i="7" s="1"/>
  <c r="D70" i="7"/>
  <c r="C70" i="7"/>
  <c r="A70" i="7"/>
  <c r="E69" i="7"/>
  <c r="D69" i="7"/>
  <c r="C69" i="7"/>
  <c r="F69" i="7" s="1"/>
  <c r="A69" i="7"/>
  <c r="F68" i="7"/>
  <c r="E68" i="7"/>
  <c r="D68" i="7"/>
  <c r="C68" i="7"/>
  <c r="A68" i="7"/>
  <c r="E67" i="7"/>
  <c r="D67" i="7"/>
  <c r="C67" i="7"/>
  <c r="A67" i="7"/>
  <c r="F66" i="7"/>
  <c r="E66" i="7"/>
  <c r="D66" i="7"/>
  <c r="C66" i="7"/>
  <c r="A66" i="7"/>
  <c r="E65" i="7"/>
  <c r="D65" i="7"/>
  <c r="C65" i="7"/>
  <c r="F65" i="7" s="1"/>
  <c r="A65" i="7"/>
  <c r="F64" i="7"/>
  <c r="E64" i="7"/>
  <c r="D64" i="7"/>
  <c r="C64" i="7"/>
  <c r="A64" i="7"/>
  <c r="E63" i="7"/>
  <c r="D63" i="7"/>
  <c r="C63" i="7"/>
  <c r="F63" i="7" s="1"/>
  <c r="A63" i="7"/>
  <c r="E62" i="7"/>
  <c r="F62" i="7" s="1"/>
  <c r="D62" i="7"/>
  <c r="C62" i="7"/>
  <c r="A62" i="7"/>
  <c r="E61" i="7"/>
  <c r="D61" i="7"/>
  <c r="C61" i="7"/>
  <c r="F61" i="7" s="1"/>
  <c r="A61" i="7"/>
  <c r="F60" i="7"/>
  <c r="E60" i="7"/>
  <c r="D60" i="7"/>
  <c r="C60" i="7"/>
  <c r="A60" i="7"/>
  <c r="E59" i="7"/>
  <c r="D59" i="7"/>
  <c r="C59" i="7"/>
  <c r="F59" i="7" s="1"/>
  <c r="A59" i="7"/>
  <c r="F58" i="7"/>
  <c r="E58" i="7"/>
  <c r="D58" i="7"/>
  <c r="C58" i="7"/>
  <c r="A58" i="7"/>
  <c r="E57" i="7"/>
  <c r="D57" i="7"/>
  <c r="C57" i="7"/>
  <c r="F57" i="7" s="1"/>
  <c r="A57" i="7"/>
  <c r="F56" i="7"/>
  <c r="E56" i="7"/>
  <c r="D56" i="7"/>
  <c r="C56" i="7"/>
  <c r="A56" i="7"/>
  <c r="E55" i="7"/>
  <c r="D55" i="7"/>
  <c r="C55" i="7"/>
  <c r="A55" i="7"/>
  <c r="E54" i="7"/>
  <c r="D54" i="7"/>
  <c r="C54" i="7"/>
  <c r="F54" i="7" s="1"/>
  <c r="A54" i="7"/>
  <c r="F53" i="7"/>
  <c r="E53" i="7"/>
  <c r="D53" i="7"/>
  <c r="C53" i="7"/>
  <c r="A53" i="7"/>
  <c r="F52" i="7"/>
  <c r="E52" i="7"/>
  <c r="D52" i="7"/>
  <c r="C52" i="7"/>
  <c r="A52" i="7"/>
  <c r="E51" i="7"/>
  <c r="D51" i="7"/>
  <c r="C51" i="7"/>
  <c r="A51" i="7"/>
  <c r="E50" i="7"/>
  <c r="D50" i="7"/>
  <c r="C50" i="7"/>
  <c r="F50" i="7" s="1"/>
  <c r="A50" i="7"/>
  <c r="E49" i="7"/>
  <c r="F49" i="7" s="1"/>
  <c r="D49" i="7"/>
  <c r="C49" i="7"/>
  <c r="A49" i="7"/>
  <c r="F48" i="7"/>
  <c r="E48" i="7"/>
  <c r="D48" i="7"/>
  <c r="C48" i="7"/>
  <c r="A48" i="7"/>
  <c r="E47" i="7"/>
  <c r="D47" i="7"/>
  <c r="C47" i="7"/>
  <c r="F47" i="7" s="1"/>
  <c r="A47" i="7"/>
  <c r="E46" i="7"/>
  <c r="D46" i="7"/>
  <c r="C46" i="7"/>
  <c r="F46" i="7" s="1"/>
  <c r="A46" i="7"/>
  <c r="F45" i="7"/>
  <c r="E45" i="7"/>
  <c r="D45" i="7"/>
  <c r="C45" i="7"/>
  <c r="A45" i="7"/>
  <c r="F44" i="7"/>
  <c r="E44" i="7"/>
  <c r="D44" i="7"/>
  <c r="C44" i="7"/>
  <c r="A44" i="7"/>
  <c r="E43" i="7"/>
  <c r="D43" i="7"/>
  <c r="C43" i="7"/>
  <c r="F43" i="7" s="1"/>
  <c r="A43" i="7"/>
  <c r="E42" i="7"/>
  <c r="D42" i="7"/>
  <c r="C42" i="7"/>
  <c r="F42" i="7" s="1"/>
  <c r="A42" i="7"/>
  <c r="E41" i="7"/>
  <c r="F41" i="7" s="1"/>
  <c r="D41" i="7"/>
  <c r="C41" i="7"/>
  <c r="A41" i="7"/>
  <c r="F40" i="7"/>
  <c r="E40" i="7"/>
  <c r="D40" i="7"/>
  <c r="C40" i="7"/>
  <c r="A40" i="7"/>
  <c r="E39" i="7"/>
  <c r="D39" i="7"/>
  <c r="C39" i="7"/>
  <c r="A39" i="7"/>
  <c r="E38" i="7"/>
  <c r="D38" i="7"/>
  <c r="C38" i="7"/>
  <c r="F38" i="7" s="1"/>
  <c r="A38" i="7"/>
  <c r="E37" i="7"/>
  <c r="F37" i="7" s="1"/>
  <c r="D37" i="7"/>
  <c r="C37" i="7"/>
  <c r="A37" i="7"/>
  <c r="F36" i="7"/>
  <c r="E36" i="7"/>
  <c r="D36" i="7"/>
  <c r="C36" i="7"/>
  <c r="A36" i="7"/>
  <c r="E35" i="7"/>
  <c r="D35" i="7"/>
  <c r="C35" i="7"/>
  <c r="A35" i="7"/>
  <c r="E34" i="7"/>
  <c r="F34" i="7" s="1"/>
  <c r="D34" i="7"/>
  <c r="C34" i="7"/>
  <c r="A34" i="7"/>
  <c r="E33" i="7"/>
  <c r="D33" i="7"/>
  <c r="C33" i="7"/>
  <c r="F33" i="7" s="1"/>
  <c r="A33" i="7"/>
  <c r="F32" i="7"/>
  <c r="E32" i="7"/>
  <c r="D32" i="7"/>
  <c r="C32" i="7"/>
  <c r="A32" i="7"/>
  <c r="E31" i="7"/>
  <c r="D31" i="7"/>
  <c r="C31" i="7"/>
  <c r="F31" i="7" s="1"/>
  <c r="A31" i="7"/>
  <c r="E30" i="7"/>
  <c r="D30" i="7"/>
  <c r="C30" i="7"/>
  <c r="F30" i="7" s="1"/>
  <c r="A30" i="7"/>
  <c r="E29" i="7"/>
  <c r="F29" i="7" s="1"/>
  <c r="D29" i="7"/>
  <c r="C29" i="7"/>
  <c r="A29" i="7"/>
  <c r="F28" i="7"/>
  <c r="E28" i="7"/>
  <c r="D28" i="7"/>
  <c r="C28" i="7"/>
  <c r="A28" i="7"/>
  <c r="E27" i="7"/>
  <c r="D27" i="7"/>
  <c r="C27" i="7"/>
  <c r="F27" i="7" s="1"/>
  <c r="A27" i="7"/>
  <c r="E26" i="7"/>
  <c r="D26" i="7"/>
  <c r="C26" i="7"/>
  <c r="F26" i="7" s="1"/>
  <c r="A26" i="7"/>
  <c r="E25" i="7"/>
  <c r="D25" i="7"/>
  <c r="C25" i="7"/>
  <c r="F25" i="7" s="1"/>
  <c r="A25" i="7"/>
  <c r="F24" i="7"/>
  <c r="E24" i="7"/>
  <c r="D24" i="7"/>
  <c r="C24" i="7"/>
  <c r="A24" i="7"/>
  <c r="E23" i="7"/>
  <c r="D23" i="7"/>
  <c r="C23" i="7"/>
  <c r="F23" i="7" s="1"/>
  <c r="A23" i="7"/>
  <c r="E22" i="7"/>
  <c r="D22" i="7"/>
  <c r="C22" i="7"/>
  <c r="F22" i="7" s="1"/>
  <c r="A22" i="7"/>
  <c r="E21" i="7"/>
  <c r="D21" i="7"/>
  <c r="C21" i="7"/>
  <c r="F21" i="7" s="1"/>
  <c r="A21" i="7"/>
  <c r="F20" i="7"/>
  <c r="E20" i="7"/>
  <c r="D20" i="7"/>
  <c r="C20" i="7"/>
  <c r="A20" i="7"/>
  <c r="E19" i="7"/>
  <c r="D19" i="7"/>
  <c r="C19" i="7"/>
  <c r="F19" i="7" s="1"/>
  <c r="A19" i="7"/>
  <c r="E18" i="7"/>
  <c r="F18" i="7" s="1"/>
  <c r="D18" i="7"/>
  <c r="C18" i="7"/>
  <c r="A18" i="7"/>
  <c r="F17" i="7"/>
  <c r="E17" i="7"/>
  <c r="D17" i="7"/>
  <c r="C17" i="7"/>
  <c r="A17" i="7"/>
  <c r="F16" i="7"/>
  <c r="E16" i="7"/>
  <c r="D16" i="7"/>
  <c r="C16" i="7"/>
  <c r="A16" i="7"/>
  <c r="E15" i="7"/>
  <c r="D15" i="7"/>
  <c r="C15" i="7"/>
  <c r="A15" i="7"/>
  <c r="F14" i="7"/>
  <c r="E14" i="7"/>
  <c r="D14" i="7"/>
  <c r="C14" i="7"/>
  <c r="A14" i="7"/>
  <c r="E13" i="7"/>
  <c r="F13" i="7" s="1"/>
  <c r="D13" i="7"/>
  <c r="C13" i="7"/>
  <c r="A13" i="7"/>
  <c r="F12" i="7"/>
  <c r="E12" i="7"/>
  <c r="D12" i="7"/>
  <c r="C12" i="7"/>
  <c r="A12" i="7"/>
  <c r="E11" i="7"/>
  <c r="D11" i="7"/>
  <c r="C11" i="7"/>
  <c r="A11" i="7"/>
  <c r="E10" i="7"/>
  <c r="D10" i="7"/>
  <c r="C10" i="7"/>
  <c r="A10" i="7"/>
  <c r="E9" i="7"/>
  <c r="D9" i="7"/>
  <c r="C9" i="7"/>
  <c r="F9" i="7" s="1"/>
  <c r="A9" i="7"/>
  <c r="F8" i="7"/>
  <c r="E8" i="7"/>
  <c r="D8" i="7"/>
  <c r="C8" i="7"/>
  <c r="A8" i="7"/>
  <c r="E7" i="7"/>
  <c r="D7" i="7"/>
  <c r="C7" i="7"/>
  <c r="F7" i="7" s="1"/>
  <c r="A7" i="7"/>
  <c r="E6" i="7"/>
  <c r="D6" i="7"/>
  <c r="C6" i="7"/>
  <c r="A6" i="7"/>
  <c r="AJ4" i="7"/>
  <c r="AF4" i="7"/>
  <c r="AF5" i="7" s="1"/>
  <c r="AE4" i="7"/>
  <c r="AE5" i="7" s="1"/>
  <c r="AB4" i="7"/>
  <c r="Q4" i="7"/>
  <c r="Q5" i="7" s="1"/>
  <c r="P4" i="7"/>
  <c r="P5" i="7" s="1"/>
  <c r="N4" i="7"/>
  <c r="N157" i="7" s="1"/>
  <c r="K4" i="7"/>
  <c r="K5" i="7" s="1"/>
  <c r="G4" i="7"/>
  <c r="F2" i="7"/>
  <c r="A1" i="7"/>
  <c r="AJ157" i="6"/>
  <c r="Y157" i="6"/>
  <c r="F155" i="6"/>
  <c r="E155" i="6"/>
  <c r="D155" i="6"/>
  <c r="C155" i="6"/>
  <c r="A155" i="6"/>
  <c r="F154" i="6"/>
  <c r="E154" i="6"/>
  <c r="D154" i="6"/>
  <c r="C154" i="6"/>
  <c r="A154" i="6"/>
  <c r="F153" i="6"/>
  <c r="E153" i="6"/>
  <c r="D153" i="6"/>
  <c r="C153" i="6"/>
  <c r="A153" i="6"/>
  <c r="F152" i="6"/>
  <c r="E152" i="6"/>
  <c r="D152" i="6"/>
  <c r="C152" i="6"/>
  <c r="A152" i="6"/>
  <c r="F151" i="6"/>
  <c r="E151" i="6"/>
  <c r="D151" i="6"/>
  <c r="C151" i="6"/>
  <c r="A151" i="6"/>
  <c r="F150" i="6"/>
  <c r="E150" i="6"/>
  <c r="D150" i="6"/>
  <c r="C150" i="6"/>
  <c r="A150" i="6"/>
  <c r="F149" i="6"/>
  <c r="E149" i="6"/>
  <c r="D149" i="6"/>
  <c r="C149" i="6"/>
  <c r="A149" i="6"/>
  <c r="F148" i="6"/>
  <c r="E148" i="6"/>
  <c r="D148" i="6"/>
  <c r="C148" i="6"/>
  <c r="A148" i="6"/>
  <c r="F147" i="6"/>
  <c r="E147" i="6"/>
  <c r="D147" i="6"/>
  <c r="C147" i="6"/>
  <c r="A147" i="6"/>
  <c r="F146" i="6"/>
  <c r="E146" i="6"/>
  <c r="D146" i="6"/>
  <c r="C146" i="6"/>
  <c r="A146" i="6"/>
  <c r="F145" i="6"/>
  <c r="E145" i="6"/>
  <c r="D145" i="6"/>
  <c r="C145" i="6"/>
  <c r="A145" i="6"/>
  <c r="F144" i="6"/>
  <c r="E144" i="6"/>
  <c r="D144" i="6"/>
  <c r="C144" i="6"/>
  <c r="A144" i="6"/>
  <c r="F143" i="6"/>
  <c r="E143" i="6"/>
  <c r="D143" i="6"/>
  <c r="C143" i="6"/>
  <c r="A143" i="6"/>
  <c r="F142" i="6"/>
  <c r="E142" i="6"/>
  <c r="D142" i="6"/>
  <c r="C142" i="6"/>
  <c r="A142" i="6"/>
  <c r="F141" i="6"/>
  <c r="E141" i="6"/>
  <c r="D141" i="6"/>
  <c r="C141" i="6"/>
  <c r="A141" i="6"/>
  <c r="F140" i="6"/>
  <c r="E140" i="6"/>
  <c r="D140" i="6"/>
  <c r="C140" i="6"/>
  <c r="A140" i="6"/>
  <c r="F139" i="6"/>
  <c r="E139" i="6"/>
  <c r="D139" i="6"/>
  <c r="C139" i="6"/>
  <c r="A139" i="6"/>
  <c r="F138" i="6"/>
  <c r="E138" i="6"/>
  <c r="D138" i="6"/>
  <c r="C138" i="6"/>
  <c r="A138" i="6"/>
  <c r="F137" i="6"/>
  <c r="E137" i="6"/>
  <c r="D137" i="6"/>
  <c r="C137" i="6"/>
  <c r="A137" i="6"/>
  <c r="F136" i="6"/>
  <c r="E136" i="6"/>
  <c r="D136" i="6"/>
  <c r="C136" i="6"/>
  <c r="A136" i="6"/>
  <c r="F135" i="6"/>
  <c r="E135" i="6"/>
  <c r="D135" i="6"/>
  <c r="C135" i="6"/>
  <c r="A135" i="6"/>
  <c r="F134" i="6"/>
  <c r="E134" i="6"/>
  <c r="D134" i="6"/>
  <c r="C134" i="6"/>
  <c r="A134" i="6"/>
  <c r="F133" i="6"/>
  <c r="E133" i="6"/>
  <c r="D133" i="6"/>
  <c r="C133" i="6"/>
  <c r="A133" i="6"/>
  <c r="F132" i="6"/>
  <c r="E132" i="6"/>
  <c r="D132" i="6"/>
  <c r="C132" i="6"/>
  <c r="A132" i="6"/>
  <c r="F131" i="6"/>
  <c r="E131" i="6"/>
  <c r="D131" i="6"/>
  <c r="C131" i="6"/>
  <c r="A131" i="6"/>
  <c r="F130" i="6"/>
  <c r="E130" i="6"/>
  <c r="D130" i="6"/>
  <c r="C130" i="6"/>
  <c r="A130" i="6"/>
  <c r="F129" i="6"/>
  <c r="E129" i="6"/>
  <c r="D129" i="6"/>
  <c r="C129" i="6"/>
  <c r="A129" i="6"/>
  <c r="F128" i="6"/>
  <c r="E128" i="6"/>
  <c r="D128" i="6"/>
  <c r="C128" i="6"/>
  <c r="A128" i="6"/>
  <c r="F127" i="6"/>
  <c r="E127" i="6"/>
  <c r="D127" i="6"/>
  <c r="C127" i="6"/>
  <c r="A127" i="6"/>
  <c r="F126" i="6"/>
  <c r="E126" i="6"/>
  <c r="D126" i="6"/>
  <c r="C126" i="6"/>
  <c r="A126" i="6"/>
  <c r="F125" i="6"/>
  <c r="E125" i="6"/>
  <c r="D125" i="6"/>
  <c r="C125" i="6"/>
  <c r="A125" i="6"/>
  <c r="F124" i="6"/>
  <c r="E124" i="6"/>
  <c r="D124" i="6"/>
  <c r="C124" i="6"/>
  <c r="A124" i="6"/>
  <c r="F123" i="6"/>
  <c r="E123" i="6"/>
  <c r="D123" i="6"/>
  <c r="C123" i="6"/>
  <c r="A123" i="6"/>
  <c r="F122" i="6"/>
  <c r="E122" i="6"/>
  <c r="D122" i="6"/>
  <c r="C122" i="6"/>
  <c r="A122" i="6"/>
  <c r="F121" i="6"/>
  <c r="E121" i="6"/>
  <c r="D121" i="6"/>
  <c r="C121" i="6"/>
  <c r="A121" i="6"/>
  <c r="F120" i="6"/>
  <c r="E120" i="6"/>
  <c r="D120" i="6"/>
  <c r="C120" i="6"/>
  <c r="A120" i="6"/>
  <c r="F119" i="6"/>
  <c r="E119" i="6"/>
  <c r="D119" i="6"/>
  <c r="C119" i="6"/>
  <c r="A119" i="6"/>
  <c r="F118" i="6"/>
  <c r="E118" i="6"/>
  <c r="D118" i="6"/>
  <c r="C118" i="6"/>
  <c r="A118" i="6"/>
  <c r="F117" i="6"/>
  <c r="E117" i="6"/>
  <c r="D117" i="6"/>
  <c r="C117" i="6"/>
  <c r="A117" i="6"/>
  <c r="F116" i="6"/>
  <c r="E116" i="6"/>
  <c r="D116" i="6"/>
  <c r="C116" i="6"/>
  <c r="A116" i="6"/>
  <c r="F115" i="6"/>
  <c r="E115" i="6"/>
  <c r="D115" i="6"/>
  <c r="C115" i="6"/>
  <c r="A115" i="6"/>
  <c r="F114" i="6"/>
  <c r="E114" i="6"/>
  <c r="D114" i="6"/>
  <c r="C114" i="6"/>
  <c r="A114" i="6"/>
  <c r="F113" i="6"/>
  <c r="E113" i="6"/>
  <c r="D113" i="6"/>
  <c r="C113" i="6"/>
  <c r="A113" i="6"/>
  <c r="F112" i="6"/>
  <c r="E112" i="6"/>
  <c r="D112" i="6"/>
  <c r="C112" i="6"/>
  <c r="A112" i="6"/>
  <c r="F111" i="6"/>
  <c r="E111" i="6"/>
  <c r="D111" i="6"/>
  <c r="C111" i="6"/>
  <c r="A111" i="6"/>
  <c r="F110" i="6"/>
  <c r="E110" i="6"/>
  <c r="D110" i="6"/>
  <c r="C110" i="6"/>
  <c r="A110" i="6"/>
  <c r="F109" i="6"/>
  <c r="E109" i="6"/>
  <c r="D109" i="6"/>
  <c r="C109" i="6"/>
  <c r="A109" i="6"/>
  <c r="F108" i="6"/>
  <c r="E108" i="6"/>
  <c r="D108" i="6"/>
  <c r="C108" i="6"/>
  <c r="A108" i="6"/>
  <c r="F107" i="6"/>
  <c r="E107" i="6"/>
  <c r="D107" i="6"/>
  <c r="C107" i="6"/>
  <c r="A107" i="6"/>
  <c r="F106" i="6"/>
  <c r="E106" i="6"/>
  <c r="D106" i="6"/>
  <c r="C106" i="6"/>
  <c r="A106" i="6"/>
  <c r="F105" i="6"/>
  <c r="E105" i="6"/>
  <c r="D105" i="6"/>
  <c r="C105" i="6"/>
  <c r="A105" i="6"/>
  <c r="F104" i="6"/>
  <c r="E104" i="6"/>
  <c r="D104" i="6"/>
  <c r="C104" i="6"/>
  <c r="A104" i="6"/>
  <c r="F103" i="6"/>
  <c r="E103" i="6"/>
  <c r="D103" i="6"/>
  <c r="C103" i="6"/>
  <c r="A103" i="6"/>
  <c r="F102" i="6"/>
  <c r="E102" i="6"/>
  <c r="D102" i="6"/>
  <c r="C102" i="6"/>
  <c r="A102" i="6"/>
  <c r="F101" i="6"/>
  <c r="E101" i="6"/>
  <c r="D101" i="6"/>
  <c r="C101" i="6"/>
  <c r="A101" i="6"/>
  <c r="F100" i="6"/>
  <c r="E100" i="6"/>
  <c r="D100" i="6"/>
  <c r="C100" i="6"/>
  <c r="A100" i="6"/>
  <c r="F99" i="6"/>
  <c r="E99" i="6"/>
  <c r="D99" i="6"/>
  <c r="C99" i="6"/>
  <c r="A99" i="6"/>
  <c r="F98" i="6"/>
  <c r="E98" i="6"/>
  <c r="D98" i="6"/>
  <c r="C98" i="6"/>
  <c r="A98" i="6"/>
  <c r="F97" i="6"/>
  <c r="E97" i="6"/>
  <c r="D97" i="6"/>
  <c r="C97" i="6"/>
  <c r="A97" i="6"/>
  <c r="F96" i="6"/>
  <c r="E96" i="6"/>
  <c r="D96" i="6"/>
  <c r="C96" i="6"/>
  <c r="A96" i="6"/>
  <c r="F95" i="6"/>
  <c r="E95" i="6"/>
  <c r="D95" i="6"/>
  <c r="C95" i="6"/>
  <c r="A95" i="6"/>
  <c r="F94" i="6"/>
  <c r="E94" i="6"/>
  <c r="D94" i="6"/>
  <c r="C94" i="6"/>
  <c r="A94" i="6"/>
  <c r="F93" i="6"/>
  <c r="E93" i="6"/>
  <c r="D93" i="6"/>
  <c r="C93" i="6"/>
  <c r="A93" i="6"/>
  <c r="F92" i="6"/>
  <c r="E92" i="6"/>
  <c r="D92" i="6"/>
  <c r="C92" i="6"/>
  <c r="A92" i="6"/>
  <c r="F91" i="6"/>
  <c r="E91" i="6"/>
  <c r="D91" i="6"/>
  <c r="C91" i="6"/>
  <c r="A91" i="6"/>
  <c r="F90" i="6"/>
  <c r="E90" i="6"/>
  <c r="D90" i="6"/>
  <c r="C90" i="6"/>
  <c r="A90" i="6"/>
  <c r="F89" i="6"/>
  <c r="E89" i="6"/>
  <c r="D89" i="6"/>
  <c r="C89" i="6"/>
  <c r="A89" i="6"/>
  <c r="F88" i="6"/>
  <c r="E88" i="6"/>
  <c r="D88" i="6"/>
  <c r="C88" i="6"/>
  <c r="A88" i="6"/>
  <c r="E87" i="6"/>
  <c r="D87" i="6"/>
  <c r="C87" i="6"/>
  <c r="F87" i="6" s="1"/>
  <c r="A87" i="6"/>
  <c r="E86" i="6"/>
  <c r="D86" i="6"/>
  <c r="C86" i="6"/>
  <c r="F86" i="6" s="1"/>
  <c r="A86" i="6"/>
  <c r="E85" i="6"/>
  <c r="D85" i="6"/>
  <c r="C85" i="6"/>
  <c r="F85" i="6" s="1"/>
  <c r="A85" i="6"/>
  <c r="E84" i="6"/>
  <c r="D84" i="6"/>
  <c r="C84" i="6"/>
  <c r="F84" i="6" s="1"/>
  <c r="A84" i="6"/>
  <c r="E83" i="6"/>
  <c r="D83" i="6"/>
  <c r="C83" i="6"/>
  <c r="F83" i="6" s="1"/>
  <c r="A83" i="6"/>
  <c r="E82" i="6"/>
  <c r="D82" i="6"/>
  <c r="C82" i="6"/>
  <c r="F82" i="6" s="1"/>
  <c r="A82" i="6"/>
  <c r="F81" i="6"/>
  <c r="E81" i="6"/>
  <c r="D81" i="6"/>
  <c r="C81" i="6"/>
  <c r="A81" i="6"/>
  <c r="E80" i="6"/>
  <c r="D80" i="6"/>
  <c r="C80" i="6"/>
  <c r="F80" i="6" s="1"/>
  <c r="A80" i="6"/>
  <c r="E79" i="6"/>
  <c r="D79" i="6"/>
  <c r="C79" i="6"/>
  <c r="A79" i="6"/>
  <c r="E78" i="6"/>
  <c r="D78" i="6"/>
  <c r="C78" i="6"/>
  <c r="F78" i="6" s="1"/>
  <c r="A78" i="6"/>
  <c r="E77" i="6"/>
  <c r="D77" i="6"/>
  <c r="C77" i="6"/>
  <c r="A77" i="6"/>
  <c r="E76" i="6"/>
  <c r="F76" i="6" s="1"/>
  <c r="D76" i="6"/>
  <c r="C76" i="6"/>
  <c r="A76" i="6"/>
  <c r="E75" i="6"/>
  <c r="D75" i="6"/>
  <c r="C75" i="6"/>
  <c r="F75" i="6" s="1"/>
  <c r="A75" i="6"/>
  <c r="E74" i="6"/>
  <c r="D74" i="6"/>
  <c r="C74" i="6"/>
  <c r="F74" i="6" s="1"/>
  <c r="A74" i="6"/>
  <c r="E73" i="6"/>
  <c r="D73" i="6"/>
  <c r="C73" i="6"/>
  <c r="F73" i="6" s="1"/>
  <c r="A73" i="6"/>
  <c r="F72" i="6"/>
  <c r="E72" i="6"/>
  <c r="D72" i="6"/>
  <c r="C72" i="6"/>
  <c r="A72" i="6"/>
  <c r="E71" i="6"/>
  <c r="D71" i="6"/>
  <c r="C71" i="6"/>
  <c r="F71" i="6" s="1"/>
  <c r="A71" i="6"/>
  <c r="E70" i="6"/>
  <c r="D70" i="6"/>
  <c r="C70" i="6"/>
  <c r="F70" i="6" s="1"/>
  <c r="A70" i="6"/>
  <c r="E69" i="6"/>
  <c r="D69" i="6"/>
  <c r="C69" i="6"/>
  <c r="F69" i="6" s="1"/>
  <c r="A69" i="6"/>
  <c r="E68" i="6"/>
  <c r="F68" i="6" s="1"/>
  <c r="D68" i="6"/>
  <c r="C68" i="6"/>
  <c r="A68" i="6"/>
  <c r="E67" i="6"/>
  <c r="D67" i="6"/>
  <c r="C67" i="6"/>
  <c r="F67" i="6" s="1"/>
  <c r="A67" i="6"/>
  <c r="E66" i="6"/>
  <c r="D66" i="6"/>
  <c r="C66" i="6"/>
  <c r="F66" i="6" s="1"/>
  <c r="A66" i="6"/>
  <c r="E65" i="6"/>
  <c r="D65" i="6"/>
  <c r="C65" i="6"/>
  <c r="F65" i="6" s="1"/>
  <c r="A65" i="6"/>
  <c r="E64" i="6"/>
  <c r="F64" i="6" s="1"/>
  <c r="D64" i="6"/>
  <c r="C64" i="6"/>
  <c r="A64" i="6"/>
  <c r="E63" i="6"/>
  <c r="D63" i="6"/>
  <c r="C63" i="6"/>
  <c r="F63" i="6" s="1"/>
  <c r="A63" i="6"/>
  <c r="E62" i="6"/>
  <c r="F62" i="6" s="1"/>
  <c r="D62" i="6"/>
  <c r="C62" i="6"/>
  <c r="A62" i="6"/>
  <c r="E61" i="6"/>
  <c r="D61" i="6"/>
  <c r="C61" i="6"/>
  <c r="F61" i="6" s="1"/>
  <c r="A61" i="6"/>
  <c r="E60" i="6"/>
  <c r="D60" i="6"/>
  <c r="C60" i="6"/>
  <c r="F60" i="6" s="1"/>
  <c r="A60" i="6"/>
  <c r="F59" i="6"/>
  <c r="E59" i="6"/>
  <c r="D59" i="6"/>
  <c r="C59" i="6"/>
  <c r="A59" i="6"/>
  <c r="F58" i="6"/>
  <c r="E58" i="6"/>
  <c r="D58" i="6"/>
  <c r="C58" i="6"/>
  <c r="A58" i="6"/>
  <c r="E57" i="6"/>
  <c r="D57" i="6"/>
  <c r="C57" i="6"/>
  <c r="F57" i="6" s="1"/>
  <c r="A57" i="6"/>
  <c r="F56" i="6"/>
  <c r="E56" i="6"/>
  <c r="D56" i="6"/>
  <c r="C56" i="6"/>
  <c r="A56" i="6"/>
  <c r="E55" i="6"/>
  <c r="F55" i="6" s="1"/>
  <c r="D55" i="6"/>
  <c r="C55" i="6"/>
  <c r="A55" i="6"/>
  <c r="E54" i="6"/>
  <c r="D54" i="6"/>
  <c r="C54" i="6"/>
  <c r="F54" i="6" s="1"/>
  <c r="A54" i="6"/>
  <c r="E53" i="6"/>
  <c r="D53" i="6"/>
  <c r="C53" i="6"/>
  <c r="F53" i="6" s="1"/>
  <c r="A53" i="6"/>
  <c r="E52" i="6"/>
  <c r="D52" i="6"/>
  <c r="C52" i="6"/>
  <c r="F52" i="6" s="1"/>
  <c r="A52" i="6"/>
  <c r="F51" i="6"/>
  <c r="E51" i="6"/>
  <c r="D51" i="6"/>
  <c r="C51" i="6"/>
  <c r="A51" i="6"/>
  <c r="E50" i="6"/>
  <c r="D50" i="6"/>
  <c r="C50" i="6"/>
  <c r="F50" i="6" s="1"/>
  <c r="A50" i="6"/>
  <c r="E49" i="6"/>
  <c r="D49" i="6"/>
  <c r="C49" i="6"/>
  <c r="F49" i="6" s="1"/>
  <c r="A49" i="6"/>
  <c r="E48" i="6"/>
  <c r="D48" i="6"/>
  <c r="C48" i="6"/>
  <c r="F48" i="6" s="1"/>
  <c r="A48" i="6"/>
  <c r="F47" i="6"/>
  <c r="E47" i="6"/>
  <c r="D47" i="6"/>
  <c r="C47" i="6"/>
  <c r="A47" i="6"/>
  <c r="E46" i="6"/>
  <c r="D46" i="6"/>
  <c r="C46" i="6"/>
  <c r="F46" i="6" s="1"/>
  <c r="A46" i="6"/>
  <c r="E45" i="6"/>
  <c r="D45" i="6"/>
  <c r="C45" i="6"/>
  <c r="A45" i="6"/>
  <c r="E44" i="6"/>
  <c r="F44" i="6" s="1"/>
  <c r="D44" i="6"/>
  <c r="C44" i="6"/>
  <c r="A44" i="6"/>
  <c r="F43" i="6"/>
  <c r="E43" i="6"/>
  <c r="D43" i="6"/>
  <c r="C43" i="6"/>
  <c r="A43" i="6"/>
  <c r="E42" i="6"/>
  <c r="D42" i="6"/>
  <c r="C42" i="6"/>
  <c r="F42" i="6" s="1"/>
  <c r="A42" i="6"/>
  <c r="E41" i="6"/>
  <c r="D41" i="6"/>
  <c r="C41" i="6"/>
  <c r="F41" i="6" s="1"/>
  <c r="A41" i="6"/>
  <c r="E40" i="6"/>
  <c r="F40" i="6" s="1"/>
  <c r="D40" i="6"/>
  <c r="C40" i="6"/>
  <c r="A40" i="6"/>
  <c r="E39" i="6"/>
  <c r="D39" i="6"/>
  <c r="C39" i="6"/>
  <c r="F39" i="6" s="1"/>
  <c r="A39" i="6"/>
  <c r="F38" i="6"/>
  <c r="E38" i="6"/>
  <c r="D38" i="6"/>
  <c r="C38" i="6"/>
  <c r="A38" i="6"/>
  <c r="E37" i="6"/>
  <c r="D37" i="6"/>
  <c r="C37" i="6"/>
  <c r="F37" i="6" s="1"/>
  <c r="A37" i="6"/>
  <c r="E36" i="6"/>
  <c r="D36" i="6"/>
  <c r="C36" i="6"/>
  <c r="F36" i="6" s="1"/>
  <c r="A36" i="6"/>
  <c r="F35" i="6"/>
  <c r="E35" i="6"/>
  <c r="D35" i="6"/>
  <c r="C35" i="6"/>
  <c r="A35" i="6"/>
  <c r="E34" i="6"/>
  <c r="F34" i="6" s="1"/>
  <c r="D34" i="6"/>
  <c r="C34" i="6"/>
  <c r="A34" i="6"/>
  <c r="E33" i="6"/>
  <c r="D33" i="6"/>
  <c r="C33" i="6"/>
  <c r="F33" i="6" s="1"/>
  <c r="A33" i="6"/>
  <c r="E32" i="6"/>
  <c r="D32" i="6"/>
  <c r="C32" i="6"/>
  <c r="F32" i="6" s="1"/>
  <c r="A32" i="6"/>
  <c r="E31" i="6"/>
  <c r="D31" i="6"/>
  <c r="C31" i="6"/>
  <c r="F31" i="6" s="1"/>
  <c r="A31" i="6"/>
  <c r="F30" i="6"/>
  <c r="E30" i="6"/>
  <c r="D30" i="6"/>
  <c r="C30" i="6"/>
  <c r="A30" i="6"/>
  <c r="E29" i="6"/>
  <c r="D29" i="6"/>
  <c r="C29" i="6"/>
  <c r="F29" i="6" s="1"/>
  <c r="A29" i="6"/>
  <c r="E28" i="6"/>
  <c r="D28" i="6"/>
  <c r="C28" i="6"/>
  <c r="F28" i="6" s="1"/>
  <c r="A28" i="6"/>
  <c r="E27" i="6"/>
  <c r="D27" i="6"/>
  <c r="C27" i="6"/>
  <c r="F27" i="6" s="1"/>
  <c r="A27" i="6"/>
  <c r="F26" i="6"/>
  <c r="E26" i="6"/>
  <c r="D26" i="6"/>
  <c r="C26" i="6"/>
  <c r="A26" i="6"/>
  <c r="E25" i="6"/>
  <c r="D25" i="6"/>
  <c r="C25" i="6"/>
  <c r="F25" i="6" s="1"/>
  <c r="A25" i="6"/>
  <c r="F24" i="6"/>
  <c r="E24" i="6"/>
  <c r="D24" i="6"/>
  <c r="C24" i="6"/>
  <c r="A24" i="6"/>
  <c r="F23" i="6"/>
  <c r="E23" i="6"/>
  <c r="D23" i="6"/>
  <c r="C23" i="6"/>
  <c r="A23" i="6"/>
  <c r="E22" i="6"/>
  <c r="F22" i="6" s="1"/>
  <c r="D22" i="6"/>
  <c r="C22" i="6"/>
  <c r="A22" i="6"/>
  <c r="E21" i="6"/>
  <c r="D21" i="6"/>
  <c r="C21" i="6"/>
  <c r="A21" i="6"/>
  <c r="E20" i="6"/>
  <c r="F20" i="6" s="1"/>
  <c r="D20" i="6"/>
  <c r="C20" i="6"/>
  <c r="A20" i="6"/>
  <c r="F19" i="6"/>
  <c r="E19" i="6"/>
  <c r="D19" i="6"/>
  <c r="C19" i="6"/>
  <c r="A19" i="6"/>
  <c r="F18" i="6"/>
  <c r="E18" i="6"/>
  <c r="D18" i="6"/>
  <c r="C18" i="6"/>
  <c r="A18" i="6"/>
  <c r="E17" i="6"/>
  <c r="D17" i="6"/>
  <c r="C17" i="6"/>
  <c r="A17" i="6"/>
  <c r="E16" i="6"/>
  <c r="D16" i="6"/>
  <c r="C16" i="6"/>
  <c r="F16" i="6" s="1"/>
  <c r="A16" i="6"/>
  <c r="E15" i="6"/>
  <c r="D15" i="6"/>
  <c r="C15" i="6"/>
  <c r="F15" i="6" s="1"/>
  <c r="A15" i="6"/>
  <c r="E14" i="6"/>
  <c r="D14" i="6"/>
  <c r="C14" i="6"/>
  <c r="F14" i="6" s="1"/>
  <c r="A14" i="6"/>
  <c r="E13" i="6"/>
  <c r="D13" i="6"/>
  <c r="C13" i="6"/>
  <c r="F13" i="6" s="1"/>
  <c r="A13" i="6"/>
  <c r="E12" i="6"/>
  <c r="D12" i="6"/>
  <c r="C12" i="6"/>
  <c r="F12" i="6" s="1"/>
  <c r="A12" i="6"/>
  <c r="E11" i="6"/>
  <c r="D11" i="6"/>
  <c r="C11" i="6"/>
  <c r="F11" i="6" s="1"/>
  <c r="A11" i="6"/>
  <c r="E10" i="6"/>
  <c r="D10" i="6"/>
  <c r="C10" i="6"/>
  <c r="F10" i="6" s="1"/>
  <c r="A10" i="6"/>
  <c r="E9" i="6"/>
  <c r="D9" i="6"/>
  <c r="C9" i="6"/>
  <c r="A9" i="6"/>
  <c r="E8" i="6"/>
  <c r="D8" i="6"/>
  <c r="C8" i="6"/>
  <c r="F8" i="6" s="1"/>
  <c r="A8" i="6"/>
  <c r="E7" i="6"/>
  <c r="D7" i="6"/>
  <c r="C7" i="6"/>
  <c r="F7" i="6" s="1"/>
  <c r="A7" i="6"/>
  <c r="F6" i="6"/>
  <c r="E6" i="6"/>
  <c r="D6" i="6"/>
  <c r="C6" i="6"/>
  <c r="A6" i="6"/>
  <c r="AJ5" i="6"/>
  <c r="AI5" i="6"/>
  <c r="W5" i="6"/>
  <c r="V5" i="6"/>
  <c r="M5" i="6"/>
  <c r="AJ4" i="6"/>
  <c r="AI4" i="6"/>
  <c r="AI157" i="6" s="1"/>
  <c r="AH4" i="6"/>
  <c r="AG4" i="6"/>
  <c r="AG157" i="6" s="1"/>
  <c r="AD4" i="6"/>
  <c r="AA4" i="6"/>
  <c r="AA157" i="6" s="1"/>
  <c r="Z4" i="6"/>
  <c r="Z157" i="6" s="1"/>
  <c r="X4" i="6"/>
  <c r="X5" i="6" s="1"/>
  <c r="W4" i="6"/>
  <c r="W157" i="6" s="1"/>
  <c r="V4" i="6"/>
  <c r="V157" i="6" s="1"/>
  <c r="U4" i="6"/>
  <c r="U157" i="6" s="1"/>
  <c r="T4" i="6"/>
  <c r="T5" i="6" s="1"/>
  <c r="M4" i="6"/>
  <c r="M157" i="6" s="1"/>
  <c r="L4" i="6"/>
  <c r="L157" i="6" s="1"/>
  <c r="J4" i="6"/>
  <c r="J5" i="6" s="1"/>
  <c r="G4" i="6"/>
  <c r="F2" i="6"/>
  <c r="Y4" i="6" s="1"/>
  <c r="Y5" i="6" s="1"/>
  <c r="A1" i="6"/>
  <c r="F155" i="5"/>
  <c r="E155" i="5"/>
  <c r="D155" i="5"/>
  <c r="C155" i="5"/>
  <c r="A155" i="5"/>
  <c r="F154" i="5"/>
  <c r="E154" i="5"/>
  <c r="D154" i="5"/>
  <c r="C154" i="5"/>
  <c r="A154" i="5"/>
  <c r="F153" i="5"/>
  <c r="E153" i="5"/>
  <c r="D153" i="5"/>
  <c r="C153" i="5"/>
  <c r="A153" i="5"/>
  <c r="F152" i="5"/>
  <c r="E152" i="5"/>
  <c r="D152" i="5"/>
  <c r="C152" i="5"/>
  <c r="A152" i="5"/>
  <c r="F151" i="5"/>
  <c r="E151" i="5"/>
  <c r="D151" i="5"/>
  <c r="C151" i="5"/>
  <c r="A151" i="5"/>
  <c r="F150" i="5"/>
  <c r="E150" i="5"/>
  <c r="D150" i="5"/>
  <c r="C150" i="5"/>
  <c r="A150" i="5"/>
  <c r="F149" i="5"/>
  <c r="E149" i="5"/>
  <c r="D149" i="5"/>
  <c r="C149" i="5"/>
  <c r="A149" i="5"/>
  <c r="F148" i="5"/>
  <c r="E148" i="5"/>
  <c r="D148" i="5"/>
  <c r="C148" i="5"/>
  <c r="A148" i="5"/>
  <c r="F147" i="5"/>
  <c r="E147" i="5"/>
  <c r="D147" i="5"/>
  <c r="C147" i="5"/>
  <c r="A147" i="5"/>
  <c r="F146" i="5"/>
  <c r="E146" i="5"/>
  <c r="D146" i="5"/>
  <c r="C146" i="5"/>
  <c r="A146" i="5"/>
  <c r="F145" i="5"/>
  <c r="E145" i="5"/>
  <c r="D145" i="5"/>
  <c r="C145" i="5"/>
  <c r="A145" i="5"/>
  <c r="F144" i="5"/>
  <c r="E144" i="5"/>
  <c r="D144" i="5"/>
  <c r="C144" i="5"/>
  <c r="A144" i="5"/>
  <c r="F143" i="5"/>
  <c r="E143" i="5"/>
  <c r="D143" i="5"/>
  <c r="C143" i="5"/>
  <c r="A143" i="5"/>
  <c r="F142" i="5"/>
  <c r="E142" i="5"/>
  <c r="D142" i="5"/>
  <c r="C142" i="5"/>
  <c r="A142" i="5"/>
  <c r="F141" i="5"/>
  <c r="E141" i="5"/>
  <c r="D141" i="5"/>
  <c r="C141" i="5"/>
  <c r="A141" i="5"/>
  <c r="F140" i="5"/>
  <c r="E140" i="5"/>
  <c r="D140" i="5"/>
  <c r="C140" i="5"/>
  <c r="A140" i="5"/>
  <c r="F139" i="5"/>
  <c r="E139" i="5"/>
  <c r="D139" i="5"/>
  <c r="C139" i="5"/>
  <c r="A139" i="5"/>
  <c r="F138" i="5"/>
  <c r="E138" i="5"/>
  <c r="D138" i="5"/>
  <c r="C138" i="5"/>
  <c r="A138" i="5"/>
  <c r="F137" i="5"/>
  <c r="E137" i="5"/>
  <c r="D137" i="5"/>
  <c r="C137" i="5"/>
  <c r="A137" i="5"/>
  <c r="F136" i="5"/>
  <c r="E136" i="5"/>
  <c r="D136" i="5"/>
  <c r="C136" i="5"/>
  <c r="A136" i="5"/>
  <c r="F135" i="5"/>
  <c r="E135" i="5"/>
  <c r="D135" i="5"/>
  <c r="C135" i="5"/>
  <c r="A135" i="5"/>
  <c r="F134" i="5"/>
  <c r="E134" i="5"/>
  <c r="D134" i="5"/>
  <c r="C134" i="5"/>
  <c r="A134" i="5"/>
  <c r="F133" i="5"/>
  <c r="E133" i="5"/>
  <c r="D133" i="5"/>
  <c r="C133" i="5"/>
  <c r="A133" i="5"/>
  <c r="F132" i="5"/>
  <c r="E132" i="5"/>
  <c r="D132" i="5"/>
  <c r="C132" i="5"/>
  <c r="A132" i="5"/>
  <c r="F131" i="5"/>
  <c r="E131" i="5"/>
  <c r="D131" i="5"/>
  <c r="C131" i="5"/>
  <c r="A131" i="5"/>
  <c r="F130" i="5"/>
  <c r="E130" i="5"/>
  <c r="D130" i="5"/>
  <c r="C130" i="5"/>
  <c r="A130" i="5"/>
  <c r="F129" i="5"/>
  <c r="E129" i="5"/>
  <c r="D129" i="5"/>
  <c r="C129" i="5"/>
  <c r="A129" i="5"/>
  <c r="F128" i="5"/>
  <c r="E128" i="5"/>
  <c r="D128" i="5"/>
  <c r="C128" i="5"/>
  <c r="A128" i="5"/>
  <c r="F127" i="5"/>
  <c r="E127" i="5"/>
  <c r="D127" i="5"/>
  <c r="C127" i="5"/>
  <c r="A127" i="5"/>
  <c r="F126" i="5"/>
  <c r="E126" i="5"/>
  <c r="D126" i="5"/>
  <c r="C126" i="5"/>
  <c r="A126" i="5"/>
  <c r="F125" i="5"/>
  <c r="E125" i="5"/>
  <c r="D125" i="5"/>
  <c r="C125" i="5"/>
  <c r="A125" i="5"/>
  <c r="F124" i="5"/>
  <c r="E124" i="5"/>
  <c r="D124" i="5"/>
  <c r="C124" i="5"/>
  <c r="A124" i="5"/>
  <c r="F123" i="5"/>
  <c r="E123" i="5"/>
  <c r="D123" i="5"/>
  <c r="C123" i="5"/>
  <c r="A123" i="5"/>
  <c r="F122" i="5"/>
  <c r="E122" i="5"/>
  <c r="D122" i="5"/>
  <c r="C122" i="5"/>
  <c r="A122" i="5"/>
  <c r="F121" i="5"/>
  <c r="E121" i="5"/>
  <c r="D121" i="5"/>
  <c r="C121" i="5"/>
  <c r="A121" i="5"/>
  <c r="F120" i="5"/>
  <c r="E120" i="5"/>
  <c r="D120" i="5"/>
  <c r="C120" i="5"/>
  <c r="A120" i="5"/>
  <c r="F119" i="5"/>
  <c r="E119" i="5"/>
  <c r="D119" i="5"/>
  <c r="C119" i="5"/>
  <c r="A119" i="5"/>
  <c r="F118" i="5"/>
  <c r="E118" i="5"/>
  <c r="D118" i="5"/>
  <c r="C118" i="5"/>
  <c r="A118" i="5"/>
  <c r="F117" i="5"/>
  <c r="E117" i="5"/>
  <c r="D117" i="5"/>
  <c r="C117" i="5"/>
  <c r="A117" i="5"/>
  <c r="F116" i="5"/>
  <c r="E116" i="5"/>
  <c r="D116" i="5"/>
  <c r="C116" i="5"/>
  <c r="A116" i="5"/>
  <c r="F115" i="5"/>
  <c r="E115" i="5"/>
  <c r="D115" i="5"/>
  <c r="C115" i="5"/>
  <c r="A115" i="5"/>
  <c r="F114" i="5"/>
  <c r="E114" i="5"/>
  <c r="D114" i="5"/>
  <c r="C114" i="5"/>
  <c r="A114" i="5"/>
  <c r="F113" i="5"/>
  <c r="E113" i="5"/>
  <c r="D113" i="5"/>
  <c r="C113" i="5"/>
  <c r="A113" i="5"/>
  <c r="F112" i="5"/>
  <c r="E112" i="5"/>
  <c r="D112" i="5"/>
  <c r="C112" i="5"/>
  <c r="A112" i="5"/>
  <c r="F111" i="5"/>
  <c r="E111" i="5"/>
  <c r="D111" i="5"/>
  <c r="C111" i="5"/>
  <c r="A111" i="5"/>
  <c r="F110" i="5"/>
  <c r="E110" i="5"/>
  <c r="D110" i="5"/>
  <c r="C110" i="5"/>
  <c r="A110" i="5"/>
  <c r="F109" i="5"/>
  <c r="E109" i="5"/>
  <c r="D109" i="5"/>
  <c r="C109" i="5"/>
  <c r="A109" i="5"/>
  <c r="F108" i="5"/>
  <c r="E108" i="5"/>
  <c r="D108" i="5"/>
  <c r="C108" i="5"/>
  <c r="A108" i="5"/>
  <c r="F107" i="5"/>
  <c r="E107" i="5"/>
  <c r="D107" i="5"/>
  <c r="C107" i="5"/>
  <c r="A107" i="5"/>
  <c r="F106" i="5"/>
  <c r="E106" i="5"/>
  <c r="D106" i="5"/>
  <c r="C106" i="5"/>
  <c r="A106" i="5"/>
  <c r="F105" i="5"/>
  <c r="E105" i="5"/>
  <c r="D105" i="5"/>
  <c r="C105" i="5"/>
  <c r="A105" i="5"/>
  <c r="F104" i="5"/>
  <c r="E104" i="5"/>
  <c r="D104" i="5"/>
  <c r="C104" i="5"/>
  <c r="A104" i="5"/>
  <c r="F103" i="5"/>
  <c r="E103" i="5"/>
  <c r="D103" i="5"/>
  <c r="C103" i="5"/>
  <c r="A103" i="5"/>
  <c r="F102" i="5"/>
  <c r="E102" i="5"/>
  <c r="D102" i="5"/>
  <c r="C102" i="5"/>
  <c r="A102" i="5"/>
  <c r="F101" i="5"/>
  <c r="E101" i="5"/>
  <c r="D101" i="5"/>
  <c r="C101" i="5"/>
  <c r="A101" i="5"/>
  <c r="F100" i="5"/>
  <c r="E100" i="5"/>
  <c r="D100" i="5"/>
  <c r="C100" i="5"/>
  <c r="A100" i="5"/>
  <c r="F99" i="5"/>
  <c r="E99" i="5"/>
  <c r="D99" i="5"/>
  <c r="C99" i="5"/>
  <c r="A99" i="5"/>
  <c r="F98" i="5"/>
  <c r="E98" i="5"/>
  <c r="D98" i="5"/>
  <c r="C98" i="5"/>
  <c r="A98" i="5"/>
  <c r="F97" i="5"/>
  <c r="E97" i="5"/>
  <c r="D97" i="5"/>
  <c r="C97" i="5"/>
  <c r="A97" i="5"/>
  <c r="F96" i="5"/>
  <c r="E96" i="5"/>
  <c r="D96" i="5"/>
  <c r="C96" i="5"/>
  <c r="A96" i="5"/>
  <c r="F95" i="5"/>
  <c r="E95" i="5"/>
  <c r="D95" i="5"/>
  <c r="C95" i="5"/>
  <c r="A95" i="5"/>
  <c r="F94" i="5"/>
  <c r="E94" i="5"/>
  <c r="D94" i="5"/>
  <c r="C94" i="5"/>
  <c r="A94" i="5"/>
  <c r="F93" i="5"/>
  <c r="E93" i="5"/>
  <c r="D93" i="5"/>
  <c r="C93" i="5"/>
  <c r="A93" i="5"/>
  <c r="F92" i="5"/>
  <c r="E92" i="5"/>
  <c r="D92" i="5"/>
  <c r="C92" i="5"/>
  <c r="A92" i="5"/>
  <c r="F91" i="5"/>
  <c r="E91" i="5"/>
  <c r="D91" i="5"/>
  <c r="C91" i="5"/>
  <c r="A91" i="5"/>
  <c r="F90" i="5"/>
  <c r="E90" i="5"/>
  <c r="D90" i="5"/>
  <c r="C90" i="5"/>
  <c r="A90" i="5"/>
  <c r="F89" i="5"/>
  <c r="E89" i="5"/>
  <c r="D89" i="5"/>
  <c r="C89" i="5"/>
  <c r="A89" i="5"/>
  <c r="F88" i="5"/>
  <c r="E88" i="5"/>
  <c r="D88" i="5"/>
  <c r="C88" i="5"/>
  <c r="A88" i="5"/>
  <c r="E87" i="5"/>
  <c r="D87" i="5"/>
  <c r="C87" i="5"/>
  <c r="A87" i="5"/>
  <c r="E86" i="5"/>
  <c r="D86" i="5"/>
  <c r="C86" i="5"/>
  <c r="F86" i="5" s="1"/>
  <c r="A86" i="5"/>
  <c r="E85" i="5"/>
  <c r="D85" i="5"/>
  <c r="C85" i="5"/>
  <c r="A85" i="5"/>
  <c r="E84" i="5"/>
  <c r="D84" i="5"/>
  <c r="C84" i="5"/>
  <c r="F84" i="5" s="1"/>
  <c r="A84" i="5"/>
  <c r="E83" i="5"/>
  <c r="D83" i="5"/>
  <c r="C83" i="5"/>
  <c r="F83" i="5" s="1"/>
  <c r="A83" i="5"/>
  <c r="E82" i="5"/>
  <c r="D82" i="5"/>
  <c r="C82" i="5"/>
  <c r="F82" i="5" s="1"/>
  <c r="A82" i="5"/>
  <c r="E81" i="5"/>
  <c r="D81" i="5"/>
  <c r="C81" i="5"/>
  <c r="F81" i="5" s="1"/>
  <c r="A81" i="5"/>
  <c r="F80" i="5"/>
  <c r="E80" i="5"/>
  <c r="D80" i="5"/>
  <c r="C80" i="5"/>
  <c r="A80" i="5"/>
  <c r="E79" i="5"/>
  <c r="D79" i="5"/>
  <c r="C79" i="5"/>
  <c r="F79" i="5" s="1"/>
  <c r="A79" i="5"/>
  <c r="E78" i="5"/>
  <c r="D78" i="5"/>
  <c r="C78" i="5"/>
  <c r="F78" i="5" s="1"/>
  <c r="A78" i="5"/>
  <c r="E77" i="5"/>
  <c r="D77" i="5"/>
  <c r="C77" i="5"/>
  <c r="F77" i="5" s="1"/>
  <c r="A77" i="5"/>
  <c r="E76" i="5"/>
  <c r="F76" i="5" s="1"/>
  <c r="D76" i="5"/>
  <c r="C76" i="5"/>
  <c r="A76" i="5"/>
  <c r="E75" i="5"/>
  <c r="D75" i="5"/>
  <c r="C75" i="5"/>
  <c r="F75" i="5" s="1"/>
  <c r="A75" i="5"/>
  <c r="F74" i="5"/>
  <c r="E74" i="5"/>
  <c r="D74" i="5"/>
  <c r="C74" i="5"/>
  <c r="A74" i="5"/>
  <c r="E73" i="5"/>
  <c r="F73" i="5" s="1"/>
  <c r="D73" i="5"/>
  <c r="C73" i="5"/>
  <c r="A73" i="5"/>
  <c r="E72" i="5"/>
  <c r="F72" i="5" s="1"/>
  <c r="D72" i="5"/>
  <c r="C72" i="5"/>
  <c r="A72" i="5"/>
  <c r="E71" i="5"/>
  <c r="D71" i="5"/>
  <c r="C71" i="5"/>
  <c r="F71" i="5" s="1"/>
  <c r="A71" i="5"/>
  <c r="F70" i="5"/>
  <c r="E70" i="5"/>
  <c r="D70" i="5"/>
  <c r="C70" i="5"/>
  <c r="A70" i="5"/>
  <c r="E69" i="5"/>
  <c r="F69" i="5" s="1"/>
  <c r="D69" i="5"/>
  <c r="C69" i="5"/>
  <c r="A69" i="5"/>
  <c r="E68" i="5"/>
  <c r="F68" i="5" s="1"/>
  <c r="D68" i="5"/>
  <c r="C68" i="5"/>
  <c r="A68" i="5"/>
  <c r="E67" i="5"/>
  <c r="D67" i="5"/>
  <c r="C67" i="5"/>
  <c r="F67" i="5" s="1"/>
  <c r="A67" i="5"/>
  <c r="E66" i="5"/>
  <c r="D66" i="5"/>
  <c r="C66" i="5"/>
  <c r="F66" i="5" s="1"/>
  <c r="A66" i="5"/>
  <c r="E65" i="5"/>
  <c r="D65" i="5"/>
  <c r="C65" i="5"/>
  <c r="A65" i="5"/>
  <c r="F64" i="5"/>
  <c r="E64" i="5"/>
  <c r="D64" i="5"/>
  <c r="C64" i="5"/>
  <c r="A64" i="5"/>
  <c r="E63" i="5"/>
  <c r="D63" i="5"/>
  <c r="C63" i="5"/>
  <c r="F63" i="5" s="1"/>
  <c r="A63" i="5"/>
  <c r="E62" i="5"/>
  <c r="D62" i="5"/>
  <c r="C62" i="5"/>
  <c r="F62" i="5" s="1"/>
  <c r="A62" i="5"/>
  <c r="F61" i="5"/>
  <c r="E61" i="5"/>
  <c r="D61" i="5"/>
  <c r="C61" i="5"/>
  <c r="A61" i="5"/>
  <c r="E60" i="5"/>
  <c r="F60" i="5" s="1"/>
  <c r="D60" i="5"/>
  <c r="C60" i="5"/>
  <c r="A60" i="5"/>
  <c r="E59" i="5"/>
  <c r="D59" i="5"/>
  <c r="C59" i="5"/>
  <c r="F59" i="5" s="1"/>
  <c r="A59" i="5"/>
  <c r="E58" i="5"/>
  <c r="D58" i="5"/>
  <c r="C58" i="5"/>
  <c r="F58" i="5" s="1"/>
  <c r="A58" i="5"/>
  <c r="E57" i="5"/>
  <c r="D57" i="5"/>
  <c r="C57" i="5"/>
  <c r="F57" i="5" s="1"/>
  <c r="A57" i="5"/>
  <c r="F56" i="5"/>
  <c r="E56" i="5"/>
  <c r="D56" i="5"/>
  <c r="C56" i="5"/>
  <c r="A56" i="5"/>
  <c r="E55" i="5"/>
  <c r="D55" i="5"/>
  <c r="C55" i="5"/>
  <c r="F55" i="5" s="1"/>
  <c r="A55" i="5"/>
  <c r="E54" i="5"/>
  <c r="D54" i="5"/>
  <c r="C54" i="5"/>
  <c r="F54" i="5" s="1"/>
  <c r="A54" i="5"/>
  <c r="F53" i="5"/>
  <c r="E53" i="5"/>
  <c r="D53" i="5"/>
  <c r="C53" i="5"/>
  <c r="A53" i="5"/>
  <c r="F52" i="5"/>
  <c r="E52" i="5"/>
  <c r="D52" i="5"/>
  <c r="C52" i="5"/>
  <c r="A52" i="5"/>
  <c r="E51" i="5"/>
  <c r="D51" i="5"/>
  <c r="C51" i="5"/>
  <c r="F51" i="5" s="1"/>
  <c r="A51" i="5"/>
  <c r="E50" i="5"/>
  <c r="F50" i="5" s="1"/>
  <c r="D50" i="5"/>
  <c r="C50" i="5"/>
  <c r="A50" i="5"/>
  <c r="E49" i="5"/>
  <c r="F49" i="5" s="1"/>
  <c r="D49" i="5"/>
  <c r="C49" i="5"/>
  <c r="A49" i="5"/>
  <c r="F48" i="5"/>
  <c r="E48" i="5"/>
  <c r="D48" i="5"/>
  <c r="C48" i="5"/>
  <c r="A48" i="5"/>
  <c r="E47" i="5"/>
  <c r="D47" i="5"/>
  <c r="C47" i="5"/>
  <c r="F47" i="5" s="1"/>
  <c r="A47" i="5"/>
  <c r="E46" i="5"/>
  <c r="F46" i="5" s="1"/>
  <c r="D46" i="5"/>
  <c r="C46" i="5"/>
  <c r="A46" i="5"/>
  <c r="E45" i="5"/>
  <c r="D45" i="5"/>
  <c r="C45" i="5"/>
  <c r="F45" i="5" s="1"/>
  <c r="A45" i="5"/>
  <c r="E44" i="5"/>
  <c r="F44" i="5" s="1"/>
  <c r="D44" i="5"/>
  <c r="C44" i="5"/>
  <c r="A44" i="5"/>
  <c r="E43" i="5"/>
  <c r="D43" i="5"/>
  <c r="C43" i="5"/>
  <c r="F43" i="5" s="1"/>
  <c r="A43" i="5"/>
  <c r="F42" i="5"/>
  <c r="E42" i="5"/>
  <c r="D42" i="5"/>
  <c r="C42" i="5"/>
  <c r="A42" i="5"/>
  <c r="E41" i="5"/>
  <c r="D41" i="5"/>
  <c r="C41" i="5"/>
  <c r="F41" i="5" s="1"/>
  <c r="A41" i="5"/>
  <c r="F40" i="5"/>
  <c r="E40" i="5"/>
  <c r="D40" i="5"/>
  <c r="C40" i="5"/>
  <c r="A40" i="5"/>
  <c r="E39" i="5"/>
  <c r="D39" i="5"/>
  <c r="C39" i="5"/>
  <c r="F39" i="5" s="1"/>
  <c r="A39" i="5"/>
  <c r="F38" i="5"/>
  <c r="E38" i="5"/>
  <c r="D38" i="5"/>
  <c r="C38" i="5"/>
  <c r="A38" i="5"/>
  <c r="E37" i="5"/>
  <c r="D37" i="5"/>
  <c r="C37" i="5"/>
  <c r="F37" i="5" s="1"/>
  <c r="A37" i="5"/>
  <c r="E36" i="5"/>
  <c r="F36" i="5" s="1"/>
  <c r="D36" i="5"/>
  <c r="C36" i="5"/>
  <c r="A36" i="5"/>
  <c r="E35" i="5"/>
  <c r="D35" i="5"/>
  <c r="C35" i="5"/>
  <c r="F35" i="5" s="1"/>
  <c r="A35" i="5"/>
  <c r="E34" i="5"/>
  <c r="F34" i="5" s="1"/>
  <c r="D34" i="5"/>
  <c r="C34" i="5"/>
  <c r="A34" i="5"/>
  <c r="E33" i="5"/>
  <c r="D33" i="5"/>
  <c r="C33" i="5"/>
  <c r="F33" i="5" s="1"/>
  <c r="A33" i="5"/>
  <c r="F32" i="5"/>
  <c r="E32" i="5"/>
  <c r="D32" i="5"/>
  <c r="C32" i="5"/>
  <c r="A32" i="5"/>
  <c r="E31" i="5"/>
  <c r="D31" i="5"/>
  <c r="C31" i="5"/>
  <c r="F31" i="5" s="1"/>
  <c r="A31" i="5"/>
  <c r="E30" i="5"/>
  <c r="D30" i="5"/>
  <c r="C30" i="5"/>
  <c r="F30" i="5" s="1"/>
  <c r="A30" i="5"/>
  <c r="E29" i="5"/>
  <c r="F29" i="5" s="1"/>
  <c r="D29" i="5"/>
  <c r="C29" i="5"/>
  <c r="A29" i="5"/>
  <c r="E28" i="5"/>
  <c r="F28" i="5" s="1"/>
  <c r="D28" i="5"/>
  <c r="C28" i="5"/>
  <c r="A28" i="5"/>
  <c r="E27" i="5"/>
  <c r="D27" i="5"/>
  <c r="C27" i="5"/>
  <c r="F27" i="5" s="1"/>
  <c r="A27" i="5"/>
  <c r="E26" i="5"/>
  <c r="D26" i="5"/>
  <c r="C26" i="5"/>
  <c r="F26" i="5" s="1"/>
  <c r="A26" i="5"/>
  <c r="E25" i="5"/>
  <c r="F25" i="5" s="1"/>
  <c r="D25" i="5"/>
  <c r="C25" i="5"/>
  <c r="A25" i="5"/>
  <c r="E24" i="5"/>
  <c r="F24" i="5" s="1"/>
  <c r="D24" i="5"/>
  <c r="C24" i="5"/>
  <c r="A24" i="5"/>
  <c r="E23" i="5"/>
  <c r="D23" i="5"/>
  <c r="C23" i="5"/>
  <c r="F23" i="5" s="1"/>
  <c r="A23" i="5"/>
  <c r="E22" i="5"/>
  <c r="D22" i="5"/>
  <c r="C22" i="5"/>
  <c r="F22" i="5" s="1"/>
  <c r="A22" i="5"/>
  <c r="F21" i="5"/>
  <c r="E21" i="5"/>
  <c r="D21" i="5"/>
  <c r="C21" i="5"/>
  <c r="A21" i="5"/>
  <c r="E20" i="5"/>
  <c r="F20" i="5" s="1"/>
  <c r="D20" i="5"/>
  <c r="C20" i="5"/>
  <c r="A20" i="5"/>
  <c r="E19" i="5"/>
  <c r="D19" i="5"/>
  <c r="C19" i="5"/>
  <c r="F19" i="5" s="1"/>
  <c r="A19" i="5"/>
  <c r="E18" i="5"/>
  <c r="D18" i="5"/>
  <c r="C18" i="5"/>
  <c r="F18" i="5" s="1"/>
  <c r="A18" i="5"/>
  <c r="F17" i="5"/>
  <c r="E17" i="5"/>
  <c r="D17" i="5"/>
  <c r="C17" i="5"/>
  <c r="A17" i="5"/>
  <c r="E16" i="5"/>
  <c r="F16" i="5" s="1"/>
  <c r="D16" i="5"/>
  <c r="C16" i="5"/>
  <c r="A16" i="5"/>
  <c r="E15" i="5"/>
  <c r="D15" i="5"/>
  <c r="C15" i="5"/>
  <c r="F15" i="5" s="1"/>
  <c r="A15" i="5"/>
  <c r="F14" i="5"/>
  <c r="E14" i="5"/>
  <c r="D14" i="5"/>
  <c r="C14" i="5"/>
  <c r="A14" i="5"/>
  <c r="E13" i="5"/>
  <c r="F13" i="5" s="1"/>
  <c r="D13" i="5"/>
  <c r="C13" i="5"/>
  <c r="A13" i="5"/>
  <c r="F12" i="5"/>
  <c r="E12" i="5"/>
  <c r="D12" i="5"/>
  <c r="C12" i="5"/>
  <c r="A12" i="5"/>
  <c r="E11" i="5"/>
  <c r="D11" i="5"/>
  <c r="C11" i="5"/>
  <c r="F11" i="5" s="1"/>
  <c r="A11" i="5"/>
  <c r="E10" i="5"/>
  <c r="F10" i="5" s="1"/>
  <c r="D10" i="5"/>
  <c r="C10" i="5"/>
  <c r="A10" i="5"/>
  <c r="E9" i="5"/>
  <c r="D9" i="5"/>
  <c r="C9" i="5"/>
  <c r="F9" i="5" s="1"/>
  <c r="A9" i="5"/>
  <c r="E8" i="5"/>
  <c r="F8" i="5" s="1"/>
  <c r="D8" i="5"/>
  <c r="C8" i="5"/>
  <c r="A8" i="5"/>
  <c r="E7" i="5"/>
  <c r="D7" i="5"/>
  <c r="C7" i="5"/>
  <c r="F7" i="5" s="1"/>
  <c r="A7" i="5"/>
  <c r="E6" i="5"/>
  <c r="D6" i="5"/>
  <c r="C6" i="5"/>
  <c r="A6" i="5"/>
  <c r="AC4" i="5"/>
  <c r="AB4" i="5"/>
  <c r="U4" i="5"/>
  <c r="U157" i="5" s="1"/>
  <c r="F2" i="5"/>
  <c r="AE4" i="5" s="1"/>
  <c r="A1" i="5"/>
  <c r="AJ157" i="4"/>
  <c r="AC157" i="4"/>
  <c r="AB157" i="4"/>
  <c r="Y157" i="4"/>
  <c r="O157" i="4"/>
  <c r="H157" i="4"/>
  <c r="F155" i="4"/>
  <c r="E155" i="4"/>
  <c r="D155" i="4"/>
  <c r="C155" i="4"/>
  <c r="A155" i="4"/>
  <c r="F154" i="4"/>
  <c r="E154" i="4"/>
  <c r="D154" i="4"/>
  <c r="C154" i="4"/>
  <c r="A154" i="4"/>
  <c r="F153" i="4"/>
  <c r="E153" i="4"/>
  <c r="D153" i="4"/>
  <c r="C153" i="4"/>
  <c r="A153" i="4"/>
  <c r="F152" i="4"/>
  <c r="E152" i="4"/>
  <c r="D152" i="4"/>
  <c r="C152" i="4"/>
  <c r="A152" i="4"/>
  <c r="F151" i="4"/>
  <c r="E151" i="4"/>
  <c r="D151" i="4"/>
  <c r="C151" i="4"/>
  <c r="A151" i="4"/>
  <c r="F150" i="4"/>
  <c r="E150" i="4"/>
  <c r="D150" i="4"/>
  <c r="C150" i="4"/>
  <c r="A150" i="4"/>
  <c r="F149" i="4"/>
  <c r="E149" i="4"/>
  <c r="D149" i="4"/>
  <c r="C149" i="4"/>
  <c r="A149" i="4"/>
  <c r="F148" i="4"/>
  <c r="E148" i="4"/>
  <c r="D148" i="4"/>
  <c r="C148" i="4"/>
  <c r="A148" i="4"/>
  <c r="F147" i="4"/>
  <c r="E147" i="4"/>
  <c r="D147" i="4"/>
  <c r="C147" i="4"/>
  <c r="A147" i="4"/>
  <c r="F146" i="4"/>
  <c r="E146" i="4"/>
  <c r="D146" i="4"/>
  <c r="C146" i="4"/>
  <c r="A146" i="4"/>
  <c r="F145" i="4"/>
  <c r="E145" i="4"/>
  <c r="D145" i="4"/>
  <c r="C145" i="4"/>
  <c r="A145" i="4"/>
  <c r="F144" i="4"/>
  <c r="E144" i="4"/>
  <c r="D144" i="4"/>
  <c r="C144" i="4"/>
  <c r="A144" i="4"/>
  <c r="F143" i="4"/>
  <c r="E143" i="4"/>
  <c r="D143" i="4"/>
  <c r="C143" i="4"/>
  <c r="A143" i="4"/>
  <c r="F142" i="4"/>
  <c r="E142" i="4"/>
  <c r="D142" i="4"/>
  <c r="C142" i="4"/>
  <c r="A142" i="4"/>
  <c r="F141" i="4"/>
  <c r="E141" i="4"/>
  <c r="D141" i="4"/>
  <c r="C141" i="4"/>
  <c r="A141" i="4"/>
  <c r="F140" i="4"/>
  <c r="E140" i="4"/>
  <c r="D140" i="4"/>
  <c r="C140" i="4"/>
  <c r="A140" i="4"/>
  <c r="F139" i="4"/>
  <c r="E139" i="4"/>
  <c r="D139" i="4"/>
  <c r="C139" i="4"/>
  <c r="A139" i="4"/>
  <c r="F138" i="4"/>
  <c r="E138" i="4"/>
  <c r="D138" i="4"/>
  <c r="C138" i="4"/>
  <c r="A138" i="4"/>
  <c r="F137" i="4"/>
  <c r="E137" i="4"/>
  <c r="D137" i="4"/>
  <c r="C137" i="4"/>
  <c r="A137" i="4"/>
  <c r="F136" i="4"/>
  <c r="E136" i="4"/>
  <c r="D136" i="4"/>
  <c r="C136" i="4"/>
  <c r="A136" i="4"/>
  <c r="F135" i="4"/>
  <c r="E135" i="4"/>
  <c r="D135" i="4"/>
  <c r="C135" i="4"/>
  <c r="A135" i="4"/>
  <c r="F134" i="4"/>
  <c r="E134" i="4"/>
  <c r="D134" i="4"/>
  <c r="C134" i="4"/>
  <c r="A134" i="4"/>
  <c r="F133" i="4"/>
  <c r="E133" i="4"/>
  <c r="D133" i="4"/>
  <c r="C133" i="4"/>
  <c r="A133" i="4"/>
  <c r="F132" i="4"/>
  <c r="E132" i="4"/>
  <c r="D132" i="4"/>
  <c r="C132" i="4"/>
  <c r="A132" i="4"/>
  <c r="F131" i="4"/>
  <c r="E131" i="4"/>
  <c r="D131" i="4"/>
  <c r="C131" i="4"/>
  <c r="A131" i="4"/>
  <c r="F130" i="4"/>
  <c r="E130" i="4"/>
  <c r="D130" i="4"/>
  <c r="C130" i="4"/>
  <c r="A130" i="4"/>
  <c r="F129" i="4"/>
  <c r="E129" i="4"/>
  <c r="D129" i="4"/>
  <c r="C129" i="4"/>
  <c r="A129" i="4"/>
  <c r="F128" i="4"/>
  <c r="E128" i="4"/>
  <c r="D128" i="4"/>
  <c r="C128" i="4"/>
  <c r="A128" i="4"/>
  <c r="F127" i="4"/>
  <c r="E127" i="4"/>
  <c r="D127" i="4"/>
  <c r="C127" i="4"/>
  <c r="A127" i="4"/>
  <c r="F126" i="4"/>
  <c r="E126" i="4"/>
  <c r="D126" i="4"/>
  <c r="C126" i="4"/>
  <c r="A126" i="4"/>
  <c r="F125" i="4"/>
  <c r="E125" i="4"/>
  <c r="D125" i="4"/>
  <c r="C125" i="4"/>
  <c r="A125" i="4"/>
  <c r="F124" i="4"/>
  <c r="E124" i="4"/>
  <c r="D124" i="4"/>
  <c r="C124" i="4"/>
  <c r="A124" i="4"/>
  <c r="F123" i="4"/>
  <c r="E123" i="4"/>
  <c r="D123" i="4"/>
  <c r="C123" i="4"/>
  <c r="A123" i="4"/>
  <c r="F122" i="4"/>
  <c r="E122" i="4"/>
  <c r="D122" i="4"/>
  <c r="C122" i="4"/>
  <c r="A122" i="4"/>
  <c r="F121" i="4"/>
  <c r="E121" i="4"/>
  <c r="D121" i="4"/>
  <c r="C121" i="4"/>
  <c r="A121" i="4"/>
  <c r="F120" i="4"/>
  <c r="E120" i="4"/>
  <c r="D120" i="4"/>
  <c r="C120" i="4"/>
  <c r="A120" i="4"/>
  <c r="F119" i="4"/>
  <c r="E119" i="4"/>
  <c r="D119" i="4"/>
  <c r="C119" i="4"/>
  <c r="A119" i="4"/>
  <c r="F118" i="4"/>
  <c r="E118" i="4"/>
  <c r="D118" i="4"/>
  <c r="C118" i="4"/>
  <c r="A118" i="4"/>
  <c r="F117" i="4"/>
  <c r="E117" i="4"/>
  <c r="D117" i="4"/>
  <c r="C117" i="4"/>
  <c r="A117" i="4"/>
  <c r="F116" i="4"/>
  <c r="E116" i="4"/>
  <c r="D116" i="4"/>
  <c r="C116" i="4"/>
  <c r="A116" i="4"/>
  <c r="F115" i="4"/>
  <c r="E115" i="4"/>
  <c r="D115" i="4"/>
  <c r="C115" i="4"/>
  <c r="A115" i="4"/>
  <c r="F114" i="4"/>
  <c r="E114" i="4"/>
  <c r="D114" i="4"/>
  <c r="C114" i="4"/>
  <c r="A114" i="4"/>
  <c r="F113" i="4"/>
  <c r="E113" i="4"/>
  <c r="D113" i="4"/>
  <c r="C113" i="4"/>
  <c r="A113" i="4"/>
  <c r="F112" i="4"/>
  <c r="E112" i="4"/>
  <c r="D112" i="4"/>
  <c r="C112" i="4"/>
  <c r="A112" i="4"/>
  <c r="F111" i="4"/>
  <c r="E111" i="4"/>
  <c r="D111" i="4"/>
  <c r="C111" i="4"/>
  <c r="A111" i="4"/>
  <c r="F110" i="4"/>
  <c r="E110" i="4"/>
  <c r="D110" i="4"/>
  <c r="C110" i="4"/>
  <c r="A110" i="4"/>
  <c r="F109" i="4"/>
  <c r="E109" i="4"/>
  <c r="D109" i="4"/>
  <c r="C109" i="4"/>
  <c r="A109" i="4"/>
  <c r="F108" i="4"/>
  <c r="E108" i="4"/>
  <c r="D108" i="4"/>
  <c r="C108" i="4"/>
  <c r="A108" i="4"/>
  <c r="F107" i="4"/>
  <c r="E107" i="4"/>
  <c r="D107" i="4"/>
  <c r="C107" i="4"/>
  <c r="A107" i="4"/>
  <c r="F106" i="4"/>
  <c r="E106" i="4"/>
  <c r="D106" i="4"/>
  <c r="C106" i="4"/>
  <c r="A106" i="4"/>
  <c r="F105" i="4"/>
  <c r="E105" i="4"/>
  <c r="D105" i="4"/>
  <c r="C105" i="4"/>
  <c r="A105" i="4"/>
  <c r="F104" i="4"/>
  <c r="E104" i="4"/>
  <c r="D104" i="4"/>
  <c r="C104" i="4"/>
  <c r="A104" i="4"/>
  <c r="F103" i="4"/>
  <c r="E103" i="4"/>
  <c r="D103" i="4"/>
  <c r="C103" i="4"/>
  <c r="A103" i="4"/>
  <c r="F102" i="4"/>
  <c r="E102" i="4"/>
  <c r="D102" i="4"/>
  <c r="C102" i="4"/>
  <c r="A102" i="4"/>
  <c r="F101" i="4"/>
  <c r="E101" i="4"/>
  <c r="D101" i="4"/>
  <c r="C101" i="4"/>
  <c r="A101" i="4"/>
  <c r="F100" i="4"/>
  <c r="E100" i="4"/>
  <c r="D100" i="4"/>
  <c r="C100" i="4"/>
  <c r="A100" i="4"/>
  <c r="F99" i="4"/>
  <c r="E99" i="4"/>
  <c r="D99" i="4"/>
  <c r="C99" i="4"/>
  <c r="A99" i="4"/>
  <c r="F98" i="4"/>
  <c r="E98" i="4"/>
  <c r="D98" i="4"/>
  <c r="C98" i="4"/>
  <c r="A98" i="4"/>
  <c r="F97" i="4"/>
  <c r="E97" i="4"/>
  <c r="D97" i="4"/>
  <c r="C97" i="4"/>
  <c r="A97" i="4"/>
  <c r="F96" i="4"/>
  <c r="E96" i="4"/>
  <c r="D96" i="4"/>
  <c r="C96" i="4"/>
  <c r="A96" i="4"/>
  <c r="F95" i="4"/>
  <c r="E95" i="4"/>
  <c r="D95" i="4"/>
  <c r="C95" i="4"/>
  <c r="A95" i="4"/>
  <c r="F94" i="4"/>
  <c r="E94" i="4"/>
  <c r="D94" i="4"/>
  <c r="C94" i="4"/>
  <c r="A94" i="4"/>
  <c r="F93" i="4"/>
  <c r="E93" i="4"/>
  <c r="D93" i="4"/>
  <c r="C93" i="4"/>
  <c r="A93" i="4"/>
  <c r="F92" i="4"/>
  <c r="E92" i="4"/>
  <c r="D92" i="4"/>
  <c r="C92" i="4"/>
  <c r="A92" i="4"/>
  <c r="F91" i="4"/>
  <c r="E91" i="4"/>
  <c r="D91" i="4"/>
  <c r="C91" i="4"/>
  <c r="A91" i="4"/>
  <c r="F90" i="4"/>
  <c r="E90" i="4"/>
  <c r="D90" i="4"/>
  <c r="C90" i="4"/>
  <c r="A90" i="4"/>
  <c r="F89" i="4"/>
  <c r="E89" i="4"/>
  <c r="D89" i="4"/>
  <c r="C89" i="4"/>
  <c r="A89" i="4"/>
  <c r="F88" i="4"/>
  <c r="E88" i="4"/>
  <c r="D88" i="4"/>
  <c r="C88" i="4"/>
  <c r="A88" i="4"/>
  <c r="E87" i="4"/>
  <c r="D87" i="4"/>
  <c r="C87" i="4"/>
  <c r="F87" i="4" s="1"/>
  <c r="A87" i="4"/>
  <c r="E86" i="4"/>
  <c r="D86" i="4"/>
  <c r="C86" i="4"/>
  <c r="F86" i="4" s="1"/>
  <c r="A86" i="4"/>
  <c r="E85" i="4"/>
  <c r="D85" i="4"/>
  <c r="C85" i="4"/>
  <c r="F85" i="4" s="1"/>
  <c r="A85" i="4"/>
  <c r="E84" i="4"/>
  <c r="D84" i="4"/>
  <c r="C84" i="4"/>
  <c r="F84" i="4" s="1"/>
  <c r="A84" i="4"/>
  <c r="E83" i="4"/>
  <c r="D83" i="4"/>
  <c r="C83" i="4"/>
  <c r="A83" i="4"/>
  <c r="E82" i="4"/>
  <c r="D82" i="4"/>
  <c r="C82" i="4"/>
  <c r="F82" i="4" s="1"/>
  <c r="A82" i="4"/>
  <c r="E81" i="4"/>
  <c r="D81" i="4"/>
  <c r="C81" i="4"/>
  <c r="F81" i="4" s="1"/>
  <c r="A81" i="4"/>
  <c r="E80" i="4"/>
  <c r="D80" i="4"/>
  <c r="C80" i="4"/>
  <c r="F80" i="4" s="1"/>
  <c r="A80" i="4"/>
  <c r="E79" i="4"/>
  <c r="D79" i="4"/>
  <c r="C79" i="4"/>
  <c r="F79" i="4" s="1"/>
  <c r="A79" i="4"/>
  <c r="E78" i="4"/>
  <c r="D78" i="4"/>
  <c r="C78" i="4"/>
  <c r="F78" i="4" s="1"/>
  <c r="A78" i="4"/>
  <c r="E77" i="4"/>
  <c r="D77" i="4"/>
  <c r="C77" i="4"/>
  <c r="F77" i="4" s="1"/>
  <c r="A77" i="4"/>
  <c r="E76" i="4"/>
  <c r="D76" i="4"/>
  <c r="C76" i="4"/>
  <c r="F76" i="4" s="1"/>
  <c r="A76" i="4"/>
  <c r="F75" i="4"/>
  <c r="E75" i="4"/>
  <c r="D75" i="4"/>
  <c r="C75" i="4"/>
  <c r="A75" i="4"/>
  <c r="E74" i="4"/>
  <c r="D74" i="4"/>
  <c r="C74" i="4"/>
  <c r="F74" i="4" s="1"/>
  <c r="A74" i="4"/>
  <c r="E73" i="4"/>
  <c r="D73" i="4"/>
  <c r="C73" i="4"/>
  <c r="F73" i="4" s="1"/>
  <c r="A73" i="4"/>
  <c r="E72" i="4"/>
  <c r="D72" i="4"/>
  <c r="C72" i="4"/>
  <c r="F72" i="4" s="1"/>
  <c r="A72" i="4"/>
  <c r="F71" i="4"/>
  <c r="E71" i="4"/>
  <c r="D71" i="4"/>
  <c r="C71" i="4"/>
  <c r="A71" i="4"/>
  <c r="E70" i="4"/>
  <c r="D70" i="4"/>
  <c r="C70" i="4"/>
  <c r="F70" i="4" s="1"/>
  <c r="A70" i="4"/>
  <c r="E69" i="4"/>
  <c r="D69" i="4"/>
  <c r="C69" i="4"/>
  <c r="F69" i="4" s="1"/>
  <c r="A69" i="4"/>
  <c r="E68" i="4"/>
  <c r="D68" i="4"/>
  <c r="C68" i="4"/>
  <c r="A68" i="4"/>
  <c r="F67" i="4"/>
  <c r="E67" i="4"/>
  <c r="D67" i="4"/>
  <c r="C67" i="4"/>
  <c r="A67" i="4"/>
  <c r="E66" i="4"/>
  <c r="D66" i="4"/>
  <c r="C66" i="4"/>
  <c r="F66" i="4" s="1"/>
  <c r="A66" i="4"/>
  <c r="F65" i="4"/>
  <c r="E65" i="4"/>
  <c r="D65" i="4"/>
  <c r="C65" i="4"/>
  <c r="A65" i="4"/>
  <c r="E64" i="4"/>
  <c r="D64" i="4"/>
  <c r="C64" i="4"/>
  <c r="F64" i="4" s="1"/>
  <c r="A64" i="4"/>
  <c r="F63" i="4"/>
  <c r="E63" i="4"/>
  <c r="D63" i="4"/>
  <c r="C63" i="4"/>
  <c r="A63" i="4"/>
  <c r="E62" i="4"/>
  <c r="D62" i="4"/>
  <c r="C62" i="4"/>
  <c r="F62" i="4" s="1"/>
  <c r="A62" i="4"/>
  <c r="E61" i="4"/>
  <c r="D61" i="4"/>
  <c r="C61" i="4"/>
  <c r="F61" i="4" s="1"/>
  <c r="A61" i="4"/>
  <c r="E60" i="4"/>
  <c r="D60" i="4"/>
  <c r="C60" i="4"/>
  <c r="F60" i="4" s="1"/>
  <c r="A60" i="4"/>
  <c r="F59" i="4"/>
  <c r="E59" i="4"/>
  <c r="D59" i="4"/>
  <c r="C59" i="4"/>
  <c r="A59" i="4"/>
  <c r="E58" i="4"/>
  <c r="D58" i="4"/>
  <c r="C58" i="4"/>
  <c r="F58" i="4" s="1"/>
  <c r="A58" i="4"/>
  <c r="F57" i="4"/>
  <c r="E57" i="4"/>
  <c r="D57" i="4"/>
  <c r="C57" i="4"/>
  <c r="A57" i="4"/>
  <c r="E56" i="4"/>
  <c r="D56" i="4"/>
  <c r="C56" i="4"/>
  <c r="A56" i="4"/>
  <c r="F55" i="4"/>
  <c r="E55" i="4"/>
  <c r="D55" i="4"/>
  <c r="C55" i="4"/>
  <c r="A55" i="4"/>
  <c r="E54" i="4"/>
  <c r="D54" i="4"/>
  <c r="C54" i="4"/>
  <c r="F54" i="4" s="1"/>
  <c r="A54" i="4"/>
  <c r="F53" i="4"/>
  <c r="E53" i="4"/>
  <c r="D53" i="4"/>
  <c r="C53" i="4"/>
  <c r="A53" i="4"/>
  <c r="E52" i="4"/>
  <c r="D52" i="4"/>
  <c r="C52" i="4"/>
  <c r="F52" i="4" s="1"/>
  <c r="A52" i="4"/>
  <c r="F51" i="4"/>
  <c r="E51" i="4"/>
  <c r="D51" i="4"/>
  <c r="C51" i="4"/>
  <c r="A51" i="4"/>
  <c r="E50" i="4"/>
  <c r="D50" i="4"/>
  <c r="C50" i="4"/>
  <c r="F50" i="4" s="1"/>
  <c r="A50" i="4"/>
  <c r="F49" i="4"/>
  <c r="E49" i="4"/>
  <c r="D49" i="4"/>
  <c r="C49" i="4"/>
  <c r="A49" i="4"/>
  <c r="E48" i="4"/>
  <c r="D48" i="4"/>
  <c r="C48" i="4"/>
  <c r="F48" i="4" s="1"/>
  <c r="A48" i="4"/>
  <c r="F47" i="4"/>
  <c r="E47" i="4"/>
  <c r="D47" i="4"/>
  <c r="C47" i="4"/>
  <c r="A47" i="4"/>
  <c r="E46" i="4"/>
  <c r="D46" i="4"/>
  <c r="C46" i="4"/>
  <c r="F46" i="4" s="1"/>
  <c r="A46" i="4"/>
  <c r="E45" i="4"/>
  <c r="D45" i="4"/>
  <c r="C45" i="4"/>
  <c r="F45" i="4" s="1"/>
  <c r="A45" i="4"/>
  <c r="E44" i="4"/>
  <c r="D44" i="4"/>
  <c r="C44" i="4"/>
  <c r="F44" i="4" s="1"/>
  <c r="A44" i="4"/>
  <c r="F43" i="4"/>
  <c r="E43" i="4"/>
  <c r="D43" i="4"/>
  <c r="C43" i="4"/>
  <c r="A43" i="4"/>
  <c r="E42" i="4"/>
  <c r="D42" i="4"/>
  <c r="C42" i="4"/>
  <c r="F42" i="4" s="1"/>
  <c r="A42" i="4"/>
  <c r="E41" i="4"/>
  <c r="D41" i="4"/>
  <c r="C41" i="4"/>
  <c r="F41" i="4" s="1"/>
  <c r="A41" i="4"/>
  <c r="E40" i="4"/>
  <c r="D40" i="4"/>
  <c r="C40" i="4"/>
  <c r="A40" i="4"/>
  <c r="F39" i="4"/>
  <c r="E39" i="4"/>
  <c r="D39" i="4"/>
  <c r="C39" i="4"/>
  <c r="A39" i="4"/>
  <c r="E38" i="4"/>
  <c r="D38" i="4"/>
  <c r="C38" i="4"/>
  <c r="F38" i="4" s="1"/>
  <c r="A38" i="4"/>
  <c r="F37" i="4"/>
  <c r="E37" i="4"/>
  <c r="D37" i="4"/>
  <c r="C37" i="4"/>
  <c r="A37" i="4"/>
  <c r="E36" i="4"/>
  <c r="D36" i="4"/>
  <c r="C36" i="4"/>
  <c r="F36" i="4" s="1"/>
  <c r="A36" i="4"/>
  <c r="F35" i="4"/>
  <c r="E35" i="4"/>
  <c r="D35" i="4"/>
  <c r="C35" i="4"/>
  <c r="A35" i="4"/>
  <c r="E34" i="4"/>
  <c r="D34" i="4"/>
  <c r="C34" i="4"/>
  <c r="F34" i="4" s="1"/>
  <c r="A34" i="4"/>
  <c r="E33" i="4"/>
  <c r="D33" i="4"/>
  <c r="C33" i="4"/>
  <c r="F33" i="4" s="1"/>
  <c r="A33" i="4"/>
  <c r="E32" i="4"/>
  <c r="D32" i="4"/>
  <c r="C32" i="4"/>
  <c r="F32" i="4" s="1"/>
  <c r="A32" i="4"/>
  <c r="F31" i="4"/>
  <c r="E31" i="4"/>
  <c r="D31" i="4"/>
  <c r="C31" i="4"/>
  <c r="A31" i="4"/>
  <c r="E30" i="4"/>
  <c r="D30" i="4"/>
  <c r="C30" i="4"/>
  <c r="F30" i="4" s="1"/>
  <c r="A30" i="4"/>
  <c r="E29" i="4"/>
  <c r="D29" i="4"/>
  <c r="C29" i="4"/>
  <c r="F29" i="4" s="1"/>
  <c r="A29" i="4"/>
  <c r="E28" i="4"/>
  <c r="D28" i="4"/>
  <c r="C28" i="4"/>
  <c r="A28" i="4"/>
  <c r="F27" i="4"/>
  <c r="E27" i="4"/>
  <c r="D27" i="4"/>
  <c r="C27" i="4"/>
  <c r="A27" i="4"/>
  <c r="E26" i="4"/>
  <c r="D26" i="4"/>
  <c r="C26" i="4"/>
  <c r="F26" i="4" s="1"/>
  <c r="A26" i="4"/>
  <c r="F25" i="4"/>
  <c r="E25" i="4"/>
  <c r="D25" i="4"/>
  <c r="C25" i="4"/>
  <c r="A25" i="4"/>
  <c r="E24" i="4"/>
  <c r="D24" i="4"/>
  <c r="C24" i="4"/>
  <c r="F24" i="4" s="1"/>
  <c r="A24" i="4"/>
  <c r="F23" i="4"/>
  <c r="E23" i="4"/>
  <c r="D23" i="4"/>
  <c r="C23" i="4"/>
  <c r="A23" i="4"/>
  <c r="E22" i="4"/>
  <c r="D22" i="4"/>
  <c r="C22" i="4"/>
  <c r="F22" i="4" s="1"/>
  <c r="A22" i="4"/>
  <c r="E21" i="4"/>
  <c r="D21" i="4"/>
  <c r="C21" i="4"/>
  <c r="F21" i="4" s="1"/>
  <c r="A21" i="4"/>
  <c r="E20" i="4"/>
  <c r="D20" i="4"/>
  <c r="C20" i="4"/>
  <c r="F20" i="4" s="1"/>
  <c r="A20" i="4"/>
  <c r="F19" i="4"/>
  <c r="E19" i="4"/>
  <c r="D19" i="4"/>
  <c r="C19" i="4"/>
  <c r="A19" i="4"/>
  <c r="E18" i="4"/>
  <c r="D18" i="4"/>
  <c r="C18" i="4"/>
  <c r="F18" i="4" s="1"/>
  <c r="A18" i="4"/>
  <c r="F17" i="4"/>
  <c r="E17" i="4"/>
  <c r="D17" i="4"/>
  <c r="C17" i="4"/>
  <c r="A17" i="4"/>
  <c r="E16" i="4"/>
  <c r="D16" i="4"/>
  <c r="C16" i="4"/>
  <c r="A16" i="4"/>
  <c r="F15" i="4"/>
  <c r="E15" i="4"/>
  <c r="D15" i="4"/>
  <c r="C15" i="4"/>
  <c r="A15" i="4"/>
  <c r="E14" i="4"/>
  <c r="D14" i="4"/>
  <c r="C14" i="4"/>
  <c r="F14" i="4" s="1"/>
  <c r="A14" i="4"/>
  <c r="F13" i="4"/>
  <c r="E13" i="4"/>
  <c r="D13" i="4"/>
  <c r="C13" i="4"/>
  <c r="A13" i="4"/>
  <c r="E12" i="4"/>
  <c r="D12" i="4"/>
  <c r="C12" i="4"/>
  <c r="F12" i="4" s="1"/>
  <c r="A12" i="4"/>
  <c r="F11" i="4"/>
  <c r="E11" i="4"/>
  <c r="D11" i="4"/>
  <c r="C11" i="4"/>
  <c r="A11" i="4"/>
  <c r="E10" i="4"/>
  <c r="D10" i="4"/>
  <c r="C10" i="4"/>
  <c r="F10" i="4" s="1"/>
  <c r="A10" i="4"/>
  <c r="F9" i="4"/>
  <c r="E9" i="4"/>
  <c r="D9" i="4"/>
  <c r="C9" i="4"/>
  <c r="A9" i="4"/>
  <c r="E8" i="4"/>
  <c r="D8" i="4"/>
  <c r="C8" i="4"/>
  <c r="F8" i="4" s="1"/>
  <c r="A8" i="4"/>
  <c r="F7" i="4"/>
  <c r="E7" i="4"/>
  <c r="D7" i="4"/>
  <c r="C7" i="4"/>
  <c r="A7" i="4"/>
  <c r="E6" i="4"/>
  <c r="D6" i="4"/>
  <c r="C6" i="4"/>
  <c r="F6" i="4" s="1"/>
  <c r="A6" i="4"/>
  <c r="AK5" i="4"/>
  <c r="AF5" i="4"/>
  <c r="AE5" i="4"/>
  <c r="AC5" i="4"/>
  <c r="AB5" i="4"/>
  <c r="Y5" i="4"/>
  <c r="Q5" i="4"/>
  <c r="N5" i="4"/>
  <c r="J5" i="4"/>
  <c r="H5" i="4"/>
  <c r="AK4" i="4"/>
  <c r="AK157" i="4" s="1"/>
  <c r="AJ4" i="4"/>
  <c r="AJ5" i="4" s="1"/>
  <c r="AI4" i="4"/>
  <c r="AI5" i="4" s="1"/>
  <c r="AH4" i="4"/>
  <c r="AH5" i="4" s="1"/>
  <c r="AG4" i="4"/>
  <c r="AG157" i="4" s="1"/>
  <c r="AF4" i="4"/>
  <c r="AF157" i="4" s="1"/>
  <c r="AE4" i="4"/>
  <c r="AE157" i="4" s="1"/>
  <c r="AD4" i="4"/>
  <c r="AD157" i="4" s="1"/>
  <c r="AB4" i="4"/>
  <c r="Y4" i="4"/>
  <c r="X4" i="4"/>
  <c r="X157" i="4" s="1"/>
  <c r="W4" i="4"/>
  <c r="V4" i="4"/>
  <c r="U4" i="4"/>
  <c r="T4" i="4"/>
  <c r="S4" i="4"/>
  <c r="R4" i="4"/>
  <c r="R5" i="4" s="1"/>
  <c r="Q4" i="4"/>
  <c r="Q157" i="4" s="1"/>
  <c r="P4" i="4"/>
  <c r="P5" i="4" s="1"/>
  <c r="O4" i="4"/>
  <c r="O5" i="4" s="1"/>
  <c r="N4" i="4"/>
  <c r="N157" i="4" s="1"/>
  <c r="M4" i="4"/>
  <c r="M157" i="4" s="1"/>
  <c r="L4" i="4"/>
  <c r="L5" i="4" s="1"/>
  <c r="K4" i="4"/>
  <c r="K157" i="4" s="1"/>
  <c r="J4" i="4"/>
  <c r="J157" i="4" s="1"/>
  <c r="H4" i="4"/>
  <c r="F2" i="4"/>
  <c r="AC4" i="4" s="1"/>
  <c r="A1" i="4"/>
  <c r="AF157" i="3"/>
  <c r="AD157" i="3"/>
  <c r="AB157" i="3"/>
  <c r="AA157" i="3"/>
  <c r="X157" i="3"/>
  <c r="U157" i="3"/>
  <c r="L157" i="3"/>
  <c r="G157" i="3"/>
  <c r="F155" i="3"/>
  <c r="E155" i="3"/>
  <c r="D155" i="3"/>
  <c r="C155" i="3"/>
  <c r="A155" i="3"/>
  <c r="F154" i="3"/>
  <c r="E154" i="3"/>
  <c r="D154" i="3"/>
  <c r="C154" i="3"/>
  <c r="A154" i="3"/>
  <c r="F153" i="3"/>
  <c r="E153" i="3"/>
  <c r="D153" i="3"/>
  <c r="C153" i="3"/>
  <c r="A153" i="3"/>
  <c r="F152" i="3"/>
  <c r="E152" i="3"/>
  <c r="D152" i="3"/>
  <c r="C152" i="3"/>
  <c r="A152" i="3"/>
  <c r="F151" i="3"/>
  <c r="E151" i="3"/>
  <c r="D151" i="3"/>
  <c r="C151" i="3"/>
  <c r="A151" i="3"/>
  <c r="F150" i="3"/>
  <c r="E150" i="3"/>
  <c r="D150" i="3"/>
  <c r="C150" i="3"/>
  <c r="A150" i="3"/>
  <c r="F149" i="3"/>
  <c r="E149" i="3"/>
  <c r="D149" i="3"/>
  <c r="C149" i="3"/>
  <c r="A149" i="3"/>
  <c r="F148" i="3"/>
  <c r="E148" i="3"/>
  <c r="D148" i="3"/>
  <c r="C148" i="3"/>
  <c r="A148" i="3"/>
  <c r="F147" i="3"/>
  <c r="E147" i="3"/>
  <c r="D147" i="3"/>
  <c r="C147" i="3"/>
  <c r="A147" i="3"/>
  <c r="F146" i="3"/>
  <c r="E146" i="3"/>
  <c r="D146" i="3"/>
  <c r="C146" i="3"/>
  <c r="A146" i="3"/>
  <c r="F145" i="3"/>
  <c r="E145" i="3"/>
  <c r="D145" i="3"/>
  <c r="C145" i="3"/>
  <c r="A145" i="3"/>
  <c r="F144" i="3"/>
  <c r="E144" i="3"/>
  <c r="D144" i="3"/>
  <c r="C144" i="3"/>
  <c r="A144" i="3"/>
  <c r="F143" i="3"/>
  <c r="E143" i="3"/>
  <c r="D143" i="3"/>
  <c r="C143" i="3"/>
  <c r="A143" i="3"/>
  <c r="F142" i="3"/>
  <c r="E142" i="3"/>
  <c r="D142" i="3"/>
  <c r="C142" i="3"/>
  <c r="A142" i="3"/>
  <c r="F141" i="3"/>
  <c r="E141" i="3"/>
  <c r="D141" i="3"/>
  <c r="C141" i="3"/>
  <c r="A141" i="3"/>
  <c r="F140" i="3"/>
  <c r="E140" i="3"/>
  <c r="D140" i="3"/>
  <c r="C140" i="3"/>
  <c r="A140" i="3"/>
  <c r="F139" i="3"/>
  <c r="E139" i="3"/>
  <c r="D139" i="3"/>
  <c r="C139" i="3"/>
  <c r="A139" i="3"/>
  <c r="F138" i="3"/>
  <c r="E138" i="3"/>
  <c r="D138" i="3"/>
  <c r="C138" i="3"/>
  <c r="A138" i="3"/>
  <c r="F137" i="3"/>
  <c r="E137" i="3"/>
  <c r="D137" i="3"/>
  <c r="C137" i="3"/>
  <c r="A137" i="3"/>
  <c r="F136" i="3"/>
  <c r="E136" i="3"/>
  <c r="D136" i="3"/>
  <c r="C136" i="3"/>
  <c r="A136" i="3"/>
  <c r="F135" i="3"/>
  <c r="E135" i="3"/>
  <c r="D135" i="3"/>
  <c r="C135" i="3"/>
  <c r="A135" i="3"/>
  <c r="F134" i="3"/>
  <c r="E134" i="3"/>
  <c r="D134" i="3"/>
  <c r="C134" i="3"/>
  <c r="A134" i="3"/>
  <c r="F133" i="3"/>
  <c r="E133" i="3"/>
  <c r="D133" i="3"/>
  <c r="C133" i="3"/>
  <c r="A133" i="3"/>
  <c r="F132" i="3"/>
  <c r="E132" i="3"/>
  <c r="D132" i="3"/>
  <c r="C132" i="3"/>
  <c r="A132" i="3"/>
  <c r="F131" i="3"/>
  <c r="E131" i="3"/>
  <c r="D131" i="3"/>
  <c r="C131" i="3"/>
  <c r="A131" i="3"/>
  <c r="F130" i="3"/>
  <c r="E130" i="3"/>
  <c r="D130" i="3"/>
  <c r="C130" i="3"/>
  <c r="A130" i="3"/>
  <c r="F129" i="3"/>
  <c r="E129" i="3"/>
  <c r="D129" i="3"/>
  <c r="C129" i="3"/>
  <c r="A129" i="3"/>
  <c r="F128" i="3"/>
  <c r="E128" i="3"/>
  <c r="D128" i="3"/>
  <c r="C128" i="3"/>
  <c r="A128" i="3"/>
  <c r="F127" i="3"/>
  <c r="E127" i="3"/>
  <c r="D127" i="3"/>
  <c r="C127" i="3"/>
  <c r="A127" i="3"/>
  <c r="F126" i="3"/>
  <c r="E126" i="3"/>
  <c r="D126" i="3"/>
  <c r="C126" i="3"/>
  <c r="A126" i="3"/>
  <c r="F125" i="3"/>
  <c r="E125" i="3"/>
  <c r="D125" i="3"/>
  <c r="C125" i="3"/>
  <c r="A125" i="3"/>
  <c r="F124" i="3"/>
  <c r="E124" i="3"/>
  <c r="D124" i="3"/>
  <c r="C124" i="3"/>
  <c r="A124" i="3"/>
  <c r="F123" i="3"/>
  <c r="E123" i="3"/>
  <c r="D123" i="3"/>
  <c r="C123" i="3"/>
  <c r="A123" i="3"/>
  <c r="F122" i="3"/>
  <c r="E122" i="3"/>
  <c r="D122" i="3"/>
  <c r="C122" i="3"/>
  <c r="A122" i="3"/>
  <c r="F121" i="3"/>
  <c r="E121" i="3"/>
  <c r="D121" i="3"/>
  <c r="C121" i="3"/>
  <c r="A121" i="3"/>
  <c r="F120" i="3"/>
  <c r="E120" i="3"/>
  <c r="D120" i="3"/>
  <c r="C120" i="3"/>
  <c r="A120" i="3"/>
  <c r="F119" i="3"/>
  <c r="E119" i="3"/>
  <c r="D119" i="3"/>
  <c r="C119" i="3"/>
  <c r="A119" i="3"/>
  <c r="F118" i="3"/>
  <c r="E118" i="3"/>
  <c r="D118" i="3"/>
  <c r="C118" i="3"/>
  <c r="A118" i="3"/>
  <c r="F117" i="3"/>
  <c r="E117" i="3"/>
  <c r="D117" i="3"/>
  <c r="C117" i="3"/>
  <c r="A117" i="3"/>
  <c r="F116" i="3"/>
  <c r="E116" i="3"/>
  <c r="D116" i="3"/>
  <c r="C116" i="3"/>
  <c r="A116" i="3"/>
  <c r="F115" i="3"/>
  <c r="E115" i="3"/>
  <c r="D115" i="3"/>
  <c r="C115" i="3"/>
  <c r="A115" i="3"/>
  <c r="F114" i="3"/>
  <c r="E114" i="3"/>
  <c r="D114" i="3"/>
  <c r="C114" i="3"/>
  <c r="A114" i="3"/>
  <c r="F113" i="3"/>
  <c r="E113" i="3"/>
  <c r="D113" i="3"/>
  <c r="C113" i="3"/>
  <c r="A113" i="3"/>
  <c r="F112" i="3"/>
  <c r="E112" i="3"/>
  <c r="D112" i="3"/>
  <c r="C112" i="3"/>
  <c r="A112" i="3"/>
  <c r="F111" i="3"/>
  <c r="E111" i="3"/>
  <c r="D111" i="3"/>
  <c r="C111" i="3"/>
  <c r="A111" i="3"/>
  <c r="F110" i="3"/>
  <c r="E110" i="3"/>
  <c r="D110" i="3"/>
  <c r="C110" i="3"/>
  <c r="A110" i="3"/>
  <c r="F109" i="3"/>
  <c r="E109" i="3"/>
  <c r="D109" i="3"/>
  <c r="C109" i="3"/>
  <c r="A109" i="3"/>
  <c r="F108" i="3"/>
  <c r="E108" i="3"/>
  <c r="D108" i="3"/>
  <c r="C108" i="3"/>
  <c r="A108" i="3"/>
  <c r="F107" i="3"/>
  <c r="E107" i="3"/>
  <c r="D107" i="3"/>
  <c r="C107" i="3"/>
  <c r="A107" i="3"/>
  <c r="F106" i="3"/>
  <c r="E106" i="3"/>
  <c r="D106" i="3"/>
  <c r="C106" i="3"/>
  <c r="A106" i="3"/>
  <c r="F105" i="3"/>
  <c r="E105" i="3"/>
  <c r="D105" i="3"/>
  <c r="C105" i="3"/>
  <c r="A105" i="3"/>
  <c r="F104" i="3"/>
  <c r="E104" i="3"/>
  <c r="D104" i="3"/>
  <c r="C104" i="3"/>
  <c r="A104" i="3"/>
  <c r="F103" i="3"/>
  <c r="E103" i="3"/>
  <c r="D103" i="3"/>
  <c r="C103" i="3"/>
  <c r="A103" i="3"/>
  <c r="F102" i="3"/>
  <c r="E102" i="3"/>
  <c r="D102" i="3"/>
  <c r="C102" i="3"/>
  <c r="A102" i="3"/>
  <c r="F101" i="3"/>
  <c r="E101" i="3"/>
  <c r="D101" i="3"/>
  <c r="C101" i="3"/>
  <c r="A101" i="3"/>
  <c r="F100" i="3"/>
  <c r="E100" i="3"/>
  <c r="D100" i="3"/>
  <c r="C100" i="3"/>
  <c r="A100" i="3"/>
  <c r="F99" i="3"/>
  <c r="E99" i="3"/>
  <c r="D99" i="3"/>
  <c r="C99" i="3"/>
  <c r="A99" i="3"/>
  <c r="F98" i="3"/>
  <c r="E98" i="3"/>
  <c r="D98" i="3"/>
  <c r="C98" i="3"/>
  <c r="A98" i="3"/>
  <c r="F97" i="3"/>
  <c r="E97" i="3"/>
  <c r="D97" i="3"/>
  <c r="C97" i="3"/>
  <c r="A97" i="3"/>
  <c r="F96" i="3"/>
  <c r="E96" i="3"/>
  <c r="D96" i="3"/>
  <c r="C96" i="3"/>
  <c r="A96" i="3"/>
  <c r="F95" i="3"/>
  <c r="E95" i="3"/>
  <c r="D95" i="3"/>
  <c r="C95" i="3"/>
  <c r="A95" i="3"/>
  <c r="F94" i="3"/>
  <c r="E94" i="3"/>
  <c r="D94" i="3"/>
  <c r="C94" i="3"/>
  <c r="A94" i="3"/>
  <c r="F93" i="3"/>
  <c r="E93" i="3"/>
  <c r="D93" i="3"/>
  <c r="C93" i="3"/>
  <c r="A93" i="3"/>
  <c r="F92" i="3"/>
  <c r="E92" i="3"/>
  <c r="D92" i="3"/>
  <c r="C92" i="3"/>
  <c r="A92" i="3"/>
  <c r="F91" i="3"/>
  <c r="E91" i="3"/>
  <c r="D91" i="3"/>
  <c r="C91" i="3"/>
  <c r="A91" i="3"/>
  <c r="F90" i="3"/>
  <c r="E90" i="3"/>
  <c r="D90" i="3"/>
  <c r="C90" i="3"/>
  <c r="A90" i="3"/>
  <c r="F89" i="3"/>
  <c r="E89" i="3"/>
  <c r="D89" i="3"/>
  <c r="C89" i="3"/>
  <c r="A89" i="3"/>
  <c r="F88" i="3"/>
  <c r="E88" i="3"/>
  <c r="D88" i="3"/>
  <c r="C88" i="3"/>
  <c r="A88" i="3"/>
  <c r="E87" i="3"/>
  <c r="D87" i="3"/>
  <c r="C87" i="3"/>
  <c r="F87" i="3" s="1"/>
  <c r="A87" i="3"/>
  <c r="E86" i="3"/>
  <c r="D86" i="3"/>
  <c r="C86" i="3"/>
  <c r="F86" i="3" s="1"/>
  <c r="A86" i="3"/>
  <c r="E85" i="3"/>
  <c r="D85" i="3"/>
  <c r="C85" i="3"/>
  <c r="A85" i="3"/>
  <c r="E84" i="3"/>
  <c r="D84" i="3"/>
  <c r="C84" i="3"/>
  <c r="F84" i="3" s="1"/>
  <c r="A84" i="3"/>
  <c r="E83" i="3"/>
  <c r="D83" i="3"/>
  <c r="C83" i="3"/>
  <c r="F83" i="3" s="1"/>
  <c r="A83" i="3"/>
  <c r="E82" i="3"/>
  <c r="D82" i="3"/>
  <c r="C82" i="3"/>
  <c r="F82" i="3" s="1"/>
  <c r="A82" i="3"/>
  <c r="E81" i="3"/>
  <c r="D81" i="3"/>
  <c r="C81" i="3"/>
  <c r="F81" i="3" s="1"/>
  <c r="A81" i="3"/>
  <c r="E80" i="3"/>
  <c r="D80" i="3"/>
  <c r="C80" i="3"/>
  <c r="F80" i="3" s="1"/>
  <c r="A80" i="3"/>
  <c r="E79" i="3"/>
  <c r="D79" i="3"/>
  <c r="C79" i="3"/>
  <c r="A79" i="3"/>
  <c r="E78" i="3"/>
  <c r="D78" i="3"/>
  <c r="C78" i="3"/>
  <c r="F78" i="3" s="1"/>
  <c r="A78" i="3"/>
  <c r="F77" i="3"/>
  <c r="E77" i="3"/>
  <c r="D77" i="3"/>
  <c r="C77" i="3"/>
  <c r="A77" i="3"/>
  <c r="E76" i="3"/>
  <c r="F76" i="3" s="1"/>
  <c r="D76" i="3"/>
  <c r="C76" i="3"/>
  <c r="A76" i="3"/>
  <c r="E75" i="3"/>
  <c r="D75" i="3"/>
  <c r="C75" i="3"/>
  <c r="F75" i="3" s="1"/>
  <c r="A75" i="3"/>
  <c r="F74" i="3"/>
  <c r="E74" i="3"/>
  <c r="D74" i="3"/>
  <c r="C74" i="3"/>
  <c r="A74" i="3"/>
  <c r="E73" i="3"/>
  <c r="D73" i="3"/>
  <c r="C73" i="3"/>
  <c r="F73" i="3" s="1"/>
  <c r="A73" i="3"/>
  <c r="E72" i="3"/>
  <c r="D72" i="3"/>
  <c r="C72" i="3"/>
  <c r="F72" i="3" s="1"/>
  <c r="A72" i="3"/>
  <c r="E71" i="3"/>
  <c r="D71" i="3"/>
  <c r="C71" i="3"/>
  <c r="F71" i="3" s="1"/>
  <c r="A71" i="3"/>
  <c r="E70" i="3"/>
  <c r="F70" i="3" s="1"/>
  <c r="D70" i="3"/>
  <c r="C70" i="3"/>
  <c r="A70" i="3"/>
  <c r="E69" i="3"/>
  <c r="D69" i="3"/>
  <c r="C69" i="3"/>
  <c r="F69" i="3" s="1"/>
  <c r="A69" i="3"/>
  <c r="E68" i="3"/>
  <c r="D68" i="3"/>
  <c r="C68" i="3"/>
  <c r="F68" i="3" s="1"/>
  <c r="A68" i="3"/>
  <c r="E67" i="3"/>
  <c r="D67" i="3"/>
  <c r="C67" i="3"/>
  <c r="A67" i="3"/>
  <c r="E66" i="3"/>
  <c r="F66" i="3" s="1"/>
  <c r="D66" i="3"/>
  <c r="C66" i="3"/>
  <c r="A66" i="3"/>
  <c r="E65" i="3"/>
  <c r="D65" i="3"/>
  <c r="C65" i="3"/>
  <c r="F65" i="3" s="1"/>
  <c r="A65" i="3"/>
  <c r="F64" i="3"/>
  <c r="E64" i="3"/>
  <c r="D64" i="3"/>
  <c r="C64" i="3"/>
  <c r="A64" i="3"/>
  <c r="E63" i="3"/>
  <c r="D63" i="3"/>
  <c r="C63" i="3"/>
  <c r="A63" i="3"/>
  <c r="F62" i="3"/>
  <c r="E62" i="3"/>
  <c r="D62" i="3"/>
  <c r="C62" i="3"/>
  <c r="A62" i="3"/>
  <c r="E61" i="3"/>
  <c r="F61" i="3" s="1"/>
  <c r="D61" i="3"/>
  <c r="C61" i="3"/>
  <c r="A61" i="3"/>
  <c r="E60" i="3"/>
  <c r="F60" i="3" s="1"/>
  <c r="D60" i="3"/>
  <c r="C60" i="3"/>
  <c r="A60" i="3"/>
  <c r="E59" i="3"/>
  <c r="D59" i="3"/>
  <c r="C59" i="3"/>
  <c r="F59" i="3" s="1"/>
  <c r="A59" i="3"/>
  <c r="F58" i="3"/>
  <c r="E58" i="3"/>
  <c r="D58" i="3"/>
  <c r="C58" i="3"/>
  <c r="A58" i="3"/>
  <c r="E57" i="3"/>
  <c r="F57" i="3" s="1"/>
  <c r="D57" i="3"/>
  <c r="C57" i="3"/>
  <c r="A57" i="3"/>
  <c r="E56" i="3"/>
  <c r="D56" i="3"/>
  <c r="C56" i="3"/>
  <c r="F56" i="3" s="1"/>
  <c r="A56" i="3"/>
  <c r="E55" i="3"/>
  <c r="D55" i="3"/>
  <c r="C55" i="3"/>
  <c r="A55" i="3"/>
  <c r="E54" i="3"/>
  <c r="D54" i="3"/>
  <c r="C54" i="3"/>
  <c r="F54" i="3" s="1"/>
  <c r="A54" i="3"/>
  <c r="F53" i="3"/>
  <c r="E53" i="3"/>
  <c r="D53" i="3"/>
  <c r="C53" i="3"/>
  <c r="A53" i="3"/>
  <c r="E52" i="3"/>
  <c r="D52" i="3"/>
  <c r="C52" i="3"/>
  <c r="F52" i="3" s="1"/>
  <c r="A52" i="3"/>
  <c r="E51" i="3"/>
  <c r="D51" i="3"/>
  <c r="C51" i="3"/>
  <c r="F51" i="3" s="1"/>
  <c r="A51" i="3"/>
  <c r="E50" i="3"/>
  <c r="D50" i="3"/>
  <c r="C50" i="3"/>
  <c r="F50" i="3" s="1"/>
  <c r="A50" i="3"/>
  <c r="E49" i="3"/>
  <c r="F49" i="3" s="1"/>
  <c r="D49" i="3"/>
  <c r="C49" i="3"/>
  <c r="A49" i="3"/>
  <c r="E48" i="3"/>
  <c r="D48" i="3"/>
  <c r="C48" i="3"/>
  <c r="F48" i="3" s="1"/>
  <c r="A48" i="3"/>
  <c r="E47" i="3"/>
  <c r="D47" i="3"/>
  <c r="C47" i="3"/>
  <c r="F47" i="3" s="1"/>
  <c r="A47" i="3"/>
  <c r="E46" i="3"/>
  <c r="F46" i="3" s="1"/>
  <c r="D46" i="3"/>
  <c r="C46" i="3"/>
  <c r="A46" i="3"/>
  <c r="E45" i="3"/>
  <c r="F45" i="3" s="1"/>
  <c r="D45" i="3"/>
  <c r="C45" i="3"/>
  <c r="A45" i="3"/>
  <c r="E44" i="3"/>
  <c r="D44" i="3"/>
  <c r="C44" i="3"/>
  <c r="F44" i="3" s="1"/>
  <c r="A44" i="3"/>
  <c r="E43" i="3"/>
  <c r="D43" i="3"/>
  <c r="C43" i="3"/>
  <c r="A43" i="3"/>
  <c r="E42" i="3"/>
  <c r="F42" i="3" s="1"/>
  <c r="D42" i="3"/>
  <c r="C42" i="3"/>
  <c r="A42" i="3"/>
  <c r="E41" i="3"/>
  <c r="D41" i="3"/>
  <c r="C41" i="3"/>
  <c r="F41" i="3" s="1"/>
  <c r="A41" i="3"/>
  <c r="E40" i="3"/>
  <c r="F40" i="3" s="1"/>
  <c r="D40" i="3"/>
  <c r="C40" i="3"/>
  <c r="A40" i="3"/>
  <c r="E39" i="3"/>
  <c r="D39" i="3"/>
  <c r="C39" i="3"/>
  <c r="F39" i="3" s="1"/>
  <c r="A39" i="3"/>
  <c r="E38" i="3"/>
  <c r="D38" i="3"/>
  <c r="C38" i="3"/>
  <c r="F38" i="3" s="1"/>
  <c r="A38" i="3"/>
  <c r="F37" i="3"/>
  <c r="E37" i="3"/>
  <c r="D37" i="3"/>
  <c r="C37" i="3"/>
  <c r="A37" i="3"/>
  <c r="E36" i="3"/>
  <c r="F36" i="3" s="1"/>
  <c r="D36" i="3"/>
  <c r="C36" i="3"/>
  <c r="A36" i="3"/>
  <c r="E35" i="3"/>
  <c r="D35" i="3"/>
  <c r="C35" i="3"/>
  <c r="F35" i="3" s="1"/>
  <c r="A35" i="3"/>
  <c r="E34" i="3"/>
  <c r="F34" i="3" s="1"/>
  <c r="D34" i="3"/>
  <c r="C34" i="3"/>
  <c r="A34" i="3"/>
  <c r="E33" i="3"/>
  <c r="D33" i="3"/>
  <c r="C33" i="3"/>
  <c r="F33" i="3" s="1"/>
  <c r="A33" i="3"/>
  <c r="F32" i="3"/>
  <c r="E32" i="3"/>
  <c r="D32" i="3"/>
  <c r="C32" i="3"/>
  <c r="A32" i="3"/>
  <c r="E31" i="3"/>
  <c r="D31" i="3"/>
  <c r="C31" i="3"/>
  <c r="F31" i="3" s="1"/>
  <c r="A31" i="3"/>
  <c r="E30" i="3"/>
  <c r="D30" i="3"/>
  <c r="C30" i="3"/>
  <c r="F30" i="3" s="1"/>
  <c r="A30" i="3"/>
  <c r="E29" i="3"/>
  <c r="D29" i="3"/>
  <c r="C29" i="3"/>
  <c r="A29" i="3"/>
  <c r="F28" i="3"/>
  <c r="E28" i="3"/>
  <c r="D28" i="3"/>
  <c r="C28" i="3"/>
  <c r="A28" i="3"/>
  <c r="E27" i="3"/>
  <c r="D27" i="3"/>
  <c r="C27" i="3"/>
  <c r="F27" i="3" s="1"/>
  <c r="A27" i="3"/>
  <c r="E26" i="3"/>
  <c r="D26" i="3"/>
  <c r="C26" i="3"/>
  <c r="F26" i="3" s="1"/>
  <c r="A26" i="3"/>
  <c r="E25" i="3"/>
  <c r="D25" i="3"/>
  <c r="C25" i="3"/>
  <c r="F25" i="3" s="1"/>
  <c r="A25" i="3"/>
  <c r="F24" i="3"/>
  <c r="E24" i="3"/>
  <c r="D24" i="3"/>
  <c r="C24" i="3"/>
  <c r="A24" i="3"/>
  <c r="E23" i="3"/>
  <c r="D23" i="3"/>
  <c r="C23" i="3"/>
  <c r="A23" i="3"/>
  <c r="F22" i="3"/>
  <c r="E22" i="3"/>
  <c r="D22" i="3"/>
  <c r="C22" i="3"/>
  <c r="A22" i="3"/>
  <c r="F21" i="3"/>
  <c r="E21" i="3"/>
  <c r="D21" i="3"/>
  <c r="C21" i="3"/>
  <c r="A21" i="3"/>
  <c r="E20" i="3"/>
  <c r="F20" i="3" s="1"/>
  <c r="D20" i="3"/>
  <c r="C20" i="3"/>
  <c r="A20" i="3"/>
  <c r="E19" i="3"/>
  <c r="D19" i="3"/>
  <c r="C19" i="3"/>
  <c r="A19" i="3"/>
  <c r="E18" i="3"/>
  <c r="D18" i="3"/>
  <c r="C18" i="3"/>
  <c r="F18" i="3" s="1"/>
  <c r="A18" i="3"/>
  <c r="E17" i="3"/>
  <c r="F17" i="3" s="1"/>
  <c r="D17" i="3"/>
  <c r="C17" i="3"/>
  <c r="A17" i="3"/>
  <c r="E16" i="3"/>
  <c r="D16" i="3"/>
  <c r="C16" i="3"/>
  <c r="F16" i="3" s="1"/>
  <c r="A16" i="3"/>
  <c r="E15" i="3"/>
  <c r="D15" i="3"/>
  <c r="C15" i="3"/>
  <c r="F15" i="3" s="1"/>
  <c r="A15" i="3"/>
  <c r="E14" i="3"/>
  <c r="D14" i="3"/>
  <c r="C14" i="3"/>
  <c r="F14" i="3" s="1"/>
  <c r="A14" i="3"/>
  <c r="E13" i="3"/>
  <c r="D13" i="3"/>
  <c r="C13" i="3"/>
  <c r="A13" i="3"/>
  <c r="E12" i="3"/>
  <c r="D12" i="3"/>
  <c r="C12" i="3"/>
  <c r="F12" i="3" s="1"/>
  <c r="A12" i="3"/>
  <c r="E11" i="3"/>
  <c r="D11" i="3"/>
  <c r="C11" i="3"/>
  <c r="A11" i="3"/>
  <c r="E10" i="3"/>
  <c r="D10" i="3"/>
  <c r="C10" i="3"/>
  <c r="F10" i="3" s="1"/>
  <c r="A10" i="3"/>
  <c r="F9" i="3"/>
  <c r="E9" i="3"/>
  <c r="D9" i="3"/>
  <c r="C9" i="3"/>
  <c r="A9" i="3"/>
  <c r="F8" i="3"/>
  <c r="E8" i="3"/>
  <c r="D8" i="3"/>
  <c r="C8" i="3"/>
  <c r="A8" i="3"/>
  <c r="E7" i="3"/>
  <c r="D7" i="3"/>
  <c r="C7" i="3"/>
  <c r="A7" i="3"/>
  <c r="E6" i="3"/>
  <c r="D6" i="3"/>
  <c r="C6" i="3"/>
  <c r="F6" i="3" s="1"/>
  <c r="A6" i="3"/>
  <c r="AK5" i="3"/>
  <c r="AF5" i="3"/>
  <c r="AB5" i="3"/>
  <c r="Z5" i="3"/>
  <c r="M5" i="3"/>
  <c r="L5" i="3"/>
  <c r="AK4" i="3"/>
  <c r="AK157" i="3" s="1"/>
  <c r="AH4" i="3"/>
  <c r="AH5" i="3" s="1"/>
  <c r="AG4" i="3"/>
  <c r="AG5" i="3" s="1"/>
  <c r="AF4" i="3"/>
  <c r="AE4" i="3"/>
  <c r="AE5" i="3" s="1"/>
  <c r="AD4" i="3"/>
  <c r="AD5" i="3" s="1"/>
  <c r="AB4" i="3"/>
  <c r="AA4" i="3"/>
  <c r="AA5" i="3" s="1"/>
  <c r="X4" i="3"/>
  <c r="X5" i="3" s="1"/>
  <c r="W4" i="3"/>
  <c r="W5" i="3" s="1"/>
  <c r="V4" i="3"/>
  <c r="V157" i="3" s="1"/>
  <c r="U4" i="3"/>
  <c r="U5" i="3" s="1"/>
  <c r="T4" i="3"/>
  <c r="S4" i="3"/>
  <c r="Q4" i="3"/>
  <c r="N4" i="3"/>
  <c r="N157" i="3" s="1"/>
  <c r="M4" i="3"/>
  <c r="M157" i="3" s="1"/>
  <c r="L4" i="3"/>
  <c r="K4" i="3"/>
  <c r="K5" i="3" s="1"/>
  <c r="J4" i="3"/>
  <c r="J157" i="3" s="1"/>
  <c r="I4" i="3"/>
  <c r="I5" i="3" s="1"/>
  <c r="H4" i="3"/>
  <c r="H5" i="3" s="1"/>
  <c r="G4" i="3"/>
  <c r="F2" i="3"/>
  <c r="Z4" i="3" s="1"/>
  <c r="Z157" i="3" s="1"/>
  <c r="A1" i="3"/>
  <c r="AD157" i="2"/>
  <c r="Z157" i="2"/>
  <c r="F155" i="2"/>
  <c r="E155" i="2"/>
  <c r="D155" i="2"/>
  <c r="C155" i="2"/>
  <c r="A155" i="2"/>
  <c r="F154" i="2"/>
  <c r="E154" i="2"/>
  <c r="D154" i="2"/>
  <c r="C154" i="2"/>
  <c r="A154" i="2"/>
  <c r="F153" i="2"/>
  <c r="E153" i="2"/>
  <c r="D153" i="2"/>
  <c r="C153" i="2"/>
  <c r="A153" i="2"/>
  <c r="F152" i="2"/>
  <c r="E152" i="2"/>
  <c r="D152" i="2"/>
  <c r="C152" i="2"/>
  <c r="A152" i="2"/>
  <c r="F151" i="2"/>
  <c r="E151" i="2"/>
  <c r="D151" i="2"/>
  <c r="C151" i="2"/>
  <c r="A151" i="2"/>
  <c r="F150" i="2"/>
  <c r="E150" i="2"/>
  <c r="D150" i="2"/>
  <c r="C150" i="2"/>
  <c r="A150" i="2"/>
  <c r="F149" i="2"/>
  <c r="E149" i="2"/>
  <c r="D149" i="2"/>
  <c r="C149" i="2"/>
  <c r="A149" i="2"/>
  <c r="F148" i="2"/>
  <c r="E148" i="2"/>
  <c r="D148" i="2"/>
  <c r="C148" i="2"/>
  <c r="A148" i="2"/>
  <c r="F147" i="2"/>
  <c r="E147" i="2"/>
  <c r="D147" i="2"/>
  <c r="C147" i="2"/>
  <c r="A147" i="2"/>
  <c r="F146" i="2"/>
  <c r="E146" i="2"/>
  <c r="D146" i="2"/>
  <c r="C146" i="2"/>
  <c r="A146" i="2"/>
  <c r="F145" i="2"/>
  <c r="E145" i="2"/>
  <c r="D145" i="2"/>
  <c r="C145" i="2"/>
  <c r="A145" i="2"/>
  <c r="F144" i="2"/>
  <c r="E144" i="2"/>
  <c r="D144" i="2"/>
  <c r="C144" i="2"/>
  <c r="A144" i="2"/>
  <c r="F143" i="2"/>
  <c r="E143" i="2"/>
  <c r="D143" i="2"/>
  <c r="C143" i="2"/>
  <c r="A143" i="2"/>
  <c r="F142" i="2"/>
  <c r="E142" i="2"/>
  <c r="D142" i="2"/>
  <c r="C142" i="2"/>
  <c r="A142" i="2"/>
  <c r="F141" i="2"/>
  <c r="E141" i="2"/>
  <c r="D141" i="2"/>
  <c r="C141" i="2"/>
  <c r="A141" i="2"/>
  <c r="F140" i="2"/>
  <c r="E140" i="2"/>
  <c r="D140" i="2"/>
  <c r="C140" i="2"/>
  <c r="A140" i="2"/>
  <c r="F139" i="2"/>
  <c r="E139" i="2"/>
  <c r="D139" i="2"/>
  <c r="C139" i="2"/>
  <c r="A139" i="2"/>
  <c r="F138" i="2"/>
  <c r="E138" i="2"/>
  <c r="D138" i="2"/>
  <c r="C138" i="2"/>
  <c r="A138" i="2"/>
  <c r="F137" i="2"/>
  <c r="E137" i="2"/>
  <c r="D137" i="2"/>
  <c r="C137" i="2"/>
  <c r="A137" i="2"/>
  <c r="F136" i="2"/>
  <c r="E136" i="2"/>
  <c r="D136" i="2"/>
  <c r="C136" i="2"/>
  <c r="A136" i="2"/>
  <c r="F135" i="2"/>
  <c r="E135" i="2"/>
  <c r="D135" i="2"/>
  <c r="C135" i="2"/>
  <c r="A135" i="2"/>
  <c r="F134" i="2"/>
  <c r="E134" i="2"/>
  <c r="D134" i="2"/>
  <c r="C134" i="2"/>
  <c r="A134" i="2"/>
  <c r="F133" i="2"/>
  <c r="E133" i="2"/>
  <c r="D133" i="2"/>
  <c r="C133" i="2"/>
  <c r="A133" i="2"/>
  <c r="F132" i="2"/>
  <c r="E132" i="2"/>
  <c r="D132" i="2"/>
  <c r="C132" i="2"/>
  <c r="A132" i="2"/>
  <c r="F131" i="2"/>
  <c r="E131" i="2"/>
  <c r="D131" i="2"/>
  <c r="C131" i="2"/>
  <c r="A131" i="2"/>
  <c r="F130" i="2"/>
  <c r="E130" i="2"/>
  <c r="D130" i="2"/>
  <c r="C130" i="2"/>
  <c r="A130" i="2"/>
  <c r="F129" i="2"/>
  <c r="E129" i="2"/>
  <c r="D129" i="2"/>
  <c r="C129" i="2"/>
  <c r="A129" i="2"/>
  <c r="F128" i="2"/>
  <c r="E128" i="2"/>
  <c r="D128" i="2"/>
  <c r="C128" i="2"/>
  <c r="A128" i="2"/>
  <c r="F127" i="2"/>
  <c r="E127" i="2"/>
  <c r="D127" i="2"/>
  <c r="C127" i="2"/>
  <c r="A127" i="2"/>
  <c r="F126" i="2"/>
  <c r="E126" i="2"/>
  <c r="D126" i="2"/>
  <c r="C126" i="2"/>
  <c r="A126" i="2"/>
  <c r="F125" i="2"/>
  <c r="E125" i="2"/>
  <c r="D125" i="2"/>
  <c r="C125" i="2"/>
  <c r="A125" i="2"/>
  <c r="F124" i="2"/>
  <c r="E124" i="2"/>
  <c r="D124" i="2"/>
  <c r="C124" i="2"/>
  <c r="A124" i="2"/>
  <c r="F123" i="2"/>
  <c r="E123" i="2"/>
  <c r="D123" i="2"/>
  <c r="C123" i="2"/>
  <c r="A123" i="2"/>
  <c r="F122" i="2"/>
  <c r="E122" i="2"/>
  <c r="D122" i="2"/>
  <c r="C122" i="2"/>
  <c r="A122" i="2"/>
  <c r="F121" i="2"/>
  <c r="E121" i="2"/>
  <c r="D121" i="2"/>
  <c r="C121" i="2"/>
  <c r="A121" i="2"/>
  <c r="F120" i="2"/>
  <c r="E120" i="2"/>
  <c r="D120" i="2"/>
  <c r="C120" i="2"/>
  <c r="A120" i="2"/>
  <c r="F119" i="2"/>
  <c r="E119" i="2"/>
  <c r="D119" i="2"/>
  <c r="C119" i="2"/>
  <c r="A119" i="2"/>
  <c r="F118" i="2"/>
  <c r="E118" i="2"/>
  <c r="D118" i="2"/>
  <c r="C118" i="2"/>
  <c r="A118" i="2"/>
  <c r="F117" i="2"/>
  <c r="E117" i="2"/>
  <c r="D117" i="2"/>
  <c r="C117" i="2"/>
  <c r="A117" i="2"/>
  <c r="F116" i="2"/>
  <c r="E116" i="2"/>
  <c r="D116" i="2"/>
  <c r="C116" i="2"/>
  <c r="A116" i="2"/>
  <c r="F115" i="2"/>
  <c r="E115" i="2"/>
  <c r="D115" i="2"/>
  <c r="C115" i="2"/>
  <c r="A115" i="2"/>
  <c r="F114" i="2"/>
  <c r="E114" i="2"/>
  <c r="D114" i="2"/>
  <c r="C114" i="2"/>
  <c r="A114" i="2"/>
  <c r="F113" i="2"/>
  <c r="E113" i="2"/>
  <c r="D113" i="2"/>
  <c r="C113" i="2"/>
  <c r="A113" i="2"/>
  <c r="F112" i="2"/>
  <c r="E112" i="2"/>
  <c r="D112" i="2"/>
  <c r="C112" i="2"/>
  <c r="A112" i="2"/>
  <c r="F111" i="2"/>
  <c r="E111" i="2"/>
  <c r="D111" i="2"/>
  <c r="C111" i="2"/>
  <c r="A111" i="2"/>
  <c r="F110" i="2"/>
  <c r="E110" i="2"/>
  <c r="D110" i="2"/>
  <c r="C110" i="2"/>
  <c r="A110" i="2"/>
  <c r="F109" i="2"/>
  <c r="E109" i="2"/>
  <c r="D109" i="2"/>
  <c r="C109" i="2"/>
  <c r="A109" i="2"/>
  <c r="F108" i="2"/>
  <c r="E108" i="2"/>
  <c r="D108" i="2"/>
  <c r="C108" i="2"/>
  <c r="A108" i="2"/>
  <c r="F107" i="2"/>
  <c r="E107" i="2"/>
  <c r="D107" i="2"/>
  <c r="C107" i="2"/>
  <c r="A107" i="2"/>
  <c r="F106" i="2"/>
  <c r="E106" i="2"/>
  <c r="D106" i="2"/>
  <c r="C106" i="2"/>
  <c r="A106" i="2"/>
  <c r="F105" i="2"/>
  <c r="E105" i="2"/>
  <c r="D105" i="2"/>
  <c r="C105" i="2"/>
  <c r="A105" i="2"/>
  <c r="F104" i="2"/>
  <c r="E104" i="2"/>
  <c r="D104" i="2"/>
  <c r="C104" i="2"/>
  <c r="A104" i="2"/>
  <c r="F103" i="2"/>
  <c r="E103" i="2"/>
  <c r="D103" i="2"/>
  <c r="C103" i="2"/>
  <c r="A103" i="2"/>
  <c r="F102" i="2"/>
  <c r="E102" i="2"/>
  <c r="D102" i="2"/>
  <c r="C102" i="2"/>
  <c r="A102" i="2"/>
  <c r="F101" i="2"/>
  <c r="E101" i="2"/>
  <c r="D101" i="2"/>
  <c r="C101" i="2"/>
  <c r="A101" i="2"/>
  <c r="F100" i="2"/>
  <c r="E100" i="2"/>
  <c r="D100" i="2"/>
  <c r="C100" i="2"/>
  <c r="A100" i="2"/>
  <c r="F99" i="2"/>
  <c r="E99" i="2"/>
  <c r="D99" i="2"/>
  <c r="C99" i="2"/>
  <c r="A99" i="2"/>
  <c r="F98" i="2"/>
  <c r="E98" i="2"/>
  <c r="D98" i="2"/>
  <c r="C98" i="2"/>
  <c r="A98" i="2"/>
  <c r="F97" i="2"/>
  <c r="E97" i="2"/>
  <c r="D97" i="2"/>
  <c r="C97" i="2"/>
  <c r="A97" i="2"/>
  <c r="F96" i="2"/>
  <c r="E96" i="2"/>
  <c r="D96" i="2"/>
  <c r="C96" i="2"/>
  <c r="A96" i="2"/>
  <c r="F95" i="2"/>
  <c r="E95" i="2"/>
  <c r="D95" i="2"/>
  <c r="C95" i="2"/>
  <c r="A95" i="2"/>
  <c r="F94" i="2"/>
  <c r="E94" i="2"/>
  <c r="D94" i="2"/>
  <c r="C94" i="2"/>
  <c r="A94" i="2"/>
  <c r="F93" i="2"/>
  <c r="E93" i="2"/>
  <c r="D93" i="2"/>
  <c r="C93" i="2"/>
  <c r="A93" i="2"/>
  <c r="F92" i="2"/>
  <c r="E92" i="2"/>
  <c r="D92" i="2"/>
  <c r="C92" i="2"/>
  <c r="A92" i="2"/>
  <c r="F91" i="2"/>
  <c r="E91" i="2"/>
  <c r="D91" i="2"/>
  <c r="C91" i="2"/>
  <c r="A91" i="2"/>
  <c r="F90" i="2"/>
  <c r="E90" i="2"/>
  <c r="D90" i="2"/>
  <c r="C90" i="2"/>
  <c r="A90" i="2"/>
  <c r="F89" i="2"/>
  <c r="E89" i="2"/>
  <c r="D89" i="2"/>
  <c r="C89" i="2"/>
  <c r="A89" i="2"/>
  <c r="F88" i="2"/>
  <c r="E88" i="2"/>
  <c r="D88" i="2"/>
  <c r="C88" i="2"/>
  <c r="A88" i="2"/>
  <c r="E87" i="2"/>
  <c r="D87" i="2"/>
  <c r="C87" i="2"/>
  <c r="F87" i="2" s="1"/>
  <c r="A87" i="2"/>
  <c r="F86" i="2"/>
  <c r="E86" i="2"/>
  <c r="D86" i="2"/>
  <c r="C86" i="2"/>
  <c r="A86" i="2"/>
  <c r="E85" i="2"/>
  <c r="D85" i="2"/>
  <c r="C85" i="2"/>
  <c r="F85" i="2" s="1"/>
  <c r="A85" i="2"/>
  <c r="E84" i="2"/>
  <c r="D84" i="2"/>
  <c r="C84" i="2"/>
  <c r="F84" i="2" s="1"/>
  <c r="A84" i="2"/>
  <c r="E83" i="2"/>
  <c r="D83" i="2"/>
  <c r="C83" i="2"/>
  <c r="A83" i="2"/>
  <c r="E82" i="2"/>
  <c r="F82" i="2" s="1"/>
  <c r="D82" i="2"/>
  <c r="C82" i="2"/>
  <c r="A82" i="2"/>
  <c r="E81" i="2"/>
  <c r="D81" i="2"/>
  <c r="C81" i="2"/>
  <c r="F81" i="2" s="1"/>
  <c r="A81" i="2"/>
  <c r="E80" i="2"/>
  <c r="D80" i="2"/>
  <c r="C80" i="2"/>
  <c r="F80" i="2" s="1"/>
  <c r="A80" i="2"/>
  <c r="E79" i="2"/>
  <c r="D79" i="2"/>
  <c r="C79" i="2"/>
  <c r="F79" i="2" s="1"/>
  <c r="A79" i="2"/>
  <c r="E78" i="2"/>
  <c r="F78" i="2" s="1"/>
  <c r="D78" i="2"/>
  <c r="C78" i="2"/>
  <c r="A78" i="2"/>
  <c r="E77" i="2"/>
  <c r="D77" i="2"/>
  <c r="C77" i="2"/>
  <c r="A77" i="2"/>
  <c r="E76" i="2"/>
  <c r="D76" i="2"/>
  <c r="C76" i="2"/>
  <c r="A76" i="2"/>
  <c r="E75" i="2"/>
  <c r="F75" i="2" s="1"/>
  <c r="D75" i="2"/>
  <c r="C75" i="2"/>
  <c r="A75" i="2"/>
  <c r="E74" i="2"/>
  <c r="F74" i="2" s="1"/>
  <c r="D74" i="2"/>
  <c r="C74" i="2"/>
  <c r="A74" i="2"/>
  <c r="F73" i="2"/>
  <c r="E73" i="2"/>
  <c r="D73" i="2"/>
  <c r="C73" i="2"/>
  <c r="A73" i="2"/>
  <c r="E72" i="2"/>
  <c r="D72" i="2"/>
  <c r="C72" i="2"/>
  <c r="A72" i="2"/>
  <c r="E71" i="2"/>
  <c r="F71" i="2" s="1"/>
  <c r="D71" i="2"/>
  <c r="C71" i="2"/>
  <c r="A71" i="2"/>
  <c r="E70" i="2"/>
  <c r="J68" i="14" s="1"/>
  <c r="D70" i="2"/>
  <c r="C70" i="2"/>
  <c r="A70" i="2"/>
  <c r="E69" i="2"/>
  <c r="D69" i="2"/>
  <c r="C69" i="2"/>
  <c r="F69" i="2" s="1"/>
  <c r="A69" i="2"/>
  <c r="E68" i="2"/>
  <c r="D68" i="2"/>
  <c r="C68" i="2"/>
  <c r="AD66" i="15" s="1"/>
  <c r="A68" i="2"/>
  <c r="E67" i="2"/>
  <c r="F67" i="2" s="1"/>
  <c r="D67" i="2"/>
  <c r="C67" i="2"/>
  <c r="A67" i="2"/>
  <c r="E66" i="2"/>
  <c r="J64" i="14" s="1"/>
  <c r="D66" i="2"/>
  <c r="C66" i="2"/>
  <c r="A66" i="2"/>
  <c r="F65" i="2"/>
  <c r="E65" i="2"/>
  <c r="D65" i="2"/>
  <c r="C65" i="2"/>
  <c r="A65" i="2"/>
  <c r="E64" i="2"/>
  <c r="D64" i="2"/>
  <c r="C64" i="2"/>
  <c r="A64" i="2"/>
  <c r="E63" i="2"/>
  <c r="F63" i="2" s="1"/>
  <c r="D63" i="2"/>
  <c r="C63" i="2"/>
  <c r="A63" i="2"/>
  <c r="E62" i="2"/>
  <c r="F62" i="2" s="1"/>
  <c r="D62" i="2"/>
  <c r="C62" i="2"/>
  <c r="A62" i="2"/>
  <c r="F61" i="2"/>
  <c r="E61" i="2"/>
  <c r="D61" i="2"/>
  <c r="C61" i="2"/>
  <c r="A61" i="2"/>
  <c r="E60" i="2"/>
  <c r="D60" i="2"/>
  <c r="C60" i="2"/>
  <c r="A60" i="2"/>
  <c r="E59" i="2"/>
  <c r="F59" i="2" s="1"/>
  <c r="D59" i="2"/>
  <c r="C59" i="2"/>
  <c r="A59" i="2"/>
  <c r="E58" i="2"/>
  <c r="F58" i="2" s="1"/>
  <c r="D58" i="2"/>
  <c r="C58" i="2"/>
  <c r="A58" i="2"/>
  <c r="F57" i="2"/>
  <c r="E57" i="2"/>
  <c r="D57" i="2"/>
  <c r="C57" i="2"/>
  <c r="A57" i="2"/>
  <c r="E56" i="2"/>
  <c r="D56" i="2"/>
  <c r="C56" i="2"/>
  <c r="I54" i="14" s="1"/>
  <c r="A56" i="2"/>
  <c r="E55" i="2"/>
  <c r="F55" i="2" s="1"/>
  <c r="D55" i="2"/>
  <c r="C55" i="2"/>
  <c r="A55" i="2"/>
  <c r="E54" i="2"/>
  <c r="F54" i="2" s="1"/>
  <c r="D54" i="2"/>
  <c r="C54" i="2"/>
  <c r="A54" i="2"/>
  <c r="F53" i="2"/>
  <c r="E53" i="2"/>
  <c r="D53" i="2"/>
  <c r="C53" i="2"/>
  <c r="A53" i="2"/>
  <c r="E52" i="2"/>
  <c r="D52" i="2"/>
  <c r="C52" i="2"/>
  <c r="F52" i="2" s="1"/>
  <c r="A52" i="2"/>
  <c r="E51" i="2"/>
  <c r="F51" i="2" s="1"/>
  <c r="D51" i="2"/>
  <c r="C51" i="2"/>
  <c r="A51" i="2"/>
  <c r="E50" i="2"/>
  <c r="J48" i="14" s="1"/>
  <c r="D50" i="2"/>
  <c r="C50" i="2"/>
  <c r="A50" i="2"/>
  <c r="F49" i="2"/>
  <c r="E49" i="2"/>
  <c r="D49" i="2"/>
  <c r="C49" i="2"/>
  <c r="A49" i="2"/>
  <c r="E48" i="2"/>
  <c r="J46" i="14" s="1"/>
  <c r="D48" i="2"/>
  <c r="C48" i="2"/>
  <c r="A48" i="2"/>
  <c r="E47" i="2"/>
  <c r="F47" i="2" s="1"/>
  <c r="D47" i="2"/>
  <c r="C47" i="2"/>
  <c r="A47" i="2"/>
  <c r="E46" i="2"/>
  <c r="F46" i="2" s="1"/>
  <c r="D46" i="2"/>
  <c r="C46" i="2"/>
  <c r="A46" i="2"/>
  <c r="F45" i="2"/>
  <c r="E45" i="2"/>
  <c r="D45" i="2"/>
  <c r="C45" i="2"/>
  <c r="A45" i="2"/>
  <c r="E44" i="2"/>
  <c r="D44" i="2"/>
  <c r="C44" i="2"/>
  <c r="A44" i="2"/>
  <c r="E43" i="2"/>
  <c r="F43" i="2" s="1"/>
  <c r="D43" i="2"/>
  <c r="C43" i="2"/>
  <c r="A43" i="2"/>
  <c r="E42" i="2"/>
  <c r="J40" i="14" s="1"/>
  <c r="D42" i="2"/>
  <c r="C42" i="2"/>
  <c r="A42" i="2"/>
  <c r="F41" i="2"/>
  <c r="E41" i="2"/>
  <c r="D41" i="2"/>
  <c r="C41" i="2"/>
  <c r="A41" i="2"/>
  <c r="E40" i="2"/>
  <c r="D40" i="2"/>
  <c r="C40" i="2"/>
  <c r="A40" i="2"/>
  <c r="E39" i="2"/>
  <c r="F39" i="2" s="1"/>
  <c r="D39" i="2"/>
  <c r="C39" i="2"/>
  <c r="A39" i="2"/>
  <c r="E38" i="2"/>
  <c r="F38" i="2" s="1"/>
  <c r="D38" i="2"/>
  <c r="C38" i="2"/>
  <c r="A38" i="2"/>
  <c r="F37" i="2"/>
  <c r="E37" i="2"/>
  <c r="D37" i="2"/>
  <c r="C37" i="2"/>
  <c r="A37" i="2"/>
  <c r="E36" i="2"/>
  <c r="J34" i="14" s="1"/>
  <c r="D36" i="2"/>
  <c r="C36" i="2"/>
  <c r="A36" i="2"/>
  <c r="E35" i="2"/>
  <c r="F35" i="2" s="1"/>
  <c r="D35" i="2"/>
  <c r="C35" i="2"/>
  <c r="A35" i="2"/>
  <c r="E34" i="2"/>
  <c r="F34" i="2" s="1"/>
  <c r="D34" i="2"/>
  <c r="C34" i="2"/>
  <c r="A34" i="2"/>
  <c r="F33" i="2"/>
  <c r="E33" i="2"/>
  <c r="D33" i="2"/>
  <c r="C33" i="2"/>
  <c r="A33" i="2"/>
  <c r="E32" i="2"/>
  <c r="D32" i="2"/>
  <c r="C32" i="2"/>
  <c r="A32" i="2"/>
  <c r="E31" i="2"/>
  <c r="F31" i="2" s="1"/>
  <c r="D31" i="2"/>
  <c r="C31" i="2"/>
  <c r="A31" i="2"/>
  <c r="E30" i="2"/>
  <c r="F30" i="2" s="1"/>
  <c r="D30" i="2"/>
  <c r="C30" i="2"/>
  <c r="A30" i="2"/>
  <c r="F29" i="2"/>
  <c r="E29" i="2"/>
  <c r="D29" i="2"/>
  <c r="C29" i="2"/>
  <c r="A29" i="2"/>
  <c r="E28" i="2"/>
  <c r="D28" i="2"/>
  <c r="C28" i="2"/>
  <c r="F28" i="2" s="1"/>
  <c r="A28" i="2"/>
  <c r="E27" i="2"/>
  <c r="F27" i="2" s="1"/>
  <c r="D27" i="2"/>
  <c r="C27" i="2"/>
  <c r="A27" i="2"/>
  <c r="E26" i="2"/>
  <c r="D26" i="2"/>
  <c r="C26" i="2"/>
  <c r="A26" i="2"/>
  <c r="F25" i="2"/>
  <c r="E25" i="2"/>
  <c r="D25" i="2"/>
  <c r="C25" i="2"/>
  <c r="A25" i="2"/>
  <c r="E24" i="2"/>
  <c r="D24" i="2"/>
  <c r="C24" i="2"/>
  <c r="I22" i="14" s="1"/>
  <c r="A24" i="2"/>
  <c r="E23" i="2"/>
  <c r="F23" i="2" s="1"/>
  <c r="D23" i="2"/>
  <c r="C23" i="2"/>
  <c r="A23" i="2"/>
  <c r="E22" i="2"/>
  <c r="J20" i="14" s="1"/>
  <c r="D22" i="2"/>
  <c r="C22" i="2"/>
  <c r="A22" i="2"/>
  <c r="F21" i="2"/>
  <c r="E21" i="2"/>
  <c r="D21" i="2"/>
  <c r="C21" i="2"/>
  <c r="A21" i="2"/>
  <c r="E20" i="2"/>
  <c r="D20" i="2"/>
  <c r="C20" i="2"/>
  <c r="AD18" i="15" s="1"/>
  <c r="AF18" i="15" s="1"/>
  <c r="A20" i="2"/>
  <c r="E19" i="2"/>
  <c r="F19" i="2" s="1"/>
  <c r="D19" i="2"/>
  <c r="C19" i="2"/>
  <c r="A19" i="2"/>
  <c r="E18" i="2"/>
  <c r="F18" i="2" s="1"/>
  <c r="D18" i="2"/>
  <c r="C18" i="2"/>
  <c r="A18" i="2"/>
  <c r="F17" i="2"/>
  <c r="E17" i="2"/>
  <c r="D17" i="2"/>
  <c r="C17" i="2"/>
  <c r="A17" i="2"/>
  <c r="E16" i="2"/>
  <c r="D16" i="2"/>
  <c r="C16" i="2"/>
  <c r="F16" i="2" s="1"/>
  <c r="A16" i="2"/>
  <c r="E15" i="2"/>
  <c r="F15" i="2" s="1"/>
  <c r="D15" i="2"/>
  <c r="C15" i="2"/>
  <c r="A15" i="2"/>
  <c r="E14" i="2"/>
  <c r="F14" i="2" s="1"/>
  <c r="D14" i="2"/>
  <c r="C14" i="2"/>
  <c r="A14" i="2"/>
  <c r="F13" i="2"/>
  <c r="E13" i="2"/>
  <c r="D13" i="2"/>
  <c r="C13" i="2"/>
  <c r="A13" i="2"/>
  <c r="E12" i="2"/>
  <c r="D12" i="2"/>
  <c r="C12" i="2"/>
  <c r="F12" i="2" s="1"/>
  <c r="A12" i="2"/>
  <c r="E11" i="2"/>
  <c r="F11" i="2" s="1"/>
  <c r="D11" i="2"/>
  <c r="C11" i="2"/>
  <c r="A11" i="2"/>
  <c r="E10" i="2"/>
  <c r="J8" i="14" s="1"/>
  <c r="D10" i="2"/>
  <c r="C10" i="2"/>
  <c r="A10" i="2"/>
  <c r="F9" i="2"/>
  <c r="E9" i="2"/>
  <c r="D9" i="2"/>
  <c r="C9" i="2"/>
  <c r="A9" i="2"/>
  <c r="E8" i="2"/>
  <c r="J6" i="14" s="1"/>
  <c r="D8" i="2"/>
  <c r="C8" i="2"/>
  <c r="F8" i="2" s="1"/>
  <c r="A8" i="2"/>
  <c r="E7" i="2"/>
  <c r="F7" i="2" s="1"/>
  <c r="D7" i="2"/>
  <c r="C7" i="2"/>
  <c r="A7" i="2"/>
  <c r="E6" i="2"/>
  <c r="D6" i="2"/>
  <c r="C6" i="2"/>
  <c r="A6" i="2"/>
  <c r="AB5" i="2"/>
  <c r="AJ4" i="2"/>
  <c r="AI4" i="2"/>
  <c r="AH4" i="2"/>
  <c r="AD4" i="2"/>
  <c r="AD5" i="2" s="1"/>
  <c r="AB4" i="2"/>
  <c r="AB157" i="2" s="1"/>
  <c r="Z4" i="2"/>
  <c r="Z5" i="2" s="1"/>
  <c r="N4" i="2"/>
  <c r="M4" i="2"/>
  <c r="L4" i="2"/>
  <c r="K4" i="2"/>
  <c r="I4" i="2"/>
  <c r="F2" i="2"/>
  <c r="A1" i="2"/>
  <c r="L9" i="1"/>
  <c r="K9" i="1"/>
  <c r="J9" i="1"/>
  <c r="C8" i="1"/>
  <c r="K6" i="1"/>
  <c r="K5" i="1"/>
  <c r="K4" i="1"/>
  <c r="K3" i="1"/>
  <c r="K2" i="1"/>
  <c r="B90" i="1"/>
  <c r="B88" i="1"/>
  <c r="B87" i="1"/>
  <c r="B91" i="1"/>
  <c r="B89" i="1"/>
  <c r="F82" i="11" l="1"/>
  <c r="F87" i="13"/>
  <c r="F87" i="5"/>
  <c r="Y391" i="16" a="1"/>
  <c r="Y391" i="16" s="1"/>
  <c r="F87" i="12"/>
  <c r="F87" i="11"/>
  <c r="F87" i="10"/>
  <c r="F87" i="7"/>
  <c r="V391" i="16" a="1"/>
  <c r="V391" i="16" s="1"/>
  <c r="W391" i="16" a="1"/>
  <c r="W391" i="16" s="1"/>
  <c r="X391" i="16" a="1"/>
  <c r="X391" i="16" s="1"/>
  <c r="Z391" i="16" a="1"/>
  <c r="Z391" i="16" s="1"/>
  <c r="AB391" i="16" a="1"/>
  <c r="AB391" i="16" s="1"/>
  <c r="AD85" i="15"/>
  <c r="AF85" i="15" s="1"/>
  <c r="U85" i="15" a="1"/>
  <c r="U85" i="15" s="1"/>
  <c r="AB85" i="16" a="1"/>
  <c r="AB85" i="16" s="1"/>
  <c r="AD85" i="16"/>
  <c r="AF85" i="16" s="1"/>
  <c r="AC391" i="16" a="1"/>
  <c r="AC391" i="16" s="1"/>
  <c r="AD391" i="16"/>
  <c r="AF391" i="16" s="1"/>
  <c r="S85" i="15" a="1"/>
  <c r="S85" i="15" s="1"/>
  <c r="R391" i="16" a="1"/>
  <c r="R391" i="16" s="1"/>
  <c r="W85" i="15" a="1"/>
  <c r="W85" i="15" s="1"/>
  <c r="S391" i="16" a="1"/>
  <c r="S391" i="16" s="1"/>
  <c r="Y85" i="15" a="1"/>
  <c r="Y85" i="15" s="1"/>
  <c r="T391" i="16" a="1"/>
  <c r="T391" i="16" s="1"/>
  <c r="Z85" i="15" a="1"/>
  <c r="Z85" i="15" s="1"/>
  <c r="AC85" i="15" a="1"/>
  <c r="AC85" i="15" s="1"/>
  <c r="T85" i="15" a="1"/>
  <c r="T85" i="15" s="1"/>
  <c r="V85" i="15" a="1"/>
  <c r="V85" i="15" s="1"/>
  <c r="X85" i="15" a="1"/>
  <c r="X85" i="15" s="1"/>
  <c r="U391" i="16" a="1"/>
  <c r="U391" i="16" s="1"/>
  <c r="I42" i="14"/>
  <c r="J84" i="14"/>
  <c r="I84" i="14"/>
  <c r="K84" i="14" s="1"/>
  <c r="AD84" i="15"/>
  <c r="R237" i="16" a="1"/>
  <c r="R237" i="16" s="1"/>
  <c r="R84" i="16" a="1"/>
  <c r="R84" i="16" s="1"/>
  <c r="U237" i="16" a="1"/>
  <c r="U237" i="16" s="1"/>
  <c r="T84" i="15" a="1"/>
  <c r="T84" i="15" s="1"/>
  <c r="S84" i="16" a="1"/>
  <c r="S84" i="16" s="1"/>
  <c r="V237" i="16" a="1"/>
  <c r="V237" i="16" s="1"/>
  <c r="R390" i="16" a="1"/>
  <c r="R390" i="16" s="1"/>
  <c r="T84" i="16" a="1"/>
  <c r="T84" i="16" s="1"/>
  <c r="W237" i="16" a="1"/>
  <c r="W237" i="16" s="1"/>
  <c r="S390" i="16" a="1"/>
  <c r="S390" i="16" s="1"/>
  <c r="U84" i="15" a="1"/>
  <c r="U84" i="15" s="1"/>
  <c r="U84" i="16" a="1"/>
  <c r="U84" i="16" s="1"/>
  <c r="X237" i="16" a="1"/>
  <c r="X237" i="16" s="1"/>
  <c r="T390" i="16" a="1"/>
  <c r="T390" i="16" s="1"/>
  <c r="V84" i="16" a="1"/>
  <c r="V84" i="16" s="1"/>
  <c r="Y237" i="16" a="1"/>
  <c r="Y237" i="16" s="1"/>
  <c r="U390" i="16" a="1"/>
  <c r="U390" i="16" s="1"/>
  <c r="V84" i="15" a="1"/>
  <c r="V84" i="15" s="1"/>
  <c r="X84" i="16" a="1"/>
  <c r="X84" i="16" s="1"/>
  <c r="Z237" i="16" a="1"/>
  <c r="Z237" i="16" s="1"/>
  <c r="V390" i="16" a="1"/>
  <c r="V390" i="16" s="1"/>
  <c r="Y84" i="16" a="1"/>
  <c r="Y84" i="16" s="1"/>
  <c r="W390" i="16" a="1"/>
  <c r="W390" i="16" s="1"/>
  <c r="W84" i="15" a="1"/>
  <c r="W84" i="15" s="1"/>
  <c r="Z84" i="16" a="1"/>
  <c r="Z84" i="16" s="1"/>
  <c r="X390" i="16" a="1"/>
  <c r="X390" i="16" s="1"/>
  <c r="AA84" i="16" a="1"/>
  <c r="AA84" i="16" s="1"/>
  <c r="Y390" i="16" a="1"/>
  <c r="Y390" i="16" s="1"/>
  <c r="Z390" i="16" a="1"/>
  <c r="Z390" i="16" s="1"/>
  <c r="F84" i="11"/>
  <c r="F63" i="11"/>
  <c r="F84" i="12"/>
  <c r="F83" i="13"/>
  <c r="F83" i="4"/>
  <c r="F85" i="12"/>
  <c r="F85" i="5"/>
  <c r="R83" i="16" a="1"/>
  <c r="R83" i="16" s="1"/>
  <c r="AC83" i="16" a="1"/>
  <c r="AC83" i="16" s="1"/>
  <c r="T236" i="16" a="1"/>
  <c r="T236" i="16" s="1"/>
  <c r="AA236" i="16" a="1"/>
  <c r="AA236" i="16" s="1"/>
  <c r="AD83" i="15"/>
  <c r="AF83" i="15" s="1"/>
  <c r="F85" i="3"/>
  <c r="W83" i="15" a="1"/>
  <c r="W83" i="15" s="1"/>
  <c r="S83" i="16" a="1"/>
  <c r="S83" i="16" s="1"/>
  <c r="AB236" i="16" a="1"/>
  <c r="AB236" i="16" s="1"/>
  <c r="S389" i="16" a="1"/>
  <c r="S389" i="16" s="1"/>
  <c r="X83" i="15" a="1"/>
  <c r="X83" i="15" s="1"/>
  <c r="U83" i="16" a="1"/>
  <c r="U83" i="16" s="1"/>
  <c r="AD236" i="16"/>
  <c r="AF236" i="16" s="1"/>
  <c r="V389" i="16" a="1"/>
  <c r="V389" i="16" s="1"/>
  <c r="Y83" i="15" a="1"/>
  <c r="Y83" i="15" s="1"/>
  <c r="AA83" i="16" a="1"/>
  <c r="AA83" i="16" s="1"/>
  <c r="X389" i="16" a="1"/>
  <c r="X389" i="16" s="1"/>
  <c r="Z83" i="15" a="1"/>
  <c r="Z83" i="15" s="1"/>
  <c r="AB83" i="16" a="1"/>
  <c r="AB83" i="16" s="1"/>
  <c r="Y389" i="16" a="1"/>
  <c r="Y389" i="16" s="1"/>
  <c r="AD389" i="16"/>
  <c r="AF389" i="16" s="1"/>
  <c r="S236" i="16" a="1"/>
  <c r="S236" i="16" s="1"/>
  <c r="T83" i="15" a="1"/>
  <c r="T83" i="15" s="1"/>
  <c r="U236" i="16" a="1"/>
  <c r="U236" i="16" s="1"/>
  <c r="U83" i="15" a="1"/>
  <c r="U83" i="15" s="1"/>
  <c r="V236" i="16" a="1"/>
  <c r="V236" i="16" s="1"/>
  <c r="V83" i="15" a="1"/>
  <c r="V83" i="15" s="1"/>
  <c r="W236" i="16" a="1"/>
  <c r="W236" i="16" s="1"/>
  <c r="X236" i="16" a="1"/>
  <c r="X236" i="16" s="1"/>
  <c r="F31" i="11"/>
  <c r="F51" i="11"/>
  <c r="I27" i="14"/>
  <c r="F83" i="11"/>
  <c r="F83" i="9"/>
  <c r="F83" i="8"/>
  <c r="U234" i="16" a="1"/>
  <c r="U234" i="16" s="1"/>
  <c r="AD234" i="16"/>
  <c r="AF234" i="16" s="1"/>
  <c r="F83" i="2"/>
  <c r="T235" i="16" a="1"/>
  <c r="T235" i="16" s="1"/>
  <c r="R82" i="16" a="1"/>
  <c r="R82" i="16" s="1"/>
  <c r="U235" i="16" a="1"/>
  <c r="U235" i="16" s="1"/>
  <c r="T388" i="16" a="1"/>
  <c r="T388" i="16" s="1"/>
  <c r="S82" i="16" a="1"/>
  <c r="S82" i="16" s="1"/>
  <c r="V235" i="16" a="1"/>
  <c r="V235" i="16" s="1"/>
  <c r="U388" i="16" a="1"/>
  <c r="U388" i="16" s="1"/>
  <c r="W235" i="16" a="1"/>
  <c r="W235" i="16" s="1"/>
  <c r="V388" i="16" a="1"/>
  <c r="V388" i="16" s="1"/>
  <c r="Z235" i="16" a="1"/>
  <c r="Z235" i="16" s="1"/>
  <c r="W388" i="16" a="1"/>
  <c r="W388" i="16" s="1"/>
  <c r="AC235" i="16" a="1"/>
  <c r="AC235" i="16" s="1"/>
  <c r="X388" i="16" a="1"/>
  <c r="X388" i="16" s="1"/>
  <c r="Y388" i="16" a="1"/>
  <c r="Y388" i="16" s="1"/>
  <c r="I82" i="14"/>
  <c r="Z388" i="16" a="1"/>
  <c r="Z388" i="16" s="1"/>
  <c r="AA388" i="16" a="1"/>
  <c r="AA388" i="16" s="1"/>
  <c r="T81" i="16" a="1"/>
  <c r="T81" i="16" s="1"/>
  <c r="R234" i="16" a="1"/>
  <c r="R234" i="16" s="1"/>
  <c r="AA81" i="16" a="1"/>
  <c r="AA81" i="16" s="1"/>
  <c r="S234" i="16" a="1"/>
  <c r="S234" i="16" s="1"/>
  <c r="T234" i="16" a="1"/>
  <c r="T234" i="16" s="1"/>
  <c r="V234" i="16" a="1"/>
  <c r="V234" i="16" s="1"/>
  <c r="W234" i="16" a="1"/>
  <c r="W234" i="16" s="1"/>
  <c r="X234" i="16" a="1"/>
  <c r="X234" i="16" s="1"/>
  <c r="Y234" i="16" a="1"/>
  <c r="Y234" i="16" s="1"/>
  <c r="AA234" i="16" a="1"/>
  <c r="AA234" i="16" s="1"/>
  <c r="AC234" i="16" a="1"/>
  <c r="AC234" i="16" s="1"/>
  <c r="F54" i="11"/>
  <c r="F29" i="11"/>
  <c r="F60" i="11"/>
  <c r="F41" i="11"/>
  <c r="F78" i="11"/>
  <c r="F27" i="11"/>
  <c r="F26" i="11"/>
  <c r="F23" i="11"/>
  <c r="F21" i="11"/>
  <c r="F53" i="11"/>
  <c r="F14" i="10"/>
  <c r="F35" i="10"/>
  <c r="F47" i="11"/>
  <c r="F34" i="11"/>
  <c r="F43" i="10"/>
  <c r="F76" i="11"/>
  <c r="F48" i="11"/>
  <c r="I11" i="14"/>
  <c r="F13" i="11"/>
  <c r="F33" i="10"/>
  <c r="F59" i="10"/>
  <c r="F78" i="10"/>
  <c r="F19" i="10"/>
  <c r="F82" i="10"/>
  <c r="X80" i="15" a="1"/>
  <c r="X80" i="15" s="1"/>
  <c r="X80" i="16" a="1"/>
  <c r="X80" i="16" s="1"/>
  <c r="AB233" i="16" a="1"/>
  <c r="AB233" i="16" s="1"/>
  <c r="Y80" i="15" a="1"/>
  <c r="Y80" i="15" s="1"/>
  <c r="AC233" i="16" a="1"/>
  <c r="AC233" i="16" s="1"/>
  <c r="AA80" i="16" a="1"/>
  <c r="AA80" i="16" s="1"/>
  <c r="R233" i="16" a="1"/>
  <c r="R233" i="16" s="1"/>
  <c r="AD233" i="16"/>
  <c r="AF233" i="16" s="1"/>
  <c r="R386" i="16" a="1"/>
  <c r="R386" i="16" s="1"/>
  <c r="Z80" i="15" a="1"/>
  <c r="Z80" i="15" s="1"/>
  <c r="AB80" i="16" a="1"/>
  <c r="AB80" i="16" s="1"/>
  <c r="S233" i="16" a="1"/>
  <c r="S233" i="16" s="1"/>
  <c r="T386" i="16" a="1"/>
  <c r="T386" i="16" s="1"/>
  <c r="AA80" i="15" a="1"/>
  <c r="AA80" i="15" s="1"/>
  <c r="AC80" i="16" a="1"/>
  <c r="AC80" i="16" s="1"/>
  <c r="T233" i="16" a="1"/>
  <c r="T233" i="16" s="1"/>
  <c r="V386" i="16" a="1"/>
  <c r="V386" i="16" s="1"/>
  <c r="AD80" i="16"/>
  <c r="AF80" i="16" s="1"/>
  <c r="U233" i="16" a="1"/>
  <c r="U233" i="16" s="1"/>
  <c r="W386" i="16" a="1"/>
  <c r="W386" i="16" s="1"/>
  <c r="R80" i="16" a="1"/>
  <c r="R80" i="16" s="1"/>
  <c r="V233" i="16" a="1"/>
  <c r="V233" i="16" s="1"/>
  <c r="X386" i="16" a="1"/>
  <c r="X386" i="16" s="1"/>
  <c r="S80" i="16" a="1"/>
  <c r="S80" i="16" s="1"/>
  <c r="F38" i="10"/>
  <c r="F29" i="10"/>
  <c r="F54" i="10"/>
  <c r="F50" i="10"/>
  <c r="I74" i="14"/>
  <c r="F58" i="10"/>
  <c r="J24" i="14"/>
  <c r="F26" i="10"/>
  <c r="F41" i="10"/>
  <c r="F27" i="10"/>
  <c r="F62" i="10"/>
  <c r="F73" i="10"/>
  <c r="F25" i="10"/>
  <c r="I34" i="14"/>
  <c r="K34" i="14" s="1"/>
  <c r="I30" i="14"/>
  <c r="F69" i="8"/>
  <c r="F36" i="10"/>
  <c r="AB232" i="16" a="1"/>
  <c r="AB232" i="16" s="1"/>
  <c r="S79" i="16" a="1"/>
  <c r="S79" i="16" s="1"/>
  <c r="AD232" i="16"/>
  <c r="AF232" i="16" s="1"/>
  <c r="U79" i="16" a="1"/>
  <c r="U79" i="16" s="1"/>
  <c r="R232" i="16" a="1"/>
  <c r="R232" i="16" s="1"/>
  <c r="V79" i="16" a="1"/>
  <c r="V79" i="16" s="1"/>
  <c r="S232" i="16" a="1"/>
  <c r="S232" i="16" s="1"/>
  <c r="AA79" i="16" a="1"/>
  <c r="AA79" i="16" s="1"/>
  <c r="T232" i="16" a="1"/>
  <c r="T232" i="16" s="1"/>
  <c r="U232" i="16" a="1"/>
  <c r="U232" i="16" s="1"/>
  <c r="AC79" i="16" a="1"/>
  <c r="AC79" i="16" s="1"/>
  <c r="V232" i="16" a="1"/>
  <c r="V232" i="16" s="1"/>
  <c r="W232" i="16" a="1"/>
  <c r="W232" i="16" s="1"/>
  <c r="X232" i="16" a="1"/>
  <c r="X232" i="16" s="1"/>
  <c r="Y232" i="16" a="1"/>
  <c r="Y232" i="16" s="1"/>
  <c r="Z78" i="15" a="1"/>
  <c r="Z78" i="15" s="1"/>
  <c r="AA78" i="15" a="1"/>
  <c r="AA78" i="15" s="1"/>
  <c r="AB78" i="15" a="1"/>
  <c r="AB78" i="15" s="1"/>
  <c r="I78" i="14"/>
  <c r="J78" i="14"/>
  <c r="F32" i="10"/>
  <c r="F65" i="10"/>
  <c r="F13" i="10"/>
  <c r="F61" i="10"/>
  <c r="AD38" i="15"/>
  <c r="F18" i="10"/>
  <c r="F46" i="10"/>
  <c r="AF399" i="16"/>
  <c r="F79" i="13"/>
  <c r="F79" i="9"/>
  <c r="F79" i="6"/>
  <c r="F79" i="3"/>
  <c r="AC77" i="16" a="1"/>
  <c r="AC77" i="16" s="1"/>
  <c r="Y230" i="16" a="1"/>
  <c r="Y230" i="16" s="1"/>
  <c r="AA230" i="16" a="1"/>
  <c r="AA230" i="16" s="1"/>
  <c r="E156" i="3"/>
  <c r="AD77" i="15"/>
  <c r="V77" i="16" a="1"/>
  <c r="V77" i="16" s="1"/>
  <c r="AC77" i="15" a="1"/>
  <c r="AC77" i="15" s="1"/>
  <c r="AD230" i="16"/>
  <c r="AF230" i="16" s="1"/>
  <c r="R383" i="16" a="1"/>
  <c r="R383" i="16" s="1"/>
  <c r="W77" i="16" a="1"/>
  <c r="W77" i="16" s="1"/>
  <c r="S383" i="16" a="1"/>
  <c r="S383" i="16" s="1"/>
  <c r="X77" i="16" a="1"/>
  <c r="X77" i="16" s="1"/>
  <c r="T383" i="16" a="1"/>
  <c r="T383" i="16" s="1"/>
  <c r="Y77" i="16" a="1"/>
  <c r="Y77" i="16" s="1"/>
  <c r="V383" i="16" a="1"/>
  <c r="V383" i="16" s="1"/>
  <c r="R77" i="16" a="1"/>
  <c r="R77" i="16" s="1"/>
  <c r="T230" i="16" a="1"/>
  <c r="T230" i="16" s="1"/>
  <c r="Z383" i="16" a="1"/>
  <c r="Z383" i="16" s="1"/>
  <c r="Z77" i="16" a="1"/>
  <c r="Z77" i="16" s="1"/>
  <c r="U230" i="16" a="1"/>
  <c r="U230" i="16" s="1"/>
  <c r="AA383" i="16" a="1"/>
  <c r="AA383" i="16" s="1"/>
  <c r="C156" i="2"/>
  <c r="S77" i="16" a="1"/>
  <c r="S77" i="16" s="1"/>
  <c r="X230" i="16" a="1"/>
  <c r="X230" i="16" s="1"/>
  <c r="AD383" i="16"/>
  <c r="AF383" i="16" s="1"/>
  <c r="T77" i="16" a="1"/>
  <c r="T77" i="16" s="1"/>
  <c r="AB77" i="16" a="1"/>
  <c r="AB77" i="16" s="1"/>
  <c r="D156" i="12"/>
  <c r="D156" i="8"/>
  <c r="E156" i="4"/>
  <c r="D156" i="3"/>
  <c r="AB382" i="16" a="1"/>
  <c r="AB382" i="16" s="1"/>
  <c r="Y76" i="15" a="1"/>
  <c r="Y76" i="15" s="1"/>
  <c r="R229" i="16" a="1"/>
  <c r="R229" i="16" s="1"/>
  <c r="Z76" i="15" a="1"/>
  <c r="Z76" i="15" s="1"/>
  <c r="W76" i="16" a="1"/>
  <c r="W76" i="16" s="1"/>
  <c r="S229" i="16" a="1"/>
  <c r="S229" i="16" s="1"/>
  <c r="AB76" i="15" a="1"/>
  <c r="AB76" i="15" s="1"/>
  <c r="V229" i="16" a="1"/>
  <c r="V229" i="16" s="1"/>
  <c r="V382" i="16" a="1"/>
  <c r="V382" i="16" s="1"/>
  <c r="Y76" i="16" a="1"/>
  <c r="Y76" i="16" s="1"/>
  <c r="AC76" i="15" a="1"/>
  <c r="AC76" i="15" s="1"/>
  <c r="D156" i="2"/>
  <c r="R76" i="16" a="1"/>
  <c r="R76" i="16" s="1"/>
  <c r="AB229" i="16" a="1"/>
  <c r="AB229" i="16" s="1"/>
  <c r="W382" i="16" a="1"/>
  <c r="W382" i="16" s="1"/>
  <c r="S76" i="16" a="1"/>
  <c r="S76" i="16" s="1"/>
  <c r="Z76" i="16" a="1"/>
  <c r="Z76" i="16" s="1"/>
  <c r="AC229" i="16" a="1"/>
  <c r="AC229" i="16" s="1"/>
  <c r="Y382" i="16" a="1"/>
  <c r="Y382" i="16" s="1"/>
  <c r="AB76" i="16" a="1"/>
  <c r="AB76" i="16" s="1"/>
  <c r="AD229" i="16"/>
  <c r="AF229" i="16" s="1"/>
  <c r="Z382" i="16" a="1"/>
  <c r="Z382" i="16" s="1"/>
  <c r="T76" i="16" a="1"/>
  <c r="T76" i="16" s="1"/>
  <c r="AC76" i="16" a="1"/>
  <c r="AC76" i="16" s="1"/>
  <c r="F77" i="6"/>
  <c r="F77" i="2"/>
  <c r="W75" i="16" a="1"/>
  <c r="W75" i="16" s="1"/>
  <c r="C156" i="11"/>
  <c r="E156" i="8"/>
  <c r="D156" i="4"/>
  <c r="S75" i="15" a="1"/>
  <c r="S75" i="15" s="1"/>
  <c r="AC75" i="15" a="1"/>
  <c r="AC75" i="15" s="1"/>
  <c r="R228" i="16" a="1"/>
  <c r="R228" i="16" s="1"/>
  <c r="X75" i="16" a="1"/>
  <c r="X75" i="16" s="1"/>
  <c r="T75" i="15" a="1"/>
  <c r="T75" i="15" s="1"/>
  <c r="T228" i="16" a="1"/>
  <c r="T228" i="16" s="1"/>
  <c r="X75" i="15" a="1"/>
  <c r="X75" i="15" s="1"/>
  <c r="Y75" i="16" a="1"/>
  <c r="Y75" i="16" s="1"/>
  <c r="W228" i="16" a="1"/>
  <c r="W228" i="16" s="1"/>
  <c r="E156" i="2"/>
  <c r="Z75" i="16" a="1"/>
  <c r="Z75" i="16" s="1"/>
  <c r="Y75" i="15" a="1"/>
  <c r="Y75" i="15" s="1"/>
  <c r="AA75" i="16" a="1"/>
  <c r="AA75" i="16" s="1"/>
  <c r="X228" i="16" a="1"/>
  <c r="X228" i="16" s="1"/>
  <c r="T75" i="16" a="1"/>
  <c r="T75" i="16" s="1"/>
  <c r="Z228" i="16" a="1"/>
  <c r="Z228" i="16" s="1"/>
  <c r="Z75" i="15" a="1"/>
  <c r="Z75" i="15" s="1"/>
  <c r="U75" i="16" a="1"/>
  <c r="U75" i="16" s="1"/>
  <c r="AA228" i="16" a="1"/>
  <c r="AA228" i="16" s="1"/>
  <c r="F31" i="10"/>
  <c r="C156" i="9"/>
  <c r="F28" i="9"/>
  <c r="F67" i="10"/>
  <c r="F76" i="10"/>
  <c r="D156" i="10"/>
  <c r="F74" i="10"/>
  <c r="AE5" i="5"/>
  <c r="AE157" i="5"/>
  <c r="U157" i="4"/>
  <c r="U5" i="4"/>
  <c r="AB157" i="5"/>
  <c r="AB5" i="5"/>
  <c r="AK157" i="8"/>
  <c r="AK5" i="8"/>
  <c r="M106" i="14"/>
  <c r="J106" i="14"/>
  <c r="AC5" i="5"/>
  <c r="AC157" i="5"/>
  <c r="N157" i="8"/>
  <c r="N5" i="8"/>
  <c r="J16" i="14"/>
  <c r="I16" i="14"/>
  <c r="F66" i="2"/>
  <c r="AE157" i="3"/>
  <c r="W157" i="4"/>
  <c r="W5" i="4"/>
  <c r="AD4" i="5"/>
  <c r="C156" i="5"/>
  <c r="F6" i="5"/>
  <c r="F156" i="5" s="1"/>
  <c r="C156" i="6"/>
  <c r="N157" i="9"/>
  <c r="N5" i="9"/>
  <c r="E156" i="10"/>
  <c r="J69" i="14"/>
  <c r="I69" i="14"/>
  <c r="K106" i="14"/>
  <c r="F6" i="2"/>
  <c r="F26" i="2"/>
  <c r="F50" i="2"/>
  <c r="M5" i="9"/>
  <c r="M157" i="9"/>
  <c r="AJ5" i="2"/>
  <c r="AJ157" i="2"/>
  <c r="AA4" i="2"/>
  <c r="G4" i="2"/>
  <c r="Y4" i="2"/>
  <c r="X4" i="2"/>
  <c r="T4" i="2"/>
  <c r="S4" i="2"/>
  <c r="R4" i="2"/>
  <c r="Q4" i="2"/>
  <c r="P4" i="2"/>
  <c r="O4" i="2"/>
  <c r="AC4" i="2"/>
  <c r="AK4" i="2"/>
  <c r="I49" i="14"/>
  <c r="AH157" i="4"/>
  <c r="D156" i="5"/>
  <c r="F65" i="5"/>
  <c r="AD157" i="6"/>
  <c r="AD5" i="6"/>
  <c r="F7" i="10"/>
  <c r="F68" i="10"/>
  <c r="K119" i="14"/>
  <c r="M119" i="14" s="1"/>
  <c r="J119" i="14"/>
  <c r="I119" i="14"/>
  <c r="F10" i="2"/>
  <c r="H4" i="2"/>
  <c r="F13" i="3"/>
  <c r="AG157" i="3"/>
  <c r="AI157" i="4"/>
  <c r="E156" i="5"/>
  <c r="E156" i="6"/>
  <c r="V4" i="7"/>
  <c r="T4" i="7"/>
  <c r="S4" i="7"/>
  <c r="R4" i="7"/>
  <c r="AI4" i="7"/>
  <c r="O4" i="7"/>
  <c r="AA4" i="7"/>
  <c r="Z4" i="7"/>
  <c r="Y4" i="7"/>
  <c r="X4" i="7"/>
  <c r="W4" i="7"/>
  <c r="U4" i="7"/>
  <c r="M4" i="7"/>
  <c r="L4" i="7"/>
  <c r="AH4" i="7"/>
  <c r="I4" i="7"/>
  <c r="AG4" i="7"/>
  <c r="H4" i="7"/>
  <c r="AH157" i="13"/>
  <c r="AH5" i="13"/>
  <c r="J18" i="14"/>
  <c r="I18" i="14"/>
  <c r="K18" i="14" s="1"/>
  <c r="M18" i="14" s="1"/>
  <c r="I44" i="14"/>
  <c r="J56" i="14"/>
  <c r="I56" i="14"/>
  <c r="K56" i="14" s="1"/>
  <c r="M56" i="14" s="1"/>
  <c r="I157" i="2"/>
  <c r="I5" i="2"/>
  <c r="F67" i="3"/>
  <c r="AH157" i="3"/>
  <c r="AH157" i="6"/>
  <c r="AH5" i="6"/>
  <c r="W335" i="16" a="1"/>
  <c r="W335" i="16" s="1"/>
  <c r="W225" i="16" a="1"/>
  <c r="W225" i="16" s="1"/>
  <c r="W214" i="16" a="1"/>
  <c r="W214" i="16" s="1"/>
  <c r="W193" i="16" a="1"/>
  <c r="W193" i="16" s="1"/>
  <c r="W190" i="16" a="1"/>
  <c r="W190" i="16" s="1"/>
  <c r="W69" i="16" a="1"/>
  <c r="W69" i="16" s="1"/>
  <c r="W51" i="15" a="1"/>
  <c r="W51" i="15" s="1"/>
  <c r="W62" i="15" a="1"/>
  <c r="W62" i="15" s="1"/>
  <c r="G5" i="7"/>
  <c r="W18" i="15" a="1"/>
  <c r="W18" i="15" s="1"/>
  <c r="G157" i="7"/>
  <c r="K5" i="11"/>
  <c r="K157" i="11"/>
  <c r="AH5" i="11"/>
  <c r="AH157" i="11"/>
  <c r="AI157" i="13"/>
  <c r="AI5" i="13"/>
  <c r="J44" i="14"/>
  <c r="K44" i="14" s="1"/>
  <c r="M44" i="14" s="1"/>
  <c r="M151" i="14"/>
  <c r="K151" i="14"/>
  <c r="J151" i="14"/>
  <c r="I151" i="14"/>
  <c r="J4" i="2"/>
  <c r="F40" i="4"/>
  <c r="C156" i="4"/>
  <c r="J4" i="7"/>
  <c r="F10" i="7"/>
  <c r="F67" i="7"/>
  <c r="K157" i="7"/>
  <c r="W5" i="8"/>
  <c r="AC157" i="10"/>
  <c r="AC5" i="10"/>
  <c r="AD26" i="15"/>
  <c r="AD62" i="15"/>
  <c r="I62" i="14"/>
  <c r="T4" i="5"/>
  <c r="R4" i="5"/>
  <c r="AK4" i="5"/>
  <c r="Q4" i="5"/>
  <c r="N4" i="5"/>
  <c r="AJ4" i="5"/>
  <c r="M4" i="5"/>
  <c r="AI4" i="5"/>
  <c r="L4" i="5"/>
  <c r="AH4" i="5"/>
  <c r="K4" i="5"/>
  <c r="AF4" i="5"/>
  <c r="I4" i="5"/>
  <c r="AG4" i="5"/>
  <c r="J4" i="5"/>
  <c r="W4" i="5"/>
  <c r="L5" i="6"/>
  <c r="D156" i="6"/>
  <c r="U5" i="8"/>
  <c r="U157" i="8"/>
  <c r="AD157" i="10"/>
  <c r="AD5" i="10"/>
  <c r="N5" i="11"/>
  <c r="N157" i="11"/>
  <c r="R157" i="12"/>
  <c r="R5" i="12"/>
  <c r="K157" i="13"/>
  <c r="K5" i="13"/>
  <c r="I157" i="3"/>
  <c r="AG5" i="4"/>
  <c r="G4" i="5"/>
  <c r="C156" i="7"/>
  <c r="F6" i="7"/>
  <c r="P157" i="7"/>
  <c r="V5" i="8"/>
  <c r="V157" i="8"/>
  <c r="AJ157" i="10"/>
  <c r="AJ5" i="10"/>
  <c r="M122" i="14"/>
  <c r="J122" i="14"/>
  <c r="I122" i="14"/>
  <c r="K122" i="14"/>
  <c r="V157" i="4"/>
  <c r="V5" i="4"/>
  <c r="J38" i="14"/>
  <c r="H4" i="5"/>
  <c r="D156" i="7"/>
  <c r="Q157" i="7"/>
  <c r="AG5" i="9"/>
  <c r="AG157" i="9"/>
  <c r="I46" i="14"/>
  <c r="K46" i="14" s="1"/>
  <c r="H157" i="3"/>
  <c r="U4" i="2"/>
  <c r="F56" i="2"/>
  <c r="K157" i="3"/>
  <c r="O4" i="5"/>
  <c r="AB5" i="7"/>
  <c r="AB157" i="7"/>
  <c r="AE157" i="7"/>
  <c r="AE157" i="9"/>
  <c r="F56" i="10"/>
  <c r="L5" i="2"/>
  <c r="L157" i="2"/>
  <c r="I26" i="14"/>
  <c r="I58" i="14"/>
  <c r="AD58" i="15"/>
  <c r="AF58" i="15" s="1"/>
  <c r="AD70" i="15"/>
  <c r="M5" i="2"/>
  <c r="M157" i="2"/>
  <c r="N5" i="2"/>
  <c r="N157" i="2"/>
  <c r="J54" i="14"/>
  <c r="J74" i="14"/>
  <c r="F24" i="2"/>
  <c r="F36" i="2"/>
  <c r="F44" i="2"/>
  <c r="F64" i="2"/>
  <c r="F72" i="2"/>
  <c r="V4" i="2"/>
  <c r="J5" i="3"/>
  <c r="F55" i="3"/>
  <c r="F28" i="4"/>
  <c r="F68" i="4"/>
  <c r="L157" i="4"/>
  <c r="P4" i="5"/>
  <c r="AC4" i="7"/>
  <c r="AF157" i="7"/>
  <c r="AG5" i="8"/>
  <c r="AF157" i="9"/>
  <c r="F28" i="10"/>
  <c r="S346" i="16" a="1"/>
  <c r="S346" i="16" s="1"/>
  <c r="S199" i="16" a="1"/>
  <c r="S199" i="16" s="1"/>
  <c r="S182" i="16" a="1"/>
  <c r="S182" i="16" s="1"/>
  <c r="S174" i="16" a="1"/>
  <c r="S174" i="16" s="1"/>
  <c r="S184" i="16" a="1"/>
  <c r="S184" i="16" s="1"/>
  <c r="S165" i="16" a="1"/>
  <c r="S165" i="16" s="1"/>
  <c r="S161" i="16" a="1"/>
  <c r="S161" i="16" s="1"/>
  <c r="S5" i="16" a="1"/>
  <c r="S5" i="16" s="1"/>
  <c r="G5" i="3"/>
  <c r="S25" i="15" a="1"/>
  <c r="S25" i="15" s="1"/>
  <c r="S7" i="15" a="1"/>
  <c r="S7" i="15" s="1"/>
  <c r="S40" i="15" a="1"/>
  <c r="S40" i="15" s="1"/>
  <c r="J42" i="14"/>
  <c r="K42" i="14" s="1"/>
  <c r="J58" i="14"/>
  <c r="F20" i="2"/>
  <c r="F32" i="2"/>
  <c r="F40" i="2"/>
  <c r="F48" i="2"/>
  <c r="F60" i="2"/>
  <c r="F68" i="2"/>
  <c r="F76" i="2"/>
  <c r="W4" i="2"/>
  <c r="S4" i="5"/>
  <c r="U5" i="5"/>
  <c r="U5" i="6"/>
  <c r="J157" i="6"/>
  <c r="AD4" i="7"/>
  <c r="AI157" i="10"/>
  <c r="AI5" i="10"/>
  <c r="Y5" i="12"/>
  <c r="Y157" i="12"/>
  <c r="F29" i="13"/>
  <c r="C156" i="13"/>
  <c r="J37" i="14"/>
  <c r="I37" i="14"/>
  <c r="V4" i="5"/>
  <c r="I157" i="10"/>
  <c r="I5" i="10"/>
  <c r="Z5" i="6"/>
  <c r="AJ5" i="7"/>
  <c r="AJ157" i="7"/>
  <c r="F6" i="10"/>
  <c r="C156" i="10"/>
  <c r="AH5" i="2"/>
  <c r="AH157" i="2"/>
  <c r="F22" i="2"/>
  <c r="F42" i="2"/>
  <c r="AE4" i="2"/>
  <c r="T157" i="3"/>
  <c r="T5" i="3"/>
  <c r="AD19" i="15"/>
  <c r="AF19" i="15" s="1"/>
  <c r="K5" i="4"/>
  <c r="R157" i="4"/>
  <c r="Y4" i="5"/>
  <c r="AA5" i="6"/>
  <c r="T157" i="6"/>
  <c r="AK4" i="7"/>
  <c r="H157" i="9"/>
  <c r="H5" i="9"/>
  <c r="E156" i="13"/>
  <c r="AI5" i="2"/>
  <c r="AI157" i="2"/>
  <c r="F70" i="2"/>
  <c r="K157" i="2"/>
  <c r="K5" i="2"/>
  <c r="Q157" i="3"/>
  <c r="Q5" i="3"/>
  <c r="W157" i="3"/>
  <c r="P157" i="4"/>
  <c r="S157" i="3"/>
  <c r="S5" i="3"/>
  <c r="N5" i="3"/>
  <c r="AF4" i="2"/>
  <c r="AD8" i="15"/>
  <c r="AF8" i="15" s="1"/>
  <c r="AD12" i="15"/>
  <c r="AD16" i="15"/>
  <c r="AD20" i="15"/>
  <c r="AF20" i="15" s="1"/>
  <c r="I24" i="14"/>
  <c r="K24" i="14" s="1"/>
  <c r="M24" i="14" s="1"/>
  <c r="I28" i="14"/>
  <c r="K28" i="14" s="1"/>
  <c r="M28" i="14" s="1"/>
  <c r="AD40" i="15"/>
  <c r="AF40" i="15" s="1"/>
  <c r="I40" i="14"/>
  <c r="I52" i="14"/>
  <c r="AD60" i="15"/>
  <c r="AD64" i="15"/>
  <c r="AF64" i="15" s="1"/>
  <c r="I64" i="14"/>
  <c r="I68" i="14"/>
  <c r="K68" i="14" s="1"/>
  <c r="M68" i="14" s="1"/>
  <c r="I72" i="14"/>
  <c r="V5" i="3"/>
  <c r="F29" i="3"/>
  <c r="S157" i="4"/>
  <c r="S5" i="4"/>
  <c r="F16" i="4"/>
  <c r="F56" i="4"/>
  <c r="Z4" i="5"/>
  <c r="I5" i="9"/>
  <c r="I157" i="9"/>
  <c r="Q157" i="10"/>
  <c r="Q5" i="10"/>
  <c r="AA157" i="11"/>
  <c r="AA5" i="11"/>
  <c r="AD22" i="15"/>
  <c r="AF22" i="15" s="1"/>
  <c r="AD6" i="15"/>
  <c r="AF6" i="15" s="1"/>
  <c r="I6" i="14"/>
  <c r="K6" i="14" s="1"/>
  <c r="M6" i="14" s="1"/>
  <c r="X4" i="5"/>
  <c r="AG4" i="2"/>
  <c r="R202" i="16" s="1" a="1"/>
  <c r="R202" i="16" s="1"/>
  <c r="F43" i="3"/>
  <c r="T157" i="4"/>
  <c r="T5" i="4"/>
  <c r="M5" i="4"/>
  <c r="AA4" i="5"/>
  <c r="X157" i="6"/>
  <c r="N5" i="7"/>
  <c r="C156" i="8"/>
  <c r="F7" i="8"/>
  <c r="F156" i="8" s="1"/>
  <c r="F20" i="8"/>
  <c r="AB157" i="11"/>
  <c r="AB5" i="11"/>
  <c r="J14" i="14"/>
  <c r="I14" i="14"/>
  <c r="K14" i="14" s="1"/>
  <c r="I66" i="14"/>
  <c r="M127" i="14"/>
  <c r="K127" i="14"/>
  <c r="J127" i="14"/>
  <c r="I127" i="14"/>
  <c r="X5" i="8"/>
  <c r="D156" i="9"/>
  <c r="AK157" i="10"/>
  <c r="AK5" i="10"/>
  <c r="Z157" i="11"/>
  <c r="Z5" i="11"/>
  <c r="AC157" i="11"/>
  <c r="AC5" i="11"/>
  <c r="S157" i="12"/>
  <c r="S5" i="12"/>
  <c r="J35" i="14"/>
  <c r="I35" i="14"/>
  <c r="E156" i="9"/>
  <c r="AA374" i="16" a="1"/>
  <c r="AA374" i="16" s="1"/>
  <c r="AA377" i="16" a="1"/>
  <c r="AA377" i="16" s="1"/>
  <c r="AA364" i="16" a="1"/>
  <c r="AA364" i="16" s="1"/>
  <c r="AA367" i="16" a="1"/>
  <c r="AA367" i="16" s="1"/>
  <c r="AA332" i="16" a="1"/>
  <c r="AA332" i="16" s="1"/>
  <c r="AA366" i="16" a="1"/>
  <c r="AA366" i="16" s="1"/>
  <c r="AA346" i="16" a="1"/>
  <c r="AA346" i="16" s="1"/>
  <c r="AA315" i="16" a="1"/>
  <c r="AA315" i="16" s="1"/>
  <c r="AA321" i="16" a="1"/>
  <c r="AA321" i="16" s="1"/>
  <c r="AA208" i="16" a="1"/>
  <c r="AA208" i="16" s="1"/>
  <c r="AA169" i="16" a="1"/>
  <c r="AA169" i="16" s="1"/>
  <c r="AA215" i="16" a="1"/>
  <c r="AA215" i="16" s="1"/>
  <c r="AA192" i="16" a="1"/>
  <c r="AA192" i="16" s="1"/>
  <c r="AA179" i="16" a="1"/>
  <c r="AA179" i="16" s="1"/>
  <c r="AA217" i="16" a="1"/>
  <c r="AA217" i="16" s="1"/>
  <c r="AA31" i="16" a="1"/>
  <c r="AA31" i="16" s="1"/>
  <c r="AA49" i="16" a="1"/>
  <c r="AA49" i="16" s="1"/>
  <c r="AA34" i="16" a="1"/>
  <c r="AA34" i="16" s="1"/>
  <c r="AA72" i="16" a="1"/>
  <c r="AA72" i="16" s="1"/>
  <c r="AA21" i="16" a="1"/>
  <c r="AA21" i="16" s="1"/>
  <c r="AA47" i="16" a="1"/>
  <c r="AA47" i="16" s="1"/>
  <c r="AA40" i="16" a="1"/>
  <c r="AA40" i="16" s="1"/>
  <c r="AA50" i="16" a="1"/>
  <c r="AA50" i="16" s="1"/>
  <c r="AA5" i="16" a="1"/>
  <c r="AA5" i="16" s="1"/>
  <c r="AA73" i="15" a="1"/>
  <c r="AA73" i="15" s="1"/>
  <c r="AA49" i="15" a="1"/>
  <c r="AA49" i="15" s="1"/>
  <c r="AA35" i="15" a="1"/>
  <c r="AA35" i="15" s="1"/>
  <c r="AA63" i="15" a="1"/>
  <c r="AA63" i="15" s="1"/>
  <c r="AA47" i="15" a="1"/>
  <c r="AA47" i="15" s="1"/>
  <c r="G157" i="11"/>
  <c r="G5" i="11"/>
  <c r="AA21" i="15" a="1"/>
  <c r="AA21" i="15" s="1"/>
  <c r="AA13" i="15" a="1"/>
  <c r="AA13" i="15" s="1"/>
  <c r="D156" i="11"/>
  <c r="T157" i="12"/>
  <c r="T5" i="12"/>
  <c r="K89" i="14"/>
  <c r="J89" i="14"/>
  <c r="I89" i="14"/>
  <c r="M89" i="14"/>
  <c r="K135" i="14"/>
  <c r="M135" i="14" s="1"/>
  <c r="J135" i="14"/>
  <c r="I135" i="14"/>
  <c r="AA25" i="15" a="1"/>
  <c r="AA25" i="15" s="1"/>
  <c r="I5" i="14"/>
  <c r="AD9" i="15"/>
  <c r="AD17" i="15"/>
  <c r="AF17" i="15" s="1"/>
  <c r="AD21" i="15"/>
  <c r="AF21" i="15" s="1"/>
  <c r="I21" i="14"/>
  <c r="AD25" i="15"/>
  <c r="AD29" i="15"/>
  <c r="AF29" i="15" s="1"/>
  <c r="AD37" i="15"/>
  <c r="AD41" i="15"/>
  <c r="I45" i="14"/>
  <c r="AD57" i="15"/>
  <c r="AF57" i="15" s="1"/>
  <c r="AD61" i="15"/>
  <c r="AF61" i="15" s="1"/>
  <c r="AD65" i="15"/>
  <c r="AF65" i="15" s="1"/>
  <c r="F63" i="3"/>
  <c r="C156" i="3"/>
  <c r="AD5" i="4"/>
  <c r="F55" i="7"/>
  <c r="X4" i="9"/>
  <c r="W4" i="9"/>
  <c r="V4" i="9"/>
  <c r="U4" i="9"/>
  <c r="T4" i="9"/>
  <c r="AK4" i="9"/>
  <c r="Y342" i="16" s="1" a="1"/>
  <c r="Y342" i="16" s="1"/>
  <c r="Q4" i="9"/>
  <c r="AJ4" i="9"/>
  <c r="P4" i="9"/>
  <c r="AI4" i="9"/>
  <c r="O4" i="9"/>
  <c r="AD4" i="9"/>
  <c r="J4" i="9"/>
  <c r="F6" i="9"/>
  <c r="F156" i="9" s="1"/>
  <c r="H157" i="11"/>
  <c r="H5" i="11"/>
  <c r="E156" i="12"/>
  <c r="F44" i="12"/>
  <c r="D156" i="13"/>
  <c r="F51" i="7"/>
  <c r="Y19" i="16" a="1"/>
  <c r="Y19" i="16" s="1"/>
  <c r="Y29" i="15" a="1"/>
  <c r="Y29" i="15" s="1"/>
  <c r="G157" i="9"/>
  <c r="I157" i="11"/>
  <c r="I5" i="11"/>
  <c r="V157" i="12"/>
  <c r="V5" i="12"/>
  <c r="F16" i="12"/>
  <c r="AF157" i="13"/>
  <c r="AF5" i="13"/>
  <c r="K64" i="14"/>
  <c r="M64" i="14" s="1"/>
  <c r="M96" i="14"/>
  <c r="J96" i="14"/>
  <c r="M114" i="14"/>
  <c r="J114" i="14"/>
  <c r="I114" i="14"/>
  <c r="M143" i="14"/>
  <c r="K143" i="14"/>
  <c r="J143" i="14"/>
  <c r="I143" i="14"/>
  <c r="AE4" i="6"/>
  <c r="K4" i="6"/>
  <c r="AC4" i="6"/>
  <c r="I4" i="6"/>
  <c r="AB4" i="6"/>
  <c r="H4" i="6"/>
  <c r="AF4" i="6"/>
  <c r="F45" i="6"/>
  <c r="F39" i="7"/>
  <c r="X313" i="16" a="1"/>
  <c r="X313" i="16" s="1"/>
  <c r="X11" i="16" a="1"/>
  <c r="X11" i="16" s="1"/>
  <c r="X20" i="15" a="1"/>
  <c r="X20" i="15" s="1"/>
  <c r="X60" i="15" a="1"/>
  <c r="X60" i="15" s="1"/>
  <c r="AH157" i="8"/>
  <c r="AH5" i="8"/>
  <c r="J157" i="10"/>
  <c r="J5" i="10"/>
  <c r="F12" i="12"/>
  <c r="I9" i="14"/>
  <c r="K9" i="14" s="1"/>
  <c r="V35" i="15" a="1"/>
  <c r="V35" i="15" s="1"/>
  <c r="V25" i="15" a="1"/>
  <c r="V25" i="15" s="1"/>
  <c r="F35" i="7"/>
  <c r="AI157" i="8"/>
  <c r="AI5" i="8"/>
  <c r="G157" i="8"/>
  <c r="R5" i="9"/>
  <c r="P157" i="10"/>
  <c r="P5" i="10"/>
  <c r="R5" i="10"/>
  <c r="F64" i="12"/>
  <c r="AK157" i="13"/>
  <c r="AK5" i="13"/>
  <c r="J66" i="14"/>
  <c r="K79" i="14"/>
  <c r="M79" i="14" s="1"/>
  <c r="J79" i="14"/>
  <c r="I79" i="14"/>
  <c r="M130" i="14"/>
  <c r="J130" i="14"/>
  <c r="I130" i="14"/>
  <c r="AA10" i="15" a="1"/>
  <c r="AA10" i="15" s="1"/>
  <c r="AD34" i="15"/>
  <c r="AD15" i="15"/>
  <c r="L157" i="13"/>
  <c r="L5" i="13"/>
  <c r="I4" i="14"/>
  <c r="J39" i="14"/>
  <c r="J59" i="14"/>
  <c r="I59" i="14"/>
  <c r="J86" i="14"/>
  <c r="K109" i="14"/>
  <c r="M109" i="14" s="1"/>
  <c r="J109" i="14"/>
  <c r="I109" i="14"/>
  <c r="M138" i="14"/>
  <c r="J138" i="14"/>
  <c r="I138" i="14"/>
  <c r="AD5" i="15"/>
  <c r="AD74" i="15"/>
  <c r="AA74" i="15" a="1"/>
  <c r="AA74" i="15" s="1"/>
  <c r="N157" i="13"/>
  <c r="N5" i="13"/>
  <c r="J4" i="14"/>
  <c r="J25" i="14"/>
  <c r="I25" i="14"/>
  <c r="I32" i="14"/>
  <c r="I39" i="14"/>
  <c r="I86" i="14"/>
  <c r="K138" i="14"/>
  <c r="E156" i="7"/>
  <c r="O157" i="8"/>
  <c r="O5" i="8"/>
  <c r="H5" i="8"/>
  <c r="S157" i="9"/>
  <c r="S5" i="9"/>
  <c r="X5" i="13"/>
  <c r="J32" i="14"/>
  <c r="K86" i="14"/>
  <c r="M86" i="14" s="1"/>
  <c r="M146" i="14"/>
  <c r="J146" i="14"/>
  <c r="I146" i="14"/>
  <c r="N4" i="6"/>
  <c r="AK4" i="6"/>
  <c r="AD7" i="15"/>
  <c r="I15" i="14"/>
  <c r="I23" i="14"/>
  <c r="I43" i="14"/>
  <c r="K43" i="14" s="1"/>
  <c r="M43" i="14" s="1"/>
  <c r="I47" i="14"/>
  <c r="Y4" i="3"/>
  <c r="F23" i="3"/>
  <c r="O4" i="6"/>
  <c r="V211" i="16" s="1" a="1"/>
  <c r="V211" i="16" s="1"/>
  <c r="G5" i="6"/>
  <c r="F21" i="6"/>
  <c r="F15" i="7"/>
  <c r="T157" i="8"/>
  <c r="Y4" i="9"/>
  <c r="AA5" i="9"/>
  <c r="P157" i="13"/>
  <c r="P5" i="13"/>
  <c r="K146" i="14"/>
  <c r="AD10" i="15"/>
  <c r="AF10" i="15" s="1"/>
  <c r="AD39" i="15"/>
  <c r="AF39" i="15" s="1"/>
  <c r="F19" i="3"/>
  <c r="P4" i="6"/>
  <c r="F17" i="6"/>
  <c r="F11" i="7"/>
  <c r="Z4" i="9"/>
  <c r="AB5" i="9"/>
  <c r="F56" i="12"/>
  <c r="F28" i="13"/>
  <c r="I20" i="14"/>
  <c r="K20" i="14" s="1"/>
  <c r="M20" i="14" s="1"/>
  <c r="M118" i="14"/>
  <c r="Q4" i="6"/>
  <c r="AH5" i="9"/>
  <c r="W5" i="10"/>
  <c r="W157" i="10"/>
  <c r="T157" i="10"/>
  <c r="E156" i="11"/>
  <c r="F11" i="3"/>
  <c r="R4" i="6"/>
  <c r="AG5" i="6"/>
  <c r="F9" i="6"/>
  <c r="F156" i="6" s="1"/>
  <c r="F9" i="11"/>
  <c r="AK157" i="12"/>
  <c r="AK5" i="12"/>
  <c r="S157" i="13"/>
  <c r="S5" i="13"/>
  <c r="F70" i="13"/>
  <c r="J13" i="14"/>
  <c r="K54" i="14"/>
  <c r="J76" i="14"/>
  <c r="K99" i="14"/>
  <c r="M99" i="14" s="1"/>
  <c r="J99" i="14"/>
  <c r="I99" i="14"/>
  <c r="AD53" i="15"/>
  <c r="AA53" i="15" a="1"/>
  <c r="AA53" i="15" s="1"/>
  <c r="R4" i="3"/>
  <c r="AJ4" i="3"/>
  <c r="P4" i="3"/>
  <c r="S23" i="15" s="1" a="1"/>
  <c r="S23" i="15" s="1"/>
  <c r="AI4" i="3"/>
  <c r="O4" i="3"/>
  <c r="AC4" i="3"/>
  <c r="S323" i="16" s="1" a="1"/>
  <c r="S323" i="16" s="1"/>
  <c r="F7" i="3"/>
  <c r="F156" i="3" s="1"/>
  <c r="X5" i="4"/>
  <c r="S4" i="6"/>
  <c r="G157" i="6"/>
  <c r="AC157" i="9"/>
  <c r="F52" i="12"/>
  <c r="C156" i="12"/>
  <c r="I13" i="14"/>
  <c r="I76" i="14"/>
  <c r="AA68" i="15" a="1"/>
  <c r="AA68" i="15" s="1"/>
  <c r="AD68" i="15"/>
  <c r="AF68" i="15" s="1"/>
  <c r="Z108" i="15" a="1"/>
  <c r="Z108" i="15" s="1"/>
  <c r="Y108" i="15" a="1"/>
  <c r="Y108" i="15" s="1"/>
  <c r="X108" i="15" a="1"/>
  <c r="X108" i="15" s="1"/>
  <c r="W108" i="15" a="1"/>
  <c r="W108" i="15" s="1"/>
  <c r="V108" i="15" a="1"/>
  <c r="V108" i="15" s="1"/>
  <c r="U108" i="15" a="1"/>
  <c r="U108" i="15" s="1"/>
  <c r="AC108" i="15" a="1"/>
  <c r="AC108" i="15" s="1"/>
  <c r="S108" i="15" a="1"/>
  <c r="S108" i="15" s="1"/>
  <c r="AD108" i="15"/>
  <c r="AF108" i="15" s="1"/>
  <c r="AB108" i="15" a="1"/>
  <c r="AB108" i="15" s="1"/>
  <c r="AA108" i="15" a="1"/>
  <c r="AA108" i="15" s="1"/>
  <c r="R108" i="15" a="1"/>
  <c r="R108" i="15" s="1"/>
  <c r="T108" i="15" a="1"/>
  <c r="T108" i="15" s="1"/>
  <c r="V157" i="13"/>
  <c r="J11" i="14"/>
  <c r="K11" i="14" s="1"/>
  <c r="M11" i="14" s="1"/>
  <c r="J51" i="14"/>
  <c r="I51" i="14"/>
  <c r="K51" i="14" s="1"/>
  <c r="M51" i="14" s="1"/>
  <c r="J61" i="14"/>
  <c r="I61" i="14"/>
  <c r="J71" i="14"/>
  <c r="I71" i="14"/>
  <c r="K71" i="14" s="1"/>
  <c r="J81" i="14"/>
  <c r="I81" i="14"/>
  <c r="K91" i="14"/>
  <c r="M91" i="14" s="1"/>
  <c r="J91" i="14"/>
  <c r="I91" i="14"/>
  <c r="K101" i="14"/>
  <c r="M101" i="14" s="1"/>
  <c r="J101" i="14"/>
  <c r="I101" i="14"/>
  <c r="K111" i="14"/>
  <c r="M111" i="14" s="1"/>
  <c r="J111" i="14"/>
  <c r="I111" i="14"/>
  <c r="AA23" i="15" a="1"/>
  <c r="AA23" i="15" s="1"/>
  <c r="U5" i="11"/>
  <c r="W4" i="12"/>
  <c r="AB36" i="15" s="1" a="1"/>
  <c r="AB36" i="15" s="1"/>
  <c r="L5" i="12"/>
  <c r="AF5" i="12"/>
  <c r="F50" i="13"/>
  <c r="J23" i="14"/>
  <c r="J30" i="14"/>
  <c r="K30" i="14" s="1"/>
  <c r="AD24" i="15"/>
  <c r="AA42" i="15" a="1"/>
  <c r="AA42" i="15" s="1"/>
  <c r="F6" i="11"/>
  <c r="J9" i="14"/>
  <c r="J49" i="14"/>
  <c r="Z4" i="12"/>
  <c r="F38" i="13"/>
  <c r="J21" i="14"/>
  <c r="J28" i="14"/>
  <c r="AA7" i="15" a="1"/>
  <c r="AA7" i="15" s="1"/>
  <c r="AB198" i="16" a="1"/>
  <c r="AB198" i="16" s="1"/>
  <c r="AB177" i="16" a="1"/>
  <c r="AB177" i="16" s="1"/>
  <c r="J7" i="14"/>
  <c r="J47" i="14"/>
  <c r="M117" i="14"/>
  <c r="K117" i="14"/>
  <c r="J117" i="14"/>
  <c r="I117" i="14"/>
  <c r="K125" i="14"/>
  <c r="M125" i="14" s="1"/>
  <c r="J125" i="14"/>
  <c r="I125" i="14"/>
  <c r="K133" i="14"/>
  <c r="M133" i="14" s="1"/>
  <c r="J133" i="14"/>
  <c r="I133" i="14"/>
  <c r="M141" i="14"/>
  <c r="K141" i="14"/>
  <c r="J141" i="14"/>
  <c r="I141" i="14"/>
  <c r="K149" i="14"/>
  <c r="M149" i="14" s="1"/>
  <c r="J149" i="14"/>
  <c r="I149" i="14"/>
  <c r="AA16" i="15" a="1"/>
  <c r="AA16" i="15" s="1"/>
  <c r="AD82" i="15"/>
  <c r="AC82" i="15" a="1"/>
  <c r="AC82" i="15" s="1"/>
  <c r="S82" i="15" a="1"/>
  <c r="S82" i="15" s="1"/>
  <c r="AB82" i="15" a="1"/>
  <c r="AB82" i="15" s="1"/>
  <c r="R82" i="15" a="1"/>
  <c r="R82" i="15" s="1"/>
  <c r="Z82" i="15" a="1"/>
  <c r="Z82" i="15" s="1"/>
  <c r="V82" i="15" a="1"/>
  <c r="V82" i="15" s="1"/>
  <c r="Y82" i="15" a="1"/>
  <c r="Y82" i="15" s="1"/>
  <c r="X82" i="15" a="1"/>
  <c r="X82" i="15" s="1"/>
  <c r="W82" i="15" a="1"/>
  <c r="W82" i="15" s="1"/>
  <c r="U82" i="15" a="1"/>
  <c r="U82" i="15" s="1"/>
  <c r="T82" i="15" a="1"/>
  <c r="T82" i="15" s="1"/>
  <c r="AA82" i="15" a="1"/>
  <c r="AA82" i="15" s="1"/>
  <c r="Z4" i="10"/>
  <c r="H4" i="12"/>
  <c r="AB4" i="12"/>
  <c r="I7" i="14"/>
  <c r="J33" i="14"/>
  <c r="S36" i="15" a="1"/>
  <c r="S36" i="15" s="1"/>
  <c r="G4" i="10"/>
  <c r="Z68" i="15" s="1" a="1"/>
  <c r="Z68" i="15" s="1"/>
  <c r="AA4" i="10"/>
  <c r="I4" i="12"/>
  <c r="AC4" i="12"/>
  <c r="F26" i="13"/>
  <c r="I12" i="14"/>
  <c r="J19" i="14"/>
  <c r="J26" i="14"/>
  <c r="I33" i="14"/>
  <c r="K40" i="14"/>
  <c r="M40" i="14" s="1"/>
  <c r="J52" i="14"/>
  <c r="K52" i="14" s="1"/>
  <c r="J57" i="14"/>
  <c r="I57" i="14"/>
  <c r="K57" i="14" s="1"/>
  <c r="M57" i="14" s="1"/>
  <c r="J62" i="14"/>
  <c r="J67" i="14"/>
  <c r="I67" i="14"/>
  <c r="J72" i="14"/>
  <c r="J77" i="14"/>
  <c r="I77" i="14"/>
  <c r="J82" i="14"/>
  <c r="K87" i="14"/>
  <c r="M87" i="14" s="1"/>
  <c r="J87" i="14"/>
  <c r="I87" i="14"/>
  <c r="J92" i="14"/>
  <c r="K97" i="14"/>
  <c r="J97" i="14"/>
  <c r="I97" i="14"/>
  <c r="J102" i="14"/>
  <c r="K107" i="14"/>
  <c r="J107" i="14"/>
  <c r="I107" i="14"/>
  <c r="J112" i="14"/>
  <c r="J120" i="14"/>
  <c r="J128" i="14"/>
  <c r="J136" i="14"/>
  <c r="J144" i="14"/>
  <c r="J152" i="14"/>
  <c r="Z4" i="8"/>
  <c r="H4" i="10"/>
  <c r="AB4" i="10"/>
  <c r="J4" i="12"/>
  <c r="AD4" i="12"/>
  <c r="F22" i="13"/>
  <c r="J5" i="14"/>
  <c r="J12" i="14"/>
  <c r="I19" i="14"/>
  <c r="I38" i="14"/>
  <c r="J45" i="14"/>
  <c r="K45" i="14" s="1"/>
  <c r="M97" i="14"/>
  <c r="M107" i="14"/>
  <c r="AD11" i="15"/>
  <c r="AA20" i="15" a="1"/>
  <c r="AA20" i="15" s="1"/>
  <c r="AD42" i="15"/>
  <c r="AD8" i="16"/>
  <c r="AA8" i="16" a="1"/>
  <c r="AA8" i="16" s="1"/>
  <c r="S8" i="16" a="1"/>
  <c r="S8" i="16" s="1"/>
  <c r="J31" i="14"/>
  <c r="T50" i="15" a="1"/>
  <c r="T50" i="15" s="1"/>
  <c r="S50" i="15" a="1"/>
  <c r="S50" i="15" s="1"/>
  <c r="AA50" i="15" a="1"/>
  <c r="AA50" i="15" s="1"/>
  <c r="U79" i="15" a="1"/>
  <c r="U79" i="15" s="1"/>
  <c r="AF79" i="15"/>
  <c r="T79" i="15" a="1"/>
  <c r="T79" i="15" s="1"/>
  <c r="AD79" i="15"/>
  <c r="AC79" i="15" a="1"/>
  <c r="AC79" i="15" s="1"/>
  <c r="S79" i="15" a="1"/>
  <c r="S79" i="15" s="1"/>
  <c r="AA79" i="15" a="1"/>
  <c r="AA79" i="15" s="1"/>
  <c r="Z79" i="15" a="1"/>
  <c r="Z79" i="15" s="1"/>
  <c r="Y79" i="15" a="1"/>
  <c r="Y79" i="15" s="1"/>
  <c r="X79" i="15" a="1"/>
  <c r="X79" i="15" s="1"/>
  <c r="W79" i="15" a="1"/>
  <c r="W79" i="15" s="1"/>
  <c r="R79" i="15" a="1"/>
  <c r="R79" i="15" s="1"/>
  <c r="J5" i="11"/>
  <c r="AD5" i="11"/>
  <c r="U5" i="12"/>
  <c r="I10" i="14"/>
  <c r="J17" i="14"/>
  <c r="I31" i="14"/>
  <c r="I50" i="14"/>
  <c r="K50" i="14" s="1"/>
  <c r="M50" i="14" s="1"/>
  <c r="I60" i="14"/>
  <c r="I70" i="14"/>
  <c r="K70" i="14" s="1"/>
  <c r="I80" i="14"/>
  <c r="I90" i="14"/>
  <c r="I100" i="14"/>
  <c r="I110" i="14"/>
  <c r="K115" i="14"/>
  <c r="M115" i="14" s="1"/>
  <c r="J115" i="14"/>
  <c r="I115" i="14"/>
  <c r="K123" i="14"/>
  <c r="M123" i="14" s="1"/>
  <c r="J123" i="14"/>
  <c r="I123" i="14"/>
  <c r="M131" i="14"/>
  <c r="K131" i="14"/>
  <c r="J131" i="14"/>
  <c r="I131" i="14"/>
  <c r="M139" i="14"/>
  <c r="K139" i="14"/>
  <c r="J139" i="14"/>
  <c r="I139" i="14"/>
  <c r="M147" i="14"/>
  <c r="K147" i="14"/>
  <c r="J147" i="14"/>
  <c r="I147" i="14"/>
  <c r="V79" i="15" a="1"/>
  <c r="V79" i="15" s="1"/>
  <c r="K4" i="10"/>
  <c r="Z11" i="15" s="1" a="1"/>
  <c r="Z11" i="15" s="1"/>
  <c r="AE4" i="10"/>
  <c r="M4" i="12"/>
  <c r="AG4" i="12"/>
  <c r="AG4" i="13"/>
  <c r="M4" i="13"/>
  <c r="AA4" i="13"/>
  <c r="Q5" i="13"/>
  <c r="J10" i="14"/>
  <c r="I17" i="14"/>
  <c r="I36" i="14"/>
  <c r="J43" i="14"/>
  <c r="J50" i="14"/>
  <c r="J55" i="14"/>
  <c r="I55" i="14"/>
  <c r="K55" i="14" s="1"/>
  <c r="M55" i="14" s="1"/>
  <c r="J60" i="14"/>
  <c r="J65" i="14"/>
  <c r="I65" i="14"/>
  <c r="J70" i="14"/>
  <c r="J75" i="14"/>
  <c r="I75" i="14"/>
  <c r="J80" i="14"/>
  <c r="J85" i="14"/>
  <c r="I85" i="14"/>
  <c r="J90" i="14"/>
  <c r="K95" i="14"/>
  <c r="M95" i="14" s="1"/>
  <c r="J95" i="14"/>
  <c r="I95" i="14"/>
  <c r="J100" i="14"/>
  <c r="K105" i="14"/>
  <c r="M105" i="14" s="1"/>
  <c r="J105" i="14"/>
  <c r="I105" i="14"/>
  <c r="J110" i="14"/>
  <c r="I118" i="14"/>
  <c r="I126" i="14"/>
  <c r="I134" i="14"/>
  <c r="I142" i="14"/>
  <c r="I150" i="14"/>
  <c r="AD4" i="15"/>
  <c r="AF4" i="15" s="1"/>
  <c r="AD27" i="15"/>
  <c r="AD31" i="15"/>
  <c r="AF31" i="15" s="1"/>
  <c r="AD36" i="15"/>
  <c r="AF36" i="15" s="1"/>
  <c r="AB79" i="15" a="1"/>
  <c r="AB79" i="15" s="1"/>
  <c r="Z4" i="4"/>
  <c r="J4" i="8"/>
  <c r="X335" i="16" s="1" a="1"/>
  <c r="X335" i="16" s="1"/>
  <c r="AD4" i="8"/>
  <c r="L4" i="10"/>
  <c r="Z55" i="15" s="1" a="1"/>
  <c r="Z55" i="15" s="1"/>
  <c r="AF4" i="10"/>
  <c r="W4" i="11"/>
  <c r="AA22" i="15" s="1" a="1"/>
  <c r="AA22" i="15" s="1"/>
  <c r="N4" i="12"/>
  <c r="AH4" i="12"/>
  <c r="G4" i="13"/>
  <c r="AC49" i="15" s="1" a="1"/>
  <c r="AC49" i="15" s="1"/>
  <c r="AB4" i="13"/>
  <c r="F6" i="13"/>
  <c r="J29" i="14"/>
  <c r="J36" i="14"/>
  <c r="K90" i="14"/>
  <c r="M90" i="14" s="1"/>
  <c r="K100" i="14"/>
  <c r="M100" i="14" s="1"/>
  <c r="K110" i="14"/>
  <c r="M110" i="14" s="1"/>
  <c r="J118" i="14"/>
  <c r="J126" i="14"/>
  <c r="J134" i="14"/>
  <c r="J142" i="14"/>
  <c r="J150" i="14"/>
  <c r="AA28" i="15" a="1"/>
  <c r="AA28" i="15" s="1"/>
  <c r="AD28" i="15"/>
  <c r="AF28" i="15" s="1"/>
  <c r="AD44" i="15"/>
  <c r="AF44" i="15" s="1"/>
  <c r="AD59" i="15"/>
  <c r="AD63" i="15"/>
  <c r="AD67" i="15"/>
  <c r="AF67" i="15" s="1"/>
  <c r="G4" i="4"/>
  <c r="T69" i="15" s="1" a="1"/>
  <c r="T69" i="15" s="1"/>
  <c r="AA4" i="4"/>
  <c r="K4" i="8"/>
  <c r="AE4" i="8"/>
  <c r="M4" i="10"/>
  <c r="AG4" i="10"/>
  <c r="X4" i="11"/>
  <c r="O4" i="12"/>
  <c r="AI4" i="12"/>
  <c r="H4" i="13"/>
  <c r="AC4" i="13"/>
  <c r="I8" i="14"/>
  <c r="K8" i="14" s="1"/>
  <c r="M8" i="14" s="1"/>
  <c r="J15" i="14"/>
  <c r="J22" i="14"/>
  <c r="K22" i="14" s="1"/>
  <c r="M22" i="14" s="1"/>
  <c r="I29" i="14"/>
  <c r="I48" i="14"/>
  <c r="K48" i="14" s="1"/>
  <c r="M48" i="14" s="1"/>
  <c r="K118" i="14"/>
  <c r="K126" i="14"/>
  <c r="M126" i="14" s="1"/>
  <c r="K134" i="14"/>
  <c r="M134" i="14" s="1"/>
  <c r="K142" i="14"/>
  <c r="M142" i="14" s="1"/>
  <c r="K150" i="14"/>
  <c r="M150" i="14" s="1"/>
  <c r="AA6" i="15" a="1"/>
  <c r="AA6" i="15" s="1"/>
  <c r="N4" i="10"/>
  <c r="AH4" i="10"/>
  <c r="P4" i="12"/>
  <c r="AJ4" i="12"/>
  <c r="J41" i="14"/>
  <c r="AD23" i="15"/>
  <c r="T30" i="15" a="1"/>
  <c r="T30" i="15" s="1"/>
  <c r="AD30" i="15"/>
  <c r="I4" i="4"/>
  <c r="T24" i="15" s="1" a="1"/>
  <c r="T24" i="15" s="1"/>
  <c r="M4" i="8"/>
  <c r="X358" i="16" s="1" a="1"/>
  <c r="X358" i="16" s="1"/>
  <c r="O4" i="10"/>
  <c r="Q4" i="12"/>
  <c r="J4" i="13"/>
  <c r="AE4" i="13"/>
  <c r="J27" i="14"/>
  <c r="I41" i="14"/>
  <c r="J53" i="14"/>
  <c r="I53" i="14"/>
  <c r="J63" i="14"/>
  <c r="I63" i="14"/>
  <c r="J73" i="14"/>
  <c r="I73" i="14"/>
  <c r="K73" i="14" s="1"/>
  <c r="J83" i="14"/>
  <c r="I83" i="14"/>
  <c r="K93" i="14"/>
  <c r="M93" i="14" s="1"/>
  <c r="J93" i="14"/>
  <c r="I93" i="14"/>
  <c r="K103" i="14"/>
  <c r="M103" i="14" s="1"/>
  <c r="J103" i="14"/>
  <c r="I103" i="14"/>
  <c r="M113" i="14"/>
  <c r="K113" i="14"/>
  <c r="J113" i="14"/>
  <c r="I113" i="14"/>
  <c r="M121" i="14"/>
  <c r="K121" i="14"/>
  <c r="J121" i="14"/>
  <c r="I121" i="14"/>
  <c r="M129" i="14"/>
  <c r="K129" i="14"/>
  <c r="J129" i="14"/>
  <c r="I129" i="14"/>
  <c r="M137" i="14"/>
  <c r="K137" i="14"/>
  <c r="J137" i="14"/>
  <c r="I137" i="14"/>
  <c r="K145" i="14"/>
  <c r="M145" i="14" s="1"/>
  <c r="J145" i="14"/>
  <c r="I145" i="14"/>
  <c r="M153" i="14"/>
  <c r="K153" i="14"/>
  <c r="J153" i="14"/>
  <c r="I153" i="14"/>
  <c r="AA8" i="15" a="1"/>
  <c r="AA8" i="15" s="1"/>
  <c r="T14" i="15" a="1"/>
  <c r="T14" i="15" s="1"/>
  <c r="AD14" i="15"/>
  <c r="S14" i="15" a="1"/>
  <c r="S14" i="15" s="1"/>
  <c r="AC24" i="15" a="1"/>
  <c r="AC24" i="15" s="1"/>
  <c r="AD50" i="15"/>
  <c r="AF55" i="15"/>
  <c r="AD55" i="15"/>
  <c r="AF150" i="15"/>
  <c r="AD46" i="15"/>
  <c r="AD102" i="15"/>
  <c r="AF102" i="15" s="1"/>
  <c r="AC102" i="15" a="1"/>
  <c r="AC102" i="15" s="1"/>
  <c r="S102" i="15" a="1"/>
  <c r="S102" i="15" s="1"/>
  <c r="AB102" i="15" a="1"/>
  <c r="AB102" i="15" s="1"/>
  <c r="R102" i="15" a="1"/>
  <c r="R102" i="15" s="1"/>
  <c r="Z102" i="15" a="1"/>
  <c r="Z102" i="15" s="1"/>
  <c r="Y102" i="15" a="1"/>
  <c r="Y102" i="15" s="1"/>
  <c r="X102" i="15" a="1"/>
  <c r="X102" i="15" s="1"/>
  <c r="V102" i="15" a="1"/>
  <c r="V102" i="15" s="1"/>
  <c r="AA102" i="15" a="1"/>
  <c r="AA102" i="15" s="1"/>
  <c r="W102" i="15" a="1"/>
  <c r="W102" i="15" s="1"/>
  <c r="U102" i="15" a="1"/>
  <c r="U102" i="15" s="1"/>
  <c r="T102" i="15" a="1"/>
  <c r="T102" i="15" s="1"/>
  <c r="AD48" i="15"/>
  <c r="AC109" i="15" a="1"/>
  <c r="AC109" i="15" s="1"/>
  <c r="S109" i="15" a="1"/>
  <c r="S109" i="15" s="1"/>
  <c r="AB109" i="15" a="1"/>
  <c r="AB109" i="15" s="1"/>
  <c r="Z109" i="15" a="1"/>
  <c r="Z109" i="15" s="1"/>
  <c r="Y109" i="15" a="1"/>
  <c r="Y109" i="15" s="1"/>
  <c r="X109" i="15" a="1"/>
  <c r="X109" i="15" s="1"/>
  <c r="W109" i="15" a="1"/>
  <c r="W109" i="15" s="1"/>
  <c r="V109" i="15" a="1"/>
  <c r="V109" i="15" s="1"/>
  <c r="U109" i="15" a="1"/>
  <c r="U109" i="15" s="1"/>
  <c r="AD109" i="15"/>
  <c r="AF109" i="15" s="1"/>
  <c r="T109" i="15" a="1"/>
  <c r="T109" i="15" s="1"/>
  <c r="R109" i="15" a="1"/>
  <c r="R109" i="15" s="1"/>
  <c r="AD33" i="15"/>
  <c r="AF33" i="15" s="1"/>
  <c r="S33" i="15" a="1"/>
  <c r="S33" i="15" s="1"/>
  <c r="T81" i="15" a="1"/>
  <c r="T81" i="15" s="1"/>
  <c r="AD81" i="15"/>
  <c r="AF81" i="15" s="1"/>
  <c r="AC81" i="15" a="1"/>
  <c r="AC81" i="15" s="1"/>
  <c r="S81" i="15" a="1"/>
  <c r="S81" i="15" s="1"/>
  <c r="AB81" i="15" a="1"/>
  <c r="AB81" i="15" s="1"/>
  <c r="R81" i="15" a="1"/>
  <c r="R81" i="15" s="1"/>
  <c r="AA81" i="15" a="1"/>
  <c r="AA81" i="15" s="1"/>
  <c r="Z81" i="15" a="1"/>
  <c r="Z81" i="15" s="1"/>
  <c r="Y81" i="15" a="1"/>
  <c r="Y81" i="15" s="1"/>
  <c r="X81" i="15" a="1"/>
  <c r="X81" i="15" s="1"/>
  <c r="U81" i="15" a="1"/>
  <c r="U81" i="15" s="1"/>
  <c r="AD52" i="15"/>
  <c r="AA109" i="15" a="1"/>
  <c r="AA109" i="15" s="1"/>
  <c r="Z43" i="15" a="1"/>
  <c r="Z43" i="15" s="1"/>
  <c r="AD43" i="15"/>
  <c r="T120" i="15" a="1"/>
  <c r="T120" i="15" s="1"/>
  <c r="Z120" i="15" a="1"/>
  <c r="Z120" i="15" s="1"/>
  <c r="Y120" i="15" a="1"/>
  <c r="Y120" i="15" s="1"/>
  <c r="X120" i="15" a="1"/>
  <c r="X120" i="15" s="1"/>
  <c r="W120" i="15" a="1"/>
  <c r="W120" i="15" s="1"/>
  <c r="V120" i="15" a="1"/>
  <c r="V120" i="15" s="1"/>
  <c r="U120" i="15" a="1"/>
  <c r="U120" i="15" s="1"/>
  <c r="AD120" i="15"/>
  <c r="AF120" i="15" s="1"/>
  <c r="AC120" i="15" a="1"/>
  <c r="AC120" i="15" s="1"/>
  <c r="AB120" i="15" a="1"/>
  <c r="AB120" i="15" s="1"/>
  <c r="AA120" i="15" a="1"/>
  <c r="AA120" i="15" s="1"/>
  <c r="S120" i="15" a="1"/>
  <c r="S120" i="15" s="1"/>
  <c r="R120" i="15" a="1"/>
  <c r="R120" i="15" s="1"/>
  <c r="T48" i="15" a="1"/>
  <c r="T48" i="15" s="1"/>
  <c r="AD54" i="15"/>
  <c r="S54" i="15" a="1"/>
  <c r="S54" i="15" s="1"/>
  <c r="AD56" i="15"/>
  <c r="AF56" i="15" s="1"/>
  <c r="V81" i="15" a="1"/>
  <c r="V81" i="15" s="1"/>
  <c r="Y91" i="15" a="1"/>
  <c r="Y91" i="15" s="1"/>
  <c r="X91" i="15" a="1"/>
  <c r="X91" i="15" s="1"/>
  <c r="W91" i="15" a="1"/>
  <c r="W91" i="15" s="1"/>
  <c r="AD91" i="15"/>
  <c r="AF91" i="15" s="1"/>
  <c r="AC91" i="15" a="1"/>
  <c r="AC91" i="15" s="1"/>
  <c r="AB91" i="15" a="1"/>
  <c r="AB91" i="15" s="1"/>
  <c r="AA91" i="15" a="1"/>
  <c r="AA91" i="15" s="1"/>
  <c r="Z91" i="15" a="1"/>
  <c r="Z91" i="15" s="1"/>
  <c r="T91" i="15" a="1"/>
  <c r="T91" i="15" s="1"/>
  <c r="S91" i="15" a="1"/>
  <c r="S91" i="15" s="1"/>
  <c r="AA10" i="16" a="1"/>
  <c r="AA10" i="16" s="1"/>
  <c r="AD45" i="15"/>
  <c r="V77" i="15" a="1"/>
  <c r="V77" i="15" s="1"/>
  <c r="U77" i="15" a="1"/>
  <c r="U77" i="15" s="1"/>
  <c r="AF77" i="15"/>
  <c r="T77" i="15" a="1"/>
  <c r="T77" i="15" s="1"/>
  <c r="AB77" i="15" a="1"/>
  <c r="AB77" i="15" s="1"/>
  <c r="AA77" i="15" a="1"/>
  <c r="AA77" i="15" s="1"/>
  <c r="Z77" i="15" a="1"/>
  <c r="Z77" i="15" s="1"/>
  <c r="Y77" i="15" a="1"/>
  <c r="Y77" i="15" s="1"/>
  <c r="X77" i="15" a="1"/>
  <c r="X77" i="15" s="1"/>
  <c r="S77" i="15" a="1"/>
  <c r="S77" i="15" s="1"/>
  <c r="W81" i="15" a="1"/>
  <c r="W81" i="15" s="1"/>
  <c r="R91" i="15" a="1"/>
  <c r="R91" i="15" s="1"/>
  <c r="AA59" i="15" a="1"/>
  <c r="AA59" i="15" s="1"/>
  <c r="AA70" i="15" a="1"/>
  <c r="AA70" i="15" s="1"/>
  <c r="AA5" i="15" a="1"/>
  <c r="AA5" i="15" s="1"/>
  <c r="AD35" i="15"/>
  <c r="AF35" i="15" s="1"/>
  <c r="AC35" i="15" a="1"/>
  <c r="AC35" i="15" s="1"/>
  <c r="AD47" i="15"/>
  <c r="AA66" i="15" a="1"/>
  <c r="AA66" i="15" s="1"/>
  <c r="R77" i="15" a="1"/>
  <c r="R77" i="15" s="1"/>
  <c r="W114" i="15" a="1"/>
  <c r="W114" i="15" s="1"/>
  <c r="V114" i="15" a="1"/>
  <c r="V114" i="15" s="1"/>
  <c r="U114" i="15" a="1"/>
  <c r="U114" i="15" s="1"/>
  <c r="T114" i="15" a="1"/>
  <c r="T114" i="15" s="1"/>
  <c r="S114" i="15" a="1"/>
  <c r="S114" i="15" s="1"/>
  <c r="AD114" i="15"/>
  <c r="AF114" i="15" s="1"/>
  <c r="Z114" i="15" a="1"/>
  <c r="Z114" i="15" s="1"/>
  <c r="AC114" i="15" a="1"/>
  <c r="AC114" i="15" s="1"/>
  <c r="AB114" i="15" a="1"/>
  <c r="AB114" i="15" s="1"/>
  <c r="AA114" i="15" a="1"/>
  <c r="AA114" i="15" s="1"/>
  <c r="Y114" i="15" a="1"/>
  <c r="Y114" i="15" s="1"/>
  <c r="X114" i="15" a="1"/>
  <c r="X114" i="15" s="1"/>
  <c r="AD32" i="15"/>
  <c r="AF47" i="15"/>
  <c r="U91" i="15" a="1"/>
  <c r="U91" i="15" s="1"/>
  <c r="AF100" i="15"/>
  <c r="T101" i="15" a="1"/>
  <c r="T101" i="15" s="1"/>
  <c r="AD101" i="15"/>
  <c r="AF101" i="15" s="1"/>
  <c r="AC101" i="15" a="1"/>
  <c r="AC101" i="15" s="1"/>
  <c r="S101" i="15" a="1"/>
  <c r="S101" i="15" s="1"/>
  <c r="AB101" i="15" a="1"/>
  <c r="AB101" i="15" s="1"/>
  <c r="R101" i="15" a="1"/>
  <c r="R101" i="15" s="1"/>
  <c r="Z101" i="15" a="1"/>
  <c r="Z101" i="15" s="1"/>
  <c r="AA101" i="15" a="1"/>
  <c r="AA101" i="15" s="1"/>
  <c r="Y101" i="15" a="1"/>
  <c r="Y101" i="15" s="1"/>
  <c r="X101" i="15" a="1"/>
  <c r="X101" i="15" s="1"/>
  <c r="W101" i="15" a="1"/>
  <c r="W101" i="15" s="1"/>
  <c r="V101" i="15" a="1"/>
  <c r="V101" i="15" s="1"/>
  <c r="U101" i="15" a="1"/>
  <c r="U101" i="15" s="1"/>
  <c r="R114" i="15" a="1"/>
  <c r="R114" i="15" s="1"/>
  <c r="AD28" i="16"/>
  <c r="AF28" i="16" s="1"/>
  <c r="AC28" i="16" a="1"/>
  <c r="AC28" i="16" s="1"/>
  <c r="AA28" i="16" a="1"/>
  <c r="AA28" i="16" s="1"/>
  <c r="W28" i="16" a="1"/>
  <c r="W28" i="16" s="1"/>
  <c r="AD13" i="15"/>
  <c r="T35" i="15" a="1"/>
  <c r="T35" i="15" s="1"/>
  <c r="T43" i="15" a="1"/>
  <c r="T43" i="15" s="1"/>
  <c r="S45" i="15" a="1"/>
  <c r="S45" i="15" s="1"/>
  <c r="AD49" i="15"/>
  <c r="AA55" i="15" a="1"/>
  <c r="AA55" i="15" s="1"/>
  <c r="V91" i="15" a="1"/>
  <c r="V91" i="15" s="1"/>
  <c r="AA40" i="15" a="1"/>
  <c r="AA40" i="15" s="1"/>
  <c r="W63" i="15" a="1"/>
  <c r="W63" i="15" s="1"/>
  <c r="W77" i="15" a="1"/>
  <c r="W77" i="15" s="1"/>
  <c r="S5" i="15" a="1"/>
  <c r="S5" i="15" s="1"/>
  <c r="AA46" i="15" a="1"/>
  <c r="AA46" i="15" s="1"/>
  <c r="AD51" i="15"/>
  <c r="AF51" i="15" s="1"/>
  <c r="V97" i="15" a="1"/>
  <c r="V97" i="15" s="1"/>
  <c r="U97" i="15" a="1"/>
  <c r="U97" i="15" s="1"/>
  <c r="AF97" i="15"/>
  <c r="T97" i="15" a="1"/>
  <c r="T97" i="15" s="1"/>
  <c r="AB97" i="15" a="1"/>
  <c r="AB97" i="15" s="1"/>
  <c r="R97" i="15" a="1"/>
  <c r="R97" i="15" s="1"/>
  <c r="AD97" i="15"/>
  <c r="AC97" i="15" a="1"/>
  <c r="AC97" i="15" s="1"/>
  <c r="AA97" i="15" a="1"/>
  <c r="AA97" i="15" s="1"/>
  <c r="X97" i="15" a="1"/>
  <c r="X97" i="15" s="1"/>
  <c r="T41" i="16" a="1"/>
  <c r="T41" i="16" s="1"/>
  <c r="AA41" i="16" a="1"/>
  <c r="AA41" i="16" s="1"/>
  <c r="AD41" i="16"/>
  <c r="S41" i="16" a="1"/>
  <c r="S41" i="16" s="1"/>
  <c r="AD72" i="15"/>
  <c r="AF72" i="15" s="1"/>
  <c r="Z89" i="15" a="1"/>
  <c r="Z89" i="15" s="1"/>
  <c r="Y89" i="15" a="1"/>
  <c r="Y89" i="15" s="1"/>
  <c r="X89" i="15" a="1"/>
  <c r="X89" i="15" s="1"/>
  <c r="W131" i="15" a="1"/>
  <c r="W131" i="15" s="1"/>
  <c r="AD131" i="15"/>
  <c r="AF131" i="15" s="1"/>
  <c r="S131" i="15" a="1"/>
  <c r="S131" i="15" s="1"/>
  <c r="AB131" i="15" a="1"/>
  <c r="AB131" i="15" s="1"/>
  <c r="Y131" i="15" a="1"/>
  <c r="Y131" i="15" s="1"/>
  <c r="X131" i="15" a="1"/>
  <c r="X131" i="15" s="1"/>
  <c r="V131" i="15" a="1"/>
  <c r="V131" i="15" s="1"/>
  <c r="U131" i="15" a="1"/>
  <c r="U131" i="15" s="1"/>
  <c r="T131" i="15" a="1"/>
  <c r="T131" i="15" s="1"/>
  <c r="R131" i="15" a="1"/>
  <c r="R131" i="15" s="1"/>
  <c r="AA52" i="16" a="1"/>
  <c r="AA52" i="16" s="1"/>
  <c r="V76" i="15" a="1"/>
  <c r="V76" i="15" s="1"/>
  <c r="U76" i="15" a="1"/>
  <c r="U76" i="15" s="1"/>
  <c r="AD76" i="15"/>
  <c r="AF76" i="15" s="1"/>
  <c r="X93" i="15" a="1"/>
  <c r="X93" i="15" s="1"/>
  <c r="W93" i="15" a="1"/>
  <c r="W93" i="15" s="1"/>
  <c r="V93" i="15" a="1"/>
  <c r="V93" i="15" s="1"/>
  <c r="AF93" i="15"/>
  <c r="T93" i="15" a="1"/>
  <c r="T93" i="15" s="1"/>
  <c r="AD93" i="15"/>
  <c r="AB144" i="15" a="1"/>
  <c r="AB144" i="15" s="1"/>
  <c r="R144" i="15" a="1"/>
  <c r="R144" i="15" s="1"/>
  <c r="Z144" i="15" a="1"/>
  <c r="Z144" i="15" s="1"/>
  <c r="V144" i="15" a="1"/>
  <c r="V144" i="15" s="1"/>
  <c r="AF144" i="15"/>
  <c r="AD144" i="15"/>
  <c r="AC144" i="15" a="1"/>
  <c r="AC144" i="15" s="1"/>
  <c r="AA144" i="15" a="1"/>
  <c r="AA144" i="15" s="1"/>
  <c r="Y144" i="15" a="1"/>
  <c r="Y144" i="15" s="1"/>
  <c r="T144" i="15" a="1"/>
  <c r="T144" i="15" s="1"/>
  <c r="AA67" i="15" a="1"/>
  <c r="AA67" i="15" s="1"/>
  <c r="Z128" i="15" a="1"/>
  <c r="Z128" i="15" s="1"/>
  <c r="U128" i="15" a="1"/>
  <c r="U128" i="15" s="1"/>
  <c r="T128" i="15" a="1"/>
  <c r="T128" i="15" s="1"/>
  <c r="R128" i="15" a="1"/>
  <c r="R128" i="15" s="1"/>
  <c r="AB128" i="15" a="1"/>
  <c r="AB128" i="15" s="1"/>
  <c r="AA128" i="15" a="1"/>
  <c r="AA128" i="15" s="1"/>
  <c r="Y128" i="15" a="1"/>
  <c r="Y128" i="15" s="1"/>
  <c r="X128" i="15" a="1"/>
  <c r="X128" i="15" s="1"/>
  <c r="W128" i="15" a="1"/>
  <c r="W128" i="15" s="1"/>
  <c r="V128" i="15" a="1"/>
  <c r="V128" i="15" s="1"/>
  <c r="AF128" i="15"/>
  <c r="R76" i="15" a="1"/>
  <c r="R76" i="15" s="1"/>
  <c r="U78" i="15" a="1"/>
  <c r="U78" i="15" s="1"/>
  <c r="T78" i="15" a="1"/>
  <c r="T78" i="15" s="1"/>
  <c r="AD78" i="15"/>
  <c r="AF78" i="15" s="1"/>
  <c r="R93" i="15" a="1"/>
  <c r="R93" i="15" s="1"/>
  <c r="AF118" i="15"/>
  <c r="S128" i="15" a="1"/>
  <c r="S128" i="15" s="1"/>
  <c r="S144" i="15" a="1"/>
  <c r="S144" i="15" s="1"/>
  <c r="AD69" i="15"/>
  <c r="U89" i="15" a="1"/>
  <c r="U89" i="15" s="1"/>
  <c r="Y90" i="15" a="1"/>
  <c r="Y90" i="15" s="1"/>
  <c r="X90" i="15" a="1"/>
  <c r="X90" i="15" s="1"/>
  <c r="V90" i="15" a="1"/>
  <c r="V90" i="15" s="1"/>
  <c r="AB90" i="15" a="1"/>
  <c r="AB90" i="15" s="1"/>
  <c r="R90" i="15" a="1"/>
  <c r="R90" i="15" s="1"/>
  <c r="W94" i="15" a="1"/>
  <c r="W94" i="15" s="1"/>
  <c r="V94" i="15" a="1"/>
  <c r="V94" i="15" s="1"/>
  <c r="AF94" i="15"/>
  <c r="T94" i="15" a="1"/>
  <c r="T94" i="15" s="1"/>
  <c r="AD94" i="15"/>
  <c r="AC94" i="15" a="1"/>
  <c r="AC94" i="15" s="1"/>
  <c r="S94" i="15" a="1"/>
  <c r="S94" i="15" s="1"/>
  <c r="Z94" i="15" a="1"/>
  <c r="Z94" i="15" s="1"/>
  <c r="U144" i="15" a="1"/>
  <c r="U144" i="15" s="1"/>
  <c r="AA56" i="15" a="1"/>
  <c r="AA56" i="15" s="1"/>
  <c r="S76" i="15" a="1"/>
  <c r="S76" i="15" s="1"/>
  <c r="R78" i="15" a="1"/>
  <c r="R78" i="15" s="1"/>
  <c r="T80" i="15" a="1"/>
  <c r="T80" i="15" s="1"/>
  <c r="AD80" i="15"/>
  <c r="AC80" i="15" a="1"/>
  <c r="AC80" i="15" s="1"/>
  <c r="S80" i="15" a="1"/>
  <c r="S80" i="15" s="1"/>
  <c r="W80" i="15" a="1"/>
  <c r="W80" i="15" s="1"/>
  <c r="S93" i="15" a="1"/>
  <c r="S93" i="15" s="1"/>
  <c r="AC142" i="15" a="1"/>
  <c r="AC142" i="15" s="1"/>
  <c r="S142" i="15" a="1"/>
  <c r="S142" i="15" s="1"/>
  <c r="W142" i="15" a="1"/>
  <c r="W142" i="15" s="1"/>
  <c r="R142" i="15" a="1"/>
  <c r="R142" i="15" s="1"/>
  <c r="Y142" i="15" a="1"/>
  <c r="Y142" i="15" s="1"/>
  <c r="X142" i="15" a="1"/>
  <c r="X142" i="15" s="1"/>
  <c r="V142" i="15" a="1"/>
  <c r="V142" i="15" s="1"/>
  <c r="U142" i="15" a="1"/>
  <c r="U142" i="15" s="1"/>
  <c r="T142" i="15" a="1"/>
  <c r="T142" i="15" s="1"/>
  <c r="AD142" i="15"/>
  <c r="AF142" i="15" s="1"/>
  <c r="AB142" i="15" a="1"/>
  <c r="AB142" i="15" s="1"/>
  <c r="W144" i="15" a="1"/>
  <c r="W144" i="15" s="1"/>
  <c r="AA37" i="15" a="1"/>
  <c r="AA37" i="15" s="1"/>
  <c r="AA57" i="15" a="1"/>
  <c r="AA57" i="15" s="1"/>
  <c r="AD71" i="15"/>
  <c r="V89" i="15" a="1"/>
  <c r="V89" i="15" s="1"/>
  <c r="U93" i="15" a="1"/>
  <c r="U93" i="15" s="1"/>
  <c r="R94" i="15" a="1"/>
  <c r="R94" i="15" s="1"/>
  <c r="AC128" i="15" a="1"/>
  <c r="AC128" i="15" s="1"/>
  <c r="Z142" i="15" a="1"/>
  <c r="Z142" i="15" s="1"/>
  <c r="X144" i="15" a="1"/>
  <c r="X144" i="15" s="1"/>
  <c r="AA38" i="15" a="1"/>
  <c r="AA38" i="15" s="1"/>
  <c r="AA58" i="15" a="1"/>
  <c r="AA58" i="15" s="1"/>
  <c r="T76" i="15" a="1"/>
  <c r="T76" i="15" s="1"/>
  <c r="S78" i="15" a="1"/>
  <c r="S78" i="15" s="1"/>
  <c r="R80" i="15" a="1"/>
  <c r="R80" i="15" s="1"/>
  <c r="W89" i="15" a="1"/>
  <c r="W89" i="15" s="1"/>
  <c r="S90" i="15" a="1"/>
  <c r="S90" i="15" s="1"/>
  <c r="W95" i="15" a="1"/>
  <c r="W95" i="15" s="1"/>
  <c r="V95" i="15" a="1"/>
  <c r="V95" i="15" s="1"/>
  <c r="U95" i="15" a="1"/>
  <c r="U95" i="15" s="1"/>
  <c r="AD95" i="15"/>
  <c r="AF95" i="15" s="1"/>
  <c r="AC95" i="15" a="1"/>
  <c r="AC95" i="15" s="1"/>
  <c r="S95" i="15" a="1"/>
  <c r="S95" i="15" s="1"/>
  <c r="AD128" i="15"/>
  <c r="AF137" i="15"/>
  <c r="X151" i="15" a="1"/>
  <c r="X151" i="15" s="1"/>
  <c r="Z151" i="15" a="1"/>
  <c r="Z151" i="15" s="1"/>
  <c r="Y151" i="15" a="1"/>
  <c r="Y151" i="15" s="1"/>
  <c r="V151" i="15" a="1"/>
  <c r="V151" i="15" s="1"/>
  <c r="T151" i="15" a="1"/>
  <c r="T151" i="15" s="1"/>
  <c r="AD151" i="15"/>
  <c r="AF151" i="15" s="1"/>
  <c r="AC151" i="15" a="1"/>
  <c r="AC151" i="15" s="1"/>
  <c r="AB151" i="15" a="1"/>
  <c r="AB151" i="15" s="1"/>
  <c r="AA151" i="15" a="1"/>
  <c r="AA151" i="15" s="1"/>
  <c r="W151" i="15" a="1"/>
  <c r="W151" i="15" s="1"/>
  <c r="S151" i="15" a="1"/>
  <c r="S151" i="15" s="1"/>
  <c r="R151" i="15" a="1"/>
  <c r="R151" i="15" s="1"/>
  <c r="Z41" i="15" a="1"/>
  <c r="Z41" i="15" s="1"/>
  <c r="Z61" i="15" a="1"/>
  <c r="Z61" i="15" s="1"/>
  <c r="AD73" i="15"/>
  <c r="W76" i="15" a="1"/>
  <c r="W76" i="15" s="1"/>
  <c r="V78" i="15" a="1"/>
  <c r="V78" i="15" s="1"/>
  <c r="U80" i="15" a="1"/>
  <c r="U80" i="15" s="1"/>
  <c r="AA142" i="15" a="1"/>
  <c r="AA142" i="15" s="1"/>
  <c r="S56" i="15" a="1"/>
  <c r="S56" i="15" s="1"/>
  <c r="T90" i="15" a="1"/>
  <c r="T90" i="15" s="1"/>
  <c r="Y93" i="15" a="1"/>
  <c r="Y93" i="15" s="1"/>
  <c r="U94" i="15" a="1"/>
  <c r="U94" i="15" s="1"/>
  <c r="R95" i="15" a="1"/>
  <c r="R95" i="15" s="1"/>
  <c r="AA116" i="15" a="1"/>
  <c r="AA116" i="15" s="1"/>
  <c r="Z116" i="15" a="1"/>
  <c r="Z116" i="15" s="1"/>
  <c r="Y116" i="15" a="1"/>
  <c r="Y116" i="15" s="1"/>
  <c r="X116" i="15" a="1"/>
  <c r="X116" i="15" s="1"/>
  <c r="W116" i="15" a="1"/>
  <c r="W116" i="15" s="1"/>
  <c r="V116" i="15" a="1"/>
  <c r="V116" i="15" s="1"/>
  <c r="AD116" i="15"/>
  <c r="AF116" i="15" s="1"/>
  <c r="S71" i="15" a="1"/>
  <c r="S71" i="15" s="1"/>
  <c r="W75" i="15" a="1"/>
  <c r="W75" i="15" s="1"/>
  <c r="V75" i="15" a="1"/>
  <c r="V75" i="15" s="1"/>
  <c r="U75" i="15" a="1"/>
  <c r="U75" i="15" s="1"/>
  <c r="AD75" i="15"/>
  <c r="AF75" i="15" s="1"/>
  <c r="X76" i="15" a="1"/>
  <c r="X76" i="15" s="1"/>
  <c r="W78" i="15" a="1"/>
  <c r="W78" i="15" s="1"/>
  <c r="V80" i="15" a="1"/>
  <c r="V80" i="15" s="1"/>
  <c r="Z88" i="15" a="1"/>
  <c r="Z88" i="15" s="1"/>
  <c r="Y88" i="15" a="1"/>
  <c r="Y88" i="15" s="1"/>
  <c r="W88" i="15" a="1"/>
  <c r="W88" i="15" s="1"/>
  <c r="AC88" i="15" a="1"/>
  <c r="AC88" i="15" s="1"/>
  <c r="S88" i="15" a="1"/>
  <c r="S88" i="15" s="1"/>
  <c r="AA89" i="15" a="1"/>
  <c r="AA89" i="15" s="1"/>
  <c r="X94" i="15" a="1"/>
  <c r="X94" i="15" s="1"/>
  <c r="T95" i="15" a="1"/>
  <c r="T95" i="15" s="1"/>
  <c r="V96" i="15" a="1"/>
  <c r="V96" i="15" s="1"/>
  <c r="U96" i="15" a="1"/>
  <c r="U96" i="15" s="1"/>
  <c r="AC96" i="15" a="1"/>
  <c r="AC96" i="15" s="1"/>
  <c r="S96" i="15" a="1"/>
  <c r="S96" i="15" s="1"/>
  <c r="AB96" i="15" a="1"/>
  <c r="AB96" i="15" s="1"/>
  <c r="R96" i="15" a="1"/>
  <c r="R96" i="15" s="1"/>
  <c r="AA96" i="15" a="1"/>
  <c r="AA96" i="15" s="1"/>
  <c r="Y96" i="15" a="1"/>
  <c r="Y96" i="15" s="1"/>
  <c r="U151" i="15" a="1"/>
  <c r="U151" i="15" s="1"/>
  <c r="AD4" i="16"/>
  <c r="AF4" i="16" s="1"/>
  <c r="AA4" i="16" a="1"/>
  <c r="AA4" i="16" s="1"/>
  <c r="AD16" i="16"/>
  <c r="AA16" i="16" a="1"/>
  <c r="AA16" i="16" s="1"/>
  <c r="T16" i="16" a="1"/>
  <c r="T16" i="16" s="1"/>
  <c r="X133" i="15" a="1"/>
  <c r="X133" i="15" s="1"/>
  <c r="T133" i="15" a="1"/>
  <c r="T133" i="15" s="1"/>
  <c r="AC133" i="15" a="1"/>
  <c r="AC133" i="15" s="1"/>
  <c r="Z147" i="15" a="1"/>
  <c r="Z147" i="15" s="1"/>
  <c r="AF147" i="15"/>
  <c r="S147" i="15" a="1"/>
  <c r="S147" i="15" s="1"/>
  <c r="AC147" i="15" a="1"/>
  <c r="AC147" i="15" s="1"/>
  <c r="R147" i="15" a="1"/>
  <c r="R147" i="15" s="1"/>
  <c r="AA147" i="15" a="1"/>
  <c r="AA147" i="15" s="1"/>
  <c r="X147" i="15" a="1"/>
  <c r="X147" i="15" s="1"/>
  <c r="T7" i="16" a="1"/>
  <c r="T7" i="16" s="1"/>
  <c r="S7" i="16" a="1"/>
  <c r="S7" i="16" s="1"/>
  <c r="AD7" i="16"/>
  <c r="AD11" i="16"/>
  <c r="AA92" i="15" a="1"/>
  <c r="AA92" i="15" s="1"/>
  <c r="X98" i="15" a="1"/>
  <c r="X98" i="15" s="1"/>
  <c r="W112" i="15" a="1"/>
  <c r="W112" i="15" s="1"/>
  <c r="Z115" i="15" a="1"/>
  <c r="Z115" i="15" s="1"/>
  <c r="Y115" i="15" a="1"/>
  <c r="Y115" i="15" s="1"/>
  <c r="AB115" i="15" a="1"/>
  <c r="AB115" i="15" s="1"/>
  <c r="V123" i="15" a="1"/>
  <c r="V123" i="15" s="1"/>
  <c r="U123" i="15" a="1"/>
  <c r="U123" i="15" s="1"/>
  <c r="AC123" i="15" a="1"/>
  <c r="AC123" i="15" s="1"/>
  <c r="S123" i="15" a="1"/>
  <c r="S123" i="15" s="1"/>
  <c r="AF123" i="15"/>
  <c r="Z125" i="15" a="1"/>
  <c r="Z125" i="15" s="1"/>
  <c r="Y129" i="15" a="1"/>
  <c r="Y129" i="15" s="1"/>
  <c r="V136" i="15" a="1"/>
  <c r="V136" i="15" s="1"/>
  <c r="Z136" i="15" a="1"/>
  <c r="Z136" i="15" s="1"/>
  <c r="T136" i="15" a="1"/>
  <c r="T136" i="15" s="1"/>
  <c r="AA137" i="15" a="1"/>
  <c r="AA137" i="15" s="1"/>
  <c r="S133" i="15" a="1"/>
  <c r="S133" i="15" s="1"/>
  <c r="AB137" i="15" a="1"/>
  <c r="AB137" i="15" s="1"/>
  <c r="W42" i="16" a="1"/>
  <c r="W42" i="16" s="1"/>
  <c r="Y46" i="16" a="1"/>
  <c r="Y46" i="16" s="1"/>
  <c r="T46" i="16" a="1"/>
  <c r="T46" i="16" s="1"/>
  <c r="AD46" i="16"/>
  <c r="AF46" i="16" s="1"/>
  <c r="S46" i="16" a="1"/>
  <c r="S46" i="16" s="1"/>
  <c r="AA46" i="16" a="1"/>
  <c r="AA46" i="16" s="1"/>
  <c r="Y112" i="15" a="1"/>
  <c r="Y112" i="15" s="1"/>
  <c r="AB129" i="15" a="1"/>
  <c r="AB129" i="15" s="1"/>
  <c r="U133" i="15" a="1"/>
  <c r="U133" i="15" s="1"/>
  <c r="AC137" i="15" a="1"/>
  <c r="AC137" i="15" s="1"/>
  <c r="T63" i="16" a="1"/>
  <c r="T63" i="16" s="1"/>
  <c r="AA63" i="16" a="1"/>
  <c r="AA63" i="16" s="1"/>
  <c r="AD63" i="16"/>
  <c r="W63" i="16" a="1"/>
  <c r="W63" i="16" s="1"/>
  <c r="AA98" i="15" a="1"/>
  <c r="AA98" i="15" s="1"/>
  <c r="Z112" i="15" a="1"/>
  <c r="Z112" i="15" s="1"/>
  <c r="U125" i="15" a="1"/>
  <c r="U125" i="15" s="1"/>
  <c r="AF125" i="15"/>
  <c r="T125" i="15" a="1"/>
  <c r="T125" i="15" s="1"/>
  <c r="AB125" i="15" a="1"/>
  <c r="AB125" i="15" s="1"/>
  <c r="R125" i="15" a="1"/>
  <c r="R125" i="15" s="1"/>
  <c r="V133" i="15" a="1"/>
  <c r="V133" i="15" s="1"/>
  <c r="W134" i="15" a="1"/>
  <c r="W134" i="15" s="1"/>
  <c r="Y134" i="15" a="1"/>
  <c r="Y134" i="15" s="1"/>
  <c r="U134" i="15" a="1"/>
  <c r="U134" i="15" s="1"/>
  <c r="AD134" i="15"/>
  <c r="AF134" i="15" s="1"/>
  <c r="S134" i="15" a="1"/>
  <c r="S134" i="15" s="1"/>
  <c r="AA99" i="15" a="1"/>
  <c r="AA99" i="15" s="1"/>
  <c r="AA112" i="15" a="1"/>
  <c r="AA112" i="15" s="1"/>
  <c r="AD122" i="15"/>
  <c r="AF122" i="15" s="1"/>
  <c r="AC122" i="15" a="1"/>
  <c r="AC122" i="15" s="1"/>
  <c r="S122" i="15" a="1"/>
  <c r="S122" i="15" s="1"/>
  <c r="W133" i="15" a="1"/>
  <c r="W133" i="15" s="1"/>
  <c r="Z137" i="15" a="1"/>
  <c r="Z137" i="15" s="1"/>
  <c r="Y137" i="15" a="1"/>
  <c r="Y137" i="15" s="1"/>
  <c r="W137" i="15" a="1"/>
  <c r="W137" i="15" s="1"/>
  <c r="W147" i="15" a="1"/>
  <c r="W147" i="15" s="1"/>
  <c r="U92" i="15" a="1"/>
  <c r="U92" i="15" s="1"/>
  <c r="R98" i="15" a="1"/>
  <c r="R98" i="15" s="1"/>
  <c r="AB98" i="15" a="1"/>
  <c r="AB98" i="15" s="1"/>
  <c r="AA100" i="15" a="1"/>
  <c r="AA100" i="15" s="1"/>
  <c r="AB112" i="15" a="1"/>
  <c r="AB112" i="15" s="1"/>
  <c r="U115" i="15" a="1"/>
  <c r="U115" i="15" s="1"/>
  <c r="X119" i="15" a="1"/>
  <c r="X119" i="15" s="1"/>
  <c r="W119" i="15" a="1"/>
  <c r="W119" i="15" s="1"/>
  <c r="U119" i="15" a="1"/>
  <c r="U119" i="15" s="1"/>
  <c r="AC119" i="15" a="1"/>
  <c r="AC119" i="15" s="1"/>
  <c r="W123" i="15" a="1"/>
  <c r="W123" i="15" s="1"/>
  <c r="S125" i="15" a="1"/>
  <c r="S125" i="15" s="1"/>
  <c r="Y133" i="15" a="1"/>
  <c r="Y133" i="15" s="1"/>
  <c r="R134" i="15" a="1"/>
  <c r="R134" i="15" s="1"/>
  <c r="W136" i="15" a="1"/>
  <c r="W136" i="15" s="1"/>
  <c r="AA7" i="16" a="1"/>
  <c r="AA7" i="16" s="1"/>
  <c r="V23" i="16" a="1"/>
  <c r="V23" i="16" s="1"/>
  <c r="W23" i="16" a="1"/>
  <c r="W23" i="16" s="1"/>
  <c r="AD23" i="16"/>
  <c r="AF23" i="16" s="1"/>
  <c r="AA23" i="16" a="1"/>
  <c r="AA23" i="16" s="1"/>
  <c r="T23" i="16" a="1"/>
  <c r="T23" i="16" s="1"/>
  <c r="W43" i="16" a="1"/>
  <c r="W43" i="16" s="1"/>
  <c r="V129" i="15" a="1"/>
  <c r="V129" i="15" s="1"/>
  <c r="AC129" i="15" a="1"/>
  <c r="AC129" i="15" s="1"/>
  <c r="R129" i="15" a="1"/>
  <c r="R129" i="15" s="1"/>
  <c r="AA129" i="15" a="1"/>
  <c r="AA129" i="15" s="1"/>
  <c r="AC112" i="15" a="1"/>
  <c r="AC112" i="15" s="1"/>
  <c r="AF127" i="15"/>
  <c r="Z133" i="15" a="1"/>
  <c r="Z133" i="15" s="1"/>
  <c r="Y147" i="15" a="1"/>
  <c r="Y147" i="15" s="1"/>
  <c r="AA83" i="15" a="1"/>
  <c r="AA83" i="15" s="1"/>
  <c r="AD98" i="15"/>
  <c r="S99" i="15" a="1"/>
  <c r="S99" i="15" s="1"/>
  <c r="AC99" i="15" a="1"/>
  <c r="AC99" i="15" s="1"/>
  <c r="AA103" i="15" a="1"/>
  <c r="AA103" i="15" s="1"/>
  <c r="Z105" i="15" a="1"/>
  <c r="Z105" i="15" s="1"/>
  <c r="AD112" i="15"/>
  <c r="AB118" i="15" a="1"/>
  <c r="AB118" i="15" s="1"/>
  <c r="T122" i="15" a="1"/>
  <c r="T122" i="15" s="1"/>
  <c r="AC124" i="15" a="1"/>
  <c r="AC124" i="15" s="1"/>
  <c r="S129" i="15" a="1"/>
  <c r="S129" i="15" s="1"/>
  <c r="T134" i="15" a="1"/>
  <c r="T134" i="15" s="1"/>
  <c r="Y136" i="15" a="1"/>
  <c r="Y136" i="15" s="1"/>
  <c r="S137" i="15" a="1"/>
  <c r="S137" i="15" s="1"/>
  <c r="T140" i="15" a="1"/>
  <c r="T140" i="15" s="1"/>
  <c r="AD140" i="15"/>
  <c r="AF140" i="15" s="1"/>
  <c r="S140" i="15" a="1"/>
  <c r="S140" i="15" s="1"/>
  <c r="Z140" i="15" a="1"/>
  <c r="Z140" i="15" s="1"/>
  <c r="AB143" i="15" a="1"/>
  <c r="AB143" i="15" s="1"/>
  <c r="R143" i="15" a="1"/>
  <c r="R143" i="15" s="1"/>
  <c r="X143" i="15" a="1"/>
  <c r="X143" i="15" s="1"/>
  <c r="W143" i="15" a="1"/>
  <c r="W143" i="15" s="1"/>
  <c r="U143" i="15" a="1"/>
  <c r="U143" i="15" s="1"/>
  <c r="AF143" i="15"/>
  <c r="S143" i="15" a="1"/>
  <c r="S143" i="15" s="1"/>
  <c r="S23" i="16" a="1"/>
  <c r="S23" i="16" s="1"/>
  <c r="AD43" i="16"/>
  <c r="AF43" i="16" s="1"/>
  <c r="AA64" i="15" a="1"/>
  <c r="AA64" i="15" s="1"/>
  <c r="AA84" i="15" a="1"/>
  <c r="AA84" i="15" s="1"/>
  <c r="Z86" i="15" a="1"/>
  <c r="Z86" i="15" s="1"/>
  <c r="W92" i="15" a="1"/>
  <c r="W92" i="15" s="1"/>
  <c r="T98" i="15" a="1"/>
  <c r="T98" i="15" s="1"/>
  <c r="AF98" i="15"/>
  <c r="AD99" i="15"/>
  <c r="S100" i="15" a="1"/>
  <c r="S100" i="15" s="1"/>
  <c r="AC100" i="15" a="1"/>
  <c r="AC100" i="15" s="1"/>
  <c r="AA104" i="15" a="1"/>
  <c r="AA104" i="15" s="1"/>
  <c r="Z106" i="15" a="1"/>
  <c r="Z106" i="15" s="1"/>
  <c r="S112" i="15" a="1"/>
  <c r="S112" i="15" s="1"/>
  <c r="AF112" i="15"/>
  <c r="W115" i="15" a="1"/>
  <c r="W115" i="15" s="1"/>
  <c r="S119" i="15" a="1"/>
  <c r="S119" i="15" s="1"/>
  <c r="Y123" i="15" a="1"/>
  <c r="Y123" i="15" s="1"/>
  <c r="V125" i="15" a="1"/>
  <c r="V125" i="15" s="1"/>
  <c r="X132" i="15" a="1"/>
  <c r="X132" i="15" s="1"/>
  <c r="W132" i="15" a="1"/>
  <c r="W132" i="15" s="1"/>
  <c r="V132" i="15" a="1"/>
  <c r="V132" i="15" s="1"/>
  <c r="T132" i="15" a="1"/>
  <c r="T132" i="15" s="1"/>
  <c r="AF132" i="15"/>
  <c r="R132" i="15" a="1"/>
  <c r="R132" i="15" s="1"/>
  <c r="AA133" i="15" a="1"/>
  <c r="AA133" i="15" s="1"/>
  <c r="R140" i="15" a="1"/>
  <c r="R140" i="15" s="1"/>
  <c r="AB147" i="15" a="1"/>
  <c r="AB147" i="15" s="1"/>
  <c r="AC7" i="16" a="1"/>
  <c r="AC7" i="16" s="1"/>
  <c r="AD37" i="16"/>
  <c r="AF37" i="16" s="1"/>
  <c r="S37" i="16" a="1"/>
  <c r="S37" i="16" s="1"/>
  <c r="AA37" i="16" a="1"/>
  <c r="AA37" i="16" s="1"/>
  <c r="AD44" i="16"/>
  <c r="AF44" i="16" s="1"/>
  <c r="S44" i="16" a="1"/>
  <c r="S44" i="16" s="1"/>
  <c r="AA44" i="16" a="1"/>
  <c r="AA44" i="16" s="1"/>
  <c r="T44" i="16" a="1"/>
  <c r="T44" i="16" s="1"/>
  <c r="AA65" i="15" a="1"/>
  <c r="AA65" i="15" s="1"/>
  <c r="R83" i="15" a="1"/>
  <c r="R83" i="15" s="1"/>
  <c r="AB83" i="15" a="1"/>
  <c r="AB83" i="15" s="1"/>
  <c r="AA85" i="15" a="1"/>
  <c r="AA85" i="15" s="1"/>
  <c r="T99" i="15" a="1"/>
  <c r="T99" i="15" s="1"/>
  <c r="AF99" i="15"/>
  <c r="AD100" i="15"/>
  <c r="R103" i="15" a="1"/>
  <c r="R103" i="15" s="1"/>
  <c r="AB103" i="15" a="1"/>
  <c r="AB103" i="15" s="1"/>
  <c r="AA105" i="15" a="1"/>
  <c r="AA105" i="15" s="1"/>
  <c r="R118" i="15" a="1"/>
  <c r="R118" i="15" s="1"/>
  <c r="AC118" i="15" a="1"/>
  <c r="AC118" i="15" s="1"/>
  <c r="U122" i="15" a="1"/>
  <c r="U122" i="15" s="1"/>
  <c r="AB124" i="15" a="1"/>
  <c r="AB124" i="15" s="1"/>
  <c r="R124" i="15" a="1"/>
  <c r="R124" i="15" s="1"/>
  <c r="AF124" i="15"/>
  <c r="T129" i="15" a="1"/>
  <c r="T129" i="15" s="1"/>
  <c r="V134" i="15" a="1"/>
  <c r="V134" i="15" s="1"/>
  <c r="Y135" i="15" a="1"/>
  <c r="Y135" i="15" s="1"/>
  <c r="X135" i="15" a="1"/>
  <c r="X135" i="15" s="1"/>
  <c r="U135" i="15" a="1"/>
  <c r="U135" i="15" s="1"/>
  <c r="AF135" i="15"/>
  <c r="AA136" i="15" a="1"/>
  <c r="AA136" i="15" s="1"/>
  <c r="T137" i="15" a="1"/>
  <c r="T137" i="15" s="1"/>
  <c r="AD147" i="15"/>
  <c r="AA13" i="16" a="1"/>
  <c r="AA13" i="16" s="1"/>
  <c r="T60" i="16" a="1"/>
  <c r="T60" i="16" s="1"/>
  <c r="AA60" i="16" a="1"/>
  <c r="AA60" i="16" s="1"/>
  <c r="AD60" i="16"/>
  <c r="S60" i="16" a="1"/>
  <c r="S60" i="16" s="1"/>
  <c r="R84" i="15" a="1"/>
  <c r="R84" i="15" s="1"/>
  <c r="T100" i="15" a="1"/>
  <c r="T100" i="15" s="1"/>
  <c r="R104" i="15" a="1"/>
  <c r="R104" i="15" s="1"/>
  <c r="AB110" i="15" a="1"/>
  <c r="AB110" i="15" s="1"/>
  <c r="X115" i="15" a="1"/>
  <c r="X115" i="15" s="1"/>
  <c r="Y117" i="15" a="1"/>
  <c r="Y117" i="15" s="1"/>
  <c r="X117" i="15" a="1"/>
  <c r="X117" i="15" s="1"/>
  <c r="AB117" i="15" a="1"/>
  <c r="AB117" i="15" s="1"/>
  <c r="AD118" i="15"/>
  <c r="T119" i="15" a="1"/>
  <c r="T119" i="15" s="1"/>
  <c r="W121" i="15" a="1"/>
  <c r="W121" i="15" s="1"/>
  <c r="V121" i="15" a="1"/>
  <c r="V121" i="15" s="1"/>
  <c r="AF121" i="15"/>
  <c r="T121" i="15" a="1"/>
  <c r="T121" i="15" s="1"/>
  <c r="AD121" i="15"/>
  <c r="AC121" i="15" a="1"/>
  <c r="AC121" i="15" s="1"/>
  <c r="V122" i="15" a="1"/>
  <c r="V122" i="15" s="1"/>
  <c r="Z123" i="15" a="1"/>
  <c r="Z123" i="15" s="1"/>
  <c r="W125" i="15" a="1"/>
  <c r="W125" i="15" s="1"/>
  <c r="U129" i="15" a="1"/>
  <c r="U129" i="15" s="1"/>
  <c r="AB133" i="15" a="1"/>
  <c r="AB133" i="15" s="1"/>
  <c r="U137" i="15" a="1"/>
  <c r="U137" i="15" s="1"/>
  <c r="U138" i="15" a="1"/>
  <c r="U138" i="15" s="1"/>
  <c r="AA138" i="15" a="1"/>
  <c r="AA138" i="15" s="1"/>
  <c r="W138" i="15" a="1"/>
  <c r="W138" i="15" s="1"/>
  <c r="U140" i="15" a="1"/>
  <c r="U140" i="15" s="1"/>
  <c r="T143" i="15" a="1"/>
  <c r="T143" i="15" s="1"/>
  <c r="S83" i="15" a="1"/>
  <c r="S83" i="15" s="1"/>
  <c r="R85" i="15" a="1"/>
  <c r="R85" i="15" s="1"/>
  <c r="S103" i="15" a="1"/>
  <c r="S103" i="15" s="1"/>
  <c r="R105" i="15" a="1"/>
  <c r="R105" i="15" s="1"/>
  <c r="S118" i="15" a="1"/>
  <c r="S118" i="15" s="1"/>
  <c r="W122" i="15" a="1"/>
  <c r="W122" i="15" s="1"/>
  <c r="S124" i="15" a="1"/>
  <c r="S124" i="15" s="1"/>
  <c r="X134" i="15" a="1"/>
  <c r="X134" i="15" s="1"/>
  <c r="R135" i="15" a="1"/>
  <c r="R135" i="15" s="1"/>
  <c r="AB136" i="15" a="1"/>
  <c r="AB136" i="15" s="1"/>
  <c r="V137" i="15" a="1"/>
  <c r="V137" i="15" s="1"/>
  <c r="Y150" i="15" a="1"/>
  <c r="Y150" i="15" s="1"/>
  <c r="X150" i="15" a="1"/>
  <c r="X150" i="15" s="1"/>
  <c r="V150" i="15" a="1"/>
  <c r="V150" i="15" s="1"/>
  <c r="T150" i="15" a="1"/>
  <c r="T150" i="15" s="1"/>
  <c r="AD150" i="15"/>
  <c r="T17" i="16" a="1"/>
  <c r="T17" i="16" s="1"/>
  <c r="Z17" i="16" a="1"/>
  <c r="Z17" i="16" s="1"/>
  <c r="U17" i="16" a="1"/>
  <c r="U17" i="16" s="1"/>
  <c r="S17" i="16" a="1"/>
  <c r="S17" i="16" s="1"/>
  <c r="AD17" i="16"/>
  <c r="AA17" i="16" a="1"/>
  <c r="AA17" i="16" s="1"/>
  <c r="AD18" i="16"/>
  <c r="AF18" i="16" s="1"/>
  <c r="S18" i="16" a="1"/>
  <c r="S18" i="16" s="1"/>
  <c r="AA54" i="16" a="1"/>
  <c r="AA54" i="16" s="1"/>
  <c r="U54" i="16" a="1"/>
  <c r="U54" i="16" s="1"/>
  <c r="T54" i="16" a="1"/>
  <c r="T54" i="16" s="1"/>
  <c r="AD54" i="16"/>
  <c r="AF54" i="16" s="1"/>
  <c r="AB12" i="16" a="1"/>
  <c r="AB12" i="16" s="1"/>
  <c r="AA22" i="16" a="1"/>
  <c r="AA22" i="16" s="1"/>
  <c r="Z78" i="16" a="1"/>
  <c r="Z78" i="16" s="1"/>
  <c r="W78" i="16" a="1"/>
  <c r="W78" i="16" s="1"/>
  <c r="V78" i="16" a="1"/>
  <c r="V78" i="16" s="1"/>
  <c r="U78" i="16" a="1"/>
  <c r="U78" i="16" s="1"/>
  <c r="AD78" i="16"/>
  <c r="AA78" i="16" a="1"/>
  <c r="AA78" i="16" s="1"/>
  <c r="AC78" i="16" a="1"/>
  <c r="AC78" i="16" s="1"/>
  <c r="AB78" i="16" a="1"/>
  <c r="AB78" i="16" s="1"/>
  <c r="Y78" i="16" a="1"/>
  <c r="Y78" i="16" s="1"/>
  <c r="X78" i="16" a="1"/>
  <c r="X78" i="16" s="1"/>
  <c r="T78" i="16" a="1"/>
  <c r="T78" i="16" s="1"/>
  <c r="S78" i="16" a="1"/>
  <c r="S78" i="16" s="1"/>
  <c r="R78" i="16" a="1"/>
  <c r="R78" i="16" s="1"/>
  <c r="Y137" i="16" a="1"/>
  <c r="Y137" i="16" s="1"/>
  <c r="T137" i="16" a="1"/>
  <c r="T137" i="16" s="1"/>
  <c r="AA137" i="16" a="1"/>
  <c r="AA137" i="16" s="1"/>
  <c r="U137" i="16" a="1"/>
  <c r="U137" i="16" s="1"/>
  <c r="S137" i="16" a="1"/>
  <c r="S137" i="16" s="1"/>
  <c r="R137" i="16" a="1"/>
  <c r="R137" i="16" s="1"/>
  <c r="AB137" i="16" a="1"/>
  <c r="AB137" i="16" s="1"/>
  <c r="X137" i="16" a="1"/>
  <c r="X137" i="16" s="1"/>
  <c r="Z137" i="16" a="1"/>
  <c r="Z137" i="16" s="1"/>
  <c r="W137" i="16" a="1"/>
  <c r="W137" i="16" s="1"/>
  <c r="V137" i="16" a="1"/>
  <c r="V137" i="16" s="1"/>
  <c r="AD137" i="16"/>
  <c r="AF137" i="16" s="1"/>
  <c r="AC137" i="16" a="1"/>
  <c r="AC137" i="16" s="1"/>
  <c r="T26" i="16" a="1"/>
  <c r="T26" i="16" s="1"/>
  <c r="AB149" i="15" a="1"/>
  <c r="AB149" i="15" s="1"/>
  <c r="AD15" i="16"/>
  <c r="S15" i="16" a="1"/>
  <c r="S15" i="16" s="1"/>
  <c r="AA27" i="16" a="1"/>
  <c r="AA27" i="16" s="1"/>
  <c r="V54" i="16" a="1"/>
  <c r="V54" i="16" s="1"/>
  <c r="AC62" i="16" a="1"/>
  <c r="AC62" i="16" s="1"/>
  <c r="AD24" i="16"/>
  <c r="S24" i="16" a="1"/>
  <c r="S24" i="16" s="1"/>
  <c r="AA53" i="16" a="1"/>
  <c r="AA53" i="16" s="1"/>
  <c r="W22" i="16" a="1"/>
  <c r="W22" i="16" s="1"/>
  <c r="AD36" i="16"/>
  <c r="S36" i="16" a="1"/>
  <c r="S36" i="16" s="1"/>
  <c r="AC36" i="16" a="1"/>
  <c r="AC36" i="16" s="1"/>
  <c r="AA126" i="15" a="1"/>
  <c r="AA126" i="15" s="1"/>
  <c r="AC130" i="15" a="1"/>
  <c r="AC130" i="15" s="1"/>
  <c r="AB148" i="15" a="1"/>
  <c r="AB148" i="15" s="1"/>
  <c r="AD149" i="15"/>
  <c r="AF149" i="15" s="1"/>
  <c r="W152" i="15" a="1"/>
  <c r="W152" i="15" s="1"/>
  <c r="AD6" i="16"/>
  <c r="V18" i="16" a="1"/>
  <c r="V18" i="16" s="1"/>
  <c r="T36" i="16" a="1"/>
  <c r="T36" i="16" s="1"/>
  <c r="N157" i="16"/>
  <c r="A157" i="16"/>
  <c r="AB127" i="15" a="1"/>
  <c r="AB127" i="15" s="1"/>
  <c r="S130" i="15" a="1"/>
  <c r="S130" i="15" s="1"/>
  <c r="AD130" i="15"/>
  <c r="AF130" i="15" s="1"/>
  <c r="AD141" i="15"/>
  <c r="AF141" i="15" s="1"/>
  <c r="AC141" i="15" a="1"/>
  <c r="AC141" i="15" s="1"/>
  <c r="S141" i="15" a="1"/>
  <c r="S141" i="15" s="1"/>
  <c r="AB141" i="15" a="1"/>
  <c r="AB141" i="15" s="1"/>
  <c r="S149" i="15" a="1"/>
  <c r="S149" i="15" s="1"/>
  <c r="S6" i="16" a="1"/>
  <c r="S6" i="16" s="1"/>
  <c r="AC54" i="16" a="1"/>
  <c r="AC54" i="16" s="1"/>
  <c r="W61" i="16" a="1"/>
  <c r="W61" i="16" s="1"/>
  <c r="V61" i="16" a="1"/>
  <c r="V61" i="16" s="1"/>
  <c r="U61" i="16" a="1"/>
  <c r="U61" i="16" s="1"/>
  <c r="AA61" i="16" a="1"/>
  <c r="AA61" i="16" s="1"/>
  <c r="U64" i="16" a="1"/>
  <c r="U64" i="16" s="1"/>
  <c r="T64" i="16" a="1"/>
  <c r="T64" i="16" s="1"/>
  <c r="AD64" i="16"/>
  <c r="AF64" i="16" s="1"/>
  <c r="V64" i="16" a="1"/>
  <c r="V64" i="16" s="1"/>
  <c r="S64" i="16" a="1"/>
  <c r="S64" i="16" s="1"/>
  <c r="AB64" i="16" a="1"/>
  <c r="AB64" i="16" s="1"/>
  <c r="AA64" i="16" a="1"/>
  <c r="AA64" i="16" s="1"/>
  <c r="AD10" i="16"/>
  <c r="AF10" i="16" s="1"/>
  <c r="S10" i="16" a="1"/>
  <c r="S10" i="16" s="1"/>
  <c r="X19" i="16" a="1"/>
  <c r="X19" i="16" s="1"/>
  <c r="U19" i="16" a="1"/>
  <c r="U19" i="16" s="1"/>
  <c r="AA19" i="16" a="1"/>
  <c r="AA19" i="16" s="1"/>
  <c r="AD19" i="16"/>
  <c r="AF19" i="16" s="1"/>
  <c r="T22" i="16" a="1"/>
  <c r="T22" i="16" s="1"/>
  <c r="V26" i="16" a="1"/>
  <c r="V26" i="16" s="1"/>
  <c r="AF27" i="16"/>
  <c r="T27" i="16" a="1"/>
  <c r="T27" i="16" s="1"/>
  <c r="X27" i="16" a="1"/>
  <c r="X27" i="16" s="1"/>
  <c r="U27" i="16" a="1"/>
  <c r="U27" i="16" s="1"/>
  <c r="AA111" i="15" a="1"/>
  <c r="AA111" i="15" s="1"/>
  <c r="Z113" i="15" a="1"/>
  <c r="Z113" i="15" s="1"/>
  <c r="U130" i="15" a="1"/>
  <c r="U130" i="15" s="1"/>
  <c r="T141" i="15" a="1"/>
  <c r="T141" i="15" s="1"/>
  <c r="U149" i="15" a="1"/>
  <c r="U149" i="15" s="1"/>
  <c r="AB153" i="15" a="1"/>
  <c r="AB153" i="15" s="1"/>
  <c r="U29" i="16" a="1"/>
  <c r="U29" i="16" s="1"/>
  <c r="AA30" i="16" a="1"/>
  <c r="AA30" i="16" s="1"/>
  <c r="Z30" i="16" a="1"/>
  <c r="Z30" i="16" s="1"/>
  <c r="W36" i="16" a="1"/>
  <c r="W36" i="16" s="1"/>
  <c r="T38" i="16" a="1"/>
  <c r="T38" i="16" s="1"/>
  <c r="AD38" i="16"/>
  <c r="AF38" i="16" s="1"/>
  <c r="S38" i="16" a="1"/>
  <c r="S38" i="16" s="1"/>
  <c r="AC38" i="16" a="1"/>
  <c r="AC38" i="16" s="1"/>
  <c r="U51" i="16" a="1"/>
  <c r="U51" i="16" s="1"/>
  <c r="T51" i="16" a="1"/>
  <c r="T51" i="16" s="1"/>
  <c r="AA51" i="16" a="1"/>
  <c r="AA51" i="16" s="1"/>
  <c r="Z51" i="16" a="1"/>
  <c r="Z51" i="16" s="1"/>
  <c r="X51" i="16" a="1"/>
  <c r="X51" i="16" s="1"/>
  <c r="X58" i="16" a="1"/>
  <c r="X58" i="16" s="1"/>
  <c r="W58" i="16" a="1"/>
  <c r="W58" i="16" s="1"/>
  <c r="U58" i="16" a="1"/>
  <c r="U58" i="16" s="1"/>
  <c r="S58" i="16" a="1"/>
  <c r="S58" i="16" s="1"/>
  <c r="T61" i="16" a="1"/>
  <c r="T61" i="16" s="1"/>
  <c r="R111" i="15" a="1"/>
  <c r="R111" i="15" s="1"/>
  <c r="V130" i="15" a="1"/>
  <c r="V130" i="15" s="1"/>
  <c r="AF139" i="15"/>
  <c r="T139" i="15" a="1"/>
  <c r="T139" i="15" s="1"/>
  <c r="AB139" i="15" a="1"/>
  <c r="AB139" i="15" s="1"/>
  <c r="U141" i="15" a="1"/>
  <c r="U141" i="15" s="1"/>
  <c r="V149" i="15" a="1"/>
  <c r="V149" i="15" s="1"/>
  <c r="W6" i="16" a="1"/>
  <c r="W6" i="16" s="1"/>
  <c r="T10" i="16" a="1"/>
  <c r="T10" i="16" s="1"/>
  <c r="Z18" i="16" a="1"/>
  <c r="Z18" i="16" s="1"/>
  <c r="U25" i="16" a="1"/>
  <c r="U25" i="16" s="1"/>
  <c r="X25" i="16" a="1"/>
  <c r="X25" i="16" s="1"/>
  <c r="W25" i="16" a="1"/>
  <c r="W25" i="16" s="1"/>
  <c r="AF25" i="16"/>
  <c r="X39" i="16" a="1"/>
  <c r="X39" i="16" s="1"/>
  <c r="U39" i="16" a="1"/>
  <c r="U39" i="16" s="1"/>
  <c r="T39" i="16" a="1"/>
  <c r="T39" i="16" s="1"/>
  <c r="AD39" i="16"/>
  <c r="S39" i="16" a="1"/>
  <c r="S39" i="16" s="1"/>
  <c r="AA39" i="16" a="1"/>
  <c r="AA39" i="16" s="1"/>
  <c r="Z39" i="16" a="1"/>
  <c r="Z39" i="16" s="1"/>
  <c r="W39" i="16" a="1"/>
  <c r="W39" i="16" s="1"/>
  <c r="Z64" i="16" a="1"/>
  <c r="Z64" i="16" s="1"/>
  <c r="AB152" i="15" a="1"/>
  <c r="AB152" i="15" s="1"/>
  <c r="T9" i="16" a="1"/>
  <c r="T9" i="16" s="1"/>
  <c r="AD9" i="16"/>
  <c r="AF9" i="16" s="1"/>
  <c r="AB9" i="16" a="1"/>
  <c r="AB9" i="16" s="1"/>
  <c r="X15" i="16" a="1"/>
  <c r="X15" i="16" s="1"/>
  <c r="AA18" i="16" a="1"/>
  <c r="AA18" i="16" s="1"/>
  <c r="S19" i="16" a="1"/>
  <c r="S19" i="16" s="1"/>
  <c r="W21" i="16" a="1"/>
  <c r="W21" i="16" s="1"/>
  <c r="S27" i="16" a="1"/>
  <c r="S27" i="16" s="1"/>
  <c r="W29" i="16" a="1"/>
  <c r="W29" i="16" s="1"/>
  <c r="Z36" i="16" a="1"/>
  <c r="Z36" i="16" s="1"/>
  <c r="AD48" i="16"/>
  <c r="AC48" i="16" a="1"/>
  <c r="AC48" i="16" s="1"/>
  <c r="S48" i="16" a="1"/>
  <c r="S48" i="16" s="1"/>
  <c r="AA48" i="16" a="1"/>
  <c r="AA48" i="16" s="1"/>
  <c r="Z48" i="16" a="1"/>
  <c r="Z48" i="16" s="1"/>
  <c r="T48" i="16" a="1"/>
  <c r="T48" i="16" s="1"/>
  <c r="V51" i="16" a="1"/>
  <c r="V51" i="16" s="1"/>
  <c r="X61" i="16" a="1"/>
  <c r="X61" i="16" s="1"/>
  <c r="AB89" i="16" a="1"/>
  <c r="AB89" i="16" s="1"/>
  <c r="R89" i="16" a="1"/>
  <c r="R89" i="16" s="1"/>
  <c r="X89" i="16" a="1"/>
  <c r="X89" i="16" s="1"/>
  <c r="V89" i="16" a="1"/>
  <c r="V89" i="16" s="1"/>
  <c r="T89" i="16" a="1"/>
  <c r="T89" i="16" s="1"/>
  <c r="AD89" i="16"/>
  <c r="AF89" i="16" s="1"/>
  <c r="AC89" i="16" a="1"/>
  <c r="AC89" i="16" s="1"/>
  <c r="Y89" i="16" a="1"/>
  <c r="Y89" i="16" s="1"/>
  <c r="S89" i="16" a="1"/>
  <c r="S89" i="16" s="1"/>
  <c r="T47" i="16" a="1"/>
  <c r="T47" i="16" s="1"/>
  <c r="AD47" i="16"/>
  <c r="AF47" i="16" s="1"/>
  <c r="U69" i="16" a="1"/>
  <c r="U69" i="16" s="1"/>
  <c r="V69" i="16" a="1"/>
  <c r="V69" i="16" s="1"/>
  <c r="T69" i="16" a="1"/>
  <c r="T69" i="16" s="1"/>
  <c r="AF69" i="16"/>
  <c r="AC73" i="16" a="1"/>
  <c r="AC73" i="16" s="1"/>
  <c r="S73" i="16" a="1"/>
  <c r="S73" i="16" s="1"/>
  <c r="Z73" i="16" a="1"/>
  <c r="Z73" i="16" s="1"/>
  <c r="V73" i="16" a="1"/>
  <c r="V73" i="16" s="1"/>
  <c r="V101" i="16" a="1"/>
  <c r="V101" i="16" s="1"/>
  <c r="AD101" i="16"/>
  <c r="AF101" i="16" s="1"/>
  <c r="S101" i="16" a="1"/>
  <c r="S101" i="16" s="1"/>
  <c r="AC101" i="16" a="1"/>
  <c r="AC101" i="16" s="1"/>
  <c r="R101" i="16" a="1"/>
  <c r="R101" i="16" s="1"/>
  <c r="AB101" i="16" a="1"/>
  <c r="AB101" i="16" s="1"/>
  <c r="Z101" i="16" a="1"/>
  <c r="Z101" i="16" s="1"/>
  <c r="Y101" i="16" a="1"/>
  <c r="Y101" i="16" s="1"/>
  <c r="U101" i="16" a="1"/>
  <c r="U101" i="16" s="1"/>
  <c r="U65" i="16" a="1"/>
  <c r="U65" i="16" s="1"/>
  <c r="T65" i="16" a="1"/>
  <c r="T65" i="16" s="1"/>
  <c r="AD65" i="16"/>
  <c r="AC65" i="16" a="1"/>
  <c r="AC65" i="16" s="1"/>
  <c r="S65" i="16" a="1"/>
  <c r="S65" i="16" s="1"/>
  <c r="T101" i="16" a="1"/>
  <c r="T101" i="16" s="1"/>
  <c r="T170" i="16" a="1"/>
  <c r="T170" i="16" s="1"/>
  <c r="AD170" i="16"/>
  <c r="W170" i="16" a="1"/>
  <c r="W170" i="16" s="1"/>
  <c r="S170" i="16" a="1"/>
  <c r="S170" i="16" s="1"/>
  <c r="AC170" i="16" a="1"/>
  <c r="AC170" i="16" s="1"/>
  <c r="AA170" i="16" a="1"/>
  <c r="AA170" i="16" s="1"/>
  <c r="Z42" i="16" a="1"/>
  <c r="Z42" i="16" s="1"/>
  <c r="U45" i="16" a="1"/>
  <c r="U45" i="16" s="1"/>
  <c r="X56" i="16" a="1"/>
  <c r="X56" i="16" s="1"/>
  <c r="AD56" i="16"/>
  <c r="V67" i="16" a="1"/>
  <c r="V67" i="16" s="1"/>
  <c r="T67" i="16" a="1"/>
  <c r="T67" i="16" s="1"/>
  <c r="AD67" i="16"/>
  <c r="S67" i="16" a="1"/>
  <c r="S67" i="16" s="1"/>
  <c r="AC67" i="16" a="1"/>
  <c r="AC67" i="16" s="1"/>
  <c r="U89" i="16" a="1"/>
  <c r="U89" i="16" s="1"/>
  <c r="U67" i="16" a="1"/>
  <c r="U67" i="16" s="1"/>
  <c r="X101" i="16" a="1"/>
  <c r="X101" i="16" s="1"/>
  <c r="AD86" i="16"/>
  <c r="AF86" i="16" s="1"/>
  <c r="V86" i="16" a="1"/>
  <c r="V86" i="16" s="1"/>
  <c r="Y86" i="16" a="1"/>
  <c r="Y86" i="16" s="1"/>
  <c r="X86" i="16" a="1"/>
  <c r="X86" i="16" s="1"/>
  <c r="W86" i="16" a="1"/>
  <c r="W86" i="16" s="1"/>
  <c r="S86" i="16" a="1"/>
  <c r="S86" i="16" s="1"/>
  <c r="AB86" i="16" a="1"/>
  <c r="AB86" i="16" s="1"/>
  <c r="AA86" i="16" a="1"/>
  <c r="AA86" i="16" s="1"/>
  <c r="Z89" i="16" a="1"/>
  <c r="Z89" i="16" s="1"/>
  <c r="AF45" i="16"/>
  <c r="U47" i="16" a="1"/>
  <c r="U47" i="16" s="1"/>
  <c r="X82" i="16" a="1"/>
  <c r="X82" i="16" s="1"/>
  <c r="V82" i="16" a="1"/>
  <c r="V82" i="16" s="1"/>
  <c r="U82" i="16" a="1"/>
  <c r="U82" i="16" s="1"/>
  <c r="T82" i="16" a="1"/>
  <c r="T82" i="16" s="1"/>
  <c r="AD82" i="16"/>
  <c r="AC82" i="16" a="1"/>
  <c r="AC82" i="16" s="1"/>
  <c r="Z82" i="16" a="1"/>
  <c r="Z82" i="16" s="1"/>
  <c r="T56" i="16" a="1"/>
  <c r="T56" i="16" s="1"/>
  <c r="V62" i="16" a="1"/>
  <c r="V62" i="16" s="1"/>
  <c r="U62" i="16" a="1"/>
  <c r="U62" i="16" s="1"/>
  <c r="AD62" i="16"/>
  <c r="W65" i="16" a="1"/>
  <c r="W65" i="16" s="1"/>
  <c r="W67" i="16" a="1"/>
  <c r="W67" i="16" s="1"/>
  <c r="X69" i="16" a="1"/>
  <c r="X69" i="16" s="1"/>
  <c r="V70" i="16" a="1"/>
  <c r="V70" i="16" s="1"/>
  <c r="U70" i="16" a="1"/>
  <c r="U70" i="16" s="1"/>
  <c r="T70" i="16" a="1"/>
  <c r="T70" i="16" s="1"/>
  <c r="W73" i="16" a="1"/>
  <c r="W73" i="16" s="1"/>
  <c r="R86" i="16" a="1"/>
  <c r="R86" i="16" s="1"/>
  <c r="AA89" i="16" a="1"/>
  <c r="AA89" i="16" s="1"/>
  <c r="AA101" i="16" a="1"/>
  <c r="AA101" i="16" s="1"/>
  <c r="AF105" i="16"/>
  <c r="T105" i="16" a="1"/>
  <c r="T105" i="16" s="1"/>
  <c r="V105" i="16" a="1"/>
  <c r="V105" i="16" s="1"/>
  <c r="U105" i="16" a="1"/>
  <c r="U105" i="16" s="1"/>
  <c r="AB105" i="16" a="1"/>
  <c r="AB105" i="16" s="1"/>
  <c r="X105" i="16" a="1"/>
  <c r="X105" i="16" s="1"/>
  <c r="W105" i="16" a="1"/>
  <c r="W105" i="16" s="1"/>
  <c r="S105" i="16" a="1"/>
  <c r="S105" i="16" s="1"/>
  <c r="AA105" i="16" a="1"/>
  <c r="AA105" i="16" s="1"/>
  <c r="Z105" i="16" a="1"/>
  <c r="Z105" i="16" s="1"/>
  <c r="U125" i="16" a="1"/>
  <c r="U125" i="16" s="1"/>
  <c r="Y125" i="16" a="1"/>
  <c r="Y125" i="16" s="1"/>
  <c r="Z125" i="16" a="1"/>
  <c r="Z125" i="16" s="1"/>
  <c r="X125" i="16" a="1"/>
  <c r="X125" i="16" s="1"/>
  <c r="T125" i="16" a="1"/>
  <c r="T125" i="16" s="1"/>
  <c r="AD125" i="16"/>
  <c r="AF125" i="16" s="1"/>
  <c r="AB125" i="16" a="1"/>
  <c r="AB125" i="16" s="1"/>
  <c r="AA125" i="16" a="1"/>
  <c r="AA125" i="16" s="1"/>
  <c r="W125" i="16" a="1"/>
  <c r="W125" i="16" s="1"/>
  <c r="V125" i="16" a="1"/>
  <c r="V125" i="16" s="1"/>
  <c r="S125" i="16" a="1"/>
  <c r="S125" i="16" s="1"/>
  <c r="AC125" i="16" a="1"/>
  <c r="AC125" i="16" s="1"/>
  <c r="Y81" i="16" a="1"/>
  <c r="Y81" i="16" s="1"/>
  <c r="W81" i="16" a="1"/>
  <c r="W81" i="16" s="1"/>
  <c r="S81" i="16" a="1"/>
  <c r="S81" i="16" s="1"/>
  <c r="AD81" i="16"/>
  <c r="R81" i="16" a="1"/>
  <c r="R81" i="16" s="1"/>
  <c r="AC81" i="16" a="1"/>
  <c r="AC81" i="16" s="1"/>
  <c r="V81" i="16" a="1"/>
  <c r="V81" i="16" s="1"/>
  <c r="Z94" i="16" a="1"/>
  <c r="Z94" i="16" s="1"/>
  <c r="X94" i="16" a="1"/>
  <c r="X94" i="16" s="1"/>
  <c r="V94" i="16" a="1"/>
  <c r="V94" i="16" s="1"/>
  <c r="W94" i="16" a="1"/>
  <c r="W94" i="16" s="1"/>
  <c r="U94" i="16" a="1"/>
  <c r="U94" i="16" s="1"/>
  <c r="S94" i="16" a="1"/>
  <c r="S94" i="16" s="1"/>
  <c r="AC94" i="16" a="1"/>
  <c r="AC94" i="16" s="1"/>
  <c r="AB94" i="16" a="1"/>
  <c r="AB94" i="16" s="1"/>
  <c r="AC159" i="16" a="1"/>
  <c r="AC159" i="16" s="1"/>
  <c r="U212" i="16" a="1"/>
  <c r="U212" i="16" s="1"/>
  <c r="T42" i="16" a="1"/>
  <c r="T42" i="16" s="1"/>
  <c r="W47" i="16" a="1"/>
  <c r="W47" i="16" s="1"/>
  <c r="Z55" i="16" a="1"/>
  <c r="Z55" i="16" s="1"/>
  <c r="X55" i="16" a="1"/>
  <c r="X55" i="16" s="1"/>
  <c r="AD55" i="16"/>
  <c r="AF55" i="16" s="1"/>
  <c r="U68" i="16" a="1"/>
  <c r="U68" i="16" s="1"/>
  <c r="T68" i="16" a="1"/>
  <c r="T68" i="16" s="1"/>
  <c r="AD68" i="16"/>
  <c r="AF68" i="16" s="1"/>
  <c r="S68" i="16" a="1"/>
  <c r="S68" i="16" s="1"/>
  <c r="S70" i="16" a="1"/>
  <c r="S70" i="16" s="1"/>
  <c r="AA73" i="16" a="1"/>
  <c r="AA73" i="16" s="1"/>
  <c r="W85" i="16" a="1"/>
  <c r="W85" i="16" s="1"/>
  <c r="U85" i="16" a="1"/>
  <c r="U85" i="16" s="1"/>
  <c r="AC85" i="16" a="1"/>
  <c r="AC85" i="16" s="1"/>
  <c r="S85" i="16" a="1"/>
  <c r="S85" i="16" s="1"/>
  <c r="T85" i="16" a="1"/>
  <c r="T85" i="16" s="1"/>
  <c r="R85" i="16" a="1"/>
  <c r="R85" i="16" s="1"/>
  <c r="AA85" i="16" a="1"/>
  <c r="AA85" i="16" s="1"/>
  <c r="X85" i="16" a="1"/>
  <c r="X85" i="16" s="1"/>
  <c r="R94" i="16" a="1"/>
  <c r="R94" i="16" s="1"/>
  <c r="V143" i="16" a="1"/>
  <c r="V143" i="16" s="1"/>
  <c r="X143" i="16" a="1"/>
  <c r="X143" i="16" s="1"/>
  <c r="W143" i="16" a="1"/>
  <c r="W143" i="16" s="1"/>
  <c r="AA143" i="16" a="1"/>
  <c r="AA143" i="16" s="1"/>
  <c r="Z143" i="16" a="1"/>
  <c r="Z143" i="16" s="1"/>
  <c r="U143" i="16" a="1"/>
  <c r="U143" i="16" s="1"/>
  <c r="S143" i="16" a="1"/>
  <c r="S143" i="16" s="1"/>
  <c r="R143" i="16" a="1"/>
  <c r="R143" i="16" s="1"/>
  <c r="AC143" i="16" a="1"/>
  <c r="AC143" i="16" s="1"/>
  <c r="Y143" i="16" a="1"/>
  <c r="Y143" i="16" s="1"/>
  <c r="T143" i="16" a="1"/>
  <c r="T143" i="16" s="1"/>
  <c r="AD143" i="16"/>
  <c r="AF143" i="16" s="1"/>
  <c r="Z35" i="16" a="1"/>
  <c r="Z35" i="16" s="1"/>
  <c r="AF40" i="16"/>
  <c r="AC50" i="16" a="1"/>
  <c r="AC50" i="16" s="1"/>
  <c r="V56" i="16" a="1"/>
  <c r="V56" i="16" s="1"/>
  <c r="S62" i="16" a="1"/>
  <c r="S62" i="16" s="1"/>
  <c r="T66" i="16" a="1"/>
  <c r="T66" i="16" s="1"/>
  <c r="AD66" i="16"/>
  <c r="AC66" i="16" a="1"/>
  <c r="AC66" i="16" s="1"/>
  <c r="S66" i="16" a="1"/>
  <c r="S66" i="16" s="1"/>
  <c r="Z69" i="16" a="1"/>
  <c r="Z69" i="16" s="1"/>
  <c r="U81" i="16" a="1"/>
  <c r="U81" i="16" s="1"/>
  <c r="W82" i="16" a="1"/>
  <c r="W82" i="16" s="1"/>
  <c r="Y105" i="16" a="1"/>
  <c r="Y105" i="16" s="1"/>
  <c r="AB108" i="16" a="1"/>
  <c r="AB108" i="16" s="1"/>
  <c r="R108" i="16" a="1"/>
  <c r="R108" i="16" s="1"/>
  <c r="Y108" i="16" a="1"/>
  <c r="Y108" i="16" s="1"/>
  <c r="X108" i="16" a="1"/>
  <c r="X108" i="16" s="1"/>
  <c r="W108" i="16" a="1"/>
  <c r="W108" i="16" s="1"/>
  <c r="U108" i="16" a="1"/>
  <c r="U108" i="16" s="1"/>
  <c r="T108" i="16" a="1"/>
  <c r="T108" i="16" s="1"/>
  <c r="AA108" i="16" a="1"/>
  <c r="AA108" i="16" s="1"/>
  <c r="Z108" i="16" a="1"/>
  <c r="Z108" i="16" s="1"/>
  <c r="S108" i="16" a="1"/>
  <c r="S108" i="16" s="1"/>
  <c r="AF108" i="16"/>
  <c r="U168" i="16" a="1"/>
  <c r="U168" i="16" s="1"/>
  <c r="AA12" i="16" a="1"/>
  <c r="AA12" i="16" s="1"/>
  <c r="T20" i="16" a="1"/>
  <c r="T20" i="16" s="1"/>
  <c r="T40" i="16" a="1"/>
  <c r="T40" i="16" s="1"/>
  <c r="U42" i="16" a="1"/>
  <c r="U42" i="16" s="1"/>
  <c r="X47" i="16" a="1"/>
  <c r="X47" i="16" s="1"/>
  <c r="AD50" i="16"/>
  <c r="AF50" i="16" s="1"/>
  <c r="X57" i="16" a="1"/>
  <c r="X57" i="16" s="1"/>
  <c r="W57" i="16" a="1"/>
  <c r="W57" i="16" s="1"/>
  <c r="AD57" i="16"/>
  <c r="W70" i="16" a="1"/>
  <c r="W70" i="16" s="1"/>
  <c r="T71" i="16" a="1"/>
  <c r="T71" i="16" s="1"/>
  <c r="AD71" i="16"/>
  <c r="W71" i="16" a="1"/>
  <c r="W71" i="16" s="1"/>
  <c r="V71" i="16" a="1"/>
  <c r="V71" i="16" s="1"/>
  <c r="AC71" i="16" a="1"/>
  <c r="AC71" i="16" s="1"/>
  <c r="Z71" i="16" a="1"/>
  <c r="Z71" i="16" s="1"/>
  <c r="Z86" i="16" a="1"/>
  <c r="Z86" i="16" s="1"/>
  <c r="T94" i="16" a="1"/>
  <c r="T94" i="16" s="1"/>
  <c r="Y114" i="16" a="1"/>
  <c r="Y114" i="16" s="1"/>
  <c r="W114" i="16" a="1"/>
  <c r="W114" i="16" s="1"/>
  <c r="V114" i="16" a="1"/>
  <c r="V114" i="16" s="1"/>
  <c r="U114" i="16" a="1"/>
  <c r="U114" i="16" s="1"/>
  <c r="S114" i="16" a="1"/>
  <c r="S114" i="16" s="1"/>
  <c r="AD114" i="16"/>
  <c r="AF114" i="16" s="1"/>
  <c r="AC114" i="16" a="1"/>
  <c r="AC114" i="16" s="1"/>
  <c r="R114" i="16" a="1"/>
  <c r="R114" i="16" s="1"/>
  <c r="AA114" i="16" a="1"/>
  <c r="AA114" i="16" s="1"/>
  <c r="Z114" i="16" a="1"/>
  <c r="Z114" i="16" s="1"/>
  <c r="T114" i="16" a="1"/>
  <c r="T114" i="16" s="1"/>
  <c r="AB143" i="16" a="1"/>
  <c r="AB143" i="16" s="1"/>
  <c r="AA33" i="16" a="1"/>
  <c r="AA33" i="16" s="1"/>
  <c r="W56" i="16" a="1"/>
  <c r="W56" i="16" s="1"/>
  <c r="T62" i="16" a="1"/>
  <c r="T62" i="16" s="1"/>
  <c r="Z65" i="16" a="1"/>
  <c r="Z65" i="16" s="1"/>
  <c r="Z67" i="16" a="1"/>
  <c r="Z67" i="16" s="1"/>
  <c r="AA69" i="16" a="1"/>
  <c r="AA69" i="16" s="1"/>
  <c r="AD73" i="16"/>
  <c r="X81" i="16" a="1"/>
  <c r="X81" i="16" s="1"/>
  <c r="Y82" i="16" a="1"/>
  <c r="Y82" i="16" s="1"/>
  <c r="V85" i="16" a="1"/>
  <c r="V85" i="16" s="1"/>
  <c r="T102" i="16" a="1"/>
  <c r="T102" i="16" s="1"/>
  <c r="AD102" i="16"/>
  <c r="AF102" i="16" s="1"/>
  <c r="S102" i="16" a="1"/>
  <c r="S102" i="16" s="1"/>
  <c r="AC102" i="16" a="1"/>
  <c r="AC102" i="16" s="1"/>
  <c r="R102" i="16" a="1"/>
  <c r="R102" i="16" s="1"/>
  <c r="Y102" i="16" a="1"/>
  <c r="Y102" i="16" s="1"/>
  <c r="X102" i="16" a="1"/>
  <c r="X102" i="16" s="1"/>
  <c r="U102" i="16" a="1"/>
  <c r="U102" i="16" s="1"/>
  <c r="AB102" i="16" a="1"/>
  <c r="AB102" i="16" s="1"/>
  <c r="AC35" i="16" a="1"/>
  <c r="AC35" i="16" s="1"/>
  <c r="V42" i="16" a="1"/>
  <c r="V42" i="16" s="1"/>
  <c r="S49" i="16" a="1"/>
  <c r="S49" i="16" s="1"/>
  <c r="S55" i="16" a="1"/>
  <c r="S55" i="16" s="1"/>
  <c r="Z56" i="16" a="1"/>
  <c r="Z56" i="16" s="1"/>
  <c r="X59" i="16" a="1"/>
  <c r="X59" i="16" s="1"/>
  <c r="W59" i="16" a="1"/>
  <c r="W59" i="16" s="1"/>
  <c r="V59" i="16" a="1"/>
  <c r="V59" i="16" s="1"/>
  <c r="AD59" i="16"/>
  <c r="W62" i="16" a="1"/>
  <c r="W62" i="16" s="1"/>
  <c r="U66" i="16" a="1"/>
  <c r="U66" i="16" s="1"/>
  <c r="V68" i="16" a="1"/>
  <c r="V68" i="16" s="1"/>
  <c r="X70" i="16" a="1"/>
  <c r="X70" i="16" s="1"/>
  <c r="AA82" i="16" a="1"/>
  <c r="AA82" i="16" s="1"/>
  <c r="Y85" i="16" a="1"/>
  <c r="Y85" i="16" s="1"/>
  <c r="AC86" i="16" a="1"/>
  <c r="AC86" i="16" s="1"/>
  <c r="X90" i="16" a="1"/>
  <c r="X90" i="16" s="1"/>
  <c r="W90" i="16" a="1"/>
  <c r="W90" i="16" s="1"/>
  <c r="Y90" i="16" a="1"/>
  <c r="Y90" i="16" s="1"/>
  <c r="V90" i="16" a="1"/>
  <c r="V90" i="16" s="1"/>
  <c r="U90" i="16" a="1"/>
  <c r="U90" i="16" s="1"/>
  <c r="R90" i="16" a="1"/>
  <c r="R90" i="16" s="1"/>
  <c r="AB90" i="16" a="1"/>
  <c r="AB90" i="16" s="1"/>
  <c r="AA90" i="16" a="1"/>
  <c r="AA90" i="16" s="1"/>
  <c r="Y92" i="16" a="1"/>
  <c r="Y92" i="16" s="1"/>
  <c r="W92" i="16" a="1"/>
  <c r="W92" i="16" s="1"/>
  <c r="U92" i="16" a="1"/>
  <c r="U92" i="16" s="1"/>
  <c r="V92" i="16" a="1"/>
  <c r="V92" i="16" s="1"/>
  <c r="T92" i="16" a="1"/>
  <c r="T92" i="16" s="1"/>
  <c r="R92" i="16" a="1"/>
  <c r="R92" i="16" s="1"/>
  <c r="AB92" i="16" a="1"/>
  <c r="AB92" i="16" s="1"/>
  <c r="AA92" i="16" a="1"/>
  <c r="AA92" i="16" s="1"/>
  <c r="Y94" i="16" a="1"/>
  <c r="Y94" i="16" s="1"/>
  <c r="X114" i="16" a="1"/>
  <c r="X114" i="16" s="1"/>
  <c r="W119" i="16" a="1"/>
  <c r="W119" i="16" s="1"/>
  <c r="T119" i="16" a="1"/>
  <c r="T119" i="16" s="1"/>
  <c r="S119" i="16" a="1"/>
  <c r="S119" i="16" s="1"/>
  <c r="AD119" i="16"/>
  <c r="AF119" i="16" s="1"/>
  <c r="AA119" i="16" a="1"/>
  <c r="AA119" i="16" s="1"/>
  <c r="V119" i="16" a="1"/>
  <c r="V119" i="16" s="1"/>
  <c r="U119" i="16" a="1"/>
  <c r="U119" i="16" s="1"/>
  <c r="R119" i="16" a="1"/>
  <c r="R119" i="16" s="1"/>
  <c r="AB119" i="16" a="1"/>
  <c r="AB119" i="16" s="1"/>
  <c r="Z119" i="16" a="1"/>
  <c r="Z119" i="16" s="1"/>
  <c r="AB31" i="16" a="1"/>
  <c r="AB31" i="16" s="1"/>
  <c r="R31" i="16" a="1"/>
  <c r="R31" i="16" s="1"/>
  <c r="S35" i="16" a="1"/>
  <c r="S35" i="16" s="1"/>
  <c r="AD35" i="16"/>
  <c r="AF35" i="16" s="1"/>
  <c r="AD49" i="16"/>
  <c r="T50" i="16" a="1"/>
  <c r="T50" i="16" s="1"/>
  <c r="AA65" i="16" a="1"/>
  <c r="AA65" i="16" s="1"/>
  <c r="AA67" i="16" a="1"/>
  <c r="AA67" i="16" s="1"/>
  <c r="S71" i="16" a="1"/>
  <c r="S71" i="16" s="1"/>
  <c r="AD72" i="16"/>
  <c r="S72" i="16" a="1"/>
  <c r="S72" i="16" s="1"/>
  <c r="W72" i="16" a="1"/>
  <c r="W72" i="16" s="1"/>
  <c r="Z81" i="16" a="1"/>
  <c r="Z81" i="16" s="1"/>
  <c r="S90" i="16" a="1"/>
  <c r="S90" i="16" s="1"/>
  <c r="AA94" i="16" a="1"/>
  <c r="AA94" i="16" s="1"/>
  <c r="V102" i="16" a="1"/>
  <c r="V102" i="16" s="1"/>
  <c r="AC105" i="16" a="1"/>
  <c r="AC105" i="16" s="1"/>
  <c r="V108" i="16" a="1"/>
  <c r="V108" i="16" s="1"/>
  <c r="X119" i="16" a="1"/>
  <c r="X119" i="16" s="1"/>
  <c r="X202" i="16" a="1"/>
  <c r="X202" i="16" s="1"/>
  <c r="W202" i="16" a="1"/>
  <c r="W202" i="16" s="1"/>
  <c r="V202" i="16" a="1"/>
  <c r="V202" i="16" s="1"/>
  <c r="S202" i="16" a="1"/>
  <c r="S202" i="16" s="1"/>
  <c r="AD202" i="16"/>
  <c r="AA202" i="16" a="1"/>
  <c r="AA202" i="16" s="1"/>
  <c r="T202" i="16" a="1"/>
  <c r="T202" i="16" s="1"/>
  <c r="AC202" i="16" a="1"/>
  <c r="AC202" i="16" s="1"/>
  <c r="Z202" i="16" a="1"/>
  <c r="Z202" i="16" s="1"/>
  <c r="U202" i="16" a="1"/>
  <c r="U202" i="16" s="1"/>
  <c r="Y115" i="16" a="1"/>
  <c r="Y115" i="16" s="1"/>
  <c r="X115" i="16" a="1"/>
  <c r="X115" i="16" s="1"/>
  <c r="W115" i="16" a="1"/>
  <c r="W115" i="16" s="1"/>
  <c r="T115" i="16" a="1"/>
  <c r="T115" i="16" s="1"/>
  <c r="T183" i="16" a="1"/>
  <c r="T183" i="16" s="1"/>
  <c r="AB183" i="16" a="1"/>
  <c r="AB183" i="16" s="1"/>
  <c r="AD183" i="16"/>
  <c r="AC183" i="16" a="1"/>
  <c r="AC183" i="16" s="1"/>
  <c r="AA183" i="16" a="1"/>
  <c r="AA183" i="16" s="1"/>
  <c r="X183" i="16" a="1"/>
  <c r="X183" i="16" s="1"/>
  <c r="W183" i="16" a="1"/>
  <c r="W183" i="16" s="1"/>
  <c r="X116" i="16" a="1"/>
  <c r="X116" i="16" s="1"/>
  <c r="AA116" i="16" a="1"/>
  <c r="AA116" i="16" s="1"/>
  <c r="Z116" i="16" a="1"/>
  <c r="Z116" i="16" s="1"/>
  <c r="Y116" i="16" a="1"/>
  <c r="Y116" i="16" s="1"/>
  <c r="V116" i="16" a="1"/>
  <c r="V116" i="16" s="1"/>
  <c r="U116" i="16" a="1"/>
  <c r="U116" i="16" s="1"/>
  <c r="AD128" i="16"/>
  <c r="AF128" i="16" s="1"/>
  <c r="Z128" i="16" a="1"/>
  <c r="Z128" i="16" s="1"/>
  <c r="AC128" i="16" a="1"/>
  <c r="AC128" i="16" s="1"/>
  <c r="AB128" i="16" a="1"/>
  <c r="AB128" i="16" s="1"/>
  <c r="AA128" i="16" a="1"/>
  <c r="AA128" i="16" s="1"/>
  <c r="W128" i="16" a="1"/>
  <c r="W128" i="16" s="1"/>
  <c r="V128" i="16" a="1"/>
  <c r="V128" i="16" s="1"/>
  <c r="U128" i="16" a="1"/>
  <c r="U128" i="16" s="1"/>
  <c r="T128" i="16" a="1"/>
  <c r="T128" i="16" s="1"/>
  <c r="R128" i="16" a="1"/>
  <c r="R128" i="16" s="1"/>
  <c r="S183" i="16" a="1"/>
  <c r="S183" i="16" s="1"/>
  <c r="Z79" i="16" a="1"/>
  <c r="Z79" i="16" s="1"/>
  <c r="X79" i="16" a="1"/>
  <c r="X79" i="16" s="1"/>
  <c r="X83" i="16" a="1"/>
  <c r="X83" i="16" s="1"/>
  <c r="V83" i="16" a="1"/>
  <c r="V83" i="16" s="1"/>
  <c r="AC109" i="16" a="1"/>
  <c r="AC109" i="16" s="1"/>
  <c r="R115" i="16" a="1"/>
  <c r="R115" i="16" s="1"/>
  <c r="Z135" i="16" a="1"/>
  <c r="Z135" i="16" s="1"/>
  <c r="AD135" i="16"/>
  <c r="AF135" i="16" s="1"/>
  <c r="S135" i="16" a="1"/>
  <c r="S135" i="16" s="1"/>
  <c r="AC135" i="16" a="1"/>
  <c r="AC135" i="16" s="1"/>
  <c r="V135" i="16" a="1"/>
  <c r="V135" i="16" s="1"/>
  <c r="U135" i="16" a="1"/>
  <c r="U135" i="16" s="1"/>
  <c r="T135" i="16" a="1"/>
  <c r="T135" i="16" s="1"/>
  <c r="AB135" i="16" a="1"/>
  <c r="AB135" i="16" s="1"/>
  <c r="AA135" i="16" a="1"/>
  <c r="AA135" i="16" s="1"/>
  <c r="Y135" i="16" a="1"/>
  <c r="Y135" i="16" s="1"/>
  <c r="W163" i="16" a="1"/>
  <c r="W163" i="16" s="1"/>
  <c r="AC163" i="16" a="1"/>
  <c r="AC163" i="16" s="1"/>
  <c r="S163" i="16" a="1"/>
  <c r="S163" i="16" s="1"/>
  <c r="V163" i="16" a="1"/>
  <c r="V163" i="16" s="1"/>
  <c r="T163" i="16" a="1"/>
  <c r="T163" i="16" s="1"/>
  <c r="AD163" i="16"/>
  <c r="AF163" i="16" s="1"/>
  <c r="U163" i="16" a="1"/>
  <c r="U163" i="16" s="1"/>
  <c r="Z163" i="16" a="1"/>
  <c r="Z163" i="16" s="1"/>
  <c r="Z178" i="16" a="1"/>
  <c r="Z178" i="16" s="1"/>
  <c r="V178" i="16" a="1"/>
  <c r="V178" i="16" s="1"/>
  <c r="AC178" i="16" a="1"/>
  <c r="AC178" i="16" s="1"/>
  <c r="S178" i="16" a="1"/>
  <c r="S178" i="16" s="1"/>
  <c r="X178" i="16" a="1"/>
  <c r="X178" i="16" s="1"/>
  <c r="U178" i="16" a="1"/>
  <c r="U178" i="16" s="1"/>
  <c r="T178" i="16" a="1"/>
  <c r="T178" i="16" s="1"/>
  <c r="AA178" i="16" a="1"/>
  <c r="AA178" i="16" s="1"/>
  <c r="W178" i="16" a="1"/>
  <c r="W178" i="16" s="1"/>
  <c r="AB178" i="16" a="1"/>
  <c r="AB178" i="16" s="1"/>
  <c r="U183" i="16" a="1"/>
  <c r="U183" i="16" s="1"/>
  <c r="AC107" i="16" a="1"/>
  <c r="AC107" i="16" s="1"/>
  <c r="S107" i="16" a="1"/>
  <c r="S107" i="16" s="1"/>
  <c r="W107" i="16" a="1"/>
  <c r="W107" i="16" s="1"/>
  <c r="V107" i="16" a="1"/>
  <c r="V107" i="16" s="1"/>
  <c r="AD107" i="16"/>
  <c r="AF107" i="16" s="1"/>
  <c r="R116" i="16" a="1"/>
  <c r="R116" i="16" s="1"/>
  <c r="W141" i="16" a="1"/>
  <c r="W141" i="16" s="1"/>
  <c r="V141" i="16" a="1"/>
  <c r="V141" i="16" s="1"/>
  <c r="AC141" i="16" a="1"/>
  <c r="AC141" i="16" s="1"/>
  <c r="AB141" i="16" a="1"/>
  <c r="AB141" i="16" s="1"/>
  <c r="AA141" i="16" a="1"/>
  <c r="AA141" i="16" s="1"/>
  <c r="X141" i="16" a="1"/>
  <c r="X141" i="16" s="1"/>
  <c r="V183" i="16" a="1"/>
  <c r="V183" i="16" s="1"/>
  <c r="X144" i="16" a="1"/>
  <c r="X144" i="16" s="1"/>
  <c r="T144" i="16" a="1"/>
  <c r="T144" i="16" s="1"/>
  <c r="S144" i="16" a="1"/>
  <c r="S144" i="16" s="1"/>
  <c r="R144" i="16" a="1"/>
  <c r="R144" i="16" s="1"/>
  <c r="AB144" i="16" a="1"/>
  <c r="AB144" i="16" s="1"/>
  <c r="AA144" i="16" a="1"/>
  <c r="AA144" i="16" s="1"/>
  <c r="Z144" i="16" a="1"/>
  <c r="Z144" i="16" s="1"/>
  <c r="Y144" i="16" a="1"/>
  <c r="Y144" i="16" s="1"/>
  <c r="V144" i="16" a="1"/>
  <c r="V144" i="16" s="1"/>
  <c r="X181" i="16" a="1"/>
  <c r="X181" i="16" s="1"/>
  <c r="T181" i="16" a="1"/>
  <c r="T181" i="16" s="1"/>
  <c r="AD181" i="16"/>
  <c r="AF181" i="16" s="1"/>
  <c r="AC181" i="16" a="1"/>
  <c r="AC181" i="16" s="1"/>
  <c r="AA181" i="16" a="1"/>
  <c r="AA181" i="16" s="1"/>
  <c r="U181" i="16" a="1"/>
  <c r="U181" i="16" s="1"/>
  <c r="V181" i="16" a="1"/>
  <c r="V181" i="16" s="1"/>
  <c r="S181" i="16" a="1"/>
  <c r="S181" i="16" s="1"/>
  <c r="V115" i="16" a="1"/>
  <c r="V115" i="16" s="1"/>
  <c r="T79" i="16" a="1"/>
  <c r="T79" i="16" s="1"/>
  <c r="T83" i="16" a="1"/>
  <c r="T83" i="16" s="1"/>
  <c r="W88" i="16" a="1"/>
  <c r="W88" i="16" s="1"/>
  <c r="AF88" i="16"/>
  <c r="X107" i="16" a="1"/>
  <c r="X107" i="16" s="1"/>
  <c r="Z115" i="16" a="1"/>
  <c r="Z115" i="16" s="1"/>
  <c r="AD134" i="16"/>
  <c r="AF134" i="16" s="1"/>
  <c r="S134" i="16" a="1"/>
  <c r="S134" i="16" s="1"/>
  <c r="AC134" i="16" a="1"/>
  <c r="AC134" i="16" s="1"/>
  <c r="R134" i="16" a="1"/>
  <c r="R134" i="16" s="1"/>
  <c r="Y134" i="16" a="1"/>
  <c r="Y134" i="16" s="1"/>
  <c r="AB134" i="16" a="1"/>
  <c r="AB134" i="16" s="1"/>
  <c r="AA134" i="16" a="1"/>
  <c r="AA134" i="16" s="1"/>
  <c r="Z134" i="16" a="1"/>
  <c r="Z134" i="16" s="1"/>
  <c r="W134" i="16" a="1"/>
  <c r="W134" i="16" s="1"/>
  <c r="Y141" i="16" a="1"/>
  <c r="Y141" i="16" s="1"/>
  <c r="U144" i="16" a="1"/>
  <c r="U144" i="16" s="1"/>
  <c r="AA176" i="16" a="1"/>
  <c r="AA176" i="16" s="1"/>
  <c r="AB109" i="16" a="1"/>
  <c r="AB109" i="16" s="1"/>
  <c r="R109" i="16" a="1"/>
  <c r="R109" i="16" s="1"/>
  <c r="Z109" i="16" a="1"/>
  <c r="Z109" i="16" s="1"/>
  <c r="Y109" i="16" a="1"/>
  <c r="Y109" i="16" s="1"/>
  <c r="W122" i="16" a="1"/>
  <c r="W122" i="16" s="1"/>
  <c r="AB122" i="16" a="1"/>
  <c r="AB122" i="16" s="1"/>
  <c r="AA122" i="16" a="1"/>
  <c r="AA122" i="16" s="1"/>
  <c r="Z122" i="16" a="1"/>
  <c r="Z122" i="16" s="1"/>
  <c r="X122" i="16" a="1"/>
  <c r="X122" i="16" s="1"/>
  <c r="V122" i="16" a="1"/>
  <c r="V122" i="16" s="1"/>
  <c r="AD122" i="16"/>
  <c r="AF122" i="16" s="1"/>
  <c r="R122" i="16" a="1"/>
  <c r="R122" i="16" s="1"/>
  <c r="Z160" i="16" a="1"/>
  <c r="Z160" i="16" s="1"/>
  <c r="X160" i="16" a="1"/>
  <c r="X160" i="16" s="1"/>
  <c r="U160" i="16" a="1"/>
  <c r="U160" i="16" s="1"/>
  <c r="S160" i="16" a="1"/>
  <c r="S160" i="16" s="1"/>
  <c r="AD160" i="16"/>
  <c r="AC160" i="16" a="1"/>
  <c r="AC160" i="16" s="1"/>
  <c r="V160" i="16" a="1"/>
  <c r="V160" i="16" s="1"/>
  <c r="W181" i="16" a="1"/>
  <c r="W181" i="16" s="1"/>
  <c r="W83" i="16" a="1"/>
  <c r="W83" i="16" s="1"/>
  <c r="U103" i="16" a="1"/>
  <c r="U103" i="16" s="1"/>
  <c r="T103" i="16" a="1"/>
  <c r="T103" i="16" s="1"/>
  <c r="AD103" i="16"/>
  <c r="AF103" i="16" s="1"/>
  <c r="S103" i="16" a="1"/>
  <c r="S103" i="16" s="1"/>
  <c r="AC103" i="16" a="1"/>
  <c r="AC103" i="16" s="1"/>
  <c r="AA103" i="16" a="1"/>
  <c r="AA103" i="16" s="1"/>
  <c r="T109" i="16" a="1"/>
  <c r="T109" i="16" s="1"/>
  <c r="Z112" i="16" a="1"/>
  <c r="Z112" i="16" s="1"/>
  <c r="T112" i="16" a="1"/>
  <c r="T112" i="16" s="1"/>
  <c r="S112" i="16" a="1"/>
  <c r="S112" i="16" s="1"/>
  <c r="AD112" i="16"/>
  <c r="AF112" i="16" s="1"/>
  <c r="AC112" i="16" a="1"/>
  <c r="AC112" i="16" s="1"/>
  <c r="R112" i="16" a="1"/>
  <c r="R112" i="16" s="1"/>
  <c r="AA112" i="16" a="1"/>
  <c r="AA112" i="16" s="1"/>
  <c r="Y112" i="16" a="1"/>
  <c r="Y112" i="16" s="1"/>
  <c r="AB116" i="16" a="1"/>
  <c r="AB116" i="16" s="1"/>
  <c r="T122" i="16" a="1"/>
  <c r="T122" i="16" s="1"/>
  <c r="X134" i="16" a="1"/>
  <c r="X134" i="16" s="1"/>
  <c r="AA160" i="16" a="1"/>
  <c r="AA160" i="16" s="1"/>
  <c r="AA166" i="16" a="1"/>
  <c r="AA166" i="16" s="1"/>
  <c r="AB75" i="16" a="1"/>
  <c r="AB75" i="16" s="1"/>
  <c r="R75" i="16" a="1"/>
  <c r="R75" i="16" s="1"/>
  <c r="AC75" i="16" a="1"/>
  <c r="AC75" i="16" s="1"/>
  <c r="W79" i="16" a="1"/>
  <c r="W79" i="16" s="1"/>
  <c r="U88" i="16" a="1"/>
  <c r="U88" i="16" s="1"/>
  <c r="Y95" i="16" a="1"/>
  <c r="Y95" i="16" s="1"/>
  <c r="AA95" i="16" a="1"/>
  <c r="AA95" i="16" s="1"/>
  <c r="AF95" i="16"/>
  <c r="AA107" i="16" a="1"/>
  <c r="AA107" i="16" s="1"/>
  <c r="AC115" i="16" a="1"/>
  <c r="AC115" i="16" s="1"/>
  <c r="AC144" i="16" a="1"/>
  <c r="AC144" i="16" s="1"/>
  <c r="Z177" i="16" a="1"/>
  <c r="Z177" i="16" s="1"/>
  <c r="V177" i="16" a="1"/>
  <c r="V177" i="16" s="1"/>
  <c r="AD177" i="16"/>
  <c r="AF177" i="16" s="1"/>
  <c r="AC177" i="16" a="1"/>
  <c r="AC177" i="16" s="1"/>
  <c r="AA177" i="16" a="1"/>
  <c r="AA177" i="16" s="1"/>
  <c r="W177" i="16" a="1"/>
  <c r="W177" i="16" s="1"/>
  <c r="U177" i="16" a="1"/>
  <c r="U177" i="16" s="1"/>
  <c r="AD75" i="16"/>
  <c r="AF75" i="16" s="1"/>
  <c r="Y83" i="16" a="1"/>
  <c r="Y83" i="16" s="1"/>
  <c r="V88" i="16" a="1"/>
  <c r="V88" i="16" s="1"/>
  <c r="R103" i="16" a="1"/>
  <c r="R103" i="16" s="1"/>
  <c r="U109" i="16" a="1"/>
  <c r="U109" i="16" s="1"/>
  <c r="AD115" i="16"/>
  <c r="AF115" i="16" s="1"/>
  <c r="AC116" i="16" a="1"/>
  <c r="AC116" i="16" s="1"/>
  <c r="U122" i="16" a="1"/>
  <c r="U122" i="16" s="1"/>
  <c r="AD144" i="16"/>
  <c r="AF144" i="16" s="1"/>
  <c r="S75" i="16" a="1"/>
  <c r="S75" i="16" s="1"/>
  <c r="Z93" i="16" a="1"/>
  <c r="Z93" i="16" s="1"/>
  <c r="Y93" i="16" a="1"/>
  <c r="Y93" i="16" s="1"/>
  <c r="X93" i="16" a="1"/>
  <c r="X93" i="16" s="1"/>
  <c r="AF93" i="16"/>
  <c r="R95" i="16" a="1"/>
  <c r="R95" i="16" s="1"/>
  <c r="AB107" i="16" a="1"/>
  <c r="AB107" i="16" s="1"/>
  <c r="V109" i="16" a="1"/>
  <c r="V109" i="16" s="1"/>
  <c r="U112" i="16" a="1"/>
  <c r="U112" i="16" s="1"/>
  <c r="AD116" i="16"/>
  <c r="AF116" i="16" s="1"/>
  <c r="T136" i="16" a="1"/>
  <c r="T136" i="16" s="1"/>
  <c r="AD136" i="16"/>
  <c r="AF136" i="16" s="1"/>
  <c r="S136" i="16" a="1"/>
  <c r="S136" i="16" s="1"/>
  <c r="AA136" i="16" a="1"/>
  <c r="AA136" i="16" s="1"/>
  <c r="Z136" i="16" a="1"/>
  <c r="Z136" i="16" s="1"/>
  <c r="Y136" i="16" a="1"/>
  <c r="Y136" i="16" s="1"/>
  <c r="V136" i="16" a="1"/>
  <c r="V136" i="16" s="1"/>
  <c r="R136" i="16" a="1"/>
  <c r="R136" i="16" s="1"/>
  <c r="AC136" i="16" a="1"/>
  <c r="AC136" i="16" s="1"/>
  <c r="T177" i="16" a="1"/>
  <c r="T177" i="16" s="1"/>
  <c r="AC74" i="16" a="1"/>
  <c r="AC74" i="16" s="1"/>
  <c r="Y79" i="16" a="1"/>
  <c r="Y79" i="16" s="1"/>
  <c r="Z83" i="16" a="1"/>
  <c r="Z83" i="16" s="1"/>
  <c r="AC87" i="16" a="1"/>
  <c r="AC87" i="16" s="1"/>
  <c r="S87" i="16" a="1"/>
  <c r="S87" i="16" s="1"/>
  <c r="W87" i="16" a="1"/>
  <c r="W87" i="16" s="1"/>
  <c r="U87" i="16" a="1"/>
  <c r="U87" i="16" s="1"/>
  <c r="AD87" i="16"/>
  <c r="AF87" i="16" s="1"/>
  <c r="X88" i="16" a="1"/>
  <c r="X88" i="16" s="1"/>
  <c r="V103" i="16" a="1"/>
  <c r="V103" i="16" s="1"/>
  <c r="W109" i="16" a="1"/>
  <c r="W109" i="16" s="1"/>
  <c r="Y122" i="16" a="1"/>
  <c r="Y122" i="16" s="1"/>
  <c r="W142" i="16" a="1"/>
  <c r="W142" i="16" s="1"/>
  <c r="V142" i="16" a="1"/>
  <c r="V142" i="16" s="1"/>
  <c r="AD142" i="16"/>
  <c r="AF142" i="16" s="1"/>
  <c r="S142" i="16" a="1"/>
  <c r="S142" i="16" s="1"/>
  <c r="U142" i="16" a="1"/>
  <c r="U142" i="16" s="1"/>
  <c r="T142" i="16" a="1"/>
  <c r="T142" i="16" s="1"/>
  <c r="AC142" i="16" a="1"/>
  <c r="AC142" i="16" s="1"/>
  <c r="AB142" i="16" a="1"/>
  <c r="AB142" i="16" s="1"/>
  <c r="AA142" i="16" a="1"/>
  <c r="AA142" i="16" s="1"/>
  <c r="Z142" i="16" a="1"/>
  <c r="Z142" i="16" s="1"/>
  <c r="X177" i="16" a="1"/>
  <c r="X177" i="16" s="1"/>
  <c r="AA204" i="16" a="1"/>
  <c r="AA204" i="16" s="1"/>
  <c r="V204" i="16" a="1"/>
  <c r="V204" i="16" s="1"/>
  <c r="U204" i="16" a="1"/>
  <c r="U204" i="16" s="1"/>
  <c r="S204" i="16" a="1"/>
  <c r="S204" i="16" s="1"/>
  <c r="AC204" i="16" a="1"/>
  <c r="AC204" i="16" s="1"/>
  <c r="AD204" i="16"/>
  <c r="AF204" i="16" s="1"/>
  <c r="AA158" i="16" a="1"/>
  <c r="AA158" i="16" s="1"/>
  <c r="Z208" i="16" a="1"/>
  <c r="Z208" i="16" s="1"/>
  <c r="W121" i="16" a="1"/>
  <c r="W121" i="16" s="1"/>
  <c r="V121" i="16" a="1"/>
  <c r="V121" i="16" s="1"/>
  <c r="AA140" i="16" a="1"/>
  <c r="AA140" i="16" s="1"/>
  <c r="U145" i="16" a="1"/>
  <c r="U145" i="16" s="1"/>
  <c r="Y145" i="16" a="1"/>
  <c r="Y145" i="16" s="1"/>
  <c r="X145" i="16" a="1"/>
  <c r="X145" i="16" s="1"/>
  <c r="AD145" i="16"/>
  <c r="AF145" i="16" s="1"/>
  <c r="V205" i="16" a="1"/>
  <c r="V205" i="16" s="1"/>
  <c r="T147" i="16" a="1"/>
  <c r="T147" i="16" s="1"/>
  <c r="AD147" i="16"/>
  <c r="AF147" i="16" s="1"/>
  <c r="Z147" i="16" a="1"/>
  <c r="Z147" i="16" s="1"/>
  <c r="Y147" i="16" a="1"/>
  <c r="Y147" i="16" s="1"/>
  <c r="V147" i="16" a="1"/>
  <c r="V147" i="16" s="1"/>
  <c r="AA162" i="16" a="1"/>
  <c r="AA162" i="16" s="1"/>
  <c r="X238" i="16" a="1"/>
  <c r="X238" i="16" s="1"/>
  <c r="S238" i="16" a="1"/>
  <c r="S238" i="16" s="1"/>
  <c r="AC238" i="16" a="1"/>
  <c r="AC238" i="16" s="1"/>
  <c r="R238" i="16" a="1"/>
  <c r="R238" i="16" s="1"/>
  <c r="AA238" i="16" a="1"/>
  <c r="AA238" i="16" s="1"/>
  <c r="Z238" i="16" a="1"/>
  <c r="Z238" i="16" s="1"/>
  <c r="Y238" i="16" a="1"/>
  <c r="Y238" i="16" s="1"/>
  <c r="W238" i="16" a="1"/>
  <c r="W238" i="16" s="1"/>
  <c r="V238" i="16" a="1"/>
  <c r="V238" i="16" s="1"/>
  <c r="U238" i="16" a="1"/>
  <c r="U238" i="16" s="1"/>
  <c r="T238" i="16" a="1"/>
  <c r="T238" i="16" s="1"/>
  <c r="AD238" i="16"/>
  <c r="AF238" i="16" s="1"/>
  <c r="AB238" i="16" a="1"/>
  <c r="AB238" i="16" s="1"/>
  <c r="AB120" i="16" a="1"/>
  <c r="AB120" i="16" s="1"/>
  <c r="S121" i="16" a="1"/>
  <c r="S121" i="16" s="1"/>
  <c r="AB124" i="16" a="1"/>
  <c r="AB124" i="16" s="1"/>
  <c r="T127" i="16" a="1"/>
  <c r="T127" i="16" s="1"/>
  <c r="Z127" i="16" a="1"/>
  <c r="Z127" i="16" s="1"/>
  <c r="Y127" i="16" a="1"/>
  <c r="Y127" i="16" s="1"/>
  <c r="V127" i="16" a="1"/>
  <c r="V127" i="16" s="1"/>
  <c r="AD127" i="16"/>
  <c r="AF127" i="16" s="1"/>
  <c r="S145" i="16" a="1"/>
  <c r="S145" i="16" s="1"/>
  <c r="R147" i="16" a="1"/>
  <c r="R147" i="16" s="1"/>
  <c r="U159" i="16" a="1"/>
  <c r="U159" i="16" s="1"/>
  <c r="V159" i="16" a="1"/>
  <c r="V159" i="16" s="1"/>
  <c r="AD159" i="16"/>
  <c r="AF159" i="16" s="1"/>
  <c r="U167" i="16" a="1"/>
  <c r="U167" i="16" s="1"/>
  <c r="AD171" i="16"/>
  <c r="AF171" i="16" s="1"/>
  <c r="AC171" i="16" a="1"/>
  <c r="AC171" i="16" s="1"/>
  <c r="S171" i="16" a="1"/>
  <c r="S171" i="16" s="1"/>
  <c r="Z171" i="16" a="1"/>
  <c r="Z171" i="16" s="1"/>
  <c r="X171" i="16" a="1"/>
  <c r="X171" i="16" s="1"/>
  <c r="W171" i="16" a="1"/>
  <c r="W171" i="16" s="1"/>
  <c r="AA199" i="16" a="1"/>
  <c r="AA199" i="16" s="1"/>
  <c r="AB113" i="16" a="1"/>
  <c r="AB113" i="16" s="1"/>
  <c r="V140" i="16" a="1"/>
  <c r="V140" i="16" s="1"/>
  <c r="U140" i="16" a="1"/>
  <c r="U140" i="16" s="1"/>
  <c r="R140" i="16" a="1"/>
  <c r="R140" i="16" s="1"/>
  <c r="AF140" i="16"/>
  <c r="U180" i="16" a="1"/>
  <c r="U180" i="16" s="1"/>
  <c r="W180" i="16" a="1"/>
  <c r="W180" i="16" s="1"/>
  <c r="T180" i="16" a="1"/>
  <c r="T180" i="16" s="1"/>
  <c r="S180" i="16" a="1"/>
  <c r="S180" i="16" s="1"/>
  <c r="R106" i="16" a="1"/>
  <c r="R106" i="16" s="1"/>
  <c r="R120" i="16" a="1"/>
  <c r="R120" i="16" s="1"/>
  <c r="AC120" i="16" a="1"/>
  <c r="AC120" i="16" s="1"/>
  <c r="T121" i="16" a="1"/>
  <c r="T121" i="16" s="1"/>
  <c r="AC124" i="16" a="1"/>
  <c r="AC124" i="16" s="1"/>
  <c r="R127" i="16" a="1"/>
  <c r="R127" i="16" s="1"/>
  <c r="AC129" i="16" a="1"/>
  <c r="AC129" i="16" s="1"/>
  <c r="S129" i="16" a="1"/>
  <c r="S129" i="16" s="1"/>
  <c r="AA129" i="16" a="1"/>
  <c r="AA129" i="16" s="1"/>
  <c r="Z129" i="16" a="1"/>
  <c r="Z129" i="16" s="1"/>
  <c r="W129" i="16" a="1"/>
  <c r="W129" i="16" s="1"/>
  <c r="AF129" i="16"/>
  <c r="T145" i="16" a="1"/>
  <c r="T145" i="16" s="1"/>
  <c r="S147" i="16" a="1"/>
  <c r="S147" i="16" s="1"/>
  <c r="AC172" i="16" a="1"/>
  <c r="AC172" i="16" s="1"/>
  <c r="S172" i="16" a="1"/>
  <c r="S172" i="16" s="1"/>
  <c r="U172" i="16" a="1"/>
  <c r="U172" i="16" s="1"/>
  <c r="T172" i="16" a="1"/>
  <c r="T172" i="16" s="1"/>
  <c r="AD172" i="16"/>
  <c r="AF172" i="16" s="1"/>
  <c r="X173" i="16" a="1"/>
  <c r="X173" i="16" s="1"/>
  <c r="V173" i="16" a="1"/>
  <c r="V173" i="16" s="1"/>
  <c r="U173" i="16" a="1"/>
  <c r="U173" i="16" s="1"/>
  <c r="T173" i="16" a="1"/>
  <c r="T173" i="16" s="1"/>
  <c r="AA99" i="16" a="1"/>
  <c r="AA99" i="16" s="1"/>
  <c r="S104" i="16" a="1"/>
  <c r="S104" i="16" s="1"/>
  <c r="AD104" i="16"/>
  <c r="AF104" i="16" s="1"/>
  <c r="AB118" i="16" a="1"/>
  <c r="AB118" i="16" s="1"/>
  <c r="T120" i="16" a="1"/>
  <c r="T120" i="16" s="1"/>
  <c r="V123" i="16" a="1"/>
  <c r="V123" i="16" s="1"/>
  <c r="X123" i="16" a="1"/>
  <c r="X123" i="16" s="1"/>
  <c r="AB126" i="16" a="1"/>
  <c r="AB126" i="16" s="1"/>
  <c r="T140" i="16" a="1"/>
  <c r="T140" i="16" s="1"/>
  <c r="W145" i="16" a="1"/>
  <c r="W145" i="16" s="1"/>
  <c r="AC146" i="16" a="1"/>
  <c r="AC146" i="16" s="1"/>
  <c r="W159" i="16" a="1"/>
  <c r="W159" i="16" s="1"/>
  <c r="U171" i="16" a="1"/>
  <c r="U171" i="16" s="1"/>
  <c r="Z180" i="16" a="1"/>
  <c r="Z180" i="16" s="1"/>
  <c r="AA98" i="16" a="1"/>
  <c r="AA98" i="16" s="1"/>
  <c r="U106" i="16" a="1"/>
  <c r="U106" i="16" s="1"/>
  <c r="T113" i="16" a="1"/>
  <c r="T113" i="16" s="1"/>
  <c r="X121" i="16" a="1"/>
  <c r="X121" i="16" s="1"/>
  <c r="T124" i="16" a="1"/>
  <c r="T124" i="16" s="1"/>
  <c r="U127" i="16" a="1"/>
  <c r="U127" i="16" s="1"/>
  <c r="T129" i="16" a="1"/>
  <c r="T129" i="16" s="1"/>
  <c r="AD146" i="16"/>
  <c r="AF146" i="16" s="1"/>
  <c r="W164" i="16" a="1"/>
  <c r="W164" i="16" s="1"/>
  <c r="Z164" i="16" a="1"/>
  <c r="Z164" i="16" s="1"/>
  <c r="U164" i="16" a="1"/>
  <c r="U164" i="16" s="1"/>
  <c r="W173" i="16" a="1"/>
  <c r="W173" i="16" s="1"/>
  <c r="U120" i="16" a="1"/>
  <c r="U120" i="16" s="1"/>
  <c r="AC126" i="16" a="1"/>
  <c r="AC126" i="16" s="1"/>
  <c r="W147" i="16" a="1"/>
  <c r="W147" i="16" s="1"/>
  <c r="AD148" i="16"/>
  <c r="AF148" i="16" s="1"/>
  <c r="AC148" i="16" a="1"/>
  <c r="AC148" i="16" s="1"/>
  <c r="S148" i="16" a="1"/>
  <c r="S148" i="16" s="1"/>
  <c r="AA148" i="16" a="1"/>
  <c r="AA148" i="16" s="1"/>
  <c r="Y148" i="16" a="1"/>
  <c r="Y148" i="16" s="1"/>
  <c r="X159" i="16" a="1"/>
  <c r="X159" i="16" s="1"/>
  <c r="V171" i="16" a="1"/>
  <c r="V171" i="16" s="1"/>
  <c r="Z173" i="16" a="1"/>
  <c r="Z173" i="16" s="1"/>
  <c r="AA180" i="16" a="1"/>
  <c r="AA180" i="16" s="1"/>
  <c r="AA220" i="16" a="1"/>
  <c r="AA220" i="16" s="1"/>
  <c r="AB98" i="16" a="1"/>
  <c r="AB98" i="16" s="1"/>
  <c r="R99" i="16" a="1"/>
  <c r="R99" i="16" s="1"/>
  <c r="AC100" i="16" a="1"/>
  <c r="AC100" i="16" s="1"/>
  <c r="V106" i="16" a="1"/>
  <c r="V106" i="16" s="1"/>
  <c r="U113" i="16" a="1"/>
  <c r="U113" i="16" s="1"/>
  <c r="AB117" i="16" a="1"/>
  <c r="AB117" i="16" s="1"/>
  <c r="AD118" i="16"/>
  <c r="AF118" i="16" s="1"/>
  <c r="Y121" i="16" a="1"/>
  <c r="Y121" i="16" s="1"/>
  <c r="AF123" i="16"/>
  <c r="U124" i="16" a="1"/>
  <c r="U124" i="16" s="1"/>
  <c r="AD126" i="16"/>
  <c r="AF126" i="16" s="1"/>
  <c r="U129" i="16" a="1"/>
  <c r="U129" i="16" s="1"/>
  <c r="W140" i="16" a="1"/>
  <c r="W140" i="16" s="1"/>
  <c r="Z145" i="16" a="1"/>
  <c r="Z145" i="16" s="1"/>
  <c r="R146" i="16" a="1"/>
  <c r="R146" i="16" s="1"/>
  <c r="AB97" i="16" a="1"/>
  <c r="AB97" i="16" s="1"/>
  <c r="AC99" i="16" a="1"/>
  <c r="AC99" i="16" s="1"/>
  <c r="S100" i="16" a="1"/>
  <c r="S100" i="16" s="1"/>
  <c r="S118" i="16" a="1"/>
  <c r="S118" i="16" s="1"/>
  <c r="W120" i="16" a="1"/>
  <c r="W120" i="16" s="1"/>
  <c r="S123" i="16" a="1"/>
  <c r="S123" i="16" s="1"/>
  <c r="V124" i="16" a="1"/>
  <c r="V124" i="16" s="1"/>
  <c r="R126" i="16" a="1"/>
  <c r="R126" i="16" s="1"/>
  <c r="W127" i="16" a="1"/>
  <c r="W127" i="16" s="1"/>
  <c r="X139" i="16" a="1"/>
  <c r="X139" i="16" s="1"/>
  <c r="U139" i="16" a="1"/>
  <c r="U139" i="16" s="1"/>
  <c r="AB139" i="16" a="1"/>
  <c r="AB139" i="16" s="1"/>
  <c r="AF139" i="16"/>
  <c r="X140" i="16" a="1"/>
  <c r="X140" i="16" s="1"/>
  <c r="X147" i="16" a="1"/>
  <c r="X147" i="16" s="1"/>
  <c r="R148" i="16" a="1"/>
  <c r="R148" i="16" s="1"/>
  <c r="Z159" i="16" a="1"/>
  <c r="Z159" i="16" s="1"/>
  <c r="S164" i="16" a="1"/>
  <c r="S164" i="16" s="1"/>
  <c r="AA173" i="16" a="1"/>
  <c r="AA173" i="16" s="1"/>
  <c r="AC180" i="16" a="1"/>
  <c r="AC180" i="16" s="1"/>
  <c r="AA196" i="16" a="1"/>
  <c r="AA196" i="16" s="1"/>
  <c r="X195" i="16" a="1"/>
  <c r="X195" i="16" s="1"/>
  <c r="S195" i="16" a="1"/>
  <c r="S195" i="16" s="1"/>
  <c r="AD195" i="16"/>
  <c r="AF195" i="16" s="1"/>
  <c r="Z195" i="16" a="1"/>
  <c r="Z195" i="16" s="1"/>
  <c r="V195" i="16" a="1"/>
  <c r="V195" i="16" s="1"/>
  <c r="V201" i="16" a="1"/>
  <c r="V201" i="16" s="1"/>
  <c r="U201" i="16" a="1"/>
  <c r="U201" i="16" s="1"/>
  <c r="S201" i="16" a="1"/>
  <c r="S201" i="16" s="1"/>
  <c r="AD201" i="16"/>
  <c r="AA201" i="16" a="1"/>
  <c r="AA201" i="16" s="1"/>
  <c r="Z201" i="16" a="1"/>
  <c r="Z201" i="16" s="1"/>
  <c r="W201" i="16" a="1"/>
  <c r="W201" i="16" s="1"/>
  <c r="W184" i="16" a="1"/>
  <c r="W184" i="16" s="1"/>
  <c r="U184" i="16" a="1"/>
  <c r="U184" i="16" s="1"/>
  <c r="AA200" i="16" a="1"/>
  <c r="AA200" i="16" s="1"/>
  <c r="Z200" i="16" a="1"/>
  <c r="Z200" i="16" s="1"/>
  <c r="W200" i="16" a="1"/>
  <c r="W200" i="16" s="1"/>
  <c r="U200" i="16" a="1"/>
  <c r="U200" i="16" s="1"/>
  <c r="S200" i="16" a="1"/>
  <c r="S200" i="16" s="1"/>
  <c r="AF200" i="16"/>
  <c r="X201" i="16" a="1"/>
  <c r="X201" i="16" s="1"/>
  <c r="AB151" i="16" a="1"/>
  <c r="AB151" i="16" s="1"/>
  <c r="R151" i="16" a="1"/>
  <c r="R151" i="16" s="1"/>
  <c r="AC151" i="16" a="1"/>
  <c r="AC151" i="16" s="1"/>
  <c r="V187" i="16" a="1"/>
  <c r="V187" i="16" s="1"/>
  <c r="AC187" i="16" a="1"/>
  <c r="AC187" i="16" s="1"/>
  <c r="S187" i="16" a="1"/>
  <c r="S187" i="16" s="1"/>
  <c r="U187" i="16" a="1"/>
  <c r="U187" i="16" s="1"/>
  <c r="AD187" i="16"/>
  <c r="AA175" i="16" a="1"/>
  <c r="AA175" i="16" s="1"/>
  <c r="AA195" i="16" a="1"/>
  <c r="AA195" i="16" s="1"/>
  <c r="AC210" i="16" a="1"/>
  <c r="AC210" i="16" s="1"/>
  <c r="S210" i="16" a="1"/>
  <c r="S210" i="16" s="1"/>
  <c r="AA210" i="16" a="1"/>
  <c r="AA210" i="16" s="1"/>
  <c r="Z210" i="16" a="1"/>
  <c r="Z210" i="16" s="1"/>
  <c r="W210" i="16" a="1"/>
  <c r="W210" i="16" s="1"/>
  <c r="Y210" i="16" a="1"/>
  <c r="Y210" i="16" s="1"/>
  <c r="X210" i="16" a="1"/>
  <c r="X210" i="16" s="1"/>
  <c r="T210" i="16" a="1"/>
  <c r="T210" i="16" s="1"/>
  <c r="AB150" i="16" a="1"/>
  <c r="AB150" i="16" s="1"/>
  <c r="R150" i="16" a="1"/>
  <c r="R150" i="16" s="1"/>
  <c r="AC150" i="16" a="1"/>
  <c r="AC150" i="16" s="1"/>
  <c r="Z158" i="16" a="1"/>
  <c r="Z158" i="16" s="1"/>
  <c r="X162" i="16" a="1"/>
  <c r="X162" i="16" s="1"/>
  <c r="AD162" i="16"/>
  <c r="AF162" i="16" s="1"/>
  <c r="V166" i="16" a="1"/>
  <c r="V166" i="16" s="1"/>
  <c r="AD166" i="16"/>
  <c r="AF169" i="16"/>
  <c r="T169" i="16" a="1"/>
  <c r="T169" i="16" s="1"/>
  <c r="Z169" i="16" a="1"/>
  <c r="Z169" i="16" s="1"/>
  <c r="AC195" i="16" a="1"/>
  <c r="AC195" i="16" s="1"/>
  <c r="AC201" i="16" a="1"/>
  <c r="AC201" i="16" s="1"/>
  <c r="U210" i="16" a="1"/>
  <c r="U210" i="16" s="1"/>
  <c r="T184" i="16" a="1"/>
  <c r="T184" i="16" s="1"/>
  <c r="X200" i="16" a="1"/>
  <c r="X200" i="16" s="1"/>
  <c r="T294" i="16" a="1"/>
  <c r="T294" i="16" s="1"/>
  <c r="X294" i="16" a="1"/>
  <c r="X294" i="16" s="1"/>
  <c r="AC294" i="16" a="1"/>
  <c r="AC294" i="16" s="1"/>
  <c r="AA294" i="16" a="1"/>
  <c r="AA294" i="16" s="1"/>
  <c r="V294" i="16" a="1"/>
  <c r="V294" i="16" s="1"/>
  <c r="U294" i="16" a="1"/>
  <c r="U294" i="16" s="1"/>
  <c r="AB294" i="16" a="1"/>
  <c r="AB294" i="16" s="1"/>
  <c r="Y294" i="16" a="1"/>
  <c r="Y294" i="16" s="1"/>
  <c r="W294" i="16" a="1"/>
  <c r="W294" i="16" s="1"/>
  <c r="S294" i="16" a="1"/>
  <c r="S294" i="16" s="1"/>
  <c r="AD294" i="16"/>
  <c r="AF294" i="16" s="1"/>
  <c r="R294" i="16" a="1"/>
  <c r="R294" i="16" s="1"/>
  <c r="Z294" i="16" a="1"/>
  <c r="Z294" i="16" s="1"/>
  <c r="AA198" i="16" a="1"/>
  <c r="AA198" i="16" s="1"/>
  <c r="AB132" i="16" a="1"/>
  <c r="AB132" i="16" s="1"/>
  <c r="AC149" i="16" a="1"/>
  <c r="AC149" i="16" s="1"/>
  <c r="S149" i="16" a="1"/>
  <c r="S149" i="16" s="1"/>
  <c r="AB149" i="16" a="1"/>
  <c r="AB149" i="16" s="1"/>
  <c r="U151" i="16" a="1"/>
  <c r="U151" i="16" s="1"/>
  <c r="AF158" i="16"/>
  <c r="S166" i="16" a="1"/>
  <c r="S166" i="16" s="1"/>
  <c r="V184" i="16" a="1"/>
  <c r="V184" i="16" s="1"/>
  <c r="AC190" i="16" a="1"/>
  <c r="AC190" i="16" s="1"/>
  <c r="AD210" i="16"/>
  <c r="AB131" i="16" a="1"/>
  <c r="AB131" i="16" s="1"/>
  <c r="R131" i="16" a="1"/>
  <c r="R131" i="16" s="1"/>
  <c r="R132" i="16" a="1"/>
  <c r="R132" i="16" s="1"/>
  <c r="AD149" i="16"/>
  <c r="AF149" i="16" s="1"/>
  <c r="T150" i="16" a="1"/>
  <c r="T150" i="16" s="1"/>
  <c r="S158" i="16" a="1"/>
  <c r="S158" i="16" s="1"/>
  <c r="S162" i="16" a="1"/>
  <c r="S162" i="16" s="1"/>
  <c r="S169" i="16" a="1"/>
  <c r="S169" i="16" s="1"/>
  <c r="U179" i="16" a="1"/>
  <c r="U179" i="16" s="1"/>
  <c r="AF179" i="16"/>
  <c r="X187" i="16" a="1"/>
  <c r="X187" i="16" s="1"/>
  <c r="AA197" i="16" a="1"/>
  <c r="AA197" i="16" s="1"/>
  <c r="AD215" i="16"/>
  <c r="AC215" i="16" a="1"/>
  <c r="AC215" i="16" s="1"/>
  <c r="S215" i="16" a="1"/>
  <c r="S215" i="16" s="1"/>
  <c r="X215" i="16" a="1"/>
  <c r="X215" i="16" s="1"/>
  <c r="W215" i="16" a="1"/>
  <c r="W215" i="16" s="1"/>
  <c r="V215" i="16" a="1"/>
  <c r="V215" i="16" s="1"/>
  <c r="U215" i="16" a="1"/>
  <c r="U215" i="16" s="1"/>
  <c r="T215" i="16" a="1"/>
  <c r="T215" i="16" s="1"/>
  <c r="R149" i="16" a="1"/>
  <c r="R149" i="16" s="1"/>
  <c r="V151" i="16" a="1"/>
  <c r="V151" i="16" s="1"/>
  <c r="V157" i="16" a="1"/>
  <c r="V157" i="16" s="1"/>
  <c r="F157" i="16" s="1"/>
  <c r="X161" i="16" a="1"/>
  <c r="X161" i="16" s="1"/>
  <c r="T161" i="16" a="1"/>
  <c r="T161" i="16" s="1"/>
  <c r="T162" i="16" a="1"/>
  <c r="T162" i="16" s="1"/>
  <c r="V165" i="16" a="1"/>
  <c r="V165" i="16" s="1"/>
  <c r="AB165" i="16" a="1"/>
  <c r="AB165" i="16" s="1"/>
  <c r="AC165" i="16" a="1"/>
  <c r="AC165" i="16" s="1"/>
  <c r="T166" i="16" a="1"/>
  <c r="T166" i="16" s="1"/>
  <c r="X174" i="16" a="1"/>
  <c r="X174" i="16" s="1"/>
  <c r="AF174" i="16"/>
  <c r="AF185" i="16"/>
  <c r="Z185" i="16" a="1"/>
  <c r="Z185" i="16" s="1"/>
  <c r="AC185" i="16" a="1"/>
  <c r="AC185" i="16" s="1"/>
  <c r="AC200" i="16" a="1"/>
  <c r="AC200" i="16" s="1"/>
  <c r="W257" i="16" a="1"/>
  <c r="W257" i="16" s="1"/>
  <c r="AC257" i="16" a="1"/>
  <c r="AC257" i="16" s="1"/>
  <c r="R257" i="16" a="1"/>
  <c r="R257" i="16" s="1"/>
  <c r="Z257" i="16" a="1"/>
  <c r="Z257" i="16" s="1"/>
  <c r="Y257" i="16" a="1"/>
  <c r="Y257" i="16" s="1"/>
  <c r="X257" i="16" a="1"/>
  <c r="X257" i="16" s="1"/>
  <c r="AD257" i="16"/>
  <c r="AF257" i="16" s="1"/>
  <c r="AB257" i="16" a="1"/>
  <c r="AB257" i="16" s="1"/>
  <c r="AA257" i="16" a="1"/>
  <c r="AA257" i="16" s="1"/>
  <c r="U257" i="16" a="1"/>
  <c r="U257" i="16" s="1"/>
  <c r="T257" i="16" a="1"/>
  <c r="T257" i="16" s="1"/>
  <c r="S257" i="16" a="1"/>
  <c r="S257" i="16" s="1"/>
  <c r="V257" i="16" a="1"/>
  <c r="V257" i="16" s="1"/>
  <c r="W218" i="16" a="1"/>
  <c r="W218" i="16" s="1"/>
  <c r="T218" i="16" a="1"/>
  <c r="T218" i="16" s="1"/>
  <c r="AF194" i="16"/>
  <c r="U198" i="16" a="1"/>
  <c r="U198" i="16" s="1"/>
  <c r="AC216" i="16" a="1"/>
  <c r="AC216" i="16" s="1"/>
  <c r="S216" i="16" a="1"/>
  <c r="S216" i="16" s="1"/>
  <c r="Z216" i="16" a="1"/>
  <c r="Z216" i="16" s="1"/>
  <c r="AD216" i="16"/>
  <c r="AB216" i="16" a="1"/>
  <c r="AB216" i="16" s="1"/>
  <c r="AA216" i="16" a="1"/>
  <c r="AA216" i="16" s="1"/>
  <c r="W216" i="16" a="1"/>
  <c r="W216" i="16" s="1"/>
  <c r="T216" i="16" a="1"/>
  <c r="T216" i="16" s="1"/>
  <c r="AC207" i="16" a="1"/>
  <c r="AC207" i="16" s="1"/>
  <c r="AC211" i="16" a="1"/>
  <c r="AC211" i="16" s="1"/>
  <c r="AF213" i="16"/>
  <c r="T213" i="16" a="1"/>
  <c r="T213" i="16" s="1"/>
  <c r="AA213" i="16" a="1"/>
  <c r="AA213" i="16" s="1"/>
  <c r="Z213" i="16" a="1"/>
  <c r="Z213" i="16" s="1"/>
  <c r="W213" i="16" a="1"/>
  <c r="W213" i="16" s="1"/>
  <c r="AC217" i="16" a="1"/>
  <c r="AC217" i="16" s="1"/>
  <c r="S218" i="16" a="1"/>
  <c r="S218" i="16" s="1"/>
  <c r="T246" i="16" a="1"/>
  <c r="T246" i="16" s="1"/>
  <c r="V246" i="16" a="1"/>
  <c r="V246" i="16" s="1"/>
  <c r="U246" i="16" a="1"/>
  <c r="U246" i="16" s="1"/>
  <c r="S246" i="16" a="1"/>
  <c r="S246" i="16" s="1"/>
  <c r="AC246" i="16" a="1"/>
  <c r="AC246" i="16" s="1"/>
  <c r="W246" i="16" a="1"/>
  <c r="W246" i="16" s="1"/>
  <c r="R246" i="16" a="1"/>
  <c r="R246" i="16" s="1"/>
  <c r="AD246" i="16"/>
  <c r="AF246" i="16" s="1"/>
  <c r="AB246" i="16" a="1"/>
  <c r="AB246" i="16" s="1"/>
  <c r="X246" i="16" a="1"/>
  <c r="X246" i="16" s="1"/>
  <c r="X182" i="16" a="1"/>
  <c r="X182" i="16" s="1"/>
  <c r="AF188" i="16"/>
  <c r="V192" i="16" a="1"/>
  <c r="V192" i="16" s="1"/>
  <c r="S194" i="16" a="1"/>
  <c r="S194" i="16" s="1"/>
  <c r="V198" i="16" a="1"/>
  <c r="V198" i="16" s="1"/>
  <c r="X206" i="16" a="1"/>
  <c r="X206" i="16" s="1"/>
  <c r="U206" i="16" a="1"/>
  <c r="U206" i="16" s="1"/>
  <c r="T206" i="16" a="1"/>
  <c r="T206" i="16" s="1"/>
  <c r="V206" i="16" a="1"/>
  <c r="V206" i="16" s="1"/>
  <c r="AD206" i="16"/>
  <c r="AF206" i="16" s="1"/>
  <c r="AC206" i="16" a="1"/>
  <c r="AC206" i="16" s="1"/>
  <c r="Z199" i="16" a="1"/>
  <c r="Z199" i="16" s="1"/>
  <c r="W199" i="16" a="1"/>
  <c r="W199" i="16" s="1"/>
  <c r="V199" i="16" a="1"/>
  <c r="V199" i="16" s="1"/>
  <c r="AC199" i="16" a="1"/>
  <c r="AC199" i="16" s="1"/>
  <c r="Z218" i="16" a="1"/>
  <c r="Z218" i="16" s="1"/>
  <c r="W207" i="16" a="1"/>
  <c r="W207" i="16" s="1"/>
  <c r="AD207" i="16"/>
  <c r="AF207" i="16" s="1"/>
  <c r="AA207" i="16" a="1"/>
  <c r="AA207" i="16" s="1"/>
  <c r="X207" i="16" a="1"/>
  <c r="X207" i="16" s="1"/>
  <c r="V207" i="16" a="1"/>
  <c r="V207" i="16" s="1"/>
  <c r="AA167" i="16" a="1"/>
  <c r="AA167" i="16" s="1"/>
  <c r="AC193" i="16" a="1"/>
  <c r="AC193" i="16" s="1"/>
  <c r="S193" i="16" a="1"/>
  <c r="S193" i="16" s="1"/>
  <c r="Z193" i="16" a="1"/>
  <c r="Z193" i="16" s="1"/>
  <c r="AF193" i="16"/>
  <c r="AF199" i="16"/>
  <c r="V216" i="16" a="1"/>
  <c r="V216" i="16" s="1"/>
  <c r="AA218" i="16" a="1"/>
  <c r="AA218" i="16" s="1"/>
  <c r="Y273" i="16" a="1"/>
  <c r="Y273" i="16" s="1"/>
  <c r="U273" i="16" a="1"/>
  <c r="U273" i="16" s="1"/>
  <c r="AA273" i="16" a="1"/>
  <c r="AA273" i="16" s="1"/>
  <c r="Z273" i="16" a="1"/>
  <c r="Z273" i="16" s="1"/>
  <c r="X273" i="16" a="1"/>
  <c r="X273" i="16" s="1"/>
  <c r="W273" i="16" a="1"/>
  <c r="W273" i="16" s="1"/>
  <c r="V273" i="16" a="1"/>
  <c r="V273" i="16" s="1"/>
  <c r="T273" i="16" a="1"/>
  <c r="T273" i="16" s="1"/>
  <c r="AD273" i="16"/>
  <c r="AF273" i="16" s="1"/>
  <c r="AC273" i="16" a="1"/>
  <c r="AC273" i="16" s="1"/>
  <c r="AB273" i="16" a="1"/>
  <c r="AB273" i="16" s="1"/>
  <c r="S273" i="16" a="1"/>
  <c r="S273" i="16" s="1"/>
  <c r="R273" i="16" a="1"/>
  <c r="R273" i="16" s="1"/>
  <c r="AA168" i="16" a="1"/>
  <c r="AA168" i="16" s="1"/>
  <c r="T182" i="16" a="1"/>
  <c r="T182" i="16" s="1"/>
  <c r="V188" i="16" a="1"/>
  <c r="V188" i="16" s="1"/>
  <c r="T190" i="16" a="1"/>
  <c r="T190" i="16" s="1"/>
  <c r="AD190" i="16"/>
  <c r="AF190" i="16" s="1"/>
  <c r="V194" i="16" a="1"/>
  <c r="V194" i="16" s="1"/>
  <c r="W206" i="16" a="1"/>
  <c r="W206" i="16" s="1"/>
  <c r="V213" i="16" a="1"/>
  <c r="V213" i="16" s="1"/>
  <c r="X194" i="16" a="1"/>
  <c r="X194" i="16" s="1"/>
  <c r="Z198" i="16" a="1"/>
  <c r="Z198" i="16" s="1"/>
  <c r="U207" i="16" a="1"/>
  <c r="U207" i="16" s="1"/>
  <c r="AC297" i="16" a="1"/>
  <c r="AC297" i="16" s="1"/>
  <c r="S297" i="16" a="1"/>
  <c r="S297" i="16" s="1"/>
  <c r="AD297" i="16"/>
  <c r="AF297" i="16" s="1"/>
  <c r="AB297" i="16" a="1"/>
  <c r="AB297" i="16" s="1"/>
  <c r="Z297" i="16" a="1"/>
  <c r="Z297" i="16" s="1"/>
  <c r="W297" i="16" a="1"/>
  <c r="W297" i="16" s="1"/>
  <c r="X297" i="16" a="1"/>
  <c r="X297" i="16" s="1"/>
  <c r="AA297" i="16" a="1"/>
  <c r="AA297" i="16" s="1"/>
  <c r="Y297" i="16" a="1"/>
  <c r="Y297" i="16" s="1"/>
  <c r="U297" i="16" a="1"/>
  <c r="U297" i="16" s="1"/>
  <c r="V297" i="16" a="1"/>
  <c r="V297" i="16" s="1"/>
  <c r="AD192" i="16"/>
  <c r="AC192" i="16" a="1"/>
  <c r="AC192" i="16" s="1"/>
  <c r="S192" i="16" a="1"/>
  <c r="S192" i="16" s="1"/>
  <c r="Z194" i="16" a="1"/>
  <c r="Z194" i="16" s="1"/>
  <c r="AF198" i="16"/>
  <c r="X205" i="16" a="1"/>
  <c r="X205" i="16" s="1"/>
  <c r="AD205" i="16"/>
  <c r="AF205" i="16" s="1"/>
  <c r="AA205" i="16" a="1"/>
  <c r="AA205" i="16" s="1"/>
  <c r="Z205" i="16" a="1"/>
  <c r="Z205" i="16" s="1"/>
  <c r="AA206" i="16" a="1"/>
  <c r="AA206" i="16" s="1"/>
  <c r="AD227" i="16"/>
  <c r="AF227" i="16" s="1"/>
  <c r="X227" i="16" a="1"/>
  <c r="X227" i="16" s="1"/>
  <c r="AA227" i="16" a="1"/>
  <c r="AA227" i="16" s="1"/>
  <c r="Z227" i="16" a="1"/>
  <c r="Z227" i="16" s="1"/>
  <c r="Y227" i="16" a="1"/>
  <c r="Y227" i="16" s="1"/>
  <c r="W227" i="16" a="1"/>
  <c r="W227" i="16" s="1"/>
  <c r="V227" i="16" a="1"/>
  <c r="V227" i="16" s="1"/>
  <c r="U227" i="16" a="1"/>
  <c r="U227" i="16" s="1"/>
  <c r="AC227" i="16" a="1"/>
  <c r="AC227" i="16" s="1"/>
  <c r="R297" i="16" a="1"/>
  <c r="R297" i="16" s="1"/>
  <c r="AA329" i="16" a="1"/>
  <c r="AA329" i="16" s="1"/>
  <c r="U189" i="16" a="1"/>
  <c r="U189" i="16" s="1"/>
  <c r="V190" i="16" a="1"/>
  <c r="V190" i="16" s="1"/>
  <c r="V193" i="16" a="1"/>
  <c r="V193" i="16" s="1"/>
  <c r="Z203" i="16" a="1"/>
  <c r="Z203" i="16" s="1"/>
  <c r="V203" i="16" a="1"/>
  <c r="V203" i="16" s="1"/>
  <c r="U203" i="16" a="1"/>
  <c r="U203" i="16" s="1"/>
  <c r="AF203" i="16"/>
  <c r="AD290" i="16"/>
  <c r="AF290" i="16" s="1"/>
  <c r="S290" i="16" a="1"/>
  <c r="S290" i="16" s="1"/>
  <c r="AC290" i="16" a="1"/>
  <c r="AC290" i="16" s="1"/>
  <c r="AB290" i="16" a="1"/>
  <c r="AB290" i="16" s="1"/>
  <c r="Y290" i="16" a="1"/>
  <c r="Y290" i="16" s="1"/>
  <c r="X290" i="16" a="1"/>
  <c r="X290" i="16" s="1"/>
  <c r="Z290" i="16" a="1"/>
  <c r="Z290" i="16" s="1"/>
  <c r="W290" i="16" a="1"/>
  <c r="W290" i="16" s="1"/>
  <c r="V290" i="16" a="1"/>
  <c r="V290" i="16" s="1"/>
  <c r="U290" i="16" a="1"/>
  <c r="U290" i="16" s="1"/>
  <c r="R290" i="16" a="1"/>
  <c r="R290" i="16" s="1"/>
  <c r="AA290" i="16" a="1"/>
  <c r="AA290" i="16" s="1"/>
  <c r="T290" i="16" a="1"/>
  <c r="T290" i="16" s="1"/>
  <c r="T297" i="16" a="1"/>
  <c r="T297" i="16" s="1"/>
  <c r="V186" i="16" a="1"/>
  <c r="V186" i="16" s="1"/>
  <c r="AD186" i="16"/>
  <c r="AF186" i="16" s="1"/>
  <c r="Z188" i="16" a="1"/>
  <c r="Z188" i="16" s="1"/>
  <c r="AA194" i="16" a="1"/>
  <c r="AA194" i="16" s="1"/>
  <c r="S198" i="16" a="1"/>
  <c r="S198" i="16" s="1"/>
  <c r="S205" i="16" a="1"/>
  <c r="S205" i="16" s="1"/>
  <c r="AB206" i="16" a="1"/>
  <c r="AB206" i="16" s="1"/>
  <c r="V209" i="16" a="1"/>
  <c r="V209" i="16" s="1"/>
  <c r="AD209" i="16"/>
  <c r="X209" i="16" a="1"/>
  <c r="X209" i="16" s="1"/>
  <c r="T209" i="16" a="1"/>
  <c r="T209" i="16" s="1"/>
  <c r="Z221" i="16" a="1"/>
  <c r="Z221" i="16" s="1"/>
  <c r="X221" i="16" a="1"/>
  <c r="X221" i="16" s="1"/>
  <c r="W221" i="16" a="1"/>
  <c r="W221" i="16" s="1"/>
  <c r="V221" i="16" a="1"/>
  <c r="V221" i="16" s="1"/>
  <c r="U221" i="16" a="1"/>
  <c r="U221" i="16" s="1"/>
  <c r="T221" i="16" a="1"/>
  <c r="T221" i="16" s="1"/>
  <c r="Z231" i="16" a="1"/>
  <c r="Z231" i="16" s="1"/>
  <c r="Y231" i="16" a="1"/>
  <c r="Y231" i="16" s="1"/>
  <c r="X231" i="16" a="1"/>
  <c r="X231" i="16" s="1"/>
  <c r="W231" i="16" a="1"/>
  <c r="W231" i="16" s="1"/>
  <c r="V231" i="16" a="1"/>
  <c r="V231" i="16" s="1"/>
  <c r="U231" i="16" a="1"/>
  <c r="U231" i="16" s="1"/>
  <c r="T231" i="16" a="1"/>
  <c r="T231" i="16" s="1"/>
  <c r="S231" i="16" a="1"/>
  <c r="S231" i="16" s="1"/>
  <c r="AC231" i="16" a="1"/>
  <c r="AC231" i="16" s="1"/>
  <c r="AA231" i="16" a="1"/>
  <c r="AA231" i="16" s="1"/>
  <c r="W240" i="16" a="1"/>
  <c r="W240" i="16" s="1"/>
  <c r="U240" i="16" a="1"/>
  <c r="U240" i="16" s="1"/>
  <c r="AD240" i="16"/>
  <c r="AF240" i="16" s="1"/>
  <c r="AC240" i="16" a="1"/>
  <c r="AC240" i="16" s="1"/>
  <c r="AB240" i="16" a="1"/>
  <c r="AB240" i="16" s="1"/>
  <c r="AA240" i="16" a="1"/>
  <c r="AA240" i="16" s="1"/>
  <c r="Z240" i="16" a="1"/>
  <c r="Z240" i="16" s="1"/>
  <c r="Y240" i="16" a="1"/>
  <c r="Y240" i="16" s="1"/>
  <c r="X240" i="16" a="1"/>
  <c r="X240" i="16" s="1"/>
  <c r="V240" i="16" a="1"/>
  <c r="V240" i="16" s="1"/>
  <c r="R240" i="16" a="1"/>
  <c r="R240" i="16" s="1"/>
  <c r="Y256" i="16" a="1"/>
  <c r="Y256" i="16" s="1"/>
  <c r="AA256" i="16" a="1"/>
  <c r="AA256" i="16" s="1"/>
  <c r="Z256" i="16" a="1"/>
  <c r="Z256" i="16" s="1"/>
  <c r="X256" i="16" a="1"/>
  <c r="X256" i="16" s="1"/>
  <c r="W256" i="16" a="1"/>
  <c r="W256" i="16" s="1"/>
  <c r="V256" i="16" a="1"/>
  <c r="V256" i="16" s="1"/>
  <c r="AD256" i="16"/>
  <c r="AF256" i="16" s="1"/>
  <c r="AC256" i="16" a="1"/>
  <c r="AC256" i="16" s="1"/>
  <c r="AB256" i="16" a="1"/>
  <c r="AB256" i="16" s="1"/>
  <c r="U256" i="16" a="1"/>
  <c r="U256" i="16" s="1"/>
  <c r="T256" i="16" a="1"/>
  <c r="T256" i="16" s="1"/>
  <c r="AD247" i="16"/>
  <c r="AB247" i="16" a="1"/>
  <c r="AB247" i="16" s="1"/>
  <c r="R247" i="16" a="1"/>
  <c r="R247" i="16" s="1"/>
  <c r="X247" i="16" a="1"/>
  <c r="X247" i="16" s="1"/>
  <c r="U247" i="16" a="1"/>
  <c r="U247" i="16" s="1"/>
  <c r="T247" i="16" a="1"/>
  <c r="T247" i="16" s="1"/>
  <c r="X255" i="16" a="1"/>
  <c r="X255" i="16" s="1"/>
  <c r="Z255" i="16" a="1"/>
  <c r="Z255" i="16" s="1"/>
  <c r="Y255" i="16" a="1"/>
  <c r="Y255" i="16" s="1"/>
  <c r="V255" i="16" a="1"/>
  <c r="V255" i="16" s="1"/>
  <c r="U255" i="16" a="1"/>
  <c r="U255" i="16" s="1"/>
  <c r="T255" i="16" a="1"/>
  <c r="T255" i="16" s="1"/>
  <c r="U264" i="16" a="1"/>
  <c r="U264" i="16" s="1"/>
  <c r="AD264" i="16"/>
  <c r="AF264" i="16" s="1"/>
  <c r="X264" i="16" a="1"/>
  <c r="X264" i="16" s="1"/>
  <c r="V264" i="16" a="1"/>
  <c r="V264" i="16" s="1"/>
  <c r="T264" i="16" a="1"/>
  <c r="T264" i="16" s="1"/>
  <c r="S264" i="16" a="1"/>
  <c r="S264" i="16" s="1"/>
  <c r="R264" i="16" a="1"/>
  <c r="R264" i="16" s="1"/>
  <c r="AC268" i="16" a="1"/>
  <c r="AC268" i="16" s="1"/>
  <c r="S268" i="16" a="1"/>
  <c r="S268" i="16" s="1"/>
  <c r="X268" i="16" a="1"/>
  <c r="X268" i="16" s="1"/>
  <c r="V268" i="16" a="1"/>
  <c r="V268" i="16" s="1"/>
  <c r="U268" i="16" a="1"/>
  <c r="U268" i="16" s="1"/>
  <c r="T268" i="16" a="1"/>
  <c r="T268" i="16" s="1"/>
  <c r="X306" i="16" a="1"/>
  <c r="X306" i="16" s="1"/>
  <c r="U306" i="16" a="1"/>
  <c r="U306" i="16" s="1"/>
  <c r="AF306" i="16"/>
  <c r="S306" i="16" a="1"/>
  <c r="S306" i="16" s="1"/>
  <c r="V306" i="16" a="1"/>
  <c r="V306" i="16" s="1"/>
  <c r="R306" i="16" a="1"/>
  <c r="R306" i="16" s="1"/>
  <c r="AC306" i="16" a="1"/>
  <c r="AC306" i="16" s="1"/>
  <c r="Z306" i="16" a="1"/>
  <c r="Z306" i="16" s="1"/>
  <c r="Y306" i="16" a="1"/>
  <c r="Y306" i="16" s="1"/>
  <c r="W306" i="16" a="1"/>
  <c r="W306" i="16" s="1"/>
  <c r="T306" i="16" a="1"/>
  <c r="T306" i="16" s="1"/>
  <c r="AB306" i="16" a="1"/>
  <c r="AB306" i="16" s="1"/>
  <c r="Y282" i="16" a="1"/>
  <c r="Y282" i="16" s="1"/>
  <c r="U282" i="16" a="1"/>
  <c r="U282" i="16" s="1"/>
  <c r="X282" i="16" a="1"/>
  <c r="X282" i="16" s="1"/>
  <c r="V282" i="16" a="1"/>
  <c r="V282" i="16" s="1"/>
  <c r="T282" i="16" a="1"/>
  <c r="T282" i="16" s="1"/>
  <c r="S282" i="16" a="1"/>
  <c r="S282" i="16" s="1"/>
  <c r="R282" i="16" a="1"/>
  <c r="R282" i="16" s="1"/>
  <c r="V224" i="16" a="1"/>
  <c r="V224" i="16" s="1"/>
  <c r="U224" i="16" a="1"/>
  <c r="U224" i="16" s="1"/>
  <c r="AC224" i="16" a="1"/>
  <c r="AC224" i="16" s="1"/>
  <c r="S247" i="16" a="1"/>
  <c r="S247" i="16" s="1"/>
  <c r="W264" i="16" a="1"/>
  <c r="W264" i="16" s="1"/>
  <c r="W268" i="16" a="1"/>
  <c r="W268" i="16" s="1"/>
  <c r="W282" i="16" a="1"/>
  <c r="W282" i="16" s="1"/>
  <c r="W247" i="16" a="1"/>
  <c r="W247" i="16" s="1"/>
  <c r="AC248" i="16" a="1"/>
  <c r="AC248" i="16" s="1"/>
  <c r="S248" i="16" a="1"/>
  <c r="S248" i="16" s="1"/>
  <c r="Y248" i="16" a="1"/>
  <c r="Y248" i="16" s="1"/>
  <c r="X248" i="16" a="1"/>
  <c r="X248" i="16" s="1"/>
  <c r="X258" i="16" a="1"/>
  <c r="X258" i="16" s="1"/>
  <c r="AF258" i="16"/>
  <c r="S258" i="16" a="1"/>
  <c r="S258" i="16" s="1"/>
  <c r="AC258" i="16" a="1"/>
  <c r="AC258" i="16" s="1"/>
  <c r="R258" i="16" a="1"/>
  <c r="R258" i="16" s="1"/>
  <c r="AA258" i="16" a="1"/>
  <c r="AA258" i="16" s="1"/>
  <c r="Z258" i="16" a="1"/>
  <c r="Z258" i="16" s="1"/>
  <c r="X310" i="16" a="1"/>
  <c r="X310" i="16" s="1"/>
  <c r="V310" i="16" a="1"/>
  <c r="V310" i="16" s="1"/>
  <c r="AA310" i="16" a="1"/>
  <c r="AA310" i="16" s="1"/>
  <c r="Z310" i="16" a="1"/>
  <c r="Z310" i="16" s="1"/>
  <c r="U310" i="16" a="1"/>
  <c r="U310" i="16" s="1"/>
  <c r="T310" i="16" a="1"/>
  <c r="T310" i="16" s="1"/>
  <c r="S310" i="16" a="1"/>
  <c r="S310" i="16" s="1"/>
  <c r="AD310" i="16"/>
  <c r="AF310" i="16" s="1"/>
  <c r="W310" i="16" a="1"/>
  <c r="W310" i="16" s="1"/>
  <c r="U241" i="16" a="1"/>
  <c r="U241" i="16" s="1"/>
  <c r="Y241" i="16" a="1"/>
  <c r="Y241" i="16" s="1"/>
  <c r="T241" i="16" a="1"/>
  <c r="T241" i="16" s="1"/>
  <c r="R248" i="16" a="1"/>
  <c r="R248" i="16" s="1"/>
  <c r="W255" i="16" a="1"/>
  <c r="W255" i="16" s="1"/>
  <c r="AA264" i="16" a="1"/>
  <c r="AA264" i="16" s="1"/>
  <c r="AA268" i="16" a="1"/>
  <c r="AA268" i="16" s="1"/>
  <c r="AB282" i="16" a="1"/>
  <c r="AB282" i="16" s="1"/>
  <c r="AA317" i="16" a="1"/>
  <c r="AA317" i="16" s="1"/>
  <c r="T224" i="16" a="1"/>
  <c r="T224" i="16" s="1"/>
  <c r="X226" i="16" a="1"/>
  <c r="X226" i="16" s="1"/>
  <c r="U226" i="16" a="1"/>
  <c r="U226" i="16" s="1"/>
  <c r="T226" i="16" a="1"/>
  <c r="T226" i="16" s="1"/>
  <c r="AC226" i="16" a="1"/>
  <c r="AC226" i="16" s="1"/>
  <c r="Y247" i="16" a="1"/>
  <c r="Y247" i="16" s="1"/>
  <c r="AB268" i="16" a="1"/>
  <c r="AB268" i="16" s="1"/>
  <c r="AC310" i="16" a="1"/>
  <c r="AC310" i="16" s="1"/>
  <c r="AA189" i="16" a="1"/>
  <c r="AA189" i="16" s="1"/>
  <c r="Z191" i="16" a="1"/>
  <c r="Z191" i="16" s="1"/>
  <c r="W197" i="16" a="1"/>
  <c r="W197" i="16" s="1"/>
  <c r="AA211" i="16" a="1"/>
  <c r="AA211" i="16" s="1"/>
  <c r="AC223" i="16" a="1"/>
  <c r="AC223" i="16" s="1"/>
  <c r="Z225" i="16" a="1"/>
  <c r="Z225" i="16" s="1"/>
  <c r="AD226" i="16"/>
  <c r="AF226" i="16" s="1"/>
  <c r="U229" i="16" a="1"/>
  <c r="U229" i="16" s="1"/>
  <c r="R241" i="16" a="1"/>
  <c r="R241" i="16" s="1"/>
  <c r="AB242" i="16" a="1"/>
  <c r="AB242" i="16" s="1"/>
  <c r="T258" i="16" a="1"/>
  <c r="T258" i="16" s="1"/>
  <c r="AB264" i="16" a="1"/>
  <c r="AB264" i="16" s="1"/>
  <c r="AC282" i="16" a="1"/>
  <c r="AC282" i="16" s="1"/>
  <c r="Z247" i="16" a="1"/>
  <c r="Z247" i="16" s="1"/>
  <c r="T248" i="16" a="1"/>
  <c r="T248" i="16" s="1"/>
  <c r="AA255" i="16" a="1"/>
  <c r="AA255" i="16" s="1"/>
  <c r="AD268" i="16"/>
  <c r="AF268" i="16" s="1"/>
  <c r="AD282" i="16"/>
  <c r="AF282" i="16" s="1"/>
  <c r="U293" i="16" a="1"/>
  <c r="U293" i="16" s="1"/>
  <c r="W293" i="16" a="1"/>
  <c r="W293" i="16" s="1"/>
  <c r="R293" i="16" a="1"/>
  <c r="R293" i="16" s="1"/>
  <c r="AD293" i="16"/>
  <c r="AF293" i="16" s="1"/>
  <c r="AC293" i="16" a="1"/>
  <c r="AC293" i="16" s="1"/>
  <c r="AA293" i="16" a="1"/>
  <c r="AA293" i="16" s="1"/>
  <c r="Y293" i="16" a="1"/>
  <c r="Y293" i="16" s="1"/>
  <c r="X293" i="16" a="1"/>
  <c r="X293" i="16" s="1"/>
  <c r="V293" i="16" a="1"/>
  <c r="V293" i="16" s="1"/>
  <c r="AA191" i="16" a="1"/>
  <c r="AA191" i="16" s="1"/>
  <c r="X197" i="16" a="1"/>
  <c r="X197" i="16" s="1"/>
  <c r="AF223" i="16"/>
  <c r="AA225" i="16" a="1"/>
  <c r="AA225" i="16" s="1"/>
  <c r="AC228" i="16" a="1"/>
  <c r="AC228" i="16" s="1"/>
  <c r="S228" i="16" a="1"/>
  <c r="S228" i="16" s="1"/>
  <c r="Y228" i="16" a="1"/>
  <c r="Y228" i="16" s="1"/>
  <c r="V228" i="16" a="1"/>
  <c r="V228" i="16" s="1"/>
  <c r="U228" i="16" a="1"/>
  <c r="U228" i="16" s="1"/>
  <c r="AF228" i="16"/>
  <c r="W229" i="16" a="1"/>
  <c r="W229" i="16" s="1"/>
  <c r="S241" i="16" a="1"/>
  <c r="S241" i="16" s="1"/>
  <c r="U258" i="16" a="1"/>
  <c r="U258" i="16" s="1"/>
  <c r="AC264" i="16" a="1"/>
  <c r="AC264" i="16" s="1"/>
  <c r="Y284" i="16" a="1"/>
  <c r="Y284" i="16" s="1"/>
  <c r="V284" i="16" a="1"/>
  <c r="V284" i="16" s="1"/>
  <c r="Z284" i="16" a="1"/>
  <c r="Z284" i="16" s="1"/>
  <c r="W284" i="16" a="1"/>
  <c r="W284" i="16" s="1"/>
  <c r="U284" i="16" a="1"/>
  <c r="U284" i="16" s="1"/>
  <c r="T284" i="16" a="1"/>
  <c r="T284" i="16" s="1"/>
  <c r="S284" i="16" a="1"/>
  <c r="S284" i="16" s="1"/>
  <c r="S293" i="16" a="1"/>
  <c r="S293" i="16" s="1"/>
  <c r="U211" i="16" a="1"/>
  <c r="U211" i="16" s="1"/>
  <c r="AF211" i="16"/>
  <c r="X229" i="16" a="1"/>
  <c r="X229" i="16" s="1"/>
  <c r="AB230" i="16" a="1"/>
  <c r="AB230" i="16" s="1"/>
  <c r="R230" i="16" a="1"/>
  <c r="R230" i="16" s="1"/>
  <c r="Z230" i="16" a="1"/>
  <c r="Z230" i="16" s="1"/>
  <c r="W230" i="16" a="1"/>
  <c r="W230" i="16" s="1"/>
  <c r="V230" i="16" a="1"/>
  <c r="V230" i="16" s="1"/>
  <c r="V248" i="16" a="1"/>
  <c r="V248" i="16" s="1"/>
  <c r="V258" i="16" a="1"/>
  <c r="V258" i="16" s="1"/>
  <c r="Y283" i="16" a="1"/>
  <c r="Y283" i="16" s="1"/>
  <c r="Z283" i="16" a="1"/>
  <c r="Z283" i="16" s="1"/>
  <c r="X283" i="16" a="1"/>
  <c r="X283" i="16" s="1"/>
  <c r="U283" i="16" a="1"/>
  <c r="U283" i="16" s="1"/>
  <c r="T283" i="16" a="1"/>
  <c r="T283" i="16" s="1"/>
  <c r="R283" i="16" a="1"/>
  <c r="R283" i="16" s="1"/>
  <c r="AD283" i="16"/>
  <c r="AF283" i="16" s="1"/>
  <c r="AC283" i="16" a="1"/>
  <c r="AC283" i="16" s="1"/>
  <c r="AB283" i="16" a="1"/>
  <c r="AB283" i="16" s="1"/>
  <c r="AA283" i="16" a="1"/>
  <c r="AA283" i="16" s="1"/>
  <c r="T293" i="16" a="1"/>
  <c r="T293" i="16" s="1"/>
  <c r="W208" i="16" a="1"/>
  <c r="W208" i="16" s="1"/>
  <c r="T208" i="16" a="1"/>
  <c r="T208" i="16" s="1"/>
  <c r="AC208" i="16" a="1"/>
  <c r="AC208" i="16" s="1"/>
  <c r="S208" i="16" a="1"/>
  <c r="S208" i="16" s="1"/>
  <c r="AD208" i="16"/>
  <c r="AF208" i="16" s="1"/>
  <c r="X224" i="16" a="1"/>
  <c r="X224" i="16" s="1"/>
  <c r="R235" i="16" a="1"/>
  <c r="R235" i="16" s="1"/>
  <c r="AB235" i="16" a="1"/>
  <c r="AB235" i="16" s="1"/>
  <c r="AA235" i="16" a="1"/>
  <c r="AA235" i="16" s="1"/>
  <c r="Y235" i="16" a="1"/>
  <c r="Y235" i="16" s="1"/>
  <c r="X235" i="16" a="1"/>
  <c r="X235" i="16" s="1"/>
  <c r="AD237" i="16"/>
  <c r="AF237" i="16" s="1"/>
  <c r="S237" i="16" a="1"/>
  <c r="S237" i="16" s="1"/>
  <c r="AC237" i="16" a="1"/>
  <c r="AC237" i="16" s="1"/>
  <c r="AB237" i="16" a="1"/>
  <c r="AB237" i="16" s="1"/>
  <c r="V241" i="16" a="1"/>
  <c r="V241" i="16" s="1"/>
  <c r="V242" i="16" a="1"/>
  <c r="V242" i="16" s="1"/>
  <c r="Z242" i="16" a="1"/>
  <c r="Z242" i="16" s="1"/>
  <c r="Y242" i="16" a="1"/>
  <c r="Y242" i="16" s="1"/>
  <c r="W248" i="16" a="1"/>
  <c r="W248" i="16" s="1"/>
  <c r="AC255" i="16" a="1"/>
  <c r="AC255" i="16" s="1"/>
  <c r="W258" i="16" a="1"/>
  <c r="W258" i="16" s="1"/>
  <c r="W260" i="16" a="1"/>
  <c r="W260" i="16" s="1"/>
  <c r="X260" i="16" a="1"/>
  <c r="X260" i="16" s="1"/>
  <c r="V260" i="16" a="1"/>
  <c r="V260" i="16" s="1"/>
  <c r="T260" i="16" a="1"/>
  <c r="T260" i="16" s="1"/>
  <c r="S260" i="16" a="1"/>
  <c r="S260" i="16" s="1"/>
  <c r="AF260" i="16"/>
  <c r="Z293" i="16" a="1"/>
  <c r="Z293" i="16" s="1"/>
  <c r="AB299" i="16" a="1"/>
  <c r="AB299" i="16" s="1"/>
  <c r="R299" i="16" a="1"/>
  <c r="R299" i="16" s="1"/>
  <c r="W299" i="16" a="1"/>
  <c r="W299" i="16" s="1"/>
  <c r="AC299" i="16" a="1"/>
  <c r="AC299" i="16" s="1"/>
  <c r="AD299" i="16"/>
  <c r="AF299" i="16" s="1"/>
  <c r="AA299" i="16" a="1"/>
  <c r="AA299" i="16" s="1"/>
  <c r="X299" i="16" a="1"/>
  <c r="X299" i="16" s="1"/>
  <c r="S299" i="16" a="1"/>
  <c r="S299" i="16" s="1"/>
  <c r="Z299" i="16" a="1"/>
  <c r="Z299" i="16" s="1"/>
  <c r="Y299" i="16" a="1"/>
  <c r="Y299" i="16" s="1"/>
  <c r="V299" i="16" a="1"/>
  <c r="V299" i="16" s="1"/>
  <c r="U299" i="16" a="1"/>
  <c r="U299" i="16" s="1"/>
  <c r="T299" i="16" a="1"/>
  <c r="T299" i="16" s="1"/>
  <c r="X225" i="16" a="1"/>
  <c r="X225" i="16" s="1"/>
  <c r="AC225" i="16" a="1"/>
  <c r="AC225" i="16" s="1"/>
  <c r="Z229" i="16" a="1"/>
  <c r="Z229" i="16" s="1"/>
  <c r="W241" i="16" a="1"/>
  <c r="W241" i="16" s="1"/>
  <c r="AC247" i="16" a="1"/>
  <c r="AC247" i="16" s="1"/>
  <c r="Z251" i="16" a="1"/>
  <c r="Z251" i="16" s="1"/>
  <c r="AF251" i="16"/>
  <c r="S251" i="16" a="1"/>
  <c r="S251" i="16" s="1"/>
  <c r="AC251" i="16" a="1"/>
  <c r="AC251" i="16" s="1"/>
  <c r="R251" i="16" a="1"/>
  <c r="R251" i="16" s="1"/>
  <c r="AA251" i="16" a="1"/>
  <c r="AA251" i="16" s="1"/>
  <c r="AD255" i="16"/>
  <c r="AF255" i="16" s="1"/>
  <c r="T266" i="16" a="1"/>
  <c r="T266" i="16" s="1"/>
  <c r="R266" i="16" a="1"/>
  <c r="R266" i="16" s="1"/>
  <c r="AD266" i="16"/>
  <c r="AF266" i="16" s="1"/>
  <c r="AB266" i="16" a="1"/>
  <c r="AB266" i="16" s="1"/>
  <c r="Z266" i="16" a="1"/>
  <c r="Z266" i="16" s="1"/>
  <c r="Y266" i="16" a="1"/>
  <c r="Y266" i="16" s="1"/>
  <c r="X266" i="16" a="1"/>
  <c r="X266" i="16" s="1"/>
  <c r="X278" i="16" a="1"/>
  <c r="X278" i="16" s="1"/>
  <c r="T278" i="16" a="1"/>
  <c r="T278" i="16" s="1"/>
  <c r="AD278" i="16"/>
  <c r="AF278" i="16" s="1"/>
  <c r="Z278" i="16" a="1"/>
  <c r="Z278" i="16" s="1"/>
  <c r="V278" i="16" a="1"/>
  <c r="V278" i="16" s="1"/>
  <c r="U278" i="16" a="1"/>
  <c r="U278" i="16" s="1"/>
  <c r="S278" i="16" a="1"/>
  <c r="S278" i="16" s="1"/>
  <c r="AB293" i="16" a="1"/>
  <c r="AB293" i="16" s="1"/>
  <c r="AD191" i="16"/>
  <c r="Z222" i="16" a="1"/>
  <c r="Z222" i="16" s="1"/>
  <c r="W222" i="16" a="1"/>
  <c r="W222" i="16" s="1"/>
  <c r="V222" i="16" a="1"/>
  <c r="V222" i="16" s="1"/>
  <c r="AC222" i="16" a="1"/>
  <c r="AC222" i="16" s="1"/>
  <c r="Z224" i="16" a="1"/>
  <c r="Z224" i="16" s="1"/>
  <c r="AD225" i="16"/>
  <c r="AF225" i="16" s="1"/>
  <c r="V226" i="16" a="1"/>
  <c r="V226" i="16" s="1"/>
  <c r="S230" i="16" a="1"/>
  <c r="S230" i="16" s="1"/>
  <c r="S235" i="16" a="1"/>
  <c r="S235" i="16" s="1"/>
  <c r="X241" i="16" a="1"/>
  <c r="X241" i="16" s="1"/>
  <c r="R242" i="16" a="1"/>
  <c r="R242" i="16" s="1"/>
  <c r="AF247" i="16"/>
  <c r="Z254" i="16" a="1"/>
  <c r="Z254" i="16" s="1"/>
  <c r="W254" i="16" a="1"/>
  <c r="W254" i="16" s="1"/>
  <c r="V254" i="16" a="1"/>
  <c r="V254" i="16" s="1"/>
  <c r="T254" i="16" a="1"/>
  <c r="T254" i="16" s="1"/>
  <c r="AD254" i="16"/>
  <c r="AF254" i="16" s="1"/>
  <c r="U260" i="16" a="1"/>
  <c r="U260" i="16" s="1"/>
  <c r="V262" i="16" a="1"/>
  <c r="V262" i="16" s="1"/>
  <c r="AD262" i="16"/>
  <c r="AF262" i="16" s="1"/>
  <c r="R262" i="16" a="1"/>
  <c r="R262" i="16" s="1"/>
  <c r="AC262" i="16" a="1"/>
  <c r="AC262" i="16" s="1"/>
  <c r="AB262" i="16" a="1"/>
  <c r="AB262" i="16" s="1"/>
  <c r="Z262" i="16" a="1"/>
  <c r="Z262" i="16" s="1"/>
  <c r="Y262" i="16" a="1"/>
  <c r="Y262" i="16" s="1"/>
  <c r="X262" i="16" a="1"/>
  <c r="X262" i="16" s="1"/>
  <c r="AC265" i="16" a="1"/>
  <c r="AC265" i="16" s="1"/>
  <c r="S265" i="16" a="1"/>
  <c r="S265" i="16" s="1"/>
  <c r="Y265" i="16" a="1"/>
  <c r="Y265" i="16" s="1"/>
  <c r="AA265" i="16" a="1"/>
  <c r="AA265" i="16" s="1"/>
  <c r="W265" i="16" a="1"/>
  <c r="W265" i="16" s="1"/>
  <c r="V265" i="16" a="1"/>
  <c r="V265" i="16" s="1"/>
  <c r="S266" i="16" a="1"/>
  <c r="S266" i="16" s="1"/>
  <c r="AA284" i="16" a="1"/>
  <c r="AA284" i="16" s="1"/>
  <c r="T191" i="16" a="1"/>
  <c r="T191" i="16" s="1"/>
  <c r="T211" i="16" a="1"/>
  <c r="T211" i="16" s="1"/>
  <c r="U217" i="16" a="1"/>
  <c r="U217" i="16" s="1"/>
  <c r="AA219" i="16" a="1"/>
  <c r="AA219" i="16" s="1"/>
  <c r="AD222" i="16"/>
  <c r="AF222" i="16" s="1"/>
  <c r="U223" i="16" a="1"/>
  <c r="U223" i="16" s="1"/>
  <c r="R225" i="16" a="1"/>
  <c r="R225" i="16" s="1"/>
  <c r="AA229" i="16" a="1"/>
  <c r="AA229" i="16" s="1"/>
  <c r="T237" i="16" a="1"/>
  <c r="T237" i="16" s="1"/>
  <c r="Z248" i="16" a="1"/>
  <c r="Z248" i="16" s="1"/>
  <c r="T251" i="16" a="1"/>
  <c r="T251" i="16" s="1"/>
  <c r="Y258" i="16" a="1"/>
  <c r="Y258" i="16" s="1"/>
  <c r="Y276" i="16" a="1"/>
  <c r="Y276" i="16" s="1"/>
  <c r="U276" i="16" a="1"/>
  <c r="U276" i="16" s="1"/>
  <c r="AD276" i="16"/>
  <c r="AF276" i="16" s="1"/>
  <c r="AA276" i="16" a="1"/>
  <c r="AA276" i="16" s="1"/>
  <c r="Z276" i="16" a="1"/>
  <c r="Z276" i="16" s="1"/>
  <c r="X276" i="16" a="1"/>
  <c r="X276" i="16" s="1"/>
  <c r="W276" i="16" a="1"/>
  <c r="W276" i="16" s="1"/>
  <c r="V276" i="16" a="1"/>
  <c r="V276" i="16" s="1"/>
  <c r="R278" i="16" a="1"/>
  <c r="R278" i="16" s="1"/>
  <c r="T319" i="16" a="1"/>
  <c r="T319" i="16" s="1"/>
  <c r="AD319" i="16"/>
  <c r="AF319" i="16" s="1"/>
  <c r="S319" i="16" a="1"/>
  <c r="S319" i="16" s="1"/>
  <c r="AA319" i="16" a="1"/>
  <c r="AA319" i="16" s="1"/>
  <c r="AC319" i="16" a="1"/>
  <c r="AC319" i="16" s="1"/>
  <c r="Z319" i="16" a="1"/>
  <c r="Z319" i="16" s="1"/>
  <c r="W319" i="16" a="1"/>
  <c r="W319" i="16" s="1"/>
  <c r="V319" i="16" a="1"/>
  <c r="V319" i="16" s="1"/>
  <c r="U319" i="16" a="1"/>
  <c r="U319" i="16" s="1"/>
  <c r="R288" i="16" a="1"/>
  <c r="R288" i="16" s="1"/>
  <c r="AB288" i="16" a="1"/>
  <c r="AB288" i="16" s="1"/>
  <c r="AA288" i="16" a="1"/>
  <c r="AA288" i="16" s="1"/>
  <c r="X288" i="16" a="1"/>
  <c r="X288" i="16" s="1"/>
  <c r="W288" i="16" a="1"/>
  <c r="W288" i="16" s="1"/>
  <c r="AB253" i="16" a="1"/>
  <c r="AB253" i="16" s="1"/>
  <c r="X275" i="16" a="1"/>
  <c r="X275" i="16" s="1"/>
  <c r="AF275" i="16"/>
  <c r="T275" i="16" a="1"/>
  <c r="T275" i="16" s="1"/>
  <c r="AC275" i="16" a="1"/>
  <c r="AC275" i="16" s="1"/>
  <c r="T288" i="16" a="1"/>
  <c r="T288" i="16" s="1"/>
  <c r="AA277" i="16" a="1"/>
  <c r="AA277" i="16" s="1"/>
  <c r="X280" i="16" a="1"/>
  <c r="X280" i="16" s="1"/>
  <c r="T280" i="16" a="1"/>
  <c r="T280" i="16" s="1"/>
  <c r="AF280" i="16"/>
  <c r="AC280" i="16" a="1"/>
  <c r="AC280" i="16" s="1"/>
  <c r="V324" i="16" a="1"/>
  <c r="V324" i="16" s="1"/>
  <c r="AD324" i="16"/>
  <c r="AF324" i="16" s="1"/>
  <c r="S324" i="16" a="1"/>
  <c r="S324" i="16" s="1"/>
  <c r="W324" i="16" a="1"/>
  <c r="W324" i="16" s="1"/>
  <c r="T324" i="16" a="1"/>
  <c r="T324" i="16" s="1"/>
  <c r="Z324" i="16" a="1"/>
  <c r="Z324" i="16" s="1"/>
  <c r="X324" i="16" a="1"/>
  <c r="X324" i="16" s="1"/>
  <c r="AC324" i="16" a="1"/>
  <c r="AC324" i="16" s="1"/>
  <c r="U324" i="16" a="1"/>
  <c r="U324" i="16" s="1"/>
  <c r="AA212" i="16" a="1"/>
  <c r="AA212" i="16" s="1"/>
  <c r="Z214" i="16" a="1"/>
  <c r="Z214" i="16" s="1"/>
  <c r="AB239" i="16" a="1"/>
  <c r="AB239" i="16" s="1"/>
  <c r="R253" i="16" a="1"/>
  <c r="R253" i="16" s="1"/>
  <c r="AC253" i="16" a="1"/>
  <c r="AC253" i="16" s="1"/>
  <c r="V259" i="16" a="1"/>
  <c r="V259" i="16" s="1"/>
  <c r="AB259" i="16" a="1"/>
  <c r="AB259" i="16" s="1"/>
  <c r="R275" i="16" a="1"/>
  <c r="R275" i="16" s="1"/>
  <c r="AB285" i="16" a="1"/>
  <c r="AB285" i="16" s="1"/>
  <c r="U288" i="16" a="1"/>
  <c r="U288" i="16" s="1"/>
  <c r="U291" i="16" a="1"/>
  <c r="U291" i="16" s="1"/>
  <c r="AD291" i="16"/>
  <c r="AF291" i="16" s="1"/>
  <c r="S291" i="16" a="1"/>
  <c r="S291" i="16" s="1"/>
  <c r="R291" i="16" a="1"/>
  <c r="R291" i="16" s="1"/>
  <c r="Z291" i="16" a="1"/>
  <c r="Z291" i="16" s="1"/>
  <c r="AD320" i="16"/>
  <c r="AF320" i="16" s="1"/>
  <c r="T320" i="16" a="1"/>
  <c r="T320" i="16" s="1"/>
  <c r="W320" i="16" a="1"/>
  <c r="W320" i="16" s="1"/>
  <c r="V320" i="16" a="1"/>
  <c r="V320" i="16" s="1"/>
  <c r="U320" i="16" a="1"/>
  <c r="U320" i="16" s="1"/>
  <c r="S320" i="16" a="1"/>
  <c r="S320" i="16" s="1"/>
  <c r="Z320" i="16" a="1"/>
  <c r="Z320" i="16" s="1"/>
  <c r="U322" i="16" a="1"/>
  <c r="U322" i="16" s="1"/>
  <c r="Z322" i="16" a="1"/>
  <c r="Z322" i="16" s="1"/>
  <c r="X322" i="16" a="1"/>
  <c r="X322" i="16" s="1"/>
  <c r="W322" i="16" a="1"/>
  <c r="W322" i="16" s="1"/>
  <c r="T322" i="16" a="1"/>
  <c r="T322" i="16" s="1"/>
  <c r="AC322" i="16" a="1"/>
  <c r="AC322" i="16" s="1"/>
  <c r="AF322" i="16"/>
  <c r="AA322" i="16" a="1"/>
  <c r="AA322" i="16" s="1"/>
  <c r="V322" i="16" a="1"/>
  <c r="V322" i="16" s="1"/>
  <c r="S322" i="16" a="1"/>
  <c r="S322" i="16" s="1"/>
  <c r="AD253" i="16"/>
  <c r="AF253" i="16" s="1"/>
  <c r="AF263" i="16"/>
  <c r="T263" i="16" a="1"/>
  <c r="T263" i="16" s="1"/>
  <c r="Z263" i="16" a="1"/>
  <c r="Z263" i="16" s="1"/>
  <c r="AD267" i="16"/>
  <c r="AF267" i="16" s="1"/>
  <c r="AB267" i="16" a="1"/>
  <c r="AB267" i="16" s="1"/>
  <c r="R267" i="16" a="1"/>
  <c r="R267" i="16" s="1"/>
  <c r="X267" i="16" a="1"/>
  <c r="X267" i="16" s="1"/>
  <c r="AC267" i="16" a="1"/>
  <c r="AC267" i="16" s="1"/>
  <c r="R280" i="16" a="1"/>
  <c r="R280" i="16" s="1"/>
  <c r="AA324" i="16" a="1"/>
  <c r="AA324" i="16" s="1"/>
  <c r="AA214" i="16" a="1"/>
  <c r="AA214" i="16" s="1"/>
  <c r="Z236" i="16" a="1"/>
  <c r="Z236" i="16" s="1"/>
  <c r="R239" i="16" a="1"/>
  <c r="R239" i="16" s="1"/>
  <c r="AC239" i="16" a="1"/>
  <c r="AC239" i="16" s="1"/>
  <c r="AC245" i="16" a="1"/>
  <c r="AC245" i="16" s="1"/>
  <c r="S245" i="16" a="1"/>
  <c r="S245" i="16" s="1"/>
  <c r="AB245" i="16" a="1"/>
  <c r="AB245" i="16" s="1"/>
  <c r="S253" i="16" a="1"/>
  <c r="S253" i="16" s="1"/>
  <c r="R259" i="16" a="1"/>
  <c r="R259" i="16" s="1"/>
  <c r="AD259" i="16"/>
  <c r="AF259" i="16" s="1"/>
  <c r="AC263" i="16" a="1"/>
  <c r="AC263" i="16" s="1"/>
  <c r="Z271" i="16" a="1"/>
  <c r="Z271" i="16" s="1"/>
  <c r="V271" i="16" a="1"/>
  <c r="V271" i="16" s="1"/>
  <c r="AC271" i="16" a="1"/>
  <c r="AC271" i="16" s="1"/>
  <c r="S275" i="16" a="1"/>
  <c r="S275" i="16" s="1"/>
  <c r="S280" i="16" a="1"/>
  <c r="S280" i="16" s="1"/>
  <c r="V288" i="16" a="1"/>
  <c r="V288" i="16" s="1"/>
  <c r="U316" i="16" a="1"/>
  <c r="U316" i="16" s="1"/>
  <c r="V316" i="16" a="1"/>
  <c r="V316" i="16" s="1"/>
  <c r="X316" i="16" a="1"/>
  <c r="X316" i="16" s="1"/>
  <c r="W316" i="16" a="1"/>
  <c r="W316" i="16" s="1"/>
  <c r="AA316" i="16" a="1"/>
  <c r="AA316" i="16" s="1"/>
  <c r="T316" i="16" a="1"/>
  <c r="T316" i="16" s="1"/>
  <c r="S316" i="16" a="1"/>
  <c r="S316" i="16" s="1"/>
  <c r="AD316" i="16"/>
  <c r="AF316" i="16" s="1"/>
  <c r="T318" i="16" a="1"/>
  <c r="T318" i="16" s="1"/>
  <c r="AD318" i="16"/>
  <c r="AF318" i="16" s="1"/>
  <c r="V318" i="16" a="1"/>
  <c r="V318" i="16" s="1"/>
  <c r="S318" i="16" a="1"/>
  <c r="S318" i="16" s="1"/>
  <c r="AC318" i="16" a="1"/>
  <c r="AC318" i="16" s="1"/>
  <c r="AA318" i="16" a="1"/>
  <c r="AA318" i="16" s="1"/>
  <c r="U318" i="16" a="1"/>
  <c r="U318" i="16" s="1"/>
  <c r="W277" i="16" a="1"/>
  <c r="W277" i="16" s="1"/>
  <c r="AF277" i="16"/>
  <c r="T277" i="16" a="1"/>
  <c r="T277" i="16" s="1"/>
  <c r="AC277" i="16" a="1"/>
  <c r="AC277" i="16" s="1"/>
  <c r="S277" i="16" a="1"/>
  <c r="S277" i="16" s="1"/>
  <c r="U280" i="16" a="1"/>
  <c r="U280" i="16" s="1"/>
  <c r="X285" i="16" a="1"/>
  <c r="X285" i="16" s="1"/>
  <c r="AA285" i="16" a="1"/>
  <c r="AA285" i="16" s="1"/>
  <c r="V285" i="16" a="1"/>
  <c r="V285" i="16" s="1"/>
  <c r="U285" i="16" a="1"/>
  <c r="U285" i="16" s="1"/>
  <c r="AF285" i="16"/>
  <c r="Y288" i="16" a="1"/>
  <c r="Y288" i="16" s="1"/>
  <c r="U244" i="16" a="1"/>
  <c r="U244" i="16" s="1"/>
  <c r="AD244" i="16"/>
  <c r="AF244" i="16" s="1"/>
  <c r="AB244" i="16" a="1"/>
  <c r="AB244" i="16" s="1"/>
  <c r="S263" i="16" a="1"/>
  <c r="S263" i="16" s="1"/>
  <c r="T267" i="16" a="1"/>
  <c r="T267" i="16" s="1"/>
  <c r="Z274" i="16" a="1"/>
  <c r="Z274" i="16" s="1"/>
  <c r="V274" i="16" a="1"/>
  <c r="V274" i="16" s="1"/>
  <c r="AC274" i="16" a="1"/>
  <c r="AC274" i="16" s="1"/>
  <c r="U275" i="16" a="1"/>
  <c r="U275" i="16" s="1"/>
  <c r="X318" i="16" a="1"/>
  <c r="X318" i="16" s="1"/>
  <c r="AA320" i="16" a="1"/>
  <c r="AA320" i="16" s="1"/>
  <c r="AD214" i="16"/>
  <c r="AF214" i="16" s="1"/>
  <c r="R236" i="16" a="1"/>
  <c r="R236" i="16" s="1"/>
  <c r="R244" i="16" a="1"/>
  <c r="R244" i="16" s="1"/>
  <c r="AC244" i="16" a="1"/>
  <c r="AC244" i="16" s="1"/>
  <c r="T245" i="16" a="1"/>
  <c r="T245" i="16" s="1"/>
  <c r="AB250" i="16" a="1"/>
  <c r="AB250" i="16" s="1"/>
  <c r="R250" i="16" a="1"/>
  <c r="R250" i="16" s="1"/>
  <c r="U267" i="16" a="1"/>
  <c r="U267" i="16" s="1"/>
  <c r="AB270" i="16" a="1"/>
  <c r="AB270" i="16" s="1"/>
  <c r="R270" i="16" a="1"/>
  <c r="R270" i="16" s="1"/>
  <c r="AC270" i="16" a="1"/>
  <c r="AC270" i="16" s="1"/>
  <c r="T271" i="16" a="1"/>
  <c r="T271" i="16" s="1"/>
  <c r="R274" i="16" a="1"/>
  <c r="R274" i="16" s="1"/>
  <c r="AF274" i="16"/>
  <c r="W280" i="16" a="1"/>
  <c r="W280" i="16" s="1"/>
  <c r="T292" i="16" a="1"/>
  <c r="T292" i="16" s="1"/>
  <c r="AD292" i="16"/>
  <c r="AF292" i="16" s="1"/>
  <c r="AA292" i="16" a="1"/>
  <c r="AA292" i="16" s="1"/>
  <c r="Z302" i="16" a="1"/>
  <c r="Z302" i="16" s="1"/>
  <c r="Y302" i="16" a="1"/>
  <c r="Y302" i="16" s="1"/>
  <c r="T302" i="16" a="1"/>
  <c r="T302" i="16" s="1"/>
  <c r="R302" i="16" a="1"/>
  <c r="R302" i="16" s="1"/>
  <c r="AD302" i="16"/>
  <c r="AF302" i="16" s="1"/>
  <c r="AA302" i="16" a="1"/>
  <c r="AA302" i="16" s="1"/>
  <c r="U302" i="16" a="1"/>
  <c r="U302" i="16" s="1"/>
  <c r="Y304" i="16" a="1"/>
  <c r="Y304" i="16" s="1"/>
  <c r="AC304" i="16" a="1"/>
  <c r="AC304" i="16" s="1"/>
  <c r="R304" i="16" a="1"/>
  <c r="R304" i="16" s="1"/>
  <c r="AB304" i="16" a="1"/>
  <c r="AB304" i="16" s="1"/>
  <c r="Z304" i="16" a="1"/>
  <c r="Z304" i="16" s="1"/>
  <c r="V304" i="16" a="1"/>
  <c r="V304" i="16" s="1"/>
  <c r="AA304" i="16" a="1"/>
  <c r="AA304" i="16" s="1"/>
  <c r="T304" i="16" a="1"/>
  <c r="T304" i="16" s="1"/>
  <c r="S304" i="16" a="1"/>
  <c r="S304" i="16" s="1"/>
  <c r="W312" i="16" a="1"/>
  <c r="W312" i="16" s="1"/>
  <c r="Z312" i="16" a="1"/>
  <c r="Z312" i="16" s="1"/>
  <c r="AC312" i="16" a="1"/>
  <c r="AC312" i="16" s="1"/>
  <c r="AA312" i="16" a="1"/>
  <c r="AA312" i="16" s="1"/>
  <c r="T312" i="16" a="1"/>
  <c r="T312" i="16" s="1"/>
  <c r="AD312" i="16"/>
  <c r="AF312" i="16" s="1"/>
  <c r="V312" i="16" a="1"/>
  <c r="V312" i="16" s="1"/>
  <c r="Z318" i="16" a="1"/>
  <c r="Z318" i="16" s="1"/>
  <c r="AC320" i="16" a="1"/>
  <c r="AC320" i="16" s="1"/>
  <c r="T214" i="16" a="1"/>
  <c r="T214" i="16" s="1"/>
  <c r="AB234" i="16" a="1"/>
  <c r="AB234" i="16" s="1"/>
  <c r="AC236" i="16" a="1"/>
  <c r="AC236" i="16" s="1"/>
  <c r="U239" i="16" a="1"/>
  <c r="U239" i="16" s="1"/>
  <c r="AF243" i="16"/>
  <c r="T243" i="16" a="1"/>
  <c r="T243" i="16" s="1"/>
  <c r="AB243" i="16" a="1"/>
  <c r="AB243" i="16" s="1"/>
  <c r="U245" i="16" a="1"/>
  <c r="U245" i="16" s="1"/>
  <c r="AC250" i="16" a="1"/>
  <c r="AC250" i="16" s="1"/>
  <c r="V253" i="16" a="1"/>
  <c r="V253" i="16" s="1"/>
  <c r="U259" i="16" a="1"/>
  <c r="U259" i="16" s="1"/>
  <c r="U263" i="16" a="1"/>
  <c r="U263" i="16" s="1"/>
  <c r="AD270" i="16"/>
  <c r="AF270" i="16" s="1"/>
  <c r="W275" i="16" a="1"/>
  <c r="W275" i="16" s="1"/>
  <c r="Z281" i="16" a="1"/>
  <c r="Z281" i="16" s="1"/>
  <c r="W281" i="16" a="1"/>
  <c r="W281" i="16" s="1"/>
  <c r="T281" i="16" a="1"/>
  <c r="T281" i="16" s="1"/>
  <c r="AD281" i="16"/>
  <c r="AF281" i="16" s="1"/>
  <c r="S281" i="16" a="1"/>
  <c r="S281" i="16" s="1"/>
  <c r="S285" i="16" a="1"/>
  <c r="S285" i="16" s="1"/>
  <c r="W291" i="16" a="1"/>
  <c r="W291" i="16" s="1"/>
  <c r="AB318" i="16" a="1"/>
  <c r="AB318" i="16" s="1"/>
  <c r="V314" i="16" a="1"/>
  <c r="V314" i="16" s="1"/>
  <c r="AD314" i="16"/>
  <c r="AF314" i="16" s="1"/>
  <c r="AC314" i="16" a="1"/>
  <c r="AC314" i="16" s="1"/>
  <c r="Z314" i="16" a="1"/>
  <c r="Z314" i="16" s="1"/>
  <c r="X314" i="16" a="1"/>
  <c r="X314" i="16" s="1"/>
  <c r="T314" i="16" a="1"/>
  <c r="T314" i="16" s="1"/>
  <c r="S314" i="16" a="1"/>
  <c r="S314" i="16" s="1"/>
  <c r="W333" i="16" a="1"/>
  <c r="W333" i="16" s="1"/>
  <c r="AA333" i="16" a="1"/>
  <c r="AA333" i="16" s="1"/>
  <c r="V333" i="16" a="1"/>
  <c r="V333" i="16" s="1"/>
  <c r="T333" i="16" a="1"/>
  <c r="T333" i="16" s="1"/>
  <c r="AC333" i="16" a="1"/>
  <c r="AC333" i="16" s="1"/>
  <c r="Z333" i="16" a="1"/>
  <c r="Z333" i="16" s="1"/>
  <c r="U333" i="16" a="1"/>
  <c r="U333" i="16" s="1"/>
  <c r="AD333" i="16"/>
  <c r="AF333" i="16" s="1"/>
  <c r="AA261" i="16" a="1"/>
  <c r="AA261" i="16" s="1"/>
  <c r="V287" i="16" a="1"/>
  <c r="V287" i="16" s="1"/>
  <c r="AD296" i="16"/>
  <c r="AF296" i="16" s="1"/>
  <c r="AC296" i="16" a="1"/>
  <c r="AC296" i="16" s="1"/>
  <c r="S296" i="16" a="1"/>
  <c r="S296" i="16" s="1"/>
  <c r="AA296" i="16" a="1"/>
  <c r="AA296" i="16" s="1"/>
  <c r="W314" i="16" a="1"/>
  <c r="W314" i="16" s="1"/>
  <c r="S333" i="16" a="1"/>
  <c r="S333" i="16" s="1"/>
  <c r="X333" i="16" a="1"/>
  <c r="X333" i="16" s="1"/>
  <c r="X287" i="16" a="1"/>
  <c r="X287" i="16" s="1"/>
  <c r="AA314" i="16" a="1"/>
  <c r="AA314" i="16" s="1"/>
  <c r="AB287" i="16" a="1"/>
  <c r="AB287" i="16" s="1"/>
  <c r="AC289" i="16" a="1"/>
  <c r="AC289" i="16" s="1"/>
  <c r="Z303" i="16" a="1"/>
  <c r="Z303" i="16" s="1"/>
  <c r="AA303" i="16" a="1"/>
  <c r="AA303" i="16" s="1"/>
  <c r="U303" i="16" a="1"/>
  <c r="U303" i="16" s="1"/>
  <c r="X328" i="16" a="1"/>
  <c r="X328" i="16" s="1"/>
  <c r="Z328" i="16" a="1"/>
  <c r="Z328" i="16" s="1"/>
  <c r="W328" i="16" a="1"/>
  <c r="W328" i="16" s="1"/>
  <c r="Z342" i="16" a="1"/>
  <c r="Z342" i="16" s="1"/>
  <c r="X342" i="16" a="1"/>
  <c r="X342" i="16" s="1"/>
  <c r="W342" i="16" a="1"/>
  <c r="W342" i="16" s="1"/>
  <c r="U342" i="16" a="1"/>
  <c r="U342" i="16" s="1"/>
  <c r="T342" i="16" a="1"/>
  <c r="T342" i="16" s="1"/>
  <c r="AD342" i="16"/>
  <c r="AF342" i="16" s="1"/>
  <c r="AA342" i="16" a="1"/>
  <c r="AA342" i="16" s="1"/>
  <c r="AD338" i="16"/>
  <c r="S338" i="16" a="1"/>
  <c r="S338" i="16" s="1"/>
  <c r="AC338" i="16" a="1"/>
  <c r="AC338" i="16" s="1"/>
  <c r="Z338" i="16" a="1"/>
  <c r="Z338" i="16" s="1"/>
  <c r="T338" i="16" a="1"/>
  <c r="T338" i="16" s="1"/>
  <c r="T339" i="16" a="1"/>
  <c r="T339" i="16" s="1"/>
  <c r="U339" i="16" a="1"/>
  <c r="U339" i="16" s="1"/>
  <c r="AD339" i="16"/>
  <c r="AF339" i="16" s="1"/>
  <c r="AA339" i="16" a="1"/>
  <c r="AA339" i="16" s="1"/>
  <c r="AC339" i="16" a="1"/>
  <c r="AC339" i="16" s="1"/>
  <c r="Z339" i="16" a="1"/>
  <c r="Z339" i="16" s="1"/>
  <c r="AC341" i="16" a="1"/>
  <c r="AC341" i="16" s="1"/>
  <c r="S341" i="16" a="1"/>
  <c r="S341" i="16" s="1"/>
  <c r="W341" i="16" a="1"/>
  <c r="W341" i="16" s="1"/>
  <c r="AD341" i="16"/>
  <c r="AF341" i="16" s="1"/>
  <c r="T341" i="16" a="1"/>
  <c r="T341" i="16" s="1"/>
  <c r="S342" i="16" a="1"/>
  <c r="S342" i="16" s="1"/>
  <c r="S328" i="16" a="1"/>
  <c r="S328" i="16" s="1"/>
  <c r="X331" i="16" a="1"/>
  <c r="X331" i="16" s="1"/>
  <c r="Z331" i="16" a="1"/>
  <c r="Z331" i="16" s="1"/>
  <c r="V331" i="16" a="1"/>
  <c r="V331" i="16" s="1"/>
  <c r="AA331" i="16" a="1"/>
  <c r="AA331" i="16" s="1"/>
  <c r="V338" i="16" a="1"/>
  <c r="V338" i="16" s="1"/>
  <c r="S339" i="16" a="1"/>
  <c r="S339" i="16" s="1"/>
  <c r="AC387" i="16" a="1"/>
  <c r="AC387" i="16" s="1"/>
  <c r="S387" i="16" a="1"/>
  <c r="S387" i="16" s="1"/>
  <c r="AA387" i="16" a="1"/>
  <c r="AA387" i="16" s="1"/>
  <c r="X387" i="16" a="1"/>
  <c r="X387" i="16" s="1"/>
  <c r="AD387" i="16"/>
  <c r="AF387" i="16" s="1"/>
  <c r="AB387" i="16" a="1"/>
  <c r="AB387" i="16" s="1"/>
  <c r="W387" i="16" a="1"/>
  <c r="W387" i="16" s="1"/>
  <c r="U387" i="16" a="1"/>
  <c r="U387" i="16" s="1"/>
  <c r="Z387" i="16" a="1"/>
  <c r="Z387" i="16" s="1"/>
  <c r="Y387" i="16" a="1"/>
  <c r="Y387" i="16" s="1"/>
  <c r="V387" i="16" a="1"/>
  <c r="V387" i="16" s="1"/>
  <c r="T387" i="16" a="1"/>
  <c r="T387" i="16" s="1"/>
  <c r="R387" i="16" a="1"/>
  <c r="R387" i="16" s="1"/>
  <c r="Z413" i="16" a="1"/>
  <c r="Z413" i="16" s="1"/>
  <c r="Y413" i="16" a="1"/>
  <c r="Y413" i="16" s="1"/>
  <c r="V413" i="16" a="1"/>
  <c r="V413" i="16" s="1"/>
  <c r="U413" i="16" a="1"/>
  <c r="U413" i="16" s="1"/>
  <c r="X413" i="16" a="1"/>
  <c r="X413" i="16" s="1"/>
  <c r="T413" i="16" a="1"/>
  <c r="T413" i="16" s="1"/>
  <c r="AD413" i="16"/>
  <c r="AF413" i="16" s="1"/>
  <c r="AC413" i="16" a="1"/>
  <c r="AC413" i="16" s="1"/>
  <c r="AB413" i="16" a="1"/>
  <c r="AB413" i="16" s="1"/>
  <c r="AA413" i="16" a="1"/>
  <c r="AA413" i="16" s="1"/>
  <c r="R413" i="16" a="1"/>
  <c r="R413" i="16" s="1"/>
  <c r="W413" i="16" a="1"/>
  <c r="W413" i="16" s="1"/>
  <c r="S413" i="16" a="1"/>
  <c r="S413" i="16" s="1"/>
  <c r="W338" i="16" a="1"/>
  <c r="W338" i="16" s="1"/>
  <c r="V339" i="16" a="1"/>
  <c r="V339" i="16" s="1"/>
  <c r="V342" i="16" a="1"/>
  <c r="V342" i="16" s="1"/>
  <c r="Z347" i="16" a="1"/>
  <c r="Z347" i="16" s="1"/>
  <c r="W347" i="16" a="1"/>
  <c r="W347" i="16" s="1"/>
  <c r="S347" i="16" a="1"/>
  <c r="S347" i="16" s="1"/>
  <c r="X347" i="16" a="1"/>
  <c r="X347" i="16" s="1"/>
  <c r="V347" i="16" a="1"/>
  <c r="V347" i="16" s="1"/>
  <c r="X351" i="16" a="1"/>
  <c r="X351" i="16" s="1"/>
  <c r="Z351" i="16" a="1"/>
  <c r="Z351" i="16" s="1"/>
  <c r="U351" i="16" a="1"/>
  <c r="U351" i="16" s="1"/>
  <c r="S351" i="16" a="1"/>
  <c r="S351" i="16" s="1"/>
  <c r="T351" i="16" a="1"/>
  <c r="T351" i="16" s="1"/>
  <c r="AA370" i="16" a="1"/>
  <c r="AA370" i="16" s="1"/>
  <c r="T295" i="16" a="1"/>
  <c r="T295" i="16" s="1"/>
  <c r="AD295" i="16"/>
  <c r="AF295" i="16" s="1"/>
  <c r="W311" i="16" a="1"/>
  <c r="W311" i="16" s="1"/>
  <c r="V311" i="16" a="1"/>
  <c r="V311" i="16" s="1"/>
  <c r="AD311" i="16"/>
  <c r="AF311" i="16" s="1"/>
  <c r="Z330" i="16" a="1"/>
  <c r="Z330" i="16" s="1"/>
  <c r="S331" i="16" a="1"/>
  <c r="S331" i="16" s="1"/>
  <c r="X338" i="16" a="1"/>
  <c r="X338" i="16" s="1"/>
  <c r="W339" i="16" a="1"/>
  <c r="W339" i="16" s="1"/>
  <c r="X341" i="16" a="1"/>
  <c r="X341" i="16" s="1"/>
  <c r="T347" i="16" a="1"/>
  <c r="T347" i="16" s="1"/>
  <c r="V328" i="16" a="1"/>
  <c r="V328" i="16" s="1"/>
  <c r="X329" i="16" a="1"/>
  <c r="X329" i="16" s="1"/>
  <c r="U329" i="16" a="1"/>
  <c r="U329" i="16" s="1"/>
  <c r="AD329" i="16"/>
  <c r="AA334" i="16" a="1"/>
  <c r="AA334" i="16" s="1"/>
  <c r="V336" i="16" a="1"/>
  <c r="V336" i="16" s="1"/>
  <c r="U336" i="16" a="1"/>
  <c r="U336" i="16" s="1"/>
  <c r="AD336" i="16"/>
  <c r="AF336" i="16" s="1"/>
  <c r="Y338" i="16" a="1"/>
  <c r="Y338" i="16" s="1"/>
  <c r="X339" i="16" a="1"/>
  <c r="X339" i="16" s="1"/>
  <c r="U347" i="16" a="1"/>
  <c r="U347" i="16" s="1"/>
  <c r="V351" i="16" a="1"/>
  <c r="V351" i="16" s="1"/>
  <c r="T365" i="16" a="1"/>
  <c r="T365" i="16" s="1"/>
  <c r="AD365" i="16"/>
  <c r="AF365" i="16" s="1"/>
  <c r="U365" i="16" a="1"/>
  <c r="U365" i="16" s="1"/>
  <c r="S365" i="16" a="1"/>
  <c r="S365" i="16" s="1"/>
  <c r="Z365" i="16" a="1"/>
  <c r="Z365" i="16" s="1"/>
  <c r="X365" i="16" a="1"/>
  <c r="X365" i="16" s="1"/>
  <c r="W365" i="16" a="1"/>
  <c r="W365" i="16" s="1"/>
  <c r="AA365" i="16" a="1"/>
  <c r="AA365" i="16" s="1"/>
  <c r="V365" i="16" a="1"/>
  <c r="V365" i="16" s="1"/>
  <c r="S336" i="16" a="1"/>
  <c r="S336" i="16" s="1"/>
  <c r="AB342" i="16" a="1"/>
  <c r="AB342" i="16" s="1"/>
  <c r="AB346" i="16" a="1"/>
  <c r="AB346" i="16" s="1"/>
  <c r="AA347" i="16" a="1"/>
  <c r="AA347" i="16" s="1"/>
  <c r="AA351" i="16" a="1"/>
  <c r="AA351" i="16" s="1"/>
  <c r="Y305" i="16" a="1"/>
  <c r="Y305" i="16" s="1"/>
  <c r="S305" i="16" a="1"/>
  <c r="S305" i="16" s="1"/>
  <c r="AC305" i="16" a="1"/>
  <c r="AC305" i="16" s="1"/>
  <c r="Z327" i="16" a="1"/>
  <c r="Z327" i="16" s="1"/>
  <c r="W327" i="16" a="1"/>
  <c r="W327" i="16" s="1"/>
  <c r="T327" i="16" a="1"/>
  <c r="T327" i="16" s="1"/>
  <c r="U327" i="16" a="1"/>
  <c r="U327" i="16" s="1"/>
  <c r="S327" i="16" a="1"/>
  <c r="S327" i="16" s="1"/>
  <c r="AA328" i="16" a="1"/>
  <c r="AA328" i="16" s="1"/>
  <c r="T329" i="16" a="1"/>
  <c r="T329" i="16" s="1"/>
  <c r="Z332" i="16" a="1"/>
  <c r="Z332" i="16" s="1"/>
  <c r="AA341" i="16" a="1"/>
  <c r="AA341" i="16" s="1"/>
  <c r="AC365" i="16" a="1"/>
  <c r="AC365" i="16" s="1"/>
  <c r="U295" i="16" a="1"/>
  <c r="U295" i="16" s="1"/>
  <c r="AB298" i="16" a="1"/>
  <c r="AB298" i="16" s="1"/>
  <c r="R298" i="16" a="1"/>
  <c r="R298" i="16" s="1"/>
  <c r="T298" i="16" a="1"/>
  <c r="T298" i="16" s="1"/>
  <c r="AD298" i="16"/>
  <c r="AF298" i="16" s="1"/>
  <c r="AD305" i="16"/>
  <c r="AF305" i="16" s="1"/>
  <c r="T311" i="16" a="1"/>
  <c r="T311" i="16" s="1"/>
  <c r="AA325" i="16" a="1"/>
  <c r="AA325" i="16" s="1"/>
  <c r="AC330" i="16" a="1"/>
  <c r="AC330" i="16" s="1"/>
  <c r="U357" i="16" a="1"/>
  <c r="U357" i="16" s="1"/>
  <c r="AA371" i="16" a="1"/>
  <c r="AA371" i="16" s="1"/>
  <c r="AD330" i="16"/>
  <c r="W331" i="16" a="1"/>
  <c r="W331" i="16" s="1"/>
  <c r="W336" i="16" a="1"/>
  <c r="W336" i="16" s="1"/>
  <c r="U337" i="16" a="1"/>
  <c r="U337" i="16" s="1"/>
  <c r="AC347" i="16" a="1"/>
  <c r="AC347" i="16" s="1"/>
  <c r="AC351" i="16" a="1"/>
  <c r="AC351" i="16" s="1"/>
  <c r="U315" i="16" a="1"/>
  <c r="U315" i="16" s="1"/>
  <c r="T315" i="16" a="1"/>
  <c r="T315" i="16" s="1"/>
  <c r="AC315" i="16" a="1"/>
  <c r="AC315" i="16" s="1"/>
  <c r="AF315" i="16"/>
  <c r="V329" i="16" a="1"/>
  <c r="V329" i="16" s="1"/>
  <c r="AA345" i="16" a="1"/>
  <c r="AA345" i="16" s="1"/>
  <c r="AD347" i="16"/>
  <c r="AF347" i="16" s="1"/>
  <c r="S349" i="16" a="1"/>
  <c r="S349" i="16" s="1"/>
  <c r="AF349" i="16"/>
  <c r="AC349" i="16" a="1"/>
  <c r="AC349" i="16" s="1"/>
  <c r="AA349" i="16" a="1"/>
  <c r="AA349" i="16" s="1"/>
  <c r="Z349" i="16" a="1"/>
  <c r="Z349" i="16" s="1"/>
  <c r="W349" i="16" a="1"/>
  <c r="W349" i="16" s="1"/>
  <c r="AD351" i="16"/>
  <c r="AF351" i="16" s="1"/>
  <c r="AC328" i="16" a="1"/>
  <c r="AC328" i="16" s="1"/>
  <c r="Y330" i="16" a="1"/>
  <c r="Y330" i="16" s="1"/>
  <c r="V330" i="16" a="1"/>
  <c r="V330" i="16" s="1"/>
  <c r="U330" i="16" a="1"/>
  <c r="U330" i="16" s="1"/>
  <c r="X336" i="16" a="1"/>
  <c r="X336" i="16" s="1"/>
  <c r="T317" i="16" a="1"/>
  <c r="T317" i="16" s="1"/>
  <c r="X317" i="16" a="1"/>
  <c r="X317" i="16" s="1"/>
  <c r="V317" i="16" a="1"/>
  <c r="V317" i="16" s="1"/>
  <c r="AD317" i="16"/>
  <c r="AF317" i="16" s="1"/>
  <c r="AF325" i="16" s="1"/>
  <c r="AD328" i="16"/>
  <c r="W329" i="16" a="1"/>
  <c r="W329" i="16" s="1"/>
  <c r="AA343" i="16" a="1"/>
  <c r="AA343" i="16" s="1"/>
  <c r="Z343" i="16" a="1"/>
  <c r="Z343" i="16" s="1"/>
  <c r="U343" i="16" a="1"/>
  <c r="U343" i="16" s="1"/>
  <c r="AD343" i="16"/>
  <c r="AF343" i="16" s="1"/>
  <c r="W343" i="16" a="1"/>
  <c r="W343" i="16" s="1"/>
  <c r="V343" i="16" a="1"/>
  <c r="V343" i="16" s="1"/>
  <c r="T349" i="16" a="1"/>
  <c r="T349" i="16" s="1"/>
  <c r="T369" i="16" a="1"/>
  <c r="T369" i="16" s="1"/>
  <c r="AA369" i="16" a="1"/>
  <c r="AA369" i="16" s="1"/>
  <c r="Z369" i="16" a="1"/>
  <c r="Z369" i="16" s="1"/>
  <c r="V369" i="16" a="1"/>
  <c r="V369" i="16" s="1"/>
  <c r="S369" i="16" a="1"/>
  <c r="S369" i="16" s="1"/>
  <c r="AD369" i="16"/>
  <c r="AF369" i="16" s="1"/>
  <c r="AC369" i="16" a="1"/>
  <c r="AC369" i="16" s="1"/>
  <c r="W353" i="16" a="1"/>
  <c r="W353" i="16" s="1"/>
  <c r="AD353" i="16"/>
  <c r="AF353" i="16" s="1"/>
  <c r="T353" i="16" a="1"/>
  <c r="T353" i="16" s="1"/>
  <c r="S353" i="16" a="1"/>
  <c r="S353" i="16" s="1"/>
  <c r="AC353" i="16" a="1"/>
  <c r="AC353" i="16" s="1"/>
  <c r="AA353" i="16" a="1"/>
  <c r="AA353" i="16" s="1"/>
  <c r="Z353" i="16" a="1"/>
  <c r="Z353" i="16" s="1"/>
  <c r="V353" i="16" a="1"/>
  <c r="V353" i="16" s="1"/>
  <c r="AC441" i="16" a="1"/>
  <c r="AC441" i="16" s="1"/>
  <c r="S441" i="16" a="1"/>
  <c r="S441" i="16" s="1"/>
  <c r="AB441" i="16" a="1"/>
  <c r="AB441" i="16" s="1"/>
  <c r="R441" i="16" a="1"/>
  <c r="R441" i="16" s="1"/>
  <c r="Z441" i="16" a="1"/>
  <c r="Z441" i="16" s="1"/>
  <c r="Y441" i="16" a="1"/>
  <c r="Y441" i="16" s="1"/>
  <c r="V441" i="16" a="1"/>
  <c r="V441" i="16" s="1"/>
  <c r="AA441" i="16" a="1"/>
  <c r="AA441" i="16" s="1"/>
  <c r="AD441" i="16"/>
  <c r="AF441" i="16" s="1"/>
  <c r="X441" i="16" a="1"/>
  <c r="X441" i="16" s="1"/>
  <c r="W441" i="16" a="1"/>
  <c r="W441" i="16" s="1"/>
  <c r="T441" i="16" a="1"/>
  <c r="T441" i="16" s="1"/>
  <c r="U441" i="16" a="1"/>
  <c r="U441" i="16" s="1"/>
  <c r="Y428" i="16" a="1"/>
  <c r="Y428" i="16" s="1"/>
  <c r="X428" i="16" a="1"/>
  <c r="X428" i="16" s="1"/>
  <c r="S428" i="16" a="1"/>
  <c r="S428" i="16" s="1"/>
  <c r="U428" i="16" a="1"/>
  <c r="U428" i="16" s="1"/>
  <c r="T428" i="16" a="1"/>
  <c r="T428" i="16" s="1"/>
  <c r="AC428" i="16" a="1"/>
  <c r="AC428" i="16" s="1"/>
  <c r="AD428" i="16"/>
  <c r="AF428" i="16" s="1"/>
  <c r="AB428" i="16" a="1"/>
  <c r="AB428" i="16" s="1"/>
  <c r="AA428" i="16" a="1"/>
  <c r="AA428" i="16" s="1"/>
  <c r="Z428" i="16" a="1"/>
  <c r="Z428" i="16" s="1"/>
  <c r="V428" i="16" a="1"/>
  <c r="V428" i="16" s="1"/>
  <c r="W428" i="16" a="1"/>
  <c r="W428" i="16" s="1"/>
  <c r="R428" i="16" a="1"/>
  <c r="R428" i="16" s="1"/>
  <c r="V323" i="16" a="1"/>
  <c r="V323" i="16" s="1"/>
  <c r="AC323" i="16" a="1"/>
  <c r="AC323" i="16" s="1"/>
  <c r="AF323" i="16"/>
  <c r="W326" i="16" a="1"/>
  <c r="W326" i="16" s="1"/>
  <c r="AC326" i="16" a="1"/>
  <c r="AC326" i="16" s="1"/>
  <c r="X353" i="16" a="1"/>
  <c r="X353" i="16" s="1"/>
  <c r="V313" i="16" a="1"/>
  <c r="V313" i="16" s="1"/>
  <c r="AD326" i="16"/>
  <c r="AD375" i="16"/>
  <c r="AF375" i="16" s="1"/>
  <c r="T375" i="16" a="1"/>
  <c r="T375" i="16" s="1"/>
  <c r="AA375" i="16" a="1"/>
  <c r="AA375" i="16" s="1"/>
  <c r="AC375" i="16" a="1"/>
  <c r="AC375" i="16" s="1"/>
  <c r="Z375" i="16" a="1"/>
  <c r="Z375" i="16" s="1"/>
  <c r="X375" i="16" a="1"/>
  <c r="X375" i="16" s="1"/>
  <c r="W375" i="16" a="1"/>
  <c r="W375" i="16" s="1"/>
  <c r="U375" i="16" a="1"/>
  <c r="U375" i="16" s="1"/>
  <c r="R375" i="16" a="1"/>
  <c r="R375" i="16" s="1"/>
  <c r="Z372" i="16" a="1"/>
  <c r="Z372" i="16" s="1"/>
  <c r="W372" i="16" a="1"/>
  <c r="W372" i="16" s="1"/>
  <c r="AC372" i="16" a="1"/>
  <c r="AC372" i="16" s="1"/>
  <c r="Y415" i="16" a="1"/>
  <c r="Y415" i="16" s="1"/>
  <c r="X415" i="16" a="1"/>
  <c r="X415" i="16" s="1"/>
  <c r="U415" i="16" a="1"/>
  <c r="U415" i="16" s="1"/>
  <c r="T415" i="16" a="1"/>
  <c r="T415" i="16" s="1"/>
  <c r="W415" i="16" a="1"/>
  <c r="W415" i="16" s="1"/>
  <c r="S415" i="16" a="1"/>
  <c r="S415" i="16" s="1"/>
  <c r="AC415" i="16" a="1"/>
  <c r="AC415" i="16" s="1"/>
  <c r="AD415" i="16"/>
  <c r="AF415" i="16" s="1"/>
  <c r="AA415" i="16" a="1"/>
  <c r="AA415" i="16" s="1"/>
  <c r="Z415" i="16" a="1"/>
  <c r="Z415" i="16" s="1"/>
  <c r="V415" i="16" a="1"/>
  <c r="V415" i="16" s="1"/>
  <c r="R415" i="16" a="1"/>
  <c r="R415" i="16" s="1"/>
  <c r="W357" i="16" a="1"/>
  <c r="W357" i="16" s="1"/>
  <c r="V355" i="16" a="1"/>
  <c r="V355" i="16" s="1"/>
  <c r="AD355" i="16"/>
  <c r="AF355" i="16" s="1"/>
  <c r="AC355" i="16" a="1"/>
  <c r="AC355" i="16" s="1"/>
  <c r="AF359" i="16"/>
  <c r="T359" i="16" a="1"/>
  <c r="T359" i="16" s="1"/>
  <c r="AC359" i="16" a="1"/>
  <c r="AC359" i="16" s="1"/>
  <c r="S372" i="16" a="1"/>
  <c r="S372" i="16" s="1"/>
  <c r="Z392" i="16" a="1"/>
  <c r="Z392" i="16" s="1"/>
  <c r="AA392" i="16" a="1"/>
  <c r="AA392" i="16" s="1"/>
  <c r="Y392" i="16" a="1"/>
  <c r="Y392" i="16" s="1"/>
  <c r="S392" i="16" a="1"/>
  <c r="S392" i="16" s="1"/>
  <c r="AD392" i="16"/>
  <c r="AF392" i="16" s="1"/>
  <c r="AC392" i="16" a="1"/>
  <c r="AC392" i="16" s="1"/>
  <c r="AB392" i="16" a="1"/>
  <c r="AB392" i="16" s="1"/>
  <c r="X392" i="16" a="1"/>
  <c r="X392" i="16" s="1"/>
  <c r="V392" i="16" a="1"/>
  <c r="V392" i="16" s="1"/>
  <c r="T392" i="16" a="1"/>
  <c r="T392" i="16" s="1"/>
  <c r="AB415" i="16" a="1"/>
  <c r="AB415" i="16" s="1"/>
  <c r="S355" i="16" a="1"/>
  <c r="S355" i="16" s="1"/>
  <c r="S359" i="16" a="1"/>
  <c r="S359" i="16" s="1"/>
  <c r="X361" i="16" a="1"/>
  <c r="X361" i="16" s="1"/>
  <c r="X377" i="16" a="1"/>
  <c r="X377" i="16" s="1"/>
  <c r="W378" i="16" a="1"/>
  <c r="W378" i="16" s="1"/>
  <c r="X378" i="16" a="1"/>
  <c r="X378" i="16" s="1"/>
  <c r="V378" i="16" a="1"/>
  <c r="V378" i="16" s="1"/>
  <c r="S378" i="16" a="1"/>
  <c r="S378" i="16" s="1"/>
  <c r="Z378" i="16" a="1"/>
  <c r="Z378" i="16" s="1"/>
  <c r="V380" i="16" a="1"/>
  <c r="V380" i="16" s="1"/>
  <c r="AA380" i="16" a="1"/>
  <c r="AA380" i="16" s="1"/>
  <c r="Z380" i="16" a="1"/>
  <c r="Z380" i="16" s="1"/>
  <c r="X380" i="16" a="1"/>
  <c r="X380" i="16" s="1"/>
  <c r="U380" i="16" a="1"/>
  <c r="U380" i="16" s="1"/>
  <c r="AD380" i="16"/>
  <c r="AF380" i="16" s="1"/>
  <c r="V381" i="16" a="1"/>
  <c r="V381" i="16" s="1"/>
  <c r="T381" i="16" a="1"/>
  <c r="T381" i="16" s="1"/>
  <c r="AC381" i="16" a="1"/>
  <c r="AC381" i="16" s="1"/>
  <c r="AB381" i="16" a="1"/>
  <c r="AB381" i="16" s="1"/>
  <c r="AA381" i="16" a="1"/>
  <c r="AA381" i="16" s="1"/>
  <c r="Z381" i="16" a="1"/>
  <c r="Z381" i="16" s="1"/>
  <c r="U381" i="16" a="1"/>
  <c r="U381" i="16" s="1"/>
  <c r="T355" i="16" a="1"/>
  <c r="T355" i="16" s="1"/>
  <c r="AC367" i="16" a="1"/>
  <c r="AC367" i="16" s="1"/>
  <c r="S367" i="16" a="1"/>
  <c r="S367" i="16" s="1"/>
  <c r="X367" i="16" a="1"/>
  <c r="X367" i="16" s="1"/>
  <c r="W367" i="16" a="1"/>
  <c r="W367" i="16" s="1"/>
  <c r="V372" i="16" a="1"/>
  <c r="V372" i="16" s="1"/>
  <c r="Z373" i="16" a="1"/>
  <c r="Z373" i="16" s="1"/>
  <c r="V373" i="16" a="1"/>
  <c r="V373" i="16" s="1"/>
  <c r="U373" i="16" a="1"/>
  <c r="U373" i="16" s="1"/>
  <c r="R381" i="16" a="1"/>
  <c r="R381" i="16" s="1"/>
  <c r="T385" i="16" a="1"/>
  <c r="T385" i="16" s="1"/>
  <c r="AD385" i="16"/>
  <c r="AF385" i="16" s="1"/>
  <c r="X385" i="16" a="1"/>
  <c r="X385" i="16" s="1"/>
  <c r="U385" i="16" a="1"/>
  <c r="U385" i="16" s="1"/>
  <c r="AA385" i="16" a="1"/>
  <c r="AA385" i="16" s="1"/>
  <c r="W385" i="16" a="1"/>
  <c r="W385" i="16" s="1"/>
  <c r="V385" i="16" a="1"/>
  <c r="V385" i="16" s="1"/>
  <c r="S385" i="16" a="1"/>
  <c r="S385" i="16" s="1"/>
  <c r="X346" i="16" a="1"/>
  <c r="X346" i="16" s="1"/>
  <c r="W346" i="16" a="1"/>
  <c r="W346" i="16" s="1"/>
  <c r="V350" i="16" a="1"/>
  <c r="V350" i="16" s="1"/>
  <c r="U350" i="16" a="1"/>
  <c r="U350" i="16" s="1"/>
  <c r="AF354" i="16"/>
  <c r="T354" i="16" a="1"/>
  <c r="T354" i="16" s="1"/>
  <c r="AC354" i="16" a="1"/>
  <c r="AC354" i="16" s="1"/>
  <c r="S354" i="16" a="1"/>
  <c r="S354" i="16" s="1"/>
  <c r="Z357" i="16" a="1"/>
  <c r="Z357" i="16" s="1"/>
  <c r="AC362" i="16" a="1"/>
  <c r="AC362" i="16" s="1"/>
  <c r="AD362" i="16"/>
  <c r="AF362" i="16" s="1"/>
  <c r="W379" i="16" a="1"/>
  <c r="W379" i="16" s="1"/>
  <c r="X379" i="16" a="1"/>
  <c r="X379" i="16" s="1"/>
  <c r="T379" i="16" a="1"/>
  <c r="T379" i="16" s="1"/>
  <c r="S379" i="16" a="1"/>
  <c r="S379" i="16" s="1"/>
  <c r="AD379" i="16"/>
  <c r="AF379" i="16" s="1"/>
  <c r="Z379" i="16" a="1"/>
  <c r="Z379" i="16" s="1"/>
  <c r="T384" i="16" a="1"/>
  <c r="T384" i="16" s="1"/>
  <c r="W384" i="16" a="1"/>
  <c r="W384" i="16" s="1"/>
  <c r="V384" i="16" a="1"/>
  <c r="V384" i="16" s="1"/>
  <c r="AD384" i="16"/>
  <c r="AF384" i="16" s="1"/>
  <c r="U384" i="16" a="1"/>
  <c r="U384" i="16" s="1"/>
  <c r="AC384" i="16" a="1"/>
  <c r="AC384" i="16" s="1"/>
  <c r="AB384" i="16" a="1"/>
  <c r="AB384" i="16" s="1"/>
  <c r="AA384" i="16" a="1"/>
  <c r="AA384" i="16" s="1"/>
  <c r="U392" i="16" a="1"/>
  <c r="U392" i="16" s="1"/>
  <c r="Y395" i="16" a="1"/>
  <c r="Y395" i="16" s="1"/>
  <c r="X395" i="16" a="1"/>
  <c r="X395" i="16" s="1"/>
  <c r="W395" i="16" a="1"/>
  <c r="W395" i="16" s="1"/>
  <c r="T395" i="16" a="1"/>
  <c r="T395" i="16" s="1"/>
  <c r="AD395" i="16"/>
  <c r="AF395" i="16" s="1"/>
  <c r="AA395" i="16" a="1"/>
  <c r="AA395" i="16" s="1"/>
  <c r="Z395" i="16" a="1"/>
  <c r="Z395" i="16" s="1"/>
  <c r="V395" i="16" a="1"/>
  <c r="V395" i="16" s="1"/>
  <c r="U395" i="16" a="1"/>
  <c r="U395" i="16" s="1"/>
  <c r="R395" i="16" a="1"/>
  <c r="R395" i="16" s="1"/>
  <c r="U359" i="16" a="1"/>
  <c r="U359" i="16" s="1"/>
  <c r="X372" i="16" a="1"/>
  <c r="X372" i="16" s="1"/>
  <c r="S380" i="16" a="1"/>
  <c r="S380" i="16" s="1"/>
  <c r="S381" i="16" a="1"/>
  <c r="S381" i="16" s="1"/>
  <c r="R385" i="16" a="1"/>
  <c r="R385" i="16" s="1"/>
  <c r="V434" i="16" a="1"/>
  <c r="V434" i="16" s="1"/>
  <c r="U434" i="16" a="1"/>
  <c r="U434" i="16" s="1"/>
  <c r="AD434" i="16"/>
  <c r="AF434" i="16" s="1"/>
  <c r="Y434" i="16" a="1"/>
  <c r="Y434" i="16" s="1"/>
  <c r="S434" i="16" a="1"/>
  <c r="S434" i="16" s="1"/>
  <c r="AA434" i="16" a="1"/>
  <c r="AA434" i="16" s="1"/>
  <c r="X434" i="16" a="1"/>
  <c r="X434" i="16" s="1"/>
  <c r="W434" i="16" a="1"/>
  <c r="W434" i="16" s="1"/>
  <c r="T434" i="16" a="1"/>
  <c r="T434" i="16" s="1"/>
  <c r="AB434" i="16" a="1"/>
  <c r="AB434" i="16" s="1"/>
  <c r="Z434" i="16" a="1"/>
  <c r="Z434" i="16" s="1"/>
  <c r="R434" i="16" a="1"/>
  <c r="R434" i="16" s="1"/>
  <c r="AC321" i="16" a="1"/>
  <c r="AC321" i="16" s="1"/>
  <c r="S321" i="16" a="1"/>
  <c r="S321" i="16" s="1"/>
  <c r="AD346" i="16"/>
  <c r="AF346" i="16" s="1"/>
  <c r="X348" i="16" a="1"/>
  <c r="X348" i="16" s="1"/>
  <c r="AD350" i="16"/>
  <c r="AF350" i="16" s="1"/>
  <c r="AA357" i="16" a="1"/>
  <c r="AA357" i="16" s="1"/>
  <c r="AA361" i="16" a="1"/>
  <c r="AA361" i="16" s="1"/>
  <c r="T378" i="16" a="1"/>
  <c r="T378" i="16" s="1"/>
  <c r="R384" i="16" a="1"/>
  <c r="R384" i="16" s="1"/>
  <c r="W392" i="16" a="1"/>
  <c r="W392" i="16" s="1"/>
  <c r="S395" i="16" a="1"/>
  <c r="S395" i="16" s="1"/>
  <c r="S350" i="16" a="1"/>
  <c r="S350" i="16" s="1"/>
  <c r="W355" i="16" a="1"/>
  <c r="W355" i="16" s="1"/>
  <c r="AC357" i="16" a="1"/>
  <c r="AC357" i="16" s="1"/>
  <c r="W381" i="16" a="1"/>
  <c r="W381" i="16" s="1"/>
  <c r="Y385" i="16" a="1"/>
  <c r="Y385" i="16" s="1"/>
  <c r="W432" i="16" a="1"/>
  <c r="W432" i="16" s="1"/>
  <c r="V432" i="16" a="1"/>
  <c r="V432" i="16" s="1"/>
  <c r="AD432" i="16"/>
  <c r="AF432" i="16" s="1"/>
  <c r="X432" i="16" a="1"/>
  <c r="X432" i="16" s="1"/>
  <c r="AC432" i="16" a="1"/>
  <c r="AC432" i="16" s="1"/>
  <c r="AB432" i="16" a="1"/>
  <c r="AB432" i="16" s="1"/>
  <c r="AA432" i="16" a="1"/>
  <c r="AA432" i="16" s="1"/>
  <c r="Y432" i="16" a="1"/>
  <c r="Y432" i="16" s="1"/>
  <c r="Z432" i="16" a="1"/>
  <c r="Z432" i="16" s="1"/>
  <c r="U432" i="16" a="1"/>
  <c r="U432" i="16" s="1"/>
  <c r="R432" i="16" a="1"/>
  <c r="R432" i="16" s="1"/>
  <c r="AD357" i="16"/>
  <c r="AF357" i="16" s="1"/>
  <c r="W359" i="16" a="1"/>
  <c r="W359" i="16" s="1"/>
  <c r="AC361" i="16" a="1"/>
  <c r="AC361" i="16" s="1"/>
  <c r="S361" i="16" a="1"/>
  <c r="S361" i="16" s="1"/>
  <c r="U367" i="16" a="1"/>
  <c r="U367" i="16" s="1"/>
  <c r="AA372" i="16" a="1"/>
  <c r="AA372" i="16" s="1"/>
  <c r="V379" i="16" a="1"/>
  <c r="V379" i="16" s="1"/>
  <c r="W380" i="16" a="1"/>
  <c r="W380" i="16" s="1"/>
  <c r="AB395" i="16" a="1"/>
  <c r="AB395" i="16" s="1"/>
  <c r="Z426" i="16" a="1"/>
  <c r="Z426" i="16" s="1"/>
  <c r="Y426" i="16" a="1"/>
  <c r="Y426" i="16" s="1"/>
  <c r="R426" i="16" a="1"/>
  <c r="R426" i="16" s="1"/>
  <c r="W426" i="16" a="1"/>
  <c r="W426" i="16" s="1"/>
  <c r="V426" i="16" a="1"/>
  <c r="V426" i="16" s="1"/>
  <c r="S426" i="16" a="1"/>
  <c r="S426" i="16" s="1"/>
  <c r="AA426" i="16" a="1"/>
  <c r="AA426" i="16" s="1"/>
  <c r="X426" i="16" a="1"/>
  <c r="X426" i="16" s="1"/>
  <c r="U426" i="16" a="1"/>
  <c r="U426" i="16" s="1"/>
  <c r="T426" i="16" a="1"/>
  <c r="T426" i="16" s="1"/>
  <c r="AC426" i="16" a="1"/>
  <c r="AC426" i="16" s="1"/>
  <c r="S432" i="16" a="1"/>
  <c r="S432" i="16" s="1"/>
  <c r="T346" i="16" a="1"/>
  <c r="T346" i="16" s="1"/>
  <c r="T350" i="16" a="1"/>
  <c r="T350" i="16" s="1"/>
  <c r="U354" i="16" a="1"/>
  <c r="U354" i="16" s="1"/>
  <c r="X355" i="16" a="1"/>
  <c r="X355" i="16" s="1"/>
  <c r="AD361" i="16"/>
  <c r="AF361" i="16" s="1"/>
  <c r="T364" i="16" a="1"/>
  <c r="T364" i="16" s="1"/>
  <c r="V364" i="16" a="1"/>
  <c r="V364" i="16" s="1"/>
  <c r="AD364" i="16"/>
  <c r="AF364" i="16" s="1"/>
  <c r="X381" i="16" a="1"/>
  <c r="X381" i="16" s="1"/>
  <c r="X384" i="16" a="1"/>
  <c r="X384" i="16" s="1"/>
  <c r="AB426" i="16" a="1"/>
  <c r="AB426" i="16" s="1"/>
  <c r="T432" i="16" a="1"/>
  <c r="T432" i="16" s="1"/>
  <c r="V335" i="16" a="1"/>
  <c r="V335" i="16" s="1"/>
  <c r="U346" i="16" a="1"/>
  <c r="U346" i="16" s="1"/>
  <c r="V354" i="16" a="1"/>
  <c r="V354" i="16" s="1"/>
  <c r="Y355" i="16" a="1"/>
  <c r="Y355" i="16" s="1"/>
  <c r="V362" i="16" a="1"/>
  <c r="V362" i="16" s="1"/>
  <c r="S364" i="16" a="1"/>
  <c r="S364" i="16" s="1"/>
  <c r="AD366" i="16"/>
  <c r="AF366" i="16" s="1"/>
  <c r="AC366" i="16" a="1"/>
  <c r="AC366" i="16" s="1"/>
  <c r="S366" i="16" a="1"/>
  <c r="S366" i="16" s="1"/>
  <c r="W373" i="16" a="1"/>
  <c r="W373" i="16" s="1"/>
  <c r="AA379" i="16" a="1"/>
  <c r="AA379" i="16" s="1"/>
  <c r="Y381" i="16" a="1"/>
  <c r="Y381" i="16" s="1"/>
  <c r="Y384" i="16" a="1"/>
  <c r="Y384" i="16" s="1"/>
  <c r="AB385" i="16" a="1"/>
  <c r="AB385" i="16" s="1"/>
  <c r="AF426" i="16"/>
  <c r="U321" i="16" a="1"/>
  <c r="U321" i="16" s="1"/>
  <c r="AC337" i="16" a="1"/>
  <c r="AC337" i="16" s="1"/>
  <c r="W354" i="16" a="1"/>
  <c r="W354" i="16" s="1"/>
  <c r="T357" i="16" a="1"/>
  <c r="T357" i="16" s="1"/>
  <c r="AD372" i="16"/>
  <c r="AF372" i="16" s="1"/>
  <c r="AA378" i="16" a="1"/>
  <c r="AA378" i="16" s="1"/>
  <c r="AC385" i="16" a="1"/>
  <c r="AC385" i="16" s="1"/>
  <c r="V346" i="16" a="1"/>
  <c r="V346" i="16" s="1"/>
  <c r="W348" i="16" a="1"/>
  <c r="W348" i="16" s="1"/>
  <c r="V348" i="16" a="1"/>
  <c r="V348" i="16" s="1"/>
  <c r="W350" i="16" a="1"/>
  <c r="W350" i="16" s="1"/>
  <c r="U352" i="16" a="1"/>
  <c r="U352" i="16" s="1"/>
  <c r="AF352" i="16"/>
  <c r="T352" i="16" a="1"/>
  <c r="T352" i="16" s="1"/>
  <c r="Z355" i="16" a="1"/>
  <c r="Z355" i="16" s="1"/>
  <c r="AC356" i="16" a="1"/>
  <c r="AC356" i="16" s="1"/>
  <c r="S356" i="16" a="1"/>
  <c r="S356" i="16" s="1"/>
  <c r="AD356" i="16"/>
  <c r="AF356" i="16" s="1"/>
  <c r="T361" i="16" a="1"/>
  <c r="T361" i="16" s="1"/>
  <c r="W362" i="16" a="1"/>
  <c r="W362" i="16" s="1"/>
  <c r="U364" i="16" a="1"/>
  <c r="U364" i="16" s="1"/>
  <c r="X373" i="16" a="1"/>
  <c r="X373" i="16" s="1"/>
  <c r="AC378" i="16" a="1"/>
  <c r="AC378" i="16" s="1"/>
  <c r="AB379" i="16" a="1"/>
  <c r="AB379" i="16" s="1"/>
  <c r="AC380" i="16" a="1"/>
  <c r="AC380" i="16" s="1"/>
  <c r="AD381" i="16"/>
  <c r="AF381" i="16" s="1"/>
  <c r="Z384" i="16" a="1"/>
  <c r="Z384" i="16" s="1"/>
  <c r="AC377" i="16" a="1"/>
  <c r="AC377" i="16" s="1"/>
  <c r="AC383" i="16" a="1"/>
  <c r="AC383" i="16" s="1"/>
  <c r="Z396" i="16" a="1"/>
  <c r="Z396" i="16" s="1"/>
  <c r="V420" i="16" a="1"/>
  <c r="V420" i="16" s="1"/>
  <c r="U397" i="16" a="1"/>
  <c r="U397" i="16" s="1"/>
  <c r="AB389" i="16" a="1"/>
  <c r="AB389" i="16" s="1"/>
  <c r="R389" i="16" a="1"/>
  <c r="R389" i="16" s="1"/>
  <c r="T389" i="16" a="1"/>
  <c r="T389" i="16" s="1"/>
  <c r="AA389" i="16" a="1"/>
  <c r="AA389" i="16" s="1"/>
  <c r="Z393" i="16" a="1"/>
  <c r="Z393" i="16" s="1"/>
  <c r="Y393" i="16" a="1"/>
  <c r="Y393" i="16" s="1"/>
  <c r="AD393" i="16"/>
  <c r="AF393" i="16" s="1"/>
  <c r="R393" i="16" a="1"/>
  <c r="R393" i="16" s="1"/>
  <c r="AC393" i="16" a="1"/>
  <c r="AC393" i="16" s="1"/>
  <c r="W398" i="16" a="1"/>
  <c r="W398" i="16" s="1"/>
  <c r="U398" i="16" a="1"/>
  <c r="U398" i="16" s="1"/>
  <c r="T398" i="16" a="1"/>
  <c r="T398" i="16" s="1"/>
  <c r="AC398" i="16" a="1"/>
  <c r="AC398" i="16" s="1"/>
  <c r="X396" i="16" a="1"/>
  <c r="X396" i="16" s="1"/>
  <c r="AA396" i="16" a="1"/>
  <c r="AA396" i="16" s="1"/>
  <c r="Y397" i="16" a="1"/>
  <c r="Y397" i="16" s="1"/>
  <c r="V401" i="16" a="1"/>
  <c r="V401" i="16" s="1"/>
  <c r="U401" i="16" a="1"/>
  <c r="U401" i="16" s="1"/>
  <c r="AB401" i="16" a="1"/>
  <c r="AB401" i="16" s="1"/>
  <c r="R401" i="16" a="1"/>
  <c r="R401" i="16" s="1"/>
  <c r="T401" i="16" a="1"/>
  <c r="T401" i="16" s="1"/>
  <c r="S401" i="16" a="1"/>
  <c r="S401" i="16" s="1"/>
  <c r="AF450" i="16"/>
  <c r="X376" i="16" a="1"/>
  <c r="X376" i="16" s="1"/>
  <c r="T376" i="16" a="1"/>
  <c r="T376" i="16" s="1"/>
  <c r="AF376" i="16"/>
  <c r="S376" i="16" a="1"/>
  <c r="S376" i="16" s="1"/>
  <c r="AC376" i="16" a="1"/>
  <c r="AC376" i="16" s="1"/>
  <c r="U377" i="16" a="1"/>
  <c r="U377" i="16" s="1"/>
  <c r="U382" i="16" a="1"/>
  <c r="U382" i="16" s="1"/>
  <c r="S382" i="16" a="1"/>
  <c r="S382" i="16" s="1"/>
  <c r="AC382" i="16" a="1"/>
  <c r="AC382" i="16" s="1"/>
  <c r="R382" i="16" a="1"/>
  <c r="R382" i="16" s="1"/>
  <c r="AD382" i="16"/>
  <c r="AF382" i="16" s="1"/>
  <c r="U389" i="16" a="1"/>
  <c r="U389" i="16" s="1"/>
  <c r="T393" i="16" a="1"/>
  <c r="T393" i="16" s="1"/>
  <c r="S398" i="16" a="1"/>
  <c r="S398" i="16" s="1"/>
  <c r="AD417" i="16"/>
  <c r="AF417" i="16" s="1"/>
  <c r="AB417" i="16" a="1"/>
  <c r="AB417" i="16" s="1"/>
  <c r="R417" i="16" a="1"/>
  <c r="R417" i="16" s="1"/>
  <c r="X417" i="16" a="1"/>
  <c r="X417" i="16" s="1"/>
  <c r="W417" i="16" a="1"/>
  <c r="W417" i="16" s="1"/>
  <c r="V417" i="16" a="1"/>
  <c r="V417" i="16" s="1"/>
  <c r="U417" i="16" a="1"/>
  <c r="U417" i="16" s="1"/>
  <c r="S417" i="16" a="1"/>
  <c r="S417" i="16" s="1"/>
  <c r="AC417" i="16" a="1"/>
  <c r="AC417" i="16" s="1"/>
  <c r="V377" i="16" a="1"/>
  <c r="V377" i="16" s="1"/>
  <c r="W383" i="16" a="1"/>
  <c r="W383" i="16" s="1"/>
  <c r="R396" i="16" a="1"/>
  <c r="R396" i="16" s="1"/>
  <c r="Z397" i="16" a="1"/>
  <c r="Z397" i="16" s="1"/>
  <c r="U393" i="16" a="1"/>
  <c r="U393" i="16" s="1"/>
  <c r="AA397" i="16" a="1"/>
  <c r="AA397" i="16" s="1"/>
  <c r="AB408" i="16" a="1"/>
  <c r="AB408" i="16" s="1"/>
  <c r="R408" i="16" a="1"/>
  <c r="R408" i="16" s="1"/>
  <c r="Z408" i="16" a="1"/>
  <c r="Z408" i="16" s="1"/>
  <c r="Y408" i="16" a="1"/>
  <c r="Y408" i="16" s="1"/>
  <c r="V408" i="16" a="1"/>
  <c r="V408" i="16" s="1"/>
  <c r="AA358" i="16" a="1"/>
  <c r="AA358" i="16" s="1"/>
  <c r="W377" i="16" a="1"/>
  <c r="W377" i="16" s="1"/>
  <c r="X383" i="16" a="1"/>
  <c r="X383" i="16" s="1"/>
  <c r="S396" i="16" a="1"/>
  <c r="S396" i="16" s="1"/>
  <c r="V398" i="16" a="1"/>
  <c r="V398" i="16" s="1"/>
  <c r="S408" i="16" a="1"/>
  <c r="S408" i="16" s="1"/>
  <c r="T382" i="16" a="1"/>
  <c r="T382" i="16" s="1"/>
  <c r="W389" i="16" a="1"/>
  <c r="W389" i="16" s="1"/>
  <c r="V393" i="16" a="1"/>
  <c r="V393" i="16" s="1"/>
  <c r="X398" i="16" a="1"/>
  <c r="X398" i="16" s="1"/>
  <c r="W399" i="16" a="1"/>
  <c r="W399" i="16" s="1"/>
  <c r="V399" i="16" a="1"/>
  <c r="V399" i="16" s="1"/>
  <c r="Y399" i="16" a="1"/>
  <c r="Y399" i="16" s="1"/>
  <c r="X399" i="16" a="1"/>
  <c r="X399" i="16" s="1"/>
  <c r="T399" i="16" a="1"/>
  <c r="T399" i="16" s="1"/>
  <c r="W401" i="16" a="1"/>
  <c r="W401" i="16" s="1"/>
  <c r="T405" i="16" a="1"/>
  <c r="T405" i="16" s="1"/>
  <c r="AD405" i="16"/>
  <c r="AF405" i="16" s="1"/>
  <c r="AC405" i="16" a="1"/>
  <c r="AC405" i="16" s="1"/>
  <c r="S405" i="16" a="1"/>
  <c r="S405" i="16" s="1"/>
  <c r="Z405" i="16" a="1"/>
  <c r="Z405" i="16" s="1"/>
  <c r="Y405" i="16" a="1"/>
  <c r="Y405" i="16" s="1"/>
  <c r="X405" i="16" a="1"/>
  <c r="X405" i="16" s="1"/>
  <c r="V405" i="16" a="1"/>
  <c r="V405" i="16" s="1"/>
  <c r="Y417" i="16" a="1"/>
  <c r="Y417" i="16" s="1"/>
  <c r="AD440" i="16"/>
  <c r="AF440" i="16" s="1"/>
  <c r="AC440" i="16" a="1"/>
  <c r="AC440" i="16" s="1"/>
  <c r="S440" i="16" a="1"/>
  <c r="S440" i="16" s="1"/>
  <c r="AB440" i="16" a="1"/>
  <c r="AB440" i="16" s="1"/>
  <c r="R440" i="16" a="1"/>
  <c r="R440" i="16" s="1"/>
  <c r="AA440" i="16" a="1"/>
  <c r="AA440" i="16" s="1"/>
  <c r="W440" i="16" a="1"/>
  <c r="W440" i="16" s="1"/>
  <c r="V440" i="16" a="1"/>
  <c r="V440" i="16" s="1"/>
  <c r="Y440" i="16" a="1"/>
  <c r="Y440" i="16" s="1"/>
  <c r="X440" i="16" a="1"/>
  <c r="X440" i="16" s="1"/>
  <c r="U440" i="16" a="1"/>
  <c r="U440" i="16" s="1"/>
  <c r="AA340" i="16" a="1"/>
  <c r="AA340" i="16" s="1"/>
  <c r="AA360" i="16" a="1"/>
  <c r="AA360" i="16" s="1"/>
  <c r="U363" i="16" a="1"/>
  <c r="U363" i="16" s="1"/>
  <c r="Y383" i="16" a="1"/>
  <c r="Y383" i="16" s="1"/>
  <c r="AD386" i="16"/>
  <c r="AF386" i="16" s="1"/>
  <c r="AC386" i="16" a="1"/>
  <c r="AC386" i="16" s="1"/>
  <c r="S386" i="16" a="1"/>
  <c r="S386" i="16" s="1"/>
  <c r="Z386" i="16" a="1"/>
  <c r="Z386" i="16" s="1"/>
  <c r="Y386" i="16" a="1"/>
  <c r="Y386" i="16" s="1"/>
  <c r="Y394" i="16" a="1"/>
  <c r="Y394" i="16" s="1"/>
  <c r="U394" i="16" a="1"/>
  <c r="U394" i="16" s="1"/>
  <c r="T394" i="16" a="1"/>
  <c r="T394" i="16" s="1"/>
  <c r="AC394" i="16" a="1"/>
  <c r="AC394" i="16" s="1"/>
  <c r="T396" i="16" a="1"/>
  <c r="T396" i="16" s="1"/>
  <c r="U402" i="16" a="1"/>
  <c r="U402" i="16" s="1"/>
  <c r="Y402" i="16" a="1"/>
  <c r="Y402" i="16" s="1"/>
  <c r="X402" i="16" a="1"/>
  <c r="X402" i="16" s="1"/>
  <c r="T402" i="16" a="1"/>
  <c r="T402" i="16" s="1"/>
  <c r="T408" i="16" a="1"/>
  <c r="T408" i="16" s="1"/>
  <c r="AD420" i="16"/>
  <c r="AF420" i="16" s="1"/>
  <c r="AC420" i="16" a="1"/>
  <c r="AC420" i="16" s="1"/>
  <c r="S420" i="16" a="1"/>
  <c r="S420" i="16" s="1"/>
  <c r="AB420" i="16" a="1"/>
  <c r="AB420" i="16" s="1"/>
  <c r="R420" i="16" a="1"/>
  <c r="R420" i="16" s="1"/>
  <c r="Z420" i="16" a="1"/>
  <c r="Z420" i="16" s="1"/>
  <c r="Y420" i="16" a="1"/>
  <c r="Y420" i="16" s="1"/>
  <c r="X397" i="16" a="1"/>
  <c r="X397" i="16" s="1"/>
  <c r="W397" i="16" a="1"/>
  <c r="W397" i="16" s="1"/>
  <c r="AD397" i="16"/>
  <c r="AF397" i="16" s="1"/>
  <c r="R397" i="16" a="1"/>
  <c r="R397" i="16" s="1"/>
  <c r="AC397" i="16" a="1"/>
  <c r="AC397" i="16" s="1"/>
  <c r="AC368" i="16" a="1"/>
  <c r="AC368" i="16" s="1"/>
  <c r="W376" i="16" a="1"/>
  <c r="W376" i="16" s="1"/>
  <c r="X382" i="16" a="1"/>
  <c r="X382" i="16" s="1"/>
  <c r="Z389" i="16" a="1"/>
  <c r="Z389" i="16" s="1"/>
  <c r="AA393" i="16" a="1"/>
  <c r="AA393" i="16" s="1"/>
  <c r="W396" i="16" a="1"/>
  <c r="W396" i="16" s="1"/>
  <c r="S397" i="16" a="1"/>
  <c r="S397" i="16" s="1"/>
  <c r="AA398" i="16" a="1"/>
  <c r="AA398" i="16" s="1"/>
  <c r="Z401" i="16" a="1"/>
  <c r="Z401" i="16" s="1"/>
  <c r="V402" i="16" a="1"/>
  <c r="V402" i="16" s="1"/>
  <c r="X408" i="16" a="1"/>
  <c r="X408" i="16" s="1"/>
  <c r="T420" i="16" a="1"/>
  <c r="T420" i="16" s="1"/>
  <c r="AB383" i="16" a="1"/>
  <c r="AB383" i="16" s="1"/>
  <c r="U386" i="16" a="1"/>
  <c r="U386" i="16" s="1"/>
  <c r="V394" i="16" a="1"/>
  <c r="V394" i="16" s="1"/>
  <c r="Y396" i="16" a="1"/>
  <c r="Y396" i="16" s="1"/>
  <c r="U399" i="16" a="1"/>
  <c r="U399" i="16" s="1"/>
  <c r="V400" i="16" a="1"/>
  <c r="V400" i="16" s="1"/>
  <c r="AB400" i="16" a="1"/>
  <c r="AB400" i="16" s="1"/>
  <c r="AA400" i="16" a="1"/>
  <c r="AA400" i="16" s="1"/>
  <c r="W405" i="16" a="1"/>
  <c r="W405" i="16" s="1"/>
  <c r="AC407" i="16" a="1"/>
  <c r="AC407" i="16" s="1"/>
  <c r="S407" i="16" a="1"/>
  <c r="S407" i="16" s="1"/>
  <c r="AB407" i="16" a="1"/>
  <c r="AB407" i="16" s="1"/>
  <c r="R407" i="16" a="1"/>
  <c r="R407" i="16" s="1"/>
  <c r="Y407" i="16" a="1"/>
  <c r="Y407" i="16" s="1"/>
  <c r="AB412" i="16" a="1"/>
  <c r="AB412" i="16" s="1"/>
  <c r="Z427" i="16" a="1"/>
  <c r="Z427" i="16" s="1"/>
  <c r="Y427" i="16" a="1"/>
  <c r="Y427" i="16" s="1"/>
  <c r="W427" i="16" a="1"/>
  <c r="W427" i="16" s="1"/>
  <c r="V427" i="16" a="1"/>
  <c r="V427" i="16" s="1"/>
  <c r="AA427" i="16" a="1"/>
  <c r="AA427" i="16" s="1"/>
  <c r="X427" i="16" a="1"/>
  <c r="X427" i="16" s="1"/>
  <c r="T427" i="16" a="1"/>
  <c r="T427" i="16" s="1"/>
  <c r="S427" i="16" a="1"/>
  <c r="S427" i="16" s="1"/>
  <c r="X451" i="16" a="1"/>
  <c r="X451" i="16" s="1"/>
  <c r="W451" i="16" a="1"/>
  <c r="W451" i="16" s="1"/>
  <c r="U451" i="16" a="1"/>
  <c r="U451" i="16" s="1"/>
  <c r="T451" i="16" a="1"/>
  <c r="T451" i="16" s="1"/>
  <c r="AB451" i="16" a="1"/>
  <c r="AB451" i="16" s="1"/>
  <c r="S451" i="16" a="1"/>
  <c r="S451" i="16" s="1"/>
  <c r="AD451" i="16"/>
  <c r="AF451" i="16" s="1"/>
  <c r="W453" i="16" a="1"/>
  <c r="W453" i="16" s="1"/>
  <c r="V453" i="16" a="1"/>
  <c r="V453" i="16" s="1"/>
  <c r="T453" i="16" a="1"/>
  <c r="T453" i="16" s="1"/>
  <c r="AC453" i="16" a="1"/>
  <c r="AC453" i="16" s="1"/>
  <c r="S453" i="16" a="1"/>
  <c r="S453" i="16" s="1"/>
  <c r="AD453" i="16"/>
  <c r="AF453" i="16" s="1"/>
  <c r="U453" i="16" a="1"/>
  <c r="U453" i="16" s="1"/>
  <c r="T404" i="16" a="1"/>
  <c r="T404" i="16" s="1"/>
  <c r="AD404" i="16"/>
  <c r="AF404" i="16" s="1"/>
  <c r="AC404" i="16" a="1"/>
  <c r="AC404" i="16" s="1"/>
  <c r="X450" i="16" a="1"/>
  <c r="X450" i="16" s="1"/>
  <c r="W450" i="16" a="1"/>
  <c r="W450" i="16" s="1"/>
  <c r="T450" i="16" a="1"/>
  <c r="T450" i="16" s="1"/>
  <c r="S450" i="16" a="1"/>
  <c r="S450" i="16" s="1"/>
  <c r="AC450" i="16" a="1"/>
  <c r="AC450" i="16" s="1"/>
  <c r="AB450" i="16" a="1"/>
  <c r="AB450" i="16" s="1"/>
  <c r="V450" i="16" a="1"/>
  <c r="V450" i="16" s="1"/>
  <c r="AD412" i="16"/>
  <c r="AF412" i="16" s="1"/>
  <c r="T418" i="16" a="1"/>
  <c r="T418" i="16" s="1"/>
  <c r="AD418" i="16"/>
  <c r="AF418" i="16" s="1"/>
  <c r="AC418" i="16" a="1"/>
  <c r="AC418" i="16" s="1"/>
  <c r="S418" i="16" a="1"/>
  <c r="S418" i="16" s="1"/>
  <c r="Y418" i="16" a="1"/>
  <c r="Y418" i="16" s="1"/>
  <c r="X418" i="16" a="1"/>
  <c r="X418" i="16" s="1"/>
  <c r="Y429" i="16" a="1"/>
  <c r="Y429" i="16" s="1"/>
  <c r="X429" i="16" a="1"/>
  <c r="X429" i="16" s="1"/>
  <c r="V429" i="16" a="1"/>
  <c r="V429" i="16" s="1"/>
  <c r="U429" i="16" a="1"/>
  <c r="U429" i="16" s="1"/>
  <c r="AB429" i="16" a="1"/>
  <c r="AB429" i="16" s="1"/>
  <c r="AA429" i="16" a="1"/>
  <c r="AA429" i="16" s="1"/>
  <c r="T429" i="16" a="1"/>
  <c r="T429" i="16" s="1"/>
  <c r="Y449" i="16" a="1"/>
  <c r="Y449" i="16" s="1"/>
  <c r="X449" i="16" a="1"/>
  <c r="X449" i="16" s="1"/>
  <c r="V449" i="16" a="1"/>
  <c r="V449" i="16" s="1"/>
  <c r="U449" i="16" a="1"/>
  <c r="U449" i="16" s="1"/>
  <c r="AA449" i="16" a="1"/>
  <c r="AA449" i="16" s="1"/>
  <c r="R449" i="16" a="1"/>
  <c r="R449" i="16" s="1"/>
  <c r="AB388" i="16" a="1"/>
  <c r="AB388" i="16" s="1"/>
  <c r="R388" i="16" a="1"/>
  <c r="R388" i="16" s="1"/>
  <c r="AC388" i="16" a="1"/>
  <c r="AC388" i="16" s="1"/>
  <c r="S404" i="16" a="1"/>
  <c r="S404" i="16" s="1"/>
  <c r="U407" i="16" a="1"/>
  <c r="U407" i="16" s="1"/>
  <c r="R412" i="16" a="1"/>
  <c r="R412" i="16" s="1"/>
  <c r="AD414" i="16"/>
  <c r="AF414" i="16" s="1"/>
  <c r="R429" i="16" a="1"/>
  <c r="R429" i="16" s="1"/>
  <c r="X430" i="16" a="1"/>
  <c r="X430" i="16" s="1"/>
  <c r="W430" i="16" a="1"/>
  <c r="W430" i="16" s="1"/>
  <c r="U430" i="16" a="1"/>
  <c r="U430" i="16" s="1"/>
  <c r="T430" i="16" a="1"/>
  <c r="T430" i="16" s="1"/>
  <c r="AD430" i="16"/>
  <c r="AF430" i="16" s="1"/>
  <c r="Y448" i="16" a="1"/>
  <c r="Y448" i="16" s="1"/>
  <c r="X448" i="16" a="1"/>
  <c r="X448" i="16" s="1"/>
  <c r="S448" i="16" a="1"/>
  <c r="S448" i="16" s="1"/>
  <c r="R448" i="16" a="1"/>
  <c r="R448" i="16" s="1"/>
  <c r="AB448" i="16" a="1"/>
  <c r="AB448" i="16" s="1"/>
  <c r="AA448" i="16" a="1"/>
  <c r="AA448" i="16" s="1"/>
  <c r="T448" i="16" a="1"/>
  <c r="T448" i="16" s="1"/>
  <c r="Y453" i="16" a="1"/>
  <c r="Y453" i="16" s="1"/>
  <c r="U404" i="16" a="1"/>
  <c r="U404" i="16" s="1"/>
  <c r="U418" i="16" a="1"/>
  <c r="U418" i="16" s="1"/>
  <c r="U427" i="16" a="1"/>
  <c r="U427" i="16" s="1"/>
  <c r="X431" i="16" a="1"/>
  <c r="X431" i="16" s="1"/>
  <c r="W431" i="16" a="1"/>
  <c r="W431" i="16" s="1"/>
  <c r="U431" i="16" a="1"/>
  <c r="U431" i="16" s="1"/>
  <c r="AF431" i="16"/>
  <c r="T431" i="16" a="1"/>
  <c r="T431" i="16" s="1"/>
  <c r="AC431" i="16" a="1"/>
  <c r="AC431" i="16" s="1"/>
  <c r="AB431" i="16" a="1"/>
  <c r="AB431" i="16" s="1"/>
  <c r="Y431" i="16" a="1"/>
  <c r="Y431" i="16" s="1"/>
  <c r="V431" i="16" a="1"/>
  <c r="V431" i="16" s="1"/>
  <c r="S449" i="16" a="1"/>
  <c r="S449" i="16" s="1"/>
  <c r="U450" i="16" a="1"/>
  <c r="U450" i="16" s="1"/>
  <c r="V451" i="16" a="1"/>
  <c r="V451" i="16" s="1"/>
  <c r="Z453" i="16" a="1"/>
  <c r="Z453" i="16" s="1"/>
  <c r="T458" i="16" a="1"/>
  <c r="T458" i="16" s="1"/>
  <c r="AD458" i="16"/>
  <c r="AF458" i="16" s="1"/>
  <c r="AC458" i="16" a="1"/>
  <c r="AC458" i="16" s="1"/>
  <c r="S458" i="16" a="1"/>
  <c r="S458" i="16" s="1"/>
  <c r="AB458" i="16" a="1"/>
  <c r="AB458" i="16" s="1"/>
  <c r="R458" i="16" a="1"/>
  <c r="R458" i="16" s="1"/>
  <c r="X458" i="16" a="1"/>
  <c r="X458" i="16" s="1"/>
  <c r="W458" i="16" a="1"/>
  <c r="W458" i="16" s="1"/>
  <c r="V458" i="16" a="1"/>
  <c r="V458" i="16" s="1"/>
  <c r="U458" i="16" a="1"/>
  <c r="U458" i="16" s="1"/>
  <c r="S388" i="16" a="1"/>
  <c r="S388" i="16" s="1"/>
  <c r="AF388" i="16"/>
  <c r="AD406" i="16"/>
  <c r="AF406" i="16" s="1"/>
  <c r="AC406" i="16" a="1"/>
  <c r="AC406" i="16" s="1"/>
  <c r="S406" i="16" a="1"/>
  <c r="S406" i="16" s="1"/>
  <c r="V407" i="16" a="1"/>
  <c r="V407" i="16" s="1"/>
  <c r="S412" i="16" a="1"/>
  <c r="S412" i="16" s="1"/>
  <c r="R414" i="16" a="1"/>
  <c r="R414" i="16" s="1"/>
  <c r="X416" i="16" a="1"/>
  <c r="X416" i="16" s="1"/>
  <c r="AD416" i="16"/>
  <c r="AF416" i="16" s="1"/>
  <c r="S429" i="16" a="1"/>
  <c r="S429" i="16" s="1"/>
  <c r="R430" i="16" a="1"/>
  <c r="R430" i="16" s="1"/>
  <c r="T438" i="16" a="1"/>
  <c r="T438" i="16" s="1"/>
  <c r="AD438" i="16"/>
  <c r="AF438" i="16" s="1"/>
  <c r="AC438" i="16" a="1"/>
  <c r="AC438" i="16" s="1"/>
  <c r="S438" i="16" a="1"/>
  <c r="S438" i="16" s="1"/>
  <c r="AB438" i="16" a="1"/>
  <c r="AB438" i="16" s="1"/>
  <c r="AA438" i="16" a="1"/>
  <c r="AA438" i="16" s="1"/>
  <c r="Z438" i="16" a="1"/>
  <c r="Z438" i="16" s="1"/>
  <c r="W438" i="16" a="1"/>
  <c r="W438" i="16" s="1"/>
  <c r="V438" i="16" a="1"/>
  <c r="V438" i="16" s="1"/>
  <c r="T449" i="16" a="1"/>
  <c r="T449" i="16" s="1"/>
  <c r="Y451" i="16" a="1"/>
  <c r="Y451" i="16" s="1"/>
  <c r="U436" i="16" a="1"/>
  <c r="U436" i="16" s="1"/>
  <c r="AF436" i="16"/>
  <c r="T436" i="16" a="1"/>
  <c r="T436" i="16" s="1"/>
  <c r="Z447" i="16" a="1"/>
  <c r="Z447" i="16" s="1"/>
  <c r="Y447" i="16" a="1"/>
  <c r="Y447" i="16" s="1"/>
  <c r="W447" i="16" a="1"/>
  <c r="W447" i="16" s="1"/>
  <c r="V447" i="16" a="1"/>
  <c r="V447" i="16" s="1"/>
  <c r="AF447" i="16"/>
  <c r="U456" i="16" a="1"/>
  <c r="U456" i="16" s="1"/>
  <c r="AF456" i="16"/>
  <c r="T456" i="16" a="1"/>
  <c r="T456" i="16" s="1"/>
  <c r="AC421" i="16" a="1"/>
  <c r="AC421" i="16" s="1"/>
  <c r="S421" i="16" a="1"/>
  <c r="S421" i="16" s="1"/>
  <c r="AB421" i="16" a="1"/>
  <c r="AB421" i="16" s="1"/>
  <c r="R421" i="16" a="1"/>
  <c r="R421" i="16" s="1"/>
  <c r="Z421" i="16" a="1"/>
  <c r="Z421" i="16" s="1"/>
  <c r="Y421" i="16" a="1"/>
  <c r="Y421" i="16" s="1"/>
  <c r="V454" i="16" a="1"/>
  <c r="V454" i="16" s="1"/>
  <c r="U454" i="16" a="1"/>
  <c r="U454" i="16" s="1"/>
  <c r="AD454" i="16"/>
  <c r="AF454" i="16" s="1"/>
  <c r="S456" i="16" a="1"/>
  <c r="S456" i="16" s="1"/>
  <c r="AA403" i="16" a="1"/>
  <c r="AA403" i="16" s="1"/>
  <c r="T421" i="16" a="1"/>
  <c r="T421" i="16" s="1"/>
  <c r="W452" i="16" a="1"/>
  <c r="W452" i="16" s="1"/>
  <c r="V452" i="16" a="1"/>
  <c r="V452" i="16" s="1"/>
  <c r="AD452" i="16"/>
  <c r="AF452" i="16" s="1"/>
  <c r="R454" i="16" a="1"/>
  <c r="R454" i="16" s="1"/>
  <c r="V456" i="16" a="1"/>
  <c r="V456" i="16" s="1"/>
  <c r="T403" i="16" a="1"/>
  <c r="T403" i="16" s="1"/>
  <c r="AF403" i="16"/>
  <c r="AA409" i="16" a="1"/>
  <c r="AA409" i="16" s="1"/>
  <c r="W421" i="16" a="1"/>
  <c r="W421" i="16" s="1"/>
  <c r="V435" i="16" a="1"/>
  <c r="V435" i="16" s="1"/>
  <c r="U435" i="16" a="1"/>
  <c r="U435" i="16" s="1"/>
  <c r="AC435" i="16" a="1"/>
  <c r="AC435" i="16" s="1"/>
  <c r="S435" i="16" a="1"/>
  <c r="S435" i="16" s="1"/>
  <c r="AB435" i="16" a="1"/>
  <c r="AB435" i="16" s="1"/>
  <c r="R435" i="16" a="1"/>
  <c r="R435" i="16" s="1"/>
  <c r="Z446" i="16" a="1"/>
  <c r="Z446" i="16" s="1"/>
  <c r="Y446" i="16" a="1"/>
  <c r="Y446" i="16" s="1"/>
  <c r="AF446" i="16"/>
  <c r="U452" i="16" a="1"/>
  <c r="U452" i="16" s="1"/>
  <c r="X454" i="16" a="1"/>
  <c r="X454" i="16" s="1"/>
  <c r="Y456" i="16" a="1"/>
  <c r="Y456" i="16" s="1"/>
  <c r="Z436" i="16" a="1"/>
  <c r="Z436" i="16" s="1"/>
  <c r="X447" i="16" a="1"/>
  <c r="X447" i="16" s="1"/>
  <c r="V455" i="16" a="1"/>
  <c r="V455" i="16" s="1"/>
  <c r="U455" i="16" a="1"/>
  <c r="U455" i="16" s="1"/>
  <c r="AC455" i="16" a="1"/>
  <c r="AC455" i="16" s="1"/>
  <c r="S455" i="16" a="1"/>
  <c r="S455" i="16" s="1"/>
  <c r="AB455" i="16" a="1"/>
  <c r="AB455" i="16" s="1"/>
  <c r="R455" i="16" a="1"/>
  <c r="R455" i="16" s="1"/>
  <c r="R409" i="16" a="1"/>
  <c r="R409" i="16" s="1"/>
  <c r="X421" i="16" a="1"/>
  <c r="X421" i="16" s="1"/>
  <c r="W433" i="16" a="1"/>
  <c r="W433" i="16" s="1"/>
  <c r="V433" i="16" a="1"/>
  <c r="V433" i="16" s="1"/>
  <c r="AF433" i="16"/>
  <c r="T433" i="16" a="1"/>
  <c r="T433" i="16" s="1"/>
  <c r="AC433" i="16" a="1"/>
  <c r="AC433" i="16" s="1"/>
  <c r="S433" i="16" a="1"/>
  <c r="S433" i="16" s="1"/>
  <c r="R446" i="16" a="1"/>
  <c r="R446" i="16" s="1"/>
  <c r="X452" i="16" a="1"/>
  <c r="X452" i="16" s="1"/>
  <c r="Y454" i="16" a="1"/>
  <c r="Y454" i="16" s="1"/>
  <c r="Z456" i="16" a="1"/>
  <c r="Z456" i="16" s="1"/>
  <c r="AA437" i="16" a="1"/>
  <c r="AA437" i="16" s="1"/>
  <c r="X443" i="16" a="1"/>
  <c r="X443" i="16" s="1"/>
  <c r="W445" i="16" a="1"/>
  <c r="W445" i="16" s="1"/>
  <c r="AA457" i="16" a="1"/>
  <c r="AA457" i="16" s="1"/>
  <c r="Z459" i="16" a="1"/>
  <c r="Z459" i="16" s="1"/>
  <c r="AA419" i="16" a="1"/>
  <c r="AA419" i="16" s="1"/>
  <c r="Y423" i="16" a="1"/>
  <c r="Y423" i="16" s="1"/>
  <c r="X425" i="16" a="1"/>
  <c r="X425" i="16" s="1"/>
  <c r="R437" i="16" a="1"/>
  <c r="R437" i="16" s="1"/>
  <c r="AB437" i="16" a="1"/>
  <c r="AB437" i="16" s="1"/>
  <c r="AA439" i="16" a="1"/>
  <c r="AA439" i="16" s="1"/>
  <c r="Y443" i="16" a="1"/>
  <c r="Y443" i="16" s="1"/>
  <c r="X445" i="16" a="1"/>
  <c r="X445" i="16" s="1"/>
  <c r="R457" i="16" a="1"/>
  <c r="R457" i="16" s="1"/>
  <c r="AB457" i="16" a="1"/>
  <c r="AB457" i="16" s="1"/>
  <c r="AA459" i="16" a="1"/>
  <c r="AA459" i="16" s="1"/>
  <c r="AB459" i="16" a="1"/>
  <c r="AB459" i="16" s="1"/>
  <c r="AA422" i="16" a="1"/>
  <c r="AA422" i="16" s="1"/>
  <c r="Z424" i="16" a="1"/>
  <c r="Z424" i="16" s="1"/>
  <c r="AD437" i="16"/>
  <c r="AF437" i="16" s="1"/>
  <c r="AA442" i="16" a="1"/>
  <c r="AA442" i="16" s="1"/>
  <c r="Z444" i="16" a="1"/>
  <c r="Z444" i="16" s="1"/>
  <c r="AD457" i="16"/>
  <c r="AF457" i="16" s="1"/>
  <c r="S419" i="16" a="1"/>
  <c r="S419" i="16" s="1"/>
  <c r="AC419" i="16" a="1"/>
  <c r="AC419" i="16" s="1"/>
  <c r="AA423" i="16" a="1"/>
  <c r="AA423" i="16" s="1"/>
  <c r="Z425" i="16" a="1"/>
  <c r="Z425" i="16" s="1"/>
  <c r="T437" i="16" a="1"/>
  <c r="T437" i="16" s="1"/>
  <c r="S439" i="16" a="1"/>
  <c r="S439" i="16" s="1"/>
  <c r="AC439" i="16" a="1"/>
  <c r="AC439" i="16" s="1"/>
  <c r="AA443" i="16" a="1"/>
  <c r="AA443" i="16" s="1"/>
  <c r="Z445" i="16" a="1"/>
  <c r="Z445" i="16" s="1"/>
  <c r="T457" i="16" a="1"/>
  <c r="T457" i="16" s="1"/>
  <c r="S459" i="16" a="1"/>
  <c r="S459" i="16" s="1"/>
  <c r="AC459" i="16" a="1"/>
  <c r="AC459" i="16" s="1"/>
  <c r="AD419" i="16"/>
  <c r="AF419" i="16" s="1"/>
  <c r="R422" i="16" a="1"/>
  <c r="R422" i="16" s="1"/>
  <c r="AD439" i="16"/>
  <c r="AF439" i="16" s="1"/>
  <c r="R442" i="16" a="1"/>
  <c r="R442" i="16" s="1"/>
  <c r="AD459" i="16"/>
  <c r="AF459" i="16" s="1"/>
  <c r="T419" i="16" a="1"/>
  <c r="T419" i="16" s="1"/>
  <c r="R423" i="16" a="1"/>
  <c r="R423" i="16" s="1"/>
  <c r="T439" i="16" a="1"/>
  <c r="T439" i="16" s="1"/>
  <c r="R443" i="16" a="1"/>
  <c r="R443" i="16" s="1"/>
  <c r="T459" i="16" a="1"/>
  <c r="T459" i="16" s="1"/>
  <c r="B155" i="1"/>
  <c r="B97" i="1"/>
  <c r="B34" i="1"/>
  <c r="B144" i="1"/>
  <c r="K12" i="1" a="1"/>
  <c r="B39" i="1"/>
  <c r="B82" i="1"/>
  <c r="B115" i="1"/>
  <c r="L13" i="1" a="1"/>
  <c r="B107" i="1"/>
  <c r="B12" i="1"/>
  <c r="B142" i="1"/>
  <c r="B99" i="1"/>
  <c r="B86" i="1"/>
  <c r="B21" i="1"/>
  <c r="B114" i="1"/>
  <c r="B38" i="1"/>
  <c r="B16" i="1"/>
  <c r="B78" i="1"/>
  <c r="J91" i="1"/>
  <c r="B31" i="1"/>
  <c r="B84" i="1"/>
  <c r="B13" i="1"/>
  <c r="B139" i="1"/>
  <c r="B125" i="1"/>
  <c r="B136" i="1"/>
  <c r="B124" i="1"/>
  <c r="B73" i="1"/>
  <c r="B65" i="1"/>
  <c r="L14" i="1" a="1"/>
  <c r="B40" i="1"/>
  <c r="B46" i="1"/>
  <c r="L16" i="1" a="1"/>
  <c r="B152" i="1"/>
  <c r="B96" i="1"/>
  <c r="B100" i="1"/>
  <c r="B134" i="1"/>
  <c r="B55" i="1"/>
  <c r="B17" i="1"/>
  <c r="B150" i="1"/>
  <c r="B104" i="1"/>
  <c r="B103" i="1"/>
  <c r="B72" i="1"/>
  <c r="B48" i="1"/>
  <c r="B111" i="1"/>
  <c r="L11" i="1" a="1"/>
  <c r="B123" i="1"/>
  <c r="B25" i="1"/>
  <c r="B158" i="1"/>
  <c r="B64" i="1"/>
  <c r="B93" i="1"/>
  <c r="B63" i="1"/>
  <c r="B27" i="1"/>
  <c r="B53" i="1"/>
  <c r="K15" i="1" a="1"/>
  <c r="B141" i="1"/>
  <c r="B108" i="1"/>
  <c r="B28" i="1"/>
  <c r="L17" i="1" a="1"/>
  <c r="B45" i="1"/>
  <c r="B57" i="1"/>
  <c r="B112" i="1"/>
  <c r="B60" i="1"/>
  <c r="A7" i="1"/>
  <c r="B153" i="1"/>
  <c r="B74" i="1"/>
  <c r="B70" i="1"/>
  <c r="B101" i="1"/>
  <c r="B127" i="1"/>
  <c r="B137" i="1"/>
  <c r="B26" i="1"/>
  <c r="K20" i="1" a="1"/>
  <c r="B77" i="1"/>
  <c r="B118" i="1"/>
  <c r="B94" i="1"/>
  <c r="B128" i="1"/>
  <c r="B98" i="1"/>
  <c r="B131" i="1"/>
  <c r="L20" i="1" a="1"/>
  <c r="B120" i="1"/>
  <c r="B105" i="1"/>
  <c r="B19" i="1"/>
  <c r="K19" i="1" a="1"/>
  <c r="B85" i="1"/>
  <c r="B32" i="1"/>
  <c r="B132" i="1"/>
  <c r="B50" i="1"/>
  <c r="B110" i="1"/>
  <c r="B22" i="1"/>
  <c r="B143" i="1"/>
  <c r="B133" i="1"/>
  <c r="B41" i="1"/>
  <c r="B18" i="1"/>
  <c r="B67" i="1"/>
  <c r="K21" i="1" a="1"/>
  <c r="B102" i="1"/>
  <c r="B68" i="1"/>
  <c r="B44" i="1"/>
  <c r="B43" i="1"/>
  <c r="B33" i="1"/>
  <c r="B83" i="1"/>
  <c r="B49" i="1"/>
  <c r="B109" i="1"/>
  <c r="B95" i="1"/>
  <c r="B14" i="1"/>
  <c r="B122" i="1"/>
  <c r="B147" i="1"/>
  <c r="B20" i="1"/>
  <c r="B121" i="1"/>
  <c r="B56" i="1"/>
  <c r="B58" i="1"/>
  <c r="J88" i="1"/>
  <c r="B149" i="1"/>
  <c r="B135" i="1"/>
  <c r="B24" i="1"/>
  <c r="B59" i="1"/>
  <c r="L19" i="1" a="1"/>
  <c r="B151" i="1"/>
  <c r="B106" i="1"/>
  <c r="J90" i="1"/>
  <c r="B154" i="1"/>
  <c r="B159" i="1"/>
  <c r="E7" i="1"/>
  <c r="B11" i="1"/>
  <c r="B76" i="1"/>
  <c r="B69" i="1"/>
  <c r="B126" i="1"/>
  <c r="B148" i="1"/>
  <c r="J87" i="1"/>
  <c r="B75" i="1"/>
  <c r="B129" i="1"/>
  <c r="D4" i="1"/>
  <c r="L15" i="1" a="1"/>
  <c r="B10" i="1"/>
  <c r="K18" i="1" a="1"/>
  <c r="L18" i="1" a="1"/>
  <c r="B117" i="1"/>
  <c r="C7" i="1"/>
  <c r="B23" i="1"/>
  <c r="B113" i="1"/>
  <c r="B146" i="1"/>
  <c r="B52" i="1"/>
  <c r="B80" i="1"/>
  <c r="B62" i="1"/>
  <c r="B36" i="1"/>
  <c r="K17" i="1" a="1"/>
  <c r="B29" i="1"/>
  <c r="B156" i="1"/>
  <c r="B81" i="1"/>
  <c r="K14" i="1" a="1"/>
  <c r="B138" i="1"/>
  <c r="B116" i="1"/>
  <c r="B140" i="1"/>
  <c r="B61" i="1"/>
  <c r="K10" i="1" a="1"/>
  <c r="B130" i="1"/>
  <c r="B71" i="1"/>
  <c r="K16" i="1" a="1"/>
  <c r="B157" i="1"/>
  <c r="L12" i="1" a="1"/>
  <c r="K13" i="1" a="1"/>
  <c r="B79" i="1"/>
  <c r="B30" i="1"/>
  <c r="L10" i="1" a="1"/>
  <c r="B66" i="1"/>
  <c r="B37" i="1"/>
  <c r="B15" i="1"/>
  <c r="K11" i="1" a="1"/>
  <c r="B119" i="1"/>
  <c r="L21" i="1" a="1"/>
  <c r="B145" i="1"/>
  <c r="B42" i="1"/>
  <c r="B47" i="1"/>
  <c r="B92" i="1"/>
  <c r="B54" i="1"/>
  <c r="B35" i="1"/>
  <c r="B51" i="1"/>
  <c r="K85" i="14" l="1"/>
  <c r="M85" i="14" s="1"/>
  <c r="K69" i="14"/>
  <c r="K74" i="14"/>
  <c r="M74" i="14" s="1"/>
  <c r="K13" i="14"/>
  <c r="M13" i="14" s="1"/>
  <c r="K27" i="14"/>
  <c r="M27" i="14" s="1"/>
  <c r="K29" i="14"/>
  <c r="M29" i="14" s="1"/>
  <c r="K61" i="14"/>
  <c r="M61" i="14" s="1"/>
  <c r="K83" i="14"/>
  <c r="M83" i="14" s="1"/>
  <c r="F156" i="11"/>
  <c r="K82" i="14"/>
  <c r="K81" i="14"/>
  <c r="M81" i="14" s="1"/>
  <c r="K5" i="14"/>
  <c r="M5" i="14" s="1"/>
  <c r="F156" i="13"/>
  <c r="K58" i="14"/>
  <c r="M58" i="14" s="1"/>
  <c r="K15" i="14"/>
  <c r="M15" i="14" s="1"/>
  <c r="K19" i="14"/>
  <c r="M19" i="14" s="1"/>
  <c r="AF326" i="16"/>
  <c r="AF328" i="16" s="1"/>
  <c r="K10" i="14"/>
  <c r="M10" i="14" s="1"/>
  <c r="K49" i="14"/>
  <c r="M49" i="14" s="1"/>
  <c r="J114" i="1"/>
  <c r="E114" i="1"/>
  <c r="F114" i="1"/>
  <c r="G114" i="1"/>
  <c r="D114" i="1"/>
  <c r="C114" i="1"/>
  <c r="A114" i="1"/>
  <c r="I114" i="1"/>
  <c r="H114" i="1"/>
  <c r="A18" i="1"/>
  <c r="G18" i="1"/>
  <c r="H18" i="1"/>
  <c r="I157" i="1"/>
  <c r="H157" i="1"/>
  <c r="G157" i="1"/>
  <c r="F157" i="1"/>
  <c r="E157" i="1"/>
  <c r="D157" i="1"/>
  <c r="J157" i="1"/>
  <c r="C157" i="1"/>
  <c r="A157" i="1"/>
  <c r="H45" i="1"/>
  <c r="G45" i="1"/>
  <c r="A45" i="1"/>
  <c r="H143" i="1"/>
  <c r="C143" i="1"/>
  <c r="E143" i="1"/>
  <c r="D143" i="1"/>
  <c r="J143" i="1"/>
  <c r="I143" i="1"/>
  <c r="A143" i="1"/>
  <c r="G143" i="1"/>
  <c r="F143" i="1"/>
  <c r="G87" i="1"/>
  <c r="H87" i="1"/>
  <c r="A87" i="1"/>
  <c r="G96" i="1"/>
  <c r="I96" i="1"/>
  <c r="H96" i="1"/>
  <c r="F96" i="1"/>
  <c r="E96" i="1"/>
  <c r="D96" i="1"/>
  <c r="C96" i="1"/>
  <c r="A96" i="1"/>
  <c r="J96" i="1"/>
  <c r="G78" i="1"/>
  <c r="A78" i="1"/>
  <c r="H78" i="1"/>
  <c r="A76" i="1"/>
  <c r="H76" i="1"/>
  <c r="G76" i="1"/>
  <c r="H57" i="1"/>
  <c r="A57" i="1"/>
  <c r="K17" i="1"/>
  <c r="F125" i="1"/>
  <c r="C125" i="1"/>
  <c r="A125" i="1"/>
  <c r="G125" i="1"/>
  <c r="I125" i="1"/>
  <c r="J125" i="1"/>
  <c r="H125" i="1"/>
  <c r="E125" i="1"/>
  <c r="D125" i="1"/>
  <c r="G33" i="1"/>
  <c r="A33" i="1"/>
  <c r="H33" i="1"/>
  <c r="G4" i="1"/>
  <c r="A36" i="1"/>
  <c r="G36" i="1"/>
  <c r="H36" i="1"/>
  <c r="A25" i="1"/>
  <c r="H25" i="1"/>
  <c r="G25" i="1"/>
  <c r="F127" i="1"/>
  <c r="G127" i="1"/>
  <c r="A127" i="1"/>
  <c r="D127" i="1"/>
  <c r="C127" i="1"/>
  <c r="J127" i="1"/>
  <c r="I127" i="1"/>
  <c r="E127" i="1"/>
  <c r="H127" i="1"/>
  <c r="L15" i="1"/>
  <c r="G39" i="1"/>
  <c r="A39" i="1"/>
  <c r="H39" i="1"/>
  <c r="L17" i="1"/>
  <c r="A15" i="1"/>
  <c r="H15" i="1"/>
  <c r="G15" i="1"/>
  <c r="A42" i="1"/>
  <c r="G42" i="1"/>
  <c r="H42" i="1"/>
  <c r="H10" i="1"/>
  <c r="G10" i="1"/>
  <c r="A10" i="1"/>
  <c r="I153" i="1"/>
  <c r="F153" i="1"/>
  <c r="G153" i="1"/>
  <c r="J153" i="1"/>
  <c r="H153" i="1"/>
  <c r="A153" i="1"/>
  <c r="C153" i="1"/>
  <c r="E153" i="1"/>
  <c r="D153" i="1"/>
  <c r="A40" i="1"/>
  <c r="G40" i="1"/>
  <c r="H40" i="1"/>
  <c r="K12" i="1"/>
  <c r="K10" i="1"/>
  <c r="H74" i="1"/>
  <c r="G74" i="1"/>
  <c r="A74" i="1"/>
  <c r="L21" i="1"/>
  <c r="J112" i="1"/>
  <c r="G112" i="1"/>
  <c r="F112" i="1"/>
  <c r="E112" i="1"/>
  <c r="D112" i="1"/>
  <c r="C112" i="1"/>
  <c r="A112" i="1"/>
  <c r="I112" i="1"/>
  <c r="H112" i="1"/>
  <c r="J138" i="1"/>
  <c r="D138" i="1"/>
  <c r="E138" i="1"/>
  <c r="C138" i="1"/>
  <c r="A138" i="1"/>
  <c r="I138" i="1"/>
  <c r="H138" i="1"/>
  <c r="G138" i="1"/>
  <c r="F138" i="1"/>
  <c r="E152" i="1"/>
  <c r="C152" i="1"/>
  <c r="A152" i="1"/>
  <c r="D152" i="1"/>
  <c r="I152" i="1"/>
  <c r="H152" i="1"/>
  <c r="J152" i="1"/>
  <c r="G152" i="1"/>
  <c r="F152" i="1"/>
  <c r="G79" i="1"/>
  <c r="A79" i="1"/>
  <c r="H79" i="1"/>
  <c r="F136" i="1"/>
  <c r="C136" i="1"/>
  <c r="A136" i="1"/>
  <c r="J136" i="1"/>
  <c r="G136" i="1"/>
  <c r="I136" i="1"/>
  <c r="H136" i="1"/>
  <c r="E136" i="1"/>
  <c r="D136" i="1"/>
  <c r="I129" i="1"/>
  <c r="A129" i="1"/>
  <c r="G129" i="1"/>
  <c r="F129" i="1"/>
  <c r="E129" i="1"/>
  <c r="D129" i="1"/>
  <c r="C129" i="1"/>
  <c r="H129" i="1"/>
  <c r="J129" i="1"/>
  <c r="A102" i="1"/>
  <c r="D102" i="1"/>
  <c r="F102" i="1"/>
  <c r="C102" i="1"/>
  <c r="E102" i="1"/>
  <c r="J102" i="1"/>
  <c r="G102" i="1"/>
  <c r="I102" i="1"/>
  <c r="H102" i="1"/>
  <c r="A60" i="1"/>
  <c r="H60" i="1"/>
  <c r="G60" i="1"/>
  <c r="K18" i="1"/>
  <c r="H118" i="1"/>
  <c r="E118" i="1"/>
  <c r="D118" i="1"/>
  <c r="F118" i="1"/>
  <c r="J118" i="1"/>
  <c r="G118" i="1"/>
  <c r="C118" i="1"/>
  <c r="A118" i="1"/>
  <c r="I118" i="1"/>
  <c r="F93" i="1"/>
  <c r="A93" i="1"/>
  <c r="J93" i="1"/>
  <c r="I93" i="1"/>
  <c r="H93" i="1"/>
  <c r="C93" i="1"/>
  <c r="G93" i="1"/>
  <c r="E93" i="1"/>
  <c r="D93" i="1"/>
  <c r="A29" i="1"/>
  <c r="H29" i="1"/>
  <c r="G29" i="1"/>
  <c r="H120" i="1"/>
  <c r="F120" i="1"/>
  <c r="E120" i="1"/>
  <c r="D120" i="1"/>
  <c r="C120" i="1"/>
  <c r="G120" i="1"/>
  <c r="I120" i="1"/>
  <c r="A120" i="1"/>
  <c r="J120" i="1"/>
  <c r="A24" i="1"/>
  <c r="H24" i="1"/>
  <c r="G24" i="1"/>
  <c r="G101" i="1"/>
  <c r="A101" i="1"/>
  <c r="E101" i="1"/>
  <c r="D101" i="1"/>
  <c r="C101" i="1"/>
  <c r="H101" i="1"/>
  <c r="J101" i="1"/>
  <c r="I101" i="1"/>
  <c r="F101" i="1"/>
  <c r="G19" i="1"/>
  <c r="A19" i="1"/>
  <c r="H19" i="1"/>
  <c r="A149" i="1"/>
  <c r="E149" i="1"/>
  <c r="D149" i="1"/>
  <c r="G149" i="1"/>
  <c r="J149" i="1"/>
  <c r="I149" i="1"/>
  <c r="H149" i="1"/>
  <c r="C149" i="1"/>
  <c r="F149" i="1"/>
  <c r="A54" i="1"/>
  <c r="H54" i="1"/>
  <c r="G54" i="1"/>
  <c r="K15" i="1"/>
  <c r="H49" i="1"/>
  <c r="G49" i="1"/>
  <c r="A49" i="1"/>
  <c r="H83" i="1"/>
  <c r="G83" i="1"/>
  <c r="H41" i="1"/>
  <c r="G41" i="1"/>
  <c r="A41" i="1"/>
  <c r="A26" i="1"/>
  <c r="H26" i="1"/>
  <c r="G26" i="1"/>
  <c r="G72" i="1"/>
  <c r="H72" i="1"/>
  <c r="H122" i="1"/>
  <c r="E122" i="1"/>
  <c r="D122" i="1"/>
  <c r="C122" i="1"/>
  <c r="A122" i="1"/>
  <c r="J122" i="1"/>
  <c r="F122" i="1"/>
  <c r="G122" i="1"/>
  <c r="I122" i="1"/>
  <c r="A38" i="1"/>
  <c r="H38" i="1"/>
  <c r="G38" i="1"/>
  <c r="C95" i="1"/>
  <c r="E95" i="1"/>
  <c r="J95" i="1"/>
  <c r="I95" i="1"/>
  <c r="H95" i="1"/>
  <c r="G95" i="1"/>
  <c r="F95" i="1"/>
  <c r="A95" i="1"/>
  <c r="D95" i="1"/>
  <c r="H155" i="1"/>
  <c r="A155" i="1"/>
  <c r="F155" i="1"/>
  <c r="E155" i="1"/>
  <c r="D155" i="1"/>
  <c r="C155" i="1"/>
  <c r="J155" i="1"/>
  <c r="I155" i="1"/>
  <c r="G155" i="1"/>
  <c r="C98" i="1"/>
  <c r="I98" i="1"/>
  <c r="H98" i="1"/>
  <c r="J98" i="1"/>
  <c r="G98" i="1"/>
  <c r="F98" i="1"/>
  <c r="E98" i="1"/>
  <c r="D98" i="1"/>
  <c r="A98" i="1"/>
  <c r="H86" i="1"/>
  <c r="G86" i="1"/>
  <c r="A86" i="1"/>
  <c r="A91" i="1"/>
  <c r="H91" i="1"/>
  <c r="G91" i="1"/>
  <c r="H16" i="1"/>
  <c r="G16" i="1"/>
  <c r="A16" i="1"/>
  <c r="A11" i="1"/>
  <c r="G11" i="1"/>
  <c r="H11" i="1"/>
  <c r="H35" i="1"/>
  <c r="G35" i="1"/>
  <c r="A35" i="1"/>
  <c r="I135" i="1"/>
  <c r="F135" i="1"/>
  <c r="A135" i="1"/>
  <c r="C135" i="1"/>
  <c r="D135" i="1"/>
  <c r="E135" i="1"/>
  <c r="J135" i="1"/>
  <c r="H135" i="1"/>
  <c r="G135" i="1"/>
  <c r="H150" i="1"/>
  <c r="G150" i="1"/>
  <c r="F150" i="1"/>
  <c r="E150" i="1"/>
  <c r="D150" i="1"/>
  <c r="C150" i="1"/>
  <c r="J150" i="1"/>
  <c r="A150" i="1"/>
  <c r="I150" i="1"/>
  <c r="H99" i="1"/>
  <c r="C99" i="1"/>
  <c r="D99" i="1"/>
  <c r="J99" i="1"/>
  <c r="I99" i="1"/>
  <c r="G99" i="1"/>
  <c r="E99" i="1"/>
  <c r="F99" i="1"/>
  <c r="A99" i="1"/>
  <c r="A146" i="1"/>
  <c r="G146" i="1"/>
  <c r="C146" i="1"/>
  <c r="D146" i="1"/>
  <c r="J146" i="1"/>
  <c r="F146" i="1"/>
  <c r="E146" i="1"/>
  <c r="I146" i="1"/>
  <c r="H146" i="1"/>
  <c r="G126" i="1"/>
  <c r="C126" i="1"/>
  <c r="A126" i="1"/>
  <c r="I126" i="1"/>
  <c r="H126" i="1"/>
  <c r="F126" i="1"/>
  <c r="J126" i="1"/>
  <c r="E126" i="1"/>
  <c r="D126" i="1"/>
  <c r="K11" i="1"/>
  <c r="I140" i="1"/>
  <c r="H140" i="1"/>
  <c r="J140" i="1"/>
  <c r="G140" i="1"/>
  <c r="A140" i="1"/>
  <c r="F140" i="1"/>
  <c r="E140" i="1"/>
  <c r="D140" i="1"/>
  <c r="C140" i="1"/>
  <c r="A90" i="1"/>
  <c r="H90" i="1"/>
  <c r="G90" i="1"/>
  <c r="E147" i="1"/>
  <c r="F147" i="1"/>
  <c r="C147" i="1"/>
  <c r="A147" i="1"/>
  <c r="I147" i="1"/>
  <c r="J147" i="1"/>
  <c r="D147" i="1"/>
  <c r="G147" i="1"/>
  <c r="H147" i="1"/>
  <c r="I100" i="1"/>
  <c r="H100" i="1"/>
  <c r="J100" i="1"/>
  <c r="G100" i="1"/>
  <c r="C100" i="1"/>
  <c r="F100" i="1"/>
  <c r="D100" i="1"/>
  <c r="E100" i="1"/>
  <c r="A100" i="1"/>
  <c r="K14" i="1"/>
  <c r="K21" i="1"/>
  <c r="H88" i="1"/>
  <c r="A88" i="1"/>
  <c r="G88" i="1"/>
  <c r="D108" i="1"/>
  <c r="J108" i="1"/>
  <c r="G108" i="1"/>
  <c r="F108" i="1"/>
  <c r="E108" i="1"/>
  <c r="I108" i="1"/>
  <c r="H108" i="1"/>
  <c r="C108" i="1"/>
  <c r="A108" i="1"/>
  <c r="E144" i="1"/>
  <c r="I144" i="1"/>
  <c r="H144" i="1"/>
  <c r="D144" i="1"/>
  <c r="J144" i="1"/>
  <c r="G144" i="1"/>
  <c r="F144" i="1"/>
  <c r="A144" i="1"/>
  <c r="C144" i="1"/>
  <c r="A17" i="1"/>
  <c r="H17" i="1"/>
  <c r="G17" i="1"/>
  <c r="H31" i="1"/>
  <c r="G31" i="1"/>
  <c r="A31" i="1"/>
  <c r="A137" i="1"/>
  <c r="E137" i="1"/>
  <c r="J137" i="1"/>
  <c r="I137" i="1"/>
  <c r="H137" i="1"/>
  <c r="G137" i="1"/>
  <c r="F137" i="1"/>
  <c r="D137" i="1"/>
  <c r="C137" i="1"/>
  <c r="I131" i="1"/>
  <c r="H131" i="1"/>
  <c r="G131" i="1"/>
  <c r="F131" i="1"/>
  <c r="E131" i="1"/>
  <c r="C131" i="1"/>
  <c r="D131" i="1"/>
  <c r="A131" i="1"/>
  <c r="J131" i="1"/>
  <c r="K16" i="1"/>
  <c r="A89" i="1"/>
  <c r="G89" i="1"/>
  <c r="H89" i="1"/>
  <c r="F123" i="1"/>
  <c r="H123" i="1"/>
  <c r="C123" i="1"/>
  <c r="A123" i="1"/>
  <c r="D123" i="1"/>
  <c r="J123" i="1"/>
  <c r="G123" i="1"/>
  <c r="E123" i="1"/>
  <c r="I123" i="1"/>
  <c r="H80" i="1"/>
  <c r="G80" i="1"/>
  <c r="A80" i="1"/>
  <c r="A23" i="1"/>
  <c r="G23" i="1"/>
  <c r="H23" i="1"/>
  <c r="H55" i="1"/>
  <c r="G55" i="1"/>
  <c r="A55" i="1"/>
  <c r="L19" i="1"/>
  <c r="G70" i="1"/>
  <c r="H70" i="1"/>
  <c r="A22" i="1"/>
  <c r="H22" i="1"/>
  <c r="G22" i="1"/>
  <c r="H97" i="1"/>
  <c r="D97" i="1"/>
  <c r="C97" i="1"/>
  <c r="A97" i="1"/>
  <c r="E97" i="1"/>
  <c r="J97" i="1"/>
  <c r="I97" i="1"/>
  <c r="F97" i="1"/>
  <c r="G97" i="1"/>
  <c r="H71" i="1"/>
  <c r="G71" i="1"/>
  <c r="D103" i="1"/>
  <c r="I103" i="1"/>
  <c r="A103" i="1"/>
  <c r="H103" i="1"/>
  <c r="G103" i="1"/>
  <c r="F103" i="1"/>
  <c r="E103" i="1"/>
  <c r="C103" i="1"/>
  <c r="J103" i="1"/>
  <c r="A50" i="1"/>
  <c r="H50" i="1"/>
  <c r="G50" i="1"/>
  <c r="L14" i="1"/>
  <c r="K13" i="1"/>
  <c r="H121" i="1"/>
  <c r="I121" i="1"/>
  <c r="G121" i="1"/>
  <c r="F121" i="1"/>
  <c r="E121" i="1"/>
  <c r="D121" i="1"/>
  <c r="C121" i="1"/>
  <c r="A121" i="1"/>
  <c r="J121" i="1"/>
  <c r="D142" i="1"/>
  <c r="F142" i="1"/>
  <c r="I142" i="1"/>
  <c r="H142" i="1"/>
  <c r="A142" i="1"/>
  <c r="C142" i="1"/>
  <c r="E142" i="1"/>
  <c r="J142" i="1"/>
  <c r="G142" i="1"/>
  <c r="A63" i="1"/>
  <c r="G63" i="1"/>
  <c r="H63" i="1"/>
  <c r="K20" i="1"/>
  <c r="J113" i="1"/>
  <c r="A113" i="1"/>
  <c r="C113" i="1"/>
  <c r="I113" i="1"/>
  <c r="F113" i="1"/>
  <c r="E113" i="1"/>
  <c r="D113" i="1"/>
  <c r="G113" i="1"/>
  <c r="H113" i="1"/>
  <c r="L16" i="1"/>
  <c r="C134" i="1"/>
  <c r="A134" i="1"/>
  <c r="E134" i="1"/>
  <c r="D134" i="1"/>
  <c r="J134" i="1"/>
  <c r="G134" i="1"/>
  <c r="F134" i="1"/>
  <c r="I134" i="1"/>
  <c r="H134" i="1"/>
  <c r="A73" i="1"/>
  <c r="G73" i="1"/>
  <c r="H73" i="1"/>
  <c r="A62" i="1"/>
  <c r="H62" i="1"/>
  <c r="G62" i="1"/>
  <c r="H77" i="1"/>
  <c r="G77" i="1"/>
  <c r="A77" i="1"/>
  <c r="C132" i="1"/>
  <c r="I132" i="1"/>
  <c r="H132" i="1"/>
  <c r="F132" i="1"/>
  <c r="J132" i="1"/>
  <c r="A132" i="1"/>
  <c r="G132" i="1"/>
  <c r="E132" i="1"/>
  <c r="D132" i="1"/>
  <c r="A56" i="1"/>
  <c r="H56" i="1"/>
  <c r="G56" i="1"/>
  <c r="A32" i="1"/>
  <c r="H32" i="1"/>
  <c r="G32" i="1"/>
  <c r="A48" i="1"/>
  <c r="H48" i="1"/>
  <c r="G48" i="1"/>
  <c r="L10" i="1"/>
  <c r="C117" i="1"/>
  <c r="A117" i="1"/>
  <c r="I117" i="1"/>
  <c r="H117" i="1"/>
  <c r="G117" i="1"/>
  <c r="F117" i="1"/>
  <c r="E117" i="1"/>
  <c r="D117" i="1"/>
  <c r="J117" i="1"/>
  <c r="A46" i="1"/>
  <c r="G46" i="1"/>
  <c r="H46" i="1"/>
  <c r="G53" i="1"/>
  <c r="A53" i="1"/>
  <c r="H53" i="1"/>
  <c r="G81" i="1"/>
  <c r="H81" i="1"/>
  <c r="J159" i="1"/>
  <c r="I159" i="1"/>
  <c r="H159" i="1"/>
  <c r="G159" i="1"/>
  <c r="F159" i="1"/>
  <c r="E159" i="1"/>
  <c r="D159" i="1"/>
  <c r="C159" i="1"/>
  <c r="A159" i="1"/>
  <c r="E148" i="1"/>
  <c r="I148" i="1"/>
  <c r="H148" i="1"/>
  <c r="D148" i="1"/>
  <c r="C148" i="1"/>
  <c r="A148" i="1"/>
  <c r="J148" i="1"/>
  <c r="G148" i="1"/>
  <c r="F148" i="1"/>
  <c r="H65" i="1"/>
  <c r="A65" i="1"/>
  <c r="G65" i="1"/>
  <c r="H13" i="1"/>
  <c r="G13" i="1"/>
  <c r="A13" i="1"/>
  <c r="G84" i="1"/>
  <c r="H84" i="1"/>
  <c r="H27" i="1"/>
  <c r="G27" i="1"/>
  <c r="A27" i="1"/>
  <c r="H61" i="1"/>
  <c r="G61" i="1"/>
  <c r="A61" i="1"/>
  <c r="A14" i="1"/>
  <c r="H14" i="1"/>
  <c r="G14" i="1"/>
  <c r="K19" i="1"/>
  <c r="F106" i="1"/>
  <c r="I106" i="1"/>
  <c r="H106" i="1"/>
  <c r="A106" i="1"/>
  <c r="G106" i="1"/>
  <c r="C106" i="1"/>
  <c r="D106" i="1"/>
  <c r="J106" i="1"/>
  <c r="E106" i="1"/>
  <c r="A30" i="1"/>
  <c r="H30" i="1"/>
  <c r="G30" i="1"/>
  <c r="E141" i="1"/>
  <c r="I141" i="1"/>
  <c r="H141" i="1"/>
  <c r="G141" i="1"/>
  <c r="J141" i="1"/>
  <c r="F141" i="1"/>
  <c r="A141" i="1"/>
  <c r="D141" i="1"/>
  <c r="C141" i="1"/>
  <c r="J110" i="1"/>
  <c r="I110" i="1"/>
  <c r="H110" i="1"/>
  <c r="G110" i="1"/>
  <c r="F110" i="1"/>
  <c r="E110" i="1"/>
  <c r="D110" i="1"/>
  <c r="C110" i="1"/>
  <c r="A110" i="1"/>
  <c r="D151" i="1"/>
  <c r="I151" i="1"/>
  <c r="H151" i="1"/>
  <c r="G151" i="1"/>
  <c r="A151" i="1"/>
  <c r="F151" i="1"/>
  <c r="C151" i="1"/>
  <c r="J151" i="1"/>
  <c r="E151" i="1"/>
  <c r="G111" i="1"/>
  <c r="A111" i="1"/>
  <c r="F111" i="1"/>
  <c r="D111" i="1"/>
  <c r="E111" i="1"/>
  <c r="J111" i="1"/>
  <c r="I111" i="1"/>
  <c r="H111" i="1"/>
  <c r="C111" i="1"/>
  <c r="A58" i="1"/>
  <c r="G58" i="1"/>
  <c r="H58" i="1"/>
  <c r="A52" i="1"/>
  <c r="G52" i="1"/>
  <c r="H52" i="1"/>
  <c r="A67" i="1"/>
  <c r="G67" i="1"/>
  <c r="H67" i="1"/>
  <c r="H51" i="1"/>
  <c r="G51" i="1"/>
  <c r="A51" i="1"/>
  <c r="L13" i="1"/>
  <c r="L18" i="1"/>
  <c r="D133" i="1"/>
  <c r="A133" i="1"/>
  <c r="J133" i="1"/>
  <c r="H133" i="1"/>
  <c r="I133" i="1"/>
  <c r="G133" i="1"/>
  <c r="E133" i="1"/>
  <c r="F133" i="1"/>
  <c r="C133" i="1"/>
  <c r="A119" i="1"/>
  <c r="J119" i="1"/>
  <c r="I119" i="1"/>
  <c r="H119" i="1"/>
  <c r="G119" i="1"/>
  <c r="F119" i="1"/>
  <c r="E119" i="1"/>
  <c r="D119" i="1"/>
  <c r="C119" i="1"/>
  <c r="L11" i="1"/>
  <c r="F94" i="1"/>
  <c r="D94" i="1"/>
  <c r="I94" i="1"/>
  <c r="H94" i="1"/>
  <c r="C94" i="1"/>
  <c r="A94" i="1"/>
  <c r="G94" i="1"/>
  <c r="E94" i="1"/>
  <c r="J94" i="1"/>
  <c r="A28" i="1"/>
  <c r="G28" i="1"/>
  <c r="H28" i="1"/>
  <c r="J128" i="1"/>
  <c r="E128" i="1"/>
  <c r="D128" i="1"/>
  <c r="C128" i="1"/>
  <c r="I128" i="1"/>
  <c r="H128" i="1"/>
  <c r="A128" i="1"/>
  <c r="G128" i="1"/>
  <c r="F128" i="1"/>
  <c r="D130" i="1"/>
  <c r="I130" i="1"/>
  <c r="H130" i="1"/>
  <c r="C130" i="1"/>
  <c r="G130" i="1"/>
  <c r="F130" i="1"/>
  <c r="E130" i="1"/>
  <c r="J130" i="1"/>
  <c r="A130" i="1"/>
  <c r="C107" i="1"/>
  <c r="A107" i="1"/>
  <c r="I107" i="1"/>
  <c r="J107" i="1"/>
  <c r="E107" i="1"/>
  <c r="F107" i="1"/>
  <c r="H107" i="1"/>
  <c r="G107" i="1"/>
  <c r="D107" i="1"/>
  <c r="H104" i="1"/>
  <c r="D104" i="1"/>
  <c r="A104" i="1"/>
  <c r="J104" i="1"/>
  <c r="F104" i="1"/>
  <c r="G104" i="1"/>
  <c r="E104" i="1"/>
  <c r="C104" i="1"/>
  <c r="I104" i="1"/>
  <c r="A47" i="1"/>
  <c r="G47" i="1"/>
  <c r="H47" i="1"/>
  <c r="H82" i="1"/>
  <c r="G82" i="1"/>
  <c r="A105" i="1"/>
  <c r="J105" i="1"/>
  <c r="I105" i="1"/>
  <c r="H105" i="1"/>
  <c r="G105" i="1"/>
  <c r="F105" i="1"/>
  <c r="D105" i="1"/>
  <c r="C105" i="1"/>
  <c r="E105" i="1"/>
  <c r="F109" i="1"/>
  <c r="J109" i="1"/>
  <c r="A109" i="1"/>
  <c r="C109" i="1"/>
  <c r="G109" i="1"/>
  <c r="D109" i="1"/>
  <c r="I109" i="1"/>
  <c r="E109" i="1"/>
  <c r="H109" i="1"/>
  <c r="C158" i="1"/>
  <c r="I158" i="1"/>
  <c r="H158" i="1"/>
  <c r="E158" i="1"/>
  <c r="J158" i="1"/>
  <c r="D158" i="1"/>
  <c r="G158" i="1"/>
  <c r="F158" i="1"/>
  <c r="A158" i="1"/>
  <c r="H37" i="1"/>
  <c r="A37" i="1"/>
  <c r="G37" i="1"/>
  <c r="G156" i="1"/>
  <c r="I156" i="1"/>
  <c r="H156" i="1"/>
  <c r="F156" i="1"/>
  <c r="E156" i="1"/>
  <c r="D156" i="1"/>
  <c r="C156" i="1"/>
  <c r="A156" i="1"/>
  <c r="J156" i="1"/>
  <c r="A44" i="1"/>
  <c r="H44" i="1"/>
  <c r="G44" i="1"/>
  <c r="A64" i="1"/>
  <c r="H64" i="1"/>
  <c r="G64" i="1"/>
  <c r="J139" i="1"/>
  <c r="F139" i="1"/>
  <c r="E139" i="1"/>
  <c r="A139" i="1"/>
  <c r="H139" i="1"/>
  <c r="D139" i="1"/>
  <c r="C139" i="1"/>
  <c r="I139" i="1"/>
  <c r="G139" i="1"/>
  <c r="G92" i="1"/>
  <c r="C92" i="1"/>
  <c r="I92" i="1"/>
  <c r="H92" i="1"/>
  <c r="F92" i="1"/>
  <c r="A92" i="1"/>
  <c r="J92" i="1"/>
  <c r="E92" i="1"/>
  <c r="D92" i="1"/>
  <c r="H43" i="1"/>
  <c r="G43" i="1"/>
  <c r="A43" i="1"/>
  <c r="A21" i="1"/>
  <c r="H21" i="1"/>
  <c r="G21" i="1"/>
  <c r="C154" i="1"/>
  <c r="I154" i="1"/>
  <c r="H154" i="1"/>
  <c r="J154" i="1"/>
  <c r="G154" i="1"/>
  <c r="F154" i="1"/>
  <c r="D154" i="1"/>
  <c r="E154" i="1"/>
  <c r="A154" i="1"/>
  <c r="G68" i="1"/>
  <c r="H68" i="1"/>
  <c r="A85" i="1"/>
  <c r="G85" i="1"/>
  <c r="H85" i="1"/>
  <c r="A34" i="1"/>
  <c r="H34" i="1"/>
  <c r="G34" i="1"/>
  <c r="J124" i="1"/>
  <c r="G124" i="1"/>
  <c r="F124" i="1"/>
  <c r="E124" i="1"/>
  <c r="D124" i="1"/>
  <c r="C124" i="1"/>
  <c r="A124" i="1"/>
  <c r="I124" i="1"/>
  <c r="H124" i="1"/>
  <c r="L12" i="1"/>
  <c r="G116" i="1"/>
  <c r="F116" i="1"/>
  <c r="J116" i="1"/>
  <c r="E116" i="1"/>
  <c r="C116" i="1"/>
  <c r="I116" i="1"/>
  <c r="H116" i="1"/>
  <c r="D116" i="1"/>
  <c r="A116" i="1"/>
  <c r="A66" i="1"/>
  <c r="H66" i="1"/>
  <c r="G66" i="1"/>
  <c r="A12" i="1"/>
  <c r="H12" i="1"/>
  <c r="G12" i="1"/>
  <c r="H69" i="1"/>
  <c r="G69" i="1"/>
  <c r="L20" i="1"/>
  <c r="A59" i="1"/>
  <c r="G59" i="1"/>
  <c r="H59" i="1"/>
  <c r="H75" i="1"/>
  <c r="G75" i="1"/>
  <c r="A145" i="1"/>
  <c r="H145" i="1"/>
  <c r="G145" i="1"/>
  <c r="F145" i="1"/>
  <c r="E145" i="1"/>
  <c r="D145" i="1"/>
  <c r="C145" i="1"/>
  <c r="J145" i="1"/>
  <c r="I145" i="1"/>
  <c r="A20" i="1"/>
  <c r="H20" i="1"/>
  <c r="G20" i="1"/>
  <c r="E115" i="1"/>
  <c r="D115" i="1"/>
  <c r="C115" i="1"/>
  <c r="J115" i="1"/>
  <c r="H115" i="1"/>
  <c r="I115" i="1"/>
  <c r="G115" i="1"/>
  <c r="A115" i="1"/>
  <c r="F115" i="1"/>
  <c r="K26" i="14"/>
  <c r="K31" i="14"/>
  <c r="M31" i="14" s="1"/>
  <c r="AF313" i="16"/>
  <c r="K17" i="14"/>
  <c r="M17" i="14" s="1"/>
  <c r="K80" i="14"/>
  <c r="M80" i="14" s="1"/>
  <c r="K33" i="14"/>
  <c r="M33" i="14" s="1"/>
  <c r="F156" i="10"/>
  <c r="K25" i="14"/>
  <c r="M25" i="14" s="1"/>
  <c r="K60" i="14"/>
  <c r="K4" i="14"/>
  <c r="M4" i="14" s="1"/>
  <c r="B4" i="14" s="1"/>
  <c r="A4" i="14" s="1"/>
  <c r="K78" i="14"/>
  <c r="M78" i="14" s="1"/>
  <c r="K7" i="14"/>
  <c r="AF5" i="15"/>
  <c r="K53" i="14"/>
  <c r="K32" i="14"/>
  <c r="K23" i="14"/>
  <c r="M23" i="14" s="1"/>
  <c r="K59" i="14"/>
  <c r="K37" i="14"/>
  <c r="K16" i="14"/>
  <c r="K41" i="14"/>
  <c r="M41" i="14" s="1"/>
  <c r="AF6" i="16"/>
  <c r="AF7" i="16" s="1"/>
  <c r="AF160" i="16"/>
  <c r="K77" i="14"/>
  <c r="M77" i="14" s="1"/>
  <c r="K39" i="14"/>
  <c r="M39" i="14" s="1"/>
  <c r="K76" i="14"/>
  <c r="M76" i="14" s="1"/>
  <c r="K75" i="14"/>
  <c r="M75" i="14" s="1"/>
  <c r="K67" i="14"/>
  <c r="M67" i="14" s="1"/>
  <c r="K62" i="14"/>
  <c r="M62" i="14" s="1"/>
  <c r="K65" i="14"/>
  <c r="M65" i="14" s="1"/>
  <c r="K72" i="14"/>
  <c r="M72" i="14" s="1"/>
  <c r="R64" i="16" a="1"/>
  <c r="R64" i="16" s="1"/>
  <c r="Y357" i="16" a="1"/>
  <c r="Y357" i="16" s="1"/>
  <c r="AB374" i="16" a="1"/>
  <c r="AB374" i="16" s="1"/>
  <c r="Y359" i="16" a="1"/>
  <c r="Y359" i="16" s="1"/>
  <c r="R323" i="16" a="1"/>
  <c r="R323" i="16" s="1"/>
  <c r="R332" i="16" a="1"/>
  <c r="R332" i="16" s="1"/>
  <c r="AB320" i="16" a="1"/>
  <c r="AB320" i="16" s="1"/>
  <c r="R217" i="16" a="1"/>
  <c r="R217" i="16" s="1"/>
  <c r="R159" i="16" a="1"/>
  <c r="R159" i="16" s="1"/>
  <c r="Y57" i="16" a="1"/>
  <c r="Y57" i="16" s="1"/>
  <c r="R32" i="16" a="1"/>
  <c r="R32" i="16" s="1"/>
  <c r="Y63" i="15" a="1"/>
  <c r="Y63" i="15" s="1"/>
  <c r="V59" i="15" a="1"/>
  <c r="V59" i="15" s="1"/>
  <c r="X65" i="16" a="1"/>
  <c r="X65" i="16" s="1"/>
  <c r="Y205" i="16" a="1"/>
  <c r="Y205" i="16" s="1"/>
  <c r="R48" i="16" a="1"/>
  <c r="R48" i="16" s="1"/>
  <c r="Y374" i="16" a="1"/>
  <c r="Y374" i="16" s="1"/>
  <c r="AB377" i="16" a="1"/>
  <c r="AB377" i="16" s="1"/>
  <c r="R337" i="16" a="1"/>
  <c r="R337" i="16" s="1"/>
  <c r="R378" i="16" a="1"/>
  <c r="R378" i="16" s="1"/>
  <c r="AB323" i="16" a="1"/>
  <c r="AB323" i="16" s="1"/>
  <c r="AB348" i="16" a="1"/>
  <c r="AB348" i="16" s="1"/>
  <c r="Y336" i="16" a="1"/>
  <c r="Y336" i="16" s="1"/>
  <c r="Y347" i="16" a="1"/>
  <c r="Y347" i="16" s="1"/>
  <c r="AB338" i="16" a="1"/>
  <c r="AB338" i="16" s="1"/>
  <c r="AB333" i="16" a="1"/>
  <c r="AB333" i="16" s="1"/>
  <c r="R320" i="16" a="1"/>
  <c r="R320" i="16" s="1"/>
  <c r="AB324" i="16" a="1"/>
  <c r="AB324" i="16" s="1"/>
  <c r="AB217" i="16" a="1"/>
  <c r="AB217" i="16" s="1"/>
  <c r="Y310" i="16" a="1"/>
  <c r="Y310" i="16" s="1"/>
  <c r="AB227" i="16" a="1"/>
  <c r="AB227" i="16" s="1"/>
  <c r="R199" i="16" a="1"/>
  <c r="R199" i="16" s="1"/>
  <c r="R210" i="16" a="1"/>
  <c r="R210" i="16" s="1"/>
  <c r="Y172" i="16" a="1"/>
  <c r="Y172" i="16" s="1"/>
  <c r="R74" i="16" a="1"/>
  <c r="R74" i="16" s="1"/>
  <c r="R177" i="16" a="1"/>
  <c r="R177" i="16" s="1"/>
  <c r="AB70" i="16" a="1"/>
  <c r="AB70" i="16" s="1"/>
  <c r="R42" i="16" a="1"/>
  <c r="R42" i="16" s="1"/>
  <c r="Y48" i="16" a="1"/>
  <c r="Y48" i="16" s="1"/>
  <c r="R51" i="16" a="1"/>
  <c r="R51" i="16" s="1"/>
  <c r="R69" i="15" a="1"/>
  <c r="R69" i="15" s="1"/>
  <c r="V60" i="15" a="1"/>
  <c r="V60" i="15" s="1"/>
  <c r="X191" i="16" a="1"/>
  <c r="X191" i="16" s="1"/>
  <c r="Y220" i="16" a="1"/>
  <c r="Y220" i="16" s="1"/>
  <c r="AB339" i="16" a="1"/>
  <c r="AB339" i="16" s="1"/>
  <c r="Y178" i="16" a="1"/>
  <c r="Y178" i="16" s="1"/>
  <c r="R362" i="16" a="1"/>
  <c r="R362" i="16" s="1"/>
  <c r="AB352" i="16" a="1"/>
  <c r="AB352" i="16" s="1"/>
  <c r="AB328" i="16" a="1"/>
  <c r="AB328" i="16" s="1"/>
  <c r="AB336" i="16" a="1"/>
  <c r="AB336" i="16" s="1"/>
  <c r="Y311" i="16" a="1"/>
  <c r="Y311" i="16" s="1"/>
  <c r="R322" i="16" a="1"/>
  <c r="R322" i="16" s="1"/>
  <c r="AB310" i="16" a="1"/>
  <c r="AB310" i="16" s="1"/>
  <c r="R192" i="16" a="1"/>
  <c r="R192" i="16" s="1"/>
  <c r="Y207" i="16" a="1"/>
  <c r="Y207" i="16" s="1"/>
  <c r="Y179" i="16" a="1"/>
  <c r="Y179" i="16" s="1"/>
  <c r="Y164" i="16" a="1"/>
  <c r="Y164" i="16" s="1"/>
  <c r="R180" i="16" a="1"/>
  <c r="R180" i="16" s="1"/>
  <c r="AB74" i="16" a="1"/>
  <c r="AB74" i="16" s="1"/>
  <c r="AB49" i="16" a="1"/>
  <c r="AB49" i="16" s="1"/>
  <c r="AB51" i="16" a="1"/>
  <c r="AB51" i="16" s="1"/>
  <c r="Y27" i="16" a="1"/>
  <c r="Y27" i="16" s="1"/>
  <c r="AB41" i="16" a="1"/>
  <c r="AB41" i="16" s="1"/>
  <c r="Y43" i="15" a="1"/>
  <c r="Y43" i="15" s="1"/>
  <c r="V33" i="16" a="1"/>
  <c r="V33" i="16" s="1"/>
  <c r="Y226" i="16" a="1"/>
  <c r="Y226" i="16" s="1"/>
  <c r="Y369" i="16" a="1"/>
  <c r="Y369" i="16" s="1"/>
  <c r="R343" i="16" a="1"/>
  <c r="R343" i="16" s="1"/>
  <c r="AB349" i="16" a="1"/>
  <c r="AB349" i="16" s="1"/>
  <c r="AB365" i="16" a="1"/>
  <c r="AB365" i="16" s="1"/>
  <c r="R336" i="16" a="1"/>
  <c r="R336" i="16" s="1"/>
  <c r="AB341" i="16" a="1"/>
  <c r="AB341" i="16" s="1"/>
  <c r="Y333" i="16" a="1"/>
  <c r="Y333" i="16" s="1"/>
  <c r="AB316" i="16" a="1"/>
  <c r="AB316" i="16" s="1"/>
  <c r="Y193" i="16" a="1"/>
  <c r="Y193" i="16" s="1"/>
  <c r="AB180" i="16" a="1"/>
  <c r="AB180" i="16" s="1"/>
  <c r="R181" i="16" a="1"/>
  <c r="R181" i="16" s="1"/>
  <c r="Y56" i="16" a="1"/>
  <c r="Y56" i="16" s="1"/>
  <c r="R58" i="16" a="1"/>
  <c r="R58" i="16" s="1"/>
  <c r="M157" i="8"/>
  <c r="M5" i="8"/>
  <c r="X22" i="16" a="1"/>
  <c r="X22" i="16" s="1"/>
  <c r="X45" i="16" a="1"/>
  <c r="X45" i="16" s="1"/>
  <c r="X218" i="16" a="1"/>
  <c r="X218" i="16" s="1"/>
  <c r="X24" i="16" a="1"/>
  <c r="X24" i="16" s="1"/>
  <c r="X64" i="16" a="1"/>
  <c r="X64" i="16" s="1"/>
  <c r="X26" i="16" a="1"/>
  <c r="X26" i="16" s="1"/>
  <c r="X204" i="16" a="1"/>
  <c r="X204" i="16" s="1"/>
  <c r="X170" i="16" a="1"/>
  <c r="X170" i="16" s="1"/>
  <c r="X72" i="16" a="1"/>
  <c r="X72" i="16" s="1"/>
  <c r="X163" i="16" a="1"/>
  <c r="X163" i="16" s="1"/>
  <c r="X44" i="16" a="1"/>
  <c r="X44" i="16" s="1"/>
  <c r="X25" i="15" a="1"/>
  <c r="X25" i="15" s="1"/>
  <c r="X18" i="16" a="1"/>
  <c r="X18" i="16" s="1"/>
  <c r="X63" i="16" a="1"/>
  <c r="X63" i="16" s="1"/>
  <c r="X62" i="15" a="1"/>
  <c r="X62" i="15" s="1"/>
  <c r="X16" i="16" a="1"/>
  <c r="X16" i="16" s="1"/>
  <c r="X220" i="16" a="1"/>
  <c r="X220" i="16" s="1"/>
  <c r="Y367" i="16" a="1"/>
  <c r="Y367" i="16" s="1"/>
  <c r="F156" i="4"/>
  <c r="AB189" i="16" a="1"/>
  <c r="AB189" i="16" s="1"/>
  <c r="AB201" i="16" a="1"/>
  <c r="AB201" i="16" s="1"/>
  <c r="Y195" i="16" a="1"/>
  <c r="Y195" i="16" s="1"/>
  <c r="R171" i="16" a="1"/>
  <c r="R171" i="16" s="1"/>
  <c r="Y159" i="16" a="1"/>
  <c r="Y159" i="16" s="1"/>
  <c r="Y47" i="16" a="1"/>
  <c r="Y47" i="16" s="1"/>
  <c r="Y67" i="16" a="1"/>
  <c r="Y67" i="16" s="1"/>
  <c r="R47" i="16" a="1"/>
  <c r="R47" i="16" s="1"/>
  <c r="R57" i="15" a="1"/>
  <c r="R57" i="15" s="1"/>
  <c r="Y28" i="15" a="1"/>
  <c r="Y28" i="15" s="1"/>
  <c r="O157" i="6"/>
  <c r="O5" i="6"/>
  <c r="V315" i="16" a="1"/>
  <c r="V315" i="16" s="1"/>
  <c r="AI157" i="5"/>
  <c r="AI5" i="5"/>
  <c r="J5" i="2"/>
  <c r="J157" i="2"/>
  <c r="R68" i="15" a="1"/>
  <c r="R68" i="15" s="1"/>
  <c r="R30" i="15" a="1"/>
  <c r="R30" i="15" s="1"/>
  <c r="R47" i="15" a="1"/>
  <c r="R47" i="15" s="1"/>
  <c r="R71" i="15" a="1"/>
  <c r="R71" i="15" s="1"/>
  <c r="R5" i="15" a="1"/>
  <c r="R5" i="15" s="1"/>
  <c r="R22" i="16" a="1"/>
  <c r="R22" i="16" s="1"/>
  <c r="R24" i="16" a="1"/>
  <c r="R24" i="16" s="1"/>
  <c r="R10" i="15" a="1"/>
  <c r="R10" i="15" s="1"/>
  <c r="R53" i="15" a="1"/>
  <c r="R53" i="15" s="1"/>
  <c r="R12" i="15" a="1"/>
  <c r="R12" i="15" s="1"/>
  <c r="R4" i="16" a="1"/>
  <c r="R4" i="16" s="1"/>
  <c r="R56" i="15" a="1"/>
  <c r="R56" i="15" s="1"/>
  <c r="R23" i="15" a="1"/>
  <c r="R23" i="15" s="1"/>
  <c r="R74" i="15" a="1"/>
  <c r="R74" i="15" s="1"/>
  <c r="R70" i="15" a="1"/>
  <c r="R70" i="15" s="1"/>
  <c r="R62" i="15" a="1"/>
  <c r="R62" i="15" s="1"/>
  <c r="R49" i="15" a="1"/>
  <c r="R49" i="15" s="1"/>
  <c r="R43" i="16" a="1"/>
  <c r="R43" i="16" s="1"/>
  <c r="R55" i="15" a="1"/>
  <c r="R55" i="15" s="1"/>
  <c r="R33" i="15" a="1"/>
  <c r="R33" i="15" s="1"/>
  <c r="R24" i="15" a="1"/>
  <c r="R24" i="15" s="1"/>
  <c r="R50" i="15" a="1"/>
  <c r="R50" i="15" s="1"/>
  <c r="R18" i="15" a="1"/>
  <c r="R18" i="15" s="1"/>
  <c r="R73" i="15" a="1"/>
  <c r="R73" i="15" s="1"/>
  <c r="R34" i="15" a="1"/>
  <c r="R34" i="15" s="1"/>
  <c r="R38" i="15" a="1"/>
  <c r="R38" i="15" s="1"/>
  <c r="R65" i="15" a="1"/>
  <c r="R65" i="15" s="1"/>
  <c r="R16" i="15" a="1"/>
  <c r="R16" i="15" s="1"/>
  <c r="R8" i="16" a="1"/>
  <c r="R8" i="16" s="1"/>
  <c r="R27" i="15" a="1"/>
  <c r="R27" i="15" s="1"/>
  <c r="R37" i="15" a="1"/>
  <c r="R37" i="15" s="1"/>
  <c r="R61" i="16" a="1"/>
  <c r="R61" i="16" s="1"/>
  <c r="R183" i="16" a="1"/>
  <c r="R183" i="16" s="1"/>
  <c r="R41" i="16" a="1"/>
  <c r="R41" i="16" s="1"/>
  <c r="R17" i="16" a="1"/>
  <c r="R17" i="16" s="1"/>
  <c r="R73" i="16" a="1"/>
  <c r="R73" i="16" s="1"/>
  <c r="R28" i="16" a="1"/>
  <c r="R28" i="16" s="1"/>
  <c r="R37" i="16" a="1"/>
  <c r="R37" i="16" s="1"/>
  <c r="R4" i="15" a="1"/>
  <c r="R4" i="15" s="1"/>
  <c r="R27" i="16" a="1"/>
  <c r="R27" i="16" s="1"/>
  <c r="R55" i="16" a="1"/>
  <c r="R55" i="16" s="1"/>
  <c r="R17" i="15" a="1"/>
  <c r="R17" i="15" s="1"/>
  <c r="R60" i="16" a="1"/>
  <c r="R60" i="16" s="1"/>
  <c r="R26" i="16" a="1"/>
  <c r="R26" i="16" s="1"/>
  <c r="R26" i="15" a="1"/>
  <c r="R26" i="15" s="1"/>
  <c r="R28" i="15" a="1"/>
  <c r="R28" i="15" s="1"/>
  <c r="R22" i="15" a="1"/>
  <c r="R22" i="15" s="1"/>
  <c r="R58" i="15" a="1"/>
  <c r="R58" i="15" s="1"/>
  <c r="R15" i="15" a="1"/>
  <c r="R15" i="15" s="1"/>
  <c r="R54" i="15" a="1"/>
  <c r="R54" i="15" s="1"/>
  <c r="R44" i="16" a="1"/>
  <c r="R44" i="16" s="1"/>
  <c r="R29" i="16" a="1"/>
  <c r="R29" i="16" s="1"/>
  <c r="R16" i="16" a="1"/>
  <c r="R16" i="16" s="1"/>
  <c r="R63" i="16" a="1"/>
  <c r="R63" i="16" s="1"/>
  <c r="R54" i="16" a="1"/>
  <c r="R54" i="16" s="1"/>
  <c r="R44" i="15" a="1"/>
  <c r="R44" i="15" s="1"/>
  <c r="R52" i="15" a="1"/>
  <c r="R52" i="15" s="1"/>
  <c r="R356" i="16" a="1"/>
  <c r="R356" i="16" s="1"/>
  <c r="R354" i="16" a="1"/>
  <c r="R354" i="16" s="1"/>
  <c r="AB358" i="16" a="1"/>
  <c r="AB358" i="16" s="1"/>
  <c r="R380" i="16" a="1"/>
  <c r="R380" i="16" s="1"/>
  <c r="AB375" i="16" a="1"/>
  <c r="AB375" i="16" s="1"/>
  <c r="AB329" i="16" a="1"/>
  <c r="AB329" i="16" s="1"/>
  <c r="R324" i="16" a="1"/>
  <c r="R324" i="16" s="1"/>
  <c r="R189" i="16" a="1"/>
  <c r="R189" i="16" s="1"/>
  <c r="R194" i="16" a="1"/>
  <c r="R194" i="16" s="1"/>
  <c r="R195" i="16" a="1"/>
  <c r="R195" i="16" s="1"/>
  <c r="Y180" i="16" a="1"/>
  <c r="Y180" i="16" s="1"/>
  <c r="AB160" i="16" a="1"/>
  <c r="AB160" i="16" s="1"/>
  <c r="R160" i="16" a="1"/>
  <c r="R160" i="16" s="1"/>
  <c r="AB35" i="16" a="1"/>
  <c r="AB35" i="16" s="1"/>
  <c r="Y61" i="16" a="1"/>
  <c r="Y61" i="16" s="1"/>
  <c r="Y10" i="16" a="1"/>
  <c r="Y10" i="16" s="1"/>
  <c r="V332" i="16" a="1"/>
  <c r="V332" i="16" s="1"/>
  <c r="X323" i="16" a="1"/>
  <c r="X323" i="16" s="1"/>
  <c r="AB343" i="16" a="1"/>
  <c r="AB343" i="16" s="1"/>
  <c r="AB380" i="16" a="1"/>
  <c r="AB380" i="16" s="1"/>
  <c r="AB312" i="16" a="1"/>
  <c r="AB312" i="16" s="1"/>
  <c r="Y224" i="16" a="1"/>
  <c r="Y224" i="16" s="1"/>
  <c r="AB194" i="16" a="1"/>
  <c r="AB194" i="16" s="1"/>
  <c r="AB200" i="16" a="1"/>
  <c r="AB200" i="16" s="1"/>
  <c r="AB195" i="16" a="1"/>
  <c r="AB195" i="16" s="1"/>
  <c r="AB73" i="16" a="1"/>
  <c r="AB73" i="16" s="1"/>
  <c r="V356" i="16" a="1"/>
  <c r="V356" i="16" s="1"/>
  <c r="X340" i="16" a="1"/>
  <c r="X340" i="16" s="1"/>
  <c r="R216" i="16" a="1"/>
  <c r="R216" i="16" s="1"/>
  <c r="Y377" i="16" a="1"/>
  <c r="Y377" i="16" s="1"/>
  <c r="Y349" i="16" a="1"/>
  <c r="Y349" i="16" s="1"/>
  <c r="Y365" i="16" a="1"/>
  <c r="Y365" i="16" s="1"/>
  <c r="R329" i="16" a="1"/>
  <c r="R329" i="16" s="1"/>
  <c r="AB315" i="16" a="1"/>
  <c r="AB315" i="16" s="1"/>
  <c r="Y316" i="16" a="1"/>
  <c r="Y316" i="16" s="1"/>
  <c r="Y324" i="16" a="1"/>
  <c r="Y324" i="16" s="1"/>
  <c r="Y203" i="16" a="1"/>
  <c r="Y203" i="16" s="1"/>
  <c r="R205" i="16" a="1"/>
  <c r="R205" i="16" s="1"/>
  <c r="R215" i="16" a="1"/>
  <c r="R215" i="16" s="1"/>
  <c r="AB166" i="16" a="1"/>
  <c r="AB166" i="16" s="1"/>
  <c r="Y200" i="16" a="1"/>
  <c r="Y200" i="16" s="1"/>
  <c r="Y181" i="16" a="1"/>
  <c r="Y181" i="16" s="1"/>
  <c r="R34" i="16" a="1"/>
  <c r="R34" i="16" s="1"/>
  <c r="R170" i="16" a="1"/>
  <c r="R170" i="16" s="1"/>
  <c r="AB61" i="16" a="1"/>
  <c r="AB61" i="16" s="1"/>
  <c r="V30" i="15" a="1"/>
  <c r="V30" i="15" s="1"/>
  <c r="V359" i="16" a="1"/>
  <c r="V359" i="16" s="1"/>
  <c r="Y339" i="16" a="1"/>
  <c r="Y339" i="16" s="1"/>
  <c r="R316" i="16" a="1"/>
  <c r="R316" i="16" s="1"/>
  <c r="Y216" i="16" a="1"/>
  <c r="Y216" i="16" s="1"/>
  <c r="R11" i="16" a="1"/>
  <c r="R11" i="16" s="1"/>
  <c r="AB364" i="16" a="1"/>
  <c r="AB364" i="16" s="1"/>
  <c r="Y209" i="16" a="1"/>
  <c r="Y209" i="16" s="1"/>
  <c r="AB356" i="16" a="1"/>
  <c r="AB356" i="16" s="1"/>
  <c r="Y373" i="16" a="1"/>
  <c r="Y373" i="16" s="1"/>
  <c r="Y375" i="16" a="1"/>
  <c r="Y375" i="16" s="1"/>
  <c r="Y322" i="16" a="1"/>
  <c r="Y322" i="16" s="1"/>
  <c r="R211" i="16" a="1"/>
  <c r="R211" i="16" s="1"/>
  <c r="AB213" i="16" a="1"/>
  <c r="AB213" i="16" s="1"/>
  <c r="R184" i="16" a="1"/>
  <c r="R184" i="16" s="1"/>
  <c r="AB225" i="16" a="1"/>
  <c r="AB225" i="16" s="1"/>
  <c r="Y192" i="16" a="1"/>
  <c r="Y192" i="16" s="1"/>
  <c r="AB204" i="16" a="1"/>
  <c r="AB204" i="16" s="1"/>
  <c r="AB32" i="16" a="1"/>
  <c r="AB32" i="16" s="1"/>
  <c r="R71" i="16" a="1"/>
  <c r="R71" i="16" s="1"/>
  <c r="AB58" i="16" a="1"/>
  <c r="AB58" i="16" s="1"/>
  <c r="J158" i="16"/>
  <c r="AB36" i="16" a="1"/>
  <c r="AB36" i="16" s="1"/>
  <c r="Y46" i="15" a="1"/>
  <c r="Y46" i="15" s="1"/>
  <c r="V340" i="16" a="1"/>
  <c r="V340" i="16" s="1"/>
  <c r="Y157" i="5"/>
  <c r="Y5" i="5"/>
  <c r="U28" i="16" a="1"/>
  <c r="U28" i="16" s="1"/>
  <c r="U40" i="16" a="1"/>
  <c r="U40" i="16" s="1"/>
  <c r="U18" i="16" a="1"/>
  <c r="U18" i="16" s="1"/>
  <c r="U185" i="16" a="1"/>
  <c r="U185" i="16" s="1"/>
  <c r="U188" i="16" a="1"/>
  <c r="U188" i="16" s="1"/>
  <c r="U51" i="15" a="1"/>
  <c r="U51" i="15" s="1"/>
  <c r="U26" i="15" a="1"/>
  <c r="U26" i="15" s="1"/>
  <c r="U14" i="15" a="1"/>
  <c r="U14" i="15" s="1"/>
  <c r="U60" i="16" a="1"/>
  <c r="U60" i="16" s="1"/>
  <c r="U20" i="16" a="1"/>
  <c r="U20" i="16" s="1"/>
  <c r="U43" i="16" a="1"/>
  <c r="U43" i="16" s="1"/>
  <c r="U34" i="15" a="1"/>
  <c r="U34" i="15" s="1"/>
  <c r="U44" i="16" a="1"/>
  <c r="U44" i="16" s="1"/>
  <c r="U48" i="15" a="1"/>
  <c r="U48" i="15" s="1"/>
  <c r="U63" i="16" a="1"/>
  <c r="U63" i="16" s="1"/>
  <c r="U170" i="16" a="1"/>
  <c r="U170" i="16" s="1"/>
  <c r="U73" i="16" a="1"/>
  <c r="U73" i="16" s="1"/>
  <c r="U7" i="16" a="1"/>
  <c r="U7" i="16" s="1"/>
  <c r="U53" i="15" a="1"/>
  <c r="U53" i="15" s="1"/>
  <c r="U22" i="16" a="1"/>
  <c r="U22" i="16" s="1"/>
  <c r="U68" i="15" a="1"/>
  <c r="U68" i="15" s="1"/>
  <c r="U11" i="16" a="1"/>
  <c r="U11" i="16" s="1"/>
  <c r="Y344" i="16" a="1"/>
  <c r="Y344" i="16" s="1"/>
  <c r="AB363" i="16" a="1"/>
  <c r="AB363" i="16" s="1"/>
  <c r="R350" i="16" a="1"/>
  <c r="R350" i="16" s="1"/>
  <c r="AB212" i="16" a="1"/>
  <c r="AB212" i="16" s="1"/>
  <c r="Y218" i="16" a="1"/>
  <c r="Y218" i="16" s="1"/>
  <c r="R187" i="16" a="1"/>
  <c r="R187" i="16" s="1"/>
  <c r="AB202" i="16" a="1"/>
  <c r="AB202" i="16" s="1"/>
  <c r="R14" i="16" a="1"/>
  <c r="R14" i="16" s="1"/>
  <c r="Y30" i="16" a="1"/>
  <c r="Y30" i="16" s="1"/>
  <c r="C158" i="16"/>
  <c r="R36" i="16" a="1"/>
  <c r="R36" i="16" s="1"/>
  <c r="AB7" i="16" a="1"/>
  <c r="AB7" i="16" s="1"/>
  <c r="R45" i="15" a="1"/>
  <c r="R45" i="15" s="1"/>
  <c r="AF5" i="2"/>
  <c r="AF157" i="2"/>
  <c r="R358" i="16" a="1"/>
  <c r="R358" i="16" s="1"/>
  <c r="R373" i="16" a="1"/>
  <c r="R373" i="16" s="1"/>
  <c r="R339" i="16" a="1"/>
  <c r="R339" i="16" s="1"/>
  <c r="Y223" i="16" a="1"/>
  <c r="Y223" i="16" s="1"/>
  <c r="R218" i="16" a="1"/>
  <c r="R218" i="16" s="1"/>
  <c r="AB187" i="16" a="1"/>
  <c r="AB187" i="16" s="1"/>
  <c r="Y184" i="16" a="1"/>
  <c r="Y184" i="16" s="1"/>
  <c r="R204" i="16" a="1"/>
  <c r="R204" i="16" s="1"/>
  <c r="Y160" i="16" a="1"/>
  <c r="Y160" i="16" s="1"/>
  <c r="R12" i="16" a="1"/>
  <c r="R12" i="16" s="1"/>
  <c r="Y65" i="16" a="1"/>
  <c r="Y65" i="16" s="1"/>
  <c r="AB170" i="16" a="1"/>
  <c r="AB170" i="16" s="1"/>
  <c r="R35" i="15" a="1"/>
  <c r="R35" i="15" s="1"/>
  <c r="AI157" i="12"/>
  <c r="AI5" i="12"/>
  <c r="R172" i="16" a="1"/>
  <c r="R172" i="16" s="1"/>
  <c r="R208" i="16" a="1"/>
  <c r="R208" i="16" s="1"/>
  <c r="Y379" i="16" a="1"/>
  <c r="Y379" i="16" s="1"/>
  <c r="Y221" i="16" a="1"/>
  <c r="Y221" i="16" s="1"/>
  <c r="AB218" i="16" a="1"/>
  <c r="AB218" i="16" s="1"/>
  <c r="R163" i="16" a="1"/>
  <c r="R163" i="16" s="1"/>
  <c r="AB69" i="16" a="1"/>
  <c r="AB69" i="16" s="1"/>
  <c r="Y55" i="16" a="1"/>
  <c r="Y55" i="16" s="1"/>
  <c r="Y170" i="16" a="1"/>
  <c r="Y170" i="16" s="1"/>
  <c r="AB21" i="16" a="1"/>
  <c r="AB21" i="16" s="1"/>
  <c r="V72" i="15" a="1"/>
  <c r="V72" i="15" s="1"/>
  <c r="Y45" i="15" a="1"/>
  <c r="Y45" i="15" s="1"/>
  <c r="R36" i="15" a="1"/>
  <c r="R36" i="15" s="1"/>
  <c r="Y356" i="16" a="1"/>
  <c r="Y356" i="16" s="1"/>
  <c r="AG5" i="2"/>
  <c r="AG157" i="2"/>
  <c r="R200" i="16" a="1"/>
  <c r="R200" i="16" s="1"/>
  <c r="R365" i="16" a="1"/>
  <c r="R365" i="16" s="1"/>
  <c r="Y380" i="16" a="1"/>
  <c r="Y380" i="16" s="1"/>
  <c r="AB313" i="16" a="1"/>
  <c r="AB313" i="16" s="1"/>
  <c r="Y314" i="16" a="1"/>
  <c r="Y314" i="16" s="1"/>
  <c r="Y366" i="16" a="1"/>
  <c r="Y366" i="16" s="1"/>
  <c r="Y353" i="16" a="1"/>
  <c r="Y353" i="16" s="1"/>
  <c r="R369" i="16" a="1"/>
  <c r="R369" i="16" s="1"/>
  <c r="R315" i="16" a="1"/>
  <c r="R315" i="16" s="1"/>
  <c r="Y351" i="16" a="1"/>
  <c r="Y351" i="16" s="1"/>
  <c r="AB322" i="16" a="1"/>
  <c r="AB322" i="16" s="1"/>
  <c r="R198" i="16" a="1"/>
  <c r="R198" i="16" s="1"/>
  <c r="R174" i="16" a="1"/>
  <c r="R174" i="16" s="1"/>
  <c r="V21" i="16" a="1"/>
  <c r="V21" i="16" s="1"/>
  <c r="R38" i="16" a="1"/>
  <c r="R38" i="16" s="1"/>
  <c r="V58" i="16" a="1"/>
  <c r="V58" i="16" s="1"/>
  <c r="R10" i="16" a="1"/>
  <c r="R10" i="16" s="1"/>
  <c r="AA157" i="13"/>
  <c r="AA5" i="13"/>
  <c r="AC72" i="16" a="1"/>
  <c r="AC72" i="16" s="1"/>
  <c r="AC198" i="16" a="1"/>
  <c r="AC198" i="16" s="1"/>
  <c r="AC37" i="16" a="1"/>
  <c r="AC37" i="16" s="1"/>
  <c r="AC41" i="16" a="1"/>
  <c r="AC41" i="16" s="1"/>
  <c r="AC25" i="16" a="1"/>
  <c r="AC25" i="16" s="1"/>
  <c r="AC49" i="16" a="1"/>
  <c r="AC49" i="16" s="1"/>
  <c r="AC10" i="16" a="1"/>
  <c r="AC10" i="16" s="1"/>
  <c r="AC169" i="16" a="1"/>
  <c r="AC169" i="16" s="1"/>
  <c r="AC218" i="16" a="1"/>
  <c r="AC218" i="16" s="1"/>
  <c r="AC42" i="15" a="1"/>
  <c r="AC42" i="15" s="1"/>
  <c r="AC29" i="16" a="1"/>
  <c r="AC29" i="16" s="1"/>
  <c r="AC50" i="15" a="1"/>
  <c r="AC50" i="15" s="1"/>
  <c r="AC29" i="15" a="1"/>
  <c r="AC29" i="15" s="1"/>
  <c r="AC61" i="16" a="1"/>
  <c r="AC61" i="16" s="1"/>
  <c r="AC74" i="15" a="1"/>
  <c r="AC74" i="15" s="1"/>
  <c r="AC44" i="15" a="1"/>
  <c r="AC44" i="15" s="1"/>
  <c r="AC53" i="15" a="1"/>
  <c r="AC53" i="15" s="1"/>
  <c r="AC27" i="16" a="1"/>
  <c r="AC27" i="16" s="1"/>
  <c r="AC63" i="16" a="1"/>
  <c r="AC63" i="16" s="1"/>
  <c r="V223" i="16" a="1"/>
  <c r="V223" i="16" s="1"/>
  <c r="W5" i="12"/>
  <c r="W157" i="12"/>
  <c r="AB56" i="15" a="1"/>
  <c r="AB56" i="15" s="1"/>
  <c r="AB68" i="16" a="1"/>
  <c r="AB68" i="16" s="1"/>
  <c r="AB7" i="15" a="1"/>
  <c r="AB7" i="15" s="1"/>
  <c r="AB11" i="15" a="1"/>
  <c r="AB11" i="15" s="1"/>
  <c r="AB58" i="15" a="1"/>
  <c r="AB58" i="15" s="1"/>
  <c r="AB67" i="16" a="1"/>
  <c r="AB67" i="16" s="1"/>
  <c r="AB355" i="16" a="1"/>
  <c r="AB355" i="16" s="1"/>
  <c r="AB39" i="16" a="1"/>
  <c r="AB39" i="16" s="1"/>
  <c r="AB337" i="16" a="1"/>
  <c r="AB337" i="16" s="1"/>
  <c r="AB184" i="16" a="1"/>
  <c r="AB184" i="16" s="1"/>
  <c r="AB46" i="16" a="1"/>
  <c r="AB46" i="16" s="1"/>
  <c r="AB367" i="16" a="1"/>
  <c r="AB367" i="16" s="1"/>
  <c r="AB24" i="16" a="1"/>
  <c r="AB24" i="16" s="1"/>
  <c r="AB172" i="16" a="1"/>
  <c r="AB172" i="16" s="1"/>
  <c r="AB210" i="16" a="1"/>
  <c r="AB210" i="16" s="1"/>
  <c r="AB34" i="15" a="1"/>
  <c r="AB34" i="15" s="1"/>
  <c r="AB334" i="16" a="1"/>
  <c r="AB334" i="16" s="1"/>
  <c r="AB20" i="16" a="1"/>
  <c r="AB20" i="16" s="1"/>
  <c r="AB8" i="16" a="1"/>
  <c r="AB8" i="16" s="1"/>
  <c r="AB220" i="16" a="1"/>
  <c r="AB220" i="16" s="1"/>
  <c r="AB69" i="15" a="1"/>
  <c r="AB69" i="15" s="1"/>
  <c r="AB192" i="16" a="1"/>
  <c r="AB192" i="16" s="1"/>
  <c r="AB60" i="15" a="1"/>
  <c r="AB60" i="15" s="1"/>
  <c r="AB5" i="16" a="1"/>
  <c r="AB5" i="16" s="1"/>
  <c r="AB223" i="16" a="1"/>
  <c r="AB223" i="16" s="1"/>
  <c r="AB49" i="15" a="1"/>
  <c r="AB49" i="15" s="1"/>
  <c r="AB55" i="15" a="1"/>
  <c r="AB55" i="15" s="1"/>
  <c r="AB30" i="15" a="1"/>
  <c r="AB30" i="15" s="1"/>
  <c r="AB221" i="16" a="1"/>
  <c r="AB221" i="16" s="1"/>
  <c r="AB40" i="15" a="1"/>
  <c r="AB40" i="15" s="1"/>
  <c r="AB61" i="15" a="1"/>
  <c r="AB61" i="15" s="1"/>
  <c r="AB64" i="15" a="1"/>
  <c r="AB64" i="15" s="1"/>
  <c r="AB193" i="16" a="1"/>
  <c r="AB193" i="16" s="1"/>
  <c r="AB32" i="15" a="1"/>
  <c r="AB32" i="15" s="1"/>
  <c r="AB16" i="15" a="1"/>
  <c r="AB16" i="15" s="1"/>
  <c r="AB14" i="15" a="1"/>
  <c r="AB14" i="15" s="1"/>
  <c r="AB63" i="16" a="1"/>
  <c r="AB63" i="16" s="1"/>
  <c r="AB6" i="16" a="1"/>
  <c r="AB6" i="16" s="1"/>
  <c r="AB167" i="16" a="1"/>
  <c r="AB167" i="16" s="1"/>
  <c r="AB158" i="16" a="1"/>
  <c r="AB158" i="16" s="1"/>
  <c r="L158" i="16" s="1"/>
  <c r="AB16" i="16" a="1"/>
  <c r="AB16" i="16" s="1"/>
  <c r="AB197" i="16" a="1"/>
  <c r="AB197" i="16" s="1"/>
  <c r="AB12" i="15" a="1"/>
  <c r="AB12" i="15" s="1"/>
  <c r="AB53" i="15" a="1"/>
  <c r="AB53" i="15" s="1"/>
  <c r="AB215" i="16" a="1"/>
  <c r="AB215" i="16" s="1"/>
  <c r="AB24" i="15" a="1"/>
  <c r="AB24" i="15" s="1"/>
  <c r="AB15" i="16" a="1"/>
  <c r="AB15" i="16" s="1"/>
  <c r="AK157" i="9"/>
  <c r="AK5" i="9"/>
  <c r="Y70" i="16" a="1"/>
  <c r="Y70" i="16" s="1"/>
  <c r="Y204" i="16" a="1"/>
  <c r="Y204" i="16" s="1"/>
  <c r="Y64" i="16" a="1"/>
  <c r="Y64" i="16" s="1"/>
  <c r="Y24" i="16" a="1"/>
  <c r="Y24" i="16" s="1"/>
  <c r="Y72" i="16" a="1"/>
  <c r="Y72" i="16" s="1"/>
  <c r="Y171" i="16" a="1"/>
  <c r="Y171" i="16" s="1"/>
  <c r="Y201" i="16" a="1"/>
  <c r="Y201" i="16" s="1"/>
  <c r="Y26" i="16" a="1"/>
  <c r="Y26" i="16" s="1"/>
  <c r="Y43" i="16" a="1"/>
  <c r="Y43" i="16" s="1"/>
  <c r="Y29" i="16" a="1"/>
  <c r="Y29" i="16" s="1"/>
  <c r="Y31" i="15" a="1"/>
  <c r="Y31" i="15" s="1"/>
  <c r="Y54" i="16" a="1"/>
  <c r="Y54" i="16" s="1"/>
  <c r="Y69" i="16" a="1"/>
  <c r="Y69" i="16" s="1"/>
  <c r="Y16" i="15" a="1"/>
  <c r="Y16" i="15" s="1"/>
  <c r="Y340" i="16" a="1"/>
  <c r="Y340" i="16" s="1"/>
  <c r="Y6" i="16" a="1"/>
  <c r="Y6" i="16" s="1"/>
  <c r="Y62" i="15" a="1"/>
  <c r="Y62" i="15" s="1"/>
  <c r="Y17" i="16" a="1"/>
  <c r="Y17" i="16" s="1"/>
  <c r="Y41" i="16" a="1"/>
  <c r="Y41" i="16" s="1"/>
  <c r="Y361" i="16" a="1"/>
  <c r="Y361" i="16" s="1"/>
  <c r="AB361" i="16" a="1"/>
  <c r="AB361" i="16" s="1"/>
  <c r="R346" i="16" a="1"/>
  <c r="R346" i="16" s="1"/>
  <c r="R212" i="16" a="1"/>
  <c r="R212" i="16" s="1"/>
  <c r="AB378" i="16" a="1"/>
  <c r="AB378" i="16" s="1"/>
  <c r="AB354" i="16" a="1"/>
  <c r="AB354" i="16" s="1"/>
  <c r="Y329" i="16" a="1"/>
  <c r="Y329" i="16" s="1"/>
  <c r="R372" i="16" a="1"/>
  <c r="R372" i="16" s="1"/>
  <c r="AB369" i="16" a="1"/>
  <c r="AB369" i="16" s="1"/>
  <c r="R351" i="16" a="1"/>
  <c r="R351" i="16" s="1"/>
  <c r="R314" i="16" a="1"/>
  <c r="R314" i="16" s="1"/>
  <c r="Y319" i="16" a="1"/>
  <c r="Y319" i="16" s="1"/>
  <c r="R310" i="16" a="1"/>
  <c r="R310" i="16" s="1"/>
  <c r="R209" i="16" a="1"/>
  <c r="R209" i="16" s="1"/>
  <c r="AB174" i="16" a="1"/>
  <c r="AB174" i="16" s="1"/>
  <c r="Y173" i="16" a="1"/>
  <c r="Y173" i="16" s="1"/>
  <c r="V170" i="16" a="1"/>
  <c r="V170" i="16" s="1"/>
  <c r="Y58" i="16" a="1"/>
  <c r="Y58" i="16" s="1"/>
  <c r="Y18" i="16" a="1"/>
  <c r="Y18" i="16" s="1"/>
  <c r="AB10" i="16" a="1"/>
  <c r="AB10" i="16" s="1"/>
  <c r="K158" i="16"/>
  <c r="Y16" i="16" a="1"/>
  <c r="Y16" i="16" s="1"/>
  <c r="X28" i="16" a="1"/>
  <c r="X28" i="16" s="1"/>
  <c r="N157" i="10"/>
  <c r="N5" i="10"/>
  <c r="Z26" i="16" a="1"/>
  <c r="Z26" i="16" s="1"/>
  <c r="Z170" i="16" a="1"/>
  <c r="Z170" i="16" s="1"/>
  <c r="Z157" i="16" a="1"/>
  <c r="Z157" i="16" s="1"/>
  <c r="J157" i="16" s="1"/>
  <c r="Z21" i="15" a="1"/>
  <c r="Z21" i="15" s="1"/>
  <c r="Z43" i="16" a="1"/>
  <c r="Z43" i="16" s="1"/>
  <c r="Z54" i="16" a="1"/>
  <c r="Z54" i="16" s="1"/>
  <c r="Z29" i="16" a="1"/>
  <c r="Z29" i="16" s="1"/>
  <c r="Z60" i="16" a="1"/>
  <c r="Z60" i="16" s="1"/>
  <c r="Z66" i="15" a="1"/>
  <c r="Z66" i="15" s="1"/>
  <c r="Z16" i="15" a="1"/>
  <c r="Z16" i="15" s="1"/>
  <c r="Z15" i="16" a="1"/>
  <c r="Z15" i="16" s="1"/>
  <c r="Z62" i="15" a="1"/>
  <c r="Z62" i="15" s="1"/>
  <c r="Z50" i="15" a="1"/>
  <c r="Z50" i="15" s="1"/>
  <c r="Z67" i="15" a="1"/>
  <c r="Z67" i="15" s="1"/>
  <c r="Z28" i="16" a="1"/>
  <c r="Z28" i="16" s="1"/>
  <c r="AG157" i="10"/>
  <c r="AG5" i="10"/>
  <c r="X11" i="15" a="1"/>
  <c r="X11" i="15" s="1"/>
  <c r="AB29" i="16" a="1"/>
  <c r="AB29" i="16" s="1"/>
  <c r="R333" i="16" a="1"/>
  <c r="R333" i="16" s="1"/>
  <c r="R223" i="16" a="1"/>
  <c r="R223" i="16" s="1"/>
  <c r="R57" i="16" a="1"/>
  <c r="R57" i="16" s="1"/>
  <c r="R368" i="16" a="1"/>
  <c r="R368" i="16" s="1"/>
  <c r="Y331" i="16" a="1"/>
  <c r="Y331" i="16" s="1"/>
  <c r="Y318" i="16" a="1"/>
  <c r="Y318" i="16" s="1"/>
  <c r="Y320" i="16" a="1"/>
  <c r="Y320" i="16" s="1"/>
  <c r="R227" i="16" a="1"/>
  <c r="R227" i="16" s="1"/>
  <c r="R69" i="16" a="1"/>
  <c r="R69" i="16" s="1"/>
  <c r="AC34" i="16" a="1"/>
  <c r="AC34" i="16" s="1"/>
  <c r="AC16" i="16" a="1"/>
  <c r="AC16" i="16" s="1"/>
  <c r="AB70" i="15" a="1"/>
  <c r="AB70" i="15" s="1"/>
  <c r="AB50" i="15" a="1"/>
  <c r="AB50" i="15" s="1"/>
  <c r="AB52" i="16" a="1"/>
  <c r="AB52" i="16" s="1"/>
  <c r="Y54" i="15" a="1"/>
  <c r="Y54" i="15" s="1"/>
  <c r="R338" i="16" a="1"/>
  <c r="R338" i="16" s="1"/>
  <c r="Y183" i="16" a="1"/>
  <c r="Y183" i="16" s="1"/>
  <c r="AB368" i="16" a="1"/>
  <c r="AB368" i="16" s="1"/>
  <c r="R357" i="16" a="1"/>
  <c r="R357" i="16" s="1"/>
  <c r="R379" i="16" a="1"/>
  <c r="R379" i="16" s="1"/>
  <c r="AB353" i="16" a="1"/>
  <c r="AB353" i="16" s="1"/>
  <c r="AB344" i="16" a="1"/>
  <c r="AB344" i="16" s="1"/>
  <c r="AB351" i="16" a="1"/>
  <c r="AB351" i="16" s="1"/>
  <c r="AB350" i="16" a="1"/>
  <c r="AB350" i="16" s="1"/>
  <c r="R347" i="16" a="1"/>
  <c r="R347" i="16" s="1"/>
  <c r="AB319" i="16" a="1"/>
  <c r="AB319" i="16" s="1"/>
  <c r="R207" i="16" a="1"/>
  <c r="R207" i="16" s="1"/>
  <c r="N158" i="16"/>
  <c r="A158" i="16"/>
  <c r="R173" i="16" a="1"/>
  <c r="R173" i="16" s="1"/>
  <c r="AB171" i="16" a="1"/>
  <c r="AB171" i="16" s="1"/>
  <c r="R50" i="16" a="1"/>
  <c r="R50" i="16" s="1"/>
  <c r="Y73" i="16" a="1"/>
  <c r="Y73" i="16" s="1"/>
  <c r="R64" i="15" a="1"/>
  <c r="R64" i="15" s="1"/>
  <c r="AB23" i="15" a="1"/>
  <c r="AB23" i="15" s="1"/>
  <c r="AB62" i="16" a="1"/>
  <c r="AB62" i="16" s="1"/>
  <c r="Z53" i="15" a="1"/>
  <c r="Z53" i="15" s="1"/>
  <c r="X14" i="15" a="1"/>
  <c r="X14" i="15" s="1"/>
  <c r="Y56" i="15" a="1"/>
  <c r="Y56" i="15" s="1"/>
  <c r="Y214" i="16" a="1"/>
  <c r="Y214" i="16" s="1"/>
  <c r="R157" i="7"/>
  <c r="R5" i="7"/>
  <c r="W74" i="15" a="1"/>
  <c r="W74" i="15" s="1"/>
  <c r="W27" i="15" a="1"/>
  <c r="W27" i="15" s="1"/>
  <c r="W47" i="15" a="1"/>
  <c r="W47" i="15" s="1"/>
  <c r="W16" i="16" a="1"/>
  <c r="W16" i="16" s="1"/>
  <c r="W36" i="15" a="1"/>
  <c r="W36" i="15" s="1"/>
  <c r="W26" i="15" a="1"/>
  <c r="W26" i="15" s="1"/>
  <c r="W72" i="15" a="1"/>
  <c r="W72" i="15" s="1"/>
  <c r="W11" i="16" a="1"/>
  <c r="W11" i="16" s="1"/>
  <c r="W17" i="15" a="1"/>
  <c r="W17" i="15" s="1"/>
  <c r="W15" i="15" a="1"/>
  <c r="W15" i="15" s="1"/>
  <c r="W70" i="15" a="1"/>
  <c r="W70" i="15" s="1"/>
  <c r="W49" i="15" a="1"/>
  <c r="W49" i="15" s="1"/>
  <c r="W211" i="16" a="1"/>
  <c r="W211" i="16" s="1"/>
  <c r="W162" i="16" a="1"/>
  <c r="W162" i="16" s="1"/>
  <c r="W20" i="16" a="1"/>
  <c r="W20" i="16" s="1"/>
  <c r="W13" i="16" a="1"/>
  <c r="W13" i="16" s="1"/>
  <c r="W35" i="15" a="1"/>
  <c r="W35" i="15" s="1"/>
  <c r="W53" i="15" a="1"/>
  <c r="W53" i="15" s="1"/>
  <c r="W73" i="15" a="1"/>
  <c r="W73" i="15" s="1"/>
  <c r="W334" i="16" a="1"/>
  <c r="W334" i="16" s="1"/>
  <c r="W203" i="16" a="1"/>
  <c r="W203" i="16" s="1"/>
  <c r="W194" i="16" a="1"/>
  <c r="W194" i="16" s="1"/>
  <c r="W12" i="16" a="1"/>
  <c r="W12" i="16" s="1"/>
  <c r="W65" i="15" a="1"/>
  <c r="W65" i="15" s="1"/>
  <c r="W25" i="15" a="1"/>
  <c r="W25" i="15" s="1"/>
  <c r="W22" i="15" a="1"/>
  <c r="W22" i="15" s="1"/>
  <c r="W16" i="15" a="1"/>
  <c r="W16" i="15" s="1"/>
  <c r="W41" i="16" a="1"/>
  <c r="W41" i="16" s="1"/>
  <c r="W4" i="15" a="1"/>
  <c r="W4" i="15" s="1"/>
  <c r="W23" i="15" a="1"/>
  <c r="W23" i="15" s="1"/>
  <c r="W44" i="15" a="1"/>
  <c r="W44" i="15" s="1"/>
  <c r="W8" i="16" a="1"/>
  <c r="W8" i="16" s="1"/>
  <c r="W52" i="15" a="1"/>
  <c r="W52" i="15" s="1"/>
  <c r="W165" i="16" a="1"/>
  <c r="W165" i="16" s="1"/>
  <c r="W68" i="16" a="1"/>
  <c r="W68" i="16" s="1"/>
  <c r="W69" i="15" a="1"/>
  <c r="W69" i="15" s="1"/>
  <c r="W67" i="15" a="1"/>
  <c r="W67" i="15" s="1"/>
  <c r="W37" i="16" a="1"/>
  <c r="W37" i="16" s="1"/>
  <c r="W370" i="16" a="1"/>
  <c r="W370" i="16" s="1"/>
  <c r="W351" i="16" a="1"/>
  <c r="W351" i="16" s="1"/>
  <c r="W192" i="16" a="1"/>
  <c r="W192" i="16" s="1"/>
  <c r="W182" i="16" a="1"/>
  <c r="W182" i="16" s="1"/>
  <c r="W48" i="16" a="1"/>
  <c r="W48" i="16" s="1"/>
  <c r="W61" i="15" a="1"/>
  <c r="W61" i="15" s="1"/>
  <c r="W50" i="15" a="1"/>
  <c r="W50" i="15" s="1"/>
  <c r="W26" i="16" a="1"/>
  <c r="W26" i="16" s="1"/>
  <c r="W352" i="16" a="1"/>
  <c r="W352" i="16" s="1"/>
  <c r="W220" i="16" a="1"/>
  <c r="W220" i="16" s="1"/>
  <c r="W186" i="16" a="1"/>
  <c r="W186" i="16" s="1"/>
  <c r="W205" i="16" a="1"/>
  <c r="W205" i="16" s="1"/>
  <c r="W19" i="16" a="1"/>
  <c r="W19" i="16" s="1"/>
  <c r="W39" i="15" a="1"/>
  <c r="W39" i="15" s="1"/>
  <c r="W8" i="15" a="1"/>
  <c r="W8" i="15" s="1"/>
  <c r="W5" i="16" a="1"/>
  <c r="W5" i="16" s="1"/>
  <c r="W34" i="15" a="1"/>
  <c r="W34" i="15" s="1"/>
  <c r="W68" i="15" a="1"/>
  <c r="W68" i="15" s="1"/>
  <c r="W28" i="15" a="1"/>
  <c r="W28" i="15" s="1"/>
  <c r="W31" i="15" a="1"/>
  <c r="W31" i="15" s="1"/>
  <c r="W46" i="15" a="1"/>
  <c r="W46" i="15" s="1"/>
  <c r="W45" i="15" a="1"/>
  <c r="W45" i="15" s="1"/>
  <c r="W54" i="15" a="1"/>
  <c r="W54" i="15" s="1"/>
  <c r="W46" i="16" a="1"/>
  <c r="W46" i="16" s="1"/>
  <c r="W366" i="16" a="1"/>
  <c r="W366" i="16" s="1"/>
  <c r="W219" i="16" a="1"/>
  <c r="W219" i="16" s="1"/>
  <c r="W189" i="16" a="1"/>
  <c r="W189" i="16" s="1"/>
  <c r="W74" i="16" a="1"/>
  <c r="W74" i="16" s="1"/>
  <c r="W51" i="16" a="1"/>
  <c r="W51" i="16" s="1"/>
  <c r="W37" i="15" a="1"/>
  <c r="W37" i="15" s="1"/>
  <c r="W57" i="15" a="1"/>
  <c r="W57" i="15" s="1"/>
  <c r="W33" i="15" a="1"/>
  <c r="W33" i="15" s="1"/>
  <c r="W198" i="16" a="1"/>
  <c r="W198" i="16" s="1"/>
  <c r="W6" i="15" a="1"/>
  <c r="W6" i="15" s="1"/>
  <c r="W12" i="15" a="1"/>
  <c r="W12" i="15" s="1"/>
  <c r="W45" i="16" a="1"/>
  <c r="W45" i="16" s="1"/>
  <c r="W172" i="16" a="1"/>
  <c r="W172" i="16" s="1"/>
  <c r="W191" i="16" a="1"/>
  <c r="W191" i="16" s="1"/>
  <c r="W43" i="15" a="1"/>
  <c r="W43" i="15" s="1"/>
  <c r="W71" i="15" a="1"/>
  <c r="W71" i="15" s="1"/>
  <c r="W60" i="16" a="1"/>
  <c r="W60" i="16" s="1"/>
  <c r="W64" i="16" a="1"/>
  <c r="W64" i="16" s="1"/>
  <c r="W24" i="16" a="1"/>
  <c r="W24" i="16" s="1"/>
  <c r="W174" i="16" a="1"/>
  <c r="W174" i="16" s="1"/>
  <c r="W29" i="15" a="1"/>
  <c r="W29" i="15" s="1"/>
  <c r="W10" i="15" a="1"/>
  <c r="W10" i="15" s="1"/>
  <c r="W55" i="15" a="1"/>
  <c r="W55" i="15" s="1"/>
  <c r="W195" i="16" a="1"/>
  <c r="W195" i="16" s="1"/>
  <c r="W20" i="15" a="1"/>
  <c r="W20" i="15" s="1"/>
  <c r="W204" i="16" a="1"/>
  <c r="W204" i="16" s="1"/>
  <c r="W53" i="16" a="1"/>
  <c r="W53" i="16" s="1"/>
  <c r="W31" i="16" a="1"/>
  <c r="W31" i="16" s="1"/>
  <c r="W24" i="15" a="1"/>
  <c r="W24" i="15" s="1"/>
  <c r="W30" i="15" a="1"/>
  <c r="W30" i="15" s="1"/>
  <c r="W48" i="15" a="1"/>
  <c r="W48" i="15" s="1"/>
  <c r="W49" i="16" a="1"/>
  <c r="W49" i="16" s="1"/>
  <c r="W44" i="16" a="1"/>
  <c r="W44" i="16" s="1"/>
  <c r="W34" i="16" a="1"/>
  <c r="W34" i="16" s="1"/>
  <c r="W360" i="16" a="1"/>
  <c r="W360" i="16" s="1"/>
  <c r="W33" i="16" a="1"/>
  <c r="W33" i="16" s="1"/>
  <c r="W42" i="15" a="1"/>
  <c r="W42" i="15" s="1"/>
  <c r="W361" i="16" a="1"/>
  <c r="W361" i="16" s="1"/>
  <c r="W40" i="16" a="1"/>
  <c r="W40" i="16" s="1"/>
  <c r="W371" i="16" a="1"/>
  <c r="W371" i="16" s="1"/>
  <c r="W18" i="16" a="1"/>
  <c r="W18" i="16" s="1"/>
  <c r="W7" i="16" a="1"/>
  <c r="W7" i="16" s="1"/>
  <c r="W54" i="16" a="1"/>
  <c r="W54" i="16" s="1"/>
  <c r="W340" i="16" a="1"/>
  <c r="W340" i="16" s="1"/>
  <c r="W10" i="16" a="1"/>
  <c r="W10" i="16" s="1"/>
  <c r="W318" i="16" a="1"/>
  <c r="W318" i="16" s="1"/>
  <c r="W19" i="15" a="1"/>
  <c r="W19" i="15" s="1"/>
  <c r="W317" i="16" a="1"/>
  <c r="W317" i="16" s="1"/>
  <c r="W60" i="15" a="1"/>
  <c r="W60" i="15" s="1"/>
  <c r="W321" i="16" a="1"/>
  <c r="W321" i="16" s="1"/>
  <c r="W40" i="15" a="1"/>
  <c r="W40" i="15" s="1"/>
  <c r="Y10" i="15" a="1"/>
  <c r="Y10" i="15" s="1"/>
  <c r="AB347" i="16" a="1"/>
  <c r="AB347" i="16" s="1"/>
  <c r="R165" i="16" a="1"/>
  <c r="R165" i="16" s="1"/>
  <c r="AB173" i="16" a="1"/>
  <c r="AB173" i="16" s="1"/>
  <c r="Y177" i="16" a="1"/>
  <c r="Y177" i="16" s="1"/>
  <c r="Y202" i="16" a="1"/>
  <c r="Y202" i="16" s="1"/>
  <c r="R68" i="16" a="1"/>
  <c r="R68" i="16" s="1"/>
  <c r="AB50" i="16" a="1"/>
  <c r="AB50" i="16" s="1"/>
  <c r="Y70" i="15" a="1"/>
  <c r="Y70" i="15" s="1"/>
  <c r="X374" i="16" a="1"/>
  <c r="X374" i="16" s="1"/>
  <c r="AB55" i="16" a="1"/>
  <c r="AB55" i="16" s="1"/>
  <c r="AC68" i="15" a="1"/>
  <c r="AC68" i="15" s="1"/>
  <c r="Y34" i="15" a="1"/>
  <c r="Y34" i="15" s="1"/>
  <c r="X37" i="15" a="1"/>
  <c r="X37" i="15" s="1"/>
  <c r="Y47" i="15" a="1"/>
  <c r="Y47" i="15" s="1"/>
  <c r="M157" i="10"/>
  <c r="M5" i="10"/>
  <c r="Z44" i="16" a="1"/>
  <c r="Z44" i="16" s="1"/>
  <c r="Z20" i="15" a="1"/>
  <c r="Z20" i="15" s="1"/>
  <c r="Z46" i="16" a="1"/>
  <c r="Z46" i="16" s="1"/>
  <c r="Z70" i="15" a="1"/>
  <c r="Z70" i="15" s="1"/>
  <c r="Z9" i="15" a="1"/>
  <c r="Z9" i="15" s="1"/>
  <c r="Z48" i="15" a="1"/>
  <c r="Z48" i="15" s="1"/>
  <c r="Z60" i="15" a="1"/>
  <c r="Z60" i="15" s="1"/>
  <c r="Z37" i="16" a="1"/>
  <c r="Z37" i="16" s="1"/>
  <c r="Z11" i="16" a="1"/>
  <c r="Z11" i="16" s="1"/>
  <c r="Z16" i="16" a="1"/>
  <c r="Z16" i="16" s="1"/>
  <c r="Z63" i="16" a="1"/>
  <c r="Z63" i="16" s="1"/>
  <c r="Z7" i="16" a="1"/>
  <c r="Z7" i="16" s="1"/>
  <c r="V66" i="16" a="1"/>
  <c r="V66" i="16" s="1"/>
  <c r="V352" i="16" a="1"/>
  <c r="V352" i="16" s="1"/>
  <c r="X61" i="15" a="1"/>
  <c r="X61" i="15" s="1"/>
  <c r="X357" i="16" a="1"/>
  <c r="X357" i="16" s="1"/>
  <c r="Y37" i="15" a="1"/>
  <c r="Y37" i="15" s="1"/>
  <c r="AI5" i="9"/>
  <c r="AI157" i="9"/>
  <c r="S177" i="16" a="1"/>
  <c r="S177" i="16" s="1"/>
  <c r="M157" i="5"/>
  <c r="M5" i="5"/>
  <c r="Z157" i="12"/>
  <c r="Z5" i="12"/>
  <c r="V19" i="16" a="1"/>
  <c r="V19" i="16" s="1"/>
  <c r="V360" i="16" a="1"/>
  <c r="V360" i="16" s="1"/>
  <c r="X21" i="16" a="1"/>
  <c r="X21" i="16" s="1"/>
  <c r="P157" i="9"/>
  <c r="P5" i="9"/>
  <c r="Y334" i="16" a="1"/>
  <c r="Y334" i="16" s="1"/>
  <c r="Y208" i="16" a="1"/>
  <c r="Y208" i="16" s="1"/>
  <c r="Y182" i="16" a="1"/>
  <c r="Y182" i="16" s="1"/>
  <c r="Y34" i="16" a="1"/>
  <c r="Y34" i="16" s="1"/>
  <c r="Y66" i="15" a="1"/>
  <c r="Y66" i="15" s="1"/>
  <c r="Y25" i="15" a="1"/>
  <c r="Y25" i="15" s="1"/>
  <c r="Y53" i="15" a="1"/>
  <c r="Y53" i="15" s="1"/>
  <c r="Y37" i="16" a="1"/>
  <c r="Y37" i="16" s="1"/>
  <c r="Y352" i="16" a="1"/>
  <c r="Y352" i="16" s="1"/>
  <c r="Y321" i="16" a="1"/>
  <c r="Y321" i="16" s="1"/>
  <c r="Y190" i="16" a="1"/>
  <c r="Y190" i="16" s="1"/>
  <c r="Y213" i="16" a="1"/>
  <c r="Y213" i="16" s="1"/>
  <c r="Y196" i="16" a="1"/>
  <c r="Y196" i="16" s="1"/>
  <c r="Y60" i="15" a="1"/>
  <c r="Y60" i="15" s="1"/>
  <c r="Y19" i="15" a="1"/>
  <c r="Y19" i="15" s="1"/>
  <c r="Y69" i="15" a="1"/>
  <c r="Y69" i="15" s="1"/>
  <c r="Y67" i="15" a="1"/>
  <c r="Y67" i="15" s="1"/>
  <c r="Y350" i="16" a="1"/>
  <c r="Y350" i="16" s="1"/>
  <c r="Y315" i="16" a="1"/>
  <c r="Y315" i="16" s="1"/>
  <c r="Y176" i="16" a="1"/>
  <c r="Y176" i="16" s="1"/>
  <c r="Y187" i="16" a="1"/>
  <c r="Y187" i="16" s="1"/>
  <c r="Y21" i="16" a="1"/>
  <c r="Y21" i="16" s="1"/>
  <c r="Y64" i="15" a="1"/>
  <c r="Y64" i="15" s="1"/>
  <c r="Y5" i="15" a="1"/>
  <c r="Y5" i="15" s="1"/>
  <c r="Y74" i="15" a="1"/>
  <c r="Y74" i="15" s="1"/>
  <c r="Y44" i="15" a="1"/>
  <c r="Y44" i="15" s="1"/>
  <c r="Y48" i="15" a="1"/>
  <c r="Y48" i="15" s="1"/>
  <c r="Y72" i="15" a="1"/>
  <c r="Y72" i="15" s="1"/>
  <c r="Y354" i="16" a="1"/>
  <c r="Y354" i="16" s="1"/>
  <c r="Y312" i="16" a="1"/>
  <c r="Y312" i="16" s="1"/>
  <c r="Y206" i="16" a="1"/>
  <c r="Y206" i="16" s="1"/>
  <c r="Y175" i="16" a="1"/>
  <c r="Y175" i="16" s="1"/>
  <c r="Y25" i="16" a="1"/>
  <c r="Y25" i="16" s="1"/>
  <c r="Y62" i="16" a="1"/>
  <c r="Y62" i="16" s="1"/>
  <c r="Y44" i="16" a="1"/>
  <c r="Y44" i="16" s="1"/>
  <c r="Y337" i="16" a="1"/>
  <c r="Y337" i="16" s="1"/>
  <c r="Y317" i="16" a="1"/>
  <c r="Y317" i="16" s="1"/>
  <c r="Y194" i="16" a="1"/>
  <c r="Y194" i="16" s="1"/>
  <c r="Y169" i="16" a="1"/>
  <c r="Y169" i="16" s="1"/>
  <c r="Y14" i="16" a="1"/>
  <c r="Y14" i="16" s="1"/>
  <c r="Y11" i="16" a="1"/>
  <c r="Y11" i="16" s="1"/>
  <c r="Y52" i="15" a="1"/>
  <c r="Y52" i="15" s="1"/>
  <c r="Y335" i="16" a="1"/>
  <c r="Y335" i="16" s="1"/>
  <c r="Y364" i="16" a="1"/>
  <c r="Y364" i="16" s="1"/>
  <c r="Y168" i="16" a="1"/>
  <c r="Y168" i="16" s="1"/>
  <c r="Y74" i="16" a="1"/>
  <c r="Y74" i="16" s="1"/>
  <c r="Y49" i="16" a="1"/>
  <c r="Y49" i="16" s="1"/>
  <c r="Y5" i="16" a="1"/>
  <c r="Y5" i="16" s="1"/>
  <c r="Y18" i="15" a="1"/>
  <c r="Y18" i="15" s="1"/>
  <c r="Y13" i="15" a="1"/>
  <c r="Y13" i="15" s="1"/>
  <c r="Y12" i="15" a="1"/>
  <c r="Y12" i="15" s="1"/>
  <c r="Y4" i="16" a="1"/>
  <c r="Y4" i="16" s="1"/>
  <c r="Y346" i="16" a="1"/>
  <c r="Y346" i="16" s="1"/>
  <c r="Y325" i="16" a="1"/>
  <c r="Y325" i="16" s="1"/>
  <c r="Y212" i="16" a="1"/>
  <c r="Y212" i="16" s="1"/>
  <c r="Y198" i="16" a="1"/>
  <c r="Y198" i="16" s="1"/>
  <c r="Y45" i="16" a="1"/>
  <c r="Y45" i="16" s="1"/>
  <c r="Y13" i="16" a="1"/>
  <c r="Y13" i="16" s="1"/>
  <c r="Y8" i="15" a="1"/>
  <c r="Y8" i="15" s="1"/>
  <c r="Y23" i="15" a="1"/>
  <c r="Y23" i="15" s="1"/>
  <c r="Y8" i="16" a="1"/>
  <c r="Y8" i="16" s="1"/>
  <c r="Y41" i="15" a="1"/>
  <c r="Y41" i="15" s="1"/>
  <c r="Y63" i="16" a="1"/>
  <c r="Y63" i="16" s="1"/>
  <c r="Y326" i="16" a="1"/>
  <c r="Y326" i="16" s="1"/>
  <c r="Y225" i="16" a="1"/>
  <c r="Y225" i="16" s="1"/>
  <c r="Y157" i="16" a="1"/>
  <c r="Y157" i="16" s="1"/>
  <c r="I157" i="16" s="1"/>
  <c r="Y163" i="16" a="1"/>
  <c r="Y163" i="16" s="1"/>
  <c r="Y33" i="16" a="1"/>
  <c r="Y33" i="16" s="1"/>
  <c r="Y73" i="15" a="1"/>
  <c r="Y73" i="15" s="1"/>
  <c r="Y39" i="15" a="1"/>
  <c r="Y39" i="15" s="1"/>
  <c r="Y7" i="15" a="1"/>
  <c r="Y7" i="15" s="1"/>
  <c r="Y35" i="15" a="1"/>
  <c r="Y35" i="15" s="1"/>
  <c r="Y59" i="15" a="1"/>
  <c r="Y59" i="15" s="1"/>
  <c r="Y24" i="15" a="1"/>
  <c r="Y24" i="15" s="1"/>
  <c r="Y376" i="16" a="1"/>
  <c r="Y376" i="16" s="1"/>
  <c r="Y328" i="16" a="1"/>
  <c r="Y328" i="16" s="1"/>
  <c r="Y185" i="16" a="1"/>
  <c r="Y185" i="16" s="1"/>
  <c r="Y158" i="16" a="1"/>
  <c r="Y158" i="16" s="1"/>
  <c r="I158" i="16" s="1"/>
  <c r="Y38" i="16" a="1"/>
  <c r="Y38" i="16" s="1"/>
  <c r="Y58" i="15" a="1"/>
  <c r="Y58" i="15" s="1"/>
  <c r="Y33" i="15" a="1"/>
  <c r="Y33" i="15" s="1"/>
  <c r="Y15" i="15" a="1"/>
  <c r="Y15" i="15" s="1"/>
  <c r="Y50" i="15" a="1"/>
  <c r="Y50" i="15" s="1"/>
  <c r="Y61" i="15" a="1"/>
  <c r="Y61" i="15" s="1"/>
  <c r="Y323" i="16" a="1"/>
  <c r="Y323" i="16" s="1"/>
  <c r="Y191" i="16" a="1"/>
  <c r="Y191" i="16" s="1"/>
  <c r="Y174" i="16" a="1"/>
  <c r="Y174" i="16" s="1"/>
  <c r="Y40" i="16" a="1"/>
  <c r="Y40" i="16" s="1"/>
  <c r="Y66" i="16" a="1"/>
  <c r="Y66" i="16" s="1"/>
  <c r="Y20" i="15" a="1"/>
  <c r="Y20" i="15" s="1"/>
  <c r="Y6" i="15" a="1"/>
  <c r="Y6" i="15" s="1"/>
  <c r="Y49" i="15" a="1"/>
  <c r="Y49" i="15" s="1"/>
  <c r="Y68" i="15" a="1"/>
  <c r="Y68" i="15" s="1"/>
  <c r="Y9" i="15" a="1"/>
  <c r="Y9" i="15" s="1"/>
  <c r="Y21" i="15" a="1"/>
  <c r="Y21" i="15" s="1"/>
  <c r="Y28" i="16" a="1"/>
  <c r="Y28" i="16" s="1"/>
  <c r="Y71" i="15" a="1"/>
  <c r="Y71" i="15" s="1"/>
  <c r="Y36" i="16" a="1"/>
  <c r="Y36" i="16" s="1"/>
  <c r="Y363" i="16" a="1"/>
  <c r="Y363" i="16" s="1"/>
  <c r="Y372" i="16" a="1"/>
  <c r="Y372" i="16" s="1"/>
  <c r="Y217" i="16" a="1"/>
  <c r="Y217" i="16" s="1"/>
  <c r="Y162" i="16" a="1"/>
  <c r="Y162" i="16" s="1"/>
  <c r="Y52" i="16" a="1"/>
  <c r="Y52" i="16" s="1"/>
  <c r="Y15" i="16" a="1"/>
  <c r="Y15" i="16" s="1"/>
  <c r="Y40" i="15" a="1"/>
  <c r="Y40" i="15" s="1"/>
  <c r="Y65" i="15" a="1"/>
  <c r="Y65" i="15" s="1"/>
  <c r="Y370" i="16" a="1"/>
  <c r="Y370" i="16" s="1"/>
  <c r="Y327" i="16" a="1"/>
  <c r="Y327" i="16" s="1"/>
  <c r="Y189" i="16" a="1"/>
  <c r="Y189" i="16" s="1"/>
  <c r="Y211" i="16" a="1"/>
  <c r="Y211" i="16" s="1"/>
  <c r="Y42" i="16" a="1"/>
  <c r="Y42" i="16" s="1"/>
  <c r="Y50" i="16" a="1"/>
  <c r="Y50" i="16" s="1"/>
  <c r="Y57" i="15" a="1"/>
  <c r="Y57" i="15" s="1"/>
  <c r="Y4" i="15" a="1"/>
  <c r="Y4" i="15" s="1"/>
  <c r="Y7" i="16" a="1"/>
  <c r="Y7" i="16" s="1"/>
  <c r="Y23" i="16" a="1"/>
  <c r="Y23" i="16" s="1"/>
  <c r="Y360" i="16" a="1"/>
  <c r="Y360" i="16" s="1"/>
  <c r="Y378" i="16" a="1"/>
  <c r="Y378" i="16" s="1"/>
  <c r="Y186" i="16" a="1"/>
  <c r="Y186" i="16" s="1"/>
  <c r="Y167" i="16" a="1"/>
  <c r="Y167" i="16" s="1"/>
  <c r="Y20" i="16" a="1"/>
  <c r="Y20" i="16" s="1"/>
  <c r="Y39" i="16" a="1"/>
  <c r="Y39" i="16" s="1"/>
  <c r="Y51" i="15" a="1"/>
  <c r="Y51" i="15" s="1"/>
  <c r="Y38" i="15" a="1"/>
  <c r="Y38" i="15" s="1"/>
  <c r="Y42" i="15" a="1"/>
  <c r="Y42" i="15" s="1"/>
  <c r="Y11" i="15" a="1"/>
  <c r="Y11" i="15" s="1"/>
  <c r="Y348" i="16" a="1"/>
  <c r="Y348" i="16" s="1"/>
  <c r="Y341" i="16" a="1"/>
  <c r="Y341" i="16" s="1"/>
  <c r="Y219" i="16" a="1"/>
  <c r="Y219" i="16" s="1"/>
  <c r="Y215" i="16" a="1"/>
  <c r="Y215" i="16" s="1"/>
  <c r="Y31" i="16" a="1"/>
  <c r="Y31" i="16" s="1"/>
  <c r="Y9" i="16" a="1"/>
  <c r="Y9" i="16" s="1"/>
  <c r="Y32" i="16" a="1"/>
  <c r="Y32" i="16" s="1"/>
  <c r="Y55" i="15" a="1"/>
  <c r="Y55" i="15" s="1"/>
  <c r="H5" i="5"/>
  <c r="H157" i="5"/>
  <c r="U12" i="15" a="1"/>
  <c r="U12" i="15" s="1"/>
  <c r="U10" i="15" a="1"/>
  <c r="U10" i="15" s="1"/>
  <c r="U24" i="15" a="1"/>
  <c r="U24" i="15" s="1"/>
  <c r="U35" i="15" a="1"/>
  <c r="U35" i="15" s="1"/>
  <c r="U72" i="15" a="1"/>
  <c r="U72" i="15" s="1"/>
  <c r="U16" i="16" a="1"/>
  <c r="U16" i="16" s="1"/>
  <c r="U43" i="15" a="1"/>
  <c r="U43" i="15" s="1"/>
  <c r="U46" i="16" a="1"/>
  <c r="U46" i="16" s="1"/>
  <c r="U36" i="15" a="1"/>
  <c r="U36" i="15" s="1"/>
  <c r="U27" i="15" a="1"/>
  <c r="U27" i="15" s="1"/>
  <c r="U24" i="16" a="1"/>
  <c r="U24" i="16" s="1"/>
  <c r="U74" i="15" a="1"/>
  <c r="U74" i="15" s="1"/>
  <c r="U16" i="15" a="1"/>
  <c r="U16" i="15" s="1"/>
  <c r="U32" i="15" a="1"/>
  <c r="U32" i="15" s="1"/>
  <c r="U52" i="15" a="1"/>
  <c r="U52" i="15" s="1"/>
  <c r="U70" i="15" a="1"/>
  <c r="U70" i="15" s="1"/>
  <c r="U54" i="15" a="1"/>
  <c r="U54" i="15" s="1"/>
  <c r="U49" i="15" a="1"/>
  <c r="U49" i="15" s="1"/>
  <c r="U23" i="16" a="1"/>
  <c r="U23" i="16" s="1"/>
  <c r="U50" i="15" a="1"/>
  <c r="U50" i="15" s="1"/>
  <c r="U31" i="15" a="1"/>
  <c r="U31" i="15" s="1"/>
  <c r="U4" i="16" a="1"/>
  <c r="U4" i="16" s="1"/>
  <c r="U8" i="16" a="1"/>
  <c r="U8" i="16" s="1"/>
  <c r="U41" i="16" a="1"/>
  <c r="U41" i="16" s="1"/>
  <c r="U23" i="15" a="1"/>
  <c r="U23" i="15" s="1"/>
  <c r="U44" i="15" a="1"/>
  <c r="U44" i="15" s="1"/>
  <c r="U15" i="15" a="1"/>
  <c r="U15" i="15" s="1"/>
  <c r="U30" i="15" a="1"/>
  <c r="U30" i="15" s="1"/>
  <c r="U37" i="16" a="1"/>
  <c r="U37" i="16" s="1"/>
  <c r="U42" i="15" a="1"/>
  <c r="U42" i="15" s="1"/>
  <c r="U29" i="15" a="1"/>
  <c r="U29" i="15" s="1"/>
  <c r="U6" i="16" a="1"/>
  <c r="U6" i="16" s="1"/>
  <c r="AJ5" i="5"/>
  <c r="AJ157" i="5"/>
  <c r="K5" i="8"/>
  <c r="K157" i="8"/>
  <c r="X70" i="15" a="1"/>
  <c r="X70" i="15" s="1"/>
  <c r="X33" i="15" a="1"/>
  <c r="X33" i="15" s="1"/>
  <c r="X72" i="15" a="1"/>
  <c r="X72" i="15" s="1"/>
  <c r="X27" i="15" a="1"/>
  <c r="X27" i="15" s="1"/>
  <c r="X69" i="15" a="1"/>
  <c r="X69" i="15" s="1"/>
  <c r="X17" i="16" a="1"/>
  <c r="X17" i="16" s="1"/>
  <c r="X48" i="15" a="1"/>
  <c r="X48" i="15" s="1"/>
  <c r="X73" i="15" a="1"/>
  <c r="X73" i="15" s="1"/>
  <c r="X9" i="16" a="1"/>
  <c r="X9" i="16" s="1"/>
  <c r="X59" i="15" a="1"/>
  <c r="X59" i="15" s="1"/>
  <c r="X50" i="15" a="1"/>
  <c r="X50" i="15" s="1"/>
  <c r="X54" i="16" a="1"/>
  <c r="X54" i="16" s="1"/>
  <c r="X359" i="16" a="1"/>
  <c r="X359" i="16" s="1"/>
  <c r="X311" i="16" a="1"/>
  <c r="X311" i="16" s="1"/>
  <c r="X199" i="16" a="1"/>
  <c r="X199" i="16" s="1"/>
  <c r="X166" i="16" a="1"/>
  <c r="X166" i="16" s="1"/>
  <c r="X53" i="16" a="1"/>
  <c r="X53" i="16" s="1"/>
  <c r="X67" i="15" a="1"/>
  <c r="X67" i="15" s="1"/>
  <c r="X18" i="15" a="1"/>
  <c r="X18" i="15" s="1"/>
  <c r="X34" i="15" a="1"/>
  <c r="X34" i="15" s="1"/>
  <c r="X68" i="15" a="1"/>
  <c r="X68" i="15" s="1"/>
  <c r="X8" i="16" a="1"/>
  <c r="X8" i="16" s="1"/>
  <c r="X31" i="15" a="1"/>
  <c r="X31" i="15" s="1"/>
  <c r="X46" i="15" a="1"/>
  <c r="X46" i="15" s="1"/>
  <c r="X43" i="15" a="1"/>
  <c r="X43" i="15" s="1"/>
  <c r="X45" i="15" a="1"/>
  <c r="X45" i="15" s="1"/>
  <c r="X52" i="15" a="1"/>
  <c r="X52" i="15" s="1"/>
  <c r="X46" i="16" a="1"/>
  <c r="X46" i="16" s="1"/>
  <c r="X7" i="16" a="1"/>
  <c r="X7" i="16" s="1"/>
  <c r="X23" i="16" a="1"/>
  <c r="X23" i="16" s="1"/>
  <c r="X63" i="15" a="1"/>
  <c r="X63" i="15" s="1"/>
  <c r="X41" i="16" a="1"/>
  <c r="X41" i="16" s="1"/>
  <c r="V65" i="15" a="1"/>
  <c r="V65" i="15" s="1"/>
  <c r="V368" i="16" a="1"/>
  <c r="V368" i="16" s="1"/>
  <c r="X30" i="16" a="1"/>
  <c r="X30" i="16" s="1"/>
  <c r="X325" i="16" a="1"/>
  <c r="X325" i="16" s="1"/>
  <c r="Y22" i="16" a="1"/>
  <c r="Y22" i="16" s="1"/>
  <c r="Y332" i="16" a="1"/>
  <c r="Y332" i="16" s="1"/>
  <c r="AJ5" i="9"/>
  <c r="AJ157" i="9"/>
  <c r="K21" i="14"/>
  <c r="M21" i="14" s="1"/>
  <c r="S49" i="15" a="1"/>
  <c r="S49" i="15" s="1"/>
  <c r="S175" i="16" a="1"/>
  <c r="S175" i="16" s="1"/>
  <c r="P157" i="5"/>
  <c r="P5" i="5"/>
  <c r="V49" i="16" a="1"/>
  <c r="V49" i="16" s="1"/>
  <c r="V363" i="16" a="1"/>
  <c r="V363" i="16" s="1"/>
  <c r="X68" i="16" a="1"/>
  <c r="X68" i="16" s="1"/>
  <c r="X368" i="16" a="1"/>
  <c r="X368" i="16" s="1"/>
  <c r="Y313" i="16" a="1"/>
  <c r="Y313" i="16" s="1"/>
  <c r="Q157" i="5"/>
  <c r="Q5" i="5"/>
  <c r="W374" i="16" a="1"/>
  <c r="W374" i="16" s="1"/>
  <c r="I5" i="4"/>
  <c r="I157" i="4"/>
  <c r="T15" i="16" a="1"/>
  <c r="T15" i="16" s="1"/>
  <c r="T62" i="15" a="1"/>
  <c r="T62" i="15" s="1"/>
  <c r="T37" i="16" a="1"/>
  <c r="T37" i="16" s="1"/>
  <c r="T18" i="16" a="1"/>
  <c r="T18" i="16" s="1"/>
  <c r="T36" i="15" a="1"/>
  <c r="T36" i="15" s="1"/>
  <c r="T8" i="16" a="1"/>
  <c r="T8" i="16" s="1"/>
  <c r="T11" i="15" a="1"/>
  <c r="T11" i="15" s="1"/>
  <c r="T55" i="15" a="1"/>
  <c r="T55" i="15" s="1"/>
  <c r="T33" i="15" a="1"/>
  <c r="T33" i="15" s="1"/>
  <c r="T70" i="15" a="1"/>
  <c r="T70" i="15" s="1"/>
  <c r="T32" i="15" a="1"/>
  <c r="T32" i="15" s="1"/>
  <c r="T13" i="15" a="1"/>
  <c r="T13" i="15" s="1"/>
  <c r="T11" i="16" a="1"/>
  <c r="T11" i="16" s="1"/>
  <c r="T43" i="16" a="1"/>
  <c r="T43" i="16" s="1"/>
  <c r="T52" i="15" a="1"/>
  <c r="T52" i="15" s="1"/>
  <c r="T31" i="15" a="1"/>
  <c r="T31" i="15" s="1"/>
  <c r="V31" i="15" a="1"/>
  <c r="V31" i="15" s="1"/>
  <c r="K36" i="14"/>
  <c r="M36" i="14" s="1"/>
  <c r="AB68" i="15" a="1"/>
  <c r="AB68" i="15" s="1"/>
  <c r="V57" i="16" a="1"/>
  <c r="V57" i="16" s="1"/>
  <c r="X31" i="16" a="1"/>
  <c r="X31" i="16" s="1"/>
  <c r="X362" i="16" a="1"/>
  <c r="X362" i="16" s="1"/>
  <c r="Y60" i="16" a="1"/>
  <c r="Y60" i="16" s="1"/>
  <c r="Y343" i="16" a="1"/>
  <c r="Y343" i="16" s="1"/>
  <c r="S32" i="15" a="1"/>
  <c r="S32" i="15" s="1"/>
  <c r="S224" i="16" a="1"/>
  <c r="S224" i="16" s="1"/>
  <c r="V29" i="16" a="1"/>
  <c r="V29" i="16" s="1"/>
  <c r="V65" i="16" a="1"/>
  <c r="V65" i="16" s="1"/>
  <c r="F156" i="12"/>
  <c r="X190" i="16" a="1"/>
  <c r="X190" i="16" s="1"/>
  <c r="Y35" i="16" a="1"/>
  <c r="Y35" i="16" s="1"/>
  <c r="Y362" i="16" a="1"/>
  <c r="Y362" i="16" s="1"/>
  <c r="S219" i="16" a="1"/>
  <c r="S219" i="16" s="1"/>
  <c r="V45" i="16" a="1"/>
  <c r="V45" i="16" s="1"/>
  <c r="V6" i="16" a="1"/>
  <c r="V6" i="16" s="1"/>
  <c r="Z31" i="15" a="1"/>
  <c r="Z31" i="15" s="1"/>
  <c r="Q5" i="6"/>
  <c r="Q157" i="6"/>
  <c r="V20" i="16" a="1"/>
  <c r="V20" i="16" s="1"/>
  <c r="X180" i="16" a="1"/>
  <c r="X180" i="16" s="1"/>
  <c r="Y59" i="16" a="1"/>
  <c r="Y59" i="16" s="1"/>
  <c r="Y371" i="16" a="1"/>
  <c r="Y371" i="16" s="1"/>
  <c r="S41" i="15" a="1"/>
  <c r="S41" i="15" s="1"/>
  <c r="S315" i="16" a="1"/>
  <c r="S315" i="16" s="1"/>
  <c r="V4" i="16" a="1"/>
  <c r="V4" i="16" s="1"/>
  <c r="X42" i="15" a="1"/>
  <c r="X42" i="15" s="1"/>
  <c r="Y27" i="15" a="1"/>
  <c r="Y27" i="15" s="1"/>
  <c r="T15" i="15" a="1"/>
  <c r="T15" i="15" s="1"/>
  <c r="V32" i="16" a="1"/>
  <c r="V32" i="16" s="1"/>
  <c r="X186" i="16" a="1"/>
  <c r="X186" i="16" s="1"/>
  <c r="Y53" i="16" a="1"/>
  <c r="Y53" i="16" s="1"/>
  <c r="Y345" i="16" a="1"/>
  <c r="Y345" i="16" s="1"/>
  <c r="W157" i="9"/>
  <c r="W5" i="9"/>
  <c r="S73" i="15" a="1"/>
  <c r="S73" i="15" s="1"/>
  <c r="S312" i="16" a="1"/>
  <c r="S312" i="16" s="1"/>
  <c r="T157" i="2"/>
  <c r="T5" i="2"/>
  <c r="V5" i="16" a="1"/>
  <c r="V5" i="16" s="1"/>
  <c r="V35" i="16" a="1"/>
  <c r="V35" i="16" s="1"/>
  <c r="X176" i="16" a="1"/>
  <c r="X176" i="16" s="1"/>
  <c r="V361" i="16" a="1"/>
  <c r="V361" i="16" s="1"/>
  <c r="Y12" i="16" a="1"/>
  <c r="Y12" i="16" s="1"/>
  <c r="Y368" i="16" a="1"/>
  <c r="Y368" i="16" s="1"/>
  <c r="S38" i="15" a="1"/>
  <c r="S38" i="15" s="1"/>
  <c r="S330" i="16" a="1"/>
  <c r="S330" i="16" s="1"/>
  <c r="U5" i="7"/>
  <c r="U157" i="7"/>
  <c r="X157" i="2"/>
  <c r="X5" i="2"/>
  <c r="AB157" i="13"/>
  <c r="AB5" i="13"/>
  <c r="AD157" i="12"/>
  <c r="AD5" i="12"/>
  <c r="X185" i="16" a="1"/>
  <c r="X185" i="16" s="1"/>
  <c r="Y68" i="16" a="1"/>
  <c r="Y68" i="16" s="1"/>
  <c r="Z22" i="15" a="1"/>
  <c r="Z22" i="15" s="1"/>
  <c r="S17" i="15" a="1"/>
  <c r="S17" i="15" s="1"/>
  <c r="S335" i="16" a="1"/>
  <c r="S335" i="16" s="1"/>
  <c r="W157" i="7"/>
  <c r="W5" i="7"/>
  <c r="Y157" i="2"/>
  <c r="Y5" i="2"/>
  <c r="I5" i="6"/>
  <c r="I157" i="6"/>
  <c r="V374" i="16" a="1"/>
  <c r="V374" i="16" s="1"/>
  <c r="V196" i="16" a="1"/>
  <c r="V196" i="16" s="1"/>
  <c r="V218" i="16" a="1"/>
  <c r="V218" i="16" s="1"/>
  <c r="V13" i="16" a="1"/>
  <c r="V13" i="16" s="1"/>
  <c r="V12" i="16" a="1"/>
  <c r="V12" i="16" s="1"/>
  <c r="V7" i="15" a="1"/>
  <c r="V7" i="15" s="1"/>
  <c r="V10" i="15" a="1"/>
  <c r="V10" i="15" s="1"/>
  <c r="V42" i="15" a="1"/>
  <c r="V42" i="15" s="1"/>
  <c r="V22" i="16" a="1"/>
  <c r="V22" i="16" s="1"/>
  <c r="V366" i="16" a="1"/>
  <c r="V366" i="16" s="1"/>
  <c r="V225" i="16" a="1"/>
  <c r="V225" i="16" s="1"/>
  <c r="V161" i="16" a="1"/>
  <c r="V161" i="16" s="1"/>
  <c r="V72" i="16" a="1"/>
  <c r="V72" i="16" s="1"/>
  <c r="V58" i="15" a="1"/>
  <c r="V58" i="15" s="1"/>
  <c r="V32" i="15" a="1"/>
  <c r="V32" i="15" s="1"/>
  <c r="V74" i="15" a="1"/>
  <c r="V74" i="15" s="1"/>
  <c r="V47" i="15" a="1"/>
  <c r="V47" i="15" s="1"/>
  <c r="V34" i="16" a="1"/>
  <c r="V34" i="16" s="1"/>
  <c r="V71" i="15" a="1"/>
  <c r="V71" i="15" s="1"/>
  <c r="V63" i="15" a="1"/>
  <c r="V63" i="15" s="1"/>
  <c r="V53" i="15" a="1"/>
  <c r="V53" i="15" s="1"/>
  <c r="V36" i="15" a="1"/>
  <c r="V36" i="15" s="1"/>
  <c r="V27" i="15" a="1"/>
  <c r="V27" i="15" s="1"/>
  <c r="V345" i="16" a="1"/>
  <c r="V345" i="16" s="1"/>
  <c r="V220" i="16" a="1"/>
  <c r="V220" i="16" s="1"/>
  <c r="V162" i="16" a="1"/>
  <c r="V162" i="16" s="1"/>
  <c r="V30" i="16" a="1"/>
  <c r="V30" i="16" s="1"/>
  <c r="V41" i="15" a="1"/>
  <c r="V41" i="15" s="1"/>
  <c r="V24" i="15" a="1"/>
  <c r="V24" i="15" s="1"/>
  <c r="V4" i="15" a="1"/>
  <c r="V4" i="15" s="1"/>
  <c r="V11" i="16" a="1"/>
  <c r="V11" i="16" s="1"/>
  <c r="V321" i="16" a="1"/>
  <c r="V321" i="16" s="1"/>
  <c r="V189" i="16" a="1"/>
  <c r="V189" i="16" s="1"/>
  <c r="V158" i="16" a="1"/>
  <c r="V158" i="16" s="1"/>
  <c r="F158" i="16" s="1"/>
  <c r="V48" i="16" a="1"/>
  <c r="V48" i="16" s="1"/>
  <c r="V67" i="15" a="1"/>
  <c r="V67" i="15" s="1"/>
  <c r="V5" i="15" a="1"/>
  <c r="V5" i="15" s="1"/>
  <c r="V6" i="15" a="1"/>
  <c r="V6" i="15" s="1"/>
  <c r="V70" i="15" a="1"/>
  <c r="V70" i="15" s="1"/>
  <c r="V52" i="15" a="1"/>
  <c r="V52" i="15" s="1"/>
  <c r="V49" i="15" a="1"/>
  <c r="V49" i="15" s="1"/>
  <c r="V357" i="16" a="1"/>
  <c r="V357" i="16" s="1"/>
  <c r="V191" i="16" a="1"/>
  <c r="V191" i="16" s="1"/>
  <c r="V180" i="16" a="1"/>
  <c r="V180" i="16" s="1"/>
  <c r="V40" i="16" a="1"/>
  <c r="V40" i="16" s="1"/>
  <c r="V61" i="15" a="1"/>
  <c r="V61" i="15" s="1"/>
  <c r="V7" i="16" a="1"/>
  <c r="V7" i="16" s="1"/>
  <c r="V73" i="15" a="1"/>
  <c r="V73" i="15" s="1"/>
  <c r="V341" i="16" a="1"/>
  <c r="V341" i="16" s="1"/>
  <c r="V182" i="16" a="1"/>
  <c r="V182" i="16" s="1"/>
  <c r="V52" i="16" a="1"/>
  <c r="V52" i="16" s="1"/>
  <c r="V14" i="16" a="1"/>
  <c r="V14" i="16" s="1"/>
  <c r="V56" i="15" a="1"/>
  <c r="V56" i="15" s="1"/>
  <c r="V18" i="15" a="1"/>
  <c r="V18" i="15" s="1"/>
  <c r="V21" i="15" a="1"/>
  <c r="V21" i="15" s="1"/>
  <c r="V50" i="15" a="1"/>
  <c r="V50" i="15" s="1"/>
  <c r="V375" i="16" a="1"/>
  <c r="V375" i="16" s="1"/>
  <c r="V217" i="16" a="1"/>
  <c r="V217" i="16" s="1"/>
  <c r="V53" i="16" a="1"/>
  <c r="V53" i="16" s="1"/>
  <c r="V27" i="16" a="1"/>
  <c r="V27" i="16" s="1"/>
  <c r="V19" i="15" a="1"/>
  <c r="V19" i="15" s="1"/>
  <c r="V8" i="15" a="1"/>
  <c r="V8" i="15" s="1"/>
  <c r="V41" i="16" a="1"/>
  <c r="V41" i="16" s="1"/>
  <c r="V367" i="16" a="1"/>
  <c r="V367" i="16" s="1"/>
  <c r="V219" i="16" a="1"/>
  <c r="V219" i="16" s="1"/>
  <c r="V74" i="16" a="1"/>
  <c r="V74" i="16" s="1"/>
  <c r="V25" i="16" a="1"/>
  <c r="V25" i="16" s="1"/>
  <c r="V17" i="16" a="1"/>
  <c r="V17" i="16" s="1"/>
  <c r="V37" i="15" a="1"/>
  <c r="V37" i="15" s="1"/>
  <c r="V23" i="15" a="1"/>
  <c r="V23" i="15" s="1"/>
  <c r="V44" i="15" a="1"/>
  <c r="V44" i="15" s="1"/>
  <c r="V26" i="15" a="1"/>
  <c r="V26" i="15" s="1"/>
  <c r="V54" i="15" a="1"/>
  <c r="V54" i="15" s="1"/>
  <c r="V51" i="15" a="1"/>
  <c r="V51" i="15" s="1"/>
  <c r="V63" i="16" a="1"/>
  <c r="V63" i="16" s="1"/>
  <c r="V9" i="15" a="1"/>
  <c r="V9" i="15" s="1"/>
  <c r="V344" i="16" a="1"/>
  <c r="V344" i="16" s="1"/>
  <c r="V208" i="16" a="1"/>
  <c r="V208" i="16" s="1"/>
  <c r="V172" i="16" a="1"/>
  <c r="V172" i="16" s="1"/>
  <c r="V47" i="16" a="1"/>
  <c r="V47" i="16" s="1"/>
  <c r="V39" i="15" a="1"/>
  <c r="V39" i="15" s="1"/>
  <c r="V69" i="15" a="1"/>
  <c r="V69" i="15" s="1"/>
  <c r="V15" i="15" a="1"/>
  <c r="V15" i="15" s="1"/>
  <c r="V371" i="16" a="1"/>
  <c r="V371" i="16" s="1"/>
  <c r="V337" i="16" a="1"/>
  <c r="V337" i="16" s="1"/>
  <c r="V167" i="16" a="1"/>
  <c r="V167" i="16" s="1"/>
  <c r="V31" i="16" a="1"/>
  <c r="V31" i="16" s="1"/>
  <c r="V39" i="16" a="1"/>
  <c r="V39" i="16" s="1"/>
  <c r="V46" i="15" a="1"/>
  <c r="V46" i="15" s="1"/>
  <c r="V62" i="15" a="1"/>
  <c r="V62" i="15" s="1"/>
  <c r="V40" i="15" a="1"/>
  <c r="V40" i="15" s="1"/>
  <c r="V48" i="15" a="1"/>
  <c r="V48" i="15" s="1"/>
  <c r="V33" i="15" a="1"/>
  <c r="V33" i="15" s="1"/>
  <c r="V358" i="16" a="1"/>
  <c r="V358" i="16" s="1"/>
  <c r="V349" i="16" a="1"/>
  <c r="V349" i="16" s="1"/>
  <c r="V179" i="16" a="1"/>
  <c r="V179" i="16" s="1"/>
  <c r="V55" i="16" a="1"/>
  <c r="V55" i="16" s="1"/>
  <c r="V9" i="16" a="1"/>
  <c r="V9" i="16" s="1"/>
  <c r="V57" i="15" a="1"/>
  <c r="V57" i="15" s="1"/>
  <c r="V325" i="16" a="1"/>
  <c r="V325" i="16" s="1"/>
  <c r="V334" i="16" a="1"/>
  <c r="V334" i="16" s="1"/>
  <c r="V197" i="16" a="1"/>
  <c r="V197" i="16" s="1"/>
  <c r="V50" i="16" a="1"/>
  <c r="V50" i="16" s="1"/>
  <c r="V46" i="16" a="1"/>
  <c r="V46" i="16" s="1"/>
  <c r="V66" i="15" a="1"/>
  <c r="V66" i="15" s="1"/>
  <c r="V64" i="15" a="1"/>
  <c r="V64" i="15" s="1"/>
  <c r="V29" i="15" a="1"/>
  <c r="V29" i="15" s="1"/>
  <c r="V376" i="16" a="1"/>
  <c r="V376" i="16" s="1"/>
  <c r="V326" i="16" a="1"/>
  <c r="V326" i="16" s="1"/>
  <c r="V185" i="16" a="1"/>
  <c r="V185" i="16" s="1"/>
  <c r="V169" i="16" a="1"/>
  <c r="V169" i="16" s="1"/>
  <c r="V10" i="16" a="1"/>
  <c r="V10" i="16" s="1"/>
  <c r="V45" i="15" a="1"/>
  <c r="V45" i="15" s="1"/>
  <c r="V68" i="15" a="1"/>
  <c r="V68" i="15" s="1"/>
  <c r="V12" i="15" a="1"/>
  <c r="V12" i="15" s="1"/>
  <c r="V8" i="16" a="1"/>
  <c r="V8" i="16" s="1"/>
  <c r="V28" i="15" a="1"/>
  <c r="V28" i="15" s="1"/>
  <c r="V44" i="16" a="1"/>
  <c r="V44" i="16" s="1"/>
  <c r="V60" i="16" a="1"/>
  <c r="V60" i="16" s="1"/>
  <c r="V370" i="16" a="1"/>
  <c r="V370" i="16" s="1"/>
  <c r="V327" i="16" a="1"/>
  <c r="V327" i="16" s="1"/>
  <c r="V174" i="16" a="1"/>
  <c r="V174" i="16" s="1"/>
  <c r="V15" i="16" a="1"/>
  <c r="V15" i="16" s="1"/>
  <c r="V38" i="16" a="1"/>
  <c r="V38" i="16" s="1"/>
  <c r="V38" i="15" a="1"/>
  <c r="V38" i="15" s="1"/>
  <c r="V34" i="15" a="1"/>
  <c r="V34" i="15" s="1"/>
  <c r="V14" i="15" a="1"/>
  <c r="V14" i="15" s="1"/>
  <c r="V28" i="16" a="1"/>
  <c r="V28" i="16" s="1"/>
  <c r="V16" i="16" a="1"/>
  <c r="V16" i="16" s="1"/>
  <c r="Y222" i="16" a="1"/>
  <c r="Y222" i="16" s="1"/>
  <c r="Y32" i="15" a="1"/>
  <c r="Y32" i="15" s="1"/>
  <c r="W157" i="2"/>
  <c r="W5" i="2"/>
  <c r="S67" i="15" a="1"/>
  <c r="S67" i="15" s="1"/>
  <c r="X157" i="7"/>
  <c r="X5" i="7"/>
  <c r="V37" i="16" a="1"/>
  <c r="V37" i="16" s="1"/>
  <c r="V43" i="16" a="1"/>
  <c r="V43" i="16" s="1"/>
  <c r="AH157" i="12"/>
  <c r="AH5" i="12"/>
  <c r="M157" i="13"/>
  <c r="M5" i="13"/>
  <c r="AC60" i="16" a="1"/>
  <c r="AC60" i="16" s="1"/>
  <c r="AC15" i="16" a="1"/>
  <c r="AC15" i="16" s="1"/>
  <c r="AC44" i="16" a="1"/>
  <c r="AC44" i="16" s="1"/>
  <c r="AC4" i="16" a="1"/>
  <c r="AC4" i="16" s="1"/>
  <c r="AC22" i="16" a="1"/>
  <c r="AC22" i="16" s="1"/>
  <c r="AC23" i="16" a="1"/>
  <c r="AC23" i="16" s="1"/>
  <c r="AC32" i="15" a="1"/>
  <c r="AC32" i="15" s="1"/>
  <c r="AC14" i="16" a="1"/>
  <c r="AC14" i="16" s="1"/>
  <c r="AC63" i="15" a="1"/>
  <c r="AC63" i="15" s="1"/>
  <c r="AC17" i="16" a="1"/>
  <c r="AC17" i="16" s="1"/>
  <c r="AC54" i="15" a="1"/>
  <c r="AC54" i="15" s="1"/>
  <c r="AC56" i="15" a="1"/>
  <c r="AC56" i="15" s="1"/>
  <c r="AB157" i="10"/>
  <c r="AB5" i="10"/>
  <c r="AC5" i="3"/>
  <c r="AC157" i="3"/>
  <c r="S28" i="15" a="1"/>
  <c r="S28" i="15" s="1"/>
  <c r="S69" i="15" a="1"/>
  <c r="S69" i="15" s="1"/>
  <c r="S4" i="16" a="1"/>
  <c r="S4" i="16" s="1"/>
  <c r="S63" i="16" a="1"/>
  <c r="S63" i="16" s="1"/>
  <c r="S54" i="16" a="1"/>
  <c r="S54" i="16" s="1"/>
  <c r="S28" i="16" a="1"/>
  <c r="S28" i="16" s="1"/>
  <c r="S11" i="16" a="1"/>
  <c r="S11" i="16" s="1"/>
  <c r="S26" i="16" a="1"/>
  <c r="S26" i="16" s="1"/>
  <c r="S61" i="16" a="1"/>
  <c r="S61" i="16" s="1"/>
  <c r="S51" i="16" a="1"/>
  <c r="S51" i="16" s="1"/>
  <c r="S27" i="15" a="1"/>
  <c r="S27" i="15" s="1"/>
  <c r="S48" i="15" a="1"/>
  <c r="S48" i="15" s="1"/>
  <c r="S47" i="15" a="1"/>
  <c r="S47" i="15" s="1"/>
  <c r="S55" i="15" a="1"/>
  <c r="S55" i="15" s="1"/>
  <c r="S11" i="15" a="1"/>
  <c r="S11" i="15" s="1"/>
  <c r="S70" i="15" a="1"/>
  <c r="S70" i="15" s="1"/>
  <c r="S62" i="15" a="1"/>
  <c r="S62" i="15" s="1"/>
  <c r="S16" i="16" a="1"/>
  <c r="S16" i="16" s="1"/>
  <c r="S4" i="15" a="1"/>
  <c r="S4" i="15" s="1"/>
  <c r="S35" i="15" a="1"/>
  <c r="S35" i="15" s="1"/>
  <c r="S29" i="16" a="1"/>
  <c r="S29" i="16" s="1"/>
  <c r="S68" i="15" a="1"/>
  <c r="S68" i="15" s="1"/>
  <c r="S52" i="15" a="1"/>
  <c r="S52" i="15" s="1"/>
  <c r="S43" i="15" a="1"/>
  <c r="S43" i="15" s="1"/>
  <c r="V168" i="16" a="1"/>
  <c r="V168" i="16" s="1"/>
  <c r="X29" i="15" a="1"/>
  <c r="X29" i="15" s="1"/>
  <c r="X198" i="16" a="1"/>
  <c r="X198" i="16" s="1"/>
  <c r="AC157" i="6"/>
  <c r="AC5" i="6"/>
  <c r="Y161" i="16" a="1"/>
  <c r="Y161" i="16" s="1"/>
  <c r="S13" i="16" a="1"/>
  <c r="S13" i="16" s="1"/>
  <c r="S363" i="16" a="1"/>
  <c r="S363" i="16" s="1"/>
  <c r="AA5" i="2"/>
  <c r="AA157" i="2"/>
  <c r="V24" i="16" a="1"/>
  <c r="V24" i="16" s="1"/>
  <c r="X60" i="16" a="1"/>
  <c r="X60" i="16" s="1"/>
  <c r="Z72" i="15" a="1"/>
  <c r="Z72" i="15" s="1"/>
  <c r="T51" i="15" a="1"/>
  <c r="T51" i="15" s="1"/>
  <c r="K63" i="14"/>
  <c r="AC4" i="15" a="1"/>
  <c r="AC4" i="15" s="1"/>
  <c r="S377" i="16" a="1"/>
  <c r="S377" i="16" s="1"/>
  <c r="S16" i="15" a="1"/>
  <c r="S16" i="15" s="1"/>
  <c r="V175" i="16" a="1"/>
  <c r="V175" i="16" s="1"/>
  <c r="X65" i="15" a="1"/>
  <c r="X65" i="15" s="1"/>
  <c r="X213" i="16" a="1"/>
  <c r="X213" i="16" s="1"/>
  <c r="K157" i="6"/>
  <c r="K5" i="6"/>
  <c r="Y30" i="15" a="1"/>
  <c r="Y30" i="15" s="1"/>
  <c r="Y165" i="16" a="1"/>
  <c r="Y165" i="16" s="1"/>
  <c r="K35" i="14"/>
  <c r="M35" i="14" s="1"/>
  <c r="S32" i="16" a="1"/>
  <c r="S32" i="16" s="1"/>
  <c r="S373" i="16" a="1"/>
  <c r="S373" i="16" s="1"/>
  <c r="Z157" i="7"/>
  <c r="Z5" i="7"/>
  <c r="T28" i="16" a="1"/>
  <c r="T28" i="16" s="1"/>
  <c r="AC157" i="13"/>
  <c r="AC5" i="13"/>
  <c r="V16" i="15" a="1"/>
  <c r="V16" i="15" s="1"/>
  <c r="N4" i="15"/>
  <c r="M4" i="15"/>
  <c r="I4" i="15"/>
  <c r="F4" i="15"/>
  <c r="C4" i="15"/>
  <c r="G4" i="15"/>
  <c r="B4" i="15"/>
  <c r="A4" i="15"/>
  <c r="T16" i="15" a="1"/>
  <c r="T16" i="15" s="1"/>
  <c r="AB19" i="16" a="1"/>
  <c r="AB19" i="16" s="1"/>
  <c r="K47" i="14"/>
  <c r="M47" i="14" s="1"/>
  <c r="X10" i="15" a="1"/>
  <c r="X10" i="15" s="1"/>
  <c r="V176" i="16" a="1"/>
  <c r="V176" i="16" s="1"/>
  <c r="X51" i="15" a="1"/>
  <c r="X51" i="15" s="1"/>
  <c r="X193" i="16" a="1"/>
  <c r="X193" i="16" s="1"/>
  <c r="Y17" i="15" a="1"/>
  <c r="Y17" i="15" s="1"/>
  <c r="Y166" i="16" a="1"/>
  <c r="Y166" i="16" s="1"/>
  <c r="X28" i="15" a="1"/>
  <c r="X28" i="15" s="1"/>
  <c r="S34" i="16" a="1"/>
  <c r="S34" i="16" s="1"/>
  <c r="S344" i="16" a="1"/>
  <c r="S344" i="16" s="1"/>
  <c r="V210" i="16" a="1"/>
  <c r="V210" i="16" s="1"/>
  <c r="V200" i="16" a="1"/>
  <c r="V200" i="16" s="1"/>
  <c r="V36" i="16" a="1"/>
  <c r="V36" i="16" s="1"/>
  <c r="X36" i="16" a="1"/>
  <c r="X36" i="16" s="1"/>
  <c r="Z23" i="16" a="1"/>
  <c r="Z23" i="16" s="1"/>
  <c r="X71" i="15" a="1"/>
  <c r="X71" i="15" s="1"/>
  <c r="X47" i="15" a="1"/>
  <c r="X47" i="15" s="1"/>
  <c r="X55" i="15" a="1"/>
  <c r="X55" i="15" s="1"/>
  <c r="Y36" i="15" a="1"/>
  <c r="Y36" i="15" s="1"/>
  <c r="T23" i="15" a="1"/>
  <c r="T23" i="15" s="1"/>
  <c r="V13" i="15" a="1"/>
  <c r="V13" i="15" s="1"/>
  <c r="V212" i="16" a="1"/>
  <c r="V212" i="16" s="1"/>
  <c r="X54" i="15" a="1"/>
  <c r="X54" i="15" s="1"/>
  <c r="X208" i="16" a="1"/>
  <c r="X208" i="16" s="1"/>
  <c r="AC62" i="15" a="1"/>
  <c r="AC62" i="15" s="1"/>
  <c r="Y199" i="16" a="1"/>
  <c r="Y199" i="16" s="1"/>
  <c r="S57" i="16" a="1"/>
  <c r="S57" i="16" s="1"/>
  <c r="S360" i="16" a="1"/>
  <c r="S360" i="16" s="1"/>
  <c r="AB52" i="15" a="1"/>
  <c r="AB52" i="15" s="1"/>
  <c r="H157" i="13"/>
  <c r="H5" i="13"/>
  <c r="Z28" i="15" a="1"/>
  <c r="Z28" i="15" s="1"/>
  <c r="AB8" i="15" a="1"/>
  <c r="AB8" i="15" s="1"/>
  <c r="AC52" i="15" a="1"/>
  <c r="AC52" i="15" s="1"/>
  <c r="J5" i="12"/>
  <c r="J157" i="12"/>
  <c r="AC36" i="15" a="1"/>
  <c r="AC36" i="15" s="1"/>
  <c r="AB29" i="15" a="1"/>
  <c r="AB29" i="15" s="1"/>
  <c r="AB66" i="16" a="1"/>
  <c r="AB66" i="16" s="1"/>
  <c r="AB176" i="16" a="1"/>
  <c r="AB176" i="16" s="1"/>
  <c r="AB211" i="16" a="1"/>
  <c r="AB211" i="16" s="1"/>
  <c r="AB209" i="16" a="1"/>
  <c r="AB209" i="16" s="1"/>
  <c r="AB327" i="16" a="1"/>
  <c r="AB327" i="16" s="1"/>
  <c r="AB42" i="15" a="1"/>
  <c r="AB42" i="15" s="1"/>
  <c r="S53" i="15" a="1"/>
  <c r="S53" i="15" s="1"/>
  <c r="Y157" i="9"/>
  <c r="Y5" i="9"/>
  <c r="AB10" i="15" a="1"/>
  <c r="AB10" i="15" s="1"/>
  <c r="X17" i="15" a="1"/>
  <c r="X17" i="15" s="1"/>
  <c r="X58" i="15" a="1"/>
  <c r="X58" i="15" s="1"/>
  <c r="X62" i="16" a="1"/>
  <c r="X62" i="16" s="1"/>
  <c r="X158" i="16" a="1"/>
  <c r="X158" i="16" s="1"/>
  <c r="H158" i="16" s="1"/>
  <c r="X165" i="16" a="1"/>
  <c r="X165" i="16" s="1"/>
  <c r="X327" i="16" a="1"/>
  <c r="X327" i="16" s="1"/>
  <c r="X370" i="16" a="1"/>
  <c r="X370" i="16" s="1"/>
  <c r="AE157" i="6"/>
  <c r="AE5" i="6"/>
  <c r="Q157" i="9"/>
  <c r="Q5" i="9"/>
  <c r="AA32" i="15" a="1"/>
  <c r="AA32" i="15" s="1"/>
  <c r="AA45" i="16" a="1"/>
  <c r="AA45" i="16" s="1"/>
  <c r="AA32" i="16" a="1"/>
  <c r="AA32" i="16" s="1"/>
  <c r="AA188" i="16" a="1"/>
  <c r="AA188" i="16" s="1"/>
  <c r="AA350" i="16" a="1"/>
  <c r="AA350" i="16" s="1"/>
  <c r="AA363" i="16" a="1"/>
  <c r="AA363" i="16" s="1"/>
  <c r="S5" i="5"/>
  <c r="S157" i="5"/>
  <c r="S58" i="15" a="1"/>
  <c r="S58" i="15" s="1"/>
  <c r="S59" i="15" a="1"/>
  <c r="S59" i="15" s="1"/>
  <c r="S42" i="16" a="1"/>
  <c r="S42" i="16" s="1"/>
  <c r="S168" i="16" a="1"/>
  <c r="S168" i="16" s="1"/>
  <c r="S188" i="16" a="1"/>
  <c r="S188" i="16" s="1"/>
  <c r="S313" i="16" a="1"/>
  <c r="S313" i="16" s="1"/>
  <c r="S348" i="16" a="1"/>
  <c r="S348" i="16" s="1"/>
  <c r="N157" i="5"/>
  <c r="N5" i="5"/>
  <c r="Y157" i="7"/>
  <c r="Y5" i="7"/>
  <c r="R370" i="16" a="1"/>
  <c r="R370" i="16" s="1"/>
  <c r="R371" i="16" a="1"/>
  <c r="R371" i="16" s="1"/>
  <c r="R366" i="16" a="1"/>
  <c r="R366" i="16" s="1"/>
  <c r="R344" i="16" a="1"/>
  <c r="R344" i="16" s="1"/>
  <c r="R374" i="16" a="1"/>
  <c r="R374" i="16" s="1"/>
  <c r="R367" i="16" a="1"/>
  <c r="R367" i="16" s="1"/>
  <c r="R377" i="16" a="1"/>
  <c r="R377" i="16" s="1"/>
  <c r="R376" i="16" a="1"/>
  <c r="R376" i="16" s="1"/>
  <c r="R363" i="16" a="1"/>
  <c r="R363" i="16" s="1"/>
  <c r="R335" i="16" a="1"/>
  <c r="R335" i="16" s="1"/>
  <c r="R359" i="16" a="1"/>
  <c r="R359" i="16" s="1"/>
  <c r="R340" i="16" a="1"/>
  <c r="R340" i="16" s="1"/>
  <c r="R353" i="16" a="1"/>
  <c r="R353" i="16" s="1"/>
  <c r="R361" i="16" a="1"/>
  <c r="R361" i="16" s="1"/>
  <c r="R349" i="16" a="1"/>
  <c r="R349" i="16" s="1"/>
  <c r="R345" i="16" a="1"/>
  <c r="R345" i="16" s="1"/>
  <c r="R325" i="16" a="1"/>
  <c r="R325" i="16" s="1"/>
  <c r="R327" i="16" a="1"/>
  <c r="R327" i="16" s="1"/>
  <c r="R313" i="16" a="1"/>
  <c r="R313" i="16" s="1"/>
  <c r="R334" i="16" a="1"/>
  <c r="R334" i="16" s="1"/>
  <c r="R360" i="16" a="1"/>
  <c r="R360" i="16" s="1"/>
  <c r="R331" i="16" a="1"/>
  <c r="R331" i="16" s="1"/>
  <c r="R341" i="16" a="1"/>
  <c r="R341" i="16" s="1"/>
  <c r="R321" i="16" a="1"/>
  <c r="R321" i="16" s="1"/>
  <c r="R364" i="16" a="1"/>
  <c r="R364" i="16" s="1"/>
  <c r="R352" i="16" a="1"/>
  <c r="R352" i="16" s="1"/>
  <c r="R348" i="16" a="1"/>
  <c r="R348" i="16" s="1"/>
  <c r="R342" i="16" a="1"/>
  <c r="R342" i="16" s="1"/>
  <c r="R330" i="16" a="1"/>
  <c r="R330" i="16" s="1"/>
  <c r="R355" i="16" a="1"/>
  <c r="R355" i="16" s="1"/>
  <c r="R326" i="16" a="1"/>
  <c r="R326" i="16" s="1"/>
  <c r="R319" i="16" a="1"/>
  <c r="R319" i="16" s="1"/>
  <c r="R214" i="16" a="1"/>
  <c r="R214" i="16" s="1"/>
  <c r="R318" i="16" a="1"/>
  <c r="R318" i="16" s="1"/>
  <c r="R226" i="16" a="1"/>
  <c r="R226" i="16" s="1"/>
  <c r="R317" i="16" a="1"/>
  <c r="R317" i="16" s="1"/>
  <c r="R224" i="16" a="1"/>
  <c r="R224" i="16" s="1"/>
  <c r="R222" i="16" a="1"/>
  <c r="R222" i="16" s="1"/>
  <c r="R328" i="16" a="1"/>
  <c r="R328" i="16" s="1"/>
  <c r="R311" i="16" a="1"/>
  <c r="R311" i="16" s="1"/>
  <c r="R196" i="16" a="1"/>
  <c r="R196" i="16" s="1"/>
  <c r="R213" i="16" a="1"/>
  <c r="R213" i="16" s="1"/>
  <c r="R197" i="16" a="1"/>
  <c r="R197" i="16" s="1"/>
  <c r="R220" i="16" a="1"/>
  <c r="R220" i="16" s="1"/>
  <c r="R190" i="16" a="1"/>
  <c r="R190" i="16" s="1"/>
  <c r="R191" i="16" a="1"/>
  <c r="R191" i="16" s="1"/>
  <c r="R203" i="16" a="1"/>
  <c r="R203" i="16" s="1"/>
  <c r="R166" i="16" a="1"/>
  <c r="R166" i="16" s="1"/>
  <c r="R221" i="16" a="1"/>
  <c r="R221" i="16" s="1"/>
  <c r="R206" i="16" a="1"/>
  <c r="R206" i="16" s="1"/>
  <c r="R193" i="16" a="1"/>
  <c r="R193" i="16" s="1"/>
  <c r="R164" i="16" a="1"/>
  <c r="R164" i="16" s="1"/>
  <c r="R176" i="16" a="1"/>
  <c r="R176" i="16" s="1"/>
  <c r="R188" i="16" a="1"/>
  <c r="R188" i="16" s="1"/>
  <c r="R157" i="16" a="1"/>
  <c r="R157" i="16" s="1"/>
  <c r="B157" i="16" s="1"/>
  <c r="R219" i="16" a="1"/>
  <c r="R219" i="16" s="1"/>
  <c r="R312" i="16" a="1"/>
  <c r="R312" i="16" s="1"/>
  <c r="R186" i="16" a="1"/>
  <c r="R186" i="16" s="1"/>
  <c r="R169" i="16" a="1"/>
  <c r="R169" i="16" s="1"/>
  <c r="R179" i="16" a="1"/>
  <c r="R179" i="16" s="1"/>
  <c r="R168" i="16" a="1"/>
  <c r="R168" i="16" s="1"/>
  <c r="R167" i="16" a="1"/>
  <c r="R167" i="16" s="1"/>
  <c r="R162" i="16" a="1"/>
  <c r="R162" i="16" s="1"/>
  <c r="R182" i="16" a="1"/>
  <c r="R182" i="16" s="1"/>
  <c r="R161" i="16" a="1"/>
  <c r="R161" i="16" s="1"/>
  <c r="R201" i="16" a="1"/>
  <c r="R201" i="16" s="1"/>
  <c r="R185" i="16" a="1"/>
  <c r="R185" i="16" s="1"/>
  <c r="R158" i="16" a="1"/>
  <c r="R158" i="16" s="1"/>
  <c r="B158" i="16" s="1"/>
  <c r="R33" i="16" a="1"/>
  <c r="R33" i="16" s="1"/>
  <c r="R13" i="16" a="1"/>
  <c r="R13" i="16" s="1"/>
  <c r="R178" i="16" a="1"/>
  <c r="R178" i="16" s="1"/>
  <c r="R66" i="16" a="1"/>
  <c r="R66" i="16" s="1"/>
  <c r="R35" i="16" a="1"/>
  <c r="R35" i="16" s="1"/>
  <c r="R70" i="16" a="1"/>
  <c r="R70" i="16" s="1"/>
  <c r="R52" i="16" a="1"/>
  <c r="R52" i="16" s="1"/>
  <c r="R53" i="16" a="1"/>
  <c r="R53" i="16" s="1"/>
  <c r="R175" i="16" a="1"/>
  <c r="R175" i="16" s="1"/>
  <c r="R49" i="16" a="1"/>
  <c r="R49" i="16" s="1"/>
  <c r="R30" i="16" a="1"/>
  <c r="R30" i="16" s="1"/>
  <c r="R19" i="16" a="1"/>
  <c r="R19" i="16" s="1"/>
  <c r="R67" i="16" a="1"/>
  <c r="R67" i="16" s="1"/>
  <c r="R56" i="16" a="1"/>
  <c r="R56" i="16" s="1"/>
  <c r="R62" i="16" a="1"/>
  <c r="R62" i="16" s="1"/>
  <c r="R59" i="16" a="1"/>
  <c r="R59" i="16" s="1"/>
  <c r="R20" i="16" a="1"/>
  <c r="R20" i="16" s="1"/>
  <c r="R15" i="16" a="1"/>
  <c r="R15" i="16" s="1"/>
  <c r="R65" i="16" a="1"/>
  <c r="R65" i="16" s="1"/>
  <c r="R45" i="16" a="1"/>
  <c r="R45" i="16" s="1"/>
  <c r="R40" i="16" a="1"/>
  <c r="R40" i="16" s="1"/>
  <c r="R23" i="16" a="1"/>
  <c r="R23" i="16" s="1"/>
  <c r="R18" i="16" a="1"/>
  <c r="R18" i="16" s="1"/>
  <c r="R25" i="16" a="1"/>
  <c r="R25" i="16" s="1"/>
  <c r="R21" i="16" a="1"/>
  <c r="R21" i="16" s="1"/>
  <c r="R39" i="16" a="1"/>
  <c r="R39" i="16" s="1"/>
  <c r="R9" i="16" a="1"/>
  <c r="R9" i="16" s="1"/>
  <c r="R6" i="16" a="1"/>
  <c r="R6" i="16" s="1"/>
  <c r="R59" i="15" a="1"/>
  <c r="R59" i="15" s="1"/>
  <c r="R39" i="15" a="1"/>
  <c r="R39" i="15" s="1"/>
  <c r="R46" i="16" a="1"/>
  <c r="R46" i="16" s="1"/>
  <c r="R67" i="15" a="1"/>
  <c r="R67" i="15" s="1"/>
  <c r="R72" i="16" a="1"/>
  <c r="R72" i="16" s="1"/>
  <c r="R7" i="16" a="1"/>
  <c r="R7" i="16" s="1"/>
  <c r="R5" i="16" a="1"/>
  <c r="R5" i="16" s="1"/>
  <c r="R40" i="15" a="1"/>
  <c r="R40" i="15" s="1"/>
  <c r="R29" i="15" a="1"/>
  <c r="R29" i="15" s="1"/>
  <c r="R25" i="15" a="1"/>
  <c r="R25" i="15" s="1"/>
  <c r="R21" i="15" a="1"/>
  <c r="R21" i="15" s="1"/>
  <c r="R13" i="15" a="1"/>
  <c r="R13" i="15" s="1"/>
  <c r="R7" i="15" a="1"/>
  <c r="R7" i="15" s="1"/>
  <c r="R32" i="15" a="1"/>
  <c r="R32" i="15" s="1"/>
  <c r="R6" i="15" a="1"/>
  <c r="R6" i="15" s="1"/>
  <c r="R66" i="15" a="1"/>
  <c r="R66" i="15" s="1"/>
  <c r="R43" i="15" a="1"/>
  <c r="R43" i="15" s="1"/>
  <c r="R41" i="15" a="1"/>
  <c r="R41" i="15" s="1"/>
  <c r="R61" i="15" a="1"/>
  <c r="R61" i="15" s="1"/>
  <c r="R46" i="15" a="1"/>
  <c r="R46" i="15" s="1"/>
  <c r="R72" i="15" a="1"/>
  <c r="R72" i="15" s="1"/>
  <c r="R31" i="15" a="1"/>
  <c r="R31" i="15" s="1"/>
  <c r="R48" i="15" a="1"/>
  <c r="R48" i="15" s="1"/>
  <c r="R20" i="15" a="1"/>
  <c r="R20" i="15" s="1"/>
  <c r="R11" i="15" a="1"/>
  <c r="R11" i="15" s="1"/>
  <c r="R9" i="15" a="1"/>
  <c r="R9" i="15" s="1"/>
  <c r="R63" i="15" a="1"/>
  <c r="R63" i="15" s="1"/>
  <c r="R19" i="15" a="1"/>
  <c r="R19" i="15" s="1"/>
  <c r="R60" i="15" a="1"/>
  <c r="R60" i="15" s="1"/>
  <c r="G5" i="2"/>
  <c r="R51" i="15" a="1"/>
  <c r="R51" i="15" s="1"/>
  <c r="R8" i="15" a="1"/>
  <c r="R8" i="15" s="1"/>
  <c r="R42" i="15" a="1"/>
  <c r="R42" i="15" s="1"/>
  <c r="R14" i="15" a="1"/>
  <c r="R14" i="15" s="1"/>
  <c r="G157" i="2"/>
  <c r="Z41" i="16" a="1"/>
  <c r="Z41" i="16" s="1"/>
  <c r="Z63" i="15" a="1"/>
  <c r="Z63" i="15" s="1"/>
  <c r="AB35" i="15" a="1"/>
  <c r="AB35" i="15" s="1"/>
  <c r="AB38" i="15" a="1"/>
  <c r="AB38" i="15" s="1"/>
  <c r="T54" i="15" a="1"/>
  <c r="T54" i="15" s="1"/>
  <c r="AC14" i="15" a="1"/>
  <c r="AC14" i="15" s="1"/>
  <c r="Z30" i="15" a="1"/>
  <c r="Z30" i="15" s="1"/>
  <c r="AC23" i="15" a="1"/>
  <c r="AC23" i="15" s="1"/>
  <c r="O157" i="12"/>
  <c r="O5" i="12"/>
  <c r="AB4" i="15" a="1"/>
  <c r="AB4" i="15" s="1"/>
  <c r="L4" i="15" s="1"/>
  <c r="H157" i="10"/>
  <c r="H5" i="10"/>
  <c r="AB13" i="15" a="1"/>
  <c r="AB13" i="15" s="1"/>
  <c r="AB38" i="16" a="1"/>
  <c r="AB38" i="16" s="1"/>
  <c r="AB181" i="16" a="1"/>
  <c r="AB181" i="16" s="1"/>
  <c r="AB203" i="16" a="1"/>
  <c r="AB203" i="16" s="1"/>
  <c r="AB186" i="16" a="1"/>
  <c r="AB186" i="16" s="1"/>
  <c r="AB325" i="16" a="1"/>
  <c r="AB325" i="16" s="1"/>
  <c r="S5" i="6"/>
  <c r="S157" i="6"/>
  <c r="X5" i="16" a="1"/>
  <c r="X5" i="16" s="1"/>
  <c r="Z10" i="15" a="1"/>
  <c r="Z10" i="15" s="1"/>
  <c r="X6" i="15" a="1"/>
  <c r="X6" i="15" s="1"/>
  <c r="X39" i="15" a="1"/>
  <c r="X39" i="15" s="1"/>
  <c r="X13" i="16" a="1"/>
  <c r="X13" i="16" s="1"/>
  <c r="X216" i="16" a="1"/>
  <c r="X216" i="16" s="1"/>
  <c r="X167" i="16" a="1"/>
  <c r="X167" i="16" s="1"/>
  <c r="X330" i="16" a="1"/>
  <c r="X330" i="16" s="1"/>
  <c r="X350" i="16" a="1"/>
  <c r="X350" i="16" s="1"/>
  <c r="V55" i="15" a="1"/>
  <c r="V55" i="15" s="1"/>
  <c r="T157" i="9"/>
  <c r="T5" i="9"/>
  <c r="AA30" i="15" a="1"/>
  <c r="AA30" i="15" s="1"/>
  <c r="AA29" i="15" a="1"/>
  <c r="AA29" i="15" s="1"/>
  <c r="AA14" i="16" a="1"/>
  <c r="AA14" i="16" s="1"/>
  <c r="AA171" i="16" a="1"/>
  <c r="AA171" i="16" s="1"/>
  <c r="AA223" i="16" a="1"/>
  <c r="AA223" i="16" s="1"/>
  <c r="AA354" i="16" a="1"/>
  <c r="AA354" i="16" s="1"/>
  <c r="X157" i="5"/>
  <c r="X5" i="5"/>
  <c r="AK5" i="7"/>
  <c r="AK157" i="7"/>
  <c r="S19" i="15" a="1"/>
  <c r="S19" i="15" s="1"/>
  <c r="S66" i="15" a="1"/>
  <c r="S66" i="15" s="1"/>
  <c r="S31" i="16" a="1"/>
  <c r="S31" i="16" s="1"/>
  <c r="S209" i="16" a="1"/>
  <c r="S209" i="16" s="1"/>
  <c r="S189" i="16" a="1"/>
  <c r="S189" i="16" s="1"/>
  <c r="S326" i="16" a="1"/>
  <c r="S326" i="16" s="1"/>
  <c r="S370" i="16" a="1"/>
  <c r="S370" i="16" s="1"/>
  <c r="AK157" i="5"/>
  <c r="AK5" i="5"/>
  <c r="W21" i="15" a="1"/>
  <c r="W21" i="15" s="1"/>
  <c r="W58" i="15" a="1"/>
  <c r="W58" i="15" s="1"/>
  <c r="W55" i="16" a="1"/>
  <c r="W55" i="16" s="1"/>
  <c r="W160" i="16" a="1"/>
  <c r="W160" i="16" s="1"/>
  <c r="W161" i="16" a="1"/>
  <c r="W161" i="16" s="1"/>
  <c r="W212" i="16" a="1"/>
  <c r="W212" i="16" s="1"/>
  <c r="W356" i="16" a="1"/>
  <c r="W356" i="16" s="1"/>
  <c r="AA5" i="7"/>
  <c r="AA157" i="7"/>
  <c r="AD5" i="5"/>
  <c r="AD157" i="5"/>
  <c r="AB28" i="16" a="1"/>
  <c r="AB28" i="16" s="1"/>
  <c r="AB21" i="15" a="1"/>
  <c r="AB21" i="15" s="1"/>
  <c r="X157" i="11"/>
  <c r="X5" i="11"/>
  <c r="Z5" i="8"/>
  <c r="Z157" i="8"/>
  <c r="K12" i="14"/>
  <c r="M12" i="14" s="1"/>
  <c r="AA9" i="15" a="1"/>
  <c r="AA9" i="15" s="1"/>
  <c r="AC16" i="15" a="1"/>
  <c r="AC16" i="15" s="1"/>
  <c r="AB6" i="15" a="1"/>
  <c r="AB6" i="15" s="1"/>
  <c r="AB48" i="16" a="1"/>
  <c r="AB48" i="16" s="1"/>
  <c r="AB188" i="16" a="1"/>
  <c r="AB188" i="16" s="1"/>
  <c r="AB199" i="16" a="1"/>
  <c r="AB199" i="16" s="1"/>
  <c r="AB214" i="16" a="1"/>
  <c r="AB214" i="16" s="1"/>
  <c r="AB332" i="16" a="1"/>
  <c r="AB332" i="16" s="1"/>
  <c r="Z42" i="15" a="1"/>
  <c r="Z42" i="15" s="1"/>
  <c r="AB65" i="15" a="1"/>
  <c r="AB65" i="15" s="1"/>
  <c r="T53" i="15" a="1"/>
  <c r="T53" i="15" s="1"/>
  <c r="Z74" i="15" a="1"/>
  <c r="Z74" i="15" s="1"/>
  <c r="X8" i="15" a="1"/>
  <c r="X8" i="15" s="1"/>
  <c r="X4" i="16" a="1"/>
  <c r="X4" i="16" s="1"/>
  <c r="X35" i="16" a="1"/>
  <c r="X35" i="16" s="1"/>
  <c r="X164" i="16" a="1"/>
  <c r="X164" i="16" s="1"/>
  <c r="X192" i="16" a="1"/>
  <c r="X192" i="16" s="1"/>
  <c r="X315" i="16" a="1"/>
  <c r="X315" i="16" s="1"/>
  <c r="X352" i="16" a="1"/>
  <c r="X352" i="16" s="1"/>
  <c r="U157" i="9"/>
  <c r="U5" i="9"/>
  <c r="AA62" i="15" a="1"/>
  <c r="AA62" i="15" s="1"/>
  <c r="AA51" i="15" a="1"/>
  <c r="AA51" i="15" s="1"/>
  <c r="AA42" i="16" a="1"/>
  <c r="AA42" i="16" s="1"/>
  <c r="AA163" i="16" a="1"/>
  <c r="AA163" i="16" s="1"/>
  <c r="AA221" i="16" a="1"/>
  <c r="AA221" i="16" s="1"/>
  <c r="AA359" i="16" a="1"/>
  <c r="AA359" i="16" s="1"/>
  <c r="S63" i="15" a="1"/>
  <c r="S63" i="15" s="1"/>
  <c r="S72" i="15" a="1"/>
  <c r="S72" i="15" s="1"/>
  <c r="S20" i="16" a="1"/>
  <c r="S20" i="16" s="1"/>
  <c r="S213" i="16" a="1"/>
  <c r="S213" i="16" s="1"/>
  <c r="S197" i="16" a="1"/>
  <c r="S197" i="16" s="1"/>
  <c r="S329" i="16" a="1"/>
  <c r="S329" i="16" s="1"/>
  <c r="S325" i="16" a="1"/>
  <c r="S325" i="16" s="1"/>
  <c r="V157" i="2"/>
  <c r="V5" i="2"/>
  <c r="R5" i="5"/>
  <c r="R157" i="5"/>
  <c r="W4" i="16" a="1"/>
  <c r="W4" i="16" s="1"/>
  <c r="W14" i="16" a="1"/>
  <c r="W14" i="16" s="1"/>
  <c r="W187" i="16" a="1"/>
  <c r="W187" i="16" s="1"/>
  <c r="W168" i="16" a="1"/>
  <c r="W168" i="16" s="1"/>
  <c r="W315" i="16" a="1"/>
  <c r="W315" i="16" s="1"/>
  <c r="W344" i="16" a="1"/>
  <c r="W344" i="16" s="1"/>
  <c r="O157" i="7"/>
  <c r="O5" i="7"/>
  <c r="AB27" i="16" a="1"/>
  <c r="AB27" i="16" s="1"/>
  <c r="AB72" i="16" a="1"/>
  <c r="AB72" i="16" s="1"/>
  <c r="AB191" i="16" a="1"/>
  <c r="AB191" i="16" s="1"/>
  <c r="AB226" i="16" a="1"/>
  <c r="AB226" i="16" s="1"/>
  <c r="AB340" i="16" a="1"/>
  <c r="AB340" i="16" s="1"/>
  <c r="AB31" i="15" a="1"/>
  <c r="AB31" i="15" s="1"/>
  <c r="AB51" i="15" a="1"/>
  <c r="AB51" i="15" s="1"/>
  <c r="V157" i="9"/>
  <c r="V5" i="9"/>
  <c r="AA69" i="15" a="1"/>
  <c r="AA69" i="15" s="1"/>
  <c r="AA4" i="15" a="1"/>
  <c r="AA4" i="15" s="1"/>
  <c r="K4" i="15" s="1"/>
  <c r="AA71" i="15" a="1"/>
  <c r="AA71" i="15" s="1"/>
  <c r="AA25" i="16" a="1"/>
  <c r="AA25" i="16" s="1"/>
  <c r="AA165" i="16" a="1"/>
  <c r="AA165" i="16" s="1"/>
  <c r="AA174" i="16" a="1"/>
  <c r="AA174" i="16" s="1"/>
  <c r="AA344" i="16" a="1"/>
  <c r="AA344" i="16" s="1"/>
  <c r="K66" i="14"/>
  <c r="Z5" i="5"/>
  <c r="Z157" i="5"/>
  <c r="V157" i="5"/>
  <c r="V5" i="5"/>
  <c r="S13" i="15" a="1"/>
  <c r="S13" i="15" s="1"/>
  <c r="S65" i="15" a="1"/>
  <c r="S65" i="15" s="1"/>
  <c r="S59" i="16" a="1"/>
  <c r="S59" i="16" s="1"/>
  <c r="S222" i="16" a="1"/>
  <c r="S222" i="16" s="1"/>
  <c r="S203" i="16" a="1"/>
  <c r="S203" i="16" s="1"/>
  <c r="S317" i="16" a="1"/>
  <c r="S317" i="16" s="1"/>
  <c r="T5" i="5"/>
  <c r="T157" i="5"/>
  <c r="AI157" i="7"/>
  <c r="AI5" i="7"/>
  <c r="Y26" i="15" a="1"/>
  <c r="Y26" i="15" s="1"/>
  <c r="AB23" i="16" a="1"/>
  <c r="AB23" i="16" s="1"/>
  <c r="AC26" i="16" a="1"/>
  <c r="AC26" i="16" s="1"/>
  <c r="AA41" i="15" a="1"/>
  <c r="AA41" i="15" s="1"/>
  <c r="AC12" i="15" a="1"/>
  <c r="AC12" i="15" s="1"/>
  <c r="AE5" i="8"/>
  <c r="AE157" i="8"/>
  <c r="AC370" i="16" a="1"/>
  <c r="AC370" i="16" s="1"/>
  <c r="AC371" i="16" a="1"/>
  <c r="AC371" i="16" s="1"/>
  <c r="AC344" i="16" a="1"/>
  <c r="AC344" i="16" s="1"/>
  <c r="AC345" i="16" a="1"/>
  <c r="AC345" i="16" s="1"/>
  <c r="AC364" i="16" a="1"/>
  <c r="AC364" i="16" s="1"/>
  <c r="AC374" i="16" a="1"/>
  <c r="AC374" i="16" s="1"/>
  <c r="AC358" i="16" a="1"/>
  <c r="AC358" i="16" s="1"/>
  <c r="AC379" i="16" a="1"/>
  <c r="AC379" i="16" s="1"/>
  <c r="AC363" i="16" a="1"/>
  <c r="AC363" i="16" s="1"/>
  <c r="AC317" i="16" a="1"/>
  <c r="AC317" i="16" s="1"/>
  <c r="AC335" i="16" a="1"/>
  <c r="AC335" i="16" s="1"/>
  <c r="AC340" i="16" a="1"/>
  <c r="AC340" i="16" s="1"/>
  <c r="AC360" i="16" a="1"/>
  <c r="AC360" i="16" s="1"/>
  <c r="AC352" i="16" a="1"/>
  <c r="AC352" i="16" s="1"/>
  <c r="AC348" i="16" a="1"/>
  <c r="AC348" i="16" s="1"/>
  <c r="AC343" i="16" a="1"/>
  <c r="AC343" i="16" s="1"/>
  <c r="AC334" i="16" a="1"/>
  <c r="AC334" i="16" s="1"/>
  <c r="AC336" i="16" a="1"/>
  <c r="AC336" i="16" s="1"/>
  <c r="AC350" i="16" a="1"/>
  <c r="AC350" i="16" s="1"/>
  <c r="AC346" i="16" a="1"/>
  <c r="AC346" i="16" s="1"/>
  <c r="AC325" i="16" a="1"/>
  <c r="AC325" i="16" s="1"/>
  <c r="AC373" i="16" a="1"/>
  <c r="AC373" i="16" s="1"/>
  <c r="AC327" i="16" a="1"/>
  <c r="AC327" i="16" s="1"/>
  <c r="AC332" i="16" a="1"/>
  <c r="AC332" i="16" s="1"/>
  <c r="AC342" i="16" a="1"/>
  <c r="AC342" i="16" s="1"/>
  <c r="AC329" i="16" a="1"/>
  <c r="AC329" i="16" s="1"/>
  <c r="AC313" i="16" a="1"/>
  <c r="AC313" i="16" s="1"/>
  <c r="AC219" i="16" a="1"/>
  <c r="AC219" i="16" s="1"/>
  <c r="AC311" i="16" a="1"/>
  <c r="AC311" i="16" s="1"/>
  <c r="AC331" i="16" a="1"/>
  <c r="AC331" i="16" s="1"/>
  <c r="AC316" i="16" a="1"/>
  <c r="AC316" i="16" s="1"/>
  <c r="AC214" i="16" a="1"/>
  <c r="AC214" i="16" s="1"/>
  <c r="AC212" i="16" a="1"/>
  <c r="AC212" i="16" s="1"/>
  <c r="AC186" i="16" a="1"/>
  <c r="AC186" i="16" s="1"/>
  <c r="AC189" i="16" a="1"/>
  <c r="AC189" i="16" s="1"/>
  <c r="AC213" i="16" a="1"/>
  <c r="AC213" i="16" s="1"/>
  <c r="AC221" i="16" a="1"/>
  <c r="AC221" i="16" s="1"/>
  <c r="AC196" i="16" a="1"/>
  <c r="AC196" i="16" s="1"/>
  <c r="AC191" i="16" a="1"/>
  <c r="AC191" i="16" s="1"/>
  <c r="AC194" i="16" a="1"/>
  <c r="AC194" i="16" s="1"/>
  <c r="AC174" i="16" a="1"/>
  <c r="AC174" i="16" s="1"/>
  <c r="AC175" i="16" a="1"/>
  <c r="AC175" i="16" s="1"/>
  <c r="AC203" i="16" a="1"/>
  <c r="AC203" i="16" s="1"/>
  <c r="AC220" i="16" a="1"/>
  <c r="AC220" i="16" s="1"/>
  <c r="AC166" i="16" a="1"/>
  <c r="AC166" i="16" s="1"/>
  <c r="AC197" i="16" a="1"/>
  <c r="AC197" i="16" s="1"/>
  <c r="AC158" i="16" a="1"/>
  <c r="AC158" i="16" s="1"/>
  <c r="M158" i="16" s="1"/>
  <c r="AC182" i="16" a="1"/>
  <c r="AC182" i="16" s="1"/>
  <c r="AC161" i="16" a="1"/>
  <c r="AC161" i="16" s="1"/>
  <c r="AC164" i="16" a="1"/>
  <c r="AC164" i="16" s="1"/>
  <c r="AC205" i="16" a="1"/>
  <c r="AC205" i="16" s="1"/>
  <c r="AC157" i="16" a="1"/>
  <c r="AC157" i="16" s="1"/>
  <c r="M157" i="16" s="1"/>
  <c r="AC184" i="16" a="1"/>
  <c r="AC184" i="16" s="1"/>
  <c r="AC176" i="16" a="1"/>
  <c r="AC176" i="16" s="1"/>
  <c r="AC162" i="16" a="1"/>
  <c r="AC162" i="16" s="1"/>
  <c r="AC188" i="16" a="1"/>
  <c r="AC188" i="16" s="1"/>
  <c r="AC173" i="16" a="1"/>
  <c r="AC173" i="16" s="1"/>
  <c r="AC167" i="16" a="1"/>
  <c r="AC167" i="16" s="1"/>
  <c r="AC168" i="16" a="1"/>
  <c r="AC168" i="16" s="1"/>
  <c r="AC209" i="16" a="1"/>
  <c r="AC209" i="16" s="1"/>
  <c r="AC179" i="16" a="1"/>
  <c r="AC179" i="16" s="1"/>
  <c r="AC59" i="16" a="1"/>
  <c r="AC59" i="16" s="1"/>
  <c r="AC57" i="16" a="1"/>
  <c r="AC57" i="16" s="1"/>
  <c r="AC68" i="16" a="1"/>
  <c r="AC68" i="16" s="1"/>
  <c r="AC52" i="16" a="1"/>
  <c r="AC52" i="16" s="1"/>
  <c r="AC53" i="16" a="1"/>
  <c r="AC53" i="16" s="1"/>
  <c r="AC45" i="16" a="1"/>
  <c r="AC45" i="16" s="1"/>
  <c r="AC56" i="16" a="1"/>
  <c r="AC56" i="16" s="1"/>
  <c r="AC31" i="16" a="1"/>
  <c r="AC31" i="16" s="1"/>
  <c r="AC13" i="16" a="1"/>
  <c r="AC13" i="16" s="1"/>
  <c r="AC21" i="16" a="1"/>
  <c r="AC21" i="16" s="1"/>
  <c r="AC70" i="16" a="1"/>
  <c r="AC70" i="16" s="1"/>
  <c r="AC47" i="16" a="1"/>
  <c r="AC47" i="16" s="1"/>
  <c r="AC39" i="16" a="1"/>
  <c r="AC39" i="16" s="1"/>
  <c r="AC30" i="16" a="1"/>
  <c r="AC30" i="16" s="1"/>
  <c r="AC33" i="16" a="1"/>
  <c r="AC33" i="16" s="1"/>
  <c r="AC24" i="16" a="1"/>
  <c r="AC24" i="16" s="1"/>
  <c r="AC58" i="16" a="1"/>
  <c r="AC58" i="16" s="1"/>
  <c r="AC32" i="16" a="1"/>
  <c r="AC32" i="16" s="1"/>
  <c r="AC12" i="16" a="1"/>
  <c r="AC12" i="16" s="1"/>
  <c r="AC69" i="16" a="1"/>
  <c r="AC69" i="16" s="1"/>
  <c r="AC55" i="16" a="1"/>
  <c r="AC55" i="16" s="1"/>
  <c r="AC51" i="16" a="1"/>
  <c r="AC51" i="16" s="1"/>
  <c r="AC40" i="16" a="1"/>
  <c r="AC40" i="16" s="1"/>
  <c r="AC64" i="16" a="1"/>
  <c r="AC64" i="16" s="1"/>
  <c r="AC6" i="16" a="1"/>
  <c r="AC6" i="16" s="1"/>
  <c r="AC19" i="16" a="1"/>
  <c r="AC19" i="16" s="1"/>
  <c r="AC9" i="16" a="1"/>
  <c r="AC9" i="16" s="1"/>
  <c r="AC5" i="16" a="1"/>
  <c r="AC5" i="16" s="1"/>
  <c r="AC42" i="16" a="1"/>
  <c r="AC42" i="16" s="1"/>
  <c r="AC20" i="16" a="1"/>
  <c r="AC20" i="16" s="1"/>
  <c r="AC57" i="15" a="1"/>
  <c r="AC57" i="15" s="1"/>
  <c r="AC66" i="15" a="1"/>
  <c r="AC66" i="15" s="1"/>
  <c r="AC73" i="15" a="1"/>
  <c r="AC73" i="15" s="1"/>
  <c r="AC71" i="15" a="1"/>
  <c r="AC71" i="15" s="1"/>
  <c r="AC64" i="15" a="1"/>
  <c r="AC64" i="15" s="1"/>
  <c r="AC69" i="15" a="1"/>
  <c r="AC69" i="15" s="1"/>
  <c r="AC18" i="16" a="1"/>
  <c r="AC18" i="16" s="1"/>
  <c r="AC67" i="15" a="1"/>
  <c r="AC67" i="15" s="1"/>
  <c r="AC65" i="15" a="1"/>
  <c r="AC65" i="15" s="1"/>
  <c r="AC72" i="15" a="1"/>
  <c r="AC72" i="15" s="1"/>
  <c r="AC51" i="15" a="1"/>
  <c r="AC51" i="15" s="1"/>
  <c r="AC37" i="15" a="1"/>
  <c r="AC37" i="15" s="1"/>
  <c r="AC25" i="15" a="1"/>
  <c r="AC25" i="15" s="1"/>
  <c r="AC21" i="15" a="1"/>
  <c r="AC21" i="15" s="1"/>
  <c r="AC13" i="15" a="1"/>
  <c r="AC13" i="15" s="1"/>
  <c r="AC60" i="15" a="1"/>
  <c r="AC60" i="15" s="1"/>
  <c r="AC40" i="15" a="1"/>
  <c r="AC40" i="15" s="1"/>
  <c r="AC17" i="15" a="1"/>
  <c r="AC17" i="15" s="1"/>
  <c r="AC47" i="15" a="1"/>
  <c r="AC47" i="15" s="1"/>
  <c r="AC45" i="15" a="1"/>
  <c r="AC45" i="15" s="1"/>
  <c r="AC38" i="15" a="1"/>
  <c r="AC38" i="15" s="1"/>
  <c r="AC18" i="15" a="1"/>
  <c r="AC18" i="15" s="1"/>
  <c r="AC43" i="15" a="1"/>
  <c r="AC43" i="15" s="1"/>
  <c r="AC59" i="15" a="1"/>
  <c r="AC59" i="15" s="1"/>
  <c r="AC61" i="15" a="1"/>
  <c r="AC61" i="15" s="1"/>
  <c r="AC39" i="15" a="1"/>
  <c r="AC39" i="15" s="1"/>
  <c r="AC46" i="15" a="1"/>
  <c r="AC46" i="15" s="1"/>
  <c r="AC48" i="15" a="1"/>
  <c r="AC48" i="15" s="1"/>
  <c r="AC8" i="15" a="1"/>
  <c r="AC8" i="15" s="1"/>
  <c r="AC6" i="15" a="1"/>
  <c r="AC6" i="15" s="1"/>
  <c r="AC58" i="15" a="1"/>
  <c r="AC58" i="15" s="1"/>
  <c r="AC11" i="15" a="1"/>
  <c r="AC11" i="15" s="1"/>
  <c r="G157" i="13"/>
  <c r="AC70" i="15" a="1"/>
  <c r="AC70" i="15" s="1"/>
  <c r="AC30" i="15" a="1"/>
  <c r="AC30" i="15" s="1"/>
  <c r="AC28" i="15" a="1"/>
  <c r="AC28" i="15" s="1"/>
  <c r="AC27" i="15" a="1"/>
  <c r="AC27" i="15" s="1"/>
  <c r="AC9" i="15" a="1"/>
  <c r="AC9" i="15" s="1"/>
  <c r="AC31" i="15" a="1"/>
  <c r="AC31" i="15" s="1"/>
  <c r="AC7" i="15" a="1"/>
  <c r="AC7" i="15" s="1"/>
  <c r="G5" i="13"/>
  <c r="AC19" i="15" a="1"/>
  <c r="AC19" i="15" s="1"/>
  <c r="AC26" i="15" a="1"/>
  <c r="AC26" i="15" s="1"/>
  <c r="AC20" i="15" a="1"/>
  <c r="AC20" i="15" s="1"/>
  <c r="AC41" i="15" a="1"/>
  <c r="AC41" i="15" s="1"/>
  <c r="AA31" i="15" a="1"/>
  <c r="AA31" i="15" s="1"/>
  <c r="AG157" i="13"/>
  <c r="AG5" i="13"/>
  <c r="AC8" i="16" a="1"/>
  <c r="AC8" i="16" s="1"/>
  <c r="X23" i="15" a="1"/>
  <c r="X23" i="15" s="1"/>
  <c r="AC157" i="12"/>
  <c r="AC5" i="12"/>
  <c r="S44" i="15" a="1"/>
  <c r="S44" i="15" s="1"/>
  <c r="AB71" i="15" a="1"/>
  <c r="AB71" i="15" s="1"/>
  <c r="AB54" i="16" a="1"/>
  <c r="AB54" i="16" s="1"/>
  <c r="AB59" i="16" a="1"/>
  <c r="AB59" i="16" s="1"/>
  <c r="AB205" i="16" a="1"/>
  <c r="AB205" i="16" s="1"/>
  <c r="AB219" i="16" a="1"/>
  <c r="AB219" i="16" s="1"/>
  <c r="AB321" i="16" a="1"/>
  <c r="AB321" i="16" s="1"/>
  <c r="AB43" i="15" a="1"/>
  <c r="AB43" i="15" s="1"/>
  <c r="Z24" i="15" a="1"/>
  <c r="Z24" i="15" s="1"/>
  <c r="O157" i="3"/>
  <c r="O5" i="3"/>
  <c r="R5" i="6"/>
  <c r="R157" i="6"/>
  <c r="Z34" i="15" a="1"/>
  <c r="Z34" i="15" s="1"/>
  <c r="X56" i="15" a="1"/>
  <c r="X56" i="15" s="1"/>
  <c r="X66" i="15" a="1"/>
  <c r="X66" i="15" s="1"/>
  <c r="X12" i="16" a="1"/>
  <c r="X12" i="16" s="1"/>
  <c r="X184" i="16" a="1"/>
  <c r="X184" i="16" s="1"/>
  <c r="X223" i="16" a="1"/>
  <c r="X223" i="16" s="1"/>
  <c r="X349" i="16" a="1"/>
  <c r="X349" i="16" s="1"/>
  <c r="X364" i="16" a="1"/>
  <c r="X364" i="16" s="1"/>
  <c r="Y51" i="16" a="1"/>
  <c r="Y51" i="16" s="1"/>
  <c r="Y71" i="16" a="1"/>
  <c r="Y71" i="16" s="1"/>
  <c r="Y197" i="16" a="1"/>
  <c r="Y197" i="16" s="1"/>
  <c r="Y188" i="16" a="1"/>
  <c r="Y188" i="16" s="1"/>
  <c r="X157" i="9"/>
  <c r="X5" i="9"/>
  <c r="AA11" i="15" a="1"/>
  <c r="AA11" i="15" s="1"/>
  <c r="AA26" i="16" a="1"/>
  <c r="AA26" i="16" s="1"/>
  <c r="AA62" i="16" a="1"/>
  <c r="AA62" i="16" s="1"/>
  <c r="AA74" i="16" a="1"/>
  <c r="AA74" i="16" s="1"/>
  <c r="AA193" i="16" a="1"/>
  <c r="AA193" i="16" s="1"/>
  <c r="AA337" i="16" a="1"/>
  <c r="AA337" i="16" s="1"/>
  <c r="V22" i="15" a="1"/>
  <c r="V22" i="15" s="1"/>
  <c r="S9" i="15" a="1"/>
  <c r="S9" i="15" s="1"/>
  <c r="S56" i="16" a="1"/>
  <c r="S56" i="16" s="1"/>
  <c r="S52" i="16" a="1"/>
  <c r="S52" i="16" s="1"/>
  <c r="S179" i="16" a="1"/>
  <c r="S179" i="16" s="1"/>
  <c r="S221" i="16" a="1"/>
  <c r="S221" i="16" s="1"/>
  <c r="S343" i="16" a="1"/>
  <c r="S343" i="16" s="1"/>
  <c r="S345" i="16" a="1"/>
  <c r="S345" i="16" s="1"/>
  <c r="O5" i="5"/>
  <c r="O157" i="5"/>
  <c r="W5" i="15" a="1"/>
  <c r="W5" i="15" s="1"/>
  <c r="W56" i="15" a="1"/>
  <c r="W56" i="15" s="1"/>
  <c r="W27" i="16" a="1"/>
  <c r="W27" i="16" s="1"/>
  <c r="W157" i="16" a="1"/>
  <c r="W157" i="16" s="1"/>
  <c r="G157" i="16" s="1"/>
  <c r="W167" i="16" a="1"/>
  <c r="W167" i="16" s="1"/>
  <c r="W313" i="16" a="1"/>
  <c r="W313" i="16" s="1"/>
  <c r="W368" i="16" a="1"/>
  <c r="W368" i="16" s="1"/>
  <c r="S157" i="7"/>
  <c r="S5" i="7"/>
  <c r="AG157" i="12"/>
  <c r="AG5" i="12"/>
  <c r="I157" i="12"/>
  <c r="I5" i="12"/>
  <c r="AB5" i="12"/>
  <c r="AB157" i="12"/>
  <c r="AB73" i="15" a="1"/>
  <c r="AB73" i="15" s="1"/>
  <c r="AB30" i="16" a="1"/>
  <c r="AB30" i="16" s="1"/>
  <c r="AB34" i="16" a="1"/>
  <c r="AB34" i="16" s="1"/>
  <c r="AB169" i="16" a="1"/>
  <c r="AB169" i="16" s="1"/>
  <c r="AB222" i="16" a="1"/>
  <c r="AB222" i="16" s="1"/>
  <c r="AB373" i="16" a="1"/>
  <c r="AB373" i="16" s="1"/>
  <c r="AC5" i="15" a="1"/>
  <c r="AC5" i="15" s="1"/>
  <c r="AA24" i="15" a="1"/>
  <c r="AA24" i="15" s="1"/>
  <c r="AI157" i="3"/>
  <c r="AI5" i="3"/>
  <c r="Y5" i="3"/>
  <c r="Y157" i="3"/>
  <c r="AA34" i="15" a="1"/>
  <c r="AA34" i="15" s="1"/>
  <c r="X5" i="15" a="1"/>
  <c r="X5" i="15" s="1"/>
  <c r="X6" i="16" a="1"/>
  <c r="X6" i="16" s="1"/>
  <c r="X20" i="16" a="1"/>
  <c r="X20" i="16" s="1"/>
  <c r="X157" i="16" a="1"/>
  <c r="X157" i="16" s="1"/>
  <c r="H157" i="16" s="1"/>
  <c r="X203" i="16" a="1"/>
  <c r="X203" i="16" s="1"/>
  <c r="X332" i="16" a="1"/>
  <c r="X332" i="16" s="1"/>
  <c r="X345" i="16" a="1"/>
  <c r="X345" i="16" s="1"/>
  <c r="AA14" i="15" a="1"/>
  <c r="AA14" i="15" s="1"/>
  <c r="AA24" i="16" a="1"/>
  <c r="AA24" i="16" s="1"/>
  <c r="AA56" i="16" a="1"/>
  <c r="AA56" i="16" s="1"/>
  <c r="AA159" i="16" a="1"/>
  <c r="AA159" i="16" s="1"/>
  <c r="AA326" i="16" a="1"/>
  <c r="AA326" i="16" s="1"/>
  <c r="AA313" i="16" a="1"/>
  <c r="AA313" i="16" s="1"/>
  <c r="X22" i="15" a="1"/>
  <c r="X22" i="15" s="1"/>
  <c r="S46" i="15" a="1"/>
  <c r="S46" i="15" s="1"/>
  <c r="S57" i="15" a="1"/>
  <c r="S57" i="15" s="1"/>
  <c r="S14" i="16" a="1"/>
  <c r="S14" i="16" s="1"/>
  <c r="S206" i="16" a="1"/>
  <c r="S206" i="16" s="1"/>
  <c r="S211" i="16" a="1"/>
  <c r="S211" i="16" s="1"/>
  <c r="S375" i="16" a="1"/>
  <c r="S375" i="16" s="1"/>
  <c r="S374" i="16" a="1"/>
  <c r="S374" i="16" s="1"/>
  <c r="T5" i="7"/>
  <c r="T157" i="7"/>
  <c r="AB17" i="15" a="1"/>
  <c r="AB17" i="15" s="1"/>
  <c r="AC33" i="15" a="1"/>
  <c r="AC33" i="15" s="1"/>
  <c r="AA5" i="4"/>
  <c r="AA157" i="4"/>
  <c r="N157" i="12"/>
  <c r="N5" i="12"/>
  <c r="M157" i="12"/>
  <c r="M5" i="12"/>
  <c r="AA5" i="10"/>
  <c r="AA157" i="10"/>
  <c r="H157" i="12"/>
  <c r="AB27" i="15" a="1"/>
  <c r="AB27" i="15" s="1"/>
  <c r="H5" i="12"/>
  <c r="AB28" i="15" a="1"/>
  <c r="AB28" i="15" s="1"/>
  <c r="AB19" i="15" a="1"/>
  <c r="AB19" i="15" s="1"/>
  <c r="AB62" i="15" a="1"/>
  <c r="AB62" i="15" s="1"/>
  <c r="AB9" i="15" a="1"/>
  <c r="AB9" i="15" s="1"/>
  <c r="AB72" i="15" a="1"/>
  <c r="AB72" i="15" s="1"/>
  <c r="AB66" i="15" a="1"/>
  <c r="AB66" i="15" s="1"/>
  <c r="AB40" i="16" a="1"/>
  <c r="AB40" i="16" s="1"/>
  <c r="AB13" i="16" a="1"/>
  <c r="AB13" i="16" s="1"/>
  <c r="AB179" i="16" a="1"/>
  <c r="AB179" i="16" s="1"/>
  <c r="AB372" i="16" a="1"/>
  <c r="AB372" i="16" s="1"/>
  <c r="AB362" i="16" a="1"/>
  <c r="AB362" i="16" s="1"/>
  <c r="X24" i="15" a="1"/>
  <c r="X24" i="15" s="1"/>
  <c r="P5" i="3"/>
  <c r="P157" i="3"/>
  <c r="AA45" i="15" a="1"/>
  <c r="AA45" i="15" s="1"/>
  <c r="Z157" i="9"/>
  <c r="Z5" i="9"/>
  <c r="AB74" i="15" a="1"/>
  <c r="AB74" i="15" s="1"/>
  <c r="S34" i="15" a="1"/>
  <c r="S34" i="15" s="1"/>
  <c r="X38" i="15" a="1"/>
  <c r="X38" i="15" s="1"/>
  <c r="X19" i="15" a="1"/>
  <c r="X19" i="15" s="1"/>
  <c r="X10" i="16" a="1"/>
  <c r="X10" i="16" s="1"/>
  <c r="X67" i="16" a="1"/>
  <c r="X67" i="16" s="1"/>
  <c r="X196" i="16" a="1"/>
  <c r="X196" i="16" s="1"/>
  <c r="X217" i="16" a="1"/>
  <c r="X217" i="16" s="1"/>
  <c r="X369" i="16" a="1"/>
  <c r="X369" i="16" s="1"/>
  <c r="X366" i="16" a="1"/>
  <c r="X366" i="16" s="1"/>
  <c r="AA17" i="15" a="1"/>
  <c r="AA17" i="15" s="1"/>
  <c r="AA58" i="16" a="1"/>
  <c r="AA58" i="16" s="1"/>
  <c r="AA9" i="16" a="1"/>
  <c r="AA9" i="16" s="1"/>
  <c r="AA185" i="16" a="1"/>
  <c r="AA185" i="16" s="1"/>
  <c r="AA203" i="16" a="1"/>
  <c r="AA203" i="16" s="1"/>
  <c r="AA348" i="16" a="1"/>
  <c r="AA348" i="16" s="1"/>
  <c r="S20" i="15" a="1"/>
  <c r="S20" i="15" s="1"/>
  <c r="S64" i="15" a="1"/>
  <c r="S64" i="15" s="1"/>
  <c r="S33" i="16" a="1"/>
  <c r="S33" i="16" s="1"/>
  <c r="S157" i="16" a="1"/>
  <c r="S157" i="16" s="1"/>
  <c r="C157" i="16" s="1"/>
  <c r="S191" i="16" a="1"/>
  <c r="S191" i="16" s="1"/>
  <c r="S352" i="16" a="1"/>
  <c r="S352" i="16" s="1"/>
  <c r="S371" i="16" a="1"/>
  <c r="S371" i="16" s="1"/>
  <c r="W223" i="16" a="1"/>
  <c r="W223" i="16" s="1"/>
  <c r="W323" i="16" a="1"/>
  <c r="W323" i="16" s="1"/>
  <c r="W363" i="16" a="1"/>
  <c r="W363" i="16" s="1"/>
  <c r="V157" i="7"/>
  <c r="V5" i="7"/>
  <c r="F156" i="2"/>
  <c r="AB11" i="16" a="1"/>
  <c r="AB11" i="16" s="1"/>
  <c r="AC55" i="15" a="1"/>
  <c r="AC55" i="15" s="1"/>
  <c r="T340" i="16" a="1"/>
  <c r="T340" i="16" s="1"/>
  <c r="T362" i="16" a="1"/>
  <c r="T362" i="16" s="1"/>
  <c r="T358" i="16" a="1"/>
  <c r="T358" i="16" s="1"/>
  <c r="T377" i="16" a="1"/>
  <c r="T377" i="16" s="1"/>
  <c r="T373" i="16" a="1"/>
  <c r="T373" i="16" s="1"/>
  <c r="T363" i="16" a="1"/>
  <c r="T363" i="16" s="1"/>
  <c r="T368" i="16" a="1"/>
  <c r="T368" i="16" s="1"/>
  <c r="T360" i="16" a="1"/>
  <c r="T360" i="16" s="1"/>
  <c r="T356" i="16" a="1"/>
  <c r="T356" i="16" s="1"/>
  <c r="T374" i="16" a="1"/>
  <c r="T374" i="16" s="1"/>
  <c r="T366" i="16" a="1"/>
  <c r="T366" i="16" s="1"/>
  <c r="T345" i="16" a="1"/>
  <c r="T345" i="16" s="1"/>
  <c r="T371" i="16" a="1"/>
  <c r="T371" i="16" s="1"/>
  <c r="T367" i="16" a="1"/>
  <c r="T367" i="16" s="1"/>
  <c r="T332" i="16" a="1"/>
  <c r="T332" i="16" s="1"/>
  <c r="T313" i="16" a="1"/>
  <c r="T313" i="16" s="1"/>
  <c r="T334" i="16" a="1"/>
  <c r="T334" i="16" s="1"/>
  <c r="T370" i="16" a="1"/>
  <c r="T370" i="16" s="1"/>
  <c r="T326" i="16" a="1"/>
  <c r="T326" i="16" s="1"/>
  <c r="T335" i="16" a="1"/>
  <c r="T335" i="16" s="1"/>
  <c r="T372" i="16" a="1"/>
  <c r="T372" i="16" s="1"/>
  <c r="T343" i="16" a="1"/>
  <c r="T343" i="16" s="1"/>
  <c r="T344" i="16" a="1"/>
  <c r="T344" i="16" s="1"/>
  <c r="T337" i="16" a="1"/>
  <c r="T337" i="16" s="1"/>
  <c r="T328" i="16" a="1"/>
  <c r="T328" i="16" s="1"/>
  <c r="T380" i="16" a="1"/>
  <c r="T380" i="16" s="1"/>
  <c r="T325" i="16" a="1"/>
  <c r="T325" i="16" s="1"/>
  <c r="T321" i="16" a="1"/>
  <c r="T321" i="16" s="1"/>
  <c r="T348" i="16" a="1"/>
  <c r="T348" i="16" s="1"/>
  <c r="T330" i="16" a="1"/>
  <c r="T330" i="16" s="1"/>
  <c r="T336" i="16" a="1"/>
  <c r="T336" i="16" s="1"/>
  <c r="T331" i="16" a="1"/>
  <c r="T331" i="16" s="1"/>
  <c r="T323" i="16" a="1"/>
  <c r="T323" i="16" s="1"/>
  <c r="T220" i="16" a="1"/>
  <c r="T220" i="16" s="1"/>
  <c r="T223" i="16" a="1"/>
  <c r="T223" i="16" s="1"/>
  <c r="T217" i="16" a="1"/>
  <c r="T217" i="16" s="1"/>
  <c r="T212" i="16" a="1"/>
  <c r="T212" i="16" s="1"/>
  <c r="T222" i="16" a="1"/>
  <c r="T222" i="16" s="1"/>
  <c r="T219" i="16" a="1"/>
  <c r="T219" i="16" s="1"/>
  <c r="T225" i="16" a="1"/>
  <c r="T225" i="16" s="1"/>
  <c r="T197" i="16" a="1"/>
  <c r="T197" i="16" s="1"/>
  <c r="T176" i="16" a="1"/>
  <c r="T176" i="16" s="1"/>
  <c r="T203" i="16" a="1"/>
  <c r="T203" i="16" s="1"/>
  <c r="T189" i="16" a="1"/>
  <c r="T189" i="16" s="1"/>
  <c r="T198" i="16" a="1"/>
  <c r="T198" i="16" s="1"/>
  <c r="T188" i="16" a="1"/>
  <c r="T188" i="16" s="1"/>
  <c r="T199" i="16" a="1"/>
  <c r="T199" i="16" s="1"/>
  <c r="T175" i="16" a="1"/>
  <c r="T175" i="16" s="1"/>
  <c r="T192" i="16" a="1"/>
  <c r="T192" i="16" s="1"/>
  <c r="T187" i="16" a="1"/>
  <c r="T187" i="16" s="1"/>
  <c r="T186" i="16" a="1"/>
  <c r="T186" i="16" s="1"/>
  <c r="T194" i="16" a="1"/>
  <c r="T194" i="16" s="1"/>
  <c r="T207" i="16" a="1"/>
  <c r="T207" i="16" s="1"/>
  <c r="T205" i="16" a="1"/>
  <c r="T205" i="16" s="1"/>
  <c r="T157" i="16" a="1"/>
  <c r="T157" i="16" s="1"/>
  <c r="D157" i="16" s="1"/>
  <c r="T200" i="16" a="1"/>
  <c r="T200" i="16" s="1"/>
  <c r="T195" i="16" a="1"/>
  <c r="T195" i="16" s="1"/>
  <c r="T185" i="16" a="1"/>
  <c r="T185" i="16" s="1"/>
  <c r="T227" i="16" a="1"/>
  <c r="T227" i="16" s="1"/>
  <c r="T196" i="16" a="1"/>
  <c r="T196" i="16" s="1"/>
  <c r="T165" i="16" a="1"/>
  <c r="T165" i="16" s="1"/>
  <c r="T158" i="16" a="1"/>
  <c r="T158" i="16" s="1"/>
  <c r="D158" i="16" s="1"/>
  <c r="T164" i="16" a="1"/>
  <c r="T164" i="16" s="1"/>
  <c r="T201" i="16" a="1"/>
  <c r="T201" i="16" s="1"/>
  <c r="T168" i="16" a="1"/>
  <c r="T168" i="16" s="1"/>
  <c r="T174" i="16" a="1"/>
  <c r="T174" i="16" s="1"/>
  <c r="T193" i="16" a="1"/>
  <c r="T193" i="16" s="1"/>
  <c r="T204" i="16" a="1"/>
  <c r="T204" i="16" s="1"/>
  <c r="T171" i="16" a="1"/>
  <c r="T171" i="16" s="1"/>
  <c r="T159" i="16" a="1"/>
  <c r="T159" i="16" s="1"/>
  <c r="T160" i="16" a="1"/>
  <c r="T160" i="16" s="1"/>
  <c r="T52" i="16" a="1"/>
  <c r="T52" i="16" s="1"/>
  <c r="T74" i="16" a="1"/>
  <c r="T74" i="16" s="1"/>
  <c r="T167" i="16" a="1"/>
  <c r="T167" i="16" s="1"/>
  <c r="T59" i="16" a="1"/>
  <c r="T59" i="16" s="1"/>
  <c r="T72" i="16" a="1"/>
  <c r="T72" i="16" s="1"/>
  <c r="T179" i="16" a="1"/>
  <c r="T179" i="16" s="1"/>
  <c r="T55" i="16" a="1"/>
  <c r="T55" i="16" s="1"/>
  <c r="T14" i="16" a="1"/>
  <c r="T14" i="16" s="1"/>
  <c r="T5" i="16" a="1"/>
  <c r="T5" i="16" s="1"/>
  <c r="T32" i="16" a="1"/>
  <c r="T32" i="16" s="1"/>
  <c r="T73" i="16" a="1"/>
  <c r="T73" i="16" s="1"/>
  <c r="T29" i="16" a="1"/>
  <c r="T29" i="16" s="1"/>
  <c r="T24" i="16" a="1"/>
  <c r="T24" i="16" s="1"/>
  <c r="T53" i="16" a="1"/>
  <c r="T53" i="16" s="1"/>
  <c r="T31" i="16" a="1"/>
  <c r="T31" i="16" s="1"/>
  <c r="T12" i="16" a="1"/>
  <c r="T12" i="16" s="1"/>
  <c r="T35" i="16" a="1"/>
  <c r="T35" i="16" s="1"/>
  <c r="T57" i="16" a="1"/>
  <c r="T57" i="16" s="1"/>
  <c r="T45" i="16" a="1"/>
  <c r="T45" i="16" s="1"/>
  <c r="T34" i="16" a="1"/>
  <c r="T34" i="16" s="1"/>
  <c r="T21" i="16" a="1"/>
  <c r="T21" i="16" s="1"/>
  <c r="T13" i="16" a="1"/>
  <c r="T13" i="16" s="1"/>
  <c r="T25" i="16" a="1"/>
  <c r="T25" i="16" s="1"/>
  <c r="T58" i="16" a="1"/>
  <c r="T58" i="16" s="1"/>
  <c r="T33" i="16" a="1"/>
  <c r="T33" i="16" s="1"/>
  <c r="T6" i="16" a="1"/>
  <c r="T6" i="16" s="1"/>
  <c r="T49" i="16" a="1"/>
  <c r="T49" i="16" s="1"/>
  <c r="T67" i="15" a="1"/>
  <c r="T67" i="15" s="1"/>
  <c r="T30" i="16" a="1"/>
  <c r="T30" i="16" s="1"/>
  <c r="T19" i="16" a="1"/>
  <c r="T19" i="16" s="1"/>
  <c r="T65" i="15" a="1"/>
  <c r="T65" i="15" s="1"/>
  <c r="T72" i="15" a="1"/>
  <c r="T72" i="15" s="1"/>
  <c r="T59" i="15" a="1"/>
  <c r="T59" i="15" s="1"/>
  <c r="T38" i="15" a="1"/>
  <c r="T38" i="15" s="1"/>
  <c r="T73" i="15" a="1"/>
  <c r="T73" i="15" s="1"/>
  <c r="T18" i="15" a="1"/>
  <c r="T18" i="15" s="1"/>
  <c r="T41" i="15" a="1"/>
  <c r="T41" i="15" s="1"/>
  <c r="T4" i="16" a="1"/>
  <c r="T4" i="16" s="1"/>
  <c r="T61" i="15" a="1"/>
  <c r="T61" i="15" s="1"/>
  <c r="T56" i="15" a="1"/>
  <c r="T56" i="15" s="1"/>
  <c r="T39" i="15" a="1"/>
  <c r="T39" i="15" s="1"/>
  <c r="T58" i="15" a="1"/>
  <c r="T58" i="15" s="1"/>
  <c r="T46" i="15" a="1"/>
  <c r="T46" i="15" s="1"/>
  <c r="T60" i="15" a="1"/>
  <c r="T60" i="15" s="1"/>
  <c r="T37" i="15" a="1"/>
  <c r="T37" i="15" s="1"/>
  <c r="T64" i="15" a="1"/>
  <c r="T64" i="15" s="1"/>
  <c r="T63" i="15" a="1"/>
  <c r="T63" i="15" s="1"/>
  <c r="T49" i="15" a="1"/>
  <c r="T49" i="15" s="1"/>
  <c r="T20" i="15" a="1"/>
  <c r="T20" i="15" s="1"/>
  <c r="T17" i="15" a="1"/>
  <c r="T17" i="15" s="1"/>
  <c r="T9" i="15" a="1"/>
  <c r="T9" i="15" s="1"/>
  <c r="T4" i="15" a="1"/>
  <c r="T4" i="15" s="1"/>
  <c r="D4" i="15" s="1"/>
  <c r="T71" i="15" a="1"/>
  <c r="T71" i="15" s="1"/>
  <c r="T44" i="15" a="1"/>
  <c r="T44" i="15" s="1"/>
  <c r="T25" i="15" a="1"/>
  <c r="T25" i="15" s="1"/>
  <c r="T19" i="15" a="1"/>
  <c r="T19" i="15" s="1"/>
  <c r="T7" i="15" a="1"/>
  <c r="T7" i="15" s="1"/>
  <c r="T66" i="15" a="1"/>
  <c r="T66" i="15" s="1"/>
  <c r="T5" i="15" a="1"/>
  <c r="T5" i="15" s="1"/>
  <c r="T47" i="15" a="1"/>
  <c r="T47" i="15" s="1"/>
  <c r="T40" i="15" a="1"/>
  <c r="T40" i="15" s="1"/>
  <c r="T8" i="15" a="1"/>
  <c r="T8" i="15" s="1"/>
  <c r="T6" i="15" a="1"/>
  <c r="T6" i="15" s="1"/>
  <c r="T21" i="15" a="1"/>
  <c r="T21" i="15" s="1"/>
  <c r="T27" i="15" a="1"/>
  <c r="T27" i="15" s="1"/>
  <c r="T10" i="15" a="1"/>
  <c r="T10" i="15" s="1"/>
  <c r="T57" i="15" a="1"/>
  <c r="T57" i="15" s="1"/>
  <c r="G157" i="4"/>
  <c r="G5" i="4"/>
  <c r="T29" i="15" a="1"/>
  <c r="T29" i="15" s="1"/>
  <c r="T28" i="15" a="1"/>
  <c r="T28" i="15" s="1"/>
  <c r="W157" i="11"/>
  <c r="W5" i="11"/>
  <c r="AE157" i="10"/>
  <c r="AE5" i="10"/>
  <c r="Z360" i="16" a="1"/>
  <c r="Z360" i="16" s="1"/>
  <c r="Z363" i="16" a="1"/>
  <c r="Z363" i="16" s="1"/>
  <c r="Z376" i="16" a="1"/>
  <c r="Z376" i="16" s="1"/>
  <c r="Z368" i="16" a="1"/>
  <c r="Z368" i="16" s="1"/>
  <c r="Z366" i="16" a="1"/>
  <c r="Z366" i="16" s="1"/>
  <c r="Z361" i="16" a="1"/>
  <c r="Z361" i="16" s="1"/>
  <c r="Z364" i="16" a="1"/>
  <c r="Z364" i="16" s="1"/>
  <c r="Z374" i="16" a="1"/>
  <c r="Z374" i="16" s="1"/>
  <c r="Z362" i="16" a="1"/>
  <c r="Z362" i="16" s="1"/>
  <c r="Z354" i="16" a="1"/>
  <c r="Z354" i="16" s="1"/>
  <c r="Z359" i="16" a="1"/>
  <c r="Z359" i="16" s="1"/>
  <c r="Z337" i="16" a="1"/>
  <c r="Z337" i="16" s="1"/>
  <c r="Z334" i="16" a="1"/>
  <c r="Z334" i="16" s="1"/>
  <c r="Z325" i="16" a="1"/>
  <c r="Z325" i="16" s="1"/>
  <c r="Z356" i="16" a="1"/>
  <c r="Z356" i="16" s="1"/>
  <c r="Z313" i="16" a="1"/>
  <c r="Z313" i="16" s="1"/>
  <c r="Z371" i="16" a="1"/>
  <c r="Z371" i="16" s="1"/>
  <c r="Z346" i="16" a="1"/>
  <c r="Z346" i="16" s="1"/>
  <c r="Z326" i="16" a="1"/>
  <c r="Z326" i="16" s="1"/>
  <c r="Z350" i="16" a="1"/>
  <c r="Z350" i="16" s="1"/>
  <c r="Z377" i="16" a="1"/>
  <c r="Z377" i="16" s="1"/>
  <c r="Z335" i="16" a="1"/>
  <c r="Z335" i="16" s="1"/>
  <c r="Z321" i="16" a="1"/>
  <c r="Z321" i="16" s="1"/>
  <c r="Z370" i="16" a="1"/>
  <c r="Z370" i="16" s="1"/>
  <c r="Z352" i="16" a="1"/>
  <c r="Z352" i="16" s="1"/>
  <c r="Z348" i="16" a="1"/>
  <c r="Z348" i="16" s="1"/>
  <c r="Z367" i="16" a="1"/>
  <c r="Z367" i="16" s="1"/>
  <c r="Z345" i="16" a="1"/>
  <c r="Z345" i="16" s="1"/>
  <c r="Z336" i="16" a="1"/>
  <c r="Z336" i="16" s="1"/>
  <c r="Z341" i="16" a="1"/>
  <c r="Z341" i="16" s="1"/>
  <c r="Z358" i="16" a="1"/>
  <c r="Z358" i="16" s="1"/>
  <c r="Z344" i="16" a="1"/>
  <c r="Z344" i="16" s="1"/>
  <c r="Z340" i="16" a="1"/>
  <c r="Z340" i="16" s="1"/>
  <c r="Z311" i="16" a="1"/>
  <c r="Z311" i="16" s="1"/>
  <c r="Z317" i="16" a="1"/>
  <c r="Z317" i="16" s="1"/>
  <c r="Z323" i="16" a="1"/>
  <c r="Z323" i="16" s="1"/>
  <c r="Z329" i="16" a="1"/>
  <c r="Z329" i="16" s="1"/>
  <c r="Z226" i="16" a="1"/>
  <c r="Z226" i="16" s="1"/>
  <c r="Z315" i="16" a="1"/>
  <c r="Z315" i="16" s="1"/>
  <c r="Z197" i="16" a="1"/>
  <c r="Z197" i="16" s="1"/>
  <c r="Z211" i="16" a="1"/>
  <c r="Z211" i="16" s="1"/>
  <c r="Z206" i="16" a="1"/>
  <c r="Z206" i="16" s="1"/>
  <c r="Z220" i="16" a="1"/>
  <c r="Z220" i="16" s="1"/>
  <c r="Z219" i="16" a="1"/>
  <c r="Z219" i="16" s="1"/>
  <c r="Z223" i="16" a="1"/>
  <c r="Z223" i="16" s="1"/>
  <c r="Z196" i="16" a="1"/>
  <c r="Z196" i="16" s="1"/>
  <c r="Z316" i="16" a="1"/>
  <c r="Z316" i="16" s="1"/>
  <c r="Z217" i="16" a="1"/>
  <c r="Z217" i="16" s="1"/>
  <c r="Z186" i="16" a="1"/>
  <c r="Z186" i="16" s="1"/>
  <c r="Z168" i="16" a="1"/>
  <c r="Z168" i="16" s="1"/>
  <c r="Z212" i="16" a="1"/>
  <c r="Z212" i="16" s="1"/>
  <c r="Z165" i="16" a="1"/>
  <c r="Z165" i="16" s="1"/>
  <c r="Z161" i="16" a="1"/>
  <c r="Z161" i="16" s="1"/>
  <c r="Z179" i="16" a="1"/>
  <c r="Z179" i="16" s="1"/>
  <c r="Z190" i="16" a="1"/>
  <c r="Z190" i="16" s="1"/>
  <c r="Z184" i="16" a="1"/>
  <c r="Z184" i="16" s="1"/>
  <c r="Z215" i="16" a="1"/>
  <c r="Z215" i="16" s="1"/>
  <c r="Z207" i="16" a="1"/>
  <c r="Z207" i="16" s="1"/>
  <c r="Z162" i="16" a="1"/>
  <c r="Z162" i="16" s="1"/>
  <c r="Z167" i="16" a="1"/>
  <c r="Z167" i="16" s="1"/>
  <c r="Z166" i="16" a="1"/>
  <c r="Z166" i="16" s="1"/>
  <c r="Z192" i="16" a="1"/>
  <c r="Z192" i="16" s="1"/>
  <c r="Z189" i="16" a="1"/>
  <c r="Z189" i="16" s="1"/>
  <c r="Z182" i="16" a="1"/>
  <c r="Z182" i="16" s="1"/>
  <c r="Z209" i="16" a="1"/>
  <c r="Z209" i="16" s="1"/>
  <c r="Z176" i="16" a="1"/>
  <c r="Z176" i="16" s="1"/>
  <c r="Z74" i="16" a="1"/>
  <c r="Z74" i="16" s="1"/>
  <c r="Z187" i="16" a="1"/>
  <c r="Z187" i="16" s="1"/>
  <c r="Z175" i="16" a="1"/>
  <c r="Z175" i="16" s="1"/>
  <c r="Z183" i="16" a="1"/>
  <c r="Z183" i="16" s="1"/>
  <c r="Z31" i="16" a="1"/>
  <c r="Z31" i="16" s="1"/>
  <c r="Z33" i="16" a="1"/>
  <c r="Z33" i="16" s="1"/>
  <c r="Z32" i="16" a="1"/>
  <c r="Z32" i="16" s="1"/>
  <c r="Z49" i="16" a="1"/>
  <c r="Z49" i="16" s="1"/>
  <c r="Z172" i="16" a="1"/>
  <c r="Z172" i="16" s="1"/>
  <c r="Z59" i="16" a="1"/>
  <c r="Z59" i="16" s="1"/>
  <c r="Z181" i="16" a="1"/>
  <c r="Z181" i="16" s="1"/>
  <c r="Z66" i="16" a="1"/>
  <c r="Z66" i="16" s="1"/>
  <c r="Z62" i="16" a="1"/>
  <c r="Z62" i="16" s="1"/>
  <c r="Z53" i="16" a="1"/>
  <c r="Z53" i="16" s="1"/>
  <c r="Z204" i="16" a="1"/>
  <c r="Z204" i="16" s="1"/>
  <c r="Z174" i="16" a="1"/>
  <c r="Z174" i="16" s="1"/>
  <c r="Z13" i="16" a="1"/>
  <c r="Z13" i="16" s="1"/>
  <c r="Z9" i="16" a="1"/>
  <c r="Z9" i="16" s="1"/>
  <c r="Z21" i="16" a="1"/>
  <c r="Z21" i="16" s="1"/>
  <c r="Z70" i="16" a="1"/>
  <c r="Z70" i="16" s="1"/>
  <c r="Z68" i="16" a="1"/>
  <c r="Z68" i="16" s="1"/>
  <c r="Z57" i="16" a="1"/>
  <c r="Z57" i="16" s="1"/>
  <c r="Z25" i="16" a="1"/>
  <c r="Z25" i="16" s="1"/>
  <c r="Z72" i="16" a="1"/>
  <c r="Z72" i="16" s="1"/>
  <c r="Z45" i="16" a="1"/>
  <c r="Z45" i="16" s="1"/>
  <c r="Z40" i="16" a="1"/>
  <c r="Z40" i="16" s="1"/>
  <c r="Z19" i="16" a="1"/>
  <c r="Z19" i="16" s="1"/>
  <c r="Z47" i="16" a="1"/>
  <c r="Z47" i="16" s="1"/>
  <c r="Z50" i="16" a="1"/>
  <c r="Z50" i="16" s="1"/>
  <c r="Z34" i="16" a="1"/>
  <c r="Z34" i="16" s="1"/>
  <c r="Z27" i="16" a="1"/>
  <c r="Z27" i="16" s="1"/>
  <c r="Z10" i="16" a="1"/>
  <c r="Z10" i="16" s="1"/>
  <c r="Z6" i="16" a="1"/>
  <c r="Z6" i="16" s="1"/>
  <c r="Z5" i="16" a="1"/>
  <c r="Z5" i="16" s="1"/>
  <c r="Z58" i="16" a="1"/>
  <c r="Z58" i="16" s="1"/>
  <c r="Z22" i="16" a="1"/>
  <c r="Z22" i="16" s="1"/>
  <c r="Z12" i="16" a="1"/>
  <c r="Z12" i="16" s="1"/>
  <c r="Z38" i="16" a="1"/>
  <c r="Z38" i="16" s="1"/>
  <c r="Z20" i="16" a="1"/>
  <c r="Z20" i="16" s="1"/>
  <c r="Z24" i="16" a="1"/>
  <c r="Z24" i="16" s="1"/>
  <c r="Z59" i="15" a="1"/>
  <c r="Z59" i="15" s="1"/>
  <c r="Z39" i="15" a="1"/>
  <c r="Z39" i="15" s="1"/>
  <c r="Z58" i="15" a="1"/>
  <c r="Z58" i="15" s="1"/>
  <c r="Z64" i="15" a="1"/>
  <c r="Z64" i="15" s="1"/>
  <c r="Z14" i="16" a="1"/>
  <c r="Z14" i="16" s="1"/>
  <c r="Z73" i="15" a="1"/>
  <c r="Z73" i="15" s="1"/>
  <c r="Z61" i="16" a="1"/>
  <c r="Z61" i="16" s="1"/>
  <c r="Z4" i="16" a="1"/>
  <c r="Z4" i="16" s="1"/>
  <c r="Z37" i="15" a="1"/>
  <c r="Z37" i="15" s="1"/>
  <c r="Z7" i="15" a="1"/>
  <c r="Z7" i="15" s="1"/>
  <c r="Z71" i="15" a="1"/>
  <c r="Z71" i="15" s="1"/>
  <c r="Z57" i="15" a="1"/>
  <c r="Z57" i="15" s="1"/>
  <c r="Z51" i="15" a="1"/>
  <c r="Z51" i="15" s="1"/>
  <c r="Z29" i="15" a="1"/>
  <c r="Z29" i="15" s="1"/>
  <c r="Z49" i="15" a="1"/>
  <c r="Z49" i="15" s="1"/>
  <c r="Z38" i="15" a="1"/>
  <c r="Z38" i="15" s="1"/>
  <c r="Z32" i="15" a="1"/>
  <c r="Z32" i="15" s="1"/>
  <c r="Z35" i="15" a="1"/>
  <c r="Z35" i="15" s="1"/>
  <c r="Z45" i="15" a="1"/>
  <c r="Z45" i="15" s="1"/>
  <c r="Z52" i="15" a="1"/>
  <c r="Z52" i="15" s="1"/>
  <c r="Z56" i="15" a="1"/>
  <c r="Z56" i="15" s="1"/>
  <c r="Z54" i="15" a="1"/>
  <c r="Z54" i="15" s="1"/>
  <c r="Z18" i="15" a="1"/>
  <c r="Z18" i="15" s="1"/>
  <c r="Z36" i="15" a="1"/>
  <c r="Z36" i="15" s="1"/>
  <c r="Z33" i="15" a="1"/>
  <c r="Z33" i="15" s="1"/>
  <c r="Z6" i="15" a="1"/>
  <c r="Z6" i="15" s="1"/>
  <c r="Z17" i="15" a="1"/>
  <c r="Z17" i="15" s="1"/>
  <c r="Z14" i="15" a="1"/>
  <c r="Z14" i="15" s="1"/>
  <c r="Z4" i="15" a="1"/>
  <c r="Z4" i="15" s="1"/>
  <c r="J4" i="15" s="1"/>
  <c r="Z27" i="15" a="1"/>
  <c r="Z27" i="15" s="1"/>
  <c r="G157" i="10"/>
  <c r="Z26" i="15" a="1"/>
  <c r="Z26" i="15" s="1"/>
  <c r="Z5" i="15" a="1"/>
  <c r="Z5" i="15" s="1"/>
  <c r="G5" i="10"/>
  <c r="Z47" i="15" a="1"/>
  <c r="Z47" i="15" s="1"/>
  <c r="Z13" i="15" a="1"/>
  <c r="Z13" i="15" s="1"/>
  <c r="Z19" i="15" a="1"/>
  <c r="Z19" i="15" s="1"/>
  <c r="Z25" i="15" a="1"/>
  <c r="Z25" i="15" s="1"/>
  <c r="Z52" i="16" a="1"/>
  <c r="Z52" i="16" s="1"/>
  <c r="Z157" i="10"/>
  <c r="Z5" i="10"/>
  <c r="AB37" i="16" a="1"/>
  <c r="AB37" i="16" s="1"/>
  <c r="AB45" i="16" a="1"/>
  <c r="AB45" i="16" s="1"/>
  <c r="AB33" i="16" a="1"/>
  <c r="AB33" i="16" s="1"/>
  <c r="AB185" i="16" a="1"/>
  <c r="AB185" i="16" s="1"/>
  <c r="AB311" i="16" a="1"/>
  <c r="AB311" i="16" s="1"/>
  <c r="AB371" i="16" a="1"/>
  <c r="AB371" i="16" s="1"/>
  <c r="AJ157" i="3"/>
  <c r="AJ5" i="3"/>
  <c r="Z15" i="15" a="1"/>
  <c r="Z15" i="15" s="1"/>
  <c r="AC34" i="15" a="1"/>
  <c r="AC34" i="15" s="1"/>
  <c r="X32" i="15" a="1"/>
  <c r="X32" i="15" s="1"/>
  <c r="X29" i="16" a="1"/>
  <c r="X29" i="16" s="1"/>
  <c r="X73" i="16" a="1"/>
  <c r="X73" i="16" s="1"/>
  <c r="X320" i="16" a="1"/>
  <c r="X320" i="16" s="1"/>
  <c r="X211" i="16" a="1"/>
  <c r="X211" i="16" s="1"/>
  <c r="X337" i="16" a="1"/>
  <c r="X337" i="16" s="1"/>
  <c r="X334" i="16" a="1"/>
  <c r="X334" i="16" s="1"/>
  <c r="AA20" i="16" a="1"/>
  <c r="AA20" i="16" s="1"/>
  <c r="AA6" i="16" a="1"/>
  <c r="AA6" i="16" s="1"/>
  <c r="AA59" i="16" a="1"/>
  <c r="AA59" i="16" s="1"/>
  <c r="AA190" i="16" a="1"/>
  <c r="AA190" i="16" s="1"/>
  <c r="AA224" i="16" a="1"/>
  <c r="AA224" i="16" s="1"/>
  <c r="AA352" i="16" a="1"/>
  <c r="AA352" i="16" s="1"/>
  <c r="AC22" i="15" a="1"/>
  <c r="AC22" i="15" s="1"/>
  <c r="S6" i="15" a="1"/>
  <c r="S6" i="15" s="1"/>
  <c r="S12" i="16" a="1"/>
  <c r="S12" i="16" s="1"/>
  <c r="S30" i="16" a="1"/>
  <c r="S30" i="16" s="1"/>
  <c r="S207" i="16" a="1"/>
  <c r="S207" i="16" s="1"/>
  <c r="S226" i="16" a="1"/>
  <c r="S226" i="16" s="1"/>
  <c r="S340" i="16" a="1"/>
  <c r="S340" i="16" s="1"/>
  <c r="U5" i="2"/>
  <c r="U157" i="2"/>
  <c r="W157" i="5"/>
  <c r="W5" i="5"/>
  <c r="W7" i="15" a="1"/>
  <c r="W7" i="15" s="1"/>
  <c r="W66" i="15" a="1"/>
  <c r="W66" i="15" s="1"/>
  <c r="W9" i="16" a="1"/>
  <c r="W9" i="16" s="1"/>
  <c r="W158" i="16" a="1"/>
  <c r="W158" i="16" s="1"/>
  <c r="G158" i="16" s="1"/>
  <c r="W224" i="16" a="1"/>
  <c r="W224" i="16" s="1"/>
  <c r="W330" i="16" a="1"/>
  <c r="W330" i="16" s="1"/>
  <c r="W358" i="16" a="1"/>
  <c r="W358" i="16" s="1"/>
  <c r="AB4" i="16" a="1"/>
  <c r="AB4" i="16" s="1"/>
  <c r="AF157" i="10"/>
  <c r="AF5" i="10"/>
  <c r="AA27" i="15" a="1"/>
  <c r="AA27" i="15" s="1"/>
  <c r="K157" i="10"/>
  <c r="K5" i="10"/>
  <c r="AA39" i="15" a="1"/>
  <c r="AA39" i="15" s="1"/>
  <c r="Z44" i="15" a="1"/>
  <c r="Z44" i="15" s="1"/>
  <c r="AB48" i="15" a="1"/>
  <c r="AB48" i="15" s="1"/>
  <c r="AB39" i="15" a="1"/>
  <c r="AB39" i="15" s="1"/>
  <c r="AB47" i="16" a="1"/>
  <c r="AB47" i="16" s="1"/>
  <c r="AB159" i="16" a="1"/>
  <c r="AB159" i="16" s="1"/>
  <c r="AB157" i="16" a="1"/>
  <c r="AB157" i="16" s="1"/>
  <c r="L157" i="16" s="1"/>
  <c r="AB314" i="16" a="1"/>
  <c r="AB314" i="16" s="1"/>
  <c r="AB345" i="16" a="1"/>
  <c r="AB345" i="16" s="1"/>
  <c r="X16" i="15" a="1"/>
  <c r="X16" i="15" s="1"/>
  <c r="R5" i="3"/>
  <c r="R157" i="3"/>
  <c r="X30" i="15" a="1"/>
  <c r="X30" i="15" s="1"/>
  <c r="S74" i="15" a="1"/>
  <c r="S74" i="15" s="1"/>
  <c r="AA15" i="15" a="1"/>
  <c r="AA15" i="15" s="1"/>
  <c r="X35" i="15" a="1"/>
  <c r="X35" i="15" s="1"/>
  <c r="X43" i="16" a="1"/>
  <c r="X43" i="16" s="1"/>
  <c r="X52" i="16" a="1"/>
  <c r="X52" i="16" s="1"/>
  <c r="X189" i="16" a="1"/>
  <c r="X189" i="16" s="1"/>
  <c r="X188" i="16" a="1"/>
  <c r="X188" i="16" s="1"/>
  <c r="X343" i="16" a="1"/>
  <c r="X343" i="16" s="1"/>
  <c r="X344" i="16" a="1"/>
  <c r="X344" i="16" s="1"/>
  <c r="AA33" i="15" a="1"/>
  <c r="AA33" i="15" s="1"/>
  <c r="AA36" i="16" a="1"/>
  <c r="AA36" i="16" s="1"/>
  <c r="AA35" i="16" a="1"/>
  <c r="AA35" i="16" s="1"/>
  <c r="AA172" i="16" a="1"/>
  <c r="AA172" i="16" s="1"/>
  <c r="AA222" i="16" a="1"/>
  <c r="AA222" i="16" s="1"/>
  <c r="AA356" i="16" a="1"/>
  <c r="AA356" i="16" s="1"/>
  <c r="S31" i="15" a="1"/>
  <c r="S31" i="15" s="1"/>
  <c r="S45" i="16" a="1"/>
  <c r="S45" i="16" s="1"/>
  <c r="S69" i="16" a="1"/>
  <c r="S69" i="16" s="1"/>
  <c r="S176" i="16" a="1"/>
  <c r="S176" i="16" s="1"/>
  <c r="S225" i="16" a="1"/>
  <c r="S225" i="16" s="1"/>
  <c r="S358" i="16" a="1"/>
  <c r="S358" i="16" s="1"/>
  <c r="J157" i="5"/>
  <c r="J5" i="5"/>
  <c r="AA26" i="15" a="1"/>
  <c r="AA26" i="15" s="1"/>
  <c r="W13" i="15" a="1"/>
  <c r="W13" i="15" s="1"/>
  <c r="W66" i="16" a="1"/>
  <c r="W66" i="16" s="1"/>
  <c r="W196" i="16" a="1"/>
  <c r="W196" i="16" s="1"/>
  <c r="W166" i="16" a="1"/>
  <c r="W166" i="16" s="1"/>
  <c r="W209" i="16" a="1"/>
  <c r="W209" i="16" s="1"/>
  <c r="W332" i="16" a="1"/>
  <c r="W332" i="16" s="1"/>
  <c r="AK5" i="2"/>
  <c r="AK157" i="2"/>
  <c r="L157" i="10"/>
  <c r="L5" i="10"/>
  <c r="AB26" i="15" a="1"/>
  <c r="AB26" i="15" s="1"/>
  <c r="Z8" i="16" a="1"/>
  <c r="Z8" i="16" s="1"/>
  <c r="AA36" i="15" a="1"/>
  <c r="AA36" i="15" s="1"/>
  <c r="AA44" i="15" a="1"/>
  <c r="AA44" i="15" s="1"/>
  <c r="AB67" i="15" a="1"/>
  <c r="AB67" i="15" s="1"/>
  <c r="AB59" i="15" a="1"/>
  <c r="AB59" i="15" s="1"/>
  <c r="AB14" i="16" a="1"/>
  <c r="AB14" i="16" s="1"/>
  <c r="AB163" i="16" a="1"/>
  <c r="AB163" i="16" s="1"/>
  <c r="AB161" i="16" a="1"/>
  <c r="AB161" i="16" s="1"/>
  <c r="AB330" i="16" a="1"/>
  <c r="AB330" i="16" s="1"/>
  <c r="AB366" i="16" a="1"/>
  <c r="AB366" i="16" s="1"/>
  <c r="AB20" i="15" a="1"/>
  <c r="AB20" i="15" s="1"/>
  <c r="X13" i="15" a="1"/>
  <c r="X13" i="15" s="1"/>
  <c r="P157" i="6"/>
  <c r="P5" i="6"/>
  <c r="T74" i="15" a="1"/>
  <c r="T74" i="15" s="1"/>
  <c r="AB15" i="15" a="1"/>
  <c r="AB15" i="15" s="1"/>
  <c r="T34" i="15" a="1"/>
  <c r="T34" i="15" s="1"/>
  <c r="X32" i="16" a="1"/>
  <c r="X32" i="16" s="1"/>
  <c r="X37" i="16" a="1"/>
  <c r="X37" i="16" s="1"/>
  <c r="X71" i="16" a="1"/>
  <c r="X71" i="16" s="1"/>
  <c r="X214" i="16" a="1"/>
  <c r="X214" i="16" s="1"/>
  <c r="X319" i="16" a="1"/>
  <c r="X319" i="16" s="1"/>
  <c r="X356" i="16" a="1"/>
  <c r="X356" i="16" s="1"/>
  <c r="X363" i="16" a="1"/>
  <c r="X363" i="16" s="1"/>
  <c r="AA29" i="16" a="1"/>
  <c r="AA29" i="16" s="1"/>
  <c r="AA70" i="16" a="1"/>
  <c r="AA70" i="16" s="1"/>
  <c r="AA184" i="16" a="1"/>
  <c r="AA184" i="16" s="1"/>
  <c r="AA209" i="16" a="1"/>
  <c r="AA209" i="16" s="1"/>
  <c r="AA323" i="16" a="1"/>
  <c r="AA323" i="16" s="1"/>
  <c r="AE157" i="2"/>
  <c r="AE5" i="2"/>
  <c r="S37" i="15" a="1"/>
  <c r="S37" i="15" s="1"/>
  <c r="S22" i="16" a="1"/>
  <c r="S22" i="16" s="1"/>
  <c r="S74" i="16" a="1"/>
  <c r="S74" i="16" s="1"/>
  <c r="S190" i="16" a="1"/>
  <c r="S190" i="16" s="1"/>
  <c r="S212" i="16" a="1"/>
  <c r="S212" i="16" s="1"/>
  <c r="S362" i="16" a="1"/>
  <c r="S362" i="16" s="1"/>
  <c r="F156" i="7"/>
  <c r="AG5" i="5"/>
  <c r="AG157" i="5"/>
  <c r="H5" i="7"/>
  <c r="H157" i="7"/>
  <c r="AC157" i="2"/>
  <c r="AC5" i="2"/>
  <c r="AD157" i="8"/>
  <c r="AD5" i="8"/>
  <c r="K38" i="14"/>
  <c r="AB44" i="15" a="1"/>
  <c r="AB44" i="15" s="1"/>
  <c r="AB41" i="15" a="1"/>
  <c r="AB41" i="15" s="1"/>
  <c r="AB22" i="16" a="1"/>
  <c r="AB22" i="16" s="1"/>
  <c r="AB42" i="16" a="1"/>
  <c r="AB42" i="16" s="1"/>
  <c r="AB182" i="16" a="1"/>
  <c r="AB182" i="16" s="1"/>
  <c r="AB208" i="16" a="1"/>
  <c r="AB208" i="16" s="1"/>
  <c r="AB317" i="16" a="1"/>
  <c r="AB317" i="16" s="1"/>
  <c r="AB335" i="16" a="1"/>
  <c r="AB335" i="16" s="1"/>
  <c r="AB18" i="15" a="1"/>
  <c r="AB18" i="15" s="1"/>
  <c r="Z12" i="15" a="1"/>
  <c r="Z12" i="15" s="1"/>
  <c r="X49" i="15" a="1"/>
  <c r="X49" i="15" s="1"/>
  <c r="X38" i="16" a="1"/>
  <c r="X38" i="16" s="1"/>
  <c r="X40" i="16" a="1"/>
  <c r="X40" i="16" s="1"/>
  <c r="X168" i="16" a="1"/>
  <c r="X168" i="16" s="1"/>
  <c r="X312" i="16" a="1"/>
  <c r="X312" i="16" s="1"/>
  <c r="AA48" i="15" a="1"/>
  <c r="AA48" i="15" s="1"/>
  <c r="AA71" i="16" a="1"/>
  <c r="AA71" i="16" s="1"/>
  <c r="AA161" i="16" a="1"/>
  <c r="AA161" i="16" s="1"/>
  <c r="AA226" i="16" a="1"/>
  <c r="AA226" i="16" s="1"/>
  <c r="AA338" i="16" a="1"/>
  <c r="AA338" i="16" s="1"/>
  <c r="AA368" i="16" a="1"/>
  <c r="AA368" i="16" s="1"/>
  <c r="AB22" i="15" a="1"/>
  <c r="AB22" i="15" s="1"/>
  <c r="S29" i="15" a="1"/>
  <c r="S29" i="15" s="1"/>
  <c r="S21" i="15" a="1"/>
  <c r="S21" i="15" s="1"/>
  <c r="S9" i="16" a="1"/>
  <c r="S9" i="16" s="1"/>
  <c r="S53" i="16" a="1"/>
  <c r="S53" i="16" s="1"/>
  <c r="S185" i="16" a="1"/>
  <c r="S185" i="16" s="1"/>
  <c r="S217" i="16" a="1"/>
  <c r="S217" i="16" s="1"/>
  <c r="S368" i="16" a="1"/>
  <c r="S368" i="16" s="1"/>
  <c r="AB37" i="15" a="1"/>
  <c r="AB37" i="15" s="1"/>
  <c r="I5" i="5"/>
  <c r="I157" i="5"/>
  <c r="W345" i="16" a="1"/>
  <c r="W345" i="16" s="1"/>
  <c r="AG5" i="7"/>
  <c r="AG157" i="7"/>
  <c r="O157" i="2"/>
  <c r="O5" i="2"/>
  <c r="AB60" i="16" a="1"/>
  <c r="AB60" i="16" s="1"/>
  <c r="AA43" i="16" a="1"/>
  <c r="AA43" i="16" s="1"/>
  <c r="AA11" i="16" a="1"/>
  <c r="AA11" i="16" s="1"/>
  <c r="Z40" i="15" a="1"/>
  <c r="Z40" i="15" s="1"/>
  <c r="T45" i="15" a="1"/>
  <c r="T45" i="15" s="1"/>
  <c r="AB5" i="15" a="1"/>
  <c r="AB5" i="15" s="1"/>
  <c r="Z8" i="15" a="1"/>
  <c r="Z8" i="15" s="1"/>
  <c r="AB57" i="15" a="1"/>
  <c r="AB57" i="15" s="1"/>
  <c r="AE157" i="13"/>
  <c r="AE5" i="13"/>
  <c r="AB46" i="15" a="1"/>
  <c r="AB46" i="15" s="1"/>
  <c r="J157" i="8"/>
  <c r="J5" i="8"/>
  <c r="X41" i="15" a="1"/>
  <c r="X41" i="15" s="1"/>
  <c r="X4" i="15" a="1"/>
  <c r="X4" i="15" s="1"/>
  <c r="H4" i="15" s="1"/>
  <c r="X9" i="15" a="1"/>
  <c r="X9" i="15" s="1"/>
  <c r="X7" i="15" a="1"/>
  <c r="X7" i="15" s="1"/>
  <c r="X12" i="15" a="1"/>
  <c r="X12" i="15" s="1"/>
  <c r="S26" i="15" a="1"/>
  <c r="S26" i="15" s="1"/>
  <c r="X44" i="15" a="1"/>
  <c r="X44" i="15" s="1"/>
  <c r="AB54" i="15" a="1"/>
  <c r="AB54" i="15" s="1"/>
  <c r="AB26" i="16" a="1"/>
  <c r="AB26" i="16" s="1"/>
  <c r="AB57" i="16" a="1"/>
  <c r="AB57" i="16" s="1"/>
  <c r="AB162" i="16" a="1"/>
  <c r="AB162" i="16" s="1"/>
  <c r="AB168" i="16" a="1"/>
  <c r="AB168" i="16" s="1"/>
  <c r="AB331" i="16" a="1"/>
  <c r="AB331" i="16" s="1"/>
  <c r="AB360" i="16" a="1"/>
  <c r="AB360" i="16" s="1"/>
  <c r="AA60" i="15" a="1"/>
  <c r="AA60" i="15" s="1"/>
  <c r="AA12" i="15" a="1"/>
  <c r="AA12" i="15" s="1"/>
  <c r="AK5" i="6"/>
  <c r="AK157" i="6"/>
  <c r="X74" i="15" a="1"/>
  <c r="X74" i="15" s="1"/>
  <c r="X57" i="15" a="1"/>
  <c r="X57" i="15" s="1"/>
  <c r="X33" i="16" a="1"/>
  <c r="X33" i="16" s="1"/>
  <c r="X66" i="16" a="1"/>
  <c r="X66" i="16" s="1"/>
  <c r="X169" i="16" a="1"/>
  <c r="X169" i="16" s="1"/>
  <c r="X222" i="16" a="1"/>
  <c r="X222" i="16" s="1"/>
  <c r="X360" i="16" a="1"/>
  <c r="X360" i="16" s="1"/>
  <c r="AA52" i="15" a="1"/>
  <c r="AA52" i="15" s="1"/>
  <c r="AA15" i="16" a="1"/>
  <c r="AA15" i="16" s="1"/>
  <c r="AA157" i="16" a="1"/>
  <c r="AA157" i="16" s="1"/>
  <c r="K157" i="16" s="1"/>
  <c r="AA164" i="16" a="1"/>
  <c r="AA164" i="16" s="1"/>
  <c r="AA336" i="16" a="1"/>
  <c r="AA336" i="16" s="1"/>
  <c r="AA376" i="16" a="1"/>
  <c r="AA376" i="16" s="1"/>
  <c r="S12" i="15" a="1"/>
  <c r="S12" i="15" s="1"/>
  <c r="S51" i="15" a="1"/>
  <c r="S51" i="15" s="1"/>
  <c r="S21" i="16" a="1"/>
  <c r="S21" i="16" s="1"/>
  <c r="S159" i="16" a="1"/>
  <c r="S159" i="16" s="1"/>
  <c r="S196" i="16" a="1"/>
  <c r="S196" i="16" s="1"/>
  <c r="S223" i="16" a="1"/>
  <c r="S223" i="16" s="1"/>
  <c r="S334" i="16" a="1"/>
  <c r="S334" i="16" s="1"/>
  <c r="U370" i="16" a="1"/>
  <c r="U370" i="16" s="1"/>
  <c r="U374" i="16" a="1"/>
  <c r="U374" i="16" s="1"/>
  <c r="U371" i="16" a="1"/>
  <c r="U371" i="16" s="1"/>
  <c r="U340" i="16" a="1"/>
  <c r="U340" i="16" s="1"/>
  <c r="U358" i="16" a="1"/>
  <c r="U358" i="16" s="1"/>
  <c r="U376" i="16" a="1"/>
  <c r="U376" i="16" s="1"/>
  <c r="U348" i="16" a="1"/>
  <c r="U348" i="16" s="1"/>
  <c r="U366" i="16" a="1"/>
  <c r="U366" i="16" s="1"/>
  <c r="U361" i="16" a="1"/>
  <c r="U361" i="16" s="1"/>
  <c r="U372" i="16" a="1"/>
  <c r="U372" i="16" s="1"/>
  <c r="U360" i="16" a="1"/>
  <c r="U360" i="16" s="1"/>
  <c r="U356" i="16" a="1"/>
  <c r="U356" i="16" s="1"/>
  <c r="U379" i="16" a="1"/>
  <c r="U379" i="16" s="1"/>
  <c r="U378" i="16" a="1"/>
  <c r="U378" i="16" s="1"/>
  <c r="U334" i="16" a="1"/>
  <c r="U334" i="16" s="1"/>
  <c r="U311" i="16" a="1"/>
  <c r="U311" i="16" s="1"/>
  <c r="U368" i="16" a="1"/>
  <c r="U368" i="16" s="1"/>
  <c r="U355" i="16" a="1"/>
  <c r="U355" i="16" s="1"/>
  <c r="U362" i="16" a="1"/>
  <c r="U362" i="16" s="1"/>
  <c r="U341" i="16" a="1"/>
  <c r="U341" i="16" s="1"/>
  <c r="U335" i="16" a="1"/>
  <c r="U335" i="16" s="1"/>
  <c r="U317" i="16" a="1"/>
  <c r="U317" i="16" s="1"/>
  <c r="U323" i="16" a="1"/>
  <c r="U323" i="16" s="1"/>
  <c r="U344" i="16" a="1"/>
  <c r="U344" i="16" s="1"/>
  <c r="U338" i="16" a="1"/>
  <c r="U338" i="16" s="1"/>
  <c r="U369" i="16" a="1"/>
  <c r="U369" i="16" s="1"/>
  <c r="U353" i="16" a="1"/>
  <c r="U353" i="16" s="1"/>
  <c r="U349" i="16" a="1"/>
  <c r="U349" i="16" s="1"/>
  <c r="U345" i="16" a="1"/>
  <c r="U345" i="16" s="1"/>
  <c r="U332" i="16" a="1"/>
  <c r="U332" i="16" s="1"/>
  <c r="U326" i="16" a="1"/>
  <c r="U326" i="16" s="1"/>
  <c r="U313" i="16" a="1"/>
  <c r="U313" i="16" s="1"/>
  <c r="U331" i="16" a="1"/>
  <c r="U331" i="16" s="1"/>
  <c r="U314" i="16" a="1"/>
  <c r="U314" i="16" s="1"/>
  <c r="U328" i="16" a="1"/>
  <c r="U328" i="16" s="1"/>
  <c r="U325" i="16" a="1"/>
  <c r="U325" i="16" s="1"/>
  <c r="U225" i="16" a="1"/>
  <c r="U225" i="16" s="1"/>
  <c r="U312" i="16" a="1"/>
  <c r="U312" i="16" s="1"/>
  <c r="U208" i="16" a="1"/>
  <c r="U208" i="16" s="1"/>
  <c r="U197" i="16" a="1"/>
  <c r="U197" i="16" s="1"/>
  <c r="U191" i="16" a="1"/>
  <c r="U191" i="16" s="1"/>
  <c r="U213" i="16" a="1"/>
  <c r="U213" i="16" s="1"/>
  <c r="U216" i="16" a="1"/>
  <c r="U216" i="16" s="1"/>
  <c r="U219" i="16" a="1"/>
  <c r="U219" i="16" s="1"/>
  <c r="U186" i="16" a="1"/>
  <c r="U186" i="16" s="1"/>
  <c r="U222" i="16" a="1"/>
  <c r="U222" i="16" s="1"/>
  <c r="U220" i="16" a="1"/>
  <c r="U220" i="16" s="1"/>
  <c r="U192" i="16" a="1"/>
  <c r="U192" i="16" s="1"/>
  <c r="U209" i="16" a="1"/>
  <c r="U209" i="16" s="1"/>
  <c r="U205" i="16" a="1"/>
  <c r="U205" i="16" s="1"/>
  <c r="U175" i="16" a="1"/>
  <c r="U175" i="16" s="1"/>
  <c r="U199" i="16" a="1"/>
  <c r="U199" i="16" s="1"/>
  <c r="U182" i="16" a="1"/>
  <c r="U182" i="16" s="1"/>
  <c r="U193" i="16" a="1"/>
  <c r="U193" i="16" s="1"/>
  <c r="U176" i="16" a="1"/>
  <c r="U176" i="16" s="1"/>
  <c r="U214" i="16" a="1"/>
  <c r="U214" i="16" s="1"/>
  <c r="U194" i="16" a="1"/>
  <c r="U194" i="16" s="1"/>
  <c r="U196" i="16" a="1"/>
  <c r="U196" i="16" s="1"/>
  <c r="U190" i="16" a="1"/>
  <c r="U190" i="16" s="1"/>
  <c r="U195" i="16" a="1"/>
  <c r="U195" i="16" s="1"/>
  <c r="U174" i="16" a="1"/>
  <c r="U174" i="16" s="1"/>
  <c r="U162" i="16" a="1"/>
  <c r="U162" i="16" s="1"/>
  <c r="U166" i="16" a="1"/>
  <c r="U166" i="16" s="1"/>
  <c r="U218" i="16" a="1"/>
  <c r="U218" i="16" s="1"/>
  <c r="U165" i="16" a="1"/>
  <c r="U165" i="16" s="1"/>
  <c r="U161" i="16" a="1"/>
  <c r="U161" i="16" s="1"/>
  <c r="U158" i="16" a="1"/>
  <c r="U158" i="16" s="1"/>
  <c r="E158" i="16" s="1"/>
  <c r="U157" i="16" a="1"/>
  <c r="U157" i="16" s="1"/>
  <c r="E157" i="16" s="1"/>
  <c r="U169" i="16" a="1"/>
  <c r="U169" i="16" s="1"/>
  <c r="U52" i="16" a="1"/>
  <c r="U52" i="16" s="1"/>
  <c r="U53" i="16" a="1"/>
  <c r="U53" i="16" s="1"/>
  <c r="U74" i="16" a="1"/>
  <c r="U74" i="16" s="1"/>
  <c r="U33" i="16" a="1"/>
  <c r="U33" i="16" s="1"/>
  <c r="U32" i="16" a="1"/>
  <c r="U32" i="16" s="1"/>
  <c r="U72" i="16" a="1"/>
  <c r="U72" i="16" s="1"/>
  <c r="U57" i="16" a="1"/>
  <c r="U57" i="16" s="1"/>
  <c r="U71" i="16" a="1"/>
  <c r="U71" i="16" s="1"/>
  <c r="U38" i="16" a="1"/>
  <c r="U38" i="16" s="1"/>
  <c r="U5" i="16" a="1"/>
  <c r="U5" i="16" s="1"/>
  <c r="U56" i="16" a="1"/>
  <c r="U56" i="16" s="1"/>
  <c r="U31" i="16" a="1"/>
  <c r="U31" i="16" s="1"/>
  <c r="U12" i="16" a="1"/>
  <c r="U12" i="16" s="1"/>
  <c r="U35" i="16" a="1"/>
  <c r="U35" i="16" s="1"/>
  <c r="U21" i="16" a="1"/>
  <c r="U21" i="16" s="1"/>
  <c r="U49" i="16" a="1"/>
  <c r="U49" i="16" s="1"/>
  <c r="U48" i="16" a="1"/>
  <c r="U48" i="16" s="1"/>
  <c r="U34" i="16" a="1"/>
  <c r="U34" i="16" s="1"/>
  <c r="U55" i="16" a="1"/>
  <c r="U55" i="16" s="1"/>
  <c r="U14" i="16" a="1"/>
  <c r="U14" i="16" s="1"/>
  <c r="U59" i="16" a="1"/>
  <c r="U59" i="16" s="1"/>
  <c r="U15" i="16" a="1"/>
  <c r="U15" i="16" s="1"/>
  <c r="U36" i="16" a="1"/>
  <c r="U36" i="16" s="1"/>
  <c r="U50" i="16" a="1"/>
  <c r="U50" i="16" s="1"/>
  <c r="U9" i="16" a="1"/>
  <c r="U9" i="16" s="1"/>
  <c r="U26" i="16" a="1"/>
  <c r="U26" i="16" s="1"/>
  <c r="U10" i="16" a="1"/>
  <c r="U10" i="16" s="1"/>
  <c r="U30" i="16" a="1"/>
  <c r="U30" i="16" s="1"/>
  <c r="U67" i="15" a="1"/>
  <c r="U67" i="15" s="1"/>
  <c r="U65" i="15" a="1"/>
  <c r="U65" i="15" s="1"/>
  <c r="U60" i="15" a="1"/>
  <c r="U60" i="15" s="1"/>
  <c r="U73" i="15" a="1"/>
  <c r="U73" i="15" s="1"/>
  <c r="U18" i="15" a="1"/>
  <c r="U18" i="15" s="1"/>
  <c r="U41" i="15" a="1"/>
  <c r="U41" i="15" s="1"/>
  <c r="U61" i="15" a="1"/>
  <c r="U61" i="15" s="1"/>
  <c r="U56" i="15" a="1"/>
  <c r="U56" i="15" s="1"/>
  <c r="U39" i="15" a="1"/>
  <c r="U39" i="15" s="1"/>
  <c r="U33" i="15" a="1"/>
  <c r="U33" i="15" s="1"/>
  <c r="U58" i="15" a="1"/>
  <c r="U58" i="15" s="1"/>
  <c r="U46" i="15" a="1"/>
  <c r="U46" i="15" s="1"/>
  <c r="U71" i="15" a="1"/>
  <c r="U71" i="15" s="1"/>
  <c r="U57" i="15" a="1"/>
  <c r="U57" i="15" s="1"/>
  <c r="U13" i="16" a="1"/>
  <c r="U13" i="16" s="1"/>
  <c r="U69" i="15" a="1"/>
  <c r="U69" i="15" s="1"/>
  <c r="U47" i="15" a="1"/>
  <c r="U47" i="15" s="1"/>
  <c r="U64" i="15" a="1"/>
  <c r="U64" i="15" s="1"/>
  <c r="U59" i="15" a="1"/>
  <c r="U59" i="15" s="1"/>
  <c r="U9" i="15" a="1"/>
  <c r="U9" i="15" s="1"/>
  <c r="U4" i="15" a="1"/>
  <c r="U4" i="15" s="1"/>
  <c r="E4" i="15" s="1"/>
  <c r="G5" i="5"/>
  <c r="U38" i="15" a="1"/>
  <c r="U38" i="15" s="1"/>
  <c r="U19" i="15" a="1"/>
  <c r="U19" i="15" s="1"/>
  <c r="U25" i="15" a="1"/>
  <c r="U25" i="15" s="1"/>
  <c r="U13" i="15" a="1"/>
  <c r="U13" i="15" s="1"/>
  <c r="U7" i="15" a="1"/>
  <c r="U7" i="15" s="1"/>
  <c r="U63" i="15" a="1"/>
  <c r="U63" i="15" s="1"/>
  <c r="U66" i="15" a="1"/>
  <c r="U66" i="15" s="1"/>
  <c r="U5" i="15" a="1"/>
  <c r="U5" i="15" s="1"/>
  <c r="U8" i="15" a="1"/>
  <c r="U8" i="15" s="1"/>
  <c r="U40" i="15" a="1"/>
  <c r="U40" i="15" s="1"/>
  <c r="U62" i="15" a="1"/>
  <c r="U62" i="15" s="1"/>
  <c r="U55" i="15" a="1"/>
  <c r="U55" i="15" s="1"/>
  <c r="U45" i="15" a="1"/>
  <c r="U45" i="15" s="1"/>
  <c r="U6" i="15" a="1"/>
  <c r="U6" i="15" s="1"/>
  <c r="U21" i="15" a="1"/>
  <c r="U21" i="15" s="1"/>
  <c r="U37" i="15" a="1"/>
  <c r="U37" i="15" s="1"/>
  <c r="U17" i="15" a="1"/>
  <c r="U17" i="15" s="1"/>
  <c r="U20" i="15" a="1"/>
  <c r="U20" i="15" s="1"/>
  <c r="U28" i="15" a="1"/>
  <c r="U28" i="15" s="1"/>
  <c r="U11" i="15" a="1"/>
  <c r="U11" i="15" s="1"/>
  <c r="G157" i="5"/>
  <c r="U22" i="15" a="1"/>
  <c r="U22" i="15" s="1"/>
  <c r="AF5" i="5"/>
  <c r="AF157" i="5"/>
  <c r="W11" i="15" a="1"/>
  <c r="W11" i="15" s="1"/>
  <c r="W41" i="15" a="1"/>
  <c r="W41" i="15" s="1"/>
  <c r="W17" i="16" a="1"/>
  <c r="W17" i="16" s="1"/>
  <c r="W15" i="16" a="1"/>
  <c r="W15" i="16" s="1"/>
  <c r="W169" i="16" a="1"/>
  <c r="W169" i="16" s="1"/>
  <c r="W217" i="16" a="1"/>
  <c r="W217" i="16" s="1"/>
  <c r="W369" i="16" a="1"/>
  <c r="W369" i="16" s="1"/>
  <c r="I5" i="7"/>
  <c r="I157" i="7"/>
  <c r="P5" i="2"/>
  <c r="P157" i="2"/>
  <c r="AB44" i="16" a="1"/>
  <c r="AB44" i="16" s="1"/>
  <c r="J157" i="13"/>
  <c r="J5" i="13"/>
  <c r="AJ157" i="12"/>
  <c r="AJ5" i="12"/>
  <c r="Z157" i="4"/>
  <c r="Z5" i="4"/>
  <c r="T26" i="15" a="1"/>
  <c r="T26" i="15" s="1"/>
  <c r="AB45" i="15" a="1"/>
  <c r="AB45" i="15" s="1"/>
  <c r="AB65" i="16" a="1"/>
  <c r="AB65" i="16" s="1"/>
  <c r="AB25" i="16" a="1"/>
  <c r="AB25" i="16" s="1"/>
  <c r="AB175" i="16" a="1"/>
  <c r="AB175" i="16" s="1"/>
  <c r="AB207" i="16" a="1"/>
  <c r="AB207" i="16" s="1"/>
  <c r="AB326" i="16" a="1"/>
  <c r="AB326" i="16" s="1"/>
  <c r="AB376" i="16" a="1"/>
  <c r="AB376" i="16" s="1"/>
  <c r="S42" i="15" a="1"/>
  <c r="S42" i="15" s="1"/>
  <c r="T12" i="15" a="1"/>
  <c r="T12" i="15" s="1"/>
  <c r="N157" i="6"/>
  <c r="N5" i="6"/>
  <c r="X15" i="15" a="1"/>
  <c r="X15" i="15" s="1"/>
  <c r="S10" i="15" a="1"/>
  <c r="S10" i="15" s="1"/>
  <c r="V164" i="16" a="1"/>
  <c r="V164" i="16" s="1"/>
  <c r="V214" i="16" a="1"/>
  <c r="V214" i="16" s="1"/>
  <c r="X64" i="15" a="1"/>
  <c r="X64" i="15" s="1"/>
  <c r="X50" i="16" a="1"/>
  <c r="X50" i="16" s="1"/>
  <c r="X34" i="16" a="1"/>
  <c r="X34" i="16" s="1"/>
  <c r="X172" i="16" a="1"/>
  <c r="X172" i="16" s="1"/>
  <c r="X321" i="16" a="1"/>
  <c r="X321" i="16" s="1"/>
  <c r="X326" i="16" a="1"/>
  <c r="X326" i="16" s="1"/>
  <c r="AF157" i="6"/>
  <c r="AF5" i="6"/>
  <c r="J5" i="9"/>
  <c r="J157" i="9"/>
  <c r="Y14" i="15" a="1"/>
  <c r="Y14" i="15" s="1"/>
  <c r="AA54" i="15" a="1"/>
  <c r="AA54" i="15" s="1"/>
  <c r="AA55" i="16" a="1"/>
  <c r="AA55" i="16" s="1"/>
  <c r="AA68" i="16" a="1"/>
  <c r="AA68" i="16" s="1"/>
  <c r="AA187" i="16" a="1"/>
  <c r="AA187" i="16" s="1"/>
  <c r="AA327" i="16" a="1"/>
  <c r="AA327" i="16" s="1"/>
  <c r="AA335" i="16" a="1"/>
  <c r="AA335" i="16" s="1"/>
  <c r="S22" i="15" a="1"/>
  <c r="S22" i="15" s="1"/>
  <c r="S30" i="15" a="1"/>
  <c r="S30" i="15" s="1"/>
  <c r="S60" i="15" a="1"/>
  <c r="S60" i="15" s="1"/>
  <c r="S43" i="16" a="1"/>
  <c r="S43" i="16" s="1"/>
  <c r="S40" i="16" a="1"/>
  <c r="S40" i="16" s="1"/>
  <c r="S186" i="16" a="1"/>
  <c r="S186" i="16" s="1"/>
  <c r="S220" i="16" a="1"/>
  <c r="S220" i="16" s="1"/>
  <c r="S332" i="16" a="1"/>
  <c r="S332" i="16" s="1"/>
  <c r="K157" i="5"/>
  <c r="K5" i="5"/>
  <c r="W9" i="15" a="1"/>
  <c r="W9" i="15" s="1"/>
  <c r="W59" i="15" a="1"/>
  <c r="W59" i="15" s="1"/>
  <c r="W30" i="16" a="1"/>
  <c r="W30" i="16" s="1"/>
  <c r="W52" i="16" a="1"/>
  <c r="W52" i="16" s="1"/>
  <c r="W179" i="16" a="1"/>
  <c r="W179" i="16" s="1"/>
  <c r="W226" i="16" a="1"/>
  <c r="W226" i="16" s="1"/>
  <c r="W325" i="16" a="1"/>
  <c r="W325" i="16" s="1"/>
  <c r="AH157" i="7"/>
  <c r="AH5" i="7"/>
  <c r="H157" i="2"/>
  <c r="H5" i="2"/>
  <c r="Q157" i="2"/>
  <c r="Q5" i="2"/>
  <c r="AB43" i="16" a="1"/>
  <c r="AB43" i="16" s="1"/>
  <c r="Q157" i="12"/>
  <c r="Q5" i="12"/>
  <c r="P157" i="12"/>
  <c r="P5" i="12"/>
  <c r="AB25" i="15" a="1"/>
  <c r="AB25" i="15" s="1"/>
  <c r="AB63" i="15" a="1"/>
  <c r="AB63" i="15" s="1"/>
  <c r="AB18" i="16" a="1"/>
  <c r="AB18" i="16" s="1"/>
  <c r="AB53" i="16" a="1"/>
  <c r="AB53" i="16" s="1"/>
  <c r="AB164" i="16" a="1"/>
  <c r="AB164" i="16" s="1"/>
  <c r="AB224" i="16" a="1"/>
  <c r="AB224" i="16" s="1"/>
  <c r="AB357" i="16" a="1"/>
  <c r="AB357" i="16" s="1"/>
  <c r="AB370" i="16" a="1"/>
  <c r="AB370" i="16" s="1"/>
  <c r="T42" i="15" a="1"/>
  <c r="T42" i="15" s="1"/>
  <c r="X53" i="15" a="1"/>
  <c r="X53" i="15" s="1"/>
  <c r="AC10" i="15" a="1"/>
  <c r="AC10" i="15" s="1"/>
  <c r="S15" i="15" a="1"/>
  <c r="S15" i="15" s="1"/>
  <c r="X21" i="15" a="1"/>
  <c r="X21" i="15" s="1"/>
  <c r="X42" i="16" a="1"/>
  <c r="X42" i="16" s="1"/>
  <c r="X49" i="16" a="1"/>
  <c r="X49" i="16" s="1"/>
  <c r="X179" i="16" a="1"/>
  <c r="X179" i="16" s="1"/>
  <c r="X219" i="16" a="1"/>
  <c r="X219" i="16" s="1"/>
  <c r="X371" i="16" a="1"/>
  <c r="X371" i="16" s="1"/>
  <c r="H5" i="6"/>
  <c r="V11" i="15" a="1"/>
  <c r="V11" i="15" s="1"/>
  <c r="H157" i="6"/>
  <c r="V17" i="15" a="1"/>
  <c r="V17" i="15" s="1"/>
  <c r="V43" i="15" a="1"/>
  <c r="V43" i="15" s="1"/>
  <c r="AD5" i="9"/>
  <c r="AD157" i="9"/>
  <c r="AA72" i="15" a="1"/>
  <c r="AA72" i="15" s="1"/>
  <c r="AA330" i="16" a="1"/>
  <c r="AA330" i="16" s="1"/>
  <c r="AA66" i="16" a="1"/>
  <c r="AA66" i="16" s="1"/>
  <c r="AA182" i="16" a="1"/>
  <c r="AA182" i="16" s="1"/>
  <c r="AA311" i="16" a="1"/>
  <c r="AA311" i="16" s="1"/>
  <c r="AA355" i="16" a="1"/>
  <c r="AA355" i="16" s="1"/>
  <c r="T22" i="15" a="1"/>
  <c r="T22" i="15" s="1"/>
  <c r="S8" i="15" a="1"/>
  <c r="S8" i="15" s="1"/>
  <c r="S39" i="15" a="1"/>
  <c r="S39" i="15" s="1"/>
  <c r="S47" i="16" a="1"/>
  <c r="S47" i="16" s="1"/>
  <c r="S173" i="16" a="1"/>
  <c r="S173" i="16" s="1"/>
  <c r="S167" i="16" a="1"/>
  <c r="S167" i="16" s="1"/>
  <c r="S311" i="16" a="1"/>
  <c r="S311" i="16" s="1"/>
  <c r="S357" i="16" a="1"/>
  <c r="S357" i="16" s="1"/>
  <c r="AC5" i="7"/>
  <c r="AC157" i="7"/>
  <c r="AH5" i="5"/>
  <c r="AH157" i="5"/>
  <c r="W64" i="15" a="1"/>
  <c r="W64" i="15" s="1"/>
  <c r="W32" i="15" a="1"/>
  <c r="W32" i="15" s="1"/>
  <c r="W35" i="16" a="1"/>
  <c r="W35" i="16" s="1"/>
  <c r="W32" i="16" a="1"/>
  <c r="W32" i="16" s="1"/>
  <c r="W188" i="16" a="1"/>
  <c r="W188" i="16" s="1"/>
  <c r="W175" i="16" a="1"/>
  <c r="W175" i="16" s="1"/>
  <c r="W337" i="16" a="1"/>
  <c r="W337" i="16" s="1"/>
  <c r="L5" i="7"/>
  <c r="L157" i="7"/>
  <c r="R157" i="2"/>
  <c r="R5" i="2"/>
  <c r="AB17" i="16" a="1"/>
  <c r="AB17" i="16" s="1"/>
  <c r="Z65" i="15" a="1"/>
  <c r="Z65" i="15" s="1"/>
  <c r="AC43" i="16" a="1"/>
  <c r="AC43" i="16" s="1"/>
  <c r="AC46" i="16" a="1"/>
  <c r="AC46" i="16" s="1"/>
  <c r="AC11" i="16" a="1"/>
  <c r="AC11" i="16" s="1"/>
  <c r="AA18" i="15" a="1"/>
  <c r="AA18" i="15" s="1"/>
  <c r="Z69" i="15" a="1"/>
  <c r="Z69" i="15" s="1"/>
  <c r="Z46" i="15" a="1"/>
  <c r="Z46" i="15" s="1"/>
  <c r="O157" i="10"/>
  <c r="O5" i="10"/>
  <c r="AH157" i="10"/>
  <c r="AH5" i="10"/>
  <c r="AB33" i="15" a="1"/>
  <c r="AB33" i="15" s="1"/>
  <c r="AA61" i="15" a="1"/>
  <c r="AA61" i="15" s="1"/>
  <c r="X26" i="15" a="1"/>
  <c r="X26" i="15" s="1"/>
  <c r="Z23" i="15" a="1"/>
  <c r="Z23" i="15" s="1"/>
  <c r="X36" i="15" a="1"/>
  <c r="X36" i="15" s="1"/>
  <c r="AA19" i="15" a="1"/>
  <c r="AA19" i="15" s="1"/>
  <c r="AB47" i="15" a="1"/>
  <c r="AB47" i="15" s="1"/>
  <c r="AB71" i="16" a="1"/>
  <c r="AB71" i="16" s="1"/>
  <c r="AB56" i="16" a="1"/>
  <c r="AB56" i="16" s="1"/>
  <c r="AB196" i="16" a="1"/>
  <c r="AB196" i="16" s="1"/>
  <c r="AB190" i="16" a="1"/>
  <c r="AB190" i="16" s="1"/>
  <c r="AB359" i="16" a="1"/>
  <c r="AB359" i="16" s="1"/>
  <c r="S24" i="15" a="1"/>
  <c r="S24" i="15" s="1"/>
  <c r="T68" i="15" a="1"/>
  <c r="T68" i="15" s="1"/>
  <c r="AC15" i="15" a="1"/>
  <c r="AC15" i="15" s="1"/>
  <c r="X14" i="16" a="1"/>
  <c r="X14" i="16" s="1"/>
  <c r="X40" i="15" a="1"/>
  <c r="X40" i="15" s="1"/>
  <c r="X48" i="16" a="1"/>
  <c r="X48" i="16" s="1"/>
  <c r="X74" i="16" a="1"/>
  <c r="X74" i="16" s="1"/>
  <c r="X175" i="16" a="1"/>
  <c r="X175" i="16" s="1"/>
  <c r="X212" i="16" a="1"/>
  <c r="X212" i="16" s="1"/>
  <c r="X354" i="16" a="1"/>
  <c r="X354" i="16" s="1"/>
  <c r="AB157" i="6"/>
  <c r="AB5" i="6"/>
  <c r="Y358" i="16" a="1"/>
  <c r="Y358" i="16" s="1"/>
  <c r="O157" i="9"/>
  <c r="O5" i="9"/>
  <c r="AA43" i="15" a="1"/>
  <c r="AA43" i="15" s="1"/>
  <c r="AA38" i="16" a="1"/>
  <c r="AA38" i="16" s="1"/>
  <c r="AA57" i="16" a="1"/>
  <c r="AA57" i="16" s="1"/>
  <c r="AA186" i="16" a="1"/>
  <c r="AA186" i="16" s="1"/>
  <c r="AA362" i="16" a="1"/>
  <c r="AA362" i="16" s="1"/>
  <c r="AA373" i="16" a="1"/>
  <c r="AA373" i="16" s="1"/>
  <c r="AA5" i="5"/>
  <c r="AA157" i="5"/>
  <c r="Y22" i="15" a="1"/>
  <c r="Y22" i="15" s="1"/>
  <c r="AD157" i="7"/>
  <c r="AD5" i="7"/>
  <c r="S18" i="15" a="1"/>
  <c r="S18" i="15" s="1"/>
  <c r="S61" i="15" a="1"/>
  <c r="S61" i="15" s="1"/>
  <c r="S25" i="16" a="1"/>
  <c r="S25" i="16" s="1"/>
  <c r="S50" i="16" a="1"/>
  <c r="S50" i="16" s="1"/>
  <c r="S227" i="16" a="1"/>
  <c r="S227" i="16" s="1"/>
  <c r="S214" i="16" a="1"/>
  <c r="S214" i="16" s="1"/>
  <c r="S337" i="16" a="1"/>
  <c r="S337" i="16" s="1"/>
  <c r="V20" i="15" a="1"/>
  <c r="V20" i="15" s="1"/>
  <c r="L157" i="5"/>
  <c r="L5" i="5"/>
  <c r="J5" i="7"/>
  <c r="J157" i="7"/>
  <c r="W14" i="15" a="1"/>
  <c r="W14" i="15" s="1"/>
  <c r="W38" i="15" a="1"/>
  <c r="W38" i="15" s="1"/>
  <c r="W38" i="16" a="1"/>
  <c r="W38" i="16" s="1"/>
  <c r="W50" i="16" a="1"/>
  <c r="W50" i="16" s="1"/>
  <c r="W185" i="16" a="1"/>
  <c r="W185" i="16" s="1"/>
  <c r="W176" i="16" a="1"/>
  <c r="W176" i="16" s="1"/>
  <c r="W364" i="16" a="1"/>
  <c r="W364" i="16" s="1"/>
  <c r="M157" i="7"/>
  <c r="M5" i="7"/>
  <c r="S157" i="2"/>
  <c r="S5" i="2"/>
  <c r="J86" i="1"/>
  <c r="D10" i="1"/>
  <c r="J45" i="1"/>
  <c r="E64" i="1"/>
  <c r="F56" i="1"/>
  <c r="D89" i="1"/>
  <c r="C71" i="1"/>
  <c r="F72" i="1"/>
  <c r="E45" i="1"/>
  <c r="J33" i="1"/>
  <c r="E30" i="1"/>
  <c r="D12" i="1"/>
  <c r="D39" i="1"/>
  <c r="C24" i="1"/>
  <c r="E77" i="1"/>
  <c r="F52" i="1"/>
  <c r="F81" i="1"/>
  <c r="D19" i="1"/>
  <c r="E31" i="1"/>
  <c r="C42" i="1"/>
  <c r="F24" i="1"/>
  <c r="J48" i="1"/>
  <c r="D83" i="1"/>
  <c r="C53" i="1"/>
  <c r="F78" i="1"/>
  <c r="C56" i="1"/>
  <c r="D48" i="1"/>
  <c r="F15" i="1"/>
  <c r="D71" i="1"/>
  <c r="E59" i="1"/>
  <c r="C73" i="1"/>
  <c r="E89" i="1"/>
  <c r="J78" i="1"/>
  <c r="C74" i="1"/>
  <c r="C66" i="1"/>
  <c r="C15" i="1"/>
  <c r="E46" i="1"/>
  <c r="F88" i="1"/>
  <c r="J14" i="1"/>
  <c r="F82" i="1"/>
  <c r="E54" i="1"/>
  <c r="J40" i="1"/>
  <c r="J62" i="1"/>
  <c r="D42" i="1"/>
  <c r="F37" i="1"/>
  <c r="C13" i="1"/>
  <c r="F73" i="1"/>
  <c r="E29" i="1"/>
  <c r="C84" i="1"/>
  <c r="C80" i="1"/>
  <c r="D67" i="1"/>
  <c r="F25" i="1"/>
  <c r="E48" i="1"/>
  <c r="C48" i="1"/>
  <c r="F65" i="1"/>
  <c r="J32" i="1"/>
  <c r="J12" i="1"/>
  <c r="E91" i="1"/>
  <c r="D69" i="1"/>
  <c r="E33" i="1"/>
  <c r="F42" i="1"/>
  <c r="F63" i="1"/>
  <c r="J44" i="1"/>
  <c r="J41" i="1"/>
  <c r="F46" i="1"/>
  <c r="D18" i="1"/>
  <c r="F68" i="1"/>
  <c r="F21" i="1"/>
  <c r="D87" i="1"/>
  <c r="D25" i="1"/>
  <c r="J73" i="1"/>
  <c r="J84" i="1"/>
  <c r="J54" i="1"/>
  <c r="F27" i="1"/>
  <c r="D68" i="1"/>
  <c r="F67" i="1"/>
  <c r="D16" i="1"/>
  <c r="C40" i="1"/>
  <c r="F69" i="1"/>
  <c r="F55" i="1"/>
  <c r="D59" i="1"/>
  <c r="J56" i="1"/>
  <c r="E40" i="1"/>
  <c r="C82" i="1"/>
  <c r="F70" i="1"/>
  <c r="E55" i="1"/>
  <c r="F26" i="1"/>
  <c r="F74" i="1"/>
  <c r="D23" i="1"/>
  <c r="J29" i="1"/>
  <c r="F49" i="1"/>
  <c r="E84" i="1"/>
  <c r="D91" i="1"/>
  <c r="F83" i="1"/>
  <c r="D43" i="1"/>
  <c r="F36" i="1"/>
  <c r="C21" i="1"/>
  <c r="D44" i="1"/>
  <c r="E20" i="1"/>
  <c r="C78" i="1"/>
  <c r="E38" i="1"/>
  <c r="F59" i="1"/>
  <c r="D38" i="1"/>
  <c r="E82" i="1"/>
  <c r="F34" i="1"/>
  <c r="C33" i="1"/>
  <c r="J61" i="1"/>
  <c r="C12" i="1"/>
  <c r="J13" i="1"/>
  <c r="E80" i="1"/>
  <c r="D72" i="1"/>
  <c r="D11" i="1"/>
  <c r="C17" i="1"/>
  <c r="C91" i="1"/>
  <c r="D31" i="1"/>
  <c r="C47" i="1"/>
  <c r="D56" i="1"/>
  <c r="F50" i="1"/>
  <c r="E78" i="1"/>
  <c r="D17" i="1"/>
  <c r="C60" i="1"/>
  <c r="F35" i="1"/>
  <c r="E50" i="1"/>
  <c r="C61" i="1"/>
  <c r="D58" i="1"/>
  <c r="C43" i="1"/>
  <c r="F62" i="1"/>
  <c r="C64" i="1"/>
  <c r="E87" i="1"/>
  <c r="C59" i="1"/>
  <c r="D53" i="1"/>
  <c r="J37" i="1"/>
  <c r="F14" i="1"/>
  <c r="C19" i="1"/>
  <c r="D86" i="1"/>
  <c r="F22" i="1"/>
  <c r="J11" i="1"/>
  <c r="F38" i="1"/>
  <c r="E49" i="1"/>
  <c r="J10" i="1"/>
  <c r="E53" i="1"/>
  <c r="E36" i="1"/>
  <c r="C63" i="1"/>
  <c r="E70" i="1"/>
  <c r="C90" i="1"/>
  <c r="F57" i="1"/>
  <c r="J57" i="1"/>
  <c r="J71" i="1"/>
  <c r="E12" i="1"/>
  <c r="C44" i="1"/>
  <c r="E81" i="1"/>
  <c r="J47" i="1"/>
  <c r="E21" i="1"/>
  <c r="J85" i="1"/>
  <c r="J81" i="1"/>
  <c r="D54" i="1"/>
  <c r="F91" i="1"/>
  <c r="J49" i="1"/>
  <c r="D35" i="1"/>
  <c r="E57" i="1"/>
  <c r="E41" i="1"/>
  <c r="D64" i="1"/>
  <c r="J50" i="1"/>
  <c r="E88" i="1"/>
  <c r="F85" i="1"/>
  <c r="J75" i="1"/>
  <c r="D51" i="1"/>
  <c r="J35" i="1"/>
  <c r="D40" i="1"/>
  <c r="F16" i="1"/>
  <c r="C30" i="1"/>
  <c r="J27" i="1"/>
  <c r="J42" i="1"/>
  <c r="F87" i="1"/>
  <c r="J34" i="1"/>
  <c r="J38" i="1"/>
  <c r="J39" i="1"/>
  <c r="E75" i="1"/>
  <c r="C28" i="1"/>
  <c r="J67" i="1"/>
  <c r="F40" i="1"/>
  <c r="C58" i="1"/>
  <c r="C29" i="1"/>
  <c r="F41" i="1"/>
  <c r="F43" i="1"/>
  <c r="E74" i="1"/>
  <c r="C39" i="1"/>
  <c r="F58" i="1"/>
  <c r="C70" i="1"/>
  <c r="D15" i="1"/>
  <c r="J74" i="1"/>
  <c r="I7" i="1"/>
  <c r="E10" i="1"/>
  <c r="D78" i="1"/>
  <c r="C54" i="1"/>
  <c r="J46" i="1"/>
  <c r="D33" i="1"/>
  <c r="F89" i="1"/>
  <c r="E28" i="1"/>
  <c r="C85" i="1"/>
  <c r="C11" i="1"/>
  <c r="E85" i="1"/>
  <c r="D20" i="1"/>
  <c r="J52" i="1"/>
  <c r="D60" i="1"/>
  <c r="E35" i="1"/>
  <c r="F48" i="1"/>
  <c r="F79" i="1"/>
  <c r="F28" i="1"/>
  <c r="E79" i="1"/>
  <c r="D30" i="1"/>
  <c r="D65" i="1"/>
  <c r="J17" i="1"/>
  <c r="F20" i="1"/>
  <c r="E90" i="1"/>
  <c r="J25" i="1"/>
  <c r="F19" i="1"/>
  <c r="E37" i="1"/>
  <c r="F29" i="1"/>
  <c r="J31" i="1"/>
  <c r="F61" i="1"/>
  <c r="E72" i="1"/>
  <c r="F75" i="1"/>
  <c r="E19" i="1"/>
  <c r="J55" i="1"/>
  <c r="E65" i="1"/>
  <c r="F39" i="1"/>
  <c r="C37" i="1"/>
  <c r="F66" i="1"/>
  <c r="F60" i="1"/>
  <c r="F53" i="1"/>
  <c r="J82" i="1"/>
  <c r="D45" i="1"/>
  <c r="J24" i="1"/>
  <c r="J53" i="1"/>
  <c r="D22" i="1"/>
  <c r="E26" i="1"/>
  <c r="E60" i="1"/>
  <c r="J15" i="1"/>
  <c r="J58" i="1"/>
  <c r="C45" i="1"/>
  <c r="F23" i="1"/>
  <c r="D49" i="1"/>
  <c r="E25" i="1"/>
  <c r="J26" i="1"/>
  <c r="D21" i="1"/>
  <c r="F80" i="1"/>
  <c r="E22" i="1"/>
  <c r="E62" i="1"/>
  <c r="D81" i="1"/>
  <c r="J72" i="1"/>
  <c r="E67" i="1"/>
  <c r="F86" i="1"/>
  <c r="C89" i="1"/>
  <c r="D75" i="1"/>
  <c r="D85" i="1"/>
  <c r="D77" i="1"/>
  <c r="E68" i="1"/>
  <c r="D61" i="1"/>
  <c r="F10" i="1"/>
  <c r="J77" i="1"/>
  <c r="E73" i="1"/>
  <c r="J21" i="1"/>
  <c r="E27" i="1"/>
  <c r="C16" i="1"/>
  <c r="J28" i="1"/>
  <c r="J79" i="1"/>
  <c r="E32" i="1"/>
  <c r="C57" i="1"/>
  <c r="C25" i="1"/>
  <c r="D13" i="1"/>
  <c r="E24" i="1"/>
  <c r="J70" i="1"/>
  <c r="C88" i="1"/>
  <c r="E14" i="1"/>
  <c r="C41" i="1"/>
  <c r="F90" i="1"/>
  <c r="E34" i="1"/>
  <c r="J59" i="1"/>
  <c r="C10" i="1"/>
  <c r="D80" i="1"/>
  <c r="C72" i="1"/>
  <c r="C20" i="1"/>
  <c r="J60" i="1"/>
  <c r="E44" i="1"/>
  <c r="E13" i="1"/>
  <c r="D26" i="1"/>
  <c r="C14" i="1"/>
  <c r="F18" i="1"/>
  <c r="D88" i="1"/>
  <c r="D37" i="1"/>
  <c r="D76" i="1"/>
  <c r="F31" i="1"/>
  <c r="J63" i="1"/>
  <c r="D57" i="1"/>
  <c r="D82" i="1"/>
  <c r="C50" i="1"/>
  <c r="F71" i="1"/>
  <c r="F76" i="1"/>
  <c r="J64" i="1"/>
  <c r="C65" i="1"/>
  <c r="C55" i="1"/>
  <c r="D32" i="1"/>
  <c r="E69" i="1"/>
  <c r="C36" i="1"/>
  <c r="J69" i="1"/>
  <c r="E17" i="1"/>
  <c r="J20" i="1"/>
  <c r="J19" i="1"/>
  <c r="E51" i="1"/>
  <c r="F45" i="1"/>
  <c r="C67" i="1"/>
  <c r="E56" i="1"/>
  <c r="C87" i="1"/>
  <c r="D74" i="1"/>
  <c r="E39" i="1"/>
  <c r="C68" i="1"/>
  <c r="F11" i="1"/>
  <c r="J16" i="1"/>
  <c r="C62" i="1"/>
  <c r="D84" i="1"/>
  <c r="J18" i="1"/>
  <c r="J43" i="1"/>
  <c r="D73" i="1"/>
  <c r="J51" i="1"/>
  <c r="F30" i="1"/>
  <c r="E47" i="1"/>
  <c r="F64" i="1"/>
  <c r="J83" i="1"/>
  <c r="C49" i="1"/>
  <c r="D52" i="1"/>
  <c r="C52" i="1"/>
  <c r="D27" i="1"/>
  <c r="D46" i="1"/>
  <c r="J76" i="1"/>
  <c r="D79" i="1"/>
  <c r="C86" i="1"/>
  <c r="J66" i="1"/>
  <c r="C51" i="1"/>
  <c r="D63" i="1"/>
  <c r="D14" i="1"/>
  <c r="C79" i="1"/>
  <c r="C32" i="1"/>
  <c r="C69" i="1"/>
  <c r="D34" i="1"/>
  <c r="D28" i="1"/>
  <c r="E18" i="1"/>
  <c r="D62" i="1"/>
  <c r="D29" i="1"/>
  <c r="E43" i="1"/>
  <c r="C46" i="1"/>
  <c r="D66" i="1"/>
  <c r="F32" i="1"/>
  <c r="C22" i="1"/>
  <c r="E86" i="1"/>
  <c r="C18" i="1"/>
  <c r="E15" i="1"/>
  <c r="J89" i="1"/>
  <c r="E71" i="1"/>
  <c r="J80" i="1"/>
  <c r="C38" i="1"/>
  <c r="E66" i="1"/>
  <c r="J30" i="1"/>
  <c r="F17" i="1"/>
  <c r="D24" i="1"/>
  <c r="E61" i="1"/>
  <c r="F77" i="1"/>
  <c r="F47" i="1"/>
  <c r="F33" i="1"/>
  <c r="C35" i="1"/>
  <c r="C77" i="1"/>
  <c r="E11" i="1"/>
  <c r="E63" i="1"/>
  <c r="F54" i="1"/>
  <c r="D47" i="1"/>
  <c r="D41" i="1"/>
  <c r="D90" i="1"/>
  <c r="J36" i="1"/>
  <c r="C81" i="1"/>
  <c r="J65" i="1"/>
  <c r="C31" i="1"/>
  <c r="C76" i="1"/>
  <c r="J68" i="1"/>
  <c r="E42" i="1"/>
  <c r="C75" i="1"/>
  <c r="E52" i="1"/>
  <c r="E83" i="1"/>
  <c r="D55" i="1"/>
  <c r="E58" i="1"/>
  <c r="F51" i="1"/>
  <c r="C27" i="1"/>
  <c r="F12" i="1"/>
  <c r="D36" i="1"/>
  <c r="D50" i="1"/>
  <c r="J22" i="1"/>
  <c r="G7" i="1"/>
  <c r="E23" i="1"/>
  <c r="F13" i="1"/>
  <c r="E16" i="1"/>
  <c r="F84" i="1"/>
  <c r="F44" i="1"/>
  <c r="J23" i="1"/>
  <c r="E76" i="1"/>
  <c r="C34" i="1"/>
  <c r="C83" i="1"/>
  <c r="C23" i="1"/>
  <c r="C26" i="1"/>
  <c r="D70" i="1"/>
  <c r="I91" i="1" l="1"/>
  <c r="N5" i="15"/>
  <c r="I90" i="1"/>
  <c r="I89" i="1"/>
  <c r="I88" i="1"/>
  <c r="I87" i="1"/>
  <c r="C4" i="14"/>
  <c r="M7" i="14"/>
  <c r="AF161" i="16"/>
  <c r="AF165" i="16" s="1"/>
  <c r="B5" i="15"/>
  <c r="J5" i="15"/>
  <c r="I5" i="15"/>
  <c r="G5" i="15"/>
  <c r="AF329" i="16"/>
  <c r="E4" i="14"/>
  <c r="D4" i="14"/>
  <c r="A5" i="15"/>
  <c r="I22" i="1"/>
  <c r="I83" i="1"/>
  <c r="I47" i="1"/>
  <c r="I60" i="1"/>
  <c r="I84" i="1"/>
  <c r="I20" i="1"/>
  <c r="I12" i="1"/>
  <c r="I86" i="1"/>
  <c r="I81" i="1"/>
  <c r="I85" i="1"/>
  <c r="I75" i="1"/>
  <c r="I49" i="1"/>
  <c r="I64" i="1"/>
  <c r="I51" i="1"/>
  <c r="I56" i="1"/>
  <c r="I42" i="1"/>
  <c r="I76" i="1"/>
  <c r="I77" i="1"/>
  <c r="I40" i="1"/>
  <c r="I62" i="1"/>
  <c r="I17" i="1"/>
  <c r="I41" i="1"/>
  <c r="I16" i="1"/>
  <c r="I13" i="1"/>
  <c r="I21" i="1"/>
  <c r="I23" i="1"/>
  <c r="I78" i="1"/>
  <c r="I53" i="1"/>
  <c r="I68" i="1"/>
  <c r="I36" i="1"/>
  <c r="I37" i="1"/>
  <c r="I79" i="1"/>
  <c r="I33" i="1"/>
  <c r="I80" i="1"/>
  <c r="I82" i="1"/>
  <c r="I70" i="1"/>
  <c r="I58" i="1"/>
  <c r="I32" i="1"/>
  <c r="I25" i="1"/>
  <c r="I10" i="1"/>
  <c r="I59" i="1"/>
  <c r="I65" i="1"/>
  <c r="I71" i="1"/>
  <c r="I72" i="1"/>
  <c r="I46" i="1"/>
  <c r="I63" i="1"/>
  <c r="I18" i="1"/>
  <c r="I52" i="1"/>
  <c r="I73" i="1"/>
  <c r="I11" i="1"/>
  <c r="I74" i="1"/>
  <c r="I66" i="1"/>
  <c r="I55" i="1"/>
  <c r="I14" i="1"/>
  <c r="I69" i="1"/>
  <c r="I43" i="1"/>
  <c r="I44" i="1"/>
  <c r="I57" i="1"/>
  <c r="I48" i="1"/>
  <c r="I26" i="1"/>
  <c r="I54" i="1"/>
  <c r="I24" i="1"/>
  <c r="I29" i="1"/>
  <c r="I45" i="1"/>
  <c r="I34" i="1"/>
  <c r="I27" i="1"/>
  <c r="I31" i="1"/>
  <c r="I19" i="1"/>
  <c r="I30" i="1"/>
  <c r="I67" i="1"/>
  <c r="I28" i="1"/>
  <c r="I35" i="1"/>
  <c r="I39" i="1"/>
  <c r="I61" i="1"/>
  <c r="H160" i="1"/>
  <c r="I50" i="1"/>
  <c r="I15" i="1"/>
  <c r="J160" i="1"/>
  <c r="E160" i="1"/>
  <c r="F160" i="1"/>
  <c r="C160" i="1"/>
  <c r="D160" i="1"/>
  <c r="G160" i="1"/>
  <c r="I38" i="1"/>
  <c r="A4" i="16"/>
  <c r="J5" i="16"/>
  <c r="C4" i="16"/>
  <c r="M4" i="16"/>
  <c r="G4" i="16"/>
  <c r="B4" i="16"/>
  <c r="N4" i="16"/>
  <c r="H4" i="16"/>
  <c r="I4" i="16"/>
  <c r="D4" i="16"/>
  <c r="L4" i="16"/>
  <c r="E4" i="16"/>
  <c r="F4" i="16"/>
  <c r="K4" i="16"/>
  <c r="I159" i="16"/>
  <c r="C5" i="15"/>
  <c r="M5" i="15"/>
  <c r="F5" i="15"/>
  <c r="E5" i="15"/>
  <c r="K5" i="15"/>
  <c r="AF7" i="15"/>
  <c r="H5" i="15"/>
  <c r="L5" i="15"/>
  <c r="D5" i="15"/>
  <c r="J4" i="16"/>
  <c r="I5" i="16"/>
  <c r="B159" i="16"/>
  <c r="H159" i="16"/>
  <c r="D5" i="16"/>
  <c r="N159" i="16"/>
  <c r="L159" i="16"/>
  <c r="A159" i="16"/>
  <c r="K5" i="16"/>
  <c r="C159" i="16"/>
  <c r="G5" i="16"/>
  <c r="L5" i="16"/>
  <c r="D159" i="16"/>
  <c r="G159" i="16"/>
  <c r="N5" i="16"/>
  <c r="H5" i="16"/>
  <c r="E159" i="16"/>
  <c r="M5" i="16"/>
  <c r="A5" i="16"/>
  <c r="F159" i="16"/>
  <c r="F5" i="16"/>
  <c r="E5" i="16"/>
  <c r="B5" i="16"/>
  <c r="K159" i="16"/>
  <c r="C5" i="16"/>
  <c r="AF8" i="16"/>
  <c r="AF11" i="16" s="1"/>
  <c r="AF13" i="16" s="1"/>
  <c r="M159" i="16"/>
  <c r="J159" i="16"/>
  <c r="M6" i="16"/>
  <c r="K6" i="16"/>
  <c r="E6" i="16"/>
  <c r="H6" i="16"/>
  <c r="I6" i="16"/>
  <c r="I310" i="16"/>
  <c r="B310" i="16"/>
  <c r="J310" i="16"/>
  <c r="E310" i="16"/>
  <c r="N310" i="16"/>
  <c r="C310" i="16"/>
  <c r="G310" i="16"/>
  <c r="L310" i="16"/>
  <c r="M310" i="16"/>
  <c r="K310" i="16"/>
  <c r="F310" i="16"/>
  <c r="A310" i="16"/>
  <c r="H310" i="16"/>
  <c r="D310" i="16"/>
  <c r="M9" i="14" l="1"/>
  <c r="M14" i="14"/>
  <c r="E5" i="14" s="1"/>
  <c r="E160" i="16"/>
  <c r="M160" i="16"/>
  <c r="B160" i="16"/>
  <c r="D160" i="16"/>
  <c r="C160" i="16"/>
  <c r="H160" i="16"/>
  <c r="J160" i="16"/>
  <c r="L160" i="16"/>
  <c r="K160" i="16"/>
  <c r="G160" i="16"/>
  <c r="I160" i="16"/>
  <c r="A160" i="16"/>
  <c r="F160" i="16"/>
  <c r="N160" i="16"/>
  <c r="AF166" i="16"/>
  <c r="I161" i="16" s="1"/>
  <c r="AF330" i="16"/>
  <c r="F6" i="15"/>
  <c r="AF9" i="15"/>
  <c r="AF11" i="15" s="1"/>
  <c r="F7" i="15" s="1"/>
  <c r="I160" i="1"/>
  <c r="F6" i="16"/>
  <c r="B6" i="16"/>
  <c r="D6" i="16"/>
  <c r="G6" i="16"/>
  <c r="J6" i="16"/>
  <c r="N6" i="16"/>
  <c r="A6" i="16"/>
  <c r="L6" i="16"/>
  <c r="C6" i="16"/>
  <c r="D6" i="15"/>
  <c r="N6" i="15"/>
  <c r="L6" i="15"/>
  <c r="M6" i="15"/>
  <c r="E6" i="15"/>
  <c r="A6" i="15"/>
  <c r="B6" i="15"/>
  <c r="C6" i="15"/>
  <c r="G6" i="15"/>
  <c r="B5" i="14"/>
  <c r="A5" i="14" s="1"/>
  <c r="C5" i="14"/>
  <c r="D5" i="14"/>
  <c r="H6" i="15"/>
  <c r="J6" i="15"/>
  <c r="K6" i="15"/>
  <c r="I6" i="15"/>
  <c r="AF14" i="16"/>
  <c r="E7" i="16" s="1"/>
  <c r="D311" i="16"/>
  <c r="E161" i="16"/>
  <c r="J161" i="16"/>
  <c r="F161" i="16"/>
  <c r="H161" i="16"/>
  <c r="K161" i="16"/>
  <c r="M161" i="16"/>
  <c r="C161" i="16"/>
  <c r="G161" i="16"/>
  <c r="N161" i="16"/>
  <c r="B161" i="16"/>
  <c r="A161" i="16"/>
  <c r="L7" i="16"/>
  <c r="F7" i="16"/>
  <c r="A7" i="16"/>
  <c r="H7" i="16"/>
  <c r="D7" i="16"/>
  <c r="D161" i="16"/>
  <c r="C7" i="16"/>
  <c r="G311" i="16"/>
  <c r="L161" i="16"/>
  <c r="J7" i="16"/>
  <c r="K311" i="16"/>
  <c r="J311" i="16"/>
  <c r="C311" i="16"/>
  <c r="N311" i="16"/>
  <c r="B311" i="16"/>
  <c r="L311" i="16"/>
  <c r="I311" i="16"/>
  <c r="E311" i="16"/>
  <c r="A311" i="16"/>
  <c r="H311" i="16"/>
  <c r="F311" i="16"/>
  <c r="M7" i="16"/>
  <c r="N7" i="16"/>
  <c r="K7" i="16"/>
  <c r="G7" i="16"/>
  <c r="M16" i="14"/>
  <c r="M26" i="14"/>
  <c r="B7" i="16"/>
  <c r="I7" i="16"/>
  <c r="AF168" i="16" l="1"/>
  <c r="AF170" i="16" s="1"/>
  <c r="AF331" i="16"/>
  <c r="A7" i="15"/>
  <c r="B7" i="15"/>
  <c r="G7" i="15"/>
  <c r="AF12" i="15"/>
  <c r="M8" i="15" s="1"/>
  <c r="E7" i="15"/>
  <c r="D7" i="15"/>
  <c r="C7" i="15"/>
  <c r="N7" i="15"/>
  <c r="L7" i="15"/>
  <c r="H7" i="15"/>
  <c r="I7" i="15"/>
  <c r="J7" i="15"/>
  <c r="M7" i="15"/>
  <c r="K7" i="15"/>
  <c r="AF15" i="16"/>
  <c r="AF16" i="16" s="1"/>
  <c r="M8" i="16"/>
  <c r="I162" i="16"/>
  <c r="B162" i="16"/>
  <c r="M162" i="16"/>
  <c r="F162" i="16"/>
  <c r="A162" i="16"/>
  <c r="K162" i="16"/>
  <c r="N162" i="16"/>
  <c r="E162" i="16"/>
  <c r="G162" i="16"/>
  <c r="H162" i="16"/>
  <c r="L162" i="16"/>
  <c r="J162" i="16"/>
  <c r="C162" i="16"/>
  <c r="D162" i="16"/>
  <c r="E8" i="16"/>
  <c r="L8" i="16"/>
  <c r="B8" i="16"/>
  <c r="F8" i="16"/>
  <c r="K8" i="16"/>
  <c r="H8" i="16"/>
  <c r="I8" i="16"/>
  <c r="N8" i="16"/>
  <c r="G8" i="16"/>
  <c r="A8" i="16"/>
  <c r="J8" i="16"/>
  <c r="D8" i="16"/>
  <c r="M30" i="14"/>
  <c r="AF13" i="15" l="1"/>
  <c r="AF173" i="16"/>
  <c r="AF182" i="16" s="1"/>
  <c r="AF332" i="16"/>
  <c r="C8" i="16"/>
  <c r="B8" i="15"/>
  <c r="H8" i="15"/>
  <c r="J8" i="15"/>
  <c r="D8" i="15"/>
  <c r="E8" i="15"/>
  <c r="F8" i="15"/>
  <c r="G8" i="15"/>
  <c r="L8" i="15"/>
  <c r="N8" i="15"/>
  <c r="A8" i="15"/>
  <c r="I8" i="15"/>
  <c r="K8" i="15"/>
  <c r="AF14" i="15"/>
  <c r="C8" i="15"/>
  <c r="AF17" i="16"/>
  <c r="F163" i="16"/>
  <c r="K163" i="16"/>
  <c r="H163" i="16"/>
  <c r="N163" i="16"/>
  <c r="A163" i="16"/>
  <c r="E163" i="16"/>
  <c r="I163" i="16"/>
  <c r="G163" i="16"/>
  <c r="C163" i="16"/>
  <c r="M163" i="16"/>
  <c r="D163" i="16"/>
  <c r="B163" i="16"/>
  <c r="L163" i="16"/>
  <c r="J163" i="16"/>
  <c r="M32" i="14"/>
  <c r="C6" i="14" s="1"/>
  <c r="A9" i="16"/>
  <c r="F9" i="16"/>
  <c r="N9" i="16"/>
  <c r="D9" i="16"/>
  <c r="E9" i="16"/>
  <c r="H9" i="16"/>
  <c r="I9" i="16"/>
  <c r="B9" i="16"/>
  <c r="B10" i="16"/>
  <c r="A10" i="16"/>
  <c r="M9" i="16"/>
  <c r="D10" i="16"/>
  <c r="H10" i="16"/>
  <c r="G10" i="16"/>
  <c r="G9" i="16"/>
  <c r="C9" i="16"/>
  <c r="L10" i="16"/>
  <c r="L9" i="16"/>
  <c r="J9" i="16"/>
  <c r="K9" i="16"/>
  <c r="AF335" i="16" l="1"/>
  <c r="J312" i="16" s="1"/>
  <c r="AF20" i="16"/>
  <c r="L9" i="15"/>
  <c r="I9" i="15"/>
  <c r="B9" i="15"/>
  <c r="H9" i="15"/>
  <c r="G9" i="15"/>
  <c r="M9" i="15"/>
  <c r="D9" i="15"/>
  <c r="K9" i="15"/>
  <c r="A9" i="15"/>
  <c r="J9" i="15"/>
  <c r="N9" i="15"/>
  <c r="E9" i="15"/>
  <c r="AF15" i="15"/>
  <c r="AF16" i="15" s="1"/>
  <c r="J11" i="15" s="1"/>
  <c r="F9" i="15"/>
  <c r="C9" i="15"/>
  <c r="E6" i="14"/>
  <c r="B6" i="14"/>
  <c r="A6" i="14" s="1"/>
  <c r="D6" i="14"/>
  <c r="J164" i="16"/>
  <c r="F164" i="16"/>
  <c r="M164" i="16"/>
  <c r="K164" i="16"/>
  <c r="B164" i="16"/>
  <c r="C164" i="16"/>
  <c r="E164" i="16"/>
  <c r="A164" i="16"/>
  <c r="L164" i="16"/>
  <c r="AF183" i="16"/>
  <c r="C165" i="16" s="1"/>
  <c r="H164" i="16"/>
  <c r="I164" i="16"/>
  <c r="G164" i="16"/>
  <c r="D164" i="16"/>
  <c r="N164" i="16"/>
  <c r="H11" i="16"/>
  <c r="E10" i="16"/>
  <c r="M11" i="16"/>
  <c r="F11" i="16"/>
  <c r="J11" i="16"/>
  <c r="N10" i="16"/>
  <c r="I11" i="16"/>
  <c r="K11" i="16"/>
  <c r="C11" i="16"/>
  <c r="D11" i="16"/>
  <c r="K10" i="16"/>
  <c r="C10" i="16"/>
  <c r="J10" i="16"/>
  <c r="M10" i="16"/>
  <c r="M34" i="14"/>
  <c r="M312" i="16" l="1"/>
  <c r="F312" i="16"/>
  <c r="C312" i="16"/>
  <c r="D312" i="16"/>
  <c r="N312" i="16"/>
  <c r="K312" i="16"/>
  <c r="E312" i="16"/>
  <c r="L312" i="16"/>
  <c r="B312" i="16"/>
  <c r="H312" i="16"/>
  <c r="G312" i="16"/>
  <c r="I312" i="16"/>
  <c r="A312" i="16"/>
  <c r="AF338" i="16"/>
  <c r="F313" i="16" s="1"/>
  <c r="AF21" i="16"/>
  <c r="E10" i="15"/>
  <c r="H11" i="15"/>
  <c r="D10" i="15"/>
  <c r="J10" i="15"/>
  <c r="C11" i="15"/>
  <c r="I11" i="15"/>
  <c r="F10" i="15"/>
  <c r="M11" i="15"/>
  <c r="H10" i="15"/>
  <c r="G11" i="15"/>
  <c r="E11" i="15"/>
  <c r="F11" i="15"/>
  <c r="I10" i="15"/>
  <c r="N11" i="15"/>
  <c r="B10" i="15"/>
  <c r="M10" i="15"/>
  <c r="A11" i="15"/>
  <c r="L11" i="15"/>
  <c r="G10" i="15"/>
  <c r="L10" i="15"/>
  <c r="N10" i="15"/>
  <c r="K10" i="15"/>
  <c r="C10" i="15"/>
  <c r="B11" i="15"/>
  <c r="D11" i="15"/>
  <c r="K11" i="15"/>
  <c r="AF23" i="15"/>
  <c r="A10" i="15"/>
  <c r="M37" i="14"/>
  <c r="M165" i="16"/>
  <c r="J165" i="16"/>
  <c r="B165" i="16"/>
  <c r="H165" i="16"/>
  <c r="E165" i="16"/>
  <c r="AF184" i="16"/>
  <c r="F165" i="16"/>
  <c r="K165" i="16"/>
  <c r="I165" i="16"/>
  <c r="F12" i="16"/>
  <c r="A11" i="16"/>
  <c r="L11" i="16"/>
  <c r="B313" i="16" l="1"/>
  <c r="J313" i="16"/>
  <c r="E313" i="16"/>
  <c r="H313" i="16"/>
  <c r="A313" i="16"/>
  <c r="K313" i="16"/>
  <c r="D313" i="16"/>
  <c r="C313" i="16"/>
  <c r="G313" i="16"/>
  <c r="I313" i="16"/>
  <c r="M313" i="16"/>
  <c r="L313" i="16"/>
  <c r="N313" i="16"/>
  <c r="AF360" i="16"/>
  <c r="K314" i="16" s="1"/>
  <c r="AF187" i="16"/>
  <c r="AF189" i="16" s="1"/>
  <c r="AF191" i="16" s="1"/>
  <c r="AF192" i="16" s="1"/>
  <c r="AF22" i="16"/>
  <c r="D12" i="15"/>
  <c r="G12" i="15"/>
  <c r="B12" i="15"/>
  <c r="AF24" i="15"/>
  <c r="K13" i="15" s="1"/>
  <c r="L12" i="15"/>
  <c r="I12" i="15"/>
  <c r="H12" i="15"/>
  <c r="A12" i="15"/>
  <c r="N12" i="15"/>
  <c r="J12" i="15"/>
  <c r="E12" i="15"/>
  <c r="C12" i="15"/>
  <c r="K12" i="15"/>
  <c r="M12" i="15"/>
  <c r="F12" i="15"/>
  <c r="M38" i="14"/>
  <c r="M42" i="14" s="1"/>
  <c r="C166" i="16"/>
  <c r="N166" i="16"/>
  <c r="E166" i="16"/>
  <c r="K166" i="16"/>
  <c r="D166" i="16"/>
  <c r="M166" i="16"/>
  <c r="C12" i="16"/>
  <c r="M45" i="14"/>
  <c r="H166" i="16"/>
  <c r="J166" i="16"/>
  <c r="L166" i="16"/>
  <c r="F166" i="16"/>
  <c r="A166" i="16"/>
  <c r="K167" i="16"/>
  <c r="B166" i="16"/>
  <c r="N167" i="16"/>
  <c r="E167" i="16"/>
  <c r="D165" i="16"/>
  <c r="G165" i="16"/>
  <c r="A165" i="16"/>
  <c r="H167" i="16"/>
  <c r="F167" i="16"/>
  <c r="L165" i="16"/>
  <c r="N165" i="16"/>
  <c r="I166" i="16"/>
  <c r="G166" i="16"/>
  <c r="G167" i="16"/>
  <c r="D167" i="16"/>
  <c r="A167" i="16"/>
  <c r="L167" i="16"/>
  <c r="B167" i="16"/>
  <c r="M167" i="16"/>
  <c r="C167" i="16"/>
  <c r="I167" i="16"/>
  <c r="J167" i="16"/>
  <c r="J314" i="16" l="1"/>
  <c r="G314" i="16"/>
  <c r="N314" i="16"/>
  <c r="I314" i="16"/>
  <c r="A314" i="16"/>
  <c r="E314" i="16"/>
  <c r="C314" i="16"/>
  <c r="F314" i="16"/>
  <c r="M314" i="16"/>
  <c r="H314" i="16"/>
  <c r="B314" i="16"/>
  <c r="D314" i="16"/>
  <c r="L314" i="16"/>
  <c r="M311" i="16"/>
  <c r="AF367" i="16"/>
  <c r="F318" i="16" s="1"/>
  <c r="M46" i="14"/>
  <c r="AF24" i="16"/>
  <c r="AF26" i="16" s="1"/>
  <c r="E12" i="16"/>
  <c r="H13" i="15"/>
  <c r="B13" i="15"/>
  <c r="G13" i="15"/>
  <c r="F13" i="15"/>
  <c r="D13" i="15"/>
  <c r="I13" i="15"/>
  <c r="AF25" i="15"/>
  <c r="F14" i="15" s="1"/>
  <c r="N13" i="15"/>
  <c r="L13" i="15"/>
  <c r="E13" i="15"/>
  <c r="C13" i="15"/>
  <c r="A13" i="15"/>
  <c r="M13" i="15"/>
  <c r="J13" i="15"/>
  <c r="AF201" i="16"/>
  <c r="E7" i="14"/>
  <c r="D7" i="14"/>
  <c r="C7" i="14"/>
  <c r="AF220" i="16"/>
  <c r="E168" i="16"/>
  <c r="E169" i="16"/>
  <c r="G169" i="16"/>
  <c r="C168" i="16"/>
  <c r="I169" i="16"/>
  <c r="K169" i="16"/>
  <c r="A170" i="16"/>
  <c r="H170" i="16"/>
  <c r="E170" i="16"/>
  <c r="L170" i="16"/>
  <c r="A168" i="16"/>
  <c r="M169" i="16"/>
  <c r="K170" i="16"/>
  <c r="J170" i="16"/>
  <c r="F168" i="16"/>
  <c r="D169" i="16"/>
  <c r="D168" i="16"/>
  <c r="N169" i="16"/>
  <c r="G168" i="16"/>
  <c r="L169" i="16"/>
  <c r="M168" i="16"/>
  <c r="N168" i="16"/>
  <c r="C169" i="16"/>
  <c r="H169" i="16"/>
  <c r="M170" i="16"/>
  <c r="B169" i="16"/>
  <c r="B170" i="16"/>
  <c r="F170" i="16"/>
  <c r="J168" i="16"/>
  <c r="I168" i="16"/>
  <c r="L168" i="16"/>
  <c r="I170" i="16"/>
  <c r="A169" i="16"/>
  <c r="B168" i="16"/>
  <c r="J169" i="16"/>
  <c r="C170" i="16"/>
  <c r="H168" i="16"/>
  <c r="G170" i="16"/>
  <c r="D170" i="16"/>
  <c r="K168" i="16"/>
  <c r="N170" i="16"/>
  <c r="F169" i="16"/>
  <c r="M52" i="14"/>
  <c r="M315" i="16" l="1"/>
  <c r="A316" i="16"/>
  <c r="F317" i="16"/>
  <c r="I315" i="16"/>
  <c r="B317" i="16"/>
  <c r="K315" i="16"/>
  <c r="L317" i="16"/>
  <c r="B315" i="16"/>
  <c r="D317" i="16"/>
  <c r="N315" i="16"/>
  <c r="A317" i="16"/>
  <c r="L315" i="16"/>
  <c r="K317" i="16"/>
  <c r="L316" i="16"/>
  <c r="G317" i="16"/>
  <c r="H315" i="16"/>
  <c r="C316" i="16"/>
  <c r="E315" i="16"/>
  <c r="B316" i="16"/>
  <c r="J315" i="16"/>
  <c r="N381" i="16"/>
  <c r="N316" i="16"/>
  <c r="F316" i="16"/>
  <c r="D315" i="16"/>
  <c r="G316" i="16"/>
  <c r="C315" i="16"/>
  <c r="D316" i="16"/>
  <c r="F315" i="16"/>
  <c r="E318" i="16"/>
  <c r="G315" i="16"/>
  <c r="A315" i="16"/>
  <c r="C317" i="16"/>
  <c r="E316" i="16"/>
  <c r="J316" i="16"/>
  <c r="M316" i="16"/>
  <c r="L318" i="16"/>
  <c r="H316" i="16"/>
  <c r="K316" i="16"/>
  <c r="I316" i="16"/>
  <c r="M317" i="16"/>
  <c r="J317" i="16"/>
  <c r="N317" i="16"/>
  <c r="I317" i="16"/>
  <c r="H318" i="16"/>
  <c r="H317" i="16"/>
  <c r="K320" i="16"/>
  <c r="C318" i="16"/>
  <c r="M318" i="16"/>
  <c r="I318" i="16"/>
  <c r="N318" i="16"/>
  <c r="B318" i="16"/>
  <c r="K318" i="16"/>
  <c r="G318" i="16"/>
  <c r="D318" i="16"/>
  <c r="K419" i="16"/>
  <c r="G381" i="16"/>
  <c r="J318" i="16"/>
  <c r="A318" i="16"/>
  <c r="C320" i="16"/>
  <c r="A319" i="16"/>
  <c r="G320" i="16"/>
  <c r="F320" i="16"/>
  <c r="D320" i="16"/>
  <c r="C319" i="16"/>
  <c r="K319" i="16"/>
  <c r="M320" i="16"/>
  <c r="E319" i="16"/>
  <c r="M448" i="16"/>
  <c r="L319" i="16"/>
  <c r="I319" i="16"/>
  <c r="H319" i="16"/>
  <c r="B320" i="16"/>
  <c r="M319" i="16"/>
  <c r="F319" i="16"/>
  <c r="J320" i="16"/>
  <c r="B319" i="16"/>
  <c r="E320" i="16"/>
  <c r="N319" i="16"/>
  <c r="G319" i="16"/>
  <c r="I320" i="16"/>
  <c r="A320" i="16"/>
  <c r="D319" i="16"/>
  <c r="L355" i="16"/>
  <c r="H320" i="16"/>
  <c r="J319" i="16"/>
  <c r="C435" i="16"/>
  <c r="N320" i="16"/>
  <c r="H416" i="16"/>
  <c r="L320" i="16"/>
  <c r="I401" i="16"/>
  <c r="M389" i="16"/>
  <c r="M406" i="16"/>
  <c r="H365" i="16"/>
  <c r="H366" i="16"/>
  <c r="K431" i="16"/>
  <c r="H323" i="16"/>
  <c r="F356" i="16"/>
  <c r="D411" i="16"/>
  <c r="C442" i="16"/>
  <c r="I373" i="16"/>
  <c r="C458" i="16"/>
  <c r="M440" i="16"/>
  <c r="H431" i="16"/>
  <c r="C335" i="16"/>
  <c r="H447" i="16"/>
  <c r="L395" i="16"/>
  <c r="D409" i="16"/>
  <c r="C348" i="16"/>
  <c r="D344" i="16"/>
  <c r="A365" i="16"/>
  <c r="A375" i="16"/>
  <c r="D426" i="16"/>
  <c r="J424" i="16"/>
  <c r="D350" i="16"/>
  <c r="M361" i="16"/>
  <c r="B425" i="16"/>
  <c r="F398" i="16"/>
  <c r="K349" i="16"/>
  <c r="J411" i="16"/>
  <c r="D347" i="16"/>
  <c r="B368" i="16"/>
  <c r="N371" i="16"/>
  <c r="M343" i="16"/>
  <c r="G322" i="16"/>
  <c r="G414" i="16"/>
  <c r="B334" i="16"/>
  <c r="N352" i="16"/>
  <c r="G365" i="16"/>
  <c r="A406" i="16"/>
  <c r="G416" i="16"/>
  <c r="E432" i="16"/>
  <c r="E437" i="16"/>
  <c r="L446" i="16"/>
  <c r="A428" i="16"/>
  <c r="D457" i="16"/>
  <c r="K449" i="16"/>
  <c r="H370" i="16"/>
  <c r="I452" i="16"/>
  <c r="L358" i="16"/>
  <c r="M396" i="16"/>
  <c r="I450" i="16"/>
  <c r="H410" i="16"/>
  <c r="L351" i="16"/>
  <c r="J423" i="16"/>
  <c r="I397" i="16"/>
  <c r="C358" i="16"/>
  <c r="L362" i="16"/>
  <c r="A452" i="16"/>
  <c r="N345" i="16"/>
  <c r="A413" i="16"/>
  <c r="N393" i="16"/>
  <c r="G417" i="16"/>
  <c r="H456" i="16"/>
  <c r="L365" i="16"/>
  <c r="I418" i="16"/>
  <c r="I398" i="16"/>
  <c r="M375" i="16"/>
  <c r="J439" i="16"/>
  <c r="C380" i="16"/>
  <c r="L436" i="16"/>
  <c r="A426" i="16"/>
  <c r="H412" i="16"/>
  <c r="J323" i="16"/>
  <c r="H394" i="16"/>
  <c r="E363" i="16"/>
  <c r="J333" i="16"/>
  <c r="E442" i="16"/>
  <c r="C398" i="16"/>
  <c r="A348" i="16"/>
  <c r="G429" i="16"/>
  <c r="F340" i="16"/>
  <c r="F444" i="16"/>
  <c r="I434" i="16"/>
  <c r="N387" i="16"/>
  <c r="G423" i="16"/>
  <c r="K328" i="16"/>
  <c r="B408" i="16"/>
  <c r="I375" i="16"/>
  <c r="H404" i="16"/>
  <c r="J392" i="16"/>
  <c r="H409" i="16"/>
  <c r="K376" i="16"/>
  <c r="F447" i="16"/>
  <c r="F412" i="16"/>
  <c r="C400" i="16"/>
  <c r="L357" i="16"/>
  <c r="M408" i="16"/>
  <c r="I321" i="16"/>
  <c r="J441" i="16"/>
  <c r="E348" i="16"/>
  <c r="K355" i="16"/>
  <c r="I389" i="16"/>
  <c r="K340" i="16"/>
  <c r="G440" i="16"/>
  <c r="B420" i="16"/>
  <c r="J408" i="16"/>
  <c r="I453" i="16"/>
  <c r="J450" i="16"/>
  <c r="M439" i="16"/>
  <c r="L360" i="16"/>
  <c r="H322" i="16"/>
  <c r="M377" i="16"/>
  <c r="G325" i="16"/>
  <c r="L422" i="16"/>
  <c r="B406" i="16"/>
  <c r="M417" i="16"/>
  <c r="N397" i="16"/>
  <c r="H342" i="16"/>
  <c r="B395" i="16"/>
  <c r="L353" i="16"/>
  <c r="J347" i="16"/>
  <c r="B354" i="16"/>
  <c r="E332" i="16"/>
  <c r="A393" i="16"/>
  <c r="L321" i="16"/>
  <c r="E350" i="16"/>
  <c r="C410" i="16"/>
  <c r="I422" i="16"/>
  <c r="I459" i="16"/>
  <c r="N377" i="16"/>
  <c r="A394" i="16"/>
  <c r="D404" i="16"/>
  <c r="A337" i="16"/>
  <c r="H374" i="16"/>
  <c r="D323" i="16"/>
  <c r="E339" i="16"/>
  <c r="J359" i="16"/>
  <c r="J355" i="16"/>
  <c r="E367" i="16"/>
  <c r="C451" i="16"/>
  <c r="F442" i="16"/>
  <c r="B352" i="16"/>
  <c r="H392" i="16"/>
  <c r="I410" i="16"/>
  <c r="D384" i="16"/>
  <c r="H326" i="16"/>
  <c r="B369" i="16"/>
  <c r="H402" i="16"/>
  <c r="M431" i="16"/>
  <c r="D357" i="16"/>
  <c r="G354" i="16"/>
  <c r="A367" i="16"/>
  <c r="H390" i="16"/>
  <c r="H435" i="16"/>
  <c r="C326" i="16"/>
  <c r="F437" i="16"/>
  <c r="I336" i="16"/>
  <c r="B405" i="16"/>
  <c r="K347" i="16"/>
  <c r="B401" i="16"/>
  <c r="K387" i="16"/>
  <c r="B362" i="16"/>
  <c r="E334" i="16"/>
  <c r="G391" i="16"/>
  <c r="E454" i="16"/>
  <c r="C332" i="16"/>
  <c r="F375" i="16"/>
  <c r="L438" i="16"/>
  <c r="D417" i="16"/>
  <c r="N361" i="16"/>
  <c r="C321" i="16"/>
  <c r="E360" i="16"/>
  <c r="G340" i="16"/>
  <c r="J443" i="16"/>
  <c r="F326" i="16"/>
  <c r="A332" i="16"/>
  <c r="B438" i="16"/>
  <c r="D413" i="16"/>
  <c r="D358" i="16"/>
  <c r="A355" i="16"/>
  <c r="C322" i="16"/>
  <c r="N338" i="16"/>
  <c r="G425" i="16"/>
  <c r="B453" i="16"/>
  <c r="H354" i="16"/>
  <c r="F388" i="16"/>
  <c r="K329" i="16"/>
  <c r="H444" i="16"/>
  <c r="E321" i="16"/>
  <c r="B359" i="16"/>
  <c r="B357" i="16"/>
  <c r="N451" i="16"/>
  <c r="I326" i="16"/>
  <c r="A347" i="16"/>
  <c r="C427" i="16"/>
  <c r="H448" i="16"/>
  <c r="N341" i="16"/>
  <c r="J383" i="16"/>
  <c r="N336" i="16"/>
  <c r="N412" i="16"/>
  <c r="D391" i="16"/>
  <c r="K437" i="16"/>
  <c r="C399" i="16"/>
  <c r="M382" i="16"/>
  <c r="N429" i="16"/>
  <c r="E409" i="16"/>
  <c r="C338" i="16"/>
  <c r="J459" i="16"/>
  <c r="M356" i="16"/>
  <c r="I420" i="16"/>
  <c r="M391" i="16"/>
  <c r="L369" i="16"/>
  <c r="H436" i="16"/>
  <c r="E364" i="16"/>
  <c r="J371" i="16"/>
  <c r="N438" i="16"/>
  <c r="C392" i="16"/>
  <c r="B333" i="16"/>
  <c r="I426" i="16"/>
  <c r="C449" i="16"/>
  <c r="I352" i="16"/>
  <c r="H352" i="16"/>
  <c r="L407" i="16"/>
  <c r="H375" i="16"/>
  <c r="B365" i="16"/>
  <c r="M414" i="16"/>
  <c r="A431" i="16"/>
  <c r="J393" i="16"/>
  <c r="A370" i="16"/>
  <c r="L336" i="16"/>
  <c r="E393" i="16"/>
  <c r="H427" i="16"/>
  <c r="B380" i="16"/>
  <c r="E331" i="16"/>
  <c r="G410" i="16"/>
  <c r="D376" i="16"/>
  <c r="B415" i="16"/>
  <c r="N334" i="16"/>
  <c r="B361" i="16"/>
  <c r="K446" i="16"/>
  <c r="B328" i="16"/>
  <c r="L367" i="16"/>
  <c r="D332" i="16"/>
  <c r="M376" i="16"/>
  <c r="G443" i="16"/>
  <c r="H368" i="16"/>
  <c r="L354" i="16"/>
  <c r="J322" i="16"/>
  <c r="A444" i="16"/>
  <c r="H433" i="16"/>
  <c r="K415" i="16"/>
  <c r="L423" i="16"/>
  <c r="C333" i="16"/>
  <c r="E417" i="16"/>
  <c r="L455" i="16"/>
  <c r="E369" i="16"/>
  <c r="K362" i="16"/>
  <c r="E401" i="16"/>
  <c r="L392" i="16"/>
  <c r="D444" i="16"/>
  <c r="B413" i="16"/>
  <c r="J364" i="16"/>
  <c r="E411" i="16"/>
  <c r="I428" i="16"/>
  <c r="N348" i="16"/>
  <c r="K385" i="16"/>
  <c r="K459" i="16"/>
  <c r="F391" i="16"/>
  <c r="G357" i="16"/>
  <c r="A402" i="16"/>
  <c r="F365" i="16"/>
  <c r="E408" i="16"/>
  <c r="K374" i="16"/>
  <c r="C362" i="16"/>
  <c r="B399" i="16"/>
  <c r="H406" i="16"/>
  <c r="I419" i="16"/>
  <c r="I413" i="16"/>
  <c r="H417" i="16"/>
  <c r="I377" i="16"/>
  <c r="I360" i="16"/>
  <c r="C423" i="16"/>
  <c r="D418" i="16"/>
  <c r="N437" i="16"/>
  <c r="K410" i="16"/>
  <c r="B400" i="16"/>
  <c r="N340" i="16"/>
  <c r="D403" i="16"/>
  <c r="E342" i="16"/>
  <c r="H364" i="16"/>
  <c r="K348" i="16"/>
  <c r="L339" i="16"/>
  <c r="D388" i="16"/>
  <c r="M393" i="16"/>
  <c r="H387" i="16"/>
  <c r="B410" i="16"/>
  <c r="D432" i="16"/>
  <c r="I427" i="16"/>
  <c r="C352" i="16"/>
  <c r="N344" i="16"/>
  <c r="C420" i="16"/>
  <c r="F428" i="16"/>
  <c r="L414" i="16"/>
  <c r="A326" i="16"/>
  <c r="E365" i="16"/>
  <c r="J329" i="16"/>
  <c r="K418" i="16"/>
  <c r="N407" i="16"/>
  <c r="F422" i="16"/>
  <c r="E452" i="16"/>
  <c r="G374" i="16"/>
  <c r="G342" i="16"/>
  <c r="B414" i="16"/>
  <c r="I386" i="16"/>
  <c r="M387" i="16"/>
  <c r="E426" i="16"/>
  <c r="D372" i="16"/>
  <c r="N351" i="16"/>
  <c r="B392" i="16"/>
  <c r="F458" i="16"/>
  <c r="J348" i="16"/>
  <c r="D327" i="16"/>
  <c r="H329" i="16"/>
  <c r="H388" i="16"/>
  <c r="F454" i="16"/>
  <c r="A407" i="16"/>
  <c r="K330" i="16"/>
  <c r="N372" i="16"/>
  <c r="C373" i="16"/>
  <c r="B326" i="16"/>
  <c r="E344" i="16"/>
  <c r="B390" i="16"/>
  <c r="B382" i="16"/>
  <c r="G331" i="16"/>
  <c r="A417" i="16"/>
  <c r="I370" i="16"/>
  <c r="D377" i="16"/>
  <c r="E407" i="16"/>
  <c r="N400" i="16"/>
  <c r="M428" i="16"/>
  <c r="B432" i="16"/>
  <c r="K420" i="16"/>
  <c r="E389" i="16"/>
  <c r="M379" i="16"/>
  <c r="A396" i="16"/>
  <c r="E399" i="16"/>
  <c r="G361" i="16"/>
  <c r="A342" i="16"/>
  <c r="C356" i="16"/>
  <c r="B367" i="16"/>
  <c r="C341" i="16"/>
  <c r="I330" i="16"/>
  <c r="H414" i="16"/>
  <c r="N363" i="16"/>
  <c r="F373" i="16"/>
  <c r="C364" i="16"/>
  <c r="A387" i="16"/>
  <c r="D331" i="16"/>
  <c r="H335" i="16"/>
  <c r="A441" i="16"/>
  <c r="D399" i="16"/>
  <c r="I457" i="16"/>
  <c r="H386" i="16"/>
  <c r="J436" i="16"/>
  <c r="G431" i="16"/>
  <c r="N373" i="16"/>
  <c r="K444" i="16"/>
  <c r="E372" i="16"/>
  <c r="A353" i="16"/>
  <c r="I433" i="16"/>
  <c r="G382" i="16"/>
  <c r="A345" i="16"/>
  <c r="N442" i="16"/>
  <c r="E340" i="16"/>
  <c r="F343" i="16"/>
  <c r="B348" i="16"/>
  <c r="B373" i="16"/>
  <c r="F397" i="16"/>
  <c r="N452" i="16"/>
  <c r="J446" i="16"/>
  <c r="K351" i="16"/>
  <c r="C430" i="16"/>
  <c r="J382" i="16"/>
  <c r="K400" i="16"/>
  <c r="B344" i="16"/>
  <c r="K452" i="16"/>
  <c r="J368" i="16"/>
  <c r="A369" i="16"/>
  <c r="C360" i="16"/>
  <c r="K378" i="16"/>
  <c r="K414" i="16"/>
  <c r="D448" i="16"/>
  <c r="L444" i="16"/>
  <c r="D375" i="16"/>
  <c r="M402" i="16"/>
  <c r="D438" i="16"/>
  <c r="B394" i="16"/>
  <c r="G441" i="16"/>
  <c r="I327" i="16"/>
  <c r="A420" i="16"/>
  <c r="K326" i="16"/>
  <c r="A446" i="16"/>
  <c r="G352" i="16"/>
  <c r="E433" i="16"/>
  <c r="G404" i="16"/>
  <c r="G438" i="16"/>
  <c r="A333" i="16"/>
  <c r="I396" i="16"/>
  <c r="F416" i="16"/>
  <c r="L425" i="16"/>
  <c r="K430" i="16"/>
  <c r="K363" i="16"/>
  <c r="G402" i="16"/>
  <c r="C381" i="16"/>
  <c r="N333" i="16"/>
  <c r="D364" i="16"/>
  <c r="C431" i="16"/>
  <c r="C428" i="16"/>
  <c r="L331" i="16"/>
  <c r="J454" i="16"/>
  <c r="J442" i="16"/>
  <c r="I399" i="16"/>
  <c r="D359" i="16"/>
  <c r="B421" i="16"/>
  <c r="N417" i="16"/>
  <c r="A334" i="16"/>
  <c r="D346" i="16"/>
  <c r="N337" i="16"/>
  <c r="C363" i="16"/>
  <c r="M449" i="16"/>
  <c r="A323" i="16"/>
  <c r="G451" i="16"/>
  <c r="N366" i="16"/>
  <c r="G379" i="16"/>
  <c r="M403" i="16"/>
  <c r="N420" i="16"/>
  <c r="K395" i="16"/>
  <c r="E356" i="16"/>
  <c r="H411" i="16"/>
  <c r="L429" i="16"/>
  <c r="M374" i="16"/>
  <c r="H420" i="16"/>
  <c r="I441" i="16"/>
  <c r="K450" i="16"/>
  <c r="K334" i="16"/>
  <c r="D442" i="16"/>
  <c r="N410" i="16"/>
  <c r="L393" i="16"/>
  <c r="D443" i="16"/>
  <c r="J417" i="16"/>
  <c r="G327" i="16"/>
  <c r="J376" i="16"/>
  <c r="I362" i="16"/>
  <c r="E355" i="16"/>
  <c r="B342" i="16"/>
  <c r="D407" i="16"/>
  <c r="B431" i="16"/>
  <c r="L404" i="16"/>
  <c r="F329" i="16"/>
  <c r="I351" i="16"/>
  <c r="F438" i="16"/>
  <c r="M323" i="16"/>
  <c r="L431" i="16"/>
  <c r="I415" i="16"/>
  <c r="J379" i="16"/>
  <c r="N401" i="16"/>
  <c r="L323" i="16"/>
  <c r="C376" i="16"/>
  <c r="D395" i="16"/>
  <c r="M459" i="16"/>
  <c r="A423" i="16"/>
  <c r="E418" i="16"/>
  <c r="H378" i="16"/>
  <c r="F371" i="16"/>
  <c r="D453" i="16"/>
  <c r="A382" i="16"/>
  <c r="F364" i="16"/>
  <c r="K322" i="16"/>
  <c r="F431" i="16"/>
  <c r="F376" i="16"/>
  <c r="F440" i="16"/>
  <c r="C327" i="16"/>
  <c r="M397" i="16"/>
  <c r="B416" i="16"/>
  <c r="L330" i="16"/>
  <c r="M450" i="16"/>
  <c r="K425" i="16"/>
  <c r="K394" i="16"/>
  <c r="C422" i="16"/>
  <c r="M420" i="16"/>
  <c r="A341" i="16"/>
  <c r="K433" i="16"/>
  <c r="F409" i="16"/>
  <c r="F426" i="16"/>
  <c r="H330" i="16"/>
  <c r="H355" i="16"/>
  <c r="G399" i="16"/>
  <c r="B339" i="16"/>
  <c r="E388" i="16"/>
  <c r="H328" i="16"/>
  <c r="G332" i="16"/>
  <c r="F419" i="16"/>
  <c r="A435" i="16"/>
  <c r="A421" i="16"/>
  <c r="M405" i="16"/>
  <c r="A354" i="16"/>
  <c r="M458" i="16"/>
  <c r="M370" i="16"/>
  <c r="B353" i="16"/>
  <c r="E328" i="16"/>
  <c r="L411" i="16"/>
  <c r="C361" i="16"/>
  <c r="I328" i="16"/>
  <c r="G392" i="16"/>
  <c r="J385" i="16"/>
  <c r="N403" i="16"/>
  <c r="H361" i="16"/>
  <c r="I394" i="16"/>
  <c r="E424" i="16"/>
  <c r="C454" i="16"/>
  <c r="L445" i="16"/>
  <c r="L447" i="16"/>
  <c r="G398" i="16"/>
  <c r="G338" i="16"/>
  <c r="J418" i="16"/>
  <c r="F406" i="16"/>
  <c r="K454" i="16"/>
  <c r="J357" i="16"/>
  <c r="I343" i="16"/>
  <c r="D446" i="16"/>
  <c r="B454" i="16"/>
  <c r="H338" i="16"/>
  <c r="I403" i="16"/>
  <c r="I339" i="16"/>
  <c r="I365" i="16"/>
  <c r="K392" i="16"/>
  <c r="J419" i="16"/>
  <c r="F360" i="16"/>
  <c r="A392" i="16"/>
  <c r="C436" i="16"/>
  <c r="J435" i="16"/>
  <c r="L325" i="16"/>
  <c r="M407" i="16"/>
  <c r="B329" i="16"/>
  <c r="N440" i="16"/>
  <c r="L418" i="16"/>
  <c r="A436" i="16"/>
  <c r="K413" i="16"/>
  <c r="K457" i="16"/>
  <c r="F421" i="16"/>
  <c r="G444" i="16"/>
  <c r="G454" i="16"/>
  <c r="A447" i="16"/>
  <c r="D336" i="16"/>
  <c r="H425" i="16"/>
  <c r="C384" i="16"/>
  <c r="D396" i="16"/>
  <c r="E359" i="16"/>
  <c r="C342" i="16"/>
  <c r="K325" i="16"/>
  <c r="K439" i="16"/>
  <c r="F321" i="16"/>
  <c r="E439" i="16"/>
  <c r="H325" i="16"/>
  <c r="M337" i="16"/>
  <c r="J391" i="16"/>
  <c r="H424" i="16"/>
  <c r="N382" i="16"/>
  <c r="E396" i="16"/>
  <c r="B336" i="16"/>
  <c r="C446" i="16"/>
  <c r="E361" i="16"/>
  <c r="F384" i="16"/>
  <c r="I388" i="16"/>
  <c r="L413" i="16"/>
  <c r="N411" i="16"/>
  <c r="C445" i="16"/>
  <c r="C414" i="16"/>
  <c r="K435" i="16"/>
  <c r="J386" i="16"/>
  <c r="H334" i="16"/>
  <c r="G413" i="16"/>
  <c r="B396" i="16"/>
  <c r="E427" i="16"/>
  <c r="D452" i="16"/>
  <c r="M340" i="16"/>
  <c r="N449" i="16"/>
  <c r="H439" i="16"/>
  <c r="J363" i="16"/>
  <c r="H344" i="16"/>
  <c r="L443" i="16"/>
  <c r="E384" i="16"/>
  <c r="L379" i="16"/>
  <c r="K440" i="16"/>
  <c r="N389" i="16"/>
  <c r="L383" i="16"/>
  <c r="J403" i="16"/>
  <c r="F414" i="16"/>
  <c r="A352" i="16"/>
  <c r="K407" i="16"/>
  <c r="K342" i="16"/>
  <c r="L401" i="16"/>
  <c r="E415" i="16"/>
  <c r="A411" i="16"/>
  <c r="D422" i="16"/>
  <c r="F448" i="16"/>
  <c r="G420" i="16"/>
  <c r="D321" i="16"/>
  <c r="J414" i="16"/>
  <c r="N350" i="16"/>
  <c r="M399" i="16"/>
  <c r="G457" i="16"/>
  <c r="H396" i="16"/>
  <c r="H357" i="16"/>
  <c r="F346" i="16"/>
  <c r="F446" i="16"/>
  <c r="F350" i="16"/>
  <c r="L343" i="16"/>
  <c r="J428" i="16"/>
  <c r="F390" i="16"/>
  <c r="M329" i="16"/>
  <c r="D378" i="16"/>
  <c r="D425" i="16"/>
  <c r="N430" i="16"/>
  <c r="E343" i="16"/>
  <c r="A427" i="16"/>
  <c r="E416" i="16"/>
  <c r="H428" i="16"/>
  <c r="E441" i="16"/>
  <c r="H373" i="16"/>
  <c r="C370" i="16"/>
  <c r="D406" i="16"/>
  <c r="C344" i="16"/>
  <c r="E425" i="16"/>
  <c r="L396" i="16"/>
  <c r="G362" i="16"/>
  <c r="L342" i="16"/>
  <c r="D415" i="16"/>
  <c r="D341" i="16"/>
  <c r="B355" i="16"/>
  <c r="D386" i="16"/>
  <c r="B445" i="16"/>
  <c r="N441" i="16"/>
  <c r="E374" i="16"/>
  <c r="E386" i="16"/>
  <c r="H400" i="16"/>
  <c r="B335" i="16"/>
  <c r="N327" i="16"/>
  <c r="J367" i="16"/>
  <c r="N369" i="16"/>
  <c r="M366" i="16"/>
  <c r="E323" i="16"/>
  <c r="J402" i="16"/>
  <c r="J438" i="16"/>
  <c r="B448" i="16"/>
  <c r="J390" i="16"/>
  <c r="H452" i="16"/>
  <c r="A414" i="16"/>
  <c r="A449" i="16"/>
  <c r="G407" i="16"/>
  <c r="L397" i="16"/>
  <c r="C329" i="16"/>
  <c r="M355" i="16"/>
  <c r="E377" i="16"/>
  <c r="E402" i="16"/>
  <c r="H346" i="16"/>
  <c r="E451" i="16"/>
  <c r="H360" i="16"/>
  <c r="E405" i="16"/>
  <c r="K344" i="16"/>
  <c r="C413" i="16"/>
  <c r="K396" i="16"/>
  <c r="K441" i="16"/>
  <c r="D429" i="16"/>
  <c r="L380" i="16"/>
  <c r="I445" i="16"/>
  <c r="I446" i="16"/>
  <c r="E366" i="16"/>
  <c r="J349" i="16"/>
  <c r="G428" i="16"/>
  <c r="G356" i="16"/>
  <c r="D456" i="16"/>
  <c r="E341" i="16"/>
  <c r="B451" i="16"/>
  <c r="E383" i="16"/>
  <c r="B351" i="16"/>
  <c r="E458" i="16"/>
  <c r="I392" i="16"/>
  <c r="E429" i="16"/>
  <c r="L440" i="16"/>
  <c r="E338" i="16"/>
  <c r="J340" i="16"/>
  <c r="K366" i="16"/>
  <c r="H341" i="16"/>
  <c r="D329" i="16"/>
  <c r="L329" i="16"/>
  <c r="D348" i="16"/>
  <c r="J375" i="16"/>
  <c r="J404" i="16"/>
  <c r="I331" i="16"/>
  <c r="D322" i="16"/>
  <c r="A374" i="16"/>
  <c r="L350" i="16"/>
  <c r="I440" i="16"/>
  <c r="H395" i="16"/>
  <c r="G405" i="16"/>
  <c r="J429" i="16"/>
  <c r="C438" i="16"/>
  <c r="G424" i="16"/>
  <c r="D363" i="16"/>
  <c r="G368" i="16"/>
  <c r="N395" i="16"/>
  <c r="H379" i="16"/>
  <c r="F323" i="16"/>
  <c r="K335" i="16"/>
  <c r="C346" i="16"/>
  <c r="K358" i="16"/>
  <c r="M385" i="16"/>
  <c r="K360" i="16"/>
  <c r="I372" i="16"/>
  <c r="L427" i="16"/>
  <c r="K367" i="16"/>
  <c r="D370" i="16"/>
  <c r="A368" i="16"/>
  <c r="A361" i="16"/>
  <c r="K361" i="16"/>
  <c r="A399" i="16"/>
  <c r="H403" i="16"/>
  <c r="J409" i="16"/>
  <c r="A371" i="16"/>
  <c r="K343" i="16"/>
  <c r="D354" i="16"/>
  <c r="L332" i="16"/>
  <c r="C439" i="16"/>
  <c r="A322" i="16"/>
  <c r="A425" i="16"/>
  <c r="L364" i="16"/>
  <c r="G437" i="16"/>
  <c r="D434" i="16"/>
  <c r="M334" i="16"/>
  <c r="B403" i="16"/>
  <c r="J425" i="16"/>
  <c r="L375" i="16"/>
  <c r="C395" i="16"/>
  <c r="D447" i="16"/>
  <c r="N378" i="16"/>
  <c r="D380" i="16"/>
  <c r="N354" i="16"/>
  <c r="C402" i="16"/>
  <c r="A424" i="16"/>
  <c r="L387" i="16"/>
  <c r="I423" i="16"/>
  <c r="K401" i="16"/>
  <c r="L337" i="16"/>
  <c r="L356" i="16"/>
  <c r="G360" i="16"/>
  <c r="N408" i="16"/>
  <c r="K337" i="16"/>
  <c r="G345" i="16"/>
  <c r="M412" i="16"/>
  <c r="E459" i="16"/>
  <c r="M357" i="16"/>
  <c r="G419" i="16"/>
  <c r="D366" i="16"/>
  <c r="G333" i="16"/>
  <c r="J350" i="16"/>
  <c r="F322" i="16"/>
  <c r="I451" i="16"/>
  <c r="M411" i="16"/>
  <c r="G349" i="16"/>
  <c r="N332" i="16"/>
  <c r="G430" i="16"/>
  <c r="E456" i="16"/>
  <c r="J384" i="16"/>
  <c r="H321" i="16"/>
  <c r="C369" i="16"/>
  <c r="C421" i="16"/>
  <c r="N446" i="16"/>
  <c r="D423" i="16"/>
  <c r="N331" i="16"/>
  <c r="N398" i="16"/>
  <c r="M348" i="16"/>
  <c r="L457" i="16"/>
  <c r="K353" i="16"/>
  <c r="N326" i="16"/>
  <c r="L451" i="16"/>
  <c r="K406" i="16"/>
  <c r="A397" i="16"/>
  <c r="N422" i="16"/>
  <c r="K451" i="16"/>
  <c r="A327" i="16"/>
  <c r="D353" i="16"/>
  <c r="G434" i="16"/>
  <c r="D439" i="16"/>
  <c r="L372" i="16"/>
  <c r="A403" i="16"/>
  <c r="N386" i="16"/>
  <c r="A329" i="16"/>
  <c r="C457" i="16"/>
  <c r="F407" i="16"/>
  <c r="B337" i="16"/>
  <c r="L386" i="16"/>
  <c r="A445" i="16"/>
  <c r="F439" i="16"/>
  <c r="L426" i="16"/>
  <c r="D390" i="16"/>
  <c r="A438" i="16"/>
  <c r="J342" i="16"/>
  <c r="D402" i="16"/>
  <c r="A381" i="16"/>
  <c r="G363" i="16"/>
  <c r="F344" i="16"/>
  <c r="L340" i="16"/>
  <c r="J372" i="16"/>
  <c r="D351" i="16"/>
  <c r="D338" i="16"/>
  <c r="A338" i="16"/>
  <c r="K445" i="16"/>
  <c r="M446" i="16"/>
  <c r="N416" i="16"/>
  <c r="I449" i="16"/>
  <c r="F324" i="16"/>
  <c r="K380" i="16"/>
  <c r="A349" i="16"/>
  <c r="H339" i="16"/>
  <c r="I383" i="16"/>
  <c r="B418" i="16"/>
  <c r="B379" i="16"/>
  <c r="C374" i="16"/>
  <c r="N418" i="16"/>
  <c r="F402" i="16"/>
  <c r="L410" i="16"/>
  <c r="I371" i="16"/>
  <c r="A356" i="16"/>
  <c r="H446" i="16"/>
  <c r="B323" i="16"/>
  <c r="M445" i="16"/>
  <c r="K438" i="16"/>
  <c r="C404" i="16"/>
  <c r="C365" i="16"/>
  <c r="B340" i="16"/>
  <c r="K428" i="16"/>
  <c r="D339" i="16"/>
  <c r="E395" i="16"/>
  <c r="I424" i="16"/>
  <c r="C354" i="16"/>
  <c r="I380" i="16"/>
  <c r="M453" i="16"/>
  <c r="B440" i="16"/>
  <c r="C353" i="16"/>
  <c r="F328" i="16"/>
  <c r="F443" i="16"/>
  <c r="M373" i="16"/>
  <c r="M415" i="16"/>
  <c r="M335" i="16"/>
  <c r="J400" i="16"/>
  <c r="J361" i="16"/>
  <c r="E375" i="16"/>
  <c r="F451" i="16"/>
  <c r="K373" i="16"/>
  <c r="C419" i="16"/>
  <c r="A340" i="16"/>
  <c r="E445" i="16"/>
  <c r="F449" i="16"/>
  <c r="I344" i="16"/>
  <c r="J405" i="16"/>
  <c r="H405" i="16"/>
  <c r="H453" i="16"/>
  <c r="L399" i="16"/>
  <c r="D393" i="16"/>
  <c r="K393" i="16"/>
  <c r="N357" i="16"/>
  <c r="M330" i="16"/>
  <c r="D450" i="16"/>
  <c r="G384" i="16"/>
  <c r="K331" i="16"/>
  <c r="H398" i="16"/>
  <c r="F396" i="16"/>
  <c r="A389" i="16"/>
  <c r="H434" i="16"/>
  <c r="D421" i="16"/>
  <c r="I438" i="16"/>
  <c r="N342" i="16"/>
  <c r="G452" i="16"/>
  <c r="G339" i="16"/>
  <c r="M413" i="16"/>
  <c r="A418" i="16"/>
  <c r="E353" i="16"/>
  <c r="G435" i="16"/>
  <c r="G335" i="16"/>
  <c r="D355" i="16"/>
  <c r="F425" i="16"/>
  <c r="H383" i="16"/>
  <c r="E431" i="16"/>
  <c r="A458" i="16"/>
  <c r="M436" i="16"/>
  <c r="I458" i="16"/>
  <c r="G387" i="16"/>
  <c r="F408" i="16"/>
  <c r="B325" i="16"/>
  <c r="G351" i="16"/>
  <c r="F374" i="16"/>
  <c r="H459" i="16"/>
  <c r="D361" i="16"/>
  <c r="H348" i="16"/>
  <c r="L378" i="16"/>
  <c r="I387" i="16"/>
  <c r="M394" i="16"/>
  <c r="J356" i="16"/>
  <c r="D352" i="16"/>
  <c r="B330" i="16"/>
  <c r="B426" i="16"/>
  <c r="J398" i="16"/>
  <c r="L368" i="16"/>
  <c r="F387" i="16"/>
  <c r="N368" i="16"/>
  <c r="G432" i="16"/>
  <c r="C323" i="16"/>
  <c r="F349" i="16"/>
  <c r="B345" i="16"/>
  <c r="M395" i="16"/>
  <c r="F369" i="16"/>
  <c r="I439" i="16"/>
  <c r="A360" i="16"/>
  <c r="L403" i="16"/>
  <c r="M392" i="16"/>
  <c r="M369" i="16"/>
  <c r="C448" i="16"/>
  <c r="B435" i="16"/>
  <c r="G375" i="16"/>
  <c r="D416" i="16"/>
  <c r="H430" i="16"/>
  <c r="K354" i="16"/>
  <c r="J362" i="16"/>
  <c r="A343" i="16"/>
  <c r="M423" i="16"/>
  <c r="J457" i="16"/>
  <c r="J370" i="16"/>
  <c r="N321" i="16"/>
  <c r="N454" i="16"/>
  <c r="F457" i="16"/>
  <c r="C330" i="16"/>
  <c r="F417" i="16"/>
  <c r="E446" i="16"/>
  <c r="A344" i="16"/>
  <c r="B444" i="16"/>
  <c r="C377" i="16"/>
  <c r="I404" i="16"/>
  <c r="I367" i="16"/>
  <c r="B404" i="16"/>
  <c r="M404" i="16"/>
  <c r="N426" i="16"/>
  <c r="K357" i="16"/>
  <c r="K455" i="16"/>
  <c r="I338" i="16"/>
  <c r="E453" i="16"/>
  <c r="J387" i="16"/>
  <c r="L382" i="16"/>
  <c r="B366" i="16"/>
  <c r="G330" i="16"/>
  <c r="G326" i="16"/>
  <c r="J332" i="16"/>
  <c r="N379" i="16"/>
  <c r="J366" i="16"/>
  <c r="B371" i="16"/>
  <c r="C407" i="16"/>
  <c r="A439" i="16"/>
  <c r="M441" i="16"/>
  <c r="F348" i="16"/>
  <c r="J374" i="16"/>
  <c r="D408" i="16"/>
  <c r="G415" i="16"/>
  <c r="E382" i="16"/>
  <c r="C450" i="16"/>
  <c r="F327" i="16"/>
  <c r="I382" i="16"/>
  <c r="K384" i="16"/>
  <c r="B428" i="16"/>
  <c r="B356" i="16"/>
  <c r="B331" i="16"/>
  <c r="J321" i="16"/>
  <c r="C357" i="16"/>
  <c r="F459" i="16"/>
  <c r="A408" i="16"/>
  <c r="M350" i="16"/>
  <c r="E324" i="16"/>
  <c r="M336" i="16"/>
  <c r="L348" i="16"/>
  <c r="I355" i="16"/>
  <c r="B372" i="16"/>
  <c r="F427" i="16"/>
  <c r="H432" i="16"/>
  <c r="J458" i="16"/>
  <c r="D405" i="16"/>
  <c r="E335" i="16"/>
  <c r="G334" i="16"/>
  <c r="D424" i="16"/>
  <c r="H426" i="16"/>
  <c r="I337" i="16"/>
  <c r="G427" i="16"/>
  <c r="M438" i="16"/>
  <c r="H353" i="16"/>
  <c r="N346" i="16"/>
  <c r="K382" i="16"/>
  <c r="E317" i="16"/>
  <c r="K327" i="16"/>
  <c r="I406" i="16"/>
  <c r="C383" i="16"/>
  <c r="I431" i="16"/>
  <c r="E428" i="16"/>
  <c r="I432" i="16"/>
  <c r="A442" i="16"/>
  <c r="L361" i="16"/>
  <c r="A430" i="16"/>
  <c r="L419" i="16"/>
  <c r="N380" i="16"/>
  <c r="E330" i="16"/>
  <c r="L377" i="16"/>
  <c r="A383" i="16"/>
  <c r="F354" i="16"/>
  <c r="D431" i="16"/>
  <c r="L344" i="16"/>
  <c r="L448" i="16"/>
  <c r="N330" i="16"/>
  <c r="H343" i="16"/>
  <c r="B412" i="16"/>
  <c r="F453" i="16"/>
  <c r="F381" i="16"/>
  <c r="D383" i="16"/>
  <c r="H413" i="16"/>
  <c r="B455" i="16"/>
  <c r="K356" i="16"/>
  <c r="A363" i="16"/>
  <c r="K371" i="16"/>
  <c r="B442" i="16"/>
  <c r="C417" i="16"/>
  <c r="C390" i="16"/>
  <c r="D373" i="16"/>
  <c r="I348" i="16"/>
  <c r="A404" i="16"/>
  <c r="C337" i="16"/>
  <c r="K397" i="16"/>
  <c r="J456" i="16"/>
  <c r="C359" i="16"/>
  <c r="I342" i="16"/>
  <c r="L449" i="16"/>
  <c r="N353" i="16"/>
  <c r="D356" i="16"/>
  <c r="M326" i="16"/>
  <c r="E325" i="16"/>
  <c r="I353" i="16"/>
  <c r="K423" i="16"/>
  <c r="G355" i="16"/>
  <c r="G348" i="16"/>
  <c r="C405" i="16"/>
  <c r="E420" i="16"/>
  <c r="B377" i="16"/>
  <c r="D420" i="16"/>
  <c r="A364" i="16"/>
  <c r="B397" i="16"/>
  <c r="A390" i="16"/>
  <c r="I435" i="16"/>
  <c r="B422" i="16"/>
  <c r="A459" i="16"/>
  <c r="K399" i="16"/>
  <c r="J407" i="16"/>
  <c r="L366" i="16"/>
  <c r="D330" i="16"/>
  <c r="F363" i="16"/>
  <c r="H372" i="16"/>
  <c r="G403" i="16"/>
  <c r="F410" i="16"/>
  <c r="H429" i="16"/>
  <c r="M341" i="16"/>
  <c r="M398" i="16"/>
  <c r="H397" i="16"/>
  <c r="E440" i="16"/>
  <c r="N415" i="16"/>
  <c r="M365" i="16"/>
  <c r="I416" i="16"/>
  <c r="K424" i="16"/>
  <c r="C371" i="16"/>
  <c r="G446" i="16"/>
  <c r="L327" i="16"/>
  <c r="C432" i="16"/>
  <c r="I384" i="16"/>
  <c r="D441" i="16"/>
  <c r="A457" i="16"/>
  <c r="F332" i="16"/>
  <c r="C351" i="16"/>
  <c r="M388" i="16"/>
  <c r="I442" i="16"/>
  <c r="L400" i="16"/>
  <c r="I400" i="16"/>
  <c r="K339" i="16"/>
  <c r="A432" i="16"/>
  <c r="J431" i="16"/>
  <c r="H380" i="16"/>
  <c r="F352" i="16"/>
  <c r="G341" i="16"/>
  <c r="L363" i="16"/>
  <c r="J426" i="16"/>
  <c r="G344" i="16"/>
  <c r="I405" i="16"/>
  <c r="K364" i="16"/>
  <c r="L322" i="16"/>
  <c r="J399" i="16"/>
  <c r="M321" i="16"/>
  <c r="I381" i="16"/>
  <c r="A379" i="16"/>
  <c r="G347" i="16"/>
  <c r="F411" i="16"/>
  <c r="I363" i="16"/>
  <c r="B398" i="16"/>
  <c r="E423" i="16"/>
  <c r="C389" i="16"/>
  <c r="F337" i="16"/>
  <c r="E413" i="16"/>
  <c r="I361" i="16"/>
  <c r="A450" i="16"/>
  <c r="L417" i="16"/>
  <c r="K421" i="16"/>
  <c r="D367" i="16"/>
  <c r="D385" i="16"/>
  <c r="H359" i="16"/>
  <c r="L347" i="16"/>
  <c r="L335" i="16"/>
  <c r="E337" i="16"/>
  <c r="I350" i="16"/>
  <c r="I448" i="16"/>
  <c r="G455" i="16"/>
  <c r="A437" i="16"/>
  <c r="H371" i="16"/>
  <c r="F342" i="16"/>
  <c r="G377" i="16"/>
  <c r="I379" i="16"/>
  <c r="I447" i="16"/>
  <c r="M347" i="16"/>
  <c r="B322" i="16"/>
  <c r="F353" i="16"/>
  <c r="A372" i="16"/>
  <c r="C379" i="16"/>
  <c r="C391" i="16"/>
  <c r="J358" i="16"/>
  <c r="G394" i="16"/>
  <c r="F378" i="16"/>
  <c r="J341" i="16"/>
  <c r="H391" i="16"/>
  <c r="B402" i="16"/>
  <c r="I369" i="16"/>
  <c r="D368" i="16"/>
  <c r="F331" i="16"/>
  <c r="A350" i="16"/>
  <c r="E354" i="16"/>
  <c r="B407" i="16"/>
  <c r="D326" i="16"/>
  <c r="F403" i="16"/>
  <c r="N347" i="16"/>
  <c r="I456" i="16"/>
  <c r="N392" i="16"/>
  <c r="N423" i="16"/>
  <c r="G359" i="16"/>
  <c r="B409" i="16"/>
  <c r="C403" i="16"/>
  <c r="M421" i="16"/>
  <c r="C443" i="16"/>
  <c r="D436" i="16"/>
  <c r="N339" i="16"/>
  <c r="M455" i="16"/>
  <c r="C388" i="16"/>
  <c r="N349" i="16"/>
  <c r="L373" i="16"/>
  <c r="H438" i="16"/>
  <c r="H369" i="16"/>
  <c r="N360" i="16"/>
  <c r="N421" i="16"/>
  <c r="F413" i="16"/>
  <c r="J325" i="16"/>
  <c r="B358" i="16"/>
  <c r="C415" i="16"/>
  <c r="B381" i="16"/>
  <c r="G411" i="16"/>
  <c r="C347" i="16"/>
  <c r="K381" i="16"/>
  <c r="B427" i="16"/>
  <c r="D389" i="16"/>
  <c r="C440" i="16"/>
  <c r="F347" i="16"/>
  <c r="C426" i="16"/>
  <c r="N424" i="16"/>
  <c r="I354" i="16"/>
  <c r="L391" i="16"/>
  <c r="A422" i="16"/>
  <c r="D445" i="16"/>
  <c r="C453" i="16"/>
  <c r="E352" i="16"/>
  <c r="L328" i="16"/>
  <c r="D458" i="16"/>
  <c r="B449" i="16"/>
  <c r="G386" i="16"/>
  <c r="J445" i="16"/>
  <c r="C455" i="16"/>
  <c r="E438" i="16"/>
  <c r="I341" i="16"/>
  <c r="D360" i="16"/>
  <c r="M390" i="16"/>
  <c r="N443" i="16"/>
  <c r="E412" i="16"/>
  <c r="J369" i="16"/>
  <c r="M435" i="16"/>
  <c r="K453" i="16"/>
  <c r="B360" i="16"/>
  <c r="L409" i="16"/>
  <c r="E371" i="16"/>
  <c r="H358" i="16"/>
  <c r="M368" i="16"/>
  <c r="N431" i="16"/>
  <c r="D334" i="16"/>
  <c r="E422" i="16"/>
  <c r="N328" i="16"/>
  <c r="L442" i="16"/>
  <c r="D433" i="16"/>
  <c r="H442" i="16"/>
  <c r="C349" i="16"/>
  <c r="I409" i="16"/>
  <c r="F401" i="16"/>
  <c r="L402" i="16"/>
  <c r="F333" i="16"/>
  <c r="N376" i="16"/>
  <c r="L421" i="16"/>
  <c r="A453" i="16"/>
  <c r="G321" i="16"/>
  <c r="C459" i="16"/>
  <c r="I329" i="16"/>
  <c r="N322" i="16"/>
  <c r="E387" i="16"/>
  <c r="N428" i="16"/>
  <c r="J420" i="16"/>
  <c r="D335" i="16"/>
  <c r="N419" i="16"/>
  <c r="J339" i="16"/>
  <c r="D419" i="16"/>
  <c r="E435" i="16"/>
  <c r="I454" i="16"/>
  <c r="C382" i="16"/>
  <c r="C350" i="16"/>
  <c r="A378" i="16"/>
  <c r="G383" i="16"/>
  <c r="L381" i="16"/>
  <c r="I395" i="16"/>
  <c r="K346" i="16"/>
  <c r="L326" i="16"/>
  <c r="B458" i="16"/>
  <c r="F435" i="16"/>
  <c r="M353" i="16"/>
  <c r="F361" i="16"/>
  <c r="K383" i="16"/>
  <c r="N405" i="16"/>
  <c r="E385" i="16"/>
  <c r="D379" i="16"/>
  <c r="B391" i="16"/>
  <c r="M424" i="16"/>
  <c r="C367" i="16"/>
  <c r="J388" i="16"/>
  <c r="D349" i="16"/>
  <c r="M444" i="16"/>
  <c r="A415" i="16"/>
  <c r="I430" i="16"/>
  <c r="K442" i="16"/>
  <c r="K412" i="16"/>
  <c r="E346" i="16"/>
  <c r="L349" i="16"/>
  <c r="C385" i="16"/>
  <c r="M430" i="16"/>
  <c r="L374" i="16"/>
  <c r="B430" i="16"/>
  <c r="C441" i="16"/>
  <c r="N358" i="16"/>
  <c r="L456" i="16"/>
  <c r="B332" i="16"/>
  <c r="A400" i="16"/>
  <c r="H399" i="16"/>
  <c r="C386" i="16"/>
  <c r="C433" i="16"/>
  <c r="G458" i="16"/>
  <c r="J416" i="16"/>
  <c r="N385" i="16"/>
  <c r="B324" i="16"/>
  <c r="H345" i="16"/>
  <c r="E327" i="16"/>
  <c r="A433" i="16"/>
  <c r="K434" i="16"/>
  <c r="F415" i="16"/>
  <c r="C396" i="16"/>
  <c r="B436" i="16"/>
  <c r="H419" i="16"/>
  <c r="L324" i="16"/>
  <c r="M363" i="16"/>
  <c r="N413" i="16"/>
  <c r="M451" i="16"/>
  <c r="F345" i="16"/>
  <c r="J345" i="16"/>
  <c r="K417" i="16"/>
  <c r="E376" i="16"/>
  <c r="L452" i="16"/>
  <c r="D369" i="16"/>
  <c r="A391" i="16"/>
  <c r="J351" i="16"/>
  <c r="D362" i="16"/>
  <c r="D325" i="16"/>
  <c r="K388" i="16"/>
  <c r="F383" i="16"/>
  <c r="J344" i="16"/>
  <c r="C387" i="16"/>
  <c r="F456" i="16"/>
  <c r="C368" i="16"/>
  <c r="E449" i="16"/>
  <c r="F424" i="16"/>
  <c r="I378" i="16"/>
  <c r="K402" i="16"/>
  <c r="I393" i="16"/>
  <c r="L459" i="16"/>
  <c r="A351" i="16"/>
  <c r="F351" i="16"/>
  <c r="K377" i="16"/>
  <c r="G353" i="16"/>
  <c r="N458" i="16"/>
  <c r="M327" i="16"/>
  <c r="I325" i="16"/>
  <c r="J455" i="16"/>
  <c r="L388" i="16"/>
  <c r="K370" i="16"/>
  <c r="C328" i="16"/>
  <c r="N425" i="16"/>
  <c r="C340" i="16"/>
  <c r="I335" i="16"/>
  <c r="J331" i="16"/>
  <c r="E455" i="16"/>
  <c r="A412" i="16"/>
  <c r="I356" i="16"/>
  <c r="D345" i="16"/>
  <c r="H350" i="16"/>
  <c r="M325" i="16"/>
  <c r="A331" i="16"/>
  <c r="J365" i="16"/>
  <c r="J430" i="16"/>
  <c r="M454" i="16"/>
  <c r="M386" i="16"/>
  <c r="C456" i="16"/>
  <c r="B378" i="16"/>
  <c r="H332" i="16"/>
  <c r="N409" i="16"/>
  <c r="J335" i="16"/>
  <c r="E379" i="16"/>
  <c r="N375" i="16"/>
  <c r="G376" i="16"/>
  <c r="M447" i="16"/>
  <c r="B452" i="16"/>
  <c r="E436" i="16"/>
  <c r="F420" i="16"/>
  <c r="L428" i="16"/>
  <c r="L390" i="16"/>
  <c r="J410" i="16"/>
  <c r="I385" i="16"/>
  <c r="C416" i="16"/>
  <c r="D437" i="16"/>
  <c r="G372" i="16"/>
  <c r="D454" i="16"/>
  <c r="B424" i="16"/>
  <c r="C401" i="16"/>
  <c r="B447" i="16"/>
  <c r="M416" i="16"/>
  <c r="H337" i="16"/>
  <c r="H421" i="16"/>
  <c r="A357" i="16"/>
  <c r="B419" i="16"/>
  <c r="H423" i="16"/>
  <c r="B341" i="16"/>
  <c r="E351" i="16"/>
  <c r="M358" i="16"/>
  <c r="C452" i="16"/>
  <c r="I364" i="16"/>
  <c r="L346" i="16"/>
  <c r="C406" i="16"/>
  <c r="A419" i="16"/>
  <c r="G366" i="16"/>
  <c r="D382" i="16"/>
  <c r="L435" i="16"/>
  <c r="J448" i="16"/>
  <c r="N447" i="16"/>
  <c r="F325" i="16"/>
  <c r="C334" i="16"/>
  <c r="M410" i="16"/>
  <c r="H445" i="16"/>
  <c r="M434" i="16"/>
  <c r="D459" i="16"/>
  <c r="M442" i="16"/>
  <c r="A321" i="16"/>
  <c r="L420" i="16"/>
  <c r="F399" i="16"/>
  <c r="A346" i="16"/>
  <c r="J337" i="16"/>
  <c r="C412" i="16"/>
  <c r="C434" i="16"/>
  <c r="B456" i="16"/>
  <c r="G393" i="16"/>
  <c r="K333" i="16"/>
  <c r="G436" i="16"/>
  <c r="E403" i="16"/>
  <c r="G439" i="16"/>
  <c r="L432" i="16"/>
  <c r="E419" i="16"/>
  <c r="J413" i="16"/>
  <c r="E430" i="16"/>
  <c r="H393" i="16"/>
  <c r="B343" i="16"/>
  <c r="B363" i="16"/>
  <c r="K386" i="16"/>
  <c r="N455" i="16"/>
  <c r="D427" i="16"/>
  <c r="L454" i="16"/>
  <c r="M351" i="16"/>
  <c r="E434" i="16"/>
  <c r="B443" i="16"/>
  <c r="I412" i="16"/>
  <c r="M422" i="16"/>
  <c r="H324" i="16"/>
  <c r="I347" i="16"/>
  <c r="I429" i="16"/>
  <c r="A401" i="16"/>
  <c r="F392" i="16"/>
  <c r="I436" i="16"/>
  <c r="I391" i="16"/>
  <c r="N402" i="16"/>
  <c r="E358" i="16"/>
  <c r="M346" i="16"/>
  <c r="M342" i="16"/>
  <c r="K350" i="16"/>
  <c r="M339" i="16"/>
  <c r="M443" i="16"/>
  <c r="H363" i="16"/>
  <c r="J437" i="16"/>
  <c r="H362" i="16"/>
  <c r="K389" i="16"/>
  <c r="G385" i="16"/>
  <c r="D340" i="16"/>
  <c r="L359" i="16"/>
  <c r="H422" i="16"/>
  <c r="J422" i="16"/>
  <c r="G400" i="16"/>
  <c r="J352" i="16"/>
  <c r="K391" i="16"/>
  <c r="F377" i="16"/>
  <c r="L433" i="16"/>
  <c r="K369" i="16"/>
  <c r="D430" i="16"/>
  <c r="E391" i="16"/>
  <c r="F394" i="16"/>
  <c r="I345" i="16"/>
  <c r="A405" i="16"/>
  <c r="N365" i="16"/>
  <c r="C437" i="16"/>
  <c r="J334" i="16"/>
  <c r="F358" i="16"/>
  <c r="B429" i="16"/>
  <c r="L406" i="16"/>
  <c r="D440" i="16"/>
  <c r="L439" i="16"/>
  <c r="E398" i="16"/>
  <c r="F436" i="16"/>
  <c r="N325" i="16"/>
  <c r="H401" i="16"/>
  <c r="M418" i="16"/>
  <c r="M367" i="16"/>
  <c r="A325" i="16"/>
  <c r="N436" i="16"/>
  <c r="G408" i="16"/>
  <c r="J451" i="16"/>
  <c r="F432" i="16"/>
  <c r="G390" i="16"/>
  <c r="F441" i="16"/>
  <c r="F341" i="16"/>
  <c r="M372" i="16"/>
  <c r="N396" i="16"/>
  <c r="A328" i="16"/>
  <c r="I368" i="16"/>
  <c r="D455" i="16"/>
  <c r="E373" i="16"/>
  <c r="N414" i="16"/>
  <c r="E447" i="16"/>
  <c r="M429" i="16"/>
  <c r="H331" i="16"/>
  <c r="I323" i="16"/>
  <c r="M332" i="16"/>
  <c r="F355" i="16"/>
  <c r="N404" i="16"/>
  <c r="F368" i="16"/>
  <c r="J412" i="16"/>
  <c r="B457" i="16"/>
  <c r="H384" i="16"/>
  <c r="M345" i="16"/>
  <c r="G380" i="16"/>
  <c r="K341" i="16"/>
  <c r="N362" i="16"/>
  <c r="G323" i="16"/>
  <c r="D365" i="16"/>
  <c r="M364" i="16"/>
  <c r="N453" i="16"/>
  <c r="L430" i="16"/>
  <c r="B393" i="16"/>
  <c r="N394" i="16"/>
  <c r="N364" i="16"/>
  <c r="K436" i="16"/>
  <c r="B386" i="16"/>
  <c r="N457" i="16"/>
  <c r="E421" i="16"/>
  <c r="L437" i="16"/>
  <c r="D414" i="16"/>
  <c r="G378" i="16"/>
  <c r="H382" i="16"/>
  <c r="G369" i="16"/>
  <c r="E390" i="16"/>
  <c r="J401" i="16"/>
  <c r="A339" i="16"/>
  <c r="N448" i="16"/>
  <c r="M433" i="16"/>
  <c r="N335" i="16"/>
  <c r="C429" i="16"/>
  <c r="J427" i="16"/>
  <c r="K416" i="16"/>
  <c r="A335" i="16"/>
  <c r="M456" i="16"/>
  <c r="M384" i="16"/>
  <c r="J432" i="16"/>
  <c r="L376" i="16"/>
  <c r="E404" i="16"/>
  <c r="E357" i="16"/>
  <c r="H441" i="16"/>
  <c r="B450" i="16"/>
  <c r="I340" i="16"/>
  <c r="A409" i="16"/>
  <c r="D392" i="16"/>
  <c r="K443" i="16"/>
  <c r="K345" i="16"/>
  <c r="F335" i="16"/>
  <c r="L334" i="16"/>
  <c r="A336" i="16"/>
  <c r="E380" i="16"/>
  <c r="C366" i="16"/>
  <c r="M383" i="16"/>
  <c r="M452" i="16"/>
  <c r="J453" i="16"/>
  <c r="M401" i="16"/>
  <c r="C424" i="16"/>
  <c r="M457" i="16"/>
  <c r="A416" i="16"/>
  <c r="G397" i="16"/>
  <c r="M371" i="16"/>
  <c r="I417" i="16"/>
  <c r="C339" i="16"/>
  <c r="D428" i="16"/>
  <c r="I443" i="16"/>
  <c r="E394" i="16"/>
  <c r="K426" i="16"/>
  <c r="J338" i="16"/>
  <c r="A377" i="16"/>
  <c r="G371" i="16"/>
  <c r="E329" i="16"/>
  <c r="I411" i="16"/>
  <c r="J324" i="16"/>
  <c r="L416" i="16"/>
  <c r="B417" i="16"/>
  <c r="L338" i="16"/>
  <c r="L453" i="16"/>
  <c r="M333" i="16"/>
  <c r="B434" i="16"/>
  <c r="K403" i="16"/>
  <c r="J380" i="16"/>
  <c r="J353" i="16"/>
  <c r="J373" i="16"/>
  <c r="N323" i="16"/>
  <c r="B446" i="16"/>
  <c r="H437" i="16"/>
  <c r="G373" i="16"/>
  <c r="L458" i="16"/>
  <c r="F423" i="16"/>
  <c r="H458" i="16"/>
  <c r="B383" i="16"/>
  <c r="H381" i="16"/>
  <c r="H351" i="16"/>
  <c r="C408" i="16"/>
  <c r="L415" i="16"/>
  <c r="K448" i="16"/>
  <c r="E444" i="16"/>
  <c r="I455" i="16"/>
  <c r="E414" i="16"/>
  <c r="A388" i="16"/>
  <c r="J343" i="16"/>
  <c r="F455" i="16"/>
  <c r="F389" i="16"/>
  <c r="H407" i="16"/>
  <c r="H455" i="16"/>
  <c r="M322" i="16"/>
  <c r="G336" i="16"/>
  <c r="E333" i="16"/>
  <c r="I324" i="16"/>
  <c r="A455" i="16"/>
  <c r="L384" i="16"/>
  <c r="C394" i="16"/>
  <c r="G433" i="16"/>
  <c r="G343" i="16"/>
  <c r="A451" i="16"/>
  <c r="G337" i="16"/>
  <c r="J421" i="16"/>
  <c r="E448" i="16"/>
  <c r="I414" i="16"/>
  <c r="G358" i="16"/>
  <c r="A373" i="16"/>
  <c r="K405" i="16"/>
  <c r="D394" i="16"/>
  <c r="F433" i="16"/>
  <c r="N370" i="16"/>
  <c r="A410" i="16"/>
  <c r="F362" i="16"/>
  <c r="G447" i="16"/>
  <c r="A429" i="16"/>
  <c r="H449" i="16"/>
  <c r="J330" i="16"/>
  <c r="C336" i="16"/>
  <c r="J354" i="16"/>
  <c r="H336" i="16"/>
  <c r="N434" i="16"/>
  <c r="G445" i="16"/>
  <c r="J346" i="16"/>
  <c r="E347" i="16"/>
  <c r="K375" i="16"/>
  <c r="G396" i="16"/>
  <c r="G421" i="16"/>
  <c r="A454" i="16"/>
  <c r="F359" i="16"/>
  <c r="N432" i="16"/>
  <c r="E443" i="16"/>
  <c r="A366" i="16"/>
  <c r="I349" i="16"/>
  <c r="G367" i="16"/>
  <c r="I437" i="16"/>
  <c r="C409" i="16"/>
  <c r="F450" i="16"/>
  <c r="G409" i="16"/>
  <c r="M378" i="16"/>
  <c r="J396" i="16"/>
  <c r="C425" i="16"/>
  <c r="B423" i="16"/>
  <c r="L333" i="16"/>
  <c r="C325" i="16"/>
  <c r="D333" i="16"/>
  <c r="A385" i="16"/>
  <c r="E457" i="16"/>
  <c r="K404" i="16"/>
  <c r="I322" i="16"/>
  <c r="I444" i="16"/>
  <c r="J406" i="16"/>
  <c r="B375" i="16"/>
  <c r="J444" i="16"/>
  <c r="F418" i="16"/>
  <c r="I376" i="16"/>
  <c r="L385" i="16"/>
  <c r="M338" i="16"/>
  <c r="H389" i="16"/>
  <c r="M331" i="16"/>
  <c r="G346" i="16"/>
  <c r="L424" i="16"/>
  <c r="J415" i="16"/>
  <c r="A380" i="16"/>
  <c r="H376" i="16"/>
  <c r="B346" i="16"/>
  <c r="B321" i="16"/>
  <c r="C397" i="16"/>
  <c r="B327" i="16"/>
  <c r="F434" i="16"/>
  <c r="L408" i="16"/>
  <c r="J327" i="16"/>
  <c r="G422" i="16"/>
  <c r="H450" i="16"/>
  <c r="L370" i="16"/>
  <c r="E345" i="16"/>
  <c r="L434" i="16"/>
  <c r="B459" i="16"/>
  <c r="K429" i="16"/>
  <c r="A440" i="16"/>
  <c r="A398" i="16"/>
  <c r="G401" i="16"/>
  <c r="J328" i="16"/>
  <c r="F367" i="16"/>
  <c r="E400" i="16"/>
  <c r="J378" i="16"/>
  <c r="E326" i="16"/>
  <c r="M427" i="16"/>
  <c r="J377" i="16"/>
  <c r="I366" i="16"/>
  <c r="F452" i="16"/>
  <c r="I408" i="16"/>
  <c r="J447" i="16"/>
  <c r="K352" i="16"/>
  <c r="I425" i="16"/>
  <c r="I374" i="16"/>
  <c r="M425" i="16"/>
  <c r="B347" i="16"/>
  <c r="B364" i="16"/>
  <c r="M362" i="16"/>
  <c r="B376" i="16"/>
  <c r="J434" i="16"/>
  <c r="L398" i="16"/>
  <c r="I334" i="16"/>
  <c r="A358" i="16"/>
  <c r="F366" i="16"/>
  <c r="G453" i="16"/>
  <c r="C444" i="16"/>
  <c r="M432" i="16"/>
  <c r="B388" i="16"/>
  <c r="I357" i="16"/>
  <c r="G324" i="16"/>
  <c r="B385" i="16"/>
  <c r="G426" i="16"/>
  <c r="D435" i="16"/>
  <c r="D343" i="16"/>
  <c r="G418" i="16"/>
  <c r="C393" i="16"/>
  <c r="D337" i="16"/>
  <c r="G412" i="16"/>
  <c r="E349" i="16"/>
  <c r="B439" i="16"/>
  <c r="F429" i="16"/>
  <c r="J336" i="16"/>
  <c r="H356" i="16"/>
  <c r="L352" i="16"/>
  <c r="G448" i="16"/>
  <c r="E410" i="16"/>
  <c r="G389" i="16"/>
  <c r="G388" i="16"/>
  <c r="K338" i="16"/>
  <c r="D412" i="16"/>
  <c r="A324" i="16"/>
  <c r="K379" i="16"/>
  <c r="N406" i="16"/>
  <c r="N456" i="16"/>
  <c r="N390" i="16"/>
  <c r="J440" i="16"/>
  <c r="K359" i="16"/>
  <c r="M352" i="16"/>
  <c r="H454" i="16"/>
  <c r="J395" i="16"/>
  <c r="B370" i="16"/>
  <c r="M349" i="16"/>
  <c r="J389" i="16"/>
  <c r="F330" i="16"/>
  <c r="N391" i="16"/>
  <c r="C411" i="16"/>
  <c r="N399" i="16"/>
  <c r="E450" i="16"/>
  <c r="J381" i="16"/>
  <c r="D401" i="16"/>
  <c r="N329" i="16"/>
  <c r="K447" i="16"/>
  <c r="M437" i="16"/>
  <c r="K398" i="16"/>
  <c r="F430" i="16"/>
  <c r="D328" i="16"/>
  <c r="N384" i="16"/>
  <c r="N367" i="16"/>
  <c r="K365" i="16"/>
  <c r="G364" i="16"/>
  <c r="A443" i="16"/>
  <c r="N459" i="16"/>
  <c r="F338" i="16"/>
  <c r="L441" i="16"/>
  <c r="K408" i="16"/>
  <c r="D449" i="16"/>
  <c r="N427" i="16"/>
  <c r="A456" i="16"/>
  <c r="N450" i="16"/>
  <c r="D410" i="16"/>
  <c r="K332" i="16"/>
  <c r="E370" i="16"/>
  <c r="C343" i="16"/>
  <c r="N435" i="16"/>
  <c r="K411" i="16"/>
  <c r="J433" i="16"/>
  <c r="C331" i="16"/>
  <c r="A330" i="16"/>
  <c r="F382" i="16"/>
  <c r="A448" i="16"/>
  <c r="C324" i="16"/>
  <c r="N343" i="16"/>
  <c r="H451" i="16"/>
  <c r="F386" i="16"/>
  <c r="B349" i="16"/>
  <c r="F445" i="16"/>
  <c r="J397" i="16"/>
  <c r="M409" i="16"/>
  <c r="N433" i="16"/>
  <c r="J449" i="16"/>
  <c r="B384" i="16"/>
  <c r="F404" i="16"/>
  <c r="M359" i="16"/>
  <c r="M381" i="16"/>
  <c r="B411" i="16"/>
  <c r="F357" i="16"/>
  <c r="M360" i="16"/>
  <c r="G406" i="16"/>
  <c r="A362" i="16"/>
  <c r="H418" i="16"/>
  <c r="N355" i="16"/>
  <c r="F405" i="16"/>
  <c r="H443" i="16"/>
  <c r="M426" i="16"/>
  <c r="D342" i="16"/>
  <c r="N374" i="16"/>
  <c r="E397" i="16"/>
  <c r="E392" i="16"/>
  <c r="L345" i="16"/>
  <c r="C375" i="16"/>
  <c r="D324" i="16"/>
  <c r="K409" i="16"/>
  <c r="G370" i="16"/>
  <c r="J394" i="16"/>
  <c r="J360" i="16"/>
  <c r="F395" i="16"/>
  <c r="G456" i="16"/>
  <c r="C378" i="16"/>
  <c r="D374" i="16"/>
  <c r="K372" i="16"/>
  <c r="C447" i="16"/>
  <c r="K427" i="16"/>
  <c r="E406" i="16"/>
  <c r="L450" i="16"/>
  <c r="N383" i="16"/>
  <c r="M344" i="16"/>
  <c r="E381" i="16"/>
  <c r="H408" i="16"/>
  <c r="D397" i="16"/>
  <c r="H349" i="16"/>
  <c r="D451" i="16"/>
  <c r="K321" i="16"/>
  <c r="N356" i="16"/>
  <c r="L412" i="16"/>
  <c r="H327" i="16"/>
  <c r="I402" i="16"/>
  <c r="G459" i="16"/>
  <c r="N388" i="16"/>
  <c r="H385" i="16"/>
  <c r="F334" i="16"/>
  <c r="D398" i="16"/>
  <c r="K456" i="16"/>
  <c r="E322" i="16"/>
  <c r="I333" i="16"/>
  <c r="I421" i="16"/>
  <c r="A359" i="16"/>
  <c r="N444" i="16"/>
  <c r="C372" i="16"/>
  <c r="F372" i="16"/>
  <c r="B437" i="16"/>
  <c r="L371" i="16"/>
  <c r="B389" i="16"/>
  <c r="I390" i="16"/>
  <c r="K368" i="16"/>
  <c r="C355" i="16"/>
  <c r="F393" i="16"/>
  <c r="F385" i="16"/>
  <c r="L394" i="16"/>
  <c r="B433" i="16"/>
  <c r="M380" i="16"/>
  <c r="F380" i="16"/>
  <c r="C418" i="16"/>
  <c r="H440" i="16"/>
  <c r="N445" i="16"/>
  <c r="K432" i="16"/>
  <c r="K336" i="16"/>
  <c r="G449" i="16"/>
  <c r="G450" i="16"/>
  <c r="G442" i="16"/>
  <c r="M354" i="16"/>
  <c r="M419" i="16"/>
  <c r="H377" i="16"/>
  <c r="N359" i="16"/>
  <c r="L389" i="16"/>
  <c r="G328" i="16"/>
  <c r="G350" i="16"/>
  <c r="D387" i="16"/>
  <c r="F400" i="16"/>
  <c r="H457" i="16"/>
  <c r="G395" i="16"/>
  <c r="E368" i="16"/>
  <c r="F379" i="16"/>
  <c r="J326" i="16"/>
  <c r="A386" i="16"/>
  <c r="H333" i="16"/>
  <c r="M328" i="16"/>
  <c r="B441" i="16"/>
  <c r="H340" i="16"/>
  <c r="K422" i="16"/>
  <c r="H415" i="16"/>
  <c r="M324" i="16"/>
  <c r="L405" i="16"/>
  <c r="M400" i="16"/>
  <c r="E362" i="16"/>
  <c r="B387" i="16"/>
  <c r="A384" i="16"/>
  <c r="H347" i="16"/>
  <c r="K458" i="16"/>
  <c r="J452" i="16"/>
  <c r="I346" i="16"/>
  <c r="I359" i="16"/>
  <c r="F339" i="16"/>
  <c r="F370" i="16"/>
  <c r="G329" i="16"/>
  <c r="D381" i="16"/>
  <c r="N324" i="16"/>
  <c r="K390" i="16"/>
  <c r="A395" i="16"/>
  <c r="D371" i="16"/>
  <c r="B338" i="16"/>
  <c r="A376" i="16"/>
  <c r="E336" i="16"/>
  <c r="K324" i="16"/>
  <c r="B374" i="16"/>
  <c r="I332" i="16"/>
  <c r="L341" i="16"/>
  <c r="I358" i="16"/>
  <c r="N439" i="16"/>
  <c r="H367" i="16"/>
  <c r="B350" i="16"/>
  <c r="E378" i="16"/>
  <c r="A434" i="16"/>
  <c r="F336" i="16"/>
  <c r="D400" i="16"/>
  <c r="I407" i="16"/>
  <c r="K323" i="16"/>
  <c r="C345" i="16"/>
  <c r="AF202" i="16"/>
  <c r="AF209" i="16" s="1"/>
  <c r="AF29" i="16"/>
  <c r="I171" i="16"/>
  <c r="K171" i="16"/>
  <c r="H171" i="16"/>
  <c r="A171" i="16"/>
  <c r="B171" i="16"/>
  <c r="N14" i="15"/>
  <c r="AF26" i="15"/>
  <c r="F15" i="15" s="1"/>
  <c r="C14" i="15"/>
  <c r="E14" i="15"/>
  <c r="B14" i="15"/>
  <c r="K14" i="15"/>
  <c r="I14" i="15"/>
  <c r="G14" i="15"/>
  <c r="H14" i="15"/>
  <c r="J14" i="15"/>
  <c r="D14" i="15"/>
  <c r="M14" i="15"/>
  <c r="L14" i="15"/>
  <c r="A14" i="15"/>
  <c r="M171" i="16"/>
  <c r="G171" i="16"/>
  <c r="E171" i="16"/>
  <c r="C171" i="16"/>
  <c r="F171" i="16"/>
  <c r="B172" i="16"/>
  <c r="D172" i="16"/>
  <c r="C172" i="16"/>
  <c r="M172" i="16"/>
  <c r="H172" i="16"/>
  <c r="E172" i="16"/>
  <c r="A172" i="16"/>
  <c r="N172" i="16"/>
  <c r="F172" i="16"/>
  <c r="K172" i="16"/>
  <c r="D171" i="16"/>
  <c r="L172" i="16"/>
  <c r="I172" i="16"/>
  <c r="J172" i="16"/>
  <c r="L171" i="16"/>
  <c r="J171" i="16"/>
  <c r="N171" i="16"/>
  <c r="G172" i="16"/>
  <c r="M53" i="14"/>
  <c r="A17" i="16"/>
  <c r="L14" i="16"/>
  <c r="N11" i="16"/>
  <c r="B11" i="16"/>
  <c r="L16" i="16"/>
  <c r="F10" i="16"/>
  <c r="A15" i="16"/>
  <c r="M13" i="16"/>
  <c r="G16" i="16"/>
  <c r="D12" i="16"/>
  <c r="C16" i="16"/>
  <c r="K12" i="16"/>
  <c r="G14" i="16"/>
  <c r="F16" i="16"/>
  <c r="G11" i="16"/>
  <c r="G13" i="16"/>
  <c r="B15" i="16"/>
  <c r="E11" i="16"/>
  <c r="L13" i="16"/>
  <c r="J17" i="16"/>
  <c r="I10" i="16"/>
  <c r="D16" i="16"/>
  <c r="M17" i="16"/>
  <c r="B16" i="16"/>
  <c r="F13" i="16"/>
  <c r="A12" i="16"/>
  <c r="J15" i="16"/>
  <c r="E13" i="16"/>
  <c r="M12" i="16"/>
  <c r="K17" i="16"/>
  <c r="L15" i="16"/>
  <c r="B13" i="16"/>
  <c r="J12" i="16"/>
  <c r="N12" i="16"/>
  <c r="N17" i="16"/>
  <c r="G12" i="16"/>
  <c r="I14" i="16"/>
  <c r="A13" i="16"/>
  <c r="I13" i="16"/>
  <c r="E15" i="16"/>
  <c r="M14" i="16"/>
  <c r="B14" i="16"/>
  <c r="K14" i="16"/>
  <c r="J16" i="16"/>
  <c r="I12" i="16"/>
  <c r="C13" i="16"/>
  <c r="N14" i="16"/>
  <c r="F14" i="16"/>
  <c r="N13" i="16"/>
  <c r="K16" i="16"/>
  <c r="F15" i="16"/>
  <c r="H16" i="16"/>
  <c r="C15" i="16"/>
  <c r="C17" i="16"/>
  <c r="D13" i="16"/>
  <c r="I16" i="16"/>
  <c r="E14" i="16"/>
  <c r="B12" i="16"/>
  <c r="M15" i="16"/>
  <c r="H12" i="16"/>
  <c r="H14" i="16"/>
  <c r="H17" i="16"/>
  <c r="I15" i="16"/>
  <c r="H15" i="16"/>
  <c r="K15" i="16"/>
  <c r="C14" i="16"/>
  <c r="J13" i="16"/>
  <c r="N15" i="16"/>
  <c r="D15" i="16"/>
  <c r="G15" i="16"/>
  <c r="K13" i="16"/>
  <c r="J14" i="16"/>
  <c r="H13" i="16"/>
  <c r="N16" i="16"/>
  <c r="D14" i="16"/>
  <c r="A16" i="16"/>
  <c r="L17" i="16"/>
  <c r="E16" i="16"/>
  <c r="A14" i="16"/>
  <c r="L12" i="16"/>
  <c r="B17" i="16"/>
  <c r="M16" i="16"/>
  <c r="G17" i="16"/>
  <c r="AF30" i="16" l="1"/>
  <c r="AF31" i="16" s="1"/>
  <c r="J19" i="16" s="1"/>
  <c r="AF210" i="16"/>
  <c r="AF215" i="16" s="1"/>
  <c r="F17" i="16"/>
  <c r="I17" i="16"/>
  <c r="E17" i="16"/>
  <c r="D17" i="16"/>
  <c r="G18" i="16"/>
  <c r="J18" i="16"/>
  <c r="H18" i="16"/>
  <c r="D18" i="16"/>
  <c r="N18" i="16"/>
  <c r="L18" i="16"/>
  <c r="M18" i="16"/>
  <c r="B18" i="16"/>
  <c r="I18" i="16"/>
  <c r="E18" i="16"/>
  <c r="F18" i="16"/>
  <c r="K18" i="16"/>
  <c r="C18" i="16"/>
  <c r="A18" i="16"/>
  <c r="B15" i="15"/>
  <c r="C19" i="16"/>
  <c r="I19" i="16"/>
  <c r="N19" i="16"/>
  <c r="L19" i="16"/>
  <c r="M19" i="16"/>
  <c r="J15" i="15"/>
  <c r="H15" i="15"/>
  <c r="AF27" i="15"/>
  <c r="I15" i="15"/>
  <c r="D15" i="15"/>
  <c r="K15" i="15"/>
  <c r="M15" i="15"/>
  <c r="L15" i="15"/>
  <c r="E15" i="15"/>
  <c r="N15" i="15"/>
  <c r="G15" i="15"/>
  <c r="A15" i="15"/>
  <c r="C15" i="15"/>
  <c r="E173" i="16"/>
  <c r="N173" i="16"/>
  <c r="J174" i="16"/>
  <c r="K174" i="16"/>
  <c r="L174" i="16"/>
  <c r="M173" i="16"/>
  <c r="M174" i="16"/>
  <c r="C173" i="16"/>
  <c r="G174" i="16"/>
  <c r="A173" i="16"/>
  <c r="I174" i="16"/>
  <c r="H174" i="16"/>
  <c r="H173" i="16"/>
  <c r="F174" i="16"/>
  <c r="A174" i="16"/>
  <c r="L173" i="16"/>
  <c r="N174" i="16"/>
  <c r="D174" i="16"/>
  <c r="K173" i="16"/>
  <c r="F173" i="16"/>
  <c r="I173" i="16"/>
  <c r="C174" i="16"/>
  <c r="E174" i="16"/>
  <c r="B174" i="16"/>
  <c r="D173" i="16"/>
  <c r="J173" i="16"/>
  <c r="G173" i="16"/>
  <c r="B173" i="16"/>
  <c r="M54" i="14"/>
  <c r="D8" i="14" s="1"/>
  <c r="AF216" i="16" l="1"/>
  <c r="AF217" i="16" s="1"/>
  <c r="M175" i="16" s="1"/>
  <c r="J20" i="16"/>
  <c r="N20" i="16"/>
  <c r="A20" i="16"/>
  <c r="C20" i="16"/>
  <c r="L20" i="16"/>
  <c r="H20" i="16"/>
  <c r="B20" i="16"/>
  <c r="I20" i="16"/>
  <c r="M20" i="16"/>
  <c r="F20" i="16"/>
  <c r="G175" i="16"/>
  <c r="D20" i="16"/>
  <c r="E20" i="16"/>
  <c r="G20" i="16"/>
  <c r="I176" i="16"/>
  <c r="C175" i="16"/>
  <c r="L175" i="16"/>
  <c r="K175" i="16"/>
  <c r="H176" i="16"/>
  <c r="J176" i="16"/>
  <c r="I175" i="16"/>
  <c r="K176" i="16"/>
  <c r="B175" i="16"/>
  <c r="D175" i="16"/>
  <c r="F175" i="16"/>
  <c r="A175" i="16"/>
  <c r="H175" i="16"/>
  <c r="N175" i="16"/>
  <c r="J175" i="16"/>
  <c r="C176" i="16"/>
  <c r="E175" i="16"/>
  <c r="I177" i="16"/>
  <c r="L177" i="16"/>
  <c r="AF34" i="16"/>
  <c r="B19" i="16"/>
  <c r="G19" i="16"/>
  <c r="E19" i="16"/>
  <c r="A19" i="16"/>
  <c r="D19" i="16"/>
  <c r="F19" i="16"/>
  <c r="H19" i="16"/>
  <c r="K19" i="16"/>
  <c r="F177" i="16"/>
  <c r="K20" i="16"/>
  <c r="H177" i="16"/>
  <c r="N177" i="16"/>
  <c r="E177" i="16"/>
  <c r="C177" i="16"/>
  <c r="M177" i="16"/>
  <c r="D177" i="16"/>
  <c r="N176" i="16"/>
  <c r="J177" i="16"/>
  <c r="G176" i="16"/>
  <c r="F176" i="16"/>
  <c r="G177" i="16"/>
  <c r="B176" i="16"/>
  <c r="I16" i="15"/>
  <c r="J16" i="15"/>
  <c r="B16" i="15"/>
  <c r="H16" i="15"/>
  <c r="A16" i="15"/>
  <c r="G16" i="15"/>
  <c r="M16" i="15"/>
  <c r="K16" i="15"/>
  <c r="D16" i="15"/>
  <c r="L16" i="15"/>
  <c r="N16" i="15"/>
  <c r="C16" i="15"/>
  <c r="E16" i="15"/>
  <c r="F16" i="15"/>
  <c r="AF30" i="15"/>
  <c r="M176" i="16"/>
  <c r="A176" i="16"/>
  <c r="D176" i="16"/>
  <c r="B177" i="16"/>
  <c r="A177" i="16"/>
  <c r="L176" i="16"/>
  <c r="E176" i="16"/>
  <c r="K177" i="16"/>
  <c r="E8" i="14"/>
  <c r="C8" i="14"/>
  <c r="B8" i="14"/>
  <c r="A8" i="14" s="1"/>
  <c r="M59" i="14"/>
  <c r="AF36" i="16" l="1"/>
  <c r="AF39" i="16" s="1"/>
  <c r="AF218" i="16"/>
  <c r="H262" i="16" s="1"/>
  <c r="L178" i="16"/>
  <c r="N178" i="16"/>
  <c r="J179" i="16"/>
  <c r="M179" i="16"/>
  <c r="E178" i="16"/>
  <c r="H179" i="16"/>
  <c r="J178" i="16"/>
  <c r="D179" i="16"/>
  <c r="D178" i="16"/>
  <c r="M202" i="16"/>
  <c r="N182" i="16"/>
  <c r="G201" i="16"/>
  <c r="C179" i="16"/>
  <c r="I261" i="16"/>
  <c r="K221" i="16"/>
  <c r="L195" i="16"/>
  <c r="L261" i="16"/>
  <c r="G294" i="16"/>
  <c r="E206" i="16"/>
  <c r="G293" i="16"/>
  <c r="L186" i="16"/>
  <c r="G301" i="16"/>
  <c r="N196" i="16"/>
  <c r="I263" i="16"/>
  <c r="I295" i="16"/>
  <c r="G184" i="16"/>
  <c r="F204" i="16"/>
  <c r="H223" i="16"/>
  <c r="A292" i="16"/>
  <c r="I250" i="16"/>
  <c r="B178" i="16"/>
  <c r="L200" i="16"/>
  <c r="L230" i="16"/>
  <c r="F205" i="16"/>
  <c r="H280" i="16"/>
  <c r="D191" i="16"/>
  <c r="K286" i="16"/>
  <c r="N306" i="16"/>
  <c r="H304" i="16"/>
  <c r="I269" i="16"/>
  <c r="I193" i="16"/>
  <c r="B202" i="16"/>
  <c r="C185" i="16"/>
  <c r="G300" i="16"/>
  <c r="B304" i="16"/>
  <c r="H266" i="16"/>
  <c r="I182" i="16"/>
  <c r="K229" i="16"/>
  <c r="A185" i="16"/>
  <c r="G238" i="16"/>
  <c r="F241" i="16"/>
  <c r="M289" i="16"/>
  <c r="D253" i="16"/>
  <c r="J248" i="16"/>
  <c r="N291" i="16"/>
  <c r="A257" i="16"/>
  <c r="C260" i="16"/>
  <c r="F186" i="16"/>
  <c r="F282" i="16"/>
  <c r="G291" i="16"/>
  <c r="J306" i="16"/>
  <c r="A248" i="16"/>
  <c r="E248" i="16"/>
  <c r="D232" i="16"/>
  <c r="N203" i="16"/>
  <c r="K253" i="16"/>
  <c r="J296" i="16"/>
  <c r="I298" i="16"/>
  <c r="J204" i="16"/>
  <c r="H196" i="16"/>
  <c r="K198" i="16"/>
  <c r="K245" i="16"/>
  <c r="M204" i="16"/>
  <c r="G244" i="16"/>
  <c r="J258" i="16"/>
  <c r="G179" i="16"/>
  <c r="F304" i="16"/>
  <c r="D303" i="16"/>
  <c r="B305" i="16"/>
  <c r="K223" i="16"/>
  <c r="A207" i="16"/>
  <c r="N209" i="16"/>
  <c r="K217" i="16"/>
  <c r="G215" i="16"/>
  <c r="E190" i="16"/>
  <c r="F206" i="16"/>
  <c r="I278" i="16"/>
  <c r="F230" i="16"/>
  <c r="B264" i="16"/>
  <c r="H241" i="16"/>
  <c r="L266" i="16"/>
  <c r="I195" i="16"/>
  <c r="B280" i="16"/>
  <c r="H182" i="16"/>
  <c r="B259" i="16"/>
  <c r="M190" i="16"/>
  <c r="E220" i="16"/>
  <c r="E217" i="16"/>
  <c r="A212" i="16"/>
  <c r="M205" i="16"/>
  <c r="M267" i="16"/>
  <c r="J277" i="16"/>
  <c r="A265" i="16"/>
  <c r="D226" i="16"/>
  <c r="B239" i="16"/>
  <c r="I274" i="16"/>
  <c r="I219" i="16"/>
  <c r="J218" i="16"/>
  <c r="E187" i="16"/>
  <c r="J243" i="16"/>
  <c r="A275" i="16"/>
  <c r="K290" i="16"/>
  <c r="L249" i="16"/>
  <c r="J287" i="16"/>
  <c r="N198" i="16"/>
  <c r="L263" i="16"/>
  <c r="I252" i="16"/>
  <c r="G258" i="16"/>
  <c r="J265" i="16"/>
  <c r="H190" i="16"/>
  <c r="D305" i="16"/>
  <c r="J289" i="16"/>
  <c r="H237" i="16"/>
  <c r="G261" i="16"/>
  <c r="A184" i="16"/>
  <c r="E238" i="16"/>
  <c r="F227" i="16"/>
  <c r="C225" i="16"/>
  <c r="D302" i="16"/>
  <c r="A202" i="16"/>
  <c r="A255" i="16"/>
  <c r="N200" i="16"/>
  <c r="C192" i="16"/>
  <c r="G306" i="16"/>
  <c r="C188" i="16"/>
  <c r="N223" i="16"/>
  <c r="E305" i="16"/>
  <c r="C263" i="16"/>
  <c r="A241" i="16"/>
  <c r="G289" i="16"/>
  <c r="F278" i="16"/>
  <c r="G222" i="16"/>
  <c r="G182" i="16"/>
  <c r="L289" i="16"/>
  <c r="J238" i="16"/>
  <c r="K248" i="16"/>
  <c r="J268" i="16"/>
  <c r="F252" i="16"/>
  <c r="F217" i="16"/>
  <c r="K181" i="16"/>
  <c r="M276" i="16"/>
  <c r="C275" i="16"/>
  <c r="F207" i="16"/>
  <c r="A230" i="16"/>
  <c r="G237" i="16"/>
  <c r="F226" i="16"/>
  <c r="F208" i="16"/>
  <c r="E196" i="16"/>
  <c r="L227" i="16"/>
  <c r="E258" i="16"/>
  <c r="E287" i="16"/>
  <c r="D198" i="16"/>
  <c r="G269" i="16"/>
  <c r="N267" i="16"/>
  <c r="G218" i="16"/>
  <c r="M269" i="16"/>
  <c r="K247" i="16"/>
  <c r="K287" i="16"/>
  <c r="K291" i="16"/>
  <c r="F297" i="16"/>
  <c r="M226" i="16"/>
  <c r="D187" i="16"/>
  <c r="C301" i="16"/>
  <c r="K178" i="16"/>
  <c r="B267" i="16"/>
  <c r="N184" i="16"/>
  <c r="B213" i="16"/>
  <c r="K256" i="16"/>
  <c r="D296" i="16"/>
  <c r="A200" i="16"/>
  <c r="H181" i="16"/>
  <c r="C252" i="16"/>
  <c r="J290" i="16"/>
  <c r="H272" i="16"/>
  <c r="G193" i="16"/>
  <c r="C296" i="16"/>
  <c r="B179" i="16"/>
  <c r="A273" i="16"/>
  <c r="C258" i="16"/>
  <c r="K300" i="16"/>
  <c r="J262" i="16"/>
  <c r="K182" i="16"/>
  <c r="M237" i="16"/>
  <c r="H284" i="16"/>
  <c r="H212" i="16"/>
  <c r="B197" i="16"/>
  <c r="G203" i="16"/>
  <c r="I264" i="16"/>
  <c r="M295" i="16"/>
  <c r="A234" i="16"/>
  <c r="E200" i="16"/>
  <c r="G239" i="16"/>
  <c r="D287" i="16"/>
  <c r="H245" i="16"/>
  <c r="N204" i="16"/>
  <c r="B188" i="16"/>
  <c r="K244" i="16"/>
  <c r="K216" i="16"/>
  <c r="F192" i="16"/>
  <c r="J241" i="16"/>
  <c r="I226" i="16"/>
  <c r="L212" i="16"/>
  <c r="F218" i="16"/>
  <c r="E245" i="16"/>
  <c r="A210" i="16"/>
  <c r="A245" i="16"/>
  <c r="J230" i="16"/>
  <c r="B262" i="16"/>
  <c r="L241" i="16"/>
  <c r="F263" i="16"/>
  <c r="J264" i="16"/>
  <c r="K262" i="16"/>
  <c r="H276" i="16"/>
  <c r="N179" i="16"/>
  <c r="A296" i="16"/>
  <c r="A252" i="16"/>
  <c r="C218" i="16"/>
  <c r="I287" i="16"/>
  <c r="H227" i="16"/>
  <c r="F268" i="16"/>
  <c r="L240" i="16"/>
  <c r="I203" i="16"/>
  <c r="E198" i="16"/>
  <c r="J288" i="16"/>
  <c r="H194" i="16"/>
  <c r="L196" i="16"/>
  <c r="F271" i="16"/>
  <c r="G267" i="16"/>
  <c r="N301" i="16"/>
  <c r="C242" i="16"/>
  <c r="H246" i="16"/>
  <c r="H268" i="16"/>
  <c r="A249" i="16"/>
  <c r="D261" i="16"/>
  <c r="H187" i="16"/>
  <c r="F277" i="16"/>
  <c r="C235" i="16"/>
  <c r="H249" i="16"/>
  <c r="J234" i="16"/>
  <c r="B198" i="16"/>
  <c r="N259" i="16"/>
  <c r="C294" i="16"/>
  <c r="A274" i="16"/>
  <c r="K179" i="16"/>
  <c r="E296" i="16"/>
  <c r="J252" i="16"/>
  <c r="N258" i="16"/>
  <c r="L231" i="16"/>
  <c r="B269" i="16"/>
  <c r="J194" i="16"/>
  <c r="G250" i="16"/>
  <c r="I189" i="16"/>
  <c r="B206" i="16"/>
  <c r="A279" i="16"/>
  <c r="B273" i="16"/>
  <c r="K226" i="16"/>
  <c r="I289" i="16"/>
  <c r="C197" i="16"/>
  <c r="C282" i="16"/>
  <c r="F287" i="16"/>
  <c r="N190" i="16"/>
  <c r="K293" i="16"/>
  <c r="E301" i="16"/>
  <c r="L234" i="16"/>
  <c r="C230" i="16"/>
  <c r="M241" i="16"/>
  <c r="K266" i="16"/>
  <c r="J286" i="16"/>
  <c r="H208" i="16"/>
  <c r="L301" i="16"/>
  <c r="L210" i="16"/>
  <c r="M273" i="16"/>
  <c r="D255" i="16"/>
  <c r="A303" i="16"/>
  <c r="L264" i="16"/>
  <c r="H218" i="16"/>
  <c r="A283" i="16"/>
  <c r="G220" i="16"/>
  <c r="H203" i="16"/>
  <c r="L296" i="16"/>
  <c r="H184" i="16"/>
  <c r="E280" i="16"/>
  <c r="L251" i="16"/>
  <c r="D278" i="16"/>
  <c r="D262" i="16"/>
  <c r="B231" i="16"/>
  <c r="A235" i="16"/>
  <c r="A250" i="16"/>
  <c r="N271" i="16"/>
  <c r="H209" i="16"/>
  <c r="G254" i="16"/>
  <c r="E214" i="16"/>
  <c r="G204" i="16"/>
  <c r="A228" i="16"/>
  <c r="I294" i="16"/>
  <c r="I257" i="16"/>
  <c r="J224" i="16"/>
  <c r="I253" i="16"/>
  <c r="N217" i="16"/>
  <c r="K211" i="16"/>
  <c r="N208" i="16"/>
  <c r="K206" i="16"/>
  <c r="F273" i="16"/>
  <c r="M212" i="16"/>
  <c r="N299" i="16"/>
  <c r="E189" i="16"/>
  <c r="N249" i="16"/>
  <c r="J283" i="16"/>
  <c r="A251" i="16"/>
  <c r="D228" i="16"/>
  <c r="N237" i="16"/>
  <c r="H282" i="16"/>
  <c r="M274" i="16"/>
  <c r="B288" i="16"/>
  <c r="L286" i="16"/>
  <c r="M188" i="16"/>
  <c r="I199" i="16"/>
  <c r="L215" i="16"/>
  <c r="K269" i="16"/>
  <c r="C180" i="16"/>
  <c r="B185" i="16"/>
  <c r="N239" i="16"/>
  <c r="C248" i="16"/>
  <c r="I241" i="16"/>
  <c r="K299" i="16"/>
  <c r="N289" i="16"/>
  <c r="I187" i="16"/>
  <c r="G198" i="16"/>
  <c r="L211" i="16"/>
  <c r="I262" i="16"/>
  <c r="N186" i="16"/>
  <c r="L245" i="16"/>
  <c r="M300" i="16"/>
  <c r="A222" i="16"/>
  <c r="A196" i="16"/>
  <c r="G281" i="16"/>
  <c r="C256" i="16"/>
  <c r="B217" i="16"/>
  <c r="N254" i="16"/>
  <c r="I217" i="16"/>
  <c r="E195" i="16"/>
  <c r="K188" i="16"/>
  <c r="M284" i="16"/>
  <c r="J216" i="16"/>
  <c r="E181" i="16"/>
  <c r="A238" i="16"/>
  <c r="C213" i="16"/>
  <c r="M296" i="16"/>
  <c r="K278" i="16"/>
  <c r="M184" i="16"/>
  <c r="D207" i="16"/>
  <c r="B279" i="16"/>
  <c r="E298" i="16"/>
  <c r="I181" i="16"/>
  <c r="F224" i="16"/>
  <c r="L254" i="16"/>
  <c r="H256" i="16"/>
  <c r="B203" i="16"/>
  <c r="A272" i="16"/>
  <c r="H279" i="16"/>
  <c r="I198" i="16"/>
  <c r="D244" i="16"/>
  <c r="H263" i="16"/>
  <c r="A240" i="16"/>
  <c r="I275" i="16"/>
  <c r="L217" i="16"/>
  <c r="B227" i="16"/>
  <c r="C300" i="16"/>
  <c r="N253" i="16"/>
  <c r="I179" i="16"/>
  <c r="F220" i="16"/>
  <c r="D243" i="16"/>
  <c r="A225" i="16"/>
  <c r="B243" i="16"/>
  <c r="A290" i="16"/>
  <c r="B186" i="16"/>
  <c r="E182" i="16"/>
  <c r="K227" i="16"/>
  <c r="K218" i="16"/>
  <c r="H269" i="16"/>
  <c r="L213" i="16"/>
  <c r="B244" i="16"/>
  <c r="I207" i="16"/>
  <c r="K255" i="16"/>
  <c r="C193" i="16"/>
  <c r="A180" i="16"/>
  <c r="F203" i="16"/>
  <c r="D204" i="16"/>
  <c r="H180" i="16"/>
  <c r="J195" i="16"/>
  <c r="E294" i="16"/>
  <c r="G206" i="16"/>
  <c r="L181" i="16"/>
  <c r="F258" i="16"/>
  <c r="K225" i="16"/>
  <c r="D196" i="16"/>
  <c r="I232" i="16"/>
  <c r="F237" i="16"/>
  <c r="A291" i="16"/>
  <c r="I239" i="16"/>
  <c r="L284" i="16"/>
  <c r="H303" i="16"/>
  <c r="N197" i="16"/>
  <c r="C247" i="16"/>
  <c r="B191" i="16"/>
  <c r="N269" i="16"/>
  <c r="C303" i="16"/>
  <c r="I288" i="16"/>
  <c r="E218" i="16"/>
  <c r="C219" i="16"/>
  <c r="M221" i="16"/>
  <c r="A205" i="16"/>
  <c r="I268" i="16"/>
  <c r="G302" i="16"/>
  <c r="I283" i="16"/>
  <c r="M233" i="16"/>
  <c r="J229" i="16"/>
  <c r="L206" i="16"/>
  <c r="E219" i="16"/>
  <c r="N268" i="16"/>
  <c r="F290" i="16"/>
  <c r="E224" i="16"/>
  <c r="B281" i="16"/>
  <c r="J292" i="16"/>
  <c r="N292" i="16"/>
  <c r="M244" i="16"/>
  <c r="L285" i="16"/>
  <c r="N242" i="16"/>
  <c r="B210" i="16"/>
  <c r="F189" i="16"/>
  <c r="L190" i="16"/>
  <c r="L265" i="16"/>
  <c r="J274" i="16"/>
  <c r="M249" i="16"/>
  <c r="F183" i="16"/>
  <c r="J297" i="16"/>
  <c r="A195" i="16"/>
  <c r="D271" i="16"/>
  <c r="C267" i="16"/>
  <c r="H224" i="16"/>
  <c r="E275" i="16"/>
  <c r="A220" i="16"/>
  <c r="B293" i="16"/>
  <c r="M261" i="16"/>
  <c r="I297" i="16"/>
  <c r="A204" i="16"/>
  <c r="J270" i="16"/>
  <c r="A306" i="16"/>
  <c r="N212" i="16"/>
  <c r="H242" i="16"/>
  <c r="E284" i="16"/>
  <c r="H297" i="16"/>
  <c r="B265" i="16"/>
  <c r="F233" i="16"/>
  <c r="A215" i="16"/>
  <c r="D221" i="16"/>
  <c r="D229" i="16"/>
  <c r="A293" i="16"/>
  <c r="M199" i="16"/>
  <c r="A231" i="16"/>
  <c r="D294" i="16"/>
  <c r="C184" i="16"/>
  <c r="N214" i="16"/>
  <c r="N241" i="16"/>
  <c r="C250" i="16"/>
  <c r="E222" i="16"/>
  <c r="I204" i="16"/>
  <c r="G297" i="16"/>
  <c r="D220" i="16"/>
  <c r="C196" i="16"/>
  <c r="J187" i="16"/>
  <c r="B194" i="16"/>
  <c r="D275" i="16"/>
  <c r="F288" i="16"/>
  <c r="J260" i="16"/>
  <c r="D246" i="16"/>
  <c r="L269" i="16"/>
  <c r="K274" i="16"/>
  <c r="K185" i="16"/>
  <c r="L262" i="16"/>
  <c r="M229" i="16"/>
  <c r="B211" i="16"/>
  <c r="G178" i="16"/>
  <c r="A277" i="16"/>
  <c r="H215" i="16"/>
  <c r="B205" i="16"/>
  <c r="F193" i="16"/>
  <c r="C222" i="16"/>
  <c r="L189" i="16"/>
  <c r="F194" i="16"/>
  <c r="B220" i="16"/>
  <c r="C228" i="16"/>
  <c r="B189" i="16"/>
  <c r="B250" i="16"/>
  <c r="L293" i="16"/>
  <c r="F198" i="16"/>
  <c r="B277" i="16"/>
  <c r="K265" i="16"/>
  <c r="D247" i="16"/>
  <c r="K295" i="16"/>
  <c r="N277" i="16"/>
  <c r="N194" i="16"/>
  <c r="I303" i="16"/>
  <c r="K187" i="16"/>
  <c r="B303" i="16"/>
  <c r="M290" i="16"/>
  <c r="C249" i="16"/>
  <c r="D219" i="16"/>
  <c r="H302" i="16"/>
  <c r="I208" i="16"/>
  <c r="N263" i="16"/>
  <c r="L201" i="16"/>
  <c r="D237" i="16"/>
  <c r="E231" i="16"/>
  <c r="I304" i="16"/>
  <c r="K271" i="16"/>
  <c r="N213" i="16"/>
  <c r="G212" i="16"/>
  <c r="B284" i="16"/>
  <c r="J208" i="16"/>
  <c r="M182" i="16"/>
  <c r="E249" i="16"/>
  <c r="E306" i="16"/>
  <c r="B236" i="16"/>
  <c r="K260" i="16"/>
  <c r="D190" i="16"/>
  <c r="I270" i="16"/>
  <c r="D234" i="16"/>
  <c r="B237" i="16"/>
  <c r="I221" i="16"/>
  <c r="C244" i="16"/>
  <c r="M250" i="16"/>
  <c r="D284" i="16"/>
  <c r="B221" i="16"/>
  <c r="L305" i="16"/>
  <c r="F238" i="16"/>
  <c r="G190" i="16"/>
  <c r="M214" i="16"/>
  <c r="N224" i="16"/>
  <c r="M280" i="16"/>
  <c r="K276" i="16"/>
  <c r="I249" i="16"/>
  <c r="G282" i="16"/>
  <c r="D267" i="16"/>
  <c r="B216" i="16"/>
  <c r="C278" i="16"/>
  <c r="L274" i="16"/>
  <c r="K195" i="16"/>
  <c r="M201" i="16"/>
  <c r="C287" i="16"/>
  <c r="I206" i="16"/>
  <c r="L179" i="16"/>
  <c r="M235" i="16"/>
  <c r="B282" i="16"/>
  <c r="E244" i="16"/>
  <c r="E183" i="16"/>
  <c r="G268" i="16"/>
  <c r="K196" i="16"/>
  <c r="M293" i="16"/>
  <c r="F279" i="16"/>
  <c r="D222" i="16"/>
  <c r="F289" i="16"/>
  <c r="C203" i="16"/>
  <c r="K236" i="16"/>
  <c r="F222" i="16"/>
  <c r="M207" i="16"/>
  <c r="A232" i="16"/>
  <c r="C186" i="16"/>
  <c r="E263" i="16"/>
  <c r="F215" i="16"/>
  <c r="K238" i="16"/>
  <c r="L246" i="16"/>
  <c r="M248" i="16"/>
  <c r="H217" i="16"/>
  <c r="F257" i="16"/>
  <c r="A271" i="16"/>
  <c r="L229" i="16"/>
  <c r="E233" i="16"/>
  <c r="I260" i="16"/>
  <c r="B289" i="16"/>
  <c r="F291" i="16"/>
  <c r="C239" i="16"/>
  <c r="E188" i="16"/>
  <c r="M266" i="16"/>
  <c r="H287" i="16"/>
  <c r="C286" i="16"/>
  <c r="M232" i="16"/>
  <c r="C232" i="16"/>
  <c r="M270" i="16"/>
  <c r="K233" i="16"/>
  <c r="B196" i="16"/>
  <c r="H202" i="16"/>
  <c r="K242" i="16"/>
  <c r="I185" i="16"/>
  <c r="C191" i="16"/>
  <c r="E300" i="16"/>
  <c r="M195" i="16"/>
  <c r="E247" i="16"/>
  <c r="D223" i="16"/>
  <c r="I284" i="16"/>
  <c r="F295" i="16"/>
  <c r="J214" i="16"/>
  <c r="E255" i="16"/>
  <c r="F306" i="16"/>
  <c r="I233" i="16"/>
  <c r="L221" i="16"/>
  <c r="K280" i="16"/>
  <c r="E290" i="16"/>
  <c r="F284" i="16"/>
  <c r="I178" i="16"/>
  <c r="D250" i="16"/>
  <c r="E191" i="16"/>
  <c r="E277" i="16"/>
  <c r="J185" i="16"/>
  <c r="B297" i="16"/>
  <c r="L235" i="16"/>
  <c r="G295" i="16"/>
  <c r="A260" i="16"/>
  <c r="I277" i="16"/>
  <c r="A208" i="16"/>
  <c r="A213" i="16"/>
  <c r="F185" i="16"/>
  <c r="N221" i="16"/>
  <c r="D248" i="16"/>
  <c r="C298" i="16"/>
  <c r="L278" i="16"/>
  <c r="E240" i="16"/>
  <c r="C214" i="16"/>
  <c r="L283" i="16"/>
  <c r="D292" i="16"/>
  <c r="E274" i="16"/>
  <c r="M265" i="16"/>
  <c r="C254" i="16"/>
  <c r="D235" i="16"/>
  <c r="G202" i="16"/>
  <c r="J190" i="16"/>
  <c r="B184" i="16"/>
  <c r="J269" i="16"/>
  <c r="I285" i="16"/>
  <c r="L299" i="16"/>
  <c r="G253" i="16"/>
  <c r="B298" i="16"/>
  <c r="M194" i="16"/>
  <c r="L192" i="16"/>
  <c r="C182" i="16"/>
  <c r="L282" i="16"/>
  <c r="M225" i="16"/>
  <c r="H260" i="16"/>
  <c r="D259" i="16"/>
  <c r="A295" i="16"/>
  <c r="E267" i="16"/>
  <c r="F221" i="16"/>
  <c r="L304" i="16"/>
  <c r="A191" i="16"/>
  <c r="I238" i="16"/>
  <c r="A218" i="16"/>
  <c r="H225" i="16"/>
  <c r="H295" i="16"/>
  <c r="E226" i="16"/>
  <c r="D286" i="16"/>
  <c r="F276" i="16"/>
  <c r="N229" i="16"/>
  <c r="I215" i="16"/>
  <c r="G186" i="16"/>
  <c r="J228" i="16"/>
  <c r="M279" i="16"/>
  <c r="D189" i="16"/>
  <c r="L224" i="16"/>
  <c r="M297" i="16"/>
  <c r="A198" i="16"/>
  <c r="L204" i="16"/>
  <c r="E299" i="16"/>
  <c r="A183" i="16"/>
  <c r="J279" i="16"/>
  <c r="K254" i="16"/>
  <c r="L259" i="16"/>
  <c r="G242" i="16"/>
  <c r="F270" i="16"/>
  <c r="N205" i="16"/>
  <c r="H273" i="16"/>
  <c r="E256" i="16"/>
  <c r="H248" i="16"/>
  <c r="E185" i="16"/>
  <c r="B219" i="16"/>
  <c r="F231" i="16"/>
  <c r="K207" i="16"/>
  <c r="M257" i="16"/>
  <c r="H265" i="16"/>
  <c r="K191" i="16"/>
  <c r="J273" i="16"/>
  <c r="A187" i="16"/>
  <c r="L232" i="16"/>
  <c r="J181" i="16"/>
  <c r="H278" i="16"/>
  <c r="E268" i="16"/>
  <c r="C226" i="16"/>
  <c r="B254" i="16"/>
  <c r="E303" i="16"/>
  <c r="J212" i="16"/>
  <c r="A189" i="16"/>
  <c r="L297" i="16"/>
  <c r="J209" i="16"/>
  <c r="A227" i="16"/>
  <c r="E215" i="16"/>
  <c r="B278" i="16"/>
  <c r="A259" i="16"/>
  <c r="C199" i="16"/>
  <c r="N296" i="16"/>
  <c r="K203" i="16"/>
  <c r="G232" i="16"/>
  <c r="F251" i="16"/>
  <c r="M210" i="16"/>
  <c r="M285" i="16"/>
  <c r="J193" i="16"/>
  <c r="H240" i="16"/>
  <c r="I306" i="16"/>
  <c r="D203" i="16"/>
  <c r="H294" i="16"/>
  <c r="J211" i="16"/>
  <c r="D281" i="16"/>
  <c r="G191" i="16"/>
  <c r="H178" i="16"/>
  <c r="L218" i="16"/>
  <c r="B241" i="16"/>
  <c r="H193" i="16"/>
  <c r="J197" i="16"/>
  <c r="I258" i="16"/>
  <c r="B286" i="16"/>
  <c r="E228" i="16"/>
  <c r="G299" i="16"/>
  <c r="N245" i="16"/>
  <c r="M209" i="16"/>
  <c r="J217" i="16"/>
  <c r="B253" i="16"/>
  <c r="B207" i="16"/>
  <c r="B195" i="16"/>
  <c r="C224" i="16"/>
  <c r="J205" i="16"/>
  <c r="B255" i="16"/>
  <c r="H197" i="16"/>
  <c r="I300" i="16"/>
  <c r="L256" i="16"/>
  <c r="C227" i="16"/>
  <c r="K240" i="16"/>
  <c r="D185" i="16"/>
  <c r="H257" i="16"/>
  <c r="D217" i="16"/>
  <c r="A244" i="16"/>
  <c r="D256" i="16"/>
  <c r="L223" i="16"/>
  <c r="M262" i="16"/>
  <c r="L258" i="16"/>
  <c r="F219" i="16"/>
  <c r="M224" i="16"/>
  <c r="I220" i="16"/>
  <c r="L271" i="16"/>
  <c r="B200" i="16"/>
  <c r="C290" i="16"/>
  <c r="J278" i="16"/>
  <c r="N257" i="16"/>
  <c r="J253" i="16"/>
  <c r="J180" i="16"/>
  <c r="M240" i="16"/>
  <c r="L191" i="16"/>
  <c r="N300" i="16"/>
  <c r="J295" i="16"/>
  <c r="J271" i="16"/>
  <c r="L298" i="16"/>
  <c r="L294" i="16"/>
  <c r="K208" i="16"/>
  <c r="H238" i="16"/>
  <c r="A181" i="16"/>
  <c r="N233" i="16"/>
  <c r="C204" i="16"/>
  <c r="C281" i="16"/>
  <c r="G252" i="16"/>
  <c r="B240" i="16"/>
  <c r="A285" i="16"/>
  <c r="F286" i="16"/>
  <c r="B247" i="16"/>
  <c r="M298" i="16"/>
  <c r="N290" i="16"/>
  <c r="H214" i="16"/>
  <c r="E253" i="16"/>
  <c r="B299" i="16"/>
  <c r="D182" i="16"/>
  <c r="A297" i="16"/>
  <c r="H219" i="16"/>
  <c r="G209" i="16"/>
  <c r="D285" i="16"/>
  <c r="F305" i="16"/>
  <c r="I240" i="16"/>
  <c r="H244" i="16"/>
  <c r="I281" i="16"/>
  <c r="L277" i="16"/>
  <c r="M283" i="16"/>
  <c r="H299" i="16"/>
  <c r="M222" i="16"/>
  <c r="N305" i="16"/>
  <c r="D299" i="16"/>
  <c r="K270" i="16"/>
  <c r="J220" i="16"/>
  <c r="I280" i="16"/>
  <c r="J285" i="16"/>
  <c r="K277" i="16"/>
  <c r="N222" i="16"/>
  <c r="F182" i="16"/>
  <c r="D274" i="16"/>
  <c r="J213" i="16"/>
  <c r="L197" i="16"/>
  <c r="C262" i="16"/>
  <c r="H270" i="16"/>
  <c r="C217" i="16"/>
  <c r="B218" i="16"/>
  <c r="B260" i="16"/>
  <c r="G230" i="16"/>
  <c r="B251" i="16"/>
  <c r="J281" i="16"/>
  <c r="H291" i="16"/>
  <c r="F196" i="16"/>
  <c r="E246" i="16"/>
  <c r="E193" i="16"/>
  <c r="F253" i="16"/>
  <c r="B232" i="16"/>
  <c r="E261" i="16"/>
  <c r="M220" i="16"/>
  <c r="I197" i="16"/>
  <c r="I228" i="16"/>
  <c r="D193" i="16"/>
  <c r="C292" i="16"/>
  <c r="N281" i="16"/>
  <c r="A269" i="16"/>
  <c r="M252" i="16"/>
  <c r="F236" i="16"/>
  <c r="J280" i="16"/>
  <c r="J189" i="16"/>
  <c r="D225" i="16"/>
  <c r="D200" i="16"/>
  <c r="H233" i="16"/>
  <c r="K246" i="16"/>
  <c r="E180" i="16"/>
  <c r="I213" i="16"/>
  <c r="H226" i="16"/>
  <c r="C240" i="16"/>
  <c r="D291" i="16"/>
  <c r="J186" i="16"/>
  <c r="K219" i="16"/>
  <c r="I301" i="16"/>
  <c r="K180" i="16"/>
  <c r="H275" i="16"/>
  <c r="N297" i="16"/>
  <c r="J263" i="16"/>
  <c r="H210" i="16"/>
  <c r="E236" i="16"/>
  <c r="A268" i="16"/>
  <c r="F242" i="16"/>
  <c r="G303" i="16"/>
  <c r="M263" i="16"/>
  <c r="M243" i="16"/>
  <c r="G226" i="16"/>
  <c r="B258" i="16"/>
  <c r="C302" i="16"/>
  <c r="N261" i="16"/>
  <c r="C187" i="16"/>
  <c r="H271" i="16"/>
  <c r="F264" i="16"/>
  <c r="F299" i="16"/>
  <c r="E192" i="16"/>
  <c r="C207" i="16"/>
  <c r="N293" i="16"/>
  <c r="H185" i="16"/>
  <c r="L220" i="16"/>
  <c r="M282" i="16"/>
  <c r="A217" i="16"/>
  <c r="K215" i="16"/>
  <c r="I210" i="16"/>
  <c r="A288" i="16"/>
  <c r="K239" i="16"/>
  <c r="I184" i="16"/>
  <c r="N294" i="16"/>
  <c r="G223" i="16"/>
  <c r="L267" i="16"/>
  <c r="F294" i="16"/>
  <c r="F303" i="16"/>
  <c r="E210" i="16"/>
  <c r="K283" i="16"/>
  <c r="I271" i="16"/>
  <c r="E197" i="16"/>
  <c r="C293" i="16"/>
  <c r="K285" i="16"/>
  <c r="N246" i="16"/>
  <c r="C306" i="16"/>
  <c r="J261" i="16"/>
  <c r="A201" i="16"/>
  <c r="N278" i="16"/>
  <c r="B238" i="16"/>
  <c r="N244" i="16"/>
  <c r="J276" i="16"/>
  <c r="M228" i="16"/>
  <c r="M227" i="16"/>
  <c r="L222" i="16"/>
  <c r="B252" i="16"/>
  <c r="A182" i="16"/>
  <c r="H286" i="16"/>
  <c r="N256" i="16"/>
  <c r="L244" i="16"/>
  <c r="C268" i="16"/>
  <c r="K298" i="16"/>
  <c r="J215" i="16"/>
  <c r="M264" i="16"/>
  <c r="I230" i="16"/>
  <c r="D297" i="16"/>
  <c r="L300" i="16"/>
  <c r="N275" i="16"/>
  <c r="L306" i="16"/>
  <c r="E273" i="16"/>
  <c r="H255" i="16"/>
  <c r="B249" i="16"/>
  <c r="B201" i="16"/>
  <c r="G192" i="16"/>
  <c r="G249" i="16"/>
  <c r="C279" i="16"/>
  <c r="M259" i="16"/>
  <c r="G189" i="16"/>
  <c r="L236" i="16"/>
  <c r="I227" i="16"/>
  <c r="G290" i="16"/>
  <c r="M230" i="16"/>
  <c r="F195" i="16"/>
  <c r="F259" i="16"/>
  <c r="G181" i="16"/>
  <c r="E237" i="16"/>
  <c r="E283" i="16"/>
  <c r="F235" i="16"/>
  <c r="E208" i="16"/>
  <c r="J210" i="16"/>
  <c r="I225" i="16"/>
  <c r="D265" i="16"/>
  <c r="A278" i="16"/>
  <c r="L302" i="16"/>
  <c r="B292" i="16"/>
  <c r="E209" i="16"/>
  <c r="M278" i="16"/>
  <c r="F254" i="16"/>
  <c r="D304" i="16"/>
  <c r="H222" i="16"/>
  <c r="D249" i="16"/>
  <c r="B230" i="16"/>
  <c r="N285" i="16"/>
  <c r="B192" i="16"/>
  <c r="C272" i="16"/>
  <c r="M254" i="16"/>
  <c r="D295" i="16"/>
  <c r="E243" i="16"/>
  <c r="K292" i="16"/>
  <c r="C198" i="16"/>
  <c r="F269" i="16"/>
  <c r="B225" i="16"/>
  <c r="K235" i="16"/>
  <c r="J246" i="16"/>
  <c r="I242" i="16"/>
  <c r="K192" i="16"/>
  <c r="N206" i="16"/>
  <c r="F199" i="16"/>
  <c r="F267" i="16"/>
  <c r="D195" i="16"/>
  <c r="C209" i="16"/>
  <c r="L248" i="16"/>
  <c r="H231" i="16"/>
  <c r="H201" i="16"/>
  <c r="A243" i="16"/>
  <c r="N219" i="16"/>
  <c r="E252" i="16"/>
  <c r="K267" i="16"/>
  <c r="C280" i="16"/>
  <c r="K193" i="16"/>
  <c r="G217" i="16"/>
  <c r="N264" i="16"/>
  <c r="N287" i="16"/>
  <c r="E270" i="16"/>
  <c r="I212" i="16"/>
  <c r="N304" i="16"/>
  <c r="L247" i="16"/>
  <c r="G264" i="16"/>
  <c r="L250" i="16"/>
  <c r="J300" i="16"/>
  <c r="E223" i="16"/>
  <c r="L209" i="16"/>
  <c r="N282" i="16"/>
  <c r="G279" i="16"/>
  <c r="H192" i="16"/>
  <c r="I235" i="16"/>
  <c r="L207" i="16"/>
  <c r="A302" i="16"/>
  <c r="N248" i="16"/>
  <c r="C221" i="16"/>
  <c r="N185" i="16"/>
  <c r="A263" i="16"/>
  <c r="C195" i="16"/>
  <c r="M197" i="16"/>
  <c r="H236" i="16"/>
  <c r="E269" i="16"/>
  <c r="H277" i="16"/>
  <c r="F246" i="16"/>
  <c r="H204" i="16"/>
  <c r="J201" i="16"/>
  <c r="M198" i="16"/>
  <c r="L233" i="16"/>
  <c r="M216" i="16"/>
  <c r="C270" i="16"/>
  <c r="E278" i="16"/>
  <c r="J227" i="16"/>
  <c r="G225" i="16"/>
  <c r="D301" i="16"/>
  <c r="M178" i="16"/>
  <c r="M291" i="16"/>
  <c r="I192" i="16"/>
  <c r="I267" i="16"/>
  <c r="H252" i="16"/>
  <c r="M305" i="16"/>
  <c r="K234" i="16"/>
  <c r="J291" i="16"/>
  <c r="A197" i="16"/>
  <c r="A258" i="16"/>
  <c r="E292" i="16"/>
  <c r="I302" i="16"/>
  <c r="H298" i="16"/>
  <c r="I229" i="16"/>
  <c r="G205" i="16"/>
  <c r="C212" i="16"/>
  <c r="A179" i="16"/>
  <c r="B204" i="16"/>
  <c r="C241" i="16"/>
  <c r="E265" i="16"/>
  <c r="M255" i="16"/>
  <c r="A301" i="16"/>
  <c r="L287" i="16"/>
  <c r="A281" i="16"/>
  <c r="F201" i="16"/>
  <c r="I231" i="16"/>
  <c r="G280" i="16"/>
  <c r="C259" i="16"/>
  <c r="M260" i="16"/>
  <c r="N250" i="16"/>
  <c r="G227" i="16"/>
  <c r="C269" i="16"/>
  <c r="D245" i="16"/>
  <c r="G260" i="16"/>
  <c r="A219" i="16"/>
  <c r="K220" i="16"/>
  <c r="L253" i="16"/>
  <c r="L183" i="16"/>
  <c r="L203" i="16"/>
  <c r="F190" i="16"/>
  <c r="H300" i="16"/>
  <c r="B302" i="16"/>
  <c r="F232" i="16"/>
  <c r="N279" i="16"/>
  <c r="H306" i="16"/>
  <c r="L187" i="16"/>
  <c r="D197" i="16"/>
  <c r="D211" i="16"/>
  <c r="I290" i="16"/>
  <c r="I201" i="16"/>
  <c r="N280" i="16"/>
  <c r="E264" i="16"/>
  <c r="J240" i="16"/>
  <c r="C223" i="16"/>
  <c r="M183" i="16"/>
  <c r="A256" i="16"/>
  <c r="H301" i="16"/>
  <c r="G284" i="16"/>
  <c r="A193" i="16"/>
  <c r="J199" i="16"/>
  <c r="D270" i="16"/>
  <c r="G180" i="16"/>
  <c r="M268" i="16"/>
  <c r="H188" i="16"/>
  <c r="C233" i="16"/>
  <c r="C291" i="16"/>
  <c r="J223" i="16"/>
  <c r="B234" i="16"/>
  <c r="L208" i="16"/>
  <c r="F228" i="16"/>
  <c r="H243" i="16"/>
  <c r="M186" i="16"/>
  <c r="E239" i="16"/>
  <c r="A294" i="16"/>
  <c r="N251" i="16"/>
  <c r="L198" i="16"/>
  <c r="M217" i="16"/>
  <c r="K210" i="16"/>
  <c r="D298" i="16"/>
  <c r="E204" i="16"/>
  <c r="C178" i="16"/>
  <c r="E271" i="16"/>
  <c r="L242" i="16"/>
  <c r="K275" i="16"/>
  <c r="E199" i="16"/>
  <c r="D280" i="16"/>
  <c r="C229" i="16"/>
  <c r="L243" i="16"/>
  <c r="N247" i="16"/>
  <c r="F272" i="16"/>
  <c r="L214" i="16"/>
  <c r="K261" i="16"/>
  <c r="A188" i="16"/>
  <c r="I194" i="16"/>
  <c r="K264" i="16"/>
  <c r="F178" i="16"/>
  <c r="K243" i="16"/>
  <c r="M286" i="16"/>
  <c r="J255" i="16"/>
  <c r="A224" i="16"/>
  <c r="G298" i="16"/>
  <c r="F292" i="16"/>
  <c r="I180" i="16"/>
  <c r="K189" i="16"/>
  <c r="B215" i="16"/>
  <c r="K194" i="16"/>
  <c r="C245" i="16"/>
  <c r="D216" i="16"/>
  <c r="A270" i="16"/>
  <c r="I248" i="16"/>
  <c r="K302" i="16"/>
  <c r="G213" i="16"/>
  <c r="B268" i="16"/>
  <c r="H189" i="16"/>
  <c r="M196" i="16"/>
  <c r="F262" i="16"/>
  <c r="A178" i="16"/>
  <c r="G197" i="16"/>
  <c r="N232" i="16"/>
  <c r="K212" i="16"/>
  <c r="D184" i="16"/>
  <c r="E179" i="16"/>
  <c r="G288" i="16"/>
  <c r="I237" i="16"/>
  <c r="F197" i="16"/>
  <c r="G259" i="16"/>
  <c r="F275" i="16"/>
  <c r="A223" i="16"/>
  <c r="G246" i="16"/>
  <c r="K296" i="16"/>
  <c r="K213" i="16"/>
  <c r="L193" i="16"/>
  <c r="G241" i="16"/>
  <c r="F266" i="16"/>
  <c r="E241" i="16"/>
  <c r="D231" i="16"/>
  <c r="N181" i="16"/>
  <c r="C255" i="16"/>
  <c r="F191" i="16"/>
  <c r="B183" i="16"/>
  <c r="C285" i="16"/>
  <c r="A253" i="16"/>
  <c r="A221" i="16"/>
  <c r="F255" i="16"/>
  <c r="A214" i="16"/>
  <c r="C274" i="16"/>
  <c r="H229" i="16"/>
  <c r="J301" i="16"/>
  <c r="N240" i="16"/>
  <c r="D257" i="16"/>
  <c r="C189" i="16"/>
  <c r="M211" i="16"/>
  <c r="I255" i="16"/>
  <c r="C257" i="16"/>
  <c r="K237" i="16"/>
  <c r="I296" i="16"/>
  <c r="B275" i="16"/>
  <c r="K199" i="16"/>
  <c r="N265" i="16"/>
  <c r="J225" i="16"/>
  <c r="H234" i="16"/>
  <c r="B276" i="16"/>
  <c r="J302" i="16"/>
  <c r="L228" i="16"/>
  <c r="H213" i="16"/>
  <c r="K273" i="16"/>
  <c r="E250" i="16"/>
  <c r="J249" i="16"/>
  <c r="J245" i="16"/>
  <c r="I214" i="16"/>
  <c r="N211" i="16"/>
  <c r="D208" i="16"/>
  <c r="A247" i="16"/>
  <c r="B271" i="16"/>
  <c r="A229" i="16"/>
  <c r="G183" i="16"/>
  <c r="H191" i="16"/>
  <c r="H281" i="16"/>
  <c r="F184" i="16"/>
  <c r="B212" i="16"/>
  <c r="B246" i="16"/>
  <c r="F179" i="16"/>
  <c r="J191" i="16"/>
  <c r="E203" i="16"/>
  <c r="I196" i="16"/>
  <c r="J232" i="16"/>
  <c r="M245" i="16"/>
  <c r="H228" i="16"/>
  <c r="H251" i="16"/>
  <c r="D242" i="16"/>
  <c r="M277" i="16"/>
  <c r="I305" i="16"/>
  <c r="K289" i="16"/>
  <c r="J202" i="16"/>
  <c r="M247" i="16"/>
  <c r="G233" i="16"/>
  <c r="H253" i="16"/>
  <c r="L199" i="16"/>
  <c r="M236" i="16"/>
  <c r="J254" i="16"/>
  <c r="K230" i="16"/>
  <c r="L205" i="16"/>
  <c r="I202" i="16"/>
  <c r="F265" i="16"/>
  <c r="N192" i="16"/>
  <c r="K259" i="16"/>
  <c r="E232" i="16"/>
  <c r="B274" i="16"/>
  <c r="B181" i="16"/>
  <c r="D186" i="16"/>
  <c r="G229" i="16"/>
  <c r="L273" i="16"/>
  <c r="E211" i="16"/>
  <c r="M189" i="16"/>
  <c r="J198" i="16"/>
  <c r="D272" i="16"/>
  <c r="K301" i="16"/>
  <c r="F239" i="16"/>
  <c r="F247" i="16"/>
  <c r="K197" i="16"/>
  <c r="K306" i="16"/>
  <c r="M251" i="16"/>
  <c r="C194" i="16"/>
  <c r="L237" i="16"/>
  <c r="A282" i="16"/>
  <c r="N207" i="16"/>
  <c r="G208" i="16"/>
  <c r="G266" i="16"/>
  <c r="L276" i="16"/>
  <c r="E285" i="16"/>
  <c r="J247" i="16"/>
  <c r="J183" i="16"/>
  <c r="E304" i="16"/>
  <c r="D277" i="16"/>
  <c r="J206" i="16"/>
  <c r="M275" i="16"/>
  <c r="L281" i="16"/>
  <c r="F302" i="16"/>
  <c r="F301" i="16"/>
  <c r="N270" i="16"/>
  <c r="L255" i="16"/>
  <c r="M231" i="16"/>
  <c r="K288" i="16"/>
  <c r="I251" i="16"/>
  <c r="B266" i="16"/>
  <c r="M301" i="16"/>
  <c r="C276" i="16"/>
  <c r="E235" i="16"/>
  <c r="A264" i="16"/>
  <c r="N252" i="16"/>
  <c r="J236" i="16"/>
  <c r="B180" i="16"/>
  <c r="C261" i="16"/>
  <c r="N189" i="16"/>
  <c r="I209" i="16"/>
  <c r="I183" i="16"/>
  <c r="E221" i="16"/>
  <c r="N230" i="16"/>
  <c r="E254" i="16"/>
  <c r="F280" i="16"/>
  <c r="K190" i="16"/>
  <c r="K205" i="16"/>
  <c r="G196" i="16"/>
  <c r="G256" i="16"/>
  <c r="E295" i="16"/>
  <c r="B296" i="16"/>
  <c r="D241" i="16"/>
  <c r="K214" i="16"/>
  <c r="F243" i="16"/>
  <c r="H186" i="16"/>
  <c r="F296" i="16"/>
  <c r="C304" i="16"/>
  <c r="J272" i="16"/>
  <c r="M306" i="16"/>
  <c r="B301" i="16"/>
  <c r="F229" i="16"/>
  <c r="I245" i="16"/>
  <c r="N183" i="16"/>
  <c r="K305" i="16"/>
  <c r="E186" i="16"/>
  <c r="F240" i="16"/>
  <c r="H296" i="16"/>
  <c r="N231" i="16"/>
  <c r="L288" i="16"/>
  <c r="K272" i="16"/>
  <c r="E216" i="16"/>
  <c r="M292" i="16"/>
  <c r="A216" i="16"/>
  <c r="N286" i="16"/>
  <c r="C299" i="16"/>
  <c r="B224" i="16"/>
  <c r="C237" i="16"/>
  <c r="J275" i="16"/>
  <c r="H293" i="16"/>
  <c r="E251" i="16"/>
  <c r="C206" i="16"/>
  <c r="B190" i="16"/>
  <c r="J299" i="16"/>
  <c r="M246" i="16"/>
  <c r="M271" i="16"/>
  <c r="C236" i="16"/>
  <c r="G305" i="16"/>
  <c r="D266" i="16"/>
  <c r="N274" i="16"/>
  <c r="I211" i="16"/>
  <c r="I292" i="16"/>
  <c r="J203" i="16"/>
  <c r="G210" i="16"/>
  <c r="E230" i="16"/>
  <c r="H289" i="16"/>
  <c r="D202" i="16"/>
  <c r="L292" i="16"/>
  <c r="E262" i="16"/>
  <c r="K294" i="16"/>
  <c r="M206" i="16"/>
  <c r="D224" i="16"/>
  <c r="G185" i="16"/>
  <c r="D180" i="16"/>
  <c r="D279" i="16"/>
  <c r="M287" i="16"/>
  <c r="F216" i="16"/>
  <c r="N22" i="16"/>
  <c r="E22" i="16"/>
  <c r="B21" i="16"/>
  <c r="J21" i="16"/>
  <c r="F22" i="16"/>
  <c r="M21" i="16"/>
  <c r="I22" i="16"/>
  <c r="I21" i="16"/>
  <c r="K22" i="16"/>
  <c r="G22" i="16"/>
  <c r="G21" i="16"/>
  <c r="J22" i="16"/>
  <c r="A21" i="16"/>
  <c r="L22" i="16"/>
  <c r="A22" i="16"/>
  <c r="F21" i="16"/>
  <c r="C21" i="16"/>
  <c r="M22" i="16"/>
  <c r="N21" i="16"/>
  <c r="E21" i="16"/>
  <c r="I23" i="16"/>
  <c r="B22" i="16"/>
  <c r="K21" i="16"/>
  <c r="H21" i="16"/>
  <c r="H22" i="16"/>
  <c r="L21" i="16"/>
  <c r="L23" i="16"/>
  <c r="D22" i="16"/>
  <c r="D21" i="16"/>
  <c r="K23" i="16"/>
  <c r="H23" i="16"/>
  <c r="E23" i="16"/>
  <c r="B23" i="16"/>
  <c r="D23" i="16"/>
  <c r="C23" i="16"/>
  <c r="F23" i="16"/>
  <c r="A23" i="16"/>
  <c r="N23" i="16"/>
  <c r="G23" i="16"/>
  <c r="M23" i="16"/>
  <c r="J17" i="15"/>
  <c r="D17" i="15"/>
  <c r="AF32" i="15"/>
  <c r="H17" i="15"/>
  <c r="E17" i="15"/>
  <c r="L17" i="15"/>
  <c r="B17" i="15"/>
  <c r="M17" i="15"/>
  <c r="C17" i="15"/>
  <c r="I17" i="15"/>
  <c r="F17" i="15"/>
  <c r="K17" i="15"/>
  <c r="A17" i="15"/>
  <c r="N17" i="15"/>
  <c r="G17" i="15"/>
  <c r="M60" i="14"/>
  <c r="G285" i="16" l="1"/>
  <c r="I254" i="16"/>
  <c r="N266" i="16"/>
  <c r="M239" i="16"/>
  <c r="A286" i="16"/>
  <c r="A289" i="16"/>
  <c r="K202" i="16"/>
  <c r="D205" i="16"/>
  <c r="M208" i="16"/>
  <c r="D258" i="16"/>
  <c r="N303" i="16"/>
  <c r="D199" i="16"/>
  <c r="I266" i="16"/>
  <c r="G287" i="16"/>
  <c r="C200" i="16"/>
  <c r="J305" i="16"/>
  <c r="M181" i="16"/>
  <c r="J256" i="16"/>
  <c r="K252" i="16"/>
  <c r="G211" i="16"/>
  <c r="M258" i="16"/>
  <c r="K282" i="16"/>
  <c r="A298" i="16"/>
  <c r="G214" i="16"/>
  <c r="H216" i="16"/>
  <c r="D181" i="16"/>
  <c r="G187" i="16"/>
  <c r="M303" i="16"/>
  <c r="N227" i="16"/>
  <c r="M192" i="16"/>
  <c r="H264" i="16"/>
  <c r="H211" i="16"/>
  <c r="B290" i="16"/>
  <c r="A211" i="16"/>
  <c r="H267" i="16"/>
  <c r="C251" i="16"/>
  <c r="J267" i="16"/>
  <c r="H247" i="16"/>
  <c r="N226" i="16"/>
  <c r="H199" i="16"/>
  <c r="D263" i="16"/>
  <c r="E212" i="16"/>
  <c r="G207" i="16"/>
  <c r="G236" i="16"/>
  <c r="G195" i="16"/>
  <c r="L238" i="16"/>
  <c r="J293" i="16"/>
  <c r="A194" i="16"/>
  <c r="H250" i="16"/>
  <c r="I222" i="16"/>
  <c r="C181" i="16"/>
  <c r="F293" i="16"/>
  <c r="M185" i="16"/>
  <c r="L291" i="16"/>
  <c r="E259" i="16"/>
  <c r="C215" i="16"/>
  <c r="H285" i="16"/>
  <c r="J282" i="16"/>
  <c r="N218" i="16"/>
  <c r="J304" i="16"/>
  <c r="B294" i="16"/>
  <c r="H239" i="16"/>
  <c r="J239" i="16"/>
  <c r="B208" i="16"/>
  <c r="E276" i="16"/>
  <c r="I246" i="16"/>
  <c r="C305" i="16"/>
  <c r="C202" i="16"/>
  <c r="J250" i="16"/>
  <c r="J231" i="16"/>
  <c r="D230" i="16"/>
  <c r="C271" i="16"/>
  <c r="E227" i="16"/>
  <c r="H292" i="16"/>
  <c r="M294" i="16"/>
  <c r="E282" i="16"/>
  <c r="G245" i="16"/>
  <c r="K222" i="16"/>
  <c r="F210" i="16"/>
  <c r="F180" i="16"/>
  <c r="D183" i="16"/>
  <c r="B182" i="16"/>
  <c r="I291" i="16"/>
  <c r="J244" i="16"/>
  <c r="L180" i="16"/>
  <c r="N276" i="16"/>
  <c r="B257" i="16"/>
  <c r="D254" i="16"/>
  <c r="K201" i="16"/>
  <c r="C295" i="16"/>
  <c r="B233" i="16"/>
  <c r="G274" i="16"/>
  <c r="B263" i="16"/>
  <c r="J294" i="16"/>
  <c r="K249" i="16"/>
  <c r="G272" i="16"/>
  <c r="A305" i="16"/>
  <c r="E202" i="16"/>
  <c r="J266" i="16"/>
  <c r="A236" i="16"/>
  <c r="F300" i="16"/>
  <c r="D288" i="16"/>
  <c r="M299" i="16"/>
  <c r="A261" i="16"/>
  <c r="N220" i="16"/>
  <c r="G276" i="16"/>
  <c r="F188" i="16"/>
  <c r="B283" i="16"/>
  <c r="H288" i="16"/>
  <c r="A280" i="16"/>
  <c r="M272" i="16"/>
  <c r="F234" i="16"/>
  <c r="A246" i="16"/>
  <c r="J188" i="16"/>
  <c r="I234" i="16"/>
  <c r="K268" i="16"/>
  <c r="H259" i="16"/>
  <c r="A242" i="16"/>
  <c r="M304" i="16"/>
  <c r="H235" i="16"/>
  <c r="F249" i="16"/>
  <c r="K204" i="16"/>
  <c r="F213" i="16"/>
  <c r="G277" i="16"/>
  <c r="L188" i="16"/>
  <c r="C211" i="16"/>
  <c r="N288" i="16"/>
  <c r="J257" i="16"/>
  <c r="J196" i="16"/>
  <c r="H232" i="16"/>
  <c r="J182" i="16"/>
  <c r="E281" i="16"/>
  <c r="K224" i="16"/>
  <c r="K304" i="16"/>
  <c r="N273" i="16"/>
  <c r="H207" i="16"/>
  <c r="B187" i="16"/>
  <c r="I200" i="16"/>
  <c r="K231" i="16"/>
  <c r="N201" i="16"/>
  <c r="M191" i="16"/>
  <c r="L257" i="16"/>
  <c r="G247" i="16"/>
  <c r="L182" i="16"/>
  <c r="I224" i="16"/>
  <c r="D236" i="16"/>
  <c r="A262" i="16"/>
  <c r="K228" i="16"/>
  <c r="K232" i="16"/>
  <c r="G271" i="16"/>
  <c r="D215" i="16"/>
  <c r="F187" i="16"/>
  <c r="B223" i="16"/>
  <c r="C210" i="16"/>
  <c r="A300" i="16"/>
  <c r="B287" i="16"/>
  <c r="H200" i="16"/>
  <c r="G248" i="16"/>
  <c r="C297" i="16"/>
  <c r="H220" i="16"/>
  <c r="L184" i="16"/>
  <c r="E288" i="16"/>
  <c r="L202" i="16"/>
  <c r="F245" i="16"/>
  <c r="E297" i="16"/>
  <c r="A276" i="16"/>
  <c r="G235" i="16"/>
  <c r="E229" i="16"/>
  <c r="G216" i="16"/>
  <c r="A199" i="16"/>
  <c r="L252" i="16"/>
  <c r="F212" i="16"/>
  <c r="M288" i="16"/>
  <c r="F261" i="16"/>
  <c r="L279" i="16"/>
  <c r="G262" i="16"/>
  <c r="L268" i="16"/>
  <c r="B272" i="16"/>
  <c r="A203" i="16"/>
  <c r="L270" i="16"/>
  <c r="D260" i="16"/>
  <c r="I282" i="16"/>
  <c r="F211" i="16"/>
  <c r="M213" i="16"/>
  <c r="D252" i="16"/>
  <c r="D273" i="16"/>
  <c r="E201" i="16"/>
  <c r="I286" i="16"/>
  <c r="K250" i="16"/>
  <c r="J235" i="16"/>
  <c r="G296" i="16"/>
  <c r="K200" i="16"/>
  <c r="G221" i="16"/>
  <c r="C201" i="16"/>
  <c r="E302" i="16"/>
  <c r="N283" i="16"/>
  <c r="D251" i="16"/>
  <c r="D233" i="16"/>
  <c r="L260" i="16"/>
  <c r="E242" i="16"/>
  <c r="B235" i="16"/>
  <c r="AF41" i="16"/>
  <c r="AF48" i="16" s="1"/>
  <c r="M281" i="16"/>
  <c r="E293" i="16"/>
  <c r="A239" i="16"/>
  <c r="M203" i="16"/>
  <c r="H230" i="16"/>
  <c r="J251" i="16"/>
  <c r="E234" i="16"/>
  <c r="E260" i="16"/>
  <c r="C284" i="16"/>
  <c r="F260" i="16"/>
  <c r="J298" i="16"/>
  <c r="E205" i="16"/>
  <c r="D206" i="16"/>
  <c r="H261" i="16"/>
  <c r="N262" i="16"/>
  <c r="A186" i="16"/>
  <c r="A254" i="16"/>
  <c r="J200" i="16"/>
  <c r="N234" i="16"/>
  <c r="F250" i="16"/>
  <c r="D269" i="16"/>
  <c r="I218" i="16"/>
  <c r="C246" i="16"/>
  <c r="L219" i="16"/>
  <c r="B300" i="16"/>
  <c r="M200" i="16"/>
  <c r="B228" i="16"/>
  <c r="K251" i="16"/>
  <c r="N225" i="16"/>
  <c r="N228" i="16"/>
  <c r="L303" i="16"/>
  <c r="B248" i="16"/>
  <c r="L272" i="16"/>
  <c r="M238" i="16"/>
  <c r="H206" i="16"/>
  <c r="I223" i="16"/>
  <c r="C238" i="16"/>
  <c r="B226" i="16"/>
  <c r="B199" i="16"/>
  <c r="A192" i="16"/>
  <c r="C277" i="16"/>
  <c r="F202" i="16"/>
  <c r="G283" i="16"/>
  <c r="J219" i="16"/>
  <c r="G273" i="16"/>
  <c r="D289" i="16"/>
  <c r="D210" i="16"/>
  <c r="D239" i="16"/>
  <c r="J207" i="16"/>
  <c r="I259" i="16"/>
  <c r="G234" i="16"/>
  <c r="D282" i="16"/>
  <c r="N235" i="16"/>
  <c r="G275" i="16"/>
  <c r="C283" i="16"/>
  <c r="M219" i="16"/>
  <c r="J221" i="16"/>
  <c r="G219" i="16"/>
  <c r="D192" i="16"/>
  <c r="M242" i="16"/>
  <c r="N284" i="16"/>
  <c r="N195" i="16"/>
  <c r="F256" i="16"/>
  <c r="I191" i="16"/>
  <c r="E194" i="16"/>
  <c r="M256" i="16"/>
  <c r="I265" i="16"/>
  <c r="G270" i="16"/>
  <c r="D300" i="16"/>
  <c r="I243" i="16"/>
  <c r="B306" i="16"/>
  <c r="D264" i="16"/>
  <c r="D240" i="16"/>
  <c r="G304" i="16"/>
  <c r="E213" i="16"/>
  <c r="J184" i="16"/>
  <c r="B285" i="16"/>
  <c r="D268" i="16"/>
  <c r="E207" i="16"/>
  <c r="D194" i="16"/>
  <c r="E266" i="16"/>
  <c r="C253" i="16"/>
  <c r="G228" i="16"/>
  <c r="K209" i="16"/>
  <c r="E291" i="16"/>
  <c r="B295" i="16"/>
  <c r="L226" i="16"/>
  <c r="C208" i="16"/>
  <c r="H305" i="16"/>
  <c r="N238" i="16"/>
  <c r="G199" i="16"/>
  <c r="I247" i="16"/>
  <c r="J222" i="16"/>
  <c r="M187" i="16"/>
  <c r="I216" i="16"/>
  <c r="G200" i="16"/>
  <c r="C265" i="16"/>
  <c r="I273" i="16"/>
  <c r="F223" i="16"/>
  <c r="F283" i="16"/>
  <c r="D188" i="16"/>
  <c r="A209" i="16"/>
  <c r="B256" i="16"/>
  <c r="D213" i="16"/>
  <c r="C288" i="16"/>
  <c r="N191" i="16"/>
  <c r="B291" i="16"/>
  <c r="B261" i="16"/>
  <c r="N180" i="16"/>
  <c r="D218" i="16"/>
  <c r="G251" i="16"/>
  <c r="K257" i="16"/>
  <c r="H198" i="16"/>
  <c r="L275" i="16"/>
  <c r="K297" i="16"/>
  <c r="H274" i="16"/>
  <c r="D214" i="16"/>
  <c r="E184" i="16"/>
  <c r="E225" i="16"/>
  <c r="I244" i="16"/>
  <c r="L295" i="16"/>
  <c r="F244" i="16"/>
  <c r="K303" i="16"/>
  <c r="C183" i="16"/>
  <c r="A237" i="16"/>
  <c r="L225" i="16"/>
  <c r="J192" i="16"/>
  <c r="H258" i="16"/>
  <c r="N215" i="16"/>
  <c r="N193" i="16"/>
  <c r="G265" i="16"/>
  <c r="J284" i="16"/>
  <c r="N187" i="16"/>
  <c r="I186" i="16"/>
  <c r="E272" i="16"/>
  <c r="N272" i="16"/>
  <c r="F274" i="16"/>
  <c r="N298" i="16"/>
  <c r="J303" i="16"/>
  <c r="A284" i="16"/>
  <c r="C205" i="16"/>
  <c r="B193" i="16"/>
  <c r="A190" i="16"/>
  <c r="G286" i="16"/>
  <c r="F285" i="16"/>
  <c r="A299" i="16"/>
  <c r="H221" i="16"/>
  <c r="M215" i="16"/>
  <c r="F181" i="16"/>
  <c r="J237" i="16"/>
  <c r="K279" i="16"/>
  <c r="I205" i="16"/>
  <c r="E257" i="16"/>
  <c r="G224" i="16"/>
  <c r="B214" i="16"/>
  <c r="N210" i="16"/>
  <c r="N188" i="16"/>
  <c r="B245" i="16"/>
  <c r="D238" i="16"/>
  <c r="H290" i="16"/>
  <c r="G263" i="16"/>
  <c r="A266" i="16"/>
  <c r="L280" i="16"/>
  <c r="E286" i="16"/>
  <c r="G240" i="16"/>
  <c r="M223" i="16"/>
  <c r="K183" i="16"/>
  <c r="C190" i="16"/>
  <c r="G257" i="16"/>
  <c r="G243" i="16"/>
  <c r="K263" i="16"/>
  <c r="F225" i="16"/>
  <c r="G194" i="16"/>
  <c r="L239" i="16"/>
  <c r="C266" i="16"/>
  <c r="K184" i="16"/>
  <c r="C289" i="16"/>
  <c r="N255" i="16"/>
  <c r="E279" i="16"/>
  <c r="H205" i="16"/>
  <c r="A304" i="16"/>
  <c r="L290" i="16"/>
  <c r="I293" i="16"/>
  <c r="K241" i="16"/>
  <c r="G278" i="16"/>
  <c r="H283" i="16"/>
  <c r="K186" i="16"/>
  <c r="C231" i="16"/>
  <c r="D212" i="16"/>
  <c r="I299" i="16"/>
  <c r="N302" i="16"/>
  <c r="D290" i="16"/>
  <c r="J233" i="16"/>
  <c r="D201" i="16"/>
  <c r="J259" i="16"/>
  <c r="K258" i="16"/>
  <c r="D209" i="16"/>
  <c r="F281" i="16"/>
  <c r="M193" i="16"/>
  <c r="C264" i="16"/>
  <c r="I236" i="16"/>
  <c r="F214" i="16"/>
  <c r="N295" i="16"/>
  <c r="G188" i="16"/>
  <c r="I188" i="16"/>
  <c r="A206" i="16"/>
  <c r="K281" i="16"/>
  <c r="A287" i="16"/>
  <c r="D283" i="16"/>
  <c r="F209" i="16"/>
  <c r="L185" i="16"/>
  <c r="C234" i="16"/>
  <c r="C243" i="16"/>
  <c r="N202" i="16"/>
  <c r="B209" i="16"/>
  <c r="D227" i="16"/>
  <c r="D276" i="16"/>
  <c r="F248" i="16"/>
  <c r="H254" i="16"/>
  <c r="H183" i="16"/>
  <c r="I272" i="16"/>
  <c r="D293" i="16"/>
  <c r="B229" i="16"/>
  <c r="M180" i="16"/>
  <c r="I256" i="16"/>
  <c r="N199" i="16"/>
  <c r="G231" i="16"/>
  <c r="I190" i="16"/>
  <c r="I276" i="16"/>
  <c r="M218" i="16"/>
  <c r="F298" i="16"/>
  <c r="H195" i="16"/>
  <c r="C220" i="16"/>
  <c r="N236" i="16"/>
  <c r="B222" i="16"/>
  <c r="F200" i="16"/>
  <c r="K284" i="16"/>
  <c r="M234" i="16"/>
  <c r="A233" i="16"/>
  <c r="N243" i="16"/>
  <c r="L216" i="16"/>
  <c r="M302" i="16"/>
  <c r="B270" i="16"/>
  <c r="M253" i="16"/>
  <c r="G292" i="16"/>
  <c r="E289" i="16"/>
  <c r="L194" i="16"/>
  <c r="D306" i="16"/>
  <c r="G255" i="16"/>
  <c r="J226" i="16"/>
  <c r="C273" i="16"/>
  <c r="A226" i="16"/>
  <c r="J242" i="16"/>
  <c r="I279" i="16"/>
  <c r="N216" i="16"/>
  <c r="B242" i="16"/>
  <c r="C216" i="16"/>
  <c r="N260" i="16"/>
  <c r="A267" i="16"/>
  <c r="C22" i="16"/>
  <c r="C24" i="16"/>
  <c r="J24" i="16"/>
  <c r="M24" i="16"/>
  <c r="L24" i="16"/>
  <c r="I24" i="16"/>
  <c r="A24" i="16"/>
  <c r="K24" i="16"/>
  <c r="B24" i="16"/>
  <c r="E24" i="16"/>
  <c r="D24" i="16"/>
  <c r="N24" i="16"/>
  <c r="H24" i="16"/>
  <c r="F24" i="16"/>
  <c r="M18" i="15"/>
  <c r="J18" i="15"/>
  <c r="L18" i="15"/>
  <c r="C18" i="15"/>
  <c r="F18" i="15"/>
  <c r="K18" i="15"/>
  <c r="H18" i="15"/>
  <c r="E18" i="15"/>
  <c r="G18" i="15"/>
  <c r="B18" i="15"/>
  <c r="A18" i="15"/>
  <c r="I18" i="15"/>
  <c r="N18" i="15"/>
  <c r="AF34" i="15"/>
  <c r="D18" i="15"/>
  <c r="M63" i="14"/>
  <c r="M71" i="14"/>
  <c r="B7" i="14" l="1"/>
  <c r="A7" i="14" s="1"/>
  <c r="AF49" i="16"/>
  <c r="AF51" i="16" s="1"/>
  <c r="AF52" i="16" s="1"/>
  <c r="J23" i="16" s="1"/>
  <c r="D9" i="14"/>
  <c r="M66" i="14"/>
  <c r="M69" i="14" s="1"/>
  <c r="M70" i="14" s="1"/>
  <c r="M25" i="16"/>
  <c r="H25" i="16"/>
  <c r="J25" i="16"/>
  <c r="E25" i="16"/>
  <c r="L25" i="16"/>
  <c r="A25" i="16"/>
  <c r="C25" i="16"/>
  <c r="F25" i="16"/>
  <c r="G25" i="16"/>
  <c r="B25" i="16"/>
  <c r="D25" i="16"/>
  <c r="N25" i="16"/>
  <c r="AF53" i="16"/>
  <c r="I25" i="16"/>
  <c r="K25" i="16"/>
  <c r="N26" i="16"/>
  <c r="K26" i="16"/>
  <c r="F26" i="16"/>
  <c r="A26" i="16"/>
  <c r="B26" i="16"/>
  <c r="I26" i="16"/>
  <c r="M26" i="16"/>
  <c r="G26" i="16"/>
  <c r="D26" i="16"/>
  <c r="H26" i="16"/>
  <c r="J26" i="16"/>
  <c r="C26" i="16"/>
  <c r="L26" i="16"/>
  <c r="E26" i="16"/>
  <c r="N19" i="15"/>
  <c r="M19" i="15"/>
  <c r="E19" i="15"/>
  <c r="G19" i="15"/>
  <c r="F19" i="15"/>
  <c r="B19" i="15"/>
  <c r="L19" i="15"/>
  <c r="A19" i="15"/>
  <c r="D19" i="15"/>
  <c r="H19" i="15"/>
  <c r="AF37" i="15"/>
  <c r="J19" i="15"/>
  <c r="K19" i="15"/>
  <c r="I19" i="15"/>
  <c r="C19" i="15"/>
  <c r="B10" i="14"/>
  <c r="A10" i="14" s="1"/>
  <c r="C9" i="14"/>
  <c r="E9" i="14"/>
  <c r="B9" i="14"/>
  <c r="A9" i="14" s="1"/>
  <c r="E10" i="14"/>
  <c r="D10" i="14"/>
  <c r="C10" i="14"/>
  <c r="M73" i="14" l="1"/>
  <c r="M82" i="14"/>
  <c r="G24" i="16"/>
  <c r="B11" i="14"/>
  <c r="A11" i="14" s="1"/>
  <c r="E11" i="14"/>
  <c r="C11" i="14"/>
  <c r="D11" i="14"/>
  <c r="D12" i="14"/>
  <c r="E12" i="14"/>
  <c r="C12" i="14"/>
  <c r="B12" i="14"/>
  <c r="A12" i="14" s="1"/>
  <c r="B27" i="16"/>
  <c r="C27" i="16"/>
  <c r="L27" i="16"/>
  <c r="D27" i="16"/>
  <c r="M27" i="16"/>
  <c r="H27" i="16"/>
  <c r="A27" i="16"/>
  <c r="F27" i="16"/>
  <c r="K27" i="16"/>
  <c r="J27" i="16"/>
  <c r="I27" i="16"/>
  <c r="E27" i="16"/>
  <c r="AF56" i="16"/>
  <c r="G27" i="16"/>
  <c r="N27" i="16"/>
  <c r="J20" i="15"/>
  <c r="C20" i="15"/>
  <c r="AF38" i="15"/>
  <c r="M20" i="15"/>
  <c r="I20" i="15"/>
  <c r="H20" i="15"/>
  <c r="E20" i="15"/>
  <c r="G20" i="15"/>
  <c r="N20" i="15"/>
  <c r="K20" i="15"/>
  <c r="D20" i="15"/>
  <c r="B20" i="15"/>
  <c r="L20" i="15"/>
  <c r="F20" i="15"/>
  <c r="A20" i="15"/>
  <c r="M84" i="14" l="1"/>
  <c r="F28" i="16"/>
  <c r="J28" i="16"/>
  <c r="I28" i="16"/>
  <c r="C28" i="16"/>
  <c r="L28" i="16"/>
  <c r="AF57" i="16"/>
  <c r="M29" i="16" s="1"/>
  <c r="K28" i="16"/>
  <c r="D28" i="16"/>
  <c r="M28" i="16"/>
  <c r="A28" i="16"/>
  <c r="N28" i="16"/>
  <c r="H28" i="16"/>
  <c r="G28" i="16"/>
  <c r="B28" i="16"/>
  <c r="G21" i="15"/>
  <c r="K21" i="15"/>
  <c r="F21" i="15"/>
  <c r="L21" i="15"/>
  <c r="A21" i="15"/>
  <c r="E21" i="15"/>
  <c r="C21" i="15"/>
  <c r="H21" i="15"/>
  <c r="M21" i="15"/>
  <c r="I21" i="15"/>
  <c r="AF41" i="15"/>
  <c r="E22" i="15" s="1"/>
  <c r="J21" i="15"/>
  <c r="D21" i="15"/>
  <c r="N21" i="15"/>
  <c r="B21" i="15"/>
  <c r="C96" i="14" l="1"/>
  <c r="B85" i="14"/>
  <c r="A85" i="14" s="1"/>
  <c r="D47" i="14"/>
  <c r="E14" i="14"/>
  <c r="D139" i="14"/>
  <c r="B97" i="14"/>
  <c r="A97" i="14" s="1"/>
  <c r="C99" i="14"/>
  <c r="E75" i="14"/>
  <c r="B142" i="14"/>
  <c r="A142" i="14" s="1"/>
  <c r="C95" i="14"/>
  <c r="E51" i="14"/>
  <c r="E150" i="14"/>
  <c r="B73" i="14"/>
  <c r="A73" i="14" s="1"/>
  <c r="D98" i="14"/>
  <c r="D52" i="14"/>
  <c r="E99" i="14"/>
  <c r="C80" i="14"/>
  <c r="E151" i="14"/>
  <c r="D64" i="14"/>
  <c r="C60" i="14"/>
  <c r="E152" i="14"/>
  <c r="E24" i="14"/>
  <c r="B74" i="14"/>
  <c r="A74" i="14" s="1"/>
  <c r="C129" i="14"/>
  <c r="E116" i="14"/>
  <c r="C30" i="14"/>
  <c r="E34" i="14"/>
  <c r="C130" i="14"/>
  <c r="B105" i="14"/>
  <c r="A105" i="14" s="1"/>
  <c r="E55" i="14"/>
  <c r="D29" i="14"/>
  <c r="B147" i="14"/>
  <c r="A147" i="14" s="1"/>
  <c r="E72" i="14"/>
  <c r="E25" i="14"/>
  <c r="B80" i="14"/>
  <c r="A80" i="14" s="1"/>
  <c r="D91" i="14"/>
  <c r="B100" i="14"/>
  <c r="A100" i="14" s="1"/>
  <c r="E137" i="14"/>
  <c r="B21" i="14"/>
  <c r="A21" i="14" s="1"/>
  <c r="B151" i="14"/>
  <c r="A151" i="14" s="1"/>
  <c r="C25" i="14"/>
  <c r="C63" i="14"/>
  <c r="B137" i="14"/>
  <c r="A137" i="14" s="1"/>
  <c r="D132" i="14"/>
  <c r="B55" i="14"/>
  <c r="A55" i="14" s="1"/>
  <c r="C54" i="14"/>
  <c r="B124" i="14"/>
  <c r="A124" i="14" s="1"/>
  <c r="E77" i="14"/>
  <c r="E87" i="14"/>
  <c r="C152" i="14"/>
  <c r="C64" i="14"/>
  <c r="C87" i="14"/>
  <c r="E62" i="14"/>
  <c r="C33" i="14"/>
  <c r="B61" i="14"/>
  <c r="A61" i="14" s="1"/>
  <c r="D60" i="14"/>
  <c r="C45" i="14"/>
  <c r="E94" i="14"/>
  <c r="C43" i="14"/>
  <c r="B36" i="14"/>
  <c r="A36" i="14" s="1"/>
  <c r="B153" i="14"/>
  <c r="A153" i="14" s="1"/>
  <c r="E89" i="14"/>
  <c r="D87" i="14"/>
  <c r="B71" i="14"/>
  <c r="A71" i="14" s="1"/>
  <c r="D37" i="14"/>
  <c r="C73" i="14"/>
  <c r="C86" i="14"/>
  <c r="D121" i="14"/>
  <c r="E143" i="14"/>
  <c r="C91" i="14"/>
  <c r="B90" i="14"/>
  <c r="A90" i="14" s="1"/>
  <c r="D97" i="14"/>
  <c r="D95" i="14"/>
  <c r="D123" i="14"/>
  <c r="C123" i="14"/>
  <c r="D110" i="14"/>
  <c r="B87" i="14"/>
  <c r="A87" i="14" s="1"/>
  <c r="E132" i="14"/>
  <c r="B81" i="14"/>
  <c r="A81" i="14" s="1"/>
  <c r="B122" i="14"/>
  <c r="A122" i="14" s="1"/>
  <c r="C13" i="14"/>
  <c r="B49" i="14"/>
  <c r="A49" i="14" s="1"/>
  <c r="E16" i="14"/>
  <c r="E135" i="14"/>
  <c r="D90" i="14"/>
  <c r="D75" i="14"/>
  <c r="D149" i="14"/>
  <c r="E33" i="14"/>
  <c r="C40" i="14"/>
  <c r="E140" i="14"/>
  <c r="E108" i="14"/>
  <c r="C109" i="14"/>
  <c r="D122" i="14"/>
  <c r="D144" i="14"/>
  <c r="B111" i="14"/>
  <c r="A111" i="14" s="1"/>
  <c r="D73" i="14"/>
  <c r="E148" i="14"/>
  <c r="D127" i="14"/>
  <c r="B65" i="14"/>
  <c r="A65" i="14" s="1"/>
  <c r="C110" i="14"/>
  <c r="B94" i="14"/>
  <c r="A94" i="14" s="1"/>
  <c r="C22" i="14"/>
  <c r="B37" i="14"/>
  <c r="A37" i="14" s="1"/>
  <c r="D74" i="14"/>
  <c r="B119" i="14"/>
  <c r="A119" i="14" s="1"/>
  <c r="B70" i="14"/>
  <c r="A70" i="14" s="1"/>
  <c r="E90" i="14"/>
  <c r="C132" i="14"/>
  <c r="D128" i="14"/>
  <c r="C18" i="14"/>
  <c r="C112" i="14"/>
  <c r="C133" i="14"/>
  <c r="B116" i="14"/>
  <c r="A116" i="14" s="1"/>
  <c r="D20" i="14"/>
  <c r="C150" i="14"/>
  <c r="D24" i="14"/>
  <c r="B15" i="14"/>
  <c r="A15" i="14" s="1"/>
  <c r="C120" i="14"/>
  <c r="C151" i="14"/>
  <c r="D105" i="14"/>
  <c r="E17" i="14"/>
  <c r="D148" i="14"/>
  <c r="B14" i="14"/>
  <c r="A14" i="14" s="1"/>
  <c r="B101" i="14"/>
  <c r="A101" i="14" s="1"/>
  <c r="B133" i="14"/>
  <c r="A133" i="14" s="1"/>
  <c r="D134" i="14"/>
  <c r="E124" i="14"/>
  <c r="D125" i="14"/>
  <c r="B47" i="14"/>
  <c r="A47" i="14" s="1"/>
  <c r="B98" i="14"/>
  <c r="A98" i="14" s="1"/>
  <c r="E120" i="14"/>
  <c r="E71" i="14"/>
  <c r="B91" i="14"/>
  <c r="A91" i="14" s="1"/>
  <c r="E21" i="14"/>
  <c r="D126" i="14"/>
  <c r="D57" i="14"/>
  <c r="B107" i="14"/>
  <c r="A107" i="14" s="1"/>
  <c r="B66" i="14"/>
  <c r="A66" i="14" s="1"/>
  <c r="D140" i="14"/>
  <c r="D39" i="14"/>
  <c r="D65" i="14"/>
  <c r="D44" i="14"/>
  <c r="E66" i="14"/>
  <c r="C121" i="14"/>
  <c r="E65" i="14"/>
  <c r="E130" i="14"/>
  <c r="B140" i="14"/>
  <c r="A140" i="14" s="1"/>
  <c r="B64" i="14"/>
  <c r="A64" i="14" s="1"/>
  <c r="D79" i="14"/>
  <c r="C149" i="14"/>
  <c r="E78" i="14"/>
  <c r="C74" i="14"/>
  <c r="B96" i="14"/>
  <c r="A96" i="14" s="1"/>
  <c r="D54" i="14"/>
  <c r="C19" i="14"/>
  <c r="B42" i="14"/>
  <c r="A42" i="14" s="1"/>
  <c r="C127" i="14"/>
  <c r="D119" i="14"/>
  <c r="D131" i="14"/>
  <c r="D78" i="14"/>
  <c r="E41" i="14"/>
  <c r="D33" i="14"/>
  <c r="E103" i="14"/>
  <c r="C51" i="14"/>
  <c r="D43" i="14"/>
  <c r="C78" i="14"/>
  <c r="D141" i="14"/>
  <c r="E81" i="14"/>
  <c r="C116" i="14"/>
  <c r="E63" i="14"/>
  <c r="C117" i="14"/>
  <c r="C71" i="14"/>
  <c r="B129" i="14"/>
  <c r="A129" i="14" s="1"/>
  <c r="C97" i="14"/>
  <c r="E117" i="14"/>
  <c r="B60" i="14"/>
  <c r="A60" i="14" s="1"/>
  <c r="C36" i="14"/>
  <c r="B113" i="14"/>
  <c r="A113" i="14" s="1"/>
  <c r="E59" i="14"/>
  <c r="C31" i="14"/>
  <c r="C82" i="14"/>
  <c r="E114" i="14"/>
  <c r="C57" i="14"/>
  <c r="D13" i="14"/>
  <c r="D94" i="14"/>
  <c r="E61" i="14"/>
  <c r="E109" i="14"/>
  <c r="E47" i="14"/>
  <c r="D38" i="14"/>
  <c r="B102" i="14"/>
  <c r="A102" i="14" s="1"/>
  <c r="E110" i="14"/>
  <c r="E119" i="14"/>
  <c r="C104" i="14"/>
  <c r="D88" i="14"/>
  <c r="C28" i="14"/>
  <c r="D51" i="14"/>
  <c r="C21" i="14"/>
  <c r="E105" i="14"/>
  <c r="D63" i="14"/>
  <c r="C139" i="14"/>
  <c r="E101" i="14"/>
  <c r="D26" i="14"/>
  <c r="D86" i="14"/>
  <c r="B54" i="14"/>
  <c r="A54" i="14" s="1"/>
  <c r="B144" i="14"/>
  <c r="A144" i="14" s="1"/>
  <c r="B110" i="14"/>
  <c r="A110" i="14" s="1"/>
  <c r="B146" i="14"/>
  <c r="A146" i="14" s="1"/>
  <c r="C49" i="14"/>
  <c r="C126" i="14"/>
  <c r="D14" i="14"/>
  <c r="C34" i="14"/>
  <c r="B17" i="14"/>
  <c r="A17" i="14" s="1"/>
  <c r="D84" i="14"/>
  <c r="C35" i="14"/>
  <c r="D68" i="14"/>
  <c r="D92" i="14"/>
  <c r="D152" i="14"/>
  <c r="B118" i="14"/>
  <c r="A118" i="14" s="1"/>
  <c r="D45" i="14"/>
  <c r="D61" i="14"/>
  <c r="C38" i="14"/>
  <c r="C53" i="14"/>
  <c r="D55" i="14"/>
  <c r="E73" i="14"/>
  <c r="C118" i="14"/>
  <c r="D77" i="14"/>
  <c r="C69" i="14"/>
  <c r="D41" i="14"/>
  <c r="B135" i="14"/>
  <c r="A135" i="14" s="1"/>
  <c r="B82" i="14"/>
  <c r="A82" i="14" s="1"/>
  <c r="D23" i="14"/>
  <c r="D124" i="14"/>
  <c r="C37" i="14"/>
  <c r="D129" i="14"/>
  <c r="B62" i="14"/>
  <c r="A62" i="14" s="1"/>
  <c r="D80" i="14"/>
  <c r="C135" i="14"/>
  <c r="B117" i="14"/>
  <c r="A117" i="14" s="1"/>
  <c r="D35" i="14"/>
  <c r="B46" i="14"/>
  <c r="A46" i="14" s="1"/>
  <c r="E122" i="14"/>
  <c r="C50" i="14"/>
  <c r="B67" i="14"/>
  <c r="A67" i="14" s="1"/>
  <c r="C153" i="14"/>
  <c r="D102" i="14"/>
  <c r="E149" i="14"/>
  <c r="E145" i="14"/>
  <c r="D145" i="14"/>
  <c r="E107" i="14"/>
  <c r="D107" i="14"/>
  <c r="B89" i="14"/>
  <c r="A89" i="14" s="1"/>
  <c r="E128" i="14"/>
  <c r="D56" i="14"/>
  <c r="B139" i="14"/>
  <c r="A139" i="14" s="1"/>
  <c r="D130" i="14"/>
  <c r="C108" i="14"/>
  <c r="B45" i="14"/>
  <c r="A45" i="14" s="1"/>
  <c r="C90" i="14"/>
  <c r="B43" i="14"/>
  <c r="A43" i="14" s="1"/>
  <c r="D62" i="14"/>
  <c r="E45" i="14"/>
  <c r="B141" i="14"/>
  <c r="A141" i="14" s="1"/>
  <c r="B149" i="14"/>
  <c r="A149" i="14" s="1"/>
  <c r="D16" i="14"/>
  <c r="C77" i="14"/>
  <c r="D89" i="14"/>
  <c r="E44" i="14"/>
  <c r="D66" i="14"/>
  <c r="C48" i="14"/>
  <c r="B68" i="14"/>
  <c r="A68" i="14" s="1"/>
  <c r="D40" i="14"/>
  <c r="E56" i="14"/>
  <c r="D30" i="14"/>
  <c r="E138" i="14"/>
  <c r="B34" i="14"/>
  <c r="A34" i="14" s="1"/>
  <c r="B52" i="14"/>
  <c r="A52" i="14" s="1"/>
  <c r="D70" i="14"/>
  <c r="C52" i="14"/>
  <c r="C15" i="14"/>
  <c r="E80" i="14"/>
  <c r="B32" i="14"/>
  <c r="A32" i="14" s="1"/>
  <c r="B99" i="14"/>
  <c r="A99" i="14" s="1"/>
  <c r="E27" i="14"/>
  <c r="C59" i="14"/>
  <c r="D112" i="14"/>
  <c r="B23" i="14"/>
  <c r="A23" i="14" s="1"/>
  <c r="B25" i="14"/>
  <c r="A25" i="14" s="1"/>
  <c r="C65" i="14"/>
  <c r="D49" i="14"/>
  <c r="B134" i="14"/>
  <c r="A134" i="14" s="1"/>
  <c r="D32" i="14"/>
  <c r="C75" i="14"/>
  <c r="D146" i="14"/>
  <c r="E102" i="14"/>
  <c r="B148" i="14"/>
  <c r="A148" i="14" s="1"/>
  <c r="D109" i="14"/>
  <c r="B28" i="14"/>
  <c r="A28" i="14" s="1"/>
  <c r="C81" i="14"/>
  <c r="C17" i="14"/>
  <c r="D34" i="14"/>
  <c r="C128" i="14"/>
  <c r="E144" i="14"/>
  <c r="E104" i="14"/>
  <c r="E30" i="14"/>
  <c r="B121" i="14"/>
  <c r="A121" i="14" s="1"/>
  <c r="B41" i="14"/>
  <c r="A41" i="14" s="1"/>
  <c r="D48" i="14"/>
  <c r="D150" i="14"/>
  <c r="E23" i="14"/>
  <c r="E40" i="14"/>
  <c r="B69" i="14"/>
  <c r="A69" i="14" s="1"/>
  <c r="B24" i="14"/>
  <c r="A24" i="14" s="1"/>
  <c r="D116" i="14"/>
  <c r="C107" i="14"/>
  <c r="B48" i="14"/>
  <c r="A48" i="14" s="1"/>
  <c r="E43" i="14"/>
  <c r="C98" i="14"/>
  <c r="B38" i="14"/>
  <c r="A38" i="14" s="1"/>
  <c r="D76" i="14"/>
  <c r="C84" i="14"/>
  <c r="B150" i="14"/>
  <c r="A150" i="14" s="1"/>
  <c r="B18" i="14"/>
  <c r="A18" i="14" s="1"/>
  <c r="C122" i="14"/>
  <c r="B72" i="14"/>
  <c r="A72" i="14" s="1"/>
  <c r="C62" i="14"/>
  <c r="E133" i="14"/>
  <c r="B126" i="14"/>
  <c r="A126" i="14" s="1"/>
  <c r="B76" i="14"/>
  <c r="A76" i="14" s="1"/>
  <c r="D96" i="14"/>
  <c r="C111" i="14"/>
  <c r="B136" i="14"/>
  <c r="A136" i="14" s="1"/>
  <c r="C24" i="14"/>
  <c r="D133" i="14"/>
  <c r="C41" i="14"/>
  <c r="E118" i="14"/>
  <c r="E95" i="14"/>
  <c r="D50" i="14"/>
  <c r="B58" i="14"/>
  <c r="A58" i="14" s="1"/>
  <c r="C93" i="14"/>
  <c r="B95" i="14"/>
  <c r="A95" i="14" s="1"/>
  <c r="C92" i="14"/>
  <c r="E52" i="14"/>
  <c r="C27" i="14"/>
  <c r="D81" i="14"/>
  <c r="B27" i="14"/>
  <c r="A27" i="14" s="1"/>
  <c r="E31" i="14"/>
  <c r="C148" i="14"/>
  <c r="E112" i="14"/>
  <c r="D83" i="14"/>
  <c r="E29" i="14"/>
  <c r="C134" i="14"/>
  <c r="C47" i="14"/>
  <c r="B88" i="14"/>
  <c r="A88" i="14" s="1"/>
  <c r="D31" i="14"/>
  <c r="C102" i="14"/>
  <c r="E42" i="14"/>
  <c r="B20" i="14"/>
  <c r="A20" i="14" s="1"/>
  <c r="E38" i="14"/>
  <c r="C103" i="14"/>
  <c r="D15" i="14"/>
  <c r="B33" i="14"/>
  <c r="A33" i="14" s="1"/>
  <c r="C142" i="14"/>
  <c r="E129" i="14"/>
  <c r="E36" i="14"/>
  <c r="B120" i="14"/>
  <c r="A120" i="14" s="1"/>
  <c r="C61" i="14"/>
  <c r="E91" i="14"/>
  <c r="D103" i="14"/>
  <c r="C100" i="14"/>
  <c r="E20" i="14"/>
  <c r="D153" i="14"/>
  <c r="E57" i="14"/>
  <c r="D137" i="14"/>
  <c r="D113" i="14"/>
  <c r="B108" i="14"/>
  <c r="A108" i="14" s="1"/>
  <c r="B93" i="14"/>
  <c r="A93" i="14" s="1"/>
  <c r="B35" i="14"/>
  <c r="A35" i="14" s="1"/>
  <c r="B51" i="14"/>
  <c r="A51" i="14" s="1"/>
  <c r="D142" i="14"/>
  <c r="B40" i="14"/>
  <c r="A40" i="14" s="1"/>
  <c r="E131" i="14"/>
  <c r="D151" i="14"/>
  <c r="B29" i="14"/>
  <c r="A29" i="14" s="1"/>
  <c r="E84" i="14"/>
  <c r="E113" i="14"/>
  <c r="C56" i="14"/>
  <c r="D120" i="14"/>
  <c r="D82" i="14"/>
  <c r="E48" i="14"/>
  <c r="C125" i="14"/>
  <c r="C124" i="14"/>
  <c r="C113" i="14"/>
  <c r="C42" i="14"/>
  <c r="C138" i="14"/>
  <c r="E28" i="14"/>
  <c r="B57" i="14"/>
  <c r="A57" i="14" s="1"/>
  <c r="D17" i="14"/>
  <c r="E67" i="14"/>
  <c r="C147" i="14"/>
  <c r="E96" i="14"/>
  <c r="E141" i="14"/>
  <c r="C131" i="14"/>
  <c r="B56" i="14"/>
  <c r="A56" i="14" s="1"/>
  <c r="E88" i="14"/>
  <c r="C106" i="14"/>
  <c r="B30" i="14"/>
  <c r="A30" i="14" s="1"/>
  <c r="C143" i="14"/>
  <c r="E146" i="14"/>
  <c r="E82" i="14"/>
  <c r="B59" i="14"/>
  <c r="A59" i="14" s="1"/>
  <c r="E86" i="14"/>
  <c r="E49" i="14"/>
  <c r="C44" i="14"/>
  <c r="C88" i="14"/>
  <c r="E76" i="14"/>
  <c r="E46" i="14"/>
  <c r="B50" i="14"/>
  <c r="A50" i="14" s="1"/>
  <c r="C72" i="14"/>
  <c r="B138" i="14"/>
  <c r="A138" i="14" s="1"/>
  <c r="D138" i="14"/>
  <c r="E50" i="14"/>
  <c r="B92" i="14"/>
  <c r="A92" i="14" s="1"/>
  <c r="D135" i="14"/>
  <c r="C144" i="14"/>
  <c r="B114" i="14"/>
  <c r="A114" i="14" s="1"/>
  <c r="E153" i="14"/>
  <c r="B123" i="14"/>
  <c r="A123" i="14" s="1"/>
  <c r="E13" i="14"/>
  <c r="E123" i="14"/>
  <c r="E147" i="14"/>
  <c r="C89" i="14"/>
  <c r="C140" i="14"/>
  <c r="D106" i="14"/>
  <c r="E127" i="14"/>
  <c r="E15" i="14"/>
  <c r="D58" i="14"/>
  <c r="C79" i="14"/>
  <c r="E98" i="14"/>
  <c r="C23" i="14"/>
  <c r="C67" i="14"/>
  <c r="B130" i="14"/>
  <c r="A130" i="14" s="1"/>
  <c r="B39" i="14"/>
  <c r="A39" i="14" s="1"/>
  <c r="D67" i="14"/>
  <c r="D118" i="14"/>
  <c r="D27" i="14"/>
  <c r="B86" i="14"/>
  <c r="A86" i="14" s="1"/>
  <c r="C20" i="14"/>
  <c r="D28" i="14"/>
  <c r="B44" i="14"/>
  <c r="A44" i="14" s="1"/>
  <c r="C29" i="14"/>
  <c r="B131" i="14"/>
  <c r="A131" i="14" s="1"/>
  <c r="B152" i="14"/>
  <c r="A152" i="14" s="1"/>
  <c r="B103" i="14"/>
  <c r="A103" i="14" s="1"/>
  <c r="E100" i="14"/>
  <c r="C46" i="14"/>
  <c r="C76" i="14"/>
  <c r="E139" i="14"/>
  <c r="C146" i="14"/>
  <c r="D136" i="14"/>
  <c r="D93" i="14"/>
  <c r="E134" i="14"/>
  <c r="D101" i="14"/>
  <c r="B125" i="14"/>
  <c r="A125" i="14" s="1"/>
  <c r="B78" i="14"/>
  <c r="A78" i="14" s="1"/>
  <c r="B79" i="14"/>
  <c r="A79" i="14" s="1"/>
  <c r="D22" i="14"/>
  <c r="D18" i="14"/>
  <c r="C85" i="14"/>
  <c r="D21" i="14"/>
  <c r="D42" i="14"/>
  <c r="E79" i="14"/>
  <c r="B84" i="14"/>
  <c r="A84" i="14" s="1"/>
  <c r="D104" i="14"/>
  <c r="C68" i="14"/>
  <c r="C39" i="14"/>
  <c r="D99" i="14"/>
  <c r="E121" i="14"/>
  <c r="C66" i="14"/>
  <c r="E126" i="14"/>
  <c r="B109" i="14"/>
  <c r="A109" i="14" s="1"/>
  <c r="D36" i="14"/>
  <c r="C145" i="14"/>
  <c r="D69" i="14"/>
  <c r="D114" i="14"/>
  <c r="E74" i="14"/>
  <c r="B63" i="14"/>
  <c r="A63" i="14" s="1"/>
  <c r="E125" i="14"/>
  <c r="D111" i="14"/>
  <c r="E19" i="14"/>
  <c r="B77" i="14"/>
  <c r="A77" i="14" s="1"/>
  <c r="C26" i="14"/>
  <c r="D46" i="14"/>
  <c r="B26" i="14"/>
  <c r="A26" i="14" s="1"/>
  <c r="C58" i="14"/>
  <c r="B112" i="14"/>
  <c r="A112" i="14" s="1"/>
  <c r="D143" i="14"/>
  <c r="E32" i="14"/>
  <c r="D115" i="14"/>
  <c r="E37" i="14"/>
  <c r="E97" i="14"/>
  <c r="E136" i="14"/>
  <c r="B132" i="14"/>
  <c r="A132" i="14" s="1"/>
  <c r="E39" i="14"/>
  <c r="B16" i="14"/>
  <c r="A16" i="14" s="1"/>
  <c r="B31" i="14"/>
  <c r="A31" i="14" s="1"/>
  <c r="B83" i="14"/>
  <c r="A83" i="14" s="1"/>
  <c r="E69" i="14"/>
  <c r="C115" i="14"/>
  <c r="E83" i="14"/>
  <c r="B106" i="14"/>
  <c r="A106" i="14" s="1"/>
  <c r="E58" i="14"/>
  <c r="E142" i="14"/>
  <c r="C14" i="14"/>
  <c r="D71" i="14"/>
  <c r="C32" i="14"/>
  <c r="D147" i="14"/>
  <c r="E22" i="14"/>
  <c r="B53" i="14"/>
  <c r="A53" i="14" s="1"/>
  <c r="E26" i="14"/>
  <c r="E92" i="14"/>
  <c r="E64" i="14"/>
  <c r="C136" i="14"/>
  <c r="D53" i="14"/>
  <c r="E115" i="14"/>
  <c r="C119" i="14"/>
  <c r="B75" i="14"/>
  <c r="A75" i="14" s="1"/>
  <c r="E53" i="14"/>
  <c r="D100" i="14"/>
  <c r="C94" i="14"/>
  <c r="E85" i="14"/>
  <c r="D25" i="14"/>
  <c r="C55" i="14"/>
  <c r="D59" i="14"/>
  <c r="B22" i="14"/>
  <c r="A22" i="14" s="1"/>
  <c r="C137" i="14"/>
  <c r="E35" i="14"/>
  <c r="D19" i="14"/>
  <c r="B115" i="14"/>
  <c r="A115" i="14" s="1"/>
  <c r="C16" i="14"/>
  <c r="C141" i="14"/>
  <c r="B127" i="14"/>
  <c r="A127" i="14" s="1"/>
  <c r="E106" i="14"/>
  <c r="C114" i="14"/>
  <c r="D117" i="14"/>
  <c r="D85" i="14"/>
  <c r="C70" i="14"/>
  <c r="C105" i="14"/>
  <c r="E60" i="14"/>
  <c r="C83" i="14"/>
  <c r="E111" i="14"/>
  <c r="D108" i="14"/>
  <c r="B19" i="14"/>
  <c r="A19" i="14" s="1"/>
  <c r="C101" i="14"/>
  <c r="E18" i="14"/>
  <c r="B128" i="14"/>
  <c r="A128" i="14" s="1"/>
  <c r="E68" i="14"/>
  <c r="E93" i="14"/>
  <c r="E70" i="14"/>
  <c r="B145" i="14"/>
  <c r="A145" i="14" s="1"/>
  <c r="B143" i="14"/>
  <c r="A143" i="14" s="1"/>
  <c r="E54" i="14"/>
  <c r="D72" i="14"/>
  <c r="B104" i="14"/>
  <c r="A104" i="14" s="1"/>
  <c r="B13" i="14"/>
  <c r="A13" i="14" s="1"/>
  <c r="L29" i="16"/>
  <c r="E29" i="16"/>
  <c r="C29" i="16"/>
  <c r="D29" i="16"/>
  <c r="N29" i="16"/>
  <c r="K29" i="16"/>
  <c r="B29" i="16"/>
  <c r="H29" i="16"/>
  <c r="A29" i="16"/>
  <c r="I29" i="16"/>
  <c r="G29" i="16"/>
  <c r="AF58" i="16"/>
  <c r="G30" i="16" s="1"/>
  <c r="L22" i="15"/>
  <c r="C22" i="15"/>
  <c r="A22" i="15"/>
  <c r="B22" i="15"/>
  <c r="H22" i="15"/>
  <c r="D22" i="15"/>
  <c r="N22" i="15"/>
  <c r="I22" i="15"/>
  <c r="K22" i="15"/>
  <c r="G22" i="15"/>
  <c r="F22" i="15"/>
  <c r="J22" i="15"/>
  <c r="AF42" i="15"/>
  <c r="M22" i="15"/>
  <c r="J29" i="16"/>
  <c r="H23" i="15" l="1"/>
  <c r="F30" i="16"/>
  <c r="L30" i="16"/>
  <c r="K30" i="16"/>
  <c r="H30" i="16"/>
  <c r="AF59" i="16"/>
  <c r="N31" i="16" s="1"/>
  <c r="E30" i="16"/>
  <c r="M30" i="16"/>
  <c r="J30" i="16"/>
  <c r="A30" i="16"/>
  <c r="N30" i="16"/>
  <c r="D30" i="16"/>
  <c r="I30" i="16"/>
  <c r="C30" i="16"/>
  <c r="J23" i="15"/>
  <c r="G23" i="15"/>
  <c r="C23" i="15"/>
  <c r="L23" i="15"/>
  <c r="F23" i="15"/>
  <c r="K23" i="15"/>
  <c r="I23" i="15"/>
  <c r="N23" i="15"/>
  <c r="E23" i="15"/>
  <c r="B23" i="15"/>
  <c r="D23" i="15"/>
  <c r="M23" i="15"/>
  <c r="AF43" i="15"/>
  <c r="B30" i="16"/>
  <c r="B31" i="16" l="1"/>
  <c r="K31" i="16"/>
  <c r="L31" i="16"/>
  <c r="A31" i="16"/>
  <c r="M31" i="16"/>
  <c r="D31" i="16"/>
  <c r="F31" i="16"/>
  <c r="E31" i="16"/>
  <c r="H31" i="16"/>
  <c r="G31" i="16"/>
  <c r="AF60" i="16"/>
  <c r="I31" i="16"/>
  <c r="J31" i="16"/>
  <c r="AF45" i="15"/>
  <c r="D25" i="15" s="1"/>
  <c r="G24" i="15"/>
  <c r="M24" i="15"/>
  <c r="J24" i="15"/>
  <c r="E24" i="15"/>
  <c r="F24" i="15"/>
  <c r="B24" i="15"/>
  <c r="L24" i="15"/>
  <c r="D24" i="15"/>
  <c r="A23" i="15"/>
  <c r="H24" i="15"/>
  <c r="I24" i="15"/>
  <c r="A24" i="15"/>
  <c r="C24" i="15"/>
  <c r="N24" i="15"/>
  <c r="K24" i="15"/>
  <c r="C31" i="16"/>
  <c r="L32" i="16" l="1"/>
  <c r="AF61" i="16"/>
  <c r="AF62" i="16" s="1"/>
  <c r="I33" i="16" s="1"/>
  <c r="J32" i="16"/>
  <c r="F32" i="16"/>
  <c r="I32" i="16"/>
  <c r="M32" i="16"/>
  <c r="C32" i="16"/>
  <c r="N32" i="16"/>
  <c r="A32" i="16"/>
  <c r="D32" i="16"/>
  <c r="H32" i="16"/>
  <c r="G32" i="16"/>
  <c r="B32" i="16"/>
  <c r="E32" i="16"/>
  <c r="I25" i="15"/>
  <c r="A25" i="15"/>
  <c r="B25" i="15"/>
  <c r="H25" i="15"/>
  <c r="L25" i="15"/>
  <c r="J25" i="15"/>
  <c r="G25" i="15"/>
  <c r="C25" i="15"/>
  <c r="K25" i="15"/>
  <c r="AF46" i="15"/>
  <c r="E25" i="15"/>
  <c r="M25" i="15"/>
  <c r="N25" i="15"/>
  <c r="F25" i="15"/>
  <c r="K32" i="16"/>
  <c r="E26" i="15" l="1"/>
  <c r="F33" i="16"/>
  <c r="K33" i="16"/>
  <c r="D33" i="16"/>
  <c r="E33" i="16"/>
  <c r="E28" i="16"/>
  <c r="J33" i="16"/>
  <c r="N33" i="16"/>
  <c r="H33" i="16"/>
  <c r="C33" i="16"/>
  <c r="A33" i="16"/>
  <c r="B33" i="16"/>
  <c r="AF63" i="16"/>
  <c r="AF65" i="16" s="1"/>
  <c r="L33" i="16"/>
  <c r="G33" i="16"/>
  <c r="M33" i="16"/>
  <c r="H26" i="15"/>
  <c r="B26" i="15"/>
  <c r="A26" i="15"/>
  <c r="L26" i="15"/>
  <c r="J26" i="15"/>
  <c r="G26" i="15"/>
  <c r="D26" i="15"/>
  <c r="F26" i="15"/>
  <c r="M26" i="15"/>
  <c r="C26" i="15"/>
  <c r="AF48" i="15"/>
  <c r="G27" i="15" s="1"/>
  <c r="N26" i="15"/>
  <c r="I26" i="15"/>
  <c r="K26" i="15"/>
  <c r="N34" i="16" l="1"/>
  <c r="C34" i="16"/>
  <c r="M34" i="16"/>
  <c r="I34" i="16"/>
  <c r="G34" i="16"/>
  <c r="L34" i="16"/>
  <c r="H34" i="16"/>
  <c r="F34" i="16"/>
  <c r="A34" i="16"/>
  <c r="D34" i="16"/>
  <c r="M35" i="16"/>
  <c r="H35" i="16"/>
  <c r="K35" i="16"/>
  <c r="E34" i="16"/>
  <c r="B35" i="16"/>
  <c r="B34" i="16"/>
  <c r="K34" i="16"/>
  <c r="J34" i="16"/>
  <c r="F29" i="16"/>
  <c r="AF66" i="16"/>
  <c r="N36" i="16" s="1"/>
  <c r="C27" i="15"/>
  <c r="E27" i="15"/>
  <c r="K27" i="15"/>
  <c r="L27" i="15"/>
  <c r="F27" i="15"/>
  <c r="A27" i="15"/>
  <c r="M27" i="15"/>
  <c r="N27" i="15"/>
  <c r="D27" i="15"/>
  <c r="H27" i="15"/>
  <c r="J27" i="15"/>
  <c r="B27" i="15"/>
  <c r="I27" i="15"/>
  <c r="AF49" i="15"/>
  <c r="J35" i="16"/>
  <c r="I35" i="16"/>
  <c r="N35" i="16"/>
  <c r="E35" i="16"/>
  <c r="F35" i="16"/>
  <c r="G35" i="16"/>
  <c r="A35" i="16"/>
  <c r="D35" i="16"/>
  <c r="C35" i="16"/>
  <c r="L35" i="16"/>
  <c r="J28" i="15" l="1"/>
  <c r="AF50" i="15"/>
  <c r="K36" i="16"/>
  <c r="L36" i="16"/>
  <c r="J36" i="16"/>
  <c r="H36" i="16"/>
  <c r="A36" i="16"/>
  <c r="D36" i="16"/>
  <c r="I36" i="16"/>
  <c r="E36" i="16"/>
  <c r="C36" i="16"/>
  <c r="F36" i="16"/>
  <c r="G36" i="16"/>
  <c r="B36" i="16"/>
  <c r="AF67" i="16"/>
  <c r="A37" i="16" s="1"/>
  <c r="L28" i="15"/>
  <c r="F28" i="15"/>
  <c r="B28" i="15"/>
  <c r="D28" i="15"/>
  <c r="I28" i="15"/>
  <c r="A28" i="15"/>
  <c r="G28" i="15"/>
  <c r="K28" i="15"/>
  <c r="M28" i="15"/>
  <c r="E28" i="15"/>
  <c r="H28" i="15"/>
  <c r="N28" i="15"/>
  <c r="AF52" i="15"/>
  <c r="C28" i="15"/>
  <c r="B29" i="15" l="1"/>
  <c r="L37" i="16"/>
  <c r="J37" i="16"/>
  <c r="N37" i="16"/>
  <c r="F37" i="16"/>
  <c r="M37" i="16"/>
  <c r="D37" i="16"/>
  <c r="G37" i="16"/>
  <c r="K37" i="16"/>
  <c r="B37" i="16"/>
  <c r="E37" i="16"/>
  <c r="C37" i="16"/>
  <c r="I37" i="16"/>
  <c r="AF70" i="16"/>
  <c r="AF71" i="16" s="1"/>
  <c r="D29" i="15"/>
  <c r="H29" i="15"/>
  <c r="C29" i="15"/>
  <c r="I29" i="15"/>
  <c r="A29" i="15"/>
  <c r="M29" i="15"/>
  <c r="G29" i="15"/>
  <c r="N29" i="15"/>
  <c r="J29" i="15"/>
  <c r="E29" i="15"/>
  <c r="L29" i="15"/>
  <c r="AF53" i="15"/>
  <c r="C30" i="15" s="1"/>
  <c r="F29" i="15"/>
  <c r="K29" i="15"/>
  <c r="L38" i="16" l="1"/>
  <c r="I38" i="16"/>
  <c r="F38" i="16"/>
  <c r="E38" i="16"/>
  <c r="G38" i="16"/>
  <c r="C38" i="16"/>
  <c r="M38" i="16"/>
  <c r="K38" i="16"/>
  <c r="B38" i="16"/>
  <c r="N38" i="16"/>
  <c r="D38" i="16"/>
  <c r="A38" i="16"/>
  <c r="J38" i="16"/>
  <c r="AF72" i="16"/>
  <c r="E30" i="15"/>
  <c r="D30" i="15"/>
  <c r="J30" i="15"/>
  <c r="M30" i="15"/>
  <c r="B30" i="15"/>
  <c r="K30" i="15"/>
  <c r="N30" i="15"/>
  <c r="AF54" i="15"/>
  <c r="C31" i="15" s="1"/>
  <c r="G30" i="15"/>
  <c r="L30" i="15"/>
  <c r="I30" i="15"/>
  <c r="H30" i="15"/>
  <c r="A30" i="15"/>
  <c r="F30" i="15"/>
  <c r="G39" i="16"/>
  <c r="K39" i="16"/>
  <c r="M39" i="16"/>
  <c r="E39" i="16"/>
  <c r="C39" i="16"/>
  <c r="F39" i="16"/>
  <c r="B39" i="16"/>
  <c r="I39" i="16"/>
  <c r="L39" i="16"/>
  <c r="A39" i="16"/>
  <c r="H39" i="16"/>
  <c r="J39" i="16"/>
  <c r="D39" i="16"/>
  <c r="N39" i="16"/>
  <c r="M36" i="16" l="1"/>
  <c r="AF73" i="16"/>
  <c r="N31" i="15"/>
  <c r="E31" i="15"/>
  <c r="J31" i="15"/>
  <c r="I31" i="15"/>
  <c r="L31" i="15"/>
  <c r="D31" i="15"/>
  <c r="M31" i="15"/>
  <c r="F31" i="15"/>
  <c r="G31" i="15"/>
  <c r="AF59" i="15"/>
  <c r="H31" i="15"/>
  <c r="A31" i="15"/>
  <c r="K31" i="15"/>
  <c r="B31" i="15"/>
  <c r="E40" i="16"/>
  <c r="K40" i="16"/>
  <c r="D40" i="16"/>
  <c r="N40" i="16"/>
  <c r="L40" i="16"/>
  <c r="F40" i="16"/>
  <c r="G40" i="16"/>
  <c r="M40" i="16"/>
  <c r="H40" i="16"/>
  <c r="J40" i="16"/>
  <c r="C40" i="16"/>
  <c r="I40" i="16"/>
  <c r="B40" i="16"/>
  <c r="H37" i="16" l="1"/>
  <c r="AF74" i="16"/>
  <c r="J42" i="16" s="1"/>
  <c r="G32" i="15"/>
  <c r="H32" i="15"/>
  <c r="AF60" i="15"/>
  <c r="H33" i="15" s="1"/>
  <c r="F32" i="15"/>
  <c r="E32" i="15"/>
  <c r="A32" i="15"/>
  <c r="D32" i="15"/>
  <c r="N32" i="15"/>
  <c r="J32" i="15"/>
  <c r="B32" i="15"/>
  <c r="K32" i="15"/>
  <c r="C32" i="15"/>
  <c r="M32" i="15"/>
  <c r="L32" i="15"/>
  <c r="I32" i="15"/>
  <c r="K41" i="16"/>
  <c r="A41" i="16"/>
  <c r="H41" i="16"/>
  <c r="L41" i="16"/>
  <c r="N41" i="16"/>
  <c r="B41" i="16"/>
  <c r="G41" i="16"/>
  <c r="E41" i="16"/>
  <c r="D41" i="16"/>
  <c r="J41" i="16"/>
  <c r="F41" i="16"/>
  <c r="M41" i="16"/>
  <c r="C41" i="16"/>
  <c r="I41" i="16"/>
  <c r="N33" i="15" l="1"/>
  <c r="F42" i="16"/>
  <c r="E42" i="16"/>
  <c r="A42" i="16"/>
  <c r="C42" i="16"/>
  <c r="N42" i="16"/>
  <c r="K42" i="16"/>
  <c r="I42" i="16"/>
  <c r="H42" i="16"/>
  <c r="B42" i="16"/>
  <c r="L42" i="16"/>
  <c r="D42" i="16"/>
  <c r="G42" i="16"/>
  <c r="M42" i="16"/>
  <c r="H38" i="16"/>
  <c r="AF76" i="16"/>
  <c r="C33" i="15"/>
  <c r="I33" i="15"/>
  <c r="L33" i="15"/>
  <c r="J33" i="15"/>
  <c r="F33" i="15"/>
  <c r="D33" i="15"/>
  <c r="M33" i="15"/>
  <c r="G33" i="15"/>
  <c r="AF62" i="15"/>
  <c r="I34" i="15" s="1"/>
  <c r="K33" i="15"/>
  <c r="E33" i="15"/>
  <c r="B33" i="15"/>
  <c r="A33" i="15"/>
  <c r="B43" i="16" l="1"/>
  <c r="C43" i="16"/>
  <c r="AF77" i="16"/>
  <c r="A40" i="16" s="1"/>
  <c r="H43" i="16"/>
  <c r="E43" i="16"/>
  <c r="J43" i="16"/>
  <c r="M43" i="16"/>
  <c r="I43" i="16"/>
  <c r="L43" i="16"/>
  <c r="D43" i="16"/>
  <c r="G43" i="16"/>
  <c r="N43" i="16"/>
  <c r="F43" i="16"/>
  <c r="A43" i="16"/>
  <c r="K43" i="16"/>
  <c r="G34" i="15"/>
  <c r="J34" i="15"/>
  <c r="K34" i="15"/>
  <c r="F34" i="15"/>
  <c r="AF63" i="15"/>
  <c r="M34" i="15"/>
  <c r="B34" i="15"/>
  <c r="N34" i="15"/>
  <c r="D34" i="15"/>
  <c r="A34" i="15"/>
  <c r="L34" i="15"/>
  <c r="H34" i="15"/>
  <c r="E34" i="15"/>
  <c r="C34" i="15"/>
  <c r="D35" i="15" l="1"/>
  <c r="AF66" i="15"/>
  <c r="E44" i="16"/>
  <c r="C44" i="16"/>
  <c r="L44" i="16"/>
  <c r="N44" i="16"/>
  <c r="K44" i="16"/>
  <c r="AF78" i="16"/>
  <c r="B44" i="16"/>
  <c r="D44" i="16"/>
  <c r="F44" i="16"/>
  <c r="G44" i="16"/>
  <c r="I44" i="16"/>
  <c r="H44" i="16"/>
  <c r="J44" i="16"/>
  <c r="A44" i="16"/>
  <c r="M44" i="16"/>
  <c r="F35" i="15"/>
  <c r="N35" i="15"/>
  <c r="E35" i="15"/>
  <c r="L35" i="15"/>
  <c r="C35" i="15"/>
  <c r="M35" i="15"/>
  <c r="K35" i="15"/>
  <c r="B35" i="15"/>
  <c r="I35" i="15"/>
  <c r="A35" i="15"/>
  <c r="G35" i="15"/>
  <c r="H35" i="15"/>
  <c r="J35" i="15"/>
  <c r="AF69" i="15" l="1"/>
  <c r="AF70" i="15" s="1"/>
  <c r="AF81" i="16"/>
  <c r="AF82" i="16" s="1"/>
  <c r="I72" i="16" s="1"/>
  <c r="K47" i="16"/>
  <c r="D46" i="16"/>
  <c r="L45" i="16"/>
  <c r="I46" i="16"/>
  <c r="J46" i="16"/>
  <c r="J47" i="16"/>
  <c r="L46" i="16"/>
  <c r="G48" i="16"/>
  <c r="F45" i="16"/>
  <c r="L47" i="16"/>
  <c r="J45" i="16"/>
  <c r="I88" i="16"/>
  <c r="G46" i="16"/>
  <c r="J48" i="16"/>
  <c r="N46" i="16"/>
  <c r="C48" i="16"/>
  <c r="L48" i="16"/>
  <c r="K46" i="16"/>
  <c r="K48" i="16"/>
  <c r="J61" i="16"/>
  <c r="G95" i="16"/>
  <c r="E118" i="16"/>
  <c r="I66" i="16"/>
  <c r="D47" i="16"/>
  <c r="E52" i="16"/>
  <c r="G98" i="16"/>
  <c r="J140" i="16"/>
  <c r="F142" i="16"/>
  <c r="B130" i="16"/>
  <c r="B138" i="16"/>
  <c r="J114" i="16"/>
  <c r="E58" i="16"/>
  <c r="J93" i="16"/>
  <c r="A95" i="16"/>
  <c r="K118" i="16"/>
  <c r="G49" i="16"/>
  <c r="E108" i="16"/>
  <c r="J119" i="16"/>
  <c r="L103" i="16"/>
  <c r="K145" i="16"/>
  <c r="F48" i="16"/>
  <c r="F63" i="16"/>
  <c r="F46" i="16"/>
  <c r="J150" i="16"/>
  <c r="M126" i="16"/>
  <c r="E78" i="16"/>
  <c r="D75" i="16"/>
  <c r="I99" i="16"/>
  <c r="D124" i="16"/>
  <c r="L106" i="16"/>
  <c r="L66" i="16"/>
  <c r="D135" i="16"/>
  <c r="D54" i="16"/>
  <c r="N71" i="16"/>
  <c r="H45" i="16"/>
  <c r="F115" i="16"/>
  <c r="H88" i="16"/>
  <c r="A80" i="16"/>
  <c r="C70" i="16"/>
  <c r="A99" i="16"/>
  <c r="C122" i="16"/>
  <c r="D114" i="16"/>
  <c r="A136" i="16"/>
  <c r="B62" i="16"/>
  <c r="C131" i="16"/>
  <c r="C51" i="16"/>
  <c r="J105" i="16"/>
  <c r="J73" i="16"/>
  <c r="L68" i="16"/>
  <c r="D48" i="16"/>
  <c r="N147" i="16"/>
  <c r="H145" i="16"/>
  <c r="A89" i="16"/>
  <c r="C54" i="16"/>
  <c r="F59" i="16"/>
  <c r="A94" i="16"/>
  <c r="B45" i="16"/>
  <c r="B102" i="16"/>
  <c r="I67" i="16"/>
  <c r="I101" i="16"/>
  <c r="B94" i="16"/>
  <c r="N49" i="16"/>
  <c r="C68" i="16"/>
  <c r="I73" i="16"/>
  <c r="H121" i="16"/>
  <c r="H90" i="16"/>
  <c r="K96" i="16"/>
  <c r="M112" i="16"/>
  <c r="H60" i="16"/>
  <c r="B115" i="16"/>
  <c r="C148" i="16"/>
  <c r="A49" i="16"/>
  <c r="F52" i="16"/>
  <c r="N113" i="16"/>
  <c r="F49" i="16"/>
  <c r="A150" i="16"/>
  <c r="I114" i="16"/>
  <c r="M46" i="16"/>
  <c r="M47" i="16"/>
  <c r="A85" i="16"/>
  <c r="D76" i="16"/>
  <c r="F73" i="16"/>
  <c r="F100" i="16"/>
  <c r="C93" i="16"/>
  <c r="H68" i="16"/>
  <c r="A76" i="16"/>
  <c r="D147" i="16"/>
  <c r="H113" i="16"/>
  <c r="J107" i="16"/>
  <c r="J123" i="16"/>
  <c r="D59" i="16"/>
  <c r="I94" i="16"/>
  <c r="K83" i="16"/>
  <c r="J97" i="16"/>
  <c r="D151" i="16"/>
  <c r="F47" i="16"/>
  <c r="D120" i="16"/>
  <c r="J148" i="16"/>
  <c r="C78" i="16"/>
  <c r="A142" i="16"/>
  <c r="H82" i="16"/>
  <c r="K153" i="16"/>
  <c r="G105" i="16"/>
  <c r="I139" i="16"/>
  <c r="M48" i="16"/>
  <c r="F124" i="16"/>
  <c r="I150" i="16"/>
  <c r="G65" i="16"/>
  <c r="J63" i="16"/>
  <c r="M111" i="16"/>
  <c r="I76" i="16"/>
  <c r="E145" i="16"/>
  <c r="M104" i="16"/>
  <c r="I59" i="16"/>
  <c r="J80" i="16"/>
  <c r="M129" i="16"/>
  <c r="H46" i="16"/>
  <c r="E51" i="16"/>
  <c r="M45" i="16"/>
  <c r="C147" i="16"/>
  <c r="K113" i="16"/>
  <c r="N118" i="16"/>
  <c r="G127" i="16"/>
  <c r="G67" i="16"/>
  <c r="A102" i="16"/>
  <c r="A48" i="16"/>
  <c r="I60" i="16"/>
  <c r="D134" i="16"/>
  <c r="M116" i="16"/>
  <c r="L96" i="16"/>
  <c r="G148" i="16"/>
  <c r="E66" i="16"/>
  <c r="F84" i="16"/>
  <c r="G151" i="16"/>
  <c r="L98" i="16"/>
  <c r="I113" i="16"/>
  <c r="L131" i="16"/>
  <c r="A137" i="16"/>
  <c r="G139" i="16"/>
  <c r="N136" i="16"/>
  <c r="N138" i="16"/>
  <c r="H136" i="16"/>
  <c r="N47" i="16"/>
  <c r="A149" i="16"/>
  <c r="A127" i="16"/>
  <c r="J81" i="16"/>
  <c r="F107" i="16"/>
  <c r="B78" i="16"/>
  <c r="N133" i="16"/>
  <c r="H50" i="16"/>
  <c r="M150" i="16"/>
  <c r="F121" i="16"/>
  <c r="D52" i="16"/>
  <c r="N150" i="16"/>
  <c r="N112" i="16"/>
  <c r="E136" i="16"/>
  <c r="K80" i="16"/>
  <c r="I45" i="16"/>
  <c r="I51" i="16"/>
  <c r="K123" i="16"/>
  <c r="J135" i="16"/>
  <c r="H67" i="16"/>
  <c r="D89" i="16"/>
  <c r="J141" i="16"/>
  <c r="J74" i="16"/>
  <c r="E45" i="16"/>
  <c r="D62" i="16"/>
  <c r="G52" i="16"/>
  <c r="B46" i="16"/>
  <c r="B143" i="16"/>
  <c r="G134" i="16"/>
  <c r="B112" i="16"/>
  <c r="C126" i="16"/>
  <c r="E148" i="16"/>
  <c r="J133" i="16"/>
  <c r="J138" i="16"/>
  <c r="B97" i="16"/>
  <c r="C151" i="16"/>
  <c r="K77" i="16"/>
  <c r="C74" i="16"/>
  <c r="M58" i="16"/>
  <c r="L57" i="16"/>
  <c r="J120" i="16"/>
  <c r="E88" i="16"/>
  <c r="D55" i="16"/>
  <c r="L124" i="16"/>
  <c r="I124" i="16"/>
  <c r="J124" i="16"/>
  <c r="D116" i="16"/>
  <c r="M142" i="16"/>
  <c r="N45" i="16"/>
  <c r="M78" i="16"/>
  <c r="B95" i="16"/>
  <c r="M100" i="16"/>
  <c r="N105" i="16"/>
  <c r="H48" i="16"/>
  <c r="B48" i="16"/>
  <c r="M115" i="16"/>
  <c r="N130" i="16"/>
  <c r="D153" i="16"/>
  <c r="A79" i="16"/>
  <c r="C77" i="16"/>
  <c r="L140" i="16"/>
  <c r="A64" i="16"/>
  <c r="C47" i="16"/>
  <c r="L78" i="16"/>
  <c r="G150" i="16"/>
  <c r="G45" i="16"/>
  <c r="A47" i="16"/>
  <c r="K64" i="16"/>
  <c r="B98" i="16"/>
  <c r="L150" i="16"/>
  <c r="M121" i="16"/>
  <c r="N48" i="16"/>
  <c r="A65" i="16"/>
  <c r="A121" i="16"/>
  <c r="H49" i="16"/>
  <c r="A141" i="16"/>
  <c r="K133" i="16"/>
  <c r="M49" i="16"/>
  <c r="B81" i="16"/>
  <c r="N88" i="16"/>
  <c r="A98" i="16"/>
  <c r="C109" i="16"/>
  <c r="J99" i="16"/>
  <c r="H111" i="16"/>
  <c r="L114" i="16"/>
  <c r="H47" i="16"/>
  <c r="I97" i="16"/>
  <c r="F87" i="16"/>
  <c r="B136" i="16"/>
  <c r="G152" i="16"/>
  <c r="J129" i="16"/>
  <c r="E128" i="16"/>
  <c r="N103" i="16"/>
  <c r="E48" i="16"/>
  <c r="B146" i="16"/>
  <c r="F122" i="16"/>
  <c r="B135" i="16"/>
  <c r="I83" i="16"/>
  <c r="A71" i="16"/>
  <c r="E67" i="16"/>
  <c r="I142" i="16"/>
  <c r="A56" i="16"/>
  <c r="J68" i="16"/>
  <c r="G75" i="16"/>
  <c r="J66" i="16"/>
  <c r="D65" i="16"/>
  <c r="C144" i="16"/>
  <c r="L141" i="16"/>
  <c r="I135" i="16"/>
  <c r="D104" i="16"/>
  <c r="J49" i="16"/>
  <c r="G124" i="16"/>
  <c r="A46" i="16"/>
  <c r="H147" i="16"/>
  <c r="B101" i="16"/>
  <c r="L148" i="16"/>
  <c r="D131" i="16"/>
  <c r="G94" i="16"/>
  <c r="G82" i="16"/>
  <c r="F69" i="16"/>
  <c r="A148" i="16"/>
  <c r="K135" i="16"/>
  <c r="I47" i="16"/>
  <c r="C49" i="16"/>
  <c r="A59" i="16"/>
  <c r="L75" i="16"/>
  <c r="M74" i="16"/>
  <c r="F65" i="16"/>
  <c r="B68" i="16"/>
  <c r="G58" i="16"/>
  <c r="D50" i="16"/>
  <c r="F153" i="16"/>
  <c r="C140" i="16"/>
  <c r="K138" i="16"/>
  <c r="L108" i="16"/>
  <c r="F80" i="16"/>
  <c r="A93" i="16"/>
  <c r="I138" i="16"/>
  <c r="B123" i="16"/>
  <c r="G116" i="16"/>
  <c r="G153" i="16"/>
  <c r="L145" i="16"/>
  <c r="F77" i="16"/>
  <c r="E47" i="16"/>
  <c r="H129" i="16"/>
  <c r="N62" i="16"/>
  <c r="D56" i="16"/>
  <c r="K71" i="16"/>
  <c r="N100" i="16"/>
  <c r="J51" i="16"/>
  <c r="N54" i="16"/>
  <c r="M152" i="16"/>
  <c r="C103" i="16"/>
  <c r="F131" i="16"/>
  <c r="E115" i="16"/>
  <c r="G87" i="16"/>
  <c r="C133" i="16"/>
  <c r="I54" i="16"/>
  <c r="J84" i="16"/>
  <c r="N129" i="16"/>
  <c r="K56" i="16"/>
  <c r="D102" i="16"/>
  <c r="I65" i="16"/>
  <c r="B141" i="16"/>
  <c r="K149" i="16"/>
  <c r="C82" i="16"/>
  <c r="B83" i="16"/>
  <c r="D105" i="16"/>
  <c r="F129" i="16"/>
  <c r="G47" i="16"/>
  <c r="N114" i="16"/>
  <c r="H128" i="16"/>
  <c r="K45" i="16"/>
  <c r="I80" i="16"/>
  <c r="J52" i="16"/>
  <c r="A66" i="16"/>
  <c r="C63" i="16"/>
  <c r="B119" i="16"/>
  <c r="E133" i="16"/>
  <c r="K81" i="16"/>
  <c r="D45" i="16"/>
  <c r="A123" i="16"/>
  <c r="B108" i="16"/>
  <c r="D112" i="16"/>
  <c r="L92" i="16"/>
  <c r="K69" i="16"/>
  <c r="K73" i="16"/>
  <c r="F119" i="16"/>
  <c r="B69" i="16"/>
  <c r="I71" i="16"/>
  <c r="H143" i="16"/>
  <c r="E80" i="16"/>
  <c r="C98" i="16"/>
  <c r="B107" i="16"/>
  <c r="A45" i="16"/>
  <c r="M99" i="16"/>
  <c r="A109" i="16"/>
  <c r="B47" i="16"/>
  <c r="E139" i="16"/>
  <c r="A103" i="16"/>
  <c r="G103" i="16"/>
  <c r="F91" i="16"/>
  <c r="A129" i="16"/>
  <c r="C123" i="16"/>
  <c r="K49" i="16"/>
  <c r="N142" i="16"/>
  <c r="H106" i="16"/>
  <c r="E55" i="16"/>
  <c r="I53" i="16"/>
  <c r="A126" i="16"/>
  <c r="G133" i="16"/>
  <c r="L137" i="16"/>
  <c r="C45" i="16"/>
  <c r="H105" i="16"/>
  <c r="I49" i="16"/>
  <c r="K122" i="16"/>
  <c r="M83" i="16"/>
  <c r="J55" i="16"/>
  <c r="B49" i="16"/>
  <c r="N86" i="16"/>
  <c r="I148" i="16"/>
  <c r="C46" i="16"/>
  <c r="H91" i="16"/>
  <c r="C138" i="16"/>
  <c r="E85" i="16"/>
  <c r="L97" i="16"/>
  <c r="K150" i="16"/>
  <c r="C91" i="16"/>
  <c r="B64" i="16"/>
  <c r="A151" i="16"/>
  <c r="M127" i="16"/>
  <c r="M88" i="16"/>
  <c r="H97" i="16"/>
  <c r="N151" i="16"/>
  <c r="L89" i="16"/>
  <c r="M108" i="16"/>
  <c r="L62" i="16"/>
  <c r="L119" i="16"/>
  <c r="C64" i="16"/>
  <c r="L76" i="16"/>
  <c r="L49" i="16"/>
  <c r="C84" i="16"/>
  <c r="M65" i="16"/>
  <c r="N115" i="16"/>
  <c r="A133" i="16"/>
  <c r="B153" i="16"/>
  <c r="E46" i="16"/>
  <c r="C96" i="16"/>
  <c r="N52" i="16"/>
  <c r="K53" i="16"/>
  <c r="D73" i="16"/>
  <c r="I48" i="16"/>
  <c r="K107" i="16"/>
  <c r="G91" i="16"/>
  <c r="E107" i="16"/>
  <c r="L133" i="16"/>
  <c r="I145" i="16"/>
  <c r="B36" i="15"/>
  <c r="E37" i="15"/>
  <c r="D37" i="15"/>
  <c r="M38" i="15"/>
  <c r="A36" i="15"/>
  <c r="D39" i="15"/>
  <c r="F39" i="15"/>
  <c r="D40" i="15"/>
  <c r="N41" i="15"/>
  <c r="G40" i="15"/>
  <c r="M39" i="15"/>
  <c r="B39" i="15"/>
  <c r="I37" i="15"/>
  <c r="G38" i="15"/>
  <c r="J40" i="15"/>
  <c r="D38" i="15"/>
  <c r="E40" i="15"/>
  <c r="C40" i="15"/>
  <c r="K40" i="15"/>
  <c r="N40" i="15"/>
  <c r="N38" i="15"/>
  <c r="N36" i="15"/>
  <c r="I38" i="15"/>
  <c r="L41" i="15"/>
  <c r="J38" i="15"/>
  <c r="A38" i="15"/>
  <c r="H39" i="15"/>
  <c r="J41" i="15"/>
  <c r="K38" i="15"/>
  <c r="L37" i="15"/>
  <c r="L39" i="15"/>
  <c r="B37" i="15"/>
  <c r="F38" i="15"/>
  <c r="M41" i="15"/>
  <c r="F36" i="15"/>
  <c r="I41" i="15"/>
  <c r="A39" i="15"/>
  <c r="L36" i="15"/>
  <c r="C36" i="15"/>
  <c r="L38" i="15"/>
  <c r="J37" i="15"/>
  <c r="H41" i="15"/>
  <c r="D36" i="15"/>
  <c r="E39" i="15"/>
  <c r="K39" i="15"/>
  <c r="L40" i="15"/>
  <c r="B38" i="15"/>
  <c r="E36" i="15"/>
  <c r="I36" i="15"/>
  <c r="K37" i="15"/>
  <c r="G39" i="15"/>
  <c r="H37" i="15"/>
  <c r="G41" i="15"/>
  <c r="D41" i="15"/>
  <c r="K36" i="15"/>
  <c r="I39" i="15"/>
  <c r="I40" i="15"/>
  <c r="E38" i="15"/>
  <c r="M37" i="15"/>
  <c r="F37" i="15"/>
  <c r="F41" i="15"/>
  <c r="M40" i="15"/>
  <c r="N37" i="15"/>
  <c r="B40" i="15"/>
  <c r="C37" i="15"/>
  <c r="A41" i="15"/>
  <c r="G36" i="15"/>
  <c r="H36" i="15"/>
  <c r="A37" i="15"/>
  <c r="J36" i="15"/>
  <c r="A40" i="15"/>
  <c r="M36" i="15"/>
  <c r="C38" i="15"/>
  <c r="J39" i="15"/>
  <c r="N39" i="15"/>
  <c r="H40" i="15"/>
  <c r="C41" i="15"/>
  <c r="H38" i="15"/>
  <c r="C39" i="15"/>
  <c r="E41" i="15"/>
  <c r="K41" i="15"/>
  <c r="B41" i="15"/>
  <c r="F40" i="15"/>
  <c r="G37" i="15"/>
  <c r="F143" i="16" l="1"/>
  <c r="E81" i="16"/>
  <c r="A86" i="16"/>
  <c r="AF71" i="15"/>
  <c r="C97" i="16"/>
  <c r="L136" i="16"/>
  <c r="C130" i="16"/>
  <c r="B74" i="16"/>
  <c r="L105" i="16"/>
  <c r="F96" i="16"/>
  <c r="E100" i="16"/>
  <c r="M54" i="16"/>
  <c r="A74" i="16"/>
  <c r="H137" i="16"/>
  <c r="J58" i="16"/>
  <c r="C90" i="16"/>
  <c r="B124" i="16"/>
  <c r="K98" i="16"/>
  <c r="F50" i="16"/>
  <c r="K132" i="16"/>
  <c r="F89" i="16"/>
  <c r="N77" i="16"/>
  <c r="K100" i="16"/>
  <c r="F66" i="16"/>
  <c r="J102" i="16"/>
  <c r="B149" i="16"/>
  <c r="M77" i="16"/>
  <c r="J125" i="16"/>
  <c r="I68" i="16"/>
  <c r="E137" i="16"/>
  <c r="I93" i="16"/>
  <c r="B116" i="16"/>
  <c r="L112" i="16"/>
  <c r="H74" i="16"/>
  <c r="I98" i="16"/>
  <c r="N76" i="16"/>
  <c r="D61" i="16"/>
  <c r="D149" i="16"/>
  <c r="J88" i="16"/>
  <c r="A130" i="16"/>
  <c r="K61" i="16"/>
  <c r="I79" i="16"/>
  <c r="F64" i="16"/>
  <c r="D74" i="16"/>
  <c r="L127" i="16"/>
  <c r="G118" i="16"/>
  <c r="K92" i="16"/>
  <c r="B93" i="16"/>
  <c r="N72" i="16"/>
  <c r="E129" i="16"/>
  <c r="C60" i="16"/>
  <c r="A144" i="16"/>
  <c r="J153" i="16"/>
  <c r="J67" i="16"/>
  <c r="L71" i="16"/>
  <c r="C124" i="16"/>
  <c r="I149" i="16"/>
  <c r="H53" i="16"/>
  <c r="M125" i="16"/>
  <c r="I87" i="16"/>
  <c r="C128" i="16"/>
  <c r="L95" i="16"/>
  <c r="G147" i="16"/>
  <c r="J104" i="16"/>
  <c r="N80" i="16"/>
  <c r="C135" i="16"/>
  <c r="N75" i="16"/>
  <c r="H101" i="16"/>
  <c r="D136" i="16"/>
  <c r="M71" i="16"/>
  <c r="M141" i="16"/>
  <c r="I64" i="16"/>
  <c r="E117" i="16"/>
  <c r="M148" i="16"/>
  <c r="D130" i="16"/>
  <c r="A51" i="16"/>
  <c r="M50" i="16"/>
  <c r="K136" i="16"/>
  <c r="J145" i="16"/>
  <c r="L138" i="16"/>
  <c r="B51" i="16"/>
  <c r="L84" i="16"/>
  <c r="N70" i="16"/>
  <c r="A87" i="16"/>
  <c r="H115" i="16"/>
  <c r="M143" i="16"/>
  <c r="L100" i="16"/>
  <c r="B80" i="16"/>
  <c r="E146" i="16"/>
  <c r="I92" i="16"/>
  <c r="L149" i="16"/>
  <c r="F110" i="16"/>
  <c r="B52" i="16"/>
  <c r="N102" i="16"/>
  <c r="F146" i="16"/>
  <c r="M128" i="16"/>
  <c r="L52" i="16"/>
  <c r="G74" i="16"/>
  <c r="D133" i="16"/>
  <c r="B96" i="16"/>
  <c r="N104" i="16"/>
  <c r="L142" i="16"/>
  <c r="H73" i="16"/>
  <c r="G140" i="16"/>
  <c r="B66" i="16"/>
  <c r="L72" i="16"/>
  <c r="C149" i="16"/>
  <c r="H61" i="16"/>
  <c r="G59" i="16"/>
  <c r="K141" i="16"/>
  <c r="F82" i="16"/>
  <c r="N149" i="16"/>
  <c r="I62" i="16"/>
  <c r="M140" i="16"/>
  <c r="A55" i="16"/>
  <c r="D88" i="16"/>
  <c r="F113" i="16"/>
  <c r="E79" i="16"/>
  <c r="M51" i="16"/>
  <c r="F51" i="16"/>
  <c r="E142" i="16"/>
  <c r="G92" i="16"/>
  <c r="I120" i="16"/>
  <c r="J144" i="16"/>
  <c r="K63" i="16"/>
  <c r="M135" i="16"/>
  <c r="M117" i="16"/>
  <c r="K142" i="16"/>
  <c r="F92" i="16"/>
  <c r="A135" i="16"/>
  <c r="K151" i="16"/>
  <c r="J128" i="16"/>
  <c r="D86" i="16"/>
  <c r="J69" i="16"/>
  <c r="N82" i="16"/>
  <c r="E106" i="16"/>
  <c r="B128" i="16"/>
  <c r="I144" i="16"/>
  <c r="L129" i="16"/>
  <c r="L80" i="16"/>
  <c r="J64" i="16"/>
  <c r="E143" i="16"/>
  <c r="N116" i="16"/>
  <c r="G79" i="16"/>
  <c r="E116" i="16"/>
  <c r="M67" i="16"/>
  <c r="C145" i="16"/>
  <c r="I75" i="16"/>
  <c r="C139" i="16"/>
  <c r="D79" i="16"/>
  <c r="E113" i="16"/>
  <c r="N91" i="16"/>
  <c r="K124" i="16"/>
  <c r="L139" i="16"/>
  <c r="J62" i="16"/>
  <c r="E95" i="16"/>
  <c r="M86" i="16"/>
  <c r="H81" i="16"/>
  <c r="H151" i="16"/>
  <c r="K130" i="16"/>
  <c r="A91" i="16"/>
  <c r="E77" i="16"/>
  <c r="L61" i="16"/>
  <c r="G83" i="16"/>
  <c r="G56" i="16"/>
  <c r="A140" i="16"/>
  <c r="D139" i="16"/>
  <c r="L101" i="16"/>
  <c r="B88" i="16"/>
  <c r="F111" i="16"/>
  <c r="C134" i="16"/>
  <c r="B86" i="16"/>
  <c r="N120" i="16"/>
  <c r="D152" i="16"/>
  <c r="K119" i="16"/>
  <c r="J98" i="16"/>
  <c r="N131" i="16"/>
  <c r="H104" i="16"/>
  <c r="B99" i="16"/>
  <c r="L117" i="16"/>
  <c r="K99" i="16"/>
  <c r="F62" i="16"/>
  <c r="B65" i="16"/>
  <c r="G137" i="16"/>
  <c r="M89" i="16"/>
  <c r="A112" i="16"/>
  <c r="C137" i="16"/>
  <c r="B131" i="16"/>
  <c r="L82" i="16"/>
  <c r="F95" i="16"/>
  <c r="D83" i="16"/>
  <c r="M75" i="16"/>
  <c r="E64" i="16"/>
  <c r="M151" i="16"/>
  <c r="I109" i="16"/>
  <c r="D94" i="16"/>
  <c r="M146" i="16"/>
  <c r="C52" i="16"/>
  <c r="H89" i="16"/>
  <c r="M107" i="16"/>
  <c r="F116" i="16"/>
  <c r="M102" i="16"/>
  <c r="F68" i="16"/>
  <c r="E74" i="16"/>
  <c r="H77" i="16"/>
  <c r="L135" i="16"/>
  <c r="B53" i="16"/>
  <c r="I90" i="16"/>
  <c r="F152" i="16"/>
  <c r="M81" i="16"/>
  <c r="N73" i="16"/>
  <c r="J76" i="16"/>
  <c r="F85" i="16"/>
  <c r="M82" i="16"/>
  <c r="E62" i="16"/>
  <c r="K152" i="16"/>
  <c r="M113" i="16"/>
  <c r="N74" i="16"/>
  <c r="A118" i="16"/>
  <c r="H94" i="16"/>
  <c r="E140" i="16"/>
  <c r="M68" i="16"/>
  <c r="E126" i="16"/>
  <c r="D81" i="16"/>
  <c r="G51" i="16"/>
  <c r="M79" i="16"/>
  <c r="N84" i="16"/>
  <c r="B54" i="16"/>
  <c r="N108" i="16"/>
  <c r="L120" i="16"/>
  <c r="I115" i="16"/>
  <c r="N117" i="16"/>
  <c r="G128" i="16"/>
  <c r="A62" i="16"/>
  <c r="K89" i="16"/>
  <c r="H108" i="16"/>
  <c r="D97" i="16"/>
  <c r="C94" i="16"/>
  <c r="C85" i="16"/>
  <c r="B84" i="16"/>
  <c r="G135" i="16"/>
  <c r="M119" i="16"/>
  <c r="H141" i="16"/>
  <c r="A106" i="16"/>
  <c r="C153" i="16"/>
  <c r="M61" i="16"/>
  <c r="I74" i="16"/>
  <c r="E53" i="16"/>
  <c r="E86" i="16"/>
  <c r="G109" i="16"/>
  <c r="E123" i="16"/>
  <c r="G54" i="16"/>
  <c r="M72" i="16"/>
  <c r="G146" i="16"/>
  <c r="D122" i="16"/>
  <c r="G89" i="16"/>
  <c r="L87" i="16"/>
  <c r="K88" i="16"/>
  <c r="M147" i="16"/>
  <c r="K105" i="16"/>
  <c r="C113" i="16"/>
  <c r="K114" i="16"/>
  <c r="I131" i="16"/>
  <c r="N66" i="16"/>
  <c r="E71" i="16"/>
  <c r="L74" i="16"/>
  <c r="H152" i="16"/>
  <c r="A107" i="16"/>
  <c r="E141" i="16"/>
  <c r="C117" i="16"/>
  <c r="B148" i="16"/>
  <c r="C83" i="16"/>
  <c r="C92" i="16"/>
  <c r="H83" i="16"/>
  <c r="K148" i="16"/>
  <c r="G55" i="16"/>
  <c r="E102" i="16"/>
  <c r="L50" i="16"/>
  <c r="F128" i="16"/>
  <c r="K140" i="16"/>
  <c r="N83" i="16"/>
  <c r="M153" i="16"/>
  <c r="K50" i="16"/>
  <c r="J75" i="16"/>
  <c r="H117" i="16"/>
  <c r="G112" i="16"/>
  <c r="N55" i="16"/>
  <c r="G115" i="16"/>
  <c r="K134" i="16"/>
  <c r="H79" i="16"/>
  <c r="D51" i="16"/>
  <c r="I141" i="16"/>
  <c r="D53" i="16"/>
  <c r="M64" i="16"/>
  <c r="B55" i="16"/>
  <c r="J65" i="16"/>
  <c r="H58" i="16"/>
  <c r="I78" i="16"/>
  <c r="J56" i="16"/>
  <c r="I108" i="16"/>
  <c r="H133" i="16"/>
  <c r="N65" i="16"/>
  <c r="D119" i="16"/>
  <c r="M122" i="16"/>
  <c r="H123" i="16"/>
  <c r="D146" i="16"/>
  <c r="B109" i="16"/>
  <c r="C125" i="16"/>
  <c r="A58" i="16"/>
  <c r="H85" i="16"/>
  <c r="D137" i="16"/>
  <c r="I50" i="16"/>
  <c r="M73" i="16"/>
  <c r="B147" i="16"/>
  <c r="G107" i="16"/>
  <c r="J116" i="16"/>
  <c r="C99" i="16"/>
  <c r="F112" i="16"/>
  <c r="E124" i="16"/>
  <c r="M133" i="16"/>
  <c r="E73" i="16"/>
  <c r="J109" i="16"/>
  <c r="H150" i="16"/>
  <c r="E60" i="16"/>
  <c r="K94" i="16"/>
  <c r="B77" i="16"/>
  <c r="A153" i="16"/>
  <c r="D91" i="16"/>
  <c r="F99" i="16"/>
  <c r="D150" i="16"/>
  <c r="J57" i="16"/>
  <c r="D63" i="16"/>
  <c r="E83" i="16"/>
  <c r="B61" i="16"/>
  <c r="D132" i="16"/>
  <c r="D117" i="16"/>
  <c r="N60" i="16"/>
  <c r="A122" i="16"/>
  <c r="C152" i="16"/>
  <c r="C110" i="16"/>
  <c r="N125" i="16"/>
  <c r="N106" i="16"/>
  <c r="H153" i="16"/>
  <c r="N137" i="16"/>
  <c r="B132" i="16"/>
  <c r="K76" i="16"/>
  <c r="L67" i="16"/>
  <c r="N121" i="16"/>
  <c r="H103" i="16"/>
  <c r="H144" i="16"/>
  <c r="C57" i="16"/>
  <c r="E91" i="16"/>
  <c r="M93" i="16"/>
  <c r="H119" i="16"/>
  <c r="I107" i="16"/>
  <c r="H51" i="16"/>
  <c r="K59" i="16"/>
  <c r="E147" i="16"/>
  <c r="N56" i="16"/>
  <c r="L69" i="16"/>
  <c r="L60" i="16"/>
  <c r="K126" i="16"/>
  <c r="B92" i="16"/>
  <c r="H87" i="16"/>
  <c r="F81" i="16"/>
  <c r="M63" i="16"/>
  <c r="A132" i="16"/>
  <c r="F150" i="16"/>
  <c r="E92" i="16"/>
  <c r="E130" i="16"/>
  <c r="J126" i="16"/>
  <c r="I111" i="16"/>
  <c r="F75" i="16"/>
  <c r="B117" i="16"/>
  <c r="A54" i="16"/>
  <c r="G93" i="16"/>
  <c r="F147" i="16"/>
  <c r="J130" i="16"/>
  <c r="C86" i="16"/>
  <c r="B72" i="16"/>
  <c r="M55" i="16"/>
  <c r="H99" i="16"/>
  <c r="A119" i="16"/>
  <c r="K60" i="16"/>
  <c r="N140" i="16"/>
  <c r="J115" i="16"/>
  <c r="I140" i="16"/>
  <c r="D57" i="16"/>
  <c r="D70" i="16"/>
  <c r="E112" i="16"/>
  <c r="K131" i="16"/>
  <c r="I86" i="16"/>
  <c r="N126" i="16"/>
  <c r="L144" i="16"/>
  <c r="D127" i="16"/>
  <c r="I84" i="16"/>
  <c r="J151" i="16"/>
  <c r="J111" i="16"/>
  <c r="E144" i="16"/>
  <c r="I102" i="16"/>
  <c r="J54" i="16"/>
  <c r="L147" i="16"/>
  <c r="L113" i="16"/>
  <c r="B71" i="16"/>
  <c r="B120" i="16"/>
  <c r="J139" i="16"/>
  <c r="K66" i="16"/>
  <c r="L86" i="16"/>
  <c r="G121" i="16"/>
  <c r="G64" i="16"/>
  <c r="N111" i="16"/>
  <c r="C89" i="16"/>
  <c r="M138" i="16"/>
  <c r="F105" i="16"/>
  <c r="F130" i="16"/>
  <c r="C121" i="16"/>
  <c r="G100" i="16"/>
  <c r="L130" i="16"/>
  <c r="H78" i="16"/>
  <c r="C114" i="16"/>
  <c r="D115" i="16"/>
  <c r="N98" i="16"/>
  <c r="N96" i="16"/>
  <c r="C65" i="16"/>
  <c r="C55" i="16"/>
  <c r="E82" i="16"/>
  <c r="F134" i="16"/>
  <c r="B70" i="16"/>
  <c r="L93" i="16"/>
  <c r="K52" i="16"/>
  <c r="E87" i="16"/>
  <c r="C101" i="16"/>
  <c r="E63" i="16"/>
  <c r="I61" i="16"/>
  <c r="A88" i="16"/>
  <c r="N63" i="16"/>
  <c r="B113" i="16"/>
  <c r="J60" i="16"/>
  <c r="M114" i="16"/>
  <c r="J112" i="16"/>
  <c r="B134" i="16"/>
  <c r="K127" i="16"/>
  <c r="K87" i="16"/>
  <c r="C146" i="16"/>
  <c r="A128" i="16"/>
  <c r="I105" i="16"/>
  <c r="I104" i="16"/>
  <c r="E119" i="16"/>
  <c r="H102" i="16"/>
  <c r="J100" i="16"/>
  <c r="E132" i="16"/>
  <c r="B79" i="16"/>
  <c r="G88" i="16"/>
  <c r="I133" i="16"/>
  <c r="D144" i="16"/>
  <c r="G113" i="16"/>
  <c r="K68" i="16"/>
  <c r="H64" i="16"/>
  <c r="K108" i="16"/>
  <c r="I130" i="16"/>
  <c r="C79" i="16"/>
  <c r="C107" i="16"/>
  <c r="G122" i="16"/>
  <c r="D126" i="16"/>
  <c r="L152" i="16"/>
  <c r="N134" i="16"/>
  <c r="N152" i="16"/>
  <c r="L151" i="16"/>
  <c r="L54" i="16"/>
  <c r="C53" i="16"/>
  <c r="F118" i="16"/>
  <c r="L121" i="16"/>
  <c r="A100" i="16"/>
  <c r="B91" i="16"/>
  <c r="I134" i="16"/>
  <c r="B150" i="16"/>
  <c r="H114" i="16"/>
  <c r="I151" i="16"/>
  <c r="I100" i="16"/>
  <c r="L143" i="16"/>
  <c r="I137" i="16"/>
  <c r="L58" i="16"/>
  <c r="H72" i="16"/>
  <c r="N146" i="16"/>
  <c r="K78" i="16"/>
  <c r="D118" i="16"/>
  <c r="A101" i="16"/>
  <c r="N59" i="16"/>
  <c r="N123" i="16"/>
  <c r="K84" i="16"/>
  <c r="M94" i="16"/>
  <c r="C129" i="16"/>
  <c r="G106" i="16"/>
  <c r="I125" i="16"/>
  <c r="D64" i="16"/>
  <c r="C56" i="16"/>
  <c r="A52" i="16"/>
  <c r="B129" i="16"/>
  <c r="F137" i="16"/>
  <c r="M90" i="16"/>
  <c r="H62" i="16"/>
  <c r="L64" i="16"/>
  <c r="C67" i="16"/>
  <c r="G138" i="16"/>
  <c r="G120" i="16"/>
  <c r="H96" i="16"/>
  <c r="G96" i="16"/>
  <c r="A90" i="16"/>
  <c r="C115" i="16"/>
  <c r="K117" i="16"/>
  <c r="H92" i="16"/>
  <c r="A124" i="16"/>
  <c r="M145" i="16"/>
  <c r="M103" i="16"/>
  <c r="N141" i="16"/>
  <c r="D69" i="16"/>
  <c r="K121" i="16"/>
  <c r="G97" i="16"/>
  <c r="A125" i="16"/>
  <c r="L99" i="16"/>
  <c r="A83" i="16"/>
  <c r="F72" i="16"/>
  <c r="J117" i="16"/>
  <c r="M123" i="16"/>
  <c r="I55" i="16"/>
  <c r="K97" i="16"/>
  <c r="B60" i="16"/>
  <c r="A113" i="16"/>
  <c r="N61" i="16"/>
  <c r="H125" i="16"/>
  <c r="G71" i="16"/>
  <c r="L63" i="16"/>
  <c r="E127" i="16"/>
  <c r="A105" i="16"/>
  <c r="A117" i="16"/>
  <c r="N119" i="16"/>
  <c r="I103" i="16"/>
  <c r="N50" i="16"/>
  <c r="G81" i="16"/>
  <c r="H98" i="16"/>
  <c r="J118" i="16"/>
  <c r="E125" i="16"/>
  <c r="F57" i="16"/>
  <c r="K104" i="16"/>
  <c r="M70" i="16"/>
  <c r="N58" i="16"/>
  <c r="J78" i="16"/>
  <c r="A60" i="16"/>
  <c r="J86" i="16"/>
  <c r="A92" i="16"/>
  <c r="D66" i="16"/>
  <c r="F106" i="16"/>
  <c r="H146" i="16"/>
  <c r="G72" i="16"/>
  <c r="K93" i="16"/>
  <c r="E50" i="16"/>
  <c r="E57" i="16"/>
  <c r="H100" i="16"/>
  <c r="K115" i="16"/>
  <c r="J79" i="16"/>
  <c r="J87" i="16"/>
  <c r="I153" i="16"/>
  <c r="F132" i="16"/>
  <c r="K128" i="16"/>
  <c r="I58" i="16"/>
  <c r="K65" i="16"/>
  <c r="D101" i="16"/>
  <c r="C142" i="16"/>
  <c r="M96" i="16"/>
  <c r="F61" i="16"/>
  <c r="A115" i="16"/>
  <c r="M134" i="16"/>
  <c r="E153" i="16"/>
  <c r="E65" i="16"/>
  <c r="B59" i="16"/>
  <c r="H142" i="16"/>
  <c r="H122" i="16"/>
  <c r="C102" i="16"/>
  <c r="D72" i="16"/>
  <c r="B133" i="16"/>
  <c r="C81" i="16"/>
  <c r="L146" i="16"/>
  <c r="F117" i="16"/>
  <c r="N153" i="16"/>
  <c r="N81" i="16"/>
  <c r="L122" i="16"/>
  <c r="K139" i="16"/>
  <c r="D93" i="16"/>
  <c r="H148" i="16"/>
  <c r="C62" i="16"/>
  <c r="L116" i="16"/>
  <c r="B58" i="16"/>
  <c r="J122" i="16"/>
  <c r="F70" i="16"/>
  <c r="I91" i="16"/>
  <c r="H86" i="16"/>
  <c r="M57" i="16"/>
  <c r="K51" i="16"/>
  <c r="K106" i="16"/>
  <c r="B151" i="16"/>
  <c r="N97" i="16"/>
  <c r="N124" i="16"/>
  <c r="D107" i="16"/>
  <c r="E134" i="16"/>
  <c r="I70" i="16"/>
  <c r="K90" i="16"/>
  <c r="A114" i="16"/>
  <c r="L55" i="16"/>
  <c r="N69" i="16"/>
  <c r="G63" i="16"/>
  <c r="M53" i="16"/>
  <c r="G117" i="16"/>
  <c r="B125" i="16"/>
  <c r="I106" i="16"/>
  <c r="L73" i="16"/>
  <c r="F78" i="16"/>
  <c r="N107" i="16"/>
  <c r="F114" i="16"/>
  <c r="K62" i="16"/>
  <c r="C120" i="16"/>
  <c r="H131" i="16"/>
  <c r="C150" i="16"/>
  <c r="F53" i="16"/>
  <c r="M120" i="16"/>
  <c r="M131" i="16"/>
  <c r="G102" i="16"/>
  <c r="J101" i="16"/>
  <c r="M76" i="16"/>
  <c r="B57" i="16"/>
  <c r="H124" i="16"/>
  <c r="H52" i="16"/>
  <c r="M130" i="16"/>
  <c r="K125" i="16"/>
  <c r="F138" i="16"/>
  <c r="J131" i="16"/>
  <c r="J113" i="16"/>
  <c r="G119" i="16"/>
  <c r="D109" i="16"/>
  <c r="L51" i="16"/>
  <c r="M80" i="16"/>
  <c r="B144" i="16"/>
  <c r="H76" i="16"/>
  <c r="B105" i="16"/>
  <c r="C104" i="16"/>
  <c r="A116" i="16"/>
  <c r="E101" i="16"/>
  <c r="K54" i="16"/>
  <c r="G57" i="16"/>
  <c r="B104" i="16"/>
  <c r="H118" i="16"/>
  <c r="N90" i="16"/>
  <c r="I82" i="16"/>
  <c r="C100" i="16"/>
  <c r="L83" i="16"/>
  <c r="D145" i="16"/>
  <c r="C80" i="16"/>
  <c r="D111" i="16"/>
  <c r="G73" i="16"/>
  <c r="A110" i="16"/>
  <c r="D67" i="16"/>
  <c r="C61" i="16"/>
  <c r="A104" i="16"/>
  <c r="C105" i="16"/>
  <c r="E109" i="16"/>
  <c r="B122" i="16"/>
  <c r="G66" i="16"/>
  <c r="F56" i="16"/>
  <c r="B87" i="16"/>
  <c r="N128" i="16"/>
  <c r="G104" i="16"/>
  <c r="F108" i="16"/>
  <c r="F67" i="16"/>
  <c r="I110" i="16"/>
  <c r="M101" i="16"/>
  <c r="F127" i="16"/>
  <c r="J91" i="16"/>
  <c r="K147" i="16"/>
  <c r="H70" i="16"/>
  <c r="C50" i="16"/>
  <c r="B152" i="16"/>
  <c r="J53" i="16"/>
  <c r="K120" i="16"/>
  <c r="J82" i="16"/>
  <c r="J146" i="16"/>
  <c r="G136" i="16"/>
  <c r="E131" i="16"/>
  <c r="J96" i="16"/>
  <c r="K72" i="16"/>
  <c r="M118" i="16"/>
  <c r="B63" i="16"/>
  <c r="D100" i="16"/>
  <c r="C95" i="16"/>
  <c r="M59" i="16"/>
  <c r="E110" i="16"/>
  <c r="F54" i="16"/>
  <c r="F145" i="16"/>
  <c r="L126" i="16"/>
  <c r="E89" i="16"/>
  <c r="G132" i="16"/>
  <c r="A147" i="16"/>
  <c r="J94" i="16"/>
  <c r="A73" i="16"/>
  <c r="E152" i="16"/>
  <c r="J137" i="16"/>
  <c r="I81" i="16"/>
  <c r="D95" i="16"/>
  <c r="D140" i="16"/>
  <c r="N64" i="16"/>
  <c r="J95" i="16"/>
  <c r="E72" i="16"/>
  <c r="C59" i="16"/>
  <c r="E97" i="16"/>
  <c r="I152" i="16"/>
  <c r="D92" i="16"/>
  <c r="G61" i="16"/>
  <c r="E70" i="16"/>
  <c r="B139" i="16"/>
  <c r="M91" i="16"/>
  <c r="F79" i="16"/>
  <c r="G86" i="16"/>
  <c r="H59" i="16"/>
  <c r="J92" i="16"/>
  <c r="C136" i="16"/>
  <c r="G108" i="16"/>
  <c r="F94" i="16"/>
  <c r="J127" i="16"/>
  <c r="B121" i="16"/>
  <c r="L59" i="16"/>
  <c r="E93" i="16"/>
  <c r="A120" i="16"/>
  <c r="C88" i="16"/>
  <c r="M66" i="16"/>
  <c r="M132" i="16"/>
  <c r="K86" i="16"/>
  <c r="C58" i="16"/>
  <c r="F144" i="16"/>
  <c r="G101" i="16"/>
  <c r="D85" i="16"/>
  <c r="H55" i="16"/>
  <c r="D78" i="16"/>
  <c r="G130" i="16"/>
  <c r="M98" i="16"/>
  <c r="F58" i="16"/>
  <c r="K79" i="16"/>
  <c r="E61" i="16"/>
  <c r="K82" i="16"/>
  <c r="B67" i="16"/>
  <c r="B137" i="16"/>
  <c r="K146" i="16"/>
  <c r="N51" i="16"/>
  <c r="J106" i="16"/>
  <c r="I63" i="16"/>
  <c r="I69" i="16"/>
  <c r="D60" i="16"/>
  <c r="D121" i="16"/>
  <c r="C87" i="16"/>
  <c r="A67" i="16"/>
  <c r="K95" i="16"/>
  <c r="G141" i="16"/>
  <c r="D113" i="16"/>
  <c r="A145" i="16"/>
  <c r="H95" i="16"/>
  <c r="J132" i="16"/>
  <c r="M136" i="16"/>
  <c r="L65" i="16"/>
  <c r="L90" i="16"/>
  <c r="A146" i="16"/>
  <c r="H71" i="16"/>
  <c r="L128" i="16"/>
  <c r="I146" i="16"/>
  <c r="K109" i="16"/>
  <c r="K116" i="16"/>
  <c r="F90" i="16"/>
  <c r="N132" i="16"/>
  <c r="J142" i="16"/>
  <c r="M137" i="16"/>
  <c r="E149" i="16"/>
  <c r="E120" i="16"/>
  <c r="M62" i="16"/>
  <c r="M97" i="16"/>
  <c r="K129" i="16"/>
  <c r="F136" i="16"/>
  <c r="I127" i="16"/>
  <c r="N89" i="16"/>
  <c r="E99" i="16"/>
  <c r="C112" i="16"/>
  <c r="M110" i="16"/>
  <c r="D138" i="16"/>
  <c r="C72" i="16"/>
  <c r="I77" i="16"/>
  <c r="A78" i="16"/>
  <c r="B145" i="16"/>
  <c r="G53" i="16"/>
  <c r="I95" i="16"/>
  <c r="J103" i="16"/>
  <c r="B76" i="16"/>
  <c r="I129" i="16"/>
  <c r="D128" i="16"/>
  <c r="B111" i="16"/>
  <c r="J152" i="16"/>
  <c r="H107" i="16"/>
  <c r="L102" i="16"/>
  <c r="L134" i="16"/>
  <c r="G114" i="16"/>
  <c r="L118" i="16"/>
  <c r="B50" i="16"/>
  <c r="D99" i="16"/>
  <c r="D87" i="16"/>
  <c r="B75" i="16"/>
  <c r="M105" i="16"/>
  <c r="A69" i="16"/>
  <c r="H134" i="16"/>
  <c r="N110" i="16"/>
  <c r="A96" i="16"/>
  <c r="F93" i="16"/>
  <c r="N135" i="16"/>
  <c r="E151" i="16"/>
  <c r="I136" i="16"/>
  <c r="H116" i="16"/>
  <c r="G143" i="16"/>
  <c r="H140" i="16"/>
  <c r="N57" i="16"/>
  <c r="N67" i="16"/>
  <c r="E104" i="16"/>
  <c r="A75" i="16"/>
  <c r="F123" i="16"/>
  <c r="M144" i="16"/>
  <c r="L110" i="16"/>
  <c r="E69" i="16"/>
  <c r="B89" i="16"/>
  <c r="L70" i="16"/>
  <c r="G78" i="16"/>
  <c r="L115" i="16"/>
  <c r="H65" i="16"/>
  <c r="D98" i="16"/>
  <c r="E59" i="16"/>
  <c r="F83" i="16"/>
  <c r="L94" i="16"/>
  <c r="J108" i="16"/>
  <c r="J143" i="16"/>
  <c r="F71" i="16"/>
  <c r="B140" i="16"/>
  <c r="N53" i="16"/>
  <c r="J85" i="16"/>
  <c r="G125" i="16"/>
  <c r="I117" i="16"/>
  <c r="D96" i="16"/>
  <c r="F133" i="16"/>
  <c r="D49" i="16"/>
  <c r="L88" i="16"/>
  <c r="H75" i="16"/>
  <c r="H57" i="16"/>
  <c r="J134" i="16"/>
  <c r="N127" i="16"/>
  <c r="D125" i="16"/>
  <c r="G144" i="16"/>
  <c r="G110" i="16"/>
  <c r="F141" i="16"/>
  <c r="C75" i="16"/>
  <c r="K70" i="16"/>
  <c r="A68" i="16"/>
  <c r="A84" i="16"/>
  <c r="K85" i="16"/>
  <c r="I116" i="16"/>
  <c r="N95" i="16"/>
  <c r="N122" i="16"/>
  <c r="M85" i="16"/>
  <c r="D143" i="16"/>
  <c r="M149" i="16"/>
  <c r="N87" i="16"/>
  <c r="I118" i="16"/>
  <c r="J110" i="16"/>
  <c r="A57" i="16"/>
  <c r="L104" i="16"/>
  <c r="F135" i="16"/>
  <c r="D148" i="16"/>
  <c r="D103" i="16"/>
  <c r="G123" i="16"/>
  <c r="G90" i="16"/>
  <c r="A143" i="16"/>
  <c r="E122" i="16"/>
  <c r="H84" i="16"/>
  <c r="N93" i="16"/>
  <c r="B73" i="16"/>
  <c r="F126" i="16"/>
  <c r="F125" i="16"/>
  <c r="N94" i="16"/>
  <c r="L111" i="16"/>
  <c r="M87" i="16"/>
  <c r="G70" i="16"/>
  <c r="H132" i="16"/>
  <c r="F149" i="16"/>
  <c r="J70" i="16"/>
  <c r="E84" i="16"/>
  <c r="G60" i="16"/>
  <c r="J83" i="16"/>
  <c r="L77" i="16"/>
  <c r="C66" i="16"/>
  <c r="G80" i="16"/>
  <c r="B142" i="16"/>
  <c r="K102" i="16"/>
  <c r="L56" i="16"/>
  <c r="N79" i="16"/>
  <c r="K143" i="16"/>
  <c r="B85" i="16"/>
  <c r="J77" i="16"/>
  <c r="L123" i="16"/>
  <c r="H54" i="16"/>
  <c r="H63" i="16"/>
  <c r="E68" i="16"/>
  <c r="F76" i="16"/>
  <c r="A53" i="16"/>
  <c r="H56" i="16"/>
  <c r="C127" i="16"/>
  <c r="H109" i="16"/>
  <c r="F120" i="16"/>
  <c r="J90" i="16"/>
  <c r="I52" i="16"/>
  <c r="M52" i="16"/>
  <c r="J71" i="16"/>
  <c r="F102" i="16"/>
  <c r="J72" i="16"/>
  <c r="N148" i="16"/>
  <c r="B106" i="16"/>
  <c r="A134" i="16"/>
  <c r="N145" i="16"/>
  <c r="K144" i="16"/>
  <c r="D90" i="16"/>
  <c r="E90" i="16"/>
  <c r="G77" i="16"/>
  <c r="C108" i="16"/>
  <c r="A111" i="16"/>
  <c r="J136" i="16"/>
  <c r="E56" i="16"/>
  <c r="B103" i="16"/>
  <c r="N144" i="16"/>
  <c r="I143" i="16"/>
  <c r="L132" i="16"/>
  <c r="I112" i="16"/>
  <c r="I132" i="16"/>
  <c r="E105" i="16"/>
  <c r="A131" i="16"/>
  <c r="A61" i="16"/>
  <c r="K58" i="16"/>
  <c r="M95" i="16"/>
  <c r="K75" i="16"/>
  <c r="H149" i="16"/>
  <c r="F104" i="16"/>
  <c r="C116" i="16"/>
  <c r="G84" i="16"/>
  <c r="D71" i="16"/>
  <c r="J147" i="16"/>
  <c r="A152" i="16"/>
  <c r="D110" i="16"/>
  <c r="E103" i="16"/>
  <c r="H110" i="16"/>
  <c r="A139" i="16"/>
  <c r="A72" i="16"/>
  <c r="B90" i="16"/>
  <c r="A97" i="16"/>
  <c r="E49" i="16"/>
  <c r="D58" i="16"/>
  <c r="A108" i="16"/>
  <c r="D84" i="16"/>
  <c r="B110" i="16"/>
  <c r="A77" i="16"/>
  <c r="G50" i="16"/>
  <c r="F103" i="16"/>
  <c r="C132" i="16"/>
  <c r="G76" i="16"/>
  <c r="F86" i="16"/>
  <c r="L91" i="16"/>
  <c r="C76" i="16"/>
  <c r="D123" i="16"/>
  <c r="H138" i="16"/>
  <c r="D80" i="16"/>
  <c r="E98" i="16"/>
  <c r="L79" i="16"/>
  <c r="M106" i="16"/>
  <c r="G126" i="16"/>
  <c r="C141" i="16"/>
  <c r="F98" i="16"/>
  <c r="G85" i="16"/>
  <c r="H130" i="16"/>
  <c r="K91" i="16"/>
  <c r="A81" i="16"/>
  <c r="N101" i="16"/>
  <c r="C118" i="16"/>
  <c r="M124" i="16"/>
  <c r="C73" i="16"/>
  <c r="N109" i="16"/>
  <c r="H127" i="16"/>
  <c r="J59" i="16"/>
  <c r="I89" i="16"/>
  <c r="L85" i="16"/>
  <c r="E76" i="16"/>
  <c r="N68" i="16"/>
  <c r="A63" i="16"/>
  <c r="L153" i="16"/>
  <c r="G145" i="16"/>
  <c r="I123" i="16"/>
  <c r="B126" i="16"/>
  <c r="G129" i="16"/>
  <c r="H66" i="16"/>
  <c r="K103" i="16"/>
  <c r="I126" i="16"/>
  <c r="H80" i="16"/>
  <c r="E94" i="16"/>
  <c r="L107" i="16"/>
  <c r="B100" i="16"/>
  <c r="C69" i="16"/>
  <c r="D108" i="16"/>
  <c r="E96" i="16"/>
  <c r="M56" i="16"/>
  <c r="F97" i="16"/>
  <c r="K74" i="16"/>
  <c r="E75" i="16"/>
  <c r="F151" i="16"/>
  <c r="I147" i="16"/>
  <c r="H93" i="16"/>
  <c r="C143" i="16"/>
  <c r="L81" i="16"/>
  <c r="I57" i="16"/>
  <c r="D141" i="16"/>
  <c r="K112" i="16"/>
  <c r="G111" i="16"/>
  <c r="F60" i="16"/>
  <c r="A82" i="16"/>
  <c r="F88" i="16"/>
  <c r="E150" i="16"/>
  <c r="J50" i="16"/>
  <c r="C106" i="16"/>
  <c r="E121" i="16"/>
  <c r="K57" i="16"/>
  <c r="N85" i="16"/>
  <c r="K137" i="16"/>
  <c r="I119" i="16"/>
  <c r="H120" i="16"/>
  <c r="A50" i="16"/>
  <c r="H139" i="16"/>
  <c r="L109" i="16"/>
  <c r="B114" i="16"/>
  <c r="H135" i="16"/>
  <c r="E111" i="16"/>
  <c r="H112" i="16"/>
  <c r="F101" i="16"/>
  <c r="M84" i="16"/>
  <c r="I121" i="16"/>
  <c r="M60" i="16"/>
  <c r="F140" i="16"/>
  <c r="D142" i="16"/>
  <c r="I96" i="16"/>
  <c r="G142" i="16"/>
  <c r="K55" i="16"/>
  <c r="G69" i="16"/>
  <c r="D106" i="16"/>
  <c r="M139" i="16"/>
  <c r="N78" i="16"/>
  <c r="E114" i="16"/>
  <c r="G131" i="16"/>
  <c r="M69" i="16"/>
  <c r="G149" i="16"/>
  <c r="I128" i="16"/>
  <c r="N139" i="16"/>
  <c r="N99" i="16"/>
  <c r="E138" i="16"/>
  <c r="I122" i="16"/>
  <c r="I56" i="16"/>
  <c r="D82" i="16"/>
  <c r="B127" i="16"/>
  <c r="J121" i="16"/>
  <c r="D129" i="16"/>
  <c r="C71" i="16"/>
  <c r="F74" i="16"/>
  <c r="K110" i="16"/>
  <c r="C111" i="16"/>
  <c r="G62" i="16"/>
  <c r="K111" i="16"/>
  <c r="G99" i="16"/>
  <c r="N143" i="16"/>
  <c r="H69" i="16"/>
  <c r="K101" i="16"/>
  <c r="D77" i="16"/>
  <c r="E135" i="16"/>
  <c r="A70" i="16"/>
  <c r="F109" i="16"/>
  <c r="L53" i="16"/>
  <c r="B82" i="16"/>
  <c r="L125" i="16"/>
  <c r="C119" i="16"/>
  <c r="M109" i="16"/>
  <c r="H126" i="16"/>
  <c r="K67" i="16"/>
  <c r="B56" i="16"/>
  <c r="J89" i="16"/>
  <c r="A138" i="16"/>
  <c r="F148" i="16"/>
  <c r="F55" i="16"/>
  <c r="G68" i="16"/>
  <c r="B118" i="16"/>
  <c r="M92" i="16"/>
  <c r="E54" i="16"/>
  <c r="I85" i="16"/>
  <c r="J149" i="16"/>
  <c r="N92" i="16"/>
  <c r="D68" i="16"/>
  <c r="F139" i="16"/>
  <c r="I42" i="15" l="1"/>
  <c r="G42" i="15"/>
  <c r="L42" i="15"/>
  <c r="J42" i="15"/>
  <c r="C42" i="15"/>
  <c r="AF73" i="15"/>
  <c r="N43" i="15" s="1"/>
  <c r="A42" i="15"/>
  <c r="K42" i="15"/>
  <c r="D42" i="15"/>
  <c r="H42" i="15"/>
  <c r="M42" i="15"/>
  <c r="N42" i="15"/>
  <c r="E42" i="15"/>
  <c r="B42" i="15"/>
  <c r="F42" i="15"/>
  <c r="AF82" i="15"/>
  <c r="M43" i="15" l="1"/>
  <c r="H43" i="15"/>
  <c r="I43" i="15"/>
  <c r="K43" i="15"/>
  <c r="F43" i="15"/>
  <c r="G43" i="15"/>
  <c r="A43" i="15"/>
  <c r="AF74" i="15"/>
  <c r="K44" i="15" s="1"/>
  <c r="B43" i="15"/>
  <c r="AF80" i="15"/>
  <c r="J44" i="15"/>
  <c r="A44" i="15"/>
  <c r="L43" i="15"/>
  <c r="E43" i="15"/>
  <c r="C43" i="15"/>
  <c r="J43" i="15"/>
  <c r="D43" i="15"/>
  <c r="L44" i="15" l="1"/>
  <c r="AF84" i="15"/>
  <c r="L135" i="15" s="1"/>
  <c r="H88" i="15"/>
  <c r="D51" i="15"/>
  <c r="I71" i="15"/>
  <c r="F78" i="15"/>
  <c r="A151" i="15"/>
  <c r="G126" i="15"/>
  <c r="F116" i="15"/>
  <c r="L55" i="15"/>
  <c r="M127" i="15"/>
  <c r="M109" i="15"/>
  <c r="G55" i="15"/>
  <c r="A55" i="15"/>
  <c r="F77" i="15"/>
  <c r="F68" i="15"/>
  <c r="C75" i="15"/>
  <c r="M115" i="15"/>
  <c r="B52" i="15"/>
  <c r="C82" i="15"/>
  <c r="H126" i="15"/>
  <c r="F106" i="15"/>
  <c r="N57" i="15"/>
  <c r="B105" i="15"/>
  <c r="H86" i="15"/>
  <c r="H120" i="15"/>
  <c r="K55" i="15"/>
  <c r="L68" i="15"/>
  <c r="G117" i="15"/>
  <c r="A93" i="15"/>
  <c r="E136" i="15"/>
  <c r="A103" i="15"/>
  <c r="D64" i="15"/>
  <c r="F86" i="15"/>
  <c r="J131" i="15"/>
  <c r="B151" i="15"/>
  <c r="F138" i="15"/>
  <c r="G95" i="15"/>
  <c r="I46" i="15"/>
  <c r="L96" i="15"/>
  <c r="E143" i="15"/>
  <c r="J143" i="15"/>
  <c r="C101" i="15"/>
  <c r="F131" i="15"/>
  <c r="J142" i="15"/>
  <c r="G109" i="15"/>
  <c r="A91" i="15"/>
  <c r="G60" i="15"/>
  <c r="I60" i="15"/>
  <c r="B87" i="15"/>
  <c r="C87" i="15"/>
  <c r="M126" i="15"/>
  <c r="K93" i="15"/>
  <c r="H67" i="15"/>
  <c r="F47" i="15"/>
  <c r="D66" i="15"/>
  <c r="I49" i="15"/>
  <c r="A142" i="15"/>
  <c r="N146" i="15"/>
  <c r="C149" i="15"/>
  <c r="M95" i="15"/>
  <c r="N141" i="15"/>
  <c r="I72" i="15"/>
  <c r="B150" i="15"/>
  <c r="F118" i="15"/>
  <c r="H78" i="15"/>
  <c r="B60" i="15"/>
  <c r="N127" i="15"/>
  <c r="I86" i="15"/>
  <c r="G48" i="15"/>
  <c r="G88" i="15"/>
  <c r="G146" i="15"/>
  <c r="L66" i="15"/>
  <c r="G76" i="15"/>
  <c r="J118" i="15"/>
  <c r="D56" i="15"/>
  <c r="F150" i="15"/>
  <c r="H93" i="15"/>
  <c r="G111" i="15"/>
  <c r="N74" i="15"/>
  <c r="C53" i="15"/>
  <c r="A114" i="15"/>
  <c r="J99" i="15"/>
  <c r="F59" i="15"/>
  <c r="A82" i="15"/>
  <c r="I81" i="15"/>
  <c r="L71" i="15"/>
  <c r="D88" i="15"/>
  <c r="F135" i="15"/>
  <c r="G50" i="15"/>
  <c r="H64" i="15"/>
  <c r="L53" i="15"/>
  <c r="L47" i="15"/>
  <c r="E139" i="15"/>
  <c r="H135" i="15"/>
  <c r="L152" i="15"/>
  <c r="G149" i="15"/>
  <c r="L60" i="15"/>
  <c r="I117" i="15"/>
  <c r="D139" i="15"/>
  <c r="M77" i="15"/>
  <c r="E75" i="15"/>
  <c r="N51" i="15"/>
  <c r="F124" i="15"/>
  <c r="G100" i="15"/>
  <c r="G80" i="15"/>
  <c r="I92" i="15"/>
  <c r="C112" i="15"/>
  <c r="F107" i="15"/>
  <c r="A118" i="15"/>
  <c r="M85" i="15"/>
  <c r="A100" i="15"/>
  <c r="L131" i="15"/>
  <c r="H132" i="15"/>
  <c r="F101" i="15"/>
  <c r="C139" i="15"/>
  <c r="G148" i="15"/>
  <c r="D97" i="15"/>
  <c r="H115" i="15"/>
  <c r="G90" i="15"/>
  <c r="L58" i="15"/>
  <c r="K137" i="15"/>
  <c r="E99" i="15"/>
  <c r="C144" i="15"/>
  <c r="A85" i="15"/>
  <c r="G141" i="15"/>
  <c r="J49" i="15"/>
  <c r="J94" i="15"/>
  <c r="L90" i="15"/>
  <c r="A98" i="15"/>
  <c r="J64" i="15"/>
  <c r="B79" i="15"/>
  <c r="I73" i="15"/>
  <c r="H63" i="15"/>
  <c r="I65" i="15"/>
  <c r="B143" i="15"/>
  <c r="M128" i="15"/>
  <c r="B147" i="15"/>
  <c r="B101" i="15"/>
  <c r="M72" i="15"/>
  <c r="L122" i="15"/>
  <c r="C132" i="15"/>
  <c r="L129" i="15"/>
  <c r="B117" i="15"/>
  <c r="M111" i="15"/>
  <c r="I79" i="15"/>
  <c r="I102" i="15"/>
  <c r="K101" i="15"/>
  <c r="G73" i="15"/>
  <c r="K54" i="15"/>
  <c r="K129" i="15"/>
  <c r="M69" i="15"/>
  <c r="B92" i="15"/>
  <c r="D48" i="15"/>
  <c r="B153" i="15"/>
  <c r="D49" i="15"/>
  <c r="E72" i="15"/>
  <c r="I152" i="15"/>
  <c r="B64" i="15"/>
  <c r="M81" i="15"/>
  <c r="N105" i="15"/>
  <c r="D133" i="15"/>
  <c r="E80" i="15"/>
  <c r="D69" i="15"/>
  <c r="G78" i="15"/>
  <c r="M58" i="15"/>
  <c r="M153" i="15"/>
  <c r="J86" i="15"/>
  <c r="A94" i="15"/>
  <c r="M89" i="15"/>
  <c r="H101" i="15"/>
  <c r="F54" i="15"/>
  <c r="I133" i="15"/>
  <c r="I77" i="15"/>
  <c r="H46" i="15"/>
  <c r="M138" i="15"/>
  <c r="I115" i="15"/>
  <c r="M113" i="15"/>
  <c r="D45" i="15"/>
  <c r="N151" i="15"/>
  <c r="F81" i="15"/>
  <c r="I80" i="15"/>
  <c r="B152" i="15"/>
  <c r="E53" i="15"/>
  <c r="L80" i="15"/>
  <c r="M52" i="15"/>
  <c r="D54" i="15"/>
  <c r="C83" i="15"/>
  <c r="A88" i="15"/>
  <c r="N128" i="15"/>
  <c r="C64" i="15"/>
  <c r="M76" i="15"/>
  <c r="F46" i="15"/>
  <c r="C62" i="15"/>
  <c r="J109" i="15"/>
  <c r="E65" i="15"/>
  <c r="J97" i="15"/>
  <c r="H140" i="15"/>
  <c r="J66" i="15"/>
  <c r="F95" i="15"/>
  <c r="L93" i="15"/>
  <c r="A99" i="15"/>
  <c r="D149" i="15"/>
  <c r="M114" i="15"/>
  <c r="L133" i="15"/>
  <c r="A48" i="15"/>
  <c r="G97" i="15"/>
  <c r="K66" i="15"/>
  <c r="L153" i="15"/>
  <c r="F67" i="15"/>
  <c r="E68" i="15"/>
  <c r="K86" i="15"/>
  <c r="M106" i="15"/>
  <c r="I50" i="15"/>
  <c r="E104" i="15"/>
  <c r="N109" i="15"/>
  <c r="K46" i="15"/>
  <c r="K135" i="15"/>
  <c r="C44" i="15"/>
  <c r="E62" i="15"/>
  <c r="K150" i="15"/>
  <c r="E52" i="15"/>
  <c r="N120" i="15"/>
  <c r="A111" i="15"/>
  <c r="K118" i="15"/>
  <c r="M146" i="15"/>
  <c r="B113" i="15"/>
  <c r="G79" i="15"/>
  <c r="M145" i="15"/>
  <c r="N91" i="15"/>
  <c r="M64" i="15"/>
  <c r="I139" i="15"/>
  <c r="K52" i="15"/>
  <c r="C77" i="15"/>
  <c r="K99" i="15"/>
  <c r="B134" i="15"/>
  <c r="G132" i="15"/>
  <c r="I107" i="15"/>
  <c r="I142" i="15"/>
  <c r="I150" i="15"/>
  <c r="L76" i="15"/>
  <c r="L83" i="15"/>
  <c r="J113" i="15"/>
  <c r="M82" i="15"/>
  <c r="E103" i="15"/>
  <c r="D150" i="15"/>
  <c r="B72" i="15"/>
  <c r="C46" i="15"/>
  <c r="L79" i="15"/>
  <c r="M140" i="15"/>
  <c r="B77" i="15"/>
  <c r="L65" i="15"/>
  <c r="E131" i="15"/>
  <c r="F117" i="15"/>
  <c r="M48" i="15"/>
  <c r="C151" i="15"/>
  <c r="B136" i="15"/>
  <c r="D121" i="15"/>
  <c r="J152" i="15"/>
  <c r="N98" i="15"/>
  <c r="A147" i="15"/>
  <c r="A84" i="15"/>
  <c r="J107" i="15"/>
  <c r="G106" i="15"/>
  <c r="A149" i="15"/>
  <c r="G74" i="15"/>
  <c r="G124" i="15"/>
  <c r="A128" i="15"/>
  <c r="E144" i="15"/>
  <c r="I128" i="15"/>
  <c r="G133" i="15"/>
  <c r="I75" i="15"/>
  <c r="N44" i="15"/>
  <c r="J48" i="15"/>
  <c r="C96" i="15"/>
  <c r="L108" i="15"/>
  <c r="L123" i="15"/>
  <c r="F91" i="15"/>
  <c r="C70" i="15"/>
  <c r="F142" i="15"/>
  <c r="D80" i="15"/>
  <c r="J108" i="15"/>
  <c r="C137" i="15"/>
  <c r="E130" i="15"/>
  <c r="B114" i="15"/>
  <c r="H91" i="15"/>
  <c r="K65" i="15"/>
  <c r="F125" i="15"/>
  <c r="I108" i="15"/>
  <c r="B48" i="15"/>
  <c r="K77" i="15"/>
  <c r="N87" i="15"/>
  <c r="K63" i="15"/>
  <c r="G134" i="15"/>
  <c r="F120" i="15"/>
  <c r="F57" i="15"/>
  <c r="B98" i="15"/>
  <c r="C55" i="15"/>
  <c r="N53" i="15"/>
  <c r="K126" i="15"/>
  <c r="L146" i="15"/>
  <c r="N100" i="15"/>
  <c r="D96" i="15"/>
  <c r="D152" i="15"/>
  <c r="I44" i="15"/>
  <c r="I83" i="15"/>
  <c r="E89" i="15"/>
  <c r="F80" i="15"/>
  <c r="N84" i="15"/>
  <c r="F92" i="15"/>
  <c r="K49" i="15"/>
  <c r="A144" i="15"/>
  <c r="J135" i="15"/>
  <c r="G108" i="15"/>
  <c r="D140" i="15"/>
  <c r="E83" i="15"/>
  <c r="A57" i="15"/>
  <c r="K107" i="15"/>
  <c r="J119" i="15"/>
  <c r="B121" i="15"/>
  <c r="K142" i="15"/>
  <c r="D125" i="15"/>
  <c r="I118" i="15"/>
  <c r="J103" i="15"/>
  <c r="L46" i="15"/>
  <c r="N95" i="15"/>
  <c r="E118" i="15"/>
  <c r="L69" i="15"/>
  <c r="E110" i="15"/>
  <c r="H99" i="15"/>
  <c r="L120" i="15"/>
  <c r="N103" i="15"/>
  <c r="N108" i="15"/>
  <c r="G81" i="15"/>
  <c r="C69" i="15"/>
  <c r="K110" i="15"/>
  <c r="I52" i="15"/>
  <c r="E109" i="15"/>
  <c r="D126" i="15"/>
  <c r="G45" i="15"/>
  <c r="F61" i="15"/>
  <c r="C114" i="15"/>
  <c r="F143" i="15"/>
  <c r="A71" i="15"/>
  <c r="K78" i="15"/>
  <c r="D94" i="15"/>
  <c r="A127" i="15"/>
  <c r="E106" i="15"/>
  <c r="E46" i="15"/>
  <c r="B84" i="15"/>
  <c r="N64" i="15"/>
  <c r="E151" i="15"/>
  <c r="I54" i="15"/>
  <c r="B76" i="15"/>
  <c r="A90" i="15"/>
  <c r="H114" i="15"/>
  <c r="C94" i="15"/>
  <c r="H74" i="15"/>
  <c r="H133" i="15"/>
  <c r="B133" i="15"/>
  <c r="B58" i="15"/>
  <c r="F44" i="15"/>
  <c r="H150" i="15"/>
  <c r="I132" i="15"/>
  <c r="C133" i="15"/>
  <c r="N45" i="15"/>
  <c r="I85" i="15"/>
  <c r="B107" i="15"/>
  <c r="L151" i="15"/>
  <c r="I106" i="15"/>
  <c r="I130" i="15"/>
  <c r="K70" i="15"/>
  <c r="F49" i="15"/>
  <c r="N113" i="15"/>
  <c r="K97" i="15"/>
  <c r="N106" i="15"/>
  <c r="I138" i="15"/>
  <c r="H77" i="15"/>
  <c r="H125" i="15"/>
  <c r="I55" i="15"/>
  <c r="J134" i="15"/>
  <c r="H107" i="15"/>
  <c r="M120" i="15"/>
  <c r="H104" i="15"/>
  <c r="N136" i="15"/>
  <c r="F113" i="15"/>
  <c r="D44" i="15"/>
  <c r="G118" i="15"/>
  <c r="C88" i="15"/>
  <c r="C119" i="15"/>
  <c r="C59" i="15"/>
  <c r="M107" i="15"/>
  <c r="N129" i="15"/>
  <c r="D62" i="15"/>
  <c r="L97" i="15"/>
  <c r="L86" i="15"/>
  <c r="M148" i="15"/>
  <c r="C95" i="15"/>
  <c r="K91" i="15"/>
  <c r="C141" i="15"/>
  <c r="D92" i="15"/>
  <c r="J77" i="15"/>
  <c r="J126" i="15"/>
  <c r="B110" i="15"/>
  <c r="E138" i="15"/>
  <c r="I48" i="15"/>
  <c r="M119" i="15"/>
  <c r="F103" i="15"/>
  <c r="I126" i="15"/>
  <c r="K48" i="15"/>
  <c r="A139" i="15"/>
  <c r="G62" i="15"/>
  <c r="E51" i="15"/>
  <c r="C102" i="15"/>
  <c r="I129" i="15"/>
  <c r="I62" i="15"/>
  <c r="B140" i="15"/>
  <c r="A47" i="15"/>
  <c r="L134" i="15"/>
  <c r="J58" i="15"/>
  <c r="G135" i="15"/>
  <c r="D141" i="15"/>
  <c r="F65" i="15"/>
  <c r="C103" i="15"/>
  <c r="C61" i="15"/>
  <c r="K88" i="15"/>
  <c r="K133" i="15"/>
  <c r="G147" i="15"/>
  <c r="G105" i="15"/>
  <c r="N152" i="15"/>
  <c r="D90" i="15"/>
  <c r="F89" i="15"/>
  <c r="F72" i="15"/>
  <c r="N76" i="15"/>
  <c r="M59" i="15"/>
  <c r="G99" i="15"/>
  <c r="A117" i="15"/>
  <c r="N112" i="15"/>
  <c r="G140" i="15"/>
  <c r="J114" i="15"/>
  <c r="H148" i="15"/>
  <c r="J63" i="15"/>
  <c r="D127" i="15"/>
  <c r="J123" i="15"/>
  <c r="N66" i="15"/>
  <c r="H62" i="15"/>
  <c r="D123" i="15"/>
  <c r="J127" i="15"/>
  <c r="H136" i="15"/>
  <c r="H51" i="15"/>
  <c r="C109" i="15"/>
  <c r="B125" i="15"/>
  <c r="H144" i="15"/>
  <c r="J55" i="15"/>
  <c r="K94" i="15"/>
  <c r="M131" i="15"/>
  <c r="C121" i="15"/>
  <c r="N85" i="15"/>
  <c r="J59" i="15"/>
  <c r="N50" i="15"/>
  <c r="M67" i="15"/>
  <c r="G153" i="15"/>
  <c r="A80" i="15"/>
  <c r="G102" i="15"/>
  <c r="H117" i="15"/>
  <c r="B116" i="15"/>
  <c r="H72" i="15"/>
  <c r="D83" i="15"/>
  <c r="L128" i="15"/>
  <c r="H84" i="15"/>
  <c r="J133" i="15"/>
  <c r="F51" i="15"/>
  <c r="I116" i="15"/>
  <c r="C67" i="15"/>
  <c r="N133" i="15"/>
  <c r="E66" i="15"/>
  <c r="N65" i="15"/>
  <c r="C63" i="15"/>
  <c r="I95" i="15"/>
  <c r="M116" i="15"/>
  <c r="M139" i="15"/>
  <c r="I59" i="15"/>
  <c r="A59" i="15"/>
  <c r="H44" i="15"/>
  <c r="G44" i="15"/>
  <c r="M44" i="15"/>
  <c r="J124" i="15"/>
  <c r="F104" i="15"/>
  <c r="G112" i="15"/>
  <c r="N73" i="15"/>
  <c r="M136" i="15"/>
  <c r="G51" i="15"/>
  <c r="E84" i="15"/>
  <c r="L95" i="15"/>
  <c r="I97" i="15"/>
  <c r="K60" i="15"/>
  <c r="F129" i="15"/>
  <c r="K83" i="15"/>
  <c r="F130" i="15"/>
  <c r="L143" i="15"/>
  <c r="L121" i="15"/>
  <c r="G104" i="15"/>
  <c r="E87" i="15"/>
  <c r="B115" i="15"/>
  <c r="N137" i="15"/>
  <c r="N143" i="15"/>
  <c r="C57" i="15"/>
  <c r="D58" i="15"/>
  <c r="F134" i="15"/>
  <c r="N140" i="15"/>
  <c r="L51" i="15"/>
  <c r="L50" i="15"/>
  <c r="N135" i="15"/>
  <c r="I124" i="15"/>
  <c r="H87" i="15"/>
  <c r="G58" i="15"/>
  <c r="G101" i="15"/>
  <c r="K72" i="15"/>
  <c r="J68" i="15"/>
  <c r="I127" i="15"/>
  <c r="G128" i="15"/>
  <c r="I96" i="15"/>
  <c r="G68" i="15"/>
  <c r="D82" i="15"/>
  <c r="C135" i="15"/>
  <c r="I63" i="15"/>
  <c r="B95" i="15"/>
  <c r="C74" i="15"/>
  <c r="B78" i="15"/>
  <c r="G107" i="15"/>
  <c r="E112" i="15"/>
  <c r="L72" i="15"/>
  <c r="H50" i="15"/>
  <c r="C71" i="15"/>
  <c r="E96" i="15"/>
  <c r="N110" i="15"/>
  <c r="E63" i="15"/>
  <c r="F97" i="15"/>
  <c r="F52" i="15"/>
  <c r="K69" i="15"/>
  <c r="C93" i="15"/>
  <c r="N83" i="15"/>
  <c r="G151" i="15"/>
  <c r="B128" i="15"/>
  <c r="E44" i="15"/>
  <c r="N125" i="15"/>
  <c r="C81" i="15"/>
  <c r="C122" i="15"/>
  <c r="A95" i="15"/>
  <c r="G137" i="15"/>
  <c r="F140" i="15"/>
  <c r="H129" i="15"/>
  <c r="A104" i="15"/>
  <c r="L98" i="15"/>
  <c r="N78" i="15"/>
  <c r="H100" i="15"/>
  <c r="A150" i="15"/>
  <c r="D103" i="15"/>
  <c r="G69" i="15"/>
  <c r="M56" i="15"/>
  <c r="H82" i="15"/>
  <c r="M75" i="15"/>
  <c r="C76" i="15"/>
  <c r="C120" i="15"/>
  <c r="L100" i="15"/>
  <c r="D146" i="15"/>
  <c r="M110" i="15"/>
  <c r="B123" i="15"/>
  <c r="C85" i="15"/>
  <c r="M80" i="15"/>
  <c r="F114" i="15"/>
  <c r="N114" i="15"/>
  <c r="H118" i="15"/>
  <c r="N90" i="15"/>
  <c r="B96" i="15"/>
  <c r="L112" i="15"/>
  <c r="H116" i="15"/>
  <c r="E67" i="15"/>
  <c r="L94" i="15"/>
  <c r="D148" i="15"/>
  <c r="D105" i="15"/>
  <c r="J139" i="15"/>
  <c r="G85" i="15"/>
  <c r="B44" i="15"/>
  <c r="E101" i="15"/>
  <c r="F45" i="15"/>
  <c r="E45" i="15"/>
  <c r="A45" i="15"/>
  <c r="K45" i="15"/>
  <c r="I45" i="15"/>
  <c r="J45" i="15"/>
  <c r="C45" i="15"/>
  <c r="M45" i="15"/>
  <c r="J129" i="15"/>
  <c r="K131" i="15"/>
  <c r="L142" i="15"/>
  <c r="B122" i="15"/>
  <c r="C100" i="15"/>
  <c r="L109" i="15"/>
  <c r="N131" i="15"/>
  <c r="C52" i="15"/>
  <c r="J112" i="15"/>
  <c r="E132" i="15"/>
  <c r="E141" i="15"/>
  <c r="C115" i="15"/>
  <c r="F137" i="15"/>
  <c r="I51" i="15"/>
  <c r="B141" i="15"/>
  <c r="E94" i="15"/>
  <c r="G139" i="15"/>
  <c r="K120" i="15"/>
  <c r="M66" i="15"/>
  <c r="E90" i="15"/>
  <c r="G91" i="15"/>
  <c r="M101" i="15"/>
  <c r="H128" i="15"/>
  <c r="A77" i="15"/>
  <c r="F121" i="15"/>
  <c r="D60" i="15"/>
  <c r="I112" i="15"/>
  <c r="J116" i="15"/>
  <c r="L74" i="15"/>
  <c r="J65" i="15"/>
  <c r="B124" i="15"/>
  <c r="E148" i="15"/>
  <c r="D77" i="15"/>
  <c r="B97" i="15"/>
  <c r="L150" i="15"/>
  <c r="I109" i="15"/>
  <c r="M137" i="15"/>
  <c r="J89" i="15"/>
  <c r="I141" i="15"/>
  <c r="K146" i="15"/>
  <c r="J75" i="15"/>
  <c r="M100" i="15"/>
  <c r="I103" i="15"/>
  <c r="A133" i="15"/>
  <c r="K141" i="15"/>
  <c r="I98" i="15"/>
  <c r="A131" i="15"/>
  <c r="B55" i="15"/>
  <c r="B129" i="15"/>
  <c r="B146" i="15"/>
  <c r="D70" i="15"/>
  <c r="N132" i="15"/>
  <c r="A107" i="15"/>
  <c r="D135" i="15"/>
  <c r="K121" i="15"/>
  <c r="B148" i="15"/>
  <c r="N104" i="15"/>
  <c r="A83" i="15"/>
  <c r="C104" i="15"/>
  <c r="K102" i="15"/>
  <c r="C147" i="15"/>
  <c r="A110" i="15"/>
  <c r="D46" i="15"/>
  <c r="N89" i="15"/>
  <c r="A61" i="15"/>
  <c r="B109" i="15"/>
  <c r="A51" i="15"/>
  <c r="C136" i="15"/>
  <c r="D142" i="15"/>
  <c r="K127" i="15"/>
  <c r="L61" i="15"/>
  <c r="K96" i="15"/>
  <c r="N56" i="15"/>
  <c r="K128" i="15"/>
  <c r="B131" i="15"/>
  <c r="E113" i="15"/>
  <c r="J52" i="15"/>
  <c r="A54" i="15"/>
  <c r="D68" i="15"/>
  <c r="B94" i="15"/>
  <c r="G72" i="15"/>
  <c r="I58" i="15"/>
  <c r="I91" i="15"/>
  <c r="D109" i="15"/>
  <c r="E58" i="15"/>
  <c r="A56" i="15"/>
  <c r="C106" i="15"/>
  <c r="K152" i="15"/>
  <c r="H137" i="15"/>
  <c r="J145" i="15"/>
  <c r="A120" i="15"/>
  <c r="F126" i="15"/>
  <c r="H92" i="15"/>
  <c r="H138" i="15"/>
  <c r="I78" i="15"/>
  <c r="D72" i="15"/>
  <c r="M57" i="15"/>
  <c r="E120" i="15"/>
  <c r="F76" i="15"/>
  <c r="N60" i="15"/>
  <c r="M117" i="15"/>
  <c r="H89" i="15"/>
  <c r="A124" i="15"/>
  <c r="G122" i="15"/>
  <c r="N75" i="15"/>
  <c r="L115" i="15"/>
  <c r="K149" i="15"/>
  <c r="C150" i="15"/>
  <c r="D81" i="15"/>
  <c r="J137" i="15"/>
  <c r="G87" i="15"/>
  <c r="N118" i="15"/>
  <c r="B93" i="15"/>
  <c r="D74" i="15"/>
  <c r="M61" i="15"/>
  <c r="M60" i="15"/>
  <c r="L63" i="15"/>
  <c r="L141" i="15"/>
  <c r="F152" i="15"/>
  <c r="H49" i="15"/>
  <c r="L85" i="15"/>
  <c r="G70" i="15"/>
  <c r="M97" i="15"/>
  <c r="B65" i="15"/>
  <c r="B75" i="15"/>
  <c r="I66" i="15"/>
  <c r="D129" i="15"/>
  <c r="J54" i="15"/>
  <c r="A81" i="15"/>
  <c r="J106" i="15"/>
  <c r="A69" i="15"/>
  <c r="J132" i="15"/>
  <c r="E79" i="15"/>
  <c r="K134" i="15"/>
  <c r="K151" i="15"/>
  <c r="D57" i="15"/>
  <c r="J144" i="15"/>
  <c r="J71" i="15"/>
  <c r="H105" i="15"/>
  <c r="K75" i="15"/>
  <c r="E57" i="15"/>
  <c r="G71" i="15"/>
  <c r="C78" i="15"/>
  <c r="M112" i="15"/>
  <c r="G83" i="15"/>
  <c r="E128" i="15"/>
  <c r="L52" i="15"/>
  <c r="K64" i="15"/>
  <c r="C138" i="15"/>
  <c r="B88" i="15"/>
  <c r="G64" i="15"/>
  <c r="K73" i="15"/>
  <c r="K79" i="15"/>
  <c r="L145" i="15"/>
  <c r="D67" i="15"/>
  <c r="N130" i="15"/>
  <c r="A145" i="15"/>
  <c r="J78" i="15"/>
  <c r="M149" i="15"/>
  <c r="E107" i="15"/>
  <c r="M102" i="15"/>
  <c r="I140" i="15"/>
  <c r="N144" i="15"/>
  <c r="K122" i="15"/>
  <c r="F64" i="15"/>
  <c r="N58" i="15"/>
  <c r="J105" i="15"/>
  <c r="G89" i="15"/>
  <c r="B137" i="15"/>
  <c r="J96" i="15"/>
  <c r="F102" i="15"/>
  <c r="B119" i="15"/>
  <c r="C68" i="15"/>
  <c r="M65" i="15"/>
  <c r="A65" i="15"/>
  <c r="M150" i="15"/>
  <c r="D61" i="15"/>
  <c r="K62" i="15"/>
  <c r="G144" i="15"/>
  <c r="H108" i="15"/>
  <c r="L92" i="15"/>
  <c r="G96" i="15"/>
  <c r="H122" i="15"/>
  <c r="C116" i="15"/>
  <c r="M86" i="15"/>
  <c r="C47" i="15"/>
  <c r="E134" i="15"/>
  <c r="A67" i="15"/>
  <c r="M92" i="15"/>
  <c r="L87" i="15"/>
  <c r="M83" i="15"/>
  <c r="J104" i="15"/>
  <c r="B49" i="15"/>
  <c r="F139" i="15"/>
  <c r="J46" i="15"/>
  <c r="L130" i="15"/>
  <c r="B102" i="15"/>
  <c r="H130" i="15"/>
  <c r="K139" i="15"/>
  <c r="B51" i="15"/>
  <c r="M123" i="15"/>
  <c r="N54" i="15"/>
  <c r="L118" i="15"/>
  <c r="K58" i="15"/>
  <c r="N93" i="15"/>
  <c r="H103" i="15"/>
  <c r="E77" i="15"/>
  <c r="C51" i="15"/>
  <c r="K90" i="15"/>
  <c r="I67" i="15"/>
  <c r="D59" i="15"/>
  <c r="B83" i="15"/>
  <c r="N49" i="15"/>
  <c r="J141" i="15"/>
  <c r="J53" i="15"/>
  <c r="A76" i="15"/>
  <c r="K80" i="15"/>
  <c r="F50" i="15"/>
  <c r="B144" i="15"/>
  <c r="C54" i="15"/>
  <c r="M90" i="15"/>
  <c r="N82" i="15"/>
  <c r="J148" i="15"/>
  <c r="N123" i="15"/>
  <c r="E137" i="15"/>
  <c r="I153" i="15"/>
  <c r="E50" i="15"/>
  <c r="K132" i="15"/>
  <c r="J117" i="15"/>
  <c r="C127" i="15"/>
  <c r="I88" i="15"/>
  <c r="J84" i="15"/>
  <c r="B70" i="15"/>
  <c r="G61" i="15"/>
  <c r="H111" i="15"/>
  <c r="C79" i="15"/>
  <c r="C108" i="15"/>
  <c r="M62" i="15"/>
  <c r="J138" i="15"/>
  <c r="J74" i="15"/>
  <c r="D143" i="15"/>
  <c r="A58" i="15"/>
  <c r="H75" i="15"/>
  <c r="N107" i="15"/>
  <c r="D76" i="15"/>
  <c r="F153" i="15"/>
  <c r="I121" i="15"/>
  <c r="N116" i="15"/>
  <c r="I82" i="15"/>
  <c r="A125" i="15"/>
  <c r="A108" i="15"/>
  <c r="D119" i="15"/>
  <c r="F99" i="15"/>
  <c r="C130" i="15"/>
  <c r="J91" i="15"/>
  <c r="M49" i="15"/>
  <c r="I111" i="15"/>
  <c r="H153" i="15"/>
  <c r="B120" i="15"/>
  <c r="B74" i="15"/>
  <c r="K51" i="15"/>
  <c r="N153" i="15"/>
  <c r="H139" i="15"/>
  <c r="I144" i="15"/>
  <c r="D151" i="15"/>
  <c r="K71" i="15"/>
  <c r="I70" i="15"/>
  <c r="G110" i="15"/>
  <c r="N150" i="15"/>
  <c r="I100" i="15"/>
  <c r="E78" i="15"/>
  <c r="A64" i="15"/>
  <c r="M135" i="15"/>
  <c r="E81" i="15"/>
  <c r="L104" i="15"/>
  <c r="C123" i="15"/>
  <c r="K117" i="15"/>
  <c r="M70" i="15"/>
  <c r="G120" i="15"/>
  <c r="J100" i="15"/>
  <c r="C143" i="15"/>
  <c r="B67" i="15"/>
  <c r="D128" i="15"/>
  <c r="J69" i="15"/>
  <c r="C152" i="15"/>
  <c r="A96" i="15"/>
  <c r="K61" i="15"/>
  <c r="D124" i="15"/>
  <c r="D63" i="15"/>
  <c r="N52" i="15"/>
  <c r="D138" i="15"/>
  <c r="K153" i="15"/>
  <c r="E64" i="15"/>
  <c r="N115" i="15"/>
  <c r="G127" i="15"/>
  <c r="D120" i="15"/>
  <c r="F48" i="15"/>
  <c r="D116" i="15"/>
  <c r="H60" i="15"/>
  <c r="L138" i="15"/>
  <c r="I136" i="15"/>
  <c r="G130" i="15"/>
  <c r="A109" i="15"/>
  <c r="D122" i="15"/>
  <c r="E108" i="15"/>
  <c r="F123" i="15"/>
  <c r="L54" i="15"/>
  <c r="B86" i="15"/>
  <c r="M47" i="15"/>
  <c r="I149" i="15"/>
  <c r="E102" i="15"/>
  <c r="I151" i="15"/>
  <c r="L132" i="15"/>
  <c r="J122" i="15"/>
  <c r="F115" i="15"/>
  <c r="J72" i="15"/>
  <c r="L49" i="15"/>
  <c r="G152" i="15"/>
  <c r="L103" i="15"/>
  <c r="C125" i="15"/>
  <c r="M104" i="15"/>
  <c r="J87" i="15"/>
  <c r="I104" i="15"/>
  <c r="D102" i="15"/>
  <c r="F90" i="15"/>
  <c r="B104" i="15"/>
  <c r="N55" i="15"/>
  <c r="G142" i="15"/>
  <c r="E119" i="15"/>
  <c r="A89" i="15"/>
  <c r="C48" i="15"/>
  <c r="M125" i="15"/>
  <c r="M46" i="15"/>
  <c r="C131" i="15"/>
  <c r="B71" i="15"/>
  <c r="L114" i="15"/>
  <c r="M63" i="15"/>
  <c r="M87" i="15"/>
  <c r="H141" i="15"/>
  <c r="N67" i="15"/>
  <c r="I74" i="15"/>
  <c r="I93" i="15"/>
  <c r="M53" i="15"/>
  <c r="N111" i="15"/>
  <c r="I135" i="15"/>
  <c r="E60" i="15"/>
  <c r="D53" i="15"/>
  <c r="L144" i="15"/>
  <c r="G145" i="15"/>
  <c r="N119" i="15"/>
  <c r="J76" i="15"/>
  <c r="N138" i="15"/>
  <c r="J79" i="15"/>
  <c r="G65" i="15"/>
  <c r="F71" i="15"/>
  <c r="E133" i="15"/>
  <c r="H151" i="15"/>
  <c r="J101" i="15"/>
  <c r="G56" i="15"/>
  <c r="K105" i="15"/>
  <c r="F56" i="15"/>
  <c r="H53" i="15"/>
  <c r="M50" i="15"/>
  <c r="F141" i="15"/>
  <c r="D91" i="15"/>
  <c r="I68" i="15"/>
  <c r="H145" i="15"/>
  <c r="G84" i="15"/>
  <c r="A101" i="15"/>
  <c r="E142" i="15"/>
  <c r="D71" i="15"/>
  <c r="H79" i="15"/>
  <c r="D47" i="15"/>
  <c r="E124" i="15"/>
  <c r="H58" i="15"/>
  <c r="H59" i="15"/>
  <c r="E149" i="15"/>
  <c r="A87" i="15"/>
  <c r="K140" i="15"/>
  <c r="N61" i="15"/>
  <c r="L84" i="15"/>
  <c r="K112" i="15"/>
  <c r="F53" i="15"/>
  <c r="I56" i="15"/>
  <c r="E86" i="15"/>
  <c r="B46" i="15"/>
  <c r="D98" i="15"/>
  <c r="J95" i="15"/>
  <c r="N63" i="15"/>
  <c r="E70" i="15"/>
  <c r="L147" i="15"/>
  <c r="H97" i="15"/>
  <c r="I119" i="15"/>
  <c r="M91" i="15"/>
  <c r="E85" i="15"/>
  <c r="D111" i="15"/>
  <c r="H152" i="15"/>
  <c r="K82" i="15"/>
  <c r="B99" i="15"/>
  <c r="D134" i="15"/>
  <c r="H57" i="15"/>
  <c r="J130" i="15"/>
  <c r="H55" i="15"/>
  <c r="K100" i="15"/>
  <c r="G47" i="15"/>
  <c r="J62" i="15"/>
  <c r="F74" i="15"/>
  <c r="L67" i="15"/>
  <c r="N88" i="15"/>
  <c r="K87" i="15"/>
  <c r="D112" i="15"/>
  <c r="M132" i="15"/>
  <c r="D79" i="15"/>
  <c r="J140" i="15"/>
  <c r="D50" i="15"/>
  <c r="K50" i="15"/>
  <c r="G57" i="15"/>
  <c r="H127" i="15"/>
  <c r="M124" i="15"/>
  <c r="G52" i="15"/>
  <c r="C105" i="15"/>
  <c r="K92" i="15"/>
  <c r="I131" i="15"/>
  <c r="I134" i="15"/>
  <c r="F147" i="15"/>
  <c r="K104" i="15"/>
  <c r="G86" i="15"/>
  <c r="I47" i="15"/>
  <c r="C86" i="15"/>
  <c r="L62" i="15"/>
  <c r="N48" i="15"/>
  <c r="L88" i="15"/>
  <c r="H68" i="15"/>
  <c r="B103" i="15"/>
  <c r="K57" i="15"/>
  <c r="E121" i="15"/>
  <c r="N145" i="15"/>
  <c r="K130" i="15"/>
  <c r="K56" i="15"/>
  <c r="J98" i="15"/>
  <c r="G143" i="15"/>
  <c r="G125" i="15"/>
  <c r="C60" i="15"/>
  <c r="I101" i="15"/>
  <c r="G59" i="15"/>
  <c r="C107" i="15"/>
  <c r="H106" i="15"/>
  <c r="E105" i="15"/>
  <c r="L136" i="15"/>
  <c r="L82" i="15"/>
  <c r="D144" i="15"/>
  <c r="J90" i="15"/>
  <c r="D130" i="15"/>
  <c r="J51" i="15"/>
  <c r="H146" i="15"/>
  <c r="B132" i="15"/>
  <c r="A62" i="15"/>
  <c r="J102" i="15"/>
  <c r="L137" i="15"/>
  <c r="D52" i="15"/>
  <c r="M142" i="15"/>
  <c r="H71" i="15"/>
  <c r="L102" i="15"/>
  <c r="E111" i="15"/>
  <c r="H110" i="15"/>
  <c r="D117" i="15"/>
  <c r="C91" i="15"/>
  <c r="J73" i="15"/>
  <c r="D137" i="15"/>
  <c r="A49" i="15"/>
  <c r="F60" i="15"/>
  <c r="E122" i="15"/>
  <c r="G66" i="15"/>
  <c r="F149" i="15"/>
  <c r="F62" i="15"/>
  <c r="E153" i="15"/>
  <c r="D95" i="15"/>
  <c r="N149" i="15"/>
  <c r="G46" i="15"/>
  <c r="L116" i="15"/>
  <c r="D110" i="15"/>
  <c r="E74" i="15"/>
  <c r="F105" i="15"/>
  <c r="I76" i="15"/>
  <c r="G131" i="15"/>
  <c r="N117" i="15"/>
  <c r="A72" i="15"/>
  <c r="A146" i="15"/>
  <c r="E95" i="15"/>
  <c r="K136" i="15"/>
  <c r="B54" i="15"/>
  <c r="D115" i="15"/>
  <c r="N68" i="15"/>
  <c r="H124" i="15"/>
  <c r="M134" i="15"/>
  <c r="K89" i="15"/>
  <c r="E146" i="15"/>
  <c r="L148" i="15"/>
  <c r="J82" i="15"/>
  <c r="C148" i="15"/>
  <c r="M55" i="15"/>
  <c r="E49" i="15"/>
  <c r="I61" i="15"/>
  <c r="I99" i="15"/>
  <c r="G92" i="15"/>
  <c r="B142" i="15"/>
  <c r="K148" i="15"/>
  <c r="A143" i="15"/>
  <c r="A50" i="15"/>
  <c r="L119" i="15"/>
  <c r="H121" i="15"/>
  <c r="C140" i="15"/>
  <c r="I146" i="15"/>
  <c r="K119" i="15"/>
  <c r="K53" i="15"/>
  <c r="M108" i="15"/>
  <c r="N81" i="15"/>
  <c r="C145" i="15"/>
  <c r="N126" i="15"/>
  <c r="K106" i="15"/>
  <c r="F73" i="15"/>
  <c r="G49" i="15"/>
  <c r="H52" i="15"/>
  <c r="K103" i="15"/>
  <c r="A122" i="15"/>
  <c r="K95" i="15"/>
  <c r="A152" i="15"/>
  <c r="N94" i="15"/>
  <c r="G67" i="15"/>
  <c r="D114" i="15"/>
  <c r="B112" i="15"/>
  <c r="A53" i="15"/>
  <c r="E127" i="15"/>
  <c r="C146" i="15"/>
  <c r="I90" i="15"/>
  <c r="L110" i="15"/>
  <c r="A136" i="15"/>
  <c r="M143" i="15"/>
  <c r="N71" i="15"/>
  <c r="F128" i="15"/>
  <c r="N59" i="15"/>
  <c r="L126" i="15"/>
  <c r="H123" i="15"/>
  <c r="A75" i="15"/>
  <c r="I147" i="15"/>
  <c r="D113" i="15"/>
  <c r="M96" i="15"/>
  <c r="N46" i="15"/>
  <c r="F83" i="15"/>
  <c r="E152" i="15"/>
  <c r="B57" i="15"/>
  <c r="J151" i="15"/>
  <c r="B127" i="15"/>
  <c r="H142" i="15"/>
  <c r="J83" i="15"/>
  <c r="H143" i="15"/>
  <c r="K74" i="15"/>
  <c r="F55" i="15"/>
  <c r="A46" i="15"/>
  <c r="M73" i="15"/>
  <c r="N102" i="15"/>
  <c r="F75" i="15"/>
  <c r="J88" i="15"/>
  <c r="M122" i="15"/>
  <c r="H102" i="15"/>
  <c r="G150" i="15"/>
  <c r="B106" i="15"/>
  <c r="F122" i="15"/>
  <c r="D75" i="15"/>
  <c r="D101" i="15"/>
  <c r="F98" i="15"/>
  <c r="H73" i="15"/>
  <c r="L64" i="15"/>
  <c r="E125" i="15"/>
  <c r="G75" i="15"/>
  <c r="C72" i="15"/>
  <c r="A119" i="15"/>
  <c r="H70" i="15"/>
  <c r="M51" i="15"/>
  <c r="E48" i="15"/>
  <c r="H56" i="15"/>
  <c r="L59" i="15"/>
  <c r="A79" i="15"/>
  <c r="L139" i="15"/>
  <c r="K116" i="15"/>
  <c r="J110" i="15"/>
  <c r="I84" i="15"/>
  <c r="C153" i="15"/>
  <c r="N47" i="15"/>
  <c r="E55" i="15"/>
  <c r="E71" i="15"/>
  <c r="D55" i="15"/>
  <c r="N148" i="15"/>
  <c r="L117" i="15"/>
  <c r="L56" i="15"/>
  <c r="A86" i="15"/>
  <c r="M99" i="15"/>
  <c r="F132" i="15"/>
  <c r="M121" i="15"/>
  <c r="G94" i="15"/>
  <c r="E97" i="15"/>
  <c r="G54" i="15"/>
  <c r="E150" i="15"/>
  <c r="K144" i="15"/>
  <c r="E117" i="15"/>
  <c r="H69" i="15"/>
  <c r="B50" i="15"/>
  <c r="E135" i="15"/>
  <c r="E69" i="15"/>
  <c r="L107" i="15"/>
  <c r="G93" i="15"/>
  <c r="C98" i="15"/>
  <c r="G115" i="15"/>
  <c r="E88" i="15"/>
  <c r="C99" i="15"/>
  <c r="J70" i="15"/>
  <c r="J125" i="15"/>
  <c r="F69" i="15"/>
  <c r="C58" i="15"/>
  <c r="I53" i="15"/>
  <c r="C111" i="15"/>
  <c r="K138" i="15"/>
  <c r="E91" i="15"/>
  <c r="A97" i="15"/>
  <c r="G103" i="15"/>
  <c r="J111" i="15"/>
  <c r="N147" i="15"/>
  <c r="F146" i="15"/>
  <c r="A112" i="15"/>
  <c r="A138" i="15"/>
  <c r="H149" i="15"/>
  <c r="B61" i="15"/>
  <c r="M103" i="15"/>
  <c r="N70" i="15"/>
  <c r="D65" i="15"/>
  <c r="G116" i="15"/>
  <c r="J57" i="15"/>
  <c r="F88" i="15"/>
  <c r="M141" i="15"/>
  <c r="B59" i="15"/>
  <c r="F79" i="15"/>
  <c r="G121" i="15"/>
  <c r="G136" i="15"/>
  <c r="C84" i="15"/>
  <c r="A70" i="15"/>
  <c r="H66" i="15"/>
  <c r="I89" i="15"/>
  <c r="A52" i="15"/>
  <c r="J149" i="15"/>
  <c r="D78" i="15"/>
  <c r="M71" i="15"/>
  <c r="J147" i="15"/>
  <c r="C50" i="15"/>
  <c r="B108" i="15"/>
  <c r="B126" i="15"/>
  <c r="J60" i="15"/>
  <c r="A113" i="15"/>
  <c r="N134" i="15"/>
  <c r="D86" i="15"/>
  <c r="E92" i="15"/>
  <c r="D106" i="15"/>
  <c r="H65" i="15"/>
  <c r="H95" i="15"/>
  <c r="A74" i="15"/>
  <c r="C134" i="15"/>
  <c r="C97" i="15"/>
  <c r="N122" i="15"/>
  <c r="I57" i="15"/>
  <c r="E114" i="15"/>
  <c r="H147" i="15"/>
  <c r="N124" i="15"/>
  <c r="L105" i="15"/>
  <c r="L81" i="15"/>
  <c r="M88" i="15"/>
  <c r="B89" i="15"/>
  <c r="D73" i="15"/>
  <c r="F151" i="15"/>
  <c r="N101" i="15"/>
  <c r="L111" i="15"/>
  <c r="I105" i="15"/>
  <c r="J61" i="15"/>
  <c r="N79" i="15"/>
  <c r="K59" i="15"/>
  <c r="M98" i="15"/>
  <c r="L149" i="15"/>
  <c r="N92" i="15"/>
  <c r="D99" i="15"/>
  <c r="L57" i="15"/>
  <c r="H47" i="15"/>
  <c r="H112" i="15"/>
  <c r="K145" i="15"/>
  <c r="A129" i="15"/>
  <c r="D93" i="15"/>
  <c r="D100" i="15"/>
  <c r="G123" i="15"/>
  <c r="A148" i="15"/>
  <c r="D108" i="15"/>
  <c r="B135" i="15"/>
  <c r="B100" i="15"/>
  <c r="C126" i="15"/>
  <c r="J67" i="15"/>
  <c r="K85" i="15"/>
  <c r="L75" i="15"/>
  <c r="M151" i="15"/>
  <c r="I143" i="15"/>
  <c r="I110" i="15"/>
  <c r="F108" i="15"/>
  <c r="M84" i="15"/>
  <c r="C89" i="15"/>
  <c r="D84" i="15"/>
  <c r="J81" i="15"/>
  <c r="A68" i="15"/>
  <c r="J128" i="15"/>
  <c r="E115" i="15"/>
  <c r="K98" i="15"/>
  <c r="K47" i="15"/>
  <c r="E98" i="15"/>
  <c r="J121" i="15"/>
  <c r="A92" i="15"/>
  <c r="F127" i="15"/>
  <c r="M93" i="15"/>
  <c r="L73" i="15"/>
  <c r="K68" i="15"/>
  <c r="K143" i="15"/>
  <c r="B138" i="15"/>
  <c r="J93" i="15"/>
  <c r="N72" i="15"/>
  <c r="K108" i="15"/>
  <c r="K123" i="15"/>
  <c r="M68" i="15"/>
  <c r="N121" i="15"/>
  <c r="C118" i="15"/>
  <c r="E123" i="15"/>
  <c r="L124" i="15"/>
  <c r="L70" i="15"/>
  <c r="M54" i="15"/>
  <c r="A132" i="15"/>
  <c r="H90" i="15"/>
  <c r="D87" i="15"/>
  <c r="I114" i="15"/>
  <c r="F94" i="15"/>
  <c r="M133" i="15"/>
  <c r="K125" i="15"/>
  <c r="I137" i="15"/>
  <c r="M94" i="15"/>
  <c r="F111" i="15"/>
  <c r="N99" i="15"/>
  <c r="N142" i="15"/>
  <c r="B85" i="15"/>
  <c r="G98" i="15"/>
  <c r="B111" i="15"/>
  <c r="L99" i="15"/>
  <c r="I120" i="15"/>
  <c r="N97" i="15"/>
  <c r="M79" i="15"/>
  <c r="K124" i="15"/>
  <c r="D147" i="15"/>
  <c r="J47" i="15"/>
  <c r="F109" i="15"/>
  <c r="A135" i="15"/>
  <c r="I123" i="15"/>
  <c r="M147" i="15"/>
  <c r="B62" i="15"/>
  <c r="L91" i="15"/>
  <c r="C124" i="15"/>
  <c r="J120" i="15"/>
  <c r="G119" i="15"/>
  <c r="B82" i="15"/>
  <c r="H96" i="15"/>
  <c r="H109" i="15"/>
  <c r="H94" i="15"/>
  <c r="F96" i="15"/>
  <c r="B53" i="15"/>
  <c r="H131" i="15"/>
  <c r="I87" i="15"/>
  <c r="B68" i="15"/>
  <c r="F82" i="15"/>
  <c r="C142" i="15"/>
  <c r="M144" i="15"/>
  <c r="F58" i="15"/>
  <c r="F112" i="15"/>
  <c r="C80" i="15"/>
  <c r="E147" i="15"/>
  <c r="F93" i="15"/>
  <c r="F70" i="15"/>
  <c r="J80" i="15"/>
  <c r="D145" i="15"/>
  <c r="E93" i="15"/>
  <c r="A137" i="15"/>
  <c r="F148" i="15"/>
  <c r="I125" i="15"/>
  <c r="B47" i="15"/>
  <c r="B63" i="15"/>
  <c r="F63" i="15"/>
  <c r="D132" i="15"/>
  <c r="H54" i="15"/>
  <c r="H81" i="15"/>
  <c r="M129" i="15"/>
  <c r="G53" i="15"/>
  <c r="B145" i="15"/>
  <c r="J56" i="15"/>
  <c r="J136" i="15"/>
  <c r="D153" i="15"/>
  <c r="B149" i="15"/>
  <c r="I69" i="15"/>
  <c r="I145" i="15"/>
  <c r="M130" i="15"/>
  <c r="K76" i="15"/>
  <c r="A116" i="15"/>
  <c r="D107" i="15"/>
  <c r="C90" i="15"/>
  <c r="B56" i="15"/>
  <c r="K114" i="15"/>
  <c r="E61" i="15"/>
  <c r="G63" i="15"/>
  <c r="A105" i="15"/>
  <c r="F100" i="15"/>
  <c r="N80" i="15"/>
  <c r="K109" i="15"/>
  <c r="J153" i="15"/>
  <c r="E129" i="15"/>
  <c r="D89" i="15"/>
  <c r="G82" i="15"/>
  <c r="E73" i="15"/>
  <c r="C92" i="15"/>
  <c r="H61" i="15"/>
  <c r="A153" i="15"/>
  <c r="E116" i="15"/>
  <c r="F85" i="15"/>
  <c r="B130" i="15"/>
  <c r="A141" i="15"/>
  <c r="H134" i="15"/>
  <c r="G114" i="15"/>
  <c r="F110" i="15"/>
  <c r="A115" i="15"/>
  <c r="H76" i="15"/>
  <c r="C66" i="15"/>
  <c r="N62" i="15"/>
  <c r="B91" i="15"/>
  <c r="H98" i="15"/>
  <c r="K81" i="15"/>
  <c r="G77" i="15"/>
  <c r="A123" i="15"/>
  <c r="B139" i="15"/>
  <c r="K113" i="15"/>
  <c r="A102" i="15"/>
  <c r="F84" i="15"/>
  <c r="F136" i="15"/>
  <c r="K111" i="15"/>
  <c r="B69" i="15"/>
  <c r="L140" i="15"/>
  <c r="M74" i="15"/>
  <c r="L89" i="15"/>
  <c r="G138" i="15"/>
  <c r="G129" i="15"/>
  <c r="C129" i="15"/>
  <c r="I122" i="15"/>
  <c r="E54" i="15"/>
  <c r="A134" i="15"/>
  <c r="E82" i="15"/>
  <c r="K84" i="15"/>
  <c r="F87" i="15"/>
  <c r="C49" i="15"/>
  <c r="A126" i="15"/>
  <c r="E100" i="15"/>
  <c r="E76" i="15"/>
  <c r="C110" i="15"/>
  <c r="N96" i="15"/>
  <c r="E56" i="15"/>
  <c r="J115" i="15"/>
  <c r="B73" i="15"/>
  <c r="L101" i="15"/>
  <c r="L78" i="15"/>
  <c r="L77" i="15"/>
  <c r="E126" i="15"/>
  <c r="M78" i="15"/>
  <c r="B80" i="15"/>
  <c r="A140" i="15" l="1"/>
  <c r="B66" i="15"/>
  <c r="L125" i="15"/>
  <c r="A78" i="15"/>
  <c r="C73" i="15"/>
  <c r="A121" i="15"/>
  <c r="L127" i="15"/>
  <c r="C117" i="15"/>
  <c r="H83" i="15"/>
  <c r="J92" i="15"/>
  <c r="K147" i="15"/>
  <c r="A66" i="15"/>
  <c r="M152" i="15"/>
  <c r="L106" i="15"/>
  <c r="N77" i="15"/>
  <c r="K115" i="15"/>
  <c r="H80" i="15"/>
  <c r="M105" i="15"/>
  <c r="D118" i="15"/>
  <c r="C113" i="15"/>
  <c r="A130" i="15"/>
  <c r="A63" i="15"/>
  <c r="N139" i="15"/>
  <c r="D131" i="15"/>
  <c r="E47" i="15"/>
  <c r="N69" i="15"/>
  <c r="K67" i="15"/>
  <c r="F66" i="15"/>
  <c r="L48" i="15"/>
  <c r="D136" i="15"/>
  <c r="I148" i="15"/>
  <c r="G113" i="15"/>
  <c r="H85" i="15"/>
  <c r="H113" i="15"/>
  <c r="A106" i="15"/>
  <c r="N86" i="15"/>
  <c r="M118" i="15"/>
  <c r="F119" i="15"/>
  <c r="B81" i="15"/>
  <c r="C65" i="15"/>
  <c r="B45" i="15"/>
  <c r="E59" i="15"/>
  <c r="E145" i="15"/>
  <c r="F144" i="15"/>
  <c r="B118" i="15"/>
  <c r="F133" i="15"/>
  <c r="I113" i="15"/>
  <c r="C128" i="15"/>
  <c r="A73" i="15"/>
  <c r="I94" i="15"/>
  <c r="C56" i="15"/>
  <c r="D104" i="15"/>
  <c r="H45" i="15"/>
  <c r="D85" i="15"/>
  <c r="H48" i="15"/>
  <c r="J146" i="15"/>
  <c r="J150" i="15"/>
  <c r="I64" i="15"/>
  <c r="H119" i="15"/>
  <c r="L113" i="15"/>
  <c r="F145" i="15"/>
  <c r="B90" i="15"/>
  <c r="E140" i="15"/>
  <c r="J85" i="15"/>
  <c r="L45" i="15"/>
  <c r="J50" i="15"/>
  <c r="A60" i="15"/>
</calcChain>
</file>

<file path=xl/sharedStrings.xml><?xml version="1.0" encoding="utf-8"?>
<sst xmlns="http://schemas.openxmlformats.org/spreadsheetml/2006/main" count="1981" uniqueCount="166">
  <si>
    <t>CONTROLE DE FOLGAS 6x1 — PAINEL</t>
  </si>
  <si>
    <t>Escolha o mês e o dia nas células amarelas. Na coluna DIA, digite HE (hora extra), A (agendada), F (folga tirada), FL (falta), AT (atestado) ou FE (férias).</t>
  </si>
  <si>
    <t>LEGENDA</t>
  </si>
  <si>
    <t>HE</t>
  </si>
  <si>
    <t>Hora extra — gera 1 crédito de folga</t>
  </si>
  <si>
    <t>Mês:</t>
  </si>
  <si>
    <t>SET</t>
  </si>
  <si>
    <t>Ano:</t>
  </si>
  <si>
    <t>Dia:</t>
  </si>
  <si>
    <t>A</t>
  </si>
  <si>
    <t>Folga agendada — ocupa a vaga do dia</t>
  </si>
  <si>
    <t>F</t>
  </si>
  <si>
    <t>Folga tirada — desconta o saldo</t>
  </si>
  <si>
    <t>Colaboradores</t>
  </si>
  <si>
    <t>Agendadas (A)</t>
  </si>
  <si>
    <t>Tiradas (F)</t>
  </si>
  <si>
    <t>Saldo a tirar</t>
  </si>
  <si>
    <t>Dias com +2 folgas</t>
  </si>
  <si>
    <t>FL</t>
  </si>
  <si>
    <t>Falta</t>
  </si>
  <si>
    <t>AT</t>
  </si>
  <si>
    <t>Atestado</t>
  </si>
  <si>
    <t>ANO INTEIRO</t>
  </si>
  <si>
    <t>digite HE, A, F, FL, AT ou FE ↓</t>
  </si>
  <si>
    <t>FE</t>
  </si>
  <si>
    <t>Férias</t>
  </si>
  <si>
    <t>Nº</t>
  </si>
  <si>
    <t>Colaborador</t>
  </si>
  <si>
    <t>Acumuladas</t>
  </si>
  <si>
    <t>Agendadas</t>
  </si>
  <si>
    <t>Tiradas</t>
  </si>
  <si>
    <t>Saldo</t>
  </si>
  <si>
    <t>Acum. no ano</t>
  </si>
  <si>
    <t>Tiradas no ano</t>
  </si>
  <si>
    <t>Saldo no ano</t>
  </si>
  <si>
    <t>,</t>
  </si>
  <si>
    <t>TOTAIS</t>
  </si>
  <si>
    <t>CALENDÁRIO — marque a folga no dia escolhido</t>
  </si>
  <si>
    <t>Dias:</t>
  </si>
  <si>
    <t>Folgas
Acumuladas</t>
  </si>
  <si>
    <t>Saldo
a Tirar</t>
  </si>
  <si>
    <t>ROGÉRIO OLIVEIRA 75001</t>
  </si>
  <si>
    <t>IVÃ DE PAULA 393701</t>
  </si>
  <si>
    <t>CARLOS ALMEIDA 343901</t>
  </si>
  <si>
    <t>MISAEL SANTOS 37002097</t>
  </si>
  <si>
    <t>ALEXANDRE SELAU 145401</t>
  </si>
  <si>
    <t>FABIANO FORTES 57401</t>
  </si>
  <si>
    <t>DOUGLAS MILANI 398501</t>
  </si>
  <si>
    <t>ROQUE DARLAN 464801</t>
  </si>
  <si>
    <t>FREDERICO SILVA 416501</t>
  </si>
  <si>
    <t>RAFAEL SANTOS 355101</t>
  </si>
  <si>
    <t>DANIEL MACHADO 112601</t>
  </si>
  <si>
    <t>JOSE HERTE 109801</t>
  </si>
  <si>
    <t>EVERTON SILVA 37001892</t>
  </si>
  <si>
    <t>ANILTON MORAES 327401</t>
  </si>
  <si>
    <t>MARCOS SOUZA 453701</t>
  </si>
  <si>
    <t>MARCOS EBERTZ 356601</t>
  </si>
  <si>
    <t>REGIS CERETA 384101</t>
  </si>
  <si>
    <t>ANDERSON SANTOS 434801</t>
  </si>
  <si>
    <t>ALEX GABRIEL 37002111</t>
  </si>
  <si>
    <t>RENATO GUEDES 381901</t>
  </si>
  <si>
    <t>EDUARDO SCHNEIDER 37002143</t>
  </si>
  <si>
    <t>VANDERLEI BUSSA 309601</t>
  </si>
  <si>
    <t>DENIS GABRIEL 37002145</t>
  </si>
  <si>
    <t>DIEGO DIETRICH 352801</t>
  </si>
  <si>
    <t>MARCELOS DORNELLES 37002274</t>
  </si>
  <si>
    <t>ALEXANDRE NUNES 461301</t>
  </si>
  <si>
    <t>DIGO GRAZCKI 37002136</t>
  </si>
  <si>
    <t>CHARLES SCOT 310301</t>
  </si>
  <si>
    <t>EDUARDO RIBEIRO 484301</t>
  </si>
  <si>
    <t>RODRIGO BRAZEIRO 281401</t>
  </si>
  <si>
    <t>ALEXANDRE MARINHO 37002252</t>
  </si>
  <si>
    <t>DIERRI SOUZA 166901</t>
  </si>
  <si>
    <t>JOSIMAR ROCHA 390801</t>
  </si>
  <si>
    <t>JONATHAM DALAZEM 517501</t>
  </si>
  <si>
    <t>LUCAS PEREIRA 37002099</t>
  </si>
  <si>
    <t>LUCIANO GROSS 37002144</t>
  </si>
  <si>
    <t>UILIAN NOGUEIRA 483101</t>
  </si>
  <si>
    <t>PATRICK OLIVEIRA 361601</t>
  </si>
  <si>
    <t>DAVI FARIAS 141501</t>
  </si>
  <si>
    <t>JEAN MARTINS 37002258</t>
  </si>
  <si>
    <t>LORENZO LOPES 246601</t>
  </si>
  <si>
    <t>GERSON FALEIRO 317801</t>
  </si>
  <si>
    <t>EDENIR TRINDADE 389401</t>
  </si>
  <si>
    <t>VACIR PINTO 185201</t>
  </si>
  <si>
    <t>DIEGO BOEIRA 125801</t>
  </si>
  <si>
    <t>STEFAN KOVALICK 310001</t>
  </si>
  <si>
    <t>JEFERSON SCHENA 309901</t>
  </si>
  <si>
    <t>ALEXANDRE ARAUJO 346001</t>
  </si>
  <si>
    <t>FABIANO BORGES 128901</t>
  </si>
  <si>
    <t>LAUTIER ALMEIDA 317501</t>
  </si>
  <si>
    <t>RENAN RAMBO 327701</t>
  </si>
  <si>
    <t>LUCAS SEVERO 471301</t>
  </si>
  <si>
    <t>EDER MONTICELLI 318101</t>
  </si>
  <si>
    <t>JULIANO LENHARD 446901</t>
  </si>
  <si>
    <t>CARLOS CONCEIÇÃO 509201</t>
  </si>
  <si>
    <t>FABIO BARBOSA 444601</t>
  </si>
  <si>
    <t>CLAUDIOMIR DE SOUZA 415401</t>
  </si>
  <si>
    <t>VAGNER LEMOS 360301</t>
  </si>
  <si>
    <t>RODRIGO FREITAS 283001</t>
  </si>
  <si>
    <t>ANTONIO LUCIANO 454801</t>
  </si>
  <si>
    <t>JONATHAM CORREA 447001</t>
  </si>
  <si>
    <t>GUILHERME MELCHIOR 37002309</t>
  </si>
  <si>
    <t>CLODOALDO TEMPORARIO</t>
  </si>
  <si>
    <t>MARCOS VINICIUS TEMPORARIO</t>
  </si>
  <si>
    <t>MARCOS TEMPORARIO</t>
  </si>
  <si>
    <t>FLAVIO TEMPORARIO</t>
  </si>
  <si>
    <t>MARCIO DUARTE 434601</t>
  </si>
  <si>
    <t>DEIVIDE TEMPORARIO</t>
  </si>
  <si>
    <t>MARLON TEMPORÁRIO</t>
  </si>
  <si>
    <t>GUILHERME CARMARGO TEMPORARIO</t>
  </si>
  <si>
    <t>FOLGAS NO DIA  (máx. 2 por dia)</t>
  </si>
  <si>
    <t>COMO USAR</t>
  </si>
  <si>
    <t>Folgas Acumuladas</t>
  </si>
  <si>
    <t>Saldo a Tirar</t>
  </si>
  <si>
    <t xml:space="preserve"> (âmbar) = folga AGENDADA/prometida. Ocupa a vaga do dia, mas NÃO desconta o saldo.</t>
  </si>
  <si>
    <t xml:space="preserve"> (verde) = folga TIRADA/confirmada. Desconta 1 do Saldo a Tirar.</t>
  </si>
  <si>
    <t>Linha FOLGAS NO DIA:</t>
  </si>
  <si>
    <t>verde = tem vaga · âmbar = 1 folga (resta 1) · vermelho = 2 folgas (CHEIO, não pode).</t>
  </si>
  <si>
    <t>Saldo vermelho:</t>
  </si>
  <si>
    <t>você deu mais folgas do que o colaborador tinha — corrija.</t>
  </si>
  <si>
    <t>REGRA DE MARCAÇÃO (sua dúvida):</t>
  </si>
  <si>
    <t>• Marque "A" quando PROMETER a folga: já reserva a vaga e o sistema impede um 3º no mesmo dia.</t>
  </si>
  <si>
    <t>• Troque para "F" quando o colaborador REALMENTE tirar — aí desconta do saldo.</t>
  </si>
  <si>
    <t>• Se preferir marcar só quando ele tirar (só "F"): funciona, mas você perde a visão do que já foi prometido</t>
  </si>
  <si>
    <t xml:space="preserve">   e corre risco de aprovar 3 pessoas para o mesmo dia. Por isso existe o "A".</t>
  </si>
  <si>
    <t>• O sistema já bloqueia digitar uma 3ª folga em qualquer dia.</t>
  </si>
  <si>
    <t>• 1 aba = 1 mês. Para outro mês: duplique esta aba e mude Mês/Ano na linha 2.</t>
  </si>
  <si>
    <t>DIOGO GRAZCKI 37002136</t>
  </si>
  <si>
    <t>FOLGAS A TIRAR — saldo positivo (ano)</t>
  </si>
  <si>
    <t>Quem tirar a folga (F) sai da lista automaticamente.</t>
  </si>
  <si>
    <t>HE no ano</t>
  </si>
  <si>
    <t>Folgas tiradas</t>
  </si>
  <si>
    <t>REGISTRO DE HORAS EXTRAS — dias marcados com HE</t>
  </si>
  <si>
    <t>JAN</t>
  </si>
  <si>
    <t>FEV</t>
  </si>
  <si>
    <t>MAR</t>
  </si>
  <si>
    <t>ABR</t>
  </si>
  <si>
    <t>MAI</t>
  </si>
  <si>
    <t>JUN</t>
  </si>
  <si>
    <t>JUL</t>
  </si>
  <si>
    <t>AGO</t>
  </si>
  <si>
    <t>OUT</t>
  </si>
  <si>
    <t>NOV</t>
  </si>
  <si>
    <t>DEZ</t>
  </si>
  <si>
    <t>Total HE</t>
  </si>
  <si>
    <t>FALTAS (FL) E ATESTADOS (AT) — dias marcados</t>
  </si>
  <si>
    <t>FALTAS</t>
  </si>
  <si>
    <t>Total FL</t>
  </si>
  <si>
    <t>ATESTADOS</t>
  </si>
  <si>
    <t>Total AT</t>
  </si>
  <si>
    <t>FÉRIAS</t>
  </si>
  <si>
    <t>Total FE</t>
  </si>
  <si>
    <t>BRYAN TEMPORARIO</t>
  </si>
  <si>
    <t>PABLO TEMPORARIO</t>
  </si>
  <si>
    <t>JOAQUIM TEMPORARIO</t>
  </si>
  <si>
    <t>TAYLER TEMPORARIO</t>
  </si>
  <si>
    <t>RAFAEL TEMPORARIO</t>
  </si>
  <si>
    <t>FELIPE TEMPÓRARIO</t>
  </si>
  <si>
    <t>RENAN TEMPORARIO</t>
  </si>
  <si>
    <t>MARCELO CUSTORIO 313401</t>
  </si>
  <si>
    <t>VILSON TEMPORARIO</t>
  </si>
  <si>
    <t>MARCO TEMPORARIO</t>
  </si>
  <si>
    <t>TAYLOR TEMPORÁRIO</t>
  </si>
  <si>
    <t>a</t>
  </si>
  <si>
    <t>ÉRICK TEMPORÁRIO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</si>
</sst>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0000FF"/>
      <name val="Arial"/>
      <family val="2"/>
    </font>
    <font>
      <b/>
      <sz val="10"/>
      <color rgb="FFFFFFFF"/>
      <name val="Arial"/>
      <family val="2"/>
    </font>
    <font>
      <b/>
      <sz val="8"/>
      <color rgb="FFFFFFFF"/>
      <name val="Arial"/>
      <family val="2"/>
      <charset val="1"/>
    </font>
    <font>
      <b/>
      <sz val="9"/>
      <color rgb="FFFFFFFF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  <charset val="1"/>
    </font>
    <font>
      <b/>
      <sz val="11"/>
      <color rgb="FF1F4E78"/>
      <name val="Arial"/>
      <family val="2"/>
    </font>
    <font>
      <b/>
      <sz val="9"/>
      <color rgb="FF1F4E78"/>
      <name val="Arial"/>
      <family val="2"/>
    </font>
    <font>
      <sz val="9"/>
      <color rgb="FF000000"/>
      <name val="Arial"/>
      <family val="2"/>
    </font>
    <font>
      <b/>
      <sz val="9"/>
      <color rgb="FF9C0006"/>
      <name val="Arial"/>
      <family val="2"/>
    </font>
    <font>
      <b/>
      <sz val="10"/>
      <color rgb="FF1F4E78"/>
      <name val="Arial"/>
      <family val="2"/>
    </font>
    <font>
      <b/>
      <sz val="16"/>
      <color rgb="FFFFFFFF"/>
      <name val="Calibri"/>
      <family val="2"/>
    </font>
    <font>
      <i/>
      <sz val="10"/>
      <color rgb="FF595959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0"/>
      <color rgb="FF595959"/>
      <name val="Calibri"/>
      <family val="2"/>
    </font>
    <font>
      <b/>
      <sz val="16"/>
      <name val="Calibri"/>
      <family val="2"/>
    </font>
    <font>
      <b/>
      <sz val="10"/>
      <color rgb="FFFFFFFF"/>
      <name val="Calibri"/>
      <family val="2"/>
    </font>
    <font>
      <b/>
      <sz val="11"/>
      <color rgb="FFFFFFFF"/>
      <name val="Calibri"/>
      <family val="2"/>
    </font>
    <font>
      <i/>
      <sz val="11"/>
      <color rgb="FF595959"/>
      <name val="Calibri"/>
      <family val="2"/>
    </font>
    <font>
      <b/>
      <sz val="11"/>
      <color rgb="FF663C00"/>
      <name val="Calibri"/>
      <family val="2"/>
    </font>
    <font>
      <i/>
      <sz val="9"/>
      <color rgb="FFA8640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u/>
      <sz val="11"/>
      <color theme="10"/>
      <name val="Calibri"/>
      <family val="2"/>
      <charset val="1"/>
    </font>
    <font>
      <u/>
      <sz val="11"/>
      <color rgb="FF0070C0"/>
      <name val="Calibri"/>
      <family val="2"/>
      <charset val="1"/>
    </font>
    <font>
      <u/>
      <sz val="11"/>
      <color theme="1"/>
      <name val="Calibri"/>
      <family val="2"/>
      <charset val="1"/>
    </font>
    <font>
      <b/>
      <sz val="13"/>
      <name val="Calibri"/>
      <family val="2"/>
    </font>
    <font>
      <u/>
      <sz val="11"/>
      <color rgb="FF0563C1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1"/>
      <color rgb="FF9C0006"/>
      <name val="Calibri"/>
      <family val="2"/>
    </font>
    <font>
      <b/>
      <sz val="11"/>
      <color rgb="FF5B4B8A"/>
      <name val="Calibri"/>
      <family val="2"/>
    </font>
    <font>
      <b/>
      <sz val="11"/>
      <name val="Calibri"/>
      <family val="2"/>
    </font>
    <font>
      <sz val="9"/>
      <name val="Calibri"/>
      <family val="2"/>
    </font>
    <font>
      <sz val="9"/>
      <color theme="1"/>
      <name val="Calibri"/>
      <family val="2"/>
      <charset val="1"/>
    </font>
    <font>
      <sz val="9"/>
      <color rgb="FF000000"/>
      <name val="Arial"/>
      <family val="2"/>
      <charset val="1"/>
    </font>
    <font>
      <sz val="9"/>
      <color theme="1"/>
      <name val="Arial"/>
      <family val="2"/>
    </font>
    <font>
      <b/>
      <sz val="10"/>
      <color rgb="FF000000"/>
      <name val="Arial"/>
      <family val="2"/>
      <charset val="1"/>
    </font>
    <font>
      <sz val="8"/>
      <color theme="1"/>
      <name val="Calibri"/>
      <family val="2"/>
      <charset val="1"/>
    </font>
    <font>
      <sz val="10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2E75B6"/>
        <bgColor rgb="FF0066CC"/>
      </patternFill>
    </fill>
    <fill>
      <patternFill patternType="solid">
        <fgColor rgb="FFDDEBF7"/>
        <bgColor rgb="FFEDEDED"/>
      </patternFill>
    </fill>
    <fill>
      <patternFill patternType="solid">
        <fgColor rgb="FF12385E"/>
      </patternFill>
    </fill>
    <fill>
      <patternFill patternType="solid">
        <fgColor rgb="FFFFF2CC"/>
      </patternFill>
    </fill>
    <fill>
      <patternFill patternType="solid">
        <fgColor rgb="FFDCE6F1"/>
      </patternFill>
    </fill>
    <fill>
      <patternFill patternType="solid">
        <fgColor rgb="FF5B7DA3"/>
      </patternFill>
    </fill>
    <fill>
      <patternFill patternType="solid">
        <fgColor rgb="FF6E8B5E"/>
      </patternFill>
    </fill>
    <fill>
      <patternFill patternType="solid">
        <fgColor rgb="FFF2F2F2"/>
      </patternFill>
    </fill>
    <fill>
      <patternFill patternType="solid">
        <fgColor rgb="FFE2EFDA"/>
      </patternFill>
    </fill>
    <fill>
      <patternFill patternType="solid">
        <fgColor rgb="FFFFD966"/>
      </patternFill>
    </fill>
    <fill>
      <patternFill patternType="solid">
        <fgColor rgb="FFFFFBE6"/>
      </patternFill>
    </fill>
    <fill>
      <patternFill patternType="solid">
        <fgColor rgb="FFFFE9C2"/>
      </patternFill>
    </fill>
    <fill>
      <patternFill patternType="solid">
        <fgColor rgb="FFD7F2E3"/>
      </patternFill>
    </fill>
    <fill>
      <patternFill patternType="solid">
        <fgColor rgb="FF2F5496"/>
      </patternFill>
    </fill>
    <fill>
      <patternFill patternType="solid">
        <fgColor rgb="FFDDEBF7"/>
      </patternFill>
    </fill>
    <fill>
      <patternFill patternType="solid">
        <fgColor rgb="FFFFE9C2"/>
      </patternFill>
    </fill>
    <fill>
      <patternFill patternType="solid">
        <fgColor rgb="FFD7F2E3"/>
      </patternFill>
    </fill>
    <fill>
      <patternFill patternType="solid">
        <fgColor rgb="FFF4CCCC"/>
      </patternFill>
    </fill>
    <fill>
      <patternFill patternType="solid">
        <fgColor rgb="FFE4DFE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100">
    <xf numFmtId="0" fontId="0" fillId="0" borderId="0" xfId="0"/>
    <xf numFmtId="0" fontId="3" fillId="0" borderId="0" xfId="0" applyFont="1" applyAlignment="1">
      <alignment horizontal="right"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/>
    </xf>
    <xf numFmtId="0" fontId="9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8" borderId="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3" fillId="7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3" borderId="3" xfId="0" applyFill="1" applyBorder="1"/>
    <xf numFmtId="0" fontId="18" fillId="13" borderId="3" xfId="0" applyFont="1" applyFill="1" applyBorder="1"/>
    <xf numFmtId="0" fontId="18" fillId="13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5" fillId="14" borderId="3" xfId="0" applyFont="1" applyFill="1" applyBorder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18" fillId="15" borderId="3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3" fillId="0" borderId="0" xfId="0" applyFont="1"/>
    <xf numFmtId="0" fontId="32" fillId="0" borderId="0" xfId="0" applyFont="1"/>
    <xf numFmtId="0" fontId="34" fillId="0" borderId="0" xfId="0" applyFont="1"/>
    <xf numFmtId="0" fontId="35" fillId="18" borderId="0" xfId="0" applyFont="1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0" fontId="38" fillId="0" borderId="0" xfId="0" applyFont="1"/>
    <xf numFmtId="0" fontId="38" fillId="19" borderId="5" xfId="0" applyFont="1" applyFill="1" applyBorder="1" applyAlignment="1">
      <alignment horizontal="center"/>
    </xf>
    <xf numFmtId="0" fontId="39" fillId="0" borderId="0" xfId="0" applyFont="1"/>
    <xf numFmtId="0" fontId="38" fillId="20" borderId="5" xfId="0" applyFont="1" applyFill="1" applyBorder="1" applyAlignment="1">
      <alignment horizontal="center"/>
    </xf>
    <xf numFmtId="0" fontId="38" fillId="21" borderId="5" xfId="0" applyFont="1" applyFill="1" applyBorder="1" applyAlignment="1">
      <alignment horizontal="center"/>
    </xf>
    <xf numFmtId="0" fontId="38" fillId="22" borderId="5" xfId="0" applyFont="1" applyFill="1" applyBorder="1" applyAlignment="1">
      <alignment horizontal="center"/>
    </xf>
    <xf numFmtId="0" fontId="38" fillId="23" borderId="5" xfId="0" applyFont="1" applyFill="1" applyBorder="1" applyAlignment="1">
      <alignment horizontal="center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0" fillId="6" borderId="3" xfId="0" applyFill="1" applyBorder="1"/>
    <xf numFmtId="0" fontId="5" fillId="2" borderId="3" xfId="0" applyFont="1" applyFill="1" applyBorder="1" applyAlignment="1">
      <alignment horizontal="center" vertical="center" wrapText="1"/>
    </xf>
    <xf numFmtId="0" fontId="36" fillId="0" borderId="0" xfId="0" applyFont="1"/>
    <xf numFmtId="0" fontId="37" fillId="0" borderId="0" xfId="0" applyFont="1"/>
    <xf numFmtId="0" fontId="40" fillId="0" borderId="3" xfId="0" applyFont="1" applyBorder="1" applyAlignment="1">
      <alignment horizontal="center" vertical="center"/>
    </xf>
    <xf numFmtId="0" fontId="40" fillId="12" borderId="3" xfId="0" applyFont="1" applyFill="1" applyBorder="1" applyAlignment="1">
      <alignment horizontal="center" vertical="center"/>
    </xf>
    <xf numFmtId="0" fontId="40" fillId="12" borderId="5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24" borderId="3" xfId="0" applyFont="1" applyFill="1" applyBorder="1" applyAlignment="1">
      <alignment horizontal="center" vertical="center"/>
    </xf>
    <xf numFmtId="0" fontId="40" fillId="24" borderId="3" xfId="0" applyFont="1" applyFill="1" applyBorder="1" applyAlignment="1">
      <alignment horizontal="left" vertical="center"/>
    </xf>
    <xf numFmtId="0" fontId="0" fillId="24" borderId="3" xfId="0" applyFill="1" applyBorder="1" applyAlignment="1">
      <alignment horizontal="center" vertical="center"/>
    </xf>
    <xf numFmtId="0" fontId="40" fillId="24" borderId="5" xfId="0" applyFont="1" applyFill="1" applyBorder="1" applyAlignment="1">
      <alignment horizontal="center" vertical="center"/>
    </xf>
    <xf numFmtId="0" fontId="0" fillId="24" borderId="5" xfId="0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41" fillId="0" borderId="1" xfId="0" applyFont="1" applyBorder="1" applyAlignment="1">
      <alignment horizontal="left" vertical="center"/>
    </xf>
    <xf numFmtId="0" fontId="40" fillId="25" borderId="3" xfId="0" applyFont="1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4" fillId="0" borderId="5" xfId="0" applyFont="1" applyBorder="1" applyAlignment="1">
      <alignment horizontal="center"/>
    </xf>
    <xf numFmtId="0" fontId="44" fillId="0" borderId="5" xfId="0" applyFont="1" applyBorder="1" applyAlignment="1">
      <alignment horizontal="center" wrapText="1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horizontal="center" vertical="center" wrapText="1"/>
    </xf>
    <xf numFmtId="0" fontId="44" fillId="0" borderId="0" xfId="0" applyFont="1"/>
    <xf numFmtId="0" fontId="45" fillId="0" borderId="0" xfId="0" applyFont="1"/>
    <xf numFmtId="0" fontId="40" fillId="26" borderId="3" xfId="0" applyFont="1" applyFill="1" applyBorder="1" applyAlignment="1">
      <alignment horizontal="left" vertical="center"/>
    </xf>
    <xf numFmtId="0" fontId="40" fillId="26" borderId="6" xfId="0" applyFont="1" applyFill="1" applyBorder="1" applyAlignment="1">
      <alignment horizontal="left" vertical="center"/>
    </xf>
    <xf numFmtId="0" fontId="40" fillId="26" borderId="2" xfId="0" applyFont="1" applyFill="1" applyBorder="1" applyAlignment="1">
      <alignment horizontal="left" vertical="center"/>
    </xf>
    <xf numFmtId="0" fontId="44" fillId="26" borderId="3" xfId="0" applyFont="1" applyFill="1" applyBorder="1" applyAlignment="1">
      <alignment horizontal="left" vertical="center"/>
    </xf>
    <xf numFmtId="0" fontId="40" fillId="26" borderId="5" xfId="0" applyFont="1" applyFill="1" applyBorder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0" fontId="0" fillId="0" borderId="0" xfId="0"/>
    <xf numFmtId="0" fontId="22" fillId="11" borderId="0" xfId="0" applyFont="1" applyFill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0" fillId="9" borderId="5" xfId="0" applyFont="1" applyFill="1" applyBorder="1" applyAlignment="1">
      <alignment horizontal="center" vertical="center"/>
    </xf>
    <xf numFmtId="0" fontId="0" fillId="0" borderId="4" xfId="0" applyBorder="1"/>
    <xf numFmtId="0" fontId="30" fillId="0" borderId="0" xfId="1" applyFont="1" applyAlignment="1">
      <alignment horizontal="left"/>
    </xf>
    <xf numFmtId="0" fontId="17" fillId="0" borderId="0" xfId="0" applyFont="1" applyAlignment="1">
      <alignment horizontal="left" vertical="center"/>
    </xf>
    <xf numFmtId="0" fontId="21" fillId="9" borderId="5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0" fillId="0" borderId="2" xfId="0" applyBorder="1"/>
    <xf numFmtId="0" fontId="5" fillId="5" borderId="5" xfId="0" applyFont="1" applyFill="1" applyBorder="1" applyAlignment="1">
      <alignment horizontal="center" vertical="center" wrapText="1"/>
    </xf>
    <xf numFmtId="0" fontId="27" fillId="19" borderId="3" xfId="0" applyFont="1" applyFill="1" applyBorder="1" applyAlignment="1">
      <alignment horizontal="center" vertical="center"/>
    </xf>
    <xf numFmtId="0" fontId="27" fillId="23" borderId="3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79"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sz val="10"/>
        <color rgb="FFFFFFFF"/>
        <name val="Arial"/>
        <charset val="1"/>
      </font>
      <fill>
        <patternFill>
          <bgColor rgb="FF9C0006"/>
        </patternFill>
      </fill>
    </dxf>
    <dxf>
      <font>
        <color rgb="FF38761D"/>
      </font>
      <fill>
        <patternFill patternType="solid">
          <fgColor rgb="FFD9EAD3"/>
          <bgColor rgb="FFD9EAD3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>
          <bgColor rgb="FFEDEDED"/>
        </patternFill>
      </fill>
    </dxf>
    <dxf>
      <font>
        <b/>
        <sz val="10"/>
        <color rgb="FF9C6500"/>
        <name val="Arial"/>
        <charset val="1"/>
      </font>
      <fill>
        <patternFill>
          <bgColor rgb="FFFFEB9C"/>
        </patternFill>
      </fill>
    </dxf>
    <dxf>
      <font>
        <b/>
        <sz val="10"/>
        <color rgb="FF006100"/>
        <name val="Arial"/>
        <charset val="1"/>
      </font>
      <fill>
        <patternFill>
          <bgColor rgb="FFC6EFCE"/>
        </patternFill>
      </fill>
    </dxf>
    <dxf>
      <fill>
        <patternFill>
          <bgColor rgb="FFC9C9C9"/>
        </patternFill>
      </fill>
    </dxf>
    <dxf>
      <font>
        <sz val="10"/>
        <color rgb="FF595959"/>
        <name val="Arial"/>
        <charset val="1"/>
      </font>
      <fill>
        <patternFill>
          <bgColor rgb="FFD9D9D9"/>
        </patternFill>
      </fill>
    </dxf>
    <dxf>
      <font>
        <b/>
        <sz val="10"/>
        <color rgb="FF9C0006"/>
        <name val="Arial"/>
        <charset val="1"/>
      </font>
      <fill>
        <patternFill>
          <bgColor rgb="FFFFC7CE"/>
        </patternFill>
      </fill>
    </dxf>
    <dxf>
      <font>
        <b/>
        <color rgb="FFC00000"/>
      </font>
      <fill>
        <patternFill patternType="solid">
          <fgColor rgb="FFFFE0E0"/>
        </patternFill>
      </fill>
    </dxf>
    <dxf>
      <fill>
        <patternFill patternType="solid">
          <fgColor rgb="FFE4DFEC"/>
          <bgColor rgb="FFE4DFEC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DDEBF7"/>
          <bgColor rgb="FFDDEBF7"/>
        </patternFill>
      </fill>
    </dxf>
    <dxf>
      <font>
        <b/>
        <color rgb="FF1A7F4B"/>
      </font>
      <fill>
        <patternFill patternType="solid">
          <fgColor rgb="FFD7F2E3"/>
        </patternFill>
      </fill>
    </dxf>
    <dxf>
      <font>
        <b/>
        <color rgb="FFA86400"/>
      </font>
      <fill>
        <patternFill patternType="solid">
          <fgColor rgb="FFFFE9C2"/>
        </patternFill>
      </fill>
    </dxf>
    <dxf>
      <font>
        <b/>
        <color rgb="FF1A7F4B"/>
      </font>
    </dxf>
    <dxf>
      <font>
        <b/>
        <color rgb="FFC00000"/>
      </font>
    </dxf>
    <dxf>
      <font>
        <b/>
        <sz val="16"/>
        <color rgb="FFC00000"/>
      </font>
      <fill>
        <patternFill patternType="solid">
          <fgColor rgb="FFFFE0E0"/>
        </patternFill>
      </fill>
    </dxf>
    <dxf>
      <font>
        <b/>
        <color rgb="FF1A7F4B"/>
      </font>
    </dxf>
    <dxf>
      <font>
        <b/>
        <color rgb="FFC0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9C6500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6EFCE"/>
      <rgbColor rgb="FFFFEB9C"/>
      <rgbColor rgb="FFC9C9C9"/>
      <rgbColor rgb="FFEDEDED"/>
      <rgbColor rgb="FFCC99FF"/>
      <rgbColor rgb="FFFFC7CE"/>
      <rgbColor rgb="FF2E75B6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P160"/>
  <sheetViews>
    <sheetView showGridLines="0" tabSelected="1" zoomScaleNormal="100" workbookViewId="0">
      <pane ySplit="9" topLeftCell="A73" activePane="bottomLeft" state="frozen"/>
      <selection pane="bottomLeft" activeCell="B91" sqref="B91"/>
    </sheetView>
  </sheetViews>
  <sheetFormatPr defaultRowHeight="15" outlineLevelRow="1" x14ac:dyDescent="0.25"/>
  <cols>
    <col min="1" max="1" width="5" customWidth="1"/>
    <col min="2" max="2" width="29.85546875" customWidth="1"/>
    <col min="3" max="5" width="12" customWidth="1"/>
    <col min="6" max="6" width="10" customWidth="1"/>
    <col min="7" max="7" width="13" customWidth="1"/>
    <col min="8" max="8" width="14" customWidth="1"/>
    <col min="9" max="9" width="20.140625" customWidth="1"/>
    <col min="10" max="10" width="26.140625" customWidth="1"/>
    <col min="11" max="11" width="33" customWidth="1"/>
    <col min="12" max="12" width="35.5703125" customWidth="1"/>
    <col min="13" max="13" width="6" customWidth="1"/>
    <col min="14" max="14" width="34" customWidth="1"/>
    <col min="15" max="16" width="33" customWidth="1"/>
  </cols>
  <sheetData>
    <row r="1" spans="1:14" ht="30" customHeight="1" x14ac:dyDescent="0.25">
      <c r="A1" s="83" t="s">
        <v>0</v>
      </c>
      <c r="B1" s="84"/>
      <c r="C1" s="84"/>
      <c r="D1" s="84"/>
      <c r="E1" s="84"/>
      <c r="F1" s="84"/>
      <c r="G1" s="84"/>
      <c r="H1" s="84"/>
      <c r="I1" s="84"/>
    </row>
    <row r="2" spans="1:14" x14ac:dyDescent="0.25">
      <c r="A2" s="90" t="s">
        <v>1</v>
      </c>
      <c r="B2" s="84"/>
      <c r="C2" s="84"/>
      <c r="D2" s="84"/>
      <c r="E2" s="84"/>
      <c r="F2" s="84"/>
      <c r="G2" s="84"/>
      <c r="H2" s="84"/>
      <c r="I2" s="84"/>
      <c r="K2" s="31" t="str">
        <f>HYPERLINK("#FOLGAS_A_TIRAR!A1","📋 Folgas a tirar (relatório)")</f>
        <v>📋 Folgas a tirar (relatório)</v>
      </c>
      <c r="M2" s="37" t="s">
        <v>2</v>
      </c>
    </row>
    <row r="3" spans="1:14" x14ac:dyDescent="0.25">
      <c r="K3" s="31" t="str">
        <f>HYPERLINK("#REGISTRO_HE!A1","🕐 Registro de HE (relatório)")</f>
        <v>🕐 Registro de HE (relatório)</v>
      </c>
      <c r="M3" s="38" t="s">
        <v>3</v>
      </c>
      <c r="N3" s="39" t="s">
        <v>4</v>
      </c>
    </row>
    <row r="4" spans="1:14" ht="15.75" customHeight="1" x14ac:dyDescent="0.25">
      <c r="A4" s="15" t="s">
        <v>5</v>
      </c>
      <c r="B4" s="16" t="s">
        <v>142</v>
      </c>
      <c r="C4" s="15" t="s">
        <v>7</v>
      </c>
      <c r="D4" s="17">
        <f ca="1">INDIRECT("'"&amp;$B$4&amp;"'!D2")</f>
        <v>2026</v>
      </c>
      <c r="E4" s="15" t="s">
        <v>8</v>
      </c>
      <c r="F4" s="16">
        <v>18</v>
      </c>
      <c r="G4" s="86" t="str">
        <f ca="1">IF($F$4&gt;DAY(EOMONTH(DATE($D$4,MATCH($B$4,{"JAN","FEV","MAR","ABR","MAI","JUN","JUL","AGO","SET","OUT","NOV","DEZ"},0),1),0)),"⚠ dia não existe neste mês",TEXT(DATE($D$4,MATCH($B$4,{"JAN","FEV","MAR","ABR","MAI","JUN","JUL","AGO","SET","OUT","NOV","DEZ"},0),$F$4),"dddd"))</f>
        <v>domingo</v>
      </c>
      <c r="H4" s="84"/>
      <c r="I4" s="84"/>
      <c r="K4" s="89" t="str">
        <f>HYPERLINK("#'"&amp;$B$4&amp;"'!"&amp;ADDRESS(6,6+$F$4),"↗ abrir o dia "&amp;$F$4&amp;" na aba "&amp;$B$4)</f>
        <v>↗ abrir o dia 18 na aba OUT</v>
      </c>
      <c r="L4" s="84"/>
      <c r="M4" s="40" t="s">
        <v>9</v>
      </c>
      <c r="N4" s="39" t="s">
        <v>10</v>
      </c>
    </row>
    <row r="5" spans="1:14" x14ac:dyDescent="0.25">
      <c r="K5" s="31" t="str">
        <f>HYPERLINK("#FALTAS_ATESTADOS!A1","🩺 Faltas e atestados (relatório)")</f>
        <v>🩺 Faltas e atestados (relatório)</v>
      </c>
      <c r="M5" s="41" t="s">
        <v>11</v>
      </c>
      <c r="N5" s="39" t="s">
        <v>12</v>
      </c>
    </row>
    <row r="6" spans="1:14" x14ac:dyDescent="0.25">
      <c r="A6" s="87" t="s">
        <v>13</v>
      </c>
      <c r="B6" s="88"/>
      <c r="C6" s="87" t="s">
        <v>14</v>
      </c>
      <c r="D6" s="88"/>
      <c r="E6" s="87" t="s">
        <v>15</v>
      </c>
      <c r="F6" s="88"/>
      <c r="G6" s="87" t="s">
        <v>16</v>
      </c>
      <c r="H6" s="88"/>
      <c r="I6" s="87" t="s">
        <v>17</v>
      </c>
      <c r="J6" s="88"/>
      <c r="K6" s="31" t="str">
        <f>HYPERLINK("#FALTAS_ATESTADOS!A308","🏖 Férias (relatório)")</f>
        <v>🏖 Férias (relatório)</v>
      </c>
      <c r="M6" s="42" t="s">
        <v>18</v>
      </c>
      <c r="N6" s="39" t="s">
        <v>19</v>
      </c>
    </row>
    <row r="7" spans="1:14" ht="24" customHeight="1" x14ac:dyDescent="0.25">
      <c r="A7" s="91">
        <f ca="1">SUMPRODUCT(--(INDIRECT("'"&amp;$B$4&amp;"'!B6:B155")&lt;&gt;""))</f>
        <v>82</v>
      </c>
      <c r="B7" s="88"/>
      <c r="C7" s="91">
        <f ca="1">INDIRECT("'"&amp;$B$4&amp;"'!D156")</f>
        <v>11</v>
      </c>
      <c r="D7" s="88"/>
      <c r="E7" s="91">
        <f ca="1">INDIRECT("'"&amp;$B$4&amp;"'!E156")</f>
        <v>15</v>
      </c>
      <c r="F7" s="88"/>
      <c r="G7" s="91">
        <f ca="1">INDIRECT("'"&amp;$B$4&amp;"'!F156")</f>
        <v>1</v>
      </c>
      <c r="H7" s="88"/>
      <c r="I7" s="91">
        <f ca="1">COUNTIF(INDIRECT("'"&amp;$B$4&amp;"'!G157:AK157"),"&gt;2")</f>
        <v>0</v>
      </c>
      <c r="J7" s="88"/>
      <c r="M7" s="43" t="s">
        <v>20</v>
      </c>
      <c r="N7" s="39" t="s">
        <v>21</v>
      </c>
    </row>
    <row r="8" spans="1:14" x14ac:dyDescent="0.25">
      <c r="C8" s="92" t="str">
        <f>"MÊS SELECIONADO ("&amp;$B$4&amp;")"</f>
        <v>MÊS SELECIONADO (OUT)</v>
      </c>
      <c r="D8" s="84"/>
      <c r="E8" s="84"/>
      <c r="F8" s="84"/>
      <c r="G8" s="85" t="s">
        <v>22</v>
      </c>
      <c r="H8" s="84"/>
      <c r="I8" s="84"/>
      <c r="J8" s="24" t="s">
        <v>23</v>
      </c>
      <c r="M8" s="43" t="s">
        <v>24</v>
      </c>
      <c r="N8" s="39" t="s">
        <v>25</v>
      </c>
    </row>
    <row r="9" spans="1:16" x14ac:dyDescent="0.25">
      <c r="A9" s="18" t="s">
        <v>26</v>
      </c>
      <c r="B9" s="18" t="s">
        <v>27</v>
      </c>
      <c r="C9" s="18" t="s">
        <v>28</v>
      </c>
      <c r="D9" s="18" t="s">
        <v>29</v>
      </c>
      <c r="E9" s="18" t="s">
        <v>30</v>
      </c>
      <c r="F9" s="18" t="s">
        <v>31</v>
      </c>
      <c r="G9" s="18" t="s">
        <v>32</v>
      </c>
      <c r="H9" s="18" t="s">
        <v>33</v>
      </c>
      <c r="I9" s="18" t="s">
        <v>34</v>
      </c>
      <c r="J9" s="25" t="str">
        <f>"DIA "&amp;$F$4&amp;" ✎"</f>
        <v>DIA 18 ✎</v>
      </c>
      <c r="K9" s="26" t="str">
        <f>"AGENDARAM NO DIA "&amp;$F$4</f>
        <v>AGENDARAM NO DIA 18</v>
      </c>
      <c r="L9" s="27" t="str">
        <f>"FOLGARAM NO DIA "&amp;$F$4</f>
        <v>FOLGARAM NO DIA 18</v>
      </c>
      <c r="O9" s="98" t="str">
        <f>"HE NO DIA "&amp;$F$4</f>
        <v>HE NO DIA 18</v>
      </c>
      <c r="P9" s="99" t="str">
        <f>"FÉRIAS NO DIA "&amp;$F$4</f>
        <v>FÉRIAS NO DIA 18</v>
      </c>
    </row>
    <row r="10" spans="1:16" x14ac:dyDescent="0.25">
      <c r="A10" s="50">
        <f t="shared" ref="A10:A41" ca="1" si="0">IF($B10="","",ROW()-9)</f>
        <v>1</v>
      </c>
      <c r="B10" s="78" t="str">
        <f ca="1">T(INDIRECT("'"&amp;$B$4&amp;"'!B6"))</f>
        <v>ROGÉRIO OLIVEIRA 75001</v>
      </c>
      <c r="C10" s="19">
        <f ca="1">IF($B10="","",N(INDIRECT("'"&amp;$B$4&amp;"'!C6")))</f>
        <v>0</v>
      </c>
      <c r="D10" s="19">
        <f ca="1">IF($B10="","",INDIRECT("'"&amp;$B$4&amp;"'!D6"))</f>
        <v>0</v>
      </c>
      <c r="E10" s="19">
        <f ca="1">IF($B10="","",INDIRECT("'"&amp;$B$4&amp;"'!E6"))</f>
        <v>0</v>
      </c>
      <c r="F10" s="19">
        <f ca="1">IF($B10="","",INDIRECT("'"&amp;$B$4&amp;"'!F6"))</f>
        <v>0</v>
      </c>
      <c r="G10" s="19">
        <f ca="1">IF($B10="","",N(JAN!C6)+N(FEV!C6)+N(MAR!C6)+N(ABR!C6)+N(MAI!C6)+N(JUN!C6)+N(JUL!C6)+N(AGO!C6)+N(SET!C6)+N(OUT!C6)+N(NOV!C6)+N(DEZ!C6))</f>
        <v>2</v>
      </c>
      <c r="H10" s="19">
        <f ca="1">IF($B10="","",SUM(JAN!E6,FEV!E6,MAR!E6,ABR!E6,MAI!E6,JUN!E6,JUL!E6,AGO!E6,SET!E6,OUT!E6,NOV!E6,DEZ!E6))</f>
        <v>0</v>
      </c>
      <c r="I10" s="19">
        <f t="shared" ref="I10:I41" ca="1" si="1">IF($B10="","",G10-H10)</f>
        <v>2</v>
      </c>
      <c r="J10" s="28" t="str">
        <f ca="1">IF($B10="","",IF(T(INDIRECT("'"&amp;$B$4&amp;"'!"&amp;ADDRESS(6,6+$F$4)))="","·",T(INDIRECT("'"&amp;$B$4&amp;"'!"&amp;ADDRESS(6,6+$F$4)))))</f>
        <v>·</v>
      </c>
      <c r="K10" s="64" t="str">
        <f t="array" aca="1" ref="K10" ca="1">IFERROR(INDEX(INDIRECT("'"&amp;$B$4&amp;"'!B6:B155"),_xlfn.AGGREGATE(15,6,(ROW(INDIRECT("6:155"))-5)/((INDIRECT("'"&amp;$B$4&amp;"'!"&amp;ADDRESS(6,6+$F$4)&amp;":"&amp;ADDRESS(155,6+$F$4)))="A"),1)),"")</f>
        <v/>
      </c>
      <c r="L10" s="64" t="str">
        <f t="array" aca="1" ref="L10" ca="1">IFERROR(INDEX(INDIRECT("'"&amp;$B$4&amp;"'!B6:B155"),_xlfn.AGGREGATE(15,6,(ROW(INDIRECT("6:155"))-5)/((INDIRECT("'"&amp;$B$4&amp;"'!"&amp;ADDRESS(6,6+$F$4)&amp;":"&amp;ADDRESS(155,6+$F$4)))="F"),1)),"")</f>
        <v/>
      </c>
      <c r="O10" s="64" t="str">
        <f t="array" aca="1" ref="O10" ca="1">IFERROR(INDEX(INDIRECT("'"&amp;$B$4&amp;"'!B6:B155"),_xlfn.AGGREGATE(15,6,(ROW(INDIRECT("6:155"))-5)/((INDIRECT("'"&amp;$B$4&amp;"'!"&amp;ADDRESS(6,6+$F$4)&amp;":"&amp;ADDRESS(155,6+$F$4)))="HE"),1)),"")</f>
        <v/>
      </c>
      <c r="P10" s="64" t="str">
        <f t="array" aca="1" ref="P10" ca="1">IFERROR(INDEX(INDIRECT("'"&amp;$B$4&amp;"'!B6:B155"),_xlfn.AGGREGATE(15,6,(ROW(INDIRECT("6:155"))-5)/((INDIRECT("'"&amp;$B$4&amp;"'!"&amp;ADDRESS(6,6+$F$4)&amp;":"&amp;ADDRESS(155,6+$F$4)))="FE"),1)),"")</f>
        <v/>
      </c>
    </row>
    <row r="11" spans="1:16" x14ac:dyDescent="0.25">
      <c r="A11" s="51">
        <f t="shared" ca="1" si="0"/>
        <v>2</v>
      </c>
      <c r="B11" s="78" t="str">
        <f ca="1">T(INDIRECT("'"&amp;$B$4&amp;"'!B7"))</f>
        <v>IVÃ DE PAULA 393701</v>
      </c>
      <c r="C11" s="20">
        <f ca="1">IF($B11="","",N(INDIRECT("'"&amp;$B$4&amp;"'!C7")))</f>
        <v>0</v>
      </c>
      <c r="D11" s="20">
        <f ca="1">IF($B11="","",INDIRECT("'"&amp;$B$4&amp;"'!D7"))</f>
        <v>0</v>
      </c>
      <c r="E11" s="20">
        <f ca="1">IF($B11="","",INDIRECT("'"&amp;$B$4&amp;"'!E7"))</f>
        <v>0</v>
      </c>
      <c r="F11" s="20">
        <f ca="1">IF($B11="","",INDIRECT("'"&amp;$B$4&amp;"'!F7"))</f>
        <v>0</v>
      </c>
      <c r="G11" s="20">
        <f ca="1">IF($B11="","",N(JAN!C7)+N(FEV!C7)+N(MAR!C7)+N(ABR!C7)+N(MAI!C7)+N(JUN!C7)+N(JUL!C7)+N(AGO!C7)+N(SET!C7)+N(OUT!C7)+N(NOV!C7)+N(DEZ!C7))</f>
        <v>2</v>
      </c>
      <c r="H11" s="20">
        <f ca="1">IF($B11="","",SUM(JAN!E7,FEV!E7,MAR!E7,ABR!E7,MAI!E7,JUN!E7,JUL!E7,AGO!E7,SET!E7,OUT!E7,NOV!E7,DEZ!E7))</f>
        <v>2</v>
      </c>
      <c r="I11" s="20">
        <f t="shared" ca="1" si="1"/>
        <v>0</v>
      </c>
      <c r="J11" s="28" t="str">
        <f ca="1">IF($B11="","",IF(T(INDIRECT("'"&amp;$B$4&amp;"'!"&amp;ADDRESS(7,6+$F$4)))="","·",T(INDIRECT("'"&amp;$B$4&amp;"'!"&amp;ADDRESS(7,6+$F$4)))))</f>
        <v>·</v>
      </c>
      <c r="K11" s="64" t="str">
        <f t="array" aca="1" ref="K11" ca="1">IFERROR(INDEX(INDIRECT("'"&amp;$B$4&amp;"'!B6:B155"),_xlfn.AGGREGATE(15,6,(ROW(INDIRECT("6:155"))-5)/((INDIRECT("'"&amp;$B$4&amp;"'!"&amp;ADDRESS(6,6+$F$4)&amp;":"&amp;ADDRESS(155,6+$F$4)))="A"),2)),"")</f>
        <v/>
      </c>
      <c r="L11" s="64" t="str">
        <f t="array" aca="1" ref="L11" ca="1">IFERROR(INDEX(INDIRECT("'"&amp;$B$4&amp;"'!B6:B155"),_xlfn.AGGREGATE(15,6,(ROW(INDIRECT("6:155"))-5)/((INDIRECT("'"&amp;$B$4&amp;"'!"&amp;ADDRESS(6,6+$F$4)&amp;":"&amp;ADDRESS(155,6+$F$4)))="F"),2)),"")</f>
        <v/>
      </c>
      <c r="O11" s="64" t="str">
        <f t="array" aca="1" ref="O11" ca="1">IFERROR(INDEX(INDIRECT("'"&amp;$B$4&amp;"'!B6:B155"),_xlfn.AGGREGATE(15,6,(ROW(INDIRECT("6:155"))-5)/((INDIRECT("'"&amp;$B$4&amp;"'!"&amp;ADDRESS(6,6+$F$4)&amp;":"&amp;ADDRESS(155,6+$F$4)))="HE"),2)),"")</f>
        <v/>
      </c>
      <c r="P11" s="64" t="str">
        <f t="array" aca="1" ref="P11" ca="1">IFERROR(INDEX(INDIRECT("'"&amp;$B$4&amp;"'!B6:B155"),_xlfn.AGGREGATE(15,6,(ROW(INDIRECT("6:155"))-5)/((INDIRECT("'"&amp;$B$4&amp;"'!"&amp;ADDRESS(6,6+$F$4)&amp;":"&amp;ADDRESS(155,6+$F$4)))="FE"),2)),"")</f>
        <v/>
      </c>
    </row>
    <row r="12" spans="1:16" x14ac:dyDescent="0.25">
      <c r="A12" s="50">
        <f t="shared" ca="1" si="0"/>
        <v>3</v>
      </c>
      <c r="B12" s="59" t="str">
        <f ca="1">T(INDIRECT("'"&amp;$B$4&amp;"'!B8"))</f>
        <v>CARLOS ALMEIDA 343901</v>
      </c>
      <c r="C12" s="19">
        <f ca="1">IF($B12="","",N(INDIRECT("'"&amp;$B$4&amp;"'!C8")))</f>
        <v>0</v>
      </c>
      <c r="D12" s="19">
        <f ca="1">IF($B12="","",INDIRECT("'"&amp;$B$4&amp;"'!D8"))</f>
        <v>0</v>
      </c>
      <c r="E12" s="19">
        <f ca="1">IF($B12="","",INDIRECT("'"&amp;$B$4&amp;"'!E8"))</f>
        <v>0</v>
      </c>
      <c r="F12" s="19">
        <f ca="1">IF($B12="","",INDIRECT("'"&amp;$B$4&amp;"'!F8"))</f>
        <v>0</v>
      </c>
      <c r="G12" s="19">
        <f ca="1">IF($B12="","",N(JAN!C8)+N(FEV!C8)+N(MAR!C8)+N(ABR!C8)+N(MAI!C8)+N(JUN!C8)+N(JUL!C8)+N(AGO!C8)+N(SET!C8)+N(OUT!C8)+N(NOV!C8)+N(DEZ!C8))</f>
        <v>0</v>
      </c>
      <c r="H12" s="19">
        <f ca="1">IF($B12="","",SUM(JAN!E8,FEV!E8,MAR!E8,ABR!E8,MAI!E8,JUN!E8,JUL!E8,AGO!E8,SET!E8,OUT!E8,NOV!E8,DEZ!E8))</f>
        <v>0</v>
      </c>
      <c r="I12" s="19">
        <f t="shared" ca="1" si="1"/>
        <v>0</v>
      </c>
      <c r="J12" s="28" t="str">
        <f ca="1">IF($B12="","",IF(T(INDIRECT("'"&amp;$B$4&amp;"'!"&amp;ADDRESS(8,6+$F$4)))="","·",T(INDIRECT("'"&amp;$B$4&amp;"'!"&amp;ADDRESS(8,6+$F$4)))))</f>
        <v>·</v>
      </c>
      <c r="K12" s="64" t="str">
        <f t="array" aca="1" ref="K12" ca="1">IFERROR(INDEX(INDIRECT("'"&amp;$B$4&amp;"'!B6:B155"),_xlfn.AGGREGATE(15,6,(ROW(INDIRECT("6:155"))-5)/((INDIRECT("'"&amp;$B$4&amp;"'!"&amp;ADDRESS(6,6+$F$4)&amp;":"&amp;ADDRESS(155,6+$F$4)))="A"),3)),"")</f>
        <v/>
      </c>
      <c r="L12" s="64" t="str">
        <f t="array" aca="1" ref="L12" ca="1">IFERROR(INDEX(INDIRECT("'"&amp;$B$4&amp;"'!B6:B155"),_xlfn.AGGREGATE(15,6,(ROW(INDIRECT("6:155"))-5)/((INDIRECT("'"&amp;$B$4&amp;"'!"&amp;ADDRESS(6,6+$F$4)&amp;":"&amp;ADDRESS(155,6+$F$4)))="F"),3)),"")</f>
        <v/>
      </c>
      <c r="O12" s="64" t="str">
        <f t="array" aca="1" ref="O12" ca="1">IFERROR(INDEX(INDIRECT("'"&amp;$B$4&amp;"'!B6:B155"),_xlfn.AGGREGATE(15,6,(ROW(INDIRECT("6:155"))-5)/((INDIRECT("'"&amp;$B$4&amp;"'!"&amp;ADDRESS(6,6+$F$4)&amp;":"&amp;ADDRESS(155,6+$F$4)))="HE"),3)),"")</f>
        <v/>
      </c>
      <c r="P12" s="64" t="str">
        <f t="array" aca="1" ref="P12" ca="1">IFERROR(INDEX(INDIRECT("'"&amp;$B$4&amp;"'!B6:B155"),_xlfn.AGGREGATE(15,6,(ROW(INDIRECT("6:155"))-5)/((INDIRECT("'"&amp;$B$4&amp;"'!"&amp;ADDRESS(6,6+$F$4)&amp;":"&amp;ADDRESS(155,6+$F$4)))="FE"),3)),"")</f>
        <v/>
      </c>
    </row>
    <row r="13" spans="1:16" x14ac:dyDescent="0.25">
      <c r="A13" s="51">
        <f t="shared" ca="1" si="0"/>
        <v>4</v>
      </c>
      <c r="B13" s="78" t="str">
        <f ca="1">T(INDIRECT("'"&amp;$B$4&amp;"'!B9"))</f>
        <v>MISAEL SANTOS 37002097</v>
      </c>
      <c r="C13" s="20">
        <f ca="1">IF($B13="","",N(INDIRECT("'"&amp;$B$4&amp;"'!C9")))</f>
        <v>0</v>
      </c>
      <c r="D13" s="20">
        <f ca="1">IF($B13="","",INDIRECT("'"&amp;$B$4&amp;"'!D9"))</f>
        <v>0</v>
      </c>
      <c r="E13" s="20">
        <f ca="1">IF($B13="","",INDIRECT("'"&amp;$B$4&amp;"'!E9"))</f>
        <v>0</v>
      </c>
      <c r="F13" s="20">
        <f ca="1">IF($B13="","",INDIRECT("'"&amp;$B$4&amp;"'!F9"))</f>
        <v>0</v>
      </c>
      <c r="G13" s="20">
        <f ca="1">IF($B13="","",N(JAN!C9)+N(FEV!C9)+N(MAR!C9)+N(ABR!C9)+N(MAI!C9)+N(JUN!C9)+N(JUL!C9)+N(AGO!C9)+N(SET!C9)+N(OUT!C9)+N(NOV!C9)+N(DEZ!C9))</f>
        <v>2</v>
      </c>
      <c r="H13" s="20">
        <f ca="1">IF($B13="","",SUM(JAN!E9,FEV!E9,MAR!E9,ABR!E9,MAI!E9,JUN!E9,JUL!E9,AGO!E9,SET!E9,OUT!E9,NOV!E9,DEZ!E9))</f>
        <v>0</v>
      </c>
      <c r="I13" s="20">
        <f t="shared" ca="1" si="1"/>
        <v>2</v>
      </c>
      <c r="J13" s="28" t="str">
        <f ca="1">IF($B13="","",IF(T(INDIRECT("'"&amp;$B$4&amp;"'!"&amp;ADDRESS(9,6+$F$4)))="","·",T(INDIRECT("'"&amp;$B$4&amp;"'!"&amp;ADDRESS(9,6+$F$4)))))</f>
        <v>FE</v>
      </c>
      <c r="K13" s="64" t="str">
        <f t="array" aca="1" ref="K13" ca="1">IFERROR(INDEX(INDIRECT("'"&amp;$B$4&amp;"'!B6:B155"),_xlfn.AGGREGATE(15,6,(ROW(INDIRECT("6:155"))-5)/((INDIRECT("'"&amp;$B$4&amp;"'!"&amp;ADDRESS(6,6+$F$4)&amp;":"&amp;ADDRESS(155,6+$F$4)))="A"),4)),"")</f>
        <v/>
      </c>
      <c r="L13" s="64" t="str">
        <f t="array" aca="1" ref="L13" ca="1">IFERROR(INDEX(INDIRECT("'"&amp;$B$4&amp;"'!B6:B155"),_xlfn.AGGREGATE(15,6,(ROW(INDIRECT("6:155"))-5)/((INDIRECT("'"&amp;$B$4&amp;"'!"&amp;ADDRESS(6,6+$F$4)&amp;":"&amp;ADDRESS(155,6+$F$4)))="F"),4)),"")</f>
        <v/>
      </c>
      <c r="O13" s="64" t="str">
        <f t="array" aca="1" ref="O13" ca="1">IFERROR(INDEX(INDIRECT("'"&amp;$B$4&amp;"'!B6:B155"),_xlfn.AGGREGATE(15,6,(ROW(INDIRECT("6:155"))-5)/((INDIRECT("'"&amp;$B$4&amp;"'!"&amp;ADDRESS(6,6+$F$4)&amp;":"&amp;ADDRESS(155,6+$F$4)))="HE"),4)),"")</f>
        <v/>
      </c>
      <c r="P13" s="64" t="str">
        <f t="array" aca="1" ref="P13" ca="1">IFERROR(INDEX(INDIRECT("'"&amp;$B$4&amp;"'!B6:B155"),_xlfn.AGGREGATE(15,6,(ROW(INDIRECT("6:155"))-5)/((INDIRECT("'"&amp;$B$4&amp;"'!"&amp;ADDRESS(6,6+$F$4)&amp;":"&amp;ADDRESS(155,6+$F$4)))="FE"),4)),"")</f>
        <v/>
      </c>
    </row>
    <row r="14" spans="1:16" x14ac:dyDescent="0.25">
      <c r="A14" s="50">
        <f t="shared" ca="1" si="0"/>
        <v>5</v>
      </c>
      <c r="B14" s="78" t="str">
        <f ca="1">T(INDIRECT("'"&amp;$B$4&amp;"'!B10"))</f>
        <v>ALEXANDRE SELAU 145401</v>
      </c>
      <c r="C14" s="19">
        <f ca="1">IF($B14="","",N(INDIRECT("'"&amp;$B$4&amp;"'!C10")))</f>
        <v>0</v>
      </c>
      <c r="D14" s="19">
        <f ca="1">IF($B14="","",INDIRECT("'"&amp;$B$4&amp;"'!D10"))</f>
        <v>0</v>
      </c>
      <c r="E14" s="19">
        <f ca="1">IF($B14="","",INDIRECT("'"&amp;$B$4&amp;"'!E10"))</f>
        <v>0</v>
      </c>
      <c r="F14" s="19">
        <f ca="1">IF($B14="","",INDIRECT("'"&amp;$B$4&amp;"'!F10"))</f>
        <v>0</v>
      </c>
      <c r="G14" s="19">
        <f ca="1">IF($B14="","",N(JAN!C10)+N(FEV!C10)+N(MAR!C10)+N(ABR!C10)+N(MAI!C10)+N(JUN!C10)+N(JUL!C10)+N(AGO!C10)+N(SET!C10)+N(OUT!C10)+N(NOV!C10)+N(DEZ!C10))</f>
        <v>0</v>
      </c>
      <c r="H14" s="19">
        <f ca="1">IF($B14="","",SUM(JAN!E10,FEV!E10,MAR!E10,ABR!E10,MAI!E10,JUN!E10,JUL!E10,AGO!E10,SET!E10,OUT!E10,NOV!E10,DEZ!E10))</f>
        <v>1</v>
      </c>
      <c r="I14" s="19">
        <f t="shared" ca="1" si="1"/>
        <v>-1</v>
      </c>
      <c r="J14" s="28" t="str">
        <f ca="1">IF($B14="","",IF(T(INDIRECT("'"&amp;$B$4&amp;"'!"&amp;ADDRESS(10,6+$F$4)))="","·",T(INDIRECT("'"&amp;$B$4&amp;"'!"&amp;ADDRESS(10,6+$F$4)))))</f>
        <v>·</v>
      </c>
      <c r="K14" s="64" t="str">
        <f t="array" aca="1" ref="K14" ca="1">IFERROR(INDEX(INDIRECT("'"&amp;$B$4&amp;"'!B6:B155"),_xlfn.AGGREGATE(15,6,(ROW(INDIRECT("6:155"))-5)/((INDIRECT("'"&amp;$B$4&amp;"'!"&amp;ADDRESS(6,6+$F$4)&amp;":"&amp;ADDRESS(155,6+$F$4)))="A"),5)),"")</f>
        <v/>
      </c>
      <c r="L14" s="64" t="str">
        <f t="array" aca="1" ref="L14" ca="1">IFERROR(INDEX(INDIRECT("'"&amp;$B$4&amp;"'!B6:B155"),_xlfn.AGGREGATE(15,6,(ROW(INDIRECT("6:155"))-5)/((INDIRECT("'"&amp;$B$4&amp;"'!"&amp;ADDRESS(6,6+$F$4)&amp;":"&amp;ADDRESS(155,6+$F$4)))="F"),5)),"")</f>
        <v/>
      </c>
      <c r="O14" s="64" t="str">
        <f t="array" aca="1" ref="O14" ca="1">IFERROR(INDEX(INDIRECT("'"&amp;$B$4&amp;"'!B6:B155"),_xlfn.AGGREGATE(15,6,(ROW(INDIRECT("6:155"))-5)/((INDIRECT("'"&amp;$B$4&amp;"'!"&amp;ADDRESS(6,6+$F$4)&amp;":"&amp;ADDRESS(155,6+$F$4)))="HE"),5)),"")</f>
        <v/>
      </c>
      <c r="P14" s="64" t="str">
        <f t="array" aca="1" ref="P14" ca="1">IFERROR(INDEX(INDIRECT("'"&amp;$B$4&amp;"'!B6:B155"),_xlfn.AGGREGATE(15,6,(ROW(INDIRECT("6:155"))-5)/((INDIRECT("'"&amp;$B$4&amp;"'!"&amp;ADDRESS(6,6+$F$4)&amp;":"&amp;ADDRESS(155,6+$F$4)))="FE"),5)),"")</f>
        <v/>
      </c>
    </row>
    <row r="15" spans="1:16" x14ac:dyDescent="0.25">
      <c r="A15" s="51">
        <f t="shared" ca="1" si="0"/>
        <v>6</v>
      </c>
      <c r="B15" s="78" t="str">
        <f ca="1">T(INDIRECT("'"&amp;$B$4&amp;"'!B11"))</f>
        <v>FABIANO FORTES 57401</v>
      </c>
      <c r="C15" s="20">
        <f ca="1">IF($B15="","",N(INDIRECT("'"&amp;$B$4&amp;"'!C11")))</f>
        <v>1</v>
      </c>
      <c r="D15" s="20">
        <f ca="1">IF($B15="","",INDIRECT("'"&amp;$B$4&amp;"'!D11"))</f>
        <v>0</v>
      </c>
      <c r="E15" s="20">
        <f ca="1">IF($B15="","",INDIRECT("'"&amp;$B$4&amp;"'!E11"))</f>
        <v>0</v>
      </c>
      <c r="F15" s="20">
        <f ca="1">IF($B15="","",INDIRECT("'"&amp;$B$4&amp;"'!F11"))</f>
        <v>1</v>
      </c>
      <c r="G15" s="20">
        <f ca="1">IF($B15="","",N(JAN!C11)+N(FEV!C11)+N(MAR!C11)+N(ABR!C11)+N(MAI!C11)+N(JUN!C11)+N(JUL!C11)+N(AGO!C11)+N(SET!C11)+N(OUT!C11)+N(NOV!C11)+N(DEZ!C11))</f>
        <v>2</v>
      </c>
      <c r="H15" s="20">
        <f ca="1">IF($B15="","",SUM(JAN!E11,FEV!E11,MAR!E11,ABR!E11,MAI!E11,JUN!E11,JUL!E11,AGO!E11,SET!E11,OUT!E11,NOV!E11,DEZ!E11))</f>
        <v>1</v>
      </c>
      <c r="I15" s="20">
        <f t="shared" ca="1" si="1"/>
        <v>1</v>
      </c>
      <c r="J15" s="28" t="str">
        <f ca="1">IF($B15="","",IF(T(INDIRECT("'"&amp;$B$4&amp;"'!"&amp;ADDRESS(11,6+$F$4)))="","·",T(INDIRECT("'"&amp;$B$4&amp;"'!"&amp;ADDRESS(11,6+$F$4)))))</f>
        <v>HE</v>
      </c>
      <c r="K15" s="64" t="str">
        <f t="array" aca="1" ref="K15" ca="1">IFERROR(INDEX(INDIRECT("'"&amp;$B$4&amp;"'!B6:B155"),_xlfn.AGGREGATE(15,6,(ROW(INDIRECT("6:155"))-5)/((INDIRECT("'"&amp;$B$4&amp;"'!"&amp;ADDRESS(6,6+$F$4)&amp;":"&amp;ADDRESS(155,6+$F$4)))="A"),6)),"")</f>
        <v/>
      </c>
      <c r="L15" s="64" t="str">
        <f t="array" aca="1" ref="L15" ca="1">IFERROR(INDEX(INDIRECT("'"&amp;$B$4&amp;"'!B6:B155"),_xlfn.AGGREGATE(15,6,(ROW(INDIRECT("6:155"))-5)/((INDIRECT("'"&amp;$B$4&amp;"'!"&amp;ADDRESS(6,6+$F$4)&amp;":"&amp;ADDRESS(155,6+$F$4)))="F"),6)),"")</f>
        <v/>
      </c>
      <c r="O15" s="64" t="str">
        <f t="array" aca="1" ref="O15" ca="1">IFERROR(INDEX(INDIRECT("'"&amp;$B$4&amp;"'!B6:B155"),_xlfn.AGGREGATE(15,6,(ROW(INDIRECT("6:155"))-5)/((INDIRECT("'"&amp;$B$4&amp;"'!"&amp;ADDRESS(6,6+$F$4)&amp;":"&amp;ADDRESS(155,6+$F$4)))="HE"),6)),"")</f>
        <v/>
      </c>
      <c r="P15" s="64" t="str">
        <f t="array" aca="1" ref="P15" ca="1">IFERROR(INDEX(INDIRECT("'"&amp;$B$4&amp;"'!B6:B155"),_xlfn.AGGREGATE(15,6,(ROW(INDIRECT("6:155"))-5)/((INDIRECT("'"&amp;$B$4&amp;"'!"&amp;ADDRESS(6,6+$F$4)&amp;":"&amp;ADDRESS(155,6+$F$4)))="FE"),6)),"")</f>
        <v/>
      </c>
    </row>
    <row r="16" spans="1:16" x14ac:dyDescent="0.25">
      <c r="A16" s="50">
        <f t="shared" ca="1" si="0"/>
        <v>7</v>
      </c>
      <c r="B16" s="78" t="str">
        <f ca="1">T(INDIRECT("'"&amp;$B$4&amp;"'!B12"))</f>
        <v>DOUGLAS MILANI 398501</v>
      </c>
      <c r="C16" s="19">
        <f ca="1">IF($B16="","",N(INDIRECT("'"&amp;$B$4&amp;"'!C12")))</f>
        <v>0</v>
      </c>
      <c r="D16" s="19">
        <f ca="1">IF($B16="","",INDIRECT("'"&amp;$B$4&amp;"'!D12"))</f>
        <v>0</v>
      </c>
      <c r="E16" s="19">
        <f ca="1">IF($B16="","",INDIRECT("'"&amp;$B$4&amp;"'!E12"))</f>
        <v>1</v>
      </c>
      <c r="F16" s="19">
        <f ca="1">IF($B16="","",INDIRECT("'"&amp;$B$4&amp;"'!F12"))</f>
        <v>-1</v>
      </c>
      <c r="G16" s="19">
        <f ca="1">IF($B16="","",N(JAN!C12)+N(FEV!C12)+N(MAR!C12)+N(ABR!C12)+N(MAI!C12)+N(JUN!C12)+N(JUL!C12)+N(AGO!C12)+N(SET!C12)+N(OUT!C12)+N(NOV!C12)+N(DEZ!C12))</f>
        <v>0</v>
      </c>
      <c r="H16" s="19">
        <f ca="1">IF($B16="","",SUM(JAN!E12,FEV!E12,MAR!E12,ABR!E12,MAI!E12,JUN!E12,JUL!E12,AGO!E12,SET!E12,OUT!E12,NOV!E12,DEZ!E12))</f>
        <v>1</v>
      </c>
      <c r="I16" s="19">
        <f t="shared" ca="1" si="1"/>
        <v>-1</v>
      </c>
      <c r="J16" s="28" t="str">
        <f ca="1">IF($B16="","",IF(T(INDIRECT("'"&amp;$B$4&amp;"'!"&amp;ADDRESS(12,6+$F$4)))="","·",T(INDIRECT("'"&amp;$B$4&amp;"'!"&amp;ADDRESS(12,6+$F$4)))))</f>
        <v>·</v>
      </c>
      <c r="K16" s="64" t="str">
        <f t="array" aca="1" ref="K16" ca="1">IFERROR(INDEX(INDIRECT("'"&amp;$B$4&amp;"'!B6:B155"),_xlfn.AGGREGATE(15,6,(ROW(INDIRECT("6:155"))-5)/((INDIRECT("'"&amp;$B$4&amp;"'!"&amp;ADDRESS(6,6+$F$4)&amp;":"&amp;ADDRESS(155,6+$F$4)))="A"),7)),"")</f>
        <v/>
      </c>
      <c r="L16" s="64" t="str">
        <f t="array" aca="1" ref="L16" ca="1">IFERROR(INDEX(INDIRECT("'"&amp;$B$4&amp;"'!B6:B155"),_xlfn.AGGREGATE(15,6,(ROW(INDIRECT("6:155"))-5)/((INDIRECT("'"&amp;$B$4&amp;"'!"&amp;ADDRESS(6,6+$F$4)&amp;":"&amp;ADDRESS(155,6+$F$4)))="F"),7)),"")</f>
        <v/>
      </c>
      <c r="O16" s="64" t="str">
        <f t="array" aca="1" ref="O16" ca="1">IFERROR(INDEX(INDIRECT("'"&amp;$B$4&amp;"'!B6:B155"),_xlfn.AGGREGATE(15,6,(ROW(INDIRECT("6:155"))-5)/((INDIRECT("'"&amp;$B$4&amp;"'!"&amp;ADDRESS(6,6+$F$4)&amp;":"&amp;ADDRESS(155,6+$F$4)))="HE"),7)),"")</f>
        <v/>
      </c>
      <c r="P16" s="64" t="str">
        <f t="array" aca="1" ref="P16" ca="1">IFERROR(INDEX(INDIRECT("'"&amp;$B$4&amp;"'!B6:B155"),_xlfn.AGGREGATE(15,6,(ROW(INDIRECT("6:155"))-5)/((INDIRECT("'"&amp;$B$4&amp;"'!"&amp;ADDRESS(6,6+$F$4)&amp;":"&amp;ADDRESS(155,6+$F$4)))="FE"),7)),"")</f>
        <v/>
      </c>
    </row>
    <row r="17" spans="1:16" x14ac:dyDescent="0.25">
      <c r="A17" s="51">
        <f t="shared" ca="1" si="0"/>
        <v>8</v>
      </c>
      <c r="B17" s="78" t="str">
        <f ca="1">T(INDIRECT("'"&amp;$B$4&amp;"'!B13"))</f>
        <v>ROQUE DARLAN 464801</v>
      </c>
      <c r="C17" s="20">
        <f ca="1">IF($B17="","",N(INDIRECT("'"&amp;$B$4&amp;"'!C13")))</f>
        <v>0</v>
      </c>
      <c r="D17" s="20">
        <f ca="1">IF($B17="","",INDIRECT("'"&amp;$B$4&amp;"'!D13"))</f>
        <v>2</v>
      </c>
      <c r="E17" s="20">
        <f ca="1">IF($B17="","",INDIRECT("'"&amp;$B$4&amp;"'!E13"))</f>
        <v>0</v>
      </c>
      <c r="F17" s="20">
        <f ca="1">IF($B17="","",INDIRECT("'"&amp;$B$4&amp;"'!F13"))</f>
        <v>0</v>
      </c>
      <c r="G17" s="20">
        <f ca="1">IF($B17="","",N(JAN!C13)+N(FEV!C13)+N(MAR!C13)+N(ABR!C13)+N(MAI!C13)+N(JUN!C13)+N(JUL!C13)+N(AGO!C13)+N(SET!C13)+N(OUT!C13)+N(NOV!C13)+N(DEZ!C13))</f>
        <v>1</v>
      </c>
      <c r="H17" s="20">
        <f ca="1">IF($B17="","",SUM(JAN!E13,FEV!E13,MAR!E13,ABR!E13,MAI!E13,JUN!E13,JUL!E13,AGO!E13,SET!E13,OUT!E13,NOV!E13,DEZ!E13))</f>
        <v>1</v>
      </c>
      <c r="I17" s="20">
        <f t="shared" ca="1" si="1"/>
        <v>0</v>
      </c>
      <c r="J17" s="28" t="str">
        <f ca="1">IF($B17="","",IF(T(INDIRECT("'"&amp;$B$4&amp;"'!"&amp;ADDRESS(13,6+$F$4)))="","·",T(INDIRECT("'"&amp;$B$4&amp;"'!"&amp;ADDRESS(13,6+$F$4)))))</f>
        <v>·</v>
      </c>
      <c r="K17" s="64" t="str">
        <f t="array" aca="1" ref="K17" ca="1">IFERROR(INDEX(INDIRECT("'"&amp;$B$4&amp;"'!B6:B155"),_xlfn.AGGREGATE(15,6,(ROW(INDIRECT("6:155"))-5)/((INDIRECT("'"&amp;$B$4&amp;"'!"&amp;ADDRESS(6,6+$F$4)&amp;":"&amp;ADDRESS(155,6+$F$4)))="A"),8)),"")</f>
        <v/>
      </c>
      <c r="L17" s="64" t="str">
        <f t="array" aca="1" ref="L17" ca="1">IFERROR(INDEX(INDIRECT("'"&amp;$B$4&amp;"'!B6:B155"),_xlfn.AGGREGATE(15,6,(ROW(INDIRECT("6:155"))-5)/((INDIRECT("'"&amp;$B$4&amp;"'!"&amp;ADDRESS(6,6+$F$4)&amp;":"&amp;ADDRESS(155,6+$F$4)))="F"),8)),"")</f>
        <v/>
      </c>
      <c r="O17" s="64" t="str">
        <f t="array" aca="1" ref="O17" ca="1">IFERROR(INDEX(INDIRECT("'"&amp;$B$4&amp;"'!B6:B155"),_xlfn.AGGREGATE(15,6,(ROW(INDIRECT("6:155"))-5)/((INDIRECT("'"&amp;$B$4&amp;"'!"&amp;ADDRESS(6,6+$F$4)&amp;":"&amp;ADDRESS(155,6+$F$4)))="HE"),8)),"")</f>
        <v/>
      </c>
      <c r="P17" s="64" t="str">
        <f t="array" aca="1" ref="P17" ca="1">IFERROR(INDEX(INDIRECT("'"&amp;$B$4&amp;"'!B6:B155"),_xlfn.AGGREGATE(15,6,(ROW(INDIRECT("6:155"))-5)/((INDIRECT("'"&amp;$B$4&amp;"'!"&amp;ADDRESS(6,6+$F$4)&amp;":"&amp;ADDRESS(155,6+$F$4)))="FE"),8)),"")</f>
        <v/>
      </c>
    </row>
    <row r="18" spans="1:16" x14ac:dyDescent="0.25">
      <c r="A18" s="50">
        <f t="shared" ca="1" si="0"/>
        <v>9</v>
      </c>
      <c r="B18" s="78" t="str">
        <f ca="1">T(INDIRECT("'"&amp;$B$4&amp;"'!B14"))</f>
        <v>FREDERICO SILVA 416501</v>
      </c>
      <c r="C18" s="19">
        <f ca="1">IF($B18="","",N(INDIRECT("'"&amp;$B$4&amp;"'!C14")))</f>
        <v>0</v>
      </c>
      <c r="D18" s="19">
        <f ca="1">IF($B18="","",INDIRECT("'"&amp;$B$4&amp;"'!D14"))</f>
        <v>0</v>
      </c>
      <c r="E18" s="19">
        <f ca="1">IF($B18="","",INDIRECT("'"&amp;$B$4&amp;"'!E14"))</f>
        <v>0</v>
      </c>
      <c r="F18" s="19">
        <f ca="1">IF($B18="","",INDIRECT("'"&amp;$B$4&amp;"'!F14"))</f>
        <v>0</v>
      </c>
      <c r="G18" s="19">
        <f ca="1">IF($B18="","",N(JAN!C14)+N(FEV!C14)+N(MAR!C14)+N(ABR!C14)+N(MAI!C14)+N(JUN!C14)+N(JUL!C14)+N(AGO!C14)+N(SET!C14)+N(OUT!C14)+N(NOV!C14)+N(DEZ!C14))</f>
        <v>1</v>
      </c>
      <c r="H18" s="19">
        <f ca="1">IF($B18="","",SUM(JAN!E14,FEV!E14,MAR!E14,ABR!E14,MAI!E14,JUN!E14,JUL!E14,AGO!E14,SET!E14,OUT!E14,NOV!E14,DEZ!E14))</f>
        <v>2</v>
      </c>
      <c r="I18" s="19">
        <f t="shared" ca="1" si="1"/>
        <v>-1</v>
      </c>
      <c r="J18" s="28" t="str">
        <f ca="1">IF($B18="","",IF(T(INDIRECT("'"&amp;$B$4&amp;"'!"&amp;ADDRESS(14,6+$F$4)))="","·",T(INDIRECT("'"&amp;$B$4&amp;"'!"&amp;ADDRESS(14,6+$F$4)))))</f>
        <v>·</v>
      </c>
      <c r="K18" s="64" t="str">
        <f t="array" aca="1" ref="K18" ca="1">IFERROR(INDEX(INDIRECT("'"&amp;$B$4&amp;"'!B6:B155"),_xlfn.AGGREGATE(15,6,(ROW(INDIRECT("6:155"))-5)/((INDIRECT("'"&amp;$B$4&amp;"'!"&amp;ADDRESS(6,6+$F$4)&amp;":"&amp;ADDRESS(155,6+$F$4)))="A"),9)),"")</f>
        <v/>
      </c>
      <c r="L18" s="64" t="str">
        <f t="array" aca="1" ref="L18" ca="1">IFERROR(INDEX(INDIRECT("'"&amp;$B$4&amp;"'!B6:B155"),_xlfn.AGGREGATE(15,6,(ROW(INDIRECT("6:155"))-5)/((INDIRECT("'"&amp;$B$4&amp;"'!"&amp;ADDRESS(6,6+$F$4)&amp;":"&amp;ADDRESS(155,6+$F$4)))="F"),9)),"")</f>
        <v/>
      </c>
      <c r="O18" s="64" t="str">
        <f t="array" aca="1" ref="O18" ca="1">IFERROR(INDEX(INDIRECT("'"&amp;$B$4&amp;"'!B6:B155"),_xlfn.AGGREGATE(15,6,(ROW(INDIRECT("6:155"))-5)/((INDIRECT("'"&amp;$B$4&amp;"'!"&amp;ADDRESS(6,6+$F$4)&amp;":"&amp;ADDRESS(155,6+$F$4)))="HE"),9)),"")</f>
        <v/>
      </c>
      <c r="P18" s="64" t="str">
        <f t="array" aca="1" ref="P18" ca="1">IFERROR(INDEX(INDIRECT("'"&amp;$B$4&amp;"'!B6:B155"),_xlfn.AGGREGATE(15,6,(ROW(INDIRECT("6:155"))-5)/((INDIRECT("'"&amp;$B$4&amp;"'!"&amp;ADDRESS(6,6+$F$4)&amp;":"&amp;ADDRESS(155,6+$F$4)))="FE"),9)),"")</f>
        <v/>
      </c>
    </row>
    <row r="19" spans="1:16" x14ac:dyDescent="0.25">
      <c r="A19" s="51">
        <f t="shared" ca="1" si="0"/>
        <v>10</v>
      </c>
      <c r="B19" s="78" t="str">
        <f ca="1">T(INDIRECT("'"&amp;$B$4&amp;"'!B15"))</f>
        <v>RAFAEL SANTOS 355101</v>
      </c>
      <c r="C19" s="20">
        <f ca="1">IF($B19="","",N(INDIRECT("'"&amp;$B$4&amp;"'!C15")))</f>
        <v>1</v>
      </c>
      <c r="D19" s="20">
        <f ca="1">IF($B19="","",INDIRECT("'"&amp;$B$4&amp;"'!D15"))</f>
        <v>0</v>
      </c>
      <c r="E19" s="20">
        <f ca="1">IF($B19="","",INDIRECT("'"&amp;$B$4&amp;"'!E15"))</f>
        <v>0</v>
      </c>
      <c r="F19" s="20">
        <f ca="1">IF($B19="","",INDIRECT("'"&amp;$B$4&amp;"'!F15"))</f>
        <v>1</v>
      </c>
      <c r="G19" s="20">
        <f ca="1">IF($B19="","",N(JAN!C15)+N(FEV!C15)+N(MAR!C15)+N(ABR!C15)+N(MAI!C15)+N(JUN!C15)+N(JUL!C15)+N(AGO!C15)+N(SET!C15)+N(OUT!C15)+N(NOV!C15)+N(DEZ!C15))</f>
        <v>1</v>
      </c>
      <c r="H19" s="20">
        <f ca="1">IF($B19="","",SUM(JAN!E15,FEV!E15,MAR!E15,ABR!E15,MAI!E15,JUN!E15,JUL!E15,AGO!E15,SET!E15,OUT!E15,NOV!E15,DEZ!E15))</f>
        <v>1</v>
      </c>
      <c r="I19" s="20">
        <f t="shared" ca="1" si="1"/>
        <v>0</v>
      </c>
      <c r="J19" s="28" t="str">
        <f ca="1">IF($B19="","",IF(T(INDIRECT("'"&amp;$B$4&amp;"'!"&amp;ADDRESS(15,6+$F$4)))="","·",T(INDIRECT("'"&amp;$B$4&amp;"'!"&amp;ADDRESS(15,6+$F$4)))))</f>
        <v>HE</v>
      </c>
      <c r="K19" s="64" t="str">
        <f t="array" aca="1" ref="K19" ca="1">IFERROR(INDEX(INDIRECT("'"&amp;$B$4&amp;"'!B6:B155"),_xlfn.AGGREGATE(15,6,(ROW(INDIRECT("6:155"))-5)/((INDIRECT("'"&amp;$B$4&amp;"'!"&amp;ADDRESS(6,6+$F$4)&amp;":"&amp;ADDRESS(155,6+$F$4)))="A"),10)),"")</f>
        <v/>
      </c>
      <c r="L19" s="64" t="str">
        <f t="array" aca="1" ref="L19" ca="1">IFERROR(INDEX(INDIRECT("'"&amp;$B$4&amp;"'!B6:B155"),_xlfn.AGGREGATE(15,6,(ROW(INDIRECT("6:155"))-5)/((INDIRECT("'"&amp;$B$4&amp;"'!"&amp;ADDRESS(6,6+$F$4)&amp;":"&amp;ADDRESS(155,6+$F$4)))="F"),10)),"")</f>
        <v/>
      </c>
      <c r="O19" s="64" t="str">
        <f t="array" aca="1" ref="O19" ca="1">IFERROR(INDEX(INDIRECT("'"&amp;$B$4&amp;"'!B6:B155"),_xlfn.AGGREGATE(15,6,(ROW(INDIRECT("6:155"))-5)/((INDIRECT("'"&amp;$B$4&amp;"'!"&amp;ADDRESS(6,6+$F$4)&amp;":"&amp;ADDRESS(155,6+$F$4)))="HE"),10)),"")</f>
        <v/>
      </c>
      <c r="P19" s="64" t="str">
        <f t="array" aca="1" ref="P19" ca="1">IFERROR(INDEX(INDIRECT("'"&amp;$B$4&amp;"'!B6:B155"),_xlfn.AGGREGATE(15,6,(ROW(INDIRECT("6:155"))-5)/((INDIRECT("'"&amp;$B$4&amp;"'!"&amp;ADDRESS(6,6+$F$4)&amp;":"&amp;ADDRESS(155,6+$F$4)))="FE"),10)),"")</f>
        <v/>
      </c>
    </row>
    <row r="20" spans="1:16" x14ac:dyDescent="0.25">
      <c r="A20" s="50">
        <f t="shared" ca="1" si="0"/>
        <v>11</v>
      </c>
      <c r="B20" s="78" t="str">
        <f ca="1">T(INDIRECT("'"&amp;$B$4&amp;"'!B16"))</f>
        <v>DANIEL MACHADO 112601</v>
      </c>
      <c r="C20" s="19">
        <f ca="1">IF($B20="","",N(INDIRECT("'"&amp;$B$4&amp;"'!C16")))</f>
        <v>0</v>
      </c>
      <c r="D20" s="19">
        <f ca="1">IF($B20="","",INDIRECT("'"&amp;$B$4&amp;"'!D16"))</f>
        <v>0</v>
      </c>
      <c r="E20" s="19">
        <f ca="1">IF($B20="","",INDIRECT("'"&amp;$B$4&amp;"'!E16"))</f>
        <v>0</v>
      </c>
      <c r="F20" s="19">
        <f ca="1">IF($B20="","",INDIRECT("'"&amp;$B$4&amp;"'!F16"))</f>
        <v>0</v>
      </c>
      <c r="G20" s="19">
        <f ca="1">IF($B20="","",N(JAN!C16)+N(FEV!C16)+N(MAR!C16)+N(ABR!C16)+N(MAI!C16)+N(JUN!C16)+N(JUL!C16)+N(AGO!C16)+N(SET!C16)+N(OUT!C16)+N(NOV!C16)+N(DEZ!C16))</f>
        <v>1</v>
      </c>
      <c r="H20" s="19">
        <f ca="1">IF($B20="","",SUM(JAN!E16,FEV!E16,MAR!E16,ABR!E16,MAI!E16,JUN!E16,JUL!E16,AGO!E16,SET!E16,OUT!E16,NOV!E16,DEZ!E16))</f>
        <v>0</v>
      </c>
      <c r="I20" s="19">
        <f t="shared" ca="1" si="1"/>
        <v>1</v>
      </c>
      <c r="J20" s="28" t="str">
        <f ca="1">IF($B20="","",IF(T(INDIRECT("'"&amp;$B$4&amp;"'!"&amp;ADDRESS(16,6+$F$4)))="","·",T(INDIRECT("'"&amp;$B$4&amp;"'!"&amp;ADDRESS(16,6+$F$4)))))</f>
        <v>·</v>
      </c>
      <c r="K20" s="64" t="str">
        <f t="array" aca="1" ref="K20" ca="1">IFERROR(INDEX(INDIRECT("'"&amp;$B$4&amp;"'!B6:B155"),_xlfn.AGGREGATE(15,6,(ROW(INDIRECT("6:155"))-5)/((INDIRECT("'"&amp;$B$4&amp;"'!"&amp;ADDRESS(6,6+$F$4)&amp;":"&amp;ADDRESS(155,6+$F$4)))="A"),11)),"")</f>
        <v/>
      </c>
      <c r="L20" s="64" t="str">
        <f t="array" aca="1" ref="L20" ca="1">IFERROR(INDEX(INDIRECT("'"&amp;$B$4&amp;"'!B6:B155"),_xlfn.AGGREGATE(15,6,(ROW(INDIRECT("6:155"))-5)/((INDIRECT("'"&amp;$B$4&amp;"'!"&amp;ADDRESS(6,6+$F$4)&amp;":"&amp;ADDRESS(155,6+$F$4)))="F"),11)),"")</f>
        <v/>
      </c>
      <c r="O20" s="64" t="str">
        <f t="array" aca="1" ref="O20" ca="1">IFERROR(INDEX(INDIRECT("'"&amp;$B$4&amp;"'!B6:B155"),_xlfn.AGGREGATE(15,6,(ROW(INDIRECT("6:155"))-5)/((INDIRECT("'"&amp;$B$4&amp;"'!"&amp;ADDRESS(6,6+$F$4)&amp;":"&amp;ADDRESS(155,6+$F$4)))="HE"),11)),"")</f>
        <v/>
      </c>
      <c r="P20" s="64" t="str">
        <f t="array" aca="1" ref="P20" ca="1">IFERROR(INDEX(INDIRECT("'"&amp;$B$4&amp;"'!B6:B155"),_xlfn.AGGREGATE(15,6,(ROW(INDIRECT("6:155"))-5)/((INDIRECT("'"&amp;$B$4&amp;"'!"&amp;ADDRESS(6,6+$F$4)&amp;":"&amp;ADDRESS(155,6+$F$4)))="FE"),11)),"")</f>
        <v/>
      </c>
    </row>
    <row r="21" spans="1:16" x14ac:dyDescent="0.25">
      <c r="A21" s="51">
        <f t="shared" ca="1" si="0"/>
        <v>12</v>
      </c>
      <c r="B21" s="78" t="str">
        <f ca="1">T(INDIRECT("'"&amp;$B$4&amp;"'!B17"))</f>
        <v>JOSE HERTE 109801</v>
      </c>
      <c r="C21" s="20">
        <f ca="1">IF($B21="","",N(INDIRECT("'"&amp;$B$4&amp;"'!C17")))</f>
        <v>0</v>
      </c>
      <c r="D21" s="20">
        <f ca="1">IF($B21="","",INDIRECT("'"&amp;$B$4&amp;"'!D17"))</f>
        <v>0</v>
      </c>
      <c r="E21" s="20">
        <f ca="1">IF($B21="","",INDIRECT("'"&amp;$B$4&amp;"'!E17"))</f>
        <v>0</v>
      </c>
      <c r="F21" s="20">
        <f ca="1">IF($B21="","",INDIRECT("'"&amp;$B$4&amp;"'!F17"))</f>
        <v>0</v>
      </c>
      <c r="G21" s="20">
        <f ca="1">IF($B21="","",N(JAN!C17)+N(FEV!C17)+N(MAR!C17)+N(ABR!C17)+N(MAI!C17)+N(JUN!C17)+N(JUL!C17)+N(AGO!C17)+N(SET!C17)+N(OUT!C17)+N(NOV!C17)+N(DEZ!C17))</f>
        <v>1</v>
      </c>
      <c r="H21" s="20">
        <f ca="1">IF($B21="","",SUM(JAN!E17,FEV!E17,MAR!E17,ABR!E17,MAI!E17,JUN!E17,JUL!E17,AGO!E17,SET!E17,OUT!E17,NOV!E17,DEZ!E17))</f>
        <v>1</v>
      </c>
      <c r="I21" s="20">
        <f t="shared" ca="1" si="1"/>
        <v>0</v>
      </c>
      <c r="J21" s="28" t="str">
        <f ca="1">IF($B21="","",IF(T(INDIRECT("'"&amp;$B$4&amp;"'!"&amp;ADDRESS(17,6+$F$4)))="","·",T(INDIRECT("'"&amp;$B$4&amp;"'!"&amp;ADDRESS(17,6+$F$4)))))</f>
        <v>·</v>
      </c>
      <c r="K21" s="64" t="str">
        <f t="array" aca="1" ref="K21" ca="1">IFERROR(INDEX(INDIRECT("'"&amp;$B$4&amp;"'!B6:B155"),_xlfn.AGGREGATE(15,6,(ROW(INDIRECT("6:155"))-5)/((INDIRECT("'"&amp;$B$4&amp;"'!"&amp;ADDRESS(6,6+$F$4)&amp;":"&amp;ADDRESS(155,6+$F$4)))="A"),12)),"")</f>
        <v/>
      </c>
      <c r="L21" s="64" t="str">
        <f t="array" aca="1" ref="L21" ca="1">IFERROR(INDEX(INDIRECT("'"&amp;$B$4&amp;"'!B6:B155"),_xlfn.AGGREGATE(15,6,(ROW(INDIRECT("6:155"))-5)/((INDIRECT("'"&amp;$B$4&amp;"'!"&amp;ADDRESS(6,6+$F$4)&amp;":"&amp;ADDRESS(155,6+$F$4)))="F"),12)),"")</f>
        <v/>
      </c>
      <c r="O21" s="64" t="str">
        <f t="array" aca="1" ref="O21" ca="1">IFERROR(INDEX(INDIRECT("'"&amp;$B$4&amp;"'!B6:B155"),_xlfn.AGGREGATE(15,6,(ROW(INDIRECT("6:155"))-5)/((INDIRECT("'"&amp;$B$4&amp;"'!"&amp;ADDRESS(6,6+$F$4)&amp;":"&amp;ADDRESS(155,6+$F$4)))="HE"),12)),"")</f>
        <v/>
      </c>
      <c r="P21" s="64" t="str">
        <f t="array" aca="1" ref="P21" ca="1">IFERROR(INDEX(INDIRECT("'"&amp;$B$4&amp;"'!B6:B155"),_xlfn.AGGREGATE(15,6,(ROW(INDIRECT("6:155"))-5)/((INDIRECT("'"&amp;$B$4&amp;"'!"&amp;ADDRESS(6,6+$F$4)&amp;":"&amp;ADDRESS(155,6+$F$4)))="FE"),12)),"")</f>
        <v/>
      </c>
    </row>
    <row r="22" spans="1:16" x14ac:dyDescent="0.25">
      <c r="A22" s="50">
        <f t="shared" ca="1" si="0"/>
        <v>13</v>
      </c>
      <c r="B22" s="78" t="str">
        <f ca="1">T(INDIRECT("'"&amp;$B$4&amp;"'!B18"))</f>
        <v>EVERTON SILVA 37001892</v>
      </c>
      <c r="C22" s="19">
        <f ca="1">IF($B22="","",N(INDIRECT("'"&amp;$B$4&amp;"'!C18")))</f>
        <v>0</v>
      </c>
      <c r="D22" s="19">
        <f ca="1">IF($B22="","",INDIRECT("'"&amp;$B$4&amp;"'!D18"))</f>
        <v>1</v>
      </c>
      <c r="E22" s="19">
        <f ca="1">IF($B22="","",INDIRECT("'"&amp;$B$4&amp;"'!E18"))</f>
        <v>0</v>
      </c>
      <c r="F22" s="19">
        <f ca="1">IF($B22="","",INDIRECT("'"&amp;$B$4&amp;"'!F18"))</f>
        <v>0</v>
      </c>
      <c r="G22" s="19">
        <f ca="1">IF($B22="","",N(JAN!C18)+N(FEV!C18)+N(MAR!C18)+N(ABR!C18)+N(MAI!C18)+N(JUN!C18)+N(JUL!C18)+N(AGO!C18)+N(SET!C18)+N(OUT!C18)+N(NOV!C18)+N(DEZ!C18))</f>
        <v>2</v>
      </c>
      <c r="H22" s="19">
        <f ca="1">IF($B22="","",SUM(JAN!E18,FEV!E18,MAR!E18,ABR!E18,MAI!E18,JUN!E18,JUL!E18,AGO!E18,SET!E18,OUT!E18,NOV!E18,DEZ!E18))</f>
        <v>3</v>
      </c>
      <c r="I22" s="19">
        <f t="shared" ca="1" si="1"/>
        <v>-1</v>
      </c>
      <c r="J22" s="28" t="str">
        <f ca="1">IF($B22="","",IF(T(INDIRECT("'"&amp;$B$4&amp;"'!"&amp;ADDRESS(18,6+$F$4)))="","·",T(INDIRECT("'"&amp;$B$4&amp;"'!"&amp;ADDRESS(18,6+$F$4)))))</f>
        <v>·</v>
      </c>
      <c r="O22" s="64" t="str">
        <f t="array" aca="1" ref="O22" ca="1">IFERROR(INDEX(INDIRECT("'"&amp;$B$4&amp;"'!B6:B155"),_xlfn.AGGREGATE(15,6,(ROW(INDIRECT("6:155"))-5)/((INDIRECT("'"&amp;$B$4&amp;"'!"&amp;ADDRESS(6,6+$F$4)&amp;":"&amp;ADDRESS(155,6+$F$4)))="HE"),13)),"")</f>
        <v/>
      </c>
      <c r="P22" s="64" t="str">
        <f t="array" aca="1" ref="P22" ca="1">IFERROR(INDEX(INDIRECT("'"&amp;$B$4&amp;"'!B6:B155"),_xlfn.AGGREGATE(15,6,(ROW(INDIRECT("6:155"))-5)/((INDIRECT("'"&amp;$B$4&amp;"'!"&amp;ADDRESS(6,6+$F$4)&amp;":"&amp;ADDRESS(155,6+$F$4)))="FE"),13)),"")</f>
        <v/>
      </c>
    </row>
    <row r="23" spans="1:16" x14ac:dyDescent="0.25">
      <c r="A23" s="51">
        <f t="shared" ca="1" si="0"/>
        <v>14</v>
      </c>
      <c r="B23" s="78" t="str">
        <f ca="1">T(INDIRECT("'"&amp;$B$4&amp;"'!B19"))</f>
        <v>ANILTON MORAES 327401</v>
      </c>
      <c r="C23" s="20">
        <f ca="1">IF($B23="","",N(INDIRECT("'"&amp;$B$4&amp;"'!C19")))</f>
        <v>0</v>
      </c>
      <c r="D23" s="20">
        <f ca="1">IF($B23="","",INDIRECT("'"&amp;$B$4&amp;"'!D19"))</f>
        <v>0</v>
      </c>
      <c r="E23" s="20">
        <f ca="1">IF($B23="","",INDIRECT("'"&amp;$B$4&amp;"'!E19"))</f>
        <v>0</v>
      </c>
      <c r="F23" s="20">
        <f ca="1">IF($B23="","",INDIRECT("'"&amp;$B$4&amp;"'!F19"))</f>
        <v>0</v>
      </c>
      <c r="G23" s="20">
        <f ca="1">IF($B23="","",N(JAN!C19)+N(FEV!C19)+N(MAR!C19)+N(ABR!C19)+N(MAI!C19)+N(JUN!C19)+N(JUL!C19)+N(AGO!C19)+N(SET!C19)+N(OUT!C19)+N(NOV!C19)+N(DEZ!C19))</f>
        <v>0</v>
      </c>
      <c r="H23" s="20">
        <f ca="1">IF($B23="","",SUM(JAN!E19,FEV!E19,MAR!E19,ABR!E19,MAI!E19,JUN!E19,JUL!E19,AGO!E19,SET!E19,OUT!E19,NOV!E19,DEZ!E19))</f>
        <v>0</v>
      </c>
      <c r="I23" s="20">
        <f t="shared" ca="1" si="1"/>
        <v>0</v>
      </c>
      <c r="J23" s="28" t="str">
        <f ca="1">IF($B23="","",IF(T(INDIRECT("'"&amp;$B$4&amp;"'!"&amp;ADDRESS(19,6+$F$4)))="","·",T(INDIRECT("'"&amp;$B$4&amp;"'!"&amp;ADDRESS(19,6+$F$4)))))</f>
        <v>·</v>
      </c>
      <c r="O23" s="64" t="str">
        <f t="array" aca="1" ref="O23" ca="1">IFERROR(INDEX(INDIRECT("'"&amp;$B$4&amp;"'!B6:B155"),_xlfn.AGGREGATE(15,6,(ROW(INDIRECT("6:155"))-5)/((INDIRECT("'"&amp;$B$4&amp;"'!"&amp;ADDRESS(6,6+$F$4)&amp;":"&amp;ADDRESS(155,6+$F$4)))="HE"),14)),"")</f>
        <v/>
      </c>
      <c r="P23" s="64" t="str">
        <f t="array" aca="1" ref="P23" ca="1">IFERROR(INDEX(INDIRECT("'"&amp;$B$4&amp;"'!B6:B155"),_xlfn.AGGREGATE(15,6,(ROW(INDIRECT("6:155"))-5)/((INDIRECT("'"&amp;$B$4&amp;"'!"&amp;ADDRESS(6,6+$F$4)&amp;":"&amp;ADDRESS(155,6+$F$4)))="FE"),14)),"")</f>
        <v/>
      </c>
    </row>
    <row r="24" spans="1:16" x14ac:dyDescent="0.25">
      <c r="A24" s="50">
        <f t="shared" ca="1" si="0"/>
        <v>15</v>
      </c>
      <c r="B24" s="78" t="str">
        <f ca="1">T(INDIRECT("'"&amp;$B$4&amp;"'!B20"))</f>
        <v>MARCOS SOUZA 453701</v>
      </c>
      <c r="C24" s="19">
        <f ca="1">IF($B24="","",N(INDIRECT("'"&amp;$B$4&amp;"'!C20")))</f>
        <v>0</v>
      </c>
      <c r="D24" s="19">
        <f ca="1">IF($B24="","",INDIRECT("'"&amp;$B$4&amp;"'!D20"))</f>
        <v>0</v>
      </c>
      <c r="E24" s="19">
        <f ca="1">IF($B24="","",INDIRECT("'"&amp;$B$4&amp;"'!E20"))</f>
        <v>0</v>
      </c>
      <c r="F24" s="19">
        <f ca="1">IF($B24="","",INDIRECT("'"&amp;$B$4&amp;"'!F20"))</f>
        <v>0</v>
      </c>
      <c r="G24" s="19">
        <f ca="1">IF($B24="","",N(JAN!C20)+N(FEV!C20)+N(MAR!C20)+N(ABR!C20)+N(MAI!C20)+N(JUN!C20)+N(JUL!C20)+N(AGO!C20)+N(SET!C20)+N(OUT!C20)+N(NOV!C20)+N(DEZ!C20))</f>
        <v>0</v>
      </c>
      <c r="H24" s="19">
        <f ca="1">IF($B24="","",SUM(JAN!E20,FEV!E20,MAR!E20,ABR!E20,MAI!E20,JUN!E20,JUL!E20,AGO!E20,SET!E20,OUT!E20,NOV!E20,DEZ!E20))</f>
        <v>0</v>
      </c>
      <c r="I24" s="19">
        <f t="shared" ca="1" si="1"/>
        <v>0</v>
      </c>
      <c r="J24" s="28" t="str">
        <f ca="1">IF($B24="","",IF(T(INDIRECT("'"&amp;$B$4&amp;"'!"&amp;ADDRESS(20,6+$F$4)))="","·",T(INDIRECT("'"&amp;$B$4&amp;"'!"&amp;ADDRESS(20,6+$F$4)))))</f>
        <v>·</v>
      </c>
      <c r="O24" s="64" t="str">
        <f t="array" aca="1" ref="O24" ca="1">IFERROR(INDEX(INDIRECT("'"&amp;$B$4&amp;"'!B6:B155"),_xlfn.AGGREGATE(15,6,(ROW(INDIRECT("6:155"))-5)/((INDIRECT("'"&amp;$B$4&amp;"'!"&amp;ADDRESS(6,6+$F$4)&amp;":"&amp;ADDRESS(155,6+$F$4)))="HE"),15)),"")</f>
        <v/>
      </c>
      <c r="P24" s="64" t="str">
        <f t="array" aca="1" ref="P24" ca="1">IFERROR(INDEX(INDIRECT("'"&amp;$B$4&amp;"'!B6:B155"),_xlfn.AGGREGATE(15,6,(ROW(INDIRECT("6:155"))-5)/((INDIRECT("'"&amp;$B$4&amp;"'!"&amp;ADDRESS(6,6+$F$4)&amp;":"&amp;ADDRESS(155,6+$F$4)))="FE"),15)),"")</f>
        <v/>
      </c>
    </row>
    <row r="25" spans="1:16" x14ac:dyDescent="0.25">
      <c r="A25" s="51">
        <f t="shared" ca="1" si="0"/>
        <v>16</v>
      </c>
      <c r="B25" s="78" t="str">
        <f ca="1">T(INDIRECT("'"&amp;$B$4&amp;"'!B21"))</f>
        <v>MARCOS EBERTZ 356601</v>
      </c>
      <c r="C25" s="20">
        <f ca="1">IF($B25="","",N(INDIRECT("'"&amp;$B$4&amp;"'!C21")))</f>
        <v>0</v>
      </c>
      <c r="D25" s="20">
        <f ca="1">IF($B25="","",INDIRECT("'"&amp;$B$4&amp;"'!D21"))</f>
        <v>0</v>
      </c>
      <c r="E25" s="20">
        <f ca="1">IF($B25="","",INDIRECT("'"&amp;$B$4&amp;"'!E21"))</f>
        <v>0</v>
      </c>
      <c r="F25" s="20">
        <f ca="1">IF($B25="","",INDIRECT("'"&amp;$B$4&amp;"'!F21"))</f>
        <v>0</v>
      </c>
      <c r="G25" s="20">
        <f ca="1">IF($B25="","",N(JAN!C21)+N(FEV!C21)+N(MAR!C21)+N(ABR!C21)+N(MAI!C21)+N(JUN!C21)+N(JUL!C21)+N(AGO!C21)+N(SET!C21)+N(OUT!C21)+N(NOV!C21)+N(DEZ!C21))</f>
        <v>0</v>
      </c>
      <c r="H25" s="20">
        <f ca="1">IF($B25="","",SUM(JAN!E21,FEV!E21,MAR!E21,ABR!E21,MAI!E21,JUN!E21,JUL!E21,AGO!E21,SET!E21,OUT!E21,NOV!E21,DEZ!E21))</f>
        <v>0</v>
      </c>
      <c r="I25" s="20">
        <f t="shared" ca="1" si="1"/>
        <v>0</v>
      </c>
      <c r="J25" s="28" t="str">
        <f ca="1">IF($B25="","",IF(T(INDIRECT("'"&amp;$B$4&amp;"'!"&amp;ADDRESS(21,6+$F$4)))="","·",T(INDIRECT("'"&amp;$B$4&amp;"'!"&amp;ADDRESS(21,6+$F$4)))))</f>
        <v>·</v>
      </c>
      <c r="O25" s="64" t="str">
        <f t="array" aca="1" ref="O25" ca="1">IFERROR(INDEX(INDIRECT("'"&amp;$B$4&amp;"'!B6:B155"),_xlfn.AGGREGATE(15,6,(ROW(INDIRECT("6:155"))-5)/((INDIRECT("'"&amp;$B$4&amp;"'!"&amp;ADDRESS(6,6+$F$4)&amp;":"&amp;ADDRESS(155,6+$F$4)))="HE"),16)),"")</f>
        <v/>
      </c>
      <c r="P25" s="64" t="str">
        <f t="array" aca="1" ref="P25" ca="1">IFERROR(INDEX(INDIRECT("'"&amp;$B$4&amp;"'!B6:B155"),_xlfn.AGGREGATE(15,6,(ROW(INDIRECT("6:155"))-5)/((INDIRECT("'"&amp;$B$4&amp;"'!"&amp;ADDRESS(6,6+$F$4)&amp;":"&amp;ADDRESS(155,6+$F$4)))="FE"),16)),"")</f>
        <v/>
      </c>
    </row>
    <row r="26" spans="1:16" x14ac:dyDescent="0.25">
      <c r="A26" s="50">
        <f t="shared" ca="1" si="0"/>
        <v>17</v>
      </c>
      <c r="B26" s="78" t="str">
        <f ca="1">T(INDIRECT("'"&amp;$B$4&amp;"'!B22"))</f>
        <v>REGIS CERETA 384101</v>
      </c>
      <c r="C26" s="19">
        <f ca="1">IF($B26="","",N(INDIRECT("'"&amp;$B$4&amp;"'!C22")))</f>
        <v>0</v>
      </c>
      <c r="D26" s="19">
        <f ca="1">IF($B26="","",INDIRECT("'"&amp;$B$4&amp;"'!D22"))</f>
        <v>0</v>
      </c>
      <c r="E26" s="19">
        <f ca="1">IF($B26="","",INDIRECT("'"&amp;$B$4&amp;"'!E22"))</f>
        <v>0</v>
      </c>
      <c r="F26" s="19">
        <f ca="1">IF($B26="","",INDIRECT("'"&amp;$B$4&amp;"'!F22"))</f>
        <v>0</v>
      </c>
      <c r="G26" s="19">
        <f ca="1">IF($B26="","",N(JAN!C22)+N(FEV!C22)+N(MAR!C22)+N(ABR!C22)+N(MAI!C22)+N(JUN!C22)+N(JUL!C22)+N(AGO!C22)+N(SET!C22)+N(OUT!C22)+N(NOV!C22)+N(DEZ!C22))</f>
        <v>0</v>
      </c>
      <c r="H26" s="19">
        <f ca="1">IF($B26="","",SUM(JAN!E22,FEV!E22,MAR!E22,ABR!E22,MAI!E22,JUN!E22,JUL!E22,AGO!E22,SET!E22,OUT!E22,NOV!E22,DEZ!E22))</f>
        <v>0</v>
      </c>
      <c r="I26" s="19">
        <f t="shared" ca="1" si="1"/>
        <v>0</v>
      </c>
      <c r="J26" s="28" t="str">
        <f ca="1">IF($B26="","",IF(T(INDIRECT("'"&amp;$B$4&amp;"'!"&amp;ADDRESS(22,6+$F$4)))="","·",T(INDIRECT("'"&amp;$B$4&amp;"'!"&amp;ADDRESS(22,6+$F$4)))))</f>
        <v>·</v>
      </c>
      <c r="O26" s="64" t="str">
        <f t="array" aca="1" ref="O26" ca="1">IFERROR(INDEX(INDIRECT("'"&amp;$B$4&amp;"'!B6:B155"),_xlfn.AGGREGATE(15,6,(ROW(INDIRECT("6:155"))-5)/((INDIRECT("'"&amp;$B$4&amp;"'!"&amp;ADDRESS(6,6+$F$4)&amp;":"&amp;ADDRESS(155,6+$F$4)))="HE"),17)),"")</f>
        <v/>
      </c>
      <c r="P26" s="64" t="str">
        <f t="array" aca="1" ref="P26" ca="1">IFERROR(INDEX(INDIRECT("'"&amp;$B$4&amp;"'!B6:B155"),_xlfn.AGGREGATE(15,6,(ROW(INDIRECT("6:155"))-5)/((INDIRECT("'"&amp;$B$4&amp;"'!"&amp;ADDRESS(6,6+$F$4)&amp;":"&amp;ADDRESS(155,6+$F$4)))="FE"),17)),"")</f>
        <v/>
      </c>
    </row>
    <row r="27" spans="1:16" x14ac:dyDescent="0.25">
      <c r="A27" s="51">
        <f t="shared" ca="1" si="0"/>
        <v>18</v>
      </c>
      <c r="B27" s="78" t="str">
        <f ca="1">T(INDIRECT("'"&amp;$B$4&amp;"'!B23"))</f>
        <v>ANDERSON SANTOS 434801</v>
      </c>
      <c r="C27" s="20">
        <f ca="1">IF($B27="","",N(INDIRECT("'"&amp;$B$4&amp;"'!C23")))</f>
        <v>0</v>
      </c>
      <c r="D27" s="20">
        <f ca="1">IF($B27="","",INDIRECT("'"&amp;$B$4&amp;"'!D23"))</f>
        <v>0</v>
      </c>
      <c r="E27" s="20">
        <f ca="1">IF($B27="","",INDIRECT("'"&amp;$B$4&amp;"'!E23"))</f>
        <v>0</v>
      </c>
      <c r="F27" s="20">
        <f ca="1">IF($B27="","",INDIRECT("'"&amp;$B$4&amp;"'!F23"))</f>
        <v>0</v>
      </c>
      <c r="G27" s="29">
        <f ca="1">IF($B27="","",N(JAN!C23)+N(FEV!C23)+N(MAR!C23)+N(ABR!C23)+N(MAI!C23)+N(JUN!C23)+N(JUL!C23)+N(AGO!C23)+N(SET!C23)+N(OUT!C23)+N(NOV!C23)+N(DEZ!C23))</f>
        <v>0</v>
      </c>
      <c r="H27" s="20">
        <f ca="1">IF($B27="","",SUM(JAN!E23,FEV!E23,MAR!E23,ABR!E23,MAI!E23,JUN!E23,JUL!E23,AGO!E23,SET!E23,OUT!E23,NOV!E23,DEZ!E23))</f>
        <v>0</v>
      </c>
      <c r="I27" s="20">
        <f t="shared" ca="1" si="1"/>
        <v>0</v>
      </c>
      <c r="J27" s="28" t="str">
        <f ca="1">IF($B27="","",IF(T(INDIRECT("'"&amp;$B$4&amp;"'!"&amp;ADDRESS(23,6+$F$4)))="","·",T(INDIRECT("'"&amp;$B$4&amp;"'!"&amp;ADDRESS(23,6+$F$4)))))</f>
        <v>·</v>
      </c>
      <c r="O27" s="64" t="str">
        <f t="array" aca="1" ref="O27" ca="1">IFERROR(INDEX(INDIRECT("'"&amp;$B$4&amp;"'!B6:B155"),_xlfn.AGGREGATE(15,6,(ROW(INDIRECT("6:155"))-5)/((INDIRECT("'"&amp;$B$4&amp;"'!"&amp;ADDRESS(6,6+$F$4)&amp;":"&amp;ADDRESS(155,6+$F$4)))="HE"),18)),"")</f>
        <v/>
      </c>
      <c r="P27" s="64" t="str">
        <f t="array" aca="1" ref="P27" ca="1">IFERROR(INDEX(INDIRECT("'"&amp;$B$4&amp;"'!B6:B155"),_xlfn.AGGREGATE(15,6,(ROW(INDIRECT("6:155"))-5)/((INDIRECT("'"&amp;$B$4&amp;"'!"&amp;ADDRESS(6,6+$F$4)&amp;":"&amp;ADDRESS(155,6+$F$4)))="FE"),18)),"")</f>
        <v/>
      </c>
    </row>
    <row r="28" spans="1:16" x14ac:dyDescent="0.25">
      <c r="A28" s="50">
        <f t="shared" ca="1" si="0"/>
        <v>19</v>
      </c>
      <c r="B28" s="78" t="str">
        <f ca="1">T(INDIRECT("'"&amp;$B$4&amp;"'!B24"))</f>
        <v>ALEX GABRIEL 37002111</v>
      </c>
      <c r="C28" s="19">
        <f ca="1">IF($B28="","",N(INDIRECT("'"&amp;$B$4&amp;"'!C24")))</f>
        <v>0</v>
      </c>
      <c r="D28" s="19">
        <f ca="1">IF($B28="","",INDIRECT("'"&amp;$B$4&amp;"'!D24"))</f>
        <v>0</v>
      </c>
      <c r="E28" s="19">
        <f ca="1">IF($B28="","",INDIRECT("'"&amp;$B$4&amp;"'!E24"))</f>
        <v>0</v>
      </c>
      <c r="F28" s="19">
        <f ca="1">IF($B28="","",INDIRECT("'"&amp;$B$4&amp;"'!F24"))</f>
        <v>0</v>
      </c>
      <c r="G28" s="19">
        <f ca="1">IF($B28="","",N(JAN!C24)+N(FEV!C24)+N(MAR!C24)+N(ABR!C24)+N(MAI!C24)+N(JUN!C24)+N(JUL!C24)+N(AGO!C24)+N(SET!C24)+N(OUT!C24)+N(NOV!C24)+N(DEZ!C24))</f>
        <v>0</v>
      </c>
      <c r="H28" s="19">
        <f ca="1">IF($B28="","",SUM(JAN!E24,FEV!E24,MAR!E24,ABR!E24,MAI!E24,JUN!E24,JUL!E24,AGO!E24,SET!E24,OUT!E24,NOV!E24,DEZ!E24))</f>
        <v>0</v>
      </c>
      <c r="I28" s="19">
        <f t="shared" ca="1" si="1"/>
        <v>0</v>
      </c>
      <c r="J28" s="28" t="str">
        <f ca="1">IF($B28="","",IF(T(INDIRECT("'"&amp;$B$4&amp;"'!"&amp;ADDRESS(24,6+$F$4)))="","·",T(INDIRECT("'"&amp;$B$4&amp;"'!"&amp;ADDRESS(24,6+$F$4)))))</f>
        <v>·</v>
      </c>
      <c r="O28" s="64" t="str">
        <f t="array" aca="1" ref="O28" ca="1">IFERROR(INDEX(INDIRECT("'"&amp;$B$4&amp;"'!B6:B155"),_xlfn.AGGREGATE(15,6,(ROW(INDIRECT("6:155"))-5)/((INDIRECT("'"&amp;$B$4&amp;"'!"&amp;ADDRESS(6,6+$F$4)&amp;":"&amp;ADDRESS(155,6+$F$4)))="HE"),19)),"")</f>
        <v/>
      </c>
      <c r="P28" s="64" t="str">
        <f t="array" aca="1" ref="P28" ca="1">IFERROR(INDEX(INDIRECT("'"&amp;$B$4&amp;"'!B6:B155"),_xlfn.AGGREGATE(15,6,(ROW(INDIRECT("6:155"))-5)/((INDIRECT("'"&amp;$B$4&amp;"'!"&amp;ADDRESS(6,6+$F$4)&amp;":"&amp;ADDRESS(155,6+$F$4)))="FE"),19)),"")</f>
        <v/>
      </c>
    </row>
    <row r="29" spans="1:16" x14ac:dyDescent="0.25">
      <c r="A29" s="51">
        <f t="shared" ca="1" si="0"/>
        <v>20</v>
      </c>
      <c r="B29" s="78" t="str">
        <f ca="1">T(INDIRECT("'"&amp;$B$4&amp;"'!B25"))</f>
        <v>RENATO GUEDES 381901</v>
      </c>
      <c r="C29" s="20">
        <f ca="1">IF($B29="","",N(INDIRECT("'"&amp;$B$4&amp;"'!C25")))</f>
        <v>0</v>
      </c>
      <c r="D29" s="20">
        <f ca="1">IF($B29="","",INDIRECT("'"&amp;$B$4&amp;"'!D25"))</f>
        <v>1</v>
      </c>
      <c r="E29" s="20">
        <f ca="1">IF($B29="","",INDIRECT("'"&amp;$B$4&amp;"'!E25"))</f>
        <v>0</v>
      </c>
      <c r="F29" s="20">
        <f ca="1">IF($B29="","",INDIRECT("'"&amp;$B$4&amp;"'!F25"))</f>
        <v>0</v>
      </c>
      <c r="G29" s="20">
        <f ca="1">IF($B29="","",N(JAN!C25)+N(FEV!C25)+N(MAR!C25)+N(ABR!C25)+N(MAI!C25)+N(JUN!C25)+N(JUL!C25)+N(AGO!C25)+N(SET!C25)+N(OUT!C25)+N(NOV!C25)+N(DEZ!C25))</f>
        <v>1</v>
      </c>
      <c r="H29" s="20">
        <f ca="1">IF($B29="","",SUM(JAN!E25,FEV!E25,MAR!E25,ABR!E25,MAI!E25,JUN!E25,JUL!E25,AGO!E25,SET!E25,OUT!E25,NOV!E25,DEZ!E25))</f>
        <v>2</v>
      </c>
      <c r="I29" s="20">
        <f t="shared" ca="1" si="1"/>
        <v>-1</v>
      </c>
      <c r="J29" s="28" t="str">
        <f ca="1">IF($B29="","",IF(T(INDIRECT("'"&amp;$B$4&amp;"'!"&amp;ADDRESS(25,6+$F$4)))="","·",T(INDIRECT("'"&amp;$B$4&amp;"'!"&amp;ADDRESS(25,6+$F$4)))))</f>
        <v>·</v>
      </c>
      <c r="O29" s="64" t="str">
        <f t="array" aca="1" ref="O29" ca="1">IFERROR(INDEX(INDIRECT("'"&amp;$B$4&amp;"'!B6:B155"),_xlfn.AGGREGATE(15,6,(ROW(INDIRECT("6:155"))-5)/((INDIRECT("'"&amp;$B$4&amp;"'!"&amp;ADDRESS(6,6+$F$4)&amp;":"&amp;ADDRESS(155,6+$F$4)))="HE"),20)),"")</f>
        <v/>
      </c>
      <c r="P29" s="64" t="str">
        <f t="array" aca="1" ref="P29" ca="1">IFERROR(INDEX(INDIRECT("'"&amp;$B$4&amp;"'!B6:B155"),_xlfn.AGGREGATE(15,6,(ROW(INDIRECT("6:155"))-5)/((INDIRECT("'"&amp;$B$4&amp;"'!"&amp;ADDRESS(6,6+$F$4)&amp;":"&amp;ADDRESS(155,6+$F$4)))="FE"),20)),"")</f>
        <v/>
      </c>
    </row>
    <row r="30" spans="1:16" x14ac:dyDescent="0.25">
      <c r="A30" s="50">
        <f t="shared" ca="1" si="0"/>
        <v>21</v>
      </c>
      <c r="B30" s="78" t="str">
        <f ca="1">T(INDIRECT("'"&amp;$B$4&amp;"'!B26"))</f>
        <v>EDUARDO SCHNEIDER 37002143</v>
      </c>
      <c r="C30" s="19">
        <f ca="1">IF($B30="","",N(INDIRECT("'"&amp;$B$4&amp;"'!C26")))</f>
        <v>1</v>
      </c>
      <c r="D30" s="19">
        <f ca="1">IF($B30="","",INDIRECT("'"&amp;$B$4&amp;"'!D26"))</f>
        <v>1</v>
      </c>
      <c r="E30" s="19">
        <f ca="1">IF($B30="","",INDIRECT("'"&amp;$B$4&amp;"'!E26"))</f>
        <v>0</v>
      </c>
      <c r="F30" s="19">
        <f ca="1">IF($B30="","",INDIRECT("'"&amp;$B$4&amp;"'!F26"))</f>
        <v>1</v>
      </c>
      <c r="G30" s="19">
        <f ca="1">IF($B30="","",N(JAN!C26)+N(FEV!C26)+N(MAR!C26)+N(ABR!C26)+N(MAI!C26)+N(JUN!C26)+N(JUL!C26)+N(AGO!C26)+N(SET!C26)+N(OUT!C26)+N(NOV!C26)+N(DEZ!C26))</f>
        <v>2</v>
      </c>
      <c r="H30" s="19">
        <f ca="1">IF($B30="","",SUM(JAN!E26,FEV!E26,MAR!E26,ABR!E26,MAI!E26,JUN!E26,JUL!E26,AGO!E26,SET!E26,OUT!E26,NOV!E26,DEZ!E26))</f>
        <v>2</v>
      </c>
      <c r="I30" s="19">
        <f t="shared" ca="1" si="1"/>
        <v>0</v>
      </c>
      <c r="J30" s="28" t="str">
        <f ca="1">IF($B30="","",IF(T(INDIRECT("'"&amp;$B$4&amp;"'!"&amp;ADDRESS(26,6+$F$4)))="","·",T(INDIRECT("'"&amp;$B$4&amp;"'!"&amp;ADDRESS(26,6+$F$4)))))</f>
        <v>HE</v>
      </c>
      <c r="L30" t="s">
        <v>35</v>
      </c>
      <c r="O30" s="64" t="str">
        <f t="array" aca="1" ref="O30" ca="1">IFERROR(INDEX(INDIRECT("'"&amp;$B$4&amp;"'!B6:B155"),_xlfn.AGGREGATE(15,6,(ROW(INDIRECT("6:155"))-5)/((INDIRECT("'"&amp;$B$4&amp;"'!"&amp;ADDRESS(6,6+$F$4)&amp;":"&amp;ADDRESS(155,6+$F$4)))="HE"),21)),"")</f>
        <v/>
      </c>
      <c r="P30" s="64" t="str">
        <f t="array" aca="1" ref="P30" ca="1">IFERROR(INDEX(INDIRECT("'"&amp;$B$4&amp;"'!B6:B155"),_xlfn.AGGREGATE(15,6,(ROW(INDIRECT("6:155"))-5)/((INDIRECT("'"&amp;$B$4&amp;"'!"&amp;ADDRESS(6,6+$F$4)&amp;":"&amp;ADDRESS(155,6+$F$4)))="FE"),21)),"")</f>
        <v/>
      </c>
    </row>
    <row r="31" spans="1:16" x14ac:dyDescent="0.25">
      <c r="A31" s="51">
        <f t="shared" ca="1" si="0"/>
        <v>22</v>
      </c>
      <c r="B31" s="78" t="str">
        <f ca="1">T(INDIRECT("'"&amp;$B$4&amp;"'!B27"))</f>
        <v>VANDERLEI BUSSA 309601</v>
      </c>
      <c r="C31" s="20">
        <f ca="1">IF($B31="","",N(INDIRECT("'"&amp;$B$4&amp;"'!C27")))</f>
        <v>1</v>
      </c>
      <c r="D31" s="20">
        <f ca="1">IF($B31="","",INDIRECT("'"&amp;$B$4&amp;"'!D27"))</f>
        <v>0</v>
      </c>
      <c r="E31" s="20">
        <f ca="1">IF($B31="","",INDIRECT("'"&amp;$B$4&amp;"'!E27"))</f>
        <v>0</v>
      </c>
      <c r="F31" s="20">
        <f ca="1">IF($B31="","",INDIRECT("'"&amp;$B$4&amp;"'!F27"))</f>
        <v>1</v>
      </c>
      <c r="G31" s="20">
        <f ca="1">IF($B31="","",N(JAN!C27)+N(FEV!C27)+N(MAR!C27)+N(ABR!C27)+N(MAI!C27)+N(JUN!C27)+N(JUL!C27)+N(AGO!C27)+N(SET!C27)+N(OUT!C27)+N(NOV!C27)+N(DEZ!C27))</f>
        <v>2</v>
      </c>
      <c r="H31" s="20">
        <f ca="1">IF($B31="","",SUM(JAN!E27,FEV!E27,MAR!E27,ABR!E27,MAI!E27,JUN!E27,JUL!E27,AGO!E27,SET!E27,OUT!E27,NOV!E27,DEZ!E27))</f>
        <v>2</v>
      </c>
      <c r="I31" s="20">
        <f t="shared" ca="1" si="1"/>
        <v>0</v>
      </c>
      <c r="J31" s="28" t="str">
        <f ca="1">IF($B31="","",IF(T(INDIRECT("'"&amp;$B$4&amp;"'!"&amp;ADDRESS(27,6+$F$4)))="","·",T(INDIRECT("'"&amp;$B$4&amp;"'!"&amp;ADDRESS(27,6+$F$4)))))</f>
        <v>HE</v>
      </c>
      <c r="O31" s="64" t="str">
        <f t="array" aca="1" ref="O31" ca="1">IFERROR(INDEX(INDIRECT("'"&amp;$B$4&amp;"'!B6:B155"),_xlfn.AGGREGATE(15,6,(ROW(INDIRECT("6:155"))-5)/((INDIRECT("'"&amp;$B$4&amp;"'!"&amp;ADDRESS(6,6+$F$4)&amp;":"&amp;ADDRESS(155,6+$F$4)))="HE"),22)),"")</f>
        <v/>
      </c>
      <c r="P31" s="64" t="str">
        <f t="array" aca="1" ref="P31" ca="1">IFERROR(INDEX(INDIRECT("'"&amp;$B$4&amp;"'!B6:B155"),_xlfn.AGGREGATE(15,6,(ROW(INDIRECT("6:155"))-5)/((INDIRECT("'"&amp;$B$4&amp;"'!"&amp;ADDRESS(6,6+$F$4)&amp;":"&amp;ADDRESS(155,6+$F$4)))="FE"),22)),"")</f>
        <v/>
      </c>
    </row>
    <row r="32" spans="1:16" x14ac:dyDescent="0.25">
      <c r="A32" s="50">
        <f t="shared" ca="1" si="0"/>
        <v>23</v>
      </c>
      <c r="B32" s="78" t="str">
        <f ca="1">T(INDIRECT("'"&amp;$B$4&amp;"'!B28"))</f>
        <v>DENIS GABRIEL 37002145</v>
      </c>
      <c r="C32" s="19">
        <f ca="1">IF($B32="","",N(INDIRECT("'"&amp;$B$4&amp;"'!C28")))</f>
        <v>0</v>
      </c>
      <c r="D32" s="19">
        <f ca="1">IF($B32="","",INDIRECT("'"&amp;$B$4&amp;"'!D28"))</f>
        <v>1</v>
      </c>
      <c r="E32" s="19">
        <f ca="1">IF($B32="","",INDIRECT("'"&amp;$B$4&amp;"'!E28"))</f>
        <v>0</v>
      </c>
      <c r="F32" s="19">
        <f ca="1">IF($B32="","",INDIRECT("'"&amp;$B$4&amp;"'!F28"))</f>
        <v>0</v>
      </c>
      <c r="G32" s="19">
        <f ca="1">IF($B32="","",N(JAN!C28)+N(FEV!C28)+N(MAR!C28)+N(ABR!C28)+N(MAI!C28)+N(JUN!C28)+N(JUL!C28)+N(AGO!C28)+N(SET!C28)+N(OUT!C28)+N(NOV!C28)+N(DEZ!C28))</f>
        <v>2</v>
      </c>
      <c r="H32" s="19">
        <f ca="1">IF($B32="","",SUM(JAN!E28,FEV!E28,MAR!E28,ABR!E28,MAI!E28,JUN!E28,JUL!E28,AGO!E28,SET!E28,OUT!E28,NOV!E28,DEZ!E28))</f>
        <v>2</v>
      </c>
      <c r="I32" s="19">
        <f t="shared" ca="1" si="1"/>
        <v>0</v>
      </c>
      <c r="J32" s="28" t="str">
        <f ca="1">IF($B32="","",IF(T(INDIRECT("'"&amp;$B$4&amp;"'!"&amp;ADDRESS(28,6+$F$4)))="","·",T(INDIRECT("'"&amp;$B$4&amp;"'!"&amp;ADDRESS(28,6+$F$4)))))</f>
        <v>·</v>
      </c>
      <c r="O32" s="64" t="str">
        <f t="array" aca="1" ref="O32" ca="1">IFERROR(INDEX(INDIRECT("'"&amp;$B$4&amp;"'!B6:B155"),_xlfn.AGGREGATE(15,6,(ROW(INDIRECT("6:155"))-5)/((INDIRECT("'"&amp;$B$4&amp;"'!"&amp;ADDRESS(6,6+$F$4)&amp;":"&amp;ADDRESS(155,6+$F$4)))="HE"),23)),"")</f>
        <v/>
      </c>
      <c r="P32" s="64" t="str">
        <f t="array" aca="1" ref="P32" ca="1">IFERROR(INDEX(INDIRECT("'"&amp;$B$4&amp;"'!B6:B155"),_xlfn.AGGREGATE(15,6,(ROW(INDIRECT("6:155"))-5)/((INDIRECT("'"&amp;$B$4&amp;"'!"&amp;ADDRESS(6,6+$F$4)&amp;":"&amp;ADDRESS(155,6+$F$4)))="FE"),23)),"")</f>
        <v/>
      </c>
    </row>
    <row r="33" spans="1:16" x14ac:dyDescent="0.25">
      <c r="A33" s="51">
        <f t="shared" ca="1" si="0"/>
        <v>24</v>
      </c>
      <c r="B33" s="78" t="str">
        <f ca="1">T(INDIRECT("'"&amp;$B$4&amp;"'!B29"))</f>
        <v>DIEGO DIETRICH 352801</v>
      </c>
      <c r="C33" s="20">
        <f ca="1">IF($B33="","",N(INDIRECT("'"&amp;$B$4&amp;"'!C29")))</f>
        <v>1</v>
      </c>
      <c r="D33" s="20">
        <f ca="1">IF($B33="","",INDIRECT("'"&amp;$B$4&amp;"'!D29"))</f>
        <v>2</v>
      </c>
      <c r="E33" s="20">
        <f ca="1">IF($B33="","",INDIRECT("'"&amp;$B$4&amp;"'!E29"))</f>
        <v>3</v>
      </c>
      <c r="F33" s="20">
        <f ca="1">IF($B33="","",INDIRECT("'"&amp;$B$4&amp;"'!F29"))</f>
        <v>-2</v>
      </c>
      <c r="G33" s="20">
        <f ca="1">IF($B33="","",N(JAN!C29)+N(FEV!C29)+N(MAR!C29)+N(ABR!C29)+N(MAI!C29)+N(JUN!C29)+N(JUL!C29)+N(AGO!C29)+N(SET!C29)+N(OUT!C29)+N(NOV!C29)+N(DEZ!C29))</f>
        <v>2</v>
      </c>
      <c r="H33" s="20">
        <f ca="1">IF($B33="","",SUM(JAN!E29,FEV!E29,MAR!E29,ABR!E29,MAI!E29,JUN!E29,JUL!E29,AGO!E29,SET!E29,OUT!E29,NOV!E29,DEZ!E29))</f>
        <v>6</v>
      </c>
      <c r="I33" s="20">
        <f t="shared" ca="1" si="1"/>
        <v>-4</v>
      </c>
      <c r="J33" s="28" t="str">
        <f ca="1">IF($B33="","",IF(T(INDIRECT("'"&amp;$B$4&amp;"'!"&amp;ADDRESS(29,6+$F$4)))="","·",T(INDIRECT("'"&amp;$B$4&amp;"'!"&amp;ADDRESS(29,6+$F$4)))))</f>
        <v>HE</v>
      </c>
      <c r="O33" s="64" t="str">
        <f t="array" aca="1" ref="O33" ca="1">IFERROR(INDEX(INDIRECT("'"&amp;$B$4&amp;"'!B6:B155"),_xlfn.AGGREGATE(15,6,(ROW(INDIRECT("6:155"))-5)/((INDIRECT("'"&amp;$B$4&amp;"'!"&amp;ADDRESS(6,6+$F$4)&amp;":"&amp;ADDRESS(155,6+$F$4)))="HE"),24)),"")</f>
        <v/>
      </c>
      <c r="P33" s="64" t="str">
        <f t="array" aca="1" ref="P33" ca="1">IFERROR(INDEX(INDIRECT("'"&amp;$B$4&amp;"'!B6:B155"),_xlfn.AGGREGATE(15,6,(ROW(INDIRECT("6:155"))-5)/((INDIRECT("'"&amp;$B$4&amp;"'!"&amp;ADDRESS(6,6+$F$4)&amp;":"&amp;ADDRESS(155,6+$F$4)))="FE"),24)),"")</f>
        <v/>
      </c>
    </row>
    <row r="34" spans="1:16" x14ac:dyDescent="0.25">
      <c r="A34" s="50">
        <f t="shared" ca="1" si="0"/>
        <v>25</v>
      </c>
      <c r="B34" s="78" t="str">
        <f ca="1">T(INDIRECT("'"&amp;$B$4&amp;"'!B30"))</f>
        <v>MARCELOS DORNELLES 37002274</v>
      </c>
      <c r="C34" s="19">
        <f ca="1">IF($B34="","",N(INDIRECT("'"&amp;$B$4&amp;"'!C30")))</f>
        <v>0</v>
      </c>
      <c r="D34" s="19">
        <f ca="1">IF($B34="","",INDIRECT("'"&amp;$B$4&amp;"'!D30"))</f>
        <v>0</v>
      </c>
      <c r="E34" s="19">
        <f ca="1">IF($B34="","",INDIRECT("'"&amp;$B$4&amp;"'!E30"))</f>
        <v>0</v>
      </c>
      <c r="F34" s="19">
        <f ca="1">IF($B34="","",INDIRECT("'"&amp;$B$4&amp;"'!F30"))</f>
        <v>0</v>
      </c>
      <c r="G34" s="19">
        <f ca="1">IF($B34="","",N(JAN!C30)+N(FEV!C30)+N(MAR!C30)+N(ABR!C30)+N(MAI!C30)+N(JUN!C30)+N(JUL!C30)+N(AGO!C30)+N(SET!C30)+N(OUT!C30)+N(NOV!C30)+N(DEZ!C30))</f>
        <v>0</v>
      </c>
      <c r="H34" s="19">
        <f ca="1">IF($B34="","",SUM(JAN!E30,FEV!E30,MAR!E30,ABR!E30,MAI!E30,JUN!E30,JUL!E30,AGO!E30,SET!E30,OUT!E30,NOV!E30,DEZ!E30))</f>
        <v>0</v>
      </c>
      <c r="I34" s="19">
        <f t="shared" ca="1" si="1"/>
        <v>0</v>
      </c>
      <c r="J34" s="28" t="str">
        <f ca="1">IF($B34="","",IF(T(INDIRECT("'"&amp;$B$4&amp;"'!"&amp;ADDRESS(30,6+$F$4)))="","·",T(INDIRECT("'"&amp;$B$4&amp;"'!"&amp;ADDRESS(30,6+$F$4)))))</f>
        <v>·</v>
      </c>
      <c r="O34" s="64" t="str">
        <f t="array" aca="1" ref="O34" ca="1">IFERROR(INDEX(INDIRECT("'"&amp;$B$4&amp;"'!B6:B155"),_xlfn.AGGREGATE(15,6,(ROW(INDIRECT("6:155"))-5)/((INDIRECT("'"&amp;$B$4&amp;"'!"&amp;ADDRESS(6,6+$F$4)&amp;":"&amp;ADDRESS(155,6+$F$4)))="HE"),25)),"")</f>
        <v/>
      </c>
      <c r="P34" s="64" t="str">
        <f t="array" aca="1" ref="P34" ca="1">IFERROR(INDEX(INDIRECT("'"&amp;$B$4&amp;"'!B6:B155"),_xlfn.AGGREGATE(15,6,(ROW(INDIRECT("6:155"))-5)/((INDIRECT("'"&amp;$B$4&amp;"'!"&amp;ADDRESS(6,6+$F$4)&amp;":"&amp;ADDRESS(155,6+$F$4)))="FE"),25)),"")</f>
        <v/>
      </c>
    </row>
    <row r="35" spans="1:16" x14ac:dyDescent="0.25">
      <c r="A35" s="51">
        <f t="shared" ca="1" si="0"/>
        <v>26</v>
      </c>
      <c r="B35" s="78" t="str">
        <f ca="1">T(INDIRECT("'"&amp;$B$4&amp;"'!B31"))</f>
        <v>ALEXANDRE NUNES 461301</v>
      </c>
      <c r="C35" s="20">
        <f ca="1">IF($B35="","",N(INDIRECT("'"&amp;$B$4&amp;"'!C31")))</f>
        <v>0</v>
      </c>
      <c r="D35" s="20">
        <f ca="1">IF($B35="","",INDIRECT("'"&amp;$B$4&amp;"'!D31"))</f>
        <v>0</v>
      </c>
      <c r="E35" s="20">
        <f ca="1">IF($B35="","",INDIRECT("'"&amp;$B$4&amp;"'!E31"))</f>
        <v>1</v>
      </c>
      <c r="F35" s="20">
        <f ca="1">IF($B35="","",INDIRECT("'"&amp;$B$4&amp;"'!F31"))</f>
        <v>-1</v>
      </c>
      <c r="G35" s="20">
        <f ca="1">IF($B35="","",N(JAN!C31)+N(FEV!C31)+N(MAR!C31)+N(ABR!C31)+N(MAI!C31)+N(JUN!C31)+N(JUL!C31)+N(AGO!C31)+N(SET!C31)+N(OUT!C31)+N(NOV!C31)+N(DEZ!C31))</f>
        <v>0</v>
      </c>
      <c r="H35" s="20">
        <f ca="1">IF($B35="","",SUM(JAN!E31,FEV!E31,MAR!E31,ABR!E31,MAI!E31,JUN!E31,JUL!E31,AGO!E31,SET!E31,OUT!E31,NOV!E31,DEZ!E31))</f>
        <v>2</v>
      </c>
      <c r="I35" s="20">
        <f t="shared" ca="1" si="1"/>
        <v>-2</v>
      </c>
      <c r="J35" s="28" t="str">
        <f ca="1">IF($B35="","",IF(T(INDIRECT("'"&amp;$B$4&amp;"'!"&amp;ADDRESS(31,6+$F$4)))="","·",T(INDIRECT("'"&amp;$B$4&amp;"'!"&amp;ADDRESS(31,6+$F$4)))))</f>
        <v>·</v>
      </c>
      <c r="O35" s="64" t="str">
        <f t="array" aca="1" ref="O35" ca="1">IFERROR(INDEX(INDIRECT("'"&amp;$B$4&amp;"'!B6:B155"),_xlfn.AGGREGATE(15,6,(ROW(INDIRECT("6:155"))-5)/((INDIRECT("'"&amp;$B$4&amp;"'!"&amp;ADDRESS(6,6+$F$4)&amp;":"&amp;ADDRESS(155,6+$F$4)))="HE"),26)),"")</f>
        <v/>
      </c>
      <c r="P35" s="64" t="str">
        <f t="array" aca="1" ref="P35" ca="1">IFERROR(INDEX(INDIRECT("'"&amp;$B$4&amp;"'!B6:B155"),_xlfn.AGGREGATE(15,6,(ROW(INDIRECT("6:155"))-5)/((INDIRECT("'"&amp;$B$4&amp;"'!"&amp;ADDRESS(6,6+$F$4)&amp;":"&amp;ADDRESS(155,6+$F$4)))="FE"),26)),"")</f>
        <v/>
      </c>
    </row>
    <row r="36" spans="1:16" x14ac:dyDescent="0.25">
      <c r="A36" s="50">
        <f t="shared" ca="1" si="0"/>
        <v>27</v>
      </c>
      <c r="B36" s="78" t="str">
        <f ca="1">T(INDIRECT("'"&amp;$B$4&amp;"'!B32"))</f>
        <v>DIGO GRAZCKI 37002136</v>
      </c>
      <c r="C36" s="19">
        <f ca="1">IF($B36="","",N(INDIRECT("'"&amp;$B$4&amp;"'!C32")))</f>
        <v>0</v>
      </c>
      <c r="D36" s="19">
        <f ca="1">IF($B36="","",INDIRECT("'"&amp;$B$4&amp;"'!D32"))</f>
        <v>0</v>
      </c>
      <c r="E36" s="19">
        <f ca="1">IF($B36="","",INDIRECT("'"&amp;$B$4&amp;"'!E32"))</f>
        <v>1</v>
      </c>
      <c r="F36" s="19">
        <f ca="1">IF($B36="","",INDIRECT("'"&amp;$B$4&amp;"'!F32"))</f>
        <v>-1</v>
      </c>
      <c r="G36" s="19">
        <f ca="1">IF($B36="","",N(JAN!C32)+N(FEV!C32)+N(MAR!C32)+N(ABR!C32)+N(MAI!C32)+N(JUN!C32)+N(JUL!C32)+N(AGO!C32)+N(SET!C32)+N(OUT!C32)+N(NOV!C32)+N(DEZ!C32))</f>
        <v>1</v>
      </c>
      <c r="H36" s="19">
        <f ca="1">IF($B36="","",SUM(JAN!E32,FEV!E32,MAR!E32,ABR!E32,MAI!E32,JUN!E32,JUL!E32,AGO!E32,SET!E32,OUT!E32,NOV!E32,DEZ!E32))</f>
        <v>3</v>
      </c>
      <c r="I36" s="19">
        <f t="shared" ca="1" si="1"/>
        <v>-2</v>
      </c>
      <c r="J36" s="28" t="str">
        <f ca="1">IF($B36="","",IF(T(INDIRECT("'"&amp;$B$4&amp;"'!"&amp;ADDRESS(32,6+$F$4)))="","·",T(INDIRECT("'"&amp;$B$4&amp;"'!"&amp;ADDRESS(32,6+$F$4)))))</f>
        <v>·</v>
      </c>
      <c r="O36" s="64" t="str">
        <f t="array" aca="1" ref="O36" ca="1">IFERROR(INDEX(INDIRECT("'"&amp;$B$4&amp;"'!B6:B155"),_xlfn.AGGREGATE(15,6,(ROW(INDIRECT("6:155"))-5)/((INDIRECT("'"&amp;$B$4&amp;"'!"&amp;ADDRESS(6,6+$F$4)&amp;":"&amp;ADDRESS(155,6+$F$4)))="HE"),27)),"")</f>
        <v/>
      </c>
      <c r="P36" s="64" t="str">
        <f t="array" aca="1" ref="P36" ca="1">IFERROR(INDEX(INDIRECT("'"&amp;$B$4&amp;"'!B6:B155"),_xlfn.AGGREGATE(15,6,(ROW(INDIRECT("6:155"))-5)/((INDIRECT("'"&amp;$B$4&amp;"'!"&amp;ADDRESS(6,6+$F$4)&amp;":"&amp;ADDRESS(155,6+$F$4)))="FE"),27)),"")</f>
        <v/>
      </c>
    </row>
    <row r="37" spans="1:16" x14ac:dyDescent="0.25">
      <c r="A37" s="51">
        <f t="shared" ca="1" si="0"/>
        <v>28</v>
      </c>
      <c r="B37" s="78" t="str">
        <f ca="1">T(INDIRECT("'"&amp;$B$4&amp;"'!B33"))</f>
        <v>CHARLES SCOT 310301</v>
      </c>
      <c r="C37" s="20">
        <f ca="1">IF($B37="","",N(INDIRECT("'"&amp;$B$4&amp;"'!C33")))</f>
        <v>0</v>
      </c>
      <c r="D37" s="20">
        <f ca="1">IF($B37="","",INDIRECT("'"&amp;$B$4&amp;"'!D33"))</f>
        <v>0</v>
      </c>
      <c r="E37" s="20">
        <f ca="1">IF($B37="","",INDIRECT("'"&amp;$B$4&amp;"'!E33"))</f>
        <v>1</v>
      </c>
      <c r="F37" s="20">
        <f ca="1">IF($B37="","",INDIRECT("'"&amp;$B$4&amp;"'!F33"))</f>
        <v>-1</v>
      </c>
      <c r="G37" s="20">
        <f ca="1">IF($B37="","",N(JAN!C33)+N(FEV!C33)+N(MAR!C33)+N(ABR!C33)+N(MAI!C33)+N(JUN!C33)+N(JUL!C33)+N(AGO!C33)+N(SET!C33)+N(OUT!C33)+N(NOV!C33)+N(DEZ!C33))</f>
        <v>0</v>
      </c>
      <c r="H37" s="20">
        <f ca="1">IF($B37="","",SUM(JAN!E33,FEV!E33,MAR!E33,ABR!E33,MAI!E33,JUN!E33,JUL!E33,AGO!E33,SET!E33,OUT!E33,NOV!E33,DEZ!E33))</f>
        <v>2</v>
      </c>
      <c r="I37" s="20">
        <f t="shared" ca="1" si="1"/>
        <v>-2</v>
      </c>
      <c r="J37" s="28" t="str">
        <f ca="1">IF($B37="","",IF(T(INDIRECT("'"&amp;$B$4&amp;"'!"&amp;ADDRESS(33,6+$F$4)))="","·",T(INDIRECT("'"&amp;$B$4&amp;"'!"&amp;ADDRESS(33,6+$F$4)))))</f>
        <v>·</v>
      </c>
      <c r="O37" s="64" t="str">
        <f t="array" aca="1" ref="O37" ca="1">IFERROR(INDEX(INDIRECT("'"&amp;$B$4&amp;"'!B6:B155"),_xlfn.AGGREGATE(15,6,(ROW(INDIRECT("6:155"))-5)/((INDIRECT("'"&amp;$B$4&amp;"'!"&amp;ADDRESS(6,6+$F$4)&amp;":"&amp;ADDRESS(155,6+$F$4)))="HE"),28)),"")</f>
        <v/>
      </c>
      <c r="P37" s="64" t="str">
        <f t="array" aca="1" ref="P37" ca="1">IFERROR(INDEX(INDIRECT("'"&amp;$B$4&amp;"'!B6:B155"),_xlfn.AGGREGATE(15,6,(ROW(INDIRECT("6:155"))-5)/((INDIRECT("'"&amp;$B$4&amp;"'!"&amp;ADDRESS(6,6+$F$4)&amp;":"&amp;ADDRESS(155,6+$F$4)))="FE"),28)),"")</f>
        <v/>
      </c>
    </row>
    <row r="38" spans="1:16" x14ac:dyDescent="0.25">
      <c r="A38" s="50">
        <f t="shared" ca="1" si="0"/>
        <v>29</v>
      </c>
      <c r="B38" s="78" t="str">
        <f ca="1">T(INDIRECT("'"&amp;$B$4&amp;"'!B34"))</f>
        <v>EDUARDO RIBEIRO 484301</v>
      </c>
      <c r="C38" s="19">
        <f ca="1">IF($B38="","",N(INDIRECT("'"&amp;$B$4&amp;"'!C34")))</f>
        <v>0</v>
      </c>
      <c r="D38" s="19">
        <f ca="1">IF($B38="","",INDIRECT("'"&amp;$B$4&amp;"'!D34"))</f>
        <v>0</v>
      </c>
      <c r="E38" s="19">
        <f ca="1">IF($B38="","",INDIRECT("'"&amp;$B$4&amp;"'!E34"))</f>
        <v>1</v>
      </c>
      <c r="F38" s="19">
        <f ca="1">IF($B38="","",INDIRECT("'"&amp;$B$4&amp;"'!F34"))</f>
        <v>-1</v>
      </c>
      <c r="G38" s="19">
        <f ca="1">IF($B38="","",N(JAN!C34)+N(FEV!C34)+N(MAR!C34)+N(ABR!C34)+N(MAI!C34)+N(JUN!C34)+N(JUL!C34)+N(AGO!C34)+N(SET!C34)+N(OUT!C34)+N(NOV!C34)+N(DEZ!C34))</f>
        <v>3</v>
      </c>
      <c r="H38" s="19">
        <f ca="1">IF($B38="","",SUM(JAN!E34,FEV!E34,MAR!E34,ABR!E34,MAI!E34,JUN!E34,JUL!E34,AGO!E34,SET!E34,OUT!E34,NOV!E34,DEZ!E34))</f>
        <v>2</v>
      </c>
      <c r="I38" s="19">
        <f t="shared" ca="1" si="1"/>
        <v>1</v>
      </c>
      <c r="J38" s="28" t="str">
        <f ca="1">IF($B38="","",IF(T(INDIRECT("'"&amp;$B$4&amp;"'!"&amp;ADDRESS(34,6+$F$4)))="","·",T(INDIRECT("'"&amp;$B$4&amp;"'!"&amp;ADDRESS(34,6+$F$4)))))</f>
        <v>FE</v>
      </c>
      <c r="O38" s="64" t="str">
        <f t="array" aca="1" ref="O38" ca="1">IFERROR(INDEX(INDIRECT("'"&amp;$B$4&amp;"'!B6:B155"),_xlfn.AGGREGATE(15,6,(ROW(INDIRECT("6:155"))-5)/((INDIRECT("'"&amp;$B$4&amp;"'!"&amp;ADDRESS(6,6+$F$4)&amp;":"&amp;ADDRESS(155,6+$F$4)))="HE"),29)),"")</f>
        <v/>
      </c>
      <c r="P38" s="64" t="str">
        <f t="array" aca="1" ref="P38" ca="1">IFERROR(INDEX(INDIRECT("'"&amp;$B$4&amp;"'!B6:B155"),_xlfn.AGGREGATE(15,6,(ROW(INDIRECT("6:155"))-5)/((INDIRECT("'"&amp;$B$4&amp;"'!"&amp;ADDRESS(6,6+$F$4)&amp;":"&amp;ADDRESS(155,6+$F$4)))="FE"),29)),"")</f>
        <v/>
      </c>
    </row>
    <row r="39" spans="1:16" x14ac:dyDescent="0.25">
      <c r="A39" s="51">
        <f t="shared" ca="1" si="0"/>
        <v>30</v>
      </c>
      <c r="B39" s="78" t="str">
        <f ca="1">T(INDIRECT("'"&amp;$B$4&amp;"'!B35"))</f>
        <v>RODRIGO BRAZEIRO 281401</v>
      </c>
      <c r="C39" s="20">
        <f ca="1">IF($B39="","",N(INDIRECT("'"&amp;$B$4&amp;"'!C35")))</f>
        <v>0</v>
      </c>
      <c r="D39" s="20">
        <f ca="1">IF($B39="","",INDIRECT("'"&amp;$B$4&amp;"'!D35"))</f>
        <v>0</v>
      </c>
      <c r="E39" s="20">
        <f ca="1">IF($B39="","",INDIRECT("'"&amp;$B$4&amp;"'!E35"))</f>
        <v>0</v>
      </c>
      <c r="F39" s="20">
        <f ca="1">IF($B39="","",INDIRECT("'"&amp;$B$4&amp;"'!F35"))</f>
        <v>0</v>
      </c>
      <c r="G39" s="20">
        <f ca="1">IF($B39="","",N(JAN!C35)+N(FEV!C35)+N(MAR!C35)+N(ABR!C35)+N(MAI!C35)+N(JUN!C35)+N(JUL!C35)+N(AGO!C35)+N(SET!C35)+N(OUT!C35)+N(NOV!C35)+N(DEZ!C35))</f>
        <v>0</v>
      </c>
      <c r="H39" s="20">
        <f ca="1">IF($B39="","",SUM(JAN!E35,FEV!E35,MAR!E35,ABR!E35,MAI!E35,JUN!E35,JUL!E35,AGO!E35,SET!E35,OUT!E35,NOV!E35,DEZ!E35))</f>
        <v>1</v>
      </c>
      <c r="I39" s="20">
        <f t="shared" ca="1" si="1"/>
        <v>-1</v>
      </c>
      <c r="J39" s="28" t="str">
        <f ca="1">IF($B39="","",IF(T(INDIRECT("'"&amp;$B$4&amp;"'!"&amp;ADDRESS(35,6+$F$4)))="","·",T(INDIRECT("'"&amp;$B$4&amp;"'!"&amp;ADDRESS(35,6+$F$4)))))</f>
        <v>·</v>
      </c>
      <c r="O39" s="64" t="str">
        <f t="array" aca="1" ref="O39" ca="1">IFERROR(INDEX(INDIRECT("'"&amp;$B$4&amp;"'!B6:B155"),_xlfn.AGGREGATE(15,6,(ROW(INDIRECT("6:155"))-5)/((INDIRECT("'"&amp;$B$4&amp;"'!"&amp;ADDRESS(6,6+$F$4)&amp;":"&amp;ADDRESS(155,6+$F$4)))="HE"),30)),"")</f>
        <v/>
      </c>
      <c r="P39" s="64" t="str">
        <f t="array" aca="1" ref="P39" ca="1">IFERROR(INDEX(INDIRECT("'"&amp;$B$4&amp;"'!B6:B155"),_xlfn.AGGREGATE(15,6,(ROW(INDIRECT("6:155"))-5)/((INDIRECT("'"&amp;$B$4&amp;"'!"&amp;ADDRESS(6,6+$F$4)&amp;":"&amp;ADDRESS(155,6+$F$4)))="FE"),30)),"")</f>
        <v/>
      </c>
    </row>
    <row r="40" spans="1:16" x14ac:dyDescent="0.25">
      <c r="A40" s="50">
        <f t="shared" ca="1" si="0"/>
        <v>31</v>
      </c>
      <c r="B40" s="78" t="str">
        <f ca="1">T(INDIRECT("'"&amp;$B$4&amp;"'!B36"))</f>
        <v>ALEXANDRE MARINHO 37002252</v>
      </c>
      <c r="C40" s="19">
        <f ca="1">IF($B40="","",N(INDIRECT("'"&amp;$B$4&amp;"'!C36")))</f>
        <v>0</v>
      </c>
      <c r="D40" s="19">
        <f ca="1">IF($B40="","",INDIRECT("'"&amp;$B$4&amp;"'!D36"))</f>
        <v>0</v>
      </c>
      <c r="E40" s="19">
        <f ca="1">IF($B40="","",INDIRECT("'"&amp;$B$4&amp;"'!E36"))</f>
        <v>0</v>
      </c>
      <c r="F40" s="19">
        <f ca="1">IF($B40="","",INDIRECT("'"&amp;$B$4&amp;"'!F36"))</f>
        <v>0</v>
      </c>
      <c r="G40" s="19">
        <f ca="1">IF($B40="","",N(JAN!C36)+N(FEV!C36)+N(MAR!C36)+N(ABR!C36)+N(MAI!C36)+N(JUN!C36)+N(JUL!C36)+N(AGO!C36)+N(SET!C36)+N(OUT!C36)+N(NOV!C36)+N(DEZ!C36))</f>
        <v>1</v>
      </c>
      <c r="H40" s="19">
        <f ca="1">IF($B40="","",SUM(JAN!E36,FEV!E36,MAR!E36,ABR!E36,MAI!E36,JUN!E36,JUL!E36,AGO!E36,SET!E36,OUT!E36,NOV!E36,DEZ!E36))</f>
        <v>1</v>
      </c>
      <c r="I40" s="19">
        <f t="shared" ca="1" si="1"/>
        <v>0</v>
      </c>
      <c r="J40" s="28" t="str">
        <f ca="1">IF($B40="","",IF(T(INDIRECT("'"&amp;$B$4&amp;"'!"&amp;ADDRESS(36,6+$F$4)))="","·",T(INDIRECT("'"&amp;$B$4&amp;"'!"&amp;ADDRESS(36,6+$F$4)))))</f>
        <v>·</v>
      </c>
      <c r="O40" s="64" t="str">
        <f t="array" aca="1" ref="O40" ca="1">IFERROR(INDEX(INDIRECT("'"&amp;$B$4&amp;"'!B6:B155"),_xlfn.AGGREGATE(15,6,(ROW(INDIRECT("6:155"))-5)/((INDIRECT("'"&amp;$B$4&amp;"'!"&amp;ADDRESS(6,6+$F$4)&amp;":"&amp;ADDRESS(155,6+$F$4)))="HE"),31)),"")</f>
        <v/>
      </c>
      <c r="P40" s="64" t="str">
        <f t="array" aca="1" ref="P40" ca="1">IFERROR(INDEX(INDIRECT("'"&amp;$B$4&amp;"'!B6:B155"),_xlfn.AGGREGATE(15,6,(ROW(INDIRECT("6:155"))-5)/((INDIRECT("'"&amp;$B$4&amp;"'!"&amp;ADDRESS(6,6+$F$4)&amp;":"&amp;ADDRESS(155,6+$F$4)))="FE"),31)),"")</f>
        <v/>
      </c>
    </row>
    <row r="41" spans="1:16" x14ac:dyDescent="0.25">
      <c r="A41" s="51">
        <f t="shared" ca="1" si="0"/>
        <v>32</v>
      </c>
      <c r="B41" s="78" t="str">
        <f ca="1">T(INDIRECT("'"&amp;$B$4&amp;"'!B37"))</f>
        <v>DIERRI SOUZA 166901</v>
      </c>
      <c r="C41" s="20">
        <f ca="1">IF($B41="","",N(INDIRECT("'"&amp;$B$4&amp;"'!C37")))</f>
        <v>0</v>
      </c>
      <c r="D41" s="20">
        <f ca="1">IF($B41="","",INDIRECT("'"&amp;$B$4&amp;"'!D37"))</f>
        <v>0</v>
      </c>
      <c r="E41" s="20">
        <f ca="1">IF($B41="","",INDIRECT("'"&amp;$B$4&amp;"'!E37"))</f>
        <v>0</v>
      </c>
      <c r="F41" s="20">
        <f ca="1">IF($B41="","",INDIRECT("'"&amp;$B$4&amp;"'!F37"))</f>
        <v>0</v>
      </c>
      <c r="G41" s="20">
        <f ca="1">IF($B41="","",N(JAN!C37)+N(FEV!C37)+N(MAR!C37)+N(ABR!C37)+N(MAI!C37)+N(JUN!C37)+N(JUL!C37)+N(AGO!C37)+N(SET!C37)+N(OUT!C37)+N(NOV!C37)+N(DEZ!C37))</f>
        <v>0</v>
      </c>
      <c r="H41" s="20">
        <f ca="1">IF($B41="","",SUM(JAN!E37,FEV!E37,MAR!E37,ABR!E37,MAI!E37,JUN!E37,JUL!E37,AGO!E37,SET!E37,OUT!E37,NOV!E37,DEZ!E37))</f>
        <v>0</v>
      </c>
      <c r="I41" s="20">
        <f t="shared" ca="1" si="1"/>
        <v>0</v>
      </c>
      <c r="J41" s="28" t="str">
        <f ca="1">IF($B41="","",IF(T(INDIRECT("'"&amp;$B$4&amp;"'!"&amp;ADDRESS(37,6+$F$4)))="","·",T(INDIRECT("'"&amp;$B$4&amp;"'!"&amp;ADDRESS(37,6+$F$4)))))</f>
        <v>·</v>
      </c>
      <c r="O41" s="64" t="str">
        <f t="array" aca="1" ref="O41" ca="1">IFERROR(INDEX(INDIRECT("'"&amp;$B$4&amp;"'!B6:B155"),_xlfn.AGGREGATE(15,6,(ROW(INDIRECT("6:155"))-5)/((INDIRECT("'"&amp;$B$4&amp;"'!"&amp;ADDRESS(6,6+$F$4)&amp;":"&amp;ADDRESS(155,6+$F$4)))="HE"),32)),"")</f>
        <v/>
      </c>
      <c r="P41" s="64" t="str">
        <f t="array" aca="1" ref="P41" ca="1">IFERROR(INDEX(INDIRECT("'"&amp;$B$4&amp;"'!B6:B155"),_xlfn.AGGREGATE(15,6,(ROW(INDIRECT("6:155"))-5)/((INDIRECT("'"&amp;$B$4&amp;"'!"&amp;ADDRESS(6,6+$F$4)&amp;":"&amp;ADDRESS(155,6+$F$4)))="FE"),32)),"")</f>
        <v/>
      </c>
    </row>
    <row r="42" spans="1:16" x14ac:dyDescent="0.25">
      <c r="A42" s="50">
        <f t="shared" ref="A42:A67" ca="1" si="2">IF($B42="","",ROW()-9)</f>
        <v>33</v>
      </c>
      <c r="B42" s="78" t="str">
        <f ca="1">T(INDIRECT("'"&amp;$B$4&amp;"'!B38"))</f>
        <v>JOSIMAR ROCHA 390801</v>
      </c>
      <c r="C42" s="19">
        <f ca="1">IF($B42="","",N(INDIRECT("'"&amp;$B$4&amp;"'!C38")))</f>
        <v>0</v>
      </c>
      <c r="D42" s="19">
        <f ca="1">IF($B42="","",INDIRECT("'"&amp;$B$4&amp;"'!D38"))</f>
        <v>0</v>
      </c>
      <c r="E42" s="19">
        <f ca="1">IF($B42="","",INDIRECT("'"&amp;$B$4&amp;"'!E38"))</f>
        <v>0</v>
      </c>
      <c r="F42" s="19">
        <f ca="1">IF($B42="","",INDIRECT("'"&amp;$B$4&amp;"'!F38"))</f>
        <v>0</v>
      </c>
      <c r="G42" s="19">
        <f ca="1">IF($B42="","",N(JAN!C38)+N(FEV!C38)+N(MAR!C38)+N(ABR!C38)+N(MAI!C38)+N(JUN!C38)+N(JUL!C38)+N(AGO!C38)+N(SET!C38)+N(OUT!C38)+N(NOV!C38)+N(DEZ!C38))</f>
        <v>0</v>
      </c>
      <c r="H42" s="19">
        <f ca="1">IF($B42="","",SUM(JAN!E38,FEV!E38,MAR!E38,ABR!E38,MAI!E38,JUN!E38,JUL!E38,AGO!E38,SET!E38,OUT!E38,NOV!E38,DEZ!E38))</f>
        <v>0</v>
      </c>
      <c r="I42" s="19">
        <f t="shared" ref="I42:I73" ca="1" si="3">IF($B42="","",G42-H42)</f>
        <v>0</v>
      </c>
      <c r="J42" s="28" t="str">
        <f ca="1">IF($B42="","",IF(T(INDIRECT("'"&amp;$B$4&amp;"'!"&amp;ADDRESS(38,6+$F$4)))="","·",T(INDIRECT("'"&amp;$B$4&amp;"'!"&amp;ADDRESS(38,6+$F$4)))))</f>
        <v>·</v>
      </c>
      <c r="O42" s="64" t="str">
        <f t="array" aca="1" ref="O42" ca="1">IFERROR(INDEX(INDIRECT("'"&amp;$B$4&amp;"'!B6:B155"),_xlfn.AGGREGATE(15,6,(ROW(INDIRECT("6:155"))-5)/((INDIRECT("'"&amp;$B$4&amp;"'!"&amp;ADDRESS(6,6+$F$4)&amp;":"&amp;ADDRESS(155,6+$F$4)))="HE"),33)),"")</f>
        <v/>
      </c>
      <c r="P42" s="64" t="str">
        <f t="array" aca="1" ref="P42" ca="1">IFERROR(INDEX(INDIRECT("'"&amp;$B$4&amp;"'!B6:B155"),_xlfn.AGGREGATE(15,6,(ROW(INDIRECT("6:155"))-5)/((INDIRECT("'"&amp;$B$4&amp;"'!"&amp;ADDRESS(6,6+$F$4)&amp;":"&amp;ADDRESS(155,6+$F$4)))="FE"),33)),"")</f>
        <v/>
      </c>
    </row>
    <row r="43" spans="1:16" x14ac:dyDescent="0.25">
      <c r="A43" s="51">
        <f t="shared" ca="1" si="2"/>
        <v>34</v>
      </c>
      <c r="B43" s="78" t="str">
        <f ca="1">T(INDIRECT("'"&amp;$B$4&amp;"'!B39"))</f>
        <v>JONATHAM DALAZEM 517501</v>
      </c>
      <c r="C43" s="20">
        <f ca="1">IF($B43="","",N(INDIRECT("'"&amp;$B$4&amp;"'!C39")))</f>
        <v>0</v>
      </c>
      <c r="D43" s="20">
        <f ca="1">IF($B43="","",INDIRECT("'"&amp;$B$4&amp;"'!D39"))</f>
        <v>0</v>
      </c>
      <c r="E43" s="20">
        <f ca="1">IF($B43="","",INDIRECT("'"&amp;$B$4&amp;"'!E39"))</f>
        <v>0</v>
      </c>
      <c r="F43" s="20">
        <f ca="1">IF($B43="","",INDIRECT("'"&amp;$B$4&amp;"'!F39"))</f>
        <v>0</v>
      </c>
      <c r="G43" s="20">
        <f ca="1">IF($B43="","",N(JAN!C39)+N(FEV!C39)+N(MAR!C39)+N(ABR!C39)+N(MAI!C39)+N(JUN!C39)+N(JUL!C39)+N(AGO!C39)+N(SET!C39)+N(OUT!C39)+N(NOV!C39)+N(DEZ!C39))</f>
        <v>1</v>
      </c>
      <c r="H43" s="20">
        <f ca="1">IF($B43="","",SUM(JAN!E39,FEV!E39,MAR!E39,ABR!E39,MAI!E39,JUN!E39,JUL!E39,AGO!E39,SET!E39,OUT!E39,NOV!E39,DEZ!E39))</f>
        <v>1</v>
      </c>
      <c r="I43" s="20">
        <f t="shared" ca="1" si="3"/>
        <v>0</v>
      </c>
      <c r="J43" s="28" t="str">
        <f ca="1">IF($B43="","",IF(T(INDIRECT("'"&amp;$B$4&amp;"'!"&amp;ADDRESS(39,6+$F$4)))="","·",T(INDIRECT("'"&amp;$B$4&amp;"'!"&amp;ADDRESS(39,6+$F$4)))))</f>
        <v>·</v>
      </c>
      <c r="O43" s="64" t="str">
        <f t="array" aca="1" ref="O43" ca="1">IFERROR(INDEX(INDIRECT("'"&amp;$B$4&amp;"'!B6:B155"),_xlfn.AGGREGATE(15,6,(ROW(INDIRECT("6:155"))-5)/((INDIRECT("'"&amp;$B$4&amp;"'!"&amp;ADDRESS(6,6+$F$4)&amp;":"&amp;ADDRESS(155,6+$F$4)))="HE"),34)),"")</f>
        <v/>
      </c>
      <c r="P43" s="64" t="str">
        <f t="array" aca="1" ref="P43" ca="1">IFERROR(INDEX(INDIRECT("'"&amp;$B$4&amp;"'!B6:B155"),_xlfn.AGGREGATE(15,6,(ROW(INDIRECT("6:155"))-5)/((INDIRECT("'"&amp;$B$4&amp;"'!"&amp;ADDRESS(6,6+$F$4)&amp;":"&amp;ADDRESS(155,6+$F$4)))="FE"),34)),"")</f>
        <v/>
      </c>
    </row>
    <row r="44" spans="1:16" x14ac:dyDescent="0.25">
      <c r="A44" s="50">
        <f t="shared" ca="1" si="2"/>
        <v>35</v>
      </c>
      <c r="B44" s="78" t="str">
        <f ca="1">T(INDIRECT("'"&amp;$B$4&amp;"'!B40"))</f>
        <v>LUCAS PEREIRA 37002099</v>
      </c>
      <c r="C44" s="19">
        <f ca="1">IF($B44="","",N(INDIRECT("'"&amp;$B$4&amp;"'!C40")))</f>
        <v>0</v>
      </c>
      <c r="D44" s="19">
        <f ca="1">IF($B44="","",INDIRECT("'"&amp;$B$4&amp;"'!D40"))</f>
        <v>0</v>
      </c>
      <c r="E44" s="19">
        <f ca="1">IF($B44="","",INDIRECT("'"&amp;$B$4&amp;"'!E40"))</f>
        <v>0</v>
      </c>
      <c r="F44" s="19">
        <f ca="1">IF($B44="","",INDIRECT("'"&amp;$B$4&amp;"'!F40"))</f>
        <v>0</v>
      </c>
      <c r="G44" s="19">
        <f ca="1">IF($B44="","",N(JAN!C40)+N(FEV!C40)+N(MAR!C40)+N(ABR!C40)+N(MAI!C40)+N(JUN!C40)+N(JUL!C40)+N(AGO!C40)+N(SET!C40)+N(OUT!C40)+N(NOV!C40)+N(DEZ!C40))</f>
        <v>1</v>
      </c>
      <c r="H44" s="19">
        <f ca="1">IF($B44="","",SUM(JAN!E40,FEV!E40,MAR!E40,ABR!E40,MAI!E40,JUN!E40,JUL!E40,AGO!E40,SET!E40,OUT!E40,NOV!E40,DEZ!E40))</f>
        <v>1</v>
      </c>
      <c r="I44" s="19">
        <f t="shared" ca="1" si="3"/>
        <v>0</v>
      </c>
      <c r="J44" s="28" t="str">
        <f ca="1">IF($B44="","",IF(T(INDIRECT("'"&amp;$B$4&amp;"'!"&amp;ADDRESS(40,6+$F$4)))="","·",T(INDIRECT("'"&amp;$B$4&amp;"'!"&amp;ADDRESS(40,6+$F$4)))))</f>
        <v>·</v>
      </c>
      <c r="O44" s="64" t="str">
        <f t="array" aca="1" ref="O44" ca="1">IFERROR(INDEX(INDIRECT("'"&amp;$B$4&amp;"'!B6:B155"),_xlfn.AGGREGATE(15,6,(ROW(INDIRECT("6:155"))-5)/((INDIRECT("'"&amp;$B$4&amp;"'!"&amp;ADDRESS(6,6+$F$4)&amp;":"&amp;ADDRESS(155,6+$F$4)))="HE"),35)),"")</f>
        <v/>
      </c>
      <c r="P44" s="64" t="str">
        <f t="array" aca="1" ref="P44" ca="1">IFERROR(INDEX(INDIRECT("'"&amp;$B$4&amp;"'!B6:B155"),_xlfn.AGGREGATE(15,6,(ROW(INDIRECT("6:155"))-5)/((INDIRECT("'"&amp;$B$4&amp;"'!"&amp;ADDRESS(6,6+$F$4)&amp;":"&amp;ADDRESS(155,6+$F$4)))="FE"),35)),"")</f>
        <v/>
      </c>
    </row>
    <row r="45" spans="1:16" x14ac:dyDescent="0.25">
      <c r="A45" s="51">
        <f t="shared" ca="1" si="2"/>
        <v>36</v>
      </c>
      <c r="B45" s="78" t="str">
        <f ca="1">T(INDIRECT("'"&amp;$B$4&amp;"'!B41"))</f>
        <v>LUCIANO GROSS 37002144</v>
      </c>
      <c r="C45" s="20">
        <f ca="1">IF($B45="","",N(INDIRECT("'"&amp;$B$4&amp;"'!C41")))</f>
        <v>0</v>
      </c>
      <c r="D45" s="20">
        <f ca="1">IF($B45="","",INDIRECT("'"&amp;$B$4&amp;"'!D41"))</f>
        <v>0</v>
      </c>
      <c r="E45" s="20">
        <f ca="1">IF($B45="","",INDIRECT("'"&amp;$B$4&amp;"'!E41"))</f>
        <v>0</v>
      </c>
      <c r="F45" s="20">
        <f ca="1">IF($B45="","",INDIRECT("'"&amp;$B$4&amp;"'!F41"))</f>
        <v>0</v>
      </c>
      <c r="G45" s="20">
        <f ca="1">IF($B45="","",N(JAN!C41)+N(FEV!C41)+N(MAR!C41)+N(ABR!C41)+N(MAI!C41)+N(JUN!C41)+N(JUL!C41)+N(AGO!C41)+N(SET!C41)+N(OUT!C41)+N(NOV!C41)+N(DEZ!C41))</f>
        <v>0</v>
      </c>
      <c r="H45" s="20">
        <f ca="1">IF($B45="","",SUM(JAN!E41,FEV!E41,MAR!E41,ABR!E41,MAI!E41,JUN!E41,JUL!E41,AGO!E41,SET!E41,OUT!E41,NOV!E41,DEZ!E41))</f>
        <v>0</v>
      </c>
      <c r="I45" s="20">
        <f t="shared" ca="1" si="3"/>
        <v>0</v>
      </c>
      <c r="J45" s="28" t="str">
        <f ca="1">IF($B45="","",IF(T(INDIRECT("'"&amp;$B$4&amp;"'!"&amp;ADDRESS(41,6+$F$4)))="","·",T(INDIRECT("'"&amp;$B$4&amp;"'!"&amp;ADDRESS(41,6+$F$4)))))</f>
        <v>·</v>
      </c>
      <c r="O45" s="64" t="str">
        <f t="array" aca="1" ref="O45" ca="1">IFERROR(INDEX(INDIRECT("'"&amp;$B$4&amp;"'!B6:B155"),_xlfn.AGGREGATE(15,6,(ROW(INDIRECT("6:155"))-5)/((INDIRECT("'"&amp;$B$4&amp;"'!"&amp;ADDRESS(6,6+$F$4)&amp;":"&amp;ADDRESS(155,6+$F$4)))="HE"),36)),"")</f>
        <v/>
      </c>
      <c r="P45" s="64" t="str">
        <f t="array" aca="1" ref="P45" ca="1">IFERROR(INDEX(INDIRECT("'"&amp;$B$4&amp;"'!B6:B155"),_xlfn.AGGREGATE(15,6,(ROW(INDIRECT("6:155"))-5)/((INDIRECT("'"&amp;$B$4&amp;"'!"&amp;ADDRESS(6,6+$F$4)&amp;":"&amp;ADDRESS(155,6+$F$4)))="FE"),36)),"")</f>
        <v/>
      </c>
    </row>
    <row r="46" spans="1:16" x14ac:dyDescent="0.25">
      <c r="A46" s="50">
        <f t="shared" ca="1" si="2"/>
        <v>37</v>
      </c>
      <c r="B46" s="78" t="str">
        <f ca="1">T(INDIRECT("'"&amp;$B$4&amp;"'!B42"))</f>
        <v>UILIAN NOGUEIRA 483101</v>
      </c>
      <c r="C46" s="19">
        <f ca="1">IF($B46="","",N(INDIRECT("'"&amp;$B$4&amp;"'!C42")))</f>
        <v>0</v>
      </c>
      <c r="D46" s="19">
        <f ca="1">IF($B46="","",INDIRECT("'"&amp;$B$4&amp;"'!D42"))</f>
        <v>0</v>
      </c>
      <c r="E46" s="19">
        <f ca="1">IF($B46="","",INDIRECT("'"&amp;$B$4&amp;"'!E42"))</f>
        <v>0</v>
      </c>
      <c r="F46" s="19">
        <f ca="1">IF($B46="","",INDIRECT("'"&amp;$B$4&amp;"'!F42"))</f>
        <v>0</v>
      </c>
      <c r="G46" s="19">
        <f ca="1">IF($B46="","",N(JAN!C42)+N(FEV!C42)+N(MAR!C42)+N(ABR!C42)+N(MAI!C42)+N(JUN!C42)+N(JUL!C42)+N(AGO!C42)+N(SET!C42)+N(OUT!C42)+N(NOV!C42)+N(DEZ!C42))</f>
        <v>0</v>
      </c>
      <c r="H46" s="19">
        <f ca="1">IF($B46="","",SUM(JAN!E42,FEV!E42,MAR!E42,ABR!E42,MAI!E42,JUN!E42,JUL!E42,AGO!E42,SET!E42,OUT!E42,NOV!E42,DEZ!E42))</f>
        <v>0</v>
      </c>
      <c r="I46" s="19">
        <f t="shared" ca="1" si="3"/>
        <v>0</v>
      </c>
      <c r="J46" s="28" t="str">
        <f ca="1">IF($B46="","",IF(T(INDIRECT("'"&amp;$B$4&amp;"'!"&amp;ADDRESS(42,6+$F$4)))="","·",T(INDIRECT("'"&amp;$B$4&amp;"'!"&amp;ADDRESS(42,6+$F$4)))))</f>
        <v>·</v>
      </c>
      <c r="O46" s="64" t="str">
        <f t="array" aca="1" ref="O46" ca="1">IFERROR(INDEX(INDIRECT("'"&amp;$B$4&amp;"'!B6:B155"),_xlfn.AGGREGATE(15,6,(ROW(INDIRECT("6:155"))-5)/((INDIRECT("'"&amp;$B$4&amp;"'!"&amp;ADDRESS(6,6+$F$4)&amp;":"&amp;ADDRESS(155,6+$F$4)))="HE"),37)),"")</f>
        <v/>
      </c>
      <c r="P46" s="64" t="str">
        <f t="array" aca="1" ref="P46" ca="1">IFERROR(INDEX(INDIRECT("'"&amp;$B$4&amp;"'!B6:B155"),_xlfn.AGGREGATE(15,6,(ROW(INDIRECT("6:155"))-5)/((INDIRECT("'"&amp;$B$4&amp;"'!"&amp;ADDRESS(6,6+$F$4)&amp;":"&amp;ADDRESS(155,6+$F$4)))="FE"),37)),"")</f>
        <v/>
      </c>
    </row>
    <row r="47" spans="1:16" x14ac:dyDescent="0.25">
      <c r="A47" s="51">
        <f t="shared" ca="1" si="2"/>
        <v>38</v>
      </c>
      <c r="B47" s="78" t="str">
        <f ca="1">T(INDIRECT("'"&amp;$B$4&amp;"'!B43"))</f>
        <v>PATRICK OLIVEIRA 361601</v>
      </c>
      <c r="C47" s="20">
        <f ca="1">IF($B47="","",N(INDIRECT("'"&amp;$B$4&amp;"'!C43")))</f>
        <v>0</v>
      </c>
      <c r="D47" s="20">
        <f ca="1">IF($B47="","",INDIRECT("'"&amp;$B$4&amp;"'!D43"))</f>
        <v>0</v>
      </c>
      <c r="E47" s="20">
        <f ca="1">IF($B47="","",INDIRECT("'"&amp;$B$4&amp;"'!E43"))</f>
        <v>0</v>
      </c>
      <c r="F47" s="20">
        <f ca="1">IF($B47="","",INDIRECT("'"&amp;$B$4&amp;"'!F43"))</f>
        <v>0</v>
      </c>
      <c r="G47" s="20">
        <f ca="1">IF($B47="","",N(JAN!C43)+N(FEV!C43)+N(MAR!C43)+N(ABR!C43)+N(MAI!C43)+N(JUN!C43)+N(JUL!C43)+N(AGO!C43)+N(SET!C43)+N(OUT!C43)+N(NOV!C43)+N(DEZ!C43))</f>
        <v>1</v>
      </c>
      <c r="H47" s="20">
        <f ca="1">IF($B47="","",SUM(JAN!E43,FEV!E43,MAR!E43,ABR!E43,MAI!E43,JUN!E43,JUL!E43,AGO!E43,SET!E43,OUT!E43,NOV!E43,DEZ!E43))</f>
        <v>2</v>
      </c>
      <c r="I47" s="20">
        <f t="shared" ca="1" si="3"/>
        <v>-1</v>
      </c>
      <c r="J47" s="28" t="str">
        <f ca="1">IF($B47="","",IF(T(INDIRECT("'"&amp;$B$4&amp;"'!"&amp;ADDRESS(43,6+$F$4)))="","·",T(INDIRECT("'"&amp;$B$4&amp;"'!"&amp;ADDRESS(43,6+$F$4)))))</f>
        <v>·</v>
      </c>
      <c r="O47" s="64" t="str">
        <f t="array" aca="1" ref="O47" ca="1">IFERROR(INDEX(INDIRECT("'"&amp;$B$4&amp;"'!B6:B155"),_xlfn.AGGREGATE(15,6,(ROW(INDIRECT("6:155"))-5)/((INDIRECT("'"&amp;$B$4&amp;"'!"&amp;ADDRESS(6,6+$F$4)&amp;":"&amp;ADDRESS(155,6+$F$4)))="HE"),38)),"")</f>
        <v/>
      </c>
      <c r="P47" s="64" t="str">
        <f t="array" aca="1" ref="P47" ca="1">IFERROR(INDEX(INDIRECT("'"&amp;$B$4&amp;"'!B6:B155"),_xlfn.AGGREGATE(15,6,(ROW(INDIRECT("6:155"))-5)/((INDIRECT("'"&amp;$B$4&amp;"'!"&amp;ADDRESS(6,6+$F$4)&amp;":"&amp;ADDRESS(155,6+$F$4)))="FE"),38)),"")</f>
        <v/>
      </c>
    </row>
    <row r="48" spans="1:16" x14ac:dyDescent="0.25">
      <c r="A48" s="50">
        <f t="shared" ca="1" si="2"/>
        <v>39</v>
      </c>
      <c r="B48" s="78" t="str">
        <f ca="1">T(INDIRECT("'"&amp;$B$4&amp;"'!B44"))</f>
        <v>DAVI FARIAS 141501</v>
      </c>
      <c r="C48" s="19">
        <f ca="1">IF($B48="","",N(INDIRECT("'"&amp;$B$4&amp;"'!C44")))</f>
        <v>1</v>
      </c>
      <c r="D48" s="19">
        <f ca="1">IF($B48="","",INDIRECT("'"&amp;$B$4&amp;"'!D44"))</f>
        <v>0</v>
      </c>
      <c r="E48" s="19">
        <f ca="1">IF($B48="","",INDIRECT("'"&amp;$B$4&amp;"'!E44"))</f>
        <v>0</v>
      </c>
      <c r="F48" s="19">
        <f ca="1">IF($B48="","",INDIRECT("'"&amp;$B$4&amp;"'!F44"))</f>
        <v>1</v>
      </c>
      <c r="G48" s="19">
        <f ca="1">IF($B48="","",N(JAN!C44)+N(FEV!C44)+N(MAR!C44)+N(ABR!C44)+N(MAI!C44)+N(JUN!C44)+N(JUL!C44)+N(AGO!C44)+N(SET!C44)+N(OUT!C44)+N(NOV!C44)+N(DEZ!C44))</f>
        <v>3</v>
      </c>
      <c r="H48" s="19">
        <f ca="1">IF($B48="","",SUM(JAN!E44,FEV!E44,MAR!E44,ABR!E44,MAI!E44,JUN!E44,JUL!E44,AGO!E44,SET!E44,OUT!E44,NOV!E44,DEZ!E44))</f>
        <v>0</v>
      </c>
      <c r="I48" s="19">
        <f t="shared" ca="1" si="3"/>
        <v>3</v>
      </c>
      <c r="J48" s="28" t="str">
        <f ca="1">IF($B48="","",IF(T(INDIRECT("'"&amp;$B$4&amp;"'!"&amp;ADDRESS(44,6+$F$4)))="","·",T(INDIRECT("'"&amp;$B$4&amp;"'!"&amp;ADDRESS(44,6+$F$4)))))</f>
        <v>HE</v>
      </c>
      <c r="O48" s="64" t="str">
        <f t="array" aca="1" ref="O48" ca="1">IFERROR(INDEX(INDIRECT("'"&amp;$B$4&amp;"'!B6:B155"),_xlfn.AGGREGATE(15,6,(ROW(INDIRECT("6:155"))-5)/((INDIRECT("'"&amp;$B$4&amp;"'!"&amp;ADDRESS(6,6+$F$4)&amp;":"&amp;ADDRESS(155,6+$F$4)))="HE"),39)),"")</f>
        <v/>
      </c>
      <c r="P48" s="64" t="str">
        <f t="array" aca="1" ref="P48" ca="1">IFERROR(INDEX(INDIRECT("'"&amp;$B$4&amp;"'!B6:B155"),_xlfn.AGGREGATE(15,6,(ROW(INDIRECT("6:155"))-5)/((INDIRECT("'"&amp;$B$4&amp;"'!"&amp;ADDRESS(6,6+$F$4)&amp;":"&amp;ADDRESS(155,6+$F$4)))="FE"),39)),"")</f>
        <v/>
      </c>
    </row>
    <row r="49" spans="1:16" x14ac:dyDescent="0.25">
      <c r="A49" s="51">
        <f t="shared" ca="1" si="2"/>
        <v>40</v>
      </c>
      <c r="B49" s="78" t="str">
        <f ca="1">T(INDIRECT("'"&amp;$B$4&amp;"'!B45"))</f>
        <v>JEAN MARTINS 37002258</v>
      </c>
      <c r="C49" s="20">
        <f ca="1">IF($B49="","",N(INDIRECT("'"&amp;$B$4&amp;"'!C45")))</f>
        <v>0</v>
      </c>
      <c r="D49" s="20">
        <f ca="1">IF($B49="","",INDIRECT("'"&amp;$B$4&amp;"'!D45"))</f>
        <v>1</v>
      </c>
      <c r="E49" s="20">
        <f ca="1">IF($B49="","",INDIRECT("'"&amp;$B$4&amp;"'!E45"))</f>
        <v>0</v>
      </c>
      <c r="F49" s="20">
        <f ca="1">IF($B49="","",INDIRECT("'"&amp;$B$4&amp;"'!F45"))</f>
        <v>0</v>
      </c>
      <c r="G49" s="20">
        <f ca="1">IF($B49="","",N(JAN!C45)+N(FEV!C45)+N(MAR!C45)+N(ABR!C45)+N(MAI!C45)+N(JUN!C45)+N(JUL!C45)+N(AGO!C45)+N(SET!C45)+N(OUT!C45)+N(NOV!C45)+N(DEZ!C45))</f>
        <v>1</v>
      </c>
      <c r="H49" s="20">
        <f ca="1">IF($B49="","",SUM(JAN!E45,FEV!E45,MAR!E45,ABR!E45,MAI!E45,JUN!E45,JUL!E45,AGO!E45,SET!E45,OUT!E45,NOV!E45,DEZ!E45))</f>
        <v>1</v>
      </c>
      <c r="I49" s="20">
        <f t="shared" ca="1" si="3"/>
        <v>0</v>
      </c>
      <c r="J49" s="28" t="str">
        <f ca="1">IF($B49="","",IF(T(INDIRECT("'"&amp;$B$4&amp;"'!"&amp;ADDRESS(45,6+$F$4)))="","·",T(INDIRECT("'"&amp;$B$4&amp;"'!"&amp;ADDRESS(45,6+$F$4)))))</f>
        <v>·</v>
      </c>
      <c r="O49" s="64" t="str">
        <f t="array" aca="1" ref="O49" ca="1">IFERROR(INDEX(INDIRECT("'"&amp;$B$4&amp;"'!B6:B155"),_xlfn.AGGREGATE(15,6,(ROW(INDIRECT("6:155"))-5)/((INDIRECT("'"&amp;$B$4&amp;"'!"&amp;ADDRESS(6,6+$F$4)&amp;":"&amp;ADDRESS(155,6+$F$4)))="HE"),40)),"")</f>
        <v/>
      </c>
      <c r="P49" s="64" t="str">
        <f t="array" aca="1" ref="P49" ca="1">IFERROR(INDEX(INDIRECT("'"&amp;$B$4&amp;"'!B6:B155"),_xlfn.AGGREGATE(15,6,(ROW(INDIRECT("6:155"))-5)/((INDIRECT("'"&amp;$B$4&amp;"'!"&amp;ADDRESS(6,6+$F$4)&amp;":"&amp;ADDRESS(155,6+$F$4)))="FE"),40)),"")</f>
        <v/>
      </c>
    </row>
    <row r="50" spans="1:16" x14ac:dyDescent="0.25">
      <c r="A50" s="50">
        <f t="shared" ca="1" si="2"/>
        <v>41</v>
      </c>
      <c r="B50" s="78" t="str">
        <f ca="1">T(INDIRECT("'"&amp;$B$4&amp;"'!B46"))</f>
        <v>LORENZO LOPES 246601</v>
      </c>
      <c r="C50" s="19">
        <f ca="1">IF($B50="","",N(INDIRECT("'"&amp;$B$4&amp;"'!C46")))</f>
        <v>0</v>
      </c>
      <c r="D50" s="19">
        <f ca="1">IF($B50="","",INDIRECT("'"&amp;$B$4&amp;"'!D46"))</f>
        <v>1</v>
      </c>
      <c r="E50" s="19">
        <f ca="1">IF($B50="","",INDIRECT("'"&amp;$B$4&amp;"'!E46"))</f>
        <v>0</v>
      </c>
      <c r="F50" s="19">
        <f ca="1">IF($B50="","",INDIRECT("'"&amp;$B$4&amp;"'!F46"))</f>
        <v>0</v>
      </c>
      <c r="G50" s="19">
        <f ca="1">IF($B50="","",N(JAN!C46)+N(FEV!C46)+N(MAR!C46)+N(ABR!C46)+N(MAI!C46)+N(JUN!C46)+N(JUL!C46)+N(AGO!C46)+N(SET!C46)+N(OUT!C46)+N(NOV!C46)+N(DEZ!C46))</f>
        <v>0</v>
      </c>
      <c r="H50" s="19">
        <f ca="1">IF($B50="","",SUM(JAN!E46,FEV!E46,MAR!E46,ABR!E46,MAI!E46,JUN!E46,JUL!E46,AGO!E46,SET!E46,OUT!E46,NOV!E46,DEZ!E46))</f>
        <v>1</v>
      </c>
      <c r="I50" s="19">
        <f t="shared" ca="1" si="3"/>
        <v>-1</v>
      </c>
      <c r="J50" s="28" t="str">
        <f ca="1">IF($B50="","",IF(T(INDIRECT("'"&amp;$B$4&amp;"'!"&amp;ADDRESS(46,6+$F$4)))="","·",T(INDIRECT("'"&amp;$B$4&amp;"'!"&amp;ADDRESS(46,6+$F$4)))))</f>
        <v>·</v>
      </c>
      <c r="O50" s="64" t="str">
        <f t="array" aca="1" ref="O50" ca="1">IFERROR(INDEX(INDIRECT("'"&amp;$B$4&amp;"'!B6:B155"),_xlfn.AGGREGATE(15,6,(ROW(INDIRECT("6:155"))-5)/((INDIRECT("'"&amp;$B$4&amp;"'!"&amp;ADDRESS(6,6+$F$4)&amp;":"&amp;ADDRESS(155,6+$F$4)))="HE"),41)),"")</f>
        <v/>
      </c>
      <c r="P50" s="64" t="str">
        <f t="array" aca="1" ref="P50" ca="1">IFERROR(INDEX(INDIRECT("'"&amp;$B$4&amp;"'!B6:B155"),_xlfn.AGGREGATE(15,6,(ROW(INDIRECT("6:155"))-5)/((INDIRECT("'"&amp;$B$4&amp;"'!"&amp;ADDRESS(6,6+$F$4)&amp;":"&amp;ADDRESS(155,6+$F$4)))="FE"),41)),"")</f>
        <v/>
      </c>
    </row>
    <row r="51" spans="1:16" x14ac:dyDescent="0.25">
      <c r="A51" s="51">
        <f t="shared" ca="1" si="2"/>
        <v>42</v>
      </c>
      <c r="B51" s="78" t="str">
        <f ca="1">T(INDIRECT("'"&amp;$B$4&amp;"'!B47"))</f>
        <v>GERSON FALEIRO 317801</v>
      </c>
      <c r="C51" s="20">
        <f ca="1">IF($B51="","",N(INDIRECT("'"&amp;$B$4&amp;"'!C47")))</f>
        <v>1</v>
      </c>
      <c r="D51" s="20">
        <f ca="1">IF($B51="","",INDIRECT("'"&amp;$B$4&amp;"'!D47"))</f>
        <v>0</v>
      </c>
      <c r="E51" s="20">
        <f ca="1">IF($B51="","",INDIRECT("'"&amp;$B$4&amp;"'!E47"))</f>
        <v>1</v>
      </c>
      <c r="F51" s="20">
        <f ca="1">IF($B51="","",INDIRECT("'"&amp;$B$4&amp;"'!F47"))</f>
        <v>0</v>
      </c>
      <c r="G51" s="20">
        <f ca="1">IF($B51="","",N(JAN!C47)+N(FEV!C47)+N(MAR!C47)+N(ABR!C47)+N(MAI!C47)+N(JUN!C47)+N(JUL!C47)+N(AGO!C47)+N(SET!C47)+N(OUT!C47)+N(NOV!C47)+N(DEZ!C47))</f>
        <v>2</v>
      </c>
      <c r="H51" s="20">
        <f ca="1">IF($B51="","",SUM(JAN!E47,FEV!E47,MAR!E47,ABR!E47,MAI!E47,JUN!E47,JUL!E47,AGO!E47,SET!E47,OUT!E47,NOV!E47,DEZ!E47))</f>
        <v>2</v>
      </c>
      <c r="I51" s="20">
        <f t="shared" ca="1" si="3"/>
        <v>0</v>
      </c>
      <c r="J51" s="28" t="str">
        <f ca="1">IF($B51="","",IF(T(INDIRECT("'"&amp;$B$4&amp;"'!"&amp;ADDRESS(47,6+$F$4)))="","·",T(INDIRECT("'"&amp;$B$4&amp;"'!"&amp;ADDRESS(47,6+$F$4)))))</f>
        <v>HE</v>
      </c>
      <c r="O51" s="64" t="str">
        <f t="array" aca="1" ref="O51" ca="1">IFERROR(INDEX(INDIRECT("'"&amp;$B$4&amp;"'!B6:B155"),_xlfn.AGGREGATE(15,6,(ROW(INDIRECT("6:155"))-5)/((INDIRECT("'"&amp;$B$4&amp;"'!"&amp;ADDRESS(6,6+$F$4)&amp;":"&amp;ADDRESS(155,6+$F$4)))="HE"),42)),"")</f>
        <v/>
      </c>
      <c r="P51" s="64" t="str">
        <f t="array" aca="1" ref="P51" ca="1">IFERROR(INDEX(INDIRECT("'"&amp;$B$4&amp;"'!B6:B155"),_xlfn.AGGREGATE(15,6,(ROW(INDIRECT("6:155"))-5)/((INDIRECT("'"&amp;$B$4&amp;"'!"&amp;ADDRESS(6,6+$F$4)&amp;":"&amp;ADDRESS(155,6+$F$4)))="FE"),42)),"")</f>
        <v/>
      </c>
    </row>
    <row r="52" spans="1:16" x14ac:dyDescent="0.25">
      <c r="A52" s="50">
        <f t="shared" ca="1" si="2"/>
        <v>43</v>
      </c>
      <c r="B52" s="78" t="str">
        <f ca="1">T(INDIRECT("'"&amp;$B$4&amp;"'!B48"))</f>
        <v>EDENIR TRINDADE 389401</v>
      </c>
      <c r="C52" s="19">
        <f ca="1">IF($B52="","",N(INDIRECT("'"&amp;$B$4&amp;"'!C48")))</f>
        <v>0</v>
      </c>
      <c r="D52" s="19">
        <f ca="1">IF($B52="","",INDIRECT("'"&amp;$B$4&amp;"'!D48"))</f>
        <v>0</v>
      </c>
      <c r="E52" s="19">
        <f ca="1">IF($B52="","",INDIRECT("'"&amp;$B$4&amp;"'!E48"))</f>
        <v>1</v>
      </c>
      <c r="F52" s="19">
        <f ca="1">IF($B52="","",INDIRECT("'"&amp;$B$4&amp;"'!F48"))</f>
        <v>-1</v>
      </c>
      <c r="G52" s="19">
        <f ca="1">IF($B52="","",N(JAN!C48)+N(FEV!C48)+N(MAR!C48)+N(ABR!C48)+N(MAI!C48)+N(JUN!C48)+N(JUL!C48)+N(AGO!C48)+N(SET!C48)+N(OUT!C48)+N(NOV!C48)+N(DEZ!C48))</f>
        <v>3</v>
      </c>
      <c r="H52" s="19">
        <f ca="1">IF($B52="","",SUM(JAN!E48,FEV!E48,MAR!E48,ABR!E48,MAI!E48,JUN!E48,JUL!E48,AGO!E48,SET!E48,OUT!E48,NOV!E48,DEZ!E48))</f>
        <v>3</v>
      </c>
      <c r="I52" s="19">
        <f t="shared" ca="1" si="3"/>
        <v>0</v>
      </c>
      <c r="J52" s="28" t="str">
        <f ca="1">IF($B52="","",IF(T(INDIRECT("'"&amp;$B$4&amp;"'!"&amp;ADDRESS(48,6+$F$4)))="","·",T(INDIRECT("'"&amp;$B$4&amp;"'!"&amp;ADDRESS(48,6+$F$4)))))</f>
        <v>·</v>
      </c>
      <c r="O52" s="64" t="str">
        <f t="array" aca="1" ref="O52" ca="1">IFERROR(INDEX(INDIRECT("'"&amp;$B$4&amp;"'!B6:B155"),_xlfn.AGGREGATE(15,6,(ROW(INDIRECT("6:155"))-5)/((INDIRECT("'"&amp;$B$4&amp;"'!"&amp;ADDRESS(6,6+$F$4)&amp;":"&amp;ADDRESS(155,6+$F$4)))="HE"),43)),"")</f>
        <v/>
      </c>
      <c r="P52" s="64" t="str">
        <f t="array" aca="1" ref="P52" ca="1">IFERROR(INDEX(INDIRECT("'"&amp;$B$4&amp;"'!B6:B155"),_xlfn.AGGREGATE(15,6,(ROW(INDIRECT("6:155"))-5)/((INDIRECT("'"&amp;$B$4&amp;"'!"&amp;ADDRESS(6,6+$F$4)&amp;":"&amp;ADDRESS(155,6+$F$4)))="FE"),43)),"")</f>
        <v/>
      </c>
    </row>
    <row r="53" spans="1:16" x14ac:dyDescent="0.25">
      <c r="A53" s="51">
        <f t="shared" ca="1" si="2"/>
        <v>44</v>
      </c>
      <c r="B53" s="78" t="str">
        <f ca="1">T(INDIRECT("'"&amp;$B$4&amp;"'!B49"))</f>
        <v>VACIR PINTO 185201</v>
      </c>
      <c r="C53" s="20">
        <f ca="1">IF($B53="","",N(INDIRECT("'"&amp;$B$4&amp;"'!C49")))</f>
        <v>0</v>
      </c>
      <c r="D53" s="20">
        <f ca="1">IF($B53="","",INDIRECT("'"&amp;$B$4&amp;"'!D49"))</f>
        <v>0</v>
      </c>
      <c r="E53" s="20">
        <f ca="1">IF($B53="","",INDIRECT("'"&amp;$B$4&amp;"'!E49"))</f>
        <v>0</v>
      </c>
      <c r="F53" s="20">
        <f ca="1">IF($B53="","",INDIRECT("'"&amp;$B$4&amp;"'!F49"))</f>
        <v>0</v>
      </c>
      <c r="G53" s="20">
        <f ca="1">IF($B53="","",N(JAN!C49)+N(FEV!C49)+N(MAR!C49)+N(ABR!C49)+N(MAI!C49)+N(JUN!C49)+N(JUL!C49)+N(AGO!C49)+N(SET!C49)+N(OUT!C49)+N(NOV!C49)+N(DEZ!C49))</f>
        <v>0</v>
      </c>
      <c r="H53" s="20">
        <f ca="1">IF($B53="","",SUM(JAN!E49,FEV!E49,MAR!E49,ABR!E49,MAI!E49,JUN!E49,JUL!E49,AGO!E49,SET!E49,OUT!E49,NOV!E49,DEZ!E49))</f>
        <v>0</v>
      </c>
      <c r="I53" s="20">
        <f t="shared" ca="1" si="3"/>
        <v>0</v>
      </c>
      <c r="J53" s="28" t="str">
        <f ca="1">IF($B53="","",IF(T(INDIRECT("'"&amp;$B$4&amp;"'!"&amp;ADDRESS(49,6+$F$4)))="","·",T(INDIRECT("'"&amp;$B$4&amp;"'!"&amp;ADDRESS(49,6+$F$4)))))</f>
        <v>·</v>
      </c>
      <c r="O53" s="64" t="str">
        <f t="array" aca="1" ref="O53" ca="1">IFERROR(INDEX(INDIRECT("'"&amp;$B$4&amp;"'!B6:B155"),_xlfn.AGGREGATE(15,6,(ROW(INDIRECT("6:155"))-5)/((INDIRECT("'"&amp;$B$4&amp;"'!"&amp;ADDRESS(6,6+$F$4)&amp;":"&amp;ADDRESS(155,6+$F$4)))="HE"),44)),"")</f>
        <v/>
      </c>
      <c r="P53" s="64" t="str">
        <f t="array" aca="1" ref="P53" ca="1">IFERROR(INDEX(INDIRECT("'"&amp;$B$4&amp;"'!B6:B155"),_xlfn.AGGREGATE(15,6,(ROW(INDIRECT("6:155"))-5)/((INDIRECT("'"&amp;$B$4&amp;"'!"&amp;ADDRESS(6,6+$F$4)&amp;":"&amp;ADDRESS(155,6+$F$4)))="FE"),44)),"")</f>
        <v/>
      </c>
    </row>
    <row r="54" spans="1:16" x14ac:dyDescent="0.25">
      <c r="A54" s="50">
        <f t="shared" ca="1" si="2"/>
        <v>45</v>
      </c>
      <c r="B54" s="78" t="str">
        <f ca="1">T(INDIRECT("'"&amp;$B$4&amp;"'!B50"))</f>
        <v>DIEGO BOEIRA 125801</v>
      </c>
      <c r="C54" s="19">
        <f ca="1">IF($B54="","",N(INDIRECT("'"&amp;$B$4&amp;"'!C50")))</f>
        <v>0</v>
      </c>
      <c r="D54" s="19">
        <f ca="1">IF($B54="","",INDIRECT("'"&amp;$B$4&amp;"'!D50"))</f>
        <v>0</v>
      </c>
      <c r="E54" s="19">
        <f ca="1">IF($B54="","",INDIRECT("'"&amp;$B$4&amp;"'!E50"))</f>
        <v>0</v>
      </c>
      <c r="F54" s="19">
        <f ca="1">IF($B54="","",INDIRECT("'"&amp;$B$4&amp;"'!F50"))</f>
        <v>0</v>
      </c>
      <c r="G54" s="19">
        <f ca="1">IF($B54="","",N(JAN!C50)+N(FEV!C50)+N(MAR!C50)+N(ABR!C50)+N(MAI!C50)+N(JUN!C50)+N(JUL!C50)+N(AGO!C50)+N(SET!C50)+N(OUT!C50)+N(NOV!C50)+N(DEZ!C50))</f>
        <v>2</v>
      </c>
      <c r="H54" s="19">
        <f ca="1">IF($B54="","",SUM(JAN!E50,FEV!E50,MAR!E50,ABR!E50,MAI!E50,JUN!E50,JUL!E50,AGO!E50,SET!E50,OUT!E50,NOV!E50,DEZ!E50))</f>
        <v>3</v>
      </c>
      <c r="I54" s="19">
        <f t="shared" ca="1" si="3"/>
        <v>-1</v>
      </c>
      <c r="J54" s="28" t="str">
        <f ca="1">IF($B54="","",IF(T(INDIRECT("'"&amp;$B$4&amp;"'!"&amp;ADDRESS(50,6+$F$4)))="","·",T(INDIRECT("'"&amp;$B$4&amp;"'!"&amp;ADDRESS(50,6+$F$4)))))</f>
        <v>·</v>
      </c>
      <c r="O54" s="64" t="str">
        <f t="array" aca="1" ref="O54" ca="1">IFERROR(INDEX(INDIRECT("'"&amp;$B$4&amp;"'!B6:B155"),_xlfn.AGGREGATE(15,6,(ROW(INDIRECT("6:155"))-5)/((INDIRECT("'"&amp;$B$4&amp;"'!"&amp;ADDRESS(6,6+$F$4)&amp;":"&amp;ADDRESS(155,6+$F$4)))="HE"),45)),"")</f>
        <v/>
      </c>
      <c r="P54" s="64" t="str">
        <f t="array" aca="1" ref="P54" ca="1">IFERROR(INDEX(INDIRECT("'"&amp;$B$4&amp;"'!B6:B155"),_xlfn.AGGREGATE(15,6,(ROW(INDIRECT("6:155"))-5)/((INDIRECT("'"&amp;$B$4&amp;"'!"&amp;ADDRESS(6,6+$F$4)&amp;":"&amp;ADDRESS(155,6+$F$4)))="FE"),45)),"")</f>
        <v/>
      </c>
    </row>
    <row r="55" spans="1:16" x14ac:dyDescent="0.25">
      <c r="A55" s="51">
        <f t="shared" ca="1" si="2"/>
        <v>46</v>
      </c>
      <c r="B55" s="78" t="str">
        <f ca="1">T(INDIRECT("'"&amp;$B$4&amp;"'!B51"))</f>
        <v>STEFAN KOVALICK 310001</v>
      </c>
      <c r="C55" s="20">
        <f ca="1">IF($B55="","",N(INDIRECT("'"&amp;$B$4&amp;"'!C51")))</f>
        <v>1</v>
      </c>
      <c r="D55" s="20">
        <f ca="1">IF($B55="","",INDIRECT("'"&amp;$B$4&amp;"'!D51"))</f>
        <v>0</v>
      </c>
      <c r="E55" s="20">
        <f ca="1">IF($B55="","",INDIRECT("'"&amp;$B$4&amp;"'!E51"))</f>
        <v>1</v>
      </c>
      <c r="F55" s="20">
        <f ca="1">IF($B55="","",INDIRECT("'"&amp;$B$4&amp;"'!F51"))</f>
        <v>0</v>
      </c>
      <c r="G55" s="20">
        <f ca="1">IF($B55="","",N(JAN!C51)+N(FEV!C51)+N(MAR!C51)+N(ABR!C51)+N(MAI!C51)+N(JUN!C51)+N(JUL!C51)+N(AGO!C51)+N(SET!C51)+N(OUT!C51)+N(NOV!C51)+N(DEZ!C51))</f>
        <v>5</v>
      </c>
      <c r="H55" s="20">
        <f ca="1">IF($B55="","",SUM(JAN!E51,FEV!E51,MAR!E51,ABR!E51,MAI!E51,JUN!E51,JUL!E51,AGO!E51,SET!E51,OUT!E51,NOV!E51,DEZ!E51))</f>
        <v>5</v>
      </c>
      <c r="I55" s="20">
        <f t="shared" ca="1" si="3"/>
        <v>0</v>
      </c>
      <c r="J55" s="28" t="str">
        <f ca="1">IF($B55="","",IF(T(INDIRECT("'"&amp;$B$4&amp;"'!"&amp;ADDRESS(51,6+$F$4)))="","·",T(INDIRECT("'"&amp;$B$4&amp;"'!"&amp;ADDRESS(51,6+$F$4)))))</f>
        <v>·</v>
      </c>
      <c r="O55" s="64" t="str">
        <f t="array" aca="1" ref="O55" ca="1">IFERROR(INDEX(INDIRECT("'"&amp;$B$4&amp;"'!B6:B155"),_xlfn.AGGREGATE(15,6,(ROW(INDIRECT("6:155"))-5)/((INDIRECT("'"&amp;$B$4&amp;"'!"&amp;ADDRESS(6,6+$F$4)&amp;":"&amp;ADDRESS(155,6+$F$4)))="HE"),46)),"")</f>
        <v/>
      </c>
      <c r="P55" s="64" t="str">
        <f t="array" aca="1" ref="P55" ca="1">IFERROR(INDEX(INDIRECT("'"&amp;$B$4&amp;"'!B6:B155"),_xlfn.AGGREGATE(15,6,(ROW(INDIRECT("6:155"))-5)/((INDIRECT("'"&amp;$B$4&amp;"'!"&amp;ADDRESS(6,6+$F$4)&amp;":"&amp;ADDRESS(155,6+$F$4)))="FE"),46)),"")</f>
        <v/>
      </c>
    </row>
    <row r="56" spans="1:16" x14ac:dyDescent="0.25">
      <c r="A56" s="50">
        <f t="shared" ca="1" si="2"/>
        <v>47</v>
      </c>
      <c r="B56" s="78" t="str">
        <f ca="1">T(INDIRECT("'"&amp;$B$4&amp;"'!B52"))</f>
        <v>JEFERSON SCHENA 309901</v>
      </c>
      <c r="C56" s="19">
        <f ca="1">IF($B56="","",N(INDIRECT("'"&amp;$B$4&amp;"'!C52")))</f>
        <v>1</v>
      </c>
      <c r="D56" s="19">
        <f ca="1">IF($B56="","",INDIRECT("'"&amp;$B$4&amp;"'!D52"))</f>
        <v>0</v>
      </c>
      <c r="E56" s="19">
        <f ca="1">IF($B56="","",INDIRECT("'"&amp;$B$4&amp;"'!E52"))</f>
        <v>1</v>
      </c>
      <c r="F56" s="19">
        <f ca="1">IF($B56="","",INDIRECT("'"&amp;$B$4&amp;"'!F52"))</f>
        <v>0</v>
      </c>
      <c r="G56" s="19">
        <f ca="1">IF($B56="","",N(JAN!C52)+N(FEV!C52)+N(MAR!C52)+N(ABR!C52)+N(MAI!C52)+N(JUN!C52)+N(JUL!C52)+N(AGO!C52)+N(SET!C52)+N(OUT!C52)+N(NOV!C52)+N(DEZ!C52))</f>
        <v>1</v>
      </c>
      <c r="H56" s="19">
        <f ca="1">IF($B56="","",SUM(JAN!E52,FEV!E52,MAR!E52,ABR!E52,MAI!E52,JUN!E52,JUL!E52,AGO!E52,SET!E52,OUT!E52,NOV!E52,DEZ!E52))</f>
        <v>2</v>
      </c>
      <c r="I56" s="19">
        <f t="shared" ca="1" si="3"/>
        <v>-1</v>
      </c>
      <c r="J56" s="28" t="str">
        <f ca="1">IF($B56="","",IF(T(INDIRECT("'"&amp;$B$4&amp;"'!"&amp;ADDRESS(52,6+$F$4)))="","·",T(INDIRECT("'"&amp;$B$4&amp;"'!"&amp;ADDRESS(52,6+$F$4)))))</f>
        <v>HE</v>
      </c>
      <c r="O56" s="64" t="str">
        <f t="array" aca="1" ref="O56" ca="1">IFERROR(INDEX(INDIRECT("'"&amp;$B$4&amp;"'!B6:B155"),_xlfn.AGGREGATE(15,6,(ROW(INDIRECT("6:155"))-5)/((INDIRECT("'"&amp;$B$4&amp;"'!"&amp;ADDRESS(6,6+$F$4)&amp;":"&amp;ADDRESS(155,6+$F$4)))="HE"),47)),"")</f>
        <v/>
      </c>
      <c r="P56" s="64" t="str">
        <f t="array" aca="1" ref="P56" ca="1">IFERROR(INDEX(INDIRECT("'"&amp;$B$4&amp;"'!B6:B155"),_xlfn.AGGREGATE(15,6,(ROW(INDIRECT("6:155"))-5)/((INDIRECT("'"&amp;$B$4&amp;"'!"&amp;ADDRESS(6,6+$F$4)&amp;":"&amp;ADDRESS(155,6+$F$4)))="FE"),47)),"")</f>
        <v/>
      </c>
    </row>
    <row r="57" spans="1:16" x14ac:dyDescent="0.25">
      <c r="A57" s="51">
        <f t="shared" ca="1" si="2"/>
        <v>48</v>
      </c>
      <c r="B57" s="79" t="str">
        <f ca="1">T(INDIRECT("'"&amp;$B$4&amp;"'!B53"))</f>
        <v>ALEXANDRE ARAUJO 346001</v>
      </c>
      <c r="C57" s="20">
        <f ca="1">IF($B57="","",N(INDIRECT("'"&amp;$B$4&amp;"'!C53")))</f>
        <v>0</v>
      </c>
      <c r="D57" s="20">
        <f ca="1">IF($B57="","",INDIRECT("'"&amp;$B$4&amp;"'!D53"))</f>
        <v>0</v>
      </c>
      <c r="E57" s="20">
        <f ca="1">IF($B57="","",INDIRECT("'"&amp;$B$4&amp;"'!E53"))</f>
        <v>0</v>
      </c>
      <c r="F57" s="20">
        <f ca="1">IF($B57="","",INDIRECT("'"&amp;$B$4&amp;"'!F53"))</f>
        <v>0</v>
      </c>
      <c r="G57" s="20">
        <v>2</v>
      </c>
      <c r="H57" s="20">
        <f ca="1">IF($B57="","",SUM(JAN!E53,FEV!E53,MAR!E53,ABR!E53,MAI!E53,JUN!E53,JUL!E53,AGO!E53,SET!E53,OUT!E53,NOV!E53,DEZ!E53))</f>
        <v>1</v>
      </c>
      <c r="I57" s="20">
        <f t="shared" ca="1" si="3"/>
        <v>1</v>
      </c>
      <c r="J57" s="28" t="str">
        <f ca="1">IF($B57="","",IF(T(INDIRECT("'"&amp;$B$4&amp;"'!"&amp;ADDRESS(53,6+$F$4)))="","·",T(INDIRECT("'"&amp;$B$4&amp;"'!"&amp;ADDRESS(53,6+$F$4)))))</f>
        <v>·</v>
      </c>
      <c r="O57" s="64" t="str">
        <f t="array" aca="1" ref="O57" ca="1">IFERROR(INDEX(INDIRECT("'"&amp;$B$4&amp;"'!B6:B155"),_xlfn.AGGREGATE(15,6,(ROW(INDIRECT("6:155"))-5)/((INDIRECT("'"&amp;$B$4&amp;"'!"&amp;ADDRESS(6,6+$F$4)&amp;":"&amp;ADDRESS(155,6+$F$4)))="HE"),48)),"")</f>
        <v/>
      </c>
      <c r="P57" s="64" t="str">
        <f t="array" aca="1" ref="P57" ca="1">IFERROR(INDEX(INDIRECT("'"&amp;$B$4&amp;"'!B6:B155"),_xlfn.AGGREGATE(15,6,(ROW(INDIRECT("6:155"))-5)/((INDIRECT("'"&amp;$B$4&amp;"'!"&amp;ADDRESS(6,6+$F$4)&amp;":"&amp;ADDRESS(155,6+$F$4)))="FE"),48)),"")</f>
        <v/>
      </c>
    </row>
    <row r="58" spans="1:16" x14ac:dyDescent="0.25">
      <c r="A58" s="58">
        <f t="shared" ca="1" si="2"/>
        <v>49</v>
      </c>
      <c r="B58" s="80" t="str">
        <f ca="1">T(INDIRECT("'"&amp;$B$4&amp;"'!B54"))</f>
        <v>FABIANO BORGES 128901</v>
      </c>
      <c r="C58" s="60">
        <f ca="1">IF($B58="","",N(INDIRECT("'"&amp;$B$4&amp;"'!C54")))</f>
        <v>0</v>
      </c>
      <c r="D58" s="60">
        <f ca="1">IF($B58="","",INDIRECT("'"&amp;$B$4&amp;"'!D54"))</f>
        <v>1</v>
      </c>
      <c r="E58" s="60">
        <f ca="1">IF($B58="","",INDIRECT("'"&amp;$B$4&amp;"'!E54"))</f>
        <v>1</v>
      </c>
      <c r="F58" s="60">
        <f ca="1">IF($B58="","",INDIRECT("'"&amp;$B$4&amp;"'!F54"))</f>
        <v>-1</v>
      </c>
      <c r="G58" s="60">
        <f ca="1">IF($B58="","",N(JAN!C54)+N(FEV!C54)+N(MAR!C54)+N(ABR!C54)+N(MAI!C54)+N(JUN!C54)+N(JUL!C54)+N(AGO!C54)+N(SET!C54)+N(OUT!C54)+N(NOV!C54)+N(DEZ!C54))</f>
        <v>1</v>
      </c>
      <c r="H58" s="60">
        <f ca="1">IF($B58="","",SUM(JAN!E54,FEV!E54,MAR!E54,ABR!E54,MAI!E54,JUN!E54,JUL!E54,AGO!E54,SET!E54,OUT!E54,NOV!E54,DEZ!E54))</f>
        <v>2</v>
      </c>
      <c r="I58" s="60">
        <f t="shared" ca="1" si="3"/>
        <v>-1</v>
      </c>
      <c r="J58" s="28" t="str">
        <f ca="1">IF($B58="","",IF(T(INDIRECT("'"&amp;$B$4&amp;"'!"&amp;ADDRESS(54,6+$F$4)))="","·",T(INDIRECT("'"&amp;$B$4&amp;"'!"&amp;ADDRESS(54,6+$F$4)))))</f>
        <v>·</v>
      </c>
      <c r="O58" s="64" t="str">
        <f t="array" aca="1" ref="O58" ca="1">IFERROR(INDEX(INDIRECT("'"&amp;$B$4&amp;"'!B6:B155"),_xlfn.AGGREGATE(15,6,(ROW(INDIRECT("6:155"))-5)/((INDIRECT("'"&amp;$B$4&amp;"'!"&amp;ADDRESS(6,6+$F$4)&amp;":"&amp;ADDRESS(155,6+$F$4)))="HE"),49)),"")</f>
        <v/>
      </c>
      <c r="P58" s="64" t="str">
        <f t="array" aca="1" ref="P58" ca="1">IFERROR(INDEX(INDIRECT("'"&amp;$B$4&amp;"'!B6:B155"),_xlfn.AGGREGATE(15,6,(ROW(INDIRECT("6:155"))-5)/((INDIRECT("'"&amp;$B$4&amp;"'!"&amp;ADDRESS(6,6+$F$4)&amp;":"&amp;ADDRESS(155,6+$F$4)))="FE"),49)),"")</f>
        <v/>
      </c>
    </row>
    <row r="59" spans="1:16" x14ac:dyDescent="0.25">
      <c r="A59" s="51">
        <f t="shared" ca="1" si="2"/>
        <v>50</v>
      </c>
      <c r="B59" s="78" t="str">
        <f ca="1">T(INDIRECT("'"&amp;$B$4&amp;"'!B55"))</f>
        <v>LAUTIER ALMEIDA 317501</v>
      </c>
      <c r="C59" s="20">
        <f ca="1">IF($B59="","",N(INDIRECT("'"&amp;$B$4&amp;"'!C55")))</f>
        <v>0</v>
      </c>
      <c r="D59" s="20">
        <f ca="1">IF($B59="","",INDIRECT("'"&amp;$B$4&amp;"'!D55"))</f>
        <v>0</v>
      </c>
      <c r="E59" s="20">
        <f ca="1">IF($B59="","",INDIRECT("'"&amp;$B$4&amp;"'!E55"))</f>
        <v>0</v>
      </c>
      <c r="F59" s="20">
        <f ca="1">IF($B59="","",INDIRECT("'"&amp;$B$4&amp;"'!F55"))</f>
        <v>0</v>
      </c>
      <c r="G59" s="20">
        <f ca="1">IF($B59="","",N(JAN!C55)+N(FEV!C55)+N(MAR!C55)+N(ABR!C55)+N(MAI!C55)+N(JUN!C55)+N(JUL!C55)+N(AGO!C55)+N(SET!C55)+N(OUT!C55)+N(NOV!C55)+N(DEZ!C55))</f>
        <v>1</v>
      </c>
      <c r="H59" s="20">
        <f ca="1">IF($B59="","",SUM(JAN!E55,FEV!E55,MAR!E55,ABR!E55,MAI!E55,JUN!E55,JUL!E55,AGO!E55,SET!E55,OUT!E55,NOV!E55,DEZ!E55))</f>
        <v>1</v>
      </c>
      <c r="I59" s="20">
        <f t="shared" ca="1" si="3"/>
        <v>0</v>
      </c>
      <c r="J59" s="28" t="str">
        <f ca="1">IF($B59="","",IF(T(INDIRECT("'"&amp;$B$4&amp;"'!"&amp;ADDRESS(55,6+$F$4)))="","·",T(INDIRECT("'"&amp;$B$4&amp;"'!"&amp;ADDRESS(55,6+$F$4)))))</f>
        <v>·</v>
      </c>
      <c r="O59" s="64" t="str">
        <f t="array" aca="1" ref="O59" ca="1">IFERROR(INDEX(INDIRECT("'"&amp;$B$4&amp;"'!B6:B155"),_xlfn.AGGREGATE(15,6,(ROW(INDIRECT("6:155"))-5)/((INDIRECT("'"&amp;$B$4&amp;"'!"&amp;ADDRESS(6,6+$F$4)&amp;":"&amp;ADDRESS(155,6+$F$4)))="HE"),50)),"")</f>
        <v/>
      </c>
      <c r="P59" s="64" t="str">
        <f t="array" aca="1" ref="P59" ca="1">IFERROR(INDEX(INDIRECT("'"&amp;$B$4&amp;"'!B6:B155"),_xlfn.AGGREGATE(15,6,(ROW(INDIRECT("6:155"))-5)/((INDIRECT("'"&amp;$B$4&amp;"'!"&amp;ADDRESS(6,6+$F$4)&amp;":"&amp;ADDRESS(155,6+$F$4)))="FE"),50)),"")</f>
        <v/>
      </c>
    </row>
    <row r="60" spans="1:16" x14ac:dyDescent="0.25">
      <c r="A60" s="58">
        <f t="shared" ca="1" si="2"/>
        <v>51</v>
      </c>
      <c r="B60" s="78" t="str">
        <f ca="1">T(INDIRECT("'"&amp;$B$4&amp;"'!B56"))</f>
        <v>RENAN RAMBO 327701</v>
      </c>
      <c r="C60" s="60">
        <f ca="1">IF($B60="","",N(INDIRECT("'"&amp;$B$4&amp;"'!C56")))</f>
        <v>0</v>
      </c>
      <c r="D60" s="60">
        <f ca="1">IF($B60="","",INDIRECT("'"&amp;$B$4&amp;"'!D56"))</f>
        <v>0</v>
      </c>
      <c r="E60" s="60">
        <f ca="1">IF($B60="","",INDIRECT("'"&amp;$B$4&amp;"'!E56"))</f>
        <v>0</v>
      </c>
      <c r="F60" s="60">
        <f ca="1">IF($B60="","",INDIRECT("'"&amp;$B$4&amp;"'!F56"))</f>
        <v>0</v>
      </c>
      <c r="G60" s="60">
        <f ca="1">IF($B60="","",N(JAN!C56)+N(FEV!C56)+N(MAR!C56)+N(ABR!C56)+N(MAI!C56)+N(JUN!C56)+N(JUL!C56)+N(AGO!C56)+N(SET!C56)+N(OUT!C56)+N(NOV!C56)+N(DEZ!C56))</f>
        <v>1</v>
      </c>
      <c r="H60" s="60">
        <f ca="1">IF($B60="","",SUM(JAN!E56,FEV!E56,MAR!E56,ABR!E56,MAI!E56,JUN!E56,JUL!E56,AGO!E56,SET!E56,OUT!E56,NOV!E56,DEZ!E56))</f>
        <v>0</v>
      </c>
      <c r="I60" s="60">
        <f t="shared" ca="1" si="3"/>
        <v>1</v>
      </c>
      <c r="J60" s="28" t="str">
        <f ca="1">IF($B60="","",IF(T(INDIRECT("'"&amp;$B$4&amp;"'!"&amp;ADDRESS(56,6+$F$4)))="","·",T(INDIRECT("'"&amp;$B$4&amp;"'!"&amp;ADDRESS(56,6+$F$4)))))</f>
        <v>·</v>
      </c>
      <c r="O60" s="64" t="str">
        <f t="array" aca="1" ref="O60" ca="1">IFERROR(INDEX(INDIRECT("'"&amp;$B$4&amp;"'!B6:B155"),_xlfn.AGGREGATE(15,6,(ROW(INDIRECT("6:155"))-5)/((INDIRECT("'"&amp;$B$4&amp;"'!"&amp;ADDRESS(6,6+$F$4)&amp;":"&amp;ADDRESS(155,6+$F$4)))="HE"),51)),"")</f>
        <v/>
      </c>
      <c r="P60" s="64" t="str">
        <f t="array" aca="1" ref="P60" ca="1">IFERROR(INDEX(INDIRECT("'"&amp;$B$4&amp;"'!B6:B155"),_xlfn.AGGREGATE(15,6,(ROW(INDIRECT("6:155"))-5)/((INDIRECT("'"&amp;$B$4&amp;"'!"&amp;ADDRESS(6,6+$F$4)&amp;":"&amp;ADDRESS(155,6+$F$4)))="FE"),51)),"")</f>
        <v/>
      </c>
    </row>
    <row r="61" spans="1:16" x14ac:dyDescent="0.25">
      <c r="A61" s="51">
        <f t="shared" ca="1" si="2"/>
        <v>52</v>
      </c>
      <c r="B61" s="78" t="str">
        <f ca="1">T(INDIRECT("'"&amp;$B$4&amp;"'!B57"))</f>
        <v>LUCAS SEVERO 471301</v>
      </c>
      <c r="C61" s="20">
        <f ca="1">IF($B61="","",N(INDIRECT("'"&amp;$B$4&amp;"'!C57")))</f>
        <v>0</v>
      </c>
      <c r="D61" s="20">
        <f ca="1">IF($B61="","",INDIRECT("'"&amp;$B$4&amp;"'!D57"))</f>
        <v>0</v>
      </c>
      <c r="E61" s="20">
        <f ca="1">IF($B61="","",INDIRECT("'"&amp;$B$4&amp;"'!E57"))</f>
        <v>0</v>
      </c>
      <c r="F61" s="20">
        <f ca="1">IF($B61="","",INDIRECT("'"&amp;$B$4&amp;"'!F57"))</f>
        <v>0</v>
      </c>
      <c r="G61" s="20">
        <f ca="1">IF($B61="","",N(JAN!C57)+N(FEV!C57)+N(MAR!C57)+N(ABR!C57)+N(MAI!C57)+N(JUN!C57)+N(JUL!C57)+N(AGO!C57)+N(SET!C57)+N(OUT!C57)+N(NOV!C57)+N(DEZ!C57))</f>
        <v>0</v>
      </c>
      <c r="H61" s="20">
        <f ca="1">IF($B61="","",SUM(JAN!E57,FEV!E57,MAR!E57,ABR!E57,MAI!E57,JUN!E57,JUL!E57,AGO!E57,SET!E57,OUT!E57,NOV!E57,DEZ!E57))</f>
        <v>0</v>
      </c>
      <c r="I61" s="20">
        <f t="shared" ca="1" si="3"/>
        <v>0</v>
      </c>
      <c r="J61" s="28" t="str">
        <f ca="1">IF($B61="","",IF(T(INDIRECT("'"&amp;$B$4&amp;"'!"&amp;ADDRESS(57,6+$F$4)))="","·",T(INDIRECT("'"&amp;$B$4&amp;"'!"&amp;ADDRESS(57,6+$F$4)))))</f>
        <v>·</v>
      </c>
      <c r="O61" s="64" t="str">
        <f t="array" aca="1" ref="O61" ca="1">IFERROR(INDEX(INDIRECT("'"&amp;$B$4&amp;"'!B6:B155"),_xlfn.AGGREGATE(15,6,(ROW(INDIRECT("6:155"))-5)/((INDIRECT("'"&amp;$B$4&amp;"'!"&amp;ADDRESS(6,6+$F$4)&amp;":"&amp;ADDRESS(155,6+$F$4)))="HE"),52)),"")</f>
        <v/>
      </c>
      <c r="P61" s="64" t="str">
        <f t="array" aca="1" ref="P61" ca="1">IFERROR(INDEX(INDIRECT("'"&amp;$B$4&amp;"'!B6:B155"),_xlfn.AGGREGATE(15,6,(ROW(INDIRECT("6:155"))-5)/((INDIRECT("'"&amp;$B$4&amp;"'!"&amp;ADDRESS(6,6+$F$4)&amp;":"&amp;ADDRESS(155,6+$F$4)))="FE"),52)),"")</f>
        <v/>
      </c>
    </row>
    <row r="62" spans="1:16" x14ac:dyDescent="0.25">
      <c r="A62" s="58">
        <f t="shared" ca="1" si="2"/>
        <v>53</v>
      </c>
      <c r="B62" s="78" t="str">
        <f ca="1">T(INDIRECT("'"&amp;$B$4&amp;"'!B58"))</f>
        <v>EDER MONTICELLI 318101</v>
      </c>
      <c r="C62" s="60">
        <f ca="1">IF($B62="","",N(INDIRECT("'"&amp;$B$4&amp;"'!C58")))</f>
        <v>0</v>
      </c>
      <c r="D62" s="60">
        <f ca="1">IF($B62="","",INDIRECT("'"&amp;$B$4&amp;"'!D58"))</f>
        <v>0</v>
      </c>
      <c r="E62" s="60">
        <f ca="1">IF($B62="","",INDIRECT("'"&amp;$B$4&amp;"'!E58"))</f>
        <v>0</v>
      </c>
      <c r="F62" s="60">
        <f ca="1">IF($B62="","",INDIRECT("'"&amp;$B$4&amp;"'!F58"))</f>
        <v>0</v>
      </c>
      <c r="G62" s="60">
        <f ca="1">IF($B62="","",N(JAN!C58)+N(FEV!C58)+N(MAR!C58)+N(ABR!C58)+N(MAI!C58)+N(JUN!C58)+N(JUL!C58)+N(AGO!C58)+N(SET!C58)+N(OUT!C58)+N(NOV!C58)+N(DEZ!C58))</f>
        <v>0</v>
      </c>
      <c r="H62" s="60">
        <f ca="1">IF($B62="","",SUM(JAN!E58,FEV!E58,MAR!E58,ABR!E58,MAI!E58,JUN!E58,JUL!E58,AGO!E58,SET!E58,OUT!E58,NOV!E58,DEZ!E58))</f>
        <v>0</v>
      </c>
      <c r="I62" s="60">
        <f t="shared" ca="1" si="3"/>
        <v>0</v>
      </c>
      <c r="J62" s="28" t="str">
        <f ca="1">IF($B62="","",IF(T(INDIRECT("'"&amp;$B$4&amp;"'!"&amp;ADDRESS(58,6+$F$4)))="","·",T(INDIRECT("'"&amp;$B$4&amp;"'!"&amp;ADDRESS(58,6+$F$4)))))</f>
        <v>·</v>
      </c>
      <c r="O62" s="64" t="str">
        <f t="array" aca="1" ref="O62" ca="1">IFERROR(INDEX(INDIRECT("'"&amp;$B$4&amp;"'!B6:B155"),_xlfn.AGGREGATE(15,6,(ROW(INDIRECT("6:155"))-5)/((INDIRECT("'"&amp;$B$4&amp;"'!"&amp;ADDRESS(6,6+$F$4)&amp;":"&amp;ADDRESS(155,6+$F$4)))="HE"),53)),"")</f>
        <v/>
      </c>
      <c r="P62" s="64" t="str">
        <f t="array" aca="1" ref="P62" ca="1">IFERROR(INDEX(INDIRECT("'"&amp;$B$4&amp;"'!B6:B155"),_xlfn.AGGREGATE(15,6,(ROW(INDIRECT("6:155"))-5)/((INDIRECT("'"&amp;$B$4&amp;"'!"&amp;ADDRESS(6,6+$F$4)&amp;":"&amp;ADDRESS(155,6+$F$4)))="FE"),53)),"")</f>
        <v/>
      </c>
    </row>
    <row r="63" spans="1:16" x14ac:dyDescent="0.25">
      <c r="A63" s="51">
        <f t="shared" ca="1" si="2"/>
        <v>54</v>
      </c>
      <c r="B63" s="78" t="str">
        <f ca="1">T(INDIRECT("'"&amp;$B$4&amp;"'!B59"))</f>
        <v>JULIANO LENHARD 446901</v>
      </c>
      <c r="C63" s="20">
        <f ca="1">IF($B63="","",N(INDIRECT("'"&amp;$B$4&amp;"'!C59")))</f>
        <v>0</v>
      </c>
      <c r="D63" s="20">
        <f ca="1">IF($B63="","",INDIRECT("'"&amp;$B$4&amp;"'!D59"))</f>
        <v>0</v>
      </c>
      <c r="E63" s="20">
        <f ca="1">IF($B63="","",INDIRECT("'"&amp;$B$4&amp;"'!E59"))</f>
        <v>0</v>
      </c>
      <c r="F63" s="20">
        <f ca="1">IF($B63="","",INDIRECT("'"&amp;$B$4&amp;"'!F59"))</f>
        <v>0</v>
      </c>
      <c r="G63" s="20">
        <f ca="1">IF($B63="","",N(JAN!C59)+N(FEV!C59)+N(MAR!C59)+N(ABR!C59)+N(MAI!C59)+N(JUN!C59)+N(JUL!C59)+N(AGO!C59)+N(SET!C59)+N(OUT!C59)+N(NOV!C59)+N(DEZ!C59))</f>
        <v>0</v>
      </c>
      <c r="H63" s="20">
        <f ca="1">IF($B63="","",SUM(JAN!E59,FEV!E59,MAR!E59,ABR!E59,MAI!E59,JUN!E59,JUL!E59,AGO!E59,SET!E59,OUT!E59,NOV!E59,DEZ!E59))</f>
        <v>0</v>
      </c>
      <c r="I63" s="20">
        <f t="shared" ca="1" si="3"/>
        <v>0</v>
      </c>
      <c r="J63" s="28" t="str">
        <f ca="1">IF($B63="","",IF(T(INDIRECT("'"&amp;$B$4&amp;"'!"&amp;ADDRESS(59,6+$F$4)))="","·",T(INDIRECT("'"&amp;$B$4&amp;"'!"&amp;ADDRESS(59,6+$F$4)))))</f>
        <v>·</v>
      </c>
      <c r="O63" s="64" t="str">
        <f t="array" aca="1" ref="O63" ca="1">IFERROR(INDEX(INDIRECT("'"&amp;$B$4&amp;"'!B6:B155"),_xlfn.AGGREGATE(15,6,(ROW(INDIRECT("6:155"))-5)/((INDIRECT("'"&amp;$B$4&amp;"'!"&amp;ADDRESS(6,6+$F$4)&amp;":"&amp;ADDRESS(155,6+$F$4)))="HE"),54)),"")</f>
        <v/>
      </c>
      <c r="P63" s="64" t="str">
        <f t="array" aca="1" ref="P63" ca="1">IFERROR(INDEX(INDIRECT("'"&amp;$B$4&amp;"'!B6:B155"),_xlfn.AGGREGATE(15,6,(ROW(INDIRECT("6:155"))-5)/((INDIRECT("'"&amp;$B$4&amp;"'!"&amp;ADDRESS(6,6+$F$4)&amp;":"&amp;ADDRESS(155,6+$F$4)))="FE"),54)),"")</f>
        <v/>
      </c>
    </row>
    <row r="64" spans="1:16" x14ac:dyDescent="0.25">
      <c r="A64" s="58">
        <f t="shared" ca="1" si="2"/>
        <v>55</v>
      </c>
      <c r="B64" s="81" t="str">
        <f ca="1">T(INDIRECT("'"&amp;$B$4&amp;"'!B60"))</f>
        <v>CARLOS CONCEIÇÃO 509201</v>
      </c>
      <c r="C64" s="60">
        <f ca="1">IF($B64="","",N(INDIRECT("'"&amp;$B$4&amp;"'!C60")))</f>
        <v>0</v>
      </c>
      <c r="D64" s="60">
        <f ca="1">IF($B64="","",INDIRECT("'"&amp;$B$4&amp;"'!D60"))</f>
        <v>0</v>
      </c>
      <c r="E64" s="60">
        <f ca="1">IF($B64="","",INDIRECT("'"&amp;$B$4&amp;"'!E60"))</f>
        <v>0</v>
      </c>
      <c r="F64" s="60">
        <f ca="1">IF($B64="","",INDIRECT("'"&amp;$B$4&amp;"'!F60"))</f>
        <v>0</v>
      </c>
      <c r="G64" s="60">
        <f ca="1">IF($B64="","",N(JAN!C60)+N(FEV!C60)+N(MAR!C60)+N(ABR!C60)+N(MAI!C60)+N(JUN!C60)+N(JUL!C60)+N(AGO!C60)+N(SET!C60)+N(OUT!C60)+N(NOV!C60)+N(DEZ!C60))</f>
        <v>0</v>
      </c>
      <c r="H64" s="60">
        <f ca="1">IF($B64="","",SUM(JAN!E60,FEV!E60,MAR!E60,ABR!E60,MAI!E60,JUN!E60,JUL!E60,AGO!E60,SET!E60,OUT!E60,NOV!E60,DEZ!E60))</f>
        <v>0</v>
      </c>
      <c r="I64" s="60">
        <f t="shared" ca="1" si="3"/>
        <v>0</v>
      </c>
      <c r="J64" s="28" t="str">
        <f ca="1">IF($B64="","",IF(T(INDIRECT("'"&amp;$B$4&amp;"'!"&amp;ADDRESS(60,6+$F$4)))="","·",T(INDIRECT("'"&amp;$B$4&amp;"'!"&amp;ADDRESS(60,6+$F$4)))))</f>
        <v>·</v>
      </c>
      <c r="O64" s="64" t="str">
        <f t="array" aca="1" ref="O64" ca="1">IFERROR(INDEX(INDIRECT("'"&amp;$B$4&amp;"'!B6:B155"),_xlfn.AGGREGATE(15,6,(ROW(INDIRECT("6:155"))-5)/((INDIRECT("'"&amp;$B$4&amp;"'!"&amp;ADDRESS(6,6+$F$4)&amp;":"&amp;ADDRESS(155,6+$F$4)))="HE"),55)),"")</f>
        <v/>
      </c>
      <c r="P64" s="64" t="str">
        <f t="array" aca="1" ref="P64" ca="1">IFERROR(INDEX(INDIRECT("'"&amp;$B$4&amp;"'!B6:B155"),_xlfn.AGGREGATE(15,6,(ROW(INDIRECT("6:155"))-5)/((INDIRECT("'"&amp;$B$4&amp;"'!"&amp;ADDRESS(6,6+$F$4)&amp;":"&amp;ADDRESS(155,6+$F$4)))="FE"),55)),"")</f>
        <v/>
      </c>
    </row>
    <row r="65" spans="1:16" x14ac:dyDescent="0.25">
      <c r="A65" s="51">
        <f t="shared" ca="1" si="2"/>
        <v>56</v>
      </c>
      <c r="B65" s="78" t="str">
        <f ca="1">T(INDIRECT("'"&amp;$B$4&amp;"'!B61"))</f>
        <v>FABIO BARBOSA 444601</v>
      </c>
      <c r="C65" s="20">
        <f ca="1">IF($B65="","",N(INDIRECT("'"&amp;$B$4&amp;"'!C61")))</f>
        <v>0</v>
      </c>
      <c r="D65" s="20">
        <f ca="1">IF($B65="","",INDIRECT("'"&amp;$B$4&amp;"'!D61"))</f>
        <v>0</v>
      </c>
      <c r="E65" s="20">
        <f ca="1">IF($B65="","",INDIRECT("'"&amp;$B$4&amp;"'!E61"))</f>
        <v>0</v>
      </c>
      <c r="F65" s="20">
        <f ca="1">IF($B65="","",INDIRECT("'"&amp;$B$4&amp;"'!F61"))</f>
        <v>0</v>
      </c>
      <c r="G65" s="20">
        <f ca="1">IF($B65="","",N(JAN!C61)+N(FEV!C61)+N(MAR!C61)+N(ABR!C61)+N(MAI!C61)+N(JUN!C61)+N(JUL!C61)+N(AGO!C61)+N(SET!C61)+N(OUT!C61)+N(NOV!C61)+N(DEZ!C61))</f>
        <v>1</v>
      </c>
      <c r="H65" s="20">
        <f ca="1">IF($B65="","",SUM(JAN!E61,FEV!E61,MAR!E61,ABR!E61,MAI!E61,JUN!E61,JUL!E61,AGO!E61,SET!E61,OUT!E61,NOV!E61,DEZ!E61))</f>
        <v>1</v>
      </c>
      <c r="I65" s="20">
        <f t="shared" ca="1" si="3"/>
        <v>0</v>
      </c>
      <c r="J65" s="28" t="str">
        <f ca="1">IF($B65="","",IF(T(INDIRECT("'"&amp;$B$4&amp;"'!"&amp;ADDRESS(61,6+$F$4)))="","·",T(INDIRECT("'"&amp;$B$4&amp;"'!"&amp;ADDRESS(61,6+$F$4)))))</f>
        <v>·</v>
      </c>
      <c r="O65" s="64" t="str">
        <f t="array" aca="1" ref="O65" ca="1">IFERROR(INDEX(INDIRECT("'"&amp;$B$4&amp;"'!B6:B155"),_xlfn.AGGREGATE(15,6,(ROW(INDIRECT("6:155"))-5)/((INDIRECT("'"&amp;$B$4&amp;"'!"&amp;ADDRESS(6,6+$F$4)&amp;":"&amp;ADDRESS(155,6+$F$4)))="HE"),56)),"")</f>
        <v/>
      </c>
      <c r="P65" s="64" t="str">
        <f t="array" aca="1" ref="P65" ca="1">IFERROR(INDEX(INDIRECT("'"&amp;$B$4&amp;"'!B6:B155"),_xlfn.AGGREGATE(15,6,(ROW(INDIRECT("6:155"))-5)/((INDIRECT("'"&amp;$B$4&amp;"'!"&amp;ADDRESS(6,6+$F$4)&amp;":"&amp;ADDRESS(155,6+$F$4)))="FE"),56)),"")</f>
        <v/>
      </c>
    </row>
    <row r="66" spans="1:16" x14ac:dyDescent="0.25">
      <c r="A66" s="58">
        <f t="shared" ca="1" si="2"/>
        <v>57</v>
      </c>
      <c r="B66" s="78" t="str">
        <f ca="1">T(INDIRECT("'"&amp;$B$4&amp;"'!B62"))</f>
        <v>CLAUDIOMIR DE SOUZA 415401</v>
      </c>
      <c r="C66" s="60">
        <f ca="1">IF($B66="","",N(INDIRECT("'"&amp;$B$4&amp;"'!C62")))</f>
        <v>0</v>
      </c>
      <c r="D66" s="60">
        <f ca="1">IF($B66="","",INDIRECT("'"&amp;$B$4&amp;"'!D62"))</f>
        <v>0</v>
      </c>
      <c r="E66" s="60">
        <f ca="1">IF($B66="","",INDIRECT("'"&amp;$B$4&amp;"'!E62"))</f>
        <v>0</v>
      </c>
      <c r="F66" s="60">
        <f ca="1">IF($B66="","",INDIRECT("'"&amp;$B$4&amp;"'!F62"))</f>
        <v>0</v>
      </c>
      <c r="G66" s="60">
        <f ca="1">IF($B66="","",N(JAN!C62)+N(FEV!C62)+N(MAR!C62)+N(ABR!C62)+N(MAI!C62)+N(JUN!C62)+N(JUL!C62)+N(AGO!C62)+N(SET!C62)+N(OUT!C62)+N(NOV!C62)+N(DEZ!C62))</f>
        <v>1</v>
      </c>
      <c r="H66" s="60">
        <f ca="1">IF($B66="","",SUM(JAN!E62,FEV!E62,MAR!E62,ABR!E62,MAI!E62,JUN!E62,JUL!E62,AGO!E62,SET!E62,OUT!E62,NOV!E62,DEZ!E62))</f>
        <v>1</v>
      </c>
      <c r="I66" s="60">
        <f t="shared" ca="1" si="3"/>
        <v>0</v>
      </c>
      <c r="J66" s="28" t="str">
        <f ca="1">IF($B66="","",IF(T(INDIRECT("'"&amp;$B$4&amp;"'!"&amp;ADDRESS(62,6+$F$4)))="","·",T(INDIRECT("'"&amp;$B$4&amp;"'!"&amp;ADDRESS(62,6+$F$4)))))</f>
        <v>·</v>
      </c>
      <c r="O66" s="64" t="str">
        <f t="array" aca="1" ref="O66" ca="1">IFERROR(INDEX(INDIRECT("'"&amp;$B$4&amp;"'!B6:B155"),_xlfn.AGGREGATE(15,6,(ROW(INDIRECT("6:155"))-5)/((INDIRECT("'"&amp;$B$4&amp;"'!"&amp;ADDRESS(6,6+$F$4)&amp;":"&amp;ADDRESS(155,6+$F$4)))="HE"),57)),"")</f>
        <v/>
      </c>
      <c r="P66" s="64" t="str">
        <f t="array" aca="1" ref="P66" ca="1">IFERROR(INDEX(INDIRECT("'"&amp;$B$4&amp;"'!B6:B155"),_xlfn.AGGREGATE(15,6,(ROW(INDIRECT("6:155"))-5)/((INDIRECT("'"&amp;$B$4&amp;"'!"&amp;ADDRESS(6,6+$F$4)&amp;":"&amp;ADDRESS(155,6+$F$4)))="FE"),57)),"")</f>
        <v/>
      </c>
    </row>
    <row r="67" spans="1:16" x14ac:dyDescent="0.25">
      <c r="A67" s="51">
        <f t="shared" ca="1" si="2"/>
        <v>58</v>
      </c>
      <c r="B67" s="78" t="str">
        <f ca="1">T(INDIRECT("'"&amp;$B$4&amp;"'!B63"))</f>
        <v>VAGNER LEMOS 360301</v>
      </c>
      <c r="C67" s="20">
        <f ca="1">IF($B67="","",N(INDIRECT("'"&amp;$B$4&amp;"'!C63")))</f>
        <v>0</v>
      </c>
      <c r="D67" s="20">
        <f ca="1">IF($B67="","",INDIRECT("'"&amp;$B$4&amp;"'!D63"))</f>
        <v>0</v>
      </c>
      <c r="E67" s="20">
        <f ca="1">IF($B67="","",INDIRECT("'"&amp;$B$4&amp;"'!E63"))</f>
        <v>0</v>
      </c>
      <c r="F67" s="20">
        <f ca="1">IF($B67="","",INDIRECT("'"&amp;$B$4&amp;"'!F63"))</f>
        <v>0</v>
      </c>
      <c r="G67" s="20">
        <f ca="1">IF($B67="","",N(JAN!C63)+N(FEV!C63)+N(MAR!C63)+N(ABR!C63)+N(MAI!C63)+N(JUN!C63)+N(JUL!C63)+N(AGO!C63)+N(SET!C63)+N(OUT!C63)+N(NOV!C63)+N(DEZ!C63))</f>
        <v>0</v>
      </c>
      <c r="H67" s="20">
        <f ca="1">IF($B67="","",SUM(JAN!E63,FEV!E63,MAR!E63,ABR!E63,MAI!E63,JUN!E63,JUL!E63,AGO!E63,SET!E63,OUT!E63,NOV!E63,DEZ!E63))</f>
        <v>0</v>
      </c>
      <c r="I67" s="20">
        <f t="shared" ca="1" si="3"/>
        <v>0</v>
      </c>
      <c r="J67" s="28" t="str">
        <f ca="1">IF($B67="","",IF(T(INDIRECT("'"&amp;$B$4&amp;"'!"&amp;ADDRESS(63,6+$F$4)))="","·",T(INDIRECT("'"&amp;$B$4&amp;"'!"&amp;ADDRESS(63,6+$F$4)))))</f>
        <v>·</v>
      </c>
      <c r="O67" s="64" t="str">
        <f t="array" aca="1" ref="O67" ca="1">IFERROR(INDEX(INDIRECT("'"&amp;$B$4&amp;"'!B6:B155"),_xlfn.AGGREGATE(15,6,(ROW(INDIRECT("6:155"))-5)/((INDIRECT("'"&amp;$B$4&amp;"'!"&amp;ADDRESS(6,6+$F$4)&amp;":"&amp;ADDRESS(155,6+$F$4)))="HE"),58)),"")</f>
        <v/>
      </c>
      <c r="P67" s="64" t="str">
        <f t="array" aca="1" ref="P67" ca="1">IFERROR(INDEX(INDIRECT("'"&amp;$B$4&amp;"'!B6:B155"),_xlfn.AGGREGATE(15,6,(ROW(INDIRECT("6:155"))-5)/((INDIRECT("'"&amp;$B$4&amp;"'!"&amp;ADDRESS(6,6+$F$4)&amp;":"&amp;ADDRESS(155,6+$F$4)))="FE"),58)),"")</f>
        <v/>
      </c>
    </row>
    <row r="68" spans="1:16" x14ac:dyDescent="0.25">
      <c r="A68" s="61">
        <v>59</v>
      </c>
      <c r="B68" s="82" t="str">
        <f ca="1">T(INDIRECT("'"&amp;$B$4&amp;"'!B64"))</f>
        <v>RODRIGO FREITAS 283001</v>
      </c>
      <c r="C68" s="62">
        <f ca="1">IF($B68="","",N(INDIRECT("'"&amp;$B$4&amp;"'!C64")))</f>
        <v>0</v>
      </c>
      <c r="D68" s="62">
        <f ca="1">IF($B68="","",INDIRECT("'"&amp;$B$4&amp;"'!D64"))</f>
        <v>0</v>
      </c>
      <c r="E68" s="62">
        <f ca="1">IF($B68="","",INDIRECT("'"&amp;$B$4&amp;"'!E64"))</f>
        <v>0</v>
      </c>
      <c r="F68" s="62">
        <f ca="1">IF($B68="","",INDIRECT("'"&amp;$B$4&amp;"'!F64"))</f>
        <v>0</v>
      </c>
      <c r="G68" s="62">
        <f ca="1">IF($B68="","",N(JAN!C64)+N(FEV!C64)+N(MAR!C64)+N(ABR!C64)+N(MAI!C64)+N(JUN!C64)+N(JUL!C64)+N(AGO!C64)+N(SET!C64)+N(OUT!C64)+N(NOV!C64)+N(DEZ!C64))</f>
        <v>1</v>
      </c>
      <c r="H68" s="62">
        <f ca="1">IF($B68="","",SUM(JAN!E64,FEV!E64,MAR!E64,ABR!E64,MAI!E64,JUN!E64,JUL!E64,AGO!E64,SET!E64,OUT!E64,NOV!E64,DEZ!E64))</f>
        <v>2</v>
      </c>
      <c r="I68" s="62">
        <f t="shared" ca="1" si="3"/>
        <v>-1</v>
      </c>
      <c r="J68" s="54" t="str">
        <f ca="1">IF($B68="","",IF(T(INDIRECT("'"&amp;$B$4&amp;"'!"&amp;ADDRESS(64,6+$F$4)))="","·",T(INDIRECT("'"&amp;$B$4&amp;"'!"&amp;ADDRESS(64,6+$F$4)))))</f>
        <v>·</v>
      </c>
      <c r="O68" s="64" t="str">
        <f t="array" aca="1" ref="O68" ca="1">IFERROR(INDEX(INDIRECT("'"&amp;$B$4&amp;"'!B6:B155"),_xlfn.AGGREGATE(15,6,(ROW(INDIRECT("6:155"))-5)/((INDIRECT("'"&amp;$B$4&amp;"'!"&amp;ADDRESS(6,6+$F$4)&amp;":"&amp;ADDRESS(155,6+$F$4)))="HE"),59)),"")</f>
        <v/>
      </c>
      <c r="P68" s="64" t="str">
        <f t="array" aca="1" ref="P68" ca="1">IFERROR(INDEX(INDIRECT("'"&amp;$B$4&amp;"'!B6:B155"),_xlfn.AGGREGATE(15,6,(ROW(INDIRECT("6:155"))-5)/((INDIRECT("'"&amp;$B$4&amp;"'!"&amp;ADDRESS(6,6+$F$4)&amp;":"&amp;ADDRESS(155,6+$F$4)))="FE"),59)),"")</f>
        <v/>
      </c>
    </row>
    <row r="69" spans="1:16" x14ac:dyDescent="0.25">
      <c r="A69" s="52">
        <v>60</v>
      </c>
      <c r="B69" s="82" t="str">
        <f ca="1">T(INDIRECT("'"&amp;$B$4&amp;"'!B65"))</f>
        <v>ANTONIO LUCIANO 454801</v>
      </c>
      <c r="C69" s="53">
        <f ca="1">IF($B69="","",N(INDIRECT("'"&amp;$B$4&amp;"'!C65")))</f>
        <v>0</v>
      </c>
      <c r="D69" s="53">
        <f ca="1">IF($B69="","",INDIRECT("'"&amp;$B$4&amp;"'!D65"))</f>
        <v>0</v>
      </c>
      <c r="E69" s="53">
        <f ca="1">IF($B69="","",INDIRECT("'"&amp;$B$4&amp;"'!E65"))</f>
        <v>0</v>
      </c>
      <c r="F69" s="53">
        <f ca="1">IF($B69="","",INDIRECT("'"&amp;$B$4&amp;"'!F65"))</f>
        <v>0</v>
      </c>
      <c r="G69" s="53">
        <f ca="1">IF($B69="","",N(JAN!C65)+N(FEV!C65)+N(MAR!C65)+N(ABR!C65)+N(MAI!C65)+N(JUN!C65)+N(JUL!C65)+N(AGO!C65)+N(SET!C65)+N(OUT!C65)+N(NOV!C65)+N(DEZ!C65))</f>
        <v>1</v>
      </c>
      <c r="H69" s="53">
        <f ca="1">IF($B69="","",SUM(JAN!E65,FEV!E65,MAR!E65,ABR!E65,MAI!E65,JUN!E65,JUL!E65,AGO!E65,SET!E65,OUT!E65,NOV!E65,DEZ!E65))</f>
        <v>0</v>
      </c>
      <c r="I69" s="53">
        <f t="shared" ca="1" si="3"/>
        <v>1</v>
      </c>
      <c r="J69" s="54" t="str">
        <f ca="1">IF($B69="","",IF(T(INDIRECT("'"&amp;$B$4&amp;"'!"&amp;ADDRESS(65,6+$F$4)))="","·",T(INDIRECT("'"&amp;$B$4&amp;"'!"&amp;ADDRESS(65,6+$F$4)))))</f>
        <v>·</v>
      </c>
      <c r="O69" s="64" t="str">
        <f t="array" aca="1" ref="O69" ca="1">IFERROR(INDEX(INDIRECT("'"&amp;$B$4&amp;"'!B6:B155"),_xlfn.AGGREGATE(15,6,(ROW(INDIRECT("6:155"))-5)/((INDIRECT("'"&amp;$B$4&amp;"'!"&amp;ADDRESS(6,6+$F$4)&amp;":"&amp;ADDRESS(155,6+$F$4)))="HE"),60)),"")</f>
        <v/>
      </c>
      <c r="P69" s="64" t="str">
        <f t="array" aca="1" ref="P69" ca="1">IFERROR(INDEX(INDIRECT("'"&amp;$B$4&amp;"'!B6:B155"),_xlfn.AGGREGATE(15,6,(ROW(INDIRECT("6:155"))-5)/((INDIRECT("'"&amp;$B$4&amp;"'!"&amp;ADDRESS(6,6+$F$4)&amp;":"&amp;ADDRESS(155,6+$F$4)))="FE"),60)),"")</f>
        <v/>
      </c>
    </row>
    <row r="70" spans="1:16" x14ac:dyDescent="0.25">
      <c r="A70" s="58">
        <v>61</v>
      </c>
      <c r="B70" s="78" t="str">
        <f ca="1">T(INDIRECT("'"&amp;$B$4&amp;"'!B66"))</f>
        <v>JONATHAM CORREA 447001</v>
      </c>
      <c r="C70" s="60">
        <f ca="1">IF($B70="","",N(INDIRECT("'"&amp;$B$4&amp;"'!C66")))</f>
        <v>0</v>
      </c>
      <c r="D70" s="60">
        <f ca="1">IF($B70="","",INDIRECT("'"&amp;$B$4&amp;"'!D66"))</f>
        <v>0</v>
      </c>
      <c r="E70" s="60">
        <f ca="1">IF($B70="","",INDIRECT("'"&amp;$B$4&amp;"'!E66"))</f>
        <v>0</v>
      </c>
      <c r="F70" s="60">
        <f ca="1">IF($B70="","",INDIRECT("'"&amp;$B$4&amp;"'!F66"))</f>
        <v>0</v>
      </c>
      <c r="G70" s="60">
        <f ca="1">IF($B70="","",N(JAN!C66)+N(FEV!C66)+N(MAR!C66)+N(ABR!C66)+N(MAI!C66)+N(JUN!C66)+N(JUL!C66)+N(AGO!C66)+N(SET!C66)+N(OUT!C66)+N(NOV!C66)+N(DEZ!C66))</f>
        <v>0</v>
      </c>
      <c r="H70" s="60">
        <f ca="1">IF($B70="","",SUM(JAN!E66,FEV!E66,MAR!E66,ABR!E66,MAI!E66,JUN!E66,JUL!E66,AGO!E66,SET!E66,OUT!E66,NOV!E66,DEZ!E66))</f>
        <v>0</v>
      </c>
      <c r="I70" s="60">
        <f t="shared" ca="1" si="3"/>
        <v>0</v>
      </c>
      <c r="J70" s="28" t="str">
        <f ca="1">IF($B70="","",IF(T(INDIRECT("'"&amp;$B$4&amp;"'!"&amp;ADDRESS(66,6+$F$4)))="","·",T(INDIRECT("'"&amp;$B$4&amp;"'!"&amp;ADDRESS(66,6+$F$4)))))</f>
        <v>·</v>
      </c>
      <c r="O70" s="64" t="str">
        <f t="array" aca="1" ref="O70" ca="1">IFERROR(INDEX(INDIRECT("'"&amp;$B$4&amp;"'!B6:B155"),_xlfn.AGGREGATE(15,6,(ROW(INDIRECT("6:155"))-5)/((INDIRECT("'"&amp;$B$4&amp;"'!"&amp;ADDRESS(6,6+$F$4)&amp;":"&amp;ADDRESS(155,6+$F$4)))="HE"),61)),"")</f>
        <v/>
      </c>
      <c r="P70" s="64" t="str">
        <f t="array" aca="1" ref="P70" ca="1">IFERROR(INDEX(INDIRECT("'"&amp;$B$4&amp;"'!B6:B155"),_xlfn.AGGREGATE(15,6,(ROW(INDIRECT("6:155"))-5)/((INDIRECT("'"&amp;$B$4&amp;"'!"&amp;ADDRESS(6,6+$F$4)&amp;":"&amp;ADDRESS(155,6+$F$4)))="FE"),61)),"")</f>
        <v/>
      </c>
    </row>
    <row r="71" spans="1:16" x14ac:dyDescent="0.25">
      <c r="A71" s="51">
        <v>62</v>
      </c>
      <c r="B71" s="78" t="str">
        <f ca="1">T(INDIRECT("'"&amp;$B$4&amp;"'!B67"))</f>
        <v>GUILHERME MELCHIOR 37002309</v>
      </c>
      <c r="C71" s="20">
        <f ca="1">IF($B71="","",N(INDIRECT("'"&amp;$B$4&amp;"'!C67")))</f>
        <v>0</v>
      </c>
      <c r="D71" s="20">
        <f ca="1">IF($B71="","",INDIRECT("'"&amp;$B$4&amp;"'!D67"))</f>
        <v>0</v>
      </c>
      <c r="E71" s="20">
        <f ca="1">IF($B71="","",INDIRECT("'"&amp;$B$4&amp;"'!E67"))</f>
        <v>0</v>
      </c>
      <c r="F71" s="20">
        <f ca="1">IF($B71="","",INDIRECT("'"&amp;$B$4&amp;"'!F67"))</f>
        <v>0</v>
      </c>
      <c r="G71" s="20">
        <f ca="1">IF($B71="","",N(JAN!C67)+N(FEV!C67)+N(MAR!C67)+N(ABR!C67)+N(MAI!C67)+N(JUN!C67)+N(JUL!C67)+N(AGO!C67)+N(SET!C67)+N(OUT!C67)+N(NOV!C67)+N(DEZ!C67))</f>
        <v>0</v>
      </c>
      <c r="H71" s="20">
        <f ca="1">IF($B71="","",SUM(JAN!E67,FEV!E67,MAR!E67,ABR!E67,MAI!E67,JUN!E67,JUL!E67,AGO!E67,SET!E67,OUT!E67,NOV!E67,DEZ!E67))</f>
        <v>0</v>
      </c>
      <c r="I71" s="20">
        <f t="shared" ca="1" si="3"/>
        <v>0</v>
      </c>
      <c r="J71" s="28" t="str">
        <f ca="1">IF($B71="","",IF(T(INDIRECT("'"&amp;$B$4&amp;"'!"&amp;ADDRESS(67,6+$F$4)))="","·",T(INDIRECT("'"&amp;$B$4&amp;"'!"&amp;ADDRESS(67,6+$F$4)))))</f>
        <v>·</v>
      </c>
      <c r="O71" s="64" t="str">
        <f t="array" aca="1" ref="O71" ca="1">IFERROR(INDEX(INDIRECT("'"&amp;$B$4&amp;"'!B6:B155"),_xlfn.AGGREGATE(15,6,(ROW(INDIRECT("6:155"))-5)/((INDIRECT("'"&amp;$B$4&amp;"'!"&amp;ADDRESS(6,6+$F$4)&amp;":"&amp;ADDRESS(155,6+$F$4)))="HE"),62)),"")</f>
        <v/>
      </c>
      <c r="P71" s="64" t="str">
        <f t="array" aca="1" ref="P71" ca="1">IFERROR(INDEX(INDIRECT("'"&amp;$B$4&amp;"'!B6:B155"),_xlfn.AGGREGATE(15,6,(ROW(INDIRECT("6:155"))-5)/((INDIRECT("'"&amp;$B$4&amp;"'!"&amp;ADDRESS(6,6+$F$4)&amp;":"&amp;ADDRESS(155,6+$F$4)))="FE"),62)),"")</f>
        <v/>
      </c>
    </row>
    <row r="72" spans="1:16" x14ac:dyDescent="0.25">
      <c r="A72" s="58">
        <v>63</v>
      </c>
      <c r="B72" s="59" t="str">
        <f ca="1">T(INDIRECT("'"&amp;$B$4&amp;"'!B68"))</f>
        <v>CLODOALDO TEMPORARIO</v>
      </c>
      <c r="C72" s="60">
        <f ca="1">IF($B72="","",N(INDIRECT("'"&amp;$B$4&amp;"'!C68")))</f>
        <v>0</v>
      </c>
      <c r="D72" s="60">
        <f ca="1">IF($B72="","",INDIRECT("'"&amp;$B$4&amp;"'!D68"))</f>
        <v>0</v>
      </c>
      <c r="E72" s="60">
        <f ca="1">IF($B72="","",INDIRECT("'"&amp;$B$4&amp;"'!E68"))</f>
        <v>0</v>
      </c>
      <c r="F72" s="60">
        <f ca="1">IF($B72="","",INDIRECT("'"&amp;$B$4&amp;"'!F68"))</f>
        <v>0</v>
      </c>
      <c r="G72" s="60">
        <f ca="1">IF($B72="","",N(JAN!C68)+N(FEV!C68)+N(MAR!C68)+N(ABR!C68)+N(MAI!C68)+N(JUN!C68)+N(JUL!C68)+N(AGO!C68)+N(SET!C68)+N(OUT!C68)+N(NOV!C68)+N(DEZ!C68))</f>
        <v>1</v>
      </c>
      <c r="H72" s="60">
        <f ca="1">IF($B72="","",SUM(JAN!E68,FEV!E68,MAR!E68,ABR!E68,MAI!E68,JUN!E68,JUL!E68,AGO!E68,SET!E68,OUT!E68,NOV!E68,DEZ!E68))</f>
        <v>0</v>
      </c>
      <c r="I72" s="60">
        <f t="shared" ca="1" si="3"/>
        <v>1</v>
      </c>
      <c r="J72" s="28" t="str">
        <f ca="1">IF($B72="","",IF(T(INDIRECT("'"&amp;$B$4&amp;"'!"&amp;ADDRESS(68,6+$F$4)))="","·",T(INDIRECT("'"&amp;$B$4&amp;"'!"&amp;ADDRESS(68,6+$F$4)))))</f>
        <v>·</v>
      </c>
      <c r="O72" s="64" t="str">
        <f t="array" aca="1" ref="O72" ca="1">IFERROR(INDEX(INDIRECT("'"&amp;$B$4&amp;"'!B6:B155"),_xlfn.AGGREGATE(15,6,(ROW(INDIRECT("6:155"))-5)/((INDIRECT("'"&amp;$B$4&amp;"'!"&amp;ADDRESS(6,6+$F$4)&amp;":"&amp;ADDRESS(155,6+$F$4)))="HE"),63)),"")</f>
        <v/>
      </c>
      <c r="P72" s="64" t="str">
        <f t="array" aca="1" ref="P72" ca="1">IFERROR(INDEX(INDIRECT("'"&amp;$B$4&amp;"'!B6:B155"),_xlfn.AGGREGATE(15,6,(ROW(INDIRECT("6:155"))-5)/((INDIRECT("'"&amp;$B$4&amp;"'!"&amp;ADDRESS(6,6+$F$4)&amp;":"&amp;ADDRESS(155,6+$F$4)))="FE"),63)),"")</f>
        <v/>
      </c>
    </row>
    <row r="73" spans="1:16" x14ac:dyDescent="0.25">
      <c r="A73" s="69">
        <f ca="1">IF($B73="","",ROW()-9)</f>
        <v>64</v>
      </c>
      <c r="B73" s="59" t="str">
        <f ca="1">T(INDIRECT("'"&amp;$B$4&amp;"'!B69"))</f>
        <v>TAYLER TEMPORARIO</v>
      </c>
      <c r="C73" s="70">
        <f ca="1">IF($B73="","",N(INDIRECT("'"&amp;$B$4&amp;"'!C69")))</f>
        <v>0</v>
      </c>
      <c r="D73" s="70">
        <f ca="1">IF($B73="","",INDIRECT("'"&amp;$B$4&amp;"'!D69"))</f>
        <v>0</v>
      </c>
      <c r="E73" s="70">
        <f ca="1">IF($B73="","",INDIRECT("'"&amp;$B$4&amp;"'!E69"))</f>
        <v>0</v>
      </c>
      <c r="F73" s="70">
        <f ca="1">IF($B73="","",INDIRECT("'"&amp;$B$4&amp;"'!F69"))</f>
        <v>0</v>
      </c>
      <c r="G73" s="70">
        <f ca="1">IF($B73="","",N(JAN!C69)+N(FEV!C69)+N(MAR!C69)+N(ABR!C69)+N(MAI!C69)+N(JUN!C69)+N(JUL!C69)+N(AGO!C69)+N(SET!C69)+N(OUT!C69)+N(NOV!C69)+N(DEZ!C69))</f>
        <v>0</v>
      </c>
      <c r="H73" s="70">
        <f ca="1">IF($B73="","",SUM(JAN!E69,FEV!E69,MAR!E69,ABR!E69,MAI!E69,JUN!E69,JUL!E69,AGO!E69,SET!E69,OUT!E69,NOV!E69,DEZ!E69))</f>
        <v>0</v>
      </c>
      <c r="I73" s="70">
        <f t="shared" ca="1" si="3"/>
        <v>0</v>
      </c>
      <c r="J73" s="28" t="str">
        <f ca="1">IF($B73="","",IF(T(INDIRECT("'"&amp;$B$4&amp;"'!"&amp;ADDRESS(69,6+$F$4)))="","·",T(INDIRECT("'"&amp;$B$4&amp;"'!"&amp;ADDRESS(69,6+$F$4)))))</f>
        <v>·</v>
      </c>
      <c r="O73" s="64" t="str">
        <f t="array" aca="1" ref="O73" ca="1">IFERROR(INDEX(INDIRECT("'"&amp;$B$4&amp;"'!B6:B155"),_xlfn.AGGREGATE(15,6,(ROW(INDIRECT("6:155"))-5)/((INDIRECT("'"&amp;$B$4&amp;"'!"&amp;ADDRESS(6,6+$F$4)&amp;":"&amp;ADDRESS(155,6+$F$4)))="HE"),64)),"")</f>
        <v/>
      </c>
      <c r="P73" s="64" t="str">
        <f t="array" aca="1" ref="P73" ca="1">IFERROR(INDEX(INDIRECT("'"&amp;$B$4&amp;"'!B6:B155"),_xlfn.AGGREGATE(15,6,(ROW(INDIRECT("6:155"))-5)/((INDIRECT("'"&amp;$B$4&amp;"'!"&amp;ADDRESS(6,6+$F$4)&amp;":"&amp;ADDRESS(155,6+$F$4)))="FE"),64)),"")</f>
        <v/>
      </c>
    </row>
    <row r="74" spans="1:16" x14ac:dyDescent="0.25">
      <c r="A74" s="58">
        <f ca="1">IF($B74="","",ROW()-9)</f>
        <v>65</v>
      </c>
      <c r="B74" s="59" t="str">
        <f ca="1">T(INDIRECT("'"&amp;$B$4&amp;"'!B70"))</f>
        <v>MARCOS VINICIUS TEMPORARIO</v>
      </c>
      <c r="C74" s="60">
        <f ca="1">IF($B74="","",N(INDIRECT("'"&amp;$B$4&amp;"'!C70")))</f>
        <v>0</v>
      </c>
      <c r="D74" s="60">
        <f ca="1">IF($B74="","",INDIRECT("'"&amp;$B$4&amp;"'!D70"))</f>
        <v>0</v>
      </c>
      <c r="E74" s="60">
        <f ca="1">IF($B74="","",INDIRECT("'"&amp;$B$4&amp;"'!E70"))</f>
        <v>0</v>
      </c>
      <c r="F74" s="60">
        <f ca="1">IF($B74="","",INDIRECT("'"&amp;$B$4&amp;"'!F70"))</f>
        <v>0</v>
      </c>
      <c r="G74" s="60">
        <f ca="1">IF($B74="","",N(JAN!C70)+N(FEV!C70)+N(MAR!C70)+N(ABR!C70)+N(MAI!C70)+N(JUN!C70)+N(JUL!C70)+N(AGO!C70)+N(SET!C70)+N(OUT!C70)+N(NOV!C70)+N(DEZ!C70))</f>
        <v>0</v>
      </c>
      <c r="H74" s="60">
        <f ca="1">IF($B74="","",SUM(JAN!E70,FEV!E70,MAR!E70,ABR!E70,MAI!E70,JUN!E70,JUL!E70,AGO!E70,SET!E70,OUT!E70,NOV!E70,DEZ!E70))</f>
        <v>0</v>
      </c>
      <c r="I74" s="60">
        <f t="shared" ref="I74:I105" ca="1" si="4">IF($B74="","",G74-H74)</f>
        <v>0</v>
      </c>
      <c r="J74" s="28" t="str">
        <f ca="1">IF($B74="","",IF(T(INDIRECT("'"&amp;$B$4&amp;"'!"&amp;ADDRESS(70,6+$F$4)))="","·",T(INDIRECT("'"&amp;$B$4&amp;"'!"&amp;ADDRESS(70,6+$F$4)))))</f>
        <v>·</v>
      </c>
      <c r="O74" s="64" t="str">
        <f t="array" aca="1" ref="O74" ca="1">IFERROR(INDEX(INDIRECT("'"&amp;$B$4&amp;"'!B6:B155"),_xlfn.AGGREGATE(15,6,(ROW(INDIRECT("6:155"))-5)/((INDIRECT("'"&amp;$B$4&amp;"'!"&amp;ADDRESS(6,6+$F$4)&amp;":"&amp;ADDRESS(155,6+$F$4)))="HE"),65)),"")</f>
        <v/>
      </c>
      <c r="P74" s="64" t="str">
        <f t="array" aca="1" ref="P74" ca="1">IFERROR(INDEX(INDIRECT("'"&amp;$B$4&amp;"'!B6:B155"),_xlfn.AGGREGATE(15,6,(ROW(INDIRECT("6:155"))-5)/((INDIRECT("'"&amp;$B$4&amp;"'!"&amp;ADDRESS(6,6+$F$4)&amp;":"&amp;ADDRESS(155,6+$F$4)))="FE"),65)),"")</f>
        <v/>
      </c>
    </row>
    <row r="75" spans="1:16" x14ac:dyDescent="0.25">
      <c r="A75" s="69">
        <v>66</v>
      </c>
      <c r="B75" s="59" t="str">
        <f ca="1">T(INDIRECT("'"&amp;$B$4&amp;"'!B71"))</f>
        <v>MARCOS TEMPORARIO</v>
      </c>
      <c r="C75" s="70">
        <f ca="1">IF($B75="","",N(INDIRECT("'"&amp;$B$4&amp;"'!C71")))</f>
        <v>1</v>
      </c>
      <c r="D75" s="70">
        <f ca="1">IF($B75="","",INDIRECT("'"&amp;$B$4&amp;"'!D71"))</f>
        <v>0</v>
      </c>
      <c r="E75" s="70">
        <f ca="1">IF($B75="","",INDIRECT("'"&amp;$B$4&amp;"'!E71"))</f>
        <v>0</v>
      </c>
      <c r="F75" s="70">
        <f ca="1">IF($B75="","",INDIRECT("'"&amp;$B$4&amp;"'!F71"))</f>
        <v>1</v>
      </c>
      <c r="G75" s="70">
        <f ca="1">IF($B75="","",N(JAN!C71)+N(FEV!C71)+N(MAR!C71)+N(ABR!C71)+N(MAI!C71)+N(JUN!C71)+N(JUL!C71)+N(AGO!C71)+N(SET!C71)+N(OUT!C71)+N(NOV!C71)+N(DEZ!C71))</f>
        <v>1</v>
      </c>
      <c r="H75" s="70">
        <f ca="1">IF($B75="","",SUM(JAN!E71,FEV!E71,MAR!E71,ABR!E71,MAI!E71,JUN!E71,JUL!E71,AGO!E71,SET!E71,OUT!E71,NOV!E71,DEZ!E71))</f>
        <v>0</v>
      </c>
      <c r="I75" s="70">
        <f t="shared" ca="1" si="4"/>
        <v>1</v>
      </c>
      <c r="J75" s="28" t="str">
        <f ca="1">IF($B75="","",IF(T(INDIRECT("'"&amp;$B$4&amp;"'!"&amp;ADDRESS(71,6+$F$4)))="","·",T(INDIRECT("'"&amp;$B$4&amp;"'!"&amp;ADDRESS(71,6+$F$4)))))</f>
        <v>HE</v>
      </c>
      <c r="O75" s="64" t="str">
        <f t="array" aca="1" ref="O75" ca="1">IFERROR(INDEX(INDIRECT("'"&amp;$B$4&amp;"'!B6:B155"),_xlfn.AGGREGATE(15,6,(ROW(INDIRECT("6:155"))-5)/((INDIRECT("'"&amp;$B$4&amp;"'!"&amp;ADDRESS(6,6+$F$4)&amp;":"&amp;ADDRESS(155,6+$F$4)))="HE"),66)),"")</f>
        <v/>
      </c>
      <c r="P75" s="64" t="str">
        <f t="array" aca="1" ref="P75" ca="1">IFERROR(INDEX(INDIRECT("'"&amp;$B$4&amp;"'!B6:B155"),_xlfn.AGGREGATE(15,6,(ROW(INDIRECT("6:155"))-5)/((INDIRECT("'"&amp;$B$4&amp;"'!"&amp;ADDRESS(6,6+$F$4)&amp;":"&amp;ADDRESS(155,6+$F$4)))="FE"),66)),"")</f>
        <v/>
      </c>
    </row>
    <row r="76" spans="1:16" x14ac:dyDescent="0.25">
      <c r="A76" s="58">
        <f ca="1">IF($B76="","",ROW()-9)</f>
        <v>67</v>
      </c>
      <c r="B76" s="59" t="str">
        <f ca="1">T(INDIRECT("'"&amp;$B$4&amp;"'!B72"))</f>
        <v>FLAVIO TEMPORARIO</v>
      </c>
      <c r="C76" s="60">
        <f ca="1">IF($B76="","",N(INDIRECT("'"&amp;$B$4&amp;"'!C72")))</f>
        <v>1</v>
      </c>
      <c r="D76" s="60">
        <f ca="1">IF($B76="","",INDIRECT("'"&amp;$B$4&amp;"'!D72"))</f>
        <v>0</v>
      </c>
      <c r="E76" s="60">
        <f ca="1">IF($B76="","",INDIRECT("'"&amp;$B$4&amp;"'!E72"))</f>
        <v>0</v>
      </c>
      <c r="F76" s="60">
        <f ca="1">IF($B76="","",INDIRECT("'"&amp;$B$4&amp;"'!F72"))</f>
        <v>1</v>
      </c>
      <c r="G76" s="60">
        <f ca="1">IF($B76="","",N(JAN!C72)+N(FEV!C72)+N(MAR!C72)+N(ABR!C72)+N(MAI!C72)+N(JUN!C72)+N(JUL!C72)+N(AGO!C72)+N(SET!C72)+N(OUT!C72)+N(NOV!C72)+N(DEZ!C72))</f>
        <v>1</v>
      </c>
      <c r="H76" s="60">
        <f ca="1">IF($B76="","",SUM(JAN!E72,FEV!E72,MAR!E72,ABR!E72,MAI!E72,JUN!E72,JUL!E72,AGO!E72,SET!E72,OUT!E72,NOV!E72,DEZ!E72))</f>
        <v>0</v>
      </c>
      <c r="I76" s="60">
        <f t="shared" ca="1" si="4"/>
        <v>1</v>
      </c>
      <c r="J76" s="28" t="str">
        <f ca="1">IF($B76="","",IF(T(INDIRECT("'"&amp;$B$4&amp;"'!"&amp;ADDRESS(72,6+$F$4)))="","·",T(INDIRECT("'"&amp;$B$4&amp;"'!"&amp;ADDRESS(72,6+$F$4)))))</f>
        <v>HE</v>
      </c>
      <c r="O76" s="64" t="str">
        <f t="array" aca="1" ref="O76" ca="1">IFERROR(INDEX(INDIRECT("'"&amp;$B$4&amp;"'!B6:B155"),_xlfn.AGGREGATE(15,6,(ROW(INDIRECT("6:155"))-5)/((INDIRECT("'"&amp;$B$4&amp;"'!"&amp;ADDRESS(6,6+$F$4)&amp;":"&amp;ADDRESS(155,6+$F$4)))="HE"),67)),"")</f>
        <v/>
      </c>
      <c r="P76" s="64" t="str">
        <f t="array" aca="1" ref="P76" ca="1">IFERROR(INDEX(INDIRECT("'"&amp;$B$4&amp;"'!B6:B155"),_xlfn.AGGREGATE(15,6,(ROW(INDIRECT("6:155"))-5)/((INDIRECT("'"&amp;$B$4&amp;"'!"&amp;ADDRESS(6,6+$F$4)&amp;":"&amp;ADDRESS(155,6+$F$4)))="FE"),67)),"")</f>
        <v/>
      </c>
    </row>
    <row r="77" spans="1:16" x14ac:dyDescent="0.25">
      <c r="A77" s="69">
        <f ca="1">IF($B77="","",ROW()-9)</f>
        <v>68</v>
      </c>
      <c r="B77" s="78" t="str">
        <f ca="1">T(INDIRECT("'"&amp;$B$4&amp;"'!B73"))</f>
        <v>MARCIO DUARTE 434601</v>
      </c>
      <c r="C77" s="70">
        <f ca="1">IF($B77="","",N(INDIRECT("'"&amp;$B$4&amp;"'!C73")))</f>
        <v>0</v>
      </c>
      <c r="D77" s="70">
        <f ca="1">IF($B77="","",INDIRECT("'"&amp;$B$4&amp;"'!D73"))</f>
        <v>0</v>
      </c>
      <c r="E77" s="70">
        <f ca="1">IF($B77="","",INDIRECT("'"&amp;$B$4&amp;"'!E73"))</f>
        <v>0</v>
      </c>
      <c r="F77" s="70">
        <f ca="1">IF($B77="","",INDIRECT("'"&amp;$B$4&amp;"'!F73"))</f>
        <v>0</v>
      </c>
      <c r="G77" s="70">
        <f ca="1">IF($B77="","",N(JAN!C73)+N(FEV!C73)+N(MAR!C73)+N(ABR!C73)+N(MAI!C73)+N(JUN!C73)+N(JUL!C73)+N(AGO!C73)+N(SET!C73)+N(OUT!C73)+N(NOV!C73)+N(DEZ!C73))</f>
        <v>1</v>
      </c>
      <c r="H77" s="70">
        <f ca="1">IF($B77="","",SUM(JAN!E73,FEV!E73,MAR!E73,ABR!E73,MAI!E73,JUN!E73,JUL!E73,AGO!E73,SET!E73,OUT!E73,NOV!E73,DEZ!E73))</f>
        <v>1</v>
      </c>
      <c r="I77" s="70">
        <f t="shared" ca="1" si="4"/>
        <v>0</v>
      </c>
      <c r="J77" s="28" t="str">
        <f ca="1">IF($B77="","",IF(T(INDIRECT("'"&amp;$B$4&amp;"'!"&amp;ADDRESS(73,6+$F$4)))="","·",T(INDIRECT("'"&amp;$B$4&amp;"'!"&amp;ADDRESS(73,6+$F$4)))))</f>
        <v>·</v>
      </c>
      <c r="O77" s="64" t="str">
        <f t="array" aca="1" ref="O77" ca="1">IFERROR(INDEX(INDIRECT("'"&amp;$B$4&amp;"'!B6:B155"),_xlfn.AGGREGATE(15,6,(ROW(INDIRECT("6:155"))-5)/((INDIRECT("'"&amp;$B$4&amp;"'!"&amp;ADDRESS(6,6+$F$4)&amp;":"&amp;ADDRESS(155,6+$F$4)))="HE"),68)),"")</f>
        <v/>
      </c>
      <c r="P77" s="64" t="str">
        <f t="array" aca="1" ref="P77" ca="1">IFERROR(INDEX(INDIRECT("'"&amp;$B$4&amp;"'!B6:B155"),_xlfn.AGGREGATE(15,6,(ROW(INDIRECT("6:155"))-5)/((INDIRECT("'"&amp;$B$4&amp;"'!"&amp;ADDRESS(6,6+$F$4)&amp;":"&amp;ADDRESS(155,6+$F$4)))="FE"),68)),"")</f>
        <v/>
      </c>
    </row>
    <row r="78" spans="1:16" x14ac:dyDescent="0.25">
      <c r="A78" s="58">
        <f ca="1">IF($B78="","",ROW()-9)</f>
        <v>69</v>
      </c>
      <c r="B78" s="59" t="str">
        <f ca="1">T(INDIRECT("'"&amp;$B$4&amp;"'!B74"))</f>
        <v>DEIVIDE TEMPORARIO</v>
      </c>
      <c r="C78" s="60">
        <f ca="1">IF($B78="","",N(INDIRECT("'"&amp;$B$4&amp;"'!C74")))</f>
        <v>0</v>
      </c>
      <c r="D78" s="60">
        <f ca="1">IF($B78="","",INDIRECT("'"&amp;$B$4&amp;"'!D74"))</f>
        <v>0</v>
      </c>
      <c r="E78" s="60">
        <f ca="1">IF($B78="","",INDIRECT("'"&amp;$B$4&amp;"'!E74"))</f>
        <v>0</v>
      </c>
      <c r="F78" s="60">
        <f ca="1">IF($B78="","",INDIRECT("'"&amp;$B$4&amp;"'!F74"))</f>
        <v>0</v>
      </c>
      <c r="G78" s="60">
        <f ca="1">IF($B78="","",N(JAN!C74)+N(FEV!C74)+N(MAR!C74)+N(ABR!C74)+N(MAI!C74)+N(JUN!C74)+N(JUL!C74)+N(AGO!C74)+N(SET!C74)+N(OUT!C74)+N(NOV!C74)+N(DEZ!C74))</f>
        <v>0</v>
      </c>
      <c r="H78" s="60">
        <f ca="1">IF($B78="","",SUM(JAN!E74,FEV!E74,MAR!E74,ABR!E74,MAI!E74,JUN!E74,JUL!E74,AGO!E74,SET!E74,OUT!E74,NOV!E74,DEZ!E74))</f>
        <v>2</v>
      </c>
      <c r="I78" s="60">
        <f t="shared" ca="1" si="4"/>
        <v>-2</v>
      </c>
      <c r="J78" s="28" t="str">
        <f ca="1">IF($B78="","",IF(T(INDIRECT("'"&amp;$B$4&amp;"'!"&amp;ADDRESS(74,6+$F$4)))="","·",T(INDIRECT("'"&amp;$B$4&amp;"'!"&amp;ADDRESS(74,6+$F$4)))))</f>
        <v>·</v>
      </c>
      <c r="O78" s="64" t="str">
        <f t="array" aca="1" ref="O78" ca="1">IFERROR(INDEX(INDIRECT("'"&amp;$B$4&amp;"'!B6:B155"),_xlfn.AGGREGATE(15,6,(ROW(INDIRECT("6:155"))-5)/((INDIRECT("'"&amp;$B$4&amp;"'!"&amp;ADDRESS(6,6+$F$4)&amp;":"&amp;ADDRESS(155,6+$F$4)))="HE"),69)),"")</f>
        <v/>
      </c>
      <c r="P78" s="64" t="str">
        <f t="array" aca="1" ref="P78" ca="1">IFERROR(INDEX(INDIRECT("'"&amp;$B$4&amp;"'!B6:B155"),_xlfn.AGGREGATE(15,6,(ROW(INDIRECT("6:155"))-5)/((INDIRECT("'"&amp;$B$4&amp;"'!"&amp;ADDRESS(6,6+$F$4)&amp;":"&amp;ADDRESS(155,6+$F$4)))="FE"),69)),"")</f>
        <v/>
      </c>
    </row>
    <row r="79" spans="1:16" x14ac:dyDescent="0.25">
      <c r="A79" s="69">
        <f ca="1">IF($B79="","",ROW()-9)</f>
        <v>70</v>
      </c>
      <c r="B79" s="59" t="str">
        <f ca="1">T(INDIRECT("'"&amp;$B$4&amp;"'!B75"))</f>
        <v>MARLON TEMPORÁRIO</v>
      </c>
      <c r="C79" s="70">
        <f ca="1">IF($B79="","",N(INDIRECT("'"&amp;$B$4&amp;"'!C75")))</f>
        <v>1</v>
      </c>
      <c r="D79" s="70">
        <f ca="1">IF($B79="","",INDIRECT("'"&amp;$B$4&amp;"'!D75"))</f>
        <v>0</v>
      </c>
      <c r="E79" s="70">
        <f ca="1">IF($B79="","",INDIRECT("'"&amp;$B$4&amp;"'!E75"))</f>
        <v>0</v>
      </c>
      <c r="F79" s="70">
        <f ca="1">IF($B79="","",INDIRECT("'"&amp;$B$4&amp;"'!F75"))</f>
        <v>1</v>
      </c>
      <c r="G79" s="70">
        <f ca="1">IF($B79="","",N(JAN!C75)+N(FEV!C75)+N(MAR!C75)+N(ABR!C75)+N(MAI!C75)+N(JUN!C75)+N(JUL!C75)+N(AGO!C75)+N(SET!C75)+N(OUT!C75)+N(NOV!C75)+N(DEZ!C75))</f>
        <v>1</v>
      </c>
      <c r="H79" s="70">
        <f ca="1">IF($B79="","",SUM(JAN!E75,FEV!E75,MAR!E75,ABR!E75,MAI!E75,JUN!E75,JUL!E75,AGO!E75,SET!E75,OUT!E75,NOV!E75,DEZ!E75))</f>
        <v>0</v>
      </c>
      <c r="I79" s="70">
        <f t="shared" ca="1" si="4"/>
        <v>1</v>
      </c>
      <c r="J79" s="28" t="str">
        <f ca="1">IF($B79="","",IF(T(INDIRECT("'"&amp;$B$4&amp;"'!"&amp;ADDRESS(75,6+$F$4)))="","·",T(INDIRECT("'"&amp;$B$4&amp;"'!"&amp;ADDRESS(75,6+$F$4)))))</f>
        <v>HE</v>
      </c>
      <c r="O79" s="64" t="str">
        <f t="array" aca="1" ref="O79" ca="1">IFERROR(INDEX(INDIRECT("'"&amp;$B$4&amp;"'!B6:B155"),_xlfn.AGGREGATE(15,6,(ROW(INDIRECT("6:155"))-5)/((INDIRECT("'"&amp;$B$4&amp;"'!"&amp;ADDRESS(6,6+$F$4)&amp;":"&amp;ADDRESS(155,6+$F$4)))="HE"),70)),"")</f>
        <v/>
      </c>
      <c r="P79" s="64" t="str">
        <f t="array" aca="1" ref="P79" ca="1">IFERROR(INDEX(INDIRECT("'"&amp;$B$4&amp;"'!B6:B155"),_xlfn.AGGREGATE(15,6,(ROW(INDIRECT("6:155"))-5)/((INDIRECT("'"&amp;$B$4&amp;"'!"&amp;ADDRESS(6,6+$F$4)&amp;":"&amp;ADDRESS(155,6+$F$4)))="FE"),70)),"")</f>
        <v/>
      </c>
    </row>
    <row r="80" spans="1:16" x14ac:dyDescent="0.25">
      <c r="A80" s="58">
        <f ca="1">IF($B80="","",ROW()-9)</f>
        <v>71</v>
      </c>
      <c r="B80" s="59" t="str">
        <f ca="1">T(INDIRECT("'"&amp;$B$4&amp;"'!B76"))</f>
        <v>GUILHERME CARMARGO TEMPORARIO</v>
      </c>
      <c r="C80" s="60">
        <f ca="1">IF($B80="","",N(INDIRECT("'"&amp;$B$4&amp;"'!C76")))</f>
        <v>1</v>
      </c>
      <c r="D80" s="60">
        <f ca="1">IF($B80="","",INDIRECT("'"&amp;$B$4&amp;"'!D76"))</f>
        <v>0</v>
      </c>
      <c r="E80" s="60">
        <f ca="1">IF($B80="","",INDIRECT("'"&amp;$B$4&amp;"'!E76"))</f>
        <v>1</v>
      </c>
      <c r="F80" s="60">
        <f ca="1">IF($B80="","",INDIRECT("'"&amp;$B$4&amp;"'!F76"))</f>
        <v>0</v>
      </c>
      <c r="G80" s="60">
        <f ca="1">IF($B80="","",N(JAN!C76)+N(FEV!C76)+N(MAR!C76)+N(ABR!C76)+N(MAI!C76)+N(JUN!C76)+N(JUL!C76)+N(AGO!C76)+N(SET!C76)+N(OUT!C76)+N(NOV!C76)+N(DEZ!C76))</f>
        <v>1</v>
      </c>
      <c r="H80" s="60">
        <f ca="1">IF($B80="","",SUM(JAN!E76,FEV!E76,MAR!E76,ABR!E76,MAI!E76,JUN!E76,JUL!E76,AGO!E76,SET!E76,OUT!E76,NOV!E76,DEZ!E76))</f>
        <v>2</v>
      </c>
      <c r="I80" s="60">
        <f t="shared" ca="1" si="4"/>
        <v>-1</v>
      </c>
      <c r="J80" s="28" t="str">
        <f ca="1">IF($B80="","",IF(T(INDIRECT("'"&amp;$B$4&amp;"'!"&amp;ADDRESS(76,6+$F$4)))="","·",T(INDIRECT("'"&amp;$B$4&amp;"'!"&amp;ADDRESS(76,6+$F$4)))))</f>
        <v>HE</v>
      </c>
      <c r="O80" s="64" t="str">
        <f t="array" aca="1" ref="O80" ca="1">IFERROR(INDEX(INDIRECT("'"&amp;$B$4&amp;"'!B6:B155"),_xlfn.AGGREGATE(15,6,(ROW(INDIRECT("6:155"))-5)/((INDIRECT("'"&amp;$B$4&amp;"'!"&amp;ADDRESS(6,6+$F$4)&amp;":"&amp;ADDRESS(155,6+$F$4)))="HE"),71)),"")</f>
        <v/>
      </c>
      <c r="P80" s="64" t="str">
        <f t="array" aca="1" ref="P80" ca="1">IFERROR(INDEX(INDIRECT("'"&amp;$B$4&amp;"'!B6:B155"),_xlfn.AGGREGATE(15,6,(ROW(INDIRECT("6:155"))-5)/((INDIRECT("'"&amp;$B$4&amp;"'!"&amp;ADDRESS(6,6+$F$4)&amp;":"&amp;ADDRESS(155,6+$F$4)))="FE"),71)),"")</f>
        <v/>
      </c>
    </row>
    <row r="81" spans="1:16" x14ac:dyDescent="0.25">
      <c r="A81" s="69">
        <v>72</v>
      </c>
      <c r="B81" s="59" t="str">
        <f ca="1">T(INDIRECT("'"&amp;$B$4&amp;"'!B77"))</f>
        <v>BRYAN TEMPORARIO</v>
      </c>
      <c r="C81" s="70">
        <f ca="1">IF($B81="","",N(INDIRECT("'"&amp;$B$4&amp;"'!C77")))</f>
        <v>0</v>
      </c>
      <c r="D81" s="70">
        <f ca="1">IF($B81="","",INDIRECT("'"&amp;$B$4&amp;"'!D77"))</f>
        <v>0</v>
      </c>
      <c r="E81" s="70">
        <f ca="1">IF($B81="","",INDIRECT("'"&amp;$B$4&amp;"'!E77"))</f>
        <v>0</v>
      </c>
      <c r="F81" s="70">
        <f ca="1">IF($B81="","",INDIRECT("'"&amp;$B$4&amp;"'!F77"))</f>
        <v>0</v>
      </c>
      <c r="G81" s="70">
        <f ca="1">IF($B81="","",N(JAN!C77)+N(FEV!C77)+N(MAR!C77)+N(ABR!C77)+N(MAI!C77)+N(JUN!C77)+N(JUL!C77)+N(AGO!C77)+N(SET!C77)+N(OUT!C77)+N(NOV!C77)+N(DEZ!C77))</f>
        <v>0</v>
      </c>
      <c r="H81" s="70">
        <f ca="1">IF($B81="","",SUM(JAN!E77,FEV!E77,MAR!E77,ABR!E77,MAI!E77,JUN!E77,JUL!E77,AGO!E77,SET!E77,OUT!E77,NOV!E77,DEZ!E77))</f>
        <v>1</v>
      </c>
      <c r="I81" s="70">
        <f t="shared" ca="1" si="4"/>
        <v>-1</v>
      </c>
      <c r="J81" s="28" t="str">
        <f ca="1">IF($B81="","",IF(T(INDIRECT("'"&amp;$B$4&amp;"'!"&amp;ADDRESS(77,6+$F$4)))="","·",T(INDIRECT("'"&amp;$B$4&amp;"'!"&amp;ADDRESS(77,6+$F$4)))))</f>
        <v>·</v>
      </c>
      <c r="O81" s="64" t="str">
        <f t="array" aca="1" ref="O81" ca="1">IFERROR(INDEX(INDIRECT("'"&amp;$B$4&amp;"'!B6:B155"),_xlfn.AGGREGATE(15,6,(ROW(INDIRECT("6:155"))-5)/((INDIRECT("'"&amp;$B$4&amp;"'!"&amp;ADDRESS(6,6+$F$4)&amp;":"&amp;ADDRESS(155,6+$F$4)))="HE"),72)),"")</f>
        <v/>
      </c>
      <c r="P81" s="64" t="str">
        <f t="array" aca="1" ref="P81" ca="1">IFERROR(INDEX(INDIRECT("'"&amp;$B$4&amp;"'!B6:B155"),_xlfn.AGGREGATE(15,6,(ROW(INDIRECT("6:155"))-5)/((INDIRECT("'"&amp;$B$4&amp;"'!"&amp;ADDRESS(6,6+$F$4)&amp;":"&amp;ADDRESS(155,6+$F$4)))="FE"),72)),"")</f>
        <v/>
      </c>
    </row>
    <row r="82" spans="1:16" x14ac:dyDescent="0.25">
      <c r="A82" s="58">
        <v>73</v>
      </c>
      <c r="B82" s="59" t="str">
        <f ca="1">T(INDIRECT("'"&amp;$B$4&amp;"'!B78"))</f>
        <v>PABLO TEMPORARIO</v>
      </c>
      <c r="C82" s="60">
        <f ca="1">IF($B82="","",N(INDIRECT("'"&amp;$B$4&amp;"'!C78")))</f>
        <v>0</v>
      </c>
      <c r="D82" s="60">
        <f ca="1">IF($B82="","",INDIRECT("'"&amp;$B$4&amp;"'!D78"))</f>
        <v>0</v>
      </c>
      <c r="E82" s="60">
        <f ca="1">IF($B82="","",INDIRECT("'"&amp;$B$4&amp;"'!E78"))</f>
        <v>0</v>
      </c>
      <c r="F82" s="60">
        <f ca="1">IF($B82="","",INDIRECT("'"&amp;$B$4&amp;"'!F78"))</f>
        <v>0</v>
      </c>
      <c r="G82" s="60">
        <f ca="1">IF($B82="","",N(JAN!C78)+N(FEV!C78)+N(MAR!C78)+N(ABR!C78)+N(MAI!C78)+N(JUN!C78)+N(JUL!C78)+N(AGO!C78)+N(SET!C78)+N(OUT!C78)+N(NOV!C78)+N(DEZ!C78))</f>
        <v>0</v>
      </c>
      <c r="H82" s="60">
        <f ca="1">IF($B82="","",SUM(JAN!E78,FEV!E78,MAR!E78,ABR!E78,MAI!E78,JUN!E78,JUL!E78,AGO!E78,SET!E78,OUT!E78,NOV!E78,DEZ!E78))</f>
        <v>1</v>
      </c>
      <c r="I82" s="60">
        <f t="shared" ca="1" si="4"/>
        <v>-1</v>
      </c>
      <c r="J82" s="28" t="str">
        <f ca="1">IF($B82="","",IF(T(INDIRECT("'"&amp;$B$4&amp;"'!"&amp;ADDRESS(78,6+$F$4)))="","·",T(INDIRECT("'"&amp;$B$4&amp;"'!"&amp;ADDRESS(78,6+$F$4)))))</f>
        <v>·</v>
      </c>
      <c r="O82" s="64" t="str">
        <f t="array" aca="1" ref="O82" ca="1">IFERROR(INDEX(INDIRECT("'"&amp;$B$4&amp;"'!B6:B155"),_xlfn.AGGREGATE(15,6,(ROW(INDIRECT("6:155"))-5)/((INDIRECT("'"&amp;$B$4&amp;"'!"&amp;ADDRESS(6,6+$F$4)&amp;":"&amp;ADDRESS(155,6+$F$4)))="HE"),73)),"")</f>
        <v/>
      </c>
      <c r="P82" s="64" t="str">
        <f t="array" aca="1" ref="P82" ca="1">IFERROR(INDEX(INDIRECT("'"&amp;$B$4&amp;"'!B6:B155"),_xlfn.AGGREGATE(15,6,(ROW(INDIRECT("6:155"))-5)/((INDIRECT("'"&amp;$B$4&amp;"'!"&amp;ADDRESS(6,6+$F$4)&amp;":"&amp;ADDRESS(155,6+$F$4)))="FE"),73)),"")</f>
        <v/>
      </c>
    </row>
    <row r="83" spans="1:16" x14ac:dyDescent="0.25">
      <c r="A83" s="69">
        <v>74</v>
      </c>
      <c r="B83" s="59" t="str">
        <f ca="1">T(INDIRECT("'"&amp;$B$4&amp;"'!B79"))</f>
        <v>JOAQUIM TEMPORARIO</v>
      </c>
      <c r="C83" s="70">
        <f ca="1">IF($B83="","",N(INDIRECT("'"&amp;$B$4&amp;"'!C79")))</f>
        <v>0</v>
      </c>
      <c r="D83" s="70">
        <f ca="1">IF($B83="","",INDIRECT("'"&amp;$B$4&amp;"'!D79"))</f>
        <v>0</v>
      </c>
      <c r="E83" s="70">
        <f ca="1">IF($B83="","",INDIRECT("'"&amp;$B$4&amp;"'!E79"))</f>
        <v>1</v>
      </c>
      <c r="F83" s="70">
        <f ca="1">IF($B83="","",INDIRECT("'"&amp;$B$4&amp;"'!F79"))</f>
        <v>-1</v>
      </c>
      <c r="G83" s="70">
        <f ca="1">IF($B83="","",N(JAN!C79)+N(FEV!C79)+N(MAR!C79)+N(ABR!C79)+N(MAI!C79)+N(JUN!C79)+N(JUL!C79)+N(AGO!C79)+N(SET!C79)+N(OUT!C79)+N(NOV!C79)+N(DEZ!C79))</f>
        <v>0</v>
      </c>
      <c r="H83" s="70">
        <f ca="1">IF($B83="","",SUM(JAN!E79,FEV!E79,MAR!E79,ABR!E79,MAI!E79,JUN!E79,JUL!E79,AGO!E79,SET!E79,OUT!E79,NOV!E79,DEZ!E79))</f>
        <v>1</v>
      </c>
      <c r="I83" s="70">
        <f t="shared" ca="1" si="4"/>
        <v>-1</v>
      </c>
      <c r="J83" s="28" t="str">
        <f ca="1">IF($B83="","",IF(T(INDIRECT("'"&amp;$B$4&amp;"'!"&amp;ADDRESS(79,6+$F$4)))="","·",T(INDIRECT("'"&amp;$B$4&amp;"'!"&amp;ADDRESS(79,6+$F$4)))))</f>
        <v>·</v>
      </c>
      <c r="O83" s="64" t="str">
        <f t="array" aca="1" ref="O83" ca="1">IFERROR(INDEX(INDIRECT("'"&amp;$B$4&amp;"'!B6:B155"),_xlfn.AGGREGATE(15,6,(ROW(INDIRECT("6:155"))-5)/((INDIRECT("'"&amp;$B$4&amp;"'!"&amp;ADDRESS(6,6+$F$4)&amp;":"&amp;ADDRESS(155,6+$F$4)))="HE"),74)),"")</f>
        <v/>
      </c>
      <c r="P83" s="64" t="str">
        <f t="array" aca="1" ref="P83" ca="1">IFERROR(INDEX(INDIRECT("'"&amp;$B$4&amp;"'!B6:B155"),_xlfn.AGGREGATE(15,6,(ROW(INDIRECT("6:155"))-5)/((INDIRECT("'"&amp;$B$4&amp;"'!"&amp;ADDRESS(6,6+$F$4)&amp;":"&amp;ADDRESS(155,6+$F$4)))="FE"),74)),"")</f>
        <v/>
      </c>
    </row>
    <row r="84" spans="1:16" x14ac:dyDescent="0.25">
      <c r="A84" s="58">
        <v>75</v>
      </c>
      <c r="B84" s="59" t="str">
        <f ca="1">T(INDIRECT("'"&amp;$B$4&amp;"'!B80"))</f>
        <v>RAFAEL TEMPORARIO</v>
      </c>
      <c r="C84" s="60">
        <f ca="1">IF($B84="","",N(INDIRECT("'"&amp;$B$4&amp;"'!C80")))</f>
        <v>0</v>
      </c>
      <c r="D84" s="60">
        <f ca="1">IF($B84="","",INDIRECT("'"&amp;$B$4&amp;"'!D80"))</f>
        <v>0</v>
      </c>
      <c r="E84" s="60">
        <f ca="1">IF($B84="","",INDIRECT("'"&amp;$B$4&amp;"'!E80"))</f>
        <v>0</v>
      </c>
      <c r="F84" s="60">
        <f ca="1">IF($B84="","",INDIRECT("'"&amp;$B$4&amp;"'!F80"))</f>
        <v>0</v>
      </c>
      <c r="G84" s="60">
        <f ca="1">IF($B84="","",N(JAN!C80)+N(FEV!C80)+N(MAR!C80)+N(ABR!C80)+N(MAI!C80)+N(JUN!C80)+N(JUL!C80)+N(AGO!C80)+N(SET!C80)+N(OUT!C80)+N(NOV!C80)+N(DEZ!C80))</f>
        <v>0</v>
      </c>
      <c r="H84" s="60">
        <f ca="1">IF($B84="","",SUM(JAN!E80,FEV!E80,MAR!E80,ABR!E80,MAI!E80,JUN!E80,JUL!E80,AGO!E80,SET!E80,OUT!E80,NOV!E80,DEZ!E80))</f>
        <v>0</v>
      </c>
      <c r="I84" s="60">
        <f t="shared" ca="1" si="4"/>
        <v>0</v>
      </c>
      <c r="J84" s="28" t="str">
        <f ca="1">IF($B84="","",IF(T(INDIRECT("'"&amp;$B$4&amp;"'!"&amp;ADDRESS(80,6+$F$4)))="","·",T(INDIRECT("'"&amp;$B$4&amp;"'!"&amp;ADDRESS(80,6+$F$4)))))</f>
        <v>·</v>
      </c>
      <c r="O84" s="64" t="str">
        <f t="array" aca="1" ref="O84" ca="1">IFERROR(INDEX(INDIRECT("'"&amp;$B$4&amp;"'!B6:B155"),_xlfn.AGGREGATE(15,6,(ROW(INDIRECT("6:155"))-5)/((INDIRECT("'"&amp;$B$4&amp;"'!"&amp;ADDRESS(6,6+$F$4)&amp;":"&amp;ADDRESS(155,6+$F$4)))="HE"),75)),"")</f>
        <v/>
      </c>
      <c r="P84" s="64" t="str">
        <f t="array" aca="1" ref="P84" ca="1">IFERROR(INDEX(INDIRECT("'"&amp;$B$4&amp;"'!B6:B155"),_xlfn.AGGREGATE(15,6,(ROW(INDIRECT("6:155"))-5)/((INDIRECT("'"&amp;$B$4&amp;"'!"&amp;ADDRESS(6,6+$F$4)&amp;":"&amp;ADDRESS(155,6+$F$4)))="FE"),75)),"")</f>
        <v/>
      </c>
    </row>
    <row r="85" spans="1:16" x14ac:dyDescent="0.25">
      <c r="A85" s="69">
        <f t="shared" ref="A85:A113" ca="1" si="5">IF($B85="","",ROW()-9)</f>
        <v>76</v>
      </c>
      <c r="B85" s="59" t="str">
        <f ca="1">T(INDIRECT("'"&amp;$B$4&amp;"'!B81"))</f>
        <v>FELIPE TEMPÓRARIO</v>
      </c>
      <c r="C85" s="70">
        <f ca="1">IF($B85="","",N(INDIRECT("'"&amp;$B$4&amp;"'!C81")))</f>
        <v>0</v>
      </c>
      <c r="D85" s="70">
        <f ca="1">IF($B85="","",INDIRECT("'"&amp;$B$4&amp;"'!D81"))</f>
        <v>0</v>
      </c>
      <c r="E85" s="70">
        <f ca="1">IF($B85="","",INDIRECT("'"&amp;$B$4&amp;"'!E81"))</f>
        <v>0</v>
      </c>
      <c r="F85" s="70">
        <f ca="1">IF($B85="","",INDIRECT("'"&amp;$B$4&amp;"'!F81"))</f>
        <v>0</v>
      </c>
      <c r="G85" s="70">
        <f ca="1">IF($B85="","",N(JAN!C81)+N(FEV!C81)+N(MAR!C81)+N(ABR!C81)+N(MAI!C81)+N(JUN!C81)+N(JUL!C81)+N(AGO!C81)+N(SET!C81)+N(OUT!C81)+N(NOV!C81)+N(DEZ!C81))</f>
        <v>0</v>
      </c>
      <c r="H85" s="70">
        <f ca="1">IF($B85="","",SUM(JAN!E81,FEV!E81,MAR!E81,ABR!E81,MAI!E81,JUN!E81,JUL!E81,AGO!E81,SET!E81,OUT!E81,NOV!E81,DEZ!E81))</f>
        <v>0</v>
      </c>
      <c r="I85" s="70">
        <f t="shared" ca="1" si="4"/>
        <v>0</v>
      </c>
      <c r="J85" s="28" t="str">
        <f ca="1">IF($B85="","",IF(T(INDIRECT("'"&amp;$B$4&amp;"'!"&amp;ADDRESS(81,6+$F$4)))="","·",T(INDIRECT("'"&amp;$B$4&amp;"'!"&amp;ADDRESS(81,6+$F$4)))))</f>
        <v>·</v>
      </c>
      <c r="O85" s="64" t="str">
        <f t="array" aca="1" ref="O85" ca="1">IFERROR(INDEX(INDIRECT("'"&amp;$B$4&amp;"'!B6:B155"),_xlfn.AGGREGATE(15,6,(ROW(INDIRECT("6:155"))-5)/((INDIRECT("'"&amp;$B$4&amp;"'!"&amp;ADDRESS(6,6+$F$4)&amp;":"&amp;ADDRESS(155,6+$F$4)))="HE"),76)),"")</f>
        <v/>
      </c>
      <c r="P85" s="64" t="str">
        <f t="array" aca="1" ref="P85" ca="1">IFERROR(INDEX(INDIRECT("'"&amp;$B$4&amp;"'!B6:B155"),_xlfn.AGGREGATE(15,6,(ROW(INDIRECT("6:155"))-5)/((INDIRECT("'"&amp;$B$4&amp;"'!"&amp;ADDRESS(6,6+$F$4)&amp;":"&amp;ADDRESS(155,6+$F$4)))="FE"),76)),"")</f>
        <v/>
      </c>
    </row>
    <row r="86" spans="1:16" x14ac:dyDescent="0.25">
      <c r="A86" s="58">
        <f t="shared" ca="1" si="5"/>
        <v>77</v>
      </c>
      <c r="B86" s="59" t="str">
        <f ca="1">T(INDIRECT("'"&amp;$B$4&amp;"'!B82"))</f>
        <v>RENAN TEMPORARIO</v>
      </c>
      <c r="C86" s="60">
        <f ca="1">IF($B86="","",N(INDIRECT("'"&amp;$B$4&amp;"'!C82")))</f>
        <v>1</v>
      </c>
      <c r="D86" s="60">
        <f ca="1">IF($B86="","",INDIRECT("'"&amp;$B$4&amp;"'!D82"))</f>
        <v>0</v>
      </c>
      <c r="E86" s="60">
        <f ca="1">IF($B86="","",INDIRECT("'"&amp;$B$4&amp;"'!E82"))</f>
        <v>0</v>
      </c>
      <c r="F86" s="60">
        <f ca="1">IF($B86="","",INDIRECT("'"&amp;$B$4&amp;"'!F82"))</f>
        <v>1</v>
      </c>
      <c r="G86" s="60">
        <f ca="1">IF($B86="","",N(JAN!C82)+N(FEV!C82)+N(MAR!C82)+N(ABR!C82)+N(MAI!C82)+N(JUN!C82)+N(JUL!C82)+N(AGO!C82)+N(SET!C82)+N(OUT!C82)+N(NOV!C82)+N(DEZ!C82))</f>
        <v>1</v>
      </c>
      <c r="H86" s="60">
        <f ca="1">IF($B86="","",SUM(JAN!E82,FEV!E82,MAR!E82,ABR!E82,MAI!E82,JUN!E82,JUL!E82,AGO!E82,SET!E82,OUT!E82,NOV!E82,DEZ!E82))</f>
        <v>1</v>
      </c>
      <c r="I86" s="60">
        <f t="shared" ca="1" si="4"/>
        <v>0</v>
      </c>
      <c r="J86" s="28" t="str">
        <f ca="1">IF($B86="","",IF(T(INDIRECT("'"&amp;$B$4&amp;"'!"&amp;ADDRESS(82,6+$F$4)))="","·",T(INDIRECT("'"&amp;$B$4&amp;"'!"&amp;ADDRESS(82,6+$F$4)))))</f>
        <v>HE</v>
      </c>
      <c r="O86" s="64" t="str">
        <f t="array" aca="1" ref="O86" ca="1">IFERROR(INDEX(INDIRECT("'"&amp;$B$4&amp;"'!B6:B155"),_xlfn.AGGREGATE(15,6,(ROW(INDIRECT("6:155"))-5)/((INDIRECT("'"&amp;$B$4&amp;"'!"&amp;ADDRESS(6,6+$F$4)&amp;":"&amp;ADDRESS(155,6+$F$4)))="HE"),77)),"")</f>
        <v/>
      </c>
      <c r="P86" s="64" t="str">
        <f t="array" aca="1" ref="P86" ca="1">IFERROR(INDEX(INDIRECT("'"&amp;$B$4&amp;"'!B6:B155"),_xlfn.AGGREGATE(15,6,(ROW(INDIRECT("6:155"))-5)/((INDIRECT("'"&amp;$B$4&amp;"'!"&amp;ADDRESS(6,6+$F$4)&amp;":"&amp;ADDRESS(155,6+$F$4)))="FE"),77)),"")</f>
        <v/>
      </c>
    </row>
    <row r="87" spans="1:16" x14ac:dyDescent="0.25">
      <c r="A87" s="58">
        <f t="shared" ca="1" si="5"/>
        <v>78</v>
      </c>
      <c r="B87" s="59" t="str">
        <f ca="1">T(INDIRECT("'"&amp;$B$4&amp;"'!B83"))</f>
        <v>VILSON TEMPORARIO</v>
      </c>
      <c r="C87" s="60">
        <f ca="1">IF($B87="","",N(INDIRECT("'"&amp;$B$4&amp;"'!C83")))</f>
        <v>0</v>
      </c>
      <c r="D87" s="60">
        <f ca="1">IF($B87="","",INDIRECT("'"&amp;$B$4&amp;"'!D83"))</f>
        <v>0</v>
      </c>
      <c r="E87" s="60">
        <f ca="1">IF($B87="","",INDIRECT("'"&amp;$B$4&amp;"'!E83"))</f>
        <v>0</v>
      </c>
      <c r="F87" s="60">
        <f ca="1">IF($B87="","",INDIRECT("'"&amp;$B$4&amp;"'!F83"))</f>
        <v>0</v>
      </c>
      <c r="G87" s="60">
        <f ca="1">IF($B87="","",N(JAN!C83)+N(FEV!C83)+N(MAR!C83)+N(ABR!C83)+N(MAI!C83)+N(JUN!C83)+N(JUL!C83)+N(AGO!C83)+N(SET!C83)+N(OUT!C83)+N(NOV!C83)+N(DEZ!C83))</f>
        <v>0</v>
      </c>
      <c r="H87" s="60">
        <f ca="1">IF($B87="","",SUM(JAN!E83,FEV!E83,MAR!E83,ABR!E83,MAI!E83,JUN!E83,JUL!E83,AGO!E83,SET!E83,OUT!E83,NOV!E83,DEZ!E83))</f>
        <v>0</v>
      </c>
      <c r="I87" s="60">
        <f t="shared" ca="1" si="4"/>
        <v>0</v>
      </c>
      <c r="J87" s="28" t="str">
        <f ca="1">IF($B87="","",IF(T(INDIRECT("'"&amp;$B$4&amp;"'!"&amp;ADDRESS(83,6+$F$4)))="","·",T(INDIRECT("'"&amp;$B$4&amp;"'!"&amp;ADDRESS(83,6+$F$4)))))</f>
        <v>·</v>
      </c>
      <c r="O87" s="64" t="str">
        <f t="array" aca="1" ref="O87" ca="1">IFERROR(INDEX(INDIRECT("'"&amp;$B$4&amp;"'!B6:B155"),_xlfn.AGGREGATE(15,6,(ROW(INDIRECT("6:155"))-5)/((INDIRECT("'"&amp;$B$4&amp;"'!"&amp;ADDRESS(6,6+$F$4)&amp;":"&amp;ADDRESS(155,6+$F$4)))="HE"),78)),"")</f>
        <v/>
      </c>
      <c r="P87" s="64" t="str">
        <f t="array" aca="1" ref="P87" ca="1">IFERROR(INDEX(INDIRECT("'"&amp;$B$4&amp;"'!B6:B155"),_xlfn.AGGREGATE(15,6,(ROW(INDIRECT("6:155"))-5)/((INDIRECT("'"&amp;$B$4&amp;"'!"&amp;ADDRESS(6,6+$F$4)&amp;":"&amp;ADDRESS(155,6+$F$4)))="FE"),78)),"")</f>
        <v/>
      </c>
    </row>
    <row r="88" spans="1:16" x14ac:dyDescent="0.25">
      <c r="A88" s="58">
        <f t="shared" ca="1" si="5"/>
        <v>79</v>
      </c>
      <c r="B88" s="59" t="str">
        <f ca="1">T(INDIRECT("'"&amp;$B$4&amp;"'!B84"))</f>
        <v>MARCO TEMPORARIO</v>
      </c>
      <c r="C88" s="60">
        <f ca="1">IF($B88="","",N(INDIRECT("'"&amp;$B$4&amp;"'!C84")))</f>
        <v>0</v>
      </c>
      <c r="D88" s="60">
        <f ca="1">IF($B88="","",INDIRECT("'"&amp;$B$4&amp;"'!D84"))</f>
        <v>0</v>
      </c>
      <c r="E88" s="60">
        <f ca="1">IF($B88="","",INDIRECT("'"&amp;$B$4&amp;"'!E84"))</f>
        <v>0</v>
      </c>
      <c r="F88" s="60">
        <f ca="1">IF($B88="","",INDIRECT("'"&amp;$B$4&amp;"'!F84"))</f>
        <v>0</v>
      </c>
      <c r="G88" s="60">
        <f ca="1">IF($B88="","",N(JAN!C84)+N(FEV!C84)+N(MAR!C84)+N(ABR!C84)+N(MAI!C84)+N(JUN!C84)+N(JUL!C84)+N(AGO!C84)+N(SET!C84)+N(OUT!C84)+N(NOV!C84)+N(DEZ!C84))</f>
        <v>0</v>
      </c>
      <c r="H88" s="60">
        <f ca="1">IF($B88="","",SUM(JAN!E84,FEV!E84,MAR!E84,ABR!E84,MAI!E84,JUN!E84,JUL!E84,AGO!E84,SET!E84,OUT!E84,NOV!E84,DEZ!E84))</f>
        <v>0</v>
      </c>
      <c r="I88" s="60">
        <f t="shared" ca="1" si="4"/>
        <v>0</v>
      </c>
      <c r="J88" s="28" t="str">
        <f ca="1">IF($B88="","",IF(T(INDIRECT("'"&amp;$B$4&amp;"'!"&amp;ADDRESS(84,6+$F$4)))="","·",T(INDIRECT("'"&amp;$B$4&amp;"'!"&amp;ADDRESS(84,6+$F$4)))))</f>
        <v>·</v>
      </c>
      <c r="O88" s="64" t="str">
        <f t="array" aca="1" ref="O88" ca="1">IFERROR(INDEX(INDIRECT("'"&amp;$B$4&amp;"'!B6:B155"),_xlfn.AGGREGATE(15,6,(ROW(INDIRECT("6:155"))-5)/((INDIRECT("'"&amp;$B$4&amp;"'!"&amp;ADDRESS(6,6+$F$4)&amp;":"&amp;ADDRESS(155,6+$F$4)))="HE"),79)),"")</f>
        <v/>
      </c>
      <c r="P88" s="64" t="str">
        <f t="array" aca="1" ref="P88" ca="1">IFERROR(INDEX(INDIRECT("'"&amp;$B$4&amp;"'!B6:B155"),_xlfn.AGGREGATE(15,6,(ROW(INDIRECT("6:155"))-5)/((INDIRECT("'"&amp;$B$4&amp;"'!"&amp;ADDRESS(6,6+$F$4)&amp;":"&amp;ADDRESS(155,6+$F$4)))="FE"),79)),"")</f>
        <v/>
      </c>
    </row>
    <row r="89" spans="1:16" x14ac:dyDescent="0.25">
      <c r="A89" s="58">
        <f t="shared" ca="1" si="5"/>
        <v>80</v>
      </c>
      <c r="B89" s="78" t="str">
        <f ca="1">T(INDIRECT("'"&amp;$B$4&amp;"'!B85"))</f>
        <v>MARCELO CUSTORIO 313401</v>
      </c>
      <c r="C89" s="60">
        <f ca="1">IF($B89="","",N(INDIRECT("'"&amp;$B$4&amp;"'!C85")))</f>
        <v>0</v>
      </c>
      <c r="D89" s="60">
        <f ca="1">IF($B89="","",INDIRECT("'"&amp;$B$4&amp;"'!D85"))</f>
        <v>0</v>
      </c>
      <c r="E89" s="60">
        <f ca="1">IF($B89="","",INDIRECT("'"&amp;$B$4&amp;"'!E85"))</f>
        <v>0</v>
      </c>
      <c r="F89" s="60">
        <f ca="1">IF($B89="","",INDIRECT("'"&amp;$B$4&amp;"'!F85"))</f>
        <v>0</v>
      </c>
      <c r="G89" s="60">
        <f ca="1">IF($B89="","",N(JAN!C85)+N(FEV!C85)+N(MAR!C85)+N(ABR!C85)+N(MAI!C85)+N(JUN!C85)+N(JUL!C85)+N(AGO!C85)+N(SET!C85)+N(OUT!C85)+N(NOV!C85)+N(DEZ!C85))</f>
        <v>0</v>
      </c>
      <c r="H89" s="60">
        <f ca="1">IF($B89="","",SUM(JAN!E85,FEV!E85,MAR!E85,ABR!E85,MAI!E85,JUN!E85,JUL!E85,AGO!E85,SET!E85,OUT!E85,NOV!E85,DEZ!E85))</f>
        <v>0</v>
      </c>
      <c r="I89" s="60">
        <f t="shared" ca="1" si="4"/>
        <v>0</v>
      </c>
      <c r="J89" s="28" t="str">
        <f ca="1">IF($B89="","",IF(T(INDIRECT("'"&amp;$B$4&amp;"'!"&amp;ADDRESS(85,6+$F$4)))="","·",T(INDIRECT("'"&amp;$B$4&amp;"'!"&amp;ADDRESS(85,6+$F$4)))))</f>
        <v>·</v>
      </c>
      <c r="O89" s="64" t="str">
        <f t="array" aca="1" ref="O89" ca="1">IFERROR(INDEX(INDIRECT("'"&amp;$B$4&amp;"'!B6:B155"),_xlfn.AGGREGATE(15,6,(ROW(INDIRECT("6:155"))-5)/((INDIRECT("'"&amp;$B$4&amp;"'!"&amp;ADDRESS(6,6+$F$4)&amp;":"&amp;ADDRESS(155,6+$F$4)))="HE"),80)),"")</f>
        <v/>
      </c>
      <c r="P89" s="64" t="str">
        <f t="array" aca="1" ref="P89" ca="1">IFERROR(INDEX(INDIRECT("'"&amp;$B$4&amp;"'!B6:B155"),_xlfn.AGGREGATE(15,6,(ROW(INDIRECT("6:155"))-5)/((INDIRECT("'"&amp;$B$4&amp;"'!"&amp;ADDRESS(6,6+$F$4)&amp;":"&amp;ADDRESS(155,6+$F$4)))="FE"),80)),"")</f>
        <v/>
      </c>
    </row>
    <row r="90" spans="1:16" x14ac:dyDescent="0.25">
      <c r="A90" s="58">
        <f t="shared" ca="1" si="5"/>
        <v>81</v>
      </c>
      <c r="B90" s="59" t="str">
        <f ca="1">T(INDIRECT("'"&amp;$B$4&amp;"'!B86"))</f>
        <v>TAYLOR TEMPORÁRIO</v>
      </c>
      <c r="C90" s="60">
        <f ca="1">IF($B90="","",N(INDIRECT("'"&amp;$B$4&amp;"'!C86")))</f>
        <v>1</v>
      </c>
      <c r="D90" s="60">
        <f ca="1">IF($B90="","",INDIRECT("'"&amp;$B$4&amp;"'!D86"))</f>
        <v>0</v>
      </c>
      <c r="E90" s="60">
        <f ca="1">IF($B90="","",INDIRECT("'"&amp;$B$4&amp;"'!E86"))</f>
        <v>0</v>
      </c>
      <c r="F90" s="60">
        <f ca="1">IF($B90="","",INDIRECT("'"&amp;$B$4&amp;"'!F86"))</f>
        <v>1</v>
      </c>
      <c r="G90" s="60">
        <f ca="1">IF($B90="","",N(JAN!C86)+N(FEV!C86)+N(MAR!C86)+N(ABR!C86)+N(MAI!C86)+N(JUN!C86)+N(JUL!C86)+N(AGO!C86)+N(SET!C86)+N(OUT!C86)+N(NOV!C86)+N(DEZ!C86))</f>
        <v>1</v>
      </c>
      <c r="H90" s="60">
        <f ca="1">IF($B90="","",SUM(JAN!E86,FEV!E86,MAR!E86,ABR!E86,MAI!E86,JUN!E86,JUL!E86,AGO!E86,SET!E86,OUT!E86,NOV!E86,DEZ!E86))</f>
        <v>0</v>
      </c>
      <c r="I90" s="60">
        <f t="shared" ca="1" si="4"/>
        <v>1</v>
      </c>
      <c r="J90" s="28" t="str">
        <f ca="1">IF($B90="","",IF(T(INDIRECT("'"&amp;$B$4&amp;"'!"&amp;ADDRESS(86,6+$F$4)))="","·",T(INDIRECT("'"&amp;$B$4&amp;"'!"&amp;ADDRESS(86,6+$F$4)))))</f>
        <v>HE</v>
      </c>
      <c r="O90" s="64" t="str">
        <f t="array" aca="1" ref="O90" ca="1">IFERROR(INDEX(INDIRECT("'"&amp;$B$4&amp;"'!B6:B155"),_xlfn.AGGREGATE(15,6,(ROW(INDIRECT("6:155"))-5)/((INDIRECT("'"&amp;$B$4&amp;"'!"&amp;ADDRESS(6,6+$F$4)&amp;":"&amp;ADDRESS(155,6+$F$4)))="HE"),81)),"")</f>
        <v/>
      </c>
      <c r="P90" s="64" t="str">
        <f t="array" aca="1" ref="P90" ca="1">IFERROR(INDEX(INDIRECT("'"&amp;$B$4&amp;"'!B6:B155"),_xlfn.AGGREGATE(15,6,(ROW(INDIRECT("6:155"))-5)/((INDIRECT("'"&amp;$B$4&amp;"'!"&amp;ADDRESS(6,6+$F$4)&amp;":"&amp;ADDRESS(155,6+$F$4)))="FE"),81)),"")</f>
        <v/>
      </c>
    </row>
    <row r="91" spans="1:16" outlineLevel="1" x14ac:dyDescent="0.25">
      <c r="A91" s="58">
        <f t="shared" ca="1" si="5"/>
        <v>82</v>
      </c>
      <c r="B91" s="59" t="str">
        <f ca="1">T(INDIRECT("'"&amp;$B$4&amp;"'!B87"))</f>
        <v>ÉRICK TEMPORÁRIO</v>
      </c>
      <c r="C91" s="60">
        <f ca="1">IF($B91="","",N(INDIRECT("'"&amp;$B$4&amp;"'!C87")))</f>
        <v>1</v>
      </c>
      <c r="D91" s="60">
        <f ca="1">IF($B91="","",INDIRECT("'"&amp;$B$4&amp;"'!D87"))</f>
        <v>0</v>
      </c>
      <c r="E91" s="60">
        <f ca="1">IF($B91="","",INDIRECT("'"&amp;$B$4&amp;"'!E87"))</f>
        <v>0</v>
      </c>
      <c r="F91" s="60">
        <f ca="1">IF($B91="","",INDIRECT("'"&amp;$B$4&amp;"'!F87"))</f>
        <v>1</v>
      </c>
      <c r="G91" s="60">
        <f ca="1">IF($B91="","",N(JAN!C87)+N(FEV!C87)+N(MAR!C87)+N(ABR!C87)+N(MAI!C87)+N(JUN!C87)+N(JUL!C87)+N(AGO!C87)+N(SET!C87)+N(OUT!C87)+N(NOV!C87)+N(DEZ!C87))</f>
        <v>1</v>
      </c>
      <c r="H91" s="60">
        <f ca="1">IF($B91="","",SUM(JAN!E87,FEV!E87,MAR!E87,ABR!E87,MAI!E87,JUN!E87,JUL!E87,AGO!E87,SET!E87,OUT!E87,NOV!E87,DEZ!E87))</f>
        <v>0</v>
      </c>
      <c r="I91" s="60">
        <f t="shared" ca="1" si="4"/>
        <v>1</v>
      </c>
      <c r="J91" s="28" t="str">
        <f ca="1">IF($B91="","",IF(T(INDIRECT("'"&amp;$B$4&amp;"'!"&amp;ADDRESS(87,6+$F$4)))="","·",T(INDIRECT("'"&amp;$B$4&amp;"'!"&amp;ADDRESS(87,6+$F$4)))))</f>
        <v>HE</v>
      </c>
      <c r="O91" s="64" t="str">
        <f t="array" aca="1" ref="O91" ca="1">IFERROR(INDEX(INDIRECT("'"&amp;$B$4&amp;"'!B6:B155"),_xlfn.AGGREGATE(15,6,(ROW(INDIRECT("6:155"))-5)/((INDIRECT("'"&amp;$B$4&amp;"'!"&amp;ADDRESS(6,6+$F$4)&amp;":"&amp;ADDRESS(155,6+$F$4)))="HE"),82)),"")</f>
        <v/>
      </c>
      <c r="P91" s="64" t="str">
        <f t="array" aca="1" ref="P91" ca="1">IFERROR(INDEX(INDIRECT("'"&amp;$B$4&amp;"'!B6:B155"),_xlfn.AGGREGATE(15,6,(ROW(INDIRECT("6:155"))-5)/((INDIRECT("'"&amp;$B$4&amp;"'!"&amp;ADDRESS(6,6+$F$4)&amp;":"&amp;ADDRESS(155,6+$F$4)))="FE"),82)),"")</f>
        <v/>
      </c>
    </row>
    <row r="92" spans="1:16" outlineLevel="1" x14ac:dyDescent="0.25">
      <c r="A92" s="58" t="str">
        <f t="shared" ca="1" si="5"/>
        <v/>
      </c>
      <c r="B92" s="59" t="str">
        <f ca="1">T(INDIRECT("'"&amp;$B$4&amp;"'!B88"))</f>
        <v/>
      </c>
      <c r="C92" s="60" t="str">
        <f ca="1">IF($B92="","",N(INDIRECT("'"&amp;$B$4&amp;"'!C88")))</f>
        <v/>
      </c>
      <c r="D92" s="60" t="str">
        <f ca="1">IF($B92="","",INDIRECT("'"&amp;$B$4&amp;"'!D88"))</f>
        <v/>
      </c>
      <c r="E92" s="60" t="str">
        <f ca="1">IF($B92="","",INDIRECT("'"&amp;$B$4&amp;"'!E88"))</f>
        <v/>
      </c>
      <c r="F92" s="60" t="str">
        <f ca="1">IF($B92="","",INDIRECT("'"&amp;$B$4&amp;"'!F88"))</f>
        <v/>
      </c>
      <c r="G92" s="60" t="str">
        <f ca="1">IF($B92="","",N(JAN!C88)+N(FEV!C88)+N(MAR!C88)+N(ABR!C88)+N(MAI!C88)+N(JUN!C88)+N(JUL!C88)+N(AGO!C88)+N(SET!C88)+N(OUT!C88)+N(NOV!C88)+N(DEZ!C88))</f>
        <v/>
      </c>
      <c r="H92" s="60" t="str">
        <f ca="1">IF($B92="","",SUM(JAN!E88,FEV!E88,MAR!E88,ABR!E88,MAI!E88,JUN!E88,JUL!E88,AGO!E88,SET!E88,OUT!E88,NOV!E88,DEZ!E88))</f>
        <v/>
      </c>
      <c r="I92" s="60" t="str">
        <f t="shared" ca="1" si="4"/>
        <v/>
      </c>
      <c r="J92" s="28" t="str">
        <f ca="1">IF($B92="","",IF(T(INDIRECT("'"&amp;$B$4&amp;"'!"&amp;ADDRESS(88,6+$F$4)))="","·",T(INDIRECT("'"&amp;$B$4&amp;"'!"&amp;ADDRESS(88,6+$F$4)))))</f>
        <v/>
      </c>
      <c r="O92" s="64" t="str">
        <f t="array" aca="1" ref="O92" ca="1">IFERROR(INDEX(INDIRECT("'"&amp;$B$4&amp;"'!B6:B155"),_xlfn.AGGREGATE(15,6,(ROW(INDIRECT("6:155"))-5)/((INDIRECT("'"&amp;$B$4&amp;"'!"&amp;ADDRESS(6,6+$F$4)&amp;":"&amp;ADDRESS(155,6+$F$4)))="HE"),83)),"")</f>
        <v/>
      </c>
      <c r="P92" s="64" t="str">
        <f t="array" aca="1" ref="P92" ca="1">IFERROR(INDEX(INDIRECT("'"&amp;$B$4&amp;"'!B6:B155"),_xlfn.AGGREGATE(15,6,(ROW(INDIRECT("6:155"))-5)/((INDIRECT("'"&amp;$B$4&amp;"'!"&amp;ADDRESS(6,6+$F$4)&amp;":"&amp;ADDRESS(155,6+$F$4)))="FE"),83)),"")</f>
        <v/>
      </c>
    </row>
    <row r="93" spans="1:16" outlineLevel="1" x14ac:dyDescent="0.25">
      <c r="A93" s="58" t="str">
        <f t="shared" ca="1" si="5"/>
        <v/>
      </c>
      <c r="B93" s="59" t="str">
        <f ca="1">T(INDIRECT("'"&amp;$B$4&amp;"'!B89"))</f>
        <v/>
      </c>
      <c r="C93" s="60" t="str">
        <f ca="1">IF($B93="","",N(INDIRECT("'"&amp;$B$4&amp;"'!C89")))</f>
        <v/>
      </c>
      <c r="D93" s="60" t="str">
        <f ca="1">IF($B93="","",INDIRECT("'"&amp;$B$4&amp;"'!D89"))</f>
        <v/>
      </c>
      <c r="E93" s="60" t="str">
        <f ca="1">IF($B93="","",INDIRECT("'"&amp;$B$4&amp;"'!E89"))</f>
        <v/>
      </c>
      <c r="F93" s="60" t="str">
        <f ca="1">IF($B93="","",INDIRECT("'"&amp;$B$4&amp;"'!F89"))</f>
        <v/>
      </c>
      <c r="G93" s="60" t="str">
        <f ca="1">IF($B93="","",N(JAN!C89)+N(FEV!C89)+N(MAR!C89)+N(ABR!C89)+N(MAI!C89)+N(JUN!C89)+N(JUL!C89)+N(AGO!C89)+N(SET!C89)+N(OUT!C89)+N(NOV!C89)+N(DEZ!C89))</f>
        <v/>
      </c>
      <c r="H93" s="60" t="str">
        <f ca="1">IF($B93="","",SUM(JAN!E89,FEV!E89,MAR!E89,ABR!E89,MAI!E89,JUN!E89,JUL!E89,AGO!E89,SET!E89,OUT!E89,NOV!E89,DEZ!E89))</f>
        <v/>
      </c>
      <c r="I93" s="60" t="str">
        <f t="shared" ca="1" si="4"/>
        <v/>
      </c>
      <c r="J93" s="28" t="str">
        <f ca="1">IF($B93="","",IF(T(INDIRECT("'"&amp;$B$4&amp;"'!"&amp;ADDRESS(89,6+$F$4)))="","·",T(INDIRECT("'"&amp;$B$4&amp;"'!"&amp;ADDRESS(89,6+$F$4)))))</f>
        <v/>
      </c>
      <c r="O93" s="64" t="str">
        <f t="array" aca="1" ref="O93" ca="1">IFERROR(INDEX(INDIRECT("'"&amp;$B$4&amp;"'!B6:B155"),_xlfn.AGGREGATE(15,6,(ROW(INDIRECT("6:155"))-5)/((INDIRECT("'"&amp;$B$4&amp;"'!"&amp;ADDRESS(6,6+$F$4)&amp;":"&amp;ADDRESS(155,6+$F$4)))="HE"),84)),"")</f>
        <v/>
      </c>
      <c r="P93" s="64" t="str">
        <f t="array" aca="1" ref="P93" ca="1">IFERROR(INDEX(INDIRECT("'"&amp;$B$4&amp;"'!B6:B155"),_xlfn.AGGREGATE(15,6,(ROW(INDIRECT("6:155"))-5)/((INDIRECT("'"&amp;$B$4&amp;"'!"&amp;ADDRESS(6,6+$F$4)&amp;":"&amp;ADDRESS(155,6+$F$4)))="FE"),84)),"")</f>
        <v/>
      </c>
    </row>
    <row r="94" spans="1:16" outlineLevel="1" x14ac:dyDescent="0.25">
      <c r="A94" s="58" t="str">
        <f t="shared" ca="1" si="5"/>
        <v/>
      </c>
      <c r="B94" s="59" t="str">
        <f ca="1">T(INDIRECT("'"&amp;$B$4&amp;"'!B90"))</f>
        <v/>
      </c>
      <c r="C94" s="60" t="str">
        <f ca="1">IF($B94="","",N(INDIRECT("'"&amp;$B$4&amp;"'!C90")))</f>
        <v/>
      </c>
      <c r="D94" s="60" t="str">
        <f ca="1">IF($B94="","",INDIRECT("'"&amp;$B$4&amp;"'!D90"))</f>
        <v/>
      </c>
      <c r="E94" s="60" t="str">
        <f ca="1">IF($B94="","",INDIRECT("'"&amp;$B$4&amp;"'!E90"))</f>
        <v/>
      </c>
      <c r="F94" s="60" t="str">
        <f ca="1">IF($B94="","",INDIRECT("'"&amp;$B$4&amp;"'!F90"))</f>
        <v/>
      </c>
      <c r="G94" s="60" t="str">
        <f ca="1">IF($B94="","",N(JAN!C90)+N(FEV!C90)+N(MAR!C90)+N(ABR!C90)+N(MAI!C90)+N(JUN!C90)+N(JUL!C90)+N(AGO!C90)+N(SET!C90)+N(OUT!C90)+N(NOV!C90)+N(DEZ!C90))</f>
        <v/>
      </c>
      <c r="H94" s="60" t="str">
        <f ca="1">IF($B94="","",SUM(JAN!E90,FEV!E90,MAR!E90,ABR!E90,MAI!E90,JUN!E90,JUL!E90,AGO!E90,SET!E90,OUT!E90,NOV!E90,DEZ!E90))</f>
        <v/>
      </c>
      <c r="I94" s="60" t="str">
        <f t="shared" ca="1" si="4"/>
        <v/>
      </c>
      <c r="J94" s="28" t="str">
        <f ca="1">IF($B94="","",IF(T(INDIRECT("'"&amp;$B$4&amp;"'!"&amp;ADDRESS(90,6+$F$4)))="","·",T(INDIRECT("'"&amp;$B$4&amp;"'!"&amp;ADDRESS(90,6+$F$4)))))</f>
        <v/>
      </c>
      <c r="O94" s="64" t="str">
        <f t="array" aca="1" ref="O94" ca="1">IFERROR(INDEX(INDIRECT("'"&amp;$B$4&amp;"'!B6:B155"),_xlfn.AGGREGATE(15,6,(ROW(INDIRECT("6:155"))-5)/((INDIRECT("'"&amp;$B$4&amp;"'!"&amp;ADDRESS(6,6+$F$4)&amp;":"&amp;ADDRESS(155,6+$F$4)))="HE"),85)),"")</f>
        <v/>
      </c>
      <c r="P94" s="64" t="str">
        <f t="array" aca="1" ref="P94" ca="1">IFERROR(INDEX(INDIRECT("'"&amp;$B$4&amp;"'!B6:B155"),_xlfn.AGGREGATE(15,6,(ROW(INDIRECT("6:155"))-5)/((INDIRECT("'"&amp;$B$4&amp;"'!"&amp;ADDRESS(6,6+$F$4)&amp;":"&amp;ADDRESS(155,6+$F$4)))="FE"),85)),"")</f>
        <v/>
      </c>
    </row>
    <row r="95" spans="1:16" outlineLevel="1" x14ac:dyDescent="0.25">
      <c r="A95" s="58" t="str">
        <f t="shared" ca="1" si="5"/>
        <v/>
      </c>
      <c r="B95" s="59" t="str">
        <f ca="1">T(INDIRECT("'"&amp;$B$4&amp;"'!B91"))</f>
        <v/>
      </c>
      <c r="C95" s="60" t="str">
        <f ca="1">IF($B95="","",N(INDIRECT("'"&amp;$B$4&amp;"'!C91")))</f>
        <v/>
      </c>
      <c r="D95" s="60" t="str">
        <f ca="1">IF($B95="","",INDIRECT("'"&amp;$B$4&amp;"'!D91"))</f>
        <v/>
      </c>
      <c r="E95" s="60" t="str">
        <f ca="1">IF($B95="","",INDIRECT("'"&amp;$B$4&amp;"'!E91"))</f>
        <v/>
      </c>
      <c r="F95" s="60" t="str">
        <f ca="1">IF($B95="","",INDIRECT("'"&amp;$B$4&amp;"'!F91"))</f>
        <v/>
      </c>
      <c r="G95" s="60" t="str">
        <f ca="1">IF($B95="","",N(JAN!C91)+N(FEV!C91)+N(MAR!C91)+N(ABR!C91)+N(MAI!C91)+N(JUN!C91)+N(JUL!C91)+N(AGO!C91)+N(SET!C91)+N(OUT!C91)+N(NOV!C91)+N(DEZ!C91))</f>
        <v/>
      </c>
      <c r="H95" s="60" t="str">
        <f ca="1">IF($B95="","",SUM(JAN!E91,FEV!E91,MAR!E91,ABR!E91,MAI!E91,JUN!E91,JUL!E91,AGO!E91,SET!E91,OUT!E91,NOV!E91,DEZ!E91))</f>
        <v/>
      </c>
      <c r="I95" s="60" t="str">
        <f t="shared" ca="1" si="4"/>
        <v/>
      </c>
      <c r="J95" s="28" t="str">
        <f ca="1">IF($B95="","",IF(T(INDIRECT("'"&amp;$B$4&amp;"'!"&amp;ADDRESS(91,6+$F$4)))="","·",T(INDIRECT("'"&amp;$B$4&amp;"'!"&amp;ADDRESS(91,6+$F$4)))))</f>
        <v/>
      </c>
      <c r="O95" s="64" t="str">
        <f t="array" aca="1" ref="O95" ca="1">IFERROR(INDEX(INDIRECT("'"&amp;$B$4&amp;"'!B6:B155"),_xlfn.AGGREGATE(15,6,(ROW(INDIRECT("6:155"))-5)/((INDIRECT("'"&amp;$B$4&amp;"'!"&amp;ADDRESS(6,6+$F$4)&amp;":"&amp;ADDRESS(155,6+$F$4)))="HE"),86)),"")</f>
        <v/>
      </c>
      <c r="P95" s="64" t="str">
        <f t="array" aca="1" ref="P95" ca="1">IFERROR(INDEX(INDIRECT("'"&amp;$B$4&amp;"'!B6:B155"),_xlfn.AGGREGATE(15,6,(ROW(INDIRECT("6:155"))-5)/((INDIRECT("'"&amp;$B$4&amp;"'!"&amp;ADDRESS(6,6+$F$4)&amp;":"&amp;ADDRESS(155,6+$F$4)))="FE"),86)),"")</f>
        <v/>
      </c>
    </row>
    <row r="96" spans="1:16" outlineLevel="1" x14ac:dyDescent="0.25">
      <c r="A96" s="58" t="str">
        <f t="shared" ca="1" si="5"/>
        <v/>
      </c>
      <c r="B96" s="59" t="str">
        <f ca="1">T(INDIRECT("'"&amp;$B$4&amp;"'!B92"))</f>
        <v/>
      </c>
      <c r="C96" s="60" t="str">
        <f ca="1">IF($B96="","",N(INDIRECT("'"&amp;$B$4&amp;"'!C92")))</f>
        <v/>
      </c>
      <c r="D96" s="60" t="str">
        <f ca="1">IF($B96="","",INDIRECT("'"&amp;$B$4&amp;"'!D92"))</f>
        <v/>
      </c>
      <c r="E96" s="60" t="str">
        <f ca="1">IF($B96="","",INDIRECT("'"&amp;$B$4&amp;"'!E92"))</f>
        <v/>
      </c>
      <c r="F96" s="60" t="str">
        <f ca="1">IF($B96="","",INDIRECT("'"&amp;$B$4&amp;"'!F92"))</f>
        <v/>
      </c>
      <c r="G96" s="60" t="str">
        <f ca="1">IF($B96="","",N(JAN!C92)+N(FEV!C92)+N(MAR!C92)+N(ABR!C92)+N(MAI!C92)+N(JUN!C92)+N(JUL!C92)+N(AGO!C92)+N(SET!C92)+N(OUT!C92)+N(NOV!C92)+N(DEZ!C92))</f>
        <v/>
      </c>
      <c r="H96" s="60" t="str">
        <f ca="1">IF($B96="","",SUM(JAN!E92,FEV!E92,MAR!E92,ABR!E92,MAI!E92,JUN!E92,JUL!E92,AGO!E92,SET!E92,OUT!E92,NOV!E92,DEZ!E92))</f>
        <v/>
      </c>
      <c r="I96" s="60" t="str">
        <f t="shared" ca="1" si="4"/>
        <v/>
      </c>
      <c r="J96" s="28" t="str">
        <f ca="1">IF($B96="","",IF(T(INDIRECT("'"&amp;$B$4&amp;"'!"&amp;ADDRESS(92,6+$F$4)))="","·",T(INDIRECT("'"&amp;$B$4&amp;"'!"&amp;ADDRESS(92,6+$F$4)))))</f>
        <v/>
      </c>
      <c r="O96" s="64" t="str">
        <f t="array" aca="1" ref="O96" ca="1">IFERROR(INDEX(INDIRECT("'"&amp;$B$4&amp;"'!B6:B155"),_xlfn.AGGREGATE(15,6,(ROW(INDIRECT("6:155"))-5)/((INDIRECT("'"&amp;$B$4&amp;"'!"&amp;ADDRESS(6,6+$F$4)&amp;":"&amp;ADDRESS(155,6+$F$4)))="HE"),87)),"")</f>
        <v/>
      </c>
      <c r="P96" s="64" t="str">
        <f t="array" aca="1" ref="P96" ca="1">IFERROR(INDEX(INDIRECT("'"&amp;$B$4&amp;"'!B6:B155"),_xlfn.AGGREGATE(15,6,(ROW(INDIRECT("6:155"))-5)/((INDIRECT("'"&amp;$B$4&amp;"'!"&amp;ADDRESS(6,6+$F$4)&amp;":"&amp;ADDRESS(155,6+$F$4)))="FE"),87)),"")</f>
        <v/>
      </c>
    </row>
    <row r="97" spans="1:16" outlineLevel="1" x14ac:dyDescent="0.25">
      <c r="A97" s="58" t="str">
        <f t="shared" ca="1" si="5"/>
        <v/>
      </c>
      <c r="B97" s="59" t="str">
        <f ca="1">T(INDIRECT("'"&amp;$B$4&amp;"'!B93"))</f>
        <v/>
      </c>
      <c r="C97" s="60" t="str">
        <f ca="1">IF($B97="","",N(INDIRECT("'"&amp;$B$4&amp;"'!C93")))</f>
        <v/>
      </c>
      <c r="D97" s="60" t="str">
        <f ca="1">IF($B97="","",INDIRECT("'"&amp;$B$4&amp;"'!D93"))</f>
        <v/>
      </c>
      <c r="E97" s="60" t="str">
        <f ca="1">IF($B97="","",INDIRECT("'"&amp;$B$4&amp;"'!E93"))</f>
        <v/>
      </c>
      <c r="F97" s="60" t="str">
        <f ca="1">IF($B97="","",INDIRECT("'"&amp;$B$4&amp;"'!F93"))</f>
        <v/>
      </c>
      <c r="G97" s="60" t="str">
        <f ca="1">IF($B97="","",N(JAN!C93)+N(FEV!C93)+N(MAR!C93)+N(ABR!C93)+N(MAI!C93)+N(JUN!C93)+N(JUL!C93)+N(AGO!C93)+N(SET!C93)+N(OUT!C93)+N(NOV!C93)+N(DEZ!C93))</f>
        <v/>
      </c>
      <c r="H97" s="60" t="str">
        <f ca="1">IF($B97="","",SUM(JAN!E93,FEV!E93,MAR!E93,ABR!E93,MAI!E93,JUN!E93,JUL!E93,AGO!E93,SET!E93,OUT!E93,NOV!E93,DEZ!E93))</f>
        <v/>
      </c>
      <c r="I97" s="60" t="str">
        <f t="shared" ca="1" si="4"/>
        <v/>
      </c>
      <c r="J97" s="28" t="str">
        <f ca="1">IF($B97="","",IF(T(INDIRECT("'"&amp;$B$4&amp;"'!"&amp;ADDRESS(93,6+$F$4)))="","·",T(INDIRECT("'"&amp;$B$4&amp;"'!"&amp;ADDRESS(93,6+$F$4)))))</f>
        <v/>
      </c>
      <c r="O97" s="64" t="str">
        <f t="array" aca="1" ref="O97" ca="1">IFERROR(INDEX(INDIRECT("'"&amp;$B$4&amp;"'!B6:B155"),_xlfn.AGGREGATE(15,6,(ROW(INDIRECT("6:155"))-5)/((INDIRECT("'"&amp;$B$4&amp;"'!"&amp;ADDRESS(6,6+$F$4)&amp;":"&amp;ADDRESS(155,6+$F$4)))="HE"),88)),"")</f>
        <v/>
      </c>
      <c r="P97" s="64" t="str">
        <f t="array" aca="1" ref="P97" ca="1">IFERROR(INDEX(INDIRECT("'"&amp;$B$4&amp;"'!B6:B155"),_xlfn.AGGREGATE(15,6,(ROW(INDIRECT("6:155"))-5)/((INDIRECT("'"&amp;$B$4&amp;"'!"&amp;ADDRESS(6,6+$F$4)&amp;":"&amp;ADDRESS(155,6+$F$4)))="FE"),88)),"")</f>
        <v/>
      </c>
    </row>
    <row r="98" spans="1:16" outlineLevel="1" x14ac:dyDescent="0.25">
      <c r="A98" s="58" t="str">
        <f t="shared" ca="1" si="5"/>
        <v/>
      </c>
      <c r="B98" s="59" t="str">
        <f ca="1">T(INDIRECT("'"&amp;$B$4&amp;"'!B94"))</f>
        <v/>
      </c>
      <c r="C98" s="60" t="str">
        <f ca="1">IF($B98="","",N(INDIRECT("'"&amp;$B$4&amp;"'!C94")))</f>
        <v/>
      </c>
      <c r="D98" s="60" t="str">
        <f ca="1">IF($B98="","",INDIRECT("'"&amp;$B$4&amp;"'!D94"))</f>
        <v/>
      </c>
      <c r="E98" s="60" t="str">
        <f ca="1">IF($B98="","",INDIRECT("'"&amp;$B$4&amp;"'!E94"))</f>
        <v/>
      </c>
      <c r="F98" s="60" t="str">
        <f ca="1">IF($B98="","",INDIRECT("'"&amp;$B$4&amp;"'!F94"))</f>
        <v/>
      </c>
      <c r="G98" s="60" t="str">
        <f ca="1">IF($B98="","",N(JAN!C94)+N(FEV!C94)+N(MAR!C94)+N(ABR!C94)+N(MAI!C94)+N(JUN!C94)+N(JUL!C94)+N(AGO!C94)+N(SET!C94)+N(OUT!C94)+N(NOV!C94)+N(DEZ!C94))</f>
        <v/>
      </c>
      <c r="H98" s="60" t="str">
        <f ca="1">IF($B98="","",SUM(JAN!E94,FEV!E94,MAR!E94,ABR!E94,MAI!E94,JUN!E94,JUL!E94,AGO!E94,SET!E94,OUT!E94,NOV!E94,DEZ!E94))</f>
        <v/>
      </c>
      <c r="I98" s="60" t="str">
        <f t="shared" ca="1" si="4"/>
        <v/>
      </c>
      <c r="J98" s="28" t="str">
        <f ca="1">IF($B98="","",IF(T(INDIRECT("'"&amp;$B$4&amp;"'!"&amp;ADDRESS(94,6+$F$4)))="","·",T(INDIRECT("'"&amp;$B$4&amp;"'!"&amp;ADDRESS(94,6+$F$4)))))</f>
        <v/>
      </c>
      <c r="O98" s="64" t="str">
        <f t="array" aca="1" ref="O98" ca="1">IFERROR(INDEX(INDIRECT("'"&amp;$B$4&amp;"'!B6:B155"),_xlfn.AGGREGATE(15,6,(ROW(INDIRECT("6:155"))-5)/((INDIRECT("'"&amp;$B$4&amp;"'!"&amp;ADDRESS(6,6+$F$4)&amp;":"&amp;ADDRESS(155,6+$F$4)))="HE"),89)),"")</f>
        <v/>
      </c>
      <c r="P98" s="64" t="str">
        <f t="array" aca="1" ref="P98" ca="1">IFERROR(INDEX(INDIRECT("'"&amp;$B$4&amp;"'!B6:B155"),_xlfn.AGGREGATE(15,6,(ROW(INDIRECT("6:155"))-5)/((INDIRECT("'"&amp;$B$4&amp;"'!"&amp;ADDRESS(6,6+$F$4)&amp;":"&amp;ADDRESS(155,6+$F$4)))="FE"),89)),"")</f>
        <v/>
      </c>
    </row>
    <row r="99" spans="1:16" outlineLevel="1" x14ac:dyDescent="0.25">
      <c r="A99" s="58" t="str">
        <f t="shared" ca="1" si="5"/>
        <v/>
      </c>
      <c r="B99" s="59" t="str">
        <f ca="1">T(INDIRECT("'"&amp;$B$4&amp;"'!B95"))</f>
        <v/>
      </c>
      <c r="C99" s="60" t="str">
        <f ca="1">IF($B99="","",N(INDIRECT("'"&amp;$B$4&amp;"'!C95")))</f>
        <v/>
      </c>
      <c r="D99" s="60" t="str">
        <f ca="1">IF($B99="","",INDIRECT("'"&amp;$B$4&amp;"'!D95"))</f>
        <v/>
      </c>
      <c r="E99" s="60" t="str">
        <f ca="1">IF($B99="","",INDIRECT("'"&amp;$B$4&amp;"'!E95"))</f>
        <v/>
      </c>
      <c r="F99" s="60" t="str">
        <f ca="1">IF($B99="","",INDIRECT("'"&amp;$B$4&amp;"'!F95"))</f>
        <v/>
      </c>
      <c r="G99" s="60" t="str">
        <f ca="1">IF($B99="","",N(JAN!C95)+N(FEV!C95)+N(MAR!C95)+N(ABR!C95)+N(MAI!C95)+N(JUN!C95)+N(JUL!C95)+N(AGO!C95)+N(SET!C95)+N(OUT!C95)+N(NOV!C95)+N(DEZ!C95))</f>
        <v/>
      </c>
      <c r="H99" s="60" t="str">
        <f ca="1">IF($B99="","",SUM(JAN!E95,FEV!E95,MAR!E95,ABR!E95,MAI!E95,JUN!E95,JUL!E95,AGO!E95,SET!E95,OUT!E95,NOV!E95,DEZ!E95))</f>
        <v/>
      </c>
      <c r="I99" s="60" t="str">
        <f t="shared" ca="1" si="4"/>
        <v/>
      </c>
      <c r="J99" s="28" t="str">
        <f ca="1">IF($B99="","",IF(T(INDIRECT("'"&amp;$B$4&amp;"'!"&amp;ADDRESS(95,6+$F$4)))="","·",T(INDIRECT("'"&amp;$B$4&amp;"'!"&amp;ADDRESS(95,6+$F$4)))))</f>
        <v/>
      </c>
      <c r="O99" s="64" t="str">
        <f t="array" aca="1" ref="O99" ca="1">IFERROR(INDEX(INDIRECT("'"&amp;$B$4&amp;"'!B6:B155"),_xlfn.AGGREGATE(15,6,(ROW(INDIRECT("6:155"))-5)/((INDIRECT("'"&amp;$B$4&amp;"'!"&amp;ADDRESS(6,6+$F$4)&amp;":"&amp;ADDRESS(155,6+$F$4)))="HE"),90)),"")</f>
        <v/>
      </c>
      <c r="P99" s="64" t="str">
        <f t="array" aca="1" ref="P99" ca="1">IFERROR(INDEX(INDIRECT("'"&amp;$B$4&amp;"'!B6:B155"),_xlfn.AGGREGATE(15,6,(ROW(INDIRECT("6:155"))-5)/((INDIRECT("'"&amp;$B$4&amp;"'!"&amp;ADDRESS(6,6+$F$4)&amp;":"&amp;ADDRESS(155,6+$F$4)))="FE"),90)),"")</f>
        <v/>
      </c>
    </row>
    <row r="100" spans="1:16" outlineLevel="1" x14ac:dyDescent="0.25">
      <c r="A100" s="58" t="str">
        <f t="shared" ca="1" si="5"/>
        <v/>
      </c>
      <c r="B100" s="59" t="str">
        <f ca="1">T(INDIRECT("'"&amp;$B$4&amp;"'!B96"))</f>
        <v/>
      </c>
      <c r="C100" s="60" t="str">
        <f ca="1">IF($B100="","",N(INDIRECT("'"&amp;$B$4&amp;"'!C96")))</f>
        <v/>
      </c>
      <c r="D100" s="60" t="str">
        <f ca="1">IF($B100="","",INDIRECT("'"&amp;$B$4&amp;"'!D96"))</f>
        <v/>
      </c>
      <c r="E100" s="60" t="str">
        <f ca="1">IF($B100="","",INDIRECT("'"&amp;$B$4&amp;"'!E96"))</f>
        <v/>
      </c>
      <c r="F100" s="60" t="str">
        <f ca="1">IF($B100="","",INDIRECT("'"&amp;$B$4&amp;"'!F96"))</f>
        <v/>
      </c>
      <c r="G100" s="60" t="str">
        <f ca="1">IF($B100="","",N(JAN!C96)+N(FEV!C96)+N(MAR!C96)+N(ABR!C96)+N(MAI!C96)+N(JUN!C96)+N(JUL!C96)+N(AGO!C96)+N(SET!C96)+N(OUT!C96)+N(NOV!C96)+N(DEZ!C96))</f>
        <v/>
      </c>
      <c r="H100" s="60" t="str">
        <f ca="1">IF($B100="","",SUM(JAN!E96,FEV!E96,MAR!E96,ABR!E96,MAI!E96,JUN!E96,JUL!E96,AGO!E96,SET!E96,OUT!E96,NOV!E96,DEZ!E96))</f>
        <v/>
      </c>
      <c r="I100" s="60" t="str">
        <f t="shared" ca="1" si="4"/>
        <v/>
      </c>
      <c r="J100" s="28" t="str">
        <f ca="1">IF($B100="","",IF(T(INDIRECT("'"&amp;$B$4&amp;"'!"&amp;ADDRESS(96,6+$F$4)))="","·",T(INDIRECT("'"&amp;$B$4&amp;"'!"&amp;ADDRESS(96,6+$F$4)))))</f>
        <v/>
      </c>
      <c r="O100" s="64" t="str">
        <f t="array" aca="1" ref="O100" ca="1">IFERROR(INDEX(INDIRECT("'"&amp;$B$4&amp;"'!B6:B155"),_xlfn.AGGREGATE(15,6,(ROW(INDIRECT("6:155"))-5)/((INDIRECT("'"&amp;$B$4&amp;"'!"&amp;ADDRESS(6,6+$F$4)&amp;":"&amp;ADDRESS(155,6+$F$4)))="HE"),91)),"")</f>
        <v/>
      </c>
      <c r="P100" s="64" t="str">
        <f t="array" aca="1" ref="P100" ca="1">IFERROR(INDEX(INDIRECT("'"&amp;$B$4&amp;"'!B6:B155"),_xlfn.AGGREGATE(15,6,(ROW(INDIRECT("6:155"))-5)/((INDIRECT("'"&amp;$B$4&amp;"'!"&amp;ADDRESS(6,6+$F$4)&amp;":"&amp;ADDRESS(155,6+$F$4)))="FE"),91)),"")</f>
        <v/>
      </c>
    </row>
    <row r="101" spans="1:16" outlineLevel="1" x14ac:dyDescent="0.25">
      <c r="A101" s="58" t="str">
        <f t="shared" ca="1" si="5"/>
        <v/>
      </c>
      <c r="B101" s="59" t="str">
        <f ca="1">T(INDIRECT("'"&amp;$B$4&amp;"'!B97"))</f>
        <v/>
      </c>
      <c r="C101" s="60" t="str">
        <f ca="1">IF($B101="","",N(INDIRECT("'"&amp;$B$4&amp;"'!C97")))</f>
        <v/>
      </c>
      <c r="D101" s="60" t="str">
        <f ca="1">IF($B101="","",INDIRECT("'"&amp;$B$4&amp;"'!D97"))</f>
        <v/>
      </c>
      <c r="E101" s="60" t="str">
        <f ca="1">IF($B101="","",INDIRECT("'"&amp;$B$4&amp;"'!E97"))</f>
        <v/>
      </c>
      <c r="F101" s="60" t="str">
        <f ca="1">IF($B101="","",INDIRECT("'"&amp;$B$4&amp;"'!F97"))</f>
        <v/>
      </c>
      <c r="G101" s="60" t="str">
        <f ca="1">IF($B101="","",N(JAN!C97)+N(FEV!C97)+N(MAR!C97)+N(ABR!C97)+N(MAI!C97)+N(JUN!C97)+N(JUL!C97)+N(AGO!C97)+N(SET!C97)+N(OUT!C97)+N(NOV!C97)+N(DEZ!C97))</f>
        <v/>
      </c>
      <c r="H101" s="60" t="str">
        <f ca="1">IF($B101="","",SUM(JAN!E97,FEV!E97,MAR!E97,ABR!E97,MAI!E97,JUN!E97,JUL!E97,AGO!E97,SET!E97,OUT!E97,NOV!E97,DEZ!E97))</f>
        <v/>
      </c>
      <c r="I101" s="60" t="str">
        <f t="shared" ca="1" si="4"/>
        <v/>
      </c>
      <c r="J101" s="28" t="str">
        <f ca="1">IF($B101="","",IF(T(INDIRECT("'"&amp;$B$4&amp;"'!"&amp;ADDRESS(97,6+$F$4)))="","·",T(INDIRECT("'"&amp;$B$4&amp;"'!"&amp;ADDRESS(97,6+$F$4)))))</f>
        <v/>
      </c>
      <c r="O101" s="64" t="str">
        <f t="array" aca="1" ref="O101" ca="1">IFERROR(INDEX(INDIRECT("'"&amp;$B$4&amp;"'!B6:B155"),_xlfn.AGGREGATE(15,6,(ROW(INDIRECT("6:155"))-5)/((INDIRECT("'"&amp;$B$4&amp;"'!"&amp;ADDRESS(6,6+$F$4)&amp;":"&amp;ADDRESS(155,6+$F$4)))="HE"),92)),"")</f>
        <v/>
      </c>
      <c r="P101" s="64" t="str">
        <f t="array" aca="1" ref="P101" ca="1">IFERROR(INDEX(INDIRECT("'"&amp;$B$4&amp;"'!B6:B155"),_xlfn.AGGREGATE(15,6,(ROW(INDIRECT("6:155"))-5)/((INDIRECT("'"&amp;$B$4&amp;"'!"&amp;ADDRESS(6,6+$F$4)&amp;":"&amp;ADDRESS(155,6+$F$4)))="FE"),92)),"")</f>
        <v/>
      </c>
    </row>
    <row r="102" spans="1:16" outlineLevel="1" x14ac:dyDescent="0.25">
      <c r="A102" s="58" t="str">
        <f t="shared" ca="1" si="5"/>
        <v/>
      </c>
      <c r="B102" s="59" t="str">
        <f ca="1">T(INDIRECT("'"&amp;$B$4&amp;"'!B98"))</f>
        <v/>
      </c>
      <c r="C102" s="60" t="str">
        <f ca="1">IF($B102="","",N(INDIRECT("'"&amp;$B$4&amp;"'!C98")))</f>
        <v/>
      </c>
      <c r="D102" s="60" t="str">
        <f ca="1">IF($B102="","",INDIRECT("'"&amp;$B$4&amp;"'!D98"))</f>
        <v/>
      </c>
      <c r="E102" s="60" t="str">
        <f ca="1">IF($B102="","",INDIRECT("'"&amp;$B$4&amp;"'!E98"))</f>
        <v/>
      </c>
      <c r="F102" s="60" t="str">
        <f ca="1">IF($B102="","",INDIRECT("'"&amp;$B$4&amp;"'!F98"))</f>
        <v/>
      </c>
      <c r="G102" s="60" t="str">
        <f ca="1">IF($B102="","",N(JAN!C98)+N(FEV!C98)+N(MAR!C98)+N(ABR!C98)+N(MAI!C98)+N(JUN!C98)+N(JUL!C98)+N(AGO!C98)+N(SET!C98)+N(OUT!C98)+N(NOV!C98)+N(DEZ!C98))</f>
        <v/>
      </c>
      <c r="H102" s="60" t="str">
        <f ca="1">IF($B102="","",SUM(JAN!E98,FEV!E98,MAR!E98,ABR!E98,MAI!E98,JUN!E98,JUL!E98,AGO!E98,SET!E98,OUT!E98,NOV!E98,DEZ!E98))</f>
        <v/>
      </c>
      <c r="I102" s="60" t="str">
        <f t="shared" ca="1" si="4"/>
        <v/>
      </c>
      <c r="J102" s="28" t="str">
        <f ca="1">IF($B102="","",IF(T(INDIRECT("'"&amp;$B$4&amp;"'!"&amp;ADDRESS(98,6+$F$4)))="","·",T(INDIRECT("'"&amp;$B$4&amp;"'!"&amp;ADDRESS(98,6+$F$4)))))</f>
        <v/>
      </c>
      <c r="O102" s="64" t="str">
        <f t="array" aca="1" ref="O102" ca="1">IFERROR(INDEX(INDIRECT("'"&amp;$B$4&amp;"'!B6:B155"),_xlfn.AGGREGATE(15,6,(ROW(INDIRECT("6:155"))-5)/((INDIRECT("'"&amp;$B$4&amp;"'!"&amp;ADDRESS(6,6+$F$4)&amp;":"&amp;ADDRESS(155,6+$F$4)))="HE"),93)),"")</f>
        <v/>
      </c>
      <c r="P102" s="64" t="str">
        <f t="array" aca="1" ref="P102" ca="1">IFERROR(INDEX(INDIRECT("'"&amp;$B$4&amp;"'!B6:B155"),_xlfn.AGGREGATE(15,6,(ROW(INDIRECT("6:155"))-5)/((INDIRECT("'"&amp;$B$4&amp;"'!"&amp;ADDRESS(6,6+$F$4)&amp;":"&amp;ADDRESS(155,6+$F$4)))="FE"),93)),"")</f>
        <v/>
      </c>
    </row>
    <row r="103" spans="1:16" outlineLevel="1" x14ac:dyDescent="0.25">
      <c r="A103" s="58" t="str">
        <f t="shared" ca="1" si="5"/>
        <v/>
      </c>
      <c r="B103" s="59" t="str">
        <f ca="1">T(INDIRECT("'"&amp;$B$4&amp;"'!B99"))</f>
        <v/>
      </c>
      <c r="C103" s="60" t="str">
        <f ca="1">IF($B103="","",N(INDIRECT("'"&amp;$B$4&amp;"'!C99")))</f>
        <v/>
      </c>
      <c r="D103" s="60" t="str">
        <f ca="1">IF($B103="","",INDIRECT("'"&amp;$B$4&amp;"'!D99"))</f>
        <v/>
      </c>
      <c r="E103" s="60" t="str">
        <f ca="1">IF($B103="","",INDIRECT("'"&amp;$B$4&amp;"'!E99"))</f>
        <v/>
      </c>
      <c r="F103" s="60" t="str">
        <f ca="1">IF($B103="","",INDIRECT("'"&amp;$B$4&amp;"'!F99"))</f>
        <v/>
      </c>
      <c r="G103" s="60" t="str">
        <f ca="1">IF($B103="","",N(JAN!C99)+N(FEV!C99)+N(MAR!C99)+N(ABR!C99)+N(MAI!C99)+N(JUN!C99)+N(JUL!C99)+N(AGO!C99)+N(SET!C99)+N(OUT!C99)+N(NOV!C99)+N(DEZ!C99))</f>
        <v/>
      </c>
      <c r="H103" s="60" t="str">
        <f ca="1">IF($B103="","",SUM(JAN!E99,FEV!E99,MAR!E99,ABR!E99,MAI!E99,JUN!E99,JUL!E99,AGO!E99,SET!E99,OUT!E99,NOV!E99,DEZ!E99))</f>
        <v/>
      </c>
      <c r="I103" s="60" t="str">
        <f t="shared" ca="1" si="4"/>
        <v/>
      </c>
      <c r="J103" s="28" t="str">
        <f ca="1">IF($B103="","",IF(T(INDIRECT("'"&amp;$B$4&amp;"'!"&amp;ADDRESS(99,6+$F$4)))="","·",T(INDIRECT("'"&amp;$B$4&amp;"'!"&amp;ADDRESS(99,6+$F$4)))))</f>
        <v/>
      </c>
      <c r="O103" s="64" t="str">
        <f t="array" aca="1" ref="O103" ca="1">IFERROR(INDEX(INDIRECT("'"&amp;$B$4&amp;"'!B6:B155"),_xlfn.AGGREGATE(15,6,(ROW(INDIRECT("6:155"))-5)/((INDIRECT("'"&amp;$B$4&amp;"'!"&amp;ADDRESS(6,6+$F$4)&amp;":"&amp;ADDRESS(155,6+$F$4)))="HE"),94)),"")</f>
        <v/>
      </c>
      <c r="P103" s="64" t="str">
        <f t="array" aca="1" ref="P103" ca="1">IFERROR(INDEX(INDIRECT("'"&amp;$B$4&amp;"'!B6:B155"),_xlfn.AGGREGATE(15,6,(ROW(INDIRECT("6:155"))-5)/((INDIRECT("'"&amp;$B$4&amp;"'!"&amp;ADDRESS(6,6+$F$4)&amp;":"&amp;ADDRESS(155,6+$F$4)))="FE"),94)),"")</f>
        <v/>
      </c>
    </row>
    <row r="104" spans="1:16" outlineLevel="1" x14ac:dyDescent="0.25">
      <c r="A104" s="58" t="str">
        <f t="shared" ca="1" si="5"/>
        <v/>
      </c>
      <c r="B104" s="59" t="str">
        <f ca="1">T(INDIRECT("'"&amp;$B$4&amp;"'!B100"))</f>
        <v/>
      </c>
      <c r="C104" s="60" t="str">
        <f ca="1">IF($B104="","",N(INDIRECT("'"&amp;$B$4&amp;"'!C100")))</f>
        <v/>
      </c>
      <c r="D104" s="60" t="str">
        <f ca="1">IF($B104="","",INDIRECT("'"&amp;$B$4&amp;"'!D100"))</f>
        <v/>
      </c>
      <c r="E104" s="60" t="str">
        <f ca="1">IF($B104="","",INDIRECT("'"&amp;$B$4&amp;"'!E100"))</f>
        <v/>
      </c>
      <c r="F104" s="60" t="str">
        <f ca="1">IF($B104="","",INDIRECT("'"&amp;$B$4&amp;"'!F100"))</f>
        <v/>
      </c>
      <c r="G104" s="60" t="str">
        <f ca="1">IF($B104="","",N(JAN!C100)+N(FEV!C100)+N(MAR!C100)+N(ABR!C100)+N(MAI!C100)+N(JUN!C100)+N(JUL!C100)+N(AGO!C100)+N(SET!C100)+N(OUT!C100)+N(NOV!C100)+N(DEZ!C100))</f>
        <v/>
      </c>
      <c r="H104" s="60" t="str">
        <f ca="1">IF($B104="","",SUM(JAN!E100,FEV!E100,MAR!E100,ABR!E100,MAI!E100,JUN!E100,JUL!E100,AGO!E100,SET!E100,OUT!E100,NOV!E100,DEZ!E100))</f>
        <v/>
      </c>
      <c r="I104" s="60" t="str">
        <f t="shared" ca="1" si="4"/>
        <v/>
      </c>
      <c r="J104" s="28" t="str">
        <f ca="1">IF($B104="","",IF(T(INDIRECT("'"&amp;$B$4&amp;"'!"&amp;ADDRESS(100,6+$F$4)))="","·",T(INDIRECT("'"&amp;$B$4&amp;"'!"&amp;ADDRESS(100,6+$F$4)))))</f>
        <v/>
      </c>
      <c r="O104" s="64" t="str">
        <f t="array" aca="1" ref="O104" ca="1">IFERROR(INDEX(INDIRECT("'"&amp;$B$4&amp;"'!B6:B155"),_xlfn.AGGREGATE(15,6,(ROW(INDIRECT("6:155"))-5)/((INDIRECT("'"&amp;$B$4&amp;"'!"&amp;ADDRESS(6,6+$F$4)&amp;":"&amp;ADDRESS(155,6+$F$4)))="HE"),95)),"")</f>
        <v/>
      </c>
      <c r="P104" s="64" t="str">
        <f t="array" aca="1" ref="P104" ca="1">IFERROR(INDEX(INDIRECT("'"&amp;$B$4&amp;"'!B6:B155"),_xlfn.AGGREGATE(15,6,(ROW(INDIRECT("6:155"))-5)/((INDIRECT("'"&amp;$B$4&amp;"'!"&amp;ADDRESS(6,6+$F$4)&amp;":"&amp;ADDRESS(155,6+$F$4)))="FE"),95)),"")</f>
        <v/>
      </c>
    </row>
    <row r="105" spans="1:16" outlineLevel="1" x14ac:dyDescent="0.25">
      <c r="A105" s="58" t="str">
        <f t="shared" ca="1" si="5"/>
        <v/>
      </c>
      <c r="B105" s="59" t="str">
        <f ca="1">T(INDIRECT("'"&amp;$B$4&amp;"'!B101"))</f>
        <v/>
      </c>
      <c r="C105" s="60" t="str">
        <f ca="1">IF($B105="","",N(INDIRECT("'"&amp;$B$4&amp;"'!C101")))</f>
        <v/>
      </c>
      <c r="D105" s="60" t="str">
        <f ca="1">IF($B105="","",INDIRECT("'"&amp;$B$4&amp;"'!D101"))</f>
        <v/>
      </c>
      <c r="E105" s="60" t="str">
        <f ca="1">IF($B105="","",INDIRECT("'"&amp;$B$4&amp;"'!E101"))</f>
        <v/>
      </c>
      <c r="F105" s="60" t="str">
        <f ca="1">IF($B105="","",INDIRECT("'"&amp;$B$4&amp;"'!F101"))</f>
        <v/>
      </c>
      <c r="G105" s="60" t="str">
        <f ca="1">IF($B105="","",N(JAN!C101)+N(FEV!C101)+N(MAR!C101)+N(ABR!C101)+N(MAI!C101)+N(JUN!C101)+N(JUL!C101)+N(AGO!C101)+N(SET!C101)+N(OUT!C101)+N(NOV!C101)+N(DEZ!C101))</f>
        <v/>
      </c>
      <c r="H105" s="60" t="str">
        <f ca="1">IF($B105="","",SUM(JAN!E101,FEV!E101,MAR!E101,ABR!E101,MAI!E101,JUN!E101,JUL!E101,AGO!E101,SET!E101,OUT!E101,NOV!E101,DEZ!E101))</f>
        <v/>
      </c>
      <c r="I105" s="60" t="str">
        <f t="shared" ca="1" si="4"/>
        <v/>
      </c>
      <c r="J105" s="28" t="str">
        <f ca="1">IF($B105="","",IF(T(INDIRECT("'"&amp;$B$4&amp;"'!"&amp;ADDRESS(101,6+$F$4)))="","·",T(INDIRECT("'"&amp;$B$4&amp;"'!"&amp;ADDRESS(101,6+$F$4)))))</f>
        <v/>
      </c>
      <c r="O105" s="64" t="str">
        <f t="array" aca="1" ref="O105" ca="1">IFERROR(INDEX(INDIRECT("'"&amp;$B$4&amp;"'!B6:B155"),_xlfn.AGGREGATE(15,6,(ROW(INDIRECT("6:155"))-5)/((INDIRECT("'"&amp;$B$4&amp;"'!"&amp;ADDRESS(6,6+$F$4)&amp;":"&amp;ADDRESS(155,6+$F$4)))="HE"),96)),"")</f>
        <v/>
      </c>
      <c r="P105" s="64" t="str">
        <f t="array" aca="1" ref="P105" ca="1">IFERROR(INDEX(INDIRECT("'"&amp;$B$4&amp;"'!B6:B155"),_xlfn.AGGREGATE(15,6,(ROW(INDIRECT("6:155"))-5)/((INDIRECT("'"&amp;$B$4&amp;"'!"&amp;ADDRESS(6,6+$F$4)&amp;":"&amp;ADDRESS(155,6+$F$4)))="FE"),96)),"")</f>
        <v/>
      </c>
    </row>
    <row r="106" spans="1:16" outlineLevel="1" x14ac:dyDescent="0.25">
      <c r="A106" s="58" t="str">
        <f t="shared" ca="1" si="5"/>
        <v/>
      </c>
      <c r="B106" s="59" t="str">
        <f ca="1">T(INDIRECT("'"&amp;$B$4&amp;"'!B102"))</f>
        <v/>
      </c>
      <c r="C106" s="60" t="str">
        <f ca="1">IF($B106="","",N(INDIRECT("'"&amp;$B$4&amp;"'!C102")))</f>
        <v/>
      </c>
      <c r="D106" s="60" t="str">
        <f ca="1">IF($B106="","",INDIRECT("'"&amp;$B$4&amp;"'!D102"))</f>
        <v/>
      </c>
      <c r="E106" s="60" t="str">
        <f ca="1">IF($B106="","",INDIRECT("'"&amp;$B$4&amp;"'!E102"))</f>
        <v/>
      </c>
      <c r="F106" s="60" t="str">
        <f ca="1">IF($B106="","",INDIRECT("'"&amp;$B$4&amp;"'!F102"))</f>
        <v/>
      </c>
      <c r="G106" s="60" t="str">
        <f ca="1">IF($B106="","",N(JAN!C102)+N(FEV!C102)+N(MAR!C102)+N(ABR!C102)+N(MAI!C102)+N(JUN!C102)+N(JUL!C102)+N(AGO!C102)+N(SET!C102)+N(OUT!C102)+N(NOV!C102)+N(DEZ!C102))</f>
        <v/>
      </c>
      <c r="H106" s="60" t="str">
        <f ca="1">IF($B106="","",SUM(JAN!E102,FEV!E102,MAR!E102,ABR!E102,MAI!E102,JUN!E102,JUL!E102,AGO!E102,SET!E102,OUT!E102,NOV!E102,DEZ!E102))</f>
        <v/>
      </c>
      <c r="I106" s="60" t="str">
        <f t="shared" ref="I106:I137" ca="1" si="6">IF($B106="","",G106-H106)</f>
        <v/>
      </c>
      <c r="J106" s="28" t="str">
        <f ca="1">IF($B106="","",IF(T(INDIRECT("'"&amp;$B$4&amp;"'!"&amp;ADDRESS(102,6+$F$4)))="","·",T(INDIRECT("'"&amp;$B$4&amp;"'!"&amp;ADDRESS(102,6+$F$4)))))</f>
        <v/>
      </c>
      <c r="O106" s="64" t="str">
        <f t="array" aca="1" ref="O106" ca="1">IFERROR(INDEX(INDIRECT("'"&amp;$B$4&amp;"'!B6:B155"),_xlfn.AGGREGATE(15,6,(ROW(INDIRECT("6:155"))-5)/((INDIRECT("'"&amp;$B$4&amp;"'!"&amp;ADDRESS(6,6+$F$4)&amp;":"&amp;ADDRESS(155,6+$F$4)))="HE"),97)),"")</f>
        <v/>
      </c>
      <c r="P106" s="64" t="str">
        <f t="array" aca="1" ref="P106" ca="1">IFERROR(INDEX(INDIRECT("'"&amp;$B$4&amp;"'!B6:B155"),_xlfn.AGGREGATE(15,6,(ROW(INDIRECT("6:155"))-5)/((INDIRECT("'"&amp;$B$4&amp;"'!"&amp;ADDRESS(6,6+$F$4)&amp;":"&amp;ADDRESS(155,6+$F$4)))="FE"),97)),"")</f>
        <v/>
      </c>
    </row>
    <row r="107" spans="1:16" outlineLevel="1" x14ac:dyDescent="0.25">
      <c r="A107" s="58" t="str">
        <f t="shared" ca="1" si="5"/>
        <v/>
      </c>
      <c r="B107" s="59" t="str">
        <f ca="1">T(INDIRECT("'"&amp;$B$4&amp;"'!B103"))</f>
        <v/>
      </c>
      <c r="C107" s="60" t="str">
        <f ca="1">IF($B107="","",N(INDIRECT("'"&amp;$B$4&amp;"'!C103")))</f>
        <v/>
      </c>
      <c r="D107" s="60" t="str">
        <f ca="1">IF($B107="","",INDIRECT("'"&amp;$B$4&amp;"'!D103"))</f>
        <v/>
      </c>
      <c r="E107" s="60" t="str">
        <f ca="1">IF($B107="","",INDIRECT("'"&amp;$B$4&amp;"'!E103"))</f>
        <v/>
      </c>
      <c r="F107" s="60" t="str">
        <f ca="1">IF($B107="","",INDIRECT("'"&amp;$B$4&amp;"'!F103"))</f>
        <v/>
      </c>
      <c r="G107" s="60" t="str">
        <f ca="1">IF($B107="","",N(JAN!C103)+N(FEV!C103)+N(MAR!C103)+N(ABR!C103)+N(MAI!C103)+N(JUN!C103)+N(JUL!C103)+N(AGO!C103)+N(SET!C103)+N(OUT!C103)+N(NOV!C103)+N(DEZ!C103))</f>
        <v/>
      </c>
      <c r="H107" s="60" t="str">
        <f ca="1">IF($B107="","",SUM(JAN!E103,FEV!E103,MAR!E103,ABR!E103,MAI!E103,JUN!E103,JUL!E103,AGO!E103,SET!E103,OUT!E103,NOV!E103,DEZ!E103))</f>
        <v/>
      </c>
      <c r="I107" s="60" t="str">
        <f t="shared" ca="1" si="6"/>
        <v/>
      </c>
      <c r="J107" s="28" t="str">
        <f ca="1">IF($B107="","",IF(T(INDIRECT("'"&amp;$B$4&amp;"'!"&amp;ADDRESS(103,6+$F$4)))="","·",T(INDIRECT("'"&amp;$B$4&amp;"'!"&amp;ADDRESS(103,6+$F$4)))))</f>
        <v/>
      </c>
      <c r="O107" s="64" t="str">
        <f t="array" aca="1" ref="O107" ca="1">IFERROR(INDEX(INDIRECT("'"&amp;$B$4&amp;"'!B6:B155"),_xlfn.AGGREGATE(15,6,(ROW(INDIRECT("6:155"))-5)/((INDIRECT("'"&amp;$B$4&amp;"'!"&amp;ADDRESS(6,6+$F$4)&amp;":"&amp;ADDRESS(155,6+$F$4)))="HE"),98)),"")</f>
        <v/>
      </c>
      <c r="P107" s="64" t="str">
        <f t="array" aca="1" ref="P107" ca="1">IFERROR(INDEX(INDIRECT("'"&amp;$B$4&amp;"'!B6:B155"),_xlfn.AGGREGATE(15,6,(ROW(INDIRECT("6:155"))-5)/((INDIRECT("'"&amp;$B$4&amp;"'!"&amp;ADDRESS(6,6+$F$4)&amp;":"&amp;ADDRESS(155,6+$F$4)))="FE"),98)),"")</f>
        <v/>
      </c>
    </row>
    <row r="108" spans="1:16" outlineLevel="1" x14ac:dyDescent="0.25">
      <c r="A108" s="58" t="str">
        <f t="shared" ca="1" si="5"/>
        <v/>
      </c>
      <c r="B108" s="59" t="str">
        <f ca="1">T(INDIRECT("'"&amp;$B$4&amp;"'!B104"))</f>
        <v/>
      </c>
      <c r="C108" s="60" t="str">
        <f ca="1">IF($B108="","",N(INDIRECT("'"&amp;$B$4&amp;"'!C104")))</f>
        <v/>
      </c>
      <c r="D108" s="60" t="str">
        <f ca="1">IF($B108="","",INDIRECT("'"&amp;$B$4&amp;"'!D104"))</f>
        <v/>
      </c>
      <c r="E108" s="60" t="str">
        <f ca="1">IF($B108="","",INDIRECT("'"&amp;$B$4&amp;"'!E104"))</f>
        <v/>
      </c>
      <c r="F108" s="60" t="str">
        <f ca="1">IF($B108="","",INDIRECT("'"&amp;$B$4&amp;"'!F104"))</f>
        <v/>
      </c>
      <c r="G108" s="60" t="str">
        <f ca="1">IF($B108="","",N(JAN!C104)+N(FEV!C104)+N(MAR!C104)+N(ABR!C104)+N(MAI!C104)+N(JUN!C104)+N(JUL!C104)+N(AGO!C104)+N(SET!C104)+N(OUT!C104)+N(NOV!C104)+N(DEZ!C104))</f>
        <v/>
      </c>
      <c r="H108" s="60" t="str">
        <f ca="1">IF($B108="","",SUM(JAN!E104,FEV!E104,MAR!E104,ABR!E104,MAI!E104,JUN!E104,JUL!E104,AGO!E104,SET!E104,OUT!E104,NOV!E104,DEZ!E104))</f>
        <v/>
      </c>
      <c r="I108" s="60" t="str">
        <f t="shared" ca="1" si="6"/>
        <v/>
      </c>
      <c r="J108" s="28" t="str">
        <f ca="1">IF($B108="","",IF(T(INDIRECT("'"&amp;$B$4&amp;"'!"&amp;ADDRESS(104,6+$F$4)))="","·",T(INDIRECT("'"&amp;$B$4&amp;"'!"&amp;ADDRESS(104,6+$F$4)))))</f>
        <v/>
      </c>
      <c r="O108" s="64" t="str">
        <f t="array" aca="1" ref="O108" ca="1">IFERROR(INDEX(INDIRECT("'"&amp;$B$4&amp;"'!B6:B155"),_xlfn.AGGREGATE(15,6,(ROW(INDIRECT("6:155"))-5)/((INDIRECT("'"&amp;$B$4&amp;"'!"&amp;ADDRESS(6,6+$F$4)&amp;":"&amp;ADDRESS(155,6+$F$4)))="HE"),99)),"")</f>
        <v/>
      </c>
      <c r="P108" s="64" t="str">
        <f t="array" aca="1" ref="P108" ca="1">IFERROR(INDEX(INDIRECT("'"&amp;$B$4&amp;"'!B6:B155"),_xlfn.AGGREGATE(15,6,(ROW(INDIRECT("6:155"))-5)/((INDIRECT("'"&amp;$B$4&amp;"'!"&amp;ADDRESS(6,6+$F$4)&amp;":"&amp;ADDRESS(155,6+$F$4)))="FE"),99)),"")</f>
        <v/>
      </c>
    </row>
    <row r="109" spans="1:16" outlineLevel="1" x14ac:dyDescent="0.25">
      <c r="A109" s="58" t="str">
        <f t="shared" ca="1" si="5"/>
        <v/>
      </c>
      <c r="B109" s="59" t="str">
        <f ca="1">T(INDIRECT("'"&amp;$B$4&amp;"'!B105"))</f>
        <v/>
      </c>
      <c r="C109" s="60" t="str">
        <f ca="1">IF($B109="","",N(INDIRECT("'"&amp;$B$4&amp;"'!C105")))</f>
        <v/>
      </c>
      <c r="D109" s="60" t="str">
        <f ca="1">IF($B109="","",INDIRECT("'"&amp;$B$4&amp;"'!D105"))</f>
        <v/>
      </c>
      <c r="E109" s="60" t="str">
        <f ca="1">IF($B109="","",INDIRECT("'"&amp;$B$4&amp;"'!E105"))</f>
        <v/>
      </c>
      <c r="F109" s="60" t="str">
        <f ca="1">IF($B109="","",INDIRECT("'"&amp;$B$4&amp;"'!F105"))</f>
        <v/>
      </c>
      <c r="G109" s="60" t="str">
        <f ca="1">IF($B109="","",N(JAN!C105)+N(FEV!C105)+N(MAR!C105)+N(ABR!C105)+N(MAI!C105)+N(JUN!C105)+N(JUL!C105)+N(AGO!C105)+N(SET!C105)+N(OUT!C105)+N(NOV!C105)+N(DEZ!C105))</f>
        <v/>
      </c>
      <c r="H109" s="60" t="str">
        <f ca="1">IF($B109="","",SUM(JAN!E105,FEV!E105,MAR!E105,ABR!E105,MAI!E105,JUN!E105,JUL!E105,AGO!E105,SET!E105,OUT!E105,NOV!E105,DEZ!E105))</f>
        <v/>
      </c>
      <c r="I109" s="60" t="str">
        <f t="shared" ca="1" si="6"/>
        <v/>
      </c>
      <c r="J109" s="28" t="str">
        <f ca="1">IF($B109="","",IF(T(INDIRECT("'"&amp;$B$4&amp;"'!"&amp;ADDRESS(105,6+$F$4)))="","·",T(INDIRECT("'"&amp;$B$4&amp;"'!"&amp;ADDRESS(105,6+$F$4)))))</f>
        <v/>
      </c>
      <c r="O109" s="64" t="str">
        <f t="array" aca="1" ref="O109" ca="1">IFERROR(INDEX(INDIRECT("'"&amp;$B$4&amp;"'!B6:B155"),_xlfn.AGGREGATE(15,6,(ROW(INDIRECT("6:155"))-5)/((INDIRECT("'"&amp;$B$4&amp;"'!"&amp;ADDRESS(6,6+$F$4)&amp;":"&amp;ADDRESS(155,6+$F$4)))="HE"),100)),"")</f>
        <v/>
      </c>
      <c r="P109" s="64" t="str">
        <f t="array" aca="1" ref="P109" ca="1">IFERROR(INDEX(INDIRECT("'"&amp;$B$4&amp;"'!B6:B155"),_xlfn.AGGREGATE(15,6,(ROW(INDIRECT("6:155"))-5)/((INDIRECT("'"&amp;$B$4&amp;"'!"&amp;ADDRESS(6,6+$F$4)&amp;":"&amp;ADDRESS(155,6+$F$4)))="FE"),100)),"")</f>
        <v/>
      </c>
    </row>
    <row r="110" spans="1:16" outlineLevel="1" x14ac:dyDescent="0.25">
      <c r="A110" s="58" t="str">
        <f t="shared" ca="1" si="5"/>
        <v/>
      </c>
      <c r="B110" s="59" t="str">
        <f ca="1">T(INDIRECT("'"&amp;$B$4&amp;"'!B106"))</f>
        <v/>
      </c>
      <c r="C110" s="60" t="str">
        <f ca="1">IF($B110="","",N(INDIRECT("'"&amp;$B$4&amp;"'!C106")))</f>
        <v/>
      </c>
      <c r="D110" s="60" t="str">
        <f ca="1">IF($B110="","",INDIRECT("'"&amp;$B$4&amp;"'!D106"))</f>
        <v/>
      </c>
      <c r="E110" s="60" t="str">
        <f ca="1">IF($B110="","",INDIRECT("'"&amp;$B$4&amp;"'!E106"))</f>
        <v/>
      </c>
      <c r="F110" s="60" t="str">
        <f ca="1">IF($B110="","",INDIRECT("'"&amp;$B$4&amp;"'!F106"))</f>
        <v/>
      </c>
      <c r="G110" s="60" t="str">
        <f ca="1">IF($B110="","",N(JAN!C106)+N(FEV!C106)+N(MAR!C106)+N(ABR!C106)+N(MAI!C106)+N(JUN!C106)+N(JUL!C106)+N(AGO!C106)+N(SET!C106)+N(OUT!C106)+N(NOV!C106)+N(DEZ!C106))</f>
        <v/>
      </c>
      <c r="H110" s="60" t="str">
        <f ca="1">IF($B110="","",SUM(JAN!E106,FEV!E106,MAR!E106,ABR!E106,MAI!E106,JUN!E106,JUL!E106,AGO!E106,SET!E106,OUT!E106,NOV!E106,DEZ!E106))</f>
        <v/>
      </c>
      <c r="I110" s="60" t="str">
        <f t="shared" ca="1" si="6"/>
        <v/>
      </c>
      <c r="J110" s="28" t="str">
        <f ca="1">IF($B110="","",IF(T(INDIRECT("'"&amp;$B$4&amp;"'!"&amp;ADDRESS(106,6+$F$4)))="","·",T(INDIRECT("'"&amp;$B$4&amp;"'!"&amp;ADDRESS(106,6+$F$4)))))</f>
        <v/>
      </c>
      <c r="O110" s="64" t="str">
        <f t="array" aca="1" ref="O110" ca="1">IFERROR(INDEX(INDIRECT("'"&amp;$B$4&amp;"'!B6:B155"),_xlfn.AGGREGATE(15,6,(ROW(INDIRECT("6:155"))-5)/((INDIRECT("'"&amp;$B$4&amp;"'!"&amp;ADDRESS(6,6+$F$4)&amp;":"&amp;ADDRESS(155,6+$F$4)))="HE"),101)),"")</f>
        <v/>
      </c>
      <c r="P110" s="64" t="str">
        <f t="array" aca="1" ref="P110" ca="1">IFERROR(INDEX(INDIRECT("'"&amp;$B$4&amp;"'!B6:B155"),_xlfn.AGGREGATE(15,6,(ROW(INDIRECT("6:155"))-5)/((INDIRECT("'"&amp;$B$4&amp;"'!"&amp;ADDRESS(6,6+$F$4)&amp;":"&amp;ADDRESS(155,6+$F$4)))="FE"),101)),"")</f>
        <v/>
      </c>
    </row>
    <row r="111" spans="1:16" outlineLevel="1" x14ac:dyDescent="0.25">
      <c r="A111" s="58" t="str">
        <f t="shared" ca="1" si="5"/>
        <v/>
      </c>
      <c r="B111" s="59" t="str">
        <f ca="1">T(INDIRECT("'"&amp;$B$4&amp;"'!B107"))</f>
        <v/>
      </c>
      <c r="C111" s="60" t="str">
        <f ca="1">IF($B111="","",N(INDIRECT("'"&amp;$B$4&amp;"'!C107")))</f>
        <v/>
      </c>
      <c r="D111" s="60" t="str">
        <f ca="1">IF($B111="","",INDIRECT("'"&amp;$B$4&amp;"'!D107"))</f>
        <v/>
      </c>
      <c r="E111" s="60" t="str">
        <f ca="1">IF($B111="","",INDIRECT("'"&amp;$B$4&amp;"'!E107"))</f>
        <v/>
      </c>
      <c r="F111" s="60" t="str">
        <f ca="1">IF($B111="","",INDIRECT("'"&amp;$B$4&amp;"'!F107"))</f>
        <v/>
      </c>
      <c r="G111" s="60" t="str">
        <f ca="1">IF($B111="","",N(JAN!C107)+N(FEV!C107)+N(MAR!C107)+N(ABR!C107)+N(MAI!C107)+N(JUN!C107)+N(JUL!C107)+N(AGO!C107)+N(SET!C107)+N(OUT!C107)+N(NOV!C107)+N(DEZ!C107))</f>
        <v/>
      </c>
      <c r="H111" s="60" t="str">
        <f ca="1">IF($B111="","",SUM(JAN!E107,FEV!E107,MAR!E107,ABR!E107,MAI!E107,JUN!E107,JUL!E107,AGO!E107,SET!E107,OUT!E107,NOV!E107,DEZ!E107))</f>
        <v/>
      </c>
      <c r="I111" s="60" t="str">
        <f t="shared" ca="1" si="6"/>
        <v/>
      </c>
      <c r="J111" s="28" t="str">
        <f ca="1">IF($B111="","",IF(T(INDIRECT("'"&amp;$B$4&amp;"'!"&amp;ADDRESS(107,6+$F$4)))="","·",T(INDIRECT("'"&amp;$B$4&amp;"'!"&amp;ADDRESS(107,6+$F$4)))))</f>
        <v/>
      </c>
      <c r="O111" s="64" t="str">
        <f t="array" aca="1" ref="O111" ca="1">IFERROR(INDEX(INDIRECT("'"&amp;$B$4&amp;"'!B6:B155"),_xlfn.AGGREGATE(15,6,(ROW(INDIRECT("6:155"))-5)/((INDIRECT("'"&amp;$B$4&amp;"'!"&amp;ADDRESS(6,6+$F$4)&amp;":"&amp;ADDRESS(155,6+$F$4)))="HE"),102)),"")</f>
        <v/>
      </c>
      <c r="P111" s="64" t="str">
        <f t="array" aca="1" ref="P111" ca="1">IFERROR(INDEX(INDIRECT("'"&amp;$B$4&amp;"'!B6:B155"),_xlfn.AGGREGATE(15,6,(ROW(INDIRECT("6:155"))-5)/((INDIRECT("'"&amp;$B$4&amp;"'!"&amp;ADDRESS(6,6+$F$4)&amp;":"&amp;ADDRESS(155,6+$F$4)))="FE"),102)),"")</f>
        <v/>
      </c>
    </row>
    <row r="112" spans="1:16" outlineLevel="1" x14ac:dyDescent="0.25">
      <c r="A112" s="58" t="str">
        <f t="shared" ca="1" si="5"/>
        <v/>
      </c>
      <c r="B112" s="59" t="str">
        <f ca="1">T(INDIRECT("'"&amp;$B$4&amp;"'!B108"))</f>
        <v/>
      </c>
      <c r="C112" s="60" t="str">
        <f ca="1">IF($B112="","",N(INDIRECT("'"&amp;$B$4&amp;"'!C108")))</f>
        <v/>
      </c>
      <c r="D112" s="60" t="str">
        <f ca="1">IF($B112="","",INDIRECT("'"&amp;$B$4&amp;"'!D108"))</f>
        <v/>
      </c>
      <c r="E112" s="60" t="str">
        <f ca="1">IF($B112="","",INDIRECT("'"&amp;$B$4&amp;"'!E108"))</f>
        <v/>
      </c>
      <c r="F112" s="60" t="str">
        <f ca="1">IF($B112="","",INDIRECT("'"&amp;$B$4&amp;"'!F108"))</f>
        <v/>
      </c>
      <c r="G112" s="60" t="str">
        <f ca="1">IF($B112="","",N(JAN!C108)+N(FEV!C108)+N(MAR!C108)+N(ABR!C108)+N(MAI!C108)+N(JUN!C108)+N(JUL!C108)+N(AGO!C108)+N(SET!C108)+N(OUT!C108)+N(NOV!C108)+N(DEZ!C108))</f>
        <v/>
      </c>
      <c r="H112" s="60" t="str">
        <f ca="1">IF($B112="","",SUM(JAN!E108,FEV!E108,MAR!E108,ABR!E108,MAI!E108,JUN!E108,JUL!E108,AGO!E108,SET!E108,OUT!E108,NOV!E108,DEZ!E108))</f>
        <v/>
      </c>
      <c r="I112" s="60" t="str">
        <f t="shared" ca="1" si="6"/>
        <v/>
      </c>
      <c r="J112" s="28" t="str">
        <f ca="1">IF($B112="","",IF(T(INDIRECT("'"&amp;$B$4&amp;"'!"&amp;ADDRESS(108,6+$F$4)))="","·",T(INDIRECT("'"&amp;$B$4&amp;"'!"&amp;ADDRESS(108,6+$F$4)))))</f>
        <v/>
      </c>
      <c r="O112" s="64" t="str">
        <f t="array" aca="1" ref="O112" ca="1">IFERROR(INDEX(INDIRECT("'"&amp;$B$4&amp;"'!B6:B155"),_xlfn.AGGREGATE(15,6,(ROW(INDIRECT("6:155"))-5)/((INDIRECT("'"&amp;$B$4&amp;"'!"&amp;ADDRESS(6,6+$F$4)&amp;":"&amp;ADDRESS(155,6+$F$4)))="HE"),103)),"")</f>
        <v/>
      </c>
      <c r="P112" s="64" t="str">
        <f t="array" aca="1" ref="P112" ca="1">IFERROR(INDEX(INDIRECT("'"&amp;$B$4&amp;"'!B6:B155"),_xlfn.AGGREGATE(15,6,(ROW(INDIRECT("6:155"))-5)/((INDIRECT("'"&amp;$B$4&amp;"'!"&amp;ADDRESS(6,6+$F$4)&amp;":"&amp;ADDRESS(155,6+$F$4)))="FE"),103)),"")</f>
        <v/>
      </c>
    </row>
    <row r="113" spans="1:16" outlineLevel="1" x14ac:dyDescent="0.25">
      <c r="A113" s="58" t="str">
        <f t="shared" ca="1" si="5"/>
        <v/>
      </c>
      <c r="B113" s="59" t="str">
        <f ca="1">T(INDIRECT("'"&amp;$B$4&amp;"'!B109"))</f>
        <v/>
      </c>
      <c r="C113" s="60" t="str">
        <f ca="1">IF($B113="","",N(INDIRECT("'"&amp;$B$4&amp;"'!C109")))</f>
        <v/>
      </c>
      <c r="D113" s="60" t="str">
        <f ca="1">IF($B113="","",INDIRECT("'"&amp;$B$4&amp;"'!D109"))</f>
        <v/>
      </c>
      <c r="E113" s="60" t="str">
        <f ca="1">IF($B113="","",INDIRECT("'"&amp;$B$4&amp;"'!E109"))</f>
        <v/>
      </c>
      <c r="F113" s="60" t="str">
        <f ca="1">IF($B113="","",INDIRECT("'"&amp;$B$4&amp;"'!F109"))</f>
        <v/>
      </c>
      <c r="G113" s="60" t="str">
        <f ca="1">IF($B113="","",N(JAN!C109)+N(FEV!C109)+N(MAR!C109)+N(ABR!C109)+N(MAI!C109)+N(JUN!C109)+N(JUL!C109)+N(AGO!C109)+N(SET!C109)+N(OUT!C109)+N(NOV!C109)+N(DEZ!C109))</f>
        <v/>
      </c>
      <c r="H113" s="60" t="str">
        <f ca="1">IF($B113="","",SUM(JAN!E109,FEV!E109,MAR!E109,ABR!E109,MAI!E109,JUN!E109,JUL!E109,AGO!E109,SET!E109,OUT!E109,NOV!E109,DEZ!E109))</f>
        <v/>
      </c>
      <c r="I113" s="60" t="str">
        <f t="shared" ca="1" si="6"/>
        <v/>
      </c>
      <c r="J113" s="28" t="str">
        <f ca="1">IF($B113="","",IF(T(INDIRECT("'"&amp;$B$4&amp;"'!"&amp;ADDRESS(109,6+$F$4)))="","·",T(INDIRECT("'"&amp;$B$4&amp;"'!"&amp;ADDRESS(109,6+$F$4)))))</f>
        <v/>
      </c>
      <c r="O113" s="64" t="str">
        <f t="array" aca="1" ref="O113" ca="1">IFERROR(INDEX(INDIRECT("'"&amp;$B$4&amp;"'!B6:B155"),_xlfn.AGGREGATE(15,6,(ROW(INDIRECT("6:155"))-5)/((INDIRECT("'"&amp;$B$4&amp;"'!"&amp;ADDRESS(6,6+$F$4)&amp;":"&amp;ADDRESS(155,6+$F$4)))="HE"),104)),"")</f>
        <v/>
      </c>
      <c r="P113" s="64" t="str">
        <f t="array" aca="1" ref="P113" ca="1">IFERROR(INDEX(INDIRECT("'"&amp;$B$4&amp;"'!B6:B155"),_xlfn.AGGREGATE(15,6,(ROW(INDIRECT("6:155"))-5)/((INDIRECT("'"&amp;$B$4&amp;"'!"&amp;ADDRESS(6,6+$F$4)&amp;":"&amp;ADDRESS(155,6+$F$4)))="FE"),104)),"")</f>
        <v/>
      </c>
    </row>
    <row r="114" spans="1:16" outlineLevel="1" x14ac:dyDescent="0.25">
      <c r="A114" s="58" t="str">
        <f t="shared" ref="A114:A145" ca="1" si="7">IF($B114="","",ROW()-9)</f>
        <v/>
      </c>
      <c r="B114" s="59" t="str">
        <f ca="1">T(INDIRECT("'"&amp;$B$4&amp;"'!B110"))</f>
        <v/>
      </c>
      <c r="C114" s="60" t="str">
        <f ca="1">IF($B114="","",N(INDIRECT("'"&amp;$B$4&amp;"'!C110")))</f>
        <v/>
      </c>
      <c r="D114" s="60" t="str">
        <f ca="1">IF($B114="","",INDIRECT("'"&amp;$B$4&amp;"'!D110"))</f>
        <v/>
      </c>
      <c r="E114" s="60" t="str">
        <f ca="1">IF($B114="","",INDIRECT("'"&amp;$B$4&amp;"'!E110"))</f>
        <v/>
      </c>
      <c r="F114" s="60" t="str">
        <f ca="1">IF($B114="","",INDIRECT("'"&amp;$B$4&amp;"'!F110"))</f>
        <v/>
      </c>
      <c r="G114" s="60" t="str">
        <f ca="1">IF($B114="","",N(JAN!C110)+N(FEV!C110)+N(MAR!C110)+N(ABR!C110)+N(MAI!C110)+N(JUN!C110)+N(JUL!C110)+N(AGO!C110)+N(SET!C110)+N(OUT!C110)+N(NOV!C110)+N(DEZ!C110))</f>
        <v/>
      </c>
      <c r="H114" s="60" t="str">
        <f ca="1">IF($B114="","",SUM(JAN!E110,FEV!E110,MAR!E110,ABR!E110,MAI!E110,JUN!E110,JUL!E110,AGO!E110,SET!E110,OUT!E110,NOV!E110,DEZ!E110))</f>
        <v/>
      </c>
      <c r="I114" s="60" t="str">
        <f t="shared" ca="1" si="6"/>
        <v/>
      </c>
      <c r="J114" s="28" t="str">
        <f ca="1">IF($B114="","",IF(T(INDIRECT("'"&amp;$B$4&amp;"'!"&amp;ADDRESS(110,6+$F$4)))="","·",T(INDIRECT("'"&amp;$B$4&amp;"'!"&amp;ADDRESS(110,6+$F$4)))))</f>
        <v/>
      </c>
      <c r="O114" s="64" t="str">
        <f t="array" aca="1" ref="O114" ca="1">IFERROR(INDEX(INDIRECT("'"&amp;$B$4&amp;"'!B6:B155"),_xlfn.AGGREGATE(15,6,(ROW(INDIRECT("6:155"))-5)/((INDIRECT("'"&amp;$B$4&amp;"'!"&amp;ADDRESS(6,6+$F$4)&amp;":"&amp;ADDRESS(155,6+$F$4)))="HE"),105)),"")</f>
        <v/>
      </c>
      <c r="P114" s="64" t="str">
        <f t="array" aca="1" ref="P114" ca="1">IFERROR(INDEX(INDIRECT("'"&amp;$B$4&amp;"'!B6:B155"),_xlfn.AGGREGATE(15,6,(ROW(INDIRECT("6:155"))-5)/((INDIRECT("'"&amp;$B$4&amp;"'!"&amp;ADDRESS(6,6+$F$4)&amp;":"&amp;ADDRESS(155,6+$F$4)))="FE"),105)),"")</f>
        <v/>
      </c>
    </row>
    <row r="115" spans="1:16" outlineLevel="1" x14ac:dyDescent="0.25">
      <c r="A115" s="58" t="str">
        <f t="shared" ca="1" si="7"/>
        <v/>
      </c>
      <c r="B115" s="59" t="str">
        <f ca="1">T(INDIRECT("'"&amp;$B$4&amp;"'!B111"))</f>
        <v/>
      </c>
      <c r="C115" s="60" t="str">
        <f ca="1">IF($B115="","",N(INDIRECT("'"&amp;$B$4&amp;"'!C111")))</f>
        <v/>
      </c>
      <c r="D115" s="60" t="str">
        <f ca="1">IF($B115="","",INDIRECT("'"&amp;$B$4&amp;"'!D111"))</f>
        <v/>
      </c>
      <c r="E115" s="60" t="str">
        <f ca="1">IF($B115="","",INDIRECT("'"&amp;$B$4&amp;"'!E111"))</f>
        <v/>
      </c>
      <c r="F115" s="60" t="str">
        <f ca="1">IF($B115="","",INDIRECT("'"&amp;$B$4&amp;"'!F111"))</f>
        <v/>
      </c>
      <c r="G115" s="60" t="str">
        <f ca="1">IF($B115="","",N(JAN!C111)+N(FEV!C111)+N(MAR!C111)+N(ABR!C111)+N(MAI!C111)+N(JUN!C111)+N(JUL!C111)+N(AGO!C111)+N(SET!C111)+N(OUT!C111)+N(NOV!C111)+N(DEZ!C111))</f>
        <v/>
      </c>
      <c r="H115" s="60" t="str">
        <f ca="1">IF($B115="","",SUM(JAN!E111,FEV!E111,MAR!E111,ABR!E111,MAI!E111,JUN!E111,JUL!E111,AGO!E111,SET!E111,OUT!E111,NOV!E111,DEZ!E111))</f>
        <v/>
      </c>
      <c r="I115" s="60" t="str">
        <f t="shared" ca="1" si="6"/>
        <v/>
      </c>
      <c r="J115" s="28" t="str">
        <f ca="1">IF($B115="","",IF(T(INDIRECT("'"&amp;$B$4&amp;"'!"&amp;ADDRESS(111,6+$F$4)))="","·",T(INDIRECT("'"&amp;$B$4&amp;"'!"&amp;ADDRESS(111,6+$F$4)))))</f>
        <v/>
      </c>
      <c r="O115" s="64" t="str">
        <f t="array" aca="1" ref="O115" ca="1">IFERROR(INDEX(INDIRECT("'"&amp;$B$4&amp;"'!B6:B155"),_xlfn.AGGREGATE(15,6,(ROW(INDIRECT("6:155"))-5)/((INDIRECT("'"&amp;$B$4&amp;"'!"&amp;ADDRESS(6,6+$F$4)&amp;":"&amp;ADDRESS(155,6+$F$4)))="HE"),106)),"")</f>
        <v/>
      </c>
      <c r="P115" s="64" t="str">
        <f t="array" aca="1" ref="P115" ca="1">IFERROR(INDEX(INDIRECT("'"&amp;$B$4&amp;"'!B6:B155"),_xlfn.AGGREGATE(15,6,(ROW(INDIRECT("6:155"))-5)/((INDIRECT("'"&amp;$B$4&amp;"'!"&amp;ADDRESS(6,6+$F$4)&amp;":"&amp;ADDRESS(155,6+$F$4)))="FE"),106)),"")</f>
        <v/>
      </c>
    </row>
    <row r="116" spans="1:16" outlineLevel="1" x14ac:dyDescent="0.25">
      <c r="A116" s="58" t="str">
        <f t="shared" ca="1" si="7"/>
        <v/>
      </c>
      <c r="B116" s="59" t="str">
        <f ca="1">T(INDIRECT("'"&amp;$B$4&amp;"'!B112"))</f>
        <v/>
      </c>
      <c r="C116" s="60" t="str">
        <f ca="1">IF($B116="","",N(INDIRECT("'"&amp;$B$4&amp;"'!C112")))</f>
        <v/>
      </c>
      <c r="D116" s="60" t="str">
        <f ca="1">IF($B116="","",INDIRECT("'"&amp;$B$4&amp;"'!D112"))</f>
        <v/>
      </c>
      <c r="E116" s="60" t="str">
        <f ca="1">IF($B116="","",INDIRECT("'"&amp;$B$4&amp;"'!E112"))</f>
        <v/>
      </c>
      <c r="F116" s="60" t="str">
        <f ca="1">IF($B116="","",INDIRECT("'"&amp;$B$4&amp;"'!F112"))</f>
        <v/>
      </c>
      <c r="G116" s="60" t="str">
        <f ca="1">IF($B116="","",N(JAN!C112)+N(FEV!C112)+N(MAR!C112)+N(ABR!C112)+N(MAI!C112)+N(JUN!C112)+N(JUL!C112)+N(AGO!C112)+N(SET!C112)+N(OUT!C112)+N(NOV!C112)+N(DEZ!C112))</f>
        <v/>
      </c>
      <c r="H116" s="60" t="str">
        <f ca="1">IF($B116="","",SUM(JAN!E112,FEV!E112,MAR!E112,ABR!E112,MAI!E112,JUN!E112,JUL!E112,AGO!E112,SET!E112,OUT!E112,NOV!E112,DEZ!E112))</f>
        <v/>
      </c>
      <c r="I116" s="60" t="str">
        <f t="shared" ca="1" si="6"/>
        <v/>
      </c>
      <c r="J116" s="28" t="str">
        <f ca="1">IF($B116="","",IF(T(INDIRECT("'"&amp;$B$4&amp;"'!"&amp;ADDRESS(112,6+$F$4)))="","·",T(INDIRECT("'"&amp;$B$4&amp;"'!"&amp;ADDRESS(112,6+$F$4)))))</f>
        <v/>
      </c>
      <c r="O116" s="64" t="str">
        <f t="array" aca="1" ref="O116" ca="1">IFERROR(INDEX(INDIRECT("'"&amp;$B$4&amp;"'!B6:B155"),_xlfn.AGGREGATE(15,6,(ROW(INDIRECT("6:155"))-5)/((INDIRECT("'"&amp;$B$4&amp;"'!"&amp;ADDRESS(6,6+$F$4)&amp;":"&amp;ADDRESS(155,6+$F$4)))="HE"),107)),"")</f>
        <v/>
      </c>
      <c r="P116" s="64" t="str">
        <f t="array" aca="1" ref="P116" ca="1">IFERROR(INDEX(INDIRECT("'"&amp;$B$4&amp;"'!B6:B155"),_xlfn.AGGREGATE(15,6,(ROW(INDIRECT("6:155"))-5)/((INDIRECT("'"&amp;$B$4&amp;"'!"&amp;ADDRESS(6,6+$F$4)&amp;":"&amp;ADDRESS(155,6+$F$4)))="FE"),107)),"")</f>
        <v/>
      </c>
    </row>
    <row r="117" spans="1:16" outlineLevel="1" x14ac:dyDescent="0.25">
      <c r="A117" s="58" t="str">
        <f t="shared" ca="1" si="7"/>
        <v/>
      </c>
      <c r="B117" s="59" t="str">
        <f ca="1">T(INDIRECT("'"&amp;$B$4&amp;"'!B113"))</f>
        <v/>
      </c>
      <c r="C117" s="60" t="str">
        <f ca="1">IF($B117="","",N(INDIRECT("'"&amp;$B$4&amp;"'!C113")))</f>
        <v/>
      </c>
      <c r="D117" s="60" t="str">
        <f ca="1">IF($B117="","",INDIRECT("'"&amp;$B$4&amp;"'!D113"))</f>
        <v/>
      </c>
      <c r="E117" s="60" t="str">
        <f ca="1">IF($B117="","",INDIRECT("'"&amp;$B$4&amp;"'!E113"))</f>
        <v/>
      </c>
      <c r="F117" s="60" t="str">
        <f ca="1">IF($B117="","",INDIRECT("'"&amp;$B$4&amp;"'!F113"))</f>
        <v/>
      </c>
      <c r="G117" s="60" t="str">
        <f ca="1">IF($B117="","",N(JAN!C113)+N(FEV!C113)+N(MAR!C113)+N(ABR!C113)+N(MAI!C113)+N(JUN!C113)+N(JUL!C113)+N(AGO!C113)+N(SET!C113)+N(OUT!C113)+N(NOV!C113)+N(DEZ!C113))</f>
        <v/>
      </c>
      <c r="H117" s="60" t="str">
        <f ca="1">IF($B117="","",SUM(JAN!E113,FEV!E113,MAR!E113,ABR!E113,MAI!E113,JUN!E113,JUL!E113,AGO!E113,SET!E113,OUT!E113,NOV!E113,DEZ!E113))</f>
        <v/>
      </c>
      <c r="I117" s="60" t="str">
        <f t="shared" ca="1" si="6"/>
        <v/>
      </c>
      <c r="J117" s="28" t="str">
        <f ca="1">IF($B117="","",IF(T(INDIRECT("'"&amp;$B$4&amp;"'!"&amp;ADDRESS(113,6+$F$4)))="","·",T(INDIRECT("'"&amp;$B$4&amp;"'!"&amp;ADDRESS(113,6+$F$4)))))</f>
        <v/>
      </c>
      <c r="O117" s="64" t="str">
        <f t="array" aca="1" ref="O117" ca="1">IFERROR(INDEX(INDIRECT("'"&amp;$B$4&amp;"'!B6:B155"),_xlfn.AGGREGATE(15,6,(ROW(INDIRECT("6:155"))-5)/((INDIRECT("'"&amp;$B$4&amp;"'!"&amp;ADDRESS(6,6+$F$4)&amp;":"&amp;ADDRESS(155,6+$F$4)))="HE"),108)),"")</f>
        <v/>
      </c>
      <c r="P117" s="64" t="str">
        <f t="array" aca="1" ref="P117" ca="1">IFERROR(INDEX(INDIRECT("'"&amp;$B$4&amp;"'!B6:B155"),_xlfn.AGGREGATE(15,6,(ROW(INDIRECT("6:155"))-5)/((INDIRECT("'"&amp;$B$4&amp;"'!"&amp;ADDRESS(6,6+$F$4)&amp;":"&amp;ADDRESS(155,6+$F$4)))="FE"),108)),"")</f>
        <v/>
      </c>
    </row>
    <row r="118" spans="1:16" outlineLevel="1" x14ac:dyDescent="0.25">
      <c r="A118" s="58" t="str">
        <f t="shared" ca="1" si="7"/>
        <v/>
      </c>
      <c r="B118" s="59" t="str">
        <f ca="1">T(INDIRECT("'"&amp;$B$4&amp;"'!B114"))</f>
        <v/>
      </c>
      <c r="C118" s="60" t="str">
        <f ca="1">IF($B118="","",N(INDIRECT("'"&amp;$B$4&amp;"'!C114")))</f>
        <v/>
      </c>
      <c r="D118" s="60" t="str">
        <f ca="1">IF($B118="","",INDIRECT("'"&amp;$B$4&amp;"'!D114"))</f>
        <v/>
      </c>
      <c r="E118" s="60" t="str">
        <f ca="1">IF($B118="","",INDIRECT("'"&amp;$B$4&amp;"'!E114"))</f>
        <v/>
      </c>
      <c r="F118" s="60" t="str">
        <f ca="1">IF($B118="","",INDIRECT("'"&amp;$B$4&amp;"'!F114"))</f>
        <v/>
      </c>
      <c r="G118" s="60" t="str">
        <f ca="1">IF($B118="","",N(JAN!C114)+N(FEV!C114)+N(MAR!C114)+N(ABR!C114)+N(MAI!C114)+N(JUN!C114)+N(JUL!C114)+N(AGO!C114)+N(SET!C114)+N(OUT!C114)+N(NOV!C114)+N(DEZ!C114))</f>
        <v/>
      </c>
      <c r="H118" s="60" t="str">
        <f ca="1">IF($B118="","",SUM(JAN!E114,FEV!E114,MAR!E114,ABR!E114,MAI!E114,JUN!E114,JUL!E114,AGO!E114,SET!E114,OUT!E114,NOV!E114,DEZ!E114))</f>
        <v/>
      </c>
      <c r="I118" s="60" t="str">
        <f t="shared" ca="1" si="6"/>
        <v/>
      </c>
      <c r="J118" s="28" t="str">
        <f ca="1">IF($B118="","",IF(T(INDIRECT("'"&amp;$B$4&amp;"'!"&amp;ADDRESS(114,6+$F$4)))="","·",T(INDIRECT("'"&amp;$B$4&amp;"'!"&amp;ADDRESS(114,6+$F$4)))))</f>
        <v/>
      </c>
      <c r="O118" s="64" t="str">
        <f t="array" aca="1" ref="O118" ca="1">IFERROR(INDEX(INDIRECT("'"&amp;$B$4&amp;"'!B6:B155"),_xlfn.AGGREGATE(15,6,(ROW(INDIRECT("6:155"))-5)/((INDIRECT("'"&amp;$B$4&amp;"'!"&amp;ADDRESS(6,6+$F$4)&amp;":"&amp;ADDRESS(155,6+$F$4)))="HE"),109)),"")</f>
        <v/>
      </c>
      <c r="P118" s="64" t="str">
        <f t="array" aca="1" ref="P118" ca="1">IFERROR(INDEX(INDIRECT("'"&amp;$B$4&amp;"'!B6:B155"),_xlfn.AGGREGATE(15,6,(ROW(INDIRECT("6:155"))-5)/((INDIRECT("'"&amp;$B$4&amp;"'!"&amp;ADDRESS(6,6+$F$4)&amp;":"&amp;ADDRESS(155,6+$F$4)))="FE"),109)),"")</f>
        <v/>
      </c>
    </row>
    <row r="119" spans="1:16" outlineLevel="1" x14ac:dyDescent="0.25">
      <c r="A119" s="58" t="str">
        <f t="shared" ca="1" si="7"/>
        <v/>
      </c>
      <c r="B119" s="59" t="str">
        <f ca="1">T(INDIRECT("'"&amp;$B$4&amp;"'!B115"))</f>
        <v/>
      </c>
      <c r="C119" s="60" t="str">
        <f ca="1">IF($B119="","",N(INDIRECT("'"&amp;$B$4&amp;"'!C115")))</f>
        <v/>
      </c>
      <c r="D119" s="60" t="str">
        <f ca="1">IF($B119="","",INDIRECT("'"&amp;$B$4&amp;"'!D115"))</f>
        <v/>
      </c>
      <c r="E119" s="60" t="str">
        <f ca="1">IF($B119="","",INDIRECT("'"&amp;$B$4&amp;"'!E115"))</f>
        <v/>
      </c>
      <c r="F119" s="60" t="str">
        <f ca="1">IF($B119="","",INDIRECT("'"&amp;$B$4&amp;"'!F115"))</f>
        <v/>
      </c>
      <c r="G119" s="60" t="str">
        <f ca="1">IF($B119="","",N(JAN!C115)+N(FEV!C115)+N(MAR!C115)+N(ABR!C115)+N(MAI!C115)+N(JUN!C115)+N(JUL!C115)+N(AGO!C115)+N(SET!C115)+N(OUT!C115)+N(NOV!C115)+N(DEZ!C115))</f>
        <v/>
      </c>
      <c r="H119" s="60" t="str">
        <f ca="1">IF($B119="","",SUM(JAN!E115,FEV!E115,MAR!E115,ABR!E115,MAI!E115,JUN!E115,JUL!E115,AGO!E115,SET!E115,OUT!E115,NOV!E115,DEZ!E115))</f>
        <v/>
      </c>
      <c r="I119" s="60" t="str">
        <f t="shared" ca="1" si="6"/>
        <v/>
      </c>
      <c r="J119" s="28" t="str">
        <f ca="1">IF($B119="","",IF(T(INDIRECT("'"&amp;$B$4&amp;"'!"&amp;ADDRESS(115,6+$F$4)))="","·",T(INDIRECT("'"&amp;$B$4&amp;"'!"&amp;ADDRESS(115,6+$F$4)))))</f>
        <v/>
      </c>
      <c r="O119" s="64" t="str">
        <f t="array" aca="1" ref="O119" ca="1">IFERROR(INDEX(INDIRECT("'"&amp;$B$4&amp;"'!B6:B155"),_xlfn.AGGREGATE(15,6,(ROW(INDIRECT("6:155"))-5)/((INDIRECT("'"&amp;$B$4&amp;"'!"&amp;ADDRESS(6,6+$F$4)&amp;":"&amp;ADDRESS(155,6+$F$4)))="HE"),110)),"")</f>
        <v/>
      </c>
      <c r="P119" s="64" t="str">
        <f t="array" aca="1" ref="P119" ca="1">IFERROR(INDEX(INDIRECT("'"&amp;$B$4&amp;"'!B6:B155"),_xlfn.AGGREGATE(15,6,(ROW(INDIRECT("6:155"))-5)/((INDIRECT("'"&amp;$B$4&amp;"'!"&amp;ADDRESS(6,6+$F$4)&amp;":"&amp;ADDRESS(155,6+$F$4)))="FE"),110)),"")</f>
        <v/>
      </c>
    </row>
    <row r="120" spans="1:16" outlineLevel="1" x14ac:dyDescent="0.25">
      <c r="A120" s="58" t="str">
        <f t="shared" ca="1" si="7"/>
        <v/>
      </c>
      <c r="B120" s="59" t="str">
        <f ca="1">T(INDIRECT("'"&amp;$B$4&amp;"'!B116"))</f>
        <v/>
      </c>
      <c r="C120" s="60" t="str">
        <f ca="1">IF($B120="","",N(INDIRECT("'"&amp;$B$4&amp;"'!C116")))</f>
        <v/>
      </c>
      <c r="D120" s="60" t="str">
        <f ca="1">IF($B120="","",INDIRECT("'"&amp;$B$4&amp;"'!D116"))</f>
        <v/>
      </c>
      <c r="E120" s="60" t="str">
        <f ca="1">IF($B120="","",INDIRECT("'"&amp;$B$4&amp;"'!E116"))</f>
        <v/>
      </c>
      <c r="F120" s="60" t="str">
        <f ca="1">IF($B120="","",INDIRECT("'"&amp;$B$4&amp;"'!F116"))</f>
        <v/>
      </c>
      <c r="G120" s="60" t="str">
        <f ca="1">IF($B120="","",N(JAN!C116)+N(FEV!C116)+N(MAR!C116)+N(ABR!C116)+N(MAI!C116)+N(JUN!C116)+N(JUL!C116)+N(AGO!C116)+N(SET!C116)+N(OUT!C116)+N(NOV!C116)+N(DEZ!C116))</f>
        <v/>
      </c>
      <c r="H120" s="60" t="str">
        <f ca="1">IF($B120="","",SUM(JAN!E116,FEV!E116,MAR!E116,ABR!E116,MAI!E116,JUN!E116,JUL!E116,AGO!E116,SET!E116,OUT!E116,NOV!E116,DEZ!E116))</f>
        <v/>
      </c>
      <c r="I120" s="60" t="str">
        <f t="shared" ca="1" si="6"/>
        <v/>
      </c>
      <c r="J120" s="28" t="str">
        <f ca="1">IF($B120="","",IF(T(INDIRECT("'"&amp;$B$4&amp;"'!"&amp;ADDRESS(116,6+$F$4)))="","·",T(INDIRECT("'"&amp;$B$4&amp;"'!"&amp;ADDRESS(116,6+$F$4)))))</f>
        <v/>
      </c>
      <c r="O120" s="64" t="str">
        <f t="array" aca="1" ref="O120" ca="1">IFERROR(INDEX(INDIRECT("'"&amp;$B$4&amp;"'!B6:B155"),_xlfn.AGGREGATE(15,6,(ROW(INDIRECT("6:155"))-5)/((INDIRECT("'"&amp;$B$4&amp;"'!"&amp;ADDRESS(6,6+$F$4)&amp;":"&amp;ADDRESS(155,6+$F$4)))="HE"),111)),"")</f>
        <v/>
      </c>
      <c r="P120" s="64" t="str">
        <f t="array" aca="1" ref="P120" ca="1">IFERROR(INDEX(INDIRECT("'"&amp;$B$4&amp;"'!B6:B155"),_xlfn.AGGREGATE(15,6,(ROW(INDIRECT("6:155"))-5)/((INDIRECT("'"&amp;$B$4&amp;"'!"&amp;ADDRESS(6,6+$F$4)&amp;":"&amp;ADDRESS(155,6+$F$4)))="FE"),111)),"")</f>
        <v/>
      </c>
    </row>
    <row r="121" spans="1:16" outlineLevel="1" x14ac:dyDescent="0.25">
      <c r="A121" s="58" t="str">
        <f t="shared" ca="1" si="7"/>
        <v/>
      </c>
      <c r="B121" s="59" t="str">
        <f ca="1">T(INDIRECT("'"&amp;$B$4&amp;"'!B117"))</f>
        <v/>
      </c>
      <c r="C121" s="60" t="str">
        <f ca="1">IF($B121="","",N(INDIRECT("'"&amp;$B$4&amp;"'!C117")))</f>
        <v/>
      </c>
      <c r="D121" s="60" t="str">
        <f ca="1">IF($B121="","",INDIRECT("'"&amp;$B$4&amp;"'!D117"))</f>
        <v/>
      </c>
      <c r="E121" s="60" t="str">
        <f ca="1">IF($B121="","",INDIRECT("'"&amp;$B$4&amp;"'!E117"))</f>
        <v/>
      </c>
      <c r="F121" s="60" t="str">
        <f ca="1">IF($B121="","",INDIRECT("'"&amp;$B$4&amp;"'!F117"))</f>
        <v/>
      </c>
      <c r="G121" s="60" t="str">
        <f ca="1">IF($B121="","",N(JAN!C117)+N(FEV!C117)+N(MAR!C117)+N(ABR!C117)+N(MAI!C117)+N(JUN!C117)+N(JUL!C117)+N(AGO!C117)+N(SET!C117)+N(OUT!C117)+N(NOV!C117)+N(DEZ!C117))</f>
        <v/>
      </c>
      <c r="H121" s="60" t="str">
        <f ca="1">IF($B121="","",SUM(JAN!E117,FEV!E117,MAR!E117,ABR!E117,MAI!E117,JUN!E117,JUL!E117,AGO!E117,SET!E117,OUT!E117,NOV!E117,DEZ!E117))</f>
        <v/>
      </c>
      <c r="I121" s="60" t="str">
        <f t="shared" ca="1" si="6"/>
        <v/>
      </c>
      <c r="J121" s="28" t="str">
        <f ca="1">IF($B121="","",IF(T(INDIRECT("'"&amp;$B$4&amp;"'!"&amp;ADDRESS(117,6+$F$4)))="","·",T(INDIRECT("'"&amp;$B$4&amp;"'!"&amp;ADDRESS(117,6+$F$4)))))</f>
        <v/>
      </c>
      <c r="O121" s="64" t="str">
        <f t="array" aca="1" ref="O121" ca="1">IFERROR(INDEX(INDIRECT("'"&amp;$B$4&amp;"'!B6:B155"),_xlfn.AGGREGATE(15,6,(ROW(INDIRECT("6:155"))-5)/((INDIRECT("'"&amp;$B$4&amp;"'!"&amp;ADDRESS(6,6+$F$4)&amp;":"&amp;ADDRESS(155,6+$F$4)))="HE"),112)),"")</f>
        <v/>
      </c>
      <c r="P121" s="64" t="str">
        <f t="array" aca="1" ref="P121" ca="1">IFERROR(INDEX(INDIRECT("'"&amp;$B$4&amp;"'!B6:B155"),_xlfn.AGGREGATE(15,6,(ROW(INDIRECT("6:155"))-5)/((INDIRECT("'"&amp;$B$4&amp;"'!"&amp;ADDRESS(6,6+$F$4)&amp;":"&amp;ADDRESS(155,6+$F$4)))="FE"),112)),"")</f>
        <v/>
      </c>
    </row>
    <row r="122" spans="1:16" outlineLevel="1" x14ac:dyDescent="0.25">
      <c r="A122" s="58" t="str">
        <f t="shared" ca="1" si="7"/>
        <v/>
      </c>
      <c r="B122" s="59" t="str">
        <f ca="1">T(INDIRECT("'"&amp;$B$4&amp;"'!B118"))</f>
        <v/>
      </c>
      <c r="C122" s="60" t="str">
        <f ca="1">IF($B122="","",N(INDIRECT("'"&amp;$B$4&amp;"'!C118")))</f>
        <v/>
      </c>
      <c r="D122" s="60" t="str">
        <f ca="1">IF($B122="","",INDIRECT("'"&amp;$B$4&amp;"'!D118"))</f>
        <v/>
      </c>
      <c r="E122" s="60" t="str">
        <f ca="1">IF($B122="","",INDIRECT("'"&amp;$B$4&amp;"'!E118"))</f>
        <v/>
      </c>
      <c r="F122" s="60" t="str">
        <f ca="1">IF($B122="","",INDIRECT("'"&amp;$B$4&amp;"'!F118"))</f>
        <v/>
      </c>
      <c r="G122" s="60" t="str">
        <f ca="1">IF($B122="","",N(JAN!C118)+N(FEV!C118)+N(MAR!C118)+N(ABR!C118)+N(MAI!C118)+N(JUN!C118)+N(JUL!C118)+N(AGO!C118)+N(SET!C118)+N(OUT!C118)+N(NOV!C118)+N(DEZ!C118))</f>
        <v/>
      </c>
      <c r="H122" s="60" t="str">
        <f ca="1">IF($B122="","",SUM(JAN!E118,FEV!E118,MAR!E118,ABR!E118,MAI!E118,JUN!E118,JUL!E118,AGO!E118,SET!E118,OUT!E118,NOV!E118,DEZ!E118))</f>
        <v/>
      </c>
      <c r="I122" s="60" t="str">
        <f t="shared" ca="1" si="6"/>
        <v/>
      </c>
      <c r="J122" s="28" t="str">
        <f ca="1">IF($B122="","",IF(T(INDIRECT("'"&amp;$B$4&amp;"'!"&amp;ADDRESS(118,6+$F$4)))="","·",T(INDIRECT("'"&amp;$B$4&amp;"'!"&amp;ADDRESS(118,6+$F$4)))))</f>
        <v/>
      </c>
      <c r="O122" s="64" t="str">
        <f t="array" aca="1" ref="O122" ca="1">IFERROR(INDEX(INDIRECT("'"&amp;$B$4&amp;"'!B6:B155"),_xlfn.AGGREGATE(15,6,(ROW(INDIRECT("6:155"))-5)/((INDIRECT("'"&amp;$B$4&amp;"'!"&amp;ADDRESS(6,6+$F$4)&amp;":"&amp;ADDRESS(155,6+$F$4)))="HE"),113)),"")</f>
        <v/>
      </c>
      <c r="P122" s="64" t="str">
        <f t="array" aca="1" ref="P122" ca="1">IFERROR(INDEX(INDIRECT("'"&amp;$B$4&amp;"'!B6:B155"),_xlfn.AGGREGATE(15,6,(ROW(INDIRECT("6:155"))-5)/((INDIRECT("'"&amp;$B$4&amp;"'!"&amp;ADDRESS(6,6+$F$4)&amp;":"&amp;ADDRESS(155,6+$F$4)))="FE"),113)),"")</f>
        <v/>
      </c>
    </row>
    <row r="123" spans="1:16" outlineLevel="1" x14ac:dyDescent="0.25">
      <c r="A123" s="58" t="str">
        <f t="shared" ca="1" si="7"/>
        <v/>
      </c>
      <c r="B123" s="59" t="str">
        <f ca="1">T(INDIRECT("'"&amp;$B$4&amp;"'!B119"))</f>
        <v/>
      </c>
      <c r="C123" s="60" t="str">
        <f ca="1">IF($B123="","",N(INDIRECT("'"&amp;$B$4&amp;"'!C119")))</f>
        <v/>
      </c>
      <c r="D123" s="60" t="str">
        <f ca="1">IF($B123="","",INDIRECT("'"&amp;$B$4&amp;"'!D119"))</f>
        <v/>
      </c>
      <c r="E123" s="60" t="str">
        <f ca="1">IF($B123="","",INDIRECT("'"&amp;$B$4&amp;"'!E119"))</f>
        <v/>
      </c>
      <c r="F123" s="60" t="str">
        <f ca="1">IF($B123="","",INDIRECT("'"&amp;$B$4&amp;"'!F119"))</f>
        <v/>
      </c>
      <c r="G123" s="60" t="str">
        <f ca="1">IF($B123="","",N(JAN!C119)+N(FEV!C119)+N(MAR!C119)+N(ABR!C119)+N(MAI!C119)+N(JUN!C119)+N(JUL!C119)+N(AGO!C119)+N(SET!C119)+N(OUT!C119)+N(NOV!C119)+N(DEZ!C119))</f>
        <v/>
      </c>
      <c r="H123" s="60" t="str">
        <f ca="1">IF($B123="","",SUM(JAN!E119,FEV!E119,MAR!E119,ABR!E119,MAI!E119,JUN!E119,JUL!E119,AGO!E119,SET!E119,OUT!E119,NOV!E119,DEZ!E119))</f>
        <v/>
      </c>
      <c r="I123" s="60" t="str">
        <f t="shared" ca="1" si="6"/>
        <v/>
      </c>
      <c r="J123" s="28" t="str">
        <f ca="1">IF($B123="","",IF(T(INDIRECT("'"&amp;$B$4&amp;"'!"&amp;ADDRESS(119,6+$F$4)))="","·",T(INDIRECT("'"&amp;$B$4&amp;"'!"&amp;ADDRESS(119,6+$F$4)))))</f>
        <v/>
      </c>
      <c r="O123" s="64" t="str">
        <f t="array" aca="1" ref="O123" ca="1">IFERROR(INDEX(INDIRECT("'"&amp;$B$4&amp;"'!B6:B155"),_xlfn.AGGREGATE(15,6,(ROW(INDIRECT("6:155"))-5)/((INDIRECT("'"&amp;$B$4&amp;"'!"&amp;ADDRESS(6,6+$F$4)&amp;":"&amp;ADDRESS(155,6+$F$4)))="HE"),114)),"")</f>
        <v/>
      </c>
      <c r="P123" s="64" t="str">
        <f t="array" aca="1" ref="P123" ca="1">IFERROR(INDEX(INDIRECT("'"&amp;$B$4&amp;"'!B6:B155"),_xlfn.AGGREGATE(15,6,(ROW(INDIRECT("6:155"))-5)/((INDIRECT("'"&amp;$B$4&amp;"'!"&amp;ADDRESS(6,6+$F$4)&amp;":"&amp;ADDRESS(155,6+$F$4)))="FE"),114)),"")</f>
        <v/>
      </c>
    </row>
    <row r="124" spans="1:16" outlineLevel="1" x14ac:dyDescent="0.25">
      <c r="A124" s="58" t="str">
        <f t="shared" ca="1" si="7"/>
        <v/>
      </c>
      <c r="B124" s="59" t="str">
        <f ca="1">T(INDIRECT("'"&amp;$B$4&amp;"'!B120"))</f>
        <v/>
      </c>
      <c r="C124" s="60" t="str">
        <f ca="1">IF($B124="","",N(INDIRECT("'"&amp;$B$4&amp;"'!C120")))</f>
        <v/>
      </c>
      <c r="D124" s="60" t="str">
        <f ca="1">IF($B124="","",INDIRECT("'"&amp;$B$4&amp;"'!D120"))</f>
        <v/>
      </c>
      <c r="E124" s="60" t="str">
        <f ca="1">IF($B124="","",INDIRECT("'"&amp;$B$4&amp;"'!E120"))</f>
        <v/>
      </c>
      <c r="F124" s="60" t="str">
        <f ca="1">IF($B124="","",INDIRECT("'"&amp;$B$4&amp;"'!F120"))</f>
        <v/>
      </c>
      <c r="G124" s="60" t="str">
        <f ca="1">IF($B124="","",N(JAN!C120)+N(FEV!C120)+N(MAR!C120)+N(ABR!C120)+N(MAI!C120)+N(JUN!C120)+N(JUL!C120)+N(AGO!C120)+N(SET!C120)+N(OUT!C120)+N(NOV!C120)+N(DEZ!C120))</f>
        <v/>
      </c>
      <c r="H124" s="60" t="str">
        <f ca="1">IF($B124="","",SUM(JAN!E120,FEV!E120,MAR!E120,ABR!E120,MAI!E120,JUN!E120,JUL!E120,AGO!E120,SET!E120,OUT!E120,NOV!E120,DEZ!E120))</f>
        <v/>
      </c>
      <c r="I124" s="60" t="str">
        <f t="shared" ca="1" si="6"/>
        <v/>
      </c>
      <c r="J124" s="28" t="str">
        <f ca="1">IF($B124="","",IF(T(INDIRECT("'"&amp;$B$4&amp;"'!"&amp;ADDRESS(120,6+$F$4)))="","·",T(INDIRECT("'"&amp;$B$4&amp;"'!"&amp;ADDRESS(120,6+$F$4)))))</f>
        <v/>
      </c>
      <c r="O124" s="64" t="str">
        <f t="array" aca="1" ref="O124" ca="1">IFERROR(INDEX(INDIRECT("'"&amp;$B$4&amp;"'!B6:B155"),_xlfn.AGGREGATE(15,6,(ROW(INDIRECT("6:155"))-5)/((INDIRECT("'"&amp;$B$4&amp;"'!"&amp;ADDRESS(6,6+$F$4)&amp;":"&amp;ADDRESS(155,6+$F$4)))="HE"),115)),"")</f>
        <v/>
      </c>
      <c r="P124" s="64" t="str">
        <f t="array" aca="1" ref="P124" ca="1">IFERROR(INDEX(INDIRECT("'"&amp;$B$4&amp;"'!B6:B155"),_xlfn.AGGREGATE(15,6,(ROW(INDIRECT("6:155"))-5)/((INDIRECT("'"&amp;$B$4&amp;"'!"&amp;ADDRESS(6,6+$F$4)&amp;":"&amp;ADDRESS(155,6+$F$4)))="FE"),115)),"")</f>
        <v/>
      </c>
    </row>
    <row r="125" spans="1:16" outlineLevel="1" x14ac:dyDescent="0.25">
      <c r="A125" s="58" t="str">
        <f t="shared" ca="1" si="7"/>
        <v/>
      </c>
      <c r="B125" s="59" t="str">
        <f ca="1">T(INDIRECT("'"&amp;$B$4&amp;"'!B121"))</f>
        <v/>
      </c>
      <c r="C125" s="60" t="str">
        <f ca="1">IF($B125="","",N(INDIRECT("'"&amp;$B$4&amp;"'!C121")))</f>
        <v/>
      </c>
      <c r="D125" s="60" t="str">
        <f ca="1">IF($B125="","",INDIRECT("'"&amp;$B$4&amp;"'!D121"))</f>
        <v/>
      </c>
      <c r="E125" s="60" t="str">
        <f ca="1">IF($B125="","",INDIRECT("'"&amp;$B$4&amp;"'!E121"))</f>
        <v/>
      </c>
      <c r="F125" s="60" t="str">
        <f ca="1">IF($B125="","",INDIRECT("'"&amp;$B$4&amp;"'!F121"))</f>
        <v/>
      </c>
      <c r="G125" s="60" t="str">
        <f ca="1">IF($B125="","",N(JAN!C121)+N(FEV!C121)+N(MAR!C121)+N(ABR!C121)+N(MAI!C121)+N(JUN!C121)+N(JUL!C121)+N(AGO!C121)+N(SET!C121)+N(OUT!C121)+N(NOV!C121)+N(DEZ!C121))</f>
        <v/>
      </c>
      <c r="H125" s="60" t="str">
        <f ca="1">IF($B125="","",SUM(JAN!E121,FEV!E121,MAR!E121,ABR!E121,MAI!E121,JUN!E121,JUL!E121,AGO!E121,SET!E121,OUT!E121,NOV!E121,DEZ!E121))</f>
        <v/>
      </c>
      <c r="I125" s="60" t="str">
        <f t="shared" ca="1" si="6"/>
        <v/>
      </c>
      <c r="J125" s="28" t="str">
        <f ca="1">IF($B125="","",IF(T(INDIRECT("'"&amp;$B$4&amp;"'!"&amp;ADDRESS(121,6+$F$4)))="","·",T(INDIRECT("'"&amp;$B$4&amp;"'!"&amp;ADDRESS(121,6+$F$4)))))</f>
        <v/>
      </c>
      <c r="O125" s="64" t="str">
        <f t="array" aca="1" ref="O125" ca="1">IFERROR(INDEX(INDIRECT("'"&amp;$B$4&amp;"'!B6:B155"),_xlfn.AGGREGATE(15,6,(ROW(INDIRECT("6:155"))-5)/((INDIRECT("'"&amp;$B$4&amp;"'!"&amp;ADDRESS(6,6+$F$4)&amp;":"&amp;ADDRESS(155,6+$F$4)))="HE"),116)),"")</f>
        <v/>
      </c>
      <c r="P125" s="64" t="str">
        <f t="array" aca="1" ref="P125" ca="1">IFERROR(INDEX(INDIRECT("'"&amp;$B$4&amp;"'!B6:B155"),_xlfn.AGGREGATE(15,6,(ROW(INDIRECT("6:155"))-5)/((INDIRECT("'"&amp;$B$4&amp;"'!"&amp;ADDRESS(6,6+$F$4)&amp;":"&amp;ADDRESS(155,6+$F$4)))="FE"),116)),"")</f>
        <v/>
      </c>
    </row>
    <row r="126" spans="1:16" outlineLevel="1" x14ac:dyDescent="0.25">
      <c r="A126" s="58" t="str">
        <f t="shared" ca="1" si="7"/>
        <v/>
      </c>
      <c r="B126" s="59" t="str">
        <f ca="1">T(INDIRECT("'"&amp;$B$4&amp;"'!B122"))</f>
        <v/>
      </c>
      <c r="C126" s="60" t="str">
        <f ca="1">IF($B126="","",N(INDIRECT("'"&amp;$B$4&amp;"'!C122")))</f>
        <v/>
      </c>
      <c r="D126" s="60" t="str">
        <f ca="1">IF($B126="","",INDIRECT("'"&amp;$B$4&amp;"'!D122"))</f>
        <v/>
      </c>
      <c r="E126" s="60" t="str">
        <f ca="1">IF($B126="","",INDIRECT("'"&amp;$B$4&amp;"'!E122"))</f>
        <v/>
      </c>
      <c r="F126" s="60" t="str">
        <f ca="1">IF($B126="","",INDIRECT("'"&amp;$B$4&amp;"'!F122"))</f>
        <v/>
      </c>
      <c r="G126" s="60" t="str">
        <f ca="1">IF($B126="","",N(JAN!C122)+N(FEV!C122)+N(MAR!C122)+N(ABR!C122)+N(MAI!C122)+N(JUN!C122)+N(JUL!C122)+N(AGO!C122)+N(SET!C122)+N(OUT!C122)+N(NOV!C122)+N(DEZ!C122))</f>
        <v/>
      </c>
      <c r="H126" s="60" t="str">
        <f ca="1">IF($B126="","",SUM(JAN!E122,FEV!E122,MAR!E122,ABR!E122,MAI!E122,JUN!E122,JUL!E122,AGO!E122,SET!E122,OUT!E122,NOV!E122,DEZ!E122))</f>
        <v/>
      </c>
      <c r="I126" s="60" t="str">
        <f t="shared" ca="1" si="6"/>
        <v/>
      </c>
      <c r="J126" s="28" t="str">
        <f ca="1">IF($B126="","",IF(T(INDIRECT("'"&amp;$B$4&amp;"'!"&amp;ADDRESS(122,6+$F$4)))="","·",T(INDIRECT("'"&amp;$B$4&amp;"'!"&amp;ADDRESS(122,6+$F$4)))))</f>
        <v/>
      </c>
      <c r="O126" s="64" t="str">
        <f t="array" aca="1" ref="O126" ca="1">IFERROR(INDEX(INDIRECT("'"&amp;$B$4&amp;"'!B6:B155"),_xlfn.AGGREGATE(15,6,(ROW(INDIRECT("6:155"))-5)/((INDIRECT("'"&amp;$B$4&amp;"'!"&amp;ADDRESS(6,6+$F$4)&amp;":"&amp;ADDRESS(155,6+$F$4)))="HE"),117)),"")</f>
        <v/>
      </c>
      <c r="P126" s="64" t="str">
        <f t="array" aca="1" ref="P126" ca="1">IFERROR(INDEX(INDIRECT("'"&amp;$B$4&amp;"'!B6:B155"),_xlfn.AGGREGATE(15,6,(ROW(INDIRECT("6:155"))-5)/((INDIRECT("'"&amp;$B$4&amp;"'!"&amp;ADDRESS(6,6+$F$4)&amp;":"&amp;ADDRESS(155,6+$F$4)))="FE"),117)),"")</f>
        <v/>
      </c>
    </row>
    <row r="127" spans="1:16" outlineLevel="1" x14ac:dyDescent="0.25">
      <c r="A127" s="58" t="str">
        <f t="shared" ca="1" si="7"/>
        <v/>
      </c>
      <c r="B127" s="59" t="str">
        <f ca="1">T(INDIRECT("'"&amp;$B$4&amp;"'!B123"))</f>
        <v/>
      </c>
      <c r="C127" s="60" t="str">
        <f ca="1">IF($B127="","",N(INDIRECT("'"&amp;$B$4&amp;"'!C123")))</f>
        <v/>
      </c>
      <c r="D127" s="60" t="str">
        <f ca="1">IF($B127="","",INDIRECT("'"&amp;$B$4&amp;"'!D123"))</f>
        <v/>
      </c>
      <c r="E127" s="60" t="str">
        <f ca="1">IF($B127="","",INDIRECT("'"&amp;$B$4&amp;"'!E123"))</f>
        <v/>
      </c>
      <c r="F127" s="60" t="str">
        <f ca="1">IF($B127="","",INDIRECT("'"&amp;$B$4&amp;"'!F123"))</f>
        <v/>
      </c>
      <c r="G127" s="60" t="str">
        <f ca="1">IF($B127="","",N(JAN!C123)+N(FEV!C123)+N(MAR!C123)+N(ABR!C123)+N(MAI!C123)+N(JUN!C123)+N(JUL!C123)+N(AGO!C123)+N(SET!C123)+N(OUT!C123)+N(NOV!C123)+N(DEZ!C123))</f>
        <v/>
      </c>
      <c r="H127" s="60" t="str">
        <f ca="1">IF($B127="","",SUM(JAN!E123,FEV!E123,MAR!E123,ABR!E123,MAI!E123,JUN!E123,JUL!E123,AGO!E123,SET!E123,OUT!E123,NOV!E123,DEZ!E123))</f>
        <v/>
      </c>
      <c r="I127" s="60" t="str">
        <f t="shared" ca="1" si="6"/>
        <v/>
      </c>
      <c r="J127" s="28" t="str">
        <f ca="1">IF($B127="","",IF(T(INDIRECT("'"&amp;$B$4&amp;"'!"&amp;ADDRESS(123,6+$F$4)))="","·",T(INDIRECT("'"&amp;$B$4&amp;"'!"&amp;ADDRESS(123,6+$F$4)))))</f>
        <v/>
      </c>
      <c r="O127" s="64" t="str">
        <f t="array" aca="1" ref="O127" ca="1">IFERROR(INDEX(INDIRECT("'"&amp;$B$4&amp;"'!B6:B155"),_xlfn.AGGREGATE(15,6,(ROW(INDIRECT("6:155"))-5)/((INDIRECT("'"&amp;$B$4&amp;"'!"&amp;ADDRESS(6,6+$F$4)&amp;":"&amp;ADDRESS(155,6+$F$4)))="HE"),118)),"")</f>
        <v/>
      </c>
      <c r="P127" s="64" t="str">
        <f t="array" aca="1" ref="P127" ca="1">IFERROR(INDEX(INDIRECT("'"&amp;$B$4&amp;"'!B6:B155"),_xlfn.AGGREGATE(15,6,(ROW(INDIRECT("6:155"))-5)/((INDIRECT("'"&amp;$B$4&amp;"'!"&amp;ADDRESS(6,6+$F$4)&amp;":"&amp;ADDRESS(155,6+$F$4)))="FE"),118)),"")</f>
        <v/>
      </c>
    </row>
    <row r="128" spans="1:16" outlineLevel="1" x14ac:dyDescent="0.25">
      <c r="A128" s="58" t="str">
        <f t="shared" ca="1" si="7"/>
        <v/>
      </c>
      <c r="B128" s="59" t="str">
        <f ca="1">T(INDIRECT("'"&amp;$B$4&amp;"'!B124"))</f>
        <v/>
      </c>
      <c r="C128" s="60" t="str">
        <f ca="1">IF($B128="","",N(INDIRECT("'"&amp;$B$4&amp;"'!C124")))</f>
        <v/>
      </c>
      <c r="D128" s="60" t="str">
        <f ca="1">IF($B128="","",INDIRECT("'"&amp;$B$4&amp;"'!D124"))</f>
        <v/>
      </c>
      <c r="E128" s="60" t="str">
        <f ca="1">IF($B128="","",INDIRECT("'"&amp;$B$4&amp;"'!E124"))</f>
        <v/>
      </c>
      <c r="F128" s="60" t="str">
        <f ca="1">IF($B128="","",INDIRECT("'"&amp;$B$4&amp;"'!F124"))</f>
        <v/>
      </c>
      <c r="G128" s="60" t="str">
        <f ca="1">IF($B128="","",N(JAN!C124)+N(FEV!C124)+N(MAR!C124)+N(ABR!C124)+N(MAI!C124)+N(JUN!C124)+N(JUL!C124)+N(AGO!C124)+N(SET!C124)+N(OUT!C124)+N(NOV!C124)+N(DEZ!C124))</f>
        <v/>
      </c>
      <c r="H128" s="60" t="str">
        <f ca="1">IF($B128="","",SUM(JAN!E124,FEV!E124,MAR!E124,ABR!E124,MAI!E124,JUN!E124,JUL!E124,AGO!E124,SET!E124,OUT!E124,NOV!E124,DEZ!E124))</f>
        <v/>
      </c>
      <c r="I128" s="60" t="str">
        <f t="shared" ca="1" si="6"/>
        <v/>
      </c>
      <c r="J128" s="28" t="str">
        <f ca="1">IF($B128="","",IF(T(INDIRECT("'"&amp;$B$4&amp;"'!"&amp;ADDRESS(124,6+$F$4)))="","·",T(INDIRECT("'"&amp;$B$4&amp;"'!"&amp;ADDRESS(124,6+$F$4)))))</f>
        <v/>
      </c>
      <c r="O128" s="64" t="str">
        <f t="array" aca="1" ref="O128" ca="1">IFERROR(INDEX(INDIRECT("'"&amp;$B$4&amp;"'!B6:B155"),_xlfn.AGGREGATE(15,6,(ROW(INDIRECT("6:155"))-5)/((INDIRECT("'"&amp;$B$4&amp;"'!"&amp;ADDRESS(6,6+$F$4)&amp;":"&amp;ADDRESS(155,6+$F$4)))="HE"),119)),"")</f>
        <v/>
      </c>
      <c r="P128" s="64" t="str">
        <f t="array" aca="1" ref="P128" ca="1">IFERROR(INDEX(INDIRECT("'"&amp;$B$4&amp;"'!B6:B155"),_xlfn.AGGREGATE(15,6,(ROW(INDIRECT("6:155"))-5)/((INDIRECT("'"&amp;$B$4&amp;"'!"&amp;ADDRESS(6,6+$F$4)&amp;":"&amp;ADDRESS(155,6+$F$4)))="FE"),119)),"")</f>
        <v/>
      </c>
    </row>
    <row r="129" spans="1:16" outlineLevel="1" x14ac:dyDescent="0.25">
      <c r="A129" s="58" t="str">
        <f t="shared" ca="1" si="7"/>
        <v/>
      </c>
      <c r="B129" s="59" t="str">
        <f ca="1">T(INDIRECT("'"&amp;$B$4&amp;"'!B125"))</f>
        <v/>
      </c>
      <c r="C129" s="60" t="str">
        <f ca="1">IF($B129="","",N(INDIRECT("'"&amp;$B$4&amp;"'!C125")))</f>
        <v/>
      </c>
      <c r="D129" s="60" t="str">
        <f ca="1">IF($B129="","",INDIRECT("'"&amp;$B$4&amp;"'!D125"))</f>
        <v/>
      </c>
      <c r="E129" s="60" t="str">
        <f ca="1">IF($B129="","",INDIRECT("'"&amp;$B$4&amp;"'!E125"))</f>
        <v/>
      </c>
      <c r="F129" s="60" t="str">
        <f ca="1">IF($B129="","",INDIRECT("'"&amp;$B$4&amp;"'!F125"))</f>
        <v/>
      </c>
      <c r="G129" s="60" t="str">
        <f ca="1">IF($B129="","",N(JAN!C125)+N(FEV!C125)+N(MAR!C125)+N(ABR!C125)+N(MAI!C125)+N(JUN!C125)+N(JUL!C125)+N(AGO!C125)+N(SET!C125)+N(OUT!C125)+N(NOV!C125)+N(DEZ!C125))</f>
        <v/>
      </c>
      <c r="H129" s="60" t="str">
        <f ca="1">IF($B129="","",SUM(JAN!E125,FEV!E125,MAR!E125,ABR!E125,MAI!E125,JUN!E125,JUL!E125,AGO!E125,SET!E125,OUT!E125,NOV!E125,DEZ!E125))</f>
        <v/>
      </c>
      <c r="I129" s="60" t="str">
        <f t="shared" ca="1" si="6"/>
        <v/>
      </c>
      <c r="J129" s="28" t="str">
        <f ca="1">IF($B129="","",IF(T(INDIRECT("'"&amp;$B$4&amp;"'!"&amp;ADDRESS(125,6+$F$4)))="","·",T(INDIRECT("'"&amp;$B$4&amp;"'!"&amp;ADDRESS(125,6+$F$4)))))</f>
        <v/>
      </c>
      <c r="O129" s="64" t="str">
        <f t="array" aca="1" ref="O129" ca="1">IFERROR(INDEX(INDIRECT("'"&amp;$B$4&amp;"'!B6:B155"),_xlfn.AGGREGATE(15,6,(ROW(INDIRECT("6:155"))-5)/((INDIRECT("'"&amp;$B$4&amp;"'!"&amp;ADDRESS(6,6+$F$4)&amp;":"&amp;ADDRESS(155,6+$F$4)))="HE"),120)),"")</f>
        <v/>
      </c>
      <c r="P129" s="64" t="str">
        <f t="array" aca="1" ref="P129" ca="1">IFERROR(INDEX(INDIRECT("'"&amp;$B$4&amp;"'!B6:B155"),_xlfn.AGGREGATE(15,6,(ROW(INDIRECT("6:155"))-5)/((INDIRECT("'"&amp;$B$4&amp;"'!"&amp;ADDRESS(6,6+$F$4)&amp;":"&amp;ADDRESS(155,6+$F$4)))="FE"),120)),"")</f>
        <v/>
      </c>
    </row>
    <row r="130" spans="1:16" outlineLevel="1" x14ac:dyDescent="0.25">
      <c r="A130" s="58" t="str">
        <f t="shared" ca="1" si="7"/>
        <v/>
      </c>
      <c r="B130" s="59" t="str">
        <f ca="1">T(INDIRECT("'"&amp;$B$4&amp;"'!B126"))</f>
        <v/>
      </c>
      <c r="C130" s="60" t="str">
        <f ca="1">IF($B130="","",N(INDIRECT("'"&amp;$B$4&amp;"'!C126")))</f>
        <v/>
      </c>
      <c r="D130" s="60" t="str">
        <f ca="1">IF($B130="","",INDIRECT("'"&amp;$B$4&amp;"'!D126"))</f>
        <v/>
      </c>
      <c r="E130" s="60" t="str">
        <f ca="1">IF($B130="","",INDIRECT("'"&amp;$B$4&amp;"'!E126"))</f>
        <v/>
      </c>
      <c r="F130" s="60" t="str">
        <f ca="1">IF($B130="","",INDIRECT("'"&amp;$B$4&amp;"'!F126"))</f>
        <v/>
      </c>
      <c r="G130" s="60" t="str">
        <f ca="1">IF($B130="","",N(JAN!C126)+N(FEV!C126)+N(MAR!C126)+N(ABR!C126)+N(MAI!C126)+N(JUN!C126)+N(JUL!C126)+N(AGO!C126)+N(SET!C126)+N(OUT!C126)+N(NOV!C126)+N(DEZ!C126))</f>
        <v/>
      </c>
      <c r="H130" s="60" t="str">
        <f ca="1">IF($B130="","",SUM(JAN!E126,FEV!E126,MAR!E126,ABR!E126,MAI!E126,JUN!E126,JUL!E126,AGO!E126,SET!E126,OUT!E126,NOV!E126,DEZ!E126))</f>
        <v/>
      </c>
      <c r="I130" s="60" t="str">
        <f t="shared" ca="1" si="6"/>
        <v/>
      </c>
      <c r="J130" s="28" t="str">
        <f ca="1">IF($B130="","",IF(T(INDIRECT("'"&amp;$B$4&amp;"'!"&amp;ADDRESS(126,6+$F$4)))="","·",T(INDIRECT("'"&amp;$B$4&amp;"'!"&amp;ADDRESS(126,6+$F$4)))))</f>
        <v/>
      </c>
      <c r="O130" s="64" t="str">
        <f t="array" aca="1" ref="O130" ca="1">IFERROR(INDEX(INDIRECT("'"&amp;$B$4&amp;"'!B6:B155"),_xlfn.AGGREGATE(15,6,(ROW(INDIRECT("6:155"))-5)/((INDIRECT("'"&amp;$B$4&amp;"'!"&amp;ADDRESS(6,6+$F$4)&amp;":"&amp;ADDRESS(155,6+$F$4)))="HE"),121)),"")</f>
        <v/>
      </c>
      <c r="P130" s="64" t="str">
        <f t="array" aca="1" ref="P130" ca="1">IFERROR(INDEX(INDIRECT("'"&amp;$B$4&amp;"'!B6:B155"),_xlfn.AGGREGATE(15,6,(ROW(INDIRECT("6:155"))-5)/((INDIRECT("'"&amp;$B$4&amp;"'!"&amp;ADDRESS(6,6+$F$4)&amp;":"&amp;ADDRESS(155,6+$F$4)))="FE"),121)),"")</f>
        <v/>
      </c>
    </row>
    <row r="131" spans="1:16" outlineLevel="1" x14ac:dyDescent="0.25">
      <c r="A131" s="58" t="str">
        <f t="shared" ca="1" si="7"/>
        <v/>
      </c>
      <c r="B131" s="59" t="str">
        <f ca="1">T(INDIRECT("'"&amp;$B$4&amp;"'!B127"))</f>
        <v/>
      </c>
      <c r="C131" s="60" t="str">
        <f ca="1">IF($B131="","",N(INDIRECT("'"&amp;$B$4&amp;"'!C127")))</f>
        <v/>
      </c>
      <c r="D131" s="60" t="str">
        <f ca="1">IF($B131="","",INDIRECT("'"&amp;$B$4&amp;"'!D127"))</f>
        <v/>
      </c>
      <c r="E131" s="60" t="str">
        <f ca="1">IF($B131="","",INDIRECT("'"&amp;$B$4&amp;"'!E127"))</f>
        <v/>
      </c>
      <c r="F131" s="60" t="str">
        <f ca="1">IF($B131="","",INDIRECT("'"&amp;$B$4&amp;"'!F127"))</f>
        <v/>
      </c>
      <c r="G131" s="60" t="str">
        <f ca="1">IF($B131="","",N(JAN!C127)+N(FEV!C127)+N(MAR!C127)+N(ABR!C127)+N(MAI!C127)+N(JUN!C127)+N(JUL!C127)+N(AGO!C127)+N(SET!C127)+N(OUT!C127)+N(NOV!C127)+N(DEZ!C127))</f>
        <v/>
      </c>
      <c r="H131" s="60" t="str">
        <f ca="1">IF($B131="","",SUM(JAN!E127,FEV!E127,MAR!E127,ABR!E127,MAI!E127,JUN!E127,JUL!E127,AGO!E127,SET!E127,OUT!E127,NOV!E127,DEZ!E127))</f>
        <v/>
      </c>
      <c r="I131" s="60" t="str">
        <f t="shared" ca="1" si="6"/>
        <v/>
      </c>
      <c r="J131" s="28" t="str">
        <f ca="1">IF($B131="","",IF(T(INDIRECT("'"&amp;$B$4&amp;"'!"&amp;ADDRESS(127,6+$F$4)))="","·",T(INDIRECT("'"&amp;$B$4&amp;"'!"&amp;ADDRESS(127,6+$F$4)))))</f>
        <v/>
      </c>
      <c r="O131" s="64" t="str">
        <f t="array" aca="1" ref="O131" ca="1">IFERROR(INDEX(INDIRECT("'"&amp;$B$4&amp;"'!B6:B155"),_xlfn.AGGREGATE(15,6,(ROW(INDIRECT("6:155"))-5)/((INDIRECT("'"&amp;$B$4&amp;"'!"&amp;ADDRESS(6,6+$F$4)&amp;":"&amp;ADDRESS(155,6+$F$4)))="HE"),122)),"")</f>
        <v/>
      </c>
      <c r="P131" s="64" t="str">
        <f t="array" aca="1" ref="P131" ca="1">IFERROR(INDEX(INDIRECT("'"&amp;$B$4&amp;"'!B6:B155"),_xlfn.AGGREGATE(15,6,(ROW(INDIRECT("6:155"))-5)/((INDIRECT("'"&amp;$B$4&amp;"'!"&amp;ADDRESS(6,6+$F$4)&amp;":"&amp;ADDRESS(155,6+$F$4)))="FE"),122)),"")</f>
        <v/>
      </c>
    </row>
    <row r="132" spans="1:16" outlineLevel="1" x14ac:dyDescent="0.25">
      <c r="A132" s="58" t="str">
        <f t="shared" ca="1" si="7"/>
        <v/>
      </c>
      <c r="B132" s="59" t="str">
        <f ca="1">T(INDIRECT("'"&amp;$B$4&amp;"'!B128"))</f>
        <v/>
      </c>
      <c r="C132" s="60" t="str">
        <f ca="1">IF($B132="","",N(INDIRECT("'"&amp;$B$4&amp;"'!C128")))</f>
        <v/>
      </c>
      <c r="D132" s="60" t="str">
        <f ca="1">IF($B132="","",INDIRECT("'"&amp;$B$4&amp;"'!D128"))</f>
        <v/>
      </c>
      <c r="E132" s="60" t="str">
        <f ca="1">IF($B132="","",INDIRECT("'"&amp;$B$4&amp;"'!E128"))</f>
        <v/>
      </c>
      <c r="F132" s="60" t="str">
        <f ca="1">IF($B132="","",INDIRECT("'"&amp;$B$4&amp;"'!F128"))</f>
        <v/>
      </c>
      <c r="G132" s="60" t="str">
        <f ca="1">IF($B132="","",N(JAN!C128)+N(FEV!C128)+N(MAR!C128)+N(ABR!C128)+N(MAI!C128)+N(JUN!C128)+N(JUL!C128)+N(AGO!C128)+N(SET!C128)+N(OUT!C128)+N(NOV!C128)+N(DEZ!C128))</f>
        <v/>
      </c>
      <c r="H132" s="60" t="str">
        <f ca="1">IF($B132="","",SUM(JAN!E128,FEV!E128,MAR!E128,ABR!E128,MAI!E128,JUN!E128,JUL!E128,AGO!E128,SET!E128,OUT!E128,NOV!E128,DEZ!E128))</f>
        <v/>
      </c>
      <c r="I132" s="60" t="str">
        <f t="shared" ca="1" si="6"/>
        <v/>
      </c>
      <c r="J132" s="28" t="str">
        <f ca="1">IF($B132="","",IF(T(INDIRECT("'"&amp;$B$4&amp;"'!"&amp;ADDRESS(128,6+$F$4)))="","·",T(INDIRECT("'"&amp;$B$4&amp;"'!"&amp;ADDRESS(128,6+$F$4)))))</f>
        <v/>
      </c>
      <c r="O132" s="64" t="str">
        <f t="array" aca="1" ref="O132" ca="1">IFERROR(INDEX(INDIRECT("'"&amp;$B$4&amp;"'!B6:B155"),_xlfn.AGGREGATE(15,6,(ROW(INDIRECT("6:155"))-5)/((INDIRECT("'"&amp;$B$4&amp;"'!"&amp;ADDRESS(6,6+$F$4)&amp;":"&amp;ADDRESS(155,6+$F$4)))="HE"),123)),"")</f>
        <v/>
      </c>
      <c r="P132" s="64" t="str">
        <f t="array" aca="1" ref="P132" ca="1">IFERROR(INDEX(INDIRECT("'"&amp;$B$4&amp;"'!B6:B155"),_xlfn.AGGREGATE(15,6,(ROW(INDIRECT("6:155"))-5)/((INDIRECT("'"&amp;$B$4&amp;"'!"&amp;ADDRESS(6,6+$F$4)&amp;":"&amp;ADDRESS(155,6+$F$4)))="FE"),123)),"")</f>
        <v/>
      </c>
    </row>
    <row r="133" spans="1:16" outlineLevel="1" x14ac:dyDescent="0.25">
      <c r="A133" s="58" t="str">
        <f t="shared" ca="1" si="7"/>
        <v/>
      </c>
      <c r="B133" s="59" t="str">
        <f ca="1">T(INDIRECT("'"&amp;$B$4&amp;"'!B129"))</f>
        <v/>
      </c>
      <c r="C133" s="60" t="str">
        <f ca="1">IF($B133="","",N(INDIRECT("'"&amp;$B$4&amp;"'!C129")))</f>
        <v/>
      </c>
      <c r="D133" s="60" t="str">
        <f ca="1">IF($B133="","",INDIRECT("'"&amp;$B$4&amp;"'!D129"))</f>
        <v/>
      </c>
      <c r="E133" s="60" t="str">
        <f ca="1">IF($B133="","",INDIRECT("'"&amp;$B$4&amp;"'!E129"))</f>
        <v/>
      </c>
      <c r="F133" s="60" t="str">
        <f ca="1">IF($B133="","",INDIRECT("'"&amp;$B$4&amp;"'!F129"))</f>
        <v/>
      </c>
      <c r="G133" s="60" t="str">
        <f ca="1">IF($B133="","",N(JAN!C129)+N(FEV!C129)+N(MAR!C129)+N(ABR!C129)+N(MAI!C129)+N(JUN!C129)+N(JUL!C129)+N(AGO!C129)+N(SET!C129)+N(OUT!C129)+N(NOV!C129)+N(DEZ!C129))</f>
        <v/>
      </c>
      <c r="H133" s="60" t="str">
        <f ca="1">IF($B133="","",SUM(JAN!E129,FEV!E129,MAR!E129,ABR!E129,MAI!E129,JUN!E129,JUL!E129,AGO!E129,SET!E129,OUT!E129,NOV!E129,DEZ!E129))</f>
        <v/>
      </c>
      <c r="I133" s="60" t="str">
        <f t="shared" ca="1" si="6"/>
        <v/>
      </c>
      <c r="J133" s="28" t="str">
        <f ca="1">IF($B133="","",IF(T(INDIRECT("'"&amp;$B$4&amp;"'!"&amp;ADDRESS(129,6+$F$4)))="","·",T(INDIRECT("'"&amp;$B$4&amp;"'!"&amp;ADDRESS(129,6+$F$4)))))</f>
        <v/>
      </c>
      <c r="O133" s="64" t="str">
        <f t="array" aca="1" ref="O133" ca="1">IFERROR(INDEX(INDIRECT("'"&amp;$B$4&amp;"'!B6:B155"),_xlfn.AGGREGATE(15,6,(ROW(INDIRECT("6:155"))-5)/((INDIRECT("'"&amp;$B$4&amp;"'!"&amp;ADDRESS(6,6+$F$4)&amp;":"&amp;ADDRESS(155,6+$F$4)))="HE"),124)),"")</f>
        <v/>
      </c>
      <c r="P133" s="64" t="str">
        <f t="array" aca="1" ref="P133" ca="1">IFERROR(INDEX(INDIRECT("'"&amp;$B$4&amp;"'!B6:B155"),_xlfn.AGGREGATE(15,6,(ROW(INDIRECT("6:155"))-5)/((INDIRECT("'"&amp;$B$4&amp;"'!"&amp;ADDRESS(6,6+$F$4)&amp;":"&amp;ADDRESS(155,6+$F$4)))="FE"),124)),"")</f>
        <v/>
      </c>
    </row>
    <row r="134" spans="1:16" outlineLevel="1" x14ac:dyDescent="0.25">
      <c r="A134" s="58" t="str">
        <f t="shared" ca="1" si="7"/>
        <v/>
      </c>
      <c r="B134" s="59" t="str">
        <f ca="1">T(INDIRECT("'"&amp;$B$4&amp;"'!B130"))</f>
        <v/>
      </c>
      <c r="C134" s="60" t="str">
        <f ca="1">IF($B134="","",N(INDIRECT("'"&amp;$B$4&amp;"'!C130")))</f>
        <v/>
      </c>
      <c r="D134" s="60" t="str">
        <f ca="1">IF($B134="","",INDIRECT("'"&amp;$B$4&amp;"'!D130"))</f>
        <v/>
      </c>
      <c r="E134" s="60" t="str">
        <f ca="1">IF($B134="","",INDIRECT("'"&amp;$B$4&amp;"'!E130"))</f>
        <v/>
      </c>
      <c r="F134" s="60" t="str">
        <f ca="1">IF($B134="","",INDIRECT("'"&amp;$B$4&amp;"'!F130"))</f>
        <v/>
      </c>
      <c r="G134" s="60" t="str">
        <f ca="1">IF($B134="","",N(JAN!C130)+N(FEV!C130)+N(MAR!C130)+N(ABR!C130)+N(MAI!C130)+N(JUN!C130)+N(JUL!C130)+N(AGO!C130)+N(SET!C130)+N(OUT!C130)+N(NOV!C130)+N(DEZ!C130))</f>
        <v/>
      </c>
      <c r="H134" s="60" t="str">
        <f ca="1">IF($B134="","",SUM(JAN!E130,FEV!E130,MAR!E130,ABR!E130,MAI!E130,JUN!E130,JUL!E130,AGO!E130,SET!E130,OUT!E130,NOV!E130,DEZ!E130))</f>
        <v/>
      </c>
      <c r="I134" s="60" t="str">
        <f t="shared" ca="1" si="6"/>
        <v/>
      </c>
      <c r="J134" s="28" t="str">
        <f ca="1">IF($B134="","",IF(T(INDIRECT("'"&amp;$B$4&amp;"'!"&amp;ADDRESS(130,6+$F$4)))="","·",T(INDIRECT("'"&amp;$B$4&amp;"'!"&amp;ADDRESS(130,6+$F$4)))))</f>
        <v/>
      </c>
      <c r="O134" s="64" t="str">
        <f t="array" aca="1" ref="O134" ca="1">IFERROR(INDEX(INDIRECT("'"&amp;$B$4&amp;"'!B6:B155"),_xlfn.AGGREGATE(15,6,(ROW(INDIRECT("6:155"))-5)/((INDIRECT("'"&amp;$B$4&amp;"'!"&amp;ADDRESS(6,6+$F$4)&amp;":"&amp;ADDRESS(155,6+$F$4)))="HE"),125)),"")</f>
        <v/>
      </c>
      <c r="P134" s="64" t="str">
        <f t="array" aca="1" ref="P134" ca="1">IFERROR(INDEX(INDIRECT("'"&amp;$B$4&amp;"'!B6:B155"),_xlfn.AGGREGATE(15,6,(ROW(INDIRECT("6:155"))-5)/((INDIRECT("'"&amp;$B$4&amp;"'!"&amp;ADDRESS(6,6+$F$4)&amp;":"&amp;ADDRESS(155,6+$F$4)))="FE"),125)),"")</f>
        <v/>
      </c>
    </row>
    <row r="135" spans="1:16" outlineLevel="1" x14ac:dyDescent="0.25">
      <c r="A135" s="58" t="str">
        <f t="shared" ca="1" si="7"/>
        <v/>
      </c>
      <c r="B135" s="59" t="str">
        <f ca="1">T(INDIRECT("'"&amp;$B$4&amp;"'!B131"))</f>
        <v/>
      </c>
      <c r="C135" s="60" t="str">
        <f ca="1">IF($B135="","",N(INDIRECT("'"&amp;$B$4&amp;"'!C131")))</f>
        <v/>
      </c>
      <c r="D135" s="60" t="str">
        <f ca="1">IF($B135="","",INDIRECT("'"&amp;$B$4&amp;"'!D131"))</f>
        <v/>
      </c>
      <c r="E135" s="60" t="str">
        <f ca="1">IF($B135="","",INDIRECT("'"&amp;$B$4&amp;"'!E131"))</f>
        <v/>
      </c>
      <c r="F135" s="60" t="str">
        <f ca="1">IF($B135="","",INDIRECT("'"&amp;$B$4&amp;"'!F131"))</f>
        <v/>
      </c>
      <c r="G135" s="60" t="str">
        <f ca="1">IF($B135="","",N(JAN!C131)+N(FEV!C131)+N(MAR!C131)+N(ABR!C131)+N(MAI!C131)+N(JUN!C131)+N(JUL!C131)+N(AGO!C131)+N(SET!C131)+N(OUT!C131)+N(NOV!C131)+N(DEZ!C131))</f>
        <v/>
      </c>
      <c r="H135" s="60" t="str">
        <f ca="1">IF($B135="","",SUM(JAN!E131,FEV!E131,MAR!E131,ABR!E131,MAI!E131,JUN!E131,JUL!E131,AGO!E131,SET!E131,OUT!E131,NOV!E131,DEZ!E131))</f>
        <v/>
      </c>
      <c r="I135" s="60" t="str">
        <f t="shared" ca="1" si="6"/>
        <v/>
      </c>
      <c r="J135" s="28" t="str">
        <f ca="1">IF($B135="","",IF(T(INDIRECT("'"&amp;$B$4&amp;"'!"&amp;ADDRESS(131,6+$F$4)))="","·",T(INDIRECT("'"&amp;$B$4&amp;"'!"&amp;ADDRESS(131,6+$F$4)))))</f>
        <v/>
      </c>
      <c r="O135" s="64" t="str">
        <f t="array" aca="1" ref="O135" ca="1">IFERROR(INDEX(INDIRECT("'"&amp;$B$4&amp;"'!B6:B155"),_xlfn.AGGREGATE(15,6,(ROW(INDIRECT("6:155"))-5)/((INDIRECT("'"&amp;$B$4&amp;"'!"&amp;ADDRESS(6,6+$F$4)&amp;":"&amp;ADDRESS(155,6+$F$4)))="HE"),126)),"")</f>
        <v/>
      </c>
      <c r="P135" s="64" t="str">
        <f t="array" aca="1" ref="P135" ca="1">IFERROR(INDEX(INDIRECT("'"&amp;$B$4&amp;"'!B6:B155"),_xlfn.AGGREGATE(15,6,(ROW(INDIRECT("6:155"))-5)/((INDIRECT("'"&amp;$B$4&amp;"'!"&amp;ADDRESS(6,6+$F$4)&amp;":"&amp;ADDRESS(155,6+$F$4)))="FE"),126)),"")</f>
        <v/>
      </c>
    </row>
    <row r="136" spans="1:16" outlineLevel="1" x14ac:dyDescent="0.25">
      <c r="A136" s="58" t="str">
        <f t="shared" ca="1" si="7"/>
        <v/>
      </c>
      <c r="B136" s="59" t="str">
        <f ca="1">T(INDIRECT("'"&amp;$B$4&amp;"'!B132"))</f>
        <v/>
      </c>
      <c r="C136" s="60" t="str">
        <f ca="1">IF($B136="","",N(INDIRECT("'"&amp;$B$4&amp;"'!C132")))</f>
        <v/>
      </c>
      <c r="D136" s="60" t="str">
        <f ca="1">IF($B136="","",INDIRECT("'"&amp;$B$4&amp;"'!D132"))</f>
        <v/>
      </c>
      <c r="E136" s="60" t="str">
        <f ca="1">IF($B136="","",INDIRECT("'"&amp;$B$4&amp;"'!E132"))</f>
        <v/>
      </c>
      <c r="F136" s="60" t="str">
        <f ca="1">IF($B136="","",INDIRECT("'"&amp;$B$4&amp;"'!F132"))</f>
        <v/>
      </c>
      <c r="G136" s="60" t="str">
        <f ca="1">IF($B136="","",N(JAN!C132)+N(FEV!C132)+N(MAR!C132)+N(ABR!C132)+N(MAI!C132)+N(JUN!C132)+N(JUL!C132)+N(AGO!C132)+N(SET!C132)+N(OUT!C132)+N(NOV!C132)+N(DEZ!C132))</f>
        <v/>
      </c>
      <c r="H136" s="60" t="str">
        <f ca="1">IF($B136="","",SUM(JAN!E132,FEV!E132,MAR!E132,ABR!E132,MAI!E132,JUN!E132,JUL!E132,AGO!E132,SET!E132,OUT!E132,NOV!E132,DEZ!E132))</f>
        <v/>
      </c>
      <c r="I136" s="60" t="str">
        <f t="shared" ca="1" si="6"/>
        <v/>
      </c>
      <c r="J136" s="28" t="str">
        <f ca="1">IF($B136="","",IF(T(INDIRECT("'"&amp;$B$4&amp;"'!"&amp;ADDRESS(132,6+$F$4)))="","·",T(INDIRECT("'"&amp;$B$4&amp;"'!"&amp;ADDRESS(132,6+$F$4)))))</f>
        <v/>
      </c>
      <c r="O136" s="64" t="str">
        <f t="array" aca="1" ref="O136" ca="1">IFERROR(INDEX(INDIRECT("'"&amp;$B$4&amp;"'!B6:B155"),_xlfn.AGGREGATE(15,6,(ROW(INDIRECT("6:155"))-5)/((INDIRECT("'"&amp;$B$4&amp;"'!"&amp;ADDRESS(6,6+$F$4)&amp;":"&amp;ADDRESS(155,6+$F$4)))="HE"),127)),"")</f>
        <v/>
      </c>
      <c r="P136" s="64" t="str">
        <f t="array" aca="1" ref="P136" ca="1">IFERROR(INDEX(INDIRECT("'"&amp;$B$4&amp;"'!B6:B155"),_xlfn.AGGREGATE(15,6,(ROW(INDIRECT("6:155"))-5)/((INDIRECT("'"&amp;$B$4&amp;"'!"&amp;ADDRESS(6,6+$F$4)&amp;":"&amp;ADDRESS(155,6+$F$4)))="FE"),127)),"")</f>
        <v/>
      </c>
    </row>
    <row r="137" spans="1:16" outlineLevel="1" x14ac:dyDescent="0.25">
      <c r="A137" s="58" t="str">
        <f t="shared" ca="1" si="7"/>
        <v/>
      </c>
      <c r="B137" s="59" t="str">
        <f ca="1">T(INDIRECT("'"&amp;$B$4&amp;"'!B133"))</f>
        <v/>
      </c>
      <c r="C137" s="60" t="str">
        <f ca="1">IF($B137="","",N(INDIRECT("'"&amp;$B$4&amp;"'!C133")))</f>
        <v/>
      </c>
      <c r="D137" s="60" t="str">
        <f ca="1">IF($B137="","",INDIRECT("'"&amp;$B$4&amp;"'!D133"))</f>
        <v/>
      </c>
      <c r="E137" s="60" t="str">
        <f ca="1">IF($B137="","",INDIRECT("'"&amp;$B$4&amp;"'!E133"))</f>
        <v/>
      </c>
      <c r="F137" s="60" t="str">
        <f ca="1">IF($B137="","",INDIRECT("'"&amp;$B$4&amp;"'!F133"))</f>
        <v/>
      </c>
      <c r="G137" s="60" t="str">
        <f ca="1">IF($B137="","",N(JAN!C133)+N(FEV!C133)+N(MAR!C133)+N(ABR!C133)+N(MAI!C133)+N(JUN!C133)+N(JUL!C133)+N(AGO!C133)+N(SET!C133)+N(OUT!C133)+N(NOV!C133)+N(DEZ!C133))</f>
        <v/>
      </c>
      <c r="H137" s="60" t="str">
        <f ca="1">IF($B137="","",SUM(JAN!E133,FEV!E133,MAR!E133,ABR!E133,MAI!E133,JUN!E133,JUL!E133,AGO!E133,SET!E133,OUT!E133,NOV!E133,DEZ!E133))</f>
        <v/>
      </c>
      <c r="I137" s="60" t="str">
        <f t="shared" ca="1" si="6"/>
        <v/>
      </c>
      <c r="J137" s="28" t="str">
        <f ca="1">IF($B137="","",IF(T(INDIRECT("'"&amp;$B$4&amp;"'!"&amp;ADDRESS(133,6+$F$4)))="","·",T(INDIRECT("'"&amp;$B$4&amp;"'!"&amp;ADDRESS(133,6+$F$4)))))</f>
        <v/>
      </c>
      <c r="O137" s="64" t="str">
        <f t="array" aca="1" ref="O137" ca="1">IFERROR(INDEX(INDIRECT("'"&amp;$B$4&amp;"'!B6:B155"),_xlfn.AGGREGATE(15,6,(ROW(INDIRECT("6:155"))-5)/((INDIRECT("'"&amp;$B$4&amp;"'!"&amp;ADDRESS(6,6+$F$4)&amp;":"&amp;ADDRESS(155,6+$F$4)))="HE"),128)),"")</f>
        <v/>
      </c>
      <c r="P137" s="64" t="str">
        <f t="array" aca="1" ref="P137" ca="1">IFERROR(INDEX(INDIRECT("'"&amp;$B$4&amp;"'!B6:B155"),_xlfn.AGGREGATE(15,6,(ROW(INDIRECT("6:155"))-5)/((INDIRECT("'"&amp;$B$4&amp;"'!"&amp;ADDRESS(6,6+$F$4)&amp;":"&amp;ADDRESS(155,6+$F$4)))="FE"),128)),"")</f>
        <v/>
      </c>
    </row>
    <row r="138" spans="1:16" outlineLevel="1" x14ac:dyDescent="0.25">
      <c r="A138" s="58" t="str">
        <f t="shared" ca="1" si="7"/>
        <v/>
      </c>
      <c r="B138" s="59" t="str">
        <f ca="1">T(INDIRECT("'"&amp;$B$4&amp;"'!B134"))</f>
        <v/>
      </c>
      <c r="C138" s="60" t="str">
        <f ca="1">IF($B138="","",N(INDIRECT("'"&amp;$B$4&amp;"'!C134")))</f>
        <v/>
      </c>
      <c r="D138" s="60" t="str">
        <f ca="1">IF($B138="","",INDIRECT("'"&amp;$B$4&amp;"'!D134"))</f>
        <v/>
      </c>
      <c r="E138" s="60" t="str">
        <f ca="1">IF($B138="","",INDIRECT("'"&amp;$B$4&amp;"'!E134"))</f>
        <v/>
      </c>
      <c r="F138" s="60" t="str">
        <f ca="1">IF($B138="","",INDIRECT("'"&amp;$B$4&amp;"'!F134"))</f>
        <v/>
      </c>
      <c r="G138" s="60" t="str">
        <f ca="1">IF($B138="","",N(JAN!C134)+N(FEV!C134)+N(MAR!C134)+N(ABR!C134)+N(MAI!C134)+N(JUN!C134)+N(JUL!C134)+N(AGO!C134)+N(SET!C134)+N(OUT!C134)+N(NOV!C134)+N(DEZ!C134))</f>
        <v/>
      </c>
      <c r="H138" s="60" t="str">
        <f ca="1">IF($B138="","",SUM(JAN!E134,FEV!E134,MAR!E134,ABR!E134,MAI!E134,JUN!E134,JUL!E134,AGO!E134,SET!E134,OUT!E134,NOV!E134,DEZ!E134))</f>
        <v/>
      </c>
      <c r="I138" s="60" t="str">
        <f t="shared" ref="I138:I159" ca="1" si="8">IF($B138="","",G138-H138)</f>
        <v/>
      </c>
      <c r="J138" s="28" t="str">
        <f ca="1">IF($B138="","",IF(T(INDIRECT("'"&amp;$B$4&amp;"'!"&amp;ADDRESS(134,6+$F$4)))="","·",T(INDIRECT("'"&amp;$B$4&amp;"'!"&amp;ADDRESS(134,6+$F$4)))))</f>
        <v/>
      </c>
      <c r="O138" s="64" t="str">
        <f t="array" aca="1" ref="O138" ca="1">IFERROR(INDEX(INDIRECT("'"&amp;$B$4&amp;"'!B6:B155"),_xlfn.AGGREGATE(15,6,(ROW(INDIRECT("6:155"))-5)/((INDIRECT("'"&amp;$B$4&amp;"'!"&amp;ADDRESS(6,6+$F$4)&amp;":"&amp;ADDRESS(155,6+$F$4)))="HE"),129)),"")</f>
        <v/>
      </c>
      <c r="P138" s="64" t="str">
        <f t="array" aca="1" ref="P138" ca="1">IFERROR(INDEX(INDIRECT("'"&amp;$B$4&amp;"'!B6:B155"),_xlfn.AGGREGATE(15,6,(ROW(INDIRECT("6:155"))-5)/((INDIRECT("'"&amp;$B$4&amp;"'!"&amp;ADDRESS(6,6+$F$4)&amp;":"&amp;ADDRESS(155,6+$F$4)))="FE"),129)),"")</f>
        <v/>
      </c>
    </row>
    <row r="139" spans="1:16" outlineLevel="1" x14ac:dyDescent="0.25">
      <c r="A139" s="58" t="str">
        <f t="shared" ca="1" si="7"/>
        <v/>
      </c>
      <c r="B139" s="59" t="str">
        <f ca="1">T(INDIRECT("'"&amp;$B$4&amp;"'!B135"))</f>
        <v/>
      </c>
      <c r="C139" s="60" t="str">
        <f ca="1">IF($B139="","",N(INDIRECT("'"&amp;$B$4&amp;"'!C135")))</f>
        <v/>
      </c>
      <c r="D139" s="60" t="str">
        <f ca="1">IF($B139="","",INDIRECT("'"&amp;$B$4&amp;"'!D135"))</f>
        <v/>
      </c>
      <c r="E139" s="60" t="str">
        <f ca="1">IF($B139="","",INDIRECT("'"&amp;$B$4&amp;"'!E135"))</f>
        <v/>
      </c>
      <c r="F139" s="60" t="str">
        <f ca="1">IF($B139="","",INDIRECT("'"&amp;$B$4&amp;"'!F135"))</f>
        <v/>
      </c>
      <c r="G139" s="60" t="str">
        <f ca="1">IF($B139="","",N(JAN!C135)+N(FEV!C135)+N(MAR!C135)+N(ABR!C135)+N(MAI!C135)+N(JUN!C135)+N(JUL!C135)+N(AGO!C135)+N(SET!C135)+N(OUT!C135)+N(NOV!C135)+N(DEZ!C135))</f>
        <v/>
      </c>
      <c r="H139" s="60" t="str">
        <f ca="1">IF($B139="","",SUM(JAN!E135,FEV!E135,MAR!E135,ABR!E135,MAI!E135,JUN!E135,JUL!E135,AGO!E135,SET!E135,OUT!E135,NOV!E135,DEZ!E135))</f>
        <v/>
      </c>
      <c r="I139" s="60" t="str">
        <f t="shared" ca="1" si="8"/>
        <v/>
      </c>
      <c r="J139" s="28" t="str">
        <f ca="1">IF($B139="","",IF(T(INDIRECT("'"&amp;$B$4&amp;"'!"&amp;ADDRESS(135,6+$F$4)))="","·",T(INDIRECT("'"&amp;$B$4&amp;"'!"&amp;ADDRESS(135,6+$F$4)))))</f>
        <v/>
      </c>
      <c r="O139" s="64" t="str">
        <f t="array" aca="1" ref="O139" ca="1">IFERROR(INDEX(INDIRECT("'"&amp;$B$4&amp;"'!B6:B155"),_xlfn.AGGREGATE(15,6,(ROW(INDIRECT("6:155"))-5)/((INDIRECT("'"&amp;$B$4&amp;"'!"&amp;ADDRESS(6,6+$F$4)&amp;":"&amp;ADDRESS(155,6+$F$4)))="HE"),130)),"")</f>
        <v/>
      </c>
      <c r="P139" s="64" t="str">
        <f t="array" aca="1" ref="P139" ca="1">IFERROR(INDEX(INDIRECT("'"&amp;$B$4&amp;"'!B6:B155"),_xlfn.AGGREGATE(15,6,(ROW(INDIRECT("6:155"))-5)/((INDIRECT("'"&amp;$B$4&amp;"'!"&amp;ADDRESS(6,6+$F$4)&amp;":"&amp;ADDRESS(155,6+$F$4)))="FE"),130)),"")</f>
        <v/>
      </c>
    </row>
    <row r="140" spans="1:16" outlineLevel="1" x14ac:dyDescent="0.25">
      <c r="A140" s="58" t="str">
        <f t="shared" ca="1" si="7"/>
        <v/>
      </c>
      <c r="B140" s="59" t="str">
        <f ca="1">T(INDIRECT("'"&amp;$B$4&amp;"'!B136"))</f>
        <v/>
      </c>
      <c r="C140" s="60" t="str">
        <f ca="1">IF($B140="","",N(INDIRECT("'"&amp;$B$4&amp;"'!C136")))</f>
        <v/>
      </c>
      <c r="D140" s="60" t="str">
        <f ca="1">IF($B140="","",INDIRECT("'"&amp;$B$4&amp;"'!D136"))</f>
        <v/>
      </c>
      <c r="E140" s="60" t="str">
        <f ca="1">IF($B140="","",INDIRECT("'"&amp;$B$4&amp;"'!E136"))</f>
        <v/>
      </c>
      <c r="F140" s="60" t="str">
        <f ca="1">IF($B140="","",INDIRECT("'"&amp;$B$4&amp;"'!F136"))</f>
        <v/>
      </c>
      <c r="G140" s="60" t="str">
        <f ca="1">IF($B140="","",N(JAN!C136)+N(FEV!C136)+N(MAR!C136)+N(ABR!C136)+N(MAI!C136)+N(JUN!C136)+N(JUL!C136)+N(AGO!C136)+N(SET!C136)+N(OUT!C136)+N(NOV!C136)+N(DEZ!C136))</f>
        <v/>
      </c>
      <c r="H140" s="60" t="str">
        <f ca="1">IF($B140="","",SUM(JAN!E136,FEV!E136,MAR!E136,ABR!E136,MAI!E136,JUN!E136,JUL!E136,AGO!E136,SET!E136,OUT!E136,NOV!E136,DEZ!E136))</f>
        <v/>
      </c>
      <c r="I140" s="60" t="str">
        <f t="shared" ca="1" si="8"/>
        <v/>
      </c>
      <c r="J140" s="28" t="str">
        <f ca="1">IF($B140="","",IF(T(INDIRECT("'"&amp;$B$4&amp;"'!"&amp;ADDRESS(136,6+$F$4)))="","·",T(INDIRECT("'"&amp;$B$4&amp;"'!"&amp;ADDRESS(136,6+$F$4)))))</f>
        <v/>
      </c>
      <c r="O140" s="64" t="str">
        <f t="array" aca="1" ref="O140" ca="1">IFERROR(INDEX(INDIRECT("'"&amp;$B$4&amp;"'!B6:B155"),_xlfn.AGGREGATE(15,6,(ROW(INDIRECT("6:155"))-5)/((INDIRECT("'"&amp;$B$4&amp;"'!"&amp;ADDRESS(6,6+$F$4)&amp;":"&amp;ADDRESS(155,6+$F$4)))="HE"),131)),"")</f>
        <v/>
      </c>
      <c r="P140" s="64" t="str">
        <f t="array" aca="1" ref="P140" ca="1">IFERROR(INDEX(INDIRECT("'"&amp;$B$4&amp;"'!B6:B155"),_xlfn.AGGREGATE(15,6,(ROW(INDIRECT("6:155"))-5)/((INDIRECT("'"&amp;$B$4&amp;"'!"&amp;ADDRESS(6,6+$F$4)&amp;":"&amp;ADDRESS(155,6+$F$4)))="FE"),131)),"")</f>
        <v/>
      </c>
    </row>
    <row r="141" spans="1:16" outlineLevel="1" x14ac:dyDescent="0.25">
      <c r="A141" s="58" t="str">
        <f t="shared" ca="1" si="7"/>
        <v/>
      </c>
      <c r="B141" s="59" t="str">
        <f ca="1">T(INDIRECT("'"&amp;$B$4&amp;"'!B137"))</f>
        <v/>
      </c>
      <c r="C141" s="60" t="str">
        <f ca="1">IF($B141="","",N(INDIRECT("'"&amp;$B$4&amp;"'!C137")))</f>
        <v/>
      </c>
      <c r="D141" s="60" t="str">
        <f ca="1">IF($B141="","",INDIRECT("'"&amp;$B$4&amp;"'!D137"))</f>
        <v/>
      </c>
      <c r="E141" s="60" t="str">
        <f ca="1">IF($B141="","",INDIRECT("'"&amp;$B$4&amp;"'!E137"))</f>
        <v/>
      </c>
      <c r="F141" s="60" t="str">
        <f ca="1">IF($B141="","",INDIRECT("'"&amp;$B$4&amp;"'!F137"))</f>
        <v/>
      </c>
      <c r="G141" s="60" t="str">
        <f ca="1">IF($B141="","",N(JAN!C137)+N(FEV!C137)+N(MAR!C137)+N(ABR!C137)+N(MAI!C137)+N(JUN!C137)+N(JUL!C137)+N(AGO!C137)+N(SET!C137)+N(OUT!C137)+N(NOV!C137)+N(DEZ!C137))</f>
        <v/>
      </c>
      <c r="H141" s="60" t="str">
        <f ca="1">IF($B141="","",SUM(JAN!E137,FEV!E137,MAR!E137,ABR!E137,MAI!E137,JUN!E137,JUL!E137,AGO!E137,SET!E137,OUT!E137,NOV!E137,DEZ!E137))</f>
        <v/>
      </c>
      <c r="I141" s="60" t="str">
        <f t="shared" ca="1" si="8"/>
        <v/>
      </c>
      <c r="J141" s="28" t="str">
        <f ca="1">IF($B141="","",IF(T(INDIRECT("'"&amp;$B$4&amp;"'!"&amp;ADDRESS(137,6+$F$4)))="","·",T(INDIRECT("'"&amp;$B$4&amp;"'!"&amp;ADDRESS(137,6+$F$4)))))</f>
        <v/>
      </c>
      <c r="O141" s="64" t="str">
        <f t="array" aca="1" ref="O141" ca="1">IFERROR(INDEX(INDIRECT("'"&amp;$B$4&amp;"'!B6:B155"),_xlfn.AGGREGATE(15,6,(ROW(INDIRECT("6:155"))-5)/((INDIRECT("'"&amp;$B$4&amp;"'!"&amp;ADDRESS(6,6+$F$4)&amp;":"&amp;ADDRESS(155,6+$F$4)))="HE"),132)),"")</f>
        <v/>
      </c>
      <c r="P141" s="64" t="str">
        <f t="array" aca="1" ref="P141" ca="1">IFERROR(INDEX(INDIRECT("'"&amp;$B$4&amp;"'!B6:B155"),_xlfn.AGGREGATE(15,6,(ROW(INDIRECT("6:155"))-5)/((INDIRECT("'"&amp;$B$4&amp;"'!"&amp;ADDRESS(6,6+$F$4)&amp;":"&amp;ADDRESS(155,6+$F$4)))="FE"),132)),"")</f>
        <v/>
      </c>
    </row>
    <row r="142" spans="1:16" outlineLevel="1" x14ac:dyDescent="0.25">
      <c r="A142" s="58" t="str">
        <f t="shared" ca="1" si="7"/>
        <v/>
      </c>
      <c r="B142" s="59" t="str">
        <f ca="1">T(INDIRECT("'"&amp;$B$4&amp;"'!B138"))</f>
        <v/>
      </c>
      <c r="C142" s="60" t="str">
        <f ca="1">IF($B142="","",N(INDIRECT("'"&amp;$B$4&amp;"'!C138")))</f>
        <v/>
      </c>
      <c r="D142" s="60" t="str">
        <f ca="1">IF($B142="","",INDIRECT("'"&amp;$B$4&amp;"'!D138"))</f>
        <v/>
      </c>
      <c r="E142" s="60" t="str">
        <f ca="1">IF($B142="","",INDIRECT("'"&amp;$B$4&amp;"'!E138"))</f>
        <v/>
      </c>
      <c r="F142" s="60" t="str">
        <f ca="1">IF($B142="","",INDIRECT("'"&amp;$B$4&amp;"'!F138"))</f>
        <v/>
      </c>
      <c r="G142" s="60" t="str">
        <f ca="1">IF($B142="","",N(JAN!C138)+N(FEV!C138)+N(MAR!C138)+N(ABR!C138)+N(MAI!C138)+N(JUN!C138)+N(JUL!C138)+N(AGO!C138)+N(SET!C138)+N(OUT!C138)+N(NOV!C138)+N(DEZ!C138))</f>
        <v/>
      </c>
      <c r="H142" s="60" t="str">
        <f ca="1">IF($B142="","",SUM(JAN!E138,FEV!E138,MAR!E138,ABR!E138,MAI!E138,JUN!E138,JUL!E138,AGO!E138,SET!E138,OUT!E138,NOV!E138,DEZ!E138))</f>
        <v/>
      </c>
      <c r="I142" s="60" t="str">
        <f t="shared" ca="1" si="8"/>
        <v/>
      </c>
      <c r="J142" s="28" t="str">
        <f ca="1">IF($B142="","",IF(T(INDIRECT("'"&amp;$B$4&amp;"'!"&amp;ADDRESS(138,6+$F$4)))="","·",T(INDIRECT("'"&amp;$B$4&amp;"'!"&amp;ADDRESS(138,6+$F$4)))))</f>
        <v/>
      </c>
      <c r="O142" s="64" t="str">
        <f t="array" aca="1" ref="O142" ca="1">IFERROR(INDEX(INDIRECT("'"&amp;$B$4&amp;"'!B6:B155"),_xlfn.AGGREGATE(15,6,(ROW(INDIRECT("6:155"))-5)/((INDIRECT("'"&amp;$B$4&amp;"'!"&amp;ADDRESS(6,6+$F$4)&amp;":"&amp;ADDRESS(155,6+$F$4)))="HE"),133)),"")</f>
        <v/>
      </c>
      <c r="P142" s="64" t="str">
        <f t="array" aca="1" ref="P142" ca="1">IFERROR(INDEX(INDIRECT("'"&amp;$B$4&amp;"'!B6:B155"),_xlfn.AGGREGATE(15,6,(ROW(INDIRECT("6:155"))-5)/((INDIRECT("'"&amp;$B$4&amp;"'!"&amp;ADDRESS(6,6+$F$4)&amp;":"&amp;ADDRESS(155,6+$F$4)))="FE"),133)),"")</f>
        <v/>
      </c>
    </row>
    <row r="143" spans="1:16" outlineLevel="1" x14ac:dyDescent="0.25">
      <c r="A143" s="58" t="str">
        <f t="shared" ca="1" si="7"/>
        <v/>
      </c>
      <c r="B143" s="59" t="str">
        <f ca="1">T(INDIRECT("'"&amp;$B$4&amp;"'!B139"))</f>
        <v/>
      </c>
      <c r="C143" s="60" t="str">
        <f ca="1">IF($B143="","",N(INDIRECT("'"&amp;$B$4&amp;"'!C139")))</f>
        <v/>
      </c>
      <c r="D143" s="60" t="str">
        <f ca="1">IF($B143="","",INDIRECT("'"&amp;$B$4&amp;"'!D139"))</f>
        <v/>
      </c>
      <c r="E143" s="60" t="str">
        <f ca="1">IF($B143="","",INDIRECT("'"&amp;$B$4&amp;"'!E139"))</f>
        <v/>
      </c>
      <c r="F143" s="60" t="str">
        <f ca="1">IF($B143="","",INDIRECT("'"&amp;$B$4&amp;"'!F139"))</f>
        <v/>
      </c>
      <c r="G143" s="60" t="str">
        <f ca="1">IF($B143="","",N(JAN!C139)+N(FEV!C139)+N(MAR!C139)+N(ABR!C139)+N(MAI!C139)+N(JUN!C139)+N(JUL!C139)+N(AGO!C139)+N(SET!C139)+N(OUT!C139)+N(NOV!C139)+N(DEZ!C139))</f>
        <v/>
      </c>
      <c r="H143" s="60" t="str">
        <f ca="1">IF($B143="","",SUM(JAN!E139,FEV!E139,MAR!E139,ABR!E139,MAI!E139,JUN!E139,JUL!E139,AGO!E139,SET!E139,OUT!E139,NOV!E139,DEZ!E139))</f>
        <v/>
      </c>
      <c r="I143" s="60" t="str">
        <f t="shared" ca="1" si="8"/>
        <v/>
      </c>
      <c r="J143" s="28" t="str">
        <f ca="1">IF($B143="","",IF(T(INDIRECT("'"&amp;$B$4&amp;"'!"&amp;ADDRESS(139,6+$F$4)))="","·",T(INDIRECT("'"&amp;$B$4&amp;"'!"&amp;ADDRESS(139,6+$F$4)))))</f>
        <v/>
      </c>
      <c r="O143" s="64" t="str">
        <f t="array" aca="1" ref="O143" ca="1">IFERROR(INDEX(INDIRECT("'"&amp;$B$4&amp;"'!B6:B155"),_xlfn.AGGREGATE(15,6,(ROW(INDIRECT("6:155"))-5)/((INDIRECT("'"&amp;$B$4&amp;"'!"&amp;ADDRESS(6,6+$F$4)&amp;":"&amp;ADDRESS(155,6+$F$4)))="HE"),134)),"")</f>
        <v/>
      </c>
      <c r="P143" s="64" t="str">
        <f t="array" aca="1" ref="P143" ca="1">IFERROR(INDEX(INDIRECT("'"&amp;$B$4&amp;"'!B6:B155"),_xlfn.AGGREGATE(15,6,(ROW(INDIRECT("6:155"))-5)/((INDIRECT("'"&amp;$B$4&amp;"'!"&amp;ADDRESS(6,6+$F$4)&amp;":"&amp;ADDRESS(155,6+$F$4)))="FE"),134)),"")</f>
        <v/>
      </c>
    </row>
    <row r="144" spans="1:16" outlineLevel="1" x14ac:dyDescent="0.25">
      <c r="A144" s="58" t="str">
        <f t="shared" ca="1" si="7"/>
        <v/>
      </c>
      <c r="B144" s="59" t="str">
        <f ca="1">T(INDIRECT("'"&amp;$B$4&amp;"'!B140"))</f>
        <v/>
      </c>
      <c r="C144" s="60" t="str">
        <f ca="1">IF($B144="","",N(INDIRECT("'"&amp;$B$4&amp;"'!C140")))</f>
        <v/>
      </c>
      <c r="D144" s="60" t="str">
        <f ca="1">IF($B144="","",INDIRECT("'"&amp;$B$4&amp;"'!D140"))</f>
        <v/>
      </c>
      <c r="E144" s="60" t="str">
        <f ca="1">IF($B144="","",INDIRECT("'"&amp;$B$4&amp;"'!E140"))</f>
        <v/>
      </c>
      <c r="F144" s="60" t="str">
        <f ca="1">IF($B144="","",INDIRECT("'"&amp;$B$4&amp;"'!F140"))</f>
        <v/>
      </c>
      <c r="G144" s="60" t="str">
        <f ca="1">IF($B144="","",N(JAN!C140)+N(FEV!C140)+N(MAR!C140)+N(ABR!C140)+N(MAI!C140)+N(JUN!C140)+N(JUL!C140)+N(AGO!C140)+N(SET!C140)+N(OUT!C140)+N(NOV!C140)+N(DEZ!C140))</f>
        <v/>
      </c>
      <c r="H144" s="60" t="str">
        <f ca="1">IF($B144="","",SUM(JAN!E140,FEV!E140,MAR!E140,ABR!E140,MAI!E140,JUN!E140,JUL!E140,AGO!E140,SET!E140,OUT!E140,NOV!E140,DEZ!E140))</f>
        <v/>
      </c>
      <c r="I144" s="60" t="str">
        <f t="shared" ca="1" si="8"/>
        <v/>
      </c>
      <c r="J144" s="28" t="str">
        <f ca="1">IF($B144="","",IF(T(INDIRECT("'"&amp;$B$4&amp;"'!"&amp;ADDRESS(140,6+$F$4)))="","·",T(INDIRECT("'"&amp;$B$4&amp;"'!"&amp;ADDRESS(140,6+$F$4)))))</f>
        <v/>
      </c>
      <c r="O144" s="64" t="str">
        <f t="array" aca="1" ref="O144" ca="1">IFERROR(INDEX(INDIRECT("'"&amp;$B$4&amp;"'!B6:B155"),_xlfn.AGGREGATE(15,6,(ROW(INDIRECT("6:155"))-5)/((INDIRECT("'"&amp;$B$4&amp;"'!"&amp;ADDRESS(6,6+$F$4)&amp;":"&amp;ADDRESS(155,6+$F$4)))="HE"),135)),"")</f>
        <v/>
      </c>
      <c r="P144" s="64" t="str">
        <f t="array" aca="1" ref="P144" ca="1">IFERROR(INDEX(INDIRECT("'"&amp;$B$4&amp;"'!B6:B155"),_xlfn.AGGREGATE(15,6,(ROW(INDIRECT("6:155"))-5)/((INDIRECT("'"&amp;$B$4&amp;"'!"&amp;ADDRESS(6,6+$F$4)&amp;":"&amp;ADDRESS(155,6+$F$4)))="FE"),135)),"")</f>
        <v/>
      </c>
    </row>
    <row r="145" spans="1:16" outlineLevel="1" x14ac:dyDescent="0.25">
      <c r="A145" s="58" t="str">
        <f t="shared" ca="1" si="7"/>
        <v/>
      </c>
      <c r="B145" s="59" t="str">
        <f ca="1">T(INDIRECT("'"&amp;$B$4&amp;"'!B141"))</f>
        <v/>
      </c>
      <c r="C145" s="60" t="str">
        <f ca="1">IF($B145="","",N(INDIRECT("'"&amp;$B$4&amp;"'!C141")))</f>
        <v/>
      </c>
      <c r="D145" s="60" t="str">
        <f ca="1">IF($B145="","",INDIRECT("'"&amp;$B$4&amp;"'!D141"))</f>
        <v/>
      </c>
      <c r="E145" s="60" t="str">
        <f ca="1">IF($B145="","",INDIRECT("'"&amp;$B$4&amp;"'!E141"))</f>
        <v/>
      </c>
      <c r="F145" s="60" t="str">
        <f ca="1">IF($B145="","",INDIRECT("'"&amp;$B$4&amp;"'!F141"))</f>
        <v/>
      </c>
      <c r="G145" s="60" t="str">
        <f ca="1">IF($B145="","",N(JAN!C141)+N(FEV!C141)+N(MAR!C141)+N(ABR!C141)+N(MAI!C141)+N(JUN!C141)+N(JUL!C141)+N(AGO!C141)+N(SET!C141)+N(OUT!C141)+N(NOV!C141)+N(DEZ!C141))</f>
        <v/>
      </c>
      <c r="H145" s="60" t="str">
        <f ca="1">IF($B145="","",SUM(JAN!E141,FEV!E141,MAR!E141,ABR!E141,MAI!E141,JUN!E141,JUL!E141,AGO!E141,SET!E141,OUT!E141,NOV!E141,DEZ!E141))</f>
        <v/>
      </c>
      <c r="I145" s="60" t="str">
        <f t="shared" ca="1" si="8"/>
        <v/>
      </c>
      <c r="J145" s="28" t="str">
        <f ca="1">IF($B145="","",IF(T(INDIRECT("'"&amp;$B$4&amp;"'!"&amp;ADDRESS(141,6+$F$4)))="","·",T(INDIRECT("'"&amp;$B$4&amp;"'!"&amp;ADDRESS(141,6+$F$4)))))</f>
        <v/>
      </c>
      <c r="O145" s="64" t="str">
        <f t="array" aca="1" ref="O145" ca="1">IFERROR(INDEX(INDIRECT("'"&amp;$B$4&amp;"'!B6:B155"),_xlfn.AGGREGATE(15,6,(ROW(INDIRECT("6:155"))-5)/((INDIRECT("'"&amp;$B$4&amp;"'!"&amp;ADDRESS(6,6+$F$4)&amp;":"&amp;ADDRESS(155,6+$F$4)))="HE"),136)),"")</f>
        <v/>
      </c>
      <c r="P145" s="64" t="str">
        <f t="array" aca="1" ref="P145" ca="1">IFERROR(INDEX(INDIRECT("'"&amp;$B$4&amp;"'!B6:B155"),_xlfn.AGGREGATE(15,6,(ROW(INDIRECT("6:155"))-5)/((INDIRECT("'"&amp;$B$4&amp;"'!"&amp;ADDRESS(6,6+$F$4)&amp;":"&amp;ADDRESS(155,6+$F$4)))="FE"),136)),"")</f>
        <v/>
      </c>
    </row>
    <row r="146" spans="1:16" outlineLevel="1" x14ac:dyDescent="0.25">
      <c r="A146" s="58" t="str">
        <f t="shared" ref="A146:A159" ca="1" si="9">IF($B146="","",ROW()-9)</f>
        <v/>
      </c>
      <c r="B146" s="59" t="str">
        <f ca="1">T(INDIRECT("'"&amp;$B$4&amp;"'!B142"))</f>
        <v/>
      </c>
      <c r="C146" s="60" t="str">
        <f ca="1">IF($B146="","",N(INDIRECT("'"&amp;$B$4&amp;"'!C142")))</f>
        <v/>
      </c>
      <c r="D146" s="60" t="str">
        <f ca="1">IF($B146="","",INDIRECT("'"&amp;$B$4&amp;"'!D142"))</f>
        <v/>
      </c>
      <c r="E146" s="60" t="str">
        <f ca="1">IF($B146="","",INDIRECT("'"&amp;$B$4&amp;"'!E142"))</f>
        <v/>
      </c>
      <c r="F146" s="60" t="str">
        <f ca="1">IF($B146="","",INDIRECT("'"&amp;$B$4&amp;"'!F142"))</f>
        <v/>
      </c>
      <c r="G146" s="60" t="str">
        <f ca="1">IF($B146="","",N(JAN!C142)+N(FEV!C142)+N(MAR!C142)+N(ABR!C142)+N(MAI!C142)+N(JUN!C142)+N(JUL!C142)+N(AGO!C142)+N(SET!C142)+N(OUT!C142)+N(NOV!C142)+N(DEZ!C142))</f>
        <v/>
      </c>
      <c r="H146" s="60" t="str">
        <f ca="1">IF($B146="","",SUM(JAN!E142,FEV!E142,MAR!E142,ABR!E142,MAI!E142,JUN!E142,JUL!E142,AGO!E142,SET!E142,OUT!E142,NOV!E142,DEZ!E142))</f>
        <v/>
      </c>
      <c r="I146" s="60" t="str">
        <f t="shared" ca="1" si="8"/>
        <v/>
      </c>
      <c r="J146" s="28" t="str">
        <f ca="1">IF($B146="","",IF(T(INDIRECT("'"&amp;$B$4&amp;"'!"&amp;ADDRESS(142,6+$F$4)))="","·",T(INDIRECT("'"&amp;$B$4&amp;"'!"&amp;ADDRESS(142,6+$F$4)))))</f>
        <v/>
      </c>
      <c r="O146" s="64" t="str">
        <f t="array" aca="1" ref="O146" ca="1">IFERROR(INDEX(INDIRECT("'"&amp;$B$4&amp;"'!B6:B155"),_xlfn.AGGREGATE(15,6,(ROW(INDIRECT("6:155"))-5)/((INDIRECT("'"&amp;$B$4&amp;"'!"&amp;ADDRESS(6,6+$F$4)&amp;":"&amp;ADDRESS(155,6+$F$4)))="HE"),137)),"")</f>
        <v/>
      </c>
      <c r="P146" s="64" t="str">
        <f t="array" aca="1" ref="P146" ca="1">IFERROR(INDEX(INDIRECT("'"&amp;$B$4&amp;"'!B6:B155"),_xlfn.AGGREGATE(15,6,(ROW(INDIRECT("6:155"))-5)/((INDIRECT("'"&amp;$B$4&amp;"'!"&amp;ADDRESS(6,6+$F$4)&amp;":"&amp;ADDRESS(155,6+$F$4)))="FE"),137)),"")</f>
        <v/>
      </c>
    </row>
    <row r="147" spans="1:16" outlineLevel="1" x14ac:dyDescent="0.25">
      <c r="A147" s="58" t="str">
        <f t="shared" ca="1" si="9"/>
        <v/>
      </c>
      <c r="B147" s="59" t="str">
        <f ca="1">T(INDIRECT("'"&amp;$B$4&amp;"'!B143"))</f>
        <v/>
      </c>
      <c r="C147" s="60" t="str">
        <f ca="1">IF($B147="","",N(INDIRECT("'"&amp;$B$4&amp;"'!C143")))</f>
        <v/>
      </c>
      <c r="D147" s="60" t="str">
        <f ca="1">IF($B147="","",INDIRECT("'"&amp;$B$4&amp;"'!D143"))</f>
        <v/>
      </c>
      <c r="E147" s="60" t="str">
        <f ca="1">IF($B147="","",INDIRECT("'"&amp;$B$4&amp;"'!E143"))</f>
        <v/>
      </c>
      <c r="F147" s="60" t="str">
        <f ca="1">IF($B147="","",INDIRECT("'"&amp;$B$4&amp;"'!F143"))</f>
        <v/>
      </c>
      <c r="G147" s="60" t="str">
        <f ca="1">IF($B147="","",N(JAN!C143)+N(FEV!C143)+N(MAR!C143)+N(ABR!C143)+N(MAI!C143)+N(JUN!C143)+N(JUL!C143)+N(AGO!C143)+N(SET!C143)+N(OUT!C143)+N(NOV!C143)+N(DEZ!C143))</f>
        <v/>
      </c>
      <c r="H147" s="60" t="str">
        <f ca="1">IF($B147="","",SUM(JAN!E143,FEV!E143,MAR!E143,ABR!E143,MAI!E143,JUN!E143,JUL!E143,AGO!E143,SET!E143,OUT!E143,NOV!E143,DEZ!E143))</f>
        <v/>
      </c>
      <c r="I147" s="60" t="str">
        <f t="shared" ca="1" si="8"/>
        <v/>
      </c>
      <c r="J147" s="28" t="str">
        <f ca="1">IF($B147="","",IF(T(INDIRECT("'"&amp;$B$4&amp;"'!"&amp;ADDRESS(143,6+$F$4)))="","·",T(INDIRECT("'"&amp;$B$4&amp;"'!"&amp;ADDRESS(143,6+$F$4)))))</f>
        <v/>
      </c>
      <c r="O147" s="64" t="str">
        <f t="array" aca="1" ref="O147" ca="1">IFERROR(INDEX(INDIRECT("'"&amp;$B$4&amp;"'!B6:B155"),_xlfn.AGGREGATE(15,6,(ROW(INDIRECT("6:155"))-5)/((INDIRECT("'"&amp;$B$4&amp;"'!"&amp;ADDRESS(6,6+$F$4)&amp;":"&amp;ADDRESS(155,6+$F$4)))="HE"),138)),"")</f>
        <v/>
      </c>
      <c r="P147" s="64" t="str">
        <f t="array" aca="1" ref="P147" ca="1">IFERROR(INDEX(INDIRECT("'"&amp;$B$4&amp;"'!B6:B155"),_xlfn.AGGREGATE(15,6,(ROW(INDIRECT("6:155"))-5)/((INDIRECT("'"&amp;$B$4&amp;"'!"&amp;ADDRESS(6,6+$F$4)&amp;":"&amp;ADDRESS(155,6+$F$4)))="FE"),138)),"")</f>
        <v/>
      </c>
    </row>
    <row r="148" spans="1:16" outlineLevel="1" x14ac:dyDescent="0.25">
      <c r="A148" s="58" t="str">
        <f t="shared" ca="1" si="9"/>
        <v/>
      </c>
      <c r="B148" s="59" t="str">
        <f ca="1">T(INDIRECT("'"&amp;$B$4&amp;"'!B144"))</f>
        <v/>
      </c>
      <c r="C148" s="60" t="str">
        <f ca="1">IF($B148="","",N(INDIRECT("'"&amp;$B$4&amp;"'!C144")))</f>
        <v/>
      </c>
      <c r="D148" s="60" t="str">
        <f ca="1">IF($B148="","",INDIRECT("'"&amp;$B$4&amp;"'!D144"))</f>
        <v/>
      </c>
      <c r="E148" s="60" t="str">
        <f ca="1">IF($B148="","",INDIRECT("'"&amp;$B$4&amp;"'!E144"))</f>
        <v/>
      </c>
      <c r="F148" s="60" t="str">
        <f ca="1">IF($B148="","",INDIRECT("'"&amp;$B$4&amp;"'!F144"))</f>
        <v/>
      </c>
      <c r="G148" s="60" t="str">
        <f ca="1">IF($B148="","",N(JAN!C144)+N(FEV!C144)+N(MAR!C144)+N(ABR!C144)+N(MAI!C144)+N(JUN!C144)+N(JUL!C144)+N(AGO!C144)+N(SET!C144)+N(OUT!C144)+N(NOV!C144)+N(DEZ!C144))</f>
        <v/>
      </c>
      <c r="H148" s="60" t="str">
        <f ca="1">IF($B148="","",SUM(JAN!E144,FEV!E144,MAR!E144,ABR!E144,MAI!E144,JUN!E144,JUL!E144,AGO!E144,SET!E144,OUT!E144,NOV!E144,DEZ!E144))</f>
        <v/>
      </c>
      <c r="I148" s="60" t="str">
        <f t="shared" ca="1" si="8"/>
        <v/>
      </c>
      <c r="J148" s="28" t="str">
        <f ca="1">IF($B148="","",IF(T(INDIRECT("'"&amp;$B$4&amp;"'!"&amp;ADDRESS(144,6+$F$4)))="","·",T(INDIRECT("'"&amp;$B$4&amp;"'!"&amp;ADDRESS(144,6+$F$4)))))</f>
        <v/>
      </c>
      <c r="O148" s="64" t="str">
        <f t="array" aca="1" ref="O148" ca="1">IFERROR(INDEX(INDIRECT("'"&amp;$B$4&amp;"'!B6:B155"),_xlfn.AGGREGATE(15,6,(ROW(INDIRECT("6:155"))-5)/((INDIRECT("'"&amp;$B$4&amp;"'!"&amp;ADDRESS(6,6+$F$4)&amp;":"&amp;ADDRESS(155,6+$F$4)))="HE"),139)),"")</f>
        <v/>
      </c>
      <c r="P148" s="64" t="str">
        <f t="array" aca="1" ref="P148" ca="1">IFERROR(INDEX(INDIRECT("'"&amp;$B$4&amp;"'!B6:B155"),_xlfn.AGGREGATE(15,6,(ROW(INDIRECT("6:155"))-5)/((INDIRECT("'"&amp;$B$4&amp;"'!"&amp;ADDRESS(6,6+$F$4)&amp;":"&amp;ADDRESS(155,6+$F$4)))="FE"),139)),"")</f>
        <v/>
      </c>
    </row>
    <row r="149" spans="1:16" outlineLevel="1" x14ac:dyDescent="0.25">
      <c r="A149" s="58" t="str">
        <f t="shared" ca="1" si="9"/>
        <v/>
      </c>
      <c r="B149" s="59" t="str">
        <f ca="1">T(INDIRECT("'"&amp;$B$4&amp;"'!B145"))</f>
        <v/>
      </c>
      <c r="C149" s="60" t="str">
        <f ca="1">IF($B149="","",N(INDIRECT("'"&amp;$B$4&amp;"'!C145")))</f>
        <v/>
      </c>
      <c r="D149" s="60" t="str">
        <f ca="1">IF($B149="","",INDIRECT("'"&amp;$B$4&amp;"'!D145"))</f>
        <v/>
      </c>
      <c r="E149" s="60" t="str">
        <f ca="1">IF($B149="","",INDIRECT("'"&amp;$B$4&amp;"'!E145"))</f>
        <v/>
      </c>
      <c r="F149" s="60" t="str">
        <f ca="1">IF($B149="","",INDIRECT("'"&amp;$B$4&amp;"'!F145"))</f>
        <v/>
      </c>
      <c r="G149" s="60" t="str">
        <f ca="1">IF($B149="","",N(JAN!C145)+N(FEV!C145)+N(MAR!C145)+N(ABR!C145)+N(MAI!C145)+N(JUN!C145)+N(JUL!C145)+N(AGO!C145)+N(SET!C145)+N(OUT!C145)+N(NOV!C145)+N(DEZ!C145))</f>
        <v/>
      </c>
      <c r="H149" s="60" t="str">
        <f ca="1">IF($B149="","",SUM(JAN!E145,FEV!E145,MAR!E145,ABR!E145,MAI!E145,JUN!E145,JUL!E145,AGO!E145,SET!E145,OUT!E145,NOV!E145,DEZ!E145))</f>
        <v/>
      </c>
      <c r="I149" s="60" t="str">
        <f t="shared" ca="1" si="8"/>
        <v/>
      </c>
      <c r="J149" s="28" t="str">
        <f ca="1">IF($B149="","",IF(T(INDIRECT("'"&amp;$B$4&amp;"'!"&amp;ADDRESS(145,6+$F$4)))="","·",T(INDIRECT("'"&amp;$B$4&amp;"'!"&amp;ADDRESS(145,6+$F$4)))))</f>
        <v/>
      </c>
      <c r="O149" s="64" t="str">
        <f t="array" aca="1" ref="O149" ca="1">IFERROR(INDEX(INDIRECT("'"&amp;$B$4&amp;"'!B6:B155"),_xlfn.AGGREGATE(15,6,(ROW(INDIRECT("6:155"))-5)/((INDIRECT("'"&amp;$B$4&amp;"'!"&amp;ADDRESS(6,6+$F$4)&amp;":"&amp;ADDRESS(155,6+$F$4)))="HE"),140)),"")</f>
        <v/>
      </c>
      <c r="P149" s="64" t="str">
        <f t="array" aca="1" ref="P149" ca="1">IFERROR(INDEX(INDIRECT("'"&amp;$B$4&amp;"'!B6:B155"),_xlfn.AGGREGATE(15,6,(ROW(INDIRECT("6:155"))-5)/((INDIRECT("'"&amp;$B$4&amp;"'!"&amp;ADDRESS(6,6+$F$4)&amp;":"&amp;ADDRESS(155,6+$F$4)))="FE"),140)),"")</f>
        <v/>
      </c>
    </row>
    <row r="150" spans="1:16" outlineLevel="1" x14ac:dyDescent="0.25">
      <c r="A150" s="58" t="str">
        <f t="shared" ca="1" si="9"/>
        <v/>
      </c>
      <c r="B150" s="59" t="str">
        <f ca="1">T(INDIRECT("'"&amp;$B$4&amp;"'!B146"))</f>
        <v/>
      </c>
      <c r="C150" s="60" t="str">
        <f ca="1">IF($B150="","",N(INDIRECT("'"&amp;$B$4&amp;"'!C146")))</f>
        <v/>
      </c>
      <c r="D150" s="60" t="str">
        <f ca="1">IF($B150="","",INDIRECT("'"&amp;$B$4&amp;"'!D146"))</f>
        <v/>
      </c>
      <c r="E150" s="60" t="str">
        <f ca="1">IF($B150="","",INDIRECT("'"&amp;$B$4&amp;"'!E146"))</f>
        <v/>
      </c>
      <c r="F150" s="60" t="str">
        <f ca="1">IF($B150="","",INDIRECT("'"&amp;$B$4&amp;"'!F146"))</f>
        <v/>
      </c>
      <c r="G150" s="60" t="str">
        <f ca="1">IF($B150="","",N(JAN!C146)+N(FEV!C146)+N(MAR!C146)+N(ABR!C146)+N(MAI!C146)+N(JUN!C146)+N(JUL!C146)+N(AGO!C146)+N(SET!C146)+N(OUT!C146)+N(NOV!C146)+N(DEZ!C146))</f>
        <v/>
      </c>
      <c r="H150" s="60" t="str">
        <f ca="1">IF($B150="","",SUM(JAN!E146,FEV!E146,MAR!E146,ABR!E146,MAI!E146,JUN!E146,JUL!E146,AGO!E146,SET!E146,OUT!E146,NOV!E146,DEZ!E146))</f>
        <v/>
      </c>
      <c r="I150" s="60" t="str">
        <f t="shared" ca="1" si="8"/>
        <v/>
      </c>
      <c r="J150" s="28" t="str">
        <f ca="1">IF($B150="","",IF(T(INDIRECT("'"&amp;$B$4&amp;"'!"&amp;ADDRESS(146,6+$F$4)))="","·",T(INDIRECT("'"&amp;$B$4&amp;"'!"&amp;ADDRESS(146,6+$F$4)))))</f>
        <v/>
      </c>
      <c r="O150" s="64" t="str">
        <f t="array" aca="1" ref="O150" ca="1">IFERROR(INDEX(INDIRECT("'"&amp;$B$4&amp;"'!B6:B155"),_xlfn.AGGREGATE(15,6,(ROW(INDIRECT("6:155"))-5)/((INDIRECT("'"&amp;$B$4&amp;"'!"&amp;ADDRESS(6,6+$F$4)&amp;":"&amp;ADDRESS(155,6+$F$4)))="HE"),141)),"")</f>
        <v/>
      </c>
      <c r="P150" s="64" t="str">
        <f t="array" aca="1" ref="P150" ca="1">IFERROR(INDEX(INDIRECT("'"&amp;$B$4&amp;"'!B6:B155"),_xlfn.AGGREGATE(15,6,(ROW(INDIRECT("6:155"))-5)/((INDIRECT("'"&amp;$B$4&amp;"'!"&amp;ADDRESS(6,6+$F$4)&amp;":"&amp;ADDRESS(155,6+$F$4)))="FE"),141)),"")</f>
        <v/>
      </c>
    </row>
    <row r="151" spans="1:16" outlineLevel="1" x14ac:dyDescent="0.25">
      <c r="A151" s="58" t="str">
        <f t="shared" ca="1" si="9"/>
        <v/>
      </c>
      <c r="B151" s="59" t="str">
        <f ca="1">T(INDIRECT("'"&amp;$B$4&amp;"'!B147"))</f>
        <v/>
      </c>
      <c r="C151" s="60" t="str">
        <f ca="1">IF($B151="","",N(INDIRECT("'"&amp;$B$4&amp;"'!C147")))</f>
        <v/>
      </c>
      <c r="D151" s="60" t="str">
        <f ca="1">IF($B151="","",INDIRECT("'"&amp;$B$4&amp;"'!D147"))</f>
        <v/>
      </c>
      <c r="E151" s="60" t="str">
        <f ca="1">IF($B151="","",INDIRECT("'"&amp;$B$4&amp;"'!E147"))</f>
        <v/>
      </c>
      <c r="F151" s="60" t="str">
        <f ca="1">IF($B151="","",INDIRECT("'"&amp;$B$4&amp;"'!F147"))</f>
        <v/>
      </c>
      <c r="G151" s="60" t="str">
        <f ca="1">IF($B151="","",N(JAN!C147)+N(FEV!C147)+N(MAR!C147)+N(ABR!C147)+N(MAI!C147)+N(JUN!C147)+N(JUL!C147)+N(AGO!C147)+N(SET!C147)+N(OUT!C147)+N(NOV!C147)+N(DEZ!C147))</f>
        <v/>
      </c>
      <c r="H151" s="60" t="str">
        <f ca="1">IF($B151="","",SUM(JAN!E147,FEV!E147,MAR!E147,ABR!E147,MAI!E147,JUN!E147,JUL!E147,AGO!E147,SET!E147,OUT!E147,NOV!E147,DEZ!E147))</f>
        <v/>
      </c>
      <c r="I151" s="60" t="str">
        <f t="shared" ca="1" si="8"/>
        <v/>
      </c>
      <c r="J151" s="28" t="str">
        <f ca="1">IF($B151="","",IF(T(INDIRECT("'"&amp;$B$4&amp;"'!"&amp;ADDRESS(147,6+$F$4)))="","·",T(INDIRECT("'"&amp;$B$4&amp;"'!"&amp;ADDRESS(147,6+$F$4)))))</f>
        <v/>
      </c>
      <c r="O151" s="64" t="str">
        <f t="array" aca="1" ref="O151" ca="1">IFERROR(INDEX(INDIRECT("'"&amp;$B$4&amp;"'!B6:B155"),_xlfn.AGGREGATE(15,6,(ROW(INDIRECT("6:155"))-5)/((INDIRECT("'"&amp;$B$4&amp;"'!"&amp;ADDRESS(6,6+$F$4)&amp;":"&amp;ADDRESS(155,6+$F$4)))="HE"),142)),"")</f>
        <v/>
      </c>
      <c r="P151" s="64" t="str">
        <f t="array" aca="1" ref="P151" ca="1">IFERROR(INDEX(INDIRECT("'"&amp;$B$4&amp;"'!B6:B155"),_xlfn.AGGREGATE(15,6,(ROW(INDIRECT("6:155"))-5)/((INDIRECT("'"&amp;$B$4&amp;"'!"&amp;ADDRESS(6,6+$F$4)&amp;":"&amp;ADDRESS(155,6+$F$4)))="FE"),142)),"")</f>
        <v/>
      </c>
    </row>
    <row r="152" spans="1:16" outlineLevel="1" x14ac:dyDescent="0.25">
      <c r="A152" s="58" t="str">
        <f t="shared" ca="1" si="9"/>
        <v/>
      </c>
      <c r="B152" s="59" t="str">
        <f ca="1">T(INDIRECT("'"&amp;$B$4&amp;"'!B148"))</f>
        <v/>
      </c>
      <c r="C152" s="60" t="str">
        <f ca="1">IF($B152="","",N(INDIRECT("'"&amp;$B$4&amp;"'!C148")))</f>
        <v/>
      </c>
      <c r="D152" s="60" t="str">
        <f ca="1">IF($B152="","",INDIRECT("'"&amp;$B$4&amp;"'!D148"))</f>
        <v/>
      </c>
      <c r="E152" s="60" t="str">
        <f ca="1">IF($B152="","",INDIRECT("'"&amp;$B$4&amp;"'!E148"))</f>
        <v/>
      </c>
      <c r="F152" s="60" t="str">
        <f ca="1">IF($B152="","",INDIRECT("'"&amp;$B$4&amp;"'!F148"))</f>
        <v/>
      </c>
      <c r="G152" s="60" t="str">
        <f ca="1">IF($B152="","",N(JAN!C148)+N(FEV!C148)+N(MAR!C148)+N(ABR!C148)+N(MAI!C148)+N(JUN!C148)+N(JUL!C148)+N(AGO!C148)+N(SET!C148)+N(OUT!C148)+N(NOV!C148)+N(DEZ!C148))</f>
        <v/>
      </c>
      <c r="H152" s="60" t="str">
        <f ca="1">IF($B152="","",SUM(JAN!E148,FEV!E148,MAR!E148,ABR!E148,MAI!E148,JUN!E148,JUL!E148,AGO!E148,SET!E148,OUT!E148,NOV!E148,DEZ!E148))</f>
        <v/>
      </c>
      <c r="I152" s="60" t="str">
        <f t="shared" ca="1" si="8"/>
        <v/>
      </c>
      <c r="J152" s="28" t="str">
        <f ca="1">IF($B152="","",IF(T(INDIRECT("'"&amp;$B$4&amp;"'!"&amp;ADDRESS(148,6+$F$4)))="","·",T(INDIRECT("'"&amp;$B$4&amp;"'!"&amp;ADDRESS(148,6+$F$4)))))</f>
        <v/>
      </c>
      <c r="O152" s="64" t="str">
        <f t="array" aca="1" ref="O152" ca="1">IFERROR(INDEX(INDIRECT("'"&amp;$B$4&amp;"'!B6:B155"),_xlfn.AGGREGATE(15,6,(ROW(INDIRECT("6:155"))-5)/((INDIRECT("'"&amp;$B$4&amp;"'!"&amp;ADDRESS(6,6+$F$4)&amp;":"&amp;ADDRESS(155,6+$F$4)))="HE"),143)),"")</f>
        <v/>
      </c>
      <c r="P152" s="64" t="str">
        <f t="array" aca="1" ref="P152" ca="1">IFERROR(INDEX(INDIRECT("'"&amp;$B$4&amp;"'!B6:B155"),_xlfn.AGGREGATE(15,6,(ROW(INDIRECT("6:155"))-5)/((INDIRECT("'"&amp;$B$4&amp;"'!"&amp;ADDRESS(6,6+$F$4)&amp;":"&amp;ADDRESS(155,6+$F$4)))="FE"),143)),"")</f>
        <v/>
      </c>
    </row>
    <row r="153" spans="1:16" outlineLevel="1" x14ac:dyDescent="0.25">
      <c r="A153" s="58" t="str">
        <f t="shared" ca="1" si="9"/>
        <v/>
      </c>
      <c r="B153" s="59" t="str">
        <f ca="1">T(INDIRECT("'"&amp;$B$4&amp;"'!B149"))</f>
        <v/>
      </c>
      <c r="C153" s="60" t="str">
        <f ca="1">IF($B153="","",N(INDIRECT("'"&amp;$B$4&amp;"'!C149")))</f>
        <v/>
      </c>
      <c r="D153" s="60" t="str">
        <f ca="1">IF($B153="","",INDIRECT("'"&amp;$B$4&amp;"'!D149"))</f>
        <v/>
      </c>
      <c r="E153" s="60" t="str">
        <f ca="1">IF($B153="","",INDIRECT("'"&amp;$B$4&amp;"'!E149"))</f>
        <v/>
      </c>
      <c r="F153" s="60" t="str">
        <f ca="1">IF($B153="","",INDIRECT("'"&amp;$B$4&amp;"'!F149"))</f>
        <v/>
      </c>
      <c r="G153" s="60" t="str">
        <f ca="1">IF($B153="","",N(JAN!C149)+N(FEV!C149)+N(MAR!C149)+N(ABR!C149)+N(MAI!C149)+N(JUN!C149)+N(JUL!C149)+N(AGO!C149)+N(SET!C149)+N(OUT!C149)+N(NOV!C149)+N(DEZ!C149))</f>
        <v/>
      </c>
      <c r="H153" s="60" t="str">
        <f ca="1">IF($B153="","",SUM(JAN!E149,FEV!E149,MAR!E149,ABR!E149,MAI!E149,JUN!E149,JUL!E149,AGO!E149,SET!E149,OUT!E149,NOV!E149,DEZ!E149))</f>
        <v/>
      </c>
      <c r="I153" s="60" t="str">
        <f t="shared" ca="1" si="8"/>
        <v/>
      </c>
      <c r="J153" s="28" t="str">
        <f ca="1">IF($B153="","",IF(T(INDIRECT("'"&amp;$B$4&amp;"'!"&amp;ADDRESS(149,6+$F$4)))="","·",T(INDIRECT("'"&amp;$B$4&amp;"'!"&amp;ADDRESS(149,6+$F$4)))))</f>
        <v/>
      </c>
      <c r="O153" s="64" t="str">
        <f t="array" aca="1" ref="O153" ca="1">IFERROR(INDEX(INDIRECT("'"&amp;$B$4&amp;"'!B6:B155"),_xlfn.AGGREGATE(15,6,(ROW(INDIRECT("6:155"))-5)/((INDIRECT("'"&amp;$B$4&amp;"'!"&amp;ADDRESS(6,6+$F$4)&amp;":"&amp;ADDRESS(155,6+$F$4)))="HE"),144)),"")</f>
        <v/>
      </c>
      <c r="P153" s="64" t="str">
        <f t="array" aca="1" ref="P153" ca="1">IFERROR(INDEX(INDIRECT("'"&amp;$B$4&amp;"'!B6:B155"),_xlfn.AGGREGATE(15,6,(ROW(INDIRECT("6:155"))-5)/((INDIRECT("'"&amp;$B$4&amp;"'!"&amp;ADDRESS(6,6+$F$4)&amp;":"&amp;ADDRESS(155,6+$F$4)))="FE"),144)),"")</f>
        <v/>
      </c>
    </row>
    <row r="154" spans="1:16" outlineLevel="1" x14ac:dyDescent="0.25">
      <c r="A154" s="58" t="str">
        <f t="shared" ca="1" si="9"/>
        <v/>
      </c>
      <c r="B154" s="59" t="str">
        <f ca="1">T(INDIRECT("'"&amp;$B$4&amp;"'!B150"))</f>
        <v/>
      </c>
      <c r="C154" s="60" t="str">
        <f ca="1">IF($B154="","",N(INDIRECT("'"&amp;$B$4&amp;"'!C150")))</f>
        <v/>
      </c>
      <c r="D154" s="60" t="str">
        <f ca="1">IF($B154="","",INDIRECT("'"&amp;$B$4&amp;"'!D150"))</f>
        <v/>
      </c>
      <c r="E154" s="60" t="str">
        <f ca="1">IF($B154="","",INDIRECT("'"&amp;$B$4&amp;"'!E150"))</f>
        <v/>
      </c>
      <c r="F154" s="60" t="str">
        <f ca="1">IF($B154="","",INDIRECT("'"&amp;$B$4&amp;"'!F150"))</f>
        <v/>
      </c>
      <c r="G154" s="60" t="str">
        <f ca="1">IF($B154="","",N(JAN!C150)+N(FEV!C150)+N(MAR!C150)+N(ABR!C150)+N(MAI!C150)+N(JUN!C150)+N(JUL!C150)+N(AGO!C150)+N(SET!C150)+N(OUT!C150)+N(NOV!C150)+N(DEZ!C150))</f>
        <v/>
      </c>
      <c r="H154" s="60" t="str">
        <f ca="1">IF($B154="","",SUM(JAN!E150,FEV!E150,MAR!E150,ABR!E150,MAI!E150,JUN!E150,JUL!E150,AGO!E150,SET!E150,OUT!E150,NOV!E150,DEZ!E150))</f>
        <v/>
      </c>
      <c r="I154" s="60" t="str">
        <f t="shared" ca="1" si="8"/>
        <v/>
      </c>
      <c r="J154" s="28" t="str">
        <f ca="1">IF($B154="","",IF(T(INDIRECT("'"&amp;$B$4&amp;"'!"&amp;ADDRESS(150,6+$F$4)))="","·",T(INDIRECT("'"&amp;$B$4&amp;"'!"&amp;ADDRESS(150,6+$F$4)))))</f>
        <v/>
      </c>
      <c r="O154" s="64" t="str">
        <f t="array" aca="1" ref="O154" ca="1">IFERROR(INDEX(INDIRECT("'"&amp;$B$4&amp;"'!B6:B155"),_xlfn.AGGREGATE(15,6,(ROW(INDIRECT("6:155"))-5)/((INDIRECT("'"&amp;$B$4&amp;"'!"&amp;ADDRESS(6,6+$F$4)&amp;":"&amp;ADDRESS(155,6+$F$4)))="HE"),145)),"")</f>
        <v/>
      </c>
      <c r="P154" s="64" t="str">
        <f t="array" aca="1" ref="P154" ca="1">IFERROR(INDEX(INDIRECT("'"&amp;$B$4&amp;"'!B6:B155"),_xlfn.AGGREGATE(15,6,(ROW(INDIRECT("6:155"))-5)/((INDIRECT("'"&amp;$B$4&amp;"'!"&amp;ADDRESS(6,6+$F$4)&amp;":"&amp;ADDRESS(155,6+$F$4)))="FE"),145)),"")</f>
        <v/>
      </c>
    </row>
    <row r="155" spans="1:16" outlineLevel="1" x14ac:dyDescent="0.25">
      <c r="A155" s="58" t="str">
        <f t="shared" ca="1" si="9"/>
        <v/>
      </c>
      <c r="B155" s="59" t="str">
        <f ca="1">T(INDIRECT("'"&amp;$B$4&amp;"'!B151"))</f>
        <v/>
      </c>
      <c r="C155" s="60" t="str">
        <f ca="1">IF($B155="","",N(INDIRECT("'"&amp;$B$4&amp;"'!C151")))</f>
        <v/>
      </c>
      <c r="D155" s="60" t="str">
        <f ca="1">IF($B155="","",INDIRECT("'"&amp;$B$4&amp;"'!D151"))</f>
        <v/>
      </c>
      <c r="E155" s="60" t="str">
        <f ca="1">IF($B155="","",INDIRECT("'"&amp;$B$4&amp;"'!E151"))</f>
        <v/>
      </c>
      <c r="F155" s="60" t="str">
        <f ca="1">IF($B155="","",INDIRECT("'"&amp;$B$4&amp;"'!F151"))</f>
        <v/>
      </c>
      <c r="G155" s="60" t="str">
        <f ca="1">IF($B155="","",N(JAN!C151)+N(FEV!C151)+N(MAR!C151)+N(ABR!C151)+N(MAI!C151)+N(JUN!C151)+N(JUL!C151)+N(AGO!C151)+N(SET!C151)+N(OUT!C151)+N(NOV!C151)+N(DEZ!C151))</f>
        <v/>
      </c>
      <c r="H155" s="60" t="str">
        <f ca="1">IF($B155="","",SUM(JAN!E151,FEV!E151,MAR!E151,ABR!E151,MAI!E151,JUN!E151,JUL!E151,AGO!E151,SET!E151,OUT!E151,NOV!E151,DEZ!E151))</f>
        <v/>
      </c>
      <c r="I155" s="60" t="str">
        <f t="shared" ca="1" si="8"/>
        <v/>
      </c>
      <c r="J155" s="28" t="str">
        <f ca="1">IF($B155="","",IF(T(INDIRECT("'"&amp;$B$4&amp;"'!"&amp;ADDRESS(151,6+$F$4)))="","·",T(INDIRECT("'"&amp;$B$4&amp;"'!"&amp;ADDRESS(151,6+$F$4)))))</f>
        <v/>
      </c>
      <c r="O155" s="64" t="str">
        <f t="array" aca="1" ref="O155" ca="1">IFERROR(INDEX(INDIRECT("'"&amp;$B$4&amp;"'!B6:B155"),_xlfn.AGGREGATE(15,6,(ROW(INDIRECT("6:155"))-5)/((INDIRECT("'"&amp;$B$4&amp;"'!"&amp;ADDRESS(6,6+$F$4)&amp;":"&amp;ADDRESS(155,6+$F$4)))="HE"),146)),"")</f>
        <v/>
      </c>
      <c r="P155" s="64" t="str">
        <f t="array" aca="1" ref="P155" ca="1">IFERROR(INDEX(INDIRECT("'"&amp;$B$4&amp;"'!B6:B155"),_xlfn.AGGREGATE(15,6,(ROW(INDIRECT("6:155"))-5)/((INDIRECT("'"&amp;$B$4&amp;"'!"&amp;ADDRESS(6,6+$F$4)&amp;":"&amp;ADDRESS(155,6+$F$4)))="FE"),146)),"")</f>
        <v/>
      </c>
    </row>
    <row r="156" spans="1:16" outlineLevel="1" x14ac:dyDescent="0.25">
      <c r="A156" s="58" t="str">
        <f t="shared" ca="1" si="9"/>
        <v/>
      </c>
      <c r="B156" s="59" t="str">
        <f ca="1">T(INDIRECT("'"&amp;$B$4&amp;"'!B152"))</f>
        <v/>
      </c>
      <c r="C156" s="60" t="str">
        <f ca="1">IF($B156="","",N(INDIRECT("'"&amp;$B$4&amp;"'!C152")))</f>
        <v/>
      </c>
      <c r="D156" s="60" t="str">
        <f ca="1">IF($B156="","",INDIRECT("'"&amp;$B$4&amp;"'!D152"))</f>
        <v/>
      </c>
      <c r="E156" s="60" t="str">
        <f ca="1">IF($B156="","",INDIRECT("'"&amp;$B$4&amp;"'!E152"))</f>
        <v/>
      </c>
      <c r="F156" s="60" t="str">
        <f ca="1">IF($B156="","",INDIRECT("'"&amp;$B$4&amp;"'!F152"))</f>
        <v/>
      </c>
      <c r="G156" s="60" t="str">
        <f ca="1">IF($B156="","",N(JAN!C152)+N(FEV!C152)+N(MAR!C152)+N(ABR!C152)+N(MAI!C152)+N(JUN!C152)+N(JUL!C152)+N(AGO!C152)+N(SET!C152)+N(OUT!C152)+N(NOV!C152)+N(DEZ!C152))</f>
        <v/>
      </c>
      <c r="H156" s="60" t="str">
        <f ca="1">IF($B156="","",SUM(JAN!E152,FEV!E152,MAR!E152,ABR!E152,MAI!E152,JUN!E152,JUL!E152,AGO!E152,SET!E152,OUT!E152,NOV!E152,DEZ!E152))</f>
        <v/>
      </c>
      <c r="I156" s="60" t="str">
        <f t="shared" ca="1" si="8"/>
        <v/>
      </c>
      <c r="J156" s="28" t="str">
        <f ca="1">IF($B156="","",IF(T(INDIRECT("'"&amp;$B$4&amp;"'!"&amp;ADDRESS(152,6+$F$4)))="","·",T(INDIRECT("'"&amp;$B$4&amp;"'!"&amp;ADDRESS(152,6+$F$4)))))</f>
        <v/>
      </c>
      <c r="O156" s="64" t="str">
        <f t="array" aca="1" ref="O156" ca="1">IFERROR(INDEX(INDIRECT("'"&amp;$B$4&amp;"'!B6:B155"),_xlfn.AGGREGATE(15,6,(ROW(INDIRECT("6:155"))-5)/((INDIRECT("'"&amp;$B$4&amp;"'!"&amp;ADDRESS(6,6+$F$4)&amp;":"&amp;ADDRESS(155,6+$F$4)))="HE"),147)),"")</f>
        <v/>
      </c>
      <c r="P156" s="64" t="str">
        <f t="array" aca="1" ref="P156" ca="1">IFERROR(INDEX(INDIRECT("'"&amp;$B$4&amp;"'!B6:B155"),_xlfn.AGGREGATE(15,6,(ROW(INDIRECT("6:155"))-5)/((INDIRECT("'"&amp;$B$4&amp;"'!"&amp;ADDRESS(6,6+$F$4)&amp;":"&amp;ADDRESS(155,6+$F$4)))="FE"),147)),"")</f>
        <v/>
      </c>
    </row>
    <row r="157" spans="1:16" outlineLevel="1" x14ac:dyDescent="0.25">
      <c r="A157" s="58" t="str">
        <f t="shared" ca="1" si="9"/>
        <v/>
      </c>
      <c r="B157" s="59" t="str">
        <f ca="1">T(INDIRECT("'"&amp;$B$4&amp;"'!B153"))</f>
        <v/>
      </c>
      <c r="C157" s="60" t="str">
        <f ca="1">IF($B157="","",N(INDIRECT("'"&amp;$B$4&amp;"'!C153")))</f>
        <v/>
      </c>
      <c r="D157" s="60" t="str">
        <f ca="1">IF($B157="","",INDIRECT("'"&amp;$B$4&amp;"'!D153"))</f>
        <v/>
      </c>
      <c r="E157" s="60" t="str">
        <f ca="1">IF($B157="","",INDIRECT("'"&amp;$B$4&amp;"'!E153"))</f>
        <v/>
      </c>
      <c r="F157" s="60" t="str">
        <f ca="1">IF($B157="","",INDIRECT("'"&amp;$B$4&amp;"'!F153"))</f>
        <v/>
      </c>
      <c r="G157" s="60" t="str">
        <f ca="1">IF($B157="","",N(JAN!C153)+N(FEV!C153)+N(MAR!C153)+N(ABR!C153)+N(MAI!C153)+N(JUN!C153)+N(JUL!C153)+N(AGO!C153)+N(SET!C153)+N(OUT!C153)+N(NOV!C153)+N(DEZ!C153))</f>
        <v/>
      </c>
      <c r="H157" s="60" t="str">
        <f ca="1">IF($B157="","",SUM(JAN!E153,FEV!E153,MAR!E153,ABR!E153,MAI!E153,JUN!E153,JUL!E153,AGO!E153,SET!E153,OUT!E153,NOV!E153,DEZ!E153))</f>
        <v/>
      </c>
      <c r="I157" s="60" t="str">
        <f t="shared" ca="1" si="8"/>
        <v/>
      </c>
      <c r="J157" s="28" t="str">
        <f ca="1">IF($B157="","",IF(T(INDIRECT("'"&amp;$B$4&amp;"'!"&amp;ADDRESS(153,6+$F$4)))="","·",T(INDIRECT("'"&amp;$B$4&amp;"'!"&amp;ADDRESS(153,6+$F$4)))))</f>
        <v/>
      </c>
      <c r="O157" s="64" t="str">
        <f t="array" aca="1" ref="O157" ca="1">IFERROR(INDEX(INDIRECT("'"&amp;$B$4&amp;"'!B6:B155"),_xlfn.AGGREGATE(15,6,(ROW(INDIRECT("6:155"))-5)/((INDIRECT("'"&amp;$B$4&amp;"'!"&amp;ADDRESS(6,6+$F$4)&amp;":"&amp;ADDRESS(155,6+$F$4)))="HE"),148)),"")</f>
        <v/>
      </c>
      <c r="P157" s="64" t="str">
        <f t="array" aca="1" ref="P157" ca="1">IFERROR(INDEX(INDIRECT("'"&amp;$B$4&amp;"'!B6:B155"),_xlfn.AGGREGATE(15,6,(ROW(INDIRECT("6:155"))-5)/((INDIRECT("'"&amp;$B$4&amp;"'!"&amp;ADDRESS(6,6+$F$4)&amp;":"&amp;ADDRESS(155,6+$F$4)))="FE"),148)),"")</f>
        <v/>
      </c>
    </row>
    <row r="158" spans="1:16" outlineLevel="1" x14ac:dyDescent="0.25">
      <c r="A158" s="58" t="str">
        <f t="shared" ca="1" si="9"/>
        <v/>
      </c>
      <c r="B158" s="59" t="str">
        <f ca="1">T(INDIRECT("'"&amp;$B$4&amp;"'!B154"))</f>
        <v/>
      </c>
      <c r="C158" s="60" t="str">
        <f ca="1">IF($B158="","",N(INDIRECT("'"&amp;$B$4&amp;"'!C154")))</f>
        <v/>
      </c>
      <c r="D158" s="60" t="str">
        <f ca="1">IF($B158="","",INDIRECT("'"&amp;$B$4&amp;"'!D154"))</f>
        <v/>
      </c>
      <c r="E158" s="60" t="str">
        <f ca="1">IF($B158="","",INDIRECT("'"&amp;$B$4&amp;"'!E154"))</f>
        <v/>
      </c>
      <c r="F158" s="60" t="str">
        <f ca="1">IF($B158="","",INDIRECT("'"&amp;$B$4&amp;"'!F154"))</f>
        <v/>
      </c>
      <c r="G158" s="60" t="str">
        <f ca="1">IF($B158="","",N(JAN!C154)+N(FEV!C154)+N(MAR!C154)+N(ABR!C154)+N(MAI!C154)+N(JUN!C154)+N(JUL!C154)+N(AGO!C154)+N(SET!C154)+N(OUT!C154)+N(NOV!C154)+N(DEZ!C154))</f>
        <v/>
      </c>
      <c r="H158" s="60" t="str">
        <f ca="1">IF($B158="","",SUM(JAN!E154,FEV!E154,MAR!E154,ABR!E154,MAI!E154,JUN!E154,JUL!E154,AGO!E154,SET!E154,OUT!E154,NOV!E154,DEZ!E154))</f>
        <v/>
      </c>
      <c r="I158" s="60" t="str">
        <f t="shared" ca="1" si="8"/>
        <v/>
      </c>
      <c r="J158" s="28" t="str">
        <f ca="1">IF($B158="","",IF(T(INDIRECT("'"&amp;$B$4&amp;"'!"&amp;ADDRESS(154,6+$F$4)))="","·",T(INDIRECT("'"&amp;$B$4&amp;"'!"&amp;ADDRESS(154,6+$F$4)))))</f>
        <v/>
      </c>
      <c r="O158" s="64" t="str">
        <f t="array" aca="1" ref="O158" ca="1">IFERROR(INDEX(INDIRECT("'"&amp;$B$4&amp;"'!B6:B155"),_xlfn.AGGREGATE(15,6,(ROW(INDIRECT("6:155"))-5)/((INDIRECT("'"&amp;$B$4&amp;"'!"&amp;ADDRESS(6,6+$F$4)&amp;":"&amp;ADDRESS(155,6+$F$4)))="HE"),149)),"")</f>
        <v/>
      </c>
      <c r="P158" s="64" t="str">
        <f t="array" aca="1" ref="P158" ca="1">IFERROR(INDEX(INDIRECT("'"&amp;$B$4&amp;"'!B6:B155"),_xlfn.AGGREGATE(15,6,(ROW(INDIRECT("6:155"))-5)/((INDIRECT("'"&amp;$B$4&amp;"'!"&amp;ADDRESS(6,6+$F$4)&amp;":"&amp;ADDRESS(155,6+$F$4)))="FE"),149)),"")</f>
        <v/>
      </c>
    </row>
    <row r="159" spans="1:16" outlineLevel="1" x14ac:dyDescent="0.25">
      <c r="A159" s="58" t="str">
        <f t="shared" ca="1" si="9"/>
        <v/>
      </c>
      <c r="B159" s="59" t="str">
        <f ca="1">T(INDIRECT("'"&amp;$B$4&amp;"'!B155"))</f>
        <v/>
      </c>
      <c r="C159" s="60" t="str">
        <f ca="1">IF($B159="","",N(INDIRECT("'"&amp;$B$4&amp;"'!C155")))</f>
        <v/>
      </c>
      <c r="D159" s="60" t="str">
        <f ca="1">IF($B159="","",INDIRECT("'"&amp;$B$4&amp;"'!D155"))</f>
        <v/>
      </c>
      <c r="E159" s="60" t="str">
        <f ca="1">IF($B159="","",INDIRECT("'"&amp;$B$4&amp;"'!E155"))</f>
        <v/>
      </c>
      <c r="F159" s="60" t="str">
        <f ca="1">IF($B159="","",INDIRECT("'"&amp;$B$4&amp;"'!F155"))</f>
        <v/>
      </c>
      <c r="G159" s="60" t="str">
        <f ca="1">IF($B159="","",N(JAN!C155)+N(FEV!C155)+N(MAR!C155)+N(ABR!C155)+N(MAI!C155)+N(JUN!C155)+N(JUL!C155)+N(AGO!C155)+N(SET!C155)+N(OUT!C155)+N(NOV!C155)+N(DEZ!C155))</f>
        <v/>
      </c>
      <c r="H159" s="60" t="str">
        <f ca="1">IF($B159="","",SUM(JAN!E155,FEV!E155,MAR!E155,ABR!E155,MAI!E155,JUN!E155,JUL!E155,AGO!E155,SET!E155,OUT!E155,NOV!E155,DEZ!E155))</f>
        <v/>
      </c>
      <c r="I159" s="60" t="str">
        <f t="shared" ca="1" si="8"/>
        <v/>
      </c>
      <c r="J159" s="28" t="str">
        <f ca="1">IF($B159="","",IF(T(INDIRECT("'"&amp;$B$4&amp;"'!"&amp;ADDRESS(155,6+$F$4)))="","·",T(INDIRECT("'"&amp;$B$4&amp;"'!"&amp;ADDRESS(155,6+$F$4)))))</f>
        <v/>
      </c>
      <c r="O159" s="64" t="str">
        <f t="array" aca="1" ref="O159" ca="1">IFERROR(INDEX(INDIRECT("'"&amp;$B$4&amp;"'!B6:B155"),_xlfn.AGGREGATE(15,6,(ROW(INDIRECT("6:155"))-5)/((INDIRECT("'"&amp;$B$4&amp;"'!"&amp;ADDRESS(6,6+$F$4)&amp;":"&amp;ADDRESS(155,6+$F$4)))="HE"),150)),"")</f>
        <v/>
      </c>
      <c r="P159" s="64" t="str">
        <f t="array" aca="1" ref="P159" ca="1">IFERROR(INDEX(INDIRECT("'"&amp;$B$4&amp;"'!B6:B155"),_xlfn.AGGREGATE(15,6,(ROW(INDIRECT("6:155"))-5)/((INDIRECT("'"&amp;$B$4&amp;"'!"&amp;ADDRESS(6,6+$F$4)&amp;":"&amp;ADDRESS(155,6+$F$4)))="FE"),150)),"")</f>
        <v/>
      </c>
    </row>
    <row r="160" spans="1:10" x14ac:dyDescent="0.25">
      <c r="A160" s="21"/>
      <c r="B160" s="22" t="s">
        <v>36</v>
      </c>
      <c r="C160" s="23">
        <f t="shared" ref="C160:I160" ca="1" si="10">SUM(C10:C159)</f>
        <v>16</v>
      </c>
      <c r="D160" s="23">
        <f t="shared" ca="1" si="10"/>
        <v>11</v>
      </c>
      <c r="E160" s="23">
        <f t="shared" ca="1" si="10"/>
        <v>15</v>
      </c>
      <c r="F160" s="23">
        <f t="shared" ca="1" si="10"/>
        <v>1</v>
      </c>
      <c r="G160" s="23">
        <f t="shared" ca="1" si="10"/>
        <v>67</v>
      </c>
      <c r="H160" s="23">
        <f t="shared" ca="1" si="10"/>
        <v>76</v>
      </c>
      <c r="I160" s="23">
        <f t="shared" ca="1" si="10"/>
        <v>-9</v>
      </c>
      <c r="J160" s="23">
        <f ca="1">COUNTIF(J10:J159,"A")+COUNTIF(J10:J159,"F")</f>
        <v>0</v>
      </c>
    </row>
  </sheetData>
  <mergeCells count="16">
    <mergeCell ref="A1:I1"/>
    <mergeCell ref="G8:I8"/>
    <mergeCell ref="G4:I4"/>
    <mergeCell ref="G6:H6"/>
    <mergeCell ref="K4:L4"/>
    <mergeCell ref="A6:B6"/>
    <mergeCell ref="E6:F6"/>
    <mergeCell ref="C6:D6"/>
    <mergeCell ref="A2:I2"/>
    <mergeCell ref="C7:D7"/>
    <mergeCell ref="C8:F8"/>
    <mergeCell ref="A7:B7"/>
    <mergeCell ref="E7:F7"/>
    <mergeCell ref="G7:H7"/>
    <mergeCell ref="I6:J6"/>
    <mergeCell ref="I7:J7"/>
  </mergeCells>
  <conditionalFormatting sqref="F10:F159">
    <cfRule type="cellIs" dxfId="178" priority="2" operator="lessThan">
      <formula>0</formula>
    </cfRule>
    <cfRule type="cellIs" dxfId="177" priority="4" operator="greaterThan">
      <formula>0</formula>
    </cfRule>
  </conditionalFormatting>
  <conditionalFormatting sqref="I7">
    <cfRule type="cellIs" dxfId="176" priority="1" operator="greaterThan">
      <formula>0</formula>
    </cfRule>
  </conditionalFormatting>
  <conditionalFormatting sqref="I10:I159">
    <cfRule type="cellIs" dxfId="175" priority="3" operator="lessThan">
      <formula>0</formula>
    </cfRule>
    <cfRule type="cellIs" dxfId="174" priority="5" operator="greaterThan">
      <formula>0</formula>
    </cfRule>
  </conditionalFormatting>
  <conditionalFormatting sqref="J10:J159">
    <cfRule type="cellIs" dxfId="173" priority="6" operator="equal">
      <formula>"A"</formula>
    </cfRule>
    <cfRule type="cellIs" dxfId="172" priority="7" operator="equal">
      <formula>"F"</formula>
    </cfRule>
    <cfRule type="cellIs" dxfId="171" priority="20" operator="equal">
      <formula>"HE"</formula>
    </cfRule>
    <cfRule type="cellIs" dxfId="170" priority="21" operator="equal">
      <formula>"FL"</formula>
    </cfRule>
    <cfRule type="cellIs" dxfId="169" priority="22" operator="equal">
      <formula>"AT"</formula>
    </cfRule>
  </conditionalFormatting>
  <conditionalFormatting sqref="J160">
    <cfRule type="cellIs" dxfId="168" priority="8" operator="greaterThan">
      <formula>2</formula>
    </cfRule>
  </conditionalFormatting>
  <dataValidations count="2">
    <dataValidation type="list" promptTitle="Mês" prompt="Escolha o mês do painel" sqref="B4" xr:uid="{00000000-0002-0000-0000-000000000000}">
      <formula1>"JAN,FEV,MAR,ABR,MAI,JUN,JUL,AGO,SET,OUT,NOV,DEZ"</formula1>
    </dataValidation>
    <dataValidation type="whole" errorTitle="Dia inválido" error="Digite um dia de 1 a 31." sqref="F4" xr:uid="{00000000-0002-0000-0000-000001000000}">
      <formula1>1</formula1>
      <formula2>31</formula2>
    </dataValidation>
  </dataValidations>
  <pageMargins left="0.75" right="0.75" top="1" bottom="1" header="0.5" footer="0.5"/>
  <headerFooter>
    <oddFooter>&amp;L&amp;"Calibri"&amp;11 &amp;K808080_x000D_#   INTERNAL_x000D_&amp;1#&amp;"Aptos"&amp;11&amp;K808080  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K173"/>
  <sheetViews>
    <sheetView zoomScaleNormal="100" workbookViewId="0">
      <pane xSplit="6" ySplit="5" topLeftCell="G6" activePane="bottomRight" state="frozen"/>
      <selection activeCell="J10" sqref="J10"/>
      <selection pane="topRight" activeCell="J10" sqref="J10"/>
      <selection pane="bottomLeft" activeCell="J10" sqref="J10"/>
      <selection pane="bottomRight" activeCell="J80" sqref="J80"/>
    </sheetView>
  </sheetViews>
  <sheetFormatPr defaultColWidth="8.7109375" defaultRowHeight="15" outlineLevelRow="1" x14ac:dyDescent="0.25"/>
  <cols>
    <col min="1" max="1" width="21.42578125" customWidth="1"/>
    <col min="2" max="2" width="30.710937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9" width="4.28515625" customWidth="1"/>
    <col min="10" max="10" width="4.5703125" bestFit="1" customWidth="1"/>
    <col min="11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Janeiro/2026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1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qui</v>
      </c>
      <c r="H5" s="4" t="str">
        <f t="shared" si="1"/>
        <v>sex</v>
      </c>
      <c r="I5" s="4" t="str">
        <f t="shared" si="1"/>
        <v>sáb</v>
      </c>
      <c r="J5" s="4" t="str">
        <f t="shared" si="1"/>
        <v>dom</v>
      </c>
      <c r="K5" s="4" t="str">
        <f t="shared" si="1"/>
        <v>seg</v>
      </c>
      <c r="L5" s="4" t="str">
        <f t="shared" si="1"/>
        <v>ter</v>
      </c>
      <c r="M5" s="4" t="str">
        <f t="shared" si="1"/>
        <v>qua</v>
      </c>
      <c r="N5" s="4" t="str">
        <f t="shared" si="1"/>
        <v>qui</v>
      </c>
      <c r="O5" s="4" t="str">
        <f t="shared" si="1"/>
        <v>sex</v>
      </c>
      <c r="P5" s="4" t="str">
        <f t="shared" si="1"/>
        <v>sáb</v>
      </c>
      <c r="Q5" s="4" t="str">
        <f t="shared" si="1"/>
        <v>dom</v>
      </c>
      <c r="R5" s="4" t="str">
        <f t="shared" si="1"/>
        <v>seg</v>
      </c>
      <c r="S5" s="4" t="str">
        <f t="shared" si="1"/>
        <v>ter</v>
      </c>
      <c r="T5" s="4" t="str">
        <f t="shared" si="1"/>
        <v>qua</v>
      </c>
      <c r="U5" s="4" t="str">
        <f t="shared" si="1"/>
        <v>qui</v>
      </c>
      <c r="V5" s="4" t="str">
        <f t="shared" si="1"/>
        <v>sex</v>
      </c>
      <c r="W5" s="4" t="str">
        <f t="shared" si="1"/>
        <v>sáb</v>
      </c>
      <c r="X5" s="4" t="str">
        <f t="shared" si="1"/>
        <v>dom</v>
      </c>
      <c r="Y5" s="4" t="str">
        <f t="shared" si="1"/>
        <v>seg</v>
      </c>
      <c r="Z5" s="4" t="str">
        <f t="shared" si="1"/>
        <v>ter</v>
      </c>
      <c r="AA5" s="4" t="str">
        <f t="shared" si="1"/>
        <v>qua</v>
      </c>
      <c r="AB5" s="4" t="str">
        <f t="shared" si="1"/>
        <v>qui</v>
      </c>
      <c r="AC5" s="4" t="str">
        <f t="shared" si="1"/>
        <v>sex</v>
      </c>
      <c r="AD5" s="4" t="str">
        <f t="shared" si="1"/>
        <v>sáb</v>
      </c>
      <c r="AE5" s="4" t="str">
        <f t="shared" si="1"/>
        <v>dom</v>
      </c>
      <c r="AF5" s="4" t="str">
        <f t="shared" si="1"/>
        <v>seg</v>
      </c>
      <c r="AG5" s="4" t="str">
        <f t="shared" si="1"/>
        <v>ter</v>
      </c>
      <c r="AH5" s="4" t="str">
        <f t="shared" si="1"/>
        <v>qua</v>
      </c>
      <c r="AI5" s="4" t="str">
        <f t="shared" si="1"/>
        <v>qui</v>
      </c>
      <c r="AJ5" s="4" t="str">
        <f t="shared" si="1"/>
        <v>sex</v>
      </c>
      <c r="AK5" s="4" t="str">
        <f t="shared" si="1"/>
        <v>sáb</v>
      </c>
    </row>
    <row r="6" spans="1:37" ht="15" customHeight="1" x14ac:dyDescent="0.25">
      <c r="A6" s="5">
        <f t="shared" ref="A6:A37" si="2">IF(B6="","",ROW()-5)</f>
        <v>1</v>
      </c>
      <c r="B6" s="65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65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5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65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5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5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5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5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5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5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5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5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5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5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5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5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5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5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5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5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5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5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5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5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5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5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5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5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5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5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5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5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5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5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5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5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5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5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5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5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5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5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5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5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5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5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5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5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5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s="66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5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5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67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67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67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67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5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5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5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5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5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5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5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5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5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5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5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5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5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5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5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5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5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5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5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5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5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5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5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5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5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5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5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5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5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5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5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5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5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5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5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5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5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5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5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5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5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5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5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5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5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5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5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5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5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5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5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5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5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5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5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5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5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5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5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5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5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5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5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5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5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5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5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5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5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5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5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5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5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5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5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5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5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5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5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5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5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5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5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5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0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0</v>
      </c>
      <c r="AK157" s="9">
        <f t="shared" si="27"/>
        <v>0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167" priority="9" operator="lessThan">
      <formula>0</formula>
    </cfRule>
    <cfRule type="cellIs" dxfId="166" priority="10" operator="equal">
      <formula>0</formula>
    </cfRule>
  </conditionalFormatting>
  <conditionalFormatting sqref="G4:AK5">
    <cfRule type="expression" dxfId="165" priority="11">
      <formula>OR(G$5="sáb",G$5="dom")</formula>
    </cfRule>
  </conditionalFormatting>
  <conditionalFormatting sqref="G6:AK155">
    <cfRule type="cellIs" dxfId="164" priority="2" operator="equal">
      <formula>"F"</formula>
    </cfRule>
    <cfRule type="cellIs" dxfId="163" priority="3" operator="equal">
      <formula>"A"</formula>
    </cfRule>
    <cfRule type="expression" dxfId="162" priority="4">
      <formula>G$4=""</formula>
    </cfRule>
    <cfRule type="cellIs" dxfId="161" priority="24" operator="equal">
      <formula>"HE"</formula>
    </cfRule>
    <cfRule type="cellIs" dxfId="160" priority="25" operator="equal">
      <formula>"FL"</formula>
    </cfRule>
    <cfRule type="cellIs" dxfId="159" priority="26" operator="equal">
      <formula>"AT"</formula>
    </cfRule>
    <cfRule type="cellIs" dxfId="158" priority="14" operator="equal">
      <formula>"FE"</formula>
    </cfRule>
  </conditionalFormatting>
  <conditionalFormatting sqref="G157:AK157">
    <cfRule type="cellIs" dxfId="157" priority="5" operator="greaterThan">
      <formula>2</formula>
    </cfRule>
    <cfRule type="cellIs" dxfId="156" priority="6" operator="equal">
      <formula>2</formula>
    </cfRule>
    <cfRule type="cellIs" dxfId="155" priority="7" operator="equal">
      <formula>1</formula>
    </cfRule>
    <cfRule type="cellIs" dxfId="154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1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K173"/>
  <sheetViews>
    <sheetView zoomScaleNormal="100" workbookViewId="0">
      <pane xSplit="6" ySplit="5" topLeftCell="G56" activePane="bottomRight" state="frozen"/>
      <selection pane="topRight" activeCell="G1" sqref="G1"/>
      <selection pane="bottomLeft" activeCell="A6" sqref="A6"/>
      <selection pane="bottomRight" activeCell="L62" sqref="L62"/>
    </sheetView>
  </sheetViews>
  <sheetFormatPr defaultColWidth="8.7109375" defaultRowHeight="15" outlineLevelRow="1" x14ac:dyDescent="0.25"/>
  <cols>
    <col min="1" max="1" width="21.42578125" customWidth="1"/>
    <col min="2" max="2" width="35.8554687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Fevereiro/2026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2</v>
      </c>
      <c r="C2" s="1" t="s">
        <v>7</v>
      </c>
      <c r="D2" s="2">
        <v>2026</v>
      </c>
      <c r="E2" s="1" t="s">
        <v>38</v>
      </c>
      <c r="F2" s="3">
        <f>DAY(EOMONTH(DATE(D2,B2,1),0))</f>
        <v>28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 t="str">
        <f t="shared" si="0"/>
        <v/>
      </c>
      <c r="AJ4" s="4" t="str">
        <f t="shared" si="0"/>
        <v/>
      </c>
      <c r="AK4" s="4" t="str">
        <f t="shared" si="0"/>
        <v/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dom</v>
      </c>
      <c r="H5" s="4" t="str">
        <f t="shared" si="1"/>
        <v>seg</v>
      </c>
      <c r="I5" s="4" t="str">
        <f t="shared" si="1"/>
        <v>ter</v>
      </c>
      <c r="J5" s="4" t="str">
        <f t="shared" si="1"/>
        <v>qua</v>
      </c>
      <c r="K5" s="4" t="str">
        <f t="shared" si="1"/>
        <v>qui</v>
      </c>
      <c r="L5" s="4" t="str">
        <f t="shared" si="1"/>
        <v>sex</v>
      </c>
      <c r="M5" s="4" t="str">
        <f t="shared" si="1"/>
        <v>sáb</v>
      </c>
      <c r="N5" s="4" t="str">
        <f t="shared" si="1"/>
        <v>dom</v>
      </c>
      <c r="O5" s="4" t="str">
        <f t="shared" si="1"/>
        <v>seg</v>
      </c>
      <c r="P5" s="4" t="str">
        <f t="shared" si="1"/>
        <v>ter</v>
      </c>
      <c r="Q5" s="4" t="str">
        <f t="shared" si="1"/>
        <v>qua</v>
      </c>
      <c r="R5" s="4" t="str">
        <f t="shared" si="1"/>
        <v>qui</v>
      </c>
      <c r="S5" s="4" t="str">
        <f t="shared" si="1"/>
        <v>sex</v>
      </c>
      <c r="T5" s="4" t="str">
        <f t="shared" si="1"/>
        <v>sáb</v>
      </c>
      <c r="U5" s="4" t="str">
        <f t="shared" si="1"/>
        <v>dom</v>
      </c>
      <c r="V5" s="4" t="str">
        <f t="shared" si="1"/>
        <v>seg</v>
      </c>
      <c r="W5" s="4" t="str">
        <f t="shared" si="1"/>
        <v>ter</v>
      </c>
      <c r="X5" s="4" t="str">
        <f t="shared" si="1"/>
        <v>qua</v>
      </c>
      <c r="Y5" s="4" t="str">
        <f t="shared" si="1"/>
        <v>qui</v>
      </c>
      <c r="Z5" s="4" t="str">
        <f t="shared" si="1"/>
        <v>sex</v>
      </c>
      <c r="AA5" s="4" t="str">
        <f t="shared" si="1"/>
        <v>sáb</v>
      </c>
      <c r="AB5" s="4" t="str">
        <f t="shared" si="1"/>
        <v>dom</v>
      </c>
      <c r="AC5" s="4" t="str">
        <f t="shared" si="1"/>
        <v>seg</v>
      </c>
      <c r="AD5" s="4" t="str">
        <f t="shared" si="1"/>
        <v>ter</v>
      </c>
      <c r="AE5" s="4" t="str">
        <f t="shared" si="1"/>
        <v>qua</v>
      </c>
      <c r="AF5" s="4" t="str">
        <f t="shared" si="1"/>
        <v>qui</v>
      </c>
      <c r="AG5" s="4" t="str">
        <f t="shared" si="1"/>
        <v>sex</v>
      </c>
      <c r="AH5" s="4" t="str">
        <f t="shared" si="1"/>
        <v>sáb</v>
      </c>
      <c r="AI5" s="4" t="str">
        <f t="shared" si="1"/>
        <v/>
      </c>
      <c r="AJ5" s="4" t="str">
        <f t="shared" si="1"/>
        <v/>
      </c>
      <c r="AK5" s="4" t="str">
        <f t="shared" si="1"/>
        <v/>
      </c>
    </row>
    <row r="6" spans="1:37" ht="15" customHeight="1" x14ac:dyDescent="0.25">
      <c r="A6" s="5">
        <f t="shared" ref="A6:A37" si="2">IF(B6="","",ROW()-5)</f>
        <v>1</v>
      </c>
      <c r="B6" s="65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65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5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65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5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5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5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5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5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5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5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5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5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5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5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5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5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5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5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5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5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5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5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5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5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5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5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5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5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5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5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5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5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5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5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5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5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5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5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5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5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5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5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5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5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5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5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5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5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s="66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5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5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67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67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67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67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5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5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5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5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5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5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5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5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5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5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5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5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5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5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5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5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5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5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5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5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5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5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5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5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5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5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5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5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5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5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5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5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5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5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5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5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5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5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5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5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5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5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5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5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5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5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5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5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5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5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5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5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5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5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5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5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5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5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5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5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5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5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5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5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5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5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5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5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5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5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5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5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5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5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5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5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5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5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5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5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5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5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5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5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0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 t="str">
        <f t="shared" si="27"/>
        <v/>
      </c>
      <c r="AJ157" s="9" t="str">
        <f t="shared" si="27"/>
        <v/>
      </c>
      <c r="AK157" s="9" t="str">
        <f t="shared" si="27"/>
        <v/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153" priority="9" operator="lessThan">
      <formula>0</formula>
    </cfRule>
    <cfRule type="cellIs" dxfId="152" priority="10" operator="equal">
      <formula>0</formula>
    </cfRule>
  </conditionalFormatting>
  <conditionalFormatting sqref="G4:AK5">
    <cfRule type="expression" dxfId="151" priority="11">
      <formula>OR(G$5="sáb",G$5="dom")</formula>
    </cfRule>
  </conditionalFormatting>
  <conditionalFormatting sqref="G6:AK155">
    <cfRule type="cellIs" dxfId="150" priority="2" operator="equal">
      <formula>"F"</formula>
    </cfRule>
    <cfRule type="cellIs" dxfId="149" priority="3" operator="equal">
      <formula>"A"</formula>
    </cfRule>
    <cfRule type="expression" dxfId="148" priority="4">
      <formula>G$4=""</formula>
    </cfRule>
    <cfRule type="cellIs" dxfId="147" priority="24" operator="equal">
      <formula>"HE"</formula>
    </cfRule>
    <cfRule type="cellIs" dxfId="146" priority="25" operator="equal">
      <formula>"FL"</formula>
    </cfRule>
    <cfRule type="cellIs" dxfId="145" priority="26" operator="equal">
      <formula>"AT"</formula>
    </cfRule>
    <cfRule type="cellIs" dxfId="144" priority="14" operator="equal">
      <formula>"FE"</formula>
    </cfRule>
  </conditionalFormatting>
  <conditionalFormatting sqref="G157:AK157">
    <cfRule type="cellIs" dxfId="143" priority="5" operator="greaterThan">
      <formula>2</formula>
    </cfRule>
    <cfRule type="cellIs" dxfId="142" priority="6" operator="equal">
      <formula>2</formula>
    </cfRule>
    <cfRule type="cellIs" dxfId="141" priority="7" operator="equal">
      <formula>1</formula>
    </cfRule>
    <cfRule type="cellIs" dxfId="140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2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K173"/>
  <sheetViews>
    <sheetView zoomScaleNormal="100" workbookViewId="0">
      <pane xSplit="6" ySplit="5" topLeftCell="G33" activePane="bottomRight" state="frozen"/>
      <selection pane="topRight" activeCell="G1" sqref="G1"/>
      <selection pane="bottomLeft" activeCell="A6" sqref="A6"/>
      <selection pane="bottomRight" activeCell="B73" sqref="B73"/>
    </sheetView>
  </sheetViews>
  <sheetFormatPr defaultColWidth="8.7109375" defaultRowHeight="15" outlineLevelRow="1" x14ac:dyDescent="0.25"/>
  <cols>
    <col min="1" max="1" width="21.42578125" customWidth="1"/>
    <col min="2" max="2" width="36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Março/2026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3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dom</v>
      </c>
      <c r="H5" s="4" t="str">
        <f t="shared" si="1"/>
        <v>seg</v>
      </c>
      <c r="I5" s="4" t="str">
        <f t="shared" si="1"/>
        <v>ter</v>
      </c>
      <c r="J5" s="4" t="str">
        <f t="shared" si="1"/>
        <v>qua</v>
      </c>
      <c r="K5" s="4" t="str">
        <f t="shared" si="1"/>
        <v>qui</v>
      </c>
      <c r="L5" s="4" t="str">
        <f t="shared" si="1"/>
        <v>sex</v>
      </c>
      <c r="M5" s="4" t="str">
        <f t="shared" si="1"/>
        <v>sáb</v>
      </c>
      <c r="N5" s="4" t="str">
        <f t="shared" si="1"/>
        <v>dom</v>
      </c>
      <c r="O5" s="4" t="str">
        <f t="shared" si="1"/>
        <v>seg</v>
      </c>
      <c r="P5" s="4" t="str">
        <f t="shared" si="1"/>
        <v>ter</v>
      </c>
      <c r="Q5" s="4" t="str">
        <f t="shared" si="1"/>
        <v>qua</v>
      </c>
      <c r="R5" s="4" t="str">
        <f t="shared" si="1"/>
        <v>qui</v>
      </c>
      <c r="S5" s="4" t="str">
        <f t="shared" si="1"/>
        <v>sex</v>
      </c>
      <c r="T5" s="4" t="str">
        <f t="shared" si="1"/>
        <v>sáb</v>
      </c>
      <c r="U5" s="4" t="str">
        <f t="shared" si="1"/>
        <v>dom</v>
      </c>
      <c r="V5" s="4" t="str">
        <f t="shared" si="1"/>
        <v>seg</v>
      </c>
      <c r="W5" s="4" t="str">
        <f t="shared" si="1"/>
        <v>ter</v>
      </c>
      <c r="X5" s="4" t="str">
        <f t="shared" si="1"/>
        <v>qua</v>
      </c>
      <c r="Y5" s="4" t="str">
        <f t="shared" si="1"/>
        <v>qui</v>
      </c>
      <c r="Z5" s="4" t="str">
        <f t="shared" si="1"/>
        <v>sex</v>
      </c>
      <c r="AA5" s="4" t="str">
        <f t="shared" si="1"/>
        <v>sáb</v>
      </c>
      <c r="AB5" s="4" t="str">
        <f t="shared" si="1"/>
        <v>dom</v>
      </c>
      <c r="AC5" s="4" t="str">
        <f t="shared" si="1"/>
        <v>seg</v>
      </c>
      <c r="AD5" s="4" t="str">
        <f t="shared" si="1"/>
        <v>ter</v>
      </c>
      <c r="AE5" s="4" t="str">
        <f t="shared" si="1"/>
        <v>qua</v>
      </c>
      <c r="AF5" s="4" t="str">
        <f t="shared" si="1"/>
        <v>qui</v>
      </c>
      <c r="AG5" s="4" t="str">
        <f t="shared" si="1"/>
        <v>sex</v>
      </c>
      <c r="AH5" s="4" t="str">
        <f t="shared" si="1"/>
        <v>sáb</v>
      </c>
      <c r="AI5" s="4" t="str">
        <f t="shared" si="1"/>
        <v>dom</v>
      </c>
      <c r="AJ5" s="4" t="str">
        <f t="shared" si="1"/>
        <v>seg</v>
      </c>
      <c r="AK5" s="4" t="str">
        <f t="shared" si="1"/>
        <v>ter</v>
      </c>
    </row>
    <row r="6" spans="1:37" ht="15" customHeight="1" x14ac:dyDescent="0.25">
      <c r="A6" s="5">
        <f t="shared" ref="A6:A37" si="2">IF(B6="","",ROW()-5)</f>
        <v>1</v>
      </c>
      <c r="B6" s="65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68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5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68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5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5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5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5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5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5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5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5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5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5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5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5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5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5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5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5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5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5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5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5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5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5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5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5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5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5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5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5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5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5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5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5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5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5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5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5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5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5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5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5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5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5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5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5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5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9.5" customHeight="1" x14ac:dyDescent="0.25">
      <c r="A55" s="44">
        <f t="shared" si="7"/>
        <v>50</v>
      </c>
      <c r="B55" s="66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5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5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67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G58" s="55"/>
      <c r="H58" s="55"/>
      <c r="I58" s="55"/>
      <c r="J58" s="55"/>
      <c r="K58" s="55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67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G59" s="55"/>
      <c r="H59" s="55"/>
      <c r="I59" s="55"/>
      <c r="J59" s="55"/>
      <c r="K59" s="55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67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G60" s="55"/>
      <c r="H60" s="55"/>
      <c r="I60" s="55"/>
      <c r="J60" s="55"/>
      <c r="K60" s="55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67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G61" s="55"/>
      <c r="H61" s="55"/>
      <c r="I61" s="55"/>
      <c r="J61" s="55"/>
      <c r="K61" s="55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5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G62" s="55"/>
      <c r="H62" s="55"/>
      <c r="I62" s="55"/>
      <c r="J62" s="55"/>
      <c r="K62" s="55"/>
      <c r="L62" s="55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5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G63" s="55"/>
      <c r="H63" s="55"/>
      <c r="I63" s="55"/>
      <c r="J63" s="55"/>
      <c r="K63" s="55"/>
      <c r="L63" s="55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5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5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5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5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5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5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5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5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5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5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5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5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5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5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5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5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5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5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5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5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5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5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5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5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5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5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5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5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5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5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5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5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5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5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5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5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5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5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5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5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5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5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5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5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5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5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5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5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5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5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5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5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5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5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5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5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5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5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5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5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5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5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5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5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5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5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5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5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5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5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5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5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5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5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5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5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5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5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5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5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5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5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0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0</v>
      </c>
      <c r="AK157" s="9">
        <f t="shared" si="27"/>
        <v>0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139" priority="9" operator="lessThan">
      <formula>0</formula>
    </cfRule>
    <cfRule type="cellIs" dxfId="138" priority="10" operator="equal">
      <formula>0</formula>
    </cfRule>
  </conditionalFormatting>
  <conditionalFormatting sqref="G4:AK5">
    <cfRule type="expression" dxfId="137" priority="11">
      <formula>OR(G$5="sáb",G$5="dom")</formula>
    </cfRule>
  </conditionalFormatting>
  <conditionalFormatting sqref="G6:AK155">
    <cfRule type="cellIs" dxfId="136" priority="2" operator="equal">
      <formula>"F"</formula>
    </cfRule>
    <cfRule type="cellIs" dxfId="135" priority="3" operator="equal">
      <formula>"A"</formula>
    </cfRule>
    <cfRule type="expression" dxfId="134" priority="4">
      <formula>G$4=""</formula>
    </cfRule>
    <cfRule type="cellIs" dxfId="133" priority="24" operator="equal">
      <formula>"HE"</formula>
    </cfRule>
    <cfRule type="cellIs" dxfId="132" priority="25" operator="equal">
      <formula>"FL"</formula>
    </cfRule>
    <cfRule type="cellIs" dxfId="131" priority="26" operator="equal">
      <formula>"AT"</formula>
    </cfRule>
    <cfRule type="cellIs" dxfId="130" priority="14" operator="equal">
      <formula>"FE"</formula>
    </cfRule>
  </conditionalFormatting>
  <conditionalFormatting sqref="G157:AK157">
    <cfRule type="cellIs" dxfId="129" priority="5" operator="greaterThan">
      <formula>2</formula>
    </cfRule>
    <cfRule type="cellIs" dxfId="128" priority="6" operator="equal">
      <formula>2</formula>
    </cfRule>
    <cfRule type="cellIs" dxfId="127" priority="7" operator="equal">
      <formula>1</formula>
    </cfRule>
    <cfRule type="cellIs" dxfId="126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3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K173"/>
  <sheetViews>
    <sheetView zoomScaleNormal="100" workbookViewId="0">
      <pane xSplit="6" ySplit="5" topLeftCell="G42" activePane="bottomRight" state="frozen"/>
      <selection pane="topRight" activeCell="G1" sqref="G1"/>
      <selection pane="bottomLeft" activeCell="A6" sqref="A6"/>
      <selection pane="bottomRight" activeCell="L60" sqref="L60"/>
    </sheetView>
  </sheetViews>
  <sheetFormatPr defaultColWidth="8.7109375" defaultRowHeight="15" outlineLevelRow="1" x14ac:dyDescent="0.25"/>
  <cols>
    <col min="1" max="1" width="21.42578125" customWidth="1"/>
    <col min="2" max="2" width="36.1406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Abril/2026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4</v>
      </c>
      <c r="C2" s="1" t="s">
        <v>7</v>
      </c>
      <c r="D2" s="2">
        <v>2026</v>
      </c>
      <c r="E2" s="1" t="s">
        <v>38</v>
      </c>
      <c r="F2" s="3">
        <f>DAY(EOMONTH(DATE(D2,B2,1),0))</f>
        <v>30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 t="str">
        <f t="shared" si="0"/>
        <v/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qua</v>
      </c>
      <c r="H5" s="4" t="str">
        <f t="shared" si="1"/>
        <v>qui</v>
      </c>
      <c r="I5" s="4" t="str">
        <f t="shared" si="1"/>
        <v>sex</v>
      </c>
      <c r="J5" s="4" t="str">
        <f t="shared" si="1"/>
        <v>sáb</v>
      </c>
      <c r="K5" s="4" t="str">
        <f t="shared" si="1"/>
        <v>dom</v>
      </c>
      <c r="L5" s="4" t="str">
        <f t="shared" si="1"/>
        <v>seg</v>
      </c>
      <c r="M5" s="4" t="str">
        <f t="shared" si="1"/>
        <v>ter</v>
      </c>
      <c r="N5" s="4" t="str">
        <f t="shared" si="1"/>
        <v>qua</v>
      </c>
      <c r="O5" s="4" t="str">
        <f t="shared" si="1"/>
        <v>qui</v>
      </c>
      <c r="P5" s="4" t="str">
        <f t="shared" si="1"/>
        <v>sex</v>
      </c>
      <c r="Q5" s="4" t="str">
        <f t="shared" si="1"/>
        <v>sáb</v>
      </c>
      <c r="R5" s="4" t="str">
        <f t="shared" si="1"/>
        <v>dom</v>
      </c>
      <c r="S5" s="4" t="str">
        <f t="shared" si="1"/>
        <v>seg</v>
      </c>
      <c r="T5" s="4" t="str">
        <f t="shared" si="1"/>
        <v>ter</v>
      </c>
      <c r="U5" s="4" t="str">
        <f t="shared" si="1"/>
        <v>qua</v>
      </c>
      <c r="V5" s="4" t="str">
        <f t="shared" si="1"/>
        <v>qui</v>
      </c>
      <c r="W5" s="4" t="str">
        <f t="shared" si="1"/>
        <v>sex</v>
      </c>
      <c r="X5" s="4" t="str">
        <f t="shared" si="1"/>
        <v>sáb</v>
      </c>
      <c r="Y5" s="4" t="str">
        <f t="shared" si="1"/>
        <v>dom</v>
      </c>
      <c r="Z5" s="4" t="str">
        <f t="shared" si="1"/>
        <v>seg</v>
      </c>
      <c r="AA5" s="4" t="str">
        <f t="shared" si="1"/>
        <v>ter</v>
      </c>
      <c r="AB5" s="4" t="str">
        <f t="shared" si="1"/>
        <v>qua</v>
      </c>
      <c r="AC5" s="4" t="str">
        <f t="shared" si="1"/>
        <v>qui</v>
      </c>
      <c r="AD5" s="4" t="str">
        <f t="shared" si="1"/>
        <v>sex</v>
      </c>
      <c r="AE5" s="4" t="str">
        <f t="shared" si="1"/>
        <v>sáb</v>
      </c>
      <c r="AF5" s="4" t="str">
        <f t="shared" si="1"/>
        <v>dom</v>
      </c>
      <c r="AG5" s="4" t="str">
        <f t="shared" si="1"/>
        <v>seg</v>
      </c>
      <c r="AH5" s="4" t="str">
        <f t="shared" si="1"/>
        <v>ter</v>
      </c>
      <c r="AI5" s="4" t="str">
        <f t="shared" si="1"/>
        <v>qua</v>
      </c>
      <c r="AJ5" s="4" t="str">
        <f t="shared" si="1"/>
        <v>qui</v>
      </c>
      <c r="AK5" s="4" t="str">
        <f t="shared" si="1"/>
        <v/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hidden="1" customHeight="1" outlineLevel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0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0</v>
      </c>
      <c r="AK157" s="9" t="str">
        <f t="shared" si="27"/>
        <v/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125" priority="9" operator="lessThan">
      <formula>0</formula>
    </cfRule>
    <cfRule type="cellIs" dxfId="124" priority="10" operator="equal">
      <formula>0</formula>
    </cfRule>
  </conditionalFormatting>
  <conditionalFormatting sqref="G4:AK5">
    <cfRule type="expression" dxfId="123" priority="11">
      <formula>OR(G$5="sáb",G$5="dom")</formula>
    </cfRule>
  </conditionalFormatting>
  <conditionalFormatting sqref="G6:AK155">
    <cfRule type="cellIs" dxfId="122" priority="2" operator="equal">
      <formula>"F"</formula>
    </cfRule>
    <cfRule type="cellIs" dxfId="121" priority="3" operator="equal">
      <formula>"A"</formula>
    </cfRule>
    <cfRule type="expression" dxfId="120" priority="4">
      <formula>G$4=""</formula>
    </cfRule>
    <cfRule type="cellIs" dxfId="119" priority="24" operator="equal">
      <formula>"HE"</formula>
    </cfRule>
    <cfRule type="cellIs" dxfId="118" priority="25" operator="equal">
      <formula>"FL"</formula>
    </cfRule>
    <cfRule type="cellIs" dxfId="117" priority="26" operator="equal">
      <formula>"AT"</formula>
    </cfRule>
    <cfRule type="cellIs" dxfId="116" priority="14" operator="equal">
      <formula>"FE"</formula>
    </cfRule>
  </conditionalFormatting>
  <conditionalFormatting sqref="G157:AK157">
    <cfRule type="cellIs" dxfId="115" priority="5" operator="greaterThan">
      <formula>2</formula>
    </cfRule>
    <cfRule type="cellIs" dxfId="114" priority="6" operator="equal">
      <formula>2</formula>
    </cfRule>
    <cfRule type="cellIs" dxfId="113" priority="7" operator="equal">
      <formula>1</formula>
    </cfRule>
    <cfRule type="cellIs" dxfId="112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4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AK173"/>
  <sheetViews>
    <sheetView zoomScaleNormal="100" workbookViewId="0">
      <pane xSplit="6" ySplit="5" topLeftCell="G39" activePane="bottomRight" state="frozen"/>
      <selection pane="topRight" activeCell="G1" sqref="G1"/>
      <selection pane="bottomLeft" activeCell="A6" sqref="A6"/>
      <selection pane="bottomRight" activeCell="B50" sqref="B50"/>
    </sheetView>
  </sheetViews>
  <sheetFormatPr defaultColWidth="8.7109375" defaultRowHeight="15" outlineLevelRow="1" x14ac:dyDescent="0.25"/>
  <cols>
    <col min="1" max="1" width="21.42578125" customWidth="1"/>
    <col min="2" max="2" width="33.425781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Maio/2026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5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sex</v>
      </c>
      <c r="H5" s="4" t="str">
        <f t="shared" si="1"/>
        <v>sáb</v>
      </c>
      <c r="I5" s="4" t="str">
        <f t="shared" si="1"/>
        <v>dom</v>
      </c>
      <c r="J5" s="4" t="str">
        <f t="shared" si="1"/>
        <v>seg</v>
      </c>
      <c r="K5" s="4" t="str">
        <f t="shared" si="1"/>
        <v>ter</v>
      </c>
      <c r="L5" s="4" t="str">
        <f t="shared" si="1"/>
        <v>qua</v>
      </c>
      <c r="M5" s="4" t="str">
        <f t="shared" si="1"/>
        <v>qui</v>
      </c>
      <c r="N5" s="4" t="str">
        <f t="shared" si="1"/>
        <v>sex</v>
      </c>
      <c r="O5" s="4" t="str">
        <f t="shared" si="1"/>
        <v>sáb</v>
      </c>
      <c r="P5" s="4" t="str">
        <f t="shared" si="1"/>
        <v>dom</v>
      </c>
      <c r="Q5" s="4" t="str">
        <f t="shared" si="1"/>
        <v>seg</v>
      </c>
      <c r="R5" s="4" t="str">
        <f t="shared" si="1"/>
        <v>ter</v>
      </c>
      <c r="S5" s="4" t="str">
        <f t="shared" si="1"/>
        <v>qua</v>
      </c>
      <c r="T5" s="4" t="str">
        <f t="shared" si="1"/>
        <v>qui</v>
      </c>
      <c r="U5" s="4" t="str">
        <f t="shared" si="1"/>
        <v>sex</v>
      </c>
      <c r="V5" s="4" t="str">
        <f t="shared" si="1"/>
        <v>sáb</v>
      </c>
      <c r="W5" s="4" t="str">
        <f t="shared" si="1"/>
        <v>dom</v>
      </c>
      <c r="X5" s="4" t="str">
        <f t="shared" si="1"/>
        <v>seg</v>
      </c>
      <c r="Y5" s="4" t="str">
        <f t="shared" si="1"/>
        <v>ter</v>
      </c>
      <c r="Z5" s="4" t="str">
        <f t="shared" si="1"/>
        <v>qua</v>
      </c>
      <c r="AA5" s="4" t="str">
        <f t="shared" si="1"/>
        <v>qui</v>
      </c>
      <c r="AB5" s="4" t="str">
        <f t="shared" si="1"/>
        <v>sex</v>
      </c>
      <c r="AC5" s="4" t="str">
        <f t="shared" si="1"/>
        <v>sáb</v>
      </c>
      <c r="AD5" s="4" t="str">
        <f t="shared" si="1"/>
        <v>dom</v>
      </c>
      <c r="AE5" s="4" t="str">
        <f t="shared" si="1"/>
        <v>seg</v>
      </c>
      <c r="AF5" s="4" t="str">
        <f t="shared" si="1"/>
        <v>ter</v>
      </c>
      <c r="AG5" s="4" t="str">
        <f t="shared" si="1"/>
        <v>qua</v>
      </c>
      <c r="AH5" s="4" t="str">
        <f t="shared" si="1"/>
        <v>qui</v>
      </c>
      <c r="AI5" s="4" t="str">
        <f t="shared" si="1"/>
        <v>sex</v>
      </c>
      <c r="AJ5" s="4" t="str">
        <f t="shared" si="1"/>
        <v>sáb</v>
      </c>
      <c r="AK5" s="4" t="str">
        <f t="shared" si="1"/>
        <v>dom</v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0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0</v>
      </c>
      <c r="AK157" s="9">
        <f t="shared" si="27"/>
        <v>0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111" priority="9" operator="lessThan">
      <formula>0</formula>
    </cfRule>
    <cfRule type="cellIs" dxfId="110" priority="10" operator="equal">
      <formula>0</formula>
    </cfRule>
  </conditionalFormatting>
  <conditionalFormatting sqref="G4:AK5">
    <cfRule type="expression" dxfId="109" priority="11">
      <formula>OR(G$5="sáb",G$5="dom")</formula>
    </cfRule>
  </conditionalFormatting>
  <conditionalFormatting sqref="G6:AK155">
    <cfRule type="cellIs" dxfId="108" priority="2" operator="equal">
      <formula>"F"</formula>
    </cfRule>
    <cfRule type="cellIs" dxfId="107" priority="3" operator="equal">
      <formula>"A"</formula>
    </cfRule>
    <cfRule type="expression" dxfId="106" priority="4">
      <formula>G$4=""</formula>
    </cfRule>
    <cfRule type="cellIs" dxfId="105" priority="24" operator="equal">
      <formula>"HE"</formula>
    </cfRule>
    <cfRule type="cellIs" dxfId="104" priority="25" operator="equal">
      <formula>"FL"</formula>
    </cfRule>
    <cfRule type="cellIs" dxfId="103" priority="26" operator="equal">
      <formula>"AT"</formula>
    </cfRule>
    <cfRule type="cellIs" dxfId="102" priority="14" operator="equal">
      <formula>"FE"</formula>
    </cfRule>
  </conditionalFormatting>
  <conditionalFormatting sqref="G157:AK157">
    <cfRule type="cellIs" dxfId="101" priority="5" operator="greaterThan">
      <formula>2</formula>
    </cfRule>
    <cfRule type="cellIs" dxfId="100" priority="6" operator="equal">
      <formula>2</formula>
    </cfRule>
    <cfRule type="cellIs" dxfId="99" priority="7" operator="equal">
      <formula>1</formula>
    </cfRule>
    <cfRule type="cellIs" dxfId="98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5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K173"/>
  <sheetViews>
    <sheetView zoomScaleNormal="100" workbookViewId="0">
      <pane xSplit="6" ySplit="5" topLeftCell="G33" activePane="bottomRight" state="frozen"/>
      <selection pane="topRight" activeCell="G1" sqref="G1"/>
      <selection pane="bottomLeft" activeCell="A6" sqref="A6"/>
      <selection pane="bottomRight" activeCell="B51" sqref="B51"/>
    </sheetView>
  </sheetViews>
  <sheetFormatPr defaultColWidth="8.7109375" defaultRowHeight="15" outlineLevelRow="1" x14ac:dyDescent="0.25"/>
  <cols>
    <col min="1" max="1" width="21.42578125" customWidth="1"/>
    <col min="2" max="2" width="32.285156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Junho/2026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6</v>
      </c>
      <c r="C2" s="1" t="s">
        <v>7</v>
      </c>
      <c r="D2" s="2">
        <v>2026</v>
      </c>
      <c r="E2" s="1" t="s">
        <v>38</v>
      </c>
      <c r="F2" s="3">
        <f>DAY(EOMONTH(DATE(D2,B2,1),0))</f>
        <v>30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 t="str">
        <f t="shared" si="0"/>
        <v/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seg</v>
      </c>
      <c r="H5" s="4" t="str">
        <f t="shared" si="1"/>
        <v>ter</v>
      </c>
      <c r="I5" s="4" t="str">
        <f t="shared" si="1"/>
        <v>qua</v>
      </c>
      <c r="J5" s="4" t="str">
        <f t="shared" si="1"/>
        <v>qui</v>
      </c>
      <c r="K5" s="4" t="str">
        <f t="shared" si="1"/>
        <v>sex</v>
      </c>
      <c r="L5" s="4" t="str">
        <f t="shared" si="1"/>
        <v>sáb</v>
      </c>
      <c r="M5" s="4" t="str">
        <f t="shared" si="1"/>
        <v>dom</v>
      </c>
      <c r="N5" s="4" t="str">
        <f t="shared" si="1"/>
        <v>seg</v>
      </c>
      <c r="O5" s="4" t="str">
        <f t="shared" si="1"/>
        <v>ter</v>
      </c>
      <c r="P5" s="4" t="str">
        <f t="shared" si="1"/>
        <v>qua</v>
      </c>
      <c r="Q5" s="4" t="str">
        <f t="shared" si="1"/>
        <v>qui</v>
      </c>
      <c r="R5" s="4" t="str">
        <f t="shared" si="1"/>
        <v>sex</v>
      </c>
      <c r="S5" s="4" t="str">
        <f t="shared" si="1"/>
        <v>sáb</v>
      </c>
      <c r="T5" s="4" t="str">
        <f t="shared" si="1"/>
        <v>dom</v>
      </c>
      <c r="U5" s="4" t="str">
        <f t="shared" si="1"/>
        <v>seg</v>
      </c>
      <c r="V5" s="4" t="str">
        <f t="shared" si="1"/>
        <v>ter</v>
      </c>
      <c r="W5" s="4" t="str">
        <f t="shared" si="1"/>
        <v>qua</v>
      </c>
      <c r="X5" s="4" t="str">
        <f t="shared" si="1"/>
        <v>qui</v>
      </c>
      <c r="Y5" s="4" t="str">
        <f t="shared" si="1"/>
        <v>sex</v>
      </c>
      <c r="Z5" s="4" t="str">
        <f t="shared" si="1"/>
        <v>sáb</v>
      </c>
      <c r="AA5" s="4" t="str">
        <f t="shared" si="1"/>
        <v>dom</v>
      </c>
      <c r="AB5" s="4" t="str">
        <f t="shared" si="1"/>
        <v>seg</v>
      </c>
      <c r="AC5" s="4" t="str">
        <f t="shared" si="1"/>
        <v>ter</v>
      </c>
      <c r="AD5" s="4" t="str">
        <f t="shared" si="1"/>
        <v>qua</v>
      </c>
      <c r="AE5" s="4" t="str">
        <f t="shared" si="1"/>
        <v>qui</v>
      </c>
      <c r="AF5" s="4" t="str">
        <f t="shared" si="1"/>
        <v>sex</v>
      </c>
      <c r="AG5" s="4" t="str">
        <f t="shared" si="1"/>
        <v>sáb</v>
      </c>
      <c r="AH5" s="4" t="str">
        <f t="shared" si="1"/>
        <v>dom</v>
      </c>
      <c r="AI5" s="4" t="str">
        <f t="shared" si="1"/>
        <v>seg</v>
      </c>
      <c r="AJ5" s="4" t="str">
        <f t="shared" si="1"/>
        <v>ter</v>
      </c>
      <c r="AK5" s="4" t="str">
        <f t="shared" si="1"/>
        <v/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 t="s">
        <v>20</v>
      </c>
      <c r="AG41" s="9" t="s">
        <v>20</v>
      </c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0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0</v>
      </c>
      <c r="AK157" s="9" t="str">
        <f t="shared" si="27"/>
        <v/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97" priority="9" operator="lessThan">
      <formula>0</formula>
    </cfRule>
    <cfRule type="cellIs" dxfId="96" priority="10" operator="equal">
      <formula>0</formula>
    </cfRule>
  </conditionalFormatting>
  <conditionalFormatting sqref="G4:AK5">
    <cfRule type="expression" dxfId="95" priority="11">
      <formula>OR(G$5="sáb",G$5="dom")</formula>
    </cfRule>
  </conditionalFormatting>
  <conditionalFormatting sqref="G6:AK155">
    <cfRule type="cellIs" dxfId="94" priority="2" operator="equal">
      <formula>"F"</formula>
    </cfRule>
    <cfRule type="cellIs" dxfId="93" priority="3" operator="equal">
      <formula>"A"</formula>
    </cfRule>
    <cfRule type="expression" dxfId="92" priority="4">
      <formula>G$4=""</formula>
    </cfRule>
    <cfRule type="cellIs" dxfId="91" priority="24" operator="equal">
      <formula>"HE"</formula>
    </cfRule>
    <cfRule type="cellIs" dxfId="90" priority="25" operator="equal">
      <formula>"FL"</formula>
    </cfRule>
    <cfRule type="cellIs" dxfId="89" priority="26" operator="equal">
      <formula>"AT"</formula>
    </cfRule>
    <cfRule type="cellIs" dxfId="88" priority="14" operator="equal">
      <formula>"FE"</formula>
    </cfRule>
  </conditionalFormatting>
  <conditionalFormatting sqref="G157:AK157">
    <cfRule type="cellIs" dxfId="87" priority="5" operator="greaterThan">
      <formula>2</formula>
    </cfRule>
    <cfRule type="cellIs" dxfId="86" priority="6" operator="equal">
      <formula>2</formula>
    </cfRule>
    <cfRule type="cellIs" dxfId="85" priority="7" operator="equal">
      <formula>1</formula>
    </cfRule>
    <cfRule type="cellIs" dxfId="84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6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AK173"/>
  <sheetViews>
    <sheetView zoomScaleNormal="100" workbookViewId="0">
      <pane xSplit="6" ySplit="5" topLeftCell="G54" activePane="bottomRight" state="frozen"/>
      <selection pane="topRight" activeCell="G1" sqref="G1"/>
      <selection pane="bottomLeft" activeCell="A6" sqref="A6"/>
      <selection pane="bottomRight" activeCell="AJ69" sqref="AJ69"/>
    </sheetView>
  </sheetViews>
  <sheetFormatPr defaultColWidth="8.7109375" defaultRowHeight="15" outlineLevelRow="1" x14ac:dyDescent="0.25"/>
  <cols>
    <col min="1" max="1" width="21.42578125" customWidth="1"/>
    <col min="2" max="2" width="32.57031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Julho/2026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7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qua</v>
      </c>
      <c r="H5" s="4" t="str">
        <f t="shared" si="1"/>
        <v>qui</v>
      </c>
      <c r="I5" s="4" t="str">
        <f t="shared" si="1"/>
        <v>sex</v>
      </c>
      <c r="J5" s="4" t="str">
        <f t="shared" si="1"/>
        <v>sáb</v>
      </c>
      <c r="K5" s="4" t="str">
        <f t="shared" si="1"/>
        <v>dom</v>
      </c>
      <c r="L5" s="4" t="str">
        <f t="shared" si="1"/>
        <v>seg</v>
      </c>
      <c r="M5" s="4" t="str">
        <f t="shared" si="1"/>
        <v>ter</v>
      </c>
      <c r="N5" s="4" t="str">
        <f t="shared" si="1"/>
        <v>qua</v>
      </c>
      <c r="O5" s="4" t="str">
        <f t="shared" si="1"/>
        <v>qui</v>
      </c>
      <c r="P5" s="4" t="str">
        <f t="shared" si="1"/>
        <v>sex</v>
      </c>
      <c r="Q5" s="4" t="str">
        <f t="shared" si="1"/>
        <v>sáb</v>
      </c>
      <c r="R5" s="4" t="str">
        <f t="shared" si="1"/>
        <v>dom</v>
      </c>
      <c r="S5" s="4" t="str">
        <f t="shared" si="1"/>
        <v>seg</v>
      </c>
      <c r="T5" s="4" t="str">
        <f t="shared" si="1"/>
        <v>ter</v>
      </c>
      <c r="U5" s="4" t="str">
        <f t="shared" si="1"/>
        <v>qua</v>
      </c>
      <c r="V5" s="4" t="str">
        <f t="shared" si="1"/>
        <v>qui</v>
      </c>
      <c r="W5" s="4" t="str">
        <f t="shared" si="1"/>
        <v>sex</v>
      </c>
      <c r="X5" s="4" t="str">
        <f t="shared" si="1"/>
        <v>sáb</v>
      </c>
      <c r="Y5" s="4" t="str">
        <f t="shared" si="1"/>
        <v>dom</v>
      </c>
      <c r="Z5" s="4" t="str">
        <f t="shared" si="1"/>
        <v>seg</v>
      </c>
      <c r="AA5" s="4" t="str">
        <f t="shared" si="1"/>
        <v>ter</v>
      </c>
      <c r="AB5" s="4" t="str">
        <f t="shared" si="1"/>
        <v>qua</v>
      </c>
      <c r="AC5" s="4" t="str">
        <f t="shared" si="1"/>
        <v>qui</v>
      </c>
      <c r="AD5" s="4" t="str">
        <f t="shared" si="1"/>
        <v>sex</v>
      </c>
      <c r="AE5" s="4" t="str">
        <f t="shared" si="1"/>
        <v>sáb</v>
      </c>
      <c r="AF5" s="4" t="str">
        <f t="shared" si="1"/>
        <v>dom</v>
      </c>
      <c r="AG5" s="4" t="str">
        <f t="shared" si="1"/>
        <v>seg</v>
      </c>
      <c r="AH5" s="4" t="str">
        <f t="shared" si="1"/>
        <v>ter</v>
      </c>
      <c r="AI5" s="4" t="str">
        <f t="shared" si="1"/>
        <v>qua</v>
      </c>
      <c r="AJ5" s="4" t="str">
        <f t="shared" si="1"/>
        <v>qui</v>
      </c>
      <c r="AK5" s="4" t="str">
        <f t="shared" si="1"/>
        <v>sex</v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 t="s">
        <v>20</v>
      </c>
      <c r="AB6" s="9" t="s">
        <v>20</v>
      </c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 t="s">
        <v>18</v>
      </c>
      <c r="AH8" s="9" t="s">
        <v>18</v>
      </c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 t="s">
        <v>20</v>
      </c>
      <c r="Q15" s="9" t="s">
        <v>20</v>
      </c>
      <c r="R15" s="9"/>
      <c r="S15" s="9" t="s">
        <v>20</v>
      </c>
      <c r="T15" s="9" t="s">
        <v>20</v>
      </c>
      <c r="U15" s="9" t="s">
        <v>20</v>
      </c>
      <c r="V15" s="9" t="s">
        <v>20</v>
      </c>
      <c r="W15" s="9" t="s">
        <v>20</v>
      </c>
      <c r="X15" s="9" t="s">
        <v>20</v>
      </c>
      <c r="Y15" s="9"/>
      <c r="Z15" s="9"/>
      <c r="AA15" s="9" t="s">
        <v>20</v>
      </c>
      <c r="AB15" s="9" t="s">
        <v>20</v>
      </c>
      <c r="AC15" s="9" t="s">
        <v>20</v>
      </c>
      <c r="AD15" s="9" t="s">
        <v>20</v>
      </c>
      <c r="AE15" s="9"/>
      <c r="AF15" s="9"/>
      <c r="AG15" s="9"/>
      <c r="AH15" s="9" t="s">
        <v>18</v>
      </c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 t="s">
        <v>18</v>
      </c>
      <c r="AE16" s="9" t="s">
        <v>18</v>
      </c>
      <c r="AF16" s="9"/>
      <c r="AG16" s="9" t="s">
        <v>18</v>
      </c>
      <c r="AH16" s="9" t="s">
        <v>18</v>
      </c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 t="s">
        <v>20</v>
      </c>
      <c r="AD17" s="9" t="s">
        <v>20</v>
      </c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1</v>
      </c>
      <c r="D18" s="8">
        <f t="shared" si="4"/>
        <v>0</v>
      </c>
      <c r="E18" s="8">
        <f t="shared" si="5"/>
        <v>1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 t="s">
        <v>3</v>
      </c>
      <c r="Z18" s="9"/>
      <c r="AA18" s="9"/>
      <c r="AB18" s="9"/>
      <c r="AC18" s="9"/>
      <c r="AD18" s="9"/>
      <c r="AE18" s="9"/>
      <c r="AF18" s="9"/>
      <c r="AG18" s="9" t="s">
        <v>11</v>
      </c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 t="s">
        <v>20</v>
      </c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 t="s">
        <v>18</v>
      </c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1</v>
      </c>
      <c r="D25" s="8">
        <f t="shared" si="4"/>
        <v>0</v>
      </c>
      <c r="E25" s="8">
        <f t="shared" si="5"/>
        <v>0</v>
      </c>
      <c r="F25" s="9">
        <f t="shared" si="6"/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 t="s">
        <v>3</v>
      </c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1</v>
      </c>
      <c r="D28" s="8">
        <f t="shared" si="4"/>
        <v>0</v>
      </c>
      <c r="E28" s="8">
        <f t="shared" si="5"/>
        <v>1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 t="s">
        <v>3</v>
      </c>
      <c r="AG28" s="9"/>
      <c r="AH28" s="9" t="s">
        <v>11</v>
      </c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1</v>
      </c>
      <c r="D29" s="8">
        <f t="shared" si="4"/>
        <v>0</v>
      </c>
      <c r="E29" s="8">
        <f t="shared" si="5"/>
        <v>0</v>
      </c>
      <c r="F29" s="9">
        <f t="shared" si="6"/>
        <v>1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 t="s">
        <v>3</v>
      </c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 t="s">
        <v>18</v>
      </c>
      <c r="AJ31" s="9" t="s">
        <v>20</v>
      </c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 t="s">
        <v>18</v>
      </c>
      <c r="AJ32" s="9" t="s">
        <v>18</v>
      </c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63" t="s">
        <v>18</v>
      </c>
      <c r="AB36" s="63" t="s">
        <v>18</v>
      </c>
      <c r="AC36" s="9" t="s">
        <v>18</v>
      </c>
      <c r="AD36" s="9" t="s">
        <v>18</v>
      </c>
      <c r="AE36" s="9" t="s">
        <v>18</v>
      </c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 t="s">
        <v>20</v>
      </c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 t="s">
        <v>20</v>
      </c>
      <c r="N41" s="9"/>
      <c r="O41" s="9"/>
      <c r="P41" s="9"/>
      <c r="Q41" s="9"/>
      <c r="R41" s="9"/>
      <c r="S41" s="9"/>
      <c r="T41" s="9"/>
      <c r="U41" s="9"/>
      <c r="V41" s="9"/>
      <c r="W41" s="9"/>
      <c r="X41" s="9" t="s">
        <v>18</v>
      </c>
      <c r="Y41" s="9"/>
      <c r="Z41" s="9"/>
      <c r="AA41" s="9" t="s">
        <v>18</v>
      </c>
      <c r="AB41" s="9"/>
      <c r="AC41" s="9"/>
      <c r="AD41" s="9"/>
      <c r="AE41" s="9"/>
      <c r="AF41" s="9"/>
      <c r="AG41" s="9" t="s">
        <v>18</v>
      </c>
      <c r="AH41" s="9" t="s">
        <v>18</v>
      </c>
      <c r="AI41" s="9" t="s">
        <v>18</v>
      </c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1</v>
      </c>
      <c r="D50" s="8">
        <f t="shared" si="9"/>
        <v>0</v>
      </c>
      <c r="E50" s="8">
        <f t="shared" si="10"/>
        <v>1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 t="s">
        <v>11</v>
      </c>
      <c r="W50" s="9"/>
      <c r="X50" s="9"/>
      <c r="Y50" s="9" t="s">
        <v>3</v>
      </c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1</v>
      </c>
      <c r="D51" s="8">
        <f t="shared" si="9"/>
        <v>0</v>
      </c>
      <c r="E51" s="8">
        <f t="shared" si="10"/>
        <v>1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 t="s">
        <v>3</v>
      </c>
      <c r="Z51" s="9"/>
      <c r="AA51" s="9"/>
      <c r="AB51" s="9"/>
      <c r="AC51" s="9"/>
      <c r="AD51" s="9"/>
      <c r="AE51" s="9"/>
      <c r="AF51" s="9"/>
      <c r="AG51" s="9" t="s">
        <v>11</v>
      </c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 t="s">
        <v>20</v>
      </c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 t="s">
        <v>20</v>
      </c>
      <c r="S59" s="9" t="s">
        <v>20</v>
      </c>
      <c r="T59" s="9" t="s">
        <v>20</v>
      </c>
      <c r="U59" s="9"/>
      <c r="V59" s="9"/>
      <c r="W59" s="9" t="s">
        <v>20</v>
      </c>
      <c r="X59" s="9" t="s">
        <v>20</v>
      </c>
      <c r="Y59" s="9" t="s">
        <v>20</v>
      </c>
      <c r="Z59" s="9" t="s">
        <v>20</v>
      </c>
      <c r="AA59" s="9" t="s">
        <v>20</v>
      </c>
      <c r="AB59" s="9" t="s">
        <v>20</v>
      </c>
      <c r="AC59" s="9" t="s">
        <v>20</v>
      </c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 t="s">
        <v>18</v>
      </c>
      <c r="X60" s="9"/>
      <c r="Y60" s="9"/>
      <c r="Z60" s="9" t="s">
        <v>18</v>
      </c>
      <c r="AA60" s="9" t="s">
        <v>18</v>
      </c>
      <c r="AB60" s="9" t="s">
        <v>18</v>
      </c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 t="s">
        <v>18</v>
      </c>
      <c r="AF62" s="9"/>
      <c r="AG62" s="9" t="s">
        <v>18</v>
      </c>
      <c r="AH62" s="9" t="s">
        <v>18</v>
      </c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1</v>
      </c>
      <c r="F64" s="9">
        <f t="shared" si="11"/>
        <v>-1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 t="s">
        <v>11</v>
      </c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 t="s">
        <v>20</v>
      </c>
      <c r="AK65" s="9" t="s">
        <v>20</v>
      </c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63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6</v>
      </c>
      <c r="D156">
        <f>SUM(D6:D155)</f>
        <v>0</v>
      </c>
      <c r="E156">
        <f>SUM(E6:E155)</f>
        <v>5</v>
      </c>
      <c r="F156">
        <f>SUM(F6:F155)</f>
        <v>1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1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1</v>
      </c>
      <c r="AF157" s="9">
        <f t="shared" si="27"/>
        <v>0</v>
      </c>
      <c r="AG157" s="9">
        <f t="shared" si="27"/>
        <v>2</v>
      </c>
      <c r="AH157" s="9">
        <f t="shared" si="27"/>
        <v>1</v>
      </c>
      <c r="AI157" s="9">
        <f t="shared" si="27"/>
        <v>0</v>
      </c>
      <c r="AJ157" s="9">
        <f t="shared" si="27"/>
        <v>0</v>
      </c>
      <c r="AK157" s="9">
        <f t="shared" si="27"/>
        <v>0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83" priority="9" operator="lessThan">
      <formula>0</formula>
    </cfRule>
    <cfRule type="cellIs" dxfId="82" priority="10" operator="equal">
      <formula>0</formula>
    </cfRule>
  </conditionalFormatting>
  <conditionalFormatting sqref="G4:AK5">
    <cfRule type="expression" dxfId="81" priority="11">
      <formula>OR(G$5="sáb",G$5="dom")</formula>
    </cfRule>
  </conditionalFormatting>
  <conditionalFormatting sqref="G6:AK155">
    <cfRule type="cellIs" dxfId="80" priority="2" operator="equal">
      <formula>"F"</formula>
    </cfRule>
    <cfRule type="cellIs" dxfId="79" priority="3" operator="equal">
      <formula>"A"</formula>
    </cfRule>
    <cfRule type="expression" dxfId="78" priority="4">
      <formula>G$4=""</formula>
    </cfRule>
    <cfRule type="cellIs" dxfId="77" priority="24" operator="equal">
      <formula>"HE"</formula>
    </cfRule>
    <cfRule type="cellIs" dxfId="76" priority="25" operator="equal">
      <formula>"FL"</formula>
    </cfRule>
    <cfRule type="cellIs" dxfId="75" priority="26" operator="equal">
      <formula>"AT"</formula>
    </cfRule>
    <cfRule type="cellIs" dxfId="74" priority="14" operator="equal">
      <formula>"FE"</formula>
    </cfRule>
  </conditionalFormatting>
  <conditionalFormatting sqref="G157:AK157">
    <cfRule type="cellIs" dxfId="73" priority="5" operator="greaterThan">
      <formula>2</formula>
    </cfRule>
    <cfRule type="cellIs" dxfId="72" priority="6" operator="equal">
      <formula>2</formula>
    </cfRule>
    <cfRule type="cellIs" dxfId="71" priority="7" operator="equal">
      <formula>1</formula>
    </cfRule>
    <cfRule type="cellIs" dxfId="70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7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K173"/>
  <sheetViews>
    <sheetView zoomScaleNormal="100" workbookViewId="0">
      <pane xSplit="6" ySplit="5" topLeftCell="O15" activePane="bottomRight" state="frozen"/>
      <selection pane="topRight" activeCell="G1" sqref="G1"/>
      <selection pane="bottomLeft" activeCell="A6" sqref="A6"/>
      <selection pane="bottomRight" activeCell="B31" sqref="B31"/>
    </sheetView>
  </sheetViews>
  <sheetFormatPr defaultColWidth="8.7109375" defaultRowHeight="15" outlineLevelRow="1" x14ac:dyDescent="0.25"/>
  <cols>
    <col min="1" max="1" width="21.42578125" customWidth="1"/>
    <col min="2" max="2" width="36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Agosto/2026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8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sáb</v>
      </c>
      <c r="H5" s="4" t="str">
        <f t="shared" si="1"/>
        <v>dom</v>
      </c>
      <c r="I5" s="4" t="str">
        <f t="shared" si="1"/>
        <v>seg</v>
      </c>
      <c r="J5" s="4" t="str">
        <f t="shared" si="1"/>
        <v>ter</v>
      </c>
      <c r="K5" s="4" t="str">
        <f t="shared" si="1"/>
        <v>qua</v>
      </c>
      <c r="L5" s="4" t="str">
        <f t="shared" si="1"/>
        <v>qui</v>
      </c>
      <c r="M5" s="4" t="str">
        <f t="shared" si="1"/>
        <v>sex</v>
      </c>
      <c r="N5" s="4" t="str">
        <f t="shared" si="1"/>
        <v>sáb</v>
      </c>
      <c r="O5" s="4" t="str">
        <f t="shared" si="1"/>
        <v>dom</v>
      </c>
      <c r="P5" s="4" t="str">
        <f t="shared" si="1"/>
        <v>seg</v>
      </c>
      <c r="Q5" s="4" t="str">
        <f t="shared" si="1"/>
        <v>ter</v>
      </c>
      <c r="R5" s="4" t="str">
        <f t="shared" si="1"/>
        <v>qua</v>
      </c>
      <c r="S5" s="4" t="str">
        <f t="shared" si="1"/>
        <v>qui</v>
      </c>
      <c r="T5" s="4" t="str">
        <f t="shared" si="1"/>
        <v>sex</v>
      </c>
      <c r="U5" s="4" t="str">
        <f t="shared" si="1"/>
        <v>sáb</v>
      </c>
      <c r="V5" s="4" t="str">
        <f t="shared" si="1"/>
        <v>dom</v>
      </c>
      <c r="W5" s="4" t="str">
        <f t="shared" si="1"/>
        <v>seg</v>
      </c>
      <c r="X5" s="4" t="str">
        <f t="shared" si="1"/>
        <v>ter</v>
      </c>
      <c r="Y5" s="4" t="str">
        <f t="shared" si="1"/>
        <v>qua</v>
      </c>
      <c r="Z5" s="4" t="str">
        <f t="shared" si="1"/>
        <v>qui</v>
      </c>
      <c r="AA5" s="4" t="str">
        <f t="shared" si="1"/>
        <v>sex</v>
      </c>
      <c r="AB5" s="4" t="str">
        <f t="shared" si="1"/>
        <v>sáb</v>
      </c>
      <c r="AC5" s="4" t="str">
        <f t="shared" si="1"/>
        <v>dom</v>
      </c>
      <c r="AD5" s="4" t="str">
        <f t="shared" si="1"/>
        <v>seg</v>
      </c>
      <c r="AE5" s="4" t="str">
        <f t="shared" si="1"/>
        <v>ter</v>
      </c>
      <c r="AF5" s="4" t="str">
        <f t="shared" si="1"/>
        <v>qua</v>
      </c>
      <c r="AG5" s="4" t="str">
        <f t="shared" si="1"/>
        <v>qui</v>
      </c>
      <c r="AH5" s="4" t="str">
        <f t="shared" si="1"/>
        <v>sex</v>
      </c>
      <c r="AI5" s="4" t="str">
        <f t="shared" si="1"/>
        <v>sáb</v>
      </c>
      <c r="AJ5" s="4" t="str">
        <f t="shared" si="1"/>
        <v>dom</v>
      </c>
      <c r="AK5" s="4" t="str">
        <f t="shared" si="1"/>
        <v>seg</v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1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1</v>
      </c>
      <c r="G6" s="9"/>
      <c r="H6" s="9"/>
      <c r="I6" s="9"/>
      <c r="J6" s="9"/>
      <c r="K6" s="9"/>
      <c r="L6" s="9"/>
      <c r="M6" s="9" t="s">
        <v>20</v>
      </c>
      <c r="N6" s="9" t="s">
        <v>20</v>
      </c>
      <c r="O6" s="9"/>
      <c r="P6" s="9" t="s">
        <v>20</v>
      </c>
      <c r="Q6" s="9" t="s">
        <v>20</v>
      </c>
      <c r="R6" s="9"/>
      <c r="S6" s="9"/>
      <c r="T6" s="9"/>
      <c r="U6" s="9"/>
      <c r="V6" s="9" t="s">
        <v>3</v>
      </c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1</v>
      </c>
      <c r="D7" s="8">
        <f t="shared" si="4"/>
        <v>0</v>
      </c>
      <c r="E7" s="8">
        <f t="shared" si="5"/>
        <v>1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 t="s">
        <v>11</v>
      </c>
      <c r="O7" s="9"/>
      <c r="P7" s="9"/>
      <c r="Q7" s="9"/>
      <c r="R7" s="9"/>
      <c r="S7" s="9"/>
      <c r="T7" s="9"/>
      <c r="U7" s="9"/>
      <c r="V7" s="9" t="s">
        <v>3</v>
      </c>
      <c r="W7" s="9"/>
      <c r="X7" s="9" t="s">
        <v>20</v>
      </c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1</v>
      </c>
      <c r="D9" s="8">
        <f t="shared" si="4"/>
        <v>0</v>
      </c>
      <c r="E9" s="8">
        <f t="shared" si="5"/>
        <v>0</v>
      </c>
      <c r="F9" s="9">
        <f t="shared" si="6"/>
        <v>1</v>
      </c>
      <c r="G9" s="9"/>
      <c r="H9" s="9"/>
      <c r="I9" s="9"/>
      <c r="J9" s="9"/>
      <c r="K9" s="9"/>
      <c r="L9" s="9"/>
      <c r="M9" s="9"/>
      <c r="N9" s="9"/>
      <c r="O9" s="9"/>
      <c r="P9" s="9" t="s">
        <v>20</v>
      </c>
      <c r="Q9" s="9"/>
      <c r="R9" s="9"/>
      <c r="S9" s="9"/>
      <c r="T9" s="9"/>
      <c r="U9" s="9"/>
      <c r="V9" s="9" t="s">
        <v>3</v>
      </c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 t="s">
        <v>18</v>
      </c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1</v>
      </c>
      <c r="F11" s="9">
        <f t="shared" si="6"/>
        <v>-1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 t="s">
        <v>11</v>
      </c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1</v>
      </c>
      <c r="D13" s="8">
        <f t="shared" si="4"/>
        <v>0</v>
      </c>
      <c r="E13" s="8">
        <f t="shared" si="5"/>
        <v>1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 t="s">
        <v>3</v>
      </c>
      <c r="W13" s="9"/>
      <c r="X13" s="9"/>
      <c r="Y13" s="9"/>
      <c r="Z13" s="9"/>
      <c r="AA13" s="9"/>
      <c r="AB13" s="9"/>
      <c r="AC13" s="9"/>
      <c r="AD13" s="9" t="s">
        <v>11</v>
      </c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1</v>
      </c>
      <c r="D14" s="8">
        <f t="shared" si="4"/>
        <v>0</v>
      </c>
      <c r="E14" s="8">
        <f t="shared" si="5"/>
        <v>0</v>
      </c>
      <c r="F14" s="9">
        <f t="shared" si="6"/>
        <v>1</v>
      </c>
      <c r="G14" s="9"/>
      <c r="H14" s="9"/>
      <c r="I14" s="9"/>
      <c r="J14" s="9"/>
      <c r="K14" s="9"/>
      <c r="L14" s="9"/>
      <c r="M14" s="9"/>
      <c r="N14" s="9" t="s">
        <v>20</v>
      </c>
      <c r="O14" s="9"/>
      <c r="P14" s="9" t="s">
        <v>20</v>
      </c>
      <c r="Q14" s="9"/>
      <c r="R14" s="9"/>
      <c r="S14" s="9"/>
      <c r="T14" s="9"/>
      <c r="U14" s="9"/>
      <c r="V14" s="9" t="s">
        <v>3</v>
      </c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1</v>
      </c>
      <c r="D16" s="8">
        <f t="shared" si="4"/>
        <v>0</v>
      </c>
      <c r="E16" s="8">
        <f t="shared" si="5"/>
        <v>0</v>
      </c>
      <c r="F16" s="9">
        <f t="shared" si="6"/>
        <v>1</v>
      </c>
      <c r="G16" s="9"/>
      <c r="H16" s="9"/>
      <c r="I16" s="9"/>
      <c r="J16" s="9"/>
      <c r="K16" s="9"/>
      <c r="L16" s="9"/>
      <c r="M16" s="9" t="s">
        <v>18</v>
      </c>
      <c r="N16" s="9"/>
      <c r="O16" s="9"/>
      <c r="P16" s="9"/>
      <c r="Q16" s="9"/>
      <c r="R16" s="9"/>
      <c r="S16" s="9"/>
      <c r="T16" s="9"/>
      <c r="U16" s="9"/>
      <c r="V16" s="9" t="s">
        <v>3</v>
      </c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1</v>
      </c>
      <c r="D17" s="8">
        <f t="shared" si="4"/>
        <v>0</v>
      </c>
      <c r="E17" s="8">
        <f t="shared" si="5"/>
        <v>1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 t="s">
        <v>3</v>
      </c>
      <c r="W17" s="9"/>
      <c r="X17" s="9" t="s">
        <v>11</v>
      </c>
      <c r="Y17" s="9"/>
      <c r="Z17" s="9"/>
      <c r="AA17" s="9" t="s">
        <v>18</v>
      </c>
      <c r="AB17" s="9" t="s">
        <v>18</v>
      </c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1</v>
      </c>
      <c r="D18" s="8">
        <f t="shared" si="4"/>
        <v>0</v>
      </c>
      <c r="E18" s="8">
        <f t="shared" si="5"/>
        <v>0</v>
      </c>
      <c r="F18" s="9">
        <f t="shared" si="6"/>
        <v>1</v>
      </c>
      <c r="G18" s="9"/>
      <c r="H18" s="9"/>
      <c r="I18" s="9" t="s">
        <v>18</v>
      </c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 t="s">
        <v>3</v>
      </c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 t="s">
        <v>18</v>
      </c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 t="s">
        <v>20</v>
      </c>
      <c r="H22" s="9"/>
      <c r="I22" s="9" t="s">
        <v>20</v>
      </c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 t="s">
        <v>18</v>
      </c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1</v>
      </c>
      <c r="F25" s="9">
        <f t="shared" si="6"/>
        <v>-1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 t="s">
        <v>11</v>
      </c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1</v>
      </c>
      <c r="D26" s="8">
        <f t="shared" si="4"/>
        <v>0</v>
      </c>
      <c r="E26" s="8">
        <f t="shared" si="5"/>
        <v>1</v>
      </c>
      <c r="F26" s="9">
        <f t="shared" si="6"/>
        <v>0</v>
      </c>
      <c r="G26" s="9"/>
      <c r="H26" s="9"/>
      <c r="I26" s="9" t="s">
        <v>18</v>
      </c>
      <c r="J26" s="9" t="s">
        <v>18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 t="s">
        <v>3</v>
      </c>
      <c r="W26" s="9"/>
      <c r="X26" s="9"/>
      <c r="Y26" s="9"/>
      <c r="Z26" s="9" t="s">
        <v>11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1</v>
      </c>
      <c r="D27" s="8">
        <f t="shared" si="4"/>
        <v>0</v>
      </c>
      <c r="E27" s="8">
        <f t="shared" si="5"/>
        <v>1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 t="s">
        <v>3</v>
      </c>
      <c r="W27" s="9"/>
      <c r="X27" s="9"/>
      <c r="Y27" s="9"/>
      <c r="Z27" s="9"/>
      <c r="AA27" s="9" t="s">
        <v>11</v>
      </c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1</v>
      </c>
      <c r="D28" s="8">
        <f t="shared" si="4"/>
        <v>0</v>
      </c>
      <c r="E28" s="8">
        <f t="shared" si="5"/>
        <v>1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 t="s">
        <v>3</v>
      </c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 t="s">
        <v>11</v>
      </c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2</v>
      </c>
      <c r="F29" s="9">
        <f t="shared" si="6"/>
        <v>-2</v>
      </c>
      <c r="G29" s="9"/>
      <c r="H29" s="9"/>
      <c r="I29" s="9"/>
      <c r="J29" s="9"/>
      <c r="K29" s="9"/>
      <c r="L29" s="9"/>
      <c r="M29" s="9"/>
      <c r="N29" s="9"/>
      <c r="O29" s="9"/>
      <c r="P29" s="9" t="s">
        <v>11</v>
      </c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 t="s">
        <v>11</v>
      </c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 t="s">
        <v>24</v>
      </c>
      <c r="Q31" s="9" t="s">
        <v>24</v>
      </c>
      <c r="R31" s="9" t="s">
        <v>24</v>
      </c>
      <c r="S31" s="9" t="s">
        <v>24</v>
      </c>
      <c r="T31" s="9" t="s">
        <v>24</v>
      </c>
      <c r="U31" s="9" t="s">
        <v>24</v>
      </c>
      <c r="V31" s="9" t="s">
        <v>24</v>
      </c>
      <c r="W31" s="9" t="s">
        <v>24</v>
      </c>
      <c r="X31" s="9" t="s">
        <v>24</v>
      </c>
      <c r="Y31" s="9" t="s">
        <v>24</v>
      </c>
      <c r="Z31" s="9" t="s">
        <v>24</v>
      </c>
      <c r="AA31" s="9" t="s">
        <v>24</v>
      </c>
      <c r="AB31" s="9" t="s">
        <v>24</v>
      </c>
      <c r="AC31" s="9" t="s">
        <v>24</v>
      </c>
      <c r="AD31" s="9" t="s">
        <v>24</v>
      </c>
      <c r="AE31" s="9" t="s">
        <v>24</v>
      </c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1</v>
      </c>
      <c r="D32" s="8">
        <f t="shared" si="4"/>
        <v>0</v>
      </c>
      <c r="E32" s="8">
        <f t="shared" si="5"/>
        <v>0</v>
      </c>
      <c r="F32" s="9">
        <f t="shared" si="6"/>
        <v>1</v>
      </c>
      <c r="G32" s="9"/>
      <c r="H32" s="9"/>
      <c r="I32" s="9" t="s">
        <v>18</v>
      </c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 t="s">
        <v>3</v>
      </c>
      <c r="W32" s="9"/>
      <c r="X32" s="9"/>
      <c r="Y32" s="9"/>
      <c r="Z32" s="9"/>
      <c r="AA32" s="9" t="s">
        <v>18</v>
      </c>
      <c r="AB32" s="9" t="s">
        <v>20</v>
      </c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 t="s">
        <v>20</v>
      </c>
      <c r="H33" s="9"/>
      <c r="I33" s="9"/>
      <c r="J33" s="9"/>
      <c r="K33" s="9"/>
      <c r="L33" s="9"/>
      <c r="M33" s="9" t="s">
        <v>18</v>
      </c>
      <c r="N33" s="9" t="s">
        <v>20</v>
      </c>
      <c r="O33" s="9"/>
      <c r="P33" s="9" t="s">
        <v>20</v>
      </c>
      <c r="Q33" s="9" t="s">
        <v>20</v>
      </c>
      <c r="R33" s="9" t="s">
        <v>20</v>
      </c>
      <c r="S33" s="9" t="s">
        <v>20</v>
      </c>
      <c r="T33" s="9" t="s">
        <v>20</v>
      </c>
      <c r="U33" s="9" t="s">
        <v>20</v>
      </c>
      <c r="V33" s="9"/>
      <c r="W33" s="9"/>
      <c r="X33" s="9" t="s">
        <v>20</v>
      </c>
      <c r="Y33" s="9" t="s">
        <v>20</v>
      </c>
      <c r="Z33" s="9" t="s">
        <v>20</v>
      </c>
      <c r="AA33" s="9"/>
      <c r="AB33" s="9"/>
      <c r="AC33" s="9"/>
      <c r="AD33" s="9"/>
      <c r="AE33" s="9" t="s">
        <v>18</v>
      </c>
      <c r="AF33" s="9" t="s">
        <v>18</v>
      </c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2</v>
      </c>
      <c r="D34" s="8">
        <f t="shared" si="4"/>
        <v>0</v>
      </c>
      <c r="E34" s="8">
        <f t="shared" si="5"/>
        <v>0</v>
      </c>
      <c r="F34" s="9">
        <f t="shared" si="6"/>
        <v>2</v>
      </c>
      <c r="G34" s="9"/>
      <c r="H34" s="9" t="s">
        <v>3</v>
      </c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 t="s">
        <v>3</v>
      </c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1</v>
      </c>
      <c r="D36" s="8">
        <f t="shared" si="4"/>
        <v>0</v>
      </c>
      <c r="E36" s="8">
        <f t="shared" si="5"/>
        <v>0</v>
      </c>
      <c r="F36" s="9">
        <f t="shared" si="6"/>
        <v>1</v>
      </c>
      <c r="G36" s="9"/>
      <c r="H36" s="9"/>
      <c r="I36" s="9"/>
      <c r="J36" s="9"/>
      <c r="K36" s="9"/>
      <c r="L36" s="9"/>
      <c r="M36" s="9" t="s">
        <v>18</v>
      </c>
      <c r="N36" s="9"/>
      <c r="O36" s="9"/>
      <c r="P36" s="9" t="s">
        <v>18</v>
      </c>
      <c r="Q36" s="9"/>
      <c r="R36" s="9"/>
      <c r="S36" s="9"/>
      <c r="T36" s="9"/>
      <c r="U36" s="9" t="s">
        <v>18</v>
      </c>
      <c r="V36" s="9" t="s">
        <v>3</v>
      </c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 t="s">
        <v>20</v>
      </c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 t="s">
        <v>20</v>
      </c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 t="s">
        <v>18</v>
      </c>
      <c r="J41" s="9" t="s">
        <v>18</v>
      </c>
      <c r="K41" s="9" t="s">
        <v>18</v>
      </c>
      <c r="L41" s="9" t="s">
        <v>18</v>
      </c>
      <c r="M41" s="9" t="s">
        <v>18</v>
      </c>
      <c r="N41" s="9" t="s">
        <v>18</v>
      </c>
      <c r="O41" s="9"/>
      <c r="P41" s="9" t="s">
        <v>20</v>
      </c>
      <c r="Q41" s="9" t="s">
        <v>18</v>
      </c>
      <c r="R41" s="9" t="s">
        <v>20</v>
      </c>
      <c r="S41" s="9" t="s">
        <v>20</v>
      </c>
      <c r="T41" s="9" t="s">
        <v>18</v>
      </c>
      <c r="U41" s="9" t="s">
        <v>18</v>
      </c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 t="s">
        <v>20</v>
      </c>
      <c r="AG41" s="9" t="s">
        <v>18</v>
      </c>
      <c r="AH41" s="9"/>
      <c r="AI41" s="9" t="s">
        <v>18</v>
      </c>
      <c r="AJ41" s="9"/>
      <c r="AK41" s="9" t="s">
        <v>18</v>
      </c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1</v>
      </c>
      <c r="D43" s="8">
        <f t="shared" si="9"/>
        <v>0</v>
      </c>
      <c r="E43" s="8">
        <f t="shared" si="10"/>
        <v>1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 t="s">
        <v>3</v>
      </c>
      <c r="W43" s="9"/>
      <c r="X43" s="9"/>
      <c r="Y43" s="9"/>
      <c r="Z43" s="9"/>
      <c r="AA43" s="9"/>
      <c r="AB43" s="9"/>
      <c r="AC43" s="9"/>
      <c r="AD43" s="9" t="s">
        <v>11</v>
      </c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1</v>
      </c>
      <c r="D44" s="8">
        <f t="shared" si="9"/>
        <v>0</v>
      </c>
      <c r="E44" s="8">
        <f t="shared" si="10"/>
        <v>0</v>
      </c>
      <c r="F44" s="9">
        <f t="shared" si="11"/>
        <v>1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 t="s">
        <v>3</v>
      </c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1</v>
      </c>
      <c r="D45" s="8">
        <f t="shared" si="9"/>
        <v>0</v>
      </c>
      <c r="E45" s="8">
        <f t="shared" si="10"/>
        <v>1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 t="s">
        <v>3</v>
      </c>
      <c r="W45" s="9"/>
      <c r="X45" s="9"/>
      <c r="Y45" s="9"/>
      <c r="Z45" s="9"/>
      <c r="AA45" s="9"/>
      <c r="AB45" s="9" t="s">
        <v>11</v>
      </c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1</v>
      </c>
      <c r="D47" s="8">
        <f t="shared" si="9"/>
        <v>0</v>
      </c>
      <c r="E47" s="8">
        <f t="shared" si="10"/>
        <v>0</v>
      </c>
      <c r="F47" s="9">
        <f t="shared" si="11"/>
        <v>1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 t="s">
        <v>3</v>
      </c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2</v>
      </c>
      <c r="D48" s="8">
        <f t="shared" si="9"/>
        <v>0</v>
      </c>
      <c r="E48" s="8">
        <f t="shared" si="10"/>
        <v>2</v>
      </c>
      <c r="F48" s="9">
        <f t="shared" si="11"/>
        <v>0</v>
      </c>
      <c r="G48" s="9"/>
      <c r="H48" s="9" t="s">
        <v>3</v>
      </c>
      <c r="I48" s="9"/>
      <c r="J48" s="9"/>
      <c r="K48" s="9"/>
      <c r="L48" s="9"/>
      <c r="M48" s="9"/>
      <c r="N48" s="9" t="s">
        <v>11</v>
      </c>
      <c r="O48" s="9"/>
      <c r="P48" s="9"/>
      <c r="Q48" s="9"/>
      <c r="R48" s="9"/>
      <c r="S48" s="9"/>
      <c r="T48" s="9"/>
      <c r="U48" s="9"/>
      <c r="V48" s="9" t="s">
        <v>3</v>
      </c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 t="s">
        <v>11</v>
      </c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1</v>
      </c>
      <c r="D50" s="8">
        <f t="shared" si="9"/>
        <v>0</v>
      </c>
      <c r="E50" s="8">
        <f t="shared" si="10"/>
        <v>2</v>
      </c>
      <c r="F50" s="9">
        <f t="shared" si="11"/>
        <v>-1</v>
      </c>
      <c r="G50" s="9" t="s">
        <v>11</v>
      </c>
      <c r="H50" s="9"/>
      <c r="I50" s="9"/>
      <c r="J50" s="9"/>
      <c r="K50" s="9"/>
      <c r="L50" s="9"/>
      <c r="M50" s="9" t="s">
        <v>18</v>
      </c>
      <c r="N50" s="9"/>
      <c r="O50" s="9"/>
      <c r="P50" s="9"/>
      <c r="Q50" s="9"/>
      <c r="R50" s="9"/>
      <c r="S50" s="9"/>
      <c r="T50" s="9"/>
      <c r="U50" s="9"/>
      <c r="V50" s="9" t="s">
        <v>3</v>
      </c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 t="s">
        <v>11</v>
      </c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2</v>
      </c>
      <c r="D51" s="8">
        <f t="shared" si="9"/>
        <v>0</v>
      </c>
      <c r="E51" s="8">
        <f t="shared" si="10"/>
        <v>3</v>
      </c>
      <c r="F51" s="9">
        <f t="shared" si="11"/>
        <v>-1</v>
      </c>
      <c r="G51" s="9"/>
      <c r="H51" s="9" t="s">
        <v>3</v>
      </c>
      <c r="I51" s="9" t="s">
        <v>11</v>
      </c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 t="s">
        <v>3</v>
      </c>
      <c r="W51" s="9"/>
      <c r="X51" s="9"/>
      <c r="Y51" s="9"/>
      <c r="Z51" s="9"/>
      <c r="AA51" s="9"/>
      <c r="AB51" s="9" t="s">
        <v>11</v>
      </c>
      <c r="AC51" s="9"/>
      <c r="AD51" s="9"/>
      <c r="AE51" s="9"/>
      <c r="AF51" s="9"/>
      <c r="AG51" s="9" t="s">
        <v>11</v>
      </c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1</v>
      </c>
      <c r="F53" s="9">
        <f t="shared" si="11"/>
        <v>-1</v>
      </c>
      <c r="G53" s="9"/>
      <c r="H53" s="9"/>
      <c r="I53" s="9"/>
      <c r="J53" s="9"/>
      <c r="K53" s="9"/>
      <c r="L53" s="9"/>
      <c r="M53" s="9" t="s">
        <v>18</v>
      </c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 t="s">
        <v>11</v>
      </c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1</v>
      </c>
      <c r="D54" s="8">
        <f t="shared" si="9"/>
        <v>0</v>
      </c>
      <c r="E54" s="8">
        <f t="shared" si="10"/>
        <v>1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 t="s">
        <v>3</v>
      </c>
      <c r="W54" s="9"/>
      <c r="X54" s="9"/>
      <c r="Y54" s="9"/>
      <c r="Z54" s="9"/>
      <c r="AA54" s="9"/>
      <c r="AB54" s="9"/>
      <c r="AC54" s="9"/>
      <c r="AD54" s="9"/>
      <c r="AE54" s="9"/>
      <c r="AF54" s="9" t="s">
        <v>18</v>
      </c>
      <c r="AG54" s="9"/>
      <c r="AH54" s="9"/>
      <c r="AI54" s="9"/>
      <c r="AJ54" s="9" t="s">
        <v>11</v>
      </c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1</v>
      </c>
      <c r="D55" s="8">
        <f t="shared" si="9"/>
        <v>0</v>
      </c>
      <c r="E55" s="8">
        <f t="shared" si="10"/>
        <v>1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 t="s">
        <v>3</v>
      </c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 t="s">
        <v>11</v>
      </c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1</v>
      </c>
      <c r="D56" s="8">
        <f t="shared" si="9"/>
        <v>0</v>
      </c>
      <c r="E56" s="8">
        <f t="shared" si="10"/>
        <v>0</v>
      </c>
      <c r="F56" s="9">
        <f t="shared" si="11"/>
        <v>1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 t="s">
        <v>3</v>
      </c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I60" t="s">
        <v>18</v>
      </c>
      <c r="L60" s="9"/>
      <c r="M60" s="9" t="s">
        <v>18</v>
      </c>
      <c r="N60" s="9"/>
      <c r="O60" s="9"/>
      <c r="P60" s="9" t="s">
        <v>18</v>
      </c>
      <c r="Q60" s="9" t="s">
        <v>18</v>
      </c>
      <c r="R60" s="9" t="s">
        <v>18</v>
      </c>
      <c r="S60" s="9"/>
      <c r="T60" s="9"/>
      <c r="U60" s="9"/>
      <c r="V60" s="9"/>
      <c r="W60" s="9"/>
      <c r="X60" s="9"/>
      <c r="Y60" s="9" t="s">
        <v>18</v>
      </c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I61" t="s">
        <v>18</v>
      </c>
      <c r="J61" t="s">
        <v>18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I62" t="s">
        <v>18</v>
      </c>
      <c r="M62" s="9"/>
      <c r="N62" s="9"/>
      <c r="O62" s="9"/>
      <c r="P62" s="9"/>
      <c r="Q62" s="9"/>
      <c r="R62" s="9"/>
      <c r="S62" s="9"/>
      <c r="T62" s="9"/>
      <c r="U62" s="9" t="s">
        <v>18</v>
      </c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 t="s">
        <v>24</v>
      </c>
      <c r="Q63" s="9" t="s">
        <v>24</v>
      </c>
      <c r="R63" s="9" t="s">
        <v>24</v>
      </c>
      <c r="S63" s="9" t="s">
        <v>24</v>
      </c>
      <c r="T63" s="9" t="s">
        <v>24</v>
      </c>
      <c r="U63" s="9" t="s">
        <v>24</v>
      </c>
      <c r="V63" s="9" t="s">
        <v>24</v>
      </c>
      <c r="W63" s="9" t="s">
        <v>24</v>
      </c>
      <c r="X63" s="9" t="s">
        <v>24</v>
      </c>
      <c r="Y63" s="9" t="s">
        <v>24</v>
      </c>
      <c r="Z63" s="9" t="s">
        <v>24</v>
      </c>
      <c r="AA63" s="9" t="s">
        <v>24</v>
      </c>
      <c r="AB63" s="9" t="s">
        <v>24</v>
      </c>
      <c r="AC63" s="63" t="s">
        <v>24</v>
      </c>
      <c r="AD63" s="9" t="s">
        <v>24</v>
      </c>
      <c r="AE63" s="9" t="s">
        <v>24</v>
      </c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1</v>
      </c>
      <c r="D64" s="8">
        <f t="shared" si="9"/>
        <v>0</v>
      </c>
      <c r="E64" s="8">
        <f t="shared" si="10"/>
        <v>1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 t="s">
        <v>3</v>
      </c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 t="s">
        <v>11</v>
      </c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1</v>
      </c>
      <c r="D65" s="8">
        <f t="shared" si="9"/>
        <v>0</v>
      </c>
      <c r="E65" s="8">
        <f t="shared" si="10"/>
        <v>0</v>
      </c>
      <c r="F65" s="9">
        <f t="shared" si="11"/>
        <v>1</v>
      </c>
      <c r="G65" s="9" t="s">
        <v>20</v>
      </c>
      <c r="H65" s="9"/>
      <c r="I65" s="9" t="s">
        <v>20</v>
      </c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 t="s">
        <v>3</v>
      </c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 t="s">
        <v>20</v>
      </c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 t="s">
        <v>20</v>
      </c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 t="s">
        <v>18</v>
      </c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 t="s">
        <v>18</v>
      </c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 t="s">
        <v>18</v>
      </c>
      <c r="Q69" s="9" t="s">
        <v>18</v>
      </c>
      <c r="R69" s="9" t="s">
        <v>18</v>
      </c>
      <c r="S69" s="9" t="s">
        <v>18</v>
      </c>
      <c r="T69" s="9" t="s">
        <v>18</v>
      </c>
      <c r="U69" s="9" t="s">
        <v>18</v>
      </c>
      <c r="V69" s="9"/>
      <c r="W69" s="9" t="s">
        <v>18</v>
      </c>
      <c r="X69" s="9" t="s">
        <v>18</v>
      </c>
      <c r="Y69" s="9" t="s">
        <v>18</v>
      </c>
      <c r="Z69" s="9" t="s">
        <v>18</v>
      </c>
      <c r="AA69" s="9" t="s">
        <v>18</v>
      </c>
      <c r="AB69" s="9" t="s">
        <v>18</v>
      </c>
      <c r="AC69" s="9"/>
      <c r="AD69" s="9" t="s">
        <v>18</v>
      </c>
      <c r="AE69" s="9" t="s">
        <v>18</v>
      </c>
      <c r="AF69" s="9" t="s">
        <v>18</v>
      </c>
      <c r="AG69" s="9" t="s">
        <v>18</v>
      </c>
      <c r="AH69" s="9" t="s">
        <v>18</v>
      </c>
      <c r="AI69" s="9" t="s">
        <v>18</v>
      </c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 t="s">
        <v>18</v>
      </c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1</v>
      </c>
      <c r="D73" s="8">
        <f t="shared" si="14"/>
        <v>0</v>
      </c>
      <c r="E73" s="8">
        <f t="shared" si="15"/>
        <v>0</v>
      </c>
      <c r="F73" s="9">
        <f t="shared" si="16"/>
        <v>1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 t="s">
        <v>3</v>
      </c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 t="s">
        <v>18</v>
      </c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 t="s">
        <v>18</v>
      </c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 t="s">
        <v>18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 t="s">
        <v>18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30</v>
      </c>
      <c r="D156">
        <f>SUM(D6:D155)</f>
        <v>0</v>
      </c>
      <c r="E156">
        <f>SUM(E6:E155)</f>
        <v>23</v>
      </c>
      <c r="F156">
        <f>SUM(F6:F155)</f>
        <v>7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1</v>
      </c>
      <c r="H157" s="57">
        <f t="shared" si="27"/>
        <v>0</v>
      </c>
      <c r="I157" s="57">
        <f t="shared" si="27"/>
        <v>1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2</v>
      </c>
      <c r="O157" s="9">
        <f t="shared" si="27"/>
        <v>0</v>
      </c>
      <c r="P157" s="9">
        <f t="shared" si="27"/>
        <v>1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1</v>
      </c>
      <c r="V157" s="9">
        <f t="shared" si="27"/>
        <v>0</v>
      </c>
      <c r="W157" s="9">
        <f t="shared" si="27"/>
        <v>0</v>
      </c>
      <c r="X157" s="9">
        <f t="shared" si="27"/>
        <v>1</v>
      </c>
      <c r="Y157" s="9">
        <f t="shared" si="27"/>
        <v>0</v>
      </c>
      <c r="Z157" s="9">
        <f t="shared" si="27"/>
        <v>2</v>
      </c>
      <c r="AA157" s="9">
        <f t="shared" si="27"/>
        <v>1</v>
      </c>
      <c r="AB157" s="9">
        <f t="shared" si="27"/>
        <v>2</v>
      </c>
      <c r="AC157" s="9">
        <f t="shared" si="27"/>
        <v>0</v>
      </c>
      <c r="AD157" s="9">
        <f t="shared" si="27"/>
        <v>2</v>
      </c>
      <c r="AE157" s="9">
        <f t="shared" si="27"/>
        <v>0</v>
      </c>
      <c r="AF157" s="9">
        <f t="shared" si="27"/>
        <v>0</v>
      </c>
      <c r="AG157" s="9">
        <f t="shared" si="27"/>
        <v>2</v>
      </c>
      <c r="AH157" s="9">
        <f t="shared" si="27"/>
        <v>2</v>
      </c>
      <c r="AI157" s="9">
        <f t="shared" si="27"/>
        <v>1</v>
      </c>
      <c r="AJ157" s="9">
        <f t="shared" si="27"/>
        <v>2</v>
      </c>
      <c r="AK157" s="9">
        <f t="shared" si="27"/>
        <v>2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69" priority="9" operator="lessThan">
      <formula>0</formula>
    </cfRule>
    <cfRule type="cellIs" dxfId="68" priority="10" operator="equal">
      <formula>0</formula>
    </cfRule>
  </conditionalFormatting>
  <conditionalFormatting sqref="G4:AK5">
    <cfRule type="expression" dxfId="67" priority="11">
      <formula>OR(G$5="sáb",G$5="dom")</formula>
    </cfRule>
  </conditionalFormatting>
  <conditionalFormatting sqref="G6:AK155">
    <cfRule type="cellIs" dxfId="66" priority="2" operator="equal">
      <formula>"F"</formula>
    </cfRule>
    <cfRule type="cellIs" dxfId="65" priority="3" operator="equal">
      <formula>"A"</formula>
    </cfRule>
    <cfRule type="expression" dxfId="64" priority="4">
      <formula>G$4=""</formula>
    </cfRule>
    <cfRule type="cellIs" dxfId="63" priority="24" operator="equal">
      <formula>"HE"</formula>
    </cfRule>
    <cfRule type="cellIs" dxfId="62" priority="25" operator="equal">
      <formula>"FL"</formula>
    </cfRule>
    <cfRule type="cellIs" dxfId="61" priority="26" operator="equal">
      <formula>"AT"</formula>
    </cfRule>
    <cfRule type="cellIs" dxfId="60" priority="14" operator="equal">
      <formula>"FE"</formula>
    </cfRule>
  </conditionalFormatting>
  <conditionalFormatting sqref="G157:AK157">
    <cfRule type="cellIs" dxfId="59" priority="5" operator="greaterThan">
      <formula>2</formula>
    </cfRule>
    <cfRule type="cellIs" dxfId="58" priority="6" operator="equal">
      <formula>2</formula>
    </cfRule>
    <cfRule type="cellIs" dxfId="57" priority="7" operator="equal">
      <formula>1</formula>
    </cfRule>
    <cfRule type="cellIs" dxfId="56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8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K173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M12" sqref="M12"/>
    </sheetView>
  </sheetViews>
  <sheetFormatPr defaultColWidth="8.7109375" defaultRowHeight="15" outlineLevelRow="1" x14ac:dyDescent="0.25"/>
  <cols>
    <col min="1" max="1" width="21.42578125" customWidth="1"/>
    <col min="2" max="2" width="35.1406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Setembro/2026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9</v>
      </c>
      <c r="C2" s="1" t="s">
        <v>7</v>
      </c>
      <c r="D2" s="2">
        <v>2026</v>
      </c>
      <c r="E2" s="1" t="s">
        <v>38</v>
      </c>
      <c r="F2" s="3">
        <f>DAY(EOMONTH(DATE(D2,B2,1),0))</f>
        <v>30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 t="str">
        <f t="shared" si="0"/>
        <v/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ter</v>
      </c>
      <c r="H5" s="4" t="str">
        <f t="shared" si="1"/>
        <v>qua</v>
      </c>
      <c r="I5" s="4" t="str">
        <f t="shared" si="1"/>
        <v>qui</v>
      </c>
      <c r="J5" s="4" t="str">
        <f t="shared" si="1"/>
        <v>sex</v>
      </c>
      <c r="K5" s="4" t="str">
        <f t="shared" si="1"/>
        <v>sáb</v>
      </c>
      <c r="L5" s="4" t="str">
        <f t="shared" si="1"/>
        <v>dom</v>
      </c>
      <c r="M5" s="4" t="str">
        <f t="shared" si="1"/>
        <v>seg</v>
      </c>
      <c r="N5" s="4" t="str">
        <f t="shared" si="1"/>
        <v>ter</v>
      </c>
      <c r="O5" s="4" t="str">
        <f t="shared" si="1"/>
        <v>qua</v>
      </c>
      <c r="P5" s="4" t="str">
        <f t="shared" si="1"/>
        <v>qui</v>
      </c>
      <c r="Q5" s="4" t="str">
        <f t="shared" si="1"/>
        <v>sex</v>
      </c>
      <c r="R5" s="4" t="str">
        <f t="shared" si="1"/>
        <v>sáb</v>
      </c>
      <c r="S5" s="4" t="str">
        <f t="shared" si="1"/>
        <v>dom</v>
      </c>
      <c r="T5" s="4" t="str">
        <f t="shared" si="1"/>
        <v>seg</v>
      </c>
      <c r="U5" s="4" t="str">
        <f t="shared" si="1"/>
        <v>ter</v>
      </c>
      <c r="V5" s="4" t="str">
        <f t="shared" si="1"/>
        <v>qua</v>
      </c>
      <c r="W5" s="4" t="str">
        <f t="shared" si="1"/>
        <v>qui</v>
      </c>
      <c r="X5" s="4" t="str">
        <f t="shared" si="1"/>
        <v>sex</v>
      </c>
      <c r="Y5" s="4" t="str">
        <f t="shared" si="1"/>
        <v>sáb</v>
      </c>
      <c r="Z5" s="4" t="str">
        <f t="shared" si="1"/>
        <v>dom</v>
      </c>
      <c r="AA5" s="4" t="str">
        <f t="shared" si="1"/>
        <v>seg</v>
      </c>
      <c r="AB5" s="4" t="str">
        <f t="shared" si="1"/>
        <v>ter</v>
      </c>
      <c r="AC5" s="4" t="str">
        <f t="shared" si="1"/>
        <v>qua</v>
      </c>
      <c r="AD5" s="4" t="str">
        <f t="shared" si="1"/>
        <v>qui</v>
      </c>
      <c r="AE5" s="4" t="str">
        <f t="shared" si="1"/>
        <v>sex</v>
      </c>
      <c r="AF5" s="4" t="str">
        <f t="shared" si="1"/>
        <v>sáb</v>
      </c>
      <c r="AG5" s="4" t="str">
        <f t="shared" si="1"/>
        <v>dom</v>
      </c>
      <c r="AH5" s="4" t="str">
        <f t="shared" si="1"/>
        <v>seg</v>
      </c>
      <c r="AI5" s="4" t="str">
        <f t="shared" si="1"/>
        <v>ter</v>
      </c>
      <c r="AJ5" s="4" t="str">
        <f t="shared" si="1"/>
        <v>qua</v>
      </c>
      <c r="AK5" s="4" t="str">
        <f t="shared" si="1"/>
        <v/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1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1</v>
      </c>
      <c r="G6" s="9"/>
      <c r="H6" s="9"/>
      <c r="I6" s="9"/>
      <c r="J6" s="9"/>
      <c r="K6" s="9"/>
      <c r="L6" s="9"/>
      <c r="M6" s="9"/>
      <c r="N6" s="9" t="s">
        <v>20</v>
      </c>
      <c r="O6" s="9" t="s">
        <v>20</v>
      </c>
      <c r="P6" s="9" t="s">
        <v>20</v>
      </c>
      <c r="Q6" s="9" t="s">
        <v>20</v>
      </c>
      <c r="R6" s="9" t="s">
        <v>20</v>
      </c>
      <c r="S6" s="9"/>
      <c r="T6" s="9"/>
      <c r="U6" s="9"/>
      <c r="V6" s="9"/>
      <c r="W6" s="9"/>
      <c r="X6" s="9"/>
      <c r="Y6" s="9"/>
      <c r="Z6" s="9"/>
      <c r="AA6" s="9"/>
      <c r="AB6" s="9" t="s">
        <v>18</v>
      </c>
      <c r="AC6" s="9"/>
      <c r="AD6" s="9"/>
      <c r="AE6" s="9"/>
      <c r="AF6" s="9"/>
      <c r="AG6" s="9" t="s">
        <v>3</v>
      </c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1</v>
      </c>
      <c r="D7" s="8">
        <f t="shared" si="4"/>
        <v>0</v>
      </c>
      <c r="E7" s="8">
        <f t="shared" si="5"/>
        <v>1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 t="s">
        <v>11</v>
      </c>
      <c r="Y7" s="9"/>
      <c r="Z7" s="9"/>
      <c r="AA7" s="9"/>
      <c r="AB7" s="9"/>
      <c r="AC7" s="9"/>
      <c r="AD7" s="9"/>
      <c r="AE7" s="9"/>
      <c r="AF7" s="9"/>
      <c r="AG7" s="9" t="s">
        <v>3</v>
      </c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1</v>
      </c>
      <c r="D9" s="8">
        <f t="shared" si="4"/>
        <v>0</v>
      </c>
      <c r="E9" s="8">
        <f t="shared" si="5"/>
        <v>0</v>
      </c>
      <c r="F9" s="9">
        <f t="shared" si="6"/>
        <v>1</v>
      </c>
      <c r="G9" s="9"/>
      <c r="H9" s="9"/>
      <c r="I9" s="9"/>
      <c r="J9" s="9"/>
      <c r="K9" s="9" t="s">
        <v>18</v>
      </c>
      <c r="L9" s="9"/>
      <c r="M9" s="9"/>
      <c r="N9" s="9" t="s">
        <v>18</v>
      </c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 t="s">
        <v>3</v>
      </c>
      <c r="AH9" s="9" t="s">
        <v>18</v>
      </c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1</v>
      </c>
      <c r="F10" s="9">
        <f t="shared" si="6"/>
        <v>-1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 t="s">
        <v>11</v>
      </c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1</v>
      </c>
      <c r="D11" s="8">
        <f t="shared" si="4"/>
        <v>0</v>
      </c>
      <c r="E11" s="8">
        <f t="shared" si="5"/>
        <v>0</v>
      </c>
      <c r="F11" s="9">
        <f t="shared" si="6"/>
        <v>1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 t="s">
        <v>3</v>
      </c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 t="s">
        <v>18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2</v>
      </c>
      <c r="F14" s="9">
        <f t="shared" si="6"/>
        <v>-2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 t="s">
        <v>11</v>
      </c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 t="s">
        <v>11</v>
      </c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1</v>
      </c>
      <c r="F15" s="9">
        <f t="shared" si="6"/>
        <v>-1</v>
      </c>
      <c r="G15" s="9" t="s">
        <v>11</v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 t="s">
        <v>18</v>
      </c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 t="s">
        <v>18</v>
      </c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0</v>
      </c>
      <c r="E18" s="8">
        <f t="shared" si="5"/>
        <v>2</v>
      </c>
      <c r="F18" s="9">
        <f t="shared" si="6"/>
        <v>-2</v>
      </c>
      <c r="G18" s="9"/>
      <c r="H18" s="9"/>
      <c r="I18" s="9"/>
      <c r="J18" s="9"/>
      <c r="K18" s="9"/>
      <c r="L18" s="9"/>
      <c r="M18" s="9"/>
      <c r="N18" s="9" t="s">
        <v>11</v>
      </c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 t="s">
        <v>11</v>
      </c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 t="s">
        <v>20</v>
      </c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 t="s">
        <v>18</v>
      </c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 t="s">
        <v>18</v>
      </c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 t="s">
        <v>18</v>
      </c>
      <c r="X24" s="9" t="s">
        <v>18</v>
      </c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1</v>
      </c>
      <c r="F25" s="9">
        <f t="shared" si="6"/>
        <v>-1</v>
      </c>
      <c r="G25" s="9"/>
      <c r="H25" s="9"/>
      <c r="I25" s="9"/>
      <c r="J25" s="9" t="s">
        <v>11</v>
      </c>
      <c r="K25" s="9"/>
      <c r="L25" s="9"/>
      <c r="M25" s="9"/>
      <c r="N25" s="9"/>
      <c r="O25" s="9"/>
      <c r="P25" s="9"/>
      <c r="Q25" s="9"/>
      <c r="R25" s="9"/>
      <c r="S25" s="9"/>
      <c r="T25" s="9" t="s">
        <v>24</v>
      </c>
      <c r="U25" s="9" t="s">
        <v>24</v>
      </c>
      <c r="V25" s="9" t="s">
        <v>24</v>
      </c>
      <c r="W25" s="9" t="s">
        <v>24</v>
      </c>
      <c r="X25" s="9" t="s">
        <v>24</v>
      </c>
      <c r="Y25" s="9" t="s">
        <v>24</v>
      </c>
      <c r="Z25" s="9" t="s">
        <v>24</v>
      </c>
      <c r="AA25" s="9" t="s">
        <v>24</v>
      </c>
      <c r="AB25" s="9" t="s">
        <v>24</v>
      </c>
      <c r="AC25" s="9" t="s">
        <v>24</v>
      </c>
      <c r="AD25" s="9" t="s">
        <v>24</v>
      </c>
      <c r="AE25" s="9" t="s">
        <v>24</v>
      </c>
      <c r="AF25" s="9" t="s">
        <v>24</v>
      </c>
      <c r="AG25" s="9" t="s">
        <v>24</v>
      </c>
      <c r="AH25" s="9" t="s">
        <v>24</v>
      </c>
      <c r="AI25" s="9" t="s">
        <v>24</v>
      </c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1</v>
      </c>
      <c r="F26" s="9">
        <f t="shared" si="6"/>
        <v>-1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 t="s">
        <v>11</v>
      </c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 t="s">
        <v>18</v>
      </c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0</v>
      </c>
      <c r="E27" s="8">
        <f t="shared" si="5"/>
        <v>1</v>
      </c>
      <c r="F27" s="9">
        <f t="shared" si="6"/>
        <v>-1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 t="s">
        <v>11</v>
      </c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1</v>
      </c>
      <c r="F29" s="9">
        <f t="shared" si="6"/>
        <v>-1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 t="s">
        <v>11</v>
      </c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1</v>
      </c>
      <c r="F31" s="9">
        <f t="shared" si="6"/>
        <v>-1</v>
      </c>
      <c r="G31" s="9" t="s">
        <v>11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128</v>
      </c>
      <c r="C32" s="7">
        <f t="shared" si="3"/>
        <v>0</v>
      </c>
      <c r="D32" s="8">
        <f t="shared" si="4"/>
        <v>0</v>
      </c>
      <c r="E32" s="8">
        <f t="shared" si="5"/>
        <v>2</v>
      </c>
      <c r="F32" s="9">
        <f t="shared" si="6"/>
        <v>-2</v>
      </c>
      <c r="G32" s="9"/>
      <c r="H32" s="9"/>
      <c r="I32" s="9"/>
      <c r="J32" s="9"/>
      <c r="K32" s="9" t="s">
        <v>11</v>
      </c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 t="s">
        <v>11</v>
      </c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1</v>
      </c>
      <c r="F33" s="9">
        <f t="shared" si="6"/>
        <v>-1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 t="s">
        <v>11</v>
      </c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1</v>
      </c>
      <c r="D34" s="8">
        <f t="shared" si="4"/>
        <v>0</v>
      </c>
      <c r="E34" s="8">
        <f t="shared" si="5"/>
        <v>1</v>
      </c>
      <c r="F34" s="9">
        <f t="shared" si="6"/>
        <v>0</v>
      </c>
      <c r="G34" s="9"/>
      <c r="H34" s="9"/>
      <c r="I34" s="9"/>
      <c r="J34" s="9" t="s">
        <v>11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 t="s">
        <v>3</v>
      </c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1</v>
      </c>
      <c r="F35" s="9">
        <f t="shared" si="6"/>
        <v>-1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 t="s">
        <v>11</v>
      </c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1</v>
      </c>
      <c r="F36" s="9">
        <f t="shared" si="6"/>
        <v>-1</v>
      </c>
      <c r="G36" s="9" t="s">
        <v>20</v>
      </c>
      <c r="H36" s="9"/>
      <c r="I36" s="9"/>
      <c r="J36" s="9"/>
      <c r="K36" s="9"/>
      <c r="L36" s="9" t="s">
        <v>11</v>
      </c>
      <c r="M36" s="9"/>
      <c r="N36" s="9"/>
      <c r="O36" s="9" t="s">
        <v>18</v>
      </c>
      <c r="P36" s="9" t="s">
        <v>20</v>
      </c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 t="s">
        <v>18</v>
      </c>
      <c r="W38" s="9" t="s">
        <v>18</v>
      </c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1</v>
      </c>
      <c r="D39" s="8">
        <f t="shared" si="9"/>
        <v>0</v>
      </c>
      <c r="E39" s="8">
        <f t="shared" si="10"/>
        <v>1</v>
      </c>
      <c r="F39" s="9">
        <f t="shared" si="11"/>
        <v>0</v>
      </c>
      <c r="G39" s="9"/>
      <c r="H39" s="9"/>
      <c r="I39" s="9"/>
      <c r="J39" s="9"/>
      <c r="K39" s="9"/>
      <c r="L39" s="9"/>
      <c r="M39" s="9" t="s">
        <v>3</v>
      </c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 t="s">
        <v>11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1</v>
      </c>
      <c r="D40" s="8">
        <f t="shared" si="9"/>
        <v>0</v>
      </c>
      <c r="E40" s="8">
        <f t="shared" si="10"/>
        <v>1</v>
      </c>
      <c r="F40" s="9">
        <f t="shared" si="11"/>
        <v>0</v>
      </c>
      <c r="G40" s="9"/>
      <c r="H40" s="9"/>
      <c r="I40" s="9"/>
      <c r="J40" s="9"/>
      <c r="K40" s="9"/>
      <c r="L40" s="9"/>
      <c r="M40" s="9" t="s">
        <v>3</v>
      </c>
      <c r="N40" s="9"/>
      <c r="O40" s="9"/>
      <c r="P40" s="9"/>
      <c r="Q40" s="9"/>
      <c r="R40" s="9"/>
      <c r="S40" s="9" t="s">
        <v>11</v>
      </c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 t="s">
        <v>18</v>
      </c>
      <c r="H41" s="9" t="s">
        <v>18</v>
      </c>
      <c r="I41" s="9"/>
      <c r="J41" s="9" t="s">
        <v>18</v>
      </c>
      <c r="K41" s="9" t="s">
        <v>18</v>
      </c>
      <c r="L41" s="9"/>
      <c r="M41" s="9"/>
      <c r="N41" s="9" t="s">
        <v>18</v>
      </c>
      <c r="O41" s="9" t="s">
        <v>18</v>
      </c>
      <c r="P41" s="9" t="s">
        <v>18</v>
      </c>
      <c r="Q41" s="9" t="s">
        <v>18</v>
      </c>
      <c r="R41" s="9" t="s">
        <v>18</v>
      </c>
      <c r="S41" s="9"/>
      <c r="T41" s="9" t="s">
        <v>18</v>
      </c>
      <c r="U41" s="9" t="s">
        <v>18</v>
      </c>
      <c r="V41" s="9" t="s">
        <v>18</v>
      </c>
      <c r="W41" s="9" t="s">
        <v>18</v>
      </c>
      <c r="X41" s="9" t="s">
        <v>18</v>
      </c>
      <c r="Y41" s="9"/>
      <c r="Z41" s="9"/>
      <c r="AA41" s="9"/>
      <c r="AB41" s="9" t="s">
        <v>18</v>
      </c>
      <c r="AC41" s="9"/>
      <c r="AD41" s="9"/>
      <c r="AE41" s="9" t="s">
        <v>18</v>
      </c>
      <c r="AF41" s="9"/>
      <c r="AG41" s="9"/>
      <c r="AH41" s="9" t="s">
        <v>18</v>
      </c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1</v>
      </c>
      <c r="F43" s="9">
        <f t="shared" si="11"/>
        <v>-1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 t="s">
        <v>11</v>
      </c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1</v>
      </c>
      <c r="D44" s="8">
        <f t="shared" si="9"/>
        <v>0</v>
      </c>
      <c r="E44" s="8">
        <f t="shared" si="10"/>
        <v>0</v>
      </c>
      <c r="F44" s="9">
        <f t="shared" si="11"/>
        <v>1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 t="s">
        <v>3</v>
      </c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1</v>
      </c>
      <c r="F46" s="9">
        <f t="shared" si="11"/>
        <v>-1</v>
      </c>
      <c r="G46" s="9"/>
      <c r="H46" s="9"/>
      <c r="I46" s="9" t="s">
        <v>11</v>
      </c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1</v>
      </c>
      <c r="F47" s="9">
        <f t="shared" si="11"/>
        <v>-1</v>
      </c>
      <c r="G47" s="9"/>
      <c r="H47" s="9"/>
      <c r="I47" s="9"/>
      <c r="J47" s="9"/>
      <c r="K47" s="9"/>
      <c r="L47" s="9" t="s">
        <v>11</v>
      </c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1</v>
      </c>
      <c r="D48" s="8">
        <f t="shared" si="9"/>
        <v>0</v>
      </c>
      <c r="E48" s="8">
        <f t="shared" si="10"/>
        <v>0</v>
      </c>
      <c r="F48" s="9">
        <f t="shared" si="11"/>
        <v>1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 t="s">
        <v>3</v>
      </c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 t="s">
        <v>18</v>
      </c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 t="s">
        <v>18</v>
      </c>
      <c r="U50" s="9" t="s">
        <v>20</v>
      </c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1</v>
      </c>
      <c r="D51" s="8">
        <f t="shared" si="9"/>
        <v>0</v>
      </c>
      <c r="E51" s="8">
        <f t="shared" si="10"/>
        <v>0</v>
      </c>
      <c r="F51" s="9">
        <f t="shared" si="11"/>
        <v>1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 t="s">
        <v>3</v>
      </c>
      <c r="AA51" s="9"/>
      <c r="AB51" s="9"/>
      <c r="AC51" s="9"/>
      <c r="AD51" s="9"/>
      <c r="AE51" s="9" t="s">
        <v>20</v>
      </c>
      <c r="AF51" s="9"/>
      <c r="AG51" s="9"/>
      <c r="AH51" s="9" t="s">
        <v>18</v>
      </c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1</v>
      </c>
      <c r="F52" s="9">
        <f t="shared" si="11"/>
        <v>-1</v>
      </c>
      <c r="G52" s="9"/>
      <c r="H52" s="9"/>
      <c r="I52" s="9"/>
      <c r="J52" s="9"/>
      <c r="K52" s="9" t="s">
        <v>11</v>
      </c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 t="s">
        <v>18</v>
      </c>
      <c r="U54" s="9" t="s">
        <v>18</v>
      </c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s="77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 t="s">
        <v>18</v>
      </c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 t="s">
        <v>18</v>
      </c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 t="s">
        <v>24</v>
      </c>
      <c r="O56" s="9" t="s">
        <v>24</v>
      </c>
      <c r="P56" s="9" t="s">
        <v>24</v>
      </c>
      <c r="Q56" s="9" t="s">
        <v>24</v>
      </c>
      <c r="R56" s="9" t="s">
        <v>24</v>
      </c>
      <c r="S56" s="9" t="s">
        <v>24</v>
      </c>
      <c r="T56" s="9" t="s">
        <v>24</v>
      </c>
      <c r="U56" s="9" t="s">
        <v>24</v>
      </c>
      <c r="V56" s="9" t="s">
        <v>24</v>
      </c>
      <c r="W56" s="9" t="s">
        <v>24</v>
      </c>
      <c r="X56" s="9" t="s">
        <v>24</v>
      </c>
      <c r="Y56" s="9" t="s">
        <v>24</v>
      </c>
      <c r="Z56" s="9" t="s">
        <v>24</v>
      </c>
      <c r="AA56" s="9" t="s">
        <v>24</v>
      </c>
      <c r="AB56" s="9" t="s">
        <v>24</v>
      </c>
      <c r="AC56" s="9" t="s">
        <v>24</v>
      </c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 t="s">
        <v>18</v>
      </c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 t="s">
        <v>18</v>
      </c>
      <c r="AC59" s="9"/>
      <c r="AD59" s="9"/>
      <c r="AE59" s="9" t="s">
        <v>18</v>
      </c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 t="s">
        <v>18</v>
      </c>
      <c r="AI60" s="9" t="s">
        <v>18</v>
      </c>
      <c r="AJ60" s="9" t="s">
        <v>18</v>
      </c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1</v>
      </c>
      <c r="D61" s="8">
        <f t="shared" si="9"/>
        <v>0</v>
      </c>
      <c r="E61" s="8">
        <f t="shared" si="10"/>
        <v>1</v>
      </c>
      <c r="F61" s="9">
        <f t="shared" si="11"/>
        <v>0</v>
      </c>
      <c r="L61" s="9"/>
      <c r="M61" s="9" t="s">
        <v>3</v>
      </c>
      <c r="N61" s="9"/>
      <c r="O61" s="9"/>
      <c r="P61" s="9"/>
      <c r="Q61" s="9"/>
      <c r="R61" s="9"/>
      <c r="S61" s="9" t="s">
        <v>11</v>
      </c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1</v>
      </c>
      <c r="D62" s="8">
        <f t="shared" si="9"/>
        <v>0</v>
      </c>
      <c r="E62" s="8">
        <f t="shared" si="10"/>
        <v>1</v>
      </c>
      <c r="F62" s="9">
        <f t="shared" si="11"/>
        <v>0</v>
      </c>
      <c r="M62" s="9" t="s">
        <v>3</v>
      </c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 t="s">
        <v>11</v>
      </c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 t="s">
        <v>18</v>
      </c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 t="s">
        <v>18</v>
      </c>
      <c r="L65" s="9"/>
      <c r="M65" s="9"/>
      <c r="N65" s="9"/>
      <c r="O65" s="9"/>
      <c r="P65" s="9"/>
      <c r="Q65" s="9"/>
      <c r="R65" s="9" t="s">
        <v>20</v>
      </c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 t="s">
        <v>20</v>
      </c>
      <c r="Q67" s="9" t="s">
        <v>20</v>
      </c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1</v>
      </c>
      <c r="D68" s="8">
        <f t="shared" si="9"/>
        <v>0</v>
      </c>
      <c r="E68" s="8">
        <f t="shared" si="10"/>
        <v>0</v>
      </c>
      <c r="F68" s="9">
        <f t="shared" si="11"/>
        <v>1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 t="s">
        <v>3</v>
      </c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 t="s">
        <v>18</v>
      </c>
      <c r="H69" s="9" t="s">
        <v>18</v>
      </c>
      <c r="I69" s="9"/>
      <c r="J69" s="9" t="s">
        <v>18</v>
      </c>
      <c r="K69" s="9" t="s">
        <v>18</v>
      </c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1</v>
      </c>
      <c r="F73" s="9">
        <f t="shared" si="16"/>
        <v>-1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 t="s">
        <v>11</v>
      </c>
      <c r="AA73" s="9"/>
      <c r="AB73" s="9"/>
      <c r="AC73" s="9"/>
      <c r="AD73" s="9"/>
      <c r="AE73" s="9" t="s">
        <v>18</v>
      </c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2</v>
      </c>
      <c r="F74" s="9">
        <f t="shared" si="16"/>
        <v>-2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 t="s">
        <v>11</v>
      </c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 t="s">
        <v>11</v>
      </c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1</v>
      </c>
      <c r="F76" s="9">
        <f t="shared" si="16"/>
        <v>-1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 t="s">
        <v>11</v>
      </c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1</v>
      </c>
      <c r="F77" s="9">
        <f t="shared" si="16"/>
        <v>-1</v>
      </c>
      <c r="G77" s="9"/>
      <c r="H77" s="9"/>
      <c r="I77" s="9"/>
      <c r="J77" s="9"/>
      <c r="K77" s="9"/>
      <c r="L77" s="9"/>
      <c r="M77" s="9"/>
      <c r="N77" s="9" t="s">
        <v>11</v>
      </c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1</v>
      </c>
      <c r="F78" s="9">
        <f t="shared" si="16"/>
        <v>-1</v>
      </c>
      <c r="G78" s="9"/>
      <c r="H78" s="9" t="s">
        <v>11</v>
      </c>
      <c r="I78" s="9"/>
      <c r="J78" s="9" t="s">
        <v>18</v>
      </c>
      <c r="K78" s="9"/>
      <c r="L78" s="9"/>
      <c r="M78" s="9"/>
      <c r="N78" s="9"/>
      <c r="O78" s="9"/>
      <c r="P78" s="9"/>
      <c r="Q78" s="9" t="s">
        <v>18</v>
      </c>
      <c r="R78" s="9"/>
      <c r="S78" s="9"/>
      <c r="T78" s="9" t="s">
        <v>18</v>
      </c>
      <c r="U78" s="9" t="s">
        <v>18</v>
      </c>
      <c r="V78" s="9"/>
      <c r="W78" s="9"/>
      <c r="X78" s="9" t="s">
        <v>18</v>
      </c>
      <c r="Y78" s="9"/>
      <c r="Z78" s="9"/>
      <c r="AA78" s="9"/>
      <c r="AB78" s="9" t="s">
        <v>18</v>
      </c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 t="s">
        <v>18</v>
      </c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 t="s">
        <v>18</v>
      </c>
      <c r="Q80" s="9"/>
      <c r="R80" s="9"/>
      <c r="S80" s="9"/>
      <c r="T80" s="9" t="s">
        <v>18</v>
      </c>
      <c r="U80" s="9" t="s">
        <v>18</v>
      </c>
      <c r="V80" s="9" t="s">
        <v>18</v>
      </c>
      <c r="W80" s="9"/>
      <c r="X80" s="9" t="s">
        <v>18</v>
      </c>
      <c r="Y80" s="9"/>
      <c r="Z80" s="9"/>
      <c r="AA80" s="9"/>
      <c r="AB80" s="9" t="s">
        <v>18</v>
      </c>
      <c r="AC80" s="9"/>
      <c r="AD80" s="9"/>
      <c r="AE80" s="9" t="s">
        <v>18</v>
      </c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1</v>
      </c>
      <c r="F82" s="9">
        <f t="shared" si="16"/>
        <v>-1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 t="s">
        <v>11</v>
      </c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13</v>
      </c>
      <c r="D156">
        <f>SUM(D6:D155)</f>
        <v>0</v>
      </c>
      <c r="E156">
        <f>SUM(E6:E155)</f>
        <v>33</v>
      </c>
      <c r="F156">
        <f>SUM(F6:F155)</f>
        <v>-20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2</v>
      </c>
      <c r="H157" s="57">
        <f t="shared" si="27"/>
        <v>1</v>
      </c>
      <c r="I157" s="57">
        <f t="shared" si="27"/>
        <v>1</v>
      </c>
      <c r="J157" s="57">
        <f t="shared" si="27"/>
        <v>2</v>
      </c>
      <c r="K157" s="57">
        <f t="shared" si="27"/>
        <v>2</v>
      </c>
      <c r="L157" s="57">
        <f t="shared" si="27"/>
        <v>2</v>
      </c>
      <c r="M157" s="9">
        <f t="shared" si="27"/>
        <v>0</v>
      </c>
      <c r="N157" s="9">
        <f t="shared" si="27"/>
        <v>2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2</v>
      </c>
      <c r="S157" s="9">
        <f t="shared" si="27"/>
        <v>2</v>
      </c>
      <c r="T157" s="9">
        <f t="shared" si="27"/>
        <v>2</v>
      </c>
      <c r="U157" s="9">
        <f t="shared" si="27"/>
        <v>0</v>
      </c>
      <c r="V157" s="9">
        <f t="shared" si="27"/>
        <v>1</v>
      </c>
      <c r="W157" s="9">
        <f t="shared" si="27"/>
        <v>1</v>
      </c>
      <c r="X157" s="9">
        <f t="shared" si="27"/>
        <v>1</v>
      </c>
      <c r="Y157" s="9">
        <f t="shared" si="27"/>
        <v>0</v>
      </c>
      <c r="Z157" s="9">
        <f t="shared" si="27"/>
        <v>2</v>
      </c>
      <c r="AA157" s="9">
        <f t="shared" si="27"/>
        <v>0</v>
      </c>
      <c r="AB157" s="9">
        <f t="shared" si="27"/>
        <v>2</v>
      </c>
      <c r="AC157" s="9">
        <f t="shared" si="27"/>
        <v>0</v>
      </c>
      <c r="AD157" s="9">
        <f t="shared" si="27"/>
        <v>1</v>
      </c>
      <c r="AE157" s="9">
        <f t="shared" si="27"/>
        <v>0</v>
      </c>
      <c r="AF157" s="9">
        <f t="shared" si="27"/>
        <v>2</v>
      </c>
      <c r="AG157" s="9">
        <f t="shared" si="27"/>
        <v>1</v>
      </c>
      <c r="AH157" s="9">
        <f t="shared" si="27"/>
        <v>2</v>
      </c>
      <c r="AI157" s="9">
        <f t="shared" si="27"/>
        <v>1</v>
      </c>
      <c r="AJ157" s="9">
        <f t="shared" si="27"/>
        <v>1</v>
      </c>
      <c r="AK157" s="9" t="str">
        <f t="shared" si="27"/>
        <v/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55" priority="9" operator="lessThan">
      <formula>0</formula>
    </cfRule>
    <cfRule type="cellIs" dxfId="54" priority="10" operator="equal">
      <formula>0</formula>
    </cfRule>
  </conditionalFormatting>
  <conditionalFormatting sqref="G4:AK5">
    <cfRule type="expression" dxfId="53" priority="11">
      <formula>OR(G$5="sáb",G$5="dom")</formula>
    </cfRule>
  </conditionalFormatting>
  <conditionalFormatting sqref="G6:AK155">
    <cfRule type="cellIs" dxfId="52" priority="2" operator="equal">
      <formula>"F"</formula>
    </cfRule>
    <cfRule type="cellIs" dxfId="51" priority="3" operator="equal">
      <formula>"A"</formula>
    </cfRule>
    <cfRule type="expression" dxfId="50" priority="4">
      <formula>G$4=""</formula>
    </cfRule>
    <cfRule type="cellIs" dxfId="49" priority="24" operator="equal">
      <formula>"HE"</formula>
    </cfRule>
    <cfRule type="cellIs" dxfId="48" priority="25" operator="equal">
      <formula>"FL"</formula>
    </cfRule>
    <cfRule type="cellIs" dxfId="47" priority="26" operator="equal">
      <formula>"AT"</formula>
    </cfRule>
    <cfRule type="cellIs" dxfId="46" priority="14" operator="equal">
      <formula>"FE"</formula>
    </cfRule>
  </conditionalFormatting>
  <conditionalFormatting sqref="G157:AK157">
    <cfRule type="cellIs" dxfId="45" priority="5" operator="greaterThan">
      <formula>2</formula>
    </cfRule>
    <cfRule type="cellIs" dxfId="44" priority="6" operator="equal">
      <formula>2</formula>
    </cfRule>
    <cfRule type="cellIs" dxfId="43" priority="7" operator="equal">
      <formula>1</formula>
    </cfRule>
    <cfRule type="cellIs" dxfId="42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9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AK173"/>
  <sheetViews>
    <sheetView zoomScaleNormal="100" workbookViewId="0">
      <pane xSplit="6" ySplit="5" topLeftCell="G48" activePane="bottomRight" state="frozen"/>
      <selection pane="topRight" activeCell="G1" sqref="G1"/>
      <selection pane="bottomLeft" activeCell="A6" sqref="A6"/>
      <selection pane="bottomRight" activeCell="B2" sqref="B2"/>
    </sheetView>
  </sheetViews>
  <sheetFormatPr defaultColWidth="8.7109375" defaultRowHeight="15" outlineLevelRow="1" x14ac:dyDescent="0.25"/>
  <cols>
    <col min="1" max="1" width="21.42578125" customWidth="1"/>
    <col min="2" max="2" width="33.57031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Outubro/2026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10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qui</v>
      </c>
      <c r="H5" s="4" t="str">
        <f t="shared" si="1"/>
        <v>sex</v>
      </c>
      <c r="I5" s="4" t="str">
        <f t="shared" si="1"/>
        <v>sáb</v>
      </c>
      <c r="J5" s="4" t="str">
        <f t="shared" si="1"/>
        <v>dom</v>
      </c>
      <c r="K5" s="4" t="str">
        <f t="shared" si="1"/>
        <v>seg</v>
      </c>
      <c r="L5" s="4" t="str">
        <f t="shared" si="1"/>
        <v>ter</v>
      </c>
      <c r="M5" s="4" t="str">
        <f t="shared" si="1"/>
        <v>qua</v>
      </c>
      <c r="N5" s="4" t="str">
        <f t="shared" si="1"/>
        <v>qui</v>
      </c>
      <c r="O5" s="4" t="str">
        <f t="shared" si="1"/>
        <v>sex</v>
      </c>
      <c r="P5" s="4" t="str">
        <f t="shared" si="1"/>
        <v>sáb</v>
      </c>
      <c r="Q5" s="4" t="str">
        <f t="shared" si="1"/>
        <v>dom</v>
      </c>
      <c r="R5" s="4" t="str">
        <f t="shared" si="1"/>
        <v>seg</v>
      </c>
      <c r="S5" s="4" t="str">
        <f t="shared" si="1"/>
        <v>ter</v>
      </c>
      <c r="T5" s="4" t="str">
        <f t="shared" si="1"/>
        <v>qua</v>
      </c>
      <c r="U5" s="4" t="str">
        <f t="shared" si="1"/>
        <v>qui</v>
      </c>
      <c r="V5" s="4" t="str">
        <f t="shared" si="1"/>
        <v>sex</v>
      </c>
      <c r="W5" s="4" t="str">
        <f t="shared" si="1"/>
        <v>sáb</v>
      </c>
      <c r="X5" s="4" t="str">
        <f t="shared" si="1"/>
        <v>dom</v>
      </c>
      <c r="Y5" s="4" t="str">
        <f t="shared" si="1"/>
        <v>seg</v>
      </c>
      <c r="Z5" s="4" t="str">
        <f t="shared" si="1"/>
        <v>ter</v>
      </c>
      <c r="AA5" s="4" t="str">
        <f t="shared" si="1"/>
        <v>qua</v>
      </c>
      <c r="AB5" s="4" t="str">
        <f t="shared" si="1"/>
        <v>qui</v>
      </c>
      <c r="AC5" s="4" t="str">
        <f t="shared" si="1"/>
        <v>sex</v>
      </c>
      <c r="AD5" s="4" t="str">
        <f t="shared" si="1"/>
        <v>sáb</v>
      </c>
      <c r="AE5" s="4" t="str">
        <f t="shared" si="1"/>
        <v>dom</v>
      </c>
      <c r="AF5" s="4" t="str">
        <f t="shared" si="1"/>
        <v>seg</v>
      </c>
      <c r="AG5" s="4" t="str">
        <f t="shared" si="1"/>
        <v>ter</v>
      </c>
      <c r="AH5" s="4" t="str">
        <f t="shared" si="1"/>
        <v>qua</v>
      </c>
      <c r="AI5" s="4" t="str">
        <f t="shared" si="1"/>
        <v>qui</v>
      </c>
      <c r="AJ5" s="4" t="str">
        <f t="shared" si="1"/>
        <v>sex</v>
      </c>
      <c r="AK5" s="4" t="str">
        <f t="shared" si="1"/>
        <v>sáb</v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 t="s">
        <v>18</v>
      </c>
      <c r="I9" s="9" t="s">
        <v>18</v>
      </c>
      <c r="J9" s="9"/>
      <c r="K9" s="63" t="s">
        <v>24</v>
      </c>
      <c r="L9" s="63" t="s">
        <v>24</v>
      </c>
      <c r="M9" s="63" t="s">
        <v>24</v>
      </c>
      <c r="N9" s="63" t="s">
        <v>24</v>
      </c>
      <c r="O9" s="63" t="s">
        <v>24</v>
      </c>
      <c r="P9" s="63" t="s">
        <v>24</v>
      </c>
      <c r="Q9" s="63" t="s">
        <v>24</v>
      </c>
      <c r="R9" s="63" t="s">
        <v>24</v>
      </c>
      <c r="S9" s="63" t="s">
        <v>24</v>
      </c>
      <c r="T9" s="63" t="s">
        <v>24</v>
      </c>
      <c r="U9" s="63" t="s">
        <v>24</v>
      </c>
      <c r="V9" s="63" t="s">
        <v>24</v>
      </c>
      <c r="W9" s="63" t="s">
        <v>24</v>
      </c>
      <c r="X9" s="63" t="s">
        <v>24</v>
      </c>
      <c r="Y9" s="63" t="s">
        <v>24</v>
      </c>
      <c r="Z9" s="63" t="s">
        <v>24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 t="s">
        <v>20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1</v>
      </c>
      <c r="D11" s="8">
        <f t="shared" si="4"/>
        <v>0</v>
      </c>
      <c r="E11" s="8">
        <f t="shared" si="5"/>
        <v>0</v>
      </c>
      <c r="F11" s="9">
        <f t="shared" si="6"/>
        <v>1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 t="s">
        <v>3</v>
      </c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1</v>
      </c>
      <c r="F12" s="9">
        <f t="shared" si="6"/>
        <v>-1</v>
      </c>
      <c r="G12" s="9" t="s">
        <v>11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2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 t="s">
        <v>9</v>
      </c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 t="s">
        <v>9</v>
      </c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1</v>
      </c>
      <c r="D15" s="8">
        <f t="shared" si="4"/>
        <v>0</v>
      </c>
      <c r="E15" s="8">
        <f t="shared" si="5"/>
        <v>0</v>
      </c>
      <c r="F15" s="9">
        <f t="shared" si="6"/>
        <v>1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 t="s">
        <v>3</v>
      </c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 t="s">
        <v>18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1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 t="s">
        <v>9</v>
      </c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1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 t="s">
        <v>9</v>
      </c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1</v>
      </c>
      <c r="D26" s="8">
        <f t="shared" si="4"/>
        <v>1</v>
      </c>
      <c r="E26" s="8">
        <f t="shared" si="5"/>
        <v>0</v>
      </c>
      <c r="F26" s="9">
        <f t="shared" si="6"/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 t="s">
        <v>3</v>
      </c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 t="s">
        <v>9</v>
      </c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1</v>
      </c>
      <c r="D27" s="8">
        <f t="shared" si="4"/>
        <v>0</v>
      </c>
      <c r="E27" s="8">
        <f t="shared" si="5"/>
        <v>0</v>
      </c>
      <c r="F27" s="9">
        <f t="shared" si="6"/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 t="s">
        <v>3</v>
      </c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1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 t="s">
        <v>18</v>
      </c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 t="s">
        <v>9</v>
      </c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1</v>
      </c>
      <c r="D29" s="8">
        <f t="shared" si="4"/>
        <v>2</v>
      </c>
      <c r="E29" s="8">
        <f t="shared" si="5"/>
        <v>3</v>
      </c>
      <c r="F29" s="9">
        <f t="shared" si="6"/>
        <v>-2</v>
      </c>
      <c r="G29" s="9" t="s">
        <v>11</v>
      </c>
      <c r="H29" s="9"/>
      <c r="I29" s="9"/>
      <c r="J29" s="9"/>
      <c r="K29" s="9" t="s">
        <v>11</v>
      </c>
      <c r="L29" s="9"/>
      <c r="M29" s="9"/>
      <c r="N29" s="9" t="s">
        <v>11</v>
      </c>
      <c r="O29" s="9"/>
      <c r="P29" s="9"/>
      <c r="Q29" s="9"/>
      <c r="R29" s="9"/>
      <c r="S29" s="9"/>
      <c r="T29" s="9"/>
      <c r="U29" s="9"/>
      <c r="V29" s="9"/>
      <c r="W29" s="9"/>
      <c r="X29" s="9" t="s">
        <v>3</v>
      </c>
      <c r="Y29" s="9"/>
      <c r="Z29" s="9"/>
      <c r="AA29" s="9"/>
      <c r="AB29" s="9"/>
      <c r="AC29" s="9"/>
      <c r="AD29" s="9" t="s">
        <v>9</v>
      </c>
      <c r="AE29" s="9"/>
      <c r="AF29" s="9" t="s">
        <v>9</v>
      </c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1</v>
      </c>
      <c r="F31" s="9">
        <f t="shared" si="6"/>
        <v>-1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 t="s">
        <v>11</v>
      </c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1</v>
      </c>
      <c r="F32" s="9">
        <f t="shared" si="6"/>
        <v>-1</v>
      </c>
      <c r="G32" s="9"/>
      <c r="H32" s="9"/>
      <c r="I32" s="9"/>
      <c r="J32" s="9"/>
      <c r="K32" s="9"/>
      <c r="L32" s="9"/>
      <c r="M32" s="9"/>
      <c r="N32" s="9"/>
      <c r="O32" s="9"/>
      <c r="P32" s="9" t="s">
        <v>11</v>
      </c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1</v>
      </c>
      <c r="F33" s="9">
        <f t="shared" si="6"/>
        <v>-1</v>
      </c>
      <c r="G33" s="9"/>
      <c r="H33" s="9"/>
      <c r="I33" s="9"/>
      <c r="J33" s="9"/>
      <c r="K33" s="9"/>
      <c r="L33" s="9"/>
      <c r="M33" s="9"/>
      <c r="N33" s="9"/>
      <c r="O33" s="9" t="s">
        <v>11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1</v>
      </c>
      <c r="F34" s="9">
        <f t="shared" si="6"/>
        <v>-1</v>
      </c>
      <c r="G34" s="9"/>
      <c r="H34" s="9"/>
      <c r="I34" s="9"/>
      <c r="J34" s="9"/>
      <c r="K34" s="9"/>
      <c r="L34" s="9" t="s">
        <v>11</v>
      </c>
      <c r="M34" s="9"/>
      <c r="N34" s="9"/>
      <c r="O34" s="9"/>
      <c r="P34" s="9"/>
      <c r="Q34" s="9"/>
      <c r="R34" s="9"/>
      <c r="S34" s="9" t="s">
        <v>24</v>
      </c>
      <c r="T34" s="9" t="s">
        <v>24</v>
      </c>
      <c r="U34" s="9" t="s">
        <v>24</v>
      </c>
      <c r="V34" s="9" t="s">
        <v>24</v>
      </c>
      <c r="W34" s="9" t="s">
        <v>24</v>
      </c>
      <c r="X34" s="9" t="s">
        <v>24</v>
      </c>
      <c r="Y34" s="9" t="s">
        <v>24</v>
      </c>
      <c r="Z34" s="9" t="s">
        <v>24</v>
      </c>
      <c r="AA34" s="9" t="s">
        <v>24</v>
      </c>
      <c r="AB34" s="9" t="s">
        <v>24</v>
      </c>
      <c r="AC34" s="9" t="s">
        <v>24</v>
      </c>
      <c r="AD34" s="9" t="s">
        <v>24</v>
      </c>
      <c r="AE34" s="9" t="s">
        <v>24</v>
      </c>
      <c r="AF34" s="9" t="s">
        <v>24</v>
      </c>
      <c r="AG34" s="9" t="s">
        <v>24</v>
      </c>
      <c r="AH34" s="9" t="s">
        <v>24</v>
      </c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 t="s">
        <v>18</v>
      </c>
      <c r="J36" s="9"/>
      <c r="K36" s="9"/>
      <c r="L36" s="9" t="s">
        <v>18</v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 t="s">
        <v>18</v>
      </c>
      <c r="I41" s="9" t="s">
        <v>18</v>
      </c>
      <c r="J41" s="9"/>
      <c r="K41" s="9" t="s">
        <v>18</v>
      </c>
      <c r="L41" s="9" t="s">
        <v>18</v>
      </c>
      <c r="M41" s="9"/>
      <c r="N41" s="9" t="s">
        <v>18</v>
      </c>
      <c r="O41" s="9"/>
      <c r="P41" s="9"/>
      <c r="Q41" s="9"/>
      <c r="R41" s="9"/>
      <c r="S41" s="9" t="s">
        <v>18</v>
      </c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 t="s">
        <v>18</v>
      </c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1</v>
      </c>
      <c r="D44" s="8">
        <f t="shared" si="9"/>
        <v>0</v>
      </c>
      <c r="E44" s="8">
        <f t="shared" si="10"/>
        <v>0</v>
      </c>
      <c r="F44" s="9">
        <f t="shared" si="11"/>
        <v>1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 t="s">
        <v>3</v>
      </c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1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 t="s">
        <v>9</v>
      </c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1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 t="s">
        <v>9</v>
      </c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1</v>
      </c>
      <c r="D47" s="8">
        <f t="shared" si="9"/>
        <v>0</v>
      </c>
      <c r="E47" s="8">
        <f t="shared" si="10"/>
        <v>1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 t="s">
        <v>11</v>
      </c>
      <c r="T47" s="9"/>
      <c r="U47" s="9"/>
      <c r="V47" s="9"/>
      <c r="W47" s="9"/>
      <c r="X47" s="9" t="s">
        <v>3</v>
      </c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1</v>
      </c>
      <c r="F48" s="9">
        <f t="shared" si="11"/>
        <v>-1</v>
      </c>
      <c r="G48" s="9"/>
      <c r="H48" s="9"/>
      <c r="I48" s="9" t="s">
        <v>11</v>
      </c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 t="s">
        <v>18</v>
      </c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1</v>
      </c>
      <c r="D51" s="8">
        <f t="shared" si="9"/>
        <v>0</v>
      </c>
      <c r="E51" s="8">
        <f t="shared" si="10"/>
        <v>1</v>
      </c>
      <c r="F51" s="9">
        <f t="shared" si="11"/>
        <v>0</v>
      </c>
      <c r="G51" s="9"/>
      <c r="H51" s="9"/>
      <c r="I51" s="9"/>
      <c r="J51" s="9"/>
      <c r="K51" s="9" t="s">
        <v>18</v>
      </c>
      <c r="L51" s="9"/>
      <c r="M51" s="9"/>
      <c r="N51" s="9" t="s">
        <v>11</v>
      </c>
      <c r="O51" s="9"/>
      <c r="P51" s="9"/>
      <c r="Q51" s="9" t="s">
        <v>3</v>
      </c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1</v>
      </c>
      <c r="D52" s="8">
        <f t="shared" si="9"/>
        <v>0</v>
      </c>
      <c r="E52" s="8">
        <f t="shared" si="10"/>
        <v>1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 t="s">
        <v>11</v>
      </c>
      <c r="P52" s="9"/>
      <c r="Q52" s="9"/>
      <c r="R52" s="9"/>
      <c r="S52" s="9"/>
      <c r="T52" s="9"/>
      <c r="U52" s="9"/>
      <c r="V52" s="9"/>
      <c r="W52" s="9"/>
      <c r="X52" s="9" t="s">
        <v>3</v>
      </c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 t="s">
        <v>18</v>
      </c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1</v>
      </c>
      <c r="E54" s="8">
        <f t="shared" si="10"/>
        <v>1</v>
      </c>
      <c r="F54" s="9">
        <f t="shared" si="11"/>
        <v>-1</v>
      </c>
      <c r="G54" s="9"/>
      <c r="H54" s="9"/>
      <c r="I54" s="9"/>
      <c r="J54" s="9"/>
      <c r="K54" s="9" t="s">
        <v>11</v>
      </c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 t="s">
        <v>9</v>
      </c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K58" t="s">
        <v>18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G60" t="s">
        <v>18</v>
      </c>
      <c r="H60" t="s">
        <v>18</v>
      </c>
      <c r="I60" t="s">
        <v>18</v>
      </c>
      <c r="K60" t="s">
        <v>18</v>
      </c>
      <c r="L60" s="9" t="s">
        <v>18</v>
      </c>
      <c r="M60" s="9"/>
      <c r="N60" s="9"/>
      <c r="O60" s="9"/>
      <c r="P60" s="9"/>
      <c r="Q60" s="9"/>
      <c r="R60" s="9"/>
      <c r="S60" s="9" t="s">
        <v>18</v>
      </c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 t="s">
        <v>18</v>
      </c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 t="s">
        <v>20</v>
      </c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 t="s">
        <v>18</v>
      </c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1</v>
      </c>
      <c r="D71" s="8">
        <f t="shared" si="14"/>
        <v>0</v>
      </c>
      <c r="E71" s="8">
        <f t="shared" si="15"/>
        <v>0</v>
      </c>
      <c r="F71" s="9">
        <f t="shared" si="16"/>
        <v>1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 t="s">
        <v>3</v>
      </c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1</v>
      </c>
      <c r="D72" s="8">
        <f t="shared" si="14"/>
        <v>0</v>
      </c>
      <c r="E72" s="8">
        <f t="shared" si="15"/>
        <v>0</v>
      </c>
      <c r="F72" s="9">
        <f t="shared" si="16"/>
        <v>1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 t="s">
        <v>3</v>
      </c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 t="s">
        <v>18</v>
      </c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1</v>
      </c>
      <c r="D75" s="8">
        <f t="shared" si="14"/>
        <v>0</v>
      </c>
      <c r="E75" s="8">
        <f t="shared" si="15"/>
        <v>0</v>
      </c>
      <c r="F75" s="9">
        <f t="shared" si="16"/>
        <v>1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 t="s">
        <v>3</v>
      </c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1</v>
      </c>
      <c r="D76" s="8">
        <f t="shared" si="14"/>
        <v>0</v>
      </c>
      <c r="E76" s="8">
        <f t="shared" si="15"/>
        <v>1</v>
      </c>
      <c r="F76" s="9">
        <f t="shared" si="16"/>
        <v>0</v>
      </c>
      <c r="G76" s="9"/>
      <c r="H76" s="9" t="s">
        <v>11</v>
      </c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 t="s">
        <v>3</v>
      </c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 t="s">
        <v>18</v>
      </c>
      <c r="J78" s="9"/>
      <c r="K78" s="9" t="s">
        <v>18</v>
      </c>
      <c r="L78" s="9" t="s">
        <v>18</v>
      </c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1</v>
      </c>
      <c r="F79" s="9">
        <f t="shared" si="16"/>
        <v>-1</v>
      </c>
      <c r="G79" s="9"/>
      <c r="H79" s="9"/>
      <c r="I79" s="9" t="s">
        <v>11</v>
      </c>
      <c r="J79" s="9"/>
      <c r="K79" s="9" t="s">
        <v>18</v>
      </c>
      <c r="L79" s="9"/>
      <c r="M79" s="9"/>
      <c r="N79" s="9"/>
      <c r="O79" s="9"/>
      <c r="P79" s="9"/>
      <c r="Q79" s="9"/>
      <c r="R79" s="9"/>
      <c r="S79" s="9" t="s">
        <v>18</v>
      </c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 t="s">
        <v>18</v>
      </c>
      <c r="L80" s="9" t="s">
        <v>18</v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1</v>
      </c>
      <c r="D82" s="8">
        <f t="shared" si="14"/>
        <v>0</v>
      </c>
      <c r="E82" s="8">
        <f t="shared" si="15"/>
        <v>0</v>
      </c>
      <c r="F82" s="9">
        <f t="shared" si="16"/>
        <v>1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 t="s">
        <v>3</v>
      </c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 t="s">
        <v>18</v>
      </c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 t="s">
        <v>18</v>
      </c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1</v>
      </c>
      <c r="D86" s="8">
        <f t="shared" si="14"/>
        <v>0</v>
      </c>
      <c r="E86" s="8">
        <f t="shared" si="15"/>
        <v>0</v>
      </c>
      <c r="F86" s="9">
        <f t="shared" si="16"/>
        <v>1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 t="s">
        <v>3</v>
      </c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1</v>
      </c>
      <c r="D87" s="8">
        <f t="shared" si="14"/>
        <v>0</v>
      </c>
      <c r="E87" s="8">
        <f t="shared" si="15"/>
        <v>0</v>
      </c>
      <c r="F87" s="9">
        <f t="shared" si="16"/>
        <v>1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 t="s">
        <v>3</v>
      </c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16</v>
      </c>
      <c r="D156">
        <f>SUM(D6:D155)</f>
        <v>11</v>
      </c>
      <c r="E156">
        <f>SUM(E6:E155)</f>
        <v>15</v>
      </c>
      <c r="F156">
        <f>SUM(F6:F155)</f>
        <v>1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2</v>
      </c>
      <c r="H157" s="57">
        <f t="shared" si="27"/>
        <v>1</v>
      </c>
      <c r="I157" s="57">
        <f t="shared" si="27"/>
        <v>2</v>
      </c>
      <c r="J157" s="57">
        <f t="shared" si="27"/>
        <v>0</v>
      </c>
      <c r="K157" s="57">
        <f t="shared" si="27"/>
        <v>2</v>
      </c>
      <c r="L157" s="57">
        <f t="shared" si="27"/>
        <v>1</v>
      </c>
      <c r="M157" s="9">
        <f t="shared" si="27"/>
        <v>0</v>
      </c>
      <c r="N157" s="9">
        <f t="shared" si="27"/>
        <v>2</v>
      </c>
      <c r="O157" s="9">
        <f t="shared" si="27"/>
        <v>2</v>
      </c>
      <c r="P157" s="9">
        <f t="shared" si="27"/>
        <v>1</v>
      </c>
      <c r="Q157" s="9">
        <f t="shared" si="27"/>
        <v>0</v>
      </c>
      <c r="R157" s="9">
        <f t="shared" si="27"/>
        <v>0</v>
      </c>
      <c r="S157" s="9">
        <f t="shared" si="27"/>
        <v>1</v>
      </c>
      <c r="T157" s="9">
        <f t="shared" si="27"/>
        <v>0</v>
      </c>
      <c r="U157" s="9">
        <f t="shared" si="27"/>
        <v>0</v>
      </c>
      <c r="V157" s="9">
        <f t="shared" si="27"/>
        <v>1</v>
      </c>
      <c r="W157" s="9">
        <f t="shared" si="27"/>
        <v>2</v>
      </c>
      <c r="X157" s="9">
        <f t="shared" si="27"/>
        <v>0</v>
      </c>
      <c r="Y157" s="9">
        <f t="shared" si="27"/>
        <v>2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2</v>
      </c>
      <c r="AE157" s="9">
        <f t="shared" si="27"/>
        <v>0</v>
      </c>
      <c r="AF157" s="9">
        <f t="shared" si="27"/>
        <v>2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2</v>
      </c>
      <c r="AK157" s="9">
        <f t="shared" si="27"/>
        <v>1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41" priority="9" operator="lessThan">
      <formula>0</formula>
    </cfRule>
    <cfRule type="cellIs" dxfId="40" priority="10" operator="equal">
      <formula>0</formula>
    </cfRule>
  </conditionalFormatting>
  <conditionalFormatting sqref="G4:AK5">
    <cfRule type="expression" dxfId="39" priority="11">
      <formula>OR(G$5="sáb",G$5="dom")</formula>
    </cfRule>
  </conditionalFormatting>
  <conditionalFormatting sqref="G6:AK155">
    <cfRule type="cellIs" dxfId="38" priority="2" operator="equal">
      <formula>"F"</formula>
    </cfRule>
    <cfRule type="cellIs" dxfId="37" priority="3" operator="equal">
      <formula>"A"</formula>
    </cfRule>
    <cfRule type="expression" dxfId="36" priority="4">
      <formula>G$4=""</formula>
    </cfRule>
    <cfRule type="cellIs" dxfId="35" priority="24" operator="equal">
      <formula>"HE"</formula>
    </cfRule>
    <cfRule type="cellIs" dxfId="34" priority="25" operator="equal">
      <formula>"FL"</formula>
    </cfRule>
    <cfRule type="cellIs" dxfId="33" priority="26" operator="equal">
      <formula>"AT"</formula>
    </cfRule>
    <cfRule type="cellIs" dxfId="32" priority="14" operator="equal">
      <formula>"FE"</formula>
    </cfRule>
  </conditionalFormatting>
  <conditionalFormatting sqref="G157:AK157">
    <cfRule type="cellIs" dxfId="31" priority="5" operator="greaterThan">
      <formula>2</formula>
    </cfRule>
    <cfRule type="cellIs" dxfId="30" priority="6" operator="equal">
      <formula>2</formula>
    </cfRule>
    <cfRule type="cellIs" dxfId="29" priority="7" operator="equal">
      <formula>1</formula>
    </cfRule>
    <cfRule type="cellIs" dxfId="28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A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K173"/>
  <sheetViews>
    <sheetView zoomScaleNormal="100" workbookViewId="0">
      <pane xSplit="6" ySplit="5" topLeftCell="G6" activePane="bottomRight" state="frozen"/>
      <selection pane="topRight" activeCell="G1" sqref="G1"/>
      <selection pane="bottomLeft" activeCell="A21" sqref="A21"/>
      <selection pane="bottomRight" activeCell="AC7" sqref="AC7"/>
    </sheetView>
  </sheetViews>
  <sheetFormatPr defaultColWidth="8.7109375" defaultRowHeight="15" outlineLevelRow="1" x14ac:dyDescent="0.25"/>
  <cols>
    <col min="1" max="1" width="21.42578125" customWidth="1"/>
    <col min="2" max="2" width="32.710937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Novembro/2026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11</v>
      </c>
      <c r="C2" s="1" t="s">
        <v>7</v>
      </c>
      <c r="D2" s="2">
        <v>2026</v>
      </c>
      <c r="E2" s="1" t="s">
        <v>38</v>
      </c>
      <c r="F2" s="3">
        <f>DAY(EOMONTH(DATE(D2,B2,1),0))</f>
        <v>30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 t="str">
        <f t="shared" si="0"/>
        <v/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dom</v>
      </c>
      <c r="H5" s="4" t="str">
        <f t="shared" si="1"/>
        <v>seg</v>
      </c>
      <c r="I5" s="4" t="str">
        <f t="shared" si="1"/>
        <v>ter</v>
      </c>
      <c r="J5" s="4" t="str">
        <f t="shared" si="1"/>
        <v>qua</v>
      </c>
      <c r="K5" s="4" t="str">
        <f t="shared" si="1"/>
        <v>qui</v>
      </c>
      <c r="L5" s="4" t="str">
        <f t="shared" si="1"/>
        <v>sex</v>
      </c>
      <c r="M5" s="4" t="str">
        <f t="shared" si="1"/>
        <v>sáb</v>
      </c>
      <c r="N5" s="4" t="str">
        <f t="shared" si="1"/>
        <v>dom</v>
      </c>
      <c r="O5" s="4" t="str">
        <f t="shared" si="1"/>
        <v>seg</v>
      </c>
      <c r="P5" s="4" t="str">
        <f t="shared" si="1"/>
        <v>ter</v>
      </c>
      <c r="Q5" s="4" t="str">
        <f t="shared" si="1"/>
        <v>qua</v>
      </c>
      <c r="R5" s="4" t="str">
        <f t="shared" si="1"/>
        <v>qui</v>
      </c>
      <c r="S5" s="4" t="str">
        <f t="shared" si="1"/>
        <v>sex</v>
      </c>
      <c r="T5" s="4" t="str">
        <f t="shared" si="1"/>
        <v>sáb</v>
      </c>
      <c r="U5" s="4" t="str">
        <f t="shared" si="1"/>
        <v>dom</v>
      </c>
      <c r="V5" s="4" t="str">
        <f t="shared" si="1"/>
        <v>seg</v>
      </c>
      <c r="W5" s="4" t="str">
        <f t="shared" si="1"/>
        <v>ter</v>
      </c>
      <c r="X5" s="4" t="str">
        <f t="shared" si="1"/>
        <v>qua</v>
      </c>
      <c r="Y5" s="4" t="str">
        <f t="shared" si="1"/>
        <v>qui</v>
      </c>
      <c r="Z5" s="4" t="str">
        <f t="shared" si="1"/>
        <v>sex</v>
      </c>
      <c r="AA5" s="4" t="str">
        <f t="shared" si="1"/>
        <v>sáb</v>
      </c>
      <c r="AB5" s="4" t="str">
        <f t="shared" si="1"/>
        <v>dom</v>
      </c>
      <c r="AC5" s="4" t="str">
        <f t="shared" si="1"/>
        <v>seg</v>
      </c>
      <c r="AD5" s="4" t="str">
        <f t="shared" si="1"/>
        <v>ter</v>
      </c>
      <c r="AE5" s="4" t="str">
        <f t="shared" si="1"/>
        <v>qua</v>
      </c>
      <c r="AF5" s="4" t="str">
        <f t="shared" si="1"/>
        <v>qui</v>
      </c>
      <c r="AG5" s="4" t="str">
        <f t="shared" si="1"/>
        <v>sex</v>
      </c>
      <c r="AH5" s="4" t="str">
        <f t="shared" si="1"/>
        <v>sáb</v>
      </c>
      <c r="AI5" s="4" t="str">
        <f t="shared" si="1"/>
        <v>dom</v>
      </c>
      <c r="AJ5" s="4" t="str">
        <f t="shared" si="1"/>
        <v>seg</v>
      </c>
      <c r="AK5" s="4" t="str">
        <f t="shared" si="1"/>
        <v/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2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 t="s">
        <v>9</v>
      </c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 t="s">
        <v>164</v>
      </c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1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 t="s">
        <v>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1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 t="s">
        <v>9</v>
      </c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0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1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 t="s">
        <v>9</v>
      </c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5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1</v>
      </c>
      <c r="N157" s="9">
        <f t="shared" si="27"/>
        <v>0</v>
      </c>
      <c r="O157" s="9">
        <f t="shared" si="27"/>
        <v>1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0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1</v>
      </c>
      <c r="AA157" s="9">
        <f t="shared" si="27"/>
        <v>0</v>
      </c>
      <c r="AB157" s="9">
        <f t="shared" si="27"/>
        <v>0</v>
      </c>
      <c r="AC157" s="9">
        <f t="shared" si="27"/>
        <v>1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1</v>
      </c>
      <c r="AK157" s="9" t="str">
        <f t="shared" si="27"/>
        <v/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27" priority="9" operator="lessThan">
      <formula>0</formula>
    </cfRule>
    <cfRule type="cellIs" dxfId="26" priority="10" operator="equal">
      <formula>0</formula>
    </cfRule>
  </conditionalFormatting>
  <conditionalFormatting sqref="G4:AK5">
    <cfRule type="expression" dxfId="25" priority="11">
      <formula>OR(G$5="sáb",G$5="dom")</formula>
    </cfRule>
  </conditionalFormatting>
  <conditionalFormatting sqref="G6:AK155">
    <cfRule type="cellIs" dxfId="24" priority="2" operator="equal">
      <formula>"F"</formula>
    </cfRule>
    <cfRule type="cellIs" dxfId="23" priority="3" operator="equal">
      <formula>"A"</formula>
    </cfRule>
    <cfRule type="expression" dxfId="22" priority="4">
      <formula>G$4=""</formula>
    </cfRule>
    <cfRule type="cellIs" dxfId="21" priority="24" operator="equal">
      <formula>"HE"</formula>
    </cfRule>
    <cfRule type="cellIs" dxfId="20" priority="25" operator="equal">
      <formula>"FL"</formula>
    </cfRule>
    <cfRule type="cellIs" dxfId="19" priority="26" operator="equal">
      <formula>"AT"</formula>
    </cfRule>
    <cfRule type="cellIs" dxfId="18" priority="14" operator="equal">
      <formula>"FE"</formula>
    </cfRule>
  </conditionalFormatting>
  <conditionalFormatting sqref="G157:AK157">
    <cfRule type="cellIs" dxfId="17" priority="5" operator="greaterThan">
      <formula>2</formula>
    </cfRule>
    <cfRule type="cellIs" dxfId="16" priority="6" operator="equal">
      <formula>2</formula>
    </cfRule>
    <cfRule type="cellIs" dxfId="15" priority="7" operator="equal">
      <formula>1</formula>
    </cfRule>
    <cfRule type="cellIs" dxfId="14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B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AK173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55" sqref="A55:XFD55"/>
    </sheetView>
  </sheetViews>
  <sheetFormatPr defaultColWidth="8.7109375" defaultRowHeight="15" outlineLevelRow="1" x14ac:dyDescent="0.25"/>
  <cols>
    <col min="1" max="1" width="21.42578125" customWidth="1"/>
    <col min="2" max="2" width="35.28515625" customWidth="1"/>
    <col min="3" max="3" width="11" customWidth="1"/>
    <col min="4" max="4" width="9.5703125" customWidth="1"/>
    <col min="5" max="5" width="8.42578125" customWidth="1"/>
    <col min="6" max="6" width="9.5703125" customWidth="1"/>
    <col min="7" max="37" width="4.28515625" customWidth="1"/>
  </cols>
  <sheetData>
    <row r="1" spans="1:37" ht="24" customHeight="1" x14ac:dyDescent="0.25">
      <c r="A1" s="94" t="str">
        <f>"CONTROLE DE FOLGAS 6x1 — "&amp;CHOOSE(B2,"Janeiro","Fevereiro","Março","Abril","Maio","Junho","Julho","Agosto","Setembro","Outubro","Novembro","Dezembro")&amp;"/"&amp;D2</f>
        <v>CONTROLE DE FOLGAS 6x1 — Dezembro/2026</v>
      </c>
      <c r="B1" s="84"/>
      <c r="C1" s="84"/>
      <c r="D1" s="84"/>
      <c r="E1" s="84"/>
      <c r="F1" s="84"/>
      <c r="G1" s="93" t="s">
        <v>37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</row>
    <row r="2" spans="1:37" ht="15" customHeight="1" x14ac:dyDescent="0.25">
      <c r="A2" s="1" t="s">
        <v>5</v>
      </c>
      <c r="B2" s="2">
        <v>12</v>
      </c>
      <c r="C2" s="1" t="s">
        <v>7</v>
      </c>
      <c r="D2" s="2">
        <v>2026</v>
      </c>
      <c r="E2" s="1" t="s">
        <v>38</v>
      </c>
      <c r="F2" s="3">
        <f>DAY(EOMONTH(DATE(D2,B2,1),0))</f>
        <v>31</v>
      </c>
    </row>
    <row r="4" spans="1:37" ht="30" customHeight="1" x14ac:dyDescent="0.25">
      <c r="A4" s="97" t="s">
        <v>26</v>
      </c>
      <c r="B4" s="97" t="s">
        <v>27</v>
      </c>
      <c r="C4" s="95" t="s">
        <v>39</v>
      </c>
      <c r="D4" s="95" t="s">
        <v>29</v>
      </c>
      <c r="E4" s="95" t="s">
        <v>30</v>
      </c>
      <c r="F4" s="95" t="s">
        <v>40</v>
      </c>
      <c r="G4" s="4">
        <f t="shared" ref="G4:AK4" si="0">IF((COLUMN()-6)&lt;=$F$2,COLUMN()-6,"")</f>
        <v>1</v>
      </c>
      <c r="H4" s="4">
        <f t="shared" si="0"/>
        <v>2</v>
      </c>
      <c r="I4" s="4">
        <f t="shared" si="0"/>
        <v>3</v>
      </c>
      <c r="J4" s="4">
        <f t="shared" si="0"/>
        <v>4</v>
      </c>
      <c r="K4" s="4">
        <f t="shared" si="0"/>
        <v>5</v>
      </c>
      <c r="L4" s="4">
        <f t="shared" si="0"/>
        <v>6</v>
      </c>
      <c r="M4" s="4">
        <f t="shared" si="0"/>
        <v>7</v>
      </c>
      <c r="N4" s="4">
        <f t="shared" si="0"/>
        <v>8</v>
      </c>
      <c r="O4" s="4">
        <f t="shared" si="0"/>
        <v>9</v>
      </c>
      <c r="P4" s="4">
        <f t="shared" si="0"/>
        <v>10</v>
      </c>
      <c r="Q4" s="4">
        <f t="shared" si="0"/>
        <v>11</v>
      </c>
      <c r="R4" s="4">
        <f t="shared" si="0"/>
        <v>12</v>
      </c>
      <c r="S4" s="4">
        <f t="shared" si="0"/>
        <v>13</v>
      </c>
      <c r="T4" s="4">
        <f t="shared" si="0"/>
        <v>14</v>
      </c>
      <c r="U4" s="4">
        <f t="shared" si="0"/>
        <v>15</v>
      </c>
      <c r="V4" s="4">
        <f t="shared" si="0"/>
        <v>16</v>
      </c>
      <c r="W4" s="4">
        <f t="shared" si="0"/>
        <v>17</v>
      </c>
      <c r="X4" s="4">
        <f t="shared" si="0"/>
        <v>18</v>
      </c>
      <c r="Y4" s="4">
        <f t="shared" si="0"/>
        <v>19</v>
      </c>
      <c r="Z4" s="4">
        <f t="shared" si="0"/>
        <v>20</v>
      </c>
      <c r="AA4" s="4">
        <f t="shared" si="0"/>
        <v>21</v>
      </c>
      <c r="AB4" s="4">
        <f t="shared" si="0"/>
        <v>22</v>
      </c>
      <c r="AC4" s="4">
        <f t="shared" si="0"/>
        <v>23</v>
      </c>
      <c r="AD4" s="4">
        <f t="shared" si="0"/>
        <v>24</v>
      </c>
      <c r="AE4" s="4">
        <f t="shared" si="0"/>
        <v>25</v>
      </c>
      <c r="AF4" s="4">
        <f t="shared" si="0"/>
        <v>26</v>
      </c>
      <c r="AG4" s="4">
        <f t="shared" si="0"/>
        <v>27</v>
      </c>
      <c r="AH4" s="4">
        <f t="shared" si="0"/>
        <v>28</v>
      </c>
      <c r="AI4" s="4">
        <f t="shared" si="0"/>
        <v>29</v>
      </c>
      <c r="AJ4" s="4">
        <f t="shared" si="0"/>
        <v>30</v>
      </c>
      <c r="AK4" s="4">
        <f t="shared" si="0"/>
        <v>31</v>
      </c>
    </row>
    <row r="5" spans="1:37" ht="15.75" customHeight="1" x14ac:dyDescent="0.25">
      <c r="A5" s="96"/>
      <c r="B5" s="96"/>
      <c r="C5" s="96"/>
      <c r="D5" s="96"/>
      <c r="E5" s="96"/>
      <c r="F5" s="96"/>
      <c r="G5" s="4" t="str">
        <f t="shared" ref="G5:AK5" si="1">IF(G4="","",CHOOSE(WEEKDAY(DATE($D$2,$B$2,G4)),"dom","seg","ter","qua","qui","sex","sáb"))</f>
        <v>ter</v>
      </c>
      <c r="H5" s="4" t="str">
        <f t="shared" si="1"/>
        <v>qua</v>
      </c>
      <c r="I5" s="4" t="str">
        <f t="shared" si="1"/>
        <v>qui</v>
      </c>
      <c r="J5" s="4" t="str">
        <f t="shared" si="1"/>
        <v>sex</v>
      </c>
      <c r="K5" s="4" t="str">
        <f t="shared" si="1"/>
        <v>sáb</v>
      </c>
      <c r="L5" s="4" t="str">
        <f t="shared" si="1"/>
        <v>dom</v>
      </c>
      <c r="M5" s="4" t="str">
        <f t="shared" si="1"/>
        <v>seg</v>
      </c>
      <c r="N5" s="4" t="str">
        <f t="shared" si="1"/>
        <v>ter</v>
      </c>
      <c r="O5" s="4" t="str">
        <f t="shared" si="1"/>
        <v>qua</v>
      </c>
      <c r="P5" s="4" t="str">
        <f t="shared" si="1"/>
        <v>qui</v>
      </c>
      <c r="Q5" s="4" t="str">
        <f t="shared" si="1"/>
        <v>sex</v>
      </c>
      <c r="R5" s="4" t="str">
        <f t="shared" si="1"/>
        <v>sáb</v>
      </c>
      <c r="S5" s="4" t="str">
        <f t="shared" si="1"/>
        <v>dom</v>
      </c>
      <c r="T5" s="4" t="str">
        <f t="shared" si="1"/>
        <v>seg</v>
      </c>
      <c r="U5" s="4" t="str">
        <f t="shared" si="1"/>
        <v>ter</v>
      </c>
      <c r="V5" s="4" t="str">
        <f t="shared" si="1"/>
        <v>qua</v>
      </c>
      <c r="W5" s="4" t="str">
        <f t="shared" si="1"/>
        <v>qui</v>
      </c>
      <c r="X5" s="4" t="str">
        <f t="shared" si="1"/>
        <v>sex</v>
      </c>
      <c r="Y5" s="4" t="str">
        <f t="shared" si="1"/>
        <v>sáb</v>
      </c>
      <c r="Z5" s="4" t="str">
        <f t="shared" si="1"/>
        <v>dom</v>
      </c>
      <c r="AA5" s="4" t="str">
        <f t="shared" si="1"/>
        <v>seg</v>
      </c>
      <c r="AB5" s="4" t="str">
        <f t="shared" si="1"/>
        <v>ter</v>
      </c>
      <c r="AC5" s="4" t="str">
        <f t="shared" si="1"/>
        <v>qua</v>
      </c>
      <c r="AD5" s="4" t="str">
        <f t="shared" si="1"/>
        <v>qui</v>
      </c>
      <c r="AE5" s="4" t="str">
        <f t="shared" si="1"/>
        <v>sex</v>
      </c>
      <c r="AF5" s="4" t="str">
        <f t="shared" si="1"/>
        <v>sáb</v>
      </c>
      <c r="AG5" s="4" t="str">
        <f t="shared" si="1"/>
        <v>dom</v>
      </c>
      <c r="AH5" s="4" t="str">
        <f t="shared" si="1"/>
        <v>seg</v>
      </c>
      <c r="AI5" s="4" t="str">
        <f t="shared" si="1"/>
        <v>ter</v>
      </c>
      <c r="AJ5" s="4" t="str">
        <f t="shared" si="1"/>
        <v>qua</v>
      </c>
      <c r="AK5" s="4" t="str">
        <f t="shared" si="1"/>
        <v>qui</v>
      </c>
    </row>
    <row r="6" spans="1:37" ht="15" customHeight="1" x14ac:dyDescent="0.25">
      <c r="A6" s="5">
        <f t="shared" ref="A6:A37" si="2">IF(B6="","",ROW()-5)</f>
        <v>1</v>
      </c>
      <c r="B6" s="6" t="s">
        <v>41</v>
      </c>
      <c r="C6" s="7">
        <f t="shared" ref="C6:C37" si="3">IF($B6="","",COUNTIF(G6:AK6,"HE"))</f>
        <v>0</v>
      </c>
      <c r="D6" s="8">
        <f t="shared" ref="D6:D37" si="4">IF($B6="","",COUNTIF(G6:AK6,"A"))</f>
        <v>0</v>
      </c>
      <c r="E6" s="8">
        <f t="shared" ref="E6:E37" si="5">IF($B6="","",COUNTIF(G6:AK6,"F"))</f>
        <v>0</v>
      </c>
      <c r="F6" s="9">
        <f t="shared" ref="F6:F37" si="6">IF($B6="","",C6-E6)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5" customHeight="1" x14ac:dyDescent="0.25">
      <c r="A7" s="5">
        <f t="shared" si="2"/>
        <v>2</v>
      </c>
      <c r="B7" s="10" t="s">
        <v>42</v>
      </c>
      <c r="C7" s="7">
        <f t="shared" si="3"/>
        <v>0</v>
      </c>
      <c r="D7" s="8">
        <f t="shared" si="4"/>
        <v>0</v>
      </c>
      <c r="E7" s="8">
        <f t="shared" si="5"/>
        <v>0</v>
      </c>
      <c r="F7" s="9">
        <f t="shared" si="6"/>
        <v>0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ht="15" customHeight="1" x14ac:dyDescent="0.25">
      <c r="A8" s="5">
        <f t="shared" si="2"/>
        <v>3</v>
      </c>
      <c r="B8" s="6" t="s">
        <v>43</v>
      </c>
      <c r="C8" s="7">
        <f t="shared" si="3"/>
        <v>0</v>
      </c>
      <c r="D8" s="8">
        <f t="shared" si="4"/>
        <v>0</v>
      </c>
      <c r="E8" s="8">
        <f t="shared" si="5"/>
        <v>0</v>
      </c>
      <c r="F8" s="9">
        <f t="shared" si="6"/>
        <v>0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ht="15" customHeight="1" x14ac:dyDescent="0.25">
      <c r="A9" s="5">
        <f t="shared" si="2"/>
        <v>4</v>
      </c>
      <c r="B9" s="10" t="s">
        <v>44</v>
      </c>
      <c r="C9" s="7">
        <f t="shared" si="3"/>
        <v>0</v>
      </c>
      <c r="D9" s="8">
        <f t="shared" si="4"/>
        <v>0</v>
      </c>
      <c r="E9" s="8">
        <f t="shared" si="5"/>
        <v>0</v>
      </c>
      <c r="F9" s="9">
        <f t="shared" si="6"/>
        <v>0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</row>
    <row r="10" spans="1:37" ht="15" customHeight="1" x14ac:dyDescent="0.25">
      <c r="A10" s="5">
        <f t="shared" si="2"/>
        <v>5</v>
      </c>
      <c r="B10" s="6" t="s">
        <v>45</v>
      </c>
      <c r="C10" s="7">
        <f t="shared" si="3"/>
        <v>0</v>
      </c>
      <c r="D10" s="8">
        <f t="shared" si="4"/>
        <v>0</v>
      </c>
      <c r="E10" s="8">
        <f t="shared" si="5"/>
        <v>0</v>
      </c>
      <c r="F10" s="9">
        <f t="shared" si="6"/>
        <v>0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</row>
    <row r="11" spans="1:37" ht="15" customHeight="1" x14ac:dyDescent="0.25">
      <c r="A11" s="5">
        <f t="shared" si="2"/>
        <v>6</v>
      </c>
      <c r="B11" s="6" t="s">
        <v>46</v>
      </c>
      <c r="C11" s="7">
        <f t="shared" si="3"/>
        <v>0</v>
      </c>
      <c r="D11" s="8">
        <f t="shared" si="4"/>
        <v>0</v>
      </c>
      <c r="E11" s="8">
        <f t="shared" si="5"/>
        <v>0</v>
      </c>
      <c r="F11" s="9">
        <f t="shared" si="6"/>
        <v>0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</row>
    <row r="12" spans="1:37" ht="15" customHeight="1" x14ac:dyDescent="0.25">
      <c r="A12" s="5">
        <f t="shared" si="2"/>
        <v>7</v>
      </c>
      <c r="B12" s="6" t="s">
        <v>47</v>
      </c>
      <c r="C12" s="7">
        <f t="shared" si="3"/>
        <v>0</v>
      </c>
      <c r="D12" s="8">
        <f t="shared" si="4"/>
        <v>0</v>
      </c>
      <c r="E12" s="8">
        <f t="shared" si="5"/>
        <v>0</v>
      </c>
      <c r="F12" s="9">
        <f t="shared" si="6"/>
        <v>0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</row>
    <row r="13" spans="1:37" ht="15" customHeight="1" x14ac:dyDescent="0.25">
      <c r="A13" s="5">
        <f t="shared" si="2"/>
        <v>8</v>
      </c>
      <c r="B13" s="6" t="s">
        <v>48</v>
      </c>
      <c r="C13" s="7">
        <f t="shared" si="3"/>
        <v>0</v>
      </c>
      <c r="D13" s="8">
        <f t="shared" si="4"/>
        <v>0</v>
      </c>
      <c r="E13" s="8">
        <f t="shared" si="5"/>
        <v>0</v>
      </c>
      <c r="F13" s="9">
        <f t="shared" si="6"/>
        <v>0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</row>
    <row r="14" spans="1:37" ht="15" customHeight="1" x14ac:dyDescent="0.25">
      <c r="A14" s="5">
        <f t="shared" si="2"/>
        <v>9</v>
      </c>
      <c r="B14" s="6" t="s">
        <v>49</v>
      </c>
      <c r="C14" s="7">
        <f t="shared" si="3"/>
        <v>0</v>
      </c>
      <c r="D14" s="8">
        <f t="shared" si="4"/>
        <v>0</v>
      </c>
      <c r="E14" s="8">
        <f t="shared" si="5"/>
        <v>0</v>
      </c>
      <c r="F14" s="9">
        <f t="shared" si="6"/>
        <v>0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</row>
    <row r="15" spans="1:37" ht="15" customHeight="1" x14ac:dyDescent="0.25">
      <c r="A15" s="5">
        <f t="shared" si="2"/>
        <v>10</v>
      </c>
      <c r="B15" s="6" t="s">
        <v>50</v>
      </c>
      <c r="C15" s="7">
        <f t="shared" si="3"/>
        <v>0</v>
      </c>
      <c r="D15" s="8">
        <f t="shared" si="4"/>
        <v>0</v>
      </c>
      <c r="E15" s="8">
        <f t="shared" si="5"/>
        <v>0</v>
      </c>
      <c r="F15" s="9">
        <f t="shared" si="6"/>
        <v>0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</row>
    <row r="16" spans="1:37" ht="15" customHeight="1" x14ac:dyDescent="0.25">
      <c r="A16" s="5">
        <f t="shared" si="2"/>
        <v>11</v>
      </c>
      <c r="B16" s="6" t="s">
        <v>51</v>
      </c>
      <c r="C16" s="7">
        <f t="shared" si="3"/>
        <v>0</v>
      </c>
      <c r="D16" s="8">
        <f t="shared" si="4"/>
        <v>0</v>
      </c>
      <c r="E16" s="8">
        <f t="shared" si="5"/>
        <v>0</v>
      </c>
      <c r="F16" s="9">
        <f t="shared" si="6"/>
        <v>0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</row>
    <row r="17" spans="1:37" ht="15" customHeight="1" x14ac:dyDescent="0.25">
      <c r="A17" s="5">
        <f t="shared" si="2"/>
        <v>12</v>
      </c>
      <c r="B17" s="6" t="s">
        <v>52</v>
      </c>
      <c r="C17" s="7">
        <f t="shared" si="3"/>
        <v>0</v>
      </c>
      <c r="D17" s="8">
        <f t="shared" si="4"/>
        <v>0</v>
      </c>
      <c r="E17" s="8">
        <f t="shared" si="5"/>
        <v>0</v>
      </c>
      <c r="F17" s="9">
        <f t="shared" si="6"/>
        <v>0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</row>
    <row r="18" spans="1:37" ht="15" customHeight="1" x14ac:dyDescent="0.25">
      <c r="A18" s="5">
        <f t="shared" si="2"/>
        <v>13</v>
      </c>
      <c r="B18" s="6" t="s">
        <v>53</v>
      </c>
      <c r="C18" s="7">
        <f t="shared" si="3"/>
        <v>0</v>
      </c>
      <c r="D18" s="8">
        <f t="shared" si="4"/>
        <v>0</v>
      </c>
      <c r="E18" s="8">
        <f t="shared" si="5"/>
        <v>0</v>
      </c>
      <c r="F18" s="9">
        <f t="shared" si="6"/>
        <v>0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</row>
    <row r="19" spans="1:37" ht="15" customHeight="1" x14ac:dyDescent="0.25">
      <c r="A19" s="5">
        <f t="shared" si="2"/>
        <v>14</v>
      </c>
      <c r="B19" s="6" t="s">
        <v>54</v>
      </c>
      <c r="C19" s="7">
        <f t="shared" si="3"/>
        <v>0</v>
      </c>
      <c r="D19" s="8">
        <f t="shared" si="4"/>
        <v>0</v>
      </c>
      <c r="E19" s="8">
        <f t="shared" si="5"/>
        <v>0</v>
      </c>
      <c r="F19" s="9">
        <f t="shared" si="6"/>
        <v>0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</row>
    <row r="20" spans="1:37" ht="15" customHeight="1" x14ac:dyDescent="0.25">
      <c r="A20" s="5">
        <f t="shared" si="2"/>
        <v>15</v>
      </c>
      <c r="B20" s="6" t="s">
        <v>55</v>
      </c>
      <c r="C20" s="7">
        <f t="shared" si="3"/>
        <v>0</v>
      </c>
      <c r="D20" s="8">
        <f t="shared" si="4"/>
        <v>0</v>
      </c>
      <c r="E20" s="8">
        <f t="shared" si="5"/>
        <v>0</v>
      </c>
      <c r="F20" s="9">
        <f t="shared" si="6"/>
        <v>0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</row>
    <row r="21" spans="1:37" ht="15" customHeight="1" x14ac:dyDescent="0.25">
      <c r="A21" s="5">
        <f t="shared" si="2"/>
        <v>16</v>
      </c>
      <c r="B21" s="6" t="s">
        <v>56</v>
      </c>
      <c r="C21" s="7">
        <f t="shared" si="3"/>
        <v>0</v>
      </c>
      <c r="D21" s="8">
        <f t="shared" si="4"/>
        <v>0</v>
      </c>
      <c r="E21" s="8">
        <f t="shared" si="5"/>
        <v>0</v>
      </c>
      <c r="F21" s="9">
        <f t="shared" si="6"/>
        <v>0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</row>
    <row r="22" spans="1:37" ht="15" customHeight="1" x14ac:dyDescent="0.25">
      <c r="A22" s="5">
        <f t="shared" si="2"/>
        <v>17</v>
      </c>
      <c r="B22" s="6" t="s">
        <v>57</v>
      </c>
      <c r="C22" s="7">
        <f t="shared" si="3"/>
        <v>0</v>
      </c>
      <c r="D22" s="8">
        <f t="shared" si="4"/>
        <v>0</v>
      </c>
      <c r="E22" s="8">
        <f t="shared" si="5"/>
        <v>0</v>
      </c>
      <c r="F22" s="9">
        <f t="shared" si="6"/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</row>
    <row r="23" spans="1:37" ht="15" customHeight="1" x14ac:dyDescent="0.25">
      <c r="A23" s="5">
        <f t="shared" si="2"/>
        <v>18</v>
      </c>
      <c r="B23" s="6" t="s">
        <v>58</v>
      </c>
      <c r="C23" s="7">
        <f t="shared" si="3"/>
        <v>0</v>
      </c>
      <c r="D23" s="8">
        <f t="shared" si="4"/>
        <v>0</v>
      </c>
      <c r="E23" s="8">
        <f t="shared" si="5"/>
        <v>0</v>
      </c>
      <c r="F23" s="9">
        <f t="shared" si="6"/>
        <v>0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</row>
    <row r="24" spans="1:37" ht="15" customHeight="1" x14ac:dyDescent="0.25">
      <c r="A24" s="5">
        <f t="shared" si="2"/>
        <v>19</v>
      </c>
      <c r="B24" s="6" t="s">
        <v>59</v>
      </c>
      <c r="C24" s="7">
        <f t="shared" si="3"/>
        <v>0</v>
      </c>
      <c r="D24" s="8">
        <f t="shared" si="4"/>
        <v>0</v>
      </c>
      <c r="E24" s="8">
        <f t="shared" si="5"/>
        <v>0</v>
      </c>
      <c r="F24" s="9">
        <f t="shared" si="6"/>
        <v>0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</row>
    <row r="25" spans="1:37" ht="15" customHeight="1" x14ac:dyDescent="0.25">
      <c r="A25" s="5">
        <f t="shared" si="2"/>
        <v>20</v>
      </c>
      <c r="B25" s="6" t="s">
        <v>60</v>
      </c>
      <c r="C25" s="7">
        <f t="shared" si="3"/>
        <v>0</v>
      </c>
      <c r="D25" s="8">
        <f t="shared" si="4"/>
        <v>0</v>
      </c>
      <c r="E25" s="8">
        <f t="shared" si="5"/>
        <v>0</v>
      </c>
      <c r="F25" s="9">
        <f t="shared" si="6"/>
        <v>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</row>
    <row r="26" spans="1:37" ht="15" customHeight="1" x14ac:dyDescent="0.25">
      <c r="A26" s="5">
        <f t="shared" si="2"/>
        <v>21</v>
      </c>
      <c r="B26" s="6" t="s">
        <v>61</v>
      </c>
      <c r="C26" s="7">
        <f t="shared" si="3"/>
        <v>0</v>
      </c>
      <c r="D26" s="8">
        <f t="shared" si="4"/>
        <v>0</v>
      </c>
      <c r="E26" s="8">
        <f t="shared" si="5"/>
        <v>0</v>
      </c>
      <c r="F26" s="9">
        <f t="shared" si="6"/>
        <v>0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</row>
    <row r="27" spans="1:37" ht="15" customHeight="1" x14ac:dyDescent="0.25">
      <c r="A27" s="5">
        <f t="shared" si="2"/>
        <v>22</v>
      </c>
      <c r="B27" s="6" t="s">
        <v>62</v>
      </c>
      <c r="C27" s="7">
        <f t="shared" si="3"/>
        <v>0</v>
      </c>
      <c r="D27" s="8">
        <f t="shared" si="4"/>
        <v>0</v>
      </c>
      <c r="E27" s="8">
        <f t="shared" si="5"/>
        <v>0</v>
      </c>
      <c r="F27" s="9">
        <f t="shared" si="6"/>
        <v>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</row>
    <row r="28" spans="1:37" ht="15" customHeight="1" x14ac:dyDescent="0.25">
      <c r="A28" s="5">
        <f t="shared" si="2"/>
        <v>23</v>
      </c>
      <c r="B28" s="6" t="s">
        <v>63</v>
      </c>
      <c r="C28" s="7">
        <f t="shared" si="3"/>
        <v>0</v>
      </c>
      <c r="D28" s="8">
        <f t="shared" si="4"/>
        <v>1</v>
      </c>
      <c r="E28" s="8">
        <f t="shared" si="5"/>
        <v>0</v>
      </c>
      <c r="F28" s="9">
        <f t="shared" si="6"/>
        <v>0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 t="s">
        <v>9</v>
      </c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</row>
    <row r="29" spans="1:37" ht="15" customHeight="1" x14ac:dyDescent="0.25">
      <c r="A29" s="5">
        <f t="shared" si="2"/>
        <v>24</v>
      </c>
      <c r="B29" s="6" t="s">
        <v>64</v>
      </c>
      <c r="C29" s="7">
        <f t="shared" si="3"/>
        <v>0</v>
      </c>
      <c r="D29" s="8">
        <f t="shared" si="4"/>
        <v>0</v>
      </c>
      <c r="E29" s="8">
        <f t="shared" si="5"/>
        <v>0</v>
      </c>
      <c r="F29" s="9">
        <f t="shared" si="6"/>
        <v>0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1:37" ht="15" customHeight="1" x14ac:dyDescent="0.25">
      <c r="A30" s="5">
        <f t="shared" si="2"/>
        <v>25</v>
      </c>
      <c r="B30" s="6" t="s">
        <v>65</v>
      </c>
      <c r="C30" s="7">
        <f t="shared" si="3"/>
        <v>0</v>
      </c>
      <c r="D30" s="8">
        <f t="shared" si="4"/>
        <v>0</v>
      </c>
      <c r="E30" s="8">
        <f t="shared" si="5"/>
        <v>0</v>
      </c>
      <c r="F30" s="9">
        <f t="shared" si="6"/>
        <v>0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1:37" ht="15" customHeight="1" x14ac:dyDescent="0.25">
      <c r="A31" s="5">
        <f t="shared" si="2"/>
        <v>26</v>
      </c>
      <c r="B31" s="6" t="s">
        <v>66</v>
      </c>
      <c r="C31" s="7">
        <f t="shared" si="3"/>
        <v>0</v>
      </c>
      <c r="D31" s="8">
        <f t="shared" si="4"/>
        <v>0</v>
      </c>
      <c r="E31" s="8">
        <f t="shared" si="5"/>
        <v>0</v>
      </c>
      <c r="F31" s="9">
        <f t="shared" si="6"/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1:37" ht="15" customHeight="1" x14ac:dyDescent="0.25">
      <c r="A32" s="5">
        <f t="shared" si="2"/>
        <v>27</v>
      </c>
      <c r="B32" s="6" t="s">
        <v>67</v>
      </c>
      <c r="C32" s="7">
        <f t="shared" si="3"/>
        <v>0</v>
      </c>
      <c r="D32" s="8">
        <f t="shared" si="4"/>
        <v>0</v>
      </c>
      <c r="E32" s="8">
        <f t="shared" si="5"/>
        <v>0</v>
      </c>
      <c r="F32" s="9">
        <f t="shared" si="6"/>
        <v>0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1:37" ht="15" customHeight="1" x14ac:dyDescent="0.25">
      <c r="A33" s="5">
        <f t="shared" si="2"/>
        <v>28</v>
      </c>
      <c r="B33" s="6" t="s">
        <v>68</v>
      </c>
      <c r="C33" s="7">
        <f t="shared" si="3"/>
        <v>0</v>
      </c>
      <c r="D33" s="8">
        <f t="shared" si="4"/>
        <v>0</v>
      </c>
      <c r="E33" s="8">
        <f t="shared" si="5"/>
        <v>0</v>
      </c>
      <c r="F33" s="9">
        <f t="shared" si="6"/>
        <v>0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1:37" ht="15" customHeight="1" x14ac:dyDescent="0.25">
      <c r="A34" s="5">
        <f t="shared" si="2"/>
        <v>29</v>
      </c>
      <c r="B34" s="6" t="s">
        <v>69</v>
      </c>
      <c r="C34" s="7">
        <f t="shared" si="3"/>
        <v>0</v>
      </c>
      <c r="D34" s="8">
        <f t="shared" si="4"/>
        <v>0</v>
      </c>
      <c r="E34" s="8">
        <f t="shared" si="5"/>
        <v>0</v>
      </c>
      <c r="F34" s="9">
        <f t="shared" si="6"/>
        <v>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</row>
    <row r="35" spans="1:37" ht="15" customHeight="1" x14ac:dyDescent="0.25">
      <c r="A35" s="5">
        <f t="shared" si="2"/>
        <v>30</v>
      </c>
      <c r="B35" s="6" t="s">
        <v>70</v>
      </c>
      <c r="C35" s="7">
        <f t="shared" si="3"/>
        <v>0</v>
      </c>
      <c r="D35" s="8">
        <f t="shared" si="4"/>
        <v>0</v>
      </c>
      <c r="E35" s="8">
        <f t="shared" si="5"/>
        <v>0</v>
      </c>
      <c r="F35" s="9">
        <f t="shared" si="6"/>
        <v>0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1:37" ht="15" customHeight="1" x14ac:dyDescent="0.25">
      <c r="A36" s="5">
        <f t="shared" si="2"/>
        <v>31</v>
      </c>
      <c r="B36" s="6" t="s">
        <v>71</v>
      </c>
      <c r="C36" s="7">
        <f t="shared" si="3"/>
        <v>0</v>
      </c>
      <c r="D36" s="8">
        <f t="shared" si="4"/>
        <v>0</v>
      </c>
      <c r="E36" s="8">
        <f t="shared" si="5"/>
        <v>0</v>
      </c>
      <c r="F36" s="9">
        <f t="shared" si="6"/>
        <v>0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1:37" ht="15" customHeight="1" x14ac:dyDescent="0.25">
      <c r="A37" s="5">
        <f t="shared" si="2"/>
        <v>32</v>
      </c>
      <c r="B37" s="6" t="s">
        <v>72</v>
      </c>
      <c r="C37" s="7">
        <f t="shared" si="3"/>
        <v>0</v>
      </c>
      <c r="D37" s="8">
        <f t="shared" si="4"/>
        <v>0</v>
      </c>
      <c r="E37" s="8">
        <f t="shared" si="5"/>
        <v>0</v>
      </c>
      <c r="F37" s="9">
        <f t="shared" si="6"/>
        <v>0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</row>
    <row r="38" spans="1:37" ht="15" customHeight="1" x14ac:dyDescent="0.25">
      <c r="A38" s="5">
        <f t="shared" ref="A38:A69" si="7">IF(B38="","",ROW()-5)</f>
        <v>33</v>
      </c>
      <c r="B38" s="6" t="s">
        <v>73</v>
      </c>
      <c r="C38" s="7">
        <f t="shared" ref="C38:C69" si="8">IF($B38="","",COUNTIF(G38:AK38,"HE"))</f>
        <v>0</v>
      </c>
      <c r="D38" s="8">
        <f t="shared" ref="D38:D69" si="9">IF($B38="","",COUNTIF(G38:AK38,"A"))</f>
        <v>0</v>
      </c>
      <c r="E38" s="8">
        <f t="shared" ref="E38:E69" si="10">IF($B38="","",COUNTIF(G38:AK38,"F"))</f>
        <v>0</v>
      </c>
      <c r="F38" s="9">
        <f t="shared" ref="F38:F69" si="11">IF($B38="","",C38-E38)</f>
        <v>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</row>
    <row r="39" spans="1:37" ht="15" customHeight="1" x14ac:dyDescent="0.25">
      <c r="A39" s="5">
        <f t="shared" si="7"/>
        <v>34</v>
      </c>
      <c r="B39" s="6" t="s">
        <v>74</v>
      </c>
      <c r="C39" s="7">
        <f t="shared" si="8"/>
        <v>0</v>
      </c>
      <c r="D39" s="8">
        <f t="shared" si="9"/>
        <v>0</v>
      </c>
      <c r="E39" s="8">
        <f t="shared" si="10"/>
        <v>0</v>
      </c>
      <c r="F39" s="9">
        <f t="shared" si="11"/>
        <v>0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</row>
    <row r="40" spans="1:37" ht="15" customHeight="1" x14ac:dyDescent="0.25">
      <c r="A40" s="5">
        <f t="shared" si="7"/>
        <v>35</v>
      </c>
      <c r="B40" s="6" t="s">
        <v>75</v>
      </c>
      <c r="C40" s="7">
        <f t="shared" si="8"/>
        <v>0</v>
      </c>
      <c r="D40" s="8">
        <f t="shared" si="9"/>
        <v>0</v>
      </c>
      <c r="E40" s="8">
        <f t="shared" si="10"/>
        <v>0</v>
      </c>
      <c r="F40" s="9">
        <f t="shared" si="11"/>
        <v>0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</row>
    <row r="41" spans="1:37" ht="15" customHeight="1" x14ac:dyDescent="0.25">
      <c r="A41" s="5">
        <f t="shared" si="7"/>
        <v>36</v>
      </c>
      <c r="B41" s="6" t="s">
        <v>76</v>
      </c>
      <c r="C41" s="7">
        <f t="shared" si="8"/>
        <v>0</v>
      </c>
      <c r="D41" s="8">
        <f t="shared" si="9"/>
        <v>0</v>
      </c>
      <c r="E41" s="8">
        <f t="shared" si="10"/>
        <v>0</v>
      </c>
      <c r="F41" s="9">
        <f t="shared" si="11"/>
        <v>0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</row>
    <row r="42" spans="1:37" ht="15" customHeight="1" x14ac:dyDescent="0.25">
      <c r="A42" s="5">
        <f t="shared" si="7"/>
        <v>37</v>
      </c>
      <c r="B42" s="6" t="s">
        <v>77</v>
      </c>
      <c r="C42" s="7">
        <f t="shared" si="8"/>
        <v>0</v>
      </c>
      <c r="D42" s="8">
        <f t="shared" si="9"/>
        <v>0</v>
      </c>
      <c r="E42" s="8">
        <f t="shared" si="10"/>
        <v>0</v>
      </c>
      <c r="F42" s="9">
        <f t="shared" si="11"/>
        <v>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</row>
    <row r="43" spans="1:37" ht="15" customHeight="1" x14ac:dyDescent="0.25">
      <c r="A43" s="5">
        <f t="shared" si="7"/>
        <v>38</v>
      </c>
      <c r="B43" s="6" t="s">
        <v>78</v>
      </c>
      <c r="C43" s="7">
        <f t="shared" si="8"/>
        <v>0</v>
      </c>
      <c r="D43" s="8">
        <f t="shared" si="9"/>
        <v>0</v>
      </c>
      <c r="E43" s="8">
        <f t="shared" si="10"/>
        <v>0</v>
      </c>
      <c r="F43" s="9">
        <f t="shared" si="11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</row>
    <row r="44" spans="1:37" ht="15" customHeight="1" x14ac:dyDescent="0.25">
      <c r="A44" s="5">
        <f t="shared" si="7"/>
        <v>39</v>
      </c>
      <c r="B44" s="6" t="s">
        <v>79</v>
      </c>
      <c r="C44" s="7">
        <f t="shared" si="8"/>
        <v>0</v>
      </c>
      <c r="D44" s="8">
        <f t="shared" si="9"/>
        <v>0</v>
      </c>
      <c r="E44" s="8">
        <f t="shared" si="10"/>
        <v>0</v>
      </c>
      <c r="F44" s="9">
        <f t="shared" si="11"/>
        <v>0</v>
      </c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</row>
    <row r="45" spans="1:37" ht="15" customHeight="1" x14ac:dyDescent="0.25">
      <c r="A45" s="5">
        <f t="shared" si="7"/>
        <v>40</v>
      </c>
      <c r="B45" s="6" t="s">
        <v>80</v>
      </c>
      <c r="C45" s="7">
        <f t="shared" si="8"/>
        <v>0</v>
      </c>
      <c r="D45" s="8">
        <f t="shared" si="9"/>
        <v>0</v>
      </c>
      <c r="E45" s="8">
        <f t="shared" si="10"/>
        <v>0</v>
      </c>
      <c r="F45" s="9">
        <f t="shared" si="11"/>
        <v>0</v>
      </c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</row>
    <row r="46" spans="1:37" ht="15" customHeight="1" x14ac:dyDescent="0.25">
      <c r="A46" s="5">
        <f t="shared" si="7"/>
        <v>41</v>
      </c>
      <c r="B46" s="6" t="s">
        <v>81</v>
      </c>
      <c r="C46" s="7">
        <f t="shared" si="8"/>
        <v>0</v>
      </c>
      <c r="D46" s="8">
        <f t="shared" si="9"/>
        <v>0</v>
      </c>
      <c r="E46" s="8">
        <f t="shared" si="10"/>
        <v>0</v>
      </c>
      <c r="F46" s="9">
        <f t="shared" si="11"/>
        <v>0</v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</row>
    <row r="47" spans="1:37" ht="15" customHeight="1" x14ac:dyDescent="0.25">
      <c r="A47" s="5">
        <f t="shared" si="7"/>
        <v>42</v>
      </c>
      <c r="B47" s="6" t="s">
        <v>82</v>
      </c>
      <c r="C47" s="7">
        <f t="shared" si="8"/>
        <v>0</v>
      </c>
      <c r="D47" s="8">
        <f t="shared" si="9"/>
        <v>0</v>
      </c>
      <c r="E47" s="8">
        <f t="shared" si="10"/>
        <v>0</v>
      </c>
      <c r="F47" s="9">
        <f t="shared" si="11"/>
        <v>0</v>
      </c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</row>
    <row r="48" spans="1:37" ht="15" customHeight="1" x14ac:dyDescent="0.25">
      <c r="A48" s="5">
        <f t="shared" si="7"/>
        <v>43</v>
      </c>
      <c r="B48" s="6" t="s">
        <v>83</v>
      </c>
      <c r="C48" s="7">
        <f t="shared" si="8"/>
        <v>0</v>
      </c>
      <c r="D48" s="8">
        <f t="shared" si="9"/>
        <v>0</v>
      </c>
      <c r="E48" s="8">
        <f t="shared" si="10"/>
        <v>0</v>
      </c>
      <c r="F48" s="9">
        <f t="shared" si="11"/>
        <v>0</v>
      </c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</row>
    <row r="49" spans="1:37" ht="15" customHeight="1" x14ac:dyDescent="0.25">
      <c r="A49" s="5">
        <f t="shared" si="7"/>
        <v>44</v>
      </c>
      <c r="B49" s="6" t="s">
        <v>84</v>
      </c>
      <c r="C49" s="7">
        <f t="shared" si="8"/>
        <v>0</v>
      </c>
      <c r="D49" s="8">
        <f t="shared" si="9"/>
        <v>0</v>
      </c>
      <c r="E49" s="8">
        <f t="shared" si="10"/>
        <v>0</v>
      </c>
      <c r="F49" s="9">
        <f t="shared" si="11"/>
        <v>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</row>
    <row r="50" spans="1:37" ht="15" customHeight="1" x14ac:dyDescent="0.25">
      <c r="A50" s="5">
        <f t="shared" si="7"/>
        <v>45</v>
      </c>
      <c r="B50" s="6" t="s">
        <v>85</v>
      </c>
      <c r="C50" s="7">
        <f t="shared" si="8"/>
        <v>0</v>
      </c>
      <c r="D50" s="8">
        <f t="shared" si="9"/>
        <v>0</v>
      </c>
      <c r="E50" s="8">
        <f t="shared" si="10"/>
        <v>0</v>
      </c>
      <c r="F50" s="9">
        <f t="shared" si="11"/>
        <v>0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</row>
    <row r="51" spans="1:37" ht="15" customHeight="1" x14ac:dyDescent="0.25">
      <c r="A51" s="5">
        <f t="shared" si="7"/>
        <v>46</v>
      </c>
      <c r="B51" s="6" t="s">
        <v>86</v>
      </c>
      <c r="C51" s="7">
        <f t="shared" si="8"/>
        <v>0</v>
      </c>
      <c r="D51" s="8">
        <f t="shared" si="9"/>
        <v>0</v>
      </c>
      <c r="E51" s="8">
        <f t="shared" si="10"/>
        <v>0</v>
      </c>
      <c r="F51" s="9">
        <f t="shared" si="11"/>
        <v>0</v>
      </c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</row>
    <row r="52" spans="1:37" ht="15" customHeight="1" x14ac:dyDescent="0.25">
      <c r="A52" s="5">
        <f t="shared" si="7"/>
        <v>47</v>
      </c>
      <c r="B52" s="6" t="s">
        <v>87</v>
      </c>
      <c r="C52" s="7">
        <f t="shared" si="8"/>
        <v>0</v>
      </c>
      <c r="D52" s="8">
        <f t="shared" si="9"/>
        <v>0</v>
      </c>
      <c r="E52" s="8">
        <f t="shared" si="10"/>
        <v>0</v>
      </c>
      <c r="F52" s="9">
        <f t="shared" si="11"/>
        <v>0</v>
      </c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</row>
    <row r="53" spans="1:37" ht="15" customHeight="1" x14ac:dyDescent="0.25">
      <c r="A53" s="5">
        <f t="shared" si="7"/>
        <v>48</v>
      </c>
      <c r="B53" s="6" t="s">
        <v>88</v>
      </c>
      <c r="C53" s="7">
        <f t="shared" si="8"/>
        <v>0</v>
      </c>
      <c r="D53" s="8">
        <f t="shared" si="9"/>
        <v>0</v>
      </c>
      <c r="E53" s="8">
        <f t="shared" si="10"/>
        <v>0</v>
      </c>
      <c r="F53" s="9">
        <f t="shared" si="11"/>
        <v>0</v>
      </c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</row>
    <row r="54" spans="1:37" ht="15" customHeight="1" x14ac:dyDescent="0.25">
      <c r="A54" s="5">
        <f t="shared" si="7"/>
        <v>49</v>
      </c>
      <c r="B54" s="6" t="s">
        <v>89</v>
      </c>
      <c r="C54" s="7">
        <f t="shared" si="8"/>
        <v>0</v>
      </c>
      <c r="D54" s="8">
        <f t="shared" si="9"/>
        <v>0</v>
      </c>
      <c r="E54" s="8">
        <f t="shared" si="10"/>
        <v>0</v>
      </c>
      <c r="F54" s="9">
        <f t="shared" si="11"/>
        <v>0</v>
      </c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1:37" ht="15" customHeight="1" x14ac:dyDescent="0.25">
      <c r="A55" s="44">
        <f t="shared" si="7"/>
        <v>50</v>
      </c>
      <c r="B55" t="s">
        <v>90</v>
      </c>
      <c r="C55" s="7">
        <f t="shared" si="8"/>
        <v>0</v>
      </c>
      <c r="D55" s="8">
        <f t="shared" si="9"/>
        <v>0</v>
      </c>
      <c r="E55" s="8">
        <f t="shared" si="10"/>
        <v>0</v>
      </c>
      <c r="F55" s="9">
        <f t="shared" si="11"/>
        <v>0</v>
      </c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1:37" x14ac:dyDescent="0.25">
      <c r="A56" s="5">
        <f t="shared" si="7"/>
        <v>51</v>
      </c>
      <c r="B56" s="6" t="s">
        <v>91</v>
      </c>
      <c r="C56" s="7">
        <f t="shared" si="8"/>
        <v>0</v>
      </c>
      <c r="D56" s="8">
        <f t="shared" si="9"/>
        <v>0</v>
      </c>
      <c r="E56" s="8">
        <f t="shared" si="10"/>
        <v>0</v>
      </c>
      <c r="F56" s="9">
        <f t="shared" si="11"/>
        <v>0</v>
      </c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1:37" ht="15" customHeight="1" x14ac:dyDescent="0.25">
      <c r="A57" s="5">
        <f t="shared" si="7"/>
        <v>52</v>
      </c>
      <c r="B57" s="6" t="s">
        <v>92</v>
      </c>
      <c r="C57" s="7">
        <f t="shared" si="8"/>
        <v>0</v>
      </c>
      <c r="D57" s="8">
        <f t="shared" si="9"/>
        <v>0</v>
      </c>
      <c r="E57" s="8">
        <f t="shared" si="10"/>
        <v>0</v>
      </c>
      <c r="F57" s="9">
        <f t="shared" si="11"/>
        <v>0</v>
      </c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1:37" ht="15" customHeight="1" x14ac:dyDescent="0.25">
      <c r="A58" s="5">
        <f t="shared" si="7"/>
        <v>53</v>
      </c>
      <c r="B58" s="45" t="s">
        <v>93</v>
      </c>
      <c r="C58" s="7">
        <f t="shared" si="8"/>
        <v>0</v>
      </c>
      <c r="D58" s="8">
        <f t="shared" si="9"/>
        <v>0</v>
      </c>
      <c r="E58" s="8">
        <f t="shared" si="10"/>
        <v>0</v>
      </c>
      <c r="F58" s="9">
        <f t="shared" si="11"/>
        <v>0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1:37" ht="15" customHeight="1" x14ac:dyDescent="0.25">
      <c r="A59" s="5">
        <f t="shared" si="7"/>
        <v>54</v>
      </c>
      <c r="B59" s="45" t="s">
        <v>94</v>
      </c>
      <c r="C59" s="7">
        <f t="shared" si="8"/>
        <v>0</v>
      </c>
      <c r="D59" s="8">
        <f t="shared" si="9"/>
        <v>0</v>
      </c>
      <c r="E59" s="8">
        <f t="shared" si="10"/>
        <v>0</v>
      </c>
      <c r="F59" s="9">
        <f t="shared" si="11"/>
        <v>0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1:37" ht="15" customHeight="1" x14ac:dyDescent="0.25">
      <c r="A60" s="5">
        <f t="shared" si="7"/>
        <v>55</v>
      </c>
      <c r="B60" s="45" t="s">
        <v>95</v>
      </c>
      <c r="C60" s="7">
        <f t="shared" si="8"/>
        <v>0</v>
      </c>
      <c r="D60" s="8">
        <f t="shared" si="9"/>
        <v>0</v>
      </c>
      <c r="E60" s="8">
        <f t="shared" si="10"/>
        <v>0</v>
      </c>
      <c r="F60" s="9">
        <f t="shared" si="11"/>
        <v>0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1:37" ht="15" customHeight="1" x14ac:dyDescent="0.25">
      <c r="A61" s="5">
        <f t="shared" si="7"/>
        <v>56</v>
      </c>
      <c r="B61" s="45" t="s">
        <v>96</v>
      </c>
      <c r="C61" s="7">
        <f t="shared" si="8"/>
        <v>0</v>
      </c>
      <c r="D61" s="8">
        <f t="shared" si="9"/>
        <v>0</v>
      </c>
      <c r="E61" s="8">
        <f t="shared" si="10"/>
        <v>0</v>
      </c>
      <c r="F61" s="9">
        <f t="shared" si="11"/>
        <v>0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1:37" ht="15" customHeight="1" x14ac:dyDescent="0.25">
      <c r="A62" s="5">
        <f t="shared" si="7"/>
        <v>57</v>
      </c>
      <c r="B62" s="6" t="s">
        <v>97</v>
      </c>
      <c r="C62" s="7">
        <f t="shared" si="8"/>
        <v>0</v>
      </c>
      <c r="D62" s="8">
        <f t="shared" si="9"/>
        <v>0</v>
      </c>
      <c r="E62" s="8">
        <f t="shared" si="10"/>
        <v>0</v>
      </c>
      <c r="F62" s="9">
        <f t="shared" si="11"/>
        <v>0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1:37" ht="15" customHeight="1" x14ac:dyDescent="0.25">
      <c r="A63" s="5">
        <f t="shared" si="7"/>
        <v>58</v>
      </c>
      <c r="B63" s="6" t="s">
        <v>98</v>
      </c>
      <c r="C63" s="7">
        <f t="shared" si="8"/>
        <v>0</v>
      </c>
      <c r="D63" s="8">
        <f t="shared" si="9"/>
        <v>0</v>
      </c>
      <c r="E63" s="8">
        <f t="shared" si="10"/>
        <v>0</v>
      </c>
      <c r="F63" s="9">
        <f t="shared" si="11"/>
        <v>0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1:37" x14ac:dyDescent="0.25">
      <c r="A64" s="5">
        <f t="shared" si="7"/>
        <v>59</v>
      </c>
      <c r="B64" s="6" t="s">
        <v>99</v>
      </c>
      <c r="C64" s="7">
        <f t="shared" si="8"/>
        <v>0</v>
      </c>
      <c r="D64" s="8">
        <f t="shared" si="9"/>
        <v>0</v>
      </c>
      <c r="E64" s="8">
        <f t="shared" si="10"/>
        <v>0</v>
      </c>
      <c r="F64" s="9">
        <f t="shared" si="11"/>
        <v>0</v>
      </c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1:37" ht="15" customHeight="1" x14ac:dyDescent="0.25">
      <c r="A65" s="5">
        <f t="shared" si="7"/>
        <v>60</v>
      </c>
      <c r="B65" s="6" t="s">
        <v>100</v>
      </c>
      <c r="C65" s="7">
        <f t="shared" si="8"/>
        <v>0</v>
      </c>
      <c r="D65" s="8">
        <f t="shared" si="9"/>
        <v>0</v>
      </c>
      <c r="E65" s="8">
        <f t="shared" si="10"/>
        <v>0</v>
      </c>
      <c r="F65" s="9">
        <f t="shared" si="11"/>
        <v>0</v>
      </c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1:37" ht="15" customHeight="1" x14ac:dyDescent="0.25">
      <c r="A66" s="5">
        <f t="shared" si="7"/>
        <v>61</v>
      </c>
      <c r="B66" s="6" t="s">
        <v>101</v>
      </c>
      <c r="C66" s="7">
        <f t="shared" si="8"/>
        <v>0</v>
      </c>
      <c r="D66" s="8">
        <f t="shared" si="9"/>
        <v>0</v>
      </c>
      <c r="E66" s="8">
        <f t="shared" si="10"/>
        <v>0</v>
      </c>
      <c r="F66" s="9">
        <f t="shared" si="11"/>
        <v>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1:37" ht="15" customHeight="1" x14ac:dyDescent="0.25">
      <c r="A67" s="5">
        <f t="shared" si="7"/>
        <v>62</v>
      </c>
      <c r="B67" s="6" t="s">
        <v>102</v>
      </c>
      <c r="C67" s="7">
        <f t="shared" si="8"/>
        <v>0</v>
      </c>
      <c r="D67" s="8">
        <f t="shared" si="9"/>
        <v>0</v>
      </c>
      <c r="E67" s="8">
        <f t="shared" si="10"/>
        <v>0</v>
      </c>
      <c r="F67" s="9">
        <f t="shared" si="11"/>
        <v>0</v>
      </c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1:37" ht="15" customHeight="1" x14ac:dyDescent="0.25">
      <c r="A68" s="5">
        <f t="shared" si="7"/>
        <v>63</v>
      </c>
      <c r="B68" s="6" t="s">
        <v>103</v>
      </c>
      <c r="C68" s="7">
        <f t="shared" si="8"/>
        <v>0</v>
      </c>
      <c r="D68" s="8">
        <f t="shared" si="9"/>
        <v>0</v>
      </c>
      <c r="E68" s="8">
        <f t="shared" si="10"/>
        <v>0</v>
      </c>
      <c r="F68" s="9">
        <f t="shared" si="11"/>
        <v>0</v>
      </c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1:37" ht="15" customHeight="1" x14ac:dyDescent="0.25">
      <c r="A69" s="5">
        <f t="shared" si="7"/>
        <v>64</v>
      </c>
      <c r="B69" s="6" t="s">
        <v>156</v>
      </c>
      <c r="C69" s="7">
        <f t="shared" si="8"/>
        <v>0</v>
      </c>
      <c r="D69" s="8">
        <f t="shared" si="9"/>
        <v>0</v>
      </c>
      <c r="E69" s="8">
        <f t="shared" si="10"/>
        <v>0</v>
      </c>
      <c r="F69" s="9">
        <f t="shared" si="11"/>
        <v>0</v>
      </c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1:37" ht="15" customHeight="1" x14ac:dyDescent="0.25">
      <c r="A70" s="5">
        <f t="shared" ref="A70:A101" si="12">IF(B70="","",ROW()-5)</f>
        <v>65</v>
      </c>
      <c r="B70" s="6" t="s">
        <v>104</v>
      </c>
      <c r="C70" s="7">
        <f t="shared" ref="C70:C101" si="13">IF($B70="","",COUNTIF(G70:AK70,"HE"))</f>
        <v>0</v>
      </c>
      <c r="D70" s="8">
        <f t="shared" ref="D70:D101" si="14">IF($B70="","",COUNTIF(G70:AK70,"A"))</f>
        <v>0</v>
      </c>
      <c r="E70" s="8">
        <f t="shared" ref="E70:E101" si="15">IF($B70="","",COUNTIF(G70:AK70,"F"))</f>
        <v>0</v>
      </c>
      <c r="F70" s="9">
        <f t="shared" ref="F70:F101" si="16">IF($B70="","",C70-E70)</f>
        <v>0</v>
      </c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1:37" ht="15" customHeight="1" x14ac:dyDescent="0.25">
      <c r="A71" s="5">
        <f t="shared" si="12"/>
        <v>66</v>
      </c>
      <c r="B71" s="6" t="s">
        <v>105</v>
      </c>
      <c r="C71" s="7">
        <f t="shared" si="13"/>
        <v>0</v>
      </c>
      <c r="D71" s="8">
        <f t="shared" si="14"/>
        <v>0</v>
      </c>
      <c r="E71" s="8">
        <f t="shared" si="15"/>
        <v>0</v>
      </c>
      <c r="F71" s="9">
        <f t="shared" si="16"/>
        <v>0</v>
      </c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1:37" ht="15" customHeight="1" x14ac:dyDescent="0.25">
      <c r="A72" s="5">
        <f t="shared" si="12"/>
        <v>67</v>
      </c>
      <c r="B72" s="6" t="s">
        <v>106</v>
      </c>
      <c r="C72" s="7">
        <f t="shared" si="13"/>
        <v>0</v>
      </c>
      <c r="D72" s="8">
        <f t="shared" si="14"/>
        <v>0</v>
      </c>
      <c r="E72" s="8">
        <f t="shared" si="15"/>
        <v>0</v>
      </c>
      <c r="F72" s="9">
        <f t="shared" si="16"/>
        <v>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1:37" ht="15" customHeight="1" x14ac:dyDescent="0.25">
      <c r="A73" s="5">
        <f t="shared" si="12"/>
        <v>68</v>
      </c>
      <c r="B73" s="6" t="s">
        <v>107</v>
      </c>
      <c r="C73" s="7">
        <f t="shared" si="13"/>
        <v>0</v>
      </c>
      <c r="D73" s="8">
        <f t="shared" si="14"/>
        <v>0</v>
      </c>
      <c r="E73" s="8">
        <f t="shared" si="15"/>
        <v>0</v>
      </c>
      <c r="F73" s="9">
        <f t="shared" si="16"/>
        <v>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1:37" ht="15" customHeight="1" x14ac:dyDescent="0.25">
      <c r="A74" s="5">
        <f t="shared" si="12"/>
        <v>69</v>
      </c>
      <c r="B74" s="6" t="s">
        <v>108</v>
      </c>
      <c r="C74" s="7">
        <f t="shared" si="13"/>
        <v>0</v>
      </c>
      <c r="D74" s="8">
        <f t="shared" si="14"/>
        <v>0</v>
      </c>
      <c r="E74" s="8">
        <f t="shared" si="15"/>
        <v>0</v>
      </c>
      <c r="F74" s="9">
        <f t="shared" si="16"/>
        <v>0</v>
      </c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1:37" ht="15" customHeight="1" x14ac:dyDescent="0.25">
      <c r="A75" s="5">
        <f t="shared" si="12"/>
        <v>70</v>
      </c>
      <c r="B75" s="6" t="s">
        <v>109</v>
      </c>
      <c r="C75" s="7">
        <f t="shared" si="13"/>
        <v>0</v>
      </c>
      <c r="D75" s="8">
        <f t="shared" si="14"/>
        <v>0</v>
      </c>
      <c r="E75" s="8">
        <f t="shared" si="15"/>
        <v>0</v>
      </c>
      <c r="F75" s="9">
        <f t="shared" si="16"/>
        <v>0</v>
      </c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1:37" ht="15" customHeight="1" x14ac:dyDescent="0.25">
      <c r="A76" s="5">
        <f t="shared" si="12"/>
        <v>71</v>
      </c>
      <c r="B76" s="6" t="s">
        <v>110</v>
      </c>
      <c r="C76" s="7">
        <f t="shared" si="13"/>
        <v>0</v>
      </c>
      <c r="D76" s="8">
        <f t="shared" si="14"/>
        <v>0</v>
      </c>
      <c r="E76" s="8">
        <f t="shared" si="15"/>
        <v>0</v>
      </c>
      <c r="F76" s="9">
        <f t="shared" si="16"/>
        <v>0</v>
      </c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1:37" ht="15" customHeight="1" x14ac:dyDescent="0.25">
      <c r="A77" s="5">
        <f t="shared" si="12"/>
        <v>72</v>
      </c>
      <c r="B77" s="6" t="s">
        <v>153</v>
      </c>
      <c r="C77" s="7">
        <f t="shared" si="13"/>
        <v>0</v>
      </c>
      <c r="D77" s="8">
        <f t="shared" si="14"/>
        <v>0</v>
      </c>
      <c r="E77" s="8">
        <f t="shared" si="15"/>
        <v>0</v>
      </c>
      <c r="F77" s="9">
        <f t="shared" si="16"/>
        <v>0</v>
      </c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1:37" ht="15" customHeight="1" x14ac:dyDescent="0.25">
      <c r="A78" s="5">
        <f t="shared" si="12"/>
        <v>73</v>
      </c>
      <c r="B78" s="6" t="s">
        <v>154</v>
      </c>
      <c r="C78" s="7">
        <f t="shared" si="13"/>
        <v>0</v>
      </c>
      <c r="D78" s="8">
        <f t="shared" si="14"/>
        <v>0</v>
      </c>
      <c r="E78" s="8">
        <f t="shared" si="15"/>
        <v>0</v>
      </c>
      <c r="F78" s="9">
        <f t="shared" si="16"/>
        <v>0</v>
      </c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1:37" ht="15" customHeight="1" x14ac:dyDescent="0.25">
      <c r="A79" s="5">
        <f t="shared" si="12"/>
        <v>74</v>
      </c>
      <c r="B79" s="6" t="s">
        <v>155</v>
      </c>
      <c r="C79" s="7">
        <f t="shared" si="13"/>
        <v>0</v>
      </c>
      <c r="D79" s="8">
        <f t="shared" si="14"/>
        <v>0</v>
      </c>
      <c r="E79" s="8">
        <f t="shared" si="15"/>
        <v>0</v>
      </c>
      <c r="F79" s="9">
        <f t="shared" si="16"/>
        <v>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1:37" ht="15" customHeight="1" x14ac:dyDescent="0.25">
      <c r="A80" s="5">
        <f t="shared" si="12"/>
        <v>75</v>
      </c>
      <c r="B80" s="6" t="s">
        <v>157</v>
      </c>
      <c r="C80" s="7">
        <f t="shared" si="13"/>
        <v>0</v>
      </c>
      <c r="D80" s="8">
        <f t="shared" si="14"/>
        <v>0</v>
      </c>
      <c r="E80" s="8">
        <f t="shared" si="15"/>
        <v>0</v>
      </c>
      <c r="F80" s="9">
        <f t="shared" si="16"/>
        <v>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1:37" ht="15" customHeight="1" x14ac:dyDescent="0.25">
      <c r="A81" s="5">
        <f t="shared" si="12"/>
        <v>76</v>
      </c>
      <c r="B81" s="6" t="s">
        <v>158</v>
      </c>
      <c r="C81" s="7">
        <f t="shared" si="13"/>
        <v>0</v>
      </c>
      <c r="D81" s="8">
        <f t="shared" si="14"/>
        <v>0</v>
      </c>
      <c r="E81" s="8">
        <f t="shared" si="15"/>
        <v>0</v>
      </c>
      <c r="F81" s="9">
        <f t="shared" si="16"/>
        <v>0</v>
      </c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1:37" ht="15" customHeight="1" x14ac:dyDescent="0.25">
      <c r="A82" s="5">
        <f t="shared" si="12"/>
        <v>77</v>
      </c>
      <c r="B82" s="6" t="s">
        <v>159</v>
      </c>
      <c r="C82" s="7">
        <f t="shared" si="13"/>
        <v>0</v>
      </c>
      <c r="D82" s="8">
        <f t="shared" si="14"/>
        <v>0</v>
      </c>
      <c r="E82" s="8">
        <f t="shared" si="15"/>
        <v>0</v>
      </c>
      <c r="F82" s="9">
        <f t="shared" si="16"/>
        <v>0</v>
      </c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1:37" ht="15" customHeight="1" x14ac:dyDescent="0.25">
      <c r="A83" s="5">
        <f t="shared" si="12"/>
        <v>78</v>
      </c>
      <c r="B83" s="6" t="s">
        <v>161</v>
      </c>
      <c r="C83" s="7">
        <f t="shared" si="13"/>
        <v>0</v>
      </c>
      <c r="D83" s="8">
        <f t="shared" si="14"/>
        <v>0</v>
      </c>
      <c r="E83" s="8">
        <f t="shared" si="15"/>
        <v>0</v>
      </c>
      <c r="F83" s="9">
        <f t="shared" si="16"/>
        <v>0</v>
      </c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1:37" ht="15" customHeight="1" x14ac:dyDescent="0.25">
      <c r="A84" s="5">
        <f t="shared" si="12"/>
        <v>79</v>
      </c>
      <c r="B84" s="6" t="s">
        <v>162</v>
      </c>
      <c r="C84" s="7">
        <f t="shared" si="13"/>
        <v>0</v>
      </c>
      <c r="D84" s="8">
        <f t="shared" si="14"/>
        <v>0</v>
      </c>
      <c r="E84" s="8">
        <f t="shared" si="15"/>
        <v>0</v>
      </c>
      <c r="F84" s="9">
        <f t="shared" si="16"/>
        <v>0</v>
      </c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1:37" ht="15" customHeight="1" x14ac:dyDescent="0.25">
      <c r="A85" s="5">
        <f t="shared" si="12"/>
        <v>80</v>
      </c>
      <c r="B85" s="6" t="s">
        <v>160</v>
      </c>
      <c r="C85" s="7">
        <f t="shared" si="13"/>
        <v>0</v>
      </c>
      <c r="D85" s="8">
        <f t="shared" si="14"/>
        <v>0</v>
      </c>
      <c r="E85" s="8">
        <f t="shared" si="15"/>
        <v>0</v>
      </c>
      <c r="F85" s="9">
        <f t="shared" si="16"/>
        <v>0</v>
      </c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1:37" ht="15" customHeight="1" x14ac:dyDescent="0.25">
      <c r="A86" s="5">
        <f t="shared" si="12"/>
        <v>81</v>
      </c>
      <c r="B86" s="6" t="s">
        <v>163</v>
      </c>
      <c r="C86" s="7">
        <f t="shared" si="13"/>
        <v>0</v>
      </c>
      <c r="D86" s="8">
        <f t="shared" si="14"/>
        <v>0</v>
      </c>
      <c r="E86" s="8">
        <f t="shared" si="15"/>
        <v>0</v>
      </c>
      <c r="F86" s="9">
        <f t="shared" si="16"/>
        <v>0</v>
      </c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1:37" ht="15" customHeight="1" x14ac:dyDescent="0.25">
      <c r="A87" s="5">
        <f t="shared" si="12"/>
        <v>82</v>
      </c>
      <c r="B87" s="6" t="s">
        <v>165</v>
      </c>
      <c r="C87" s="7">
        <f t="shared" si="13"/>
        <v>0</v>
      </c>
      <c r="D87" s="8">
        <f t="shared" si="14"/>
        <v>0</v>
      </c>
      <c r="E87" s="8">
        <f t="shared" si="15"/>
        <v>0</v>
      </c>
      <c r="F87" s="9">
        <f t="shared" si="16"/>
        <v>0</v>
      </c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1:37" ht="15" customHeight="1" x14ac:dyDescent="0.25">
      <c r="A88" s="5" t="str">
        <f t="shared" si="12"/>
        <v/>
      </c>
      <c r="B88" s="6"/>
      <c r="C88" s="7" t="str">
        <f t="shared" si="13"/>
        <v/>
      </c>
      <c r="D88" s="8" t="str">
        <f t="shared" si="14"/>
        <v/>
      </c>
      <c r="E88" s="8" t="str">
        <f t="shared" si="15"/>
        <v/>
      </c>
      <c r="F88" s="9" t="str">
        <f t="shared" si="16"/>
        <v/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1:37" ht="15" customHeight="1" x14ac:dyDescent="0.25">
      <c r="A89" s="5" t="str">
        <f t="shared" si="12"/>
        <v/>
      </c>
      <c r="B89" s="6"/>
      <c r="C89" s="7" t="str">
        <f t="shared" si="13"/>
        <v/>
      </c>
      <c r="D89" s="8" t="str">
        <f t="shared" si="14"/>
        <v/>
      </c>
      <c r="E89" s="8" t="str">
        <f t="shared" si="15"/>
        <v/>
      </c>
      <c r="F89" s="9" t="str">
        <f t="shared" si="16"/>
        <v/>
      </c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1:37" ht="15" customHeight="1" x14ac:dyDescent="0.25">
      <c r="A90" s="5" t="str">
        <f t="shared" si="12"/>
        <v/>
      </c>
      <c r="B90" s="6"/>
      <c r="C90" s="7" t="str">
        <f t="shared" si="13"/>
        <v/>
      </c>
      <c r="D90" s="8" t="str">
        <f t="shared" si="14"/>
        <v/>
      </c>
      <c r="E90" s="8" t="str">
        <f t="shared" si="15"/>
        <v/>
      </c>
      <c r="F90" s="9" t="str">
        <f t="shared" si="16"/>
        <v/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1:37" ht="15" hidden="1" customHeight="1" outlineLevel="1" x14ac:dyDescent="0.25">
      <c r="A91" s="5" t="str">
        <f t="shared" si="12"/>
        <v/>
      </c>
      <c r="B91" s="6"/>
      <c r="C91" s="7" t="str">
        <f t="shared" si="13"/>
        <v/>
      </c>
      <c r="D91" s="8" t="str">
        <f t="shared" si="14"/>
        <v/>
      </c>
      <c r="E91" s="8" t="str">
        <f t="shared" si="15"/>
        <v/>
      </c>
      <c r="F91" s="9" t="str">
        <f t="shared" si="16"/>
        <v/>
      </c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1:37" ht="15" hidden="1" customHeight="1" outlineLevel="1" x14ac:dyDescent="0.25">
      <c r="A92" s="5" t="str">
        <f t="shared" si="12"/>
        <v/>
      </c>
      <c r="B92" s="6"/>
      <c r="C92" s="7" t="str">
        <f t="shared" si="13"/>
        <v/>
      </c>
      <c r="D92" s="8" t="str">
        <f t="shared" si="14"/>
        <v/>
      </c>
      <c r="E92" s="8" t="str">
        <f t="shared" si="15"/>
        <v/>
      </c>
      <c r="F92" s="9" t="str">
        <f t="shared" si="16"/>
        <v/>
      </c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1:37" ht="15" hidden="1" customHeight="1" outlineLevel="1" x14ac:dyDescent="0.25">
      <c r="A93" s="5" t="str">
        <f t="shared" si="12"/>
        <v/>
      </c>
      <c r="B93" s="6"/>
      <c r="C93" s="7" t="str">
        <f t="shared" si="13"/>
        <v/>
      </c>
      <c r="D93" s="8" t="str">
        <f t="shared" si="14"/>
        <v/>
      </c>
      <c r="E93" s="8" t="str">
        <f t="shared" si="15"/>
        <v/>
      </c>
      <c r="F93" s="9" t="str">
        <f t="shared" si="16"/>
        <v/>
      </c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1:37" ht="15" hidden="1" customHeight="1" outlineLevel="1" x14ac:dyDescent="0.25">
      <c r="A94" s="5" t="str">
        <f t="shared" si="12"/>
        <v/>
      </c>
      <c r="B94" s="6"/>
      <c r="C94" s="7" t="str">
        <f t="shared" si="13"/>
        <v/>
      </c>
      <c r="D94" s="8" t="str">
        <f t="shared" si="14"/>
        <v/>
      </c>
      <c r="E94" s="8" t="str">
        <f t="shared" si="15"/>
        <v/>
      </c>
      <c r="F94" s="9" t="str">
        <f t="shared" si="16"/>
        <v/>
      </c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1:37" ht="15" hidden="1" customHeight="1" outlineLevel="1" x14ac:dyDescent="0.25">
      <c r="A95" s="5" t="str">
        <f t="shared" si="12"/>
        <v/>
      </c>
      <c r="B95" s="6"/>
      <c r="C95" s="7" t="str">
        <f t="shared" si="13"/>
        <v/>
      </c>
      <c r="D95" s="8" t="str">
        <f t="shared" si="14"/>
        <v/>
      </c>
      <c r="E95" s="8" t="str">
        <f t="shared" si="15"/>
        <v/>
      </c>
      <c r="F95" s="9" t="str">
        <f t="shared" si="16"/>
        <v/>
      </c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1:37" ht="15" hidden="1" customHeight="1" outlineLevel="1" x14ac:dyDescent="0.25">
      <c r="A96" s="5" t="str">
        <f t="shared" si="12"/>
        <v/>
      </c>
      <c r="B96" s="6"/>
      <c r="C96" s="7" t="str">
        <f t="shared" si="13"/>
        <v/>
      </c>
      <c r="D96" s="8" t="str">
        <f t="shared" si="14"/>
        <v/>
      </c>
      <c r="E96" s="8" t="str">
        <f t="shared" si="15"/>
        <v/>
      </c>
      <c r="F96" s="9" t="str">
        <f t="shared" si="16"/>
        <v/>
      </c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1:37" ht="15" hidden="1" customHeight="1" outlineLevel="1" x14ac:dyDescent="0.25">
      <c r="A97" s="5" t="str">
        <f t="shared" si="12"/>
        <v/>
      </c>
      <c r="B97" s="6"/>
      <c r="C97" s="7" t="str">
        <f t="shared" si="13"/>
        <v/>
      </c>
      <c r="D97" s="8" t="str">
        <f t="shared" si="14"/>
        <v/>
      </c>
      <c r="E97" s="8" t="str">
        <f t="shared" si="15"/>
        <v/>
      </c>
      <c r="F97" s="9" t="str">
        <f t="shared" si="16"/>
        <v/>
      </c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1:37" ht="15" hidden="1" customHeight="1" outlineLevel="1" x14ac:dyDescent="0.25">
      <c r="A98" s="5" t="str">
        <f t="shared" si="12"/>
        <v/>
      </c>
      <c r="B98" s="6"/>
      <c r="C98" s="7" t="str">
        <f t="shared" si="13"/>
        <v/>
      </c>
      <c r="D98" s="8" t="str">
        <f t="shared" si="14"/>
        <v/>
      </c>
      <c r="E98" s="8" t="str">
        <f t="shared" si="15"/>
        <v/>
      </c>
      <c r="F98" s="9" t="str">
        <f t="shared" si="16"/>
        <v/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1:37" ht="15" hidden="1" customHeight="1" outlineLevel="1" x14ac:dyDescent="0.25">
      <c r="A99" s="5" t="str">
        <f t="shared" si="12"/>
        <v/>
      </c>
      <c r="B99" s="6"/>
      <c r="C99" s="7" t="str">
        <f t="shared" si="13"/>
        <v/>
      </c>
      <c r="D99" s="8" t="str">
        <f t="shared" si="14"/>
        <v/>
      </c>
      <c r="E99" s="8" t="str">
        <f t="shared" si="15"/>
        <v/>
      </c>
      <c r="F99" s="9" t="str">
        <f t="shared" si="16"/>
        <v/>
      </c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1:37" ht="15" hidden="1" customHeight="1" outlineLevel="1" x14ac:dyDescent="0.25">
      <c r="A100" s="5" t="str">
        <f t="shared" si="12"/>
        <v/>
      </c>
      <c r="B100" s="6"/>
      <c r="C100" s="7" t="str">
        <f t="shared" si="13"/>
        <v/>
      </c>
      <c r="D100" s="8" t="str">
        <f t="shared" si="14"/>
        <v/>
      </c>
      <c r="E100" s="8" t="str">
        <f t="shared" si="15"/>
        <v/>
      </c>
      <c r="F100" s="9" t="str">
        <f t="shared" si="16"/>
        <v/>
      </c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1:37" ht="15" hidden="1" customHeight="1" outlineLevel="1" x14ac:dyDescent="0.25">
      <c r="A101" s="5" t="str">
        <f t="shared" si="12"/>
        <v/>
      </c>
      <c r="B101" s="6"/>
      <c r="C101" s="7" t="str">
        <f t="shared" si="13"/>
        <v/>
      </c>
      <c r="D101" s="8" t="str">
        <f t="shared" si="14"/>
        <v/>
      </c>
      <c r="E101" s="8" t="str">
        <f t="shared" si="15"/>
        <v/>
      </c>
      <c r="F101" s="9" t="str">
        <f t="shared" si="16"/>
        <v/>
      </c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1:37" ht="15" hidden="1" customHeight="1" outlineLevel="1" x14ac:dyDescent="0.25">
      <c r="A102" s="5" t="str">
        <f t="shared" ref="A102:A133" si="17">IF(B102="","",ROW()-5)</f>
        <v/>
      </c>
      <c r="B102" s="6"/>
      <c r="C102" s="7" t="str">
        <f t="shared" ref="C102:C133" si="18">IF($B102="","",COUNTIF(G102:AK102,"HE"))</f>
        <v/>
      </c>
      <c r="D102" s="8" t="str">
        <f t="shared" ref="D102:D133" si="19">IF($B102="","",COUNTIF(G102:AK102,"A"))</f>
        <v/>
      </c>
      <c r="E102" s="8" t="str">
        <f t="shared" ref="E102:E133" si="20">IF($B102="","",COUNTIF(G102:AK102,"F"))</f>
        <v/>
      </c>
      <c r="F102" s="9" t="str">
        <f t="shared" ref="F102:F133" si="21">IF($B102="","",C102-E102)</f>
        <v/>
      </c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1:37" ht="15" hidden="1" customHeight="1" outlineLevel="1" x14ac:dyDescent="0.25">
      <c r="A103" s="5" t="str">
        <f t="shared" si="17"/>
        <v/>
      </c>
      <c r="B103" s="6"/>
      <c r="C103" s="7" t="str">
        <f t="shared" si="18"/>
        <v/>
      </c>
      <c r="D103" s="8" t="str">
        <f t="shared" si="19"/>
        <v/>
      </c>
      <c r="E103" s="8" t="str">
        <f t="shared" si="20"/>
        <v/>
      </c>
      <c r="F103" s="9" t="str">
        <f t="shared" si="21"/>
        <v/>
      </c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1:37" ht="15" hidden="1" customHeight="1" outlineLevel="1" x14ac:dyDescent="0.25">
      <c r="A104" s="5" t="str">
        <f t="shared" si="17"/>
        <v/>
      </c>
      <c r="B104" s="6"/>
      <c r="C104" s="7" t="str">
        <f t="shared" si="18"/>
        <v/>
      </c>
      <c r="D104" s="8" t="str">
        <f t="shared" si="19"/>
        <v/>
      </c>
      <c r="E104" s="8" t="str">
        <f t="shared" si="20"/>
        <v/>
      </c>
      <c r="F104" s="9" t="str">
        <f t="shared" si="21"/>
        <v/>
      </c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1:37" ht="15" hidden="1" customHeight="1" outlineLevel="1" x14ac:dyDescent="0.25">
      <c r="A105" s="5" t="str">
        <f t="shared" si="17"/>
        <v/>
      </c>
      <c r="B105" s="6"/>
      <c r="C105" s="7" t="str">
        <f t="shared" si="18"/>
        <v/>
      </c>
      <c r="D105" s="8" t="str">
        <f t="shared" si="19"/>
        <v/>
      </c>
      <c r="E105" s="8" t="str">
        <f t="shared" si="20"/>
        <v/>
      </c>
      <c r="F105" s="9" t="str">
        <f t="shared" si="21"/>
        <v/>
      </c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1:37" ht="15" hidden="1" customHeight="1" outlineLevel="1" x14ac:dyDescent="0.25">
      <c r="A106" s="5" t="str">
        <f t="shared" si="17"/>
        <v/>
      </c>
      <c r="B106" s="6"/>
      <c r="C106" s="7" t="str">
        <f t="shared" si="18"/>
        <v/>
      </c>
      <c r="D106" s="8" t="str">
        <f t="shared" si="19"/>
        <v/>
      </c>
      <c r="E106" s="8" t="str">
        <f t="shared" si="20"/>
        <v/>
      </c>
      <c r="F106" s="9" t="str">
        <f t="shared" si="21"/>
        <v/>
      </c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1:37" ht="15" hidden="1" customHeight="1" outlineLevel="1" x14ac:dyDescent="0.25">
      <c r="A107" s="5" t="str">
        <f t="shared" si="17"/>
        <v/>
      </c>
      <c r="B107" s="6"/>
      <c r="C107" s="7" t="str">
        <f t="shared" si="18"/>
        <v/>
      </c>
      <c r="D107" s="8" t="str">
        <f t="shared" si="19"/>
        <v/>
      </c>
      <c r="E107" s="8" t="str">
        <f t="shared" si="20"/>
        <v/>
      </c>
      <c r="F107" s="9" t="str">
        <f t="shared" si="21"/>
        <v/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1:37" ht="15" hidden="1" customHeight="1" outlineLevel="1" x14ac:dyDescent="0.25">
      <c r="A108" s="5" t="str">
        <f t="shared" si="17"/>
        <v/>
      </c>
      <c r="B108" s="6"/>
      <c r="C108" s="7" t="str">
        <f t="shared" si="18"/>
        <v/>
      </c>
      <c r="D108" s="8" t="str">
        <f t="shared" si="19"/>
        <v/>
      </c>
      <c r="E108" s="8" t="str">
        <f t="shared" si="20"/>
        <v/>
      </c>
      <c r="F108" s="9" t="str">
        <f t="shared" si="21"/>
        <v/>
      </c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1:37" ht="15" hidden="1" customHeight="1" outlineLevel="1" x14ac:dyDescent="0.25">
      <c r="A109" s="5" t="str">
        <f t="shared" si="17"/>
        <v/>
      </c>
      <c r="B109" s="6"/>
      <c r="C109" s="7" t="str">
        <f t="shared" si="18"/>
        <v/>
      </c>
      <c r="D109" s="8" t="str">
        <f t="shared" si="19"/>
        <v/>
      </c>
      <c r="E109" s="8" t="str">
        <f t="shared" si="20"/>
        <v/>
      </c>
      <c r="F109" s="9" t="str">
        <f t="shared" si="21"/>
        <v/>
      </c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1:37" ht="15" hidden="1" customHeight="1" outlineLevel="1" x14ac:dyDescent="0.25">
      <c r="A110" s="5" t="str">
        <f t="shared" si="17"/>
        <v/>
      </c>
      <c r="B110" s="6"/>
      <c r="C110" s="7" t="str">
        <f t="shared" si="18"/>
        <v/>
      </c>
      <c r="D110" s="8" t="str">
        <f t="shared" si="19"/>
        <v/>
      </c>
      <c r="E110" s="8" t="str">
        <f t="shared" si="20"/>
        <v/>
      </c>
      <c r="F110" s="9" t="str">
        <f t="shared" si="21"/>
        <v/>
      </c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1:37" ht="15" hidden="1" customHeight="1" outlineLevel="1" x14ac:dyDescent="0.25">
      <c r="A111" s="5" t="str">
        <f t="shared" si="17"/>
        <v/>
      </c>
      <c r="B111" s="6"/>
      <c r="C111" s="7" t="str">
        <f t="shared" si="18"/>
        <v/>
      </c>
      <c r="D111" s="8" t="str">
        <f t="shared" si="19"/>
        <v/>
      </c>
      <c r="E111" s="8" t="str">
        <f t="shared" si="20"/>
        <v/>
      </c>
      <c r="F111" s="9" t="str">
        <f t="shared" si="21"/>
        <v/>
      </c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1:37" ht="15" hidden="1" customHeight="1" outlineLevel="1" x14ac:dyDescent="0.25">
      <c r="A112" s="5" t="str">
        <f t="shared" si="17"/>
        <v/>
      </c>
      <c r="B112" s="6"/>
      <c r="C112" s="7" t="str">
        <f t="shared" si="18"/>
        <v/>
      </c>
      <c r="D112" s="8" t="str">
        <f t="shared" si="19"/>
        <v/>
      </c>
      <c r="E112" s="8" t="str">
        <f t="shared" si="20"/>
        <v/>
      </c>
      <c r="F112" s="9" t="str">
        <f t="shared" si="21"/>
        <v/>
      </c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</row>
    <row r="113" spans="1:37" ht="15" hidden="1" customHeight="1" outlineLevel="1" x14ac:dyDescent="0.25">
      <c r="A113" s="5" t="str">
        <f t="shared" si="17"/>
        <v/>
      </c>
      <c r="B113" s="6"/>
      <c r="C113" s="7" t="str">
        <f t="shared" si="18"/>
        <v/>
      </c>
      <c r="D113" s="8" t="str">
        <f t="shared" si="19"/>
        <v/>
      </c>
      <c r="E113" s="8" t="str">
        <f t="shared" si="20"/>
        <v/>
      </c>
      <c r="F113" s="9" t="str">
        <f t="shared" si="21"/>
        <v/>
      </c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</row>
    <row r="114" spans="1:37" ht="15" hidden="1" customHeight="1" outlineLevel="1" x14ac:dyDescent="0.25">
      <c r="A114" s="5" t="str">
        <f t="shared" si="17"/>
        <v/>
      </c>
      <c r="B114" s="6"/>
      <c r="C114" s="7" t="str">
        <f t="shared" si="18"/>
        <v/>
      </c>
      <c r="D114" s="8" t="str">
        <f t="shared" si="19"/>
        <v/>
      </c>
      <c r="E114" s="8" t="str">
        <f t="shared" si="20"/>
        <v/>
      </c>
      <c r="F114" s="9" t="str">
        <f t="shared" si="21"/>
        <v/>
      </c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</row>
    <row r="115" spans="1:37" ht="15" hidden="1" customHeight="1" outlineLevel="1" x14ac:dyDescent="0.25">
      <c r="A115" s="5" t="str">
        <f t="shared" si="17"/>
        <v/>
      </c>
      <c r="B115" s="6"/>
      <c r="C115" s="7" t="str">
        <f t="shared" si="18"/>
        <v/>
      </c>
      <c r="D115" s="8" t="str">
        <f t="shared" si="19"/>
        <v/>
      </c>
      <c r="E115" s="8" t="str">
        <f t="shared" si="20"/>
        <v/>
      </c>
      <c r="F115" s="9" t="str">
        <f t="shared" si="21"/>
        <v/>
      </c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</row>
    <row r="116" spans="1:37" ht="15" hidden="1" customHeight="1" outlineLevel="1" x14ac:dyDescent="0.25">
      <c r="A116" s="5" t="str">
        <f t="shared" si="17"/>
        <v/>
      </c>
      <c r="B116" s="6"/>
      <c r="C116" s="7" t="str">
        <f t="shared" si="18"/>
        <v/>
      </c>
      <c r="D116" s="8" t="str">
        <f t="shared" si="19"/>
        <v/>
      </c>
      <c r="E116" s="8" t="str">
        <f t="shared" si="20"/>
        <v/>
      </c>
      <c r="F116" s="9" t="str">
        <f t="shared" si="21"/>
        <v/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</row>
    <row r="117" spans="1:37" ht="15" hidden="1" customHeight="1" outlineLevel="1" x14ac:dyDescent="0.25">
      <c r="A117" s="5" t="str">
        <f t="shared" si="17"/>
        <v/>
      </c>
      <c r="B117" s="6"/>
      <c r="C117" s="7" t="str">
        <f t="shared" si="18"/>
        <v/>
      </c>
      <c r="D117" s="8" t="str">
        <f t="shared" si="19"/>
        <v/>
      </c>
      <c r="E117" s="8" t="str">
        <f t="shared" si="20"/>
        <v/>
      </c>
      <c r="F117" s="9" t="str">
        <f t="shared" si="21"/>
        <v/>
      </c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</row>
    <row r="118" spans="1:37" ht="15" hidden="1" customHeight="1" outlineLevel="1" x14ac:dyDescent="0.25">
      <c r="A118" s="5" t="str">
        <f t="shared" si="17"/>
        <v/>
      </c>
      <c r="B118" s="6"/>
      <c r="C118" s="7" t="str">
        <f t="shared" si="18"/>
        <v/>
      </c>
      <c r="D118" s="8" t="str">
        <f t="shared" si="19"/>
        <v/>
      </c>
      <c r="E118" s="8" t="str">
        <f t="shared" si="20"/>
        <v/>
      </c>
      <c r="F118" s="9" t="str">
        <f t="shared" si="21"/>
        <v/>
      </c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</row>
    <row r="119" spans="1:37" ht="15" hidden="1" customHeight="1" outlineLevel="1" x14ac:dyDescent="0.25">
      <c r="A119" s="5" t="str">
        <f t="shared" si="17"/>
        <v/>
      </c>
      <c r="B119" s="6"/>
      <c r="C119" s="7" t="str">
        <f t="shared" si="18"/>
        <v/>
      </c>
      <c r="D119" s="8" t="str">
        <f t="shared" si="19"/>
        <v/>
      </c>
      <c r="E119" s="8" t="str">
        <f t="shared" si="20"/>
        <v/>
      </c>
      <c r="F119" s="9" t="str">
        <f t="shared" si="21"/>
        <v/>
      </c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</row>
    <row r="120" spans="1:37" ht="15" hidden="1" customHeight="1" outlineLevel="1" x14ac:dyDescent="0.25">
      <c r="A120" s="5" t="str">
        <f t="shared" si="17"/>
        <v/>
      </c>
      <c r="B120" s="6"/>
      <c r="C120" s="7" t="str">
        <f t="shared" si="18"/>
        <v/>
      </c>
      <c r="D120" s="8" t="str">
        <f t="shared" si="19"/>
        <v/>
      </c>
      <c r="E120" s="8" t="str">
        <f t="shared" si="20"/>
        <v/>
      </c>
      <c r="F120" s="9" t="str">
        <f t="shared" si="21"/>
        <v/>
      </c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</row>
    <row r="121" spans="1:37" ht="15" hidden="1" customHeight="1" outlineLevel="1" x14ac:dyDescent="0.25">
      <c r="A121" s="5" t="str">
        <f t="shared" si="17"/>
        <v/>
      </c>
      <c r="B121" s="6"/>
      <c r="C121" s="7" t="str">
        <f t="shared" si="18"/>
        <v/>
      </c>
      <c r="D121" s="8" t="str">
        <f t="shared" si="19"/>
        <v/>
      </c>
      <c r="E121" s="8" t="str">
        <f t="shared" si="20"/>
        <v/>
      </c>
      <c r="F121" s="9" t="str">
        <f t="shared" si="21"/>
        <v/>
      </c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</row>
    <row r="122" spans="1:37" ht="15" hidden="1" customHeight="1" outlineLevel="1" x14ac:dyDescent="0.25">
      <c r="A122" s="5" t="str">
        <f t="shared" si="17"/>
        <v/>
      </c>
      <c r="B122" s="6"/>
      <c r="C122" s="7" t="str">
        <f t="shared" si="18"/>
        <v/>
      </c>
      <c r="D122" s="8" t="str">
        <f t="shared" si="19"/>
        <v/>
      </c>
      <c r="E122" s="8" t="str">
        <f t="shared" si="20"/>
        <v/>
      </c>
      <c r="F122" s="9" t="str">
        <f t="shared" si="21"/>
        <v/>
      </c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</row>
    <row r="123" spans="1:37" ht="15" hidden="1" customHeight="1" outlineLevel="1" x14ac:dyDescent="0.25">
      <c r="A123" s="5" t="str">
        <f t="shared" si="17"/>
        <v/>
      </c>
      <c r="B123" s="6"/>
      <c r="C123" s="7" t="str">
        <f t="shared" si="18"/>
        <v/>
      </c>
      <c r="D123" s="8" t="str">
        <f t="shared" si="19"/>
        <v/>
      </c>
      <c r="E123" s="8" t="str">
        <f t="shared" si="20"/>
        <v/>
      </c>
      <c r="F123" s="9" t="str">
        <f t="shared" si="21"/>
        <v/>
      </c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</row>
    <row r="124" spans="1:37" ht="15" hidden="1" customHeight="1" outlineLevel="1" x14ac:dyDescent="0.25">
      <c r="A124" s="5" t="str">
        <f t="shared" si="17"/>
        <v/>
      </c>
      <c r="B124" s="6"/>
      <c r="C124" s="7" t="str">
        <f t="shared" si="18"/>
        <v/>
      </c>
      <c r="D124" s="8" t="str">
        <f t="shared" si="19"/>
        <v/>
      </c>
      <c r="E124" s="8" t="str">
        <f t="shared" si="20"/>
        <v/>
      </c>
      <c r="F124" s="9" t="str">
        <f t="shared" si="21"/>
        <v/>
      </c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</row>
    <row r="125" spans="1:37" ht="15" hidden="1" customHeight="1" outlineLevel="1" x14ac:dyDescent="0.25">
      <c r="A125" s="5" t="str">
        <f t="shared" si="17"/>
        <v/>
      </c>
      <c r="B125" s="6"/>
      <c r="C125" s="7" t="str">
        <f t="shared" si="18"/>
        <v/>
      </c>
      <c r="D125" s="8" t="str">
        <f t="shared" si="19"/>
        <v/>
      </c>
      <c r="E125" s="8" t="str">
        <f t="shared" si="20"/>
        <v/>
      </c>
      <c r="F125" s="9" t="str">
        <f t="shared" si="21"/>
        <v/>
      </c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</row>
    <row r="126" spans="1:37" ht="15" hidden="1" customHeight="1" outlineLevel="1" x14ac:dyDescent="0.25">
      <c r="A126" s="5" t="str">
        <f t="shared" si="17"/>
        <v/>
      </c>
      <c r="B126" s="6"/>
      <c r="C126" s="7" t="str">
        <f t="shared" si="18"/>
        <v/>
      </c>
      <c r="D126" s="8" t="str">
        <f t="shared" si="19"/>
        <v/>
      </c>
      <c r="E126" s="8" t="str">
        <f t="shared" si="20"/>
        <v/>
      </c>
      <c r="F126" s="9" t="str">
        <f t="shared" si="21"/>
        <v/>
      </c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</row>
    <row r="127" spans="1:37" ht="15" hidden="1" customHeight="1" outlineLevel="1" x14ac:dyDescent="0.25">
      <c r="A127" s="5" t="str">
        <f t="shared" si="17"/>
        <v/>
      </c>
      <c r="B127" s="6"/>
      <c r="C127" s="7" t="str">
        <f t="shared" si="18"/>
        <v/>
      </c>
      <c r="D127" s="8" t="str">
        <f t="shared" si="19"/>
        <v/>
      </c>
      <c r="E127" s="8" t="str">
        <f t="shared" si="20"/>
        <v/>
      </c>
      <c r="F127" s="9" t="str">
        <f t="shared" si="21"/>
        <v/>
      </c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</row>
    <row r="128" spans="1:37" ht="15" hidden="1" customHeight="1" outlineLevel="1" x14ac:dyDescent="0.25">
      <c r="A128" s="5" t="str">
        <f t="shared" si="17"/>
        <v/>
      </c>
      <c r="B128" s="6"/>
      <c r="C128" s="7" t="str">
        <f t="shared" si="18"/>
        <v/>
      </c>
      <c r="D128" s="8" t="str">
        <f t="shared" si="19"/>
        <v/>
      </c>
      <c r="E128" s="8" t="str">
        <f t="shared" si="20"/>
        <v/>
      </c>
      <c r="F128" s="9" t="str">
        <f t="shared" si="21"/>
        <v/>
      </c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</row>
    <row r="129" spans="1:37" ht="15" hidden="1" customHeight="1" outlineLevel="1" x14ac:dyDescent="0.25">
      <c r="A129" s="5" t="str">
        <f t="shared" si="17"/>
        <v/>
      </c>
      <c r="B129" s="6"/>
      <c r="C129" s="7" t="str">
        <f t="shared" si="18"/>
        <v/>
      </c>
      <c r="D129" s="8" t="str">
        <f t="shared" si="19"/>
        <v/>
      </c>
      <c r="E129" s="8" t="str">
        <f t="shared" si="20"/>
        <v/>
      </c>
      <c r="F129" s="9" t="str">
        <f t="shared" si="21"/>
        <v/>
      </c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</row>
    <row r="130" spans="1:37" ht="15" hidden="1" customHeight="1" outlineLevel="1" x14ac:dyDescent="0.25">
      <c r="A130" s="5" t="str">
        <f t="shared" si="17"/>
        <v/>
      </c>
      <c r="B130" s="6"/>
      <c r="C130" s="7" t="str">
        <f t="shared" si="18"/>
        <v/>
      </c>
      <c r="D130" s="8" t="str">
        <f t="shared" si="19"/>
        <v/>
      </c>
      <c r="E130" s="8" t="str">
        <f t="shared" si="20"/>
        <v/>
      </c>
      <c r="F130" s="9" t="str">
        <f t="shared" si="21"/>
        <v/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</row>
    <row r="131" spans="1:37" ht="15" hidden="1" customHeight="1" outlineLevel="1" x14ac:dyDescent="0.25">
      <c r="A131" s="5" t="str">
        <f t="shared" si="17"/>
        <v/>
      </c>
      <c r="B131" s="6"/>
      <c r="C131" s="7" t="str">
        <f t="shared" si="18"/>
        <v/>
      </c>
      <c r="D131" s="8" t="str">
        <f t="shared" si="19"/>
        <v/>
      </c>
      <c r="E131" s="8" t="str">
        <f t="shared" si="20"/>
        <v/>
      </c>
      <c r="F131" s="9" t="str">
        <f t="shared" si="21"/>
        <v/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</row>
    <row r="132" spans="1:37" ht="15" hidden="1" customHeight="1" outlineLevel="1" x14ac:dyDescent="0.25">
      <c r="A132" s="5" t="str">
        <f t="shared" si="17"/>
        <v/>
      </c>
      <c r="B132" s="6"/>
      <c r="C132" s="7" t="str">
        <f t="shared" si="18"/>
        <v/>
      </c>
      <c r="D132" s="8" t="str">
        <f t="shared" si="19"/>
        <v/>
      </c>
      <c r="E132" s="8" t="str">
        <f t="shared" si="20"/>
        <v/>
      </c>
      <c r="F132" s="9" t="str">
        <f t="shared" si="21"/>
        <v/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</row>
    <row r="133" spans="1:37" ht="15" hidden="1" customHeight="1" outlineLevel="1" x14ac:dyDescent="0.25">
      <c r="A133" s="5" t="str">
        <f t="shared" si="17"/>
        <v/>
      </c>
      <c r="B133" s="6"/>
      <c r="C133" s="7" t="str">
        <f t="shared" si="18"/>
        <v/>
      </c>
      <c r="D133" s="8" t="str">
        <f t="shared" si="19"/>
        <v/>
      </c>
      <c r="E133" s="8" t="str">
        <f t="shared" si="20"/>
        <v/>
      </c>
      <c r="F133" s="9" t="str">
        <f t="shared" si="21"/>
        <v/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</row>
    <row r="134" spans="1:37" ht="15" hidden="1" customHeight="1" outlineLevel="1" x14ac:dyDescent="0.25">
      <c r="A134" s="5" t="str">
        <f t="shared" ref="A134:A155" si="22">IF(B134="","",ROW()-5)</f>
        <v/>
      </c>
      <c r="B134" s="6"/>
      <c r="C134" s="7" t="str">
        <f t="shared" ref="C134:C155" si="23">IF($B134="","",COUNTIF(G134:AK134,"HE"))</f>
        <v/>
      </c>
      <c r="D134" s="8" t="str">
        <f t="shared" ref="D134:D155" si="24">IF($B134="","",COUNTIF(G134:AK134,"A"))</f>
        <v/>
      </c>
      <c r="E134" s="8" t="str">
        <f t="shared" ref="E134:E155" si="25">IF($B134="","",COUNTIF(G134:AK134,"F"))</f>
        <v/>
      </c>
      <c r="F134" s="9" t="str">
        <f t="shared" ref="F134:F155" si="26">IF($B134="","",C134-E134)</f>
        <v/>
      </c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</row>
    <row r="135" spans="1:37" ht="15" hidden="1" customHeight="1" outlineLevel="1" x14ac:dyDescent="0.25">
      <c r="A135" s="5" t="str">
        <f t="shared" si="22"/>
        <v/>
      </c>
      <c r="B135" s="6"/>
      <c r="C135" s="7" t="str">
        <f t="shared" si="23"/>
        <v/>
      </c>
      <c r="D135" s="8" t="str">
        <f t="shared" si="24"/>
        <v/>
      </c>
      <c r="E135" s="8" t="str">
        <f t="shared" si="25"/>
        <v/>
      </c>
      <c r="F135" s="9" t="str">
        <f t="shared" si="26"/>
        <v/>
      </c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</row>
    <row r="136" spans="1:37" ht="15" hidden="1" customHeight="1" outlineLevel="1" x14ac:dyDescent="0.25">
      <c r="A136" s="5" t="str">
        <f t="shared" si="22"/>
        <v/>
      </c>
      <c r="B136" s="6"/>
      <c r="C136" s="7" t="str">
        <f t="shared" si="23"/>
        <v/>
      </c>
      <c r="D136" s="8" t="str">
        <f t="shared" si="24"/>
        <v/>
      </c>
      <c r="E136" s="8" t="str">
        <f t="shared" si="25"/>
        <v/>
      </c>
      <c r="F136" s="9" t="str">
        <f t="shared" si="26"/>
        <v/>
      </c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</row>
    <row r="137" spans="1:37" ht="15" hidden="1" customHeight="1" outlineLevel="1" x14ac:dyDescent="0.25">
      <c r="A137" s="5" t="str">
        <f t="shared" si="22"/>
        <v/>
      </c>
      <c r="B137" s="6"/>
      <c r="C137" s="7" t="str">
        <f t="shared" si="23"/>
        <v/>
      </c>
      <c r="D137" s="8" t="str">
        <f t="shared" si="24"/>
        <v/>
      </c>
      <c r="E137" s="8" t="str">
        <f t="shared" si="25"/>
        <v/>
      </c>
      <c r="F137" s="9" t="str">
        <f t="shared" si="26"/>
        <v/>
      </c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</row>
    <row r="138" spans="1:37" ht="15" hidden="1" customHeight="1" outlineLevel="1" x14ac:dyDescent="0.25">
      <c r="A138" s="5" t="str">
        <f t="shared" si="22"/>
        <v/>
      </c>
      <c r="B138" s="6"/>
      <c r="C138" s="7" t="str">
        <f t="shared" si="23"/>
        <v/>
      </c>
      <c r="D138" s="8" t="str">
        <f t="shared" si="24"/>
        <v/>
      </c>
      <c r="E138" s="8" t="str">
        <f t="shared" si="25"/>
        <v/>
      </c>
      <c r="F138" s="9" t="str">
        <f t="shared" si="26"/>
        <v/>
      </c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</row>
    <row r="139" spans="1:37" ht="15" hidden="1" customHeight="1" outlineLevel="1" x14ac:dyDescent="0.25">
      <c r="A139" s="5" t="str">
        <f t="shared" si="22"/>
        <v/>
      </c>
      <c r="B139" s="6"/>
      <c r="C139" s="7" t="str">
        <f t="shared" si="23"/>
        <v/>
      </c>
      <c r="D139" s="8" t="str">
        <f t="shared" si="24"/>
        <v/>
      </c>
      <c r="E139" s="8" t="str">
        <f t="shared" si="25"/>
        <v/>
      </c>
      <c r="F139" s="9" t="str">
        <f t="shared" si="26"/>
        <v/>
      </c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</row>
    <row r="140" spans="1:37" ht="15" hidden="1" customHeight="1" outlineLevel="1" x14ac:dyDescent="0.25">
      <c r="A140" s="5" t="str">
        <f t="shared" si="22"/>
        <v/>
      </c>
      <c r="B140" s="6"/>
      <c r="C140" s="7" t="str">
        <f t="shared" si="23"/>
        <v/>
      </c>
      <c r="D140" s="8" t="str">
        <f t="shared" si="24"/>
        <v/>
      </c>
      <c r="E140" s="8" t="str">
        <f t="shared" si="25"/>
        <v/>
      </c>
      <c r="F140" s="9" t="str">
        <f t="shared" si="26"/>
        <v/>
      </c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</row>
    <row r="141" spans="1:37" ht="15" hidden="1" customHeight="1" outlineLevel="1" x14ac:dyDescent="0.25">
      <c r="A141" s="5" t="str">
        <f t="shared" si="22"/>
        <v/>
      </c>
      <c r="B141" s="6"/>
      <c r="C141" s="7" t="str">
        <f t="shared" si="23"/>
        <v/>
      </c>
      <c r="D141" s="8" t="str">
        <f t="shared" si="24"/>
        <v/>
      </c>
      <c r="E141" s="8" t="str">
        <f t="shared" si="25"/>
        <v/>
      </c>
      <c r="F141" s="9" t="str">
        <f t="shared" si="26"/>
        <v/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</row>
    <row r="142" spans="1:37" ht="15" hidden="1" customHeight="1" outlineLevel="1" x14ac:dyDescent="0.25">
      <c r="A142" s="5" t="str">
        <f t="shared" si="22"/>
        <v/>
      </c>
      <c r="B142" s="6"/>
      <c r="C142" s="7" t="str">
        <f t="shared" si="23"/>
        <v/>
      </c>
      <c r="D142" s="8" t="str">
        <f t="shared" si="24"/>
        <v/>
      </c>
      <c r="E142" s="8" t="str">
        <f t="shared" si="25"/>
        <v/>
      </c>
      <c r="F142" s="9" t="str">
        <f t="shared" si="26"/>
        <v/>
      </c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</row>
    <row r="143" spans="1:37" ht="15" hidden="1" customHeight="1" outlineLevel="1" x14ac:dyDescent="0.25">
      <c r="A143" s="5" t="str">
        <f t="shared" si="22"/>
        <v/>
      </c>
      <c r="B143" s="6"/>
      <c r="C143" s="7" t="str">
        <f t="shared" si="23"/>
        <v/>
      </c>
      <c r="D143" s="8" t="str">
        <f t="shared" si="24"/>
        <v/>
      </c>
      <c r="E143" s="8" t="str">
        <f t="shared" si="25"/>
        <v/>
      </c>
      <c r="F143" s="9" t="str">
        <f t="shared" si="26"/>
        <v/>
      </c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</row>
    <row r="144" spans="1:37" ht="15" hidden="1" customHeight="1" outlineLevel="1" x14ac:dyDescent="0.25">
      <c r="A144" s="5" t="str">
        <f t="shared" si="22"/>
        <v/>
      </c>
      <c r="B144" s="6"/>
      <c r="C144" s="7" t="str">
        <f t="shared" si="23"/>
        <v/>
      </c>
      <c r="D144" s="8" t="str">
        <f t="shared" si="24"/>
        <v/>
      </c>
      <c r="E144" s="8" t="str">
        <f t="shared" si="25"/>
        <v/>
      </c>
      <c r="F144" s="9" t="str">
        <f t="shared" si="26"/>
        <v/>
      </c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</row>
    <row r="145" spans="1:37" ht="15" hidden="1" customHeight="1" outlineLevel="1" x14ac:dyDescent="0.25">
      <c r="A145" s="5" t="str">
        <f t="shared" si="22"/>
        <v/>
      </c>
      <c r="B145" s="6"/>
      <c r="C145" s="7" t="str">
        <f t="shared" si="23"/>
        <v/>
      </c>
      <c r="D145" s="8" t="str">
        <f t="shared" si="24"/>
        <v/>
      </c>
      <c r="E145" s="8" t="str">
        <f t="shared" si="25"/>
        <v/>
      </c>
      <c r="F145" s="9" t="str">
        <f t="shared" si="26"/>
        <v/>
      </c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</row>
    <row r="146" spans="1:37" ht="15" hidden="1" customHeight="1" outlineLevel="1" x14ac:dyDescent="0.25">
      <c r="A146" s="5" t="str">
        <f t="shared" si="22"/>
        <v/>
      </c>
      <c r="B146" s="6"/>
      <c r="C146" s="7" t="str">
        <f t="shared" si="23"/>
        <v/>
      </c>
      <c r="D146" s="8" t="str">
        <f t="shared" si="24"/>
        <v/>
      </c>
      <c r="E146" s="8" t="str">
        <f t="shared" si="25"/>
        <v/>
      </c>
      <c r="F146" s="9" t="str">
        <f t="shared" si="26"/>
        <v/>
      </c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</row>
    <row r="147" spans="1:37" ht="15" hidden="1" customHeight="1" outlineLevel="1" x14ac:dyDescent="0.25">
      <c r="A147" s="5" t="str">
        <f t="shared" si="22"/>
        <v/>
      </c>
      <c r="B147" s="6"/>
      <c r="C147" s="7" t="str">
        <f t="shared" si="23"/>
        <v/>
      </c>
      <c r="D147" s="8" t="str">
        <f t="shared" si="24"/>
        <v/>
      </c>
      <c r="E147" s="8" t="str">
        <f t="shared" si="25"/>
        <v/>
      </c>
      <c r="F147" s="9" t="str">
        <f t="shared" si="26"/>
        <v/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</row>
    <row r="148" spans="1:37" ht="15" hidden="1" customHeight="1" outlineLevel="1" x14ac:dyDescent="0.25">
      <c r="A148" s="5" t="str">
        <f t="shared" si="22"/>
        <v/>
      </c>
      <c r="B148" s="6"/>
      <c r="C148" s="7" t="str">
        <f t="shared" si="23"/>
        <v/>
      </c>
      <c r="D148" s="8" t="str">
        <f t="shared" si="24"/>
        <v/>
      </c>
      <c r="E148" s="8" t="str">
        <f t="shared" si="25"/>
        <v/>
      </c>
      <c r="F148" s="9" t="str">
        <f t="shared" si="26"/>
        <v/>
      </c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</row>
    <row r="149" spans="1:37" ht="15" hidden="1" customHeight="1" outlineLevel="1" x14ac:dyDescent="0.25">
      <c r="A149" s="5" t="str">
        <f t="shared" si="22"/>
        <v/>
      </c>
      <c r="B149" s="6"/>
      <c r="C149" s="7" t="str">
        <f t="shared" si="23"/>
        <v/>
      </c>
      <c r="D149" s="8" t="str">
        <f t="shared" si="24"/>
        <v/>
      </c>
      <c r="E149" s="8" t="str">
        <f t="shared" si="25"/>
        <v/>
      </c>
      <c r="F149" s="9" t="str">
        <f t="shared" si="26"/>
        <v/>
      </c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</row>
    <row r="150" spans="1:37" ht="15" hidden="1" customHeight="1" outlineLevel="1" x14ac:dyDescent="0.25">
      <c r="A150" s="5" t="str">
        <f t="shared" si="22"/>
        <v/>
      </c>
      <c r="B150" s="6"/>
      <c r="C150" s="7" t="str">
        <f t="shared" si="23"/>
        <v/>
      </c>
      <c r="D150" s="8" t="str">
        <f t="shared" si="24"/>
        <v/>
      </c>
      <c r="E150" s="8" t="str">
        <f t="shared" si="25"/>
        <v/>
      </c>
      <c r="F150" s="9" t="str">
        <f t="shared" si="26"/>
        <v/>
      </c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</row>
    <row r="151" spans="1:37" ht="15" hidden="1" customHeight="1" outlineLevel="1" x14ac:dyDescent="0.25">
      <c r="A151" s="5" t="str">
        <f t="shared" si="22"/>
        <v/>
      </c>
      <c r="B151" s="6"/>
      <c r="C151" s="7" t="str">
        <f t="shared" si="23"/>
        <v/>
      </c>
      <c r="D151" s="8" t="str">
        <f t="shared" si="24"/>
        <v/>
      </c>
      <c r="E151" s="8" t="str">
        <f t="shared" si="25"/>
        <v/>
      </c>
      <c r="F151" s="9" t="str">
        <f t="shared" si="26"/>
        <v/>
      </c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</row>
    <row r="152" spans="1:37" ht="15" hidden="1" customHeight="1" outlineLevel="1" x14ac:dyDescent="0.25">
      <c r="A152" s="5" t="str">
        <f t="shared" si="22"/>
        <v/>
      </c>
      <c r="B152" s="6"/>
      <c r="C152" s="7" t="str">
        <f t="shared" si="23"/>
        <v/>
      </c>
      <c r="D152" s="8" t="str">
        <f t="shared" si="24"/>
        <v/>
      </c>
      <c r="E152" s="8" t="str">
        <f t="shared" si="25"/>
        <v/>
      </c>
      <c r="F152" s="9" t="str">
        <f t="shared" si="26"/>
        <v/>
      </c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</row>
    <row r="153" spans="1:37" ht="15" hidden="1" customHeight="1" outlineLevel="1" x14ac:dyDescent="0.25">
      <c r="A153" s="5" t="str">
        <f t="shared" si="22"/>
        <v/>
      </c>
      <c r="B153" s="6"/>
      <c r="C153" s="7" t="str">
        <f t="shared" si="23"/>
        <v/>
      </c>
      <c r="D153" s="8" t="str">
        <f t="shared" si="24"/>
        <v/>
      </c>
      <c r="E153" s="8" t="str">
        <f t="shared" si="25"/>
        <v/>
      </c>
      <c r="F153" s="9" t="str">
        <f t="shared" si="26"/>
        <v/>
      </c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</row>
    <row r="154" spans="1:37" ht="15" hidden="1" customHeight="1" outlineLevel="1" x14ac:dyDescent="0.25">
      <c r="A154" s="5" t="str">
        <f t="shared" si="22"/>
        <v/>
      </c>
      <c r="B154" s="6"/>
      <c r="C154" s="7" t="str">
        <f t="shared" si="23"/>
        <v/>
      </c>
      <c r="D154" s="8" t="str">
        <f t="shared" si="24"/>
        <v/>
      </c>
      <c r="E154" s="8" t="str">
        <f t="shared" si="25"/>
        <v/>
      </c>
      <c r="F154" s="9" t="str">
        <f t="shared" si="26"/>
        <v/>
      </c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</row>
    <row r="155" spans="1:37" ht="15" hidden="1" customHeight="1" outlineLevel="1" x14ac:dyDescent="0.25">
      <c r="A155" s="5" t="str">
        <f t="shared" si="22"/>
        <v/>
      </c>
      <c r="B155" s="6"/>
      <c r="C155" s="7" t="str">
        <f t="shared" si="23"/>
        <v/>
      </c>
      <c r="D155" s="8" t="str">
        <f t="shared" si="24"/>
        <v/>
      </c>
      <c r="E155" s="8" t="str">
        <f t="shared" si="25"/>
        <v/>
      </c>
      <c r="F155" s="9" t="str">
        <f t="shared" si="26"/>
        <v/>
      </c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</row>
    <row r="156" spans="1:37" collapsed="1" x14ac:dyDescent="0.25">
      <c r="A156" s="46"/>
      <c r="B156" t="s">
        <v>36</v>
      </c>
      <c r="C156">
        <f>SUM(C6:C155)</f>
        <v>0</v>
      </c>
      <c r="D156">
        <f>SUM(D6:D155)</f>
        <v>1</v>
      </c>
      <c r="E156">
        <f>SUM(E6:E155)</f>
        <v>0</v>
      </c>
      <c r="F156">
        <f>SUM(F6:F155)</f>
        <v>0</v>
      </c>
    </row>
    <row r="157" spans="1:37" ht="25.5" customHeight="1" x14ac:dyDescent="0.25">
      <c r="A157" s="47" t="s">
        <v>111</v>
      </c>
      <c r="G157" s="57">
        <f t="shared" ref="G157:AK157" si="27">IF(G4="","",COUNTIF(G6:G155,"A")+COUNTIF(G6:G155,"F"))</f>
        <v>0</v>
      </c>
      <c r="H157" s="57">
        <f t="shared" si="27"/>
        <v>0</v>
      </c>
      <c r="I157" s="57">
        <f t="shared" si="27"/>
        <v>0</v>
      </c>
      <c r="J157" s="57">
        <f t="shared" si="27"/>
        <v>0</v>
      </c>
      <c r="K157" s="57">
        <f t="shared" si="27"/>
        <v>0</v>
      </c>
      <c r="L157" s="57">
        <f t="shared" si="27"/>
        <v>0</v>
      </c>
      <c r="M157" s="9">
        <f t="shared" si="27"/>
        <v>0</v>
      </c>
      <c r="N157" s="9">
        <f t="shared" si="27"/>
        <v>0</v>
      </c>
      <c r="O157" s="9">
        <f t="shared" si="27"/>
        <v>0</v>
      </c>
      <c r="P157" s="9">
        <f t="shared" si="27"/>
        <v>0</v>
      </c>
      <c r="Q157" s="9">
        <f t="shared" si="27"/>
        <v>0</v>
      </c>
      <c r="R157" s="9">
        <f t="shared" si="27"/>
        <v>0</v>
      </c>
      <c r="S157" s="9">
        <f t="shared" si="27"/>
        <v>0</v>
      </c>
      <c r="T157" s="9">
        <f t="shared" si="27"/>
        <v>0</v>
      </c>
      <c r="U157" s="9">
        <f t="shared" si="27"/>
        <v>0</v>
      </c>
      <c r="V157" s="9">
        <f t="shared" si="27"/>
        <v>1</v>
      </c>
      <c r="W157" s="9">
        <f t="shared" si="27"/>
        <v>0</v>
      </c>
      <c r="X157" s="9">
        <f t="shared" si="27"/>
        <v>0</v>
      </c>
      <c r="Y157" s="9">
        <f t="shared" si="27"/>
        <v>0</v>
      </c>
      <c r="Z157" s="9">
        <f t="shared" si="27"/>
        <v>0</v>
      </c>
      <c r="AA157" s="9">
        <f t="shared" si="27"/>
        <v>0</v>
      </c>
      <c r="AB157" s="9">
        <f t="shared" si="27"/>
        <v>0</v>
      </c>
      <c r="AC157" s="9">
        <f t="shared" si="27"/>
        <v>0</v>
      </c>
      <c r="AD157" s="9">
        <f t="shared" si="27"/>
        <v>0</v>
      </c>
      <c r="AE157" s="9">
        <f t="shared" si="27"/>
        <v>0</v>
      </c>
      <c r="AF157" s="9">
        <f t="shared" si="27"/>
        <v>0</v>
      </c>
      <c r="AG157" s="9">
        <f t="shared" si="27"/>
        <v>0</v>
      </c>
      <c r="AH157" s="9">
        <f t="shared" si="27"/>
        <v>0</v>
      </c>
      <c r="AI157" s="9">
        <f t="shared" si="27"/>
        <v>0</v>
      </c>
      <c r="AJ157" s="9">
        <f t="shared" si="27"/>
        <v>0</v>
      </c>
      <c r="AK157" s="9">
        <f t="shared" si="27"/>
        <v>0</v>
      </c>
    </row>
    <row r="159" spans="1:37" x14ac:dyDescent="0.25">
      <c r="A159" s="11" t="s">
        <v>112</v>
      </c>
    </row>
    <row r="160" spans="1:37" x14ac:dyDescent="0.25">
      <c r="A160" s="12" t="s">
        <v>113</v>
      </c>
    </row>
    <row r="161" spans="1:3" x14ac:dyDescent="0.25">
      <c r="A161" s="12" t="s">
        <v>114</v>
      </c>
    </row>
    <row r="162" spans="1:3" x14ac:dyDescent="0.25">
      <c r="A162" s="12" t="s">
        <v>9</v>
      </c>
      <c r="B162" s="30" t="s">
        <v>115</v>
      </c>
    </row>
    <row r="163" spans="1:3" x14ac:dyDescent="0.25">
      <c r="A163" s="12" t="s">
        <v>11</v>
      </c>
      <c r="B163" s="30" t="s">
        <v>116</v>
      </c>
    </row>
    <row r="164" spans="1:3" x14ac:dyDescent="0.25">
      <c r="A164" s="12" t="s">
        <v>117</v>
      </c>
      <c r="C164" s="30" t="s">
        <v>118</v>
      </c>
    </row>
    <row r="165" spans="1:3" x14ac:dyDescent="0.25">
      <c r="A165" s="13" t="s">
        <v>119</v>
      </c>
      <c r="C165" s="30" t="s">
        <v>120</v>
      </c>
    </row>
    <row r="167" spans="1:3" x14ac:dyDescent="0.25">
      <c r="A167" s="14" t="s">
        <v>121</v>
      </c>
    </row>
    <row r="168" spans="1:3" x14ac:dyDescent="0.25">
      <c r="A168" s="30" t="s">
        <v>122</v>
      </c>
    </row>
    <row r="169" spans="1:3" x14ac:dyDescent="0.25">
      <c r="A169" s="30" t="s">
        <v>123</v>
      </c>
    </row>
    <row r="170" spans="1:3" x14ac:dyDescent="0.25">
      <c r="A170" s="30" t="s">
        <v>124</v>
      </c>
    </row>
    <row r="171" spans="1:3" x14ac:dyDescent="0.25">
      <c r="A171" s="30" t="s">
        <v>125</v>
      </c>
    </row>
    <row r="172" spans="1:3" x14ac:dyDescent="0.25">
      <c r="A172" s="30" t="s">
        <v>126</v>
      </c>
    </row>
    <row r="173" spans="1:3" x14ac:dyDescent="0.25">
      <c r="A173" s="30" t="s">
        <v>127</v>
      </c>
    </row>
  </sheetData>
  <mergeCells count="8">
    <mergeCell ref="G1:AK1"/>
    <mergeCell ref="A1:F1"/>
    <mergeCell ref="D4:D5"/>
    <mergeCell ref="B4:B5"/>
    <mergeCell ref="C4:C5"/>
    <mergeCell ref="A4:A5"/>
    <mergeCell ref="F4:F5"/>
    <mergeCell ref="E4:E5"/>
  </mergeCells>
  <conditionalFormatting sqref="F6:F155">
    <cfRule type="cellIs" dxfId="13" priority="9" operator="lessThan">
      <formula>0</formula>
    </cfRule>
    <cfRule type="cellIs" dxfId="12" priority="10" operator="equal">
      <formula>0</formula>
    </cfRule>
  </conditionalFormatting>
  <conditionalFormatting sqref="G4:AK5">
    <cfRule type="expression" dxfId="11" priority="11">
      <formula>OR(G$5="sáb",G$5="dom")</formula>
    </cfRule>
  </conditionalFormatting>
  <conditionalFormatting sqref="G6:AK155">
    <cfRule type="cellIs" dxfId="10" priority="2" operator="equal">
      <formula>"F"</formula>
    </cfRule>
    <cfRule type="cellIs" dxfId="9" priority="3" operator="equal">
      <formula>"A"</formula>
    </cfRule>
    <cfRule type="expression" dxfId="8" priority="4">
      <formula>G$4=""</formula>
    </cfRule>
    <cfRule type="cellIs" dxfId="7" priority="24" operator="equal">
      <formula>"HE"</formula>
    </cfRule>
    <cfRule type="cellIs" dxfId="6" priority="25" operator="equal">
      <formula>"FL"</formula>
    </cfRule>
    <cfRule type="cellIs" dxfId="5" priority="26" operator="equal">
      <formula>"AT"</formula>
    </cfRule>
    <cfRule type="cellIs" dxfId="4" priority="14" operator="equal">
      <formula>"FE"</formula>
    </cfRule>
  </conditionalFormatting>
  <conditionalFormatting sqref="G157:AK157">
    <cfRule type="cellIs" dxfId="3" priority="5" operator="greaterThan">
      <formula>2</formula>
    </cfRule>
    <cfRule type="cellIs" dxfId="2" priority="6" operator="equal">
      <formula>2</formula>
    </cfRule>
    <cfRule type="cellIs" dxfId="1" priority="7" operator="equal">
      <formula>1</formula>
    </cfRule>
    <cfRule type="cellIs" dxfId="0" priority="8" operator="equal">
      <formula>0</formula>
    </cfRule>
  </conditionalFormatting>
  <dataValidations count="1">
    <dataValidation type="custom" allowBlank="1" showErrorMessage="1" errorTitle="Folga não permitida" error="Use somente &quot;A&quot; (agendada) ou &quot;F&quot; (tirada). Máximo de 2 folgas por dia — este dia já está cheio." promptTitle="Marcar folga" prompt="A = folga AGENDADA (reserva a vaga). F = folga TIRADA (desconta do saldo)." sqref="G6:AK155" xr:uid="{00000000-0002-0000-0C00-000000000000}">
      <formula1>OR(UPPER(G6)="HE",UPPER(G6)="FL",UPPER(G6)="AT",UPPER(G6)="FE",AND(OR(UPPER(G6)="A",UPPER(G6)="F"),COUNTIF(G$6:G$155,"A")+COUNTIF(G$6:G$155,"F")&lt;=2))</formula1>
      <formula2>0</formula2>
    </dataValidation>
  </dataValidations>
  <pageMargins left="0.75" right="0.75" top="1" bottom="1" header="0.511811023622047" footer="0.51180555555555596"/>
  <pageSetup paperSize="9" orientation="portrait" horizontalDpi="300" verticalDpi="300"/>
  <headerFooter>
    <oddFooter>&amp;L&amp;"Calibri"&amp;11 &amp;K808080 _x000D_#   INTERNAL_x000D_#   INTERNAL_x000D_&amp;1#&amp;"Aptos"&amp;11&amp;K808080   INTERNAL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M153"/>
  <sheetViews>
    <sheetView workbookViewId="0">
      <pane ySplit="3" topLeftCell="A4" activePane="bottomLeft" state="frozen"/>
      <selection pane="bottomLeft" activeCell="E1" sqref="E1"/>
    </sheetView>
  </sheetViews>
  <sheetFormatPr defaultRowHeight="15" x14ac:dyDescent="0.25"/>
  <cols>
    <col min="1" max="1" width="5" customWidth="1"/>
    <col min="2" max="2" width="29.7109375" customWidth="1"/>
    <col min="3" max="5" width="14" customWidth="1"/>
    <col min="8" max="13" width="13" hidden="1" customWidth="1"/>
  </cols>
  <sheetData>
    <row r="1" spans="1:13" ht="17.25" customHeight="1" x14ac:dyDescent="0.3">
      <c r="A1" s="32" t="s">
        <v>129</v>
      </c>
      <c r="E1" s="31" t="str">
        <f>HYPERLINK("#PAINEL!A1","← Voltar ao PAINEL")</f>
        <v>← Voltar ao PAINEL</v>
      </c>
    </row>
    <row r="2" spans="1:13" x14ac:dyDescent="0.25">
      <c r="A2" s="33" t="s">
        <v>130</v>
      </c>
    </row>
    <row r="3" spans="1:13" x14ac:dyDescent="0.25">
      <c r="A3" s="34" t="s">
        <v>26</v>
      </c>
      <c r="B3" s="34" t="s">
        <v>27</v>
      </c>
      <c r="C3" s="34" t="s">
        <v>131</v>
      </c>
      <c r="D3" s="34" t="s">
        <v>132</v>
      </c>
      <c r="E3" s="34" t="s">
        <v>16</v>
      </c>
    </row>
    <row r="4" spans="1:13" x14ac:dyDescent="0.25">
      <c r="A4" s="35">
        <f>IF($B4="","",ROWS($B$4:B4))</f>
        <v>1</v>
      </c>
      <c r="B4" s="36" t="str">
        <f>IFERROR(INDEX($H$4:$H$153,MATCH(ROWS($B$4:B4),$M$4:$M$153,0)),"")</f>
        <v>ROGÉRIO OLIVEIRA 75001</v>
      </c>
      <c r="C4" s="35">
        <f>IFERROR(INDEX($I$4:$I$153,MATCH(ROWS($B$4:B4),$M$4:$M$153,0)),"")</f>
        <v>2</v>
      </c>
      <c r="D4" s="35">
        <f>IFERROR(INDEX($J$4:$J$153,MATCH(ROWS($B$4:B4),$M$4:$M$153,0)),"")</f>
        <v>0</v>
      </c>
      <c r="E4" s="35">
        <f>IFERROR(INDEX($K$4:$K$153,MATCH(ROWS($B$4:B4),$M$4:$M$153,0)),"")</f>
        <v>2</v>
      </c>
      <c r="H4" t="str">
        <f>T(JAN!B6)</f>
        <v>ROGÉRIO OLIVEIRA 75001</v>
      </c>
      <c r="I4">
        <f>IF($H4="","",SUM(JAN:DEZ!C6))</f>
        <v>2</v>
      </c>
      <c r="J4">
        <f>IF($H4="","",SUM(JAN:DEZ!E6))</f>
        <v>0</v>
      </c>
      <c r="K4">
        <f t="shared" ref="K4:K35" si="0">IF($H4="","",I4-J4)</f>
        <v>2</v>
      </c>
      <c r="M4">
        <f>IF(AND($H4&lt;&gt;"",N($K4)&gt;0),COUNT($M$3:M3)+1,"")</f>
        <v>1</v>
      </c>
    </row>
    <row r="5" spans="1:13" x14ac:dyDescent="0.25">
      <c r="A5" s="35">
        <f>IF($B5="","",ROWS($B$4:B5))</f>
        <v>2</v>
      </c>
      <c r="B5" s="36" t="str">
        <f>IFERROR(INDEX($H$4:$H$153,MATCH(ROWS($B$4:B5),$M$4:$M$153,0)),"")</f>
        <v>MISAEL SANTOS 37002097</v>
      </c>
      <c r="C5" s="35">
        <f>IFERROR(INDEX($I$4:$I$153,MATCH(ROWS($B$4:B5),$M$4:$M$153,0)),"")</f>
        <v>2</v>
      </c>
      <c r="D5" s="35">
        <f>IFERROR(INDEX($J$4:$J$153,MATCH(ROWS($B$4:B5),$M$4:$M$153,0)),"")</f>
        <v>0</v>
      </c>
      <c r="E5" s="35">
        <f>IFERROR(INDEX($K$4:$K$153,MATCH(ROWS($B$4:B5),$M$4:$M$153,0)),"")</f>
        <v>2</v>
      </c>
      <c r="H5" t="str">
        <f>T(JAN!B7)</f>
        <v>IVÃ DE PAULA 393701</v>
      </c>
      <c r="I5">
        <f>IF($H5="","",SUM(JAN:DEZ!C7))</f>
        <v>2</v>
      </c>
      <c r="J5">
        <f>IF($H5="","",SUM(JAN:DEZ!E7))</f>
        <v>2</v>
      </c>
      <c r="K5">
        <f t="shared" si="0"/>
        <v>0</v>
      </c>
      <c r="M5" t="str">
        <f>IF(AND($H5&lt;&gt;"",N($K5)&gt;0),COUNT($M$3:M4)+1,"")</f>
        <v/>
      </c>
    </row>
    <row r="6" spans="1:13" x14ac:dyDescent="0.25">
      <c r="A6" s="35">
        <f>IF($B6="","",ROWS($B$4:B6))</f>
        <v>3</v>
      </c>
      <c r="B6" s="36" t="str">
        <f>IFERROR(INDEX($H$4:$H$153,MATCH(ROWS($B$4:B6),$M$4:$M$153,0)),"")</f>
        <v>FABIANO FORTES 57401</v>
      </c>
      <c r="C6" s="35">
        <f>IFERROR(INDEX($I$4:$I$153,MATCH(ROWS($B$4:B6),$M$4:$M$153,0)),"")</f>
        <v>2</v>
      </c>
      <c r="D6" s="35">
        <f>IFERROR(INDEX($J$4:$J$153,MATCH(ROWS($B$4:B6),$M$4:$M$153,0)),"")</f>
        <v>1</v>
      </c>
      <c r="E6" s="35">
        <f>IFERROR(INDEX($K$4:$K$153,MATCH(ROWS($B$4:B6),$M$4:$M$153,0)),"")</f>
        <v>1</v>
      </c>
      <c r="H6" t="str">
        <f>T(JAN!B8)</f>
        <v>CARLOS ALMEIDA 343901</v>
      </c>
      <c r="I6">
        <f>IF($H6="","",SUM(JAN:DEZ!C8))</f>
        <v>0</v>
      </c>
      <c r="J6">
        <f>IF($H6="","",SUM(JAN:DEZ!E8))</f>
        <v>0</v>
      </c>
      <c r="K6">
        <f t="shared" si="0"/>
        <v>0</v>
      </c>
      <c r="M6" t="str">
        <f>IF(AND($H6&lt;&gt;"",N($K6)&gt;0),COUNT($M$3:M5)+1,"")</f>
        <v/>
      </c>
    </row>
    <row r="7" spans="1:13" x14ac:dyDescent="0.25">
      <c r="A7" s="35">
        <f>IF($B7="","",ROWS($B$4:B7))</f>
        <v>4</v>
      </c>
      <c r="B7" s="36" t="str">
        <f>IFERROR(INDEX($H$4:$H$153,MATCH(ROWS($B$4:B7),$M$4:$M$153,0)),"")</f>
        <v>DANIEL MACHADO 112601</v>
      </c>
      <c r="C7" s="35">
        <f>IFERROR(INDEX($I$4:$I$153,MATCH(ROWS($B$4:B7),$M$4:$M$153,0)),"")</f>
        <v>1</v>
      </c>
      <c r="D7" s="35">
        <f>IFERROR(INDEX($J$4:$J$153,MATCH(ROWS($B$4:B7),$M$4:$M$153,0)),"")</f>
        <v>0</v>
      </c>
      <c r="E7" s="35">
        <f>IFERROR(INDEX($K$4:$K$153,MATCH(ROWS($B$4:B7),$M$4:$M$153,0)),"")</f>
        <v>1</v>
      </c>
      <c r="H7" t="str">
        <f>T(JAN!B9)</f>
        <v>MISAEL SANTOS 37002097</v>
      </c>
      <c r="I7">
        <f>IF($H7="","",SUM(JAN:DEZ!C9))</f>
        <v>2</v>
      </c>
      <c r="J7">
        <f>IF($H7="","",SUM(JAN:DEZ!E9))</f>
        <v>0</v>
      </c>
      <c r="K7">
        <f t="shared" si="0"/>
        <v>2</v>
      </c>
      <c r="M7">
        <f>IF(AND($H7&lt;&gt;"",N($K7)&gt;0),COUNT($M$3:M6)+1,"")</f>
        <v>2</v>
      </c>
    </row>
    <row r="8" spans="1:13" x14ac:dyDescent="0.25">
      <c r="A8" s="35">
        <f>IF($B8="","",ROWS($B$4:B8))</f>
        <v>5</v>
      </c>
      <c r="B8" s="36" t="str">
        <f>IFERROR(INDEX($H$4:$H$153,MATCH(ROWS($B$4:B8),$M$4:$M$153,0)),"")</f>
        <v>EDUARDO RIBEIRO 484301</v>
      </c>
      <c r="C8" s="35">
        <f>IFERROR(INDEX($I$4:$I$153,MATCH(ROWS($B$4:B8),$M$4:$M$153,0)),"")</f>
        <v>3</v>
      </c>
      <c r="D8" s="35">
        <f>IFERROR(INDEX($J$4:$J$153,MATCH(ROWS($B$4:B8),$M$4:$M$153,0)),"")</f>
        <v>2</v>
      </c>
      <c r="E8" s="35">
        <f>IFERROR(INDEX($K$4:$K$153,MATCH(ROWS($B$4:B8),$M$4:$M$153,0)),"")</f>
        <v>1</v>
      </c>
      <c r="H8" t="str">
        <f>T(JAN!B10)</f>
        <v>ALEXANDRE SELAU 145401</v>
      </c>
      <c r="I8">
        <f>IF($H8="","",SUM(JAN:DEZ!C10))</f>
        <v>0</v>
      </c>
      <c r="J8">
        <f>IF($H8="","",SUM(JAN:DEZ!E10))</f>
        <v>1</v>
      </c>
      <c r="K8">
        <f t="shared" si="0"/>
        <v>-1</v>
      </c>
      <c r="M8" t="str">
        <f>IF(AND($H8&lt;&gt;"",N($K8)&gt;0),COUNT($M$3:M7)+1,"")</f>
        <v/>
      </c>
    </row>
    <row r="9" spans="1:13" x14ac:dyDescent="0.25">
      <c r="A9" s="35">
        <f>IF($B9="","",ROWS($B$4:B9))</f>
        <v>6</v>
      </c>
      <c r="B9" s="36" t="str">
        <f>IFERROR(INDEX($H$4:$H$153,MATCH(ROWS($B$4:B9),$M$4:$M$153,0)),"")</f>
        <v>DAVI FARIAS 141501</v>
      </c>
      <c r="C9" s="35">
        <f>IFERROR(INDEX($I$4:$I$153,MATCH(ROWS($B$4:B9),$M$4:$M$153,0)),"")</f>
        <v>3</v>
      </c>
      <c r="D9" s="35">
        <f>IFERROR(INDEX($J$4:$J$153,MATCH(ROWS($B$4:B9),$M$4:$M$153,0)),"")</f>
        <v>0</v>
      </c>
      <c r="E9" s="35">
        <f>IFERROR(INDEX($K$4:$K$153,MATCH(ROWS($B$4:B9),$M$4:$M$153,0)),"")</f>
        <v>3</v>
      </c>
      <c r="H9" t="str">
        <f>T(JAN!B11)</f>
        <v>FABIANO FORTES 57401</v>
      </c>
      <c r="I9">
        <f>IF($H9="","",SUM(JAN:DEZ!C11))</f>
        <v>2</v>
      </c>
      <c r="J9">
        <f>IF($H9="","",SUM(JAN:DEZ!E11))</f>
        <v>1</v>
      </c>
      <c r="K9">
        <f t="shared" si="0"/>
        <v>1</v>
      </c>
      <c r="M9">
        <f>IF(AND($H9&lt;&gt;"",N($K9)&gt;0),COUNT($M$3:M8)+1,"")</f>
        <v>3</v>
      </c>
    </row>
    <row r="10" spans="1:13" x14ac:dyDescent="0.25">
      <c r="A10" s="35">
        <f>IF($B10="","",ROWS($B$4:B10))</f>
        <v>7</v>
      </c>
      <c r="B10" s="36" t="str">
        <f>IFERROR(INDEX($H$4:$H$153,MATCH(ROWS($B$4:B10),$M$4:$M$153,0)),"")</f>
        <v>RENAN RAMBO 327701</v>
      </c>
      <c r="C10" s="35">
        <f>IFERROR(INDEX($I$4:$I$153,MATCH(ROWS($B$4:B10),$M$4:$M$153,0)),"")</f>
        <v>1</v>
      </c>
      <c r="D10" s="35">
        <f>IFERROR(INDEX($J$4:$J$153,MATCH(ROWS($B$4:B10),$M$4:$M$153,0)),"")</f>
        <v>0</v>
      </c>
      <c r="E10" s="35">
        <f>IFERROR(INDEX($K$4:$K$153,MATCH(ROWS($B$4:B10),$M$4:$M$153,0)),"")</f>
        <v>1</v>
      </c>
      <c r="H10" t="str">
        <f>T(JAN!B12)</f>
        <v>DOUGLAS MILANI 398501</v>
      </c>
      <c r="I10">
        <f>IF($H10="","",SUM(JAN:DEZ!C12))</f>
        <v>0</v>
      </c>
      <c r="J10">
        <f>IF($H10="","",SUM(JAN:DEZ!E12))</f>
        <v>1</v>
      </c>
      <c r="K10">
        <f t="shared" si="0"/>
        <v>-1</v>
      </c>
      <c r="M10" t="str">
        <f>IF(AND($H10&lt;&gt;"",N($K10)&gt;0),COUNT($M$3:M9)+1,"")</f>
        <v/>
      </c>
    </row>
    <row r="11" spans="1:13" x14ac:dyDescent="0.25">
      <c r="A11" s="35">
        <f>IF($B11="","",ROWS($B$4:B11))</f>
        <v>8</v>
      </c>
      <c r="B11" s="36" t="str">
        <f>IFERROR(INDEX($H$4:$H$153,MATCH(ROWS($B$4:B11),$M$4:$M$153,0)),"")</f>
        <v>ANTONIO LUCIANO 454801</v>
      </c>
      <c r="C11" s="35">
        <f>IFERROR(INDEX($I$4:$I$153,MATCH(ROWS($B$4:B11),$M$4:$M$153,0)),"")</f>
        <v>1</v>
      </c>
      <c r="D11" s="35">
        <f>IFERROR(INDEX($J$4:$J$153,MATCH(ROWS($B$4:B11),$M$4:$M$153,0)),"")</f>
        <v>0</v>
      </c>
      <c r="E11" s="35">
        <f>IFERROR(INDEX($K$4:$K$153,MATCH(ROWS($B$4:B11),$M$4:$M$153,0)),"")</f>
        <v>1</v>
      </c>
      <c r="H11" t="str">
        <f>T(JAN!B13)</f>
        <v>ROQUE DARLAN 464801</v>
      </c>
      <c r="I11">
        <f>IF($H11="","",SUM(JAN:DEZ!C13))</f>
        <v>1</v>
      </c>
      <c r="J11">
        <f>IF($H11="","",SUM(JAN:DEZ!E13))</f>
        <v>1</v>
      </c>
      <c r="K11">
        <f t="shared" si="0"/>
        <v>0</v>
      </c>
      <c r="M11" t="str">
        <f>IF(AND($H11&lt;&gt;"",N($K11)&gt;0),COUNT($M$3:M10)+1,"")</f>
        <v/>
      </c>
    </row>
    <row r="12" spans="1:13" x14ac:dyDescent="0.25">
      <c r="A12" s="35">
        <f>IF($B12="","",ROWS($B$4:B12))</f>
        <v>9</v>
      </c>
      <c r="B12" s="36" t="str">
        <f>IFERROR(INDEX($H$4:$H$153,MATCH(ROWS($B$4:B12),$M$4:$M$153,0)),"")</f>
        <v>CLODOALDO TEMPORARIO</v>
      </c>
      <c r="C12" s="35">
        <f>IFERROR(INDEX($I$4:$I$153,MATCH(ROWS($B$4:B12),$M$4:$M$153,0)),"")</f>
        <v>1</v>
      </c>
      <c r="D12" s="35">
        <f>IFERROR(INDEX($J$4:$J$153,MATCH(ROWS($B$4:B12),$M$4:$M$153,0)),"")</f>
        <v>0</v>
      </c>
      <c r="E12" s="35">
        <f>IFERROR(INDEX($K$4:$K$153,MATCH(ROWS($B$4:B12),$M$4:$M$153,0)),"")</f>
        <v>1</v>
      </c>
      <c r="H12" t="str">
        <f>T(JAN!B14)</f>
        <v>FREDERICO SILVA 416501</v>
      </c>
      <c r="I12">
        <f>IF($H12="","",SUM(JAN:DEZ!C14))</f>
        <v>1</v>
      </c>
      <c r="J12">
        <f>IF($H12="","",SUM(JAN:DEZ!E14))</f>
        <v>2</v>
      </c>
      <c r="K12">
        <f t="shared" si="0"/>
        <v>-1</v>
      </c>
      <c r="M12" t="str">
        <f>IF(AND($H12&lt;&gt;"",N($K12)&gt;0),COUNT($M$3:M11)+1,"")</f>
        <v/>
      </c>
    </row>
    <row r="13" spans="1:13" x14ac:dyDescent="0.25">
      <c r="A13" s="35">
        <f>IF($B13="","",ROWS($B$4:B13))</f>
        <v>10</v>
      </c>
      <c r="B13" s="36" t="str">
        <f>IFERROR(INDEX($H$4:$H$153,MATCH(ROWS($B$4:B13),$M$4:$M$153,0)),"")</f>
        <v>MARCOS TEMPORARIO</v>
      </c>
      <c r="C13" s="35">
        <f>IFERROR(INDEX($I$4:$I$153,MATCH(ROWS($B$4:B13),$M$4:$M$153,0)),"")</f>
        <v>1</v>
      </c>
      <c r="D13" s="35">
        <f>IFERROR(INDEX($J$4:$J$153,MATCH(ROWS($B$4:B13),$M$4:$M$153,0)),"")</f>
        <v>0</v>
      </c>
      <c r="E13" s="35">
        <f>IFERROR(INDEX($K$4:$K$153,MATCH(ROWS($B$4:B13),$M$4:$M$153,0)),"")</f>
        <v>1</v>
      </c>
      <c r="H13" t="str">
        <f>T(JAN!B15)</f>
        <v>RAFAEL SANTOS 355101</v>
      </c>
      <c r="I13">
        <f>IF($H13="","",SUM(JAN:DEZ!C15))</f>
        <v>1</v>
      </c>
      <c r="J13">
        <f>IF($H13="","",SUM(JAN:DEZ!E15))</f>
        <v>1</v>
      </c>
      <c r="K13">
        <f t="shared" si="0"/>
        <v>0</v>
      </c>
      <c r="M13" t="str">
        <f>IF(AND($H13&lt;&gt;"",N($K13)&gt;0),COUNT($M$3:M12)+1,"")</f>
        <v/>
      </c>
    </row>
    <row r="14" spans="1:13" x14ac:dyDescent="0.25">
      <c r="A14" s="35">
        <f>IF($B14="","",ROWS($B$4:B14))</f>
        <v>11</v>
      </c>
      <c r="B14" s="36" t="str">
        <f>IFERROR(INDEX($H$4:$H$153,MATCH(ROWS($B$4:B14),$M$4:$M$153,0)),"")</f>
        <v>FLAVIO TEMPORARIO</v>
      </c>
      <c r="C14" s="35">
        <f>IFERROR(INDEX($I$4:$I$153,MATCH(ROWS($B$4:B14),$M$4:$M$153,0)),"")</f>
        <v>1</v>
      </c>
      <c r="D14" s="35">
        <f>IFERROR(INDEX($J$4:$J$153,MATCH(ROWS($B$4:B14),$M$4:$M$153,0)),"")</f>
        <v>0</v>
      </c>
      <c r="E14" s="35">
        <f>IFERROR(INDEX($K$4:$K$153,MATCH(ROWS($B$4:B14),$M$4:$M$153,0)),"")</f>
        <v>1</v>
      </c>
      <c r="H14" t="str">
        <f>T(JAN!B16)</f>
        <v>DANIEL MACHADO 112601</v>
      </c>
      <c r="I14">
        <f>IF($H14="","",SUM(JAN:DEZ!C16))</f>
        <v>1</v>
      </c>
      <c r="J14">
        <f>IF($H14="","",SUM(JAN:DEZ!E16))</f>
        <v>0</v>
      </c>
      <c r="K14">
        <f t="shared" si="0"/>
        <v>1</v>
      </c>
      <c r="M14">
        <f>IF(AND($H14&lt;&gt;"",N($K14)&gt;0),COUNT($M$3:M13)+1,"")</f>
        <v>4</v>
      </c>
    </row>
    <row r="15" spans="1:13" x14ac:dyDescent="0.25">
      <c r="A15" s="35">
        <f>IF($B15="","",ROWS($B$4:B15))</f>
        <v>12</v>
      </c>
      <c r="B15" s="36" t="str">
        <f>IFERROR(INDEX($H$4:$H$153,MATCH(ROWS($B$4:B15),$M$4:$M$153,0)),"")</f>
        <v>MARLON TEMPORÁRIO</v>
      </c>
      <c r="C15" s="35">
        <f>IFERROR(INDEX($I$4:$I$153,MATCH(ROWS($B$4:B15),$M$4:$M$153,0)),"")</f>
        <v>1</v>
      </c>
      <c r="D15" s="35">
        <f>IFERROR(INDEX($J$4:$J$153,MATCH(ROWS($B$4:B15),$M$4:$M$153,0)),"")</f>
        <v>0</v>
      </c>
      <c r="E15" s="35">
        <f>IFERROR(INDEX($K$4:$K$153,MATCH(ROWS($B$4:B15),$M$4:$M$153,0)),"")</f>
        <v>1</v>
      </c>
      <c r="H15" t="str">
        <f>T(JAN!B17)</f>
        <v>JOSE HERTE 109801</v>
      </c>
      <c r="I15">
        <f>IF($H15="","",SUM(JAN:DEZ!C17))</f>
        <v>1</v>
      </c>
      <c r="J15">
        <f>IF($H15="","",SUM(JAN:DEZ!E17))</f>
        <v>1</v>
      </c>
      <c r="K15">
        <f t="shared" si="0"/>
        <v>0</v>
      </c>
      <c r="M15" t="str">
        <f>IF(AND($H15&lt;&gt;"",N($K15)&gt;0),COUNT($M$3:M14)+1,"")</f>
        <v/>
      </c>
    </row>
    <row r="16" spans="1:13" x14ac:dyDescent="0.25">
      <c r="A16" s="35">
        <f>IF($B16="","",ROWS($B$4:B16))</f>
        <v>13</v>
      </c>
      <c r="B16" s="36" t="str">
        <f>IFERROR(INDEX($H$4:$H$153,MATCH(ROWS($B$4:B16),$M$4:$M$153,0)),"")</f>
        <v>TAYLOR TEMPORÁRIO</v>
      </c>
      <c r="C16" s="35">
        <f>IFERROR(INDEX($I$4:$I$153,MATCH(ROWS($B$4:B16),$M$4:$M$153,0)),"")</f>
        <v>1</v>
      </c>
      <c r="D16" s="35">
        <f>IFERROR(INDEX($J$4:$J$153,MATCH(ROWS($B$4:B16),$M$4:$M$153,0)),"")</f>
        <v>0</v>
      </c>
      <c r="E16" s="35">
        <f>IFERROR(INDEX($K$4:$K$153,MATCH(ROWS($B$4:B16),$M$4:$M$153,0)),"")</f>
        <v>1</v>
      </c>
      <c r="H16" t="str">
        <f>T(JAN!B18)</f>
        <v>EVERTON SILVA 37001892</v>
      </c>
      <c r="I16">
        <f>IF($H16="","",SUM(JAN:DEZ!C18))</f>
        <v>2</v>
      </c>
      <c r="J16">
        <f>IF($H16="","",SUM(JAN:DEZ!E18))</f>
        <v>3</v>
      </c>
      <c r="K16">
        <f t="shared" si="0"/>
        <v>-1</v>
      </c>
      <c r="M16" t="str">
        <f>IF(AND($H16&lt;&gt;"",N($K16)&gt;0),COUNT($M$3:M15)+1,"")</f>
        <v/>
      </c>
    </row>
    <row r="17" spans="1:13" x14ac:dyDescent="0.25">
      <c r="A17" s="35">
        <f>IF($B17="","",ROWS($B$4:B17))</f>
        <v>14</v>
      </c>
      <c r="B17" s="36" t="str">
        <f>IFERROR(INDEX($H$4:$H$153,MATCH(ROWS($B$4:B17),$M$4:$M$153,0)),"")</f>
        <v>ÉRICK TEMPORÁRIO</v>
      </c>
      <c r="C17" s="35">
        <f>IFERROR(INDEX($I$4:$I$153,MATCH(ROWS($B$4:B17),$M$4:$M$153,0)),"")</f>
        <v>1</v>
      </c>
      <c r="D17" s="35">
        <f>IFERROR(INDEX($J$4:$J$153,MATCH(ROWS($B$4:B17),$M$4:$M$153,0)),"")</f>
        <v>0</v>
      </c>
      <c r="E17" s="35">
        <f>IFERROR(INDEX($K$4:$K$153,MATCH(ROWS($B$4:B17),$M$4:$M$153,0)),"")</f>
        <v>1</v>
      </c>
      <c r="H17" t="str">
        <f>T(JAN!B19)</f>
        <v>ANILTON MORAES 327401</v>
      </c>
      <c r="I17">
        <f>IF($H17="","",SUM(JAN:DEZ!C19))</f>
        <v>0</v>
      </c>
      <c r="J17">
        <f>IF($H17="","",SUM(JAN:DEZ!E19))</f>
        <v>0</v>
      </c>
      <c r="K17">
        <f t="shared" si="0"/>
        <v>0</v>
      </c>
      <c r="M17" t="str">
        <f>IF(AND($H17&lt;&gt;"",N($K17)&gt;0),COUNT($M$3:M16)+1,"")</f>
        <v/>
      </c>
    </row>
    <row r="18" spans="1:13" x14ac:dyDescent="0.25">
      <c r="A18" s="35" t="str">
        <f>IF($B18="","",ROWS($B$4:B18))</f>
        <v/>
      </c>
      <c r="B18" s="36" t="str">
        <f>IFERROR(INDEX($H$4:$H$153,MATCH(ROWS($B$4:B18),$M$4:$M$153,0)),"")</f>
        <v/>
      </c>
      <c r="C18" s="35" t="str">
        <f>IFERROR(INDEX($I$4:$I$153,MATCH(ROWS($B$4:B18),$M$4:$M$153,0)),"")</f>
        <v/>
      </c>
      <c r="D18" s="35" t="str">
        <f>IFERROR(INDEX($J$4:$J$153,MATCH(ROWS($B$4:B18),$M$4:$M$153,0)),"")</f>
        <v/>
      </c>
      <c r="E18" s="35" t="str">
        <f>IFERROR(INDEX($K$4:$K$153,MATCH(ROWS($B$4:B18),$M$4:$M$153,0)),"")</f>
        <v/>
      </c>
      <c r="H18" t="str">
        <f>T(JAN!B20)</f>
        <v>MARCOS SOUZA 453701</v>
      </c>
      <c r="I18">
        <f>IF($H18="","",SUM(JAN:DEZ!C20))</f>
        <v>0</v>
      </c>
      <c r="J18">
        <f>IF($H18="","",SUM(JAN:DEZ!E20))</f>
        <v>0</v>
      </c>
      <c r="K18">
        <f t="shared" si="0"/>
        <v>0</v>
      </c>
      <c r="M18" t="str">
        <f>IF(AND($H18&lt;&gt;"",N($K18)&gt;0),COUNT($M$3:M17)+1,"")</f>
        <v/>
      </c>
    </row>
    <row r="19" spans="1:13" x14ac:dyDescent="0.25">
      <c r="A19" s="35" t="str">
        <f>IF($B19="","",ROWS($B$4:B19))</f>
        <v/>
      </c>
      <c r="B19" s="36" t="str">
        <f>IFERROR(INDEX($H$4:$H$153,MATCH(ROWS($B$4:B19),$M$4:$M$153,0)),"")</f>
        <v/>
      </c>
      <c r="C19" s="35" t="str">
        <f>IFERROR(INDEX($I$4:$I$153,MATCH(ROWS($B$4:B19),$M$4:$M$153,0)),"")</f>
        <v/>
      </c>
      <c r="D19" s="35" t="str">
        <f>IFERROR(INDEX($J$4:$J$153,MATCH(ROWS($B$4:B19),$M$4:$M$153,0)),"")</f>
        <v/>
      </c>
      <c r="E19" s="35" t="str">
        <f>IFERROR(INDEX($K$4:$K$153,MATCH(ROWS($B$4:B19),$M$4:$M$153,0)),"")</f>
        <v/>
      </c>
      <c r="H19" t="str">
        <f>T(JAN!B21)</f>
        <v>MARCOS EBERTZ 356601</v>
      </c>
      <c r="I19">
        <f>IF($H19="","",SUM(JAN:DEZ!C21))</f>
        <v>0</v>
      </c>
      <c r="J19">
        <f>IF($H19="","",SUM(JAN:DEZ!E21))</f>
        <v>0</v>
      </c>
      <c r="K19">
        <f t="shared" si="0"/>
        <v>0</v>
      </c>
      <c r="M19" t="str">
        <f>IF(AND($H19&lt;&gt;"",N($K19)&gt;0),COUNT($M$3:M18)+1,"")</f>
        <v/>
      </c>
    </row>
    <row r="20" spans="1:13" x14ac:dyDescent="0.25">
      <c r="A20" s="35" t="str">
        <f>IF($B20="","",ROWS($B$4:B20))</f>
        <v/>
      </c>
      <c r="B20" s="36" t="str">
        <f>IFERROR(INDEX($H$4:$H$153,MATCH(ROWS($B$4:B20),$M$4:$M$153,0)),"")</f>
        <v/>
      </c>
      <c r="C20" s="35" t="str">
        <f>IFERROR(INDEX($I$4:$I$153,MATCH(ROWS($B$4:B20),$M$4:$M$153,0)),"")</f>
        <v/>
      </c>
      <c r="D20" s="35" t="str">
        <f>IFERROR(INDEX($J$4:$J$153,MATCH(ROWS($B$4:B20),$M$4:$M$153,0)),"")</f>
        <v/>
      </c>
      <c r="E20" s="35" t="str">
        <f>IFERROR(INDEX($K$4:$K$153,MATCH(ROWS($B$4:B20),$M$4:$M$153,0)),"")</f>
        <v/>
      </c>
      <c r="H20" t="str">
        <f>T(JAN!B22)</f>
        <v>REGIS CERETA 384101</v>
      </c>
      <c r="I20">
        <f>IF($H20="","",SUM(JAN:DEZ!C22))</f>
        <v>0</v>
      </c>
      <c r="J20">
        <f>IF($H20="","",SUM(JAN:DEZ!E22))</f>
        <v>0</v>
      </c>
      <c r="K20">
        <f t="shared" si="0"/>
        <v>0</v>
      </c>
      <c r="M20" t="str">
        <f>IF(AND($H20&lt;&gt;"",N($K20)&gt;0),COUNT($M$3:M19)+1,"")</f>
        <v/>
      </c>
    </row>
    <row r="21" spans="1:13" x14ac:dyDescent="0.25">
      <c r="A21" s="35" t="str">
        <f>IF($B21="","",ROWS($B$4:B21))</f>
        <v/>
      </c>
      <c r="B21" s="36" t="str">
        <f>IFERROR(INDEX($H$4:$H$153,MATCH(ROWS($B$4:B21),$M$4:$M$153,0)),"")</f>
        <v/>
      </c>
      <c r="C21" s="35" t="str">
        <f>IFERROR(INDEX($I$4:$I$153,MATCH(ROWS($B$4:B21),$M$4:$M$153,0)),"")</f>
        <v/>
      </c>
      <c r="D21" s="35" t="str">
        <f>IFERROR(INDEX($J$4:$J$153,MATCH(ROWS($B$4:B21),$M$4:$M$153,0)),"")</f>
        <v/>
      </c>
      <c r="E21" s="35" t="str">
        <f>IFERROR(INDEX($K$4:$K$153,MATCH(ROWS($B$4:B21),$M$4:$M$153,0)),"")</f>
        <v/>
      </c>
      <c r="H21" t="str">
        <f>T(JAN!B23)</f>
        <v>ANDERSON SANTOS 434801</v>
      </c>
      <c r="I21">
        <f>IF($H21="","",SUM(JAN:DEZ!C23))</f>
        <v>0</v>
      </c>
      <c r="J21">
        <f>IF($H21="","",SUM(JAN:DEZ!E23))</f>
        <v>0</v>
      </c>
      <c r="K21">
        <f t="shared" si="0"/>
        <v>0</v>
      </c>
      <c r="M21" t="str">
        <f>IF(AND($H21&lt;&gt;"",N($K21)&gt;0),COUNT($M$3:M20)+1,"")</f>
        <v/>
      </c>
    </row>
    <row r="22" spans="1:13" x14ac:dyDescent="0.25">
      <c r="A22" s="35" t="str">
        <f>IF($B22="","",ROWS($B$4:B22))</f>
        <v/>
      </c>
      <c r="B22" s="36" t="str">
        <f>IFERROR(INDEX($H$4:$H$153,MATCH(ROWS($B$4:B22),$M$4:$M$153,0)),"")</f>
        <v/>
      </c>
      <c r="C22" s="35" t="str">
        <f>IFERROR(INDEX($I$4:$I$153,MATCH(ROWS($B$4:B22),$M$4:$M$153,0)),"")</f>
        <v/>
      </c>
      <c r="D22" s="35" t="str">
        <f>IFERROR(INDEX($J$4:$J$153,MATCH(ROWS($B$4:B22),$M$4:$M$153,0)),"")</f>
        <v/>
      </c>
      <c r="E22" s="35" t="str">
        <f>IFERROR(INDEX($K$4:$K$153,MATCH(ROWS($B$4:B22),$M$4:$M$153,0)),"")</f>
        <v/>
      </c>
      <c r="H22" t="str">
        <f>T(JAN!B24)</f>
        <v>ALEX GABRIEL 37002111</v>
      </c>
      <c r="I22">
        <f>IF($H22="","",SUM(JAN:DEZ!C24))</f>
        <v>0</v>
      </c>
      <c r="J22">
        <f>IF($H22="","",SUM(JAN:DEZ!E24))</f>
        <v>0</v>
      </c>
      <c r="K22">
        <f t="shared" si="0"/>
        <v>0</v>
      </c>
      <c r="M22" t="str">
        <f>IF(AND($H22&lt;&gt;"",N($K22)&gt;0),COUNT($M$3:M21)+1,"")</f>
        <v/>
      </c>
    </row>
    <row r="23" spans="1:13" x14ac:dyDescent="0.25">
      <c r="A23" s="35" t="str">
        <f>IF($B23="","",ROWS($B$4:B23))</f>
        <v/>
      </c>
      <c r="B23" s="36" t="str">
        <f>IFERROR(INDEX($H$4:$H$153,MATCH(ROWS($B$4:B23),$M$4:$M$153,0)),"")</f>
        <v/>
      </c>
      <c r="C23" s="35" t="str">
        <f>IFERROR(INDEX($I$4:$I$153,MATCH(ROWS($B$4:B23),$M$4:$M$153,0)),"")</f>
        <v/>
      </c>
      <c r="D23" s="35" t="str">
        <f>IFERROR(INDEX($J$4:$J$153,MATCH(ROWS($B$4:B23),$M$4:$M$153,0)),"")</f>
        <v/>
      </c>
      <c r="E23" s="35" t="str">
        <f>IFERROR(INDEX($K$4:$K$153,MATCH(ROWS($B$4:B23),$M$4:$M$153,0)),"")</f>
        <v/>
      </c>
      <c r="H23" t="str">
        <f>T(JAN!B25)</f>
        <v>RENATO GUEDES 381901</v>
      </c>
      <c r="I23">
        <f>IF($H23="","",SUM(JAN:DEZ!C25))</f>
        <v>1</v>
      </c>
      <c r="J23">
        <f>IF($H23="","",SUM(JAN:DEZ!E25))</f>
        <v>2</v>
      </c>
      <c r="K23">
        <f t="shared" si="0"/>
        <v>-1</v>
      </c>
      <c r="M23" t="str">
        <f>IF(AND($H23&lt;&gt;"",N($K23)&gt;0),COUNT($M$3:M22)+1,"")</f>
        <v/>
      </c>
    </row>
    <row r="24" spans="1:13" x14ac:dyDescent="0.25">
      <c r="A24" s="35" t="str">
        <f>IF($B24="","",ROWS($B$4:B24))</f>
        <v/>
      </c>
      <c r="B24" s="36" t="str">
        <f>IFERROR(INDEX($H$4:$H$153,MATCH(ROWS($B$4:B24),$M$4:$M$153,0)),"")</f>
        <v/>
      </c>
      <c r="C24" s="35" t="str">
        <f>IFERROR(INDEX($I$4:$I$153,MATCH(ROWS($B$4:B24),$M$4:$M$153,0)),"")</f>
        <v/>
      </c>
      <c r="D24" s="35" t="str">
        <f>IFERROR(INDEX($J$4:$J$153,MATCH(ROWS($B$4:B24),$M$4:$M$153,0)),"")</f>
        <v/>
      </c>
      <c r="E24" s="35" t="str">
        <f>IFERROR(INDEX($K$4:$K$153,MATCH(ROWS($B$4:B24),$M$4:$M$153,0)),"")</f>
        <v/>
      </c>
      <c r="H24" t="str">
        <f>T(JAN!B26)</f>
        <v>EDUARDO SCHNEIDER 37002143</v>
      </c>
      <c r="I24">
        <f>IF($H24="","",SUM(JAN:DEZ!C26))</f>
        <v>2</v>
      </c>
      <c r="J24">
        <f>IF($H24="","",SUM(JAN:DEZ!E26))</f>
        <v>2</v>
      </c>
      <c r="K24">
        <f t="shared" si="0"/>
        <v>0</v>
      </c>
      <c r="M24" t="str">
        <f>IF(AND($H24&lt;&gt;"",N($K24)&gt;0),COUNT($M$3:M23)+1,"")</f>
        <v/>
      </c>
    </row>
    <row r="25" spans="1:13" x14ac:dyDescent="0.25">
      <c r="A25" s="35" t="str">
        <f>IF($B25="","",ROWS($B$4:B25))</f>
        <v/>
      </c>
      <c r="B25" s="36" t="str">
        <f>IFERROR(INDEX($H$4:$H$153,MATCH(ROWS($B$4:B25),$M$4:$M$153,0)),"")</f>
        <v/>
      </c>
      <c r="C25" s="35" t="str">
        <f>IFERROR(INDEX($I$4:$I$153,MATCH(ROWS($B$4:B25),$M$4:$M$153,0)),"")</f>
        <v/>
      </c>
      <c r="D25" s="35" t="str">
        <f>IFERROR(INDEX($J$4:$J$153,MATCH(ROWS($B$4:B25),$M$4:$M$153,0)),"")</f>
        <v/>
      </c>
      <c r="E25" s="35" t="str">
        <f>IFERROR(INDEX($K$4:$K$153,MATCH(ROWS($B$4:B25),$M$4:$M$153,0)),"")</f>
        <v/>
      </c>
      <c r="H25" t="str">
        <f>T(JAN!B27)</f>
        <v>VANDERLEI BUSSA 309601</v>
      </c>
      <c r="I25">
        <f>IF($H25="","",SUM(JAN:DEZ!C27))</f>
        <v>2</v>
      </c>
      <c r="J25">
        <f>IF($H25="","",SUM(JAN:DEZ!E27))</f>
        <v>2</v>
      </c>
      <c r="K25">
        <f t="shared" si="0"/>
        <v>0</v>
      </c>
      <c r="M25" t="str">
        <f>IF(AND($H25&lt;&gt;"",N($K25)&gt;0),COUNT($M$3:M24)+1,"")</f>
        <v/>
      </c>
    </row>
    <row r="26" spans="1:13" x14ac:dyDescent="0.25">
      <c r="A26" s="35" t="str">
        <f>IF($B26="","",ROWS($B$4:B26))</f>
        <v/>
      </c>
      <c r="B26" s="36" t="str">
        <f>IFERROR(INDEX($H$4:$H$153,MATCH(ROWS($B$4:B26),$M$4:$M$153,0)),"")</f>
        <v/>
      </c>
      <c r="C26" s="35" t="str">
        <f>IFERROR(INDEX($I$4:$I$153,MATCH(ROWS($B$4:B26),$M$4:$M$153,0)),"")</f>
        <v/>
      </c>
      <c r="D26" s="35" t="str">
        <f>IFERROR(INDEX($J$4:$J$153,MATCH(ROWS($B$4:B26),$M$4:$M$153,0)),"")</f>
        <v/>
      </c>
      <c r="E26" s="35" t="str">
        <f>IFERROR(INDEX($K$4:$K$153,MATCH(ROWS($B$4:B26),$M$4:$M$153,0)),"")</f>
        <v/>
      </c>
      <c r="H26" t="str">
        <f>T(JAN!B28)</f>
        <v>DENIS GABRIEL 37002145</v>
      </c>
      <c r="I26">
        <f>IF($H26="","",SUM(JAN:DEZ!C28))</f>
        <v>2</v>
      </c>
      <c r="J26">
        <f>IF($H26="","",SUM(JAN:DEZ!E28))</f>
        <v>2</v>
      </c>
      <c r="K26">
        <f t="shared" si="0"/>
        <v>0</v>
      </c>
      <c r="M26" t="str">
        <f>IF(AND($H26&lt;&gt;"",N($K26)&gt;0),COUNT($M$3:M25)+1,"")</f>
        <v/>
      </c>
    </row>
    <row r="27" spans="1:13" x14ac:dyDescent="0.25">
      <c r="A27" s="35" t="str">
        <f>IF($B27="","",ROWS($B$4:B27))</f>
        <v/>
      </c>
      <c r="B27" s="36" t="str">
        <f>IFERROR(INDEX($H$4:$H$153,MATCH(ROWS($B$4:B27),$M$4:$M$153,0)),"")</f>
        <v/>
      </c>
      <c r="C27" s="35" t="str">
        <f>IFERROR(INDEX($I$4:$I$153,MATCH(ROWS($B$4:B27),$M$4:$M$153,0)),"")</f>
        <v/>
      </c>
      <c r="D27" s="35" t="str">
        <f>IFERROR(INDEX($J$4:$J$153,MATCH(ROWS($B$4:B27),$M$4:$M$153,0)),"")</f>
        <v/>
      </c>
      <c r="E27" s="35" t="str">
        <f>IFERROR(INDEX($K$4:$K$153,MATCH(ROWS($B$4:B27),$M$4:$M$153,0)),"")</f>
        <v/>
      </c>
      <c r="H27" t="str">
        <f>T(JAN!B29)</f>
        <v>DIEGO DIETRICH 352801</v>
      </c>
      <c r="I27">
        <f>IF($H27="","",SUM(JAN:DEZ!C29))</f>
        <v>2</v>
      </c>
      <c r="J27">
        <f>IF($H27="","",SUM(JAN:DEZ!E29))</f>
        <v>6</v>
      </c>
      <c r="K27">
        <f t="shared" si="0"/>
        <v>-4</v>
      </c>
      <c r="M27" t="str">
        <f>IF(AND($H27&lt;&gt;"",N($K27)&gt;0),COUNT($M$3:M26)+1,"")</f>
        <v/>
      </c>
    </row>
    <row r="28" spans="1:13" x14ac:dyDescent="0.25">
      <c r="A28" s="35" t="str">
        <f>IF($B28="","",ROWS($B$4:B28))</f>
        <v/>
      </c>
      <c r="B28" s="36" t="str">
        <f>IFERROR(INDEX($H$4:$H$153,MATCH(ROWS($B$4:B28),$M$4:$M$153,0)),"")</f>
        <v/>
      </c>
      <c r="C28" s="35" t="str">
        <f>IFERROR(INDEX($I$4:$I$153,MATCH(ROWS($B$4:B28),$M$4:$M$153,0)),"")</f>
        <v/>
      </c>
      <c r="D28" s="35" t="str">
        <f>IFERROR(INDEX($J$4:$J$153,MATCH(ROWS($B$4:B28),$M$4:$M$153,0)),"")</f>
        <v/>
      </c>
      <c r="E28" s="35" t="str">
        <f>IFERROR(INDEX($K$4:$K$153,MATCH(ROWS($B$4:B28),$M$4:$M$153,0)),"")</f>
        <v/>
      </c>
      <c r="H28" t="str">
        <f>T(JAN!B30)</f>
        <v>MARCELOS DORNELLES 37002274</v>
      </c>
      <c r="I28">
        <f>IF($H28="","",SUM(JAN:DEZ!C30))</f>
        <v>0</v>
      </c>
      <c r="J28">
        <f>IF($H28="","",SUM(JAN:DEZ!E30))</f>
        <v>0</v>
      </c>
      <c r="K28">
        <f t="shared" si="0"/>
        <v>0</v>
      </c>
      <c r="M28" t="str">
        <f>IF(AND($H28&lt;&gt;"",N($K28)&gt;0),COUNT($M$3:M27)+1,"")</f>
        <v/>
      </c>
    </row>
    <row r="29" spans="1:13" x14ac:dyDescent="0.25">
      <c r="A29" s="35" t="str">
        <f>IF($B29="","",ROWS($B$4:B29))</f>
        <v/>
      </c>
      <c r="B29" s="36" t="str">
        <f>IFERROR(INDEX($H$4:$H$153,MATCH(ROWS($B$4:B29),$M$4:$M$153,0)),"")</f>
        <v/>
      </c>
      <c r="C29" s="35" t="str">
        <f>IFERROR(INDEX($I$4:$I$153,MATCH(ROWS($B$4:B29),$M$4:$M$153,0)),"")</f>
        <v/>
      </c>
      <c r="D29" s="35" t="str">
        <f>IFERROR(INDEX($J$4:$J$153,MATCH(ROWS($B$4:B29),$M$4:$M$153,0)),"")</f>
        <v/>
      </c>
      <c r="E29" s="35" t="str">
        <f>IFERROR(INDEX($K$4:$K$153,MATCH(ROWS($B$4:B29),$M$4:$M$153,0)),"")</f>
        <v/>
      </c>
      <c r="H29" t="str">
        <f>T(JAN!B31)</f>
        <v>ALEXANDRE NUNES 461301</v>
      </c>
      <c r="I29">
        <f>IF($H29="","",SUM(JAN:DEZ!C31))</f>
        <v>0</v>
      </c>
      <c r="J29">
        <f>IF($H29="","",SUM(JAN:DEZ!E31))</f>
        <v>2</v>
      </c>
      <c r="K29">
        <f t="shared" si="0"/>
        <v>-2</v>
      </c>
      <c r="M29" t="str">
        <f>IF(AND($H29&lt;&gt;"",N($K29)&gt;0),COUNT($M$3:M28)+1,"")</f>
        <v/>
      </c>
    </row>
    <row r="30" spans="1:13" x14ac:dyDescent="0.25">
      <c r="A30" s="35" t="str">
        <f>IF($B30="","",ROWS($B$4:B30))</f>
        <v/>
      </c>
      <c r="B30" s="36" t="str">
        <f>IFERROR(INDEX($H$4:$H$153,MATCH(ROWS($B$4:B30),$M$4:$M$153,0)),"")</f>
        <v/>
      </c>
      <c r="C30" s="35" t="str">
        <f>IFERROR(INDEX($I$4:$I$153,MATCH(ROWS($B$4:B30),$M$4:$M$153,0)),"")</f>
        <v/>
      </c>
      <c r="D30" s="35" t="str">
        <f>IFERROR(INDEX($J$4:$J$153,MATCH(ROWS($B$4:B30),$M$4:$M$153,0)),"")</f>
        <v/>
      </c>
      <c r="E30" s="35" t="str">
        <f>IFERROR(INDEX($K$4:$K$153,MATCH(ROWS($B$4:B30),$M$4:$M$153,0)),"")</f>
        <v/>
      </c>
      <c r="H30" t="str">
        <f>T(JAN!B32)</f>
        <v>DIGO GRAZCKI 37002136</v>
      </c>
      <c r="I30">
        <f>IF($H30="","",SUM(JAN:DEZ!C32))</f>
        <v>1</v>
      </c>
      <c r="J30">
        <f>IF($H30="","",SUM(JAN:DEZ!E32))</f>
        <v>3</v>
      </c>
      <c r="K30">
        <f t="shared" si="0"/>
        <v>-2</v>
      </c>
      <c r="M30" t="str">
        <f>IF(AND($H30&lt;&gt;"",N($K30)&gt;0),COUNT($M$3:M29)+1,"")</f>
        <v/>
      </c>
    </row>
    <row r="31" spans="1:13" x14ac:dyDescent="0.25">
      <c r="A31" s="35" t="str">
        <f>IF($B31="","",ROWS($B$4:B31))</f>
        <v/>
      </c>
      <c r="B31" s="36" t="str">
        <f>IFERROR(INDEX($H$4:$H$153,MATCH(ROWS($B$4:B31),$M$4:$M$153,0)),"")</f>
        <v/>
      </c>
      <c r="C31" s="35" t="str">
        <f>IFERROR(INDEX($I$4:$I$153,MATCH(ROWS($B$4:B31),$M$4:$M$153,0)),"")</f>
        <v/>
      </c>
      <c r="D31" s="35" t="str">
        <f>IFERROR(INDEX($J$4:$J$153,MATCH(ROWS($B$4:B31),$M$4:$M$153,0)),"")</f>
        <v/>
      </c>
      <c r="E31" s="35" t="str">
        <f>IFERROR(INDEX($K$4:$K$153,MATCH(ROWS($B$4:B31),$M$4:$M$153,0)),"")</f>
        <v/>
      </c>
      <c r="H31" t="str">
        <f>T(JAN!B33)</f>
        <v>CHARLES SCOT 310301</v>
      </c>
      <c r="I31">
        <f>IF($H31="","",SUM(JAN:DEZ!C33))</f>
        <v>0</v>
      </c>
      <c r="J31">
        <f>IF($H31="","",SUM(JAN:DEZ!E33))</f>
        <v>2</v>
      </c>
      <c r="K31">
        <f t="shared" si="0"/>
        <v>-2</v>
      </c>
      <c r="M31" t="str">
        <f>IF(AND($H31&lt;&gt;"",N($K31)&gt;0),COUNT($M$3:M30)+1,"")</f>
        <v/>
      </c>
    </row>
    <row r="32" spans="1:13" x14ac:dyDescent="0.25">
      <c r="A32" s="35" t="str">
        <f>IF($B32="","",ROWS($B$4:B32))</f>
        <v/>
      </c>
      <c r="B32" s="36" t="str">
        <f>IFERROR(INDEX($H$4:$H$153,MATCH(ROWS($B$4:B32),$M$4:$M$153,0)),"")</f>
        <v/>
      </c>
      <c r="C32" s="35" t="str">
        <f>IFERROR(INDEX($I$4:$I$153,MATCH(ROWS($B$4:B32),$M$4:$M$153,0)),"")</f>
        <v/>
      </c>
      <c r="D32" s="35" t="str">
        <f>IFERROR(INDEX($J$4:$J$153,MATCH(ROWS($B$4:B32),$M$4:$M$153,0)),"")</f>
        <v/>
      </c>
      <c r="E32" s="35" t="str">
        <f>IFERROR(INDEX($K$4:$K$153,MATCH(ROWS($B$4:B32),$M$4:$M$153,0)),"")</f>
        <v/>
      </c>
      <c r="H32" t="str">
        <f>T(JAN!B34)</f>
        <v>EDUARDO RIBEIRO 484301</v>
      </c>
      <c r="I32">
        <f>IF($H32="","",SUM(JAN:DEZ!C34))</f>
        <v>3</v>
      </c>
      <c r="J32">
        <f>IF($H32="","",SUM(JAN:DEZ!E34))</f>
        <v>2</v>
      </c>
      <c r="K32">
        <f t="shared" si="0"/>
        <v>1</v>
      </c>
      <c r="M32">
        <f>IF(AND($H32&lt;&gt;"",N($K32)&gt;0),COUNT($M$3:M31)+1,"")</f>
        <v>5</v>
      </c>
    </row>
    <row r="33" spans="1:13" x14ac:dyDescent="0.25">
      <c r="A33" s="35" t="str">
        <f>IF($B33="","",ROWS($B$4:B33))</f>
        <v/>
      </c>
      <c r="B33" s="36" t="str">
        <f>IFERROR(INDEX($H$4:$H$153,MATCH(ROWS($B$4:B33),$M$4:$M$153,0)),"")</f>
        <v/>
      </c>
      <c r="C33" s="35" t="str">
        <f>IFERROR(INDEX($I$4:$I$153,MATCH(ROWS($B$4:B33),$M$4:$M$153,0)),"")</f>
        <v/>
      </c>
      <c r="D33" s="35" t="str">
        <f>IFERROR(INDEX($J$4:$J$153,MATCH(ROWS($B$4:B33),$M$4:$M$153,0)),"")</f>
        <v/>
      </c>
      <c r="E33" s="35" t="str">
        <f>IFERROR(INDEX($K$4:$K$153,MATCH(ROWS($B$4:B33),$M$4:$M$153,0)),"")</f>
        <v/>
      </c>
      <c r="H33" t="str">
        <f>T(JAN!B35)</f>
        <v>RODRIGO BRAZEIRO 281401</v>
      </c>
      <c r="I33">
        <f>IF($H33="","",SUM(JAN:DEZ!C35))</f>
        <v>0</v>
      </c>
      <c r="J33">
        <f>IF($H33="","",SUM(JAN:DEZ!E35))</f>
        <v>1</v>
      </c>
      <c r="K33">
        <f t="shared" si="0"/>
        <v>-1</v>
      </c>
      <c r="M33" t="str">
        <f>IF(AND($H33&lt;&gt;"",N($K33)&gt;0),COUNT($M$3:M32)+1,"")</f>
        <v/>
      </c>
    </row>
    <row r="34" spans="1:13" x14ac:dyDescent="0.25">
      <c r="A34" s="35" t="str">
        <f>IF($B34="","",ROWS($B$4:B34))</f>
        <v/>
      </c>
      <c r="B34" s="36" t="str">
        <f>IFERROR(INDEX($H$4:$H$153,MATCH(ROWS($B$4:B34),$M$4:$M$153,0)),"")</f>
        <v/>
      </c>
      <c r="C34" s="35" t="str">
        <f>IFERROR(INDEX($I$4:$I$153,MATCH(ROWS($B$4:B34),$M$4:$M$153,0)),"")</f>
        <v/>
      </c>
      <c r="D34" s="35" t="str">
        <f>IFERROR(INDEX($J$4:$J$153,MATCH(ROWS($B$4:B34),$M$4:$M$153,0)),"")</f>
        <v/>
      </c>
      <c r="E34" s="35" t="str">
        <f>IFERROR(INDEX($K$4:$K$153,MATCH(ROWS($B$4:B34),$M$4:$M$153,0)),"")</f>
        <v/>
      </c>
      <c r="H34" t="str">
        <f>T(JAN!B36)</f>
        <v>ALEXANDRE MARINHO 37002252</v>
      </c>
      <c r="I34">
        <f>IF($H34="","",SUM(JAN:DEZ!C36))</f>
        <v>1</v>
      </c>
      <c r="J34">
        <f>IF($H34="","",SUM(JAN:DEZ!E36))</f>
        <v>1</v>
      </c>
      <c r="K34">
        <f t="shared" si="0"/>
        <v>0</v>
      </c>
      <c r="M34" t="str">
        <f>IF(AND($H34&lt;&gt;"",N($K34)&gt;0),COUNT($M$3:M33)+1,"")</f>
        <v/>
      </c>
    </row>
    <row r="35" spans="1:13" x14ac:dyDescent="0.25">
      <c r="A35" s="35" t="str">
        <f>IF($B35="","",ROWS($B$4:B35))</f>
        <v/>
      </c>
      <c r="B35" s="36" t="str">
        <f>IFERROR(INDEX($H$4:$H$153,MATCH(ROWS($B$4:B35),$M$4:$M$153,0)),"")</f>
        <v/>
      </c>
      <c r="C35" s="35" t="str">
        <f>IFERROR(INDEX($I$4:$I$153,MATCH(ROWS($B$4:B35),$M$4:$M$153,0)),"")</f>
        <v/>
      </c>
      <c r="D35" s="35" t="str">
        <f>IFERROR(INDEX($J$4:$J$153,MATCH(ROWS($B$4:B35),$M$4:$M$153,0)),"")</f>
        <v/>
      </c>
      <c r="E35" s="35" t="str">
        <f>IFERROR(INDEX($K$4:$K$153,MATCH(ROWS($B$4:B35),$M$4:$M$153,0)),"")</f>
        <v/>
      </c>
      <c r="H35" t="str">
        <f>T(JAN!B37)</f>
        <v>DIERRI SOUZA 166901</v>
      </c>
      <c r="I35">
        <f>IF($H35="","",SUM(JAN:DEZ!C37))</f>
        <v>0</v>
      </c>
      <c r="J35">
        <f>IF($H35="","",SUM(JAN:DEZ!E37))</f>
        <v>0</v>
      </c>
      <c r="K35">
        <f t="shared" si="0"/>
        <v>0</v>
      </c>
      <c r="M35" t="str">
        <f>IF(AND($H35&lt;&gt;"",N($K35)&gt;0),COUNT($M$3:M34)+1,"")</f>
        <v/>
      </c>
    </row>
    <row r="36" spans="1:13" x14ac:dyDescent="0.25">
      <c r="A36" s="35" t="str">
        <f>IF($B36="","",ROWS($B$4:B36))</f>
        <v/>
      </c>
      <c r="B36" s="36" t="str">
        <f>IFERROR(INDEX($H$4:$H$153,MATCH(ROWS($B$4:B36),$M$4:$M$153,0)),"")</f>
        <v/>
      </c>
      <c r="C36" s="35" t="str">
        <f>IFERROR(INDEX($I$4:$I$153,MATCH(ROWS($B$4:B36),$M$4:$M$153,0)),"")</f>
        <v/>
      </c>
      <c r="D36" s="35" t="str">
        <f>IFERROR(INDEX($J$4:$J$153,MATCH(ROWS($B$4:B36),$M$4:$M$153,0)),"")</f>
        <v/>
      </c>
      <c r="E36" s="35" t="str">
        <f>IFERROR(INDEX($K$4:$K$153,MATCH(ROWS($B$4:B36),$M$4:$M$153,0)),"")</f>
        <v/>
      </c>
      <c r="H36" t="str">
        <f>T(JAN!B38)</f>
        <v>JOSIMAR ROCHA 390801</v>
      </c>
      <c r="I36">
        <f>IF($H36="","",SUM(JAN:DEZ!C38))</f>
        <v>0</v>
      </c>
      <c r="J36">
        <f>IF($H36="","",SUM(JAN:DEZ!E38))</f>
        <v>0</v>
      </c>
      <c r="K36">
        <f t="shared" ref="K36:K67" si="1">IF($H36="","",I36-J36)</f>
        <v>0</v>
      </c>
      <c r="M36" t="str">
        <f>IF(AND($H36&lt;&gt;"",N($K36)&gt;0),COUNT($M$3:M35)+1,"")</f>
        <v/>
      </c>
    </row>
    <row r="37" spans="1:13" x14ac:dyDescent="0.25">
      <c r="A37" s="35" t="str">
        <f>IF($B37="","",ROWS($B$4:B37))</f>
        <v/>
      </c>
      <c r="B37" s="36" t="str">
        <f>IFERROR(INDEX($H$4:$H$153,MATCH(ROWS($B$4:B37),$M$4:$M$153,0)),"")</f>
        <v/>
      </c>
      <c r="C37" s="35" t="str">
        <f>IFERROR(INDEX($I$4:$I$153,MATCH(ROWS($B$4:B37),$M$4:$M$153,0)),"")</f>
        <v/>
      </c>
      <c r="D37" s="35" t="str">
        <f>IFERROR(INDEX($J$4:$J$153,MATCH(ROWS($B$4:B37),$M$4:$M$153,0)),"")</f>
        <v/>
      </c>
      <c r="E37" s="35" t="str">
        <f>IFERROR(INDEX($K$4:$K$153,MATCH(ROWS($B$4:B37),$M$4:$M$153,0)),"")</f>
        <v/>
      </c>
      <c r="H37" t="str">
        <f>T(JAN!B39)</f>
        <v>JONATHAM DALAZEM 517501</v>
      </c>
      <c r="I37">
        <f>IF($H37="","",SUM(JAN:DEZ!C39))</f>
        <v>1</v>
      </c>
      <c r="J37">
        <f>IF($H37="","",SUM(JAN:DEZ!E39))</f>
        <v>1</v>
      </c>
      <c r="K37">
        <f t="shared" si="1"/>
        <v>0</v>
      </c>
      <c r="M37" t="str">
        <f>IF(AND($H37&lt;&gt;"",N($K37)&gt;0),COUNT($M$3:M36)+1,"")</f>
        <v/>
      </c>
    </row>
    <row r="38" spans="1:13" x14ac:dyDescent="0.25">
      <c r="A38" s="35" t="str">
        <f>IF($B38="","",ROWS($B$4:B38))</f>
        <v/>
      </c>
      <c r="B38" s="36" t="str">
        <f>IFERROR(INDEX($H$4:$H$153,MATCH(ROWS($B$4:B38),$M$4:$M$153,0)),"")</f>
        <v/>
      </c>
      <c r="C38" s="35" t="str">
        <f>IFERROR(INDEX($I$4:$I$153,MATCH(ROWS($B$4:B38),$M$4:$M$153,0)),"")</f>
        <v/>
      </c>
      <c r="D38" s="35" t="str">
        <f>IFERROR(INDEX($J$4:$J$153,MATCH(ROWS($B$4:B38),$M$4:$M$153,0)),"")</f>
        <v/>
      </c>
      <c r="E38" s="35" t="str">
        <f>IFERROR(INDEX($K$4:$K$153,MATCH(ROWS($B$4:B38),$M$4:$M$153,0)),"")</f>
        <v/>
      </c>
      <c r="H38" t="str">
        <f>T(JAN!B40)</f>
        <v>LUCAS PEREIRA 37002099</v>
      </c>
      <c r="I38">
        <f>IF($H38="","",SUM(JAN:DEZ!C40))</f>
        <v>1</v>
      </c>
      <c r="J38">
        <f>IF($H38="","",SUM(JAN:DEZ!E40))</f>
        <v>1</v>
      </c>
      <c r="K38">
        <f t="shared" si="1"/>
        <v>0</v>
      </c>
      <c r="M38" t="str">
        <f>IF(AND($H38&lt;&gt;"",N($K38)&gt;0),COUNT($M$3:M37)+1,"")</f>
        <v/>
      </c>
    </row>
    <row r="39" spans="1:13" x14ac:dyDescent="0.25">
      <c r="A39" s="35" t="str">
        <f>IF($B39="","",ROWS($B$4:B39))</f>
        <v/>
      </c>
      <c r="B39" s="36" t="str">
        <f>IFERROR(INDEX($H$4:$H$153,MATCH(ROWS($B$4:B39),$M$4:$M$153,0)),"")</f>
        <v/>
      </c>
      <c r="C39" s="35" t="str">
        <f>IFERROR(INDEX($I$4:$I$153,MATCH(ROWS($B$4:B39),$M$4:$M$153,0)),"")</f>
        <v/>
      </c>
      <c r="D39" s="35" t="str">
        <f>IFERROR(INDEX($J$4:$J$153,MATCH(ROWS($B$4:B39),$M$4:$M$153,0)),"")</f>
        <v/>
      </c>
      <c r="E39" s="35" t="str">
        <f>IFERROR(INDEX($K$4:$K$153,MATCH(ROWS($B$4:B39),$M$4:$M$153,0)),"")</f>
        <v/>
      </c>
      <c r="H39" t="str">
        <f>T(JAN!B41)</f>
        <v>LUCIANO GROSS 37002144</v>
      </c>
      <c r="I39">
        <f>IF($H39="","",SUM(JAN:DEZ!C41))</f>
        <v>0</v>
      </c>
      <c r="J39">
        <f>IF($H39="","",SUM(JAN:DEZ!E41))</f>
        <v>0</v>
      </c>
      <c r="K39">
        <f t="shared" si="1"/>
        <v>0</v>
      </c>
      <c r="M39" t="str">
        <f>IF(AND($H39&lt;&gt;"",N($K39)&gt;0),COUNT($M$3:M38)+1,"")</f>
        <v/>
      </c>
    </row>
    <row r="40" spans="1:13" x14ac:dyDescent="0.25">
      <c r="A40" s="35" t="str">
        <f>IF($B40="","",ROWS($B$4:B40))</f>
        <v/>
      </c>
      <c r="B40" s="36" t="str">
        <f>IFERROR(INDEX($H$4:$H$153,MATCH(ROWS($B$4:B40),$M$4:$M$153,0)),"")</f>
        <v/>
      </c>
      <c r="C40" s="35" t="str">
        <f>IFERROR(INDEX($I$4:$I$153,MATCH(ROWS($B$4:B40),$M$4:$M$153,0)),"")</f>
        <v/>
      </c>
      <c r="D40" s="35" t="str">
        <f>IFERROR(INDEX($J$4:$J$153,MATCH(ROWS($B$4:B40),$M$4:$M$153,0)),"")</f>
        <v/>
      </c>
      <c r="E40" s="35" t="str">
        <f>IFERROR(INDEX($K$4:$K$153,MATCH(ROWS($B$4:B40),$M$4:$M$153,0)),"")</f>
        <v/>
      </c>
      <c r="H40" t="str">
        <f>T(JAN!B42)</f>
        <v>UILIAN NOGUEIRA 483101</v>
      </c>
      <c r="I40">
        <f>IF($H40="","",SUM(JAN:DEZ!C42))</f>
        <v>0</v>
      </c>
      <c r="J40">
        <f>IF($H40="","",SUM(JAN:DEZ!E42))</f>
        <v>0</v>
      </c>
      <c r="K40">
        <f t="shared" si="1"/>
        <v>0</v>
      </c>
      <c r="M40" t="str">
        <f>IF(AND($H40&lt;&gt;"",N($K40)&gt;0),COUNT($M$3:M39)+1,"")</f>
        <v/>
      </c>
    </row>
    <row r="41" spans="1:13" x14ac:dyDescent="0.25">
      <c r="A41" s="35" t="str">
        <f>IF($B41="","",ROWS($B$4:B41))</f>
        <v/>
      </c>
      <c r="B41" s="36" t="str">
        <f>IFERROR(INDEX($H$4:$H$153,MATCH(ROWS($B$4:B41),$M$4:$M$153,0)),"")</f>
        <v/>
      </c>
      <c r="C41" s="35" t="str">
        <f>IFERROR(INDEX($I$4:$I$153,MATCH(ROWS($B$4:B41),$M$4:$M$153,0)),"")</f>
        <v/>
      </c>
      <c r="D41" s="35" t="str">
        <f>IFERROR(INDEX($J$4:$J$153,MATCH(ROWS($B$4:B41),$M$4:$M$153,0)),"")</f>
        <v/>
      </c>
      <c r="E41" s="35" t="str">
        <f>IFERROR(INDEX($K$4:$K$153,MATCH(ROWS($B$4:B41),$M$4:$M$153,0)),"")</f>
        <v/>
      </c>
      <c r="H41" t="str">
        <f>T(JAN!B43)</f>
        <v>PATRICK OLIVEIRA 361601</v>
      </c>
      <c r="I41">
        <f>IF($H41="","",SUM(JAN:DEZ!C43))</f>
        <v>1</v>
      </c>
      <c r="J41">
        <f>IF($H41="","",SUM(JAN:DEZ!E43))</f>
        <v>2</v>
      </c>
      <c r="K41">
        <f t="shared" si="1"/>
        <v>-1</v>
      </c>
      <c r="M41" t="str">
        <f>IF(AND($H41&lt;&gt;"",N($K41)&gt;0),COUNT($M$3:M40)+1,"")</f>
        <v/>
      </c>
    </row>
    <row r="42" spans="1:13" x14ac:dyDescent="0.25">
      <c r="A42" s="35" t="str">
        <f>IF($B42="","",ROWS($B$4:B42))</f>
        <v/>
      </c>
      <c r="B42" s="36" t="str">
        <f>IFERROR(INDEX($H$4:$H$153,MATCH(ROWS($B$4:B42),$M$4:$M$153,0)),"")</f>
        <v/>
      </c>
      <c r="C42" s="35" t="str">
        <f>IFERROR(INDEX($I$4:$I$153,MATCH(ROWS($B$4:B42),$M$4:$M$153,0)),"")</f>
        <v/>
      </c>
      <c r="D42" s="35" t="str">
        <f>IFERROR(INDEX($J$4:$J$153,MATCH(ROWS($B$4:B42),$M$4:$M$153,0)),"")</f>
        <v/>
      </c>
      <c r="E42" s="35" t="str">
        <f>IFERROR(INDEX($K$4:$K$153,MATCH(ROWS($B$4:B42),$M$4:$M$153,0)),"")</f>
        <v/>
      </c>
      <c r="H42" t="str">
        <f>T(JAN!B44)</f>
        <v>DAVI FARIAS 141501</v>
      </c>
      <c r="I42">
        <f>IF($H42="","",SUM(JAN:DEZ!C44))</f>
        <v>3</v>
      </c>
      <c r="J42">
        <f>IF($H42="","",SUM(JAN:DEZ!E44))</f>
        <v>0</v>
      </c>
      <c r="K42">
        <f t="shared" si="1"/>
        <v>3</v>
      </c>
      <c r="M42">
        <f>IF(AND($H42&lt;&gt;"",N($K42)&gt;0),COUNT($M$3:M41)+1,"")</f>
        <v>6</v>
      </c>
    </row>
    <row r="43" spans="1:13" x14ac:dyDescent="0.25">
      <c r="A43" s="35" t="str">
        <f>IF($B43="","",ROWS($B$4:B43))</f>
        <v/>
      </c>
      <c r="B43" s="36" t="str">
        <f>IFERROR(INDEX($H$4:$H$153,MATCH(ROWS($B$4:B43),$M$4:$M$153,0)),"")</f>
        <v/>
      </c>
      <c r="C43" s="35" t="str">
        <f>IFERROR(INDEX($I$4:$I$153,MATCH(ROWS($B$4:B43),$M$4:$M$153,0)),"")</f>
        <v/>
      </c>
      <c r="D43" s="35" t="str">
        <f>IFERROR(INDEX($J$4:$J$153,MATCH(ROWS($B$4:B43),$M$4:$M$153,0)),"")</f>
        <v/>
      </c>
      <c r="E43" s="35" t="str">
        <f>IFERROR(INDEX($K$4:$K$153,MATCH(ROWS($B$4:B43),$M$4:$M$153,0)),"")</f>
        <v/>
      </c>
      <c r="H43" t="str">
        <f>T(JAN!B45)</f>
        <v>JEAN MARTINS 37002258</v>
      </c>
      <c r="I43">
        <f>IF($H43="","",SUM(JAN:DEZ!C45))</f>
        <v>1</v>
      </c>
      <c r="J43">
        <f>IF($H43="","",SUM(JAN:DEZ!E45))</f>
        <v>1</v>
      </c>
      <c r="K43">
        <f t="shared" si="1"/>
        <v>0</v>
      </c>
      <c r="M43" t="str">
        <f>IF(AND($H43&lt;&gt;"",N($K43)&gt;0),COUNT($M$3:M42)+1,"")</f>
        <v/>
      </c>
    </row>
    <row r="44" spans="1:13" x14ac:dyDescent="0.25">
      <c r="A44" s="35" t="str">
        <f>IF($B44="","",ROWS($B$4:B44))</f>
        <v/>
      </c>
      <c r="B44" s="36" t="str">
        <f>IFERROR(INDEX($H$4:$H$153,MATCH(ROWS($B$4:B44),$M$4:$M$153,0)),"")</f>
        <v/>
      </c>
      <c r="C44" s="35" t="str">
        <f>IFERROR(INDEX($I$4:$I$153,MATCH(ROWS($B$4:B44),$M$4:$M$153,0)),"")</f>
        <v/>
      </c>
      <c r="D44" s="35" t="str">
        <f>IFERROR(INDEX($J$4:$J$153,MATCH(ROWS($B$4:B44),$M$4:$M$153,0)),"")</f>
        <v/>
      </c>
      <c r="E44" s="35" t="str">
        <f>IFERROR(INDEX($K$4:$K$153,MATCH(ROWS($B$4:B44),$M$4:$M$153,0)),"")</f>
        <v/>
      </c>
      <c r="H44" t="str">
        <f>T(JAN!B46)</f>
        <v>LORENZO LOPES 246601</v>
      </c>
      <c r="I44">
        <f>IF($H44="","",SUM(JAN:DEZ!C46))</f>
        <v>0</v>
      </c>
      <c r="J44">
        <f>IF($H44="","",SUM(JAN:DEZ!E46))</f>
        <v>1</v>
      </c>
      <c r="K44">
        <f t="shared" si="1"/>
        <v>-1</v>
      </c>
      <c r="M44" t="str">
        <f>IF(AND($H44&lt;&gt;"",N($K44)&gt;0),COUNT($M$3:M43)+1,"")</f>
        <v/>
      </c>
    </row>
    <row r="45" spans="1:13" x14ac:dyDescent="0.25">
      <c r="A45" s="35" t="str">
        <f>IF($B45="","",ROWS($B$4:B45))</f>
        <v/>
      </c>
      <c r="B45" s="36" t="str">
        <f>IFERROR(INDEX($H$4:$H$153,MATCH(ROWS($B$4:B45),$M$4:$M$153,0)),"")</f>
        <v/>
      </c>
      <c r="C45" s="35" t="str">
        <f>IFERROR(INDEX($I$4:$I$153,MATCH(ROWS($B$4:B45),$M$4:$M$153,0)),"")</f>
        <v/>
      </c>
      <c r="D45" s="35" t="str">
        <f>IFERROR(INDEX($J$4:$J$153,MATCH(ROWS($B$4:B45),$M$4:$M$153,0)),"")</f>
        <v/>
      </c>
      <c r="E45" s="35" t="str">
        <f>IFERROR(INDEX($K$4:$K$153,MATCH(ROWS($B$4:B45),$M$4:$M$153,0)),"")</f>
        <v/>
      </c>
      <c r="H45" t="str">
        <f>T(JAN!B47)</f>
        <v>GERSON FALEIRO 317801</v>
      </c>
      <c r="I45">
        <f>IF($H45="","",SUM(JAN:DEZ!C47))</f>
        <v>2</v>
      </c>
      <c r="J45">
        <f>IF($H45="","",SUM(JAN:DEZ!E47))</f>
        <v>2</v>
      </c>
      <c r="K45">
        <f t="shared" si="1"/>
        <v>0</v>
      </c>
      <c r="M45" t="str">
        <f>IF(AND($H45&lt;&gt;"",N($K45)&gt;0),COUNT($M$3:M44)+1,"")</f>
        <v/>
      </c>
    </row>
    <row r="46" spans="1:13" x14ac:dyDescent="0.25">
      <c r="A46" s="35" t="str">
        <f>IF($B46="","",ROWS($B$4:B46))</f>
        <v/>
      </c>
      <c r="B46" s="36" t="str">
        <f>IFERROR(INDEX($H$4:$H$153,MATCH(ROWS($B$4:B46),$M$4:$M$153,0)),"")</f>
        <v/>
      </c>
      <c r="C46" s="35" t="str">
        <f>IFERROR(INDEX($I$4:$I$153,MATCH(ROWS($B$4:B46),$M$4:$M$153,0)),"")</f>
        <v/>
      </c>
      <c r="D46" s="35" t="str">
        <f>IFERROR(INDEX($J$4:$J$153,MATCH(ROWS($B$4:B46),$M$4:$M$153,0)),"")</f>
        <v/>
      </c>
      <c r="E46" s="35" t="str">
        <f>IFERROR(INDEX($K$4:$K$153,MATCH(ROWS($B$4:B46),$M$4:$M$153,0)),"")</f>
        <v/>
      </c>
      <c r="H46" t="str">
        <f>T(JAN!B48)</f>
        <v>EDENIR TRINDADE 389401</v>
      </c>
      <c r="I46">
        <f>IF($H46="","",SUM(JAN:DEZ!C48))</f>
        <v>3</v>
      </c>
      <c r="J46">
        <f>IF($H46="","",SUM(JAN:DEZ!E48))</f>
        <v>3</v>
      </c>
      <c r="K46">
        <f t="shared" si="1"/>
        <v>0</v>
      </c>
      <c r="M46" t="str">
        <f>IF(AND($H46&lt;&gt;"",N($K46)&gt;0),COUNT($M$3:M45)+1,"")</f>
        <v/>
      </c>
    </row>
    <row r="47" spans="1:13" x14ac:dyDescent="0.25">
      <c r="A47" s="35" t="str">
        <f>IF($B47="","",ROWS($B$4:B47))</f>
        <v/>
      </c>
      <c r="B47" s="36" t="str">
        <f>IFERROR(INDEX($H$4:$H$153,MATCH(ROWS($B$4:B47),$M$4:$M$153,0)),"")</f>
        <v/>
      </c>
      <c r="C47" s="35" t="str">
        <f>IFERROR(INDEX($I$4:$I$153,MATCH(ROWS($B$4:B47),$M$4:$M$153,0)),"")</f>
        <v/>
      </c>
      <c r="D47" s="35" t="str">
        <f>IFERROR(INDEX($J$4:$J$153,MATCH(ROWS($B$4:B47),$M$4:$M$153,0)),"")</f>
        <v/>
      </c>
      <c r="E47" s="35" t="str">
        <f>IFERROR(INDEX($K$4:$K$153,MATCH(ROWS($B$4:B47),$M$4:$M$153,0)),"")</f>
        <v/>
      </c>
      <c r="H47" t="str">
        <f>T(JAN!B49)</f>
        <v>VACIR PINTO 185201</v>
      </c>
      <c r="I47">
        <f>IF($H47="","",SUM(JAN:DEZ!C49))</f>
        <v>0</v>
      </c>
      <c r="J47">
        <f>IF($H47="","",SUM(JAN:DEZ!E49))</f>
        <v>0</v>
      </c>
      <c r="K47">
        <f t="shared" si="1"/>
        <v>0</v>
      </c>
      <c r="M47" t="str">
        <f>IF(AND($H47&lt;&gt;"",N($K47)&gt;0),COUNT($M$3:M46)+1,"")</f>
        <v/>
      </c>
    </row>
    <row r="48" spans="1:13" x14ac:dyDescent="0.25">
      <c r="A48" s="35" t="str">
        <f>IF($B48="","",ROWS($B$4:B48))</f>
        <v/>
      </c>
      <c r="B48" s="36" t="str">
        <f>IFERROR(INDEX($H$4:$H$153,MATCH(ROWS($B$4:B48),$M$4:$M$153,0)),"")</f>
        <v/>
      </c>
      <c r="C48" s="35" t="str">
        <f>IFERROR(INDEX($I$4:$I$153,MATCH(ROWS($B$4:B48),$M$4:$M$153,0)),"")</f>
        <v/>
      </c>
      <c r="D48" s="35" t="str">
        <f>IFERROR(INDEX($J$4:$J$153,MATCH(ROWS($B$4:B48),$M$4:$M$153,0)),"")</f>
        <v/>
      </c>
      <c r="E48" s="35" t="str">
        <f>IFERROR(INDEX($K$4:$K$153,MATCH(ROWS($B$4:B48),$M$4:$M$153,0)),"")</f>
        <v/>
      </c>
      <c r="H48" t="str">
        <f>T(JAN!B50)</f>
        <v>DIEGO BOEIRA 125801</v>
      </c>
      <c r="I48">
        <f>IF($H48="","",SUM(JAN:DEZ!C50))</f>
        <v>2</v>
      </c>
      <c r="J48">
        <f>IF($H48="","",SUM(JAN:DEZ!E50))</f>
        <v>3</v>
      </c>
      <c r="K48">
        <f t="shared" si="1"/>
        <v>-1</v>
      </c>
      <c r="M48" t="str">
        <f>IF(AND($H48&lt;&gt;"",N($K48)&gt;0),COUNT($M$3:M47)+1,"")</f>
        <v/>
      </c>
    </row>
    <row r="49" spans="1:13" x14ac:dyDescent="0.25">
      <c r="A49" s="35" t="str">
        <f>IF($B49="","",ROWS($B$4:B49))</f>
        <v/>
      </c>
      <c r="B49" s="36" t="str">
        <f>IFERROR(INDEX($H$4:$H$153,MATCH(ROWS($B$4:B49),$M$4:$M$153,0)),"")</f>
        <v/>
      </c>
      <c r="C49" s="35" t="str">
        <f>IFERROR(INDEX($I$4:$I$153,MATCH(ROWS($B$4:B49),$M$4:$M$153,0)),"")</f>
        <v/>
      </c>
      <c r="D49" s="35" t="str">
        <f>IFERROR(INDEX($J$4:$J$153,MATCH(ROWS($B$4:B49),$M$4:$M$153,0)),"")</f>
        <v/>
      </c>
      <c r="E49" s="35" t="str">
        <f>IFERROR(INDEX($K$4:$K$153,MATCH(ROWS($B$4:B49),$M$4:$M$153,0)),"")</f>
        <v/>
      </c>
      <c r="H49" t="str">
        <f>T(JAN!B51)</f>
        <v>STEFAN KOVALICK 310001</v>
      </c>
      <c r="I49">
        <f>IF($H49="","",SUM(JAN:DEZ!C51))</f>
        <v>5</v>
      </c>
      <c r="J49">
        <f>IF($H49="","",SUM(JAN:DEZ!E51))</f>
        <v>5</v>
      </c>
      <c r="K49">
        <f t="shared" si="1"/>
        <v>0</v>
      </c>
      <c r="M49" t="str">
        <f>IF(AND($H49&lt;&gt;"",N($K49)&gt;0),COUNT($M$3:M48)+1,"")</f>
        <v/>
      </c>
    </row>
    <row r="50" spans="1:13" x14ac:dyDescent="0.25">
      <c r="A50" s="35" t="str">
        <f>IF($B50="","",ROWS($B$4:B50))</f>
        <v/>
      </c>
      <c r="B50" s="36" t="str">
        <f>IFERROR(INDEX($H$4:$H$153,MATCH(ROWS($B$4:B50),$M$4:$M$153,0)),"")</f>
        <v/>
      </c>
      <c r="C50" s="35" t="str">
        <f>IFERROR(INDEX($I$4:$I$153,MATCH(ROWS($B$4:B50),$M$4:$M$153,0)),"")</f>
        <v/>
      </c>
      <c r="D50" s="35" t="str">
        <f>IFERROR(INDEX($J$4:$J$153,MATCH(ROWS($B$4:B50),$M$4:$M$153,0)),"")</f>
        <v/>
      </c>
      <c r="E50" s="35" t="str">
        <f>IFERROR(INDEX($K$4:$K$153,MATCH(ROWS($B$4:B50),$M$4:$M$153,0)),"")</f>
        <v/>
      </c>
      <c r="H50" t="str">
        <f>T(JAN!B52)</f>
        <v>JEFERSON SCHENA 309901</v>
      </c>
      <c r="I50">
        <f>IF($H50="","",SUM(JAN:DEZ!C52))</f>
        <v>1</v>
      </c>
      <c r="J50">
        <f>IF($H50="","",SUM(JAN:DEZ!E52))</f>
        <v>2</v>
      </c>
      <c r="K50">
        <f t="shared" si="1"/>
        <v>-1</v>
      </c>
      <c r="M50" t="str">
        <f>IF(AND($H50&lt;&gt;"",N($K50)&gt;0),COUNT($M$3:M49)+1,"")</f>
        <v/>
      </c>
    </row>
    <row r="51" spans="1:13" x14ac:dyDescent="0.25">
      <c r="A51" s="35" t="str">
        <f>IF($B51="","",ROWS($B$4:B51))</f>
        <v/>
      </c>
      <c r="B51" s="36" t="str">
        <f>IFERROR(INDEX($H$4:$H$153,MATCH(ROWS($B$4:B51),$M$4:$M$153,0)),"")</f>
        <v/>
      </c>
      <c r="C51" s="35" t="str">
        <f>IFERROR(INDEX($I$4:$I$153,MATCH(ROWS($B$4:B51),$M$4:$M$153,0)),"")</f>
        <v/>
      </c>
      <c r="D51" s="35" t="str">
        <f>IFERROR(INDEX($J$4:$J$153,MATCH(ROWS($B$4:B51),$M$4:$M$153,0)),"")</f>
        <v/>
      </c>
      <c r="E51" s="35" t="str">
        <f>IFERROR(INDEX($K$4:$K$153,MATCH(ROWS($B$4:B51),$M$4:$M$153,0)),"")</f>
        <v/>
      </c>
      <c r="H51" t="str">
        <f>T(JAN!B53)</f>
        <v>ALEXANDRE ARAUJO 346001</v>
      </c>
      <c r="I51">
        <f>IF($H51="","",SUM(JAN:DEZ!C53))</f>
        <v>0</v>
      </c>
      <c r="J51">
        <f>IF($H51="","",SUM(JAN:DEZ!E53))</f>
        <v>1</v>
      </c>
      <c r="K51">
        <f t="shared" si="1"/>
        <v>-1</v>
      </c>
      <c r="M51" t="str">
        <f>IF(AND($H51&lt;&gt;"",N($K51)&gt;0),COUNT($M$3:M50)+1,"")</f>
        <v/>
      </c>
    </row>
    <row r="52" spans="1:13" x14ac:dyDescent="0.25">
      <c r="A52" s="35" t="str">
        <f>IF($B52="","",ROWS($B$4:B52))</f>
        <v/>
      </c>
      <c r="B52" s="36" t="str">
        <f>IFERROR(INDEX($H$4:$H$153,MATCH(ROWS($B$4:B52),$M$4:$M$153,0)),"")</f>
        <v/>
      </c>
      <c r="C52" s="35" t="str">
        <f>IFERROR(INDEX($I$4:$I$153,MATCH(ROWS($B$4:B52),$M$4:$M$153,0)),"")</f>
        <v/>
      </c>
      <c r="D52" s="35" t="str">
        <f>IFERROR(INDEX($J$4:$J$153,MATCH(ROWS($B$4:B52),$M$4:$M$153,0)),"")</f>
        <v/>
      </c>
      <c r="E52" s="35" t="str">
        <f>IFERROR(INDEX($K$4:$K$153,MATCH(ROWS($B$4:B52),$M$4:$M$153,0)),"")</f>
        <v/>
      </c>
      <c r="H52" t="str">
        <f>T(JAN!B54)</f>
        <v>FABIANO BORGES 128901</v>
      </c>
      <c r="I52">
        <f>IF($H52="","",SUM(JAN:DEZ!C54))</f>
        <v>1</v>
      </c>
      <c r="J52">
        <f>IF($H52="","",SUM(JAN:DEZ!E54))</f>
        <v>2</v>
      </c>
      <c r="K52">
        <f t="shared" si="1"/>
        <v>-1</v>
      </c>
      <c r="M52" t="str">
        <f>IF(AND($H52&lt;&gt;"",N($K52)&gt;0),COUNT($M$3:M51)+1,"")</f>
        <v/>
      </c>
    </row>
    <row r="53" spans="1:13" x14ac:dyDescent="0.25">
      <c r="A53" s="35" t="str">
        <f>IF($B53="","",ROWS($B$4:B53))</f>
        <v/>
      </c>
      <c r="B53" s="36" t="str">
        <f>IFERROR(INDEX($H$4:$H$153,MATCH(ROWS($B$4:B53),$M$4:$M$153,0)),"")</f>
        <v/>
      </c>
      <c r="C53" s="35" t="str">
        <f>IFERROR(INDEX($I$4:$I$153,MATCH(ROWS($B$4:B53),$M$4:$M$153,0)),"")</f>
        <v/>
      </c>
      <c r="D53" s="35" t="str">
        <f>IFERROR(INDEX($J$4:$J$153,MATCH(ROWS($B$4:B53),$M$4:$M$153,0)),"")</f>
        <v/>
      </c>
      <c r="E53" s="35" t="str">
        <f>IFERROR(INDEX($K$4:$K$153,MATCH(ROWS($B$4:B53),$M$4:$M$153,0)),"")</f>
        <v/>
      </c>
      <c r="H53" t="str">
        <f>T(JAN!B55)</f>
        <v>LAUTIER ALMEIDA 317501</v>
      </c>
      <c r="I53">
        <f>IF($H53="","",SUM(JAN:DEZ!C55))</f>
        <v>1</v>
      </c>
      <c r="J53">
        <f>IF($H53="","",SUM(JAN:DEZ!E55))</f>
        <v>1</v>
      </c>
      <c r="K53">
        <f t="shared" si="1"/>
        <v>0</v>
      </c>
      <c r="M53" t="str">
        <f>IF(AND($H53&lt;&gt;"",N($K53)&gt;0),COUNT($M$3:M52)+1,"")</f>
        <v/>
      </c>
    </row>
    <row r="54" spans="1:13" x14ac:dyDescent="0.25">
      <c r="A54" s="35" t="str">
        <f>IF($B54="","",ROWS($B$4:B54))</f>
        <v/>
      </c>
      <c r="B54" s="36" t="str">
        <f>IFERROR(INDEX($H$4:$H$153,MATCH(ROWS($B$4:B54),$M$4:$M$153,0)),"")</f>
        <v/>
      </c>
      <c r="C54" s="35" t="str">
        <f>IFERROR(INDEX($I$4:$I$153,MATCH(ROWS($B$4:B54),$M$4:$M$153,0)),"")</f>
        <v/>
      </c>
      <c r="D54" s="35" t="str">
        <f>IFERROR(INDEX($J$4:$J$153,MATCH(ROWS($B$4:B54),$M$4:$M$153,0)),"")</f>
        <v/>
      </c>
      <c r="E54" s="35" t="str">
        <f>IFERROR(INDEX($K$4:$K$153,MATCH(ROWS($B$4:B54),$M$4:$M$153,0)),"")</f>
        <v/>
      </c>
      <c r="H54" t="str">
        <f>T(JAN!B56)</f>
        <v>RENAN RAMBO 327701</v>
      </c>
      <c r="I54">
        <f>IF($H54="","",SUM(JAN:DEZ!C56))</f>
        <v>1</v>
      </c>
      <c r="J54">
        <f>IF($H54="","",SUM(JAN:DEZ!E56))</f>
        <v>0</v>
      </c>
      <c r="K54">
        <f t="shared" si="1"/>
        <v>1</v>
      </c>
      <c r="M54">
        <f>IF(AND($H54&lt;&gt;"",N($K54)&gt;0),COUNT($M$3:M53)+1,"")</f>
        <v>7</v>
      </c>
    </row>
    <row r="55" spans="1:13" x14ac:dyDescent="0.25">
      <c r="A55" s="35" t="str">
        <f>IF($B55="","",ROWS($B$4:B55))</f>
        <v/>
      </c>
      <c r="B55" s="36" t="str">
        <f>IFERROR(INDEX($H$4:$H$153,MATCH(ROWS($B$4:B55),$M$4:$M$153,0)),"")</f>
        <v/>
      </c>
      <c r="C55" s="35" t="str">
        <f>IFERROR(INDEX($I$4:$I$153,MATCH(ROWS($B$4:B55),$M$4:$M$153,0)),"")</f>
        <v/>
      </c>
      <c r="D55" s="35" t="str">
        <f>IFERROR(INDEX($J$4:$J$153,MATCH(ROWS($B$4:B55),$M$4:$M$153,0)),"")</f>
        <v/>
      </c>
      <c r="E55" s="35" t="str">
        <f>IFERROR(INDEX($K$4:$K$153,MATCH(ROWS($B$4:B55),$M$4:$M$153,0)),"")</f>
        <v/>
      </c>
      <c r="H55" t="str">
        <f>T(JAN!B57)</f>
        <v>LUCAS SEVERO 471301</v>
      </c>
      <c r="I55">
        <f>IF($H55="","",SUM(JAN:DEZ!C57))</f>
        <v>0</v>
      </c>
      <c r="J55">
        <f>IF($H55="","",SUM(JAN:DEZ!E57))</f>
        <v>0</v>
      </c>
      <c r="K55">
        <f t="shared" si="1"/>
        <v>0</v>
      </c>
      <c r="M55" t="str">
        <f>IF(AND($H55&lt;&gt;"",N($K55)&gt;0),COUNT($M$3:M54)+1,"")</f>
        <v/>
      </c>
    </row>
    <row r="56" spans="1:13" x14ac:dyDescent="0.25">
      <c r="A56" s="35" t="str">
        <f>IF($B56="","",ROWS($B$4:B56))</f>
        <v/>
      </c>
      <c r="B56" s="36" t="str">
        <f>IFERROR(INDEX($H$4:$H$153,MATCH(ROWS($B$4:B56),$M$4:$M$153,0)),"")</f>
        <v/>
      </c>
      <c r="C56" s="35" t="str">
        <f>IFERROR(INDEX($I$4:$I$153,MATCH(ROWS($B$4:B56),$M$4:$M$153,0)),"")</f>
        <v/>
      </c>
      <c r="D56" s="35" t="str">
        <f>IFERROR(INDEX($J$4:$J$153,MATCH(ROWS($B$4:B56),$M$4:$M$153,0)),"")</f>
        <v/>
      </c>
      <c r="E56" s="35" t="str">
        <f>IFERROR(INDEX($K$4:$K$153,MATCH(ROWS($B$4:B56),$M$4:$M$153,0)),"")</f>
        <v/>
      </c>
      <c r="H56" t="str">
        <f>T(JAN!B58)</f>
        <v>EDER MONTICELLI 318101</v>
      </c>
      <c r="I56">
        <f>IF($H56="","",SUM(JAN:DEZ!C58))</f>
        <v>0</v>
      </c>
      <c r="J56">
        <f>IF($H56="","",SUM(JAN:DEZ!E58))</f>
        <v>0</v>
      </c>
      <c r="K56">
        <f t="shared" si="1"/>
        <v>0</v>
      </c>
      <c r="M56" t="str">
        <f>IF(AND($H56&lt;&gt;"",N($K56)&gt;0),COUNT($M$3:M55)+1,"")</f>
        <v/>
      </c>
    </row>
    <row r="57" spans="1:13" x14ac:dyDescent="0.25">
      <c r="A57" s="35" t="str">
        <f>IF($B57="","",ROWS($B$4:B57))</f>
        <v/>
      </c>
      <c r="B57" s="36" t="str">
        <f>IFERROR(INDEX($H$4:$H$153,MATCH(ROWS($B$4:B57),$M$4:$M$153,0)),"")</f>
        <v/>
      </c>
      <c r="C57" s="35" t="str">
        <f>IFERROR(INDEX($I$4:$I$153,MATCH(ROWS($B$4:B57),$M$4:$M$153,0)),"")</f>
        <v/>
      </c>
      <c r="D57" s="35" t="str">
        <f>IFERROR(INDEX($J$4:$J$153,MATCH(ROWS($B$4:B57),$M$4:$M$153,0)),"")</f>
        <v/>
      </c>
      <c r="E57" s="35" t="str">
        <f>IFERROR(INDEX($K$4:$K$153,MATCH(ROWS($B$4:B57),$M$4:$M$153,0)),"")</f>
        <v/>
      </c>
      <c r="H57" t="str">
        <f>T(JAN!B59)</f>
        <v>JULIANO LENHARD 446901</v>
      </c>
      <c r="I57">
        <f>IF($H57="","",SUM(JAN:DEZ!C59))</f>
        <v>0</v>
      </c>
      <c r="J57">
        <f>IF($H57="","",SUM(JAN:DEZ!E59))</f>
        <v>0</v>
      </c>
      <c r="K57">
        <f t="shared" si="1"/>
        <v>0</v>
      </c>
      <c r="M57" t="str">
        <f>IF(AND($H57&lt;&gt;"",N($K57)&gt;0),COUNT($M$3:M56)+1,"")</f>
        <v/>
      </c>
    </row>
    <row r="58" spans="1:13" x14ac:dyDescent="0.25">
      <c r="A58" s="35" t="str">
        <f>IF($B58="","",ROWS($B$4:B58))</f>
        <v/>
      </c>
      <c r="B58" s="36" t="str">
        <f>IFERROR(INDEX($H$4:$H$153,MATCH(ROWS($B$4:B58),$M$4:$M$153,0)),"")</f>
        <v/>
      </c>
      <c r="C58" s="35" t="str">
        <f>IFERROR(INDEX($I$4:$I$153,MATCH(ROWS($B$4:B58),$M$4:$M$153,0)),"")</f>
        <v/>
      </c>
      <c r="D58" s="35" t="str">
        <f>IFERROR(INDEX($J$4:$J$153,MATCH(ROWS($B$4:B58),$M$4:$M$153,0)),"")</f>
        <v/>
      </c>
      <c r="E58" s="35" t="str">
        <f>IFERROR(INDEX($K$4:$K$153,MATCH(ROWS($B$4:B58),$M$4:$M$153,0)),"")</f>
        <v/>
      </c>
      <c r="H58" t="str">
        <f>T(JAN!B60)</f>
        <v>CARLOS CONCEIÇÃO 509201</v>
      </c>
      <c r="I58">
        <f>IF($H58="","",SUM(JAN:DEZ!C60))</f>
        <v>0</v>
      </c>
      <c r="J58">
        <f>IF($H58="","",SUM(JAN:DEZ!E60))</f>
        <v>0</v>
      </c>
      <c r="K58">
        <f t="shared" si="1"/>
        <v>0</v>
      </c>
      <c r="M58" t="str">
        <f>IF(AND($H58&lt;&gt;"",N($K58)&gt;0),COUNT($M$3:M57)+1,"")</f>
        <v/>
      </c>
    </row>
    <row r="59" spans="1:13" x14ac:dyDescent="0.25">
      <c r="A59" s="35" t="str">
        <f>IF($B59="","",ROWS($B$4:B59))</f>
        <v/>
      </c>
      <c r="B59" s="36" t="str">
        <f>IFERROR(INDEX($H$4:$H$153,MATCH(ROWS($B$4:B59),$M$4:$M$153,0)),"")</f>
        <v/>
      </c>
      <c r="C59" s="35" t="str">
        <f>IFERROR(INDEX($I$4:$I$153,MATCH(ROWS($B$4:B59),$M$4:$M$153,0)),"")</f>
        <v/>
      </c>
      <c r="D59" s="35" t="str">
        <f>IFERROR(INDEX($J$4:$J$153,MATCH(ROWS($B$4:B59),$M$4:$M$153,0)),"")</f>
        <v/>
      </c>
      <c r="E59" s="35" t="str">
        <f>IFERROR(INDEX($K$4:$K$153,MATCH(ROWS($B$4:B59),$M$4:$M$153,0)),"")</f>
        <v/>
      </c>
      <c r="H59" t="str">
        <f>T(JAN!B61)</f>
        <v>FABIO BARBOSA 444601</v>
      </c>
      <c r="I59">
        <f>IF($H59="","",SUM(JAN:DEZ!C61))</f>
        <v>1</v>
      </c>
      <c r="J59">
        <f>IF($H59="","",SUM(JAN:DEZ!E61))</f>
        <v>1</v>
      </c>
      <c r="K59">
        <f t="shared" si="1"/>
        <v>0</v>
      </c>
      <c r="M59" t="str">
        <f>IF(AND($H59&lt;&gt;"",N($K59)&gt;0),COUNT($M$3:M58)+1,"")</f>
        <v/>
      </c>
    </row>
    <row r="60" spans="1:13" x14ac:dyDescent="0.25">
      <c r="A60" s="35" t="str">
        <f>IF($B60="","",ROWS($B$4:B60))</f>
        <v/>
      </c>
      <c r="B60" s="36" t="str">
        <f>IFERROR(INDEX($H$4:$H$153,MATCH(ROWS($B$4:B60),$M$4:$M$153,0)),"")</f>
        <v/>
      </c>
      <c r="C60" s="35" t="str">
        <f>IFERROR(INDEX($I$4:$I$153,MATCH(ROWS($B$4:B60),$M$4:$M$153,0)),"")</f>
        <v/>
      </c>
      <c r="D60" s="35" t="str">
        <f>IFERROR(INDEX($J$4:$J$153,MATCH(ROWS($B$4:B60),$M$4:$M$153,0)),"")</f>
        <v/>
      </c>
      <c r="E60" s="35" t="str">
        <f>IFERROR(INDEX($K$4:$K$153,MATCH(ROWS($B$4:B60),$M$4:$M$153,0)),"")</f>
        <v/>
      </c>
      <c r="H60" t="str">
        <f>T(JAN!B62)</f>
        <v>CLAUDIOMIR DE SOUZA 415401</v>
      </c>
      <c r="I60">
        <f>IF($H60="","",SUM(JAN:DEZ!C62))</f>
        <v>1</v>
      </c>
      <c r="J60">
        <f>IF($H60="","",SUM(JAN:DEZ!E62))</f>
        <v>1</v>
      </c>
      <c r="K60">
        <f t="shared" si="1"/>
        <v>0</v>
      </c>
      <c r="M60" t="str">
        <f>IF(AND($H60&lt;&gt;"",N($K60)&gt;0),COUNT($M$3:M59)+1,"")</f>
        <v/>
      </c>
    </row>
    <row r="61" spans="1:13" x14ac:dyDescent="0.25">
      <c r="A61" s="35" t="str">
        <f>IF($B61="","",ROWS($B$4:B61))</f>
        <v/>
      </c>
      <c r="B61" s="36" t="str">
        <f>IFERROR(INDEX($H$4:$H$153,MATCH(ROWS($B$4:B61),$M$4:$M$153,0)),"")</f>
        <v/>
      </c>
      <c r="C61" s="35" t="str">
        <f>IFERROR(INDEX($I$4:$I$153,MATCH(ROWS($B$4:B61),$M$4:$M$153,0)),"")</f>
        <v/>
      </c>
      <c r="D61" s="35" t="str">
        <f>IFERROR(INDEX($J$4:$J$153,MATCH(ROWS($B$4:B61),$M$4:$M$153,0)),"")</f>
        <v/>
      </c>
      <c r="E61" s="35" t="str">
        <f>IFERROR(INDEX($K$4:$K$153,MATCH(ROWS($B$4:B61),$M$4:$M$153,0)),"")</f>
        <v/>
      </c>
      <c r="H61" t="str">
        <f>T(JAN!B63)</f>
        <v>VAGNER LEMOS 360301</v>
      </c>
      <c r="I61">
        <f>IF($H61="","",SUM(JAN:DEZ!C63))</f>
        <v>0</v>
      </c>
      <c r="J61">
        <f>IF($H61="","",SUM(JAN:DEZ!E63))</f>
        <v>0</v>
      </c>
      <c r="K61">
        <f t="shared" si="1"/>
        <v>0</v>
      </c>
      <c r="M61" t="str">
        <f>IF(AND($H61&lt;&gt;"",N($K61)&gt;0),COUNT($M$3:M60)+1,"")</f>
        <v/>
      </c>
    </row>
    <row r="62" spans="1:13" x14ac:dyDescent="0.25">
      <c r="A62" s="35" t="str">
        <f>IF($B62="","",ROWS($B$4:B62))</f>
        <v/>
      </c>
      <c r="B62" s="36" t="str">
        <f>IFERROR(INDEX($H$4:$H$153,MATCH(ROWS($B$4:B62),$M$4:$M$153,0)),"")</f>
        <v/>
      </c>
      <c r="C62" s="35" t="str">
        <f>IFERROR(INDEX($I$4:$I$153,MATCH(ROWS($B$4:B62),$M$4:$M$153,0)),"")</f>
        <v/>
      </c>
      <c r="D62" s="35" t="str">
        <f>IFERROR(INDEX($J$4:$J$153,MATCH(ROWS($B$4:B62),$M$4:$M$153,0)),"")</f>
        <v/>
      </c>
      <c r="E62" s="35" t="str">
        <f>IFERROR(INDEX($K$4:$K$153,MATCH(ROWS($B$4:B62),$M$4:$M$153,0)),"")</f>
        <v/>
      </c>
      <c r="H62" t="str">
        <f>T(JAN!B64)</f>
        <v>RODRIGO FREITAS 283001</v>
      </c>
      <c r="I62">
        <f>IF($H62="","",SUM(JAN:DEZ!C64))</f>
        <v>1</v>
      </c>
      <c r="J62">
        <f>IF($H62="","",SUM(JAN:DEZ!E64))</f>
        <v>2</v>
      </c>
      <c r="K62">
        <f t="shared" si="1"/>
        <v>-1</v>
      </c>
      <c r="M62" t="str">
        <f>IF(AND($H62&lt;&gt;"",N($K62)&gt;0),COUNT($M$3:M61)+1,"")</f>
        <v/>
      </c>
    </row>
    <row r="63" spans="1:13" x14ac:dyDescent="0.25">
      <c r="A63" s="35" t="str">
        <f>IF($B63="","",ROWS($B$4:B63))</f>
        <v/>
      </c>
      <c r="B63" s="36" t="str">
        <f>IFERROR(INDEX($H$4:$H$153,MATCH(ROWS($B$4:B63),$M$4:$M$153,0)),"")</f>
        <v/>
      </c>
      <c r="C63" s="35" t="str">
        <f>IFERROR(INDEX($I$4:$I$153,MATCH(ROWS($B$4:B63),$M$4:$M$153,0)),"")</f>
        <v/>
      </c>
      <c r="D63" s="35" t="str">
        <f>IFERROR(INDEX($J$4:$J$153,MATCH(ROWS($B$4:B63),$M$4:$M$153,0)),"")</f>
        <v/>
      </c>
      <c r="E63" s="35" t="str">
        <f>IFERROR(INDEX($K$4:$K$153,MATCH(ROWS($B$4:B63),$M$4:$M$153,0)),"")</f>
        <v/>
      </c>
      <c r="H63" t="str">
        <f>T(JAN!B65)</f>
        <v>ANTONIO LUCIANO 454801</v>
      </c>
      <c r="I63">
        <f>IF($H63="","",SUM(JAN:DEZ!C65))</f>
        <v>1</v>
      </c>
      <c r="J63">
        <f>IF($H63="","",SUM(JAN:DEZ!E65))</f>
        <v>0</v>
      </c>
      <c r="K63">
        <f t="shared" si="1"/>
        <v>1</v>
      </c>
      <c r="M63">
        <f>IF(AND($H63&lt;&gt;"",N($K63)&gt;0),COUNT($M$3:M62)+1,"")</f>
        <v>8</v>
      </c>
    </row>
    <row r="64" spans="1:13" x14ac:dyDescent="0.25">
      <c r="A64" s="35" t="str">
        <f>IF($B64="","",ROWS($B$4:B64))</f>
        <v/>
      </c>
      <c r="B64" s="36" t="str">
        <f>IFERROR(INDEX($H$4:$H$153,MATCH(ROWS($B$4:B64),$M$4:$M$153,0)),"")</f>
        <v/>
      </c>
      <c r="C64" s="35" t="str">
        <f>IFERROR(INDEX($I$4:$I$153,MATCH(ROWS($B$4:B64),$M$4:$M$153,0)),"")</f>
        <v/>
      </c>
      <c r="D64" s="35" t="str">
        <f>IFERROR(INDEX($J$4:$J$153,MATCH(ROWS($B$4:B64),$M$4:$M$153,0)),"")</f>
        <v/>
      </c>
      <c r="E64" s="35" t="str">
        <f>IFERROR(INDEX($K$4:$K$153,MATCH(ROWS($B$4:B64),$M$4:$M$153,0)),"")</f>
        <v/>
      </c>
      <c r="H64" t="str">
        <f>T(JAN!B66)</f>
        <v>JONATHAM CORREA 447001</v>
      </c>
      <c r="I64">
        <f>IF($H64="","",SUM(JAN:DEZ!C66))</f>
        <v>0</v>
      </c>
      <c r="J64">
        <f>IF($H64="","",SUM(JAN:DEZ!E66))</f>
        <v>0</v>
      </c>
      <c r="K64">
        <f t="shared" si="1"/>
        <v>0</v>
      </c>
      <c r="M64" t="str">
        <f>IF(AND($H64&lt;&gt;"",N($K64)&gt;0),COUNT($M$3:M63)+1,"")</f>
        <v/>
      </c>
    </row>
    <row r="65" spans="1:13" x14ac:dyDescent="0.25">
      <c r="A65" s="35" t="str">
        <f>IF($B65="","",ROWS($B$4:B65))</f>
        <v/>
      </c>
      <c r="B65" s="36" t="str">
        <f>IFERROR(INDEX($H$4:$H$153,MATCH(ROWS($B$4:B65),$M$4:$M$153,0)),"")</f>
        <v/>
      </c>
      <c r="C65" s="35" t="str">
        <f>IFERROR(INDEX($I$4:$I$153,MATCH(ROWS($B$4:B65),$M$4:$M$153,0)),"")</f>
        <v/>
      </c>
      <c r="D65" s="35" t="str">
        <f>IFERROR(INDEX($J$4:$J$153,MATCH(ROWS($B$4:B65),$M$4:$M$153,0)),"")</f>
        <v/>
      </c>
      <c r="E65" s="35" t="str">
        <f>IFERROR(INDEX($K$4:$K$153,MATCH(ROWS($B$4:B65),$M$4:$M$153,0)),"")</f>
        <v/>
      </c>
      <c r="H65" t="str">
        <f>T(JAN!B67)</f>
        <v>GUILHERME MELCHIOR 37002309</v>
      </c>
      <c r="I65">
        <f>IF($H65="","",SUM(JAN:DEZ!C67))</f>
        <v>0</v>
      </c>
      <c r="J65">
        <f>IF($H65="","",SUM(JAN:DEZ!E67))</f>
        <v>0</v>
      </c>
      <c r="K65">
        <f t="shared" si="1"/>
        <v>0</v>
      </c>
      <c r="M65" t="str">
        <f>IF(AND($H65&lt;&gt;"",N($K65)&gt;0),COUNT($M$3:M64)+1,"")</f>
        <v/>
      </c>
    </row>
    <row r="66" spans="1:13" x14ac:dyDescent="0.25">
      <c r="A66" s="35" t="str">
        <f>IF($B66="","",ROWS($B$4:B66))</f>
        <v/>
      </c>
      <c r="B66" s="36" t="str">
        <f>IFERROR(INDEX($H$4:$H$153,MATCH(ROWS($B$4:B66),$M$4:$M$153,0)),"")</f>
        <v/>
      </c>
      <c r="C66" s="35" t="str">
        <f>IFERROR(INDEX($I$4:$I$153,MATCH(ROWS($B$4:B66),$M$4:$M$153,0)),"")</f>
        <v/>
      </c>
      <c r="D66" s="35" t="str">
        <f>IFERROR(INDEX($J$4:$J$153,MATCH(ROWS($B$4:B66),$M$4:$M$153,0)),"")</f>
        <v/>
      </c>
      <c r="E66" s="35" t="str">
        <f>IFERROR(INDEX($K$4:$K$153,MATCH(ROWS($B$4:B66),$M$4:$M$153,0)),"")</f>
        <v/>
      </c>
      <c r="H66" t="str">
        <f>T(JAN!B68)</f>
        <v>CLODOALDO TEMPORARIO</v>
      </c>
      <c r="I66">
        <f>IF($H66="","",SUM(JAN:DEZ!C68))</f>
        <v>1</v>
      </c>
      <c r="J66">
        <f>IF($H66="","",SUM(JAN:DEZ!E68))</f>
        <v>0</v>
      </c>
      <c r="K66">
        <f t="shared" si="1"/>
        <v>1</v>
      </c>
      <c r="M66">
        <f>IF(AND($H66&lt;&gt;"",N($K66)&gt;0),COUNT($M$3:M65)+1,"")</f>
        <v>9</v>
      </c>
    </row>
    <row r="67" spans="1:13" x14ac:dyDescent="0.25">
      <c r="A67" s="35" t="str">
        <f>IF($B67="","",ROWS($B$4:B67))</f>
        <v/>
      </c>
      <c r="B67" s="36" t="str">
        <f>IFERROR(INDEX($H$4:$H$153,MATCH(ROWS($B$4:B67),$M$4:$M$153,0)),"")</f>
        <v/>
      </c>
      <c r="C67" s="35" t="str">
        <f>IFERROR(INDEX($I$4:$I$153,MATCH(ROWS($B$4:B67),$M$4:$M$153,0)),"")</f>
        <v/>
      </c>
      <c r="D67" s="35" t="str">
        <f>IFERROR(INDEX($J$4:$J$153,MATCH(ROWS($B$4:B67),$M$4:$M$153,0)),"")</f>
        <v/>
      </c>
      <c r="E67" s="35" t="str">
        <f>IFERROR(INDEX($K$4:$K$153,MATCH(ROWS($B$4:B67),$M$4:$M$153,0)),"")</f>
        <v/>
      </c>
      <c r="H67" t="str">
        <f>T(JAN!B69)</f>
        <v>TAYLER TEMPORARIO</v>
      </c>
      <c r="I67">
        <f>IF($H67="","",SUM(JAN:DEZ!C69))</f>
        <v>0</v>
      </c>
      <c r="J67">
        <f>IF($H67="","",SUM(JAN:DEZ!E69))</f>
        <v>0</v>
      </c>
      <c r="K67">
        <f t="shared" si="1"/>
        <v>0</v>
      </c>
      <c r="M67" t="str">
        <f>IF(AND($H67&lt;&gt;"",N($K67)&gt;0),COUNT($M$3:M66)+1,"")</f>
        <v/>
      </c>
    </row>
    <row r="68" spans="1:13" x14ac:dyDescent="0.25">
      <c r="A68" s="35" t="str">
        <f>IF($B68="","",ROWS($B$4:B68))</f>
        <v/>
      </c>
      <c r="B68" s="36" t="str">
        <f>IFERROR(INDEX($H$4:$H$153,MATCH(ROWS($B$4:B68),$M$4:$M$153,0)),"")</f>
        <v/>
      </c>
      <c r="C68" s="35" t="str">
        <f>IFERROR(INDEX($I$4:$I$153,MATCH(ROWS($B$4:B68),$M$4:$M$153,0)),"")</f>
        <v/>
      </c>
      <c r="D68" s="35" t="str">
        <f>IFERROR(INDEX($J$4:$J$153,MATCH(ROWS($B$4:B68),$M$4:$M$153,0)),"")</f>
        <v/>
      </c>
      <c r="E68" s="35" t="str">
        <f>IFERROR(INDEX($K$4:$K$153,MATCH(ROWS($B$4:B68),$M$4:$M$153,0)),"")</f>
        <v/>
      </c>
      <c r="H68" t="str">
        <f>T(JAN!B70)</f>
        <v>MARCOS VINICIUS TEMPORARIO</v>
      </c>
      <c r="I68">
        <f>IF($H68="","",SUM(JAN:DEZ!C70))</f>
        <v>0</v>
      </c>
      <c r="J68">
        <f>IF($H68="","",SUM(JAN:DEZ!E70))</f>
        <v>0</v>
      </c>
      <c r="K68">
        <f t="shared" ref="K68:K99" si="2">IF($H68="","",I68-J68)</f>
        <v>0</v>
      </c>
      <c r="M68" t="str">
        <f>IF(AND($H68&lt;&gt;"",N($K68)&gt;0),COUNT($M$3:M67)+1,"")</f>
        <v/>
      </c>
    </row>
    <row r="69" spans="1:13" x14ac:dyDescent="0.25">
      <c r="A69" s="35" t="str">
        <f>IF($B69="","",ROWS($B$4:B69))</f>
        <v/>
      </c>
      <c r="B69" s="36" t="str">
        <f>IFERROR(INDEX($H$4:$H$153,MATCH(ROWS($B$4:B69),$M$4:$M$153,0)),"")</f>
        <v/>
      </c>
      <c r="C69" s="35" t="str">
        <f>IFERROR(INDEX($I$4:$I$153,MATCH(ROWS($B$4:B69),$M$4:$M$153,0)),"")</f>
        <v/>
      </c>
      <c r="D69" s="35" t="str">
        <f>IFERROR(INDEX($J$4:$J$153,MATCH(ROWS($B$4:B69),$M$4:$M$153,0)),"")</f>
        <v/>
      </c>
      <c r="E69" s="35" t="str">
        <f>IFERROR(INDEX($K$4:$K$153,MATCH(ROWS($B$4:B69),$M$4:$M$153,0)),"")</f>
        <v/>
      </c>
      <c r="H69" t="str">
        <f>T(JAN!B71)</f>
        <v>MARCOS TEMPORARIO</v>
      </c>
      <c r="I69">
        <f>IF($H69="","",SUM(JAN:DEZ!C71))</f>
        <v>1</v>
      </c>
      <c r="J69">
        <f>IF($H69="","",SUM(JAN:DEZ!E71))</f>
        <v>0</v>
      </c>
      <c r="K69">
        <f t="shared" si="2"/>
        <v>1</v>
      </c>
      <c r="M69">
        <f>IF(AND($H69&lt;&gt;"",N($K69)&gt;0),COUNT($M$3:M68)+1,"")</f>
        <v>10</v>
      </c>
    </row>
    <row r="70" spans="1:13" x14ac:dyDescent="0.25">
      <c r="A70" s="35" t="str">
        <f>IF($B70="","",ROWS($B$4:B70))</f>
        <v/>
      </c>
      <c r="B70" s="36" t="str">
        <f>IFERROR(INDEX($H$4:$H$153,MATCH(ROWS($B$4:B70),$M$4:$M$153,0)),"")</f>
        <v/>
      </c>
      <c r="C70" s="35" t="str">
        <f>IFERROR(INDEX($I$4:$I$153,MATCH(ROWS($B$4:B70),$M$4:$M$153,0)),"")</f>
        <v/>
      </c>
      <c r="D70" s="35" t="str">
        <f>IFERROR(INDEX($J$4:$J$153,MATCH(ROWS($B$4:B70),$M$4:$M$153,0)),"")</f>
        <v/>
      </c>
      <c r="E70" s="35" t="str">
        <f>IFERROR(INDEX($K$4:$K$153,MATCH(ROWS($B$4:B70),$M$4:$M$153,0)),"")</f>
        <v/>
      </c>
      <c r="H70" t="str">
        <f>T(JAN!B72)</f>
        <v>FLAVIO TEMPORARIO</v>
      </c>
      <c r="I70">
        <f>IF($H70="","",SUM(JAN:DEZ!C72))</f>
        <v>1</v>
      </c>
      <c r="J70">
        <f>IF($H70="","",SUM(JAN:DEZ!E72))</f>
        <v>0</v>
      </c>
      <c r="K70">
        <f t="shared" si="2"/>
        <v>1</v>
      </c>
      <c r="M70">
        <f>IF(AND($H70&lt;&gt;"",N($K70)&gt;0),COUNT($M$3:M69)+1,"")</f>
        <v>11</v>
      </c>
    </row>
    <row r="71" spans="1:13" x14ac:dyDescent="0.25">
      <c r="A71" s="35" t="str">
        <f>IF($B71="","",ROWS($B$4:B71))</f>
        <v/>
      </c>
      <c r="B71" s="36" t="str">
        <f>IFERROR(INDEX($H$4:$H$153,MATCH(ROWS($B$4:B71),$M$4:$M$153,0)),"")</f>
        <v/>
      </c>
      <c r="C71" s="35" t="str">
        <f>IFERROR(INDEX($I$4:$I$153,MATCH(ROWS($B$4:B71),$M$4:$M$153,0)),"")</f>
        <v/>
      </c>
      <c r="D71" s="35" t="str">
        <f>IFERROR(INDEX($J$4:$J$153,MATCH(ROWS($B$4:B71),$M$4:$M$153,0)),"")</f>
        <v/>
      </c>
      <c r="E71" s="35" t="str">
        <f>IFERROR(INDEX($K$4:$K$153,MATCH(ROWS($B$4:B71),$M$4:$M$153,0)),"")</f>
        <v/>
      </c>
      <c r="H71" t="str">
        <f>T(JAN!B73)</f>
        <v>MARCIO DUARTE 434601</v>
      </c>
      <c r="I71">
        <f>IF($H71="","",SUM(JAN:DEZ!C73))</f>
        <v>1</v>
      </c>
      <c r="J71">
        <f>IF($H71="","",SUM(JAN:DEZ!E73))</f>
        <v>1</v>
      </c>
      <c r="K71">
        <f t="shared" si="2"/>
        <v>0</v>
      </c>
      <c r="M71" t="str">
        <f>IF(AND($H71&lt;&gt;"",N($K71)&gt;0),COUNT($M$3:M70)+1,"")</f>
        <v/>
      </c>
    </row>
    <row r="72" spans="1:13" x14ac:dyDescent="0.25">
      <c r="A72" s="35" t="str">
        <f>IF($B72="","",ROWS($B$4:B72))</f>
        <v/>
      </c>
      <c r="B72" s="36" t="str">
        <f>IFERROR(INDEX($H$4:$H$153,MATCH(ROWS($B$4:B72),$M$4:$M$153,0)),"")</f>
        <v/>
      </c>
      <c r="C72" s="35" t="str">
        <f>IFERROR(INDEX($I$4:$I$153,MATCH(ROWS($B$4:B72),$M$4:$M$153,0)),"")</f>
        <v/>
      </c>
      <c r="D72" s="35" t="str">
        <f>IFERROR(INDEX($J$4:$J$153,MATCH(ROWS($B$4:B72),$M$4:$M$153,0)),"")</f>
        <v/>
      </c>
      <c r="E72" s="35" t="str">
        <f>IFERROR(INDEX($K$4:$K$153,MATCH(ROWS($B$4:B72),$M$4:$M$153,0)),"")</f>
        <v/>
      </c>
      <c r="H72" t="str">
        <f>T(JAN!B74)</f>
        <v>DEIVIDE TEMPORARIO</v>
      </c>
      <c r="I72">
        <f>IF($H72="","",SUM(JAN:DEZ!C74))</f>
        <v>0</v>
      </c>
      <c r="J72">
        <f>IF($H72="","",SUM(JAN:DEZ!E74))</f>
        <v>2</v>
      </c>
      <c r="K72">
        <f t="shared" si="2"/>
        <v>-2</v>
      </c>
      <c r="M72" t="str">
        <f>IF(AND($H72&lt;&gt;"",N($K72)&gt;0),COUNT($M$3:M71)+1,"")</f>
        <v/>
      </c>
    </row>
    <row r="73" spans="1:13" x14ac:dyDescent="0.25">
      <c r="A73" s="35" t="str">
        <f>IF($B73="","",ROWS($B$4:B73))</f>
        <v/>
      </c>
      <c r="B73" s="36" t="str">
        <f>IFERROR(INDEX($H$4:$H$153,MATCH(ROWS($B$4:B73),$M$4:$M$153,0)),"")</f>
        <v/>
      </c>
      <c r="C73" s="35" t="str">
        <f>IFERROR(INDEX($I$4:$I$153,MATCH(ROWS($B$4:B73),$M$4:$M$153,0)),"")</f>
        <v/>
      </c>
      <c r="D73" s="35" t="str">
        <f>IFERROR(INDEX($J$4:$J$153,MATCH(ROWS($B$4:B73),$M$4:$M$153,0)),"")</f>
        <v/>
      </c>
      <c r="E73" s="35" t="str">
        <f>IFERROR(INDEX($K$4:$K$153,MATCH(ROWS($B$4:B73),$M$4:$M$153,0)),"")</f>
        <v/>
      </c>
      <c r="H73" t="str">
        <f>T(JAN!B75)</f>
        <v>MARLON TEMPORÁRIO</v>
      </c>
      <c r="I73">
        <f>IF($H73="","",SUM(JAN:DEZ!C75))</f>
        <v>1</v>
      </c>
      <c r="J73">
        <f>IF($H73="","",SUM(JAN:DEZ!E75))</f>
        <v>0</v>
      </c>
      <c r="K73">
        <f t="shared" si="2"/>
        <v>1</v>
      </c>
      <c r="M73">
        <f>IF(AND($H73&lt;&gt;"",N($K73)&gt;0),COUNT($M$3:M72)+1,"")</f>
        <v>12</v>
      </c>
    </row>
    <row r="74" spans="1:13" x14ac:dyDescent="0.25">
      <c r="A74" s="35" t="str">
        <f>IF($B74="","",ROWS($B$4:B74))</f>
        <v/>
      </c>
      <c r="B74" s="36" t="str">
        <f>IFERROR(INDEX($H$4:$H$153,MATCH(ROWS($B$4:B74),$M$4:$M$153,0)),"")</f>
        <v/>
      </c>
      <c r="C74" s="35" t="str">
        <f>IFERROR(INDEX($I$4:$I$153,MATCH(ROWS($B$4:B74),$M$4:$M$153,0)),"")</f>
        <v/>
      </c>
      <c r="D74" s="35" t="str">
        <f>IFERROR(INDEX($J$4:$J$153,MATCH(ROWS($B$4:B74),$M$4:$M$153,0)),"")</f>
        <v/>
      </c>
      <c r="E74" s="35" t="str">
        <f>IFERROR(INDEX($K$4:$K$153,MATCH(ROWS($B$4:B74),$M$4:$M$153,0)),"")</f>
        <v/>
      </c>
      <c r="H74" t="str">
        <f>T(JAN!B76)</f>
        <v>GUILHERME CARMARGO TEMPORARIO</v>
      </c>
      <c r="I74">
        <f>IF($H74="","",SUM(JAN:DEZ!C76))</f>
        <v>1</v>
      </c>
      <c r="J74">
        <f>IF($H74="","",SUM(JAN:DEZ!E76))</f>
        <v>2</v>
      </c>
      <c r="K74">
        <f t="shared" si="2"/>
        <v>-1</v>
      </c>
      <c r="M74" t="str">
        <f>IF(AND($H74&lt;&gt;"",N($K74)&gt;0),COUNT($M$3:M73)+1,"")</f>
        <v/>
      </c>
    </row>
    <row r="75" spans="1:13" x14ac:dyDescent="0.25">
      <c r="A75" s="35" t="str">
        <f>IF($B75="","",ROWS($B$4:B75))</f>
        <v/>
      </c>
      <c r="B75" s="36" t="str">
        <f>IFERROR(INDEX($H$4:$H$153,MATCH(ROWS($B$4:B75),$M$4:$M$153,0)),"")</f>
        <v/>
      </c>
      <c r="C75" s="35" t="str">
        <f>IFERROR(INDEX($I$4:$I$153,MATCH(ROWS($B$4:B75),$M$4:$M$153,0)),"")</f>
        <v/>
      </c>
      <c r="D75" s="35" t="str">
        <f>IFERROR(INDEX($J$4:$J$153,MATCH(ROWS($B$4:B75),$M$4:$M$153,0)),"")</f>
        <v/>
      </c>
      <c r="E75" s="35" t="str">
        <f>IFERROR(INDEX($K$4:$K$153,MATCH(ROWS($B$4:B75),$M$4:$M$153,0)),"")</f>
        <v/>
      </c>
      <c r="H75" t="str">
        <f>T(JAN!B77)</f>
        <v>BRYAN TEMPORARIO</v>
      </c>
      <c r="I75">
        <f>IF($H75="","",SUM(JAN:DEZ!C77))</f>
        <v>0</v>
      </c>
      <c r="J75">
        <f>IF($H75="","",SUM(JAN:DEZ!E77))</f>
        <v>1</v>
      </c>
      <c r="K75">
        <f t="shared" si="2"/>
        <v>-1</v>
      </c>
      <c r="M75" t="str">
        <f>IF(AND($H75&lt;&gt;"",N($K75)&gt;0),COUNT($M$3:M74)+1,"")</f>
        <v/>
      </c>
    </row>
    <row r="76" spans="1:13" x14ac:dyDescent="0.25">
      <c r="A76" s="35" t="str">
        <f>IF($B76="","",ROWS($B$4:B76))</f>
        <v/>
      </c>
      <c r="B76" s="36" t="str">
        <f>IFERROR(INDEX($H$4:$H$153,MATCH(ROWS($B$4:B76),$M$4:$M$153,0)),"")</f>
        <v/>
      </c>
      <c r="C76" s="35" t="str">
        <f>IFERROR(INDEX($I$4:$I$153,MATCH(ROWS($B$4:B76),$M$4:$M$153,0)),"")</f>
        <v/>
      </c>
      <c r="D76" s="35" t="str">
        <f>IFERROR(INDEX($J$4:$J$153,MATCH(ROWS($B$4:B76),$M$4:$M$153,0)),"")</f>
        <v/>
      </c>
      <c r="E76" s="35" t="str">
        <f>IFERROR(INDEX($K$4:$K$153,MATCH(ROWS($B$4:B76),$M$4:$M$153,0)),"")</f>
        <v/>
      </c>
      <c r="H76" t="str">
        <f>T(JAN!B78)</f>
        <v>PABLO TEMPORARIO</v>
      </c>
      <c r="I76">
        <f>IF($H76="","",SUM(JAN:DEZ!C78))</f>
        <v>0</v>
      </c>
      <c r="J76">
        <f>IF($H76="","",SUM(JAN:DEZ!E78))</f>
        <v>1</v>
      </c>
      <c r="K76">
        <f t="shared" si="2"/>
        <v>-1</v>
      </c>
      <c r="M76" t="str">
        <f>IF(AND($H76&lt;&gt;"",N($K76)&gt;0),COUNT($M$3:M75)+1,"")</f>
        <v/>
      </c>
    </row>
    <row r="77" spans="1:13" x14ac:dyDescent="0.25">
      <c r="A77" s="35" t="str">
        <f>IF($B77="","",ROWS($B$4:B77))</f>
        <v/>
      </c>
      <c r="B77" s="36" t="str">
        <f>IFERROR(INDEX($H$4:$H$153,MATCH(ROWS($B$4:B77),$M$4:$M$153,0)),"")</f>
        <v/>
      </c>
      <c r="C77" s="35" t="str">
        <f>IFERROR(INDEX($I$4:$I$153,MATCH(ROWS($B$4:B77),$M$4:$M$153,0)),"")</f>
        <v/>
      </c>
      <c r="D77" s="35" t="str">
        <f>IFERROR(INDEX($J$4:$J$153,MATCH(ROWS($B$4:B77),$M$4:$M$153,0)),"")</f>
        <v/>
      </c>
      <c r="E77" s="35" t="str">
        <f>IFERROR(INDEX($K$4:$K$153,MATCH(ROWS($B$4:B77),$M$4:$M$153,0)),"")</f>
        <v/>
      </c>
      <c r="H77" t="str">
        <f>T(JAN!B79)</f>
        <v>JOAQUIM TEMPORARIO</v>
      </c>
      <c r="I77">
        <f>IF($H77="","",SUM(JAN:DEZ!C79))</f>
        <v>0</v>
      </c>
      <c r="J77">
        <f>IF($H77="","",SUM(JAN:DEZ!E79))</f>
        <v>1</v>
      </c>
      <c r="K77">
        <f t="shared" si="2"/>
        <v>-1</v>
      </c>
      <c r="M77" t="str">
        <f>IF(AND($H77&lt;&gt;"",N($K77)&gt;0),COUNT($M$3:M76)+1,"")</f>
        <v/>
      </c>
    </row>
    <row r="78" spans="1:13" x14ac:dyDescent="0.25">
      <c r="A78" s="35" t="str">
        <f>IF($B78="","",ROWS($B$4:B78))</f>
        <v/>
      </c>
      <c r="B78" s="36" t="str">
        <f>IFERROR(INDEX($H$4:$H$153,MATCH(ROWS($B$4:B78),$M$4:$M$153,0)),"")</f>
        <v/>
      </c>
      <c r="C78" s="35" t="str">
        <f>IFERROR(INDEX($I$4:$I$153,MATCH(ROWS($B$4:B78),$M$4:$M$153,0)),"")</f>
        <v/>
      </c>
      <c r="D78" s="35" t="str">
        <f>IFERROR(INDEX($J$4:$J$153,MATCH(ROWS($B$4:B78),$M$4:$M$153,0)),"")</f>
        <v/>
      </c>
      <c r="E78" s="35" t="str">
        <f>IFERROR(INDEX($K$4:$K$153,MATCH(ROWS($B$4:B78),$M$4:$M$153,0)),"")</f>
        <v/>
      </c>
      <c r="H78" t="str">
        <f>T(JAN!B80)</f>
        <v>RAFAEL TEMPORARIO</v>
      </c>
      <c r="I78">
        <f>IF($H78="","",SUM(JAN:DEZ!C80))</f>
        <v>0</v>
      </c>
      <c r="J78">
        <f>IF($H78="","",SUM(JAN:DEZ!E80))</f>
        <v>0</v>
      </c>
      <c r="K78">
        <f t="shared" si="2"/>
        <v>0</v>
      </c>
      <c r="M78" t="str">
        <f>IF(AND($H78&lt;&gt;"",N($K78)&gt;0),COUNT($M$3:M77)+1,"")</f>
        <v/>
      </c>
    </row>
    <row r="79" spans="1:13" x14ac:dyDescent="0.25">
      <c r="A79" s="35" t="str">
        <f>IF($B79="","",ROWS($B$4:B79))</f>
        <v/>
      </c>
      <c r="B79" s="36" t="str">
        <f>IFERROR(INDEX($H$4:$H$153,MATCH(ROWS($B$4:B79),$M$4:$M$153,0)),"")</f>
        <v/>
      </c>
      <c r="C79" s="35" t="str">
        <f>IFERROR(INDEX($I$4:$I$153,MATCH(ROWS($B$4:B79),$M$4:$M$153,0)),"")</f>
        <v/>
      </c>
      <c r="D79" s="35" t="str">
        <f>IFERROR(INDEX($J$4:$J$153,MATCH(ROWS($B$4:B79),$M$4:$M$153,0)),"")</f>
        <v/>
      </c>
      <c r="E79" s="35" t="str">
        <f>IFERROR(INDEX($K$4:$K$153,MATCH(ROWS($B$4:B79),$M$4:$M$153,0)),"")</f>
        <v/>
      </c>
      <c r="H79" t="str">
        <f>T(JAN!B81)</f>
        <v>FELIPE TEMPÓRARIO</v>
      </c>
      <c r="I79">
        <f>IF($H79="","",SUM(JAN:DEZ!C81))</f>
        <v>0</v>
      </c>
      <c r="J79">
        <f>IF($H79="","",SUM(JAN:DEZ!E81))</f>
        <v>0</v>
      </c>
      <c r="K79">
        <f t="shared" si="2"/>
        <v>0</v>
      </c>
      <c r="M79" t="str">
        <f>IF(AND($H79&lt;&gt;"",N($K79)&gt;0),COUNT($M$3:M78)+1,"")</f>
        <v/>
      </c>
    </row>
    <row r="80" spans="1:13" x14ac:dyDescent="0.25">
      <c r="A80" s="35" t="str">
        <f>IF($B80="","",ROWS($B$4:B80))</f>
        <v/>
      </c>
      <c r="B80" s="36" t="str">
        <f>IFERROR(INDEX($H$4:$H$153,MATCH(ROWS($B$4:B80),$M$4:$M$153,0)),"")</f>
        <v/>
      </c>
      <c r="C80" s="35" t="str">
        <f>IFERROR(INDEX($I$4:$I$153,MATCH(ROWS($B$4:B80),$M$4:$M$153,0)),"")</f>
        <v/>
      </c>
      <c r="D80" s="35" t="str">
        <f>IFERROR(INDEX($J$4:$J$153,MATCH(ROWS($B$4:B80),$M$4:$M$153,0)),"")</f>
        <v/>
      </c>
      <c r="E80" s="35" t="str">
        <f>IFERROR(INDEX($K$4:$K$153,MATCH(ROWS($B$4:B80),$M$4:$M$153,0)),"")</f>
        <v/>
      </c>
      <c r="H80" t="str">
        <f>T(JAN!B82)</f>
        <v>RENAN TEMPORARIO</v>
      </c>
      <c r="I80">
        <f>IF($H80="","",SUM(JAN:DEZ!C82))</f>
        <v>1</v>
      </c>
      <c r="J80">
        <f>IF($H80="","",SUM(JAN:DEZ!E82))</f>
        <v>1</v>
      </c>
      <c r="K80">
        <f t="shared" si="2"/>
        <v>0</v>
      </c>
      <c r="M80" t="str">
        <f>IF(AND($H80&lt;&gt;"",N($K80)&gt;0),COUNT($M$3:M79)+1,"")</f>
        <v/>
      </c>
    </row>
    <row r="81" spans="1:13" x14ac:dyDescent="0.25">
      <c r="A81" s="35" t="str">
        <f>IF($B81="","",ROWS($B$4:B81))</f>
        <v/>
      </c>
      <c r="B81" s="36" t="str">
        <f>IFERROR(INDEX($H$4:$H$153,MATCH(ROWS($B$4:B81),$M$4:$M$153,0)),"")</f>
        <v/>
      </c>
      <c r="C81" s="35" t="str">
        <f>IFERROR(INDEX($I$4:$I$153,MATCH(ROWS($B$4:B81),$M$4:$M$153,0)),"")</f>
        <v/>
      </c>
      <c r="D81" s="35" t="str">
        <f>IFERROR(INDEX($J$4:$J$153,MATCH(ROWS($B$4:B81),$M$4:$M$153,0)),"")</f>
        <v/>
      </c>
      <c r="E81" s="35" t="str">
        <f>IFERROR(INDEX($K$4:$K$153,MATCH(ROWS($B$4:B81),$M$4:$M$153,0)),"")</f>
        <v/>
      </c>
      <c r="H81" t="str">
        <f>T(JAN!B83)</f>
        <v>VILSON TEMPORARIO</v>
      </c>
      <c r="I81">
        <f>IF($H81="","",SUM(JAN:DEZ!C83))</f>
        <v>0</v>
      </c>
      <c r="J81">
        <f>IF($H81="","",SUM(JAN:DEZ!E83))</f>
        <v>0</v>
      </c>
      <c r="K81">
        <f t="shared" si="2"/>
        <v>0</v>
      </c>
      <c r="M81" t="str">
        <f>IF(AND($H81&lt;&gt;"",N($K81)&gt;0),COUNT($M$3:M80)+1,"")</f>
        <v/>
      </c>
    </row>
    <row r="82" spans="1:13" x14ac:dyDescent="0.25">
      <c r="A82" s="35" t="str">
        <f>IF($B82="","",ROWS($B$4:B82))</f>
        <v/>
      </c>
      <c r="B82" s="36" t="str">
        <f>IFERROR(INDEX($H$4:$H$153,MATCH(ROWS($B$4:B82),$M$4:$M$153,0)),"")</f>
        <v/>
      </c>
      <c r="C82" s="35" t="str">
        <f>IFERROR(INDEX($I$4:$I$153,MATCH(ROWS($B$4:B82),$M$4:$M$153,0)),"")</f>
        <v/>
      </c>
      <c r="D82" s="35" t="str">
        <f>IFERROR(INDEX($J$4:$J$153,MATCH(ROWS($B$4:B82),$M$4:$M$153,0)),"")</f>
        <v/>
      </c>
      <c r="E82" s="35" t="str">
        <f>IFERROR(INDEX($K$4:$K$153,MATCH(ROWS($B$4:B82),$M$4:$M$153,0)),"")</f>
        <v/>
      </c>
      <c r="H82" t="str">
        <f>T(JAN!B84)</f>
        <v>MARCO TEMPORARIO</v>
      </c>
      <c r="I82">
        <f>IF($H82="","",SUM(JAN:DEZ!C84))</f>
        <v>0</v>
      </c>
      <c r="J82">
        <f>IF($H82="","",SUM(JAN:DEZ!E84))</f>
        <v>0</v>
      </c>
      <c r="K82">
        <f t="shared" si="2"/>
        <v>0</v>
      </c>
      <c r="M82" t="str">
        <f>IF(AND($H82&lt;&gt;"",N($K82)&gt;0),COUNT($M$3:M81)+1,"")</f>
        <v/>
      </c>
    </row>
    <row r="83" spans="1:13" x14ac:dyDescent="0.25">
      <c r="A83" s="35" t="str">
        <f>IF($B83="","",ROWS($B$4:B83))</f>
        <v/>
      </c>
      <c r="B83" s="36" t="str">
        <f>IFERROR(INDEX($H$4:$H$153,MATCH(ROWS($B$4:B83),$M$4:$M$153,0)),"")</f>
        <v/>
      </c>
      <c r="C83" s="35" t="str">
        <f>IFERROR(INDEX($I$4:$I$153,MATCH(ROWS($B$4:B83),$M$4:$M$153,0)),"")</f>
        <v/>
      </c>
      <c r="D83" s="35" t="str">
        <f>IFERROR(INDEX($J$4:$J$153,MATCH(ROWS($B$4:B83),$M$4:$M$153,0)),"")</f>
        <v/>
      </c>
      <c r="E83" s="35" t="str">
        <f>IFERROR(INDEX($K$4:$K$153,MATCH(ROWS($B$4:B83),$M$4:$M$153,0)),"")</f>
        <v/>
      </c>
      <c r="H83" t="str">
        <f>T(JAN!B85)</f>
        <v>MARCELO CUSTORIO 313401</v>
      </c>
      <c r="I83">
        <f>IF($H83="","",SUM(JAN:DEZ!C85))</f>
        <v>0</v>
      </c>
      <c r="J83">
        <f>IF($H83="","",SUM(JAN:DEZ!E85))</f>
        <v>0</v>
      </c>
      <c r="K83">
        <f t="shared" si="2"/>
        <v>0</v>
      </c>
      <c r="M83" t="str">
        <f>IF(AND($H83&lt;&gt;"",N($K83)&gt;0),COUNT($M$3:M82)+1,"")</f>
        <v/>
      </c>
    </row>
    <row r="84" spans="1:13" x14ac:dyDescent="0.25">
      <c r="A84" s="35" t="str">
        <f>IF($B84="","",ROWS($B$4:B84))</f>
        <v/>
      </c>
      <c r="B84" s="36" t="str">
        <f>IFERROR(INDEX($H$4:$H$153,MATCH(ROWS($B$4:B84),$M$4:$M$153,0)),"")</f>
        <v/>
      </c>
      <c r="C84" s="35" t="str">
        <f>IFERROR(INDEX($I$4:$I$153,MATCH(ROWS($B$4:B84),$M$4:$M$153,0)),"")</f>
        <v/>
      </c>
      <c r="D84" s="35" t="str">
        <f>IFERROR(INDEX($J$4:$J$153,MATCH(ROWS($B$4:B84),$M$4:$M$153,0)),"")</f>
        <v/>
      </c>
      <c r="E84" s="35" t="str">
        <f>IFERROR(INDEX($K$4:$K$153,MATCH(ROWS($B$4:B84),$M$4:$M$153,0)),"")</f>
        <v/>
      </c>
      <c r="H84" t="str">
        <f>T(JAN!B86)</f>
        <v>TAYLOR TEMPORÁRIO</v>
      </c>
      <c r="I84">
        <f>IF($H84="","",SUM(JAN:DEZ!C86))</f>
        <v>1</v>
      </c>
      <c r="J84">
        <f>IF($H84="","",SUM(JAN:DEZ!E86))</f>
        <v>0</v>
      </c>
      <c r="K84">
        <f t="shared" si="2"/>
        <v>1</v>
      </c>
      <c r="M84">
        <f>IF(AND($H84&lt;&gt;"",N($K84)&gt;0),COUNT($M$3:M83)+1,"")</f>
        <v>13</v>
      </c>
    </row>
    <row r="85" spans="1:13" x14ac:dyDescent="0.25">
      <c r="A85" s="35" t="str">
        <f>IF($B85="","",ROWS($B$4:B85))</f>
        <v/>
      </c>
      <c r="B85" s="36" t="str">
        <f>IFERROR(INDEX($H$4:$H$153,MATCH(ROWS($B$4:B85),$M$4:$M$153,0)),"")</f>
        <v/>
      </c>
      <c r="C85" s="35" t="str">
        <f>IFERROR(INDEX($I$4:$I$153,MATCH(ROWS($B$4:B85),$M$4:$M$153,0)),"")</f>
        <v/>
      </c>
      <c r="D85" s="35" t="str">
        <f>IFERROR(INDEX($J$4:$J$153,MATCH(ROWS($B$4:B85),$M$4:$M$153,0)),"")</f>
        <v/>
      </c>
      <c r="E85" s="35" t="str">
        <f>IFERROR(INDEX($K$4:$K$153,MATCH(ROWS($B$4:B85),$M$4:$M$153,0)),"")</f>
        <v/>
      </c>
      <c r="H85" t="str">
        <f>T(JAN!B87)</f>
        <v>ÉRICK TEMPORÁRIO</v>
      </c>
      <c r="I85">
        <f>IF($H85="","",SUM(JAN:DEZ!C87))</f>
        <v>1</v>
      </c>
      <c r="J85">
        <f>IF($H85="","",SUM(JAN:DEZ!E87))</f>
        <v>0</v>
      </c>
      <c r="K85">
        <f t="shared" si="2"/>
        <v>1</v>
      </c>
      <c r="M85">
        <f>IF(AND($H85&lt;&gt;"",N($K85)&gt;0),COUNT($M$3:M84)+1,"")</f>
        <v>14</v>
      </c>
    </row>
    <row r="86" spans="1:13" x14ac:dyDescent="0.25">
      <c r="A86" s="35" t="str">
        <f>IF($B86="","",ROWS($B$4:B86))</f>
        <v/>
      </c>
      <c r="B86" s="36" t="str">
        <f>IFERROR(INDEX($H$4:$H$153,MATCH(ROWS($B$4:B86),$M$4:$M$153,0)),"")</f>
        <v/>
      </c>
      <c r="C86" s="35" t="str">
        <f>IFERROR(INDEX($I$4:$I$153,MATCH(ROWS($B$4:B86),$M$4:$M$153,0)),"")</f>
        <v/>
      </c>
      <c r="D86" s="35" t="str">
        <f>IFERROR(INDEX($J$4:$J$153,MATCH(ROWS($B$4:B86),$M$4:$M$153,0)),"")</f>
        <v/>
      </c>
      <c r="E86" s="35" t="str">
        <f>IFERROR(INDEX($K$4:$K$153,MATCH(ROWS($B$4:B86),$M$4:$M$153,0)),"")</f>
        <v/>
      </c>
      <c r="H86" t="str">
        <f>T(JAN!B88)</f>
        <v/>
      </c>
      <c r="I86" t="str">
        <f>IF($H86="","",SUM(JAN:DEZ!C88))</f>
        <v/>
      </c>
      <c r="J86" t="str">
        <f>IF($H86="","",SUM(JAN:DEZ!E88))</f>
        <v/>
      </c>
      <c r="K86" t="str">
        <f t="shared" si="2"/>
        <v/>
      </c>
      <c r="M86" t="str">
        <f>IF(AND($H86&lt;&gt;"",N($K86)&gt;0),COUNT($M$3:M85)+1,"")</f>
        <v/>
      </c>
    </row>
    <row r="87" spans="1:13" x14ac:dyDescent="0.25">
      <c r="A87" s="35" t="str">
        <f>IF($B87="","",ROWS($B$4:B87))</f>
        <v/>
      </c>
      <c r="B87" s="36" t="str">
        <f>IFERROR(INDEX($H$4:$H$153,MATCH(ROWS($B$4:B87),$M$4:$M$153,0)),"")</f>
        <v/>
      </c>
      <c r="C87" s="35" t="str">
        <f>IFERROR(INDEX($I$4:$I$153,MATCH(ROWS($B$4:B87),$M$4:$M$153,0)),"")</f>
        <v/>
      </c>
      <c r="D87" s="35" t="str">
        <f>IFERROR(INDEX($J$4:$J$153,MATCH(ROWS($B$4:B87),$M$4:$M$153,0)),"")</f>
        <v/>
      </c>
      <c r="E87" s="35" t="str">
        <f>IFERROR(INDEX($K$4:$K$153,MATCH(ROWS($B$4:B87),$M$4:$M$153,0)),"")</f>
        <v/>
      </c>
      <c r="H87" t="str">
        <f>T(JAN!B89)</f>
        <v/>
      </c>
      <c r="I87" t="str">
        <f>IF($H87="","",SUM(JAN:DEZ!C89))</f>
        <v/>
      </c>
      <c r="J87" t="str">
        <f>IF($H87="","",SUM(JAN:DEZ!E89))</f>
        <v/>
      </c>
      <c r="K87" t="str">
        <f t="shared" si="2"/>
        <v/>
      </c>
      <c r="M87" t="str">
        <f>IF(AND($H87&lt;&gt;"",N($K87)&gt;0),COUNT($M$3:M86)+1,"")</f>
        <v/>
      </c>
    </row>
    <row r="88" spans="1:13" x14ac:dyDescent="0.25">
      <c r="A88" s="35" t="str">
        <f>IF($B88="","",ROWS($B$4:B88))</f>
        <v/>
      </c>
      <c r="B88" s="36" t="str">
        <f>IFERROR(INDEX($H$4:$H$153,MATCH(ROWS($B$4:B88),$M$4:$M$153,0)),"")</f>
        <v/>
      </c>
      <c r="C88" s="35" t="str">
        <f>IFERROR(INDEX($I$4:$I$153,MATCH(ROWS($B$4:B88),$M$4:$M$153,0)),"")</f>
        <v/>
      </c>
      <c r="D88" s="35" t="str">
        <f>IFERROR(INDEX($J$4:$J$153,MATCH(ROWS($B$4:B88),$M$4:$M$153,0)),"")</f>
        <v/>
      </c>
      <c r="E88" s="35" t="str">
        <f>IFERROR(INDEX($K$4:$K$153,MATCH(ROWS($B$4:B88),$M$4:$M$153,0)),"")</f>
        <v/>
      </c>
      <c r="H88" t="str">
        <f>T(JAN!B90)</f>
        <v/>
      </c>
      <c r="I88" t="str">
        <f>IF($H88="","",SUM(JAN:DEZ!C90))</f>
        <v/>
      </c>
      <c r="J88" t="str">
        <f>IF($H88="","",SUM(JAN:DEZ!E90))</f>
        <v/>
      </c>
      <c r="K88" t="str">
        <f t="shared" si="2"/>
        <v/>
      </c>
      <c r="M88" t="str">
        <f>IF(AND($H88&lt;&gt;"",N($K88)&gt;0),COUNT($M$3:M87)+1,"")</f>
        <v/>
      </c>
    </row>
    <row r="89" spans="1:13" x14ac:dyDescent="0.25">
      <c r="A89" s="35" t="str">
        <f>IF($B89="","",ROWS($B$4:B89))</f>
        <v/>
      </c>
      <c r="B89" s="36" t="str">
        <f>IFERROR(INDEX($H$4:$H$153,MATCH(ROWS($B$4:B89),$M$4:$M$153,0)),"")</f>
        <v/>
      </c>
      <c r="C89" s="35" t="str">
        <f>IFERROR(INDEX($I$4:$I$153,MATCH(ROWS($B$4:B89),$M$4:$M$153,0)),"")</f>
        <v/>
      </c>
      <c r="D89" s="35" t="str">
        <f>IFERROR(INDEX($J$4:$J$153,MATCH(ROWS($B$4:B89),$M$4:$M$153,0)),"")</f>
        <v/>
      </c>
      <c r="E89" s="35" t="str">
        <f>IFERROR(INDEX($K$4:$K$153,MATCH(ROWS($B$4:B89),$M$4:$M$153,0)),"")</f>
        <v/>
      </c>
      <c r="H89" t="str">
        <f>T(JAN!B91)</f>
        <v/>
      </c>
      <c r="I89" t="str">
        <f>IF($H89="","",SUM(JAN:DEZ!C91))</f>
        <v/>
      </c>
      <c r="J89" t="str">
        <f>IF($H89="","",SUM(JAN:DEZ!E91))</f>
        <v/>
      </c>
      <c r="K89" t="str">
        <f t="shared" si="2"/>
        <v/>
      </c>
      <c r="M89" t="str">
        <f>IF(AND($H89&lt;&gt;"",N($K89)&gt;0),COUNT($M$3:M88)+1,"")</f>
        <v/>
      </c>
    </row>
    <row r="90" spans="1:13" x14ac:dyDescent="0.25">
      <c r="A90" s="35" t="str">
        <f>IF($B90="","",ROWS($B$4:B90))</f>
        <v/>
      </c>
      <c r="B90" s="36" t="str">
        <f>IFERROR(INDEX($H$4:$H$153,MATCH(ROWS($B$4:B90),$M$4:$M$153,0)),"")</f>
        <v/>
      </c>
      <c r="C90" s="35" t="str">
        <f>IFERROR(INDEX($I$4:$I$153,MATCH(ROWS($B$4:B90),$M$4:$M$153,0)),"")</f>
        <v/>
      </c>
      <c r="D90" s="35" t="str">
        <f>IFERROR(INDEX($J$4:$J$153,MATCH(ROWS($B$4:B90),$M$4:$M$153,0)),"")</f>
        <v/>
      </c>
      <c r="E90" s="35" t="str">
        <f>IFERROR(INDEX($K$4:$K$153,MATCH(ROWS($B$4:B90),$M$4:$M$153,0)),"")</f>
        <v/>
      </c>
      <c r="H90" t="str">
        <f>T(JAN!B92)</f>
        <v/>
      </c>
      <c r="I90" t="str">
        <f>IF($H90="","",SUM(JAN:DEZ!C92))</f>
        <v/>
      </c>
      <c r="J90" t="str">
        <f>IF($H90="","",SUM(JAN:DEZ!E92))</f>
        <v/>
      </c>
      <c r="K90" t="str">
        <f t="shared" si="2"/>
        <v/>
      </c>
      <c r="M90" t="str">
        <f>IF(AND($H90&lt;&gt;"",N($K90)&gt;0),COUNT($M$3:M89)+1,"")</f>
        <v/>
      </c>
    </row>
    <row r="91" spans="1:13" x14ac:dyDescent="0.25">
      <c r="A91" s="35" t="str">
        <f>IF($B91="","",ROWS($B$4:B91))</f>
        <v/>
      </c>
      <c r="B91" s="36" t="str">
        <f>IFERROR(INDEX($H$4:$H$153,MATCH(ROWS($B$4:B91),$M$4:$M$153,0)),"")</f>
        <v/>
      </c>
      <c r="C91" s="35" t="str">
        <f>IFERROR(INDEX($I$4:$I$153,MATCH(ROWS($B$4:B91),$M$4:$M$153,0)),"")</f>
        <v/>
      </c>
      <c r="D91" s="35" t="str">
        <f>IFERROR(INDEX($J$4:$J$153,MATCH(ROWS($B$4:B91),$M$4:$M$153,0)),"")</f>
        <v/>
      </c>
      <c r="E91" s="35" t="str">
        <f>IFERROR(INDEX($K$4:$K$153,MATCH(ROWS($B$4:B91),$M$4:$M$153,0)),"")</f>
        <v/>
      </c>
      <c r="H91" t="str">
        <f>T(JAN!B93)</f>
        <v/>
      </c>
      <c r="I91" t="str">
        <f>IF($H91="","",SUM(JAN:DEZ!C93))</f>
        <v/>
      </c>
      <c r="J91" t="str">
        <f>IF($H91="","",SUM(JAN:DEZ!E93))</f>
        <v/>
      </c>
      <c r="K91" t="str">
        <f t="shared" si="2"/>
        <v/>
      </c>
      <c r="M91" t="str">
        <f>IF(AND($H91&lt;&gt;"",N($K91)&gt;0),COUNT($M$3:M90)+1,"")</f>
        <v/>
      </c>
    </row>
    <row r="92" spans="1:13" x14ac:dyDescent="0.25">
      <c r="A92" s="35" t="str">
        <f>IF($B92="","",ROWS($B$4:B92))</f>
        <v/>
      </c>
      <c r="B92" s="36" t="str">
        <f>IFERROR(INDEX($H$4:$H$153,MATCH(ROWS($B$4:B92),$M$4:$M$153,0)),"")</f>
        <v/>
      </c>
      <c r="C92" s="35" t="str">
        <f>IFERROR(INDEX($I$4:$I$153,MATCH(ROWS($B$4:B92),$M$4:$M$153,0)),"")</f>
        <v/>
      </c>
      <c r="D92" s="35" t="str">
        <f>IFERROR(INDEX($J$4:$J$153,MATCH(ROWS($B$4:B92),$M$4:$M$153,0)),"")</f>
        <v/>
      </c>
      <c r="E92" s="35" t="str">
        <f>IFERROR(INDEX($K$4:$K$153,MATCH(ROWS($B$4:B92),$M$4:$M$153,0)),"")</f>
        <v/>
      </c>
      <c r="H92" t="str">
        <f>T(JAN!B94)</f>
        <v/>
      </c>
      <c r="I92" t="str">
        <f>IF($H92="","",SUM(JAN:DEZ!C94))</f>
        <v/>
      </c>
      <c r="J92" t="str">
        <f>IF($H92="","",SUM(JAN:DEZ!E94))</f>
        <v/>
      </c>
      <c r="K92" t="str">
        <f t="shared" si="2"/>
        <v/>
      </c>
      <c r="M92" t="str">
        <f>IF(AND($H92&lt;&gt;"",N($K92)&gt;0),COUNT($M$3:M91)+1,"")</f>
        <v/>
      </c>
    </row>
    <row r="93" spans="1:13" x14ac:dyDescent="0.25">
      <c r="A93" s="35" t="str">
        <f>IF($B93="","",ROWS($B$4:B93))</f>
        <v/>
      </c>
      <c r="B93" s="36" t="str">
        <f>IFERROR(INDEX($H$4:$H$153,MATCH(ROWS($B$4:B93),$M$4:$M$153,0)),"")</f>
        <v/>
      </c>
      <c r="C93" s="35" t="str">
        <f>IFERROR(INDEX($I$4:$I$153,MATCH(ROWS($B$4:B93),$M$4:$M$153,0)),"")</f>
        <v/>
      </c>
      <c r="D93" s="35" t="str">
        <f>IFERROR(INDEX($J$4:$J$153,MATCH(ROWS($B$4:B93),$M$4:$M$153,0)),"")</f>
        <v/>
      </c>
      <c r="E93" s="35" t="str">
        <f>IFERROR(INDEX($K$4:$K$153,MATCH(ROWS($B$4:B93),$M$4:$M$153,0)),"")</f>
        <v/>
      </c>
      <c r="H93" t="str">
        <f>T(JAN!B95)</f>
        <v/>
      </c>
      <c r="I93" t="str">
        <f>IF($H93="","",SUM(JAN:DEZ!C95))</f>
        <v/>
      </c>
      <c r="J93" t="str">
        <f>IF($H93="","",SUM(JAN:DEZ!E95))</f>
        <v/>
      </c>
      <c r="K93" t="str">
        <f t="shared" si="2"/>
        <v/>
      </c>
      <c r="M93" t="str">
        <f>IF(AND($H93&lt;&gt;"",N($K93)&gt;0),COUNT($M$3:M92)+1,"")</f>
        <v/>
      </c>
    </row>
    <row r="94" spans="1:13" x14ac:dyDescent="0.25">
      <c r="A94" s="35" t="str">
        <f>IF($B94="","",ROWS($B$4:B94))</f>
        <v/>
      </c>
      <c r="B94" s="36" t="str">
        <f>IFERROR(INDEX($H$4:$H$153,MATCH(ROWS($B$4:B94),$M$4:$M$153,0)),"")</f>
        <v/>
      </c>
      <c r="C94" s="35" t="str">
        <f>IFERROR(INDEX($I$4:$I$153,MATCH(ROWS($B$4:B94),$M$4:$M$153,0)),"")</f>
        <v/>
      </c>
      <c r="D94" s="35" t="str">
        <f>IFERROR(INDEX($J$4:$J$153,MATCH(ROWS($B$4:B94),$M$4:$M$153,0)),"")</f>
        <v/>
      </c>
      <c r="E94" s="35" t="str">
        <f>IFERROR(INDEX($K$4:$K$153,MATCH(ROWS($B$4:B94),$M$4:$M$153,0)),"")</f>
        <v/>
      </c>
      <c r="H94" t="str">
        <f>T(JAN!B96)</f>
        <v/>
      </c>
      <c r="I94" t="str">
        <f>IF($H94="","",SUM(JAN:DEZ!C96))</f>
        <v/>
      </c>
      <c r="J94" t="str">
        <f>IF($H94="","",SUM(JAN:DEZ!E96))</f>
        <v/>
      </c>
      <c r="K94" t="str">
        <f t="shared" si="2"/>
        <v/>
      </c>
      <c r="M94" t="str">
        <f>IF(AND($H94&lt;&gt;"",N($K94)&gt;0),COUNT($M$3:M93)+1,"")</f>
        <v/>
      </c>
    </row>
    <row r="95" spans="1:13" x14ac:dyDescent="0.25">
      <c r="A95" s="35" t="str">
        <f>IF($B95="","",ROWS($B$4:B95))</f>
        <v/>
      </c>
      <c r="B95" s="36" t="str">
        <f>IFERROR(INDEX($H$4:$H$153,MATCH(ROWS($B$4:B95),$M$4:$M$153,0)),"")</f>
        <v/>
      </c>
      <c r="C95" s="35" t="str">
        <f>IFERROR(INDEX($I$4:$I$153,MATCH(ROWS($B$4:B95),$M$4:$M$153,0)),"")</f>
        <v/>
      </c>
      <c r="D95" s="35" t="str">
        <f>IFERROR(INDEX($J$4:$J$153,MATCH(ROWS($B$4:B95),$M$4:$M$153,0)),"")</f>
        <v/>
      </c>
      <c r="E95" s="35" t="str">
        <f>IFERROR(INDEX($K$4:$K$153,MATCH(ROWS($B$4:B95),$M$4:$M$153,0)),"")</f>
        <v/>
      </c>
      <c r="H95" t="str">
        <f>T(JAN!B97)</f>
        <v/>
      </c>
      <c r="I95" t="str">
        <f>IF($H95="","",SUM(JAN:DEZ!C97))</f>
        <v/>
      </c>
      <c r="J95" t="str">
        <f>IF($H95="","",SUM(JAN:DEZ!E97))</f>
        <v/>
      </c>
      <c r="K95" t="str">
        <f t="shared" si="2"/>
        <v/>
      </c>
      <c r="M95" t="str">
        <f>IF(AND($H95&lt;&gt;"",N($K95)&gt;0),COUNT($M$3:M94)+1,"")</f>
        <v/>
      </c>
    </row>
    <row r="96" spans="1:13" x14ac:dyDescent="0.25">
      <c r="A96" s="35" t="str">
        <f>IF($B96="","",ROWS($B$4:B96))</f>
        <v/>
      </c>
      <c r="B96" s="36" t="str">
        <f>IFERROR(INDEX($H$4:$H$153,MATCH(ROWS($B$4:B96),$M$4:$M$153,0)),"")</f>
        <v/>
      </c>
      <c r="C96" s="35" t="str">
        <f>IFERROR(INDEX($I$4:$I$153,MATCH(ROWS($B$4:B96),$M$4:$M$153,0)),"")</f>
        <v/>
      </c>
      <c r="D96" s="35" t="str">
        <f>IFERROR(INDEX($J$4:$J$153,MATCH(ROWS($B$4:B96),$M$4:$M$153,0)),"")</f>
        <v/>
      </c>
      <c r="E96" s="35" t="str">
        <f>IFERROR(INDEX($K$4:$K$153,MATCH(ROWS($B$4:B96),$M$4:$M$153,0)),"")</f>
        <v/>
      </c>
      <c r="H96" t="str">
        <f>T(JAN!B98)</f>
        <v/>
      </c>
      <c r="I96" t="str">
        <f>IF($H96="","",SUM(JAN:DEZ!C98))</f>
        <v/>
      </c>
      <c r="J96" t="str">
        <f>IF($H96="","",SUM(JAN:DEZ!E98))</f>
        <v/>
      </c>
      <c r="K96" t="str">
        <f t="shared" si="2"/>
        <v/>
      </c>
      <c r="M96" t="str">
        <f>IF(AND($H96&lt;&gt;"",N($K96)&gt;0),COUNT($M$3:M95)+1,"")</f>
        <v/>
      </c>
    </row>
    <row r="97" spans="1:13" x14ac:dyDescent="0.25">
      <c r="A97" s="35" t="str">
        <f>IF($B97="","",ROWS($B$4:B97))</f>
        <v/>
      </c>
      <c r="B97" s="36" t="str">
        <f>IFERROR(INDEX($H$4:$H$153,MATCH(ROWS($B$4:B97),$M$4:$M$153,0)),"")</f>
        <v/>
      </c>
      <c r="C97" s="35" t="str">
        <f>IFERROR(INDEX($I$4:$I$153,MATCH(ROWS($B$4:B97),$M$4:$M$153,0)),"")</f>
        <v/>
      </c>
      <c r="D97" s="35" t="str">
        <f>IFERROR(INDEX($J$4:$J$153,MATCH(ROWS($B$4:B97),$M$4:$M$153,0)),"")</f>
        <v/>
      </c>
      <c r="E97" s="35" t="str">
        <f>IFERROR(INDEX($K$4:$K$153,MATCH(ROWS($B$4:B97),$M$4:$M$153,0)),"")</f>
        <v/>
      </c>
      <c r="H97" t="str">
        <f>T(JAN!B99)</f>
        <v/>
      </c>
      <c r="I97" t="str">
        <f>IF($H97="","",SUM(JAN:DEZ!C99))</f>
        <v/>
      </c>
      <c r="J97" t="str">
        <f>IF($H97="","",SUM(JAN:DEZ!E99))</f>
        <v/>
      </c>
      <c r="K97" t="str">
        <f t="shared" si="2"/>
        <v/>
      </c>
      <c r="M97" t="str">
        <f>IF(AND($H97&lt;&gt;"",N($K97)&gt;0),COUNT($M$3:M96)+1,"")</f>
        <v/>
      </c>
    </row>
    <row r="98" spans="1:13" x14ac:dyDescent="0.25">
      <c r="A98" s="35" t="str">
        <f>IF($B98="","",ROWS($B$4:B98))</f>
        <v/>
      </c>
      <c r="B98" s="36" t="str">
        <f>IFERROR(INDEX($H$4:$H$153,MATCH(ROWS($B$4:B98),$M$4:$M$153,0)),"")</f>
        <v/>
      </c>
      <c r="C98" s="35" t="str">
        <f>IFERROR(INDEX($I$4:$I$153,MATCH(ROWS($B$4:B98),$M$4:$M$153,0)),"")</f>
        <v/>
      </c>
      <c r="D98" s="35" t="str">
        <f>IFERROR(INDEX($J$4:$J$153,MATCH(ROWS($B$4:B98),$M$4:$M$153,0)),"")</f>
        <v/>
      </c>
      <c r="E98" s="35" t="str">
        <f>IFERROR(INDEX($K$4:$K$153,MATCH(ROWS($B$4:B98),$M$4:$M$153,0)),"")</f>
        <v/>
      </c>
      <c r="H98" t="str">
        <f>T(JAN!B100)</f>
        <v/>
      </c>
      <c r="I98" t="str">
        <f>IF($H98="","",SUM(JAN:DEZ!C100))</f>
        <v/>
      </c>
      <c r="J98" t="str">
        <f>IF($H98="","",SUM(JAN:DEZ!E100))</f>
        <v/>
      </c>
      <c r="K98" t="str">
        <f t="shared" si="2"/>
        <v/>
      </c>
      <c r="M98" t="str">
        <f>IF(AND($H98&lt;&gt;"",N($K98)&gt;0),COUNT($M$3:M97)+1,"")</f>
        <v/>
      </c>
    </row>
    <row r="99" spans="1:13" x14ac:dyDescent="0.25">
      <c r="A99" s="35" t="str">
        <f>IF($B99="","",ROWS($B$4:B99))</f>
        <v/>
      </c>
      <c r="B99" s="36" t="str">
        <f>IFERROR(INDEX($H$4:$H$153,MATCH(ROWS($B$4:B99),$M$4:$M$153,0)),"")</f>
        <v/>
      </c>
      <c r="C99" s="35" t="str">
        <f>IFERROR(INDEX($I$4:$I$153,MATCH(ROWS($B$4:B99),$M$4:$M$153,0)),"")</f>
        <v/>
      </c>
      <c r="D99" s="35" t="str">
        <f>IFERROR(INDEX($J$4:$J$153,MATCH(ROWS($B$4:B99),$M$4:$M$153,0)),"")</f>
        <v/>
      </c>
      <c r="E99" s="35" t="str">
        <f>IFERROR(INDEX($K$4:$K$153,MATCH(ROWS($B$4:B99),$M$4:$M$153,0)),"")</f>
        <v/>
      </c>
      <c r="H99" t="str">
        <f>T(JAN!B101)</f>
        <v/>
      </c>
      <c r="I99" t="str">
        <f>IF($H99="","",SUM(JAN:DEZ!C101))</f>
        <v/>
      </c>
      <c r="J99" t="str">
        <f>IF($H99="","",SUM(JAN:DEZ!E101))</f>
        <v/>
      </c>
      <c r="K99" t="str">
        <f t="shared" si="2"/>
        <v/>
      </c>
      <c r="M99" t="str">
        <f>IF(AND($H99&lt;&gt;"",N($K99)&gt;0),COUNT($M$3:M98)+1,"")</f>
        <v/>
      </c>
    </row>
    <row r="100" spans="1:13" x14ac:dyDescent="0.25">
      <c r="A100" s="35" t="str">
        <f>IF($B100="","",ROWS($B$4:B100))</f>
        <v/>
      </c>
      <c r="B100" s="36" t="str">
        <f>IFERROR(INDEX($H$4:$H$153,MATCH(ROWS($B$4:B100),$M$4:$M$153,0)),"")</f>
        <v/>
      </c>
      <c r="C100" s="35" t="str">
        <f>IFERROR(INDEX($I$4:$I$153,MATCH(ROWS($B$4:B100),$M$4:$M$153,0)),"")</f>
        <v/>
      </c>
      <c r="D100" s="35" t="str">
        <f>IFERROR(INDEX($J$4:$J$153,MATCH(ROWS($B$4:B100),$M$4:$M$153,0)),"")</f>
        <v/>
      </c>
      <c r="E100" s="35" t="str">
        <f>IFERROR(INDEX($K$4:$K$153,MATCH(ROWS($B$4:B100),$M$4:$M$153,0)),"")</f>
        <v/>
      </c>
      <c r="H100" t="str">
        <f>T(JAN!B102)</f>
        <v/>
      </c>
      <c r="I100" t="str">
        <f>IF($H100="","",SUM(JAN:DEZ!C102))</f>
        <v/>
      </c>
      <c r="J100" t="str">
        <f>IF($H100="","",SUM(JAN:DEZ!E102))</f>
        <v/>
      </c>
      <c r="K100" t="str">
        <f t="shared" ref="K100:K131" si="3">IF($H100="","",I100-J100)</f>
        <v/>
      </c>
      <c r="M100" t="str">
        <f>IF(AND($H100&lt;&gt;"",N($K100)&gt;0),COUNT($M$3:M99)+1,"")</f>
        <v/>
      </c>
    </row>
    <row r="101" spans="1:13" x14ac:dyDescent="0.25">
      <c r="A101" s="35" t="str">
        <f>IF($B101="","",ROWS($B$4:B101))</f>
        <v/>
      </c>
      <c r="B101" s="36" t="str">
        <f>IFERROR(INDEX($H$4:$H$153,MATCH(ROWS($B$4:B101),$M$4:$M$153,0)),"")</f>
        <v/>
      </c>
      <c r="C101" s="35" t="str">
        <f>IFERROR(INDEX($I$4:$I$153,MATCH(ROWS($B$4:B101),$M$4:$M$153,0)),"")</f>
        <v/>
      </c>
      <c r="D101" s="35" t="str">
        <f>IFERROR(INDEX($J$4:$J$153,MATCH(ROWS($B$4:B101),$M$4:$M$153,0)),"")</f>
        <v/>
      </c>
      <c r="E101" s="35" t="str">
        <f>IFERROR(INDEX($K$4:$K$153,MATCH(ROWS($B$4:B101),$M$4:$M$153,0)),"")</f>
        <v/>
      </c>
      <c r="H101" t="str">
        <f>T(JAN!B103)</f>
        <v/>
      </c>
      <c r="I101" t="str">
        <f>IF($H101="","",SUM(JAN:DEZ!C103))</f>
        <v/>
      </c>
      <c r="J101" t="str">
        <f>IF($H101="","",SUM(JAN:DEZ!E103))</f>
        <v/>
      </c>
      <c r="K101" t="str">
        <f t="shared" si="3"/>
        <v/>
      </c>
      <c r="M101" t="str">
        <f>IF(AND($H101&lt;&gt;"",N($K101)&gt;0),COUNT($M$3:M100)+1,"")</f>
        <v/>
      </c>
    </row>
    <row r="102" spans="1:13" x14ac:dyDescent="0.25">
      <c r="A102" s="35" t="str">
        <f>IF($B102="","",ROWS($B$4:B102))</f>
        <v/>
      </c>
      <c r="B102" s="36" t="str">
        <f>IFERROR(INDEX($H$4:$H$153,MATCH(ROWS($B$4:B102),$M$4:$M$153,0)),"")</f>
        <v/>
      </c>
      <c r="C102" s="35" t="str">
        <f>IFERROR(INDEX($I$4:$I$153,MATCH(ROWS($B$4:B102),$M$4:$M$153,0)),"")</f>
        <v/>
      </c>
      <c r="D102" s="35" t="str">
        <f>IFERROR(INDEX($J$4:$J$153,MATCH(ROWS($B$4:B102),$M$4:$M$153,0)),"")</f>
        <v/>
      </c>
      <c r="E102" s="35" t="str">
        <f>IFERROR(INDEX($K$4:$K$153,MATCH(ROWS($B$4:B102),$M$4:$M$153,0)),"")</f>
        <v/>
      </c>
      <c r="H102" t="str">
        <f>T(JAN!B104)</f>
        <v/>
      </c>
      <c r="I102" t="str">
        <f>IF($H102="","",SUM(JAN:DEZ!C104))</f>
        <v/>
      </c>
      <c r="J102" t="str">
        <f>IF($H102="","",SUM(JAN:DEZ!E104))</f>
        <v/>
      </c>
      <c r="K102" t="str">
        <f t="shared" si="3"/>
        <v/>
      </c>
      <c r="M102" t="str">
        <f>IF(AND($H102&lt;&gt;"",N($K102)&gt;0),COUNT($M$3:M101)+1,"")</f>
        <v/>
      </c>
    </row>
    <row r="103" spans="1:13" x14ac:dyDescent="0.25">
      <c r="A103" s="35" t="str">
        <f>IF($B103="","",ROWS($B$4:B103))</f>
        <v/>
      </c>
      <c r="B103" s="36" t="str">
        <f>IFERROR(INDEX($H$4:$H$153,MATCH(ROWS($B$4:B103),$M$4:$M$153,0)),"")</f>
        <v/>
      </c>
      <c r="C103" s="35" t="str">
        <f>IFERROR(INDEX($I$4:$I$153,MATCH(ROWS($B$4:B103),$M$4:$M$153,0)),"")</f>
        <v/>
      </c>
      <c r="D103" s="35" t="str">
        <f>IFERROR(INDEX($J$4:$J$153,MATCH(ROWS($B$4:B103),$M$4:$M$153,0)),"")</f>
        <v/>
      </c>
      <c r="E103" s="35" t="str">
        <f>IFERROR(INDEX($K$4:$K$153,MATCH(ROWS($B$4:B103),$M$4:$M$153,0)),"")</f>
        <v/>
      </c>
      <c r="H103" t="str">
        <f>T(JAN!B105)</f>
        <v/>
      </c>
      <c r="I103" t="str">
        <f>IF($H103="","",SUM(JAN:DEZ!C105))</f>
        <v/>
      </c>
      <c r="J103" t="str">
        <f>IF($H103="","",SUM(JAN:DEZ!E105))</f>
        <v/>
      </c>
      <c r="K103" t="str">
        <f t="shared" si="3"/>
        <v/>
      </c>
      <c r="M103" t="str">
        <f>IF(AND($H103&lt;&gt;"",N($K103)&gt;0),COUNT($M$3:M102)+1,"")</f>
        <v/>
      </c>
    </row>
    <row r="104" spans="1:13" x14ac:dyDescent="0.25">
      <c r="A104" s="35" t="str">
        <f>IF($B104="","",ROWS($B$4:B104))</f>
        <v/>
      </c>
      <c r="B104" s="36" t="str">
        <f>IFERROR(INDEX($H$4:$H$153,MATCH(ROWS($B$4:B104),$M$4:$M$153,0)),"")</f>
        <v/>
      </c>
      <c r="C104" s="35" t="str">
        <f>IFERROR(INDEX($I$4:$I$153,MATCH(ROWS($B$4:B104),$M$4:$M$153,0)),"")</f>
        <v/>
      </c>
      <c r="D104" s="35" t="str">
        <f>IFERROR(INDEX($J$4:$J$153,MATCH(ROWS($B$4:B104),$M$4:$M$153,0)),"")</f>
        <v/>
      </c>
      <c r="E104" s="35" t="str">
        <f>IFERROR(INDEX($K$4:$K$153,MATCH(ROWS($B$4:B104),$M$4:$M$153,0)),"")</f>
        <v/>
      </c>
      <c r="H104" t="str">
        <f>T(JAN!B106)</f>
        <v/>
      </c>
      <c r="I104" t="str">
        <f>IF($H104="","",SUM(JAN:DEZ!C106))</f>
        <v/>
      </c>
      <c r="J104" t="str">
        <f>IF($H104="","",SUM(JAN:DEZ!E106))</f>
        <v/>
      </c>
      <c r="K104" t="str">
        <f t="shared" si="3"/>
        <v/>
      </c>
      <c r="M104" t="str">
        <f>IF(AND($H104&lt;&gt;"",N($K104)&gt;0),COUNT($M$3:M103)+1,"")</f>
        <v/>
      </c>
    </row>
    <row r="105" spans="1:13" x14ac:dyDescent="0.25">
      <c r="A105" s="35" t="str">
        <f>IF($B105="","",ROWS($B$4:B105))</f>
        <v/>
      </c>
      <c r="B105" s="36" t="str">
        <f>IFERROR(INDEX($H$4:$H$153,MATCH(ROWS($B$4:B105),$M$4:$M$153,0)),"")</f>
        <v/>
      </c>
      <c r="C105" s="35" t="str">
        <f>IFERROR(INDEX($I$4:$I$153,MATCH(ROWS($B$4:B105),$M$4:$M$153,0)),"")</f>
        <v/>
      </c>
      <c r="D105" s="35" t="str">
        <f>IFERROR(INDEX($J$4:$J$153,MATCH(ROWS($B$4:B105),$M$4:$M$153,0)),"")</f>
        <v/>
      </c>
      <c r="E105" s="35" t="str">
        <f>IFERROR(INDEX($K$4:$K$153,MATCH(ROWS($B$4:B105),$M$4:$M$153,0)),"")</f>
        <v/>
      </c>
      <c r="H105" t="str">
        <f>T(JAN!B107)</f>
        <v/>
      </c>
      <c r="I105" t="str">
        <f>IF($H105="","",SUM(JAN:DEZ!C107))</f>
        <v/>
      </c>
      <c r="J105" t="str">
        <f>IF($H105="","",SUM(JAN:DEZ!E107))</f>
        <v/>
      </c>
      <c r="K105" t="str">
        <f t="shared" si="3"/>
        <v/>
      </c>
      <c r="M105" t="str">
        <f>IF(AND($H105&lt;&gt;"",N($K105)&gt;0),COUNT($M$3:M104)+1,"")</f>
        <v/>
      </c>
    </row>
    <row r="106" spans="1:13" x14ac:dyDescent="0.25">
      <c r="A106" s="35" t="str">
        <f>IF($B106="","",ROWS($B$4:B106))</f>
        <v/>
      </c>
      <c r="B106" s="36" t="str">
        <f>IFERROR(INDEX($H$4:$H$153,MATCH(ROWS($B$4:B106),$M$4:$M$153,0)),"")</f>
        <v/>
      </c>
      <c r="C106" s="35" t="str">
        <f>IFERROR(INDEX($I$4:$I$153,MATCH(ROWS($B$4:B106),$M$4:$M$153,0)),"")</f>
        <v/>
      </c>
      <c r="D106" s="35" t="str">
        <f>IFERROR(INDEX($J$4:$J$153,MATCH(ROWS($B$4:B106),$M$4:$M$153,0)),"")</f>
        <v/>
      </c>
      <c r="E106" s="35" t="str">
        <f>IFERROR(INDEX($K$4:$K$153,MATCH(ROWS($B$4:B106),$M$4:$M$153,0)),"")</f>
        <v/>
      </c>
      <c r="H106" t="str">
        <f>T(JAN!B108)</f>
        <v/>
      </c>
      <c r="I106" t="str">
        <f>IF($H106="","",SUM(JAN:DEZ!C108))</f>
        <v/>
      </c>
      <c r="J106" t="str">
        <f>IF($H106="","",SUM(JAN:DEZ!E108))</f>
        <v/>
      </c>
      <c r="K106" t="str">
        <f t="shared" si="3"/>
        <v/>
      </c>
      <c r="M106" t="str">
        <f>IF(AND($H106&lt;&gt;"",N($K106)&gt;0),COUNT($M$3:M105)+1,"")</f>
        <v/>
      </c>
    </row>
    <row r="107" spans="1:13" x14ac:dyDescent="0.25">
      <c r="A107" s="35" t="str">
        <f>IF($B107="","",ROWS($B$4:B107))</f>
        <v/>
      </c>
      <c r="B107" s="36" t="str">
        <f>IFERROR(INDEX($H$4:$H$153,MATCH(ROWS($B$4:B107),$M$4:$M$153,0)),"")</f>
        <v/>
      </c>
      <c r="C107" s="35" t="str">
        <f>IFERROR(INDEX($I$4:$I$153,MATCH(ROWS($B$4:B107),$M$4:$M$153,0)),"")</f>
        <v/>
      </c>
      <c r="D107" s="35" t="str">
        <f>IFERROR(INDEX($J$4:$J$153,MATCH(ROWS($B$4:B107),$M$4:$M$153,0)),"")</f>
        <v/>
      </c>
      <c r="E107" s="35" t="str">
        <f>IFERROR(INDEX($K$4:$K$153,MATCH(ROWS($B$4:B107),$M$4:$M$153,0)),"")</f>
        <v/>
      </c>
      <c r="H107" t="str">
        <f>T(JAN!B109)</f>
        <v/>
      </c>
      <c r="I107" t="str">
        <f>IF($H107="","",SUM(JAN:DEZ!C109))</f>
        <v/>
      </c>
      <c r="J107" t="str">
        <f>IF($H107="","",SUM(JAN:DEZ!E109))</f>
        <v/>
      </c>
      <c r="K107" t="str">
        <f t="shared" si="3"/>
        <v/>
      </c>
      <c r="M107" t="str">
        <f>IF(AND($H107&lt;&gt;"",N($K107)&gt;0),COUNT($M$3:M106)+1,"")</f>
        <v/>
      </c>
    </row>
    <row r="108" spans="1:13" x14ac:dyDescent="0.25">
      <c r="A108" s="35" t="str">
        <f>IF($B108="","",ROWS($B$4:B108))</f>
        <v/>
      </c>
      <c r="B108" s="36" t="str">
        <f>IFERROR(INDEX($H$4:$H$153,MATCH(ROWS($B$4:B108),$M$4:$M$153,0)),"")</f>
        <v/>
      </c>
      <c r="C108" s="35" t="str">
        <f>IFERROR(INDEX($I$4:$I$153,MATCH(ROWS($B$4:B108),$M$4:$M$153,0)),"")</f>
        <v/>
      </c>
      <c r="D108" s="35" t="str">
        <f>IFERROR(INDEX($J$4:$J$153,MATCH(ROWS($B$4:B108),$M$4:$M$153,0)),"")</f>
        <v/>
      </c>
      <c r="E108" s="35" t="str">
        <f>IFERROR(INDEX($K$4:$K$153,MATCH(ROWS($B$4:B108),$M$4:$M$153,0)),"")</f>
        <v/>
      </c>
      <c r="H108" t="str">
        <f>T(JAN!B110)</f>
        <v/>
      </c>
      <c r="I108" t="str">
        <f>IF($H108="","",SUM(JAN:DEZ!C110))</f>
        <v/>
      </c>
      <c r="J108" t="str">
        <f>IF($H108="","",SUM(JAN:DEZ!E110))</f>
        <v/>
      </c>
      <c r="K108" t="str">
        <f t="shared" si="3"/>
        <v/>
      </c>
      <c r="M108" t="str">
        <f>IF(AND($H108&lt;&gt;"",N($K108)&gt;0),COUNT($M$3:M107)+1,"")</f>
        <v/>
      </c>
    </row>
    <row r="109" spans="1:13" x14ac:dyDescent="0.25">
      <c r="A109" s="35" t="str">
        <f>IF($B109="","",ROWS($B$4:B109))</f>
        <v/>
      </c>
      <c r="B109" s="36" t="str">
        <f>IFERROR(INDEX($H$4:$H$153,MATCH(ROWS($B$4:B109),$M$4:$M$153,0)),"")</f>
        <v/>
      </c>
      <c r="C109" s="35" t="str">
        <f>IFERROR(INDEX($I$4:$I$153,MATCH(ROWS($B$4:B109),$M$4:$M$153,0)),"")</f>
        <v/>
      </c>
      <c r="D109" s="35" t="str">
        <f>IFERROR(INDEX($J$4:$J$153,MATCH(ROWS($B$4:B109),$M$4:$M$153,0)),"")</f>
        <v/>
      </c>
      <c r="E109" s="35" t="str">
        <f>IFERROR(INDEX($K$4:$K$153,MATCH(ROWS($B$4:B109),$M$4:$M$153,0)),"")</f>
        <v/>
      </c>
      <c r="H109" t="str">
        <f>T(JAN!B111)</f>
        <v/>
      </c>
      <c r="I109" t="str">
        <f>IF($H109="","",SUM(JAN:DEZ!C111))</f>
        <v/>
      </c>
      <c r="J109" t="str">
        <f>IF($H109="","",SUM(JAN:DEZ!E111))</f>
        <v/>
      </c>
      <c r="K109" t="str">
        <f t="shared" si="3"/>
        <v/>
      </c>
      <c r="M109" t="str">
        <f>IF(AND($H109&lt;&gt;"",N($K109)&gt;0),COUNT($M$3:M108)+1,"")</f>
        <v/>
      </c>
    </row>
    <row r="110" spans="1:13" x14ac:dyDescent="0.25">
      <c r="A110" s="35" t="str">
        <f>IF($B110="","",ROWS($B$4:B110))</f>
        <v/>
      </c>
      <c r="B110" s="36" t="str">
        <f>IFERROR(INDEX($H$4:$H$153,MATCH(ROWS($B$4:B110),$M$4:$M$153,0)),"")</f>
        <v/>
      </c>
      <c r="C110" s="35" t="str">
        <f>IFERROR(INDEX($I$4:$I$153,MATCH(ROWS($B$4:B110),$M$4:$M$153,0)),"")</f>
        <v/>
      </c>
      <c r="D110" s="35" t="str">
        <f>IFERROR(INDEX($J$4:$J$153,MATCH(ROWS($B$4:B110),$M$4:$M$153,0)),"")</f>
        <v/>
      </c>
      <c r="E110" s="35" t="str">
        <f>IFERROR(INDEX($K$4:$K$153,MATCH(ROWS($B$4:B110),$M$4:$M$153,0)),"")</f>
        <v/>
      </c>
      <c r="H110" t="str">
        <f>T(JAN!B112)</f>
        <v/>
      </c>
      <c r="I110" t="str">
        <f>IF($H110="","",SUM(JAN:DEZ!C112))</f>
        <v/>
      </c>
      <c r="J110" t="str">
        <f>IF($H110="","",SUM(JAN:DEZ!E112))</f>
        <v/>
      </c>
      <c r="K110" t="str">
        <f t="shared" si="3"/>
        <v/>
      </c>
      <c r="M110" t="str">
        <f>IF(AND($H110&lt;&gt;"",N($K110)&gt;0),COUNT($M$3:M109)+1,"")</f>
        <v/>
      </c>
    </row>
    <row r="111" spans="1:13" x14ac:dyDescent="0.25">
      <c r="A111" s="35" t="str">
        <f>IF($B111="","",ROWS($B$4:B111))</f>
        <v/>
      </c>
      <c r="B111" s="36" t="str">
        <f>IFERROR(INDEX($H$4:$H$153,MATCH(ROWS($B$4:B111),$M$4:$M$153,0)),"")</f>
        <v/>
      </c>
      <c r="C111" s="35" t="str">
        <f>IFERROR(INDEX($I$4:$I$153,MATCH(ROWS($B$4:B111),$M$4:$M$153,0)),"")</f>
        <v/>
      </c>
      <c r="D111" s="35" t="str">
        <f>IFERROR(INDEX($J$4:$J$153,MATCH(ROWS($B$4:B111),$M$4:$M$153,0)),"")</f>
        <v/>
      </c>
      <c r="E111" s="35" t="str">
        <f>IFERROR(INDEX($K$4:$K$153,MATCH(ROWS($B$4:B111),$M$4:$M$153,0)),"")</f>
        <v/>
      </c>
      <c r="H111" t="str">
        <f>T(JAN!B113)</f>
        <v/>
      </c>
      <c r="I111" t="str">
        <f>IF($H111="","",SUM(JAN:DEZ!C113))</f>
        <v/>
      </c>
      <c r="J111" t="str">
        <f>IF($H111="","",SUM(JAN:DEZ!E113))</f>
        <v/>
      </c>
      <c r="K111" t="str">
        <f t="shared" si="3"/>
        <v/>
      </c>
      <c r="M111" t="str">
        <f>IF(AND($H111&lt;&gt;"",N($K111)&gt;0),COUNT($M$3:M110)+1,"")</f>
        <v/>
      </c>
    </row>
    <row r="112" spans="1:13" x14ac:dyDescent="0.25">
      <c r="A112" s="35" t="str">
        <f>IF($B112="","",ROWS($B$4:B112))</f>
        <v/>
      </c>
      <c r="B112" s="36" t="str">
        <f>IFERROR(INDEX($H$4:$H$153,MATCH(ROWS($B$4:B112),$M$4:$M$153,0)),"")</f>
        <v/>
      </c>
      <c r="C112" s="35" t="str">
        <f>IFERROR(INDEX($I$4:$I$153,MATCH(ROWS($B$4:B112),$M$4:$M$153,0)),"")</f>
        <v/>
      </c>
      <c r="D112" s="35" t="str">
        <f>IFERROR(INDEX($J$4:$J$153,MATCH(ROWS($B$4:B112),$M$4:$M$153,0)),"")</f>
        <v/>
      </c>
      <c r="E112" s="35" t="str">
        <f>IFERROR(INDEX($K$4:$K$153,MATCH(ROWS($B$4:B112),$M$4:$M$153,0)),"")</f>
        <v/>
      </c>
      <c r="H112" t="str">
        <f>T(JAN!B114)</f>
        <v/>
      </c>
      <c r="I112" t="str">
        <f>IF($H112="","",SUM(JAN:DEZ!C114))</f>
        <v/>
      </c>
      <c r="J112" t="str">
        <f>IF($H112="","",SUM(JAN:DEZ!E114))</f>
        <v/>
      </c>
      <c r="K112" t="str">
        <f t="shared" si="3"/>
        <v/>
      </c>
      <c r="M112" t="str">
        <f>IF(AND($H112&lt;&gt;"",N($K112)&gt;0),COUNT($M$3:M111)+1,"")</f>
        <v/>
      </c>
    </row>
    <row r="113" spans="1:13" x14ac:dyDescent="0.25">
      <c r="A113" s="35" t="str">
        <f>IF($B113="","",ROWS($B$4:B113))</f>
        <v/>
      </c>
      <c r="B113" s="36" t="str">
        <f>IFERROR(INDEX($H$4:$H$153,MATCH(ROWS($B$4:B113),$M$4:$M$153,0)),"")</f>
        <v/>
      </c>
      <c r="C113" s="35" t="str">
        <f>IFERROR(INDEX($I$4:$I$153,MATCH(ROWS($B$4:B113),$M$4:$M$153,0)),"")</f>
        <v/>
      </c>
      <c r="D113" s="35" t="str">
        <f>IFERROR(INDEX($J$4:$J$153,MATCH(ROWS($B$4:B113),$M$4:$M$153,0)),"")</f>
        <v/>
      </c>
      <c r="E113" s="35" t="str">
        <f>IFERROR(INDEX($K$4:$K$153,MATCH(ROWS($B$4:B113),$M$4:$M$153,0)),"")</f>
        <v/>
      </c>
      <c r="H113" t="str">
        <f>T(JAN!B115)</f>
        <v/>
      </c>
      <c r="I113" t="str">
        <f>IF($H113="","",SUM(JAN:DEZ!C115))</f>
        <v/>
      </c>
      <c r="J113" t="str">
        <f>IF($H113="","",SUM(JAN:DEZ!E115))</f>
        <v/>
      </c>
      <c r="K113" t="str">
        <f t="shared" si="3"/>
        <v/>
      </c>
      <c r="M113" t="str">
        <f>IF(AND($H113&lt;&gt;"",N($K113)&gt;0),COUNT($M$3:M112)+1,"")</f>
        <v/>
      </c>
    </row>
    <row r="114" spans="1:13" x14ac:dyDescent="0.25">
      <c r="A114" s="35" t="str">
        <f>IF($B114="","",ROWS($B$4:B114))</f>
        <v/>
      </c>
      <c r="B114" s="36" t="str">
        <f>IFERROR(INDEX($H$4:$H$153,MATCH(ROWS($B$4:B114),$M$4:$M$153,0)),"")</f>
        <v/>
      </c>
      <c r="C114" s="35" t="str">
        <f>IFERROR(INDEX($I$4:$I$153,MATCH(ROWS($B$4:B114),$M$4:$M$153,0)),"")</f>
        <v/>
      </c>
      <c r="D114" s="35" t="str">
        <f>IFERROR(INDEX($J$4:$J$153,MATCH(ROWS($B$4:B114),$M$4:$M$153,0)),"")</f>
        <v/>
      </c>
      <c r="E114" s="35" t="str">
        <f>IFERROR(INDEX($K$4:$K$153,MATCH(ROWS($B$4:B114),$M$4:$M$153,0)),"")</f>
        <v/>
      </c>
      <c r="H114" t="str">
        <f>T(JAN!B116)</f>
        <v/>
      </c>
      <c r="I114" t="str">
        <f>IF($H114="","",SUM(JAN:DEZ!C116))</f>
        <v/>
      </c>
      <c r="J114" t="str">
        <f>IF($H114="","",SUM(JAN:DEZ!E116))</f>
        <v/>
      </c>
      <c r="K114" t="str">
        <f t="shared" si="3"/>
        <v/>
      </c>
      <c r="M114" t="str">
        <f>IF(AND($H114&lt;&gt;"",N($K114)&gt;0),COUNT($M$3:M113)+1,"")</f>
        <v/>
      </c>
    </row>
    <row r="115" spans="1:13" x14ac:dyDescent="0.25">
      <c r="A115" s="35" t="str">
        <f>IF($B115="","",ROWS($B$4:B115))</f>
        <v/>
      </c>
      <c r="B115" s="36" t="str">
        <f>IFERROR(INDEX($H$4:$H$153,MATCH(ROWS($B$4:B115),$M$4:$M$153,0)),"")</f>
        <v/>
      </c>
      <c r="C115" s="35" t="str">
        <f>IFERROR(INDEX($I$4:$I$153,MATCH(ROWS($B$4:B115),$M$4:$M$153,0)),"")</f>
        <v/>
      </c>
      <c r="D115" s="35" t="str">
        <f>IFERROR(INDEX($J$4:$J$153,MATCH(ROWS($B$4:B115),$M$4:$M$153,0)),"")</f>
        <v/>
      </c>
      <c r="E115" s="35" t="str">
        <f>IFERROR(INDEX($K$4:$K$153,MATCH(ROWS($B$4:B115),$M$4:$M$153,0)),"")</f>
        <v/>
      </c>
      <c r="H115" t="str">
        <f>T(JAN!B117)</f>
        <v/>
      </c>
      <c r="I115" t="str">
        <f>IF($H115="","",SUM(JAN:DEZ!C117))</f>
        <v/>
      </c>
      <c r="J115" t="str">
        <f>IF($H115="","",SUM(JAN:DEZ!E117))</f>
        <v/>
      </c>
      <c r="K115" t="str">
        <f t="shared" si="3"/>
        <v/>
      </c>
      <c r="M115" t="str">
        <f>IF(AND($H115&lt;&gt;"",N($K115)&gt;0),COUNT($M$3:M114)+1,"")</f>
        <v/>
      </c>
    </row>
    <row r="116" spans="1:13" x14ac:dyDescent="0.25">
      <c r="A116" s="35" t="str">
        <f>IF($B116="","",ROWS($B$4:B116))</f>
        <v/>
      </c>
      <c r="B116" s="36" t="str">
        <f>IFERROR(INDEX($H$4:$H$153,MATCH(ROWS($B$4:B116),$M$4:$M$153,0)),"")</f>
        <v/>
      </c>
      <c r="C116" s="35" t="str">
        <f>IFERROR(INDEX($I$4:$I$153,MATCH(ROWS($B$4:B116),$M$4:$M$153,0)),"")</f>
        <v/>
      </c>
      <c r="D116" s="35" t="str">
        <f>IFERROR(INDEX($J$4:$J$153,MATCH(ROWS($B$4:B116),$M$4:$M$153,0)),"")</f>
        <v/>
      </c>
      <c r="E116" s="35" t="str">
        <f>IFERROR(INDEX($K$4:$K$153,MATCH(ROWS($B$4:B116),$M$4:$M$153,0)),"")</f>
        <v/>
      </c>
      <c r="H116" t="str">
        <f>T(JAN!B118)</f>
        <v/>
      </c>
      <c r="I116" t="str">
        <f>IF($H116="","",SUM(JAN:DEZ!C118))</f>
        <v/>
      </c>
      <c r="J116" t="str">
        <f>IF($H116="","",SUM(JAN:DEZ!E118))</f>
        <v/>
      </c>
      <c r="K116" t="str">
        <f t="shared" si="3"/>
        <v/>
      </c>
      <c r="M116" t="str">
        <f>IF(AND($H116&lt;&gt;"",N($K116)&gt;0),COUNT($M$3:M115)+1,"")</f>
        <v/>
      </c>
    </row>
    <row r="117" spans="1:13" x14ac:dyDescent="0.25">
      <c r="A117" s="35" t="str">
        <f>IF($B117="","",ROWS($B$4:B117))</f>
        <v/>
      </c>
      <c r="B117" s="36" t="str">
        <f>IFERROR(INDEX($H$4:$H$153,MATCH(ROWS($B$4:B117),$M$4:$M$153,0)),"")</f>
        <v/>
      </c>
      <c r="C117" s="35" t="str">
        <f>IFERROR(INDEX($I$4:$I$153,MATCH(ROWS($B$4:B117),$M$4:$M$153,0)),"")</f>
        <v/>
      </c>
      <c r="D117" s="35" t="str">
        <f>IFERROR(INDEX($J$4:$J$153,MATCH(ROWS($B$4:B117),$M$4:$M$153,0)),"")</f>
        <v/>
      </c>
      <c r="E117" s="35" t="str">
        <f>IFERROR(INDEX($K$4:$K$153,MATCH(ROWS($B$4:B117),$M$4:$M$153,0)),"")</f>
        <v/>
      </c>
      <c r="H117" t="str">
        <f>T(JAN!B119)</f>
        <v/>
      </c>
      <c r="I117" t="str">
        <f>IF($H117="","",SUM(JAN:DEZ!C119))</f>
        <v/>
      </c>
      <c r="J117" t="str">
        <f>IF($H117="","",SUM(JAN:DEZ!E119))</f>
        <v/>
      </c>
      <c r="K117" t="str">
        <f t="shared" si="3"/>
        <v/>
      </c>
      <c r="M117" t="str">
        <f>IF(AND($H117&lt;&gt;"",N($K117)&gt;0),COUNT($M$3:M116)+1,"")</f>
        <v/>
      </c>
    </row>
    <row r="118" spans="1:13" x14ac:dyDescent="0.25">
      <c r="A118" s="35" t="str">
        <f>IF($B118="","",ROWS($B$4:B118))</f>
        <v/>
      </c>
      <c r="B118" s="36" t="str">
        <f>IFERROR(INDEX($H$4:$H$153,MATCH(ROWS($B$4:B118),$M$4:$M$153,0)),"")</f>
        <v/>
      </c>
      <c r="C118" s="35" t="str">
        <f>IFERROR(INDEX($I$4:$I$153,MATCH(ROWS($B$4:B118),$M$4:$M$153,0)),"")</f>
        <v/>
      </c>
      <c r="D118" s="35" t="str">
        <f>IFERROR(INDEX($J$4:$J$153,MATCH(ROWS($B$4:B118),$M$4:$M$153,0)),"")</f>
        <v/>
      </c>
      <c r="E118" s="35" t="str">
        <f>IFERROR(INDEX($K$4:$K$153,MATCH(ROWS($B$4:B118),$M$4:$M$153,0)),"")</f>
        <v/>
      </c>
      <c r="H118" t="str">
        <f>T(JAN!B120)</f>
        <v/>
      </c>
      <c r="I118" t="str">
        <f>IF($H118="","",SUM(JAN:DEZ!C120))</f>
        <v/>
      </c>
      <c r="J118" t="str">
        <f>IF($H118="","",SUM(JAN:DEZ!E120))</f>
        <v/>
      </c>
      <c r="K118" t="str">
        <f t="shared" si="3"/>
        <v/>
      </c>
      <c r="M118" t="str">
        <f>IF(AND($H118&lt;&gt;"",N($K118)&gt;0),COUNT($M$3:M117)+1,"")</f>
        <v/>
      </c>
    </row>
    <row r="119" spans="1:13" x14ac:dyDescent="0.25">
      <c r="A119" s="35" t="str">
        <f>IF($B119="","",ROWS($B$4:B119))</f>
        <v/>
      </c>
      <c r="B119" s="36" t="str">
        <f>IFERROR(INDEX($H$4:$H$153,MATCH(ROWS($B$4:B119),$M$4:$M$153,0)),"")</f>
        <v/>
      </c>
      <c r="C119" s="35" t="str">
        <f>IFERROR(INDEX($I$4:$I$153,MATCH(ROWS($B$4:B119),$M$4:$M$153,0)),"")</f>
        <v/>
      </c>
      <c r="D119" s="35" t="str">
        <f>IFERROR(INDEX($J$4:$J$153,MATCH(ROWS($B$4:B119),$M$4:$M$153,0)),"")</f>
        <v/>
      </c>
      <c r="E119" s="35" t="str">
        <f>IFERROR(INDEX($K$4:$K$153,MATCH(ROWS($B$4:B119),$M$4:$M$153,0)),"")</f>
        <v/>
      </c>
      <c r="H119" t="str">
        <f>T(JAN!B121)</f>
        <v/>
      </c>
      <c r="I119" t="str">
        <f>IF($H119="","",SUM(JAN:DEZ!C121))</f>
        <v/>
      </c>
      <c r="J119" t="str">
        <f>IF($H119="","",SUM(JAN:DEZ!E121))</f>
        <v/>
      </c>
      <c r="K119" t="str">
        <f t="shared" si="3"/>
        <v/>
      </c>
      <c r="M119" t="str">
        <f>IF(AND($H119&lt;&gt;"",N($K119)&gt;0),COUNT($M$3:M118)+1,"")</f>
        <v/>
      </c>
    </row>
    <row r="120" spans="1:13" x14ac:dyDescent="0.25">
      <c r="A120" s="35" t="str">
        <f>IF($B120="","",ROWS($B$4:B120))</f>
        <v/>
      </c>
      <c r="B120" s="36" t="str">
        <f>IFERROR(INDEX($H$4:$H$153,MATCH(ROWS($B$4:B120),$M$4:$M$153,0)),"")</f>
        <v/>
      </c>
      <c r="C120" s="35" t="str">
        <f>IFERROR(INDEX($I$4:$I$153,MATCH(ROWS($B$4:B120),$M$4:$M$153,0)),"")</f>
        <v/>
      </c>
      <c r="D120" s="35" t="str">
        <f>IFERROR(INDEX($J$4:$J$153,MATCH(ROWS($B$4:B120),$M$4:$M$153,0)),"")</f>
        <v/>
      </c>
      <c r="E120" s="35" t="str">
        <f>IFERROR(INDEX($K$4:$K$153,MATCH(ROWS($B$4:B120),$M$4:$M$153,0)),"")</f>
        <v/>
      </c>
      <c r="H120" t="str">
        <f>T(JAN!B122)</f>
        <v/>
      </c>
      <c r="I120" t="str">
        <f>IF($H120="","",SUM(JAN:DEZ!C122))</f>
        <v/>
      </c>
      <c r="J120" t="str">
        <f>IF($H120="","",SUM(JAN:DEZ!E122))</f>
        <v/>
      </c>
      <c r="K120" t="str">
        <f t="shared" si="3"/>
        <v/>
      </c>
      <c r="M120" t="str">
        <f>IF(AND($H120&lt;&gt;"",N($K120)&gt;0),COUNT($M$3:M119)+1,"")</f>
        <v/>
      </c>
    </row>
    <row r="121" spans="1:13" x14ac:dyDescent="0.25">
      <c r="A121" s="35" t="str">
        <f>IF($B121="","",ROWS($B$4:B121))</f>
        <v/>
      </c>
      <c r="B121" s="36" t="str">
        <f>IFERROR(INDEX($H$4:$H$153,MATCH(ROWS($B$4:B121),$M$4:$M$153,0)),"")</f>
        <v/>
      </c>
      <c r="C121" s="35" t="str">
        <f>IFERROR(INDEX($I$4:$I$153,MATCH(ROWS($B$4:B121),$M$4:$M$153,0)),"")</f>
        <v/>
      </c>
      <c r="D121" s="35" t="str">
        <f>IFERROR(INDEX($J$4:$J$153,MATCH(ROWS($B$4:B121),$M$4:$M$153,0)),"")</f>
        <v/>
      </c>
      <c r="E121" s="35" t="str">
        <f>IFERROR(INDEX($K$4:$K$153,MATCH(ROWS($B$4:B121),$M$4:$M$153,0)),"")</f>
        <v/>
      </c>
      <c r="H121" t="str">
        <f>T(JAN!B123)</f>
        <v/>
      </c>
      <c r="I121" t="str">
        <f>IF($H121="","",SUM(JAN:DEZ!C123))</f>
        <v/>
      </c>
      <c r="J121" t="str">
        <f>IF($H121="","",SUM(JAN:DEZ!E123))</f>
        <v/>
      </c>
      <c r="K121" t="str">
        <f t="shared" si="3"/>
        <v/>
      </c>
      <c r="M121" t="str">
        <f>IF(AND($H121&lt;&gt;"",N($K121)&gt;0),COUNT($M$3:M120)+1,"")</f>
        <v/>
      </c>
    </row>
    <row r="122" spans="1:13" x14ac:dyDescent="0.25">
      <c r="A122" s="35" t="str">
        <f>IF($B122="","",ROWS($B$4:B122))</f>
        <v/>
      </c>
      <c r="B122" s="36" t="str">
        <f>IFERROR(INDEX($H$4:$H$153,MATCH(ROWS($B$4:B122),$M$4:$M$153,0)),"")</f>
        <v/>
      </c>
      <c r="C122" s="35" t="str">
        <f>IFERROR(INDEX($I$4:$I$153,MATCH(ROWS($B$4:B122),$M$4:$M$153,0)),"")</f>
        <v/>
      </c>
      <c r="D122" s="35" t="str">
        <f>IFERROR(INDEX($J$4:$J$153,MATCH(ROWS($B$4:B122),$M$4:$M$153,0)),"")</f>
        <v/>
      </c>
      <c r="E122" s="35" t="str">
        <f>IFERROR(INDEX($K$4:$K$153,MATCH(ROWS($B$4:B122),$M$4:$M$153,0)),"")</f>
        <v/>
      </c>
      <c r="H122" t="str">
        <f>T(JAN!B124)</f>
        <v/>
      </c>
      <c r="I122" t="str">
        <f>IF($H122="","",SUM(JAN:DEZ!C124))</f>
        <v/>
      </c>
      <c r="J122" t="str">
        <f>IF($H122="","",SUM(JAN:DEZ!E124))</f>
        <v/>
      </c>
      <c r="K122" t="str">
        <f t="shared" si="3"/>
        <v/>
      </c>
      <c r="M122" t="str">
        <f>IF(AND($H122&lt;&gt;"",N($K122)&gt;0),COUNT($M$3:M121)+1,"")</f>
        <v/>
      </c>
    </row>
    <row r="123" spans="1:13" x14ac:dyDescent="0.25">
      <c r="A123" s="35" t="str">
        <f>IF($B123="","",ROWS($B$4:B123))</f>
        <v/>
      </c>
      <c r="B123" s="36" t="str">
        <f>IFERROR(INDEX($H$4:$H$153,MATCH(ROWS($B$4:B123),$M$4:$M$153,0)),"")</f>
        <v/>
      </c>
      <c r="C123" s="35" t="str">
        <f>IFERROR(INDEX($I$4:$I$153,MATCH(ROWS($B$4:B123),$M$4:$M$153,0)),"")</f>
        <v/>
      </c>
      <c r="D123" s="35" t="str">
        <f>IFERROR(INDEX($J$4:$J$153,MATCH(ROWS($B$4:B123),$M$4:$M$153,0)),"")</f>
        <v/>
      </c>
      <c r="E123" s="35" t="str">
        <f>IFERROR(INDEX($K$4:$K$153,MATCH(ROWS($B$4:B123),$M$4:$M$153,0)),"")</f>
        <v/>
      </c>
      <c r="H123" t="str">
        <f>T(JAN!B125)</f>
        <v/>
      </c>
      <c r="I123" t="str">
        <f>IF($H123="","",SUM(JAN:DEZ!C125))</f>
        <v/>
      </c>
      <c r="J123" t="str">
        <f>IF($H123="","",SUM(JAN:DEZ!E125))</f>
        <v/>
      </c>
      <c r="K123" t="str">
        <f t="shared" si="3"/>
        <v/>
      </c>
      <c r="M123" t="str">
        <f>IF(AND($H123&lt;&gt;"",N($K123)&gt;0),COUNT($M$3:M122)+1,"")</f>
        <v/>
      </c>
    </row>
    <row r="124" spans="1:13" x14ac:dyDescent="0.25">
      <c r="A124" s="35" t="str">
        <f>IF($B124="","",ROWS($B$4:B124))</f>
        <v/>
      </c>
      <c r="B124" s="36" t="str">
        <f>IFERROR(INDEX($H$4:$H$153,MATCH(ROWS($B$4:B124),$M$4:$M$153,0)),"")</f>
        <v/>
      </c>
      <c r="C124" s="35" t="str">
        <f>IFERROR(INDEX($I$4:$I$153,MATCH(ROWS($B$4:B124),$M$4:$M$153,0)),"")</f>
        <v/>
      </c>
      <c r="D124" s="35" t="str">
        <f>IFERROR(INDEX($J$4:$J$153,MATCH(ROWS($B$4:B124),$M$4:$M$153,0)),"")</f>
        <v/>
      </c>
      <c r="E124" s="35" t="str">
        <f>IFERROR(INDEX($K$4:$K$153,MATCH(ROWS($B$4:B124),$M$4:$M$153,0)),"")</f>
        <v/>
      </c>
      <c r="H124" t="str">
        <f>T(JAN!B126)</f>
        <v/>
      </c>
      <c r="I124" t="str">
        <f>IF($H124="","",SUM(JAN:DEZ!C126))</f>
        <v/>
      </c>
      <c r="J124" t="str">
        <f>IF($H124="","",SUM(JAN:DEZ!E126))</f>
        <v/>
      </c>
      <c r="K124" t="str">
        <f t="shared" si="3"/>
        <v/>
      </c>
      <c r="M124" t="str">
        <f>IF(AND($H124&lt;&gt;"",N($K124)&gt;0),COUNT($M$3:M123)+1,"")</f>
        <v/>
      </c>
    </row>
    <row r="125" spans="1:13" x14ac:dyDescent="0.25">
      <c r="A125" s="35" t="str">
        <f>IF($B125="","",ROWS($B$4:B125))</f>
        <v/>
      </c>
      <c r="B125" s="36" t="str">
        <f>IFERROR(INDEX($H$4:$H$153,MATCH(ROWS($B$4:B125),$M$4:$M$153,0)),"")</f>
        <v/>
      </c>
      <c r="C125" s="35" t="str">
        <f>IFERROR(INDEX($I$4:$I$153,MATCH(ROWS($B$4:B125),$M$4:$M$153,0)),"")</f>
        <v/>
      </c>
      <c r="D125" s="35" t="str">
        <f>IFERROR(INDEX($J$4:$J$153,MATCH(ROWS($B$4:B125),$M$4:$M$153,0)),"")</f>
        <v/>
      </c>
      <c r="E125" s="35" t="str">
        <f>IFERROR(INDEX($K$4:$K$153,MATCH(ROWS($B$4:B125),$M$4:$M$153,0)),"")</f>
        <v/>
      </c>
      <c r="H125" t="str">
        <f>T(JAN!B127)</f>
        <v/>
      </c>
      <c r="I125" t="str">
        <f>IF($H125="","",SUM(JAN:DEZ!C127))</f>
        <v/>
      </c>
      <c r="J125" t="str">
        <f>IF($H125="","",SUM(JAN:DEZ!E127))</f>
        <v/>
      </c>
      <c r="K125" t="str">
        <f t="shared" si="3"/>
        <v/>
      </c>
      <c r="M125" t="str">
        <f>IF(AND($H125&lt;&gt;"",N($K125)&gt;0),COUNT($M$3:M124)+1,"")</f>
        <v/>
      </c>
    </row>
    <row r="126" spans="1:13" x14ac:dyDescent="0.25">
      <c r="A126" s="35" t="str">
        <f>IF($B126="","",ROWS($B$4:B126))</f>
        <v/>
      </c>
      <c r="B126" s="36" t="str">
        <f>IFERROR(INDEX($H$4:$H$153,MATCH(ROWS($B$4:B126),$M$4:$M$153,0)),"")</f>
        <v/>
      </c>
      <c r="C126" s="35" t="str">
        <f>IFERROR(INDEX($I$4:$I$153,MATCH(ROWS($B$4:B126),$M$4:$M$153,0)),"")</f>
        <v/>
      </c>
      <c r="D126" s="35" t="str">
        <f>IFERROR(INDEX($J$4:$J$153,MATCH(ROWS($B$4:B126),$M$4:$M$153,0)),"")</f>
        <v/>
      </c>
      <c r="E126" s="35" t="str">
        <f>IFERROR(INDEX($K$4:$K$153,MATCH(ROWS($B$4:B126),$M$4:$M$153,0)),"")</f>
        <v/>
      </c>
      <c r="H126" t="str">
        <f>T(JAN!B128)</f>
        <v/>
      </c>
      <c r="I126" t="str">
        <f>IF($H126="","",SUM(JAN:DEZ!C128))</f>
        <v/>
      </c>
      <c r="J126" t="str">
        <f>IF($H126="","",SUM(JAN:DEZ!E128))</f>
        <v/>
      </c>
      <c r="K126" t="str">
        <f t="shared" si="3"/>
        <v/>
      </c>
      <c r="M126" t="str">
        <f>IF(AND($H126&lt;&gt;"",N($K126)&gt;0),COUNT($M$3:M125)+1,"")</f>
        <v/>
      </c>
    </row>
    <row r="127" spans="1:13" x14ac:dyDescent="0.25">
      <c r="A127" s="35" t="str">
        <f>IF($B127="","",ROWS($B$4:B127))</f>
        <v/>
      </c>
      <c r="B127" s="36" t="str">
        <f>IFERROR(INDEX($H$4:$H$153,MATCH(ROWS($B$4:B127),$M$4:$M$153,0)),"")</f>
        <v/>
      </c>
      <c r="C127" s="35" t="str">
        <f>IFERROR(INDEX($I$4:$I$153,MATCH(ROWS($B$4:B127),$M$4:$M$153,0)),"")</f>
        <v/>
      </c>
      <c r="D127" s="35" t="str">
        <f>IFERROR(INDEX($J$4:$J$153,MATCH(ROWS($B$4:B127),$M$4:$M$153,0)),"")</f>
        <v/>
      </c>
      <c r="E127" s="35" t="str">
        <f>IFERROR(INDEX($K$4:$K$153,MATCH(ROWS($B$4:B127),$M$4:$M$153,0)),"")</f>
        <v/>
      </c>
      <c r="H127" t="str">
        <f>T(JAN!B129)</f>
        <v/>
      </c>
      <c r="I127" t="str">
        <f>IF($H127="","",SUM(JAN:DEZ!C129))</f>
        <v/>
      </c>
      <c r="J127" t="str">
        <f>IF($H127="","",SUM(JAN:DEZ!E129))</f>
        <v/>
      </c>
      <c r="K127" t="str">
        <f t="shared" si="3"/>
        <v/>
      </c>
      <c r="M127" t="str">
        <f>IF(AND($H127&lt;&gt;"",N($K127)&gt;0),COUNT($M$3:M126)+1,"")</f>
        <v/>
      </c>
    </row>
    <row r="128" spans="1:13" x14ac:dyDescent="0.25">
      <c r="A128" s="35" t="str">
        <f>IF($B128="","",ROWS($B$4:B128))</f>
        <v/>
      </c>
      <c r="B128" s="36" t="str">
        <f>IFERROR(INDEX($H$4:$H$153,MATCH(ROWS($B$4:B128),$M$4:$M$153,0)),"")</f>
        <v/>
      </c>
      <c r="C128" s="35" t="str">
        <f>IFERROR(INDEX($I$4:$I$153,MATCH(ROWS($B$4:B128),$M$4:$M$153,0)),"")</f>
        <v/>
      </c>
      <c r="D128" s="35" t="str">
        <f>IFERROR(INDEX($J$4:$J$153,MATCH(ROWS($B$4:B128),$M$4:$M$153,0)),"")</f>
        <v/>
      </c>
      <c r="E128" s="35" t="str">
        <f>IFERROR(INDEX($K$4:$K$153,MATCH(ROWS($B$4:B128),$M$4:$M$153,0)),"")</f>
        <v/>
      </c>
      <c r="H128" t="str">
        <f>T(JAN!B130)</f>
        <v/>
      </c>
      <c r="I128" t="str">
        <f>IF($H128="","",SUM(JAN:DEZ!C130))</f>
        <v/>
      </c>
      <c r="J128" t="str">
        <f>IF($H128="","",SUM(JAN:DEZ!E130))</f>
        <v/>
      </c>
      <c r="K128" t="str">
        <f t="shared" si="3"/>
        <v/>
      </c>
      <c r="M128" t="str">
        <f>IF(AND($H128&lt;&gt;"",N($K128)&gt;0),COUNT($M$3:M127)+1,"")</f>
        <v/>
      </c>
    </row>
    <row r="129" spans="1:13" x14ac:dyDescent="0.25">
      <c r="A129" s="35" t="str">
        <f>IF($B129="","",ROWS($B$4:B129))</f>
        <v/>
      </c>
      <c r="B129" s="36" t="str">
        <f>IFERROR(INDEX($H$4:$H$153,MATCH(ROWS($B$4:B129),$M$4:$M$153,0)),"")</f>
        <v/>
      </c>
      <c r="C129" s="35" t="str">
        <f>IFERROR(INDEX($I$4:$I$153,MATCH(ROWS($B$4:B129),$M$4:$M$153,0)),"")</f>
        <v/>
      </c>
      <c r="D129" s="35" t="str">
        <f>IFERROR(INDEX($J$4:$J$153,MATCH(ROWS($B$4:B129),$M$4:$M$153,0)),"")</f>
        <v/>
      </c>
      <c r="E129" s="35" t="str">
        <f>IFERROR(INDEX($K$4:$K$153,MATCH(ROWS($B$4:B129),$M$4:$M$153,0)),"")</f>
        <v/>
      </c>
      <c r="H129" t="str">
        <f>T(JAN!B131)</f>
        <v/>
      </c>
      <c r="I129" t="str">
        <f>IF($H129="","",SUM(JAN:DEZ!C131))</f>
        <v/>
      </c>
      <c r="J129" t="str">
        <f>IF($H129="","",SUM(JAN:DEZ!E131))</f>
        <v/>
      </c>
      <c r="K129" t="str">
        <f t="shared" si="3"/>
        <v/>
      </c>
      <c r="M129" t="str">
        <f>IF(AND($H129&lt;&gt;"",N($K129)&gt;0),COUNT($M$3:M128)+1,"")</f>
        <v/>
      </c>
    </row>
    <row r="130" spans="1:13" x14ac:dyDescent="0.25">
      <c r="A130" s="35" t="str">
        <f>IF($B130="","",ROWS($B$4:B130))</f>
        <v/>
      </c>
      <c r="B130" s="36" t="str">
        <f>IFERROR(INDEX($H$4:$H$153,MATCH(ROWS($B$4:B130),$M$4:$M$153,0)),"")</f>
        <v/>
      </c>
      <c r="C130" s="35" t="str">
        <f>IFERROR(INDEX($I$4:$I$153,MATCH(ROWS($B$4:B130),$M$4:$M$153,0)),"")</f>
        <v/>
      </c>
      <c r="D130" s="35" t="str">
        <f>IFERROR(INDEX($J$4:$J$153,MATCH(ROWS($B$4:B130),$M$4:$M$153,0)),"")</f>
        <v/>
      </c>
      <c r="E130" s="35" t="str">
        <f>IFERROR(INDEX($K$4:$K$153,MATCH(ROWS($B$4:B130),$M$4:$M$153,0)),"")</f>
        <v/>
      </c>
      <c r="H130" t="str">
        <f>T(JAN!B132)</f>
        <v/>
      </c>
      <c r="I130" t="str">
        <f>IF($H130="","",SUM(JAN:DEZ!C132))</f>
        <v/>
      </c>
      <c r="J130" t="str">
        <f>IF($H130="","",SUM(JAN:DEZ!E132))</f>
        <v/>
      </c>
      <c r="K130" t="str">
        <f t="shared" si="3"/>
        <v/>
      </c>
      <c r="M130" t="str">
        <f>IF(AND($H130&lt;&gt;"",N($K130)&gt;0),COUNT($M$3:M129)+1,"")</f>
        <v/>
      </c>
    </row>
    <row r="131" spans="1:13" x14ac:dyDescent="0.25">
      <c r="A131" s="35" t="str">
        <f>IF($B131="","",ROWS($B$4:B131))</f>
        <v/>
      </c>
      <c r="B131" s="36" t="str">
        <f>IFERROR(INDEX($H$4:$H$153,MATCH(ROWS($B$4:B131),$M$4:$M$153,0)),"")</f>
        <v/>
      </c>
      <c r="C131" s="35" t="str">
        <f>IFERROR(INDEX($I$4:$I$153,MATCH(ROWS($B$4:B131),$M$4:$M$153,0)),"")</f>
        <v/>
      </c>
      <c r="D131" s="35" t="str">
        <f>IFERROR(INDEX($J$4:$J$153,MATCH(ROWS($B$4:B131),$M$4:$M$153,0)),"")</f>
        <v/>
      </c>
      <c r="E131" s="35" t="str">
        <f>IFERROR(INDEX($K$4:$K$153,MATCH(ROWS($B$4:B131),$M$4:$M$153,0)),"")</f>
        <v/>
      </c>
      <c r="H131" t="str">
        <f>T(JAN!B133)</f>
        <v/>
      </c>
      <c r="I131" t="str">
        <f>IF($H131="","",SUM(JAN:DEZ!C133))</f>
        <v/>
      </c>
      <c r="J131" t="str">
        <f>IF($H131="","",SUM(JAN:DEZ!E133))</f>
        <v/>
      </c>
      <c r="K131" t="str">
        <f t="shared" si="3"/>
        <v/>
      </c>
      <c r="M131" t="str">
        <f>IF(AND($H131&lt;&gt;"",N($K131)&gt;0),COUNT($M$3:M130)+1,"")</f>
        <v/>
      </c>
    </row>
    <row r="132" spans="1:13" x14ac:dyDescent="0.25">
      <c r="A132" s="35" t="str">
        <f>IF($B132="","",ROWS($B$4:B132))</f>
        <v/>
      </c>
      <c r="B132" s="36" t="str">
        <f>IFERROR(INDEX($H$4:$H$153,MATCH(ROWS($B$4:B132),$M$4:$M$153,0)),"")</f>
        <v/>
      </c>
      <c r="C132" s="35" t="str">
        <f>IFERROR(INDEX($I$4:$I$153,MATCH(ROWS($B$4:B132),$M$4:$M$153,0)),"")</f>
        <v/>
      </c>
      <c r="D132" s="35" t="str">
        <f>IFERROR(INDEX($J$4:$J$153,MATCH(ROWS($B$4:B132),$M$4:$M$153,0)),"")</f>
        <v/>
      </c>
      <c r="E132" s="35" t="str">
        <f>IFERROR(INDEX($K$4:$K$153,MATCH(ROWS($B$4:B132),$M$4:$M$153,0)),"")</f>
        <v/>
      </c>
      <c r="H132" t="str">
        <f>T(JAN!B134)</f>
        <v/>
      </c>
      <c r="I132" t="str">
        <f>IF($H132="","",SUM(JAN:DEZ!C134))</f>
        <v/>
      </c>
      <c r="J132" t="str">
        <f>IF($H132="","",SUM(JAN:DEZ!E134))</f>
        <v/>
      </c>
      <c r="K132" t="str">
        <f t="shared" ref="K132:K153" si="4">IF($H132="","",I132-J132)</f>
        <v/>
      </c>
      <c r="M132" t="str">
        <f>IF(AND($H132&lt;&gt;"",N($K132)&gt;0),COUNT($M$3:M131)+1,"")</f>
        <v/>
      </c>
    </row>
    <row r="133" spans="1:13" x14ac:dyDescent="0.25">
      <c r="A133" s="35" t="str">
        <f>IF($B133="","",ROWS($B$4:B133))</f>
        <v/>
      </c>
      <c r="B133" s="36" t="str">
        <f>IFERROR(INDEX($H$4:$H$153,MATCH(ROWS($B$4:B133),$M$4:$M$153,0)),"")</f>
        <v/>
      </c>
      <c r="C133" s="35" t="str">
        <f>IFERROR(INDEX($I$4:$I$153,MATCH(ROWS($B$4:B133),$M$4:$M$153,0)),"")</f>
        <v/>
      </c>
      <c r="D133" s="35" t="str">
        <f>IFERROR(INDEX($J$4:$J$153,MATCH(ROWS($B$4:B133),$M$4:$M$153,0)),"")</f>
        <v/>
      </c>
      <c r="E133" s="35" t="str">
        <f>IFERROR(INDEX($K$4:$K$153,MATCH(ROWS($B$4:B133),$M$4:$M$153,0)),"")</f>
        <v/>
      </c>
      <c r="H133" t="str">
        <f>T(JAN!B135)</f>
        <v/>
      </c>
      <c r="I133" t="str">
        <f>IF($H133="","",SUM(JAN:DEZ!C135))</f>
        <v/>
      </c>
      <c r="J133" t="str">
        <f>IF($H133="","",SUM(JAN:DEZ!E135))</f>
        <v/>
      </c>
      <c r="K133" t="str">
        <f t="shared" si="4"/>
        <v/>
      </c>
      <c r="M133" t="str">
        <f>IF(AND($H133&lt;&gt;"",N($K133)&gt;0),COUNT($M$3:M132)+1,"")</f>
        <v/>
      </c>
    </row>
    <row r="134" spans="1:13" x14ac:dyDescent="0.25">
      <c r="A134" s="35" t="str">
        <f>IF($B134="","",ROWS($B$4:B134))</f>
        <v/>
      </c>
      <c r="B134" s="36" t="str">
        <f>IFERROR(INDEX($H$4:$H$153,MATCH(ROWS($B$4:B134),$M$4:$M$153,0)),"")</f>
        <v/>
      </c>
      <c r="C134" s="35" t="str">
        <f>IFERROR(INDEX($I$4:$I$153,MATCH(ROWS($B$4:B134),$M$4:$M$153,0)),"")</f>
        <v/>
      </c>
      <c r="D134" s="35" t="str">
        <f>IFERROR(INDEX($J$4:$J$153,MATCH(ROWS($B$4:B134),$M$4:$M$153,0)),"")</f>
        <v/>
      </c>
      <c r="E134" s="35" t="str">
        <f>IFERROR(INDEX($K$4:$K$153,MATCH(ROWS($B$4:B134),$M$4:$M$153,0)),"")</f>
        <v/>
      </c>
      <c r="H134" t="str">
        <f>T(JAN!B136)</f>
        <v/>
      </c>
      <c r="I134" t="str">
        <f>IF($H134="","",SUM(JAN:DEZ!C136))</f>
        <v/>
      </c>
      <c r="J134" t="str">
        <f>IF($H134="","",SUM(JAN:DEZ!E136))</f>
        <v/>
      </c>
      <c r="K134" t="str">
        <f t="shared" si="4"/>
        <v/>
      </c>
      <c r="M134" t="str">
        <f>IF(AND($H134&lt;&gt;"",N($K134)&gt;0),COUNT($M$3:M133)+1,"")</f>
        <v/>
      </c>
    </row>
    <row r="135" spans="1:13" x14ac:dyDescent="0.25">
      <c r="A135" s="35" t="str">
        <f>IF($B135="","",ROWS($B$4:B135))</f>
        <v/>
      </c>
      <c r="B135" s="36" t="str">
        <f>IFERROR(INDEX($H$4:$H$153,MATCH(ROWS($B$4:B135),$M$4:$M$153,0)),"")</f>
        <v/>
      </c>
      <c r="C135" s="35" t="str">
        <f>IFERROR(INDEX($I$4:$I$153,MATCH(ROWS($B$4:B135),$M$4:$M$153,0)),"")</f>
        <v/>
      </c>
      <c r="D135" s="35" t="str">
        <f>IFERROR(INDEX($J$4:$J$153,MATCH(ROWS($B$4:B135),$M$4:$M$153,0)),"")</f>
        <v/>
      </c>
      <c r="E135" s="35" t="str">
        <f>IFERROR(INDEX($K$4:$K$153,MATCH(ROWS($B$4:B135),$M$4:$M$153,0)),"")</f>
        <v/>
      </c>
      <c r="H135" t="str">
        <f>T(JAN!B137)</f>
        <v/>
      </c>
      <c r="I135" t="str">
        <f>IF($H135="","",SUM(JAN:DEZ!C137))</f>
        <v/>
      </c>
      <c r="J135" t="str">
        <f>IF($H135="","",SUM(JAN:DEZ!E137))</f>
        <v/>
      </c>
      <c r="K135" t="str">
        <f t="shared" si="4"/>
        <v/>
      </c>
      <c r="M135" t="str">
        <f>IF(AND($H135&lt;&gt;"",N($K135)&gt;0),COUNT($M$3:M134)+1,"")</f>
        <v/>
      </c>
    </row>
    <row r="136" spans="1:13" x14ac:dyDescent="0.25">
      <c r="A136" s="35" t="str">
        <f>IF($B136="","",ROWS($B$4:B136))</f>
        <v/>
      </c>
      <c r="B136" s="36" t="str">
        <f>IFERROR(INDEX($H$4:$H$153,MATCH(ROWS($B$4:B136),$M$4:$M$153,0)),"")</f>
        <v/>
      </c>
      <c r="C136" s="35" t="str">
        <f>IFERROR(INDEX($I$4:$I$153,MATCH(ROWS($B$4:B136),$M$4:$M$153,0)),"")</f>
        <v/>
      </c>
      <c r="D136" s="35" t="str">
        <f>IFERROR(INDEX($J$4:$J$153,MATCH(ROWS($B$4:B136),$M$4:$M$153,0)),"")</f>
        <v/>
      </c>
      <c r="E136" s="35" t="str">
        <f>IFERROR(INDEX($K$4:$K$153,MATCH(ROWS($B$4:B136),$M$4:$M$153,0)),"")</f>
        <v/>
      </c>
      <c r="H136" t="str">
        <f>T(JAN!B138)</f>
        <v/>
      </c>
      <c r="I136" t="str">
        <f>IF($H136="","",SUM(JAN:DEZ!C138))</f>
        <v/>
      </c>
      <c r="J136" t="str">
        <f>IF($H136="","",SUM(JAN:DEZ!E138))</f>
        <v/>
      </c>
      <c r="K136" t="str">
        <f t="shared" si="4"/>
        <v/>
      </c>
      <c r="M136" t="str">
        <f>IF(AND($H136&lt;&gt;"",N($K136)&gt;0),COUNT($M$3:M135)+1,"")</f>
        <v/>
      </c>
    </row>
    <row r="137" spans="1:13" x14ac:dyDescent="0.25">
      <c r="A137" s="35" t="str">
        <f>IF($B137="","",ROWS($B$4:B137))</f>
        <v/>
      </c>
      <c r="B137" s="36" t="str">
        <f>IFERROR(INDEX($H$4:$H$153,MATCH(ROWS($B$4:B137),$M$4:$M$153,0)),"")</f>
        <v/>
      </c>
      <c r="C137" s="35" t="str">
        <f>IFERROR(INDEX($I$4:$I$153,MATCH(ROWS($B$4:B137),$M$4:$M$153,0)),"")</f>
        <v/>
      </c>
      <c r="D137" s="35" t="str">
        <f>IFERROR(INDEX($J$4:$J$153,MATCH(ROWS($B$4:B137),$M$4:$M$153,0)),"")</f>
        <v/>
      </c>
      <c r="E137" s="35" t="str">
        <f>IFERROR(INDEX($K$4:$K$153,MATCH(ROWS($B$4:B137),$M$4:$M$153,0)),"")</f>
        <v/>
      </c>
      <c r="H137" t="str">
        <f>T(JAN!B139)</f>
        <v/>
      </c>
      <c r="I137" t="str">
        <f>IF($H137="","",SUM(JAN:DEZ!C139))</f>
        <v/>
      </c>
      <c r="J137" t="str">
        <f>IF($H137="","",SUM(JAN:DEZ!E139))</f>
        <v/>
      </c>
      <c r="K137" t="str">
        <f t="shared" si="4"/>
        <v/>
      </c>
      <c r="M137" t="str">
        <f>IF(AND($H137&lt;&gt;"",N($K137)&gt;0),COUNT($M$3:M136)+1,"")</f>
        <v/>
      </c>
    </row>
    <row r="138" spans="1:13" x14ac:dyDescent="0.25">
      <c r="A138" s="35" t="str">
        <f>IF($B138="","",ROWS($B$4:B138))</f>
        <v/>
      </c>
      <c r="B138" s="36" t="str">
        <f>IFERROR(INDEX($H$4:$H$153,MATCH(ROWS($B$4:B138),$M$4:$M$153,0)),"")</f>
        <v/>
      </c>
      <c r="C138" s="35" t="str">
        <f>IFERROR(INDEX($I$4:$I$153,MATCH(ROWS($B$4:B138),$M$4:$M$153,0)),"")</f>
        <v/>
      </c>
      <c r="D138" s="35" t="str">
        <f>IFERROR(INDEX($J$4:$J$153,MATCH(ROWS($B$4:B138),$M$4:$M$153,0)),"")</f>
        <v/>
      </c>
      <c r="E138" s="35" t="str">
        <f>IFERROR(INDEX($K$4:$K$153,MATCH(ROWS($B$4:B138),$M$4:$M$153,0)),"")</f>
        <v/>
      </c>
      <c r="H138" t="str">
        <f>T(JAN!B140)</f>
        <v/>
      </c>
      <c r="I138" t="str">
        <f>IF($H138="","",SUM(JAN:DEZ!C140))</f>
        <v/>
      </c>
      <c r="J138" t="str">
        <f>IF($H138="","",SUM(JAN:DEZ!E140))</f>
        <v/>
      </c>
      <c r="K138" t="str">
        <f t="shared" si="4"/>
        <v/>
      </c>
      <c r="M138" t="str">
        <f>IF(AND($H138&lt;&gt;"",N($K138)&gt;0),COUNT($M$3:M137)+1,"")</f>
        <v/>
      </c>
    </row>
    <row r="139" spans="1:13" x14ac:dyDescent="0.25">
      <c r="A139" s="35" t="str">
        <f>IF($B139="","",ROWS($B$4:B139))</f>
        <v/>
      </c>
      <c r="B139" s="36" t="str">
        <f>IFERROR(INDEX($H$4:$H$153,MATCH(ROWS($B$4:B139),$M$4:$M$153,0)),"")</f>
        <v/>
      </c>
      <c r="C139" s="35" t="str">
        <f>IFERROR(INDEX($I$4:$I$153,MATCH(ROWS($B$4:B139),$M$4:$M$153,0)),"")</f>
        <v/>
      </c>
      <c r="D139" s="35" t="str">
        <f>IFERROR(INDEX($J$4:$J$153,MATCH(ROWS($B$4:B139),$M$4:$M$153,0)),"")</f>
        <v/>
      </c>
      <c r="E139" s="35" t="str">
        <f>IFERROR(INDEX($K$4:$K$153,MATCH(ROWS($B$4:B139),$M$4:$M$153,0)),"")</f>
        <v/>
      </c>
      <c r="H139" t="str">
        <f>T(JAN!B141)</f>
        <v/>
      </c>
      <c r="I139" t="str">
        <f>IF($H139="","",SUM(JAN:DEZ!C141))</f>
        <v/>
      </c>
      <c r="J139" t="str">
        <f>IF($H139="","",SUM(JAN:DEZ!E141))</f>
        <v/>
      </c>
      <c r="K139" t="str">
        <f t="shared" si="4"/>
        <v/>
      </c>
      <c r="M139" t="str">
        <f>IF(AND($H139&lt;&gt;"",N($K139)&gt;0),COUNT($M$3:M138)+1,"")</f>
        <v/>
      </c>
    </row>
    <row r="140" spans="1:13" x14ac:dyDescent="0.25">
      <c r="A140" s="35" t="str">
        <f>IF($B140="","",ROWS($B$4:B140))</f>
        <v/>
      </c>
      <c r="B140" s="36" t="str">
        <f>IFERROR(INDEX($H$4:$H$153,MATCH(ROWS($B$4:B140),$M$4:$M$153,0)),"")</f>
        <v/>
      </c>
      <c r="C140" s="35" t="str">
        <f>IFERROR(INDEX($I$4:$I$153,MATCH(ROWS($B$4:B140),$M$4:$M$153,0)),"")</f>
        <v/>
      </c>
      <c r="D140" s="35" t="str">
        <f>IFERROR(INDEX($J$4:$J$153,MATCH(ROWS($B$4:B140),$M$4:$M$153,0)),"")</f>
        <v/>
      </c>
      <c r="E140" s="35" t="str">
        <f>IFERROR(INDEX($K$4:$K$153,MATCH(ROWS($B$4:B140),$M$4:$M$153,0)),"")</f>
        <v/>
      </c>
      <c r="H140" t="str">
        <f>T(JAN!B142)</f>
        <v/>
      </c>
      <c r="I140" t="str">
        <f>IF($H140="","",SUM(JAN:DEZ!C142))</f>
        <v/>
      </c>
      <c r="J140" t="str">
        <f>IF($H140="","",SUM(JAN:DEZ!E142))</f>
        <v/>
      </c>
      <c r="K140" t="str">
        <f t="shared" si="4"/>
        <v/>
      </c>
      <c r="M140" t="str">
        <f>IF(AND($H140&lt;&gt;"",N($K140)&gt;0),COUNT($M$3:M139)+1,"")</f>
        <v/>
      </c>
    </row>
    <row r="141" spans="1:13" x14ac:dyDescent="0.25">
      <c r="A141" s="35" t="str">
        <f>IF($B141="","",ROWS($B$4:B141))</f>
        <v/>
      </c>
      <c r="B141" s="36" t="str">
        <f>IFERROR(INDEX($H$4:$H$153,MATCH(ROWS($B$4:B141),$M$4:$M$153,0)),"")</f>
        <v/>
      </c>
      <c r="C141" s="35" t="str">
        <f>IFERROR(INDEX($I$4:$I$153,MATCH(ROWS($B$4:B141),$M$4:$M$153,0)),"")</f>
        <v/>
      </c>
      <c r="D141" s="35" t="str">
        <f>IFERROR(INDEX($J$4:$J$153,MATCH(ROWS($B$4:B141),$M$4:$M$153,0)),"")</f>
        <v/>
      </c>
      <c r="E141" s="35" t="str">
        <f>IFERROR(INDEX($K$4:$K$153,MATCH(ROWS($B$4:B141),$M$4:$M$153,0)),"")</f>
        <v/>
      </c>
      <c r="H141" t="str">
        <f>T(JAN!B143)</f>
        <v/>
      </c>
      <c r="I141" t="str">
        <f>IF($H141="","",SUM(JAN:DEZ!C143))</f>
        <v/>
      </c>
      <c r="J141" t="str">
        <f>IF($H141="","",SUM(JAN:DEZ!E143))</f>
        <v/>
      </c>
      <c r="K141" t="str">
        <f t="shared" si="4"/>
        <v/>
      </c>
      <c r="M141" t="str">
        <f>IF(AND($H141&lt;&gt;"",N($K141)&gt;0),COUNT($M$3:M140)+1,"")</f>
        <v/>
      </c>
    </row>
    <row r="142" spans="1:13" x14ac:dyDescent="0.25">
      <c r="A142" s="35" t="str">
        <f>IF($B142="","",ROWS($B$4:B142))</f>
        <v/>
      </c>
      <c r="B142" s="36" t="str">
        <f>IFERROR(INDEX($H$4:$H$153,MATCH(ROWS($B$4:B142),$M$4:$M$153,0)),"")</f>
        <v/>
      </c>
      <c r="C142" s="35" t="str">
        <f>IFERROR(INDEX($I$4:$I$153,MATCH(ROWS($B$4:B142),$M$4:$M$153,0)),"")</f>
        <v/>
      </c>
      <c r="D142" s="35" t="str">
        <f>IFERROR(INDEX($J$4:$J$153,MATCH(ROWS($B$4:B142),$M$4:$M$153,0)),"")</f>
        <v/>
      </c>
      <c r="E142" s="35" t="str">
        <f>IFERROR(INDEX($K$4:$K$153,MATCH(ROWS($B$4:B142),$M$4:$M$153,0)),"")</f>
        <v/>
      </c>
      <c r="H142" t="str">
        <f>T(JAN!B144)</f>
        <v/>
      </c>
      <c r="I142" t="str">
        <f>IF($H142="","",SUM(JAN:DEZ!C144))</f>
        <v/>
      </c>
      <c r="J142" t="str">
        <f>IF($H142="","",SUM(JAN:DEZ!E144))</f>
        <v/>
      </c>
      <c r="K142" t="str">
        <f t="shared" si="4"/>
        <v/>
      </c>
      <c r="M142" t="str">
        <f>IF(AND($H142&lt;&gt;"",N($K142)&gt;0),COUNT($M$3:M141)+1,"")</f>
        <v/>
      </c>
    </row>
    <row r="143" spans="1:13" x14ac:dyDescent="0.25">
      <c r="A143" s="35" t="str">
        <f>IF($B143="","",ROWS($B$4:B143))</f>
        <v/>
      </c>
      <c r="B143" s="36" t="str">
        <f>IFERROR(INDEX($H$4:$H$153,MATCH(ROWS($B$4:B143),$M$4:$M$153,0)),"")</f>
        <v/>
      </c>
      <c r="C143" s="35" t="str">
        <f>IFERROR(INDEX($I$4:$I$153,MATCH(ROWS($B$4:B143),$M$4:$M$153,0)),"")</f>
        <v/>
      </c>
      <c r="D143" s="35" t="str">
        <f>IFERROR(INDEX($J$4:$J$153,MATCH(ROWS($B$4:B143),$M$4:$M$153,0)),"")</f>
        <v/>
      </c>
      <c r="E143" s="35" t="str">
        <f>IFERROR(INDEX($K$4:$K$153,MATCH(ROWS($B$4:B143),$M$4:$M$153,0)),"")</f>
        <v/>
      </c>
      <c r="H143" t="str">
        <f>T(JAN!B145)</f>
        <v/>
      </c>
      <c r="I143" t="str">
        <f>IF($H143="","",SUM(JAN:DEZ!C145))</f>
        <v/>
      </c>
      <c r="J143" t="str">
        <f>IF($H143="","",SUM(JAN:DEZ!E145))</f>
        <v/>
      </c>
      <c r="K143" t="str">
        <f t="shared" si="4"/>
        <v/>
      </c>
      <c r="M143" t="str">
        <f>IF(AND($H143&lt;&gt;"",N($K143)&gt;0),COUNT($M$3:M142)+1,"")</f>
        <v/>
      </c>
    </row>
    <row r="144" spans="1:13" x14ac:dyDescent="0.25">
      <c r="A144" s="35" t="str">
        <f>IF($B144="","",ROWS($B$4:B144))</f>
        <v/>
      </c>
      <c r="B144" s="36" t="str">
        <f>IFERROR(INDEX($H$4:$H$153,MATCH(ROWS($B$4:B144),$M$4:$M$153,0)),"")</f>
        <v/>
      </c>
      <c r="C144" s="35" t="str">
        <f>IFERROR(INDEX($I$4:$I$153,MATCH(ROWS($B$4:B144),$M$4:$M$153,0)),"")</f>
        <v/>
      </c>
      <c r="D144" s="35" t="str">
        <f>IFERROR(INDEX($J$4:$J$153,MATCH(ROWS($B$4:B144),$M$4:$M$153,0)),"")</f>
        <v/>
      </c>
      <c r="E144" s="35" t="str">
        <f>IFERROR(INDEX($K$4:$K$153,MATCH(ROWS($B$4:B144),$M$4:$M$153,0)),"")</f>
        <v/>
      </c>
      <c r="H144" t="str">
        <f>T(JAN!B146)</f>
        <v/>
      </c>
      <c r="I144" t="str">
        <f>IF($H144="","",SUM(JAN:DEZ!C146))</f>
        <v/>
      </c>
      <c r="J144" t="str">
        <f>IF($H144="","",SUM(JAN:DEZ!E146))</f>
        <v/>
      </c>
      <c r="K144" t="str">
        <f t="shared" si="4"/>
        <v/>
      </c>
      <c r="M144" t="str">
        <f>IF(AND($H144&lt;&gt;"",N($K144)&gt;0),COUNT($M$3:M143)+1,"")</f>
        <v/>
      </c>
    </row>
    <row r="145" spans="1:13" x14ac:dyDescent="0.25">
      <c r="A145" s="35" t="str">
        <f>IF($B145="","",ROWS($B$4:B145))</f>
        <v/>
      </c>
      <c r="B145" s="36" t="str">
        <f>IFERROR(INDEX($H$4:$H$153,MATCH(ROWS($B$4:B145),$M$4:$M$153,0)),"")</f>
        <v/>
      </c>
      <c r="C145" s="35" t="str">
        <f>IFERROR(INDEX($I$4:$I$153,MATCH(ROWS($B$4:B145),$M$4:$M$153,0)),"")</f>
        <v/>
      </c>
      <c r="D145" s="35" t="str">
        <f>IFERROR(INDEX($J$4:$J$153,MATCH(ROWS($B$4:B145),$M$4:$M$153,0)),"")</f>
        <v/>
      </c>
      <c r="E145" s="35" t="str">
        <f>IFERROR(INDEX($K$4:$K$153,MATCH(ROWS($B$4:B145),$M$4:$M$153,0)),"")</f>
        <v/>
      </c>
      <c r="H145" t="str">
        <f>T(JAN!B147)</f>
        <v/>
      </c>
      <c r="I145" t="str">
        <f>IF($H145="","",SUM(JAN:DEZ!C147))</f>
        <v/>
      </c>
      <c r="J145" t="str">
        <f>IF($H145="","",SUM(JAN:DEZ!E147))</f>
        <v/>
      </c>
      <c r="K145" t="str">
        <f t="shared" si="4"/>
        <v/>
      </c>
      <c r="M145" t="str">
        <f>IF(AND($H145&lt;&gt;"",N($K145)&gt;0),COUNT($M$3:M144)+1,"")</f>
        <v/>
      </c>
    </row>
    <row r="146" spans="1:13" x14ac:dyDescent="0.25">
      <c r="A146" s="35" t="str">
        <f>IF($B146="","",ROWS($B$4:B146))</f>
        <v/>
      </c>
      <c r="B146" s="36" t="str">
        <f>IFERROR(INDEX($H$4:$H$153,MATCH(ROWS($B$4:B146),$M$4:$M$153,0)),"")</f>
        <v/>
      </c>
      <c r="C146" s="35" t="str">
        <f>IFERROR(INDEX($I$4:$I$153,MATCH(ROWS($B$4:B146),$M$4:$M$153,0)),"")</f>
        <v/>
      </c>
      <c r="D146" s="35" t="str">
        <f>IFERROR(INDEX($J$4:$J$153,MATCH(ROWS($B$4:B146),$M$4:$M$153,0)),"")</f>
        <v/>
      </c>
      <c r="E146" s="35" t="str">
        <f>IFERROR(INDEX($K$4:$K$153,MATCH(ROWS($B$4:B146),$M$4:$M$153,0)),"")</f>
        <v/>
      </c>
      <c r="H146" t="str">
        <f>T(JAN!B148)</f>
        <v/>
      </c>
      <c r="I146" t="str">
        <f>IF($H146="","",SUM(JAN:DEZ!C148))</f>
        <v/>
      </c>
      <c r="J146" t="str">
        <f>IF($H146="","",SUM(JAN:DEZ!E148))</f>
        <v/>
      </c>
      <c r="K146" t="str">
        <f t="shared" si="4"/>
        <v/>
      </c>
      <c r="M146" t="str">
        <f>IF(AND($H146&lt;&gt;"",N($K146)&gt;0),COUNT($M$3:M145)+1,"")</f>
        <v/>
      </c>
    </row>
    <row r="147" spans="1:13" x14ac:dyDescent="0.25">
      <c r="A147" s="35" t="str">
        <f>IF($B147="","",ROWS($B$4:B147))</f>
        <v/>
      </c>
      <c r="B147" s="36" t="str">
        <f>IFERROR(INDEX($H$4:$H$153,MATCH(ROWS($B$4:B147),$M$4:$M$153,0)),"")</f>
        <v/>
      </c>
      <c r="C147" s="35" t="str">
        <f>IFERROR(INDEX($I$4:$I$153,MATCH(ROWS($B$4:B147),$M$4:$M$153,0)),"")</f>
        <v/>
      </c>
      <c r="D147" s="35" t="str">
        <f>IFERROR(INDEX($J$4:$J$153,MATCH(ROWS($B$4:B147),$M$4:$M$153,0)),"")</f>
        <v/>
      </c>
      <c r="E147" s="35" t="str">
        <f>IFERROR(INDEX($K$4:$K$153,MATCH(ROWS($B$4:B147),$M$4:$M$153,0)),"")</f>
        <v/>
      </c>
      <c r="H147" t="str">
        <f>T(JAN!B149)</f>
        <v/>
      </c>
      <c r="I147" t="str">
        <f>IF($H147="","",SUM(JAN:DEZ!C149))</f>
        <v/>
      </c>
      <c r="J147" t="str">
        <f>IF($H147="","",SUM(JAN:DEZ!E149))</f>
        <v/>
      </c>
      <c r="K147" t="str">
        <f t="shared" si="4"/>
        <v/>
      </c>
      <c r="M147" t="str">
        <f>IF(AND($H147&lt;&gt;"",N($K147)&gt;0),COUNT($M$3:M146)+1,"")</f>
        <v/>
      </c>
    </row>
    <row r="148" spans="1:13" x14ac:dyDescent="0.25">
      <c r="A148" s="35" t="str">
        <f>IF($B148="","",ROWS($B$4:B148))</f>
        <v/>
      </c>
      <c r="B148" s="36" t="str">
        <f>IFERROR(INDEX($H$4:$H$153,MATCH(ROWS($B$4:B148),$M$4:$M$153,0)),"")</f>
        <v/>
      </c>
      <c r="C148" s="35" t="str">
        <f>IFERROR(INDEX($I$4:$I$153,MATCH(ROWS($B$4:B148),$M$4:$M$153,0)),"")</f>
        <v/>
      </c>
      <c r="D148" s="35" t="str">
        <f>IFERROR(INDEX($J$4:$J$153,MATCH(ROWS($B$4:B148),$M$4:$M$153,0)),"")</f>
        <v/>
      </c>
      <c r="E148" s="35" t="str">
        <f>IFERROR(INDEX($K$4:$K$153,MATCH(ROWS($B$4:B148),$M$4:$M$153,0)),"")</f>
        <v/>
      </c>
      <c r="H148" t="str">
        <f>T(JAN!B150)</f>
        <v/>
      </c>
      <c r="I148" t="str">
        <f>IF($H148="","",SUM(JAN:DEZ!C150))</f>
        <v/>
      </c>
      <c r="J148" t="str">
        <f>IF($H148="","",SUM(JAN:DEZ!E150))</f>
        <v/>
      </c>
      <c r="K148" t="str">
        <f t="shared" si="4"/>
        <v/>
      </c>
      <c r="M148" t="str">
        <f>IF(AND($H148&lt;&gt;"",N($K148)&gt;0),COUNT($M$3:M147)+1,"")</f>
        <v/>
      </c>
    </row>
    <row r="149" spans="1:13" x14ac:dyDescent="0.25">
      <c r="A149" s="35" t="str">
        <f>IF($B149="","",ROWS($B$4:B149))</f>
        <v/>
      </c>
      <c r="B149" s="36" t="str">
        <f>IFERROR(INDEX($H$4:$H$153,MATCH(ROWS($B$4:B149),$M$4:$M$153,0)),"")</f>
        <v/>
      </c>
      <c r="C149" s="35" t="str">
        <f>IFERROR(INDEX($I$4:$I$153,MATCH(ROWS($B$4:B149),$M$4:$M$153,0)),"")</f>
        <v/>
      </c>
      <c r="D149" s="35" t="str">
        <f>IFERROR(INDEX($J$4:$J$153,MATCH(ROWS($B$4:B149),$M$4:$M$153,0)),"")</f>
        <v/>
      </c>
      <c r="E149" s="35" t="str">
        <f>IFERROR(INDEX($K$4:$K$153,MATCH(ROWS($B$4:B149),$M$4:$M$153,0)),"")</f>
        <v/>
      </c>
      <c r="H149" t="str">
        <f>T(JAN!B151)</f>
        <v/>
      </c>
      <c r="I149" t="str">
        <f>IF($H149="","",SUM(JAN:DEZ!C151))</f>
        <v/>
      </c>
      <c r="J149" t="str">
        <f>IF($H149="","",SUM(JAN:DEZ!E151))</f>
        <v/>
      </c>
      <c r="K149" t="str">
        <f t="shared" si="4"/>
        <v/>
      </c>
      <c r="M149" t="str">
        <f>IF(AND($H149&lt;&gt;"",N($K149)&gt;0),COUNT($M$3:M148)+1,"")</f>
        <v/>
      </c>
    </row>
    <row r="150" spans="1:13" x14ac:dyDescent="0.25">
      <c r="A150" s="35" t="str">
        <f>IF($B150="","",ROWS($B$4:B150))</f>
        <v/>
      </c>
      <c r="B150" s="36" t="str">
        <f>IFERROR(INDEX($H$4:$H$153,MATCH(ROWS($B$4:B150),$M$4:$M$153,0)),"")</f>
        <v/>
      </c>
      <c r="C150" s="35" t="str">
        <f>IFERROR(INDEX($I$4:$I$153,MATCH(ROWS($B$4:B150),$M$4:$M$153,0)),"")</f>
        <v/>
      </c>
      <c r="D150" s="35" t="str">
        <f>IFERROR(INDEX($J$4:$J$153,MATCH(ROWS($B$4:B150),$M$4:$M$153,0)),"")</f>
        <v/>
      </c>
      <c r="E150" s="35" t="str">
        <f>IFERROR(INDEX($K$4:$K$153,MATCH(ROWS($B$4:B150),$M$4:$M$153,0)),"")</f>
        <v/>
      </c>
      <c r="H150" t="str">
        <f>T(JAN!B152)</f>
        <v/>
      </c>
      <c r="I150" t="str">
        <f>IF($H150="","",SUM(JAN:DEZ!C152))</f>
        <v/>
      </c>
      <c r="J150" t="str">
        <f>IF($H150="","",SUM(JAN:DEZ!E152))</f>
        <v/>
      </c>
      <c r="K150" t="str">
        <f t="shared" si="4"/>
        <v/>
      </c>
      <c r="M150" t="str">
        <f>IF(AND($H150&lt;&gt;"",N($K150)&gt;0),COUNT($M$3:M149)+1,"")</f>
        <v/>
      </c>
    </row>
    <row r="151" spans="1:13" x14ac:dyDescent="0.25">
      <c r="A151" s="35" t="str">
        <f>IF($B151="","",ROWS($B$4:B151))</f>
        <v/>
      </c>
      <c r="B151" s="36" t="str">
        <f>IFERROR(INDEX($H$4:$H$153,MATCH(ROWS($B$4:B151),$M$4:$M$153,0)),"")</f>
        <v/>
      </c>
      <c r="C151" s="35" t="str">
        <f>IFERROR(INDEX($I$4:$I$153,MATCH(ROWS($B$4:B151),$M$4:$M$153,0)),"")</f>
        <v/>
      </c>
      <c r="D151" s="35" t="str">
        <f>IFERROR(INDEX($J$4:$J$153,MATCH(ROWS($B$4:B151),$M$4:$M$153,0)),"")</f>
        <v/>
      </c>
      <c r="E151" s="35" t="str">
        <f>IFERROR(INDEX($K$4:$K$153,MATCH(ROWS($B$4:B151),$M$4:$M$153,0)),"")</f>
        <v/>
      </c>
      <c r="H151" t="str">
        <f>T(JAN!B153)</f>
        <v/>
      </c>
      <c r="I151" t="str">
        <f>IF($H151="","",SUM(JAN:DEZ!C153))</f>
        <v/>
      </c>
      <c r="J151" t="str">
        <f>IF($H151="","",SUM(JAN:DEZ!E153))</f>
        <v/>
      </c>
      <c r="K151" t="str">
        <f t="shared" si="4"/>
        <v/>
      </c>
      <c r="M151" t="str">
        <f>IF(AND($H151&lt;&gt;"",N($K151)&gt;0),COUNT($M$3:M150)+1,"")</f>
        <v/>
      </c>
    </row>
    <row r="152" spans="1:13" x14ac:dyDescent="0.25">
      <c r="A152" s="35" t="str">
        <f>IF($B152="","",ROWS($B$4:B152))</f>
        <v/>
      </c>
      <c r="B152" s="36" t="str">
        <f>IFERROR(INDEX($H$4:$H$153,MATCH(ROWS($B$4:B152),$M$4:$M$153,0)),"")</f>
        <v/>
      </c>
      <c r="C152" s="35" t="str">
        <f>IFERROR(INDEX($I$4:$I$153,MATCH(ROWS($B$4:B152),$M$4:$M$153,0)),"")</f>
        <v/>
      </c>
      <c r="D152" s="35" t="str">
        <f>IFERROR(INDEX($J$4:$J$153,MATCH(ROWS($B$4:B152),$M$4:$M$153,0)),"")</f>
        <v/>
      </c>
      <c r="E152" s="35" t="str">
        <f>IFERROR(INDEX($K$4:$K$153,MATCH(ROWS($B$4:B152),$M$4:$M$153,0)),"")</f>
        <v/>
      </c>
      <c r="H152" t="str">
        <f>T(JAN!B154)</f>
        <v/>
      </c>
      <c r="I152" t="str">
        <f>IF($H152="","",SUM(JAN:DEZ!C154))</f>
        <v/>
      </c>
      <c r="J152" t="str">
        <f>IF($H152="","",SUM(JAN:DEZ!E154))</f>
        <v/>
      </c>
      <c r="K152" t="str">
        <f t="shared" si="4"/>
        <v/>
      </c>
      <c r="M152" t="str">
        <f>IF(AND($H152&lt;&gt;"",N($K152)&gt;0),COUNT($M$3:M151)+1,"")</f>
        <v/>
      </c>
    </row>
    <row r="153" spans="1:13" x14ac:dyDescent="0.25">
      <c r="A153" s="35" t="str">
        <f>IF($B153="","",ROWS($B$4:B153))</f>
        <v/>
      </c>
      <c r="B153" s="36" t="str">
        <f>IFERROR(INDEX($H$4:$H$153,MATCH(ROWS($B$4:B153),$M$4:$M$153,0)),"")</f>
        <v/>
      </c>
      <c r="C153" s="35" t="str">
        <f>IFERROR(INDEX($I$4:$I$153,MATCH(ROWS($B$4:B153),$M$4:$M$153,0)),"")</f>
        <v/>
      </c>
      <c r="D153" s="35" t="str">
        <f>IFERROR(INDEX($J$4:$J$153,MATCH(ROWS($B$4:B153),$M$4:$M$153,0)),"")</f>
        <v/>
      </c>
      <c r="E153" s="35" t="str">
        <f>IFERROR(INDEX($K$4:$K$153,MATCH(ROWS($B$4:B153),$M$4:$M$153,0)),"")</f>
        <v/>
      </c>
      <c r="H153" t="str">
        <f>T(JAN!B155)</f>
        <v/>
      </c>
      <c r="I153" t="str">
        <f>IF($H153="","",SUM(JAN:DEZ!C155))</f>
        <v/>
      </c>
      <c r="J153" t="str">
        <f>IF($H153="","",SUM(JAN:DEZ!E155))</f>
        <v/>
      </c>
      <c r="K153" t="str">
        <f t="shared" si="4"/>
        <v/>
      </c>
      <c r="M153" t="str">
        <f>IF(AND($H153&lt;&gt;"",N($K153)&gt;0),COUNT($M$3:M152)+1,"")</f>
        <v/>
      </c>
    </row>
  </sheetData>
  <pageMargins left="0.75" right="0.75" top="1" bottom="1" header="0.5" footer="0.5"/>
  <headerFooter>
    <oddFooter>&amp;L&amp;"Calibri"&amp;11 &amp;K808080_x000D_#   INTERNAL_x000D_&amp;1#&amp;"Aptos"&amp;11&amp;K808080   INTERNAL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AF153"/>
  <sheetViews>
    <sheetView workbookViewId="0">
      <pane xSplit="1" ySplit="3" topLeftCell="B13" activePane="bottomRight" state="frozen"/>
      <selection pane="topRight"/>
      <selection pane="bottomLeft"/>
      <selection pane="bottomRight" activeCell="N1" sqref="N1"/>
    </sheetView>
  </sheetViews>
  <sheetFormatPr defaultRowHeight="15" x14ac:dyDescent="0.25"/>
  <cols>
    <col min="1" max="1" width="25.140625" customWidth="1"/>
    <col min="2" max="13" width="11" customWidth="1"/>
    <col min="14" max="14" width="9" customWidth="1"/>
    <col min="17" max="30" width="13" hidden="1" customWidth="1"/>
    <col min="32" max="32" width="13" hidden="1" customWidth="1"/>
  </cols>
  <sheetData>
    <row r="1" spans="1:32" ht="17.25" customHeight="1" x14ac:dyDescent="0.3">
      <c r="A1" s="32" t="s">
        <v>133</v>
      </c>
      <c r="N1" s="31" t="str">
        <f>HYPERLINK("#PAINEL!A1","← Voltar ao PAINEL")</f>
        <v>← Voltar ao PAINEL</v>
      </c>
    </row>
    <row r="3" spans="1:32" x14ac:dyDescent="0.25">
      <c r="A3" s="34" t="s">
        <v>27</v>
      </c>
      <c r="B3" s="34" t="s">
        <v>134</v>
      </c>
      <c r="C3" s="34" t="s">
        <v>135</v>
      </c>
      <c r="D3" s="34" t="s">
        <v>136</v>
      </c>
      <c r="E3" s="34" t="s">
        <v>137</v>
      </c>
      <c r="F3" s="34" t="s">
        <v>138</v>
      </c>
      <c r="G3" s="34" t="s">
        <v>139</v>
      </c>
      <c r="H3" s="34" t="s">
        <v>140</v>
      </c>
      <c r="I3" s="34" t="s">
        <v>141</v>
      </c>
      <c r="J3" s="34" t="s">
        <v>6</v>
      </c>
      <c r="K3" s="34" t="s">
        <v>142</v>
      </c>
      <c r="L3" s="34" t="s">
        <v>143</v>
      </c>
      <c r="M3" s="34" t="s">
        <v>144</v>
      </c>
      <c r="N3" s="34" t="s">
        <v>145</v>
      </c>
    </row>
    <row r="4" spans="1:32" x14ac:dyDescent="0.25">
      <c r="A4" s="36" t="str">
        <f>IFERROR(INDEX($Q$4:$Q$153,MATCH(ROWS($A$4:A4),$AF$4:$AF$153,0)),"")</f>
        <v>ROGÉRIO OLIVEIRA 75001</v>
      </c>
      <c r="B4" s="35" t="str">
        <f>IFERROR(INDEX($R$4:$R$153,MATCH(ROWS($A$4:A4),$AF$4:$AF$153,0)),"")</f>
        <v/>
      </c>
      <c r="C4" s="35" t="str">
        <f>IFERROR(INDEX($S$4:$S$153,MATCH(ROWS($A$4:A4),$AF$4:$AF$153,0)),"")</f>
        <v/>
      </c>
      <c r="D4" s="35" t="str">
        <f>IFERROR(INDEX($T$4:$T$153,MATCH(ROWS($A$4:A4),$AF$4:$AF$153,0)),"")</f>
        <v/>
      </c>
      <c r="E4" s="35" t="str">
        <f>IFERROR(INDEX($U$4:$U$153,MATCH(ROWS($A$4:A4),$AF$4:$AF$153,0)),"")</f>
        <v/>
      </c>
      <c r="F4" s="35" t="str">
        <f>IFERROR(INDEX($V$4:$V$153,MATCH(ROWS($A$4:A4),$AF$4:$AF$153,0)),"")</f>
        <v/>
      </c>
      <c r="G4" s="35" t="str">
        <f>IFERROR(INDEX($W$4:$W$153,MATCH(ROWS($A$4:A4),$AF$4:$AF$153,0)),"")</f>
        <v/>
      </c>
      <c r="H4" s="35" t="str">
        <f>IFERROR(INDEX($X$4:$X$153,MATCH(ROWS($A$4:A4),$AF$4:$AF$153,0)),"")</f>
        <v/>
      </c>
      <c r="I4" s="35" t="str">
        <f>IFERROR(INDEX($Y$4:$Y$153,MATCH(ROWS($A$4:A4),$AF$4:$AF$153,0)),"")</f>
        <v>16</v>
      </c>
      <c r="J4" s="35" t="str">
        <f>IFERROR(INDEX($Z$4:$Z$153,MATCH(ROWS($A$4:A4),$AF$4:$AF$153,0)),"")</f>
        <v>27</v>
      </c>
      <c r="K4" s="35" t="str">
        <f>IFERROR(INDEX($AA$4:$AA$153,MATCH(ROWS($A$4:A4),$AF$4:$AF$153,0)),"")</f>
        <v/>
      </c>
      <c r="L4" s="35" t="str">
        <f>IFERROR(INDEX($AB$4:$AB$153,MATCH(ROWS($A$4:A4),$AF$4:$AF$153,0)),"")</f>
        <v/>
      </c>
      <c r="M4" s="35" t="str">
        <f>IFERROR(INDEX($AC$4:$AC$153,MATCH(ROWS($A$4:A4),$AF$4:$AF$153,0)),"")</f>
        <v/>
      </c>
      <c r="N4" s="35">
        <f>IFERROR(INDEX($AD$4:$AD$153,MATCH(ROWS($A$4:A4),$AF$4:$AF$153,0)),"")</f>
        <v>2</v>
      </c>
      <c r="Q4" t="str">
        <f>T(JAN!B6)</f>
        <v>ROGÉRIO OLIVEIRA 75001</v>
      </c>
      <c r="R4" t="str">
        <f t="array" ref="R4">IF($Q4="","",_xlfn.TEXTJOIN(", ",TRUE,IF(JAN!$G6:$AK6="HE",JAN!$G$4:$AK$4,"")))</f>
        <v/>
      </c>
      <c r="S4" t="str">
        <f t="array" ref="S4">IF($Q4="","",_xlfn.TEXTJOIN(", ",TRUE,IF(FEV!$G6:$AK6="HE",FEV!$G$4:$AK$4,"")))</f>
        <v/>
      </c>
      <c r="T4" t="str">
        <f t="array" ref="T4">IF($Q4="","",_xlfn.TEXTJOIN(", ",TRUE,IF(MAR!$G6:$AK6="HE",MAR!$G$4:$AK$4,"")))</f>
        <v/>
      </c>
      <c r="U4" t="str">
        <f t="array" ref="U4">IF($Q4="","",_xlfn.TEXTJOIN(", ",TRUE,IF(ABR!$G6:$AK6="HE",ABR!$G$4:$AK$4,"")))</f>
        <v/>
      </c>
      <c r="V4" t="str">
        <f t="array" ref="V4">IF($Q4="","",_xlfn.TEXTJOIN(", ",TRUE,IF(MAI!$G6:$AK6="HE",MAI!$G$4:$AK$4,"")))</f>
        <v/>
      </c>
      <c r="W4" t="str">
        <f t="array" ref="W4">IF($Q4="","",_xlfn.TEXTJOIN(", ",TRUE,IF(JUN!$G6:$AK6="HE",JUN!$G$4:$AK$4,"")))</f>
        <v/>
      </c>
      <c r="X4" t="str">
        <f t="array" ref="X4">IF($Q4="","",_xlfn.TEXTJOIN(", ",TRUE,IF(JUL!$G6:$AK6="HE",JUL!$G$4:$AK$4,"")))</f>
        <v/>
      </c>
      <c r="Y4" t="str">
        <f t="array" ref="Y4">IF($Q4="","",_xlfn.TEXTJOIN(", ",TRUE,IF(AGO!$G6:$AK6="HE",AGO!$G$4:$AK$4,"")))</f>
        <v>16</v>
      </c>
      <c r="Z4" t="str">
        <f t="array" ref="Z4">IF($Q4="","",_xlfn.TEXTJOIN(", ",TRUE,IF(SET!$G6:$AK6="HE",SET!$G$4:$AK$4,"")))</f>
        <v>27</v>
      </c>
      <c r="AA4" t="str">
        <f t="array" ref="AA4">IF($Q4="","",_xlfn.TEXTJOIN(", ",TRUE,IF(OUT!$G6:$AK6="HE",OUT!$G$4:$AK$4,"")))</f>
        <v/>
      </c>
      <c r="AB4" t="str">
        <f t="array" ref="AB4">IF($Q4="","",_xlfn.TEXTJOIN(", ",TRUE,IF(NOV!$G6:$AK6="HE",NOV!$G$4:$AK$4,"")))</f>
        <v/>
      </c>
      <c r="AC4" t="str">
        <f t="array" ref="AC4">IF($Q4="","",_xlfn.TEXTJOIN(", ",TRUE,IF(DEZ!$G6:$AK6="HE",DEZ!$G$4:$AK$4,"")))</f>
        <v/>
      </c>
      <c r="AD4">
        <f>IF($Q4="","",SUM(JAN:DEZ!C6))</f>
        <v>2</v>
      </c>
      <c r="AF4">
        <f>IF(AND($Q4&lt;&gt;"",N($AD4)&gt;0),COUNT($AF$3:AF3)+1,"")</f>
        <v>1</v>
      </c>
    </row>
    <row r="5" spans="1:32" x14ac:dyDescent="0.25">
      <c r="A5" s="36" t="str">
        <f>IFERROR(INDEX($Q$4:$Q$153,MATCH(ROWS($A$4:A5),$AF$4:$AF$153,0)),"")</f>
        <v>IVÃ DE PAULA 393701</v>
      </c>
      <c r="B5" s="35" t="str">
        <f>IFERROR(INDEX($R$4:$R$153,MATCH(ROWS($A$4:A5),$AF$4:$AF$153,0)),"")</f>
        <v/>
      </c>
      <c r="C5" s="35" t="str">
        <f>IFERROR(INDEX($S$4:$S$153,MATCH(ROWS($A$4:A5),$AF$4:$AF$153,0)),"")</f>
        <v/>
      </c>
      <c r="D5" s="35" t="str">
        <f>IFERROR(INDEX($T$4:$T$153,MATCH(ROWS($A$4:A5),$AF$4:$AF$153,0)),"")</f>
        <v/>
      </c>
      <c r="E5" s="35" t="str">
        <f>IFERROR(INDEX($U$4:$U$153,MATCH(ROWS($A$4:A5),$AF$4:$AF$153,0)),"")</f>
        <v/>
      </c>
      <c r="F5" s="35" t="str">
        <f>IFERROR(INDEX($V$4:$V$153,MATCH(ROWS($A$4:A5),$AF$4:$AF$153,0)),"")</f>
        <v/>
      </c>
      <c r="G5" s="35" t="str">
        <f>IFERROR(INDEX($W$4:$W$153,MATCH(ROWS($A$4:A5),$AF$4:$AF$153,0)),"")</f>
        <v/>
      </c>
      <c r="H5" s="35" t="str">
        <f>IFERROR(INDEX($X$4:$X$153,MATCH(ROWS($A$4:A5),$AF$4:$AF$153,0)),"")</f>
        <v/>
      </c>
      <c r="I5" s="35" t="str">
        <f>IFERROR(INDEX($Y$4:$Y$153,MATCH(ROWS($A$4:A5),$AF$4:$AF$153,0)),"")</f>
        <v>16</v>
      </c>
      <c r="J5" s="35" t="str">
        <f>IFERROR(INDEX($Z$4:$Z$153,MATCH(ROWS($A$4:A5),$AF$4:$AF$153,0)),"")</f>
        <v>27</v>
      </c>
      <c r="K5" s="35" t="str">
        <f>IFERROR(INDEX($AA$4:$AA$153,MATCH(ROWS($A$4:A5),$AF$4:$AF$153,0)),"")</f>
        <v/>
      </c>
      <c r="L5" s="35" t="str">
        <f>IFERROR(INDEX($AB$4:$AB$153,MATCH(ROWS($A$4:A5),$AF$4:$AF$153,0)),"")</f>
        <v/>
      </c>
      <c r="M5" s="35" t="str">
        <f>IFERROR(INDEX($AC$4:$AC$153,MATCH(ROWS($A$4:A5),$AF$4:$AF$153,0)),"")</f>
        <v/>
      </c>
      <c r="N5" s="35">
        <f>IFERROR(INDEX($AD$4:$AD$153,MATCH(ROWS($A$4:A5),$AF$4:$AF$153,0)),"")</f>
        <v>2</v>
      </c>
      <c r="Q5" t="str">
        <f>T(JAN!B7)</f>
        <v>IVÃ DE PAULA 393701</v>
      </c>
      <c r="R5" t="str">
        <f t="array" ref="R5">IF($Q5="","",_xlfn.TEXTJOIN(", ",TRUE,IF(JAN!$G7:$AK7="HE",JAN!$G$4:$AK$4,"")))</f>
        <v/>
      </c>
      <c r="S5" t="str">
        <f t="array" ref="S5">IF($Q5="","",_xlfn.TEXTJOIN(", ",TRUE,IF(FEV!$G7:$AK7="HE",FEV!$G$4:$AK$4,"")))</f>
        <v/>
      </c>
      <c r="T5" t="str">
        <f t="array" ref="T5">IF($Q5="","",_xlfn.TEXTJOIN(", ",TRUE,IF(MAR!$G7:$AK7="HE",MAR!$G$4:$AK$4,"")))</f>
        <v/>
      </c>
      <c r="U5" t="str">
        <f t="array" ref="U5">IF($Q5="","",_xlfn.TEXTJOIN(", ",TRUE,IF(ABR!$G7:$AK7="HE",ABR!$G$4:$AK$4,"")))</f>
        <v/>
      </c>
      <c r="V5" t="str">
        <f t="array" ref="V5">IF($Q5="","",_xlfn.TEXTJOIN(", ",TRUE,IF(MAI!$G7:$AK7="HE",MAI!$G$4:$AK$4,"")))</f>
        <v/>
      </c>
      <c r="W5" t="str">
        <f t="array" ref="W5">IF($Q5="","",_xlfn.TEXTJOIN(", ",TRUE,IF(JUN!$G7:$AK7="HE",JUN!$G$4:$AK$4,"")))</f>
        <v/>
      </c>
      <c r="X5" t="str">
        <f t="array" ref="X5">IF($Q5="","",_xlfn.TEXTJOIN(", ",TRUE,IF(JUL!$G7:$AK7="HE",JUL!$G$4:$AK$4,"")))</f>
        <v/>
      </c>
      <c r="Y5" t="str">
        <f t="array" ref="Y5">IF($Q5="","",_xlfn.TEXTJOIN(", ",TRUE,IF(AGO!$G7:$AK7="HE",AGO!$G$4:$AK$4,"")))</f>
        <v>16</v>
      </c>
      <c r="Z5" t="str">
        <f t="array" ref="Z5">IF($Q5="","",_xlfn.TEXTJOIN(", ",TRUE,IF(SET!$G7:$AK7="HE",SET!$G$4:$AK$4,"")))</f>
        <v>27</v>
      </c>
      <c r="AA5" t="str">
        <f t="array" ref="AA5">IF($Q5="","",_xlfn.TEXTJOIN(", ",TRUE,IF(OUT!$G7:$AK7="HE",OUT!$G$4:$AK$4,"")))</f>
        <v/>
      </c>
      <c r="AB5" t="str">
        <f t="array" ref="AB5">IF($Q5="","",_xlfn.TEXTJOIN(", ",TRUE,IF(NOV!$G7:$AK7="HE",NOV!$G$4:$AK$4,"")))</f>
        <v/>
      </c>
      <c r="AC5" t="str">
        <f t="array" ref="AC5">IF($Q5="","",_xlfn.TEXTJOIN(", ",TRUE,IF(DEZ!$G7:$AK7="HE",DEZ!$G$4:$AK$4,"")))</f>
        <v/>
      </c>
      <c r="AD5">
        <f>IF($Q5="","",SUM(JAN:DEZ!C7))</f>
        <v>2</v>
      </c>
      <c r="AF5">
        <f>IF(AND($Q5&lt;&gt;"",N($AD5)&gt;0),COUNT($AF$3:AF4)+1,"")</f>
        <v>2</v>
      </c>
    </row>
    <row r="6" spans="1:32" x14ac:dyDescent="0.25">
      <c r="A6" s="36" t="str">
        <f>IFERROR(INDEX($Q$4:$Q$153,MATCH(ROWS($A$4:A6),$AF$4:$AF$153,0)),"")</f>
        <v>MISAEL SANTOS 37002097</v>
      </c>
      <c r="B6" s="35" t="str">
        <f>IFERROR(INDEX($R$4:$R$153,MATCH(ROWS($A$4:A6),$AF$4:$AF$153,0)),"")</f>
        <v/>
      </c>
      <c r="C6" s="35" t="str">
        <f>IFERROR(INDEX($S$4:$S$153,MATCH(ROWS($A$4:A6),$AF$4:$AF$153,0)),"")</f>
        <v/>
      </c>
      <c r="D6" s="35" t="str">
        <f>IFERROR(INDEX($T$4:$T$153,MATCH(ROWS($A$4:A6),$AF$4:$AF$153,0)),"")</f>
        <v/>
      </c>
      <c r="E6" s="35" t="str">
        <f>IFERROR(INDEX($U$4:$U$153,MATCH(ROWS($A$4:A6),$AF$4:$AF$153,0)),"")</f>
        <v/>
      </c>
      <c r="F6" s="35" t="str">
        <f>IFERROR(INDEX($V$4:$V$153,MATCH(ROWS($A$4:A6),$AF$4:$AF$153,0)),"")</f>
        <v/>
      </c>
      <c r="G6" s="35" t="str">
        <f>IFERROR(INDEX($W$4:$W$153,MATCH(ROWS($A$4:A6),$AF$4:$AF$153,0)),"")</f>
        <v/>
      </c>
      <c r="H6" s="35" t="str">
        <f>IFERROR(INDEX($X$4:$X$153,MATCH(ROWS($A$4:A6),$AF$4:$AF$153,0)),"")</f>
        <v/>
      </c>
      <c r="I6" s="35" t="str">
        <f>IFERROR(INDEX($Y$4:$Y$153,MATCH(ROWS($A$4:A6),$AF$4:$AF$153,0)),"")</f>
        <v>16</v>
      </c>
      <c r="J6" s="35" t="str">
        <f>IFERROR(INDEX($Z$4:$Z$153,MATCH(ROWS($A$4:A6),$AF$4:$AF$153,0)),"")</f>
        <v>27</v>
      </c>
      <c r="K6" s="35" t="str">
        <f>IFERROR(INDEX($AA$4:$AA$153,MATCH(ROWS($A$4:A6),$AF$4:$AF$153,0)),"")</f>
        <v/>
      </c>
      <c r="L6" s="35" t="str">
        <f>IFERROR(INDEX($AB$4:$AB$153,MATCH(ROWS($A$4:A6),$AF$4:$AF$153,0)),"")</f>
        <v/>
      </c>
      <c r="M6" s="35" t="str">
        <f>IFERROR(INDEX($AC$4:$AC$153,MATCH(ROWS($A$4:A6),$AF$4:$AF$153,0)),"")</f>
        <v/>
      </c>
      <c r="N6" s="35">
        <f>IFERROR(INDEX($AD$4:$AD$153,MATCH(ROWS($A$4:A6),$AF$4:$AF$153,0)),"")</f>
        <v>2</v>
      </c>
      <c r="Q6" t="str">
        <f>T(JAN!B8)</f>
        <v>CARLOS ALMEIDA 343901</v>
      </c>
      <c r="R6" t="str">
        <f t="array" ref="R6">IF($Q6="","",_xlfn.TEXTJOIN(", ",TRUE,IF(JAN!$G8:$AK8="HE",JAN!$G$4:$AK$4,"")))</f>
        <v/>
      </c>
      <c r="S6" t="str">
        <f t="array" ref="S6">IF($Q6="","",_xlfn.TEXTJOIN(", ",TRUE,IF(FEV!$G8:$AK8="HE",FEV!$G$4:$AK$4,"")))</f>
        <v/>
      </c>
      <c r="T6" t="str">
        <f t="array" ref="T6">IF($Q6="","",_xlfn.TEXTJOIN(", ",TRUE,IF(MAR!$G8:$AK8="HE",MAR!$G$4:$AK$4,"")))</f>
        <v/>
      </c>
      <c r="U6" t="str">
        <f t="array" ref="U6">IF($Q6="","",_xlfn.TEXTJOIN(", ",TRUE,IF(ABR!$G8:$AK8="HE",ABR!$G$4:$AK$4,"")))</f>
        <v/>
      </c>
      <c r="V6" t="str">
        <f t="array" ref="V6">IF($Q6="","",_xlfn.TEXTJOIN(", ",TRUE,IF(MAI!$G8:$AK8="HE",MAI!$G$4:$AK$4,"")))</f>
        <v/>
      </c>
      <c r="W6" t="str">
        <f t="array" ref="W6">IF($Q6="","",_xlfn.TEXTJOIN(", ",TRUE,IF(JUN!$G8:$AK8="HE",JUN!$G$4:$AK$4,"")))</f>
        <v/>
      </c>
      <c r="X6" t="str">
        <f t="array" ref="X6">IF($Q6="","",_xlfn.TEXTJOIN(", ",TRUE,IF(JUL!$G8:$AK8="HE",JUL!$G$4:$AK$4,"")))</f>
        <v/>
      </c>
      <c r="Y6" t="str">
        <f t="array" ref="Y6">IF($Q6="","",_xlfn.TEXTJOIN(", ",TRUE,IF(AGO!$G8:$AK8="HE",AGO!$G$4:$AK$4,"")))</f>
        <v/>
      </c>
      <c r="Z6" t="str">
        <f t="array" ref="Z6">IF($Q6="","",_xlfn.TEXTJOIN(", ",TRUE,IF(SET!$G8:$AK8="HE",SET!$G$4:$AK$4,"")))</f>
        <v/>
      </c>
      <c r="AA6" t="str">
        <f t="array" ref="AA6">IF($Q6="","",_xlfn.TEXTJOIN(", ",TRUE,IF(OUT!$G8:$AK8="HE",OUT!$G$4:$AK$4,"")))</f>
        <v/>
      </c>
      <c r="AB6" t="str">
        <f t="array" ref="AB6">IF($Q6="","",_xlfn.TEXTJOIN(", ",TRUE,IF(NOV!$G8:$AK8="HE",NOV!$G$4:$AK$4,"")))</f>
        <v/>
      </c>
      <c r="AC6" t="str">
        <f t="array" ref="AC6">IF($Q6="","",_xlfn.TEXTJOIN(", ",TRUE,IF(DEZ!$G8:$AK8="HE",DEZ!$G$4:$AK$4,"")))</f>
        <v/>
      </c>
      <c r="AD6">
        <f>IF($Q6="","",SUM(JAN:DEZ!C8))</f>
        <v>0</v>
      </c>
      <c r="AF6" t="str">
        <f>IF(AND($Q6&lt;&gt;"",N($AD6)&gt;0),COUNT($AF$3:AF5)+1,"")</f>
        <v/>
      </c>
    </row>
    <row r="7" spans="1:32" x14ac:dyDescent="0.25">
      <c r="A7" s="36" t="str">
        <f>IFERROR(INDEX($Q$4:$Q$153,MATCH(ROWS($A$4:A7),$AF$4:$AF$153,0)),"")</f>
        <v>FABIANO FORTES 57401</v>
      </c>
      <c r="B7" s="35" t="str">
        <f>IFERROR(INDEX($R$4:$R$153,MATCH(ROWS($A$4:A7),$AF$4:$AF$153,0)),"")</f>
        <v/>
      </c>
      <c r="C7" s="35" t="str">
        <f>IFERROR(INDEX($S$4:$S$153,MATCH(ROWS($A$4:A7),$AF$4:$AF$153,0)),"")</f>
        <v/>
      </c>
      <c r="D7" s="35" t="str">
        <f>IFERROR(INDEX($T$4:$T$153,MATCH(ROWS($A$4:A7),$AF$4:$AF$153,0)),"")</f>
        <v/>
      </c>
      <c r="E7" s="35" t="str">
        <f>IFERROR(INDEX($U$4:$U$153,MATCH(ROWS($A$4:A7),$AF$4:$AF$153,0)),"")</f>
        <v/>
      </c>
      <c r="F7" s="35" t="str">
        <f>IFERROR(INDEX($V$4:$V$153,MATCH(ROWS($A$4:A7),$AF$4:$AF$153,0)),"")</f>
        <v/>
      </c>
      <c r="G7" s="35" t="str">
        <f>IFERROR(INDEX($W$4:$W$153,MATCH(ROWS($A$4:A7),$AF$4:$AF$153,0)),"")</f>
        <v/>
      </c>
      <c r="H7" s="35" t="str">
        <f>IFERROR(INDEX($X$4:$X$153,MATCH(ROWS($A$4:A7),$AF$4:$AF$153,0)),"")</f>
        <v/>
      </c>
      <c r="I7" s="35" t="str">
        <f>IFERROR(INDEX($Y$4:$Y$153,MATCH(ROWS($A$4:A7),$AF$4:$AF$153,0)),"")</f>
        <v/>
      </c>
      <c r="J7" s="35" t="str">
        <f>IFERROR(INDEX($Z$4:$Z$153,MATCH(ROWS($A$4:A7),$AF$4:$AF$153,0)),"")</f>
        <v>27</v>
      </c>
      <c r="K7" s="35" t="str">
        <f>IFERROR(INDEX($AA$4:$AA$153,MATCH(ROWS($A$4:A7),$AF$4:$AF$153,0)),"")</f>
        <v>18</v>
      </c>
      <c r="L7" s="35" t="str">
        <f>IFERROR(INDEX($AB$4:$AB$153,MATCH(ROWS($A$4:A7),$AF$4:$AF$153,0)),"")</f>
        <v/>
      </c>
      <c r="M7" s="35" t="str">
        <f>IFERROR(INDEX($AC$4:$AC$153,MATCH(ROWS($A$4:A7),$AF$4:$AF$153,0)),"")</f>
        <v/>
      </c>
      <c r="N7" s="35">
        <f>IFERROR(INDEX($AD$4:$AD$153,MATCH(ROWS($A$4:A7),$AF$4:$AF$153,0)),"")</f>
        <v>2</v>
      </c>
      <c r="Q7" t="str">
        <f>T(JAN!B9)</f>
        <v>MISAEL SANTOS 37002097</v>
      </c>
      <c r="R7" t="str">
        <f t="array" ref="R7">IF($Q7="","",_xlfn.TEXTJOIN(", ",TRUE,IF(JAN!$G9:$AK9="HE",JAN!$G$4:$AK$4,"")))</f>
        <v/>
      </c>
      <c r="S7" t="str">
        <f t="array" ref="S7">IF($Q7="","",_xlfn.TEXTJOIN(", ",TRUE,IF(FEV!$G9:$AK9="HE",FEV!$G$4:$AK$4,"")))</f>
        <v/>
      </c>
      <c r="T7" t="str">
        <f t="array" ref="T7">IF($Q7="","",_xlfn.TEXTJOIN(", ",TRUE,IF(MAR!$G9:$AK9="HE",MAR!$G$4:$AK$4,"")))</f>
        <v/>
      </c>
      <c r="U7" t="str">
        <f t="array" ref="U7">IF($Q7="","",_xlfn.TEXTJOIN(", ",TRUE,IF(ABR!$G9:$AK9="HE",ABR!$G$4:$AK$4,"")))</f>
        <v/>
      </c>
      <c r="V7" t="str">
        <f t="array" ref="V7">IF($Q7="","",_xlfn.TEXTJOIN(", ",TRUE,IF(MAI!$G9:$AK9="HE",MAI!$G$4:$AK$4,"")))</f>
        <v/>
      </c>
      <c r="W7" t="str">
        <f t="array" ref="W7">IF($Q7="","",_xlfn.TEXTJOIN(", ",TRUE,IF(JUN!$G9:$AK9="HE",JUN!$G$4:$AK$4,"")))</f>
        <v/>
      </c>
      <c r="X7" t="str">
        <f t="array" ref="X7">IF($Q7="","",_xlfn.TEXTJOIN(", ",TRUE,IF(JUL!$G9:$AK9="HE",JUL!$G$4:$AK$4,"")))</f>
        <v/>
      </c>
      <c r="Y7" t="str">
        <f t="array" ref="Y7">IF($Q7="","",_xlfn.TEXTJOIN(", ",TRUE,IF(AGO!$G9:$AK9="HE",AGO!$G$4:$AK$4,"")))</f>
        <v>16</v>
      </c>
      <c r="Z7" t="str">
        <f t="array" ref="Z7">IF($Q7="","",_xlfn.TEXTJOIN(", ",TRUE,IF(SET!$G9:$AK9="HE",SET!$G$4:$AK$4,"")))</f>
        <v>27</v>
      </c>
      <c r="AA7" t="str">
        <f t="array" ref="AA7">IF($Q7="","",_xlfn.TEXTJOIN(", ",TRUE,IF(OUT!$G9:$AK9="HE",OUT!$G$4:$AK$4,"")))</f>
        <v/>
      </c>
      <c r="AB7" t="str">
        <f t="array" ref="AB7">IF($Q7="","",_xlfn.TEXTJOIN(", ",TRUE,IF(NOV!$G9:$AK9="HE",NOV!$G$4:$AK$4,"")))</f>
        <v/>
      </c>
      <c r="AC7" t="str">
        <f t="array" ref="AC7">IF($Q7="","",_xlfn.TEXTJOIN(", ",TRUE,IF(DEZ!$G9:$AK9="HE",DEZ!$G$4:$AK$4,"")))</f>
        <v/>
      </c>
      <c r="AD7">
        <f>IF($Q7="","",SUM(JAN:DEZ!C9))</f>
        <v>2</v>
      </c>
      <c r="AF7">
        <f>IF(AND($Q7&lt;&gt;"",N($AD7)&gt;0),COUNT($AF$3:AF6)+1,"")</f>
        <v>3</v>
      </c>
    </row>
    <row r="8" spans="1:32" x14ac:dyDescent="0.25">
      <c r="A8" s="36" t="str">
        <f>IFERROR(INDEX($Q$4:$Q$153,MATCH(ROWS($A$4:A8),$AF$4:$AF$153,0)),"")</f>
        <v>ROQUE DARLAN 464801</v>
      </c>
      <c r="B8" s="35" t="str">
        <f>IFERROR(INDEX($R$4:$R$153,MATCH(ROWS($A$4:A8),$AF$4:$AF$153,0)),"")</f>
        <v/>
      </c>
      <c r="C8" s="35" t="str">
        <f>IFERROR(INDEX($S$4:$S$153,MATCH(ROWS($A$4:A8),$AF$4:$AF$153,0)),"")</f>
        <v/>
      </c>
      <c r="D8" s="35" t="str">
        <f>IFERROR(INDEX($T$4:$T$153,MATCH(ROWS($A$4:A8),$AF$4:$AF$153,0)),"")</f>
        <v/>
      </c>
      <c r="E8" s="35" t="str">
        <f>IFERROR(INDEX($U$4:$U$153,MATCH(ROWS($A$4:A8),$AF$4:$AF$153,0)),"")</f>
        <v/>
      </c>
      <c r="F8" s="35" t="str">
        <f>IFERROR(INDEX($V$4:$V$153,MATCH(ROWS($A$4:A8),$AF$4:$AF$153,0)),"")</f>
        <v/>
      </c>
      <c r="G8" s="35" t="str">
        <f>IFERROR(INDEX($W$4:$W$153,MATCH(ROWS($A$4:A8),$AF$4:$AF$153,0)),"")</f>
        <v/>
      </c>
      <c r="H8" s="35" t="str">
        <f>IFERROR(INDEX($X$4:$X$153,MATCH(ROWS($A$4:A8),$AF$4:$AF$153,0)),"")</f>
        <v/>
      </c>
      <c r="I8" s="35" t="str">
        <f>IFERROR(INDEX($Y$4:$Y$153,MATCH(ROWS($A$4:A8),$AF$4:$AF$153,0)),"")</f>
        <v>16</v>
      </c>
      <c r="J8" s="35" t="str">
        <f>IFERROR(INDEX($Z$4:$Z$153,MATCH(ROWS($A$4:A8),$AF$4:$AF$153,0)),"")</f>
        <v/>
      </c>
      <c r="K8" s="35" t="str">
        <f>IFERROR(INDEX($AA$4:$AA$153,MATCH(ROWS($A$4:A8),$AF$4:$AF$153,0)),"")</f>
        <v/>
      </c>
      <c r="L8" s="35" t="str">
        <f>IFERROR(INDEX($AB$4:$AB$153,MATCH(ROWS($A$4:A8),$AF$4:$AF$153,0)),"")</f>
        <v/>
      </c>
      <c r="M8" s="35" t="str">
        <f>IFERROR(INDEX($AC$4:$AC$153,MATCH(ROWS($A$4:A8),$AF$4:$AF$153,0)),"")</f>
        <v/>
      </c>
      <c r="N8" s="35">
        <f>IFERROR(INDEX($AD$4:$AD$153,MATCH(ROWS($A$4:A8),$AF$4:$AF$153,0)),"")</f>
        <v>1</v>
      </c>
      <c r="Q8" t="str">
        <f>T(JAN!B10)</f>
        <v>ALEXANDRE SELAU 145401</v>
      </c>
      <c r="R8" t="str">
        <f t="array" ref="R8">IF($Q8="","",_xlfn.TEXTJOIN(", ",TRUE,IF(JAN!$G10:$AK10="HE",JAN!$G$4:$AK$4,"")))</f>
        <v/>
      </c>
      <c r="S8" t="str">
        <f t="array" ref="S8">IF($Q8="","",_xlfn.TEXTJOIN(", ",TRUE,IF(FEV!$G10:$AK10="HE",FEV!$G$4:$AK$4,"")))</f>
        <v/>
      </c>
      <c r="T8" t="str">
        <f t="array" ref="T8">IF($Q8="","",_xlfn.TEXTJOIN(", ",TRUE,IF(MAR!$G10:$AK10="HE",MAR!$G$4:$AK$4,"")))</f>
        <v/>
      </c>
      <c r="U8" t="str">
        <f t="array" ref="U8">IF($Q8="","",_xlfn.TEXTJOIN(", ",TRUE,IF(ABR!$G10:$AK10="HE",ABR!$G$4:$AK$4,"")))</f>
        <v/>
      </c>
      <c r="V8" t="str">
        <f t="array" ref="V8">IF($Q8="","",_xlfn.TEXTJOIN(", ",TRUE,IF(MAI!$G10:$AK10="HE",MAI!$G$4:$AK$4,"")))</f>
        <v/>
      </c>
      <c r="W8" t="str">
        <f t="array" ref="W8">IF($Q8="","",_xlfn.TEXTJOIN(", ",TRUE,IF(JUN!$G10:$AK10="HE",JUN!$G$4:$AK$4,"")))</f>
        <v/>
      </c>
      <c r="X8" t="str">
        <f t="array" ref="X8">IF($Q8="","",_xlfn.TEXTJOIN(", ",TRUE,IF(JUL!$G10:$AK10="HE",JUL!$G$4:$AK$4,"")))</f>
        <v/>
      </c>
      <c r="Y8" t="str">
        <f t="array" ref="Y8">IF($Q8="","",_xlfn.TEXTJOIN(", ",TRUE,IF(AGO!$G10:$AK10="HE",AGO!$G$4:$AK$4,"")))</f>
        <v/>
      </c>
      <c r="Z8" t="str">
        <f t="array" ref="Z8">IF($Q8="","",_xlfn.TEXTJOIN(", ",TRUE,IF(SET!$G10:$AK10="HE",SET!$G$4:$AK$4,"")))</f>
        <v/>
      </c>
      <c r="AA8" t="str">
        <f t="array" ref="AA8">IF($Q8="","",_xlfn.TEXTJOIN(", ",TRUE,IF(OUT!$G10:$AK10="HE",OUT!$G$4:$AK$4,"")))</f>
        <v/>
      </c>
      <c r="AB8" t="str">
        <f t="array" ref="AB8">IF($Q8="","",_xlfn.TEXTJOIN(", ",TRUE,IF(NOV!$G10:$AK10="HE",NOV!$G$4:$AK$4,"")))</f>
        <v/>
      </c>
      <c r="AC8" t="str">
        <f t="array" ref="AC8">IF($Q8="","",_xlfn.TEXTJOIN(", ",TRUE,IF(DEZ!$G10:$AK10="HE",DEZ!$G$4:$AK$4,"")))</f>
        <v/>
      </c>
      <c r="AD8">
        <f>IF($Q8="","",SUM(JAN:DEZ!C10))</f>
        <v>0</v>
      </c>
      <c r="AF8" t="str">
        <f>IF(AND($Q8&lt;&gt;"",N($AD8)&gt;0),COUNT($AF$3:AF7)+1,"")</f>
        <v/>
      </c>
    </row>
    <row r="9" spans="1:32" x14ac:dyDescent="0.25">
      <c r="A9" s="36" t="str">
        <f>IFERROR(INDEX($Q$4:$Q$153,MATCH(ROWS($A$4:A9),$AF$4:$AF$153,0)),"")</f>
        <v>FREDERICO SILVA 416501</v>
      </c>
      <c r="B9" s="35" t="str">
        <f>IFERROR(INDEX($R$4:$R$153,MATCH(ROWS($A$4:A9),$AF$4:$AF$153,0)),"")</f>
        <v/>
      </c>
      <c r="C9" s="35" t="str">
        <f>IFERROR(INDEX($S$4:$S$153,MATCH(ROWS($A$4:A9),$AF$4:$AF$153,0)),"")</f>
        <v/>
      </c>
      <c r="D9" s="35" t="str">
        <f>IFERROR(INDEX($T$4:$T$153,MATCH(ROWS($A$4:A9),$AF$4:$AF$153,0)),"")</f>
        <v/>
      </c>
      <c r="E9" s="35" t="str">
        <f>IFERROR(INDEX($U$4:$U$153,MATCH(ROWS($A$4:A9),$AF$4:$AF$153,0)),"")</f>
        <v/>
      </c>
      <c r="F9" s="35" t="str">
        <f>IFERROR(INDEX($V$4:$V$153,MATCH(ROWS($A$4:A9),$AF$4:$AF$153,0)),"")</f>
        <v/>
      </c>
      <c r="G9" s="35" t="str">
        <f>IFERROR(INDEX($W$4:$W$153,MATCH(ROWS($A$4:A9),$AF$4:$AF$153,0)),"")</f>
        <v/>
      </c>
      <c r="H9" s="35" t="str">
        <f>IFERROR(INDEX($X$4:$X$153,MATCH(ROWS($A$4:A9),$AF$4:$AF$153,0)),"")</f>
        <v/>
      </c>
      <c r="I9" s="35" t="str">
        <f>IFERROR(INDEX($Y$4:$Y$153,MATCH(ROWS($A$4:A9),$AF$4:$AF$153,0)),"")</f>
        <v>16</v>
      </c>
      <c r="J9" s="35" t="str">
        <f>IFERROR(INDEX($Z$4:$Z$153,MATCH(ROWS($A$4:A9),$AF$4:$AF$153,0)),"")</f>
        <v/>
      </c>
      <c r="K9" s="35" t="str">
        <f>IFERROR(INDEX($AA$4:$AA$153,MATCH(ROWS($A$4:A9),$AF$4:$AF$153,0)),"")</f>
        <v/>
      </c>
      <c r="L9" s="35" t="str">
        <f>IFERROR(INDEX($AB$4:$AB$153,MATCH(ROWS($A$4:A9),$AF$4:$AF$153,0)),"")</f>
        <v/>
      </c>
      <c r="M9" s="35" t="str">
        <f>IFERROR(INDEX($AC$4:$AC$153,MATCH(ROWS($A$4:A9),$AF$4:$AF$153,0)),"")</f>
        <v/>
      </c>
      <c r="N9" s="35">
        <f>IFERROR(INDEX($AD$4:$AD$153,MATCH(ROWS($A$4:A9),$AF$4:$AF$153,0)),"")</f>
        <v>1</v>
      </c>
      <c r="Q9" t="str">
        <f>T(JAN!B11)</f>
        <v>FABIANO FORTES 57401</v>
      </c>
      <c r="R9" t="str">
        <f t="array" ref="R9">IF($Q9="","",_xlfn.TEXTJOIN(", ",TRUE,IF(JAN!$G11:$AK11="HE",JAN!$G$4:$AK$4,"")))</f>
        <v/>
      </c>
      <c r="S9" t="str">
        <f t="array" ref="S9">IF($Q9="","",_xlfn.TEXTJOIN(", ",TRUE,IF(FEV!$G11:$AK11="HE",FEV!$G$4:$AK$4,"")))</f>
        <v/>
      </c>
      <c r="T9" t="str">
        <f t="array" ref="T9">IF($Q9="","",_xlfn.TEXTJOIN(", ",TRUE,IF(MAR!$G11:$AK11="HE",MAR!$G$4:$AK$4,"")))</f>
        <v/>
      </c>
      <c r="U9" t="str">
        <f t="array" ref="U9">IF($Q9="","",_xlfn.TEXTJOIN(", ",TRUE,IF(ABR!$G11:$AK11="HE",ABR!$G$4:$AK$4,"")))</f>
        <v/>
      </c>
      <c r="V9" t="str">
        <f t="array" ref="V9">IF($Q9="","",_xlfn.TEXTJOIN(", ",TRUE,IF(MAI!$G11:$AK11="HE",MAI!$G$4:$AK$4,"")))</f>
        <v/>
      </c>
      <c r="W9" t="str">
        <f t="array" ref="W9">IF($Q9="","",_xlfn.TEXTJOIN(", ",TRUE,IF(JUN!$G11:$AK11="HE",JUN!$G$4:$AK$4,"")))</f>
        <v/>
      </c>
      <c r="X9" t="str">
        <f t="array" ref="X9">IF($Q9="","",_xlfn.TEXTJOIN(", ",TRUE,IF(JUL!$G11:$AK11="HE",JUL!$G$4:$AK$4,"")))</f>
        <v/>
      </c>
      <c r="Y9" t="str">
        <f t="array" ref="Y9">IF($Q9="","",_xlfn.TEXTJOIN(", ",TRUE,IF(AGO!$G11:$AK11="HE",AGO!$G$4:$AK$4,"")))</f>
        <v/>
      </c>
      <c r="Z9" t="str">
        <f t="array" ref="Z9">IF($Q9="","",_xlfn.TEXTJOIN(", ",TRUE,IF(SET!$G11:$AK11="HE",SET!$G$4:$AK$4,"")))</f>
        <v>27</v>
      </c>
      <c r="AA9" t="str">
        <f t="array" ref="AA9">IF($Q9="","",_xlfn.TEXTJOIN(", ",TRUE,IF(OUT!$G11:$AK11="HE",OUT!$G$4:$AK$4,"")))</f>
        <v>18</v>
      </c>
      <c r="AB9" t="str">
        <f t="array" ref="AB9">IF($Q9="","",_xlfn.TEXTJOIN(", ",TRUE,IF(NOV!$G11:$AK11="HE",NOV!$G$4:$AK$4,"")))</f>
        <v/>
      </c>
      <c r="AC9" t="str">
        <f t="array" ref="AC9">IF($Q9="","",_xlfn.TEXTJOIN(", ",TRUE,IF(DEZ!$G11:$AK11="HE",DEZ!$G$4:$AK$4,"")))</f>
        <v/>
      </c>
      <c r="AD9">
        <f>IF($Q9="","",SUM(JAN:DEZ!C11))</f>
        <v>2</v>
      </c>
      <c r="AF9">
        <f>IF(AND($Q9&lt;&gt;"",N($AD9)&gt;0),COUNT($AF$3:AF8)+1,"")</f>
        <v>4</v>
      </c>
    </row>
    <row r="10" spans="1:32" x14ac:dyDescent="0.25">
      <c r="A10" s="36" t="str">
        <f>IFERROR(INDEX($Q$4:$Q$153,MATCH(ROWS($A$4:A10),$AF$4:$AF$153,0)),"")</f>
        <v>RAFAEL SANTOS 355101</v>
      </c>
      <c r="B10" s="35" t="str">
        <f>IFERROR(INDEX($R$4:$R$153,MATCH(ROWS($A$4:A10),$AF$4:$AF$153,0)),"")</f>
        <v/>
      </c>
      <c r="C10" s="35" t="str">
        <f>IFERROR(INDEX($S$4:$S$153,MATCH(ROWS($A$4:A10),$AF$4:$AF$153,0)),"")</f>
        <v/>
      </c>
      <c r="D10" s="35" t="str">
        <f>IFERROR(INDEX($T$4:$T$153,MATCH(ROWS($A$4:A10),$AF$4:$AF$153,0)),"")</f>
        <v/>
      </c>
      <c r="E10" s="35" t="str">
        <f>IFERROR(INDEX($U$4:$U$153,MATCH(ROWS($A$4:A10),$AF$4:$AF$153,0)),"")</f>
        <v/>
      </c>
      <c r="F10" s="35" t="str">
        <f>IFERROR(INDEX($V$4:$V$153,MATCH(ROWS($A$4:A10),$AF$4:$AF$153,0)),"")</f>
        <v/>
      </c>
      <c r="G10" s="35" t="str">
        <f>IFERROR(INDEX($W$4:$W$153,MATCH(ROWS($A$4:A10),$AF$4:$AF$153,0)),"")</f>
        <v/>
      </c>
      <c r="H10" s="35" t="str">
        <f>IFERROR(INDEX($X$4:$X$153,MATCH(ROWS($A$4:A10),$AF$4:$AF$153,0)),"")</f>
        <v/>
      </c>
      <c r="I10" s="35" t="str">
        <f>IFERROR(INDEX($Y$4:$Y$153,MATCH(ROWS($A$4:A10),$AF$4:$AF$153,0)),"")</f>
        <v/>
      </c>
      <c r="J10" s="35" t="str">
        <f>IFERROR(INDEX($Z$4:$Z$153,MATCH(ROWS($A$4:A10),$AF$4:$AF$153,0)),"")</f>
        <v/>
      </c>
      <c r="K10" s="35" t="str">
        <f>IFERROR(INDEX($AA$4:$AA$153,MATCH(ROWS($A$4:A10),$AF$4:$AF$153,0)),"")</f>
        <v>18</v>
      </c>
      <c r="L10" s="35" t="str">
        <f>IFERROR(INDEX($AB$4:$AB$153,MATCH(ROWS($A$4:A10),$AF$4:$AF$153,0)),"")</f>
        <v/>
      </c>
      <c r="M10" s="35" t="str">
        <f>IFERROR(INDEX($AC$4:$AC$153,MATCH(ROWS($A$4:A10),$AF$4:$AF$153,0)),"")</f>
        <v/>
      </c>
      <c r="N10" s="35">
        <f>IFERROR(INDEX($AD$4:$AD$153,MATCH(ROWS($A$4:A10),$AF$4:$AF$153,0)),"")</f>
        <v>1</v>
      </c>
      <c r="Q10" t="str">
        <f>T(JAN!B12)</f>
        <v>DOUGLAS MILANI 398501</v>
      </c>
      <c r="R10" t="str">
        <f t="array" ref="R10">IF($Q10="","",_xlfn.TEXTJOIN(", ",TRUE,IF(JAN!$G12:$AK12="HE",JAN!$G$4:$AK$4,"")))</f>
        <v/>
      </c>
      <c r="S10" t="str">
        <f t="array" ref="S10">IF($Q10="","",_xlfn.TEXTJOIN(", ",TRUE,IF(FEV!$G12:$AK12="HE",FEV!$G$4:$AK$4,"")))</f>
        <v/>
      </c>
      <c r="T10" t="str">
        <f t="array" ref="T10">IF($Q10="","",_xlfn.TEXTJOIN(", ",TRUE,IF(MAR!$G12:$AK12="HE",MAR!$G$4:$AK$4,"")))</f>
        <v/>
      </c>
      <c r="U10" t="str">
        <f t="array" ref="U10">IF($Q10="","",_xlfn.TEXTJOIN(", ",TRUE,IF(ABR!$G12:$AK12="HE",ABR!$G$4:$AK$4,"")))</f>
        <v/>
      </c>
      <c r="V10" t="str">
        <f t="array" ref="V10">IF($Q10="","",_xlfn.TEXTJOIN(", ",TRUE,IF(MAI!$G12:$AK12="HE",MAI!$G$4:$AK$4,"")))</f>
        <v/>
      </c>
      <c r="W10" t="str">
        <f t="array" ref="W10">IF($Q10="","",_xlfn.TEXTJOIN(", ",TRUE,IF(JUN!$G12:$AK12="HE",JUN!$G$4:$AK$4,"")))</f>
        <v/>
      </c>
      <c r="X10" t="str">
        <f t="array" ref="X10">IF($Q10="","",_xlfn.TEXTJOIN(", ",TRUE,IF(JUL!$G12:$AK12="HE",JUL!$G$4:$AK$4,"")))</f>
        <v/>
      </c>
      <c r="Y10" t="str">
        <f t="array" ref="Y10">IF($Q10="","",_xlfn.TEXTJOIN(", ",TRUE,IF(AGO!$G12:$AK12="HE",AGO!$G$4:$AK$4,"")))</f>
        <v/>
      </c>
      <c r="Z10" t="str">
        <f t="array" ref="Z10">IF($Q10="","",_xlfn.TEXTJOIN(", ",TRUE,IF(SET!$G12:$AK12="HE",SET!$G$4:$AK$4,"")))</f>
        <v/>
      </c>
      <c r="AA10" t="str">
        <f t="array" ref="AA10">IF($Q10="","",_xlfn.TEXTJOIN(", ",TRUE,IF(OUT!$G12:$AK12="HE",OUT!$G$4:$AK$4,"")))</f>
        <v/>
      </c>
      <c r="AB10" t="str">
        <f t="array" ref="AB10">IF($Q10="","",_xlfn.TEXTJOIN(", ",TRUE,IF(NOV!$G12:$AK12="HE",NOV!$G$4:$AK$4,"")))</f>
        <v/>
      </c>
      <c r="AC10" t="str">
        <f t="array" ref="AC10">IF($Q10="","",_xlfn.TEXTJOIN(", ",TRUE,IF(DEZ!$G12:$AK12="HE",DEZ!$G$4:$AK$4,"")))</f>
        <v/>
      </c>
      <c r="AD10">
        <f>IF($Q10="","",SUM(JAN:DEZ!C12))</f>
        <v>0</v>
      </c>
      <c r="AF10" t="str">
        <f>IF(AND($Q10&lt;&gt;"",N($AD10)&gt;0),COUNT($AF$3:AF9)+1,"")</f>
        <v/>
      </c>
    </row>
    <row r="11" spans="1:32" x14ac:dyDescent="0.25">
      <c r="A11" s="36" t="str">
        <f>IFERROR(INDEX($Q$4:$Q$153,MATCH(ROWS($A$4:A11),$AF$4:$AF$153,0)),"")</f>
        <v>DANIEL MACHADO 112601</v>
      </c>
      <c r="B11" s="35" t="str">
        <f>IFERROR(INDEX($R$4:$R$153,MATCH(ROWS($A$4:A11),$AF$4:$AF$153,0)),"")</f>
        <v/>
      </c>
      <c r="C11" s="35" t="str">
        <f>IFERROR(INDEX($S$4:$S$153,MATCH(ROWS($A$4:A11),$AF$4:$AF$153,0)),"")</f>
        <v/>
      </c>
      <c r="D11" s="35" t="str">
        <f>IFERROR(INDEX($T$4:$T$153,MATCH(ROWS($A$4:A11),$AF$4:$AF$153,0)),"")</f>
        <v/>
      </c>
      <c r="E11" s="35" t="str">
        <f>IFERROR(INDEX($U$4:$U$153,MATCH(ROWS($A$4:A11),$AF$4:$AF$153,0)),"")</f>
        <v/>
      </c>
      <c r="F11" s="35" t="str">
        <f>IFERROR(INDEX($V$4:$V$153,MATCH(ROWS($A$4:A11),$AF$4:$AF$153,0)),"")</f>
        <v/>
      </c>
      <c r="G11" s="35" t="str">
        <f>IFERROR(INDEX($W$4:$W$153,MATCH(ROWS($A$4:A11),$AF$4:$AF$153,0)),"")</f>
        <v/>
      </c>
      <c r="H11" s="35" t="str">
        <f>IFERROR(INDEX($X$4:$X$153,MATCH(ROWS($A$4:A11),$AF$4:$AF$153,0)),"")</f>
        <v/>
      </c>
      <c r="I11" s="35" t="str">
        <f>IFERROR(INDEX($Y$4:$Y$153,MATCH(ROWS($A$4:A11),$AF$4:$AF$153,0)),"")</f>
        <v>16</v>
      </c>
      <c r="J11" s="35" t="str">
        <f>IFERROR(INDEX($Z$4:$Z$153,MATCH(ROWS($A$4:A11),$AF$4:$AF$153,0)),"")</f>
        <v/>
      </c>
      <c r="K11" s="35" t="str">
        <f>IFERROR(INDEX($AA$4:$AA$153,MATCH(ROWS($A$4:A11),$AF$4:$AF$153,0)),"")</f>
        <v/>
      </c>
      <c r="L11" s="35" t="str">
        <f>IFERROR(INDEX($AB$4:$AB$153,MATCH(ROWS($A$4:A11),$AF$4:$AF$153,0)),"")</f>
        <v/>
      </c>
      <c r="M11" s="35" t="str">
        <f>IFERROR(INDEX($AC$4:$AC$153,MATCH(ROWS($A$4:A11),$AF$4:$AF$153,0)),"")</f>
        <v/>
      </c>
      <c r="N11" s="35">
        <f>IFERROR(INDEX($AD$4:$AD$153,MATCH(ROWS($A$4:A11),$AF$4:$AF$153,0)),"")</f>
        <v>1</v>
      </c>
      <c r="Q11" t="str">
        <f>T(JAN!B13)</f>
        <v>ROQUE DARLAN 464801</v>
      </c>
      <c r="R11" t="str">
        <f t="array" ref="R11">IF($Q11="","",_xlfn.TEXTJOIN(", ",TRUE,IF(JAN!$G13:$AK13="HE",JAN!$G$4:$AK$4,"")))</f>
        <v/>
      </c>
      <c r="S11" t="str">
        <f t="array" ref="S11">IF($Q11="","",_xlfn.TEXTJOIN(", ",TRUE,IF(FEV!$G13:$AK13="HE",FEV!$G$4:$AK$4,"")))</f>
        <v/>
      </c>
      <c r="T11" t="str">
        <f t="array" ref="T11">IF($Q11="","",_xlfn.TEXTJOIN(", ",TRUE,IF(MAR!$G13:$AK13="HE",MAR!$G$4:$AK$4,"")))</f>
        <v/>
      </c>
      <c r="U11" t="str">
        <f t="array" ref="U11">IF($Q11="","",_xlfn.TEXTJOIN(", ",TRUE,IF(ABR!$G13:$AK13="HE",ABR!$G$4:$AK$4,"")))</f>
        <v/>
      </c>
      <c r="V11" t="str">
        <f t="array" ref="V11">IF($Q11="","",_xlfn.TEXTJOIN(", ",TRUE,IF(MAI!$G13:$AK13="HE",MAI!$G$4:$AK$4,"")))</f>
        <v/>
      </c>
      <c r="W11" t="str">
        <f t="array" ref="W11">IF($Q11="","",_xlfn.TEXTJOIN(", ",TRUE,IF(JUN!$G13:$AK13="HE",JUN!$G$4:$AK$4,"")))</f>
        <v/>
      </c>
      <c r="X11" t="str">
        <f t="array" ref="X11">IF($Q11="","",_xlfn.TEXTJOIN(", ",TRUE,IF(JUL!$G13:$AK13="HE",JUL!$G$4:$AK$4,"")))</f>
        <v/>
      </c>
      <c r="Y11" t="str">
        <f t="array" ref="Y11">IF($Q11="","",_xlfn.TEXTJOIN(", ",TRUE,IF(AGO!$G13:$AK13="HE",AGO!$G$4:$AK$4,"")))</f>
        <v>16</v>
      </c>
      <c r="Z11" t="str">
        <f t="array" ref="Z11">IF($Q11="","",_xlfn.TEXTJOIN(", ",TRUE,IF(SET!$G13:$AK13="HE",SET!$G$4:$AK$4,"")))</f>
        <v/>
      </c>
      <c r="AA11" t="str">
        <f t="array" ref="AA11">IF($Q11="","",_xlfn.TEXTJOIN(", ",TRUE,IF(OUT!$G13:$AK13="HE",OUT!$G$4:$AK$4,"")))</f>
        <v/>
      </c>
      <c r="AB11" t="str">
        <f t="array" ref="AB11">IF($Q11="","",_xlfn.TEXTJOIN(", ",TRUE,IF(NOV!$G13:$AK13="HE",NOV!$G$4:$AK$4,"")))</f>
        <v/>
      </c>
      <c r="AC11" t="str">
        <f t="array" ref="AC11">IF($Q11="","",_xlfn.TEXTJOIN(", ",TRUE,IF(DEZ!$G13:$AK13="HE",DEZ!$G$4:$AK$4,"")))</f>
        <v/>
      </c>
      <c r="AD11">
        <f>IF($Q11="","",SUM(JAN:DEZ!C13))</f>
        <v>1</v>
      </c>
      <c r="AF11">
        <f>IF(AND($Q11&lt;&gt;"",N($AD11)&gt;0),COUNT($AF$3:AF10)+1,"")</f>
        <v>5</v>
      </c>
    </row>
    <row r="12" spans="1:32" x14ac:dyDescent="0.25">
      <c r="A12" s="36" t="str">
        <f>IFERROR(INDEX($Q$4:$Q$153,MATCH(ROWS($A$4:A12),$AF$4:$AF$153,0)),"")</f>
        <v>JOSE HERTE 109801</v>
      </c>
      <c r="B12" s="35" t="str">
        <f>IFERROR(INDEX($R$4:$R$153,MATCH(ROWS($A$4:A12),$AF$4:$AF$153,0)),"")</f>
        <v/>
      </c>
      <c r="C12" s="35" t="str">
        <f>IFERROR(INDEX($S$4:$S$153,MATCH(ROWS($A$4:A12),$AF$4:$AF$153,0)),"")</f>
        <v/>
      </c>
      <c r="D12" s="35" t="str">
        <f>IFERROR(INDEX($T$4:$T$153,MATCH(ROWS($A$4:A12),$AF$4:$AF$153,0)),"")</f>
        <v/>
      </c>
      <c r="E12" s="35" t="str">
        <f>IFERROR(INDEX($U$4:$U$153,MATCH(ROWS($A$4:A12),$AF$4:$AF$153,0)),"")</f>
        <v/>
      </c>
      <c r="F12" s="35" t="str">
        <f>IFERROR(INDEX($V$4:$V$153,MATCH(ROWS($A$4:A12),$AF$4:$AF$153,0)),"")</f>
        <v/>
      </c>
      <c r="G12" s="35" t="str">
        <f>IFERROR(INDEX($W$4:$W$153,MATCH(ROWS($A$4:A12),$AF$4:$AF$153,0)),"")</f>
        <v/>
      </c>
      <c r="H12" s="35" t="str">
        <f>IFERROR(INDEX($X$4:$X$153,MATCH(ROWS($A$4:A12),$AF$4:$AF$153,0)),"")</f>
        <v/>
      </c>
      <c r="I12" s="35" t="str">
        <f>IFERROR(INDEX($Y$4:$Y$153,MATCH(ROWS($A$4:A12),$AF$4:$AF$153,0)),"")</f>
        <v>16</v>
      </c>
      <c r="J12" s="35" t="str">
        <f>IFERROR(INDEX($Z$4:$Z$153,MATCH(ROWS($A$4:A12),$AF$4:$AF$153,0)),"")</f>
        <v/>
      </c>
      <c r="K12" s="35" t="str">
        <f>IFERROR(INDEX($AA$4:$AA$153,MATCH(ROWS($A$4:A12),$AF$4:$AF$153,0)),"")</f>
        <v/>
      </c>
      <c r="L12" s="35" t="str">
        <f>IFERROR(INDEX($AB$4:$AB$153,MATCH(ROWS($A$4:A12),$AF$4:$AF$153,0)),"")</f>
        <v/>
      </c>
      <c r="M12" s="35" t="str">
        <f>IFERROR(INDEX($AC$4:$AC$153,MATCH(ROWS($A$4:A12),$AF$4:$AF$153,0)),"")</f>
        <v/>
      </c>
      <c r="N12" s="35">
        <f>IFERROR(INDEX($AD$4:$AD$153,MATCH(ROWS($A$4:A12),$AF$4:$AF$153,0)),"")</f>
        <v>1</v>
      </c>
      <c r="Q12" t="str">
        <f>T(JAN!B14)</f>
        <v>FREDERICO SILVA 416501</v>
      </c>
      <c r="R12" t="str">
        <f t="array" ref="R12">IF($Q12="","",_xlfn.TEXTJOIN(", ",TRUE,IF(JAN!$G14:$AK14="HE",JAN!$G$4:$AK$4,"")))</f>
        <v/>
      </c>
      <c r="S12" t="str">
        <f t="array" ref="S12">IF($Q12="","",_xlfn.TEXTJOIN(", ",TRUE,IF(FEV!$G14:$AK14="HE",FEV!$G$4:$AK$4,"")))</f>
        <v/>
      </c>
      <c r="T12" t="str">
        <f t="array" ref="T12">IF($Q12="","",_xlfn.TEXTJOIN(", ",TRUE,IF(MAR!$G14:$AK14="HE",MAR!$G$4:$AK$4,"")))</f>
        <v/>
      </c>
      <c r="U12" t="str">
        <f t="array" ref="U12">IF($Q12="","",_xlfn.TEXTJOIN(", ",TRUE,IF(ABR!$G14:$AK14="HE",ABR!$G$4:$AK$4,"")))</f>
        <v/>
      </c>
      <c r="V12" t="str">
        <f t="array" ref="V12">IF($Q12="","",_xlfn.TEXTJOIN(", ",TRUE,IF(MAI!$G14:$AK14="HE",MAI!$G$4:$AK$4,"")))</f>
        <v/>
      </c>
      <c r="W12" t="str">
        <f t="array" ref="W12">IF($Q12="","",_xlfn.TEXTJOIN(", ",TRUE,IF(JUN!$G14:$AK14="HE",JUN!$G$4:$AK$4,"")))</f>
        <v/>
      </c>
      <c r="X12" t="str">
        <f t="array" ref="X12">IF($Q12="","",_xlfn.TEXTJOIN(", ",TRUE,IF(JUL!$G14:$AK14="HE",JUL!$G$4:$AK$4,"")))</f>
        <v/>
      </c>
      <c r="Y12" t="str">
        <f t="array" ref="Y12">IF($Q12="","",_xlfn.TEXTJOIN(", ",TRUE,IF(AGO!$G14:$AK14="HE",AGO!$G$4:$AK$4,"")))</f>
        <v>16</v>
      </c>
      <c r="Z12" t="str">
        <f t="array" ref="Z12">IF($Q12="","",_xlfn.TEXTJOIN(", ",TRUE,IF(SET!$G14:$AK14="HE",SET!$G$4:$AK$4,"")))</f>
        <v/>
      </c>
      <c r="AA12" t="str">
        <f t="array" ref="AA12">IF($Q12="","",_xlfn.TEXTJOIN(", ",TRUE,IF(OUT!$G14:$AK14="HE",OUT!$G$4:$AK$4,"")))</f>
        <v/>
      </c>
      <c r="AB12" t="str">
        <f t="array" ref="AB12">IF($Q12="","",_xlfn.TEXTJOIN(", ",TRUE,IF(NOV!$G14:$AK14="HE",NOV!$G$4:$AK$4,"")))</f>
        <v/>
      </c>
      <c r="AC12" t="str">
        <f t="array" ref="AC12">IF($Q12="","",_xlfn.TEXTJOIN(", ",TRUE,IF(DEZ!$G14:$AK14="HE",DEZ!$G$4:$AK$4,"")))</f>
        <v/>
      </c>
      <c r="AD12">
        <f>IF($Q12="","",SUM(JAN:DEZ!C14))</f>
        <v>1</v>
      </c>
      <c r="AF12">
        <f>IF(AND($Q12&lt;&gt;"",N($AD12)&gt;0),COUNT($AF$3:AF11)+1,"")</f>
        <v>6</v>
      </c>
    </row>
    <row r="13" spans="1:32" x14ac:dyDescent="0.25">
      <c r="A13" s="36" t="str">
        <f>IFERROR(INDEX($Q$4:$Q$153,MATCH(ROWS($A$4:A13),$AF$4:$AF$153,0)),"")</f>
        <v>EVERTON SILVA 37001892</v>
      </c>
      <c r="B13" s="35" t="str">
        <f>IFERROR(INDEX($R$4:$R$153,MATCH(ROWS($A$4:A13),$AF$4:$AF$153,0)),"")</f>
        <v/>
      </c>
      <c r="C13" s="35" t="str">
        <f>IFERROR(INDEX($S$4:$S$153,MATCH(ROWS($A$4:A13),$AF$4:$AF$153,0)),"")</f>
        <v/>
      </c>
      <c r="D13" s="35" t="str">
        <f>IFERROR(INDEX($T$4:$T$153,MATCH(ROWS($A$4:A13),$AF$4:$AF$153,0)),"")</f>
        <v/>
      </c>
      <c r="E13" s="35" t="str">
        <f>IFERROR(INDEX($U$4:$U$153,MATCH(ROWS($A$4:A13),$AF$4:$AF$153,0)),"")</f>
        <v/>
      </c>
      <c r="F13" s="35" t="str">
        <f>IFERROR(INDEX($V$4:$V$153,MATCH(ROWS($A$4:A13),$AF$4:$AF$153,0)),"")</f>
        <v/>
      </c>
      <c r="G13" s="35" t="str">
        <f>IFERROR(INDEX($W$4:$W$153,MATCH(ROWS($A$4:A13),$AF$4:$AF$153,0)),"")</f>
        <v/>
      </c>
      <c r="H13" s="35" t="str">
        <f>IFERROR(INDEX($X$4:$X$153,MATCH(ROWS($A$4:A13),$AF$4:$AF$153,0)),"")</f>
        <v>19</v>
      </c>
      <c r="I13" s="35" t="str">
        <f>IFERROR(INDEX($Y$4:$Y$153,MATCH(ROWS($A$4:A13),$AF$4:$AF$153,0)),"")</f>
        <v>16</v>
      </c>
      <c r="J13" s="35" t="str">
        <f>IFERROR(INDEX($Z$4:$Z$153,MATCH(ROWS($A$4:A13),$AF$4:$AF$153,0)),"")</f>
        <v/>
      </c>
      <c r="K13" s="35" t="str">
        <f>IFERROR(INDEX($AA$4:$AA$153,MATCH(ROWS($A$4:A13),$AF$4:$AF$153,0)),"")</f>
        <v/>
      </c>
      <c r="L13" s="35" t="str">
        <f>IFERROR(INDEX($AB$4:$AB$153,MATCH(ROWS($A$4:A13),$AF$4:$AF$153,0)),"")</f>
        <v/>
      </c>
      <c r="M13" s="35" t="str">
        <f>IFERROR(INDEX($AC$4:$AC$153,MATCH(ROWS($A$4:A13),$AF$4:$AF$153,0)),"")</f>
        <v/>
      </c>
      <c r="N13" s="35">
        <f>IFERROR(INDEX($AD$4:$AD$153,MATCH(ROWS($A$4:A13),$AF$4:$AF$153,0)),"")</f>
        <v>2</v>
      </c>
      <c r="Q13" t="str">
        <f>T(JAN!B15)</f>
        <v>RAFAEL SANTOS 355101</v>
      </c>
      <c r="R13" t="str">
        <f t="array" ref="R13">IF($Q13="","",_xlfn.TEXTJOIN(", ",TRUE,IF(JAN!$G15:$AK15="HE",JAN!$G$4:$AK$4,"")))</f>
        <v/>
      </c>
      <c r="S13" t="str">
        <f t="array" ref="S13">IF($Q13="","",_xlfn.TEXTJOIN(", ",TRUE,IF(FEV!$G15:$AK15="HE",FEV!$G$4:$AK$4,"")))</f>
        <v/>
      </c>
      <c r="T13" t="str">
        <f t="array" ref="T13">IF($Q13="","",_xlfn.TEXTJOIN(", ",TRUE,IF(MAR!$G15:$AK15="HE",MAR!$G$4:$AK$4,"")))</f>
        <v/>
      </c>
      <c r="U13" t="str">
        <f t="array" ref="U13">IF($Q13="","",_xlfn.TEXTJOIN(", ",TRUE,IF(ABR!$G15:$AK15="HE",ABR!$G$4:$AK$4,"")))</f>
        <v/>
      </c>
      <c r="V13" t="str">
        <f t="array" ref="V13">IF($Q13="","",_xlfn.TEXTJOIN(", ",TRUE,IF(MAI!$G15:$AK15="HE",MAI!$G$4:$AK$4,"")))</f>
        <v/>
      </c>
      <c r="W13" t="str">
        <f t="array" ref="W13">IF($Q13="","",_xlfn.TEXTJOIN(", ",TRUE,IF(JUN!$G15:$AK15="HE",JUN!$G$4:$AK$4,"")))</f>
        <v/>
      </c>
      <c r="X13" t="str">
        <f t="array" ref="X13">IF($Q13="","",_xlfn.TEXTJOIN(", ",TRUE,IF(JUL!$G15:$AK15="HE",JUL!$G$4:$AK$4,"")))</f>
        <v/>
      </c>
      <c r="Y13" t="str">
        <f t="array" ref="Y13">IF($Q13="","",_xlfn.TEXTJOIN(", ",TRUE,IF(AGO!$G15:$AK15="HE",AGO!$G$4:$AK$4,"")))</f>
        <v/>
      </c>
      <c r="Z13" t="str">
        <f t="array" ref="Z13">IF($Q13="","",_xlfn.TEXTJOIN(", ",TRUE,IF(SET!$G15:$AK15="HE",SET!$G$4:$AK$4,"")))</f>
        <v/>
      </c>
      <c r="AA13" t="str">
        <f t="array" ref="AA13">IF($Q13="","",_xlfn.TEXTJOIN(", ",TRUE,IF(OUT!$G15:$AK15="HE",OUT!$G$4:$AK$4,"")))</f>
        <v>18</v>
      </c>
      <c r="AB13" t="str">
        <f t="array" ref="AB13">IF($Q13="","",_xlfn.TEXTJOIN(", ",TRUE,IF(NOV!$G15:$AK15="HE",NOV!$G$4:$AK$4,"")))</f>
        <v/>
      </c>
      <c r="AC13" t="str">
        <f t="array" ref="AC13">IF($Q13="","",_xlfn.TEXTJOIN(", ",TRUE,IF(DEZ!$G15:$AK15="HE",DEZ!$G$4:$AK$4,"")))</f>
        <v/>
      </c>
      <c r="AD13">
        <f>IF($Q13="","",SUM(JAN:DEZ!C15))</f>
        <v>1</v>
      </c>
      <c r="AF13">
        <f>IF(AND($Q13&lt;&gt;"",N($AD13)&gt;0),COUNT($AF$3:AF12)+1,"")</f>
        <v>7</v>
      </c>
    </row>
    <row r="14" spans="1:32" x14ac:dyDescent="0.25">
      <c r="A14" s="36" t="str">
        <f>IFERROR(INDEX($Q$4:$Q$153,MATCH(ROWS($A$4:A14),$AF$4:$AF$153,0)),"")</f>
        <v>RENATO GUEDES 381901</v>
      </c>
      <c r="B14" s="35" t="str">
        <f>IFERROR(INDEX($R$4:$R$153,MATCH(ROWS($A$4:A14),$AF$4:$AF$153,0)),"")</f>
        <v/>
      </c>
      <c r="C14" s="35" t="str">
        <f>IFERROR(INDEX($S$4:$S$153,MATCH(ROWS($A$4:A14),$AF$4:$AF$153,0)),"")</f>
        <v/>
      </c>
      <c r="D14" s="35" t="str">
        <f>IFERROR(INDEX($T$4:$T$153,MATCH(ROWS($A$4:A14),$AF$4:$AF$153,0)),"")</f>
        <v/>
      </c>
      <c r="E14" s="35" t="str">
        <f>IFERROR(INDEX($U$4:$U$153,MATCH(ROWS($A$4:A14),$AF$4:$AF$153,0)),"")</f>
        <v/>
      </c>
      <c r="F14" s="35" t="str">
        <f>IFERROR(INDEX($V$4:$V$153,MATCH(ROWS($A$4:A14),$AF$4:$AF$153,0)),"")</f>
        <v/>
      </c>
      <c r="G14" s="35" t="str">
        <f>IFERROR(INDEX($W$4:$W$153,MATCH(ROWS($A$4:A14),$AF$4:$AF$153,0)),"")</f>
        <v/>
      </c>
      <c r="H14" s="35" t="str">
        <f>IFERROR(INDEX($X$4:$X$153,MATCH(ROWS($A$4:A14),$AF$4:$AF$153,0)),"")</f>
        <v>26</v>
      </c>
      <c r="I14" s="35" t="str">
        <f>IFERROR(INDEX($Y$4:$Y$153,MATCH(ROWS($A$4:A14),$AF$4:$AF$153,0)),"")</f>
        <v/>
      </c>
      <c r="J14" s="35" t="str">
        <f>IFERROR(INDEX($Z$4:$Z$153,MATCH(ROWS($A$4:A14),$AF$4:$AF$153,0)),"")</f>
        <v/>
      </c>
      <c r="K14" s="35" t="str">
        <f>IFERROR(INDEX($AA$4:$AA$153,MATCH(ROWS($A$4:A14),$AF$4:$AF$153,0)),"")</f>
        <v/>
      </c>
      <c r="L14" s="35" t="str">
        <f>IFERROR(INDEX($AB$4:$AB$153,MATCH(ROWS($A$4:A14),$AF$4:$AF$153,0)),"")</f>
        <v/>
      </c>
      <c r="M14" s="35" t="str">
        <f>IFERROR(INDEX($AC$4:$AC$153,MATCH(ROWS($A$4:A14),$AF$4:$AF$153,0)),"")</f>
        <v/>
      </c>
      <c r="N14" s="35">
        <f>IFERROR(INDEX($AD$4:$AD$153,MATCH(ROWS($A$4:A14),$AF$4:$AF$153,0)),"")</f>
        <v>1</v>
      </c>
      <c r="Q14" t="str">
        <f>T(JAN!B16)</f>
        <v>DANIEL MACHADO 112601</v>
      </c>
      <c r="R14" t="str">
        <f t="array" ref="R14">IF($Q14="","",_xlfn.TEXTJOIN(", ",TRUE,IF(JAN!$G16:$AK16="HE",JAN!$G$4:$AK$4,"")))</f>
        <v/>
      </c>
      <c r="S14" t="str">
        <f t="array" ref="S14">IF($Q14="","",_xlfn.TEXTJOIN(", ",TRUE,IF(FEV!$G16:$AK16="HE",FEV!$G$4:$AK$4,"")))</f>
        <v/>
      </c>
      <c r="T14" t="str">
        <f t="array" ref="T14">IF($Q14="","",_xlfn.TEXTJOIN(", ",TRUE,IF(MAR!$G16:$AK16="HE",MAR!$G$4:$AK$4,"")))</f>
        <v/>
      </c>
      <c r="U14" t="str">
        <f t="array" ref="U14">IF($Q14="","",_xlfn.TEXTJOIN(", ",TRUE,IF(ABR!$G16:$AK16="HE",ABR!$G$4:$AK$4,"")))</f>
        <v/>
      </c>
      <c r="V14" t="str">
        <f t="array" ref="V14">IF($Q14="","",_xlfn.TEXTJOIN(", ",TRUE,IF(MAI!$G16:$AK16="HE",MAI!$G$4:$AK$4,"")))</f>
        <v/>
      </c>
      <c r="W14" t="str">
        <f t="array" ref="W14">IF($Q14="","",_xlfn.TEXTJOIN(", ",TRUE,IF(JUN!$G16:$AK16="HE",JUN!$G$4:$AK$4,"")))</f>
        <v/>
      </c>
      <c r="X14" t="str">
        <f t="array" ref="X14">IF($Q14="","",_xlfn.TEXTJOIN(", ",TRUE,IF(JUL!$G16:$AK16="HE",JUL!$G$4:$AK$4,"")))</f>
        <v/>
      </c>
      <c r="Y14" t="str">
        <f t="array" ref="Y14">IF($Q14="","",_xlfn.TEXTJOIN(", ",TRUE,IF(AGO!$G16:$AK16="HE",AGO!$G$4:$AK$4,"")))</f>
        <v>16</v>
      </c>
      <c r="Z14" t="str">
        <f t="array" ref="Z14">IF($Q14="","",_xlfn.TEXTJOIN(", ",TRUE,IF(SET!$G16:$AK16="HE",SET!$G$4:$AK$4,"")))</f>
        <v/>
      </c>
      <c r="AA14" t="str">
        <f t="array" ref="AA14">IF($Q14="","",_xlfn.TEXTJOIN(", ",TRUE,IF(OUT!$G16:$AK16="HE",OUT!$G$4:$AK$4,"")))</f>
        <v/>
      </c>
      <c r="AB14" t="str">
        <f t="array" ref="AB14">IF($Q14="","",_xlfn.TEXTJOIN(", ",TRUE,IF(NOV!$G16:$AK16="HE",NOV!$G$4:$AK$4,"")))</f>
        <v/>
      </c>
      <c r="AC14" t="str">
        <f t="array" ref="AC14">IF($Q14="","",_xlfn.TEXTJOIN(", ",TRUE,IF(DEZ!$G16:$AK16="HE",DEZ!$G$4:$AK$4,"")))</f>
        <v/>
      </c>
      <c r="AD14">
        <f>IF($Q14="","",SUM(JAN:DEZ!C16))</f>
        <v>1</v>
      </c>
      <c r="AF14">
        <f>IF(AND($Q14&lt;&gt;"",N($AD14)&gt;0),COUNT($AF$3:AF13)+1,"")</f>
        <v>8</v>
      </c>
    </row>
    <row r="15" spans="1:32" x14ac:dyDescent="0.25">
      <c r="A15" s="36" t="str">
        <f>IFERROR(INDEX($Q$4:$Q$153,MATCH(ROWS($A$4:A15),$AF$4:$AF$153,0)),"")</f>
        <v>EDUARDO SCHNEIDER 37002143</v>
      </c>
      <c r="B15" s="35" t="str">
        <f>IFERROR(INDEX($R$4:$R$153,MATCH(ROWS($A$4:A15),$AF$4:$AF$153,0)),"")</f>
        <v/>
      </c>
      <c r="C15" s="35" t="str">
        <f>IFERROR(INDEX($S$4:$S$153,MATCH(ROWS($A$4:A15),$AF$4:$AF$153,0)),"")</f>
        <v/>
      </c>
      <c r="D15" s="35" t="str">
        <f>IFERROR(INDEX($T$4:$T$153,MATCH(ROWS($A$4:A15),$AF$4:$AF$153,0)),"")</f>
        <v/>
      </c>
      <c r="E15" s="35" t="str">
        <f>IFERROR(INDEX($U$4:$U$153,MATCH(ROWS($A$4:A15),$AF$4:$AF$153,0)),"")</f>
        <v/>
      </c>
      <c r="F15" s="35" t="str">
        <f>IFERROR(INDEX($V$4:$V$153,MATCH(ROWS($A$4:A15),$AF$4:$AF$153,0)),"")</f>
        <v/>
      </c>
      <c r="G15" s="35" t="str">
        <f>IFERROR(INDEX($W$4:$W$153,MATCH(ROWS($A$4:A15),$AF$4:$AF$153,0)),"")</f>
        <v/>
      </c>
      <c r="H15" s="35" t="str">
        <f>IFERROR(INDEX($X$4:$X$153,MATCH(ROWS($A$4:A15),$AF$4:$AF$153,0)),"")</f>
        <v/>
      </c>
      <c r="I15" s="35" t="str">
        <f>IFERROR(INDEX($Y$4:$Y$153,MATCH(ROWS($A$4:A15),$AF$4:$AF$153,0)),"")</f>
        <v>16</v>
      </c>
      <c r="J15" s="35" t="str">
        <f>IFERROR(INDEX($Z$4:$Z$153,MATCH(ROWS($A$4:A15),$AF$4:$AF$153,0)),"")</f>
        <v/>
      </c>
      <c r="K15" s="35" t="str">
        <f>IFERROR(INDEX($AA$4:$AA$153,MATCH(ROWS($A$4:A15),$AF$4:$AF$153,0)),"")</f>
        <v>18</v>
      </c>
      <c r="L15" s="35" t="str">
        <f>IFERROR(INDEX($AB$4:$AB$153,MATCH(ROWS($A$4:A15),$AF$4:$AF$153,0)),"")</f>
        <v/>
      </c>
      <c r="M15" s="35" t="str">
        <f>IFERROR(INDEX($AC$4:$AC$153,MATCH(ROWS($A$4:A15),$AF$4:$AF$153,0)),"")</f>
        <v/>
      </c>
      <c r="N15" s="35">
        <f>IFERROR(INDEX($AD$4:$AD$153,MATCH(ROWS($A$4:A15),$AF$4:$AF$153,0)),"")</f>
        <v>2</v>
      </c>
      <c r="Q15" t="str">
        <f>T(JAN!B17)</f>
        <v>JOSE HERTE 109801</v>
      </c>
      <c r="R15" t="str">
        <f t="array" ref="R15">IF($Q15="","",_xlfn.TEXTJOIN(", ",TRUE,IF(JAN!$G17:$AK17="HE",JAN!$G$4:$AK$4,"")))</f>
        <v/>
      </c>
      <c r="S15" t="str">
        <f t="array" ref="S15">IF($Q15="","",_xlfn.TEXTJOIN(", ",TRUE,IF(FEV!$G17:$AK17="HE",FEV!$G$4:$AK$4,"")))</f>
        <v/>
      </c>
      <c r="T15" t="str">
        <f t="array" ref="T15">IF($Q15="","",_xlfn.TEXTJOIN(", ",TRUE,IF(MAR!$G17:$AK17="HE",MAR!$G$4:$AK$4,"")))</f>
        <v/>
      </c>
      <c r="U15" t="str">
        <f t="array" ref="U15">IF($Q15="","",_xlfn.TEXTJOIN(", ",TRUE,IF(ABR!$G17:$AK17="HE",ABR!$G$4:$AK$4,"")))</f>
        <v/>
      </c>
      <c r="V15" t="str">
        <f t="array" ref="V15">IF($Q15="","",_xlfn.TEXTJOIN(", ",TRUE,IF(MAI!$G17:$AK17="HE",MAI!$G$4:$AK$4,"")))</f>
        <v/>
      </c>
      <c r="W15" t="str">
        <f t="array" ref="W15">IF($Q15="","",_xlfn.TEXTJOIN(", ",TRUE,IF(JUN!$G17:$AK17="HE",JUN!$G$4:$AK$4,"")))</f>
        <v/>
      </c>
      <c r="X15" t="str">
        <f t="array" ref="X15">IF($Q15="","",_xlfn.TEXTJOIN(", ",TRUE,IF(JUL!$G17:$AK17="HE",JUL!$G$4:$AK$4,"")))</f>
        <v/>
      </c>
      <c r="Y15" t="str">
        <f t="array" ref="Y15">IF($Q15="","",_xlfn.TEXTJOIN(", ",TRUE,IF(AGO!$G17:$AK17="HE",AGO!$G$4:$AK$4,"")))</f>
        <v>16</v>
      </c>
      <c r="Z15" t="str">
        <f t="array" ref="Z15">IF($Q15="","",_xlfn.TEXTJOIN(", ",TRUE,IF(SET!$G17:$AK17="HE",SET!$G$4:$AK$4,"")))</f>
        <v/>
      </c>
      <c r="AA15" t="str">
        <f t="array" ref="AA15">IF($Q15="","",_xlfn.TEXTJOIN(", ",TRUE,IF(OUT!$G17:$AK17="HE",OUT!$G$4:$AK$4,"")))</f>
        <v/>
      </c>
      <c r="AB15" t="str">
        <f t="array" ref="AB15">IF($Q15="","",_xlfn.TEXTJOIN(", ",TRUE,IF(NOV!$G17:$AK17="HE",NOV!$G$4:$AK$4,"")))</f>
        <v/>
      </c>
      <c r="AC15" t="str">
        <f t="array" ref="AC15">IF($Q15="","",_xlfn.TEXTJOIN(", ",TRUE,IF(DEZ!$G17:$AK17="HE",DEZ!$G$4:$AK$4,"")))</f>
        <v/>
      </c>
      <c r="AD15">
        <f>IF($Q15="","",SUM(JAN:DEZ!C17))</f>
        <v>1</v>
      </c>
      <c r="AF15">
        <f>IF(AND($Q15&lt;&gt;"",N($AD15)&gt;0),COUNT($AF$3:AF14)+1,"")</f>
        <v>9</v>
      </c>
    </row>
    <row r="16" spans="1:32" x14ac:dyDescent="0.25">
      <c r="A16" s="36" t="str">
        <f>IFERROR(INDEX($Q$4:$Q$153,MATCH(ROWS($A$4:A16),$AF$4:$AF$153,0)),"")</f>
        <v>VANDERLEI BUSSA 309601</v>
      </c>
      <c r="B16" s="35" t="str">
        <f>IFERROR(INDEX($R$4:$R$153,MATCH(ROWS($A$4:A16),$AF$4:$AF$153,0)),"")</f>
        <v/>
      </c>
      <c r="C16" s="35" t="str">
        <f>IFERROR(INDEX($S$4:$S$153,MATCH(ROWS($A$4:A16),$AF$4:$AF$153,0)),"")</f>
        <v/>
      </c>
      <c r="D16" s="35" t="str">
        <f>IFERROR(INDEX($T$4:$T$153,MATCH(ROWS($A$4:A16),$AF$4:$AF$153,0)),"")</f>
        <v/>
      </c>
      <c r="E16" s="35" t="str">
        <f>IFERROR(INDEX($U$4:$U$153,MATCH(ROWS($A$4:A16),$AF$4:$AF$153,0)),"")</f>
        <v/>
      </c>
      <c r="F16" s="35" t="str">
        <f>IFERROR(INDEX($V$4:$V$153,MATCH(ROWS($A$4:A16),$AF$4:$AF$153,0)),"")</f>
        <v/>
      </c>
      <c r="G16" s="35" t="str">
        <f>IFERROR(INDEX($W$4:$W$153,MATCH(ROWS($A$4:A16),$AF$4:$AF$153,0)),"")</f>
        <v/>
      </c>
      <c r="H16" s="35" t="str">
        <f>IFERROR(INDEX($X$4:$X$153,MATCH(ROWS($A$4:A16),$AF$4:$AF$153,0)),"")</f>
        <v/>
      </c>
      <c r="I16" s="35" t="str">
        <f>IFERROR(INDEX($Y$4:$Y$153,MATCH(ROWS($A$4:A16),$AF$4:$AF$153,0)),"")</f>
        <v>16</v>
      </c>
      <c r="J16" s="35" t="str">
        <f>IFERROR(INDEX($Z$4:$Z$153,MATCH(ROWS($A$4:A16),$AF$4:$AF$153,0)),"")</f>
        <v/>
      </c>
      <c r="K16" s="35" t="str">
        <f>IFERROR(INDEX($AA$4:$AA$153,MATCH(ROWS($A$4:A16),$AF$4:$AF$153,0)),"")</f>
        <v>18</v>
      </c>
      <c r="L16" s="35" t="str">
        <f>IFERROR(INDEX($AB$4:$AB$153,MATCH(ROWS($A$4:A16),$AF$4:$AF$153,0)),"")</f>
        <v/>
      </c>
      <c r="M16" s="35" t="str">
        <f>IFERROR(INDEX($AC$4:$AC$153,MATCH(ROWS($A$4:A16),$AF$4:$AF$153,0)),"")</f>
        <v/>
      </c>
      <c r="N16" s="35">
        <f>IFERROR(INDEX($AD$4:$AD$153,MATCH(ROWS($A$4:A16),$AF$4:$AF$153,0)),"")</f>
        <v>2</v>
      </c>
      <c r="Q16" t="str">
        <f>T(JAN!B18)</f>
        <v>EVERTON SILVA 37001892</v>
      </c>
      <c r="R16" t="str">
        <f t="array" ref="R16">IF($Q16="","",_xlfn.TEXTJOIN(", ",TRUE,IF(JAN!$G18:$AK18="HE",JAN!$G$4:$AK$4,"")))</f>
        <v/>
      </c>
      <c r="S16" t="str">
        <f t="array" ref="S16">IF($Q16="","",_xlfn.TEXTJOIN(", ",TRUE,IF(FEV!$G18:$AK18="HE",FEV!$G$4:$AK$4,"")))</f>
        <v/>
      </c>
      <c r="T16" t="str">
        <f t="array" ref="T16">IF($Q16="","",_xlfn.TEXTJOIN(", ",TRUE,IF(MAR!$G18:$AK18="HE",MAR!$G$4:$AK$4,"")))</f>
        <v/>
      </c>
      <c r="U16" t="str">
        <f t="array" ref="U16">IF($Q16="","",_xlfn.TEXTJOIN(", ",TRUE,IF(ABR!$G18:$AK18="HE",ABR!$G$4:$AK$4,"")))</f>
        <v/>
      </c>
      <c r="V16" t="str">
        <f t="array" ref="V16">IF($Q16="","",_xlfn.TEXTJOIN(", ",TRUE,IF(MAI!$G18:$AK18="HE",MAI!$G$4:$AK$4,"")))</f>
        <v/>
      </c>
      <c r="W16" t="str">
        <f t="array" ref="W16">IF($Q16="","",_xlfn.TEXTJOIN(", ",TRUE,IF(JUN!$G18:$AK18="HE",JUN!$G$4:$AK$4,"")))</f>
        <v/>
      </c>
      <c r="X16" t="str">
        <f t="array" ref="X16">IF($Q16="","",_xlfn.TEXTJOIN(", ",TRUE,IF(JUL!$G18:$AK18="HE",JUL!$G$4:$AK$4,"")))</f>
        <v>19</v>
      </c>
      <c r="Y16" t="str">
        <f t="array" ref="Y16">IF($Q16="","",_xlfn.TEXTJOIN(", ",TRUE,IF(AGO!$G18:$AK18="HE",AGO!$G$4:$AK$4,"")))</f>
        <v>16</v>
      </c>
      <c r="Z16" t="str">
        <f t="array" ref="Z16">IF($Q16="","",_xlfn.TEXTJOIN(", ",TRUE,IF(SET!$G18:$AK18="HE",SET!$G$4:$AK$4,"")))</f>
        <v/>
      </c>
      <c r="AA16" t="str">
        <f t="array" ref="AA16">IF($Q16="","",_xlfn.TEXTJOIN(", ",TRUE,IF(OUT!$G18:$AK18="HE",OUT!$G$4:$AK$4,"")))</f>
        <v/>
      </c>
      <c r="AB16" t="str">
        <f t="array" ref="AB16">IF($Q16="","",_xlfn.TEXTJOIN(", ",TRUE,IF(NOV!$G18:$AK18="HE",NOV!$G$4:$AK$4,"")))</f>
        <v/>
      </c>
      <c r="AC16" t="str">
        <f t="array" ref="AC16">IF($Q16="","",_xlfn.TEXTJOIN(", ",TRUE,IF(DEZ!$G18:$AK18="HE",DEZ!$G$4:$AK$4,"")))</f>
        <v/>
      </c>
      <c r="AD16">
        <f>IF($Q16="","",SUM(JAN:DEZ!C18))</f>
        <v>2</v>
      </c>
      <c r="AF16">
        <f>IF(AND($Q16&lt;&gt;"",N($AD16)&gt;0),COUNT($AF$3:AF15)+1,"")</f>
        <v>10</v>
      </c>
    </row>
    <row r="17" spans="1:32" x14ac:dyDescent="0.25">
      <c r="A17" s="36" t="str">
        <f>IFERROR(INDEX($Q$4:$Q$153,MATCH(ROWS($A$4:A17),$AF$4:$AF$153,0)),"")</f>
        <v>DENIS GABRIEL 37002145</v>
      </c>
      <c r="B17" s="35" t="str">
        <f>IFERROR(INDEX($R$4:$R$153,MATCH(ROWS($A$4:A17),$AF$4:$AF$153,0)),"")</f>
        <v/>
      </c>
      <c r="C17" s="35" t="str">
        <f>IFERROR(INDEX($S$4:$S$153,MATCH(ROWS($A$4:A17),$AF$4:$AF$153,0)),"")</f>
        <v/>
      </c>
      <c r="D17" s="35" t="str">
        <f>IFERROR(INDEX($T$4:$T$153,MATCH(ROWS($A$4:A17),$AF$4:$AF$153,0)),"")</f>
        <v/>
      </c>
      <c r="E17" s="35" t="str">
        <f>IFERROR(INDEX($U$4:$U$153,MATCH(ROWS($A$4:A17),$AF$4:$AF$153,0)),"")</f>
        <v/>
      </c>
      <c r="F17" s="35" t="str">
        <f>IFERROR(INDEX($V$4:$V$153,MATCH(ROWS($A$4:A17),$AF$4:$AF$153,0)),"")</f>
        <v/>
      </c>
      <c r="G17" s="35" t="str">
        <f>IFERROR(INDEX($W$4:$W$153,MATCH(ROWS($A$4:A17),$AF$4:$AF$153,0)),"")</f>
        <v/>
      </c>
      <c r="H17" s="35" t="str">
        <f>IFERROR(INDEX($X$4:$X$153,MATCH(ROWS($A$4:A17),$AF$4:$AF$153,0)),"")</f>
        <v>26</v>
      </c>
      <c r="I17" s="35" t="str">
        <f>IFERROR(INDEX($Y$4:$Y$153,MATCH(ROWS($A$4:A17),$AF$4:$AF$153,0)),"")</f>
        <v>16</v>
      </c>
      <c r="J17" s="35" t="str">
        <f>IFERROR(INDEX($Z$4:$Z$153,MATCH(ROWS($A$4:A17),$AF$4:$AF$153,0)),"")</f>
        <v/>
      </c>
      <c r="K17" s="35" t="str">
        <f>IFERROR(INDEX($AA$4:$AA$153,MATCH(ROWS($A$4:A17),$AF$4:$AF$153,0)),"")</f>
        <v/>
      </c>
      <c r="L17" s="35" t="str">
        <f>IFERROR(INDEX($AB$4:$AB$153,MATCH(ROWS($A$4:A17),$AF$4:$AF$153,0)),"")</f>
        <v/>
      </c>
      <c r="M17" s="35" t="str">
        <f>IFERROR(INDEX($AC$4:$AC$153,MATCH(ROWS($A$4:A17),$AF$4:$AF$153,0)),"")</f>
        <v/>
      </c>
      <c r="N17" s="35">
        <f>IFERROR(INDEX($AD$4:$AD$153,MATCH(ROWS($A$4:A17),$AF$4:$AF$153,0)),"")</f>
        <v>2</v>
      </c>
      <c r="Q17" t="str">
        <f>T(JAN!B19)</f>
        <v>ANILTON MORAES 327401</v>
      </c>
      <c r="R17" t="str">
        <f t="array" ref="R17">IF($Q17="","",_xlfn.TEXTJOIN(", ",TRUE,IF(JAN!$G19:$AK19="HE",JAN!$G$4:$AK$4,"")))</f>
        <v/>
      </c>
      <c r="S17" t="str">
        <f t="array" ref="S17">IF($Q17="","",_xlfn.TEXTJOIN(", ",TRUE,IF(FEV!$G19:$AK19="HE",FEV!$G$4:$AK$4,"")))</f>
        <v/>
      </c>
      <c r="T17" t="str">
        <f t="array" ref="T17">IF($Q17="","",_xlfn.TEXTJOIN(", ",TRUE,IF(MAR!$G19:$AK19="HE",MAR!$G$4:$AK$4,"")))</f>
        <v/>
      </c>
      <c r="U17" t="str">
        <f t="array" ref="U17">IF($Q17="","",_xlfn.TEXTJOIN(", ",TRUE,IF(ABR!$G19:$AK19="HE",ABR!$G$4:$AK$4,"")))</f>
        <v/>
      </c>
      <c r="V17" t="str">
        <f t="array" ref="V17">IF($Q17="","",_xlfn.TEXTJOIN(", ",TRUE,IF(MAI!$G19:$AK19="HE",MAI!$G$4:$AK$4,"")))</f>
        <v/>
      </c>
      <c r="W17" t="str">
        <f t="array" ref="W17">IF($Q17="","",_xlfn.TEXTJOIN(", ",TRUE,IF(JUN!$G19:$AK19="HE",JUN!$G$4:$AK$4,"")))</f>
        <v/>
      </c>
      <c r="X17" t="str">
        <f t="array" ref="X17">IF($Q17="","",_xlfn.TEXTJOIN(", ",TRUE,IF(JUL!$G19:$AK19="HE",JUL!$G$4:$AK$4,"")))</f>
        <v/>
      </c>
      <c r="Y17" t="str">
        <f t="array" ref="Y17">IF($Q17="","",_xlfn.TEXTJOIN(", ",TRUE,IF(AGO!$G19:$AK19="HE",AGO!$G$4:$AK$4,"")))</f>
        <v/>
      </c>
      <c r="Z17" t="str">
        <f t="array" ref="Z17">IF($Q17="","",_xlfn.TEXTJOIN(", ",TRUE,IF(SET!$G19:$AK19="HE",SET!$G$4:$AK$4,"")))</f>
        <v/>
      </c>
      <c r="AA17" t="str">
        <f t="array" ref="AA17">IF($Q17="","",_xlfn.TEXTJOIN(", ",TRUE,IF(OUT!$G19:$AK19="HE",OUT!$G$4:$AK$4,"")))</f>
        <v/>
      </c>
      <c r="AB17" t="str">
        <f t="array" ref="AB17">IF($Q17="","",_xlfn.TEXTJOIN(", ",TRUE,IF(NOV!$G19:$AK19="HE",NOV!$G$4:$AK$4,"")))</f>
        <v/>
      </c>
      <c r="AC17" t="str">
        <f t="array" ref="AC17">IF($Q17="","",_xlfn.TEXTJOIN(", ",TRUE,IF(DEZ!$G19:$AK19="HE",DEZ!$G$4:$AK$4,"")))</f>
        <v/>
      </c>
      <c r="AD17">
        <f>IF($Q17="","",SUM(JAN:DEZ!C19))</f>
        <v>0</v>
      </c>
      <c r="AF17" t="str">
        <f>IF(AND($Q17&lt;&gt;"",N($AD17)&gt;0),COUNT($AF$3:AF16)+1,"")</f>
        <v/>
      </c>
    </row>
    <row r="18" spans="1:32" x14ac:dyDescent="0.25">
      <c r="A18" s="36" t="str">
        <f>IFERROR(INDEX($Q$4:$Q$153,MATCH(ROWS($A$4:A18),$AF$4:$AF$153,0)),"")</f>
        <v>DIEGO DIETRICH 352801</v>
      </c>
      <c r="B18" s="35" t="str">
        <f>IFERROR(INDEX($R$4:$R$153,MATCH(ROWS($A$4:A18),$AF$4:$AF$153,0)),"")</f>
        <v/>
      </c>
      <c r="C18" s="35" t="str">
        <f>IFERROR(INDEX($S$4:$S$153,MATCH(ROWS($A$4:A18),$AF$4:$AF$153,0)),"")</f>
        <v/>
      </c>
      <c r="D18" s="35" t="str">
        <f>IFERROR(INDEX($T$4:$T$153,MATCH(ROWS($A$4:A18),$AF$4:$AF$153,0)),"")</f>
        <v/>
      </c>
      <c r="E18" s="35" t="str">
        <f>IFERROR(INDEX($U$4:$U$153,MATCH(ROWS($A$4:A18),$AF$4:$AF$153,0)),"")</f>
        <v/>
      </c>
      <c r="F18" s="35" t="str">
        <f>IFERROR(INDEX($V$4:$V$153,MATCH(ROWS($A$4:A18),$AF$4:$AF$153,0)),"")</f>
        <v/>
      </c>
      <c r="G18" s="35" t="str">
        <f>IFERROR(INDEX($W$4:$W$153,MATCH(ROWS($A$4:A18),$AF$4:$AF$153,0)),"")</f>
        <v/>
      </c>
      <c r="H18" s="35" t="str">
        <f>IFERROR(INDEX($X$4:$X$153,MATCH(ROWS($A$4:A18),$AF$4:$AF$153,0)),"")</f>
        <v>26</v>
      </c>
      <c r="I18" s="35" t="str">
        <f>IFERROR(INDEX($Y$4:$Y$153,MATCH(ROWS($A$4:A18),$AF$4:$AF$153,0)),"")</f>
        <v/>
      </c>
      <c r="J18" s="35" t="str">
        <f>IFERROR(INDEX($Z$4:$Z$153,MATCH(ROWS($A$4:A18),$AF$4:$AF$153,0)),"")</f>
        <v/>
      </c>
      <c r="K18" s="35" t="str">
        <f>IFERROR(INDEX($AA$4:$AA$153,MATCH(ROWS($A$4:A18),$AF$4:$AF$153,0)),"")</f>
        <v>18</v>
      </c>
      <c r="L18" s="35" t="str">
        <f>IFERROR(INDEX($AB$4:$AB$153,MATCH(ROWS($A$4:A18),$AF$4:$AF$153,0)),"")</f>
        <v/>
      </c>
      <c r="M18" s="35" t="str">
        <f>IFERROR(INDEX($AC$4:$AC$153,MATCH(ROWS($A$4:A18),$AF$4:$AF$153,0)),"")</f>
        <v/>
      </c>
      <c r="N18" s="35">
        <f>IFERROR(INDEX($AD$4:$AD$153,MATCH(ROWS($A$4:A18),$AF$4:$AF$153,0)),"")</f>
        <v>2</v>
      </c>
      <c r="Q18" t="str">
        <f>T(JAN!B20)</f>
        <v>MARCOS SOUZA 453701</v>
      </c>
      <c r="R18" t="str">
        <f t="array" ref="R18">IF($Q18="","",_xlfn.TEXTJOIN(", ",TRUE,IF(JAN!$G20:$AK20="HE",JAN!$G$4:$AK$4,"")))</f>
        <v/>
      </c>
      <c r="S18" t="str">
        <f t="array" ref="S18">IF($Q18="","",_xlfn.TEXTJOIN(", ",TRUE,IF(FEV!$G20:$AK20="HE",FEV!$G$4:$AK$4,"")))</f>
        <v/>
      </c>
      <c r="T18" t="str">
        <f t="array" ref="T18">IF($Q18="","",_xlfn.TEXTJOIN(", ",TRUE,IF(MAR!$G20:$AK20="HE",MAR!$G$4:$AK$4,"")))</f>
        <v/>
      </c>
      <c r="U18" t="str">
        <f t="array" ref="U18">IF($Q18="","",_xlfn.TEXTJOIN(", ",TRUE,IF(ABR!$G20:$AK20="HE",ABR!$G$4:$AK$4,"")))</f>
        <v/>
      </c>
      <c r="V18" t="str">
        <f t="array" ref="V18">IF($Q18="","",_xlfn.TEXTJOIN(", ",TRUE,IF(MAI!$G20:$AK20="HE",MAI!$G$4:$AK$4,"")))</f>
        <v/>
      </c>
      <c r="W18" t="str">
        <f t="array" ref="W18">IF($Q18="","",_xlfn.TEXTJOIN(", ",TRUE,IF(JUN!$G20:$AK20="HE",JUN!$G$4:$AK$4,"")))</f>
        <v/>
      </c>
      <c r="X18" t="str">
        <f t="array" ref="X18">IF($Q18="","",_xlfn.TEXTJOIN(", ",TRUE,IF(JUL!$G20:$AK20="HE",JUL!$G$4:$AK$4,"")))</f>
        <v/>
      </c>
      <c r="Y18" t="str">
        <f t="array" ref="Y18">IF($Q18="","",_xlfn.TEXTJOIN(", ",TRUE,IF(AGO!$G20:$AK20="HE",AGO!$G$4:$AK$4,"")))</f>
        <v/>
      </c>
      <c r="Z18" t="str">
        <f t="array" ref="Z18">IF($Q18="","",_xlfn.TEXTJOIN(", ",TRUE,IF(SET!$G20:$AK20="HE",SET!$G$4:$AK$4,"")))</f>
        <v/>
      </c>
      <c r="AA18" t="str">
        <f t="array" ref="AA18">IF($Q18="","",_xlfn.TEXTJOIN(", ",TRUE,IF(OUT!$G20:$AK20="HE",OUT!$G$4:$AK$4,"")))</f>
        <v/>
      </c>
      <c r="AB18" t="str">
        <f t="array" ref="AB18">IF($Q18="","",_xlfn.TEXTJOIN(", ",TRUE,IF(NOV!$G20:$AK20="HE",NOV!$G$4:$AK$4,"")))</f>
        <v/>
      </c>
      <c r="AC18" t="str">
        <f t="array" ref="AC18">IF($Q18="","",_xlfn.TEXTJOIN(", ",TRUE,IF(DEZ!$G20:$AK20="HE",DEZ!$G$4:$AK$4,"")))</f>
        <v/>
      </c>
      <c r="AD18">
        <f>IF($Q18="","",SUM(JAN:DEZ!C20))</f>
        <v>0</v>
      </c>
      <c r="AF18" t="str">
        <f>IF(AND($Q18&lt;&gt;"",N($AD18)&gt;0),COUNT($AF$3:AF17)+1,"")</f>
        <v/>
      </c>
    </row>
    <row r="19" spans="1:32" x14ac:dyDescent="0.25">
      <c r="A19" s="36" t="str">
        <f>IFERROR(INDEX($Q$4:$Q$153,MATCH(ROWS($A$4:A19),$AF$4:$AF$153,0)),"")</f>
        <v>DIGO GRAZCKI 37002136</v>
      </c>
      <c r="B19" s="35" t="str">
        <f>IFERROR(INDEX($R$4:$R$153,MATCH(ROWS($A$4:A19),$AF$4:$AF$153,0)),"")</f>
        <v/>
      </c>
      <c r="C19" s="35" t="str">
        <f>IFERROR(INDEX($S$4:$S$153,MATCH(ROWS($A$4:A19),$AF$4:$AF$153,0)),"")</f>
        <v/>
      </c>
      <c r="D19" s="35" t="str">
        <f>IFERROR(INDEX($T$4:$T$153,MATCH(ROWS($A$4:A19),$AF$4:$AF$153,0)),"")</f>
        <v/>
      </c>
      <c r="E19" s="35" t="str">
        <f>IFERROR(INDEX($U$4:$U$153,MATCH(ROWS($A$4:A19),$AF$4:$AF$153,0)),"")</f>
        <v/>
      </c>
      <c r="F19" s="35" t="str">
        <f>IFERROR(INDEX($V$4:$V$153,MATCH(ROWS($A$4:A19),$AF$4:$AF$153,0)),"")</f>
        <v/>
      </c>
      <c r="G19" s="35" t="str">
        <f>IFERROR(INDEX($W$4:$W$153,MATCH(ROWS($A$4:A19),$AF$4:$AF$153,0)),"")</f>
        <v/>
      </c>
      <c r="H19" s="35" t="str">
        <f>IFERROR(INDEX($X$4:$X$153,MATCH(ROWS($A$4:A19),$AF$4:$AF$153,0)),"")</f>
        <v/>
      </c>
      <c r="I19" s="35" t="str">
        <f>IFERROR(INDEX($Y$4:$Y$153,MATCH(ROWS($A$4:A19),$AF$4:$AF$153,0)),"")</f>
        <v>16</v>
      </c>
      <c r="J19" s="35" t="str">
        <f>IFERROR(INDEX($Z$4:$Z$153,MATCH(ROWS($A$4:A19),$AF$4:$AF$153,0)),"")</f>
        <v/>
      </c>
      <c r="K19" s="35" t="str">
        <f>IFERROR(INDEX($AA$4:$AA$153,MATCH(ROWS($A$4:A19),$AF$4:$AF$153,0)),"")</f>
        <v/>
      </c>
      <c r="L19" s="35" t="str">
        <f>IFERROR(INDEX($AB$4:$AB$153,MATCH(ROWS($A$4:A19),$AF$4:$AF$153,0)),"")</f>
        <v/>
      </c>
      <c r="M19" s="35" t="str">
        <f>IFERROR(INDEX($AC$4:$AC$153,MATCH(ROWS($A$4:A19),$AF$4:$AF$153,0)),"")</f>
        <v/>
      </c>
      <c r="N19" s="35">
        <f>IFERROR(INDEX($AD$4:$AD$153,MATCH(ROWS($A$4:A19),$AF$4:$AF$153,0)),"")</f>
        <v>1</v>
      </c>
      <c r="Q19" t="str">
        <f>T(JAN!B21)</f>
        <v>MARCOS EBERTZ 356601</v>
      </c>
      <c r="R19" t="str">
        <f t="array" ref="R19">IF($Q19="","",_xlfn.TEXTJOIN(", ",TRUE,IF(JAN!$G21:$AK21="HE",JAN!$G$4:$AK$4,"")))</f>
        <v/>
      </c>
      <c r="S19" t="str">
        <f t="array" ref="S19">IF($Q19="","",_xlfn.TEXTJOIN(", ",TRUE,IF(FEV!$G21:$AK21="HE",FEV!$G$4:$AK$4,"")))</f>
        <v/>
      </c>
      <c r="T19" t="str">
        <f t="array" ref="T19">IF($Q19="","",_xlfn.TEXTJOIN(", ",TRUE,IF(MAR!$G21:$AK21="HE",MAR!$G$4:$AK$4,"")))</f>
        <v/>
      </c>
      <c r="U19" t="str">
        <f t="array" ref="U19">IF($Q19="","",_xlfn.TEXTJOIN(", ",TRUE,IF(ABR!$G21:$AK21="HE",ABR!$G$4:$AK$4,"")))</f>
        <v/>
      </c>
      <c r="V19" t="str">
        <f t="array" ref="V19">IF($Q19="","",_xlfn.TEXTJOIN(", ",TRUE,IF(MAI!$G21:$AK21="HE",MAI!$G$4:$AK$4,"")))</f>
        <v/>
      </c>
      <c r="W19" t="str">
        <f t="array" ref="W19">IF($Q19="","",_xlfn.TEXTJOIN(", ",TRUE,IF(JUN!$G21:$AK21="HE",JUN!$G$4:$AK$4,"")))</f>
        <v/>
      </c>
      <c r="X19" t="str">
        <f t="array" ref="X19">IF($Q19="","",_xlfn.TEXTJOIN(", ",TRUE,IF(JUL!$G21:$AK21="HE",JUL!$G$4:$AK$4,"")))</f>
        <v/>
      </c>
      <c r="Y19" t="str">
        <f t="array" ref="Y19">IF($Q19="","",_xlfn.TEXTJOIN(", ",TRUE,IF(AGO!$G21:$AK21="HE",AGO!$G$4:$AK$4,"")))</f>
        <v/>
      </c>
      <c r="Z19" t="str">
        <f t="array" ref="Z19">IF($Q19="","",_xlfn.TEXTJOIN(", ",TRUE,IF(SET!$G21:$AK21="HE",SET!$G$4:$AK$4,"")))</f>
        <v/>
      </c>
      <c r="AA19" t="str">
        <f t="array" ref="AA19">IF($Q19="","",_xlfn.TEXTJOIN(", ",TRUE,IF(OUT!$G21:$AK21="HE",OUT!$G$4:$AK$4,"")))</f>
        <v/>
      </c>
      <c r="AB19" t="str">
        <f t="array" ref="AB19">IF($Q19="","",_xlfn.TEXTJOIN(", ",TRUE,IF(NOV!$G21:$AK21="HE",NOV!$G$4:$AK$4,"")))</f>
        <v/>
      </c>
      <c r="AC19" t="str">
        <f t="array" ref="AC19">IF($Q19="","",_xlfn.TEXTJOIN(", ",TRUE,IF(DEZ!$G21:$AK21="HE",DEZ!$G$4:$AK$4,"")))</f>
        <v/>
      </c>
      <c r="AD19">
        <f>IF($Q19="","",SUM(JAN:DEZ!C21))</f>
        <v>0</v>
      </c>
      <c r="AF19" t="str">
        <f>IF(AND($Q19&lt;&gt;"",N($AD19)&gt;0),COUNT($AF$3:AF18)+1,"")</f>
        <v/>
      </c>
    </row>
    <row r="20" spans="1:32" x14ac:dyDescent="0.25">
      <c r="A20" s="36" t="str">
        <f>IFERROR(INDEX($Q$4:$Q$153,MATCH(ROWS($A$4:A20),$AF$4:$AF$153,0)),"")</f>
        <v>EDUARDO RIBEIRO 484301</v>
      </c>
      <c r="B20" s="35" t="str">
        <f>IFERROR(INDEX($R$4:$R$153,MATCH(ROWS($A$4:A20),$AF$4:$AF$153,0)),"")</f>
        <v/>
      </c>
      <c r="C20" s="35" t="str">
        <f>IFERROR(INDEX($S$4:$S$153,MATCH(ROWS($A$4:A20),$AF$4:$AF$153,0)),"")</f>
        <v/>
      </c>
      <c r="D20" s="35" t="str">
        <f>IFERROR(INDEX($T$4:$T$153,MATCH(ROWS($A$4:A20),$AF$4:$AF$153,0)),"")</f>
        <v/>
      </c>
      <c r="E20" s="35" t="str">
        <f>IFERROR(INDEX($U$4:$U$153,MATCH(ROWS($A$4:A20),$AF$4:$AF$153,0)),"")</f>
        <v/>
      </c>
      <c r="F20" s="35" t="str">
        <f>IFERROR(INDEX($V$4:$V$153,MATCH(ROWS($A$4:A20),$AF$4:$AF$153,0)),"")</f>
        <v/>
      </c>
      <c r="G20" s="35" t="str">
        <f>IFERROR(INDEX($W$4:$W$153,MATCH(ROWS($A$4:A20),$AF$4:$AF$153,0)),"")</f>
        <v/>
      </c>
      <c r="H20" s="35" t="str">
        <f>IFERROR(INDEX($X$4:$X$153,MATCH(ROWS($A$4:A20),$AF$4:$AF$153,0)),"")</f>
        <v/>
      </c>
      <c r="I20" s="35" t="str">
        <f>IFERROR(INDEX($Y$4:$Y$153,MATCH(ROWS($A$4:A20),$AF$4:$AF$153,0)),"")</f>
        <v>2, 16</v>
      </c>
      <c r="J20" s="35" t="str">
        <f>IFERROR(INDEX($Z$4:$Z$153,MATCH(ROWS($A$4:A20),$AF$4:$AF$153,0)),"")</f>
        <v>27</v>
      </c>
      <c r="K20" s="35" t="str">
        <f>IFERROR(INDEX($AA$4:$AA$153,MATCH(ROWS($A$4:A20),$AF$4:$AF$153,0)),"")</f>
        <v/>
      </c>
      <c r="L20" s="35" t="str">
        <f>IFERROR(INDEX($AB$4:$AB$153,MATCH(ROWS($A$4:A20),$AF$4:$AF$153,0)),"")</f>
        <v/>
      </c>
      <c r="M20" s="35" t="str">
        <f>IFERROR(INDEX($AC$4:$AC$153,MATCH(ROWS($A$4:A20),$AF$4:$AF$153,0)),"")</f>
        <v/>
      </c>
      <c r="N20" s="35">
        <f>IFERROR(INDEX($AD$4:$AD$153,MATCH(ROWS($A$4:A20),$AF$4:$AF$153,0)),"")</f>
        <v>3</v>
      </c>
      <c r="Q20" t="str">
        <f>T(JAN!B22)</f>
        <v>REGIS CERETA 384101</v>
      </c>
      <c r="R20" t="str">
        <f t="array" ref="R20">IF($Q20="","",_xlfn.TEXTJOIN(", ",TRUE,IF(JAN!$G22:$AK22="HE",JAN!$G$4:$AK$4,"")))</f>
        <v/>
      </c>
      <c r="S20" t="str">
        <f t="array" ref="S20">IF($Q20="","",_xlfn.TEXTJOIN(", ",TRUE,IF(FEV!$G22:$AK22="HE",FEV!$G$4:$AK$4,"")))</f>
        <v/>
      </c>
      <c r="T20" t="str">
        <f t="array" ref="T20">IF($Q20="","",_xlfn.TEXTJOIN(", ",TRUE,IF(MAR!$G22:$AK22="HE",MAR!$G$4:$AK$4,"")))</f>
        <v/>
      </c>
      <c r="U20" t="str">
        <f t="array" ref="U20">IF($Q20="","",_xlfn.TEXTJOIN(", ",TRUE,IF(ABR!$G22:$AK22="HE",ABR!$G$4:$AK$4,"")))</f>
        <v/>
      </c>
      <c r="V20" t="str">
        <f t="array" ref="V20">IF($Q20="","",_xlfn.TEXTJOIN(", ",TRUE,IF(MAI!$G22:$AK22="HE",MAI!$G$4:$AK$4,"")))</f>
        <v/>
      </c>
      <c r="W20" t="str">
        <f t="array" ref="W20">IF($Q20="","",_xlfn.TEXTJOIN(", ",TRUE,IF(JUN!$G22:$AK22="HE",JUN!$G$4:$AK$4,"")))</f>
        <v/>
      </c>
      <c r="X20" t="str">
        <f t="array" ref="X20">IF($Q20="","",_xlfn.TEXTJOIN(", ",TRUE,IF(JUL!$G22:$AK22="HE",JUL!$G$4:$AK$4,"")))</f>
        <v/>
      </c>
      <c r="Y20" t="str">
        <f t="array" ref="Y20">IF($Q20="","",_xlfn.TEXTJOIN(", ",TRUE,IF(AGO!$G22:$AK22="HE",AGO!$G$4:$AK$4,"")))</f>
        <v/>
      </c>
      <c r="Z20" t="str">
        <f t="array" ref="Z20">IF($Q20="","",_xlfn.TEXTJOIN(", ",TRUE,IF(SET!$G22:$AK22="HE",SET!$G$4:$AK$4,"")))</f>
        <v/>
      </c>
      <c r="AA20" t="str">
        <f t="array" ref="AA20">IF($Q20="","",_xlfn.TEXTJOIN(", ",TRUE,IF(OUT!$G22:$AK22="HE",OUT!$G$4:$AK$4,"")))</f>
        <v/>
      </c>
      <c r="AB20" t="str">
        <f t="array" ref="AB20">IF($Q20="","",_xlfn.TEXTJOIN(", ",TRUE,IF(NOV!$G22:$AK22="HE",NOV!$G$4:$AK$4,"")))</f>
        <v/>
      </c>
      <c r="AC20" t="str">
        <f t="array" ref="AC20">IF($Q20="","",_xlfn.TEXTJOIN(", ",TRUE,IF(DEZ!$G22:$AK22="HE",DEZ!$G$4:$AK$4,"")))</f>
        <v/>
      </c>
      <c r="AD20">
        <f>IF($Q20="","",SUM(JAN:DEZ!C22))</f>
        <v>0</v>
      </c>
      <c r="AF20" t="str">
        <f>IF(AND($Q20&lt;&gt;"",N($AD20)&gt;0),COUNT($AF$3:AF19)+1,"")</f>
        <v/>
      </c>
    </row>
    <row r="21" spans="1:32" x14ac:dyDescent="0.25">
      <c r="A21" s="36" t="str">
        <f>IFERROR(INDEX($Q$4:$Q$153,MATCH(ROWS($A$4:A21),$AF$4:$AF$153,0)),"")</f>
        <v>ALEXANDRE MARINHO 37002252</v>
      </c>
      <c r="B21" s="35" t="str">
        <f>IFERROR(INDEX($R$4:$R$153,MATCH(ROWS($A$4:A21),$AF$4:$AF$153,0)),"")</f>
        <v/>
      </c>
      <c r="C21" s="35" t="str">
        <f>IFERROR(INDEX($S$4:$S$153,MATCH(ROWS($A$4:A21),$AF$4:$AF$153,0)),"")</f>
        <v/>
      </c>
      <c r="D21" s="35" t="str">
        <f>IFERROR(INDEX($T$4:$T$153,MATCH(ROWS($A$4:A21),$AF$4:$AF$153,0)),"")</f>
        <v/>
      </c>
      <c r="E21" s="35" t="str">
        <f>IFERROR(INDEX($U$4:$U$153,MATCH(ROWS($A$4:A21),$AF$4:$AF$153,0)),"")</f>
        <v/>
      </c>
      <c r="F21" s="35" t="str">
        <f>IFERROR(INDEX($V$4:$V$153,MATCH(ROWS($A$4:A21),$AF$4:$AF$153,0)),"")</f>
        <v/>
      </c>
      <c r="G21" s="35" t="str">
        <f>IFERROR(INDEX($W$4:$W$153,MATCH(ROWS($A$4:A21),$AF$4:$AF$153,0)),"")</f>
        <v/>
      </c>
      <c r="H21" s="35" t="str">
        <f>IFERROR(INDEX($X$4:$X$153,MATCH(ROWS($A$4:A21),$AF$4:$AF$153,0)),"")</f>
        <v/>
      </c>
      <c r="I21" s="35" t="str">
        <f>IFERROR(INDEX($Y$4:$Y$153,MATCH(ROWS($A$4:A21),$AF$4:$AF$153,0)),"")</f>
        <v>16</v>
      </c>
      <c r="J21" s="35" t="str">
        <f>IFERROR(INDEX($Z$4:$Z$153,MATCH(ROWS($A$4:A21),$AF$4:$AF$153,0)),"")</f>
        <v/>
      </c>
      <c r="K21" s="35" t="str">
        <f>IFERROR(INDEX($AA$4:$AA$153,MATCH(ROWS($A$4:A21),$AF$4:$AF$153,0)),"")</f>
        <v/>
      </c>
      <c r="L21" s="35" t="str">
        <f>IFERROR(INDEX($AB$4:$AB$153,MATCH(ROWS($A$4:A21),$AF$4:$AF$153,0)),"")</f>
        <v/>
      </c>
      <c r="M21" s="35" t="str">
        <f>IFERROR(INDEX($AC$4:$AC$153,MATCH(ROWS($A$4:A21),$AF$4:$AF$153,0)),"")</f>
        <v/>
      </c>
      <c r="N21" s="35">
        <f>IFERROR(INDEX($AD$4:$AD$153,MATCH(ROWS($A$4:A21),$AF$4:$AF$153,0)),"")</f>
        <v>1</v>
      </c>
      <c r="Q21" t="str">
        <f>T(JAN!B23)</f>
        <v>ANDERSON SANTOS 434801</v>
      </c>
      <c r="R21" t="str">
        <f t="array" ref="R21">IF($Q21="","",_xlfn.TEXTJOIN(", ",TRUE,IF(JAN!$G23:$AK23="HE",JAN!$G$4:$AK$4,"")))</f>
        <v/>
      </c>
      <c r="S21" t="str">
        <f t="array" ref="S21">IF($Q21="","",_xlfn.TEXTJOIN(", ",TRUE,IF(FEV!$G23:$AK23="HE",FEV!$G$4:$AK$4,"")))</f>
        <v/>
      </c>
      <c r="T21" t="str">
        <f t="array" ref="T21">IF($Q21="","",_xlfn.TEXTJOIN(", ",TRUE,IF(MAR!$G23:$AK23="HE",MAR!$G$4:$AK$4,"")))</f>
        <v/>
      </c>
      <c r="U21" t="str">
        <f t="array" ref="U21">IF($Q21="","",_xlfn.TEXTJOIN(", ",TRUE,IF(ABR!$G23:$AK23="HE",ABR!$G$4:$AK$4,"")))</f>
        <v/>
      </c>
      <c r="V21" t="str">
        <f t="array" ref="V21">IF($Q21="","",_xlfn.TEXTJOIN(", ",TRUE,IF(MAI!$G23:$AK23="HE",MAI!$G$4:$AK$4,"")))</f>
        <v/>
      </c>
      <c r="W21" t="str">
        <f t="array" ref="W21">IF($Q21="","",_xlfn.TEXTJOIN(", ",TRUE,IF(JUN!$G23:$AK23="HE",JUN!$G$4:$AK$4,"")))</f>
        <v/>
      </c>
      <c r="X21" t="str">
        <f t="array" ref="X21">IF($Q21="","",_xlfn.TEXTJOIN(", ",TRUE,IF(JUL!$G23:$AK23="HE",JUL!$G$4:$AK$4,"")))</f>
        <v/>
      </c>
      <c r="Y21" t="str">
        <f t="array" ref="Y21">IF($Q21="","",_xlfn.TEXTJOIN(", ",TRUE,IF(AGO!$G23:$AK23="HE",AGO!$G$4:$AK$4,"")))</f>
        <v/>
      </c>
      <c r="Z21" t="str">
        <f t="array" ref="Z21">IF($Q21="","",_xlfn.TEXTJOIN(", ",TRUE,IF(SET!$G23:$AK23="HE",SET!$G$4:$AK$4,"")))</f>
        <v/>
      </c>
      <c r="AA21" t="str">
        <f t="array" ref="AA21">IF($Q21="","",_xlfn.TEXTJOIN(", ",TRUE,IF(OUT!$G23:$AK23="HE",OUT!$G$4:$AK$4,"")))</f>
        <v/>
      </c>
      <c r="AB21" t="str">
        <f t="array" ref="AB21">IF($Q21="","",_xlfn.TEXTJOIN(", ",TRUE,IF(NOV!$G23:$AK23="HE",NOV!$G$4:$AK$4,"")))</f>
        <v/>
      </c>
      <c r="AC21" t="str">
        <f t="array" ref="AC21">IF($Q21="","",_xlfn.TEXTJOIN(", ",TRUE,IF(DEZ!$G23:$AK23="HE",DEZ!$G$4:$AK$4,"")))</f>
        <v/>
      </c>
      <c r="AD21">
        <f>IF($Q21="","",SUM(JAN:DEZ!C23))</f>
        <v>0</v>
      </c>
      <c r="AF21" t="str">
        <f>IF(AND($Q21&lt;&gt;"",N($AD21)&gt;0),COUNT($AF$3:AF20)+1,"")</f>
        <v/>
      </c>
    </row>
    <row r="22" spans="1:32" x14ac:dyDescent="0.25">
      <c r="A22" s="36" t="str">
        <f>IFERROR(INDEX($Q$4:$Q$153,MATCH(ROWS($A$4:A22),$AF$4:$AF$153,0)),"")</f>
        <v>JONATHAM DALAZEM 517501</v>
      </c>
      <c r="B22" s="35" t="str">
        <f>IFERROR(INDEX($R$4:$R$153,MATCH(ROWS($A$4:A22),$AF$4:$AF$153,0)),"")</f>
        <v/>
      </c>
      <c r="C22" s="35" t="str">
        <f>IFERROR(INDEX($S$4:$S$153,MATCH(ROWS($A$4:A22),$AF$4:$AF$153,0)),"")</f>
        <v/>
      </c>
      <c r="D22" s="35" t="str">
        <f>IFERROR(INDEX($T$4:$T$153,MATCH(ROWS($A$4:A22),$AF$4:$AF$153,0)),"")</f>
        <v/>
      </c>
      <c r="E22" s="35" t="str">
        <f>IFERROR(INDEX($U$4:$U$153,MATCH(ROWS($A$4:A22),$AF$4:$AF$153,0)),"")</f>
        <v/>
      </c>
      <c r="F22" s="35" t="str">
        <f>IFERROR(INDEX($V$4:$V$153,MATCH(ROWS($A$4:A22),$AF$4:$AF$153,0)),"")</f>
        <v/>
      </c>
      <c r="G22" s="35" t="str">
        <f>IFERROR(INDEX($W$4:$W$153,MATCH(ROWS($A$4:A22),$AF$4:$AF$153,0)),"")</f>
        <v/>
      </c>
      <c r="H22" s="35" t="str">
        <f>IFERROR(INDEX($X$4:$X$153,MATCH(ROWS($A$4:A22),$AF$4:$AF$153,0)),"")</f>
        <v/>
      </c>
      <c r="I22" s="35" t="str">
        <f>IFERROR(INDEX($Y$4:$Y$153,MATCH(ROWS($A$4:A22),$AF$4:$AF$153,0)),"")</f>
        <v/>
      </c>
      <c r="J22" s="35" t="str">
        <f>IFERROR(INDEX($Z$4:$Z$153,MATCH(ROWS($A$4:A22),$AF$4:$AF$153,0)),"")</f>
        <v>7</v>
      </c>
      <c r="K22" s="35" t="str">
        <f>IFERROR(INDEX($AA$4:$AA$153,MATCH(ROWS($A$4:A22),$AF$4:$AF$153,0)),"")</f>
        <v/>
      </c>
      <c r="L22" s="35" t="str">
        <f>IFERROR(INDEX($AB$4:$AB$153,MATCH(ROWS($A$4:A22),$AF$4:$AF$153,0)),"")</f>
        <v/>
      </c>
      <c r="M22" s="35" t="str">
        <f>IFERROR(INDEX($AC$4:$AC$153,MATCH(ROWS($A$4:A22),$AF$4:$AF$153,0)),"")</f>
        <v/>
      </c>
      <c r="N22" s="35">
        <f>IFERROR(INDEX($AD$4:$AD$153,MATCH(ROWS($A$4:A22),$AF$4:$AF$153,0)),"")</f>
        <v>1</v>
      </c>
      <c r="Q22" t="str">
        <f>T(JAN!B24)</f>
        <v>ALEX GABRIEL 37002111</v>
      </c>
      <c r="R22" t="str">
        <f t="array" ref="R22">IF($Q22="","",_xlfn.TEXTJOIN(", ",TRUE,IF(JAN!$G24:$AK24="HE",JAN!$G$4:$AK$4,"")))</f>
        <v/>
      </c>
      <c r="S22" t="str">
        <f t="array" ref="S22">IF($Q22="","",_xlfn.TEXTJOIN(", ",TRUE,IF(FEV!$G24:$AK24="HE",FEV!$G$4:$AK$4,"")))</f>
        <v/>
      </c>
      <c r="T22" t="str">
        <f t="array" ref="T22">IF($Q22="","",_xlfn.TEXTJOIN(", ",TRUE,IF(MAR!$G24:$AK24="HE",MAR!$G$4:$AK$4,"")))</f>
        <v/>
      </c>
      <c r="U22" t="str">
        <f t="array" ref="U22">IF($Q22="","",_xlfn.TEXTJOIN(", ",TRUE,IF(ABR!$G24:$AK24="HE",ABR!$G$4:$AK$4,"")))</f>
        <v/>
      </c>
      <c r="V22" t="str">
        <f t="array" ref="V22">IF($Q22="","",_xlfn.TEXTJOIN(", ",TRUE,IF(MAI!$G24:$AK24="HE",MAI!$G$4:$AK$4,"")))</f>
        <v/>
      </c>
      <c r="W22" t="str">
        <f t="array" ref="W22">IF($Q22="","",_xlfn.TEXTJOIN(", ",TRUE,IF(JUN!$G24:$AK24="HE",JUN!$G$4:$AK$4,"")))</f>
        <v/>
      </c>
      <c r="X22" t="str">
        <f t="array" ref="X22">IF($Q22="","",_xlfn.TEXTJOIN(", ",TRUE,IF(JUL!$G24:$AK24="HE",JUL!$G$4:$AK$4,"")))</f>
        <v/>
      </c>
      <c r="Y22" t="str">
        <f t="array" ref="Y22">IF($Q22="","",_xlfn.TEXTJOIN(", ",TRUE,IF(AGO!$G24:$AK24="HE",AGO!$G$4:$AK$4,"")))</f>
        <v/>
      </c>
      <c r="Z22" t="str">
        <f t="array" ref="Z22">IF($Q22="","",_xlfn.TEXTJOIN(", ",TRUE,IF(SET!$G24:$AK24="HE",SET!$G$4:$AK$4,"")))</f>
        <v/>
      </c>
      <c r="AA22" t="str">
        <f t="array" ref="AA22">IF($Q22="","",_xlfn.TEXTJOIN(", ",TRUE,IF(OUT!$G24:$AK24="HE",OUT!$G$4:$AK$4,"")))</f>
        <v/>
      </c>
      <c r="AB22" t="str">
        <f t="array" ref="AB22">IF($Q22="","",_xlfn.TEXTJOIN(", ",TRUE,IF(NOV!$G24:$AK24="HE",NOV!$G$4:$AK$4,"")))</f>
        <v/>
      </c>
      <c r="AC22" t="str">
        <f t="array" ref="AC22">IF($Q22="","",_xlfn.TEXTJOIN(", ",TRUE,IF(DEZ!$G24:$AK24="HE",DEZ!$G$4:$AK$4,"")))</f>
        <v/>
      </c>
      <c r="AD22">
        <f>IF($Q22="","",SUM(JAN:DEZ!C24))</f>
        <v>0</v>
      </c>
      <c r="AF22" t="str">
        <f>IF(AND($Q22&lt;&gt;"",N($AD22)&gt;0),COUNT($AF$3:AF21)+1,"")</f>
        <v/>
      </c>
    </row>
    <row r="23" spans="1:32" x14ac:dyDescent="0.25">
      <c r="A23" s="36" t="str">
        <f>IFERROR(INDEX($Q$4:$Q$153,MATCH(ROWS($A$4:A23),$AF$4:$AF$153,0)),"")</f>
        <v>LUCAS PEREIRA 37002099</v>
      </c>
      <c r="B23" s="35" t="str">
        <f>IFERROR(INDEX($R$4:$R$153,MATCH(ROWS($A$4:A23),$AF$4:$AF$153,0)),"")</f>
        <v/>
      </c>
      <c r="C23" s="35" t="str">
        <f>IFERROR(INDEX($S$4:$S$153,MATCH(ROWS($A$4:A23),$AF$4:$AF$153,0)),"")</f>
        <v/>
      </c>
      <c r="D23" s="35" t="str">
        <f>IFERROR(INDEX($T$4:$T$153,MATCH(ROWS($A$4:A23),$AF$4:$AF$153,0)),"")</f>
        <v/>
      </c>
      <c r="E23" s="35" t="str">
        <f>IFERROR(INDEX($U$4:$U$153,MATCH(ROWS($A$4:A23),$AF$4:$AF$153,0)),"")</f>
        <v/>
      </c>
      <c r="F23" s="35" t="str">
        <f>IFERROR(INDEX($V$4:$V$153,MATCH(ROWS($A$4:A23),$AF$4:$AF$153,0)),"")</f>
        <v/>
      </c>
      <c r="G23" s="35" t="str">
        <f>IFERROR(INDEX($W$4:$W$153,MATCH(ROWS($A$4:A23),$AF$4:$AF$153,0)),"")</f>
        <v/>
      </c>
      <c r="H23" s="35" t="str">
        <f>IFERROR(INDEX($X$4:$X$153,MATCH(ROWS($A$4:A23),$AF$4:$AF$153,0)),"")</f>
        <v/>
      </c>
      <c r="I23" s="35" t="str">
        <f>IFERROR(INDEX($Y$4:$Y$153,MATCH(ROWS($A$4:A23),$AF$4:$AF$153,0)),"")</f>
        <v/>
      </c>
      <c r="J23" s="35" t="str">
        <f>IFERROR(INDEX($Z$4:$Z$153,MATCH(ROWS($A$4:A23),$AF$4:$AF$153,0)),"")</f>
        <v>7</v>
      </c>
      <c r="K23" s="35" t="str">
        <f>IFERROR(INDEX($AA$4:$AA$153,MATCH(ROWS($A$4:A23),$AF$4:$AF$153,0)),"")</f>
        <v/>
      </c>
      <c r="L23" s="35" t="str">
        <f>IFERROR(INDEX($AB$4:$AB$153,MATCH(ROWS($A$4:A23),$AF$4:$AF$153,0)),"")</f>
        <v/>
      </c>
      <c r="M23" s="35" t="str">
        <f>IFERROR(INDEX($AC$4:$AC$153,MATCH(ROWS($A$4:A23),$AF$4:$AF$153,0)),"")</f>
        <v/>
      </c>
      <c r="N23" s="35">
        <f>IFERROR(INDEX($AD$4:$AD$153,MATCH(ROWS($A$4:A23),$AF$4:$AF$153,0)),"")</f>
        <v>1</v>
      </c>
      <c r="Q23" t="str">
        <f>T(JAN!B25)</f>
        <v>RENATO GUEDES 381901</v>
      </c>
      <c r="R23" t="str">
        <f t="array" ref="R23">IF($Q23="","",_xlfn.TEXTJOIN(", ",TRUE,IF(JAN!$G25:$AK25="HE",JAN!$G$4:$AK$4,"")))</f>
        <v/>
      </c>
      <c r="S23" t="str">
        <f t="array" ref="S23">IF($Q23="","",_xlfn.TEXTJOIN(", ",TRUE,IF(FEV!$G25:$AK25="HE",FEV!$G$4:$AK$4,"")))</f>
        <v/>
      </c>
      <c r="T23" t="str">
        <f t="array" ref="T23">IF($Q23="","",_xlfn.TEXTJOIN(", ",TRUE,IF(MAR!$G25:$AK25="HE",MAR!$G$4:$AK$4,"")))</f>
        <v/>
      </c>
      <c r="U23" t="str">
        <f t="array" ref="U23">IF($Q23="","",_xlfn.TEXTJOIN(", ",TRUE,IF(ABR!$G25:$AK25="HE",ABR!$G$4:$AK$4,"")))</f>
        <v/>
      </c>
      <c r="V23" t="str">
        <f t="array" ref="V23">IF($Q23="","",_xlfn.TEXTJOIN(", ",TRUE,IF(MAI!$G25:$AK25="HE",MAI!$G$4:$AK$4,"")))</f>
        <v/>
      </c>
      <c r="W23" t="str">
        <f t="array" ref="W23">IF($Q23="","",_xlfn.TEXTJOIN(", ",TRUE,IF(JUN!$G25:$AK25="HE",JUN!$G$4:$AK$4,"")))</f>
        <v/>
      </c>
      <c r="X23" t="str">
        <f t="array" ref="X23">IF($Q23="","",_xlfn.TEXTJOIN(", ",TRUE,IF(JUL!$G25:$AK25="HE",JUL!$G$4:$AK$4,"")))</f>
        <v>26</v>
      </c>
      <c r="Y23" t="str">
        <f t="array" ref="Y23">IF($Q23="","",_xlfn.TEXTJOIN(", ",TRUE,IF(AGO!$G25:$AK25="HE",AGO!$G$4:$AK$4,"")))</f>
        <v/>
      </c>
      <c r="Z23" t="str">
        <f t="array" ref="Z23">IF($Q23="","",_xlfn.TEXTJOIN(", ",TRUE,IF(SET!$G25:$AK25="HE",SET!$G$4:$AK$4,"")))</f>
        <v/>
      </c>
      <c r="AA23" t="str">
        <f t="array" ref="AA23">IF($Q23="","",_xlfn.TEXTJOIN(", ",TRUE,IF(OUT!$G25:$AK25="HE",OUT!$G$4:$AK$4,"")))</f>
        <v/>
      </c>
      <c r="AB23" t="str">
        <f t="array" ref="AB23">IF($Q23="","",_xlfn.TEXTJOIN(", ",TRUE,IF(NOV!$G25:$AK25="HE",NOV!$G$4:$AK$4,"")))</f>
        <v/>
      </c>
      <c r="AC23" t="str">
        <f t="array" ref="AC23">IF($Q23="","",_xlfn.TEXTJOIN(", ",TRUE,IF(DEZ!$G25:$AK25="HE",DEZ!$G$4:$AK$4,"")))</f>
        <v/>
      </c>
      <c r="AD23">
        <f>IF($Q23="","",SUM(JAN:DEZ!C25))</f>
        <v>1</v>
      </c>
      <c r="AF23">
        <f>IF(AND($Q23&lt;&gt;"",N($AD23)&gt;0),COUNT($AF$3:AF22)+1,"")</f>
        <v>11</v>
      </c>
    </row>
    <row r="24" spans="1:32" x14ac:dyDescent="0.25">
      <c r="A24" s="36" t="str">
        <f>IFERROR(INDEX($Q$4:$Q$153,MATCH(ROWS($A$4:A24),$AF$4:$AF$153,0)),"")</f>
        <v>PATRICK OLIVEIRA 361601</v>
      </c>
      <c r="B24" s="35" t="str">
        <f>IFERROR(INDEX($R$4:$R$153,MATCH(ROWS($A$4:A24),$AF$4:$AF$153,0)),"")</f>
        <v/>
      </c>
      <c r="C24" s="35" t="str">
        <f>IFERROR(INDEX($S$4:$S$153,MATCH(ROWS($A$4:A24),$AF$4:$AF$153,0)),"")</f>
        <v/>
      </c>
      <c r="D24" s="35" t="str">
        <f>IFERROR(INDEX($T$4:$T$153,MATCH(ROWS($A$4:A24),$AF$4:$AF$153,0)),"")</f>
        <v/>
      </c>
      <c r="E24" s="35" t="str">
        <f>IFERROR(INDEX($U$4:$U$153,MATCH(ROWS($A$4:A24),$AF$4:$AF$153,0)),"")</f>
        <v/>
      </c>
      <c r="F24" s="35" t="str">
        <f>IFERROR(INDEX($V$4:$V$153,MATCH(ROWS($A$4:A24),$AF$4:$AF$153,0)),"")</f>
        <v/>
      </c>
      <c r="G24" s="35" t="str">
        <f>IFERROR(INDEX($W$4:$W$153,MATCH(ROWS($A$4:A24),$AF$4:$AF$153,0)),"")</f>
        <v/>
      </c>
      <c r="H24" s="35" t="str">
        <f>IFERROR(INDEX($X$4:$X$153,MATCH(ROWS($A$4:A24),$AF$4:$AF$153,0)),"")</f>
        <v/>
      </c>
      <c r="I24" s="35" t="str">
        <f>IFERROR(INDEX($Y$4:$Y$153,MATCH(ROWS($A$4:A24),$AF$4:$AF$153,0)),"")</f>
        <v>16</v>
      </c>
      <c r="J24" s="35" t="str">
        <f>IFERROR(INDEX($Z$4:$Z$153,MATCH(ROWS($A$4:A24),$AF$4:$AF$153,0)),"")</f>
        <v/>
      </c>
      <c r="K24" s="35" t="str">
        <f>IFERROR(INDEX($AA$4:$AA$153,MATCH(ROWS($A$4:A24),$AF$4:$AF$153,0)),"")</f>
        <v/>
      </c>
      <c r="L24" s="35" t="str">
        <f>IFERROR(INDEX($AB$4:$AB$153,MATCH(ROWS($A$4:A24),$AF$4:$AF$153,0)),"")</f>
        <v/>
      </c>
      <c r="M24" s="35" t="str">
        <f>IFERROR(INDEX($AC$4:$AC$153,MATCH(ROWS($A$4:A24),$AF$4:$AF$153,0)),"")</f>
        <v/>
      </c>
      <c r="N24" s="35">
        <f>IFERROR(INDEX($AD$4:$AD$153,MATCH(ROWS($A$4:A24),$AF$4:$AF$153,0)),"")</f>
        <v>1</v>
      </c>
      <c r="Q24" t="str">
        <f>T(JAN!B26)</f>
        <v>EDUARDO SCHNEIDER 37002143</v>
      </c>
      <c r="R24" t="str">
        <f t="array" ref="R24">IF($Q24="","",_xlfn.TEXTJOIN(", ",TRUE,IF(JAN!$G26:$AK26="HE",JAN!$G$4:$AK$4,"")))</f>
        <v/>
      </c>
      <c r="S24" t="str">
        <f t="array" ref="S24">IF($Q24="","",_xlfn.TEXTJOIN(", ",TRUE,IF(FEV!$G26:$AK26="HE",FEV!$G$4:$AK$4,"")))</f>
        <v/>
      </c>
      <c r="T24" t="str">
        <f t="array" ref="T24">IF($Q24="","",_xlfn.TEXTJOIN(", ",TRUE,IF(MAR!$G26:$AK26="HE",MAR!$G$4:$AK$4,"")))</f>
        <v/>
      </c>
      <c r="U24" t="str">
        <f t="array" ref="U24">IF($Q24="","",_xlfn.TEXTJOIN(", ",TRUE,IF(ABR!$G26:$AK26="HE",ABR!$G$4:$AK$4,"")))</f>
        <v/>
      </c>
      <c r="V24" t="str">
        <f t="array" ref="V24">IF($Q24="","",_xlfn.TEXTJOIN(", ",TRUE,IF(MAI!$G26:$AK26="HE",MAI!$G$4:$AK$4,"")))</f>
        <v/>
      </c>
      <c r="W24" t="str">
        <f t="array" ref="W24">IF($Q24="","",_xlfn.TEXTJOIN(", ",TRUE,IF(JUN!$G26:$AK26="HE",JUN!$G$4:$AK$4,"")))</f>
        <v/>
      </c>
      <c r="X24" t="str">
        <f t="array" ref="X24">IF($Q24="","",_xlfn.TEXTJOIN(", ",TRUE,IF(JUL!$G26:$AK26="HE",JUL!$G$4:$AK$4,"")))</f>
        <v/>
      </c>
      <c r="Y24" t="str">
        <f t="array" ref="Y24">IF($Q24="","",_xlfn.TEXTJOIN(", ",TRUE,IF(AGO!$G26:$AK26="HE",AGO!$G$4:$AK$4,"")))</f>
        <v>16</v>
      </c>
      <c r="Z24" t="str">
        <f t="array" ref="Z24">IF($Q24="","",_xlfn.TEXTJOIN(", ",TRUE,IF(SET!$G26:$AK26="HE",SET!$G$4:$AK$4,"")))</f>
        <v/>
      </c>
      <c r="AA24" t="str">
        <f t="array" ref="AA24">IF($Q24="","",_xlfn.TEXTJOIN(", ",TRUE,IF(OUT!$G26:$AK26="HE",OUT!$G$4:$AK$4,"")))</f>
        <v>18</v>
      </c>
      <c r="AB24" t="str">
        <f t="array" ref="AB24">IF($Q24="","",_xlfn.TEXTJOIN(", ",TRUE,IF(NOV!$G26:$AK26="HE",NOV!$G$4:$AK$4,"")))</f>
        <v/>
      </c>
      <c r="AC24" t="str">
        <f t="array" ref="AC24">IF($Q24="","",_xlfn.TEXTJOIN(", ",TRUE,IF(DEZ!$G26:$AK26="HE",DEZ!$G$4:$AK$4,"")))</f>
        <v/>
      </c>
      <c r="AD24">
        <f>IF($Q24="","",SUM(JAN:DEZ!C26))</f>
        <v>2</v>
      </c>
      <c r="AF24">
        <f>IF(AND($Q24&lt;&gt;"",N($AD24)&gt;0),COUNT($AF$3:AF23)+1,"")</f>
        <v>12</v>
      </c>
    </row>
    <row r="25" spans="1:32" x14ac:dyDescent="0.25">
      <c r="A25" s="36" t="str">
        <f>IFERROR(INDEX($Q$4:$Q$153,MATCH(ROWS($A$4:A25),$AF$4:$AF$153,0)),"")</f>
        <v>DAVI FARIAS 141501</v>
      </c>
      <c r="B25" s="35" t="str">
        <f>IFERROR(INDEX($R$4:$R$153,MATCH(ROWS($A$4:A25),$AF$4:$AF$153,0)),"")</f>
        <v/>
      </c>
      <c r="C25" s="35" t="str">
        <f>IFERROR(INDEX($S$4:$S$153,MATCH(ROWS($A$4:A25),$AF$4:$AF$153,0)),"")</f>
        <v/>
      </c>
      <c r="D25" s="35" t="str">
        <f>IFERROR(INDEX($T$4:$T$153,MATCH(ROWS($A$4:A25),$AF$4:$AF$153,0)),"")</f>
        <v/>
      </c>
      <c r="E25" s="35" t="str">
        <f>IFERROR(INDEX($U$4:$U$153,MATCH(ROWS($A$4:A25),$AF$4:$AF$153,0)),"")</f>
        <v/>
      </c>
      <c r="F25" s="35" t="str">
        <f>IFERROR(INDEX($V$4:$V$153,MATCH(ROWS($A$4:A25),$AF$4:$AF$153,0)),"")</f>
        <v/>
      </c>
      <c r="G25" s="35" t="str">
        <f>IFERROR(INDEX($W$4:$W$153,MATCH(ROWS($A$4:A25),$AF$4:$AF$153,0)),"")</f>
        <v/>
      </c>
      <c r="H25" s="35" t="str">
        <f>IFERROR(INDEX($X$4:$X$153,MATCH(ROWS($A$4:A25),$AF$4:$AF$153,0)),"")</f>
        <v/>
      </c>
      <c r="I25" s="35" t="str">
        <f>IFERROR(INDEX($Y$4:$Y$153,MATCH(ROWS($A$4:A25),$AF$4:$AF$153,0)),"")</f>
        <v>16</v>
      </c>
      <c r="J25" s="35" t="str">
        <f>IFERROR(INDEX($Z$4:$Z$153,MATCH(ROWS($A$4:A25),$AF$4:$AF$153,0)),"")</f>
        <v>27</v>
      </c>
      <c r="K25" s="35" t="str">
        <f>IFERROR(INDEX($AA$4:$AA$153,MATCH(ROWS($A$4:A25),$AF$4:$AF$153,0)),"")</f>
        <v>18</v>
      </c>
      <c r="L25" s="35" t="str">
        <f>IFERROR(INDEX($AB$4:$AB$153,MATCH(ROWS($A$4:A25),$AF$4:$AF$153,0)),"")</f>
        <v/>
      </c>
      <c r="M25" s="35" t="str">
        <f>IFERROR(INDEX($AC$4:$AC$153,MATCH(ROWS($A$4:A25),$AF$4:$AF$153,0)),"")</f>
        <v/>
      </c>
      <c r="N25" s="35">
        <f>IFERROR(INDEX($AD$4:$AD$153,MATCH(ROWS($A$4:A25),$AF$4:$AF$153,0)),"")</f>
        <v>3</v>
      </c>
      <c r="Q25" t="str">
        <f>T(JAN!B27)</f>
        <v>VANDERLEI BUSSA 309601</v>
      </c>
      <c r="R25" t="str">
        <f t="array" ref="R25">IF($Q25="","",_xlfn.TEXTJOIN(", ",TRUE,IF(JAN!$G27:$AK27="HE",JAN!$G$4:$AK$4,"")))</f>
        <v/>
      </c>
      <c r="S25" t="str">
        <f t="array" ref="S25">IF($Q25="","",_xlfn.TEXTJOIN(", ",TRUE,IF(FEV!$G27:$AK27="HE",FEV!$G$4:$AK$4,"")))</f>
        <v/>
      </c>
      <c r="T25" t="str">
        <f t="array" ref="T25">IF($Q25="","",_xlfn.TEXTJOIN(", ",TRUE,IF(MAR!$G27:$AK27="HE",MAR!$G$4:$AK$4,"")))</f>
        <v/>
      </c>
      <c r="U25" t="str">
        <f t="array" ref="U25">IF($Q25="","",_xlfn.TEXTJOIN(", ",TRUE,IF(ABR!$G27:$AK27="HE",ABR!$G$4:$AK$4,"")))</f>
        <v/>
      </c>
      <c r="V25" t="str">
        <f t="array" ref="V25">IF($Q25="","",_xlfn.TEXTJOIN(", ",TRUE,IF(MAI!$G27:$AK27="HE",MAI!$G$4:$AK$4,"")))</f>
        <v/>
      </c>
      <c r="W25" t="str">
        <f t="array" ref="W25">IF($Q25="","",_xlfn.TEXTJOIN(", ",TRUE,IF(JUN!$G27:$AK27="HE",JUN!$G$4:$AK$4,"")))</f>
        <v/>
      </c>
      <c r="X25" t="str">
        <f t="array" ref="X25">IF($Q25="","",_xlfn.TEXTJOIN(", ",TRUE,IF(JUL!$G27:$AK27="HE",JUL!$G$4:$AK$4,"")))</f>
        <v/>
      </c>
      <c r="Y25" t="str">
        <f t="array" ref="Y25">IF($Q25="","",_xlfn.TEXTJOIN(", ",TRUE,IF(AGO!$G27:$AK27="HE",AGO!$G$4:$AK$4,"")))</f>
        <v>16</v>
      </c>
      <c r="Z25" t="str">
        <f t="array" ref="Z25">IF($Q25="","",_xlfn.TEXTJOIN(", ",TRUE,IF(SET!$G27:$AK27="HE",SET!$G$4:$AK$4,"")))</f>
        <v/>
      </c>
      <c r="AA25" t="str">
        <f t="array" ref="AA25">IF($Q25="","",_xlfn.TEXTJOIN(", ",TRUE,IF(OUT!$G27:$AK27="HE",OUT!$G$4:$AK$4,"")))</f>
        <v>18</v>
      </c>
      <c r="AB25" t="str">
        <f t="array" ref="AB25">IF($Q25="","",_xlfn.TEXTJOIN(", ",TRUE,IF(NOV!$G27:$AK27="HE",NOV!$G$4:$AK$4,"")))</f>
        <v/>
      </c>
      <c r="AC25" t="str">
        <f t="array" ref="AC25">IF($Q25="","",_xlfn.TEXTJOIN(", ",TRUE,IF(DEZ!$G27:$AK27="HE",DEZ!$G$4:$AK$4,"")))</f>
        <v/>
      </c>
      <c r="AD25">
        <f>IF($Q25="","",SUM(JAN:DEZ!C27))</f>
        <v>2</v>
      </c>
      <c r="AF25">
        <f>IF(AND($Q25&lt;&gt;"",N($AD25)&gt;0),COUNT($AF$3:AF24)+1,"")</f>
        <v>13</v>
      </c>
    </row>
    <row r="26" spans="1:32" x14ac:dyDescent="0.25">
      <c r="A26" s="36" t="str">
        <f>IFERROR(INDEX($Q$4:$Q$153,MATCH(ROWS($A$4:A26),$AF$4:$AF$153,0)),"")</f>
        <v>JEAN MARTINS 37002258</v>
      </c>
      <c r="B26" s="35" t="str">
        <f>IFERROR(INDEX($R$4:$R$153,MATCH(ROWS($A$4:A26),$AF$4:$AF$153,0)),"")</f>
        <v/>
      </c>
      <c r="C26" s="35" t="str">
        <f>IFERROR(INDEX($S$4:$S$153,MATCH(ROWS($A$4:A26),$AF$4:$AF$153,0)),"")</f>
        <v/>
      </c>
      <c r="D26" s="35" t="str">
        <f>IFERROR(INDEX($T$4:$T$153,MATCH(ROWS($A$4:A26),$AF$4:$AF$153,0)),"")</f>
        <v/>
      </c>
      <c r="E26" s="35" t="str">
        <f>IFERROR(INDEX($U$4:$U$153,MATCH(ROWS($A$4:A26),$AF$4:$AF$153,0)),"")</f>
        <v/>
      </c>
      <c r="F26" s="35" t="str">
        <f>IFERROR(INDEX($V$4:$V$153,MATCH(ROWS($A$4:A26),$AF$4:$AF$153,0)),"")</f>
        <v/>
      </c>
      <c r="G26" s="35" t="str">
        <f>IFERROR(INDEX($W$4:$W$153,MATCH(ROWS($A$4:A26),$AF$4:$AF$153,0)),"")</f>
        <v/>
      </c>
      <c r="H26" s="35" t="str">
        <f>IFERROR(INDEX($X$4:$X$153,MATCH(ROWS($A$4:A26),$AF$4:$AF$153,0)),"")</f>
        <v/>
      </c>
      <c r="I26" s="35" t="str">
        <f>IFERROR(INDEX($Y$4:$Y$153,MATCH(ROWS($A$4:A26),$AF$4:$AF$153,0)),"")</f>
        <v>16</v>
      </c>
      <c r="J26" s="35" t="str">
        <f>IFERROR(INDEX($Z$4:$Z$153,MATCH(ROWS($A$4:A26),$AF$4:$AF$153,0)),"")</f>
        <v/>
      </c>
      <c r="K26" s="35" t="str">
        <f>IFERROR(INDEX($AA$4:$AA$153,MATCH(ROWS($A$4:A26),$AF$4:$AF$153,0)),"")</f>
        <v/>
      </c>
      <c r="L26" s="35" t="str">
        <f>IFERROR(INDEX($AB$4:$AB$153,MATCH(ROWS($A$4:A26),$AF$4:$AF$153,0)),"")</f>
        <v/>
      </c>
      <c r="M26" s="35" t="str">
        <f>IFERROR(INDEX($AC$4:$AC$153,MATCH(ROWS($A$4:A26),$AF$4:$AF$153,0)),"")</f>
        <v/>
      </c>
      <c r="N26" s="35">
        <f>IFERROR(INDEX($AD$4:$AD$153,MATCH(ROWS($A$4:A26),$AF$4:$AF$153,0)),"")</f>
        <v>1</v>
      </c>
      <c r="Q26" t="str">
        <f>T(JAN!B28)</f>
        <v>DENIS GABRIEL 37002145</v>
      </c>
      <c r="R26" t="str">
        <f t="array" ref="R26">IF($Q26="","",_xlfn.TEXTJOIN(", ",TRUE,IF(JAN!$G28:$AK28="HE",JAN!$G$4:$AK$4,"")))</f>
        <v/>
      </c>
      <c r="S26" t="str">
        <f t="array" ref="S26">IF($Q26="","",_xlfn.TEXTJOIN(", ",TRUE,IF(FEV!$G28:$AK28="HE",FEV!$G$4:$AK$4,"")))</f>
        <v/>
      </c>
      <c r="T26" t="str">
        <f t="array" ref="T26">IF($Q26="","",_xlfn.TEXTJOIN(", ",TRUE,IF(MAR!$G28:$AK28="HE",MAR!$G$4:$AK$4,"")))</f>
        <v/>
      </c>
      <c r="U26" t="str">
        <f t="array" ref="U26">IF($Q26="","",_xlfn.TEXTJOIN(", ",TRUE,IF(ABR!$G28:$AK28="HE",ABR!$G$4:$AK$4,"")))</f>
        <v/>
      </c>
      <c r="V26" t="str">
        <f t="array" ref="V26">IF($Q26="","",_xlfn.TEXTJOIN(", ",TRUE,IF(MAI!$G28:$AK28="HE",MAI!$G$4:$AK$4,"")))</f>
        <v/>
      </c>
      <c r="W26" t="str">
        <f t="array" ref="W26">IF($Q26="","",_xlfn.TEXTJOIN(", ",TRUE,IF(JUN!$G28:$AK28="HE",JUN!$G$4:$AK$4,"")))</f>
        <v/>
      </c>
      <c r="X26" t="str">
        <f t="array" ref="X26">IF($Q26="","",_xlfn.TEXTJOIN(", ",TRUE,IF(JUL!$G28:$AK28="HE",JUL!$G$4:$AK$4,"")))</f>
        <v>26</v>
      </c>
      <c r="Y26" t="str">
        <f t="array" ref="Y26">IF($Q26="","",_xlfn.TEXTJOIN(", ",TRUE,IF(AGO!$G28:$AK28="HE",AGO!$G$4:$AK$4,"")))</f>
        <v>16</v>
      </c>
      <c r="Z26" t="str">
        <f t="array" ref="Z26">IF($Q26="","",_xlfn.TEXTJOIN(", ",TRUE,IF(SET!$G28:$AK28="HE",SET!$G$4:$AK$4,"")))</f>
        <v/>
      </c>
      <c r="AA26" t="str">
        <f t="array" ref="AA26">IF($Q26="","",_xlfn.TEXTJOIN(", ",TRUE,IF(OUT!$G28:$AK28="HE",OUT!$G$4:$AK$4,"")))</f>
        <v/>
      </c>
      <c r="AB26" t="str">
        <f t="array" ref="AB26">IF($Q26="","",_xlfn.TEXTJOIN(", ",TRUE,IF(NOV!$G28:$AK28="HE",NOV!$G$4:$AK$4,"")))</f>
        <v/>
      </c>
      <c r="AC26" t="str">
        <f t="array" ref="AC26">IF($Q26="","",_xlfn.TEXTJOIN(", ",TRUE,IF(DEZ!$G28:$AK28="HE",DEZ!$G$4:$AK$4,"")))</f>
        <v/>
      </c>
      <c r="AD26">
        <f>IF($Q26="","",SUM(JAN:DEZ!C28))</f>
        <v>2</v>
      </c>
      <c r="AF26">
        <f>IF(AND($Q26&lt;&gt;"",N($AD26)&gt;0),COUNT($AF$3:AF25)+1,"")</f>
        <v>14</v>
      </c>
    </row>
    <row r="27" spans="1:32" x14ac:dyDescent="0.25">
      <c r="A27" s="36" t="str">
        <f>IFERROR(INDEX($Q$4:$Q$153,MATCH(ROWS($A$4:A27),$AF$4:$AF$153,0)),"")</f>
        <v>GERSON FALEIRO 317801</v>
      </c>
      <c r="B27" s="35" t="str">
        <f>IFERROR(INDEX($R$4:$R$153,MATCH(ROWS($A$4:A27),$AF$4:$AF$153,0)),"")</f>
        <v/>
      </c>
      <c r="C27" s="35" t="str">
        <f>IFERROR(INDEX($S$4:$S$153,MATCH(ROWS($A$4:A27),$AF$4:$AF$153,0)),"")</f>
        <v/>
      </c>
      <c r="D27" s="35" t="str">
        <f>IFERROR(INDEX($T$4:$T$153,MATCH(ROWS($A$4:A27),$AF$4:$AF$153,0)),"")</f>
        <v/>
      </c>
      <c r="E27" s="35" t="str">
        <f>IFERROR(INDEX($U$4:$U$153,MATCH(ROWS($A$4:A27),$AF$4:$AF$153,0)),"")</f>
        <v/>
      </c>
      <c r="F27" s="35" t="str">
        <f>IFERROR(INDEX($V$4:$V$153,MATCH(ROWS($A$4:A27),$AF$4:$AF$153,0)),"")</f>
        <v/>
      </c>
      <c r="G27" s="35" t="str">
        <f>IFERROR(INDEX($W$4:$W$153,MATCH(ROWS($A$4:A27),$AF$4:$AF$153,0)),"")</f>
        <v/>
      </c>
      <c r="H27" s="35" t="str">
        <f>IFERROR(INDEX($X$4:$X$153,MATCH(ROWS($A$4:A27),$AF$4:$AF$153,0)),"")</f>
        <v/>
      </c>
      <c r="I27" s="35" t="str">
        <f>IFERROR(INDEX($Y$4:$Y$153,MATCH(ROWS($A$4:A27),$AF$4:$AF$153,0)),"")</f>
        <v>16</v>
      </c>
      <c r="J27" s="35" t="str">
        <f>IFERROR(INDEX($Z$4:$Z$153,MATCH(ROWS($A$4:A27),$AF$4:$AF$153,0)),"")</f>
        <v/>
      </c>
      <c r="K27" s="35" t="str">
        <f>IFERROR(INDEX($AA$4:$AA$153,MATCH(ROWS($A$4:A27),$AF$4:$AF$153,0)),"")</f>
        <v>18</v>
      </c>
      <c r="L27" s="35" t="str">
        <f>IFERROR(INDEX($AB$4:$AB$153,MATCH(ROWS($A$4:A27),$AF$4:$AF$153,0)),"")</f>
        <v/>
      </c>
      <c r="M27" s="35" t="str">
        <f>IFERROR(INDEX($AC$4:$AC$153,MATCH(ROWS($A$4:A27),$AF$4:$AF$153,0)),"")</f>
        <v/>
      </c>
      <c r="N27" s="35">
        <f>IFERROR(INDEX($AD$4:$AD$153,MATCH(ROWS($A$4:A27),$AF$4:$AF$153,0)),"")</f>
        <v>2</v>
      </c>
      <c r="Q27" t="str">
        <f>T(JAN!B29)</f>
        <v>DIEGO DIETRICH 352801</v>
      </c>
      <c r="R27" t="str">
        <f t="array" ref="R27">IF($Q27="","",_xlfn.TEXTJOIN(", ",TRUE,IF(JAN!$G29:$AK29="HE",JAN!$G$4:$AK$4,"")))</f>
        <v/>
      </c>
      <c r="S27" t="str">
        <f t="array" ref="S27">IF($Q27="","",_xlfn.TEXTJOIN(", ",TRUE,IF(FEV!$G29:$AK29="HE",FEV!$G$4:$AK$4,"")))</f>
        <v/>
      </c>
      <c r="T27" t="str">
        <f t="array" ref="T27">IF($Q27="","",_xlfn.TEXTJOIN(", ",TRUE,IF(MAR!$G29:$AK29="HE",MAR!$G$4:$AK$4,"")))</f>
        <v/>
      </c>
      <c r="U27" t="str">
        <f t="array" ref="U27">IF($Q27="","",_xlfn.TEXTJOIN(", ",TRUE,IF(ABR!$G29:$AK29="HE",ABR!$G$4:$AK$4,"")))</f>
        <v/>
      </c>
      <c r="V27" t="str">
        <f t="array" ref="V27">IF($Q27="","",_xlfn.TEXTJOIN(", ",TRUE,IF(MAI!$G29:$AK29="HE",MAI!$G$4:$AK$4,"")))</f>
        <v/>
      </c>
      <c r="W27" t="str">
        <f t="array" ref="W27">IF($Q27="","",_xlfn.TEXTJOIN(", ",TRUE,IF(JUN!$G29:$AK29="HE",JUN!$G$4:$AK$4,"")))</f>
        <v/>
      </c>
      <c r="X27" t="str">
        <f t="array" ref="X27">IF($Q27="","",_xlfn.TEXTJOIN(", ",TRUE,IF(JUL!$G29:$AK29="HE",JUL!$G$4:$AK$4,"")))</f>
        <v>26</v>
      </c>
      <c r="Y27" t="str">
        <f t="array" ref="Y27">IF($Q27="","",_xlfn.TEXTJOIN(", ",TRUE,IF(AGO!$G29:$AK29="HE",AGO!$G$4:$AK$4,"")))</f>
        <v/>
      </c>
      <c r="Z27" t="str">
        <f t="array" ref="Z27">IF($Q27="","",_xlfn.TEXTJOIN(", ",TRUE,IF(SET!$G29:$AK29="HE",SET!$G$4:$AK$4,"")))</f>
        <v/>
      </c>
      <c r="AA27" t="str">
        <f t="array" ref="AA27">IF($Q27="","",_xlfn.TEXTJOIN(", ",TRUE,IF(OUT!$G29:$AK29="HE",OUT!$G$4:$AK$4,"")))</f>
        <v>18</v>
      </c>
      <c r="AB27" t="str">
        <f t="array" ref="AB27">IF($Q27="","",_xlfn.TEXTJOIN(", ",TRUE,IF(NOV!$G29:$AK29="HE",NOV!$G$4:$AK$4,"")))</f>
        <v/>
      </c>
      <c r="AC27" t="str">
        <f t="array" ref="AC27">IF($Q27="","",_xlfn.TEXTJOIN(", ",TRUE,IF(DEZ!$G29:$AK29="HE",DEZ!$G$4:$AK$4,"")))</f>
        <v/>
      </c>
      <c r="AD27">
        <f>IF($Q27="","",SUM(JAN:DEZ!C29))</f>
        <v>2</v>
      </c>
      <c r="AF27">
        <f>IF(AND($Q27&lt;&gt;"",N($AD27)&gt;0),COUNT($AF$3:AF26)+1,"")</f>
        <v>15</v>
      </c>
    </row>
    <row r="28" spans="1:32" x14ac:dyDescent="0.25">
      <c r="A28" s="36" t="str">
        <f>IFERROR(INDEX($Q$4:$Q$153,MATCH(ROWS($A$4:A28),$AF$4:$AF$153,0)),"")</f>
        <v>EDENIR TRINDADE 389401</v>
      </c>
      <c r="B28" s="35" t="str">
        <f>IFERROR(INDEX($R$4:$R$153,MATCH(ROWS($A$4:A28),$AF$4:$AF$153,0)),"")</f>
        <v/>
      </c>
      <c r="C28" s="35" t="str">
        <f>IFERROR(INDEX($S$4:$S$153,MATCH(ROWS($A$4:A28),$AF$4:$AF$153,0)),"")</f>
        <v/>
      </c>
      <c r="D28" s="35" t="str">
        <f>IFERROR(INDEX($T$4:$T$153,MATCH(ROWS($A$4:A28),$AF$4:$AF$153,0)),"")</f>
        <v/>
      </c>
      <c r="E28" s="35" t="str">
        <f>IFERROR(INDEX($U$4:$U$153,MATCH(ROWS($A$4:A28),$AF$4:$AF$153,0)),"")</f>
        <v/>
      </c>
      <c r="F28" s="35" t="str">
        <f>IFERROR(INDEX($V$4:$V$153,MATCH(ROWS($A$4:A28),$AF$4:$AF$153,0)),"")</f>
        <v/>
      </c>
      <c r="G28" s="35" t="str">
        <f>IFERROR(INDEX($W$4:$W$153,MATCH(ROWS($A$4:A28),$AF$4:$AF$153,0)),"")</f>
        <v/>
      </c>
      <c r="H28" s="35" t="str">
        <f>IFERROR(INDEX($X$4:$X$153,MATCH(ROWS($A$4:A28),$AF$4:$AF$153,0)),"")</f>
        <v/>
      </c>
      <c r="I28" s="35" t="str">
        <f>IFERROR(INDEX($Y$4:$Y$153,MATCH(ROWS($A$4:A28),$AF$4:$AF$153,0)),"")</f>
        <v>2, 16</v>
      </c>
      <c r="J28" s="35" t="str">
        <f>IFERROR(INDEX($Z$4:$Z$153,MATCH(ROWS($A$4:A28),$AF$4:$AF$153,0)),"")</f>
        <v>27</v>
      </c>
      <c r="K28" s="35" t="str">
        <f>IFERROR(INDEX($AA$4:$AA$153,MATCH(ROWS($A$4:A28),$AF$4:$AF$153,0)),"")</f>
        <v/>
      </c>
      <c r="L28" s="35" t="str">
        <f>IFERROR(INDEX($AB$4:$AB$153,MATCH(ROWS($A$4:A28),$AF$4:$AF$153,0)),"")</f>
        <v/>
      </c>
      <c r="M28" s="35" t="str">
        <f>IFERROR(INDEX($AC$4:$AC$153,MATCH(ROWS($A$4:A28),$AF$4:$AF$153,0)),"")</f>
        <v/>
      </c>
      <c r="N28" s="35">
        <f>IFERROR(INDEX($AD$4:$AD$153,MATCH(ROWS($A$4:A28),$AF$4:$AF$153,0)),"")</f>
        <v>3</v>
      </c>
      <c r="Q28" t="str">
        <f>T(JAN!B30)</f>
        <v>MARCELOS DORNELLES 37002274</v>
      </c>
      <c r="R28" t="str">
        <f t="array" ref="R28">IF($Q28="","",_xlfn.TEXTJOIN(", ",TRUE,IF(JAN!$G30:$AK30="HE",JAN!$G$4:$AK$4,"")))</f>
        <v/>
      </c>
      <c r="S28" t="str">
        <f t="array" ref="S28">IF($Q28="","",_xlfn.TEXTJOIN(", ",TRUE,IF(FEV!$G30:$AK30="HE",FEV!$G$4:$AK$4,"")))</f>
        <v/>
      </c>
      <c r="T28" t="str">
        <f t="array" ref="T28">IF($Q28="","",_xlfn.TEXTJOIN(", ",TRUE,IF(MAR!$G30:$AK30="HE",MAR!$G$4:$AK$4,"")))</f>
        <v/>
      </c>
      <c r="U28" t="str">
        <f t="array" ref="U28">IF($Q28="","",_xlfn.TEXTJOIN(", ",TRUE,IF(ABR!$G30:$AK30="HE",ABR!$G$4:$AK$4,"")))</f>
        <v/>
      </c>
      <c r="V28" t="str">
        <f t="array" ref="V28">IF($Q28="","",_xlfn.TEXTJOIN(", ",TRUE,IF(MAI!$G30:$AK30="HE",MAI!$G$4:$AK$4,"")))</f>
        <v/>
      </c>
      <c r="W28" t="str">
        <f t="array" ref="W28">IF($Q28="","",_xlfn.TEXTJOIN(", ",TRUE,IF(JUN!$G30:$AK30="HE",JUN!$G$4:$AK$4,"")))</f>
        <v/>
      </c>
      <c r="X28" t="str">
        <f t="array" ref="X28">IF($Q28="","",_xlfn.TEXTJOIN(", ",TRUE,IF(JUL!$G30:$AK30="HE",JUL!$G$4:$AK$4,"")))</f>
        <v/>
      </c>
      <c r="Y28" t="str">
        <f t="array" ref="Y28">IF($Q28="","",_xlfn.TEXTJOIN(", ",TRUE,IF(AGO!$G30:$AK30="HE",AGO!$G$4:$AK$4,"")))</f>
        <v/>
      </c>
      <c r="Z28" t="str">
        <f t="array" ref="Z28">IF($Q28="","",_xlfn.TEXTJOIN(", ",TRUE,IF(SET!$G30:$AK30="HE",SET!$G$4:$AK$4,"")))</f>
        <v/>
      </c>
      <c r="AA28" t="str">
        <f t="array" ref="AA28">IF($Q28="","",_xlfn.TEXTJOIN(", ",TRUE,IF(OUT!$G30:$AK30="HE",OUT!$G$4:$AK$4,"")))</f>
        <v/>
      </c>
      <c r="AB28" t="str">
        <f t="array" ref="AB28">IF($Q28="","",_xlfn.TEXTJOIN(", ",TRUE,IF(NOV!$G30:$AK30="HE",NOV!$G$4:$AK$4,"")))</f>
        <v/>
      </c>
      <c r="AC28" t="str">
        <f t="array" ref="AC28">IF($Q28="","",_xlfn.TEXTJOIN(", ",TRUE,IF(DEZ!$G30:$AK30="HE",DEZ!$G$4:$AK$4,"")))</f>
        <v/>
      </c>
      <c r="AD28">
        <f>IF($Q28="","",SUM(JAN:DEZ!C30))</f>
        <v>0</v>
      </c>
      <c r="AF28" t="str">
        <f>IF(AND($Q28&lt;&gt;"",N($AD28)&gt;0),COUNT($AF$3:AF27)+1,"")</f>
        <v/>
      </c>
    </row>
    <row r="29" spans="1:32" x14ac:dyDescent="0.25">
      <c r="A29" s="36" t="str">
        <f>IFERROR(INDEX($Q$4:$Q$153,MATCH(ROWS($A$4:A29),$AF$4:$AF$153,0)),"")</f>
        <v>DIEGO BOEIRA 125801</v>
      </c>
      <c r="B29" s="35" t="str">
        <f>IFERROR(INDEX($R$4:$R$153,MATCH(ROWS($A$4:A29),$AF$4:$AF$153,0)),"")</f>
        <v/>
      </c>
      <c r="C29" s="35" t="str">
        <f>IFERROR(INDEX($S$4:$S$153,MATCH(ROWS($A$4:A29),$AF$4:$AF$153,0)),"")</f>
        <v/>
      </c>
      <c r="D29" s="35" t="str">
        <f>IFERROR(INDEX($T$4:$T$153,MATCH(ROWS($A$4:A29),$AF$4:$AF$153,0)),"")</f>
        <v/>
      </c>
      <c r="E29" s="35" t="str">
        <f>IFERROR(INDEX($U$4:$U$153,MATCH(ROWS($A$4:A29),$AF$4:$AF$153,0)),"")</f>
        <v/>
      </c>
      <c r="F29" s="35" t="str">
        <f>IFERROR(INDEX($V$4:$V$153,MATCH(ROWS($A$4:A29),$AF$4:$AF$153,0)),"")</f>
        <v/>
      </c>
      <c r="G29" s="35" t="str">
        <f>IFERROR(INDEX($W$4:$W$153,MATCH(ROWS($A$4:A29),$AF$4:$AF$153,0)),"")</f>
        <v/>
      </c>
      <c r="H29" s="35" t="str">
        <f>IFERROR(INDEX($X$4:$X$153,MATCH(ROWS($A$4:A29),$AF$4:$AF$153,0)),"")</f>
        <v>19</v>
      </c>
      <c r="I29" s="35" t="str">
        <f>IFERROR(INDEX($Y$4:$Y$153,MATCH(ROWS($A$4:A29),$AF$4:$AF$153,0)),"")</f>
        <v>16</v>
      </c>
      <c r="J29" s="35" t="str">
        <f>IFERROR(INDEX($Z$4:$Z$153,MATCH(ROWS($A$4:A29),$AF$4:$AF$153,0)),"")</f>
        <v/>
      </c>
      <c r="K29" s="35" t="str">
        <f>IFERROR(INDEX($AA$4:$AA$153,MATCH(ROWS($A$4:A29),$AF$4:$AF$153,0)),"")</f>
        <v/>
      </c>
      <c r="L29" s="35" t="str">
        <f>IFERROR(INDEX($AB$4:$AB$153,MATCH(ROWS($A$4:A29),$AF$4:$AF$153,0)),"")</f>
        <v/>
      </c>
      <c r="M29" s="35" t="str">
        <f>IFERROR(INDEX($AC$4:$AC$153,MATCH(ROWS($A$4:A29),$AF$4:$AF$153,0)),"")</f>
        <v/>
      </c>
      <c r="N29" s="35">
        <f>IFERROR(INDEX($AD$4:$AD$153,MATCH(ROWS($A$4:A29),$AF$4:$AF$153,0)),"")</f>
        <v>2</v>
      </c>
      <c r="Q29" t="str">
        <f>T(JAN!B31)</f>
        <v>ALEXANDRE NUNES 461301</v>
      </c>
      <c r="R29" t="str">
        <f t="array" ref="R29">IF($Q29="","",_xlfn.TEXTJOIN(", ",TRUE,IF(JAN!$G31:$AK31="HE",JAN!$G$4:$AK$4,"")))</f>
        <v/>
      </c>
      <c r="S29" t="str">
        <f t="array" ref="S29">IF($Q29="","",_xlfn.TEXTJOIN(", ",TRUE,IF(FEV!$G31:$AK31="HE",FEV!$G$4:$AK$4,"")))</f>
        <v/>
      </c>
      <c r="T29" t="str">
        <f t="array" ref="T29">IF($Q29="","",_xlfn.TEXTJOIN(", ",TRUE,IF(MAR!$G31:$AK31="HE",MAR!$G$4:$AK$4,"")))</f>
        <v/>
      </c>
      <c r="U29" t="str">
        <f t="array" ref="U29">IF($Q29="","",_xlfn.TEXTJOIN(", ",TRUE,IF(ABR!$G31:$AK31="HE",ABR!$G$4:$AK$4,"")))</f>
        <v/>
      </c>
      <c r="V29" t="str">
        <f t="array" ref="V29">IF($Q29="","",_xlfn.TEXTJOIN(", ",TRUE,IF(MAI!$G31:$AK31="HE",MAI!$G$4:$AK$4,"")))</f>
        <v/>
      </c>
      <c r="W29" t="str">
        <f t="array" ref="W29">IF($Q29="","",_xlfn.TEXTJOIN(", ",TRUE,IF(JUN!$G31:$AK31="HE",JUN!$G$4:$AK$4,"")))</f>
        <v/>
      </c>
      <c r="X29" t="str">
        <f t="array" ref="X29">IF($Q29="","",_xlfn.TEXTJOIN(", ",TRUE,IF(JUL!$G31:$AK31="HE",JUL!$G$4:$AK$4,"")))</f>
        <v/>
      </c>
      <c r="Y29" t="str">
        <f t="array" ref="Y29">IF($Q29="","",_xlfn.TEXTJOIN(", ",TRUE,IF(AGO!$G31:$AK31="HE",AGO!$G$4:$AK$4,"")))</f>
        <v/>
      </c>
      <c r="Z29" t="str">
        <f t="array" ref="Z29">IF($Q29="","",_xlfn.TEXTJOIN(", ",TRUE,IF(SET!$G31:$AK31="HE",SET!$G$4:$AK$4,"")))</f>
        <v/>
      </c>
      <c r="AA29" t="str">
        <f t="array" ref="AA29">IF($Q29="","",_xlfn.TEXTJOIN(", ",TRUE,IF(OUT!$G31:$AK31="HE",OUT!$G$4:$AK$4,"")))</f>
        <v/>
      </c>
      <c r="AB29" t="str">
        <f t="array" ref="AB29">IF($Q29="","",_xlfn.TEXTJOIN(", ",TRUE,IF(NOV!$G31:$AK31="HE",NOV!$G$4:$AK$4,"")))</f>
        <v/>
      </c>
      <c r="AC29" t="str">
        <f t="array" ref="AC29">IF($Q29="","",_xlfn.TEXTJOIN(", ",TRUE,IF(DEZ!$G31:$AK31="HE",DEZ!$G$4:$AK$4,"")))</f>
        <v/>
      </c>
      <c r="AD29">
        <f>IF($Q29="","",SUM(JAN:DEZ!C31))</f>
        <v>0</v>
      </c>
      <c r="AF29" t="str">
        <f>IF(AND($Q29&lt;&gt;"",N($AD29)&gt;0),COUNT($AF$3:AF28)+1,"")</f>
        <v/>
      </c>
    </row>
    <row r="30" spans="1:32" x14ac:dyDescent="0.25">
      <c r="A30" s="36" t="str">
        <f>IFERROR(INDEX($Q$4:$Q$153,MATCH(ROWS($A$4:A30),$AF$4:$AF$153,0)),"")</f>
        <v>STEFAN KOVALICK 310001</v>
      </c>
      <c r="B30" s="35" t="str">
        <f>IFERROR(INDEX($R$4:$R$153,MATCH(ROWS($A$4:A30),$AF$4:$AF$153,0)),"")</f>
        <v/>
      </c>
      <c r="C30" s="35" t="str">
        <f>IFERROR(INDEX($S$4:$S$153,MATCH(ROWS($A$4:A30),$AF$4:$AF$153,0)),"")</f>
        <v/>
      </c>
      <c r="D30" s="35" t="str">
        <f>IFERROR(INDEX($T$4:$T$153,MATCH(ROWS($A$4:A30),$AF$4:$AF$153,0)),"")</f>
        <v/>
      </c>
      <c r="E30" s="35" t="str">
        <f>IFERROR(INDEX($U$4:$U$153,MATCH(ROWS($A$4:A30),$AF$4:$AF$153,0)),"")</f>
        <v/>
      </c>
      <c r="F30" s="35" t="str">
        <f>IFERROR(INDEX($V$4:$V$153,MATCH(ROWS($A$4:A30),$AF$4:$AF$153,0)),"")</f>
        <v/>
      </c>
      <c r="G30" s="35" t="str">
        <f>IFERROR(INDEX($W$4:$W$153,MATCH(ROWS($A$4:A30),$AF$4:$AF$153,0)),"")</f>
        <v/>
      </c>
      <c r="H30" s="35" t="str">
        <f>IFERROR(INDEX($X$4:$X$153,MATCH(ROWS($A$4:A30),$AF$4:$AF$153,0)),"")</f>
        <v>19</v>
      </c>
      <c r="I30" s="35" t="str">
        <f>IFERROR(INDEX($Y$4:$Y$153,MATCH(ROWS($A$4:A30),$AF$4:$AF$153,0)),"")</f>
        <v>2, 16</v>
      </c>
      <c r="J30" s="35" t="str">
        <f>IFERROR(INDEX($Z$4:$Z$153,MATCH(ROWS($A$4:A30),$AF$4:$AF$153,0)),"")</f>
        <v>20</v>
      </c>
      <c r="K30" s="35" t="str">
        <f>IFERROR(INDEX($AA$4:$AA$153,MATCH(ROWS($A$4:A30),$AF$4:$AF$153,0)),"")</f>
        <v>11</v>
      </c>
      <c r="L30" s="35" t="str">
        <f>IFERROR(INDEX($AB$4:$AB$153,MATCH(ROWS($A$4:A30),$AF$4:$AF$153,0)),"")</f>
        <v/>
      </c>
      <c r="M30" s="35" t="str">
        <f>IFERROR(INDEX($AC$4:$AC$153,MATCH(ROWS($A$4:A30),$AF$4:$AF$153,0)),"")</f>
        <v/>
      </c>
      <c r="N30" s="35">
        <f>IFERROR(INDEX($AD$4:$AD$153,MATCH(ROWS($A$4:A30),$AF$4:$AF$153,0)),"")</f>
        <v>5</v>
      </c>
      <c r="Q30" t="str">
        <f>T(JAN!B32)</f>
        <v>DIGO GRAZCKI 37002136</v>
      </c>
      <c r="R30" t="str">
        <f t="array" ref="R30">IF($Q30="","",_xlfn.TEXTJOIN(", ",TRUE,IF(JAN!$G32:$AK32="HE",JAN!$G$4:$AK$4,"")))</f>
        <v/>
      </c>
      <c r="S30" t="str">
        <f t="array" ref="S30">IF($Q30="","",_xlfn.TEXTJOIN(", ",TRUE,IF(FEV!$G32:$AK32="HE",FEV!$G$4:$AK$4,"")))</f>
        <v/>
      </c>
      <c r="T30" t="str">
        <f t="array" ref="T30">IF($Q30="","",_xlfn.TEXTJOIN(", ",TRUE,IF(MAR!$G32:$AK32="HE",MAR!$G$4:$AK$4,"")))</f>
        <v/>
      </c>
      <c r="U30" t="str">
        <f t="array" ref="U30">IF($Q30="","",_xlfn.TEXTJOIN(", ",TRUE,IF(ABR!$G32:$AK32="HE",ABR!$G$4:$AK$4,"")))</f>
        <v/>
      </c>
      <c r="V30" t="str">
        <f t="array" ref="V30">IF($Q30="","",_xlfn.TEXTJOIN(", ",TRUE,IF(MAI!$G32:$AK32="HE",MAI!$G$4:$AK$4,"")))</f>
        <v/>
      </c>
      <c r="W30" t="str">
        <f t="array" ref="W30">IF($Q30="","",_xlfn.TEXTJOIN(", ",TRUE,IF(JUN!$G32:$AK32="HE",JUN!$G$4:$AK$4,"")))</f>
        <v/>
      </c>
      <c r="X30" t="str">
        <f t="array" ref="X30">IF($Q30="","",_xlfn.TEXTJOIN(", ",TRUE,IF(JUL!$G32:$AK32="HE",JUL!$G$4:$AK$4,"")))</f>
        <v/>
      </c>
      <c r="Y30" t="str">
        <f t="array" ref="Y30">IF($Q30="","",_xlfn.TEXTJOIN(", ",TRUE,IF(AGO!$G32:$AK32="HE",AGO!$G$4:$AK$4,"")))</f>
        <v>16</v>
      </c>
      <c r="Z30" t="str">
        <f t="array" ref="Z30">IF($Q30="","",_xlfn.TEXTJOIN(", ",TRUE,IF(SET!$G32:$AK32="HE",SET!$G$4:$AK$4,"")))</f>
        <v/>
      </c>
      <c r="AA30" t="str">
        <f t="array" ref="AA30">IF($Q30="","",_xlfn.TEXTJOIN(", ",TRUE,IF(OUT!$G32:$AK32="HE",OUT!$G$4:$AK$4,"")))</f>
        <v/>
      </c>
      <c r="AB30" t="str">
        <f t="array" ref="AB30">IF($Q30="","",_xlfn.TEXTJOIN(", ",TRUE,IF(NOV!$G32:$AK32="HE",NOV!$G$4:$AK$4,"")))</f>
        <v/>
      </c>
      <c r="AC30" t="str">
        <f t="array" ref="AC30">IF($Q30="","",_xlfn.TEXTJOIN(", ",TRUE,IF(DEZ!$G32:$AK32="HE",DEZ!$G$4:$AK$4,"")))</f>
        <v/>
      </c>
      <c r="AD30">
        <f>IF($Q30="","",SUM(JAN:DEZ!C32))</f>
        <v>1</v>
      </c>
      <c r="AF30">
        <f>IF(AND($Q30&lt;&gt;"",N($AD30)&gt;0),COUNT($AF$3:AF29)+1,"")</f>
        <v>16</v>
      </c>
    </row>
    <row r="31" spans="1:32" x14ac:dyDescent="0.25">
      <c r="A31" s="36" t="str">
        <f>IFERROR(INDEX($Q$4:$Q$153,MATCH(ROWS($A$4:A31),$AF$4:$AF$153,0)),"")</f>
        <v>JEFERSON SCHENA 309901</v>
      </c>
      <c r="B31" s="35" t="str">
        <f>IFERROR(INDEX($R$4:$R$153,MATCH(ROWS($A$4:A31),$AF$4:$AF$153,0)),"")</f>
        <v/>
      </c>
      <c r="C31" s="35" t="str">
        <f>IFERROR(INDEX($S$4:$S$153,MATCH(ROWS($A$4:A31),$AF$4:$AF$153,0)),"")</f>
        <v/>
      </c>
      <c r="D31" s="35" t="str">
        <f>IFERROR(INDEX($T$4:$T$153,MATCH(ROWS($A$4:A31),$AF$4:$AF$153,0)),"")</f>
        <v/>
      </c>
      <c r="E31" s="35" t="str">
        <f>IFERROR(INDEX($U$4:$U$153,MATCH(ROWS($A$4:A31),$AF$4:$AF$153,0)),"")</f>
        <v/>
      </c>
      <c r="F31" s="35" t="str">
        <f>IFERROR(INDEX($V$4:$V$153,MATCH(ROWS($A$4:A31),$AF$4:$AF$153,0)),"")</f>
        <v/>
      </c>
      <c r="G31" s="35" t="str">
        <f>IFERROR(INDEX($W$4:$W$153,MATCH(ROWS($A$4:A31),$AF$4:$AF$153,0)),"")</f>
        <v/>
      </c>
      <c r="H31" s="35" t="str">
        <f>IFERROR(INDEX($X$4:$X$153,MATCH(ROWS($A$4:A31),$AF$4:$AF$153,0)),"")</f>
        <v/>
      </c>
      <c r="I31" s="35" t="str">
        <f>IFERROR(INDEX($Y$4:$Y$153,MATCH(ROWS($A$4:A31),$AF$4:$AF$153,0)),"")</f>
        <v/>
      </c>
      <c r="J31" s="35" t="str">
        <f>IFERROR(INDEX($Z$4:$Z$153,MATCH(ROWS($A$4:A31),$AF$4:$AF$153,0)),"")</f>
        <v/>
      </c>
      <c r="K31" s="35" t="str">
        <f>IFERROR(INDEX($AA$4:$AA$153,MATCH(ROWS($A$4:A31),$AF$4:$AF$153,0)),"")</f>
        <v>18</v>
      </c>
      <c r="L31" s="35" t="str">
        <f>IFERROR(INDEX($AB$4:$AB$153,MATCH(ROWS($A$4:A31),$AF$4:$AF$153,0)),"")</f>
        <v/>
      </c>
      <c r="M31" s="35" t="str">
        <f>IFERROR(INDEX($AC$4:$AC$153,MATCH(ROWS($A$4:A31),$AF$4:$AF$153,0)),"")</f>
        <v/>
      </c>
      <c r="N31" s="35">
        <f>IFERROR(INDEX($AD$4:$AD$153,MATCH(ROWS($A$4:A31),$AF$4:$AF$153,0)),"")</f>
        <v>1</v>
      </c>
      <c r="Q31" t="str">
        <f>T(JAN!B33)</f>
        <v>CHARLES SCOT 310301</v>
      </c>
      <c r="R31" t="str">
        <f t="array" ref="R31">IF($Q31="","",_xlfn.TEXTJOIN(", ",TRUE,IF(JAN!$G33:$AK33="HE",JAN!$G$4:$AK$4,"")))</f>
        <v/>
      </c>
      <c r="S31" t="str">
        <f t="array" ref="S31">IF($Q31="","",_xlfn.TEXTJOIN(", ",TRUE,IF(FEV!$G33:$AK33="HE",FEV!$G$4:$AK$4,"")))</f>
        <v/>
      </c>
      <c r="T31" t="str">
        <f t="array" ref="T31">IF($Q31="","",_xlfn.TEXTJOIN(", ",TRUE,IF(MAR!$G33:$AK33="HE",MAR!$G$4:$AK$4,"")))</f>
        <v/>
      </c>
      <c r="U31" t="str">
        <f t="array" ref="U31">IF($Q31="","",_xlfn.TEXTJOIN(", ",TRUE,IF(ABR!$G33:$AK33="HE",ABR!$G$4:$AK$4,"")))</f>
        <v/>
      </c>
      <c r="V31" t="str">
        <f t="array" ref="V31">IF($Q31="","",_xlfn.TEXTJOIN(", ",TRUE,IF(MAI!$G33:$AK33="HE",MAI!$G$4:$AK$4,"")))</f>
        <v/>
      </c>
      <c r="W31" t="str">
        <f t="array" ref="W31">IF($Q31="","",_xlfn.TEXTJOIN(", ",TRUE,IF(JUN!$G33:$AK33="HE",JUN!$G$4:$AK$4,"")))</f>
        <v/>
      </c>
      <c r="X31" t="str">
        <f t="array" ref="X31">IF($Q31="","",_xlfn.TEXTJOIN(", ",TRUE,IF(JUL!$G33:$AK33="HE",JUL!$G$4:$AK$4,"")))</f>
        <v/>
      </c>
      <c r="Y31" t="str">
        <f t="array" ref="Y31">IF($Q31="","",_xlfn.TEXTJOIN(", ",TRUE,IF(AGO!$G33:$AK33="HE",AGO!$G$4:$AK$4,"")))</f>
        <v/>
      </c>
      <c r="Z31" t="str">
        <f t="array" ref="Z31">IF($Q31="","",_xlfn.TEXTJOIN(", ",TRUE,IF(SET!$G33:$AK33="HE",SET!$G$4:$AK$4,"")))</f>
        <v/>
      </c>
      <c r="AA31" t="str">
        <f t="array" ref="AA31">IF($Q31="","",_xlfn.TEXTJOIN(", ",TRUE,IF(OUT!$G33:$AK33="HE",OUT!$G$4:$AK$4,"")))</f>
        <v/>
      </c>
      <c r="AB31" t="str">
        <f t="array" ref="AB31">IF($Q31="","",_xlfn.TEXTJOIN(", ",TRUE,IF(NOV!$G33:$AK33="HE",NOV!$G$4:$AK$4,"")))</f>
        <v/>
      </c>
      <c r="AC31" t="str">
        <f t="array" ref="AC31">IF($Q31="","",_xlfn.TEXTJOIN(", ",TRUE,IF(DEZ!$G33:$AK33="HE",DEZ!$G$4:$AK$4,"")))</f>
        <v/>
      </c>
      <c r="AD31">
        <f>IF($Q31="","",SUM(JAN:DEZ!C33))</f>
        <v>0</v>
      </c>
      <c r="AF31" t="str">
        <f>IF(AND($Q31&lt;&gt;"",N($AD31)&gt;0),COUNT($AF$3:AF30)+1,"")</f>
        <v/>
      </c>
    </row>
    <row r="32" spans="1:32" x14ac:dyDescent="0.25">
      <c r="A32" s="36" t="str">
        <f>IFERROR(INDEX($Q$4:$Q$153,MATCH(ROWS($A$4:A32),$AF$4:$AF$153,0)),"")</f>
        <v>FABIANO BORGES 128901</v>
      </c>
      <c r="B32" s="35" t="str">
        <f>IFERROR(INDEX($R$4:$R$153,MATCH(ROWS($A$4:A32),$AF$4:$AF$153,0)),"")</f>
        <v/>
      </c>
      <c r="C32" s="35" t="str">
        <f>IFERROR(INDEX($S$4:$S$153,MATCH(ROWS($A$4:A32),$AF$4:$AF$153,0)),"")</f>
        <v/>
      </c>
      <c r="D32" s="35" t="str">
        <f>IFERROR(INDEX($T$4:$T$153,MATCH(ROWS($A$4:A32),$AF$4:$AF$153,0)),"")</f>
        <v/>
      </c>
      <c r="E32" s="35" t="str">
        <f>IFERROR(INDEX($U$4:$U$153,MATCH(ROWS($A$4:A32),$AF$4:$AF$153,0)),"")</f>
        <v/>
      </c>
      <c r="F32" s="35" t="str">
        <f>IFERROR(INDEX($V$4:$V$153,MATCH(ROWS($A$4:A32),$AF$4:$AF$153,0)),"")</f>
        <v/>
      </c>
      <c r="G32" s="35" t="str">
        <f>IFERROR(INDEX($W$4:$W$153,MATCH(ROWS($A$4:A32),$AF$4:$AF$153,0)),"")</f>
        <v/>
      </c>
      <c r="H32" s="35" t="str">
        <f>IFERROR(INDEX($X$4:$X$153,MATCH(ROWS($A$4:A32),$AF$4:$AF$153,0)),"")</f>
        <v/>
      </c>
      <c r="I32" s="35" t="str">
        <f>IFERROR(INDEX($Y$4:$Y$153,MATCH(ROWS($A$4:A32),$AF$4:$AF$153,0)),"")</f>
        <v>16</v>
      </c>
      <c r="J32" s="35" t="str">
        <f>IFERROR(INDEX($Z$4:$Z$153,MATCH(ROWS($A$4:A32),$AF$4:$AF$153,0)),"")</f>
        <v/>
      </c>
      <c r="K32" s="35" t="str">
        <f>IFERROR(INDEX($AA$4:$AA$153,MATCH(ROWS($A$4:A32),$AF$4:$AF$153,0)),"")</f>
        <v/>
      </c>
      <c r="L32" s="35" t="str">
        <f>IFERROR(INDEX($AB$4:$AB$153,MATCH(ROWS($A$4:A32),$AF$4:$AF$153,0)),"")</f>
        <v/>
      </c>
      <c r="M32" s="35" t="str">
        <f>IFERROR(INDEX($AC$4:$AC$153,MATCH(ROWS($A$4:A32),$AF$4:$AF$153,0)),"")</f>
        <v/>
      </c>
      <c r="N32" s="35">
        <f>IFERROR(INDEX($AD$4:$AD$153,MATCH(ROWS($A$4:A32),$AF$4:$AF$153,0)),"")</f>
        <v>1</v>
      </c>
      <c r="Q32" t="str">
        <f>T(JAN!B34)</f>
        <v>EDUARDO RIBEIRO 484301</v>
      </c>
      <c r="R32" t="str">
        <f t="array" ref="R32">IF($Q32="","",_xlfn.TEXTJOIN(", ",TRUE,IF(JAN!$G34:$AK34="HE",JAN!$G$4:$AK$4,"")))</f>
        <v/>
      </c>
      <c r="S32" t="str">
        <f t="array" ref="S32">IF($Q32="","",_xlfn.TEXTJOIN(", ",TRUE,IF(FEV!$G34:$AK34="HE",FEV!$G$4:$AK$4,"")))</f>
        <v/>
      </c>
      <c r="T32" t="str">
        <f t="array" ref="T32">IF($Q32="","",_xlfn.TEXTJOIN(", ",TRUE,IF(MAR!$G34:$AK34="HE",MAR!$G$4:$AK$4,"")))</f>
        <v/>
      </c>
      <c r="U32" t="str">
        <f t="array" ref="U32">IF($Q32="","",_xlfn.TEXTJOIN(", ",TRUE,IF(ABR!$G34:$AK34="HE",ABR!$G$4:$AK$4,"")))</f>
        <v/>
      </c>
      <c r="V32" t="str">
        <f t="array" ref="V32">IF($Q32="","",_xlfn.TEXTJOIN(", ",TRUE,IF(MAI!$G34:$AK34="HE",MAI!$G$4:$AK$4,"")))</f>
        <v/>
      </c>
      <c r="W32" t="str">
        <f t="array" ref="W32">IF($Q32="","",_xlfn.TEXTJOIN(", ",TRUE,IF(JUN!$G34:$AK34="HE",JUN!$G$4:$AK$4,"")))</f>
        <v/>
      </c>
      <c r="X32" t="str">
        <f t="array" ref="X32">IF($Q32="","",_xlfn.TEXTJOIN(", ",TRUE,IF(JUL!$G34:$AK34="HE",JUL!$G$4:$AK$4,"")))</f>
        <v/>
      </c>
      <c r="Y32" t="str">
        <f t="array" ref="Y32">IF($Q32="","",_xlfn.TEXTJOIN(", ",TRUE,IF(AGO!$G34:$AK34="HE",AGO!$G$4:$AK$4,"")))</f>
        <v>2, 16</v>
      </c>
      <c r="Z32" t="str">
        <f t="array" ref="Z32">IF($Q32="","",_xlfn.TEXTJOIN(", ",TRUE,IF(SET!$G34:$AK34="HE",SET!$G$4:$AK$4,"")))</f>
        <v>27</v>
      </c>
      <c r="AA32" t="str">
        <f t="array" ref="AA32">IF($Q32="","",_xlfn.TEXTJOIN(", ",TRUE,IF(OUT!$G34:$AK34="HE",OUT!$G$4:$AK$4,"")))</f>
        <v/>
      </c>
      <c r="AB32" t="str">
        <f t="array" ref="AB32">IF($Q32="","",_xlfn.TEXTJOIN(", ",TRUE,IF(NOV!$G34:$AK34="HE",NOV!$G$4:$AK$4,"")))</f>
        <v/>
      </c>
      <c r="AC32" t="str">
        <f t="array" ref="AC32">IF($Q32="","",_xlfn.TEXTJOIN(", ",TRUE,IF(DEZ!$G34:$AK34="HE",DEZ!$G$4:$AK$4,"")))</f>
        <v/>
      </c>
      <c r="AD32">
        <f>IF($Q32="","",SUM(JAN:DEZ!C34))</f>
        <v>3</v>
      </c>
      <c r="AF32">
        <f>IF(AND($Q32&lt;&gt;"",N($AD32)&gt;0),COUNT($AF$3:AF31)+1,"")</f>
        <v>17</v>
      </c>
    </row>
    <row r="33" spans="1:32" x14ac:dyDescent="0.25">
      <c r="A33" s="36" t="str">
        <f>IFERROR(INDEX($Q$4:$Q$153,MATCH(ROWS($A$4:A33),$AF$4:$AF$153,0)),"")</f>
        <v>LAUTIER ALMEIDA 317501</v>
      </c>
      <c r="B33" s="35" t="str">
        <f>IFERROR(INDEX($R$4:$R$153,MATCH(ROWS($A$4:A33),$AF$4:$AF$153,0)),"")</f>
        <v/>
      </c>
      <c r="C33" s="35" t="str">
        <f>IFERROR(INDEX($S$4:$S$153,MATCH(ROWS($A$4:A33),$AF$4:$AF$153,0)),"")</f>
        <v/>
      </c>
      <c r="D33" s="35" t="str">
        <f>IFERROR(INDEX($T$4:$T$153,MATCH(ROWS($A$4:A33),$AF$4:$AF$153,0)),"")</f>
        <v/>
      </c>
      <c r="E33" s="35" t="str">
        <f>IFERROR(INDEX($U$4:$U$153,MATCH(ROWS($A$4:A33),$AF$4:$AF$153,0)),"")</f>
        <v/>
      </c>
      <c r="F33" s="35" t="str">
        <f>IFERROR(INDEX($V$4:$V$153,MATCH(ROWS($A$4:A33),$AF$4:$AF$153,0)),"")</f>
        <v/>
      </c>
      <c r="G33" s="35" t="str">
        <f>IFERROR(INDEX($W$4:$W$153,MATCH(ROWS($A$4:A33),$AF$4:$AF$153,0)),"")</f>
        <v/>
      </c>
      <c r="H33" s="35" t="str">
        <f>IFERROR(INDEX($X$4:$X$153,MATCH(ROWS($A$4:A33),$AF$4:$AF$153,0)),"")</f>
        <v/>
      </c>
      <c r="I33" s="35" t="str">
        <f>IFERROR(INDEX($Y$4:$Y$153,MATCH(ROWS($A$4:A33),$AF$4:$AF$153,0)),"")</f>
        <v>16</v>
      </c>
      <c r="J33" s="35" t="str">
        <f>IFERROR(INDEX($Z$4:$Z$153,MATCH(ROWS($A$4:A33),$AF$4:$AF$153,0)),"")</f>
        <v/>
      </c>
      <c r="K33" s="35" t="str">
        <f>IFERROR(INDEX($AA$4:$AA$153,MATCH(ROWS($A$4:A33),$AF$4:$AF$153,0)),"")</f>
        <v/>
      </c>
      <c r="L33" s="35" t="str">
        <f>IFERROR(INDEX($AB$4:$AB$153,MATCH(ROWS($A$4:A33),$AF$4:$AF$153,0)),"")</f>
        <v/>
      </c>
      <c r="M33" s="35" t="str">
        <f>IFERROR(INDEX($AC$4:$AC$153,MATCH(ROWS($A$4:A33),$AF$4:$AF$153,0)),"")</f>
        <v/>
      </c>
      <c r="N33" s="35">
        <f>IFERROR(INDEX($AD$4:$AD$153,MATCH(ROWS($A$4:A33),$AF$4:$AF$153,0)),"")</f>
        <v>1</v>
      </c>
      <c r="Q33" t="str">
        <f>T(JAN!B35)</f>
        <v>RODRIGO BRAZEIRO 281401</v>
      </c>
      <c r="R33" t="str">
        <f t="array" ref="R33">IF($Q33="","",_xlfn.TEXTJOIN(", ",TRUE,IF(JAN!$G35:$AK35="HE",JAN!$G$4:$AK$4,"")))</f>
        <v/>
      </c>
      <c r="S33" t="str">
        <f t="array" ref="S33">IF($Q33="","",_xlfn.TEXTJOIN(", ",TRUE,IF(FEV!$G35:$AK35="HE",FEV!$G$4:$AK$4,"")))</f>
        <v/>
      </c>
      <c r="T33" t="str">
        <f t="array" ref="T33">IF($Q33="","",_xlfn.TEXTJOIN(", ",TRUE,IF(MAR!$G35:$AK35="HE",MAR!$G$4:$AK$4,"")))</f>
        <v/>
      </c>
      <c r="U33" t="str">
        <f t="array" ref="U33">IF($Q33="","",_xlfn.TEXTJOIN(", ",TRUE,IF(ABR!$G35:$AK35="HE",ABR!$G$4:$AK$4,"")))</f>
        <v/>
      </c>
      <c r="V33" t="str">
        <f t="array" ref="V33">IF($Q33="","",_xlfn.TEXTJOIN(", ",TRUE,IF(MAI!$G35:$AK35="HE",MAI!$G$4:$AK$4,"")))</f>
        <v/>
      </c>
      <c r="W33" t="str">
        <f t="array" ref="W33">IF($Q33="","",_xlfn.TEXTJOIN(", ",TRUE,IF(JUN!$G35:$AK35="HE",JUN!$G$4:$AK$4,"")))</f>
        <v/>
      </c>
      <c r="X33" t="str">
        <f t="array" ref="X33">IF($Q33="","",_xlfn.TEXTJOIN(", ",TRUE,IF(JUL!$G35:$AK35="HE",JUL!$G$4:$AK$4,"")))</f>
        <v/>
      </c>
      <c r="Y33" t="str">
        <f t="array" ref="Y33">IF($Q33="","",_xlfn.TEXTJOIN(", ",TRUE,IF(AGO!$G35:$AK35="HE",AGO!$G$4:$AK$4,"")))</f>
        <v/>
      </c>
      <c r="Z33" t="str">
        <f t="array" ref="Z33">IF($Q33="","",_xlfn.TEXTJOIN(", ",TRUE,IF(SET!$G35:$AK35="HE",SET!$G$4:$AK$4,"")))</f>
        <v/>
      </c>
      <c r="AA33" t="str">
        <f t="array" ref="AA33">IF($Q33="","",_xlfn.TEXTJOIN(", ",TRUE,IF(OUT!$G35:$AK35="HE",OUT!$G$4:$AK$4,"")))</f>
        <v/>
      </c>
      <c r="AB33" t="str">
        <f t="array" ref="AB33">IF($Q33="","",_xlfn.TEXTJOIN(", ",TRUE,IF(NOV!$G35:$AK35="HE",NOV!$G$4:$AK$4,"")))</f>
        <v/>
      </c>
      <c r="AC33" t="str">
        <f t="array" ref="AC33">IF($Q33="","",_xlfn.TEXTJOIN(", ",TRUE,IF(DEZ!$G35:$AK35="HE",DEZ!$G$4:$AK$4,"")))</f>
        <v/>
      </c>
      <c r="AD33">
        <f>IF($Q33="","",SUM(JAN:DEZ!C35))</f>
        <v>0</v>
      </c>
      <c r="AF33" t="str">
        <f>IF(AND($Q33&lt;&gt;"",N($AD33)&gt;0),COUNT($AF$3:AF32)+1,"")</f>
        <v/>
      </c>
    </row>
    <row r="34" spans="1:32" x14ac:dyDescent="0.25">
      <c r="A34" s="36" t="str">
        <f>IFERROR(INDEX($Q$4:$Q$153,MATCH(ROWS($A$4:A34),$AF$4:$AF$153,0)),"")</f>
        <v>RENAN RAMBO 327701</v>
      </c>
      <c r="B34" s="35" t="str">
        <f>IFERROR(INDEX($R$4:$R$153,MATCH(ROWS($A$4:A34),$AF$4:$AF$153,0)),"")</f>
        <v/>
      </c>
      <c r="C34" s="35" t="str">
        <f>IFERROR(INDEX($S$4:$S$153,MATCH(ROWS($A$4:A34),$AF$4:$AF$153,0)),"")</f>
        <v/>
      </c>
      <c r="D34" s="35" t="str">
        <f>IFERROR(INDEX($T$4:$T$153,MATCH(ROWS($A$4:A34),$AF$4:$AF$153,0)),"")</f>
        <v/>
      </c>
      <c r="E34" s="35" t="str">
        <f>IFERROR(INDEX($U$4:$U$153,MATCH(ROWS($A$4:A34),$AF$4:$AF$153,0)),"")</f>
        <v/>
      </c>
      <c r="F34" s="35" t="str">
        <f>IFERROR(INDEX($V$4:$V$153,MATCH(ROWS($A$4:A34),$AF$4:$AF$153,0)),"")</f>
        <v/>
      </c>
      <c r="G34" s="35" t="str">
        <f>IFERROR(INDEX($W$4:$W$153,MATCH(ROWS($A$4:A34),$AF$4:$AF$153,0)),"")</f>
        <v/>
      </c>
      <c r="H34" s="35" t="str">
        <f>IFERROR(INDEX($X$4:$X$153,MATCH(ROWS($A$4:A34),$AF$4:$AF$153,0)),"")</f>
        <v/>
      </c>
      <c r="I34" s="35" t="str">
        <f>IFERROR(INDEX($Y$4:$Y$153,MATCH(ROWS($A$4:A34),$AF$4:$AF$153,0)),"")</f>
        <v>16</v>
      </c>
      <c r="J34" s="35" t="str">
        <f>IFERROR(INDEX($Z$4:$Z$153,MATCH(ROWS($A$4:A34),$AF$4:$AF$153,0)),"")</f>
        <v/>
      </c>
      <c r="K34" s="35" t="str">
        <f>IFERROR(INDEX($AA$4:$AA$153,MATCH(ROWS($A$4:A34),$AF$4:$AF$153,0)),"")</f>
        <v/>
      </c>
      <c r="L34" s="35" t="str">
        <f>IFERROR(INDEX($AB$4:$AB$153,MATCH(ROWS($A$4:A34),$AF$4:$AF$153,0)),"")</f>
        <v/>
      </c>
      <c r="M34" s="35" t="str">
        <f>IFERROR(INDEX($AC$4:$AC$153,MATCH(ROWS($A$4:A34),$AF$4:$AF$153,0)),"")</f>
        <v/>
      </c>
      <c r="N34" s="35">
        <f>IFERROR(INDEX($AD$4:$AD$153,MATCH(ROWS($A$4:A34),$AF$4:$AF$153,0)),"")</f>
        <v>1</v>
      </c>
      <c r="Q34" t="str">
        <f>T(JAN!B36)</f>
        <v>ALEXANDRE MARINHO 37002252</v>
      </c>
      <c r="R34" t="str">
        <f t="array" ref="R34">IF($Q34="","",_xlfn.TEXTJOIN(", ",TRUE,IF(JAN!$G36:$AK36="HE",JAN!$G$4:$AK$4,"")))</f>
        <v/>
      </c>
      <c r="S34" t="str">
        <f t="array" ref="S34">IF($Q34="","",_xlfn.TEXTJOIN(", ",TRUE,IF(FEV!$G36:$AK36="HE",FEV!$G$4:$AK$4,"")))</f>
        <v/>
      </c>
      <c r="T34" t="str">
        <f t="array" ref="T34">IF($Q34="","",_xlfn.TEXTJOIN(", ",TRUE,IF(MAR!$G36:$AK36="HE",MAR!$G$4:$AK$4,"")))</f>
        <v/>
      </c>
      <c r="U34" t="str">
        <f t="array" ref="U34">IF($Q34="","",_xlfn.TEXTJOIN(", ",TRUE,IF(ABR!$G36:$AK36="HE",ABR!$G$4:$AK$4,"")))</f>
        <v/>
      </c>
      <c r="V34" t="str">
        <f t="array" ref="V34">IF($Q34="","",_xlfn.TEXTJOIN(", ",TRUE,IF(MAI!$G36:$AK36="HE",MAI!$G$4:$AK$4,"")))</f>
        <v/>
      </c>
      <c r="W34" t="str">
        <f t="array" ref="W34">IF($Q34="","",_xlfn.TEXTJOIN(", ",TRUE,IF(JUN!$G36:$AK36="HE",JUN!$G$4:$AK$4,"")))</f>
        <v/>
      </c>
      <c r="X34" t="str">
        <f t="array" ref="X34">IF($Q34="","",_xlfn.TEXTJOIN(", ",TRUE,IF(JUL!$G36:$AK36="HE",JUL!$G$4:$AK$4,"")))</f>
        <v/>
      </c>
      <c r="Y34" t="str">
        <f t="array" ref="Y34">IF($Q34="","",_xlfn.TEXTJOIN(", ",TRUE,IF(AGO!$G36:$AK36="HE",AGO!$G$4:$AK$4,"")))</f>
        <v>16</v>
      </c>
      <c r="Z34" t="str">
        <f t="array" ref="Z34">IF($Q34="","",_xlfn.TEXTJOIN(", ",TRUE,IF(SET!$G36:$AK36="HE",SET!$G$4:$AK$4,"")))</f>
        <v/>
      </c>
      <c r="AA34" t="str">
        <f t="array" ref="AA34">IF($Q34="","",_xlfn.TEXTJOIN(", ",TRUE,IF(OUT!$G36:$AK36="HE",OUT!$G$4:$AK$4,"")))</f>
        <v/>
      </c>
      <c r="AB34" t="str">
        <f t="array" ref="AB34">IF($Q34="","",_xlfn.TEXTJOIN(", ",TRUE,IF(NOV!$G36:$AK36="HE",NOV!$G$4:$AK$4,"")))</f>
        <v/>
      </c>
      <c r="AC34" t="str">
        <f t="array" ref="AC34">IF($Q34="","",_xlfn.TEXTJOIN(", ",TRUE,IF(DEZ!$G36:$AK36="HE",DEZ!$G$4:$AK$4,"")))</f>
        <v/>
      </c>
      <c r="AD34">
        <f>IF($Q34="","",SUM(JAN:DEZ!C36))</f>
        <v>1</v>
      </c>
      <c r="AF34">
        <f>IF(AND($Q34&lt;&gt;"",N($AD34)&gt;0),COUNT($AF$3:AF33)+1,"")</f>
        <v>18</v>
      </c>
    </row>
    <row r="35" spans="1:32" x14ac:dyDescent="0.25">
      <c r="A35" s="36" t="str">
        <f>IFERROR(INDEX($Q$4:$Q$153,MATCH(ROWS($A$4:A35),$AF$4:$AF$153,0)),"")</f>
        <v>FABIO BARBOSA 444601</v>
      </c>
      <c r="B35" s="35" t="str">
        <f>IFERROR(INDEX($R$4:$R$153,MATCH(ROWS($A$4:A35),$AF$4:$AF$153,0)),"")</f>
        <v/>
      </c>
      <c r="C35" s="35" t="str">
        <f>IFERROR(INDEX($S$4:$S$153,MATCH(ROWS($A$4:A35),$AF$4:$AF$153,0)),"")</f>
        <v/>
      </c>
      <c r="D35" s="35" t="str">
        <f>IFERROR(INDEX($T$4:$T$153,MATCH(ROWS($A$4:A35),$AF$4:$AF$153,0)),"")</f>
        <v/>
      </c>
      <c r="E35" s="35" t="str">
        <f>IFERROR(INDEX($U$4:$U$153,MATCH(ROWS($A$4:A35),$AF$4:$AF$153,0)),"")</f>
        <v/>
      </c>
      <c r="F35" s="35" t="str">
        <f>IFERROR(INDEX($V$4:$V$153,MATCH(ROWS($A$4:A35),$AF$4:$AF$153,0)),"")</f>
        <v/>
      </c>
      <c r="G35" s="35" t="str">
        <f>IFERROR(INDEX($W$4:$W$153,MATCH(ROWS($A$4:A35),$AF$4:$AF$153,0)),"")</f>
        <v/>
      </c>
      <c r="H35" s="35" t="str">
        <f>IFERROR(INDEX($X$4:$X$153,MATCH(ROWS($A$4:A35),$AF$4:$AF$153,0)),"")</f>
        <v/>
      </c>
      <c r="I35" s="35" t="str">
        <f>IFERROR(INDEX($Y$4:$Y$153,MATCH(ROWS($A$4:A35),$AF$4:$AF$153,0)),"")</f>
        <v/>
      </c>
      <c r="J35" s="35" t="str">
        <f>IFERROR(INDEX($Z$4:$Z$153,MATCH(ROWS($A$4:A35),$AF$4:$AF$153,0)),"")</f>
        <v>7</v>
      </c>
      <c r="K35" s="35" t="str">
        <f>IFERROR(INDEX($AA$4:$AA$153,MATCH(ROWS($A$4:A35),$AF$4:$AF$153,0)),"")</f>
        <v/>
      </c>
      <c r="L35" s="35" t="str">
        <f>IFERROR(INDEX($AB$4:$AB$153,MATCH(ROWS($A$4:A35),$AF$4:$AF$153,0)),"")</f>
        <v/>
      </c>
      <c r="M35" s="35" t="str">
        <f>IFERROR(INDEX($AC$4:$AC$153,MATCH(ROWS($A$4:A35),$AF$4:$AF$153,0)),"")</f>
        <v/>
      </c>
      <c r="N35" s="35">
        <f>IFERROR(INDEX($AD$4:$AD$153,MATCH(ROWS($A$4:A35),$AF$4:$AF$153,0)),"")</f>
        <v>1</v>
      </c>
      <c r="Q35" t="str">
        <f>T(JAN!B37)</f>
        <v>DIERRI SOUZA 166901</v>
      </c>
      <c r="R35" t="str">
        <f t="array" ref="R35">IF($Q35="","",_xlfn.TEXTJOIN(", ",TRUE,IF(JAN!$G37:$AK37="HE",JAN!$G$4:$AK$4,"")))</f>
        <v/>
      </c>
      <c r="S35" t="str">
        <f t="array" ref="S35">IF($Q35="","",_xlfn.TEXTJOIN(", ",TRUE,IF(FEV!$G37:$AK37="HE",FEV!$G$4:$AK$4,"")))</f>
        <v/>
      </c>
      <c r="T35" t="str">
        <f t="array" ref="T35">IF($Q35="","",_xlfn.TEXTJOIN(", ",TRUE,IF(MAR!$G37:$AK37="HE",MAR!$G$4:$AK$4,"")))</f>
        <v/>
      </c>
      <c r="U35" t="str">
        <f t="array" ref="U35">IF($Q35="","",_xlfn.TEXTJOIN(", ",TRUE,IF(ABR!$G37:$AK37="HE",ABR!$G$4:$AK$4,"")))</f>
        <v/>
      </c>
      <c r="V35" t="str">
        <f t="array" ref="V35">IF($Q35="","",_xlfn.TEXTJOIN(", ",TRUE,IF(MAI!$G37:$AK37="HE",MAI!$G$4:$AK$4,"")))</f>
        <v/>
      </c>
      <c r="W35" t="str">
        <f t="array" ref="W35">IF($Q35="","",_xlfn.TEXTJOIN(", ",TRUE,IF(JUN!$G37:$AK37="HE",JUN!$G$4:$AK$4,"")))</f>
        <v/>
      </c>
      <c r="X35" t="str">
        <f t="array" ref="X35">IF($Q35="","",_xlfn.TEXTJOIN(", ",TRUE,IF(JUL!$G37:$AK37="HE",JUL!$G$4:$AK$4,"")))</f>
        <v/>
      </c>
      <c r="Y35" t="str">
        <f t="array" ref="Y35">IF($Q35="","",_xlfn.TEXTJOIN(", ",TRUE,IF(AGO!$G37:$AK37="HE",AGO!$G$4:$AK$4,"")))</f>
        <v/>
      </c>
      <c r="Z35" t="str">
        <f t="array" ref="Z35">IF($Q35="","",_xlfn.TEXTJOIN(", ",TRUE,IF(SET!$G37:$AK37="HE",SET!$G$4:$AK$4,"")))</f>
        <v/>
      </c>
      <c r="AA35" t="str">
        <f t="array" ref="AA35">IF($Q35="","",_xlfn.TEXTJOIN(", ",TRUE,IF(OUT!$G37:$AK37="HE",OUT!$G$4:$AK$4,"")))</f>
        <v/>
      </c>
      <c r="AB35" t="str">
        <f t="array" ref="AB35">IF($Q35="","",_xlfn.TEXTJOIN(", ",TRUE,IF(NOV!$G37:$AK37="HE",NOV!$G$4:$AK$4,"")))</f>
        <v/>
      </c>
      <c r="AC35" t="str">
        <f t="array" ref="AC35">IF($Q35="","",_xlfn.TEXTJOIN(", ",TRUE,IF(DEZ!$G37:$AK37="HE",DEZ!$G$4:$AK$4,"")))</f>
        <v/>
      </c>
      <c r="AD35">
        <f>IF($Q35="","",SUM(JAN:DEZ!C37))</f>
        <v>0</v>
      </c>
      <c r="AF35" t="str">
        <f>IF(AND($Q35&lt;&gt;"",N($AD35)&gt;0),COUNT($AF$3:AF34)+1,"")</f>
        <v/>
      </c>
    </row>
    <row r="36" spans="1:32" x14ac:dyDescent="0.25">
      <c r="A36" s="36" t="str">
        <f>IFERROR(INDEX($Q$4:$Q$153,MATCH(ROWS($A$4:A36),$AF$4:$AF$153,0)),"")</f>
        <v>CLAUDIOMIR DE SOUZA 415401</v>
      </c>
      <c r="B36" s="35" t="str">
        <f>IFERROR(INDEX($R$4:$R$153,MATCH(ROWS($A$4:A36),$AF$4:$AF$153,0)),"")</f>
        <v/>
      </c>
      <c r="C36" s="35" t="str">
        <f>IFERROR(INDEX($S$4:$S$153,MATCH(ROWS($A$4:A36),$AF$4:$AF$153,0)),"")</f>
        <v/>
      </c>
      <c r="D36" s="35" t="str">
        <f>IFERROR(INDEX($T$4:$T$153,MATCH(ROWS($A$4:A36),$AF$4:$AF$153,0)),"")</f>
        <v/>
      </c>
      <c r="E36" s="35" t="str">
        <f>IFERROR(INDEX($U$4:$U$153,MATCH(ROWS($A$4:A36),$AF$4:$AF$153,0)),"")</f>
        <v/>
      </c>
      <c r="F36" s="35" t="str">
        <f>IFERROR(INDEX($V$4:$V$153,MATCH(ROWS($A$4:A36),$AF$4:$AF$153,0)),"")</f>
        <v/>
      </c>
      <c r="G36" s="35" t="str">
        <f>IFERROR(INDEX($W$4:$W$153,MATCH(ROWS($A$4:A36),$AF$4:$AF$153,0)),"")</f>
        <v/>
      </c>
      <c r="H36" s="35" t="str">
        <f>IFERROR(INDEX($X$4:$X$153,MATCH(ROWS($A$4:A36),$AF$4:$AF$153,0)),"")</f>
        <v/>
      </c>
      <c r="I36" s="35" t="str">
        <f>IFERROR(INDEX($Y$4:$Y$153,MATCH(ROWS($A$4:A36),$AF$4:$AF$153,0)),"")</f>
        <v/>
      </c>
      <c r="J36" s="35" t="str">
        <f>IFERROR(INDEX($Z$4:$Z$153,MATCH(ROWS($A$4:A36),$AF$4:$AF$153,0)),"")</f>
        <v>7</v>
      </c>
      <c r="K36" s="35" t="str">
        <f>IFERROR(INDEX($AA$4:$AA$153,MATCH(ROWS($A$4:A36),$AF$4:$AF$153,0)),"")</f>
        <v/>
      </c>
      <c r="L36" s="35" t="str">
        <f>IFERROR(INDEX($AB$4:$AB$153,MATCH(ROWS($A$4:A36),$AF$4:$AF$153,0)),"")</f>
        <v/>
      </c>
      <c r="M36" s="35" t="str">
        <f>IFERROR(INDEX($AC$4:$AC$153,MATCH(ROWS($A$4:A36),$AF$4:$AF$153,0)),"")</f>
        <v/>
      </c>
      <c r="N36" s="35">
        <f>IFERROR(INDEX($AD$4:$AD$153,MATCH(ROWS($A$4:A36),$AF$4:$AF$153,0)),"")</f>
        <v>1</v>
      </c>
      <c r="Q36" t="str">
        <f>T(JAN!B38)</f>
        <v>JOSIMAR ROCHA 390801</v>
      </c>
      <c r="R36" t="str">
        <f t="array" ref="R36">IF($Q36="","",_xlfn.TEXTJOIN(", ",TRUE,IF(JAN!$G38:$AK38="HE",JAN!$G$4:$AK$4,"")))</f>
        <v/>
      </c>
      <c r="S36" t="str">
        <f t="array" ref="S36">IF($Q36="","",_xlfn.TEXTJOIN(", ",TRUE,IF(FEV!$G38:$AK38="HE",FEV!$G$4:$AK$4,"")))</f>
        <v/>
      </c>
      <c r="T36" t="str">
        <f t="array" ref="T36">IF($Q36="","",_xlfn.TEXTJOIN(", ",TRUE,IF(MAR!$G38:$AK38="HE",MAR!$G$4:$AK$4,"")))</f>
        <v/>
      </c>
      <c r="U36" t="str">
        <f t="array" ref="U36">IF($Q36="","",_xlfn.TEXTJOIN(", ",TRUE,IF(ABR!$G38:$AK38="HE",ABR!$G$4:$AK$4,"")))</f>
        <v/>
      </c>
      <c r="V36" t="str">
        <f t="array" ref="V36">IF($Q36="","",_xlfn.TEXTJOIN(", ",TRUE,IF(MAI!$G38:$AK38="HE",MAI!$G$4:$AK$4,"")))</f>
        <v/>
      </c>
      <c r="W36" t="str">
        <f t="array" ref="W36">IF($Q36="","",_xlfn.TEXTJOIN(", ",TRUE,IF(JUN!$G38:$AK38="HE",JUN!$G$4:$AK$4,"")))</f>
        <v/>
      </c>
      <c r="X36" t="str">
        <f t="array" ref="X36">IF($Q36="","",_xlfn.TEXTJOIN(", ",TRUE,IF(JUL!$G38:$AK38="HE",JUL!$G$4:$AK$4,"")))</f>
        <v/>
      </c>
      <c r="Y36" t="str">
        <f t="array" ref="Y36">IF($Q36="","",_xlfn.TEXTJOIN(", ",TRUE,IF(AGO!$G38:$AK38="HE",AGO!$G$4:$AK$4,"")))</f>
        <v/>
      </c>
      <c r="Z36" t="str">
        <f t="array" ref="Z36">IF($Q36="","",_xlfn.TEXTJOIN(", ",TRUE,IF(SET!$G38:$AK38="HE",SET!$G$4:$AK$4,"")))</f>
        <v/>
      </c>
      <c r="AA36" t="str">
        <f t="array" ref="AA36">IF($Q36="","",_xlfn.TEXTJOIN(", ",TRUE,IF(OUT!$G38:$AK38="HE",OUT!$G$4:$AK$4,"")))</f>
        <v/>
      </c>
      <c r="AB36" t="str">
        <f t="array" ref="AB36">IF($Q36="","",_xlfn.TEXTJOIN(", ",TRUE,IF(NOV!$G38:$AK38="HE",NOV!$G$4:$AK$4,"")))</f>
        <v/>
      </c>
      <c r="AC36" t="str">
        <f t="array" ref="AC36">IF($Q36="","",_xlfn.TEXTJOIN(", ",TRUE,IF(DEZ!$G38:$AK38="HE",DEZ!$G$4:$AK$4,"")))</f>
        <v/>
      </c>
      <c r="AD36">
        <f>IF($Q36="","",SUM(JAN:DEZ!C38))</f>
        <v>0</v>
      </c>
      <c r="AF36" t="str">
        <f>IF(AND($Q36&lt;&gt;"",N($AD36)&gt;0),COUNT($AF$3:AF35)+1,"")</f>
        <v/>
      </c>
    </row>
    <row r="37" spans="1:32" x14ac:dyDescent="0.25">
      <c r="A37" s="36" t="str">
        <f>IFERROR(INDEX($Q$4:$Q$153,MATCH(ROWS($A$4:A37),$AF$4:$AF$153,0)),"")</f>
        <v>RODRIGO FREITAS 283001</v>
      </c>
      <c r="B37" s="35" t="str">
        <f>IFERROR(INDEX($R$4:$R$153,MATCH(ROWS($A$4:A37),$AF$4:$AF$153,0)),"")</f>
        <v/>
      </c>
      <c r="C37" s="35" t="str">
        <f>IFERROR(INDEX($S$4:$S$153,MATCH(ROWS($A$4:A37),$AF$4:$AF$153,0)),"")</f>
        <v/>
      </c>
      <c r="D37" s="35" t="str">
        <f>IFERROR(INDEX($T$4:$T$153,MATCH(ROWS($A$4:A37),$AF$4:$AF$153,0)),"")</f>
        <v/>
      </c>
      <c r="E37" s="35" t="str">
        <f>IFERROR(INDEX($U$4:$U$153,MATCH(ROWS($A$4:A37),$AF$4:$AF$153,0)),"")</f>
        <v/>
      </c>
      <c r="F37" s="35" t="str">
        <f>IFERROR(INDEX($V$4:$V$153,MATCH(ROWS($A$4:A37),$AF$4:$AF$153,0)),"")</f>
        <v/>
      </c>
      <c r="G37" s="35" t="str">
        <f>IFERROR(INDEX($W$4:$W$153,MATCH(ROWS($A$4:A37),$AF$4:$AF$153,0)),"")</f>
        <v/>
      </c>
      <c r="H37" s="35" t="str">
        <f>IFERROR(INDEX($X$4:$X$153,MATCH(ROWS($A$4:A37),$AF$4:$AF$153,0)),"")</f>
        <v/>
      </c>
      <c r="I37" s="35" t="str">
        <f>IFERROR(INDEX($Y$4:$Y$153,MATCH(ROWS($A$4:A37),$AF$4:$AF$153,0)),"")</f>
        <v>16</v>
      </c>
      <c r="J37" s="35" t="str">
        <f>IFERROR(INDEX($Z$4:$Z$153,MATCH(ROWS($A$4:A37),$AF$4:$AF$153,0)),"")</f>
        <v/>
      </c>
      <c r="K37" s="35" t="str">
        <f>IFERROR(INDEX($AA$4:$AA$153,MATCH(ROWS($A$4:A37),$AF$4:$AF$153,0)),"")</f>
        <v/>
      </c>
      <c r="L37" s="35" t="str">
        <f>IFERROR(INDEX($AB$4:$AB$153,MATCH(ROWS($A$4:A37),$AF$4:$AF$153,0)),"")</f>
        <v/>
      </c>
      <c r="M37" s="35" t="str">
        <f>IFERROR(INDEX($AC$4:$AC$153,MATCH(ROWS($A$4:A37),$AF$4:$AF$153,0)),"")</f>
        <v/>
      </c>
      <c r="N37" s="35">
        <f>IFERROR(INDEX($AD$4:$AD$153,MATCH(ROWS($A$4:A37),$AF$4:$AF$153,0)),"")</f>
        <v>1</v>
      </c>
      <c r="Q37" t="str">
        <f>T(JAN!B39)</f>
        <v>JONATHAM DALAZEM 517501</v>
      </c>
      <c r="R37" t="str">
        <f t="array" ref="R37">IF($Q37="","",_xlfn.TEXTJOIN(", ",TRUE,IF(JAN!$G39:$AK39="HE",JAN!$G$4:$AK$4,"")))</f>
        <v/>
      </c>
      <c r="S37" t="str">
        <f t="array" ref="S37">IF($Q37="","",_xlfn.TEXTJOIN(", ",TRUE,IF(FEV!$G39:$AK39="HE",FEV!$G$4:$AK$4,"")))</f>
        <v/>
      </c>
      <c r="T37" t="str">
        <f t="array" ref="T37">IF($Q37="","",_xlfn.TEXTJOIN(", ",TRUE,IF(MAR!$G39:$AK39="HE",MAR!$G$4:$AK$4,"")))</f>
        <v/>
      </c>
      <c r="U37" t="str">
        <f t="array" ref="U37">IF($Q37="","",_xlfn.TEXTJOIN(", ",TRUE,IF(ABR!$G39:$AK39="HE",ABR!$G$4:$AK$4,"")))</f>
        <v/>
      </c>
      <c r="V37" t="str">
        <f t="array" ref="V37">IF($Q37="","",_xlfn.TEXTJOIN(", ",TRUE,IF(MAI!$G39:$AK39="HE",MAI!$G$4:$AK$4,"")))</f>
        <v/>
      </c>
      <c r="W37" t="str">
        <f t="array" ref="W37">IF($Q37="","",_xlfn.TEXTJOIN(", ",TRUE,IF(JUN!$G39:$AK39="HE",JUN!$G$4:$AK$4,"")))</f>
        <v/>
      </c>
      <c r="X37" t="str">
        <f t="array" ref="X37">IF($Q37="","",_xlfn.TEXTJOIN(", ",TRUE,IF(JUL!$G39:$AK39="HE",JUL!$G$4:$AK$4,"")))</f>
        <v/>
      </c>
      <c r="Y37" t="str">
        <f t="array" ref="Y37">IF($Q37="","",_xlfn.TEXTJOIN(", ",TRUE,IF(AGO!$G39:$AK39="HE",AGO!$G$4:$AK$4,"")))</f>
        <v/>
      </c>
      <c r="Z37" t="str">
        <f t="array" ref="Z37">IF($Q37="","",_xlfn.TEXTJOIN(", ",TRUE,IF(SET!$G39:$AK39="HE",SET!$G$4:$AK$4,"")))</f>
        <v>7</v>
      </c>
      <c r="AA37" t="str">
        <f t="array" ref="AA37">IF($Q37="","",_xlfn.TEXTJOIN(", ",TRUE,IF(OUT!$G39:$AK39="HE",OUT!$G$4:$AK$4,"")))</f>
        <v/>
      </c>
      <c r="AB37" t="str">
        <f t="array" ref="AB37">IF($Q37="","",_xlfn.TEXTJOIN(", ",TRUE,IF(NOV!$G39:$AK39="HE",NOV!$G$4:$AK$4,"")))</f>
        <v/>
      </c>
      <c r="AC37" t="str">
        <f t="array" ref="AC37">IF($Q37="","",_xlfn.TEXTJOIN(", ",TRUE,IF(DEZ!$G39:$AK39="HE",DEZ!$G$4:$AK$4,"")))</f>
        <v/>
      </c>
      <c r="AD37">
        <f>IF($Q37="","",SUM(JAN:DEZ!C39))</f>
        <v>1</v>
      </c>
      <c r="AF37">
        <f>IF(AND($Q37&lt;&gt;"",N($AD37)&gt;0),COUNT($AF$3:AF36)+1,"")</f>
        <v>19</v>
      </c>
    </row>
    <row r="38" spans="1:32" x14ac:dyDescent="0.25">
      <c r="A38" s="36" t="str">
        <f>IFERROR(INDEX($Q$4:$Q$153,MATCH(ROWS($A$4:A38),$AF$4:$AF$153,0)),"")</f>
        <v>ANTONIO LUCIANO 454801</v>
      </c>
      <c r="B38" s="35" t="str">
        <f>IFERROR(INDEX($R$4:$R$153,MATCH(ROWS($A$4:A38),$AF$4:$AF$153,0)),"")</f>
        <v/>
      </c>
      <c r="C38" s="35" t="str">
        <f>IFERROR(INDEX($S$4:$S$153,MATCH(ROWS($A$4:A38),$AF$4:$AF$153,0)),"")</f>
        <v/>
      </c>
      <c r="D38" s="35" t="str">
        <f>IFERROR(INDEX($T$4:$T$153,MATCH(ROWS($A$4:A38),$AF$4:$AF$153,0)),"")</f>
        <v/>
      </c>
      <c r="E38" s="35" t="str">
        <f>IFERROR(INDEX($U$4:$U$153,MATCH(ROWS($A$4:A38),$AF$4:$AF$153,0)),"")</f>
        <v/>
      </c>
      <c r="F38" s="35" t="str">
        <f>IFERROR(INDEX($V$4:$V$153,MATCH(ROWS($A$4:A38),$AF$4:$AF$153,0)),"")</f>
        <v/>
      </c>
      <c r="G38" s="35" t="str">
        <f>IFERROR(INDEX($W$4:$W$153,MATCH(ROWS($A$4:A38),$AF$4:$AF$153,0)),"")</f>
        <v/>
      </c>
      <c r="H38" s="35" t="str">
        <f>IFERROR(INDEX($X$4:$X$153,MATCH(ROWS($A$4:A38),$AF$4:$AF$153,0)),"")</f>
        <v/>
      </c>
      <c r="I38" s="35" t="str">
        <f>IFERROR(INDEX($Y$4:$Y$153,MATCH(ROWS($A$4:A38),$AF$4:$AF$153,0)),"")</f>
        <v>16</v>
      </c>
      <c r="J38" s="35" t="str">
        <f>IFERROR(INDEX($Z$4:$Z$153,MATCH(ROWS($A$4:A38),$AF$4:$AF$153,0)),"")</f>
        <v/>
      </c>
      <c r="K38" s="35" t="str">
        <f>IFERROR(INDEX($AA$4:$AA$153,MATCH(ROWS($A$4:A38),$AF$4:$AF$153,0)),"")</f>
        <v/>
      </c>
      <c r="L38" s="35" t="str">
        <f>IFERROR(INDEX($AB$4:$AB$153,MATCH(ROWS($A$4:A38),$AF$4:$AF$153,0)),"")</f>
        <v/>
      </c>
      <c r="M38" s="35" t="str">
        <f>IFERROR(INDEX($AC$4:$AC$153,MATCH(ROWS($A$4:A38),$AF$4:$AF$153,0)),"")</f>
        <v/>
      </c>
      <c r="N38" s="35">
        <f>IFERROR(INDEX($AD$4:$AD$153,MATCH(ROWS($A$4:A38),$AF$4:$AF$153,0)),"")</f>
        <v>1</v>
      </c>
      <c r="Q38" t="str">
        <f>T(JAN!B40)</f>
        <v>LUCAS PEREIRA 37002099</v>
      </c>
      <c r="R38" t="str">
        <f t="array" ref="R38">IF($Q38="","",_xlfn.TEXTJOIN(", ",TRUE,IF(JAN!$G40:$AK40="HE",JAN!$G$4:$AK$4,"")))</f>
        <v/>
      </c>
      <c r="S38" t="str">
        <f t="array" ref="S38">IF($Q38="","",_xlfn.TEXTJOIN(", ",TRUE,IF(FEV!$G40:$AK40="HE",FEV!$G$4:$AK$4,"")))</f>
        <v/>
      </c>
      <c r="T38" t="str">
        <f t="array" ref="T38">IF($Q38="","",_xlfn.TEXTJOIN(", ",TRUE,IF(MAR!$G40:$AK40="HE",MAR!$G$4:$AK$4,"")))</f>
        <v/>
      </c>
      <c r="U38" t="str">
        <f t="array" ref="U38">IF($Q38="","",_xlfn.TEXTJOIN(", ",TRUE,IF(ABR!$G40:$AK40="HE",ABR!$G$4:$AK$4,"")))</f>
        <v/>
      </c>
      <c r="V38" t="str">
        <f t="array" ref="V38">IF($Q38="","",_xlfn.TEXTJOIN(", ",TRUE,IF(MAI!$G40:$AK40="HE",MAI!$G$4:$AK$4,"")))</f>
        <v/>
      </c>
      <c r="W38" t="str">
        <f t="array" ref="W38">IF($Q38="","",_xlfn.TEXTJOIN(", ",TRUE,IF(JUN!$G40:$AK40="HE",JUN!$G$4:$AK$4,"")))</f>
        <v/>
      </c>
      <c r="X38" t="str">
        <f t="array" ref="X38">IF($Q38="","",_xlfn.TEXTJOIN(", ",TRUE,IF(JUL!$G40:$AK40="HE",JUL!$G$4:$AK$4,"")))</f>
        <v/>
      </c>
      <c r="Y38" t="str">
        <f t="array" ref="Y38">IF($Q38="","",_xlfn.TEXTJOIN(", ",TRUE,IF(AGO!$G40:$AK40="HE",AGO!$G$4:$AK$4,"")))</f>
        <v/>
      </c>
      <c r="Z38" t="str">
        <f t="array" ref="Z38">IF($Q38="","",_xlfn.TEXTJOIN(", ",TRUE,IF(SET!$G40:$AK40="HE",SET!$G$4:$AK$4,"")))</f>
        <v>7</v>
      </c>
      <c r="AA38" t="str">
        <f t="array" ref="AA38">IF($Q38="","",_xlfn.TEXTJOIN(", ",TRUE,IF(OUT!$G40:$AK40="HE",OUT!$G$4:$AK$4,"")))</f>
        <v/>
      </c>
      <c r="AB38" t="str">
        <f t="array" ref="AB38">IF($Q38="","",_xlfn.TEXTJOIN(", ",TRUE,IF(NOV!$G40:$AK40="HE",NOV!$G$4:$AK$4,"")))</f>
        <v/>
      </c>
      <c r="AC38" t="str">
        <f t="array" ref="AC38">IF($Q38="","",_xlfn.TEXTJOIN(", ",TRUE,IF(DEZ!$G40:$AK40="HE",DEZ!$G$4:$AK$4,"")))</f>
        <v/>
      </c>
      <c r="AD38">
        <f>IF($Q38="","",SUM(JAN:DEZ!C40))</f>
        <v>1</v>
      </c>
      <c r="AF38">
        <f>IF(AND($Q38&lt;&gt;"",N($AD38)&gt;0),COUNT($AF$3:AF37)+1,"")</f>
        <v>20</v>
      </c>
    </row>
    <row r="39" spans="1:32" x14ac:dyDescent="0.25">
      <c r="A39" s="36" t="str">
        <f>IFERROR(INDEX($Q$4:$Q$153,MATCH(ROWS($A$4:A39),$AF$4:$AF$153,0)),"")</f>
        <v>CLODOALDO TEMPORARIO</v>
      </c>
      <c r="B39" s="35" t="str">
        <f>IFERROR(INDEX($R$4:$R$153,MATCH(ROWS($A$4:A39),$AF$4:$AF$153,0)),"")</f>
        <v/>
      </c>
      <c r="C39" s="35" t="str">
        <f>IFERROR(INDEX($S$4:$S$153,MATCH(ROWS($A$4:A39),$AF$4:$AF$153,0)),"")</f>
        <v/>
      </c>
      <c r="D39" s="35" t="str">
        <f>IFERROR(INDEX($T$4:$T$153,MATCH(ROWS($A$4:A39),$AF$4:$AF$153,0)),"")</f>
        <v/>
      </c>
      <c r="E39" s="35" t="str">
        <f>IFERROR(INDEX($U$4:$U$153,MATCH(ROWS($A$4:A39),$AF$4:$AF$153,0)),"")</f>
        <v/>
      </c>
      <c r="F39" s="35" t="str">
        <f>IFERROR(INDEX($V$4:$V$153,MATCH(ROWS($A$4:A39),$AF$4:$AF$153,0)),"")</f>
        <v/>
      </c>
      <c r="G39" s="35" t="str">
        <f>IFERROR(INDEX($W$4:$W$153,MATCH(ROWS($A$4:A39),$AF$4:$AF$153,0)),"")</f>
        <v/>
      </c>
      <c r="H39" s="35" t="str">
        <f>IFERROR(INDEX($X$4:$X$153,MATCH(ROWS($A$4:A39),$AF$4:$AF$153,0)),"")</f>
        <v/>
      </c>
      <c r="I39" s="35" t="str">
        <f>IFERROR(INDEX($Y$4:$Y$153,MATCH(ROWS($A$4:A39),$AF$4:$AF$153,0)),"")</f>
        <v/>
      </c>
      <c r="J39" s="35" t="str">
        <f>IFERROR(INDEX($Z$4:$Z$153,MATCH(ROWS($A$4:A39),$AF$4:$AF$153,0)),"")</f>
        <v>27</v>
      </c>
      <c r="K39" s="35" t="str">
        <f>IFERROR(INDEX($AA$4:$AA$153,MATCH(ROWS($A$4:A39),$AF$4:$AF$153,0)),"")</f>
        <v/>
      </c>
      <c r="L39" s="35" t="str">
        <f>IFERROR(INDEX($AB$4:$AB$153,MATCH(ROWS($A$4:A39),$AF$4:$AF$153,0)),"")</f>
        <v/>
      </c>
      <c r="M39" s="35" t="str">
        <f>IFERROR(INDEX($AC$4:$AC$153,MATCH(ROWS($A$4:A39),$AF$4:$AF$153,0)),"")</f>
        <v/>
      </c>
      <c r="N39" s="35">
        <f>IFERROR(INDEX($AD$4:$AD$153,MATCH(ROWS($A$4:A39),$AF$4:$AF$153,0)),"")</f>
        <v>1</v>
      </c>
      <c r="Q39" t="str">
        <f>T(JAN!B41)</f>
        <v>LUCIANO GROSS 37002144</v>
      </c>
      <c r="R39" t="str">
        <f t="array" ref="R39">IF($Q39="","",_xlfn.TEXTJOIN(", ",TRUE,IF(JAN!$G41:$AK41="HE",JAN!$G$4:$AK$4,"")))</f>
        <v/>
      </c>
      <c r="S39" t="str">
        <f t="array" ref="S39">IF($Q39="","",_xlfn.TEXTJOIN(", ",TRUE,IF(FEV!$G41:$AK41="HE",FEV!$G$4:$AK$4,"")))</f>
        <v/>
      </c>
      <c r="T39" t="str">
        <f t="array" ref="T39">IF($Q39="","",_xlfn.TEXTJOIN(", ",TRUE,IF(MAR!$G41:$AK41="HE",MAR!$G$4:$AK$4,"")))</f>
        <v/>
      </c>
      <c r="U39" t="str">
        <f t="array" ref="U39">IF($Q39="","",_xlfn.TEXTJOIN(", ",TRUE,IF(ABR!$G41:$AK41="HE",ABR!$G$4:$AK$4,"")))</f>
        <v/>
      </c>
      <c r="V39" t="str">
        <f t="array" ref="V39">IF($Q39="","",_xlfn.TEXTJOIN(", ",TRUE,IF(MAI!$G41:$AK41="HE",MAI!$G$4:$AK$4,"")))</f>
        <v/>
      </c>
      <c r="W39" t="str">
        <f t="array" ref="W39">IF($Q39="","",_xlfn.TEXTJOIN(", ",TRUE,IF(JUN!$G41:$AK41="HE",JUN!$G$4:$AK$4,"")))</f>
        <v/>
      </c>
      <c r="X39" t="str">
        <f t="array" ref="X39">IF($Q39="","",_xlfn.TEXTJOIN(", ",TRUE,IF(JUL!$G41:$AK41="HE",JUL!$G$4:$AK$4,"")))</f>
        <v/>
      </c>
      <c r="Y39" t="str">
        <f t="array" ref="Y39">IF($Q39="","",_xlfn.TEXTJOIN(", ",TRUE,IF(AGO!$G41:$AK41="HE",AGO!$G$4:$AK$4,"")))</f>
        <v/>
      </c>
      <c r="Z39" t="str">
        <f t="array" ref="Z39">IF($Q39="","",_xlfn.TEXTJOIN(", ",TRUE,IF(SET!$G41:$AK41="HE",SET!$G$4:$AK$4,"")))</f>
        <v/>
      </c>
      <c r="AA39" t="str">
        <f t="array" ref="AA39">IF($Q39="","",_xlfn.TEXTJOIN(", ",TRUE,IF(OUT!$G41:$AK41="HE",OUT!$G$4:$AK$4,"")))</f>
        <v/>
      </c>
      <c r="AB39" t="str">
        <f t="array" ref="AB39">IF($Q39="","",_xlfn.TEXTJOIN(", ",TRUE,IF(NOV!$G41:$AK41="HE",NOV!$G$4:$AK$4,"")))</f>
        <v/>
      </c>
      <c r="AC39" t="str">
        <f t="array" ref="AC39">IF($Q39="","",_xlfn.TEXTJOIN(", ",TRUE,IF(DEZ!$G41:$AK41="HE",DEZ!$G$4:$AK$4,"")))</f>
        <v/>
      </c>
      <c r="AD39">
        <f>IF($Q39="","",SUM(JAN:DEZ!C41))</f>
        <v>0</v>
      </c>
      <c r="AF39" t="str">
        <f>IF(AND($Q39&lt;&gt;"",N($AD39)&gt;0),COUNT($AF$3:AF38)+1,"")</f>
        <v/>
      </c>
    </row>
    <row r="40" spans="1:32" x14ac:dyDescent="0.25">
      <c r="A40" s="36" t="str">
        <f>IFERROR(INDEX($Q$4:$Q$153,MATCH(ROWS($A$4:A40),$AF$4:$AF$153,0)),"")</f>
        <v>MARCOS TEMPORARIO</v>
      </c>
      <c r="B40" s="35" t="str">
        <f>IFERROR(INDEX($R$4:$R$153,MATCH(ROWS($A$4:A40),$AF$4:$AF$153,0)),"")</f>
        <v/>
      </c>
      <c r="C40" s="35" t="str">
        <f>IFERROR(INDEX($S$4:$S$153,MATCH(ROWS($A$4:A40),$AF$4:$AF$153,0)),"")</f>
        <v/>
      </c>
      <c r="D40" s="35" t="str">
        <f>IFERROR(INDEX($T$4:$T$153,MATCH(ROWS($A$4:A40),$AF$4:$AF$153,0)),"")</f>
        <v/>
      </c>
      <c r="E40" s="35" t="str">
        <f>IFERROR(INDEX($U$4:$U$153,MATCH(ROWS($A$4:A40),$AF$4:$AF$153,0)),"")</f>
        <v/>
      </c>
      <c r="F40" s="35" t="str">
        <f>IFERROR(INDEX($V$4:$V$153,MATCH(ROWS($A$4:A40),$AF$4:$AF$153,0)),"")</f>
        <v/>
      </c>
      <c r="G40" s="35" t="str">
        <f>IFERROR(INDEX($W$4:$W$153,MATCH(ROWS($A$4:A40),$AF$4:$AF$153,0)),"")</f>
        <v/>
      </c>
      <c r="H40" s="35" t="str">
        <f>IFERROR(INDEX($X$4:$X$153,MATCH(ROWS($A$4:A40),$AF$4:$AF$153,0)),"")</f>
        <v/>
      </c>
      <c r="I40" s="35" t="str">
        <f>IFERROR(INDEX($Y$4:$Y$153,MATCH(ROWS($A$4:A40),$AF$4:$AF$153,0)),"")</f>
        <v/>
      </c>
      <c r="J40" s="35" t="str">
        <f>IFERROR(INDEX($Z$4:$Z$153,MATCH(ROWS($A$4:A40),$AF$4:$AF$153,0)),"")</f>
        <v/>
      </c>
      <c r="K40" s="35" t="str">
        <f>IFERROR(INDEX($AA$4:$AA$153,MATCH(ROWS($A$4:A40),$AF$4:$AF$153,0)),"")</f>
        <v>18</v>
      </c>
      <c r="L40" s="35" t="str">
        <f>IFERROR(INDEX($AB$4:$AB$153,MATCH(ROWS($A$4:A40),$AF$4:$AF$153,0)),"")</f>
        <v/>
      </c>
      <c r="M40" s="35" t="str">
        <f>IFERROR(INDEX($AC$4:$AC$153,MATCH(ROWS($A$4:A40),$AF$4:$AF$153,0)),"")</f>
        <v/>
      </c>
      <c r="N40" s="35">
        <f>IFERROR(INDEX($AD$4:$AD$153,MATCH(ROWS($A$4:A40),$AF$4:$AF$153,0)),"")</f>
        <v>1</v>
      </c>
      <c r="Q40" t="str">
        <f>T(JAN!B42)</f>
        <v>UILIAN NOGUEIRA 483101</v>
      </c>
      <c r="R40" t="str">
        <f t="array" ref="R40">IF($Q40="","",_xlfn.TEXTJOIN(", ",TRUE,IF(JAN!$G42:$AK42="HE",JAN!$G$4:$AK$4,"")))</f>
        <v/>
      </c>
      <c r="S40" t="str">
        <f t="array" ref="S40">IF($Q40="","",_xlfn.TEXTJOIN(", ",TRUE,IF(FEV!$G42:$AK42="HE",FEV!$G$4:$AK$4,"")))</f>
        <v/>
      </c>
      <c r="T40" t="str">
        <f t="array" ref="T40">IF($Q40="","",_xlfn.TEXTJOIN(", ",TRUE,IF(MAR!$G42:$AK42="HE",MAR!$G$4:$AK$4,"")))</f>
        <v/>
      </c>
      <c r="U40" t="str">
        <f t="array" ref="U40">IF($Q40="","",_xlfn.TEXTJOIN(", ",TRUE,IF(ABR!$G42:$AK42="HE",ABR!$G$4:$AK$4,"")))</f>
        <v/>
      </c>
      <c r="V40" t="str">
        <f t="array" ref="V40">IF($Q40="","",_xlfn.TEXTJOIN(", ",TRUE,IF(MAI!$G42:$AK42="HE",MAI!$G$4:$AK$4,"")))</f>
        <v/>
      </c>
      <c r="W40" t="str">
        <f t="array" ref="W40">IF($Q40="","",_xlfn.TEXTJOIN(", ",TRUE,IF(JUN!$G42:$AK42="HE",JUN!$G$4:$AK$4,"")))</f>
        <v/>
      </c>
      <c r="X40" t="str">
        <f t="array" ref="X40">IF($Q40="","",_xlfn.TEXTJOIN(", ",TRUE,IF(JUL!$G42:$AK42="HE",JUL!$G$4:$AK$4,"")))</f>
        <v/>
      </c>
      <c r="Y40" t="str">
        <f t="array" ref="Y40">IF($Q40="","",_xlfn.TEXTJOIN(", ",TRUE,IF(AGO!$G42:$AK42="HE",AGO!$G$4:$AK$4,"")))</f>
        <v/>
      </c>
      <c r="Z40" t="str">
        <f t="array" ref="Z40">IF($Q40="","",_xlfn.TEXTJOIN(", ",TRUE,IF(SET!$G42:$AK42="HE",SET!$G$4:$AK$4,"")))</f>
        <v/>
      </c>
      <c r="AA40" t="str">
        <f t="array" ref="AA40">IF($Q40="","",_xlfn.TEXTJOIN(", ",TRUE,IF(OUT!$G42:$AK42="HE",OUT!$G$4:$AK$4,"")))</f>
        <v/>
      </c>
      <c r="AB40" t="str">
        <f t="array" ref="AB40">IF($Q40="","",_xlfn.TEXTJOIN(", ",TRUE,IF(NOV!$G42:$AK42="HE",NOV!$G$4:$AK$4,"")))</f>
        <v/>
      </c>
      <c r="AC40" t="str">
        <f t="array" ref="AC40">IF($Q40="","",_xlfn.TEXTJOIN(", ",TRUE,IF(DEZ!$G42:$AK42="HE",DEZ!$G$4:$AK$4,"")))</f>
        <v/>
      </c>
      <c r="AD40">
        <f>IF($Q40="","",SUM(JAN:DEZ!C42))</f>
        <v>0</v>
      </c>
      <c r="AF40" t="str">
        <f>IF(AND($Q40&lt;&gt;"",N($AD40)&gt;0),COUNT($AF$3:AF39)+1,"")</f>
        <v/>
      </c>
    </row>
    <row r="41" spans="1:32" x14ac:dyDescent="0.25">
      <c r="A41" s="36" t="str">
        <f>IFERROR(INDEX($Q$4:$Q$153,MATCH(ROWS($A$4:A41),$AF$4:$AF$153,0)),"")</f>
        <v>FLAVIO TEMPORARIO</v>
      </c>
      <c r="B41" s="35" t="str">
        <f>IFERROR(INDEX($R$4:$R$153,MATCH(ROWS($A$4:A41),$AF$4:$AF$153,0)),"")</f>
        <v/>
      </c>
      <c r="C41" s="35" t="str">
        <f>IFERROR(INDEX($S$4:$S$153,MATCH(ROWS($A$4:A41),$AF$4:$AF$153,0)),"")</f>
        <v/>
      </c>
      <c r="D41" s="35" t="str">
        <f>IFERROR(INDEX($T$4:$T$153,MATCH(ROWS($A$4:A41),$AF$4:$AF$153,0)),"")</f>
        <v/>
      </c>
      <c r="E41" s="35" t="str">
        <f>IFERROR(INDEX($U$4:$U$153,MATCH(ROWS($A$4:A41),$AF$4:$AF$153,0)),"")</f>
        <v/>
      </c>
      <c r="F41" s="35" t="str">
        <f>IFERROR(INDEX($V$4:$V$153,MATCH(ROWS($A$4:A41),$AF$4:$AF$153,0)),"")</f>
        <v/>
      </c>
      <c r="G41" s="35" t="str">
        <f>IFERROR(INDEX($W$4:$W$153,MATCH(ROWS($A$4:A41),$AF$4:$AF$153,0)),"")</f>
        <v/>
      </c>
      <c r="H41" s="35" t="str">
        <f>IFERROR(INDEX($X$4:$X$153,MATCH(ROWS($A$4:A41),$AF$4:$AF$153,0)),"")</f>
        <v/>
      </c>
      <c r="I41" s="35" t="str">
        <f>IFERROR(INDEX($Y$4:$Y$153,MATCH(ROWS($A$4:A41),$AF$4:$AF$153,0)),"")</f>
        <v/>
      </c>
      <c r="J41" s="35" t="str">
        <f>IFERROR(INDEX($Z$4:$Z$153,MATCH(ROWS($A$4:A41),$AF$4:$AF$153,0)),"")</f>
        <v/>
      </c>
      <c r="K41" s="35" t="str">
        <f>IFERROR(INDEX($AA$4:$AA$153,MATCH(ROWS($A$4:A41),$AF$4:$AF$153,0)),"")</f>
        <v>18</v>
      </c>
      <c r="L41" s="35" t="str">
        <f>IFERROR(INDEX($AB$4:$AB$153,MATCH(ROWS($A$4:A41),$AF$4:$AF$153,0)),"")</f>
        <v/>
      </c>
      <c r="M41" s="35" t="str">
        <f>IFERROR(INDEX($AC$4:$AC$153,MATCH(ROWS($A$4:A41),$AF$4:$AF$153,0)),"")</f>
        <v/>
      </c>
      <c r="N41" s="35">
        <f>IFERROR(INDEX($AD$4:$AD$153,MATCH(ROWS($A$4:A41),$AF$4:$AF$153,0)),"")</f>
        <v>1</v>
      </c>
      <c r="Q41" t="str">
        <f>T(JAN!B43)</f>
        <v>PATRICK OLIVEIRA 361601</v>
      </c>
      <c r="R41" t="str">
        <f t="array" ref="R41">IF($Q41="","",_xlfn.TEXTJOIN(", ",TRUE,IF(JAN!$G43:$AK43="HE",JAN!$G$4:$AK$4,"")))</f>
        <v/>
      </c>
      <c r="S41" t="str">
        <f t="array" ref="S41">IF($Q41="","",_xlfn.TEXTJOIN(", ",TRUE,IF(FEV!$G43:$AK43="HE",FEV!$G$4:$AK$4,"")))</f>
        <v/>
      </c>
      <c r="T41" t="str">
        <f t="array" ref="T41">IF($Q41="","",_xlfn.TEXTJOIN(", ",TRUE,IF(MAR!$G43:$AK43="HE",MAR!$G$4:$AK$4,"")))</f>
        <v/>
      </c>
      <c r="U41" t="str">
        <f t="array" ref="U41">IF($Q41="","",_xlfn.TEXTJOIN(", ",TRUE,IF(ABR!$G43:$AK43="HE",ABR!$G$4:$AK$4,"")))</f>
        <v/>
      </c>
      <c r="V41" t="str">
        <f t="array" ref="V41">IF($Q41="","",_xlfn.TEXTJOIN(", ",TRUE,IF(MAI!$G43:$AK43="HE",MAI!$G$4:$AK$4,"")))</f>
        <v/>
      </c>
      <c r="W41" t="str">
        <f t="array" ref="W41">IF($Q41="","",_xlfn.TEXTJOIN(", ",TRUE,IF(JUN!$G43:$AK43="HE",JUN!$G$4:$AK$4,"")))</f>
        <v/>
      </c>
      <c r="X41" t="str">
        <f t="array" ref="X41">IF($Q41="","",_xlfn.TEXTJOIN(", ",TRUE,IF(JUL!$G43:$AK43="HE",JUL!$G$4:$AK$4,"")))</f>
        <v/>
      </c>
      <c r="Y41" t="str">
        <f t="array" ref="Y41">IF($Q41="","",_xlfn.TEXTJOIN(", ",TRUE,IF(AGO!$G43:$AK43="HE",AGO!$G$4:$AK$4,"")))</f>
        <v>16</v>
      </c>
      <c r="Z41" t="str">
        <f t="array" ref="Z41">IF($Q41="","",_xlfn.TEXTJOIN(", ",TRUE,IF(SET!$G43:$AK43="HE",SET!$G$4:$AK$4,"")))</f>
        <v/>
      </c>
      <c r="AA41" t="str">
        <f t="array" ref="AA41">IF($Q41="","",_xlfn.TEXTJOIN(", ",TRUE,IF(OUT!$G43:$AK43="HE",OUT!$G$4:$AK$4,"")))</f>
        <v/>
      </c>
      <c r="AB41" t="str">
        <f t="array" ref="AB41">IF($Q41="","",_xlfn.TEXTJOIN(", ",TRUE,IF(NOV!$G43:$AK43="HE",NOV!$G$4:$AK$4,"")))</f>
        <v/>
      </c>
      <c r="AC41" t="str">
        <f t="array" ref="AC41">IF($Q41="","",_xlfn.TEXTJOIN(", ",TRUE,IF(DEZ!$G43:$AK43="HE",DEZ!$G$4:$AK$4,"")))</f>
        <v/>
      </c>
      <c r="AD41">
        <f>IF($Q41="","",SUM(JAN:DEZ!C43))</f>
        <v>1</v>
      </c>
      <c r="AF41">
        <f>IF(AND($Q41&lt;&gt;"",N($AD41)&gt;0),COUNT($AF$3:AF40)+1,"")</f>
        <v>21</v>
      </c>
    </row>
    <row r="42" spans="1:32" x14ac:dyDescent="0.25">
      <c r="A42" s="36" t="str">
        <f>IFERROR(INDEX($Q$4:$Q$153,MATCH(ROWS($A$4:A42),$AF$4:$AF$153,0)),"")</f>
        <v>MARCIO DUARTE 434601</v>
      </c>
      <c r="B42" s="35" t="str">
        <f>IFERROR(INDEX($R$4:$R$153,MATCH(ROWS($A$4:A42),$AF$4:$AF$153,0)),"")</f>
        <v/>
      </c>
      <c r="C42" s="35" t="str">
        <f>IFERROR(INDEX($S$4:$S$153,MATCH(ROWS($A$4:A42),$AF$4:$AF$153,0)),"")</f>
        <v/>
      </c>
      <c r="D42" s="35" t="str">
        <f>IFERROR(INDEX($T$4:$T$153,MATCH(ROWS($A$4:A42),$AF$4:$AF$153,0)),"")</f>
        <v/>
      </c>
      <c r="E42" s="35" t="str">
        <f>IFERROR(INDEX($U$4:$U$153,MATCH(ROWS($A$4:A42),$AF$4:$AF$153,0)),"")</f>
        <v/>
      </c>
      <c r="F42" s="35" t="str">
        <f>IFERROR(INDEX($V$4:$V$153,MATCH(ROWS($A$4:A42),$AF$4:$AF$153,0)),"")</f>
        <v/>
      </c>
      <c r="G42" s="35" t="str">
        <f>IFERROR(INDEX($W$4:$W$153,MATCH(ROWS($A$4:A42),$AF$4:$AF$153,0)),"")</f>
        <v/>
      </c>
      <c r="H42" s="35" t="str">
        <f>IFERROR(INDEX($X$4:$X$153,MATCH(ROWS($A$4:A42),$AF$4:$AF$153,0)),"")</f>
        <v/>
      </c>
      <c r="I42" s="35" t="str">
        <f>IFERROR(INDEX($Y$4:$Y$153,MATCH(ROWS($A$4:A42),$AF$4:$AF$153,0)),"")</f>
        <v>16</v>
      </c>
      <c r="J42" s="35" t="str">
        <f>IFERROR(INDEX($Z$4:$Z$153,MATCH(ROWS($A$4:A42),$AF$4:$AF$153,0)),"")</f>
        <v/>
      </c>
      <c r="K42" s="35" t="str">
        <f>IFERROR(INDEX($AA$4:$AA$153,MATCH(ROWS($A$4:A42),$AF$4:$AF$153,0)),"")</f>
        <v/>
      </c>
      <c r="L42" s="35" t="str">
        <f>IFERROR(INDEX($AB$4:$AB$153,MATCH(ROWS($A$4:A42),$AF$4:$AF$153,0)),"")</f>
        <v/>
      </c>
      <c r="M42" s="35" t="str">
        <f>IFERROR(INDEX($AC$4:$AC$153,MATCH(ROWS($A$4:A42),$AF$4:$AF$153,0)),"")</f>
        <v/>
      </c>
      <c r="N42" s="35">
        <f>IFERROR(INDEX($AD$4:$AD$153,MATCH(ROWS($A$4:A42),$AF$4:$AF$153,0)),"")</f>
        <v>1</v>
      </c>
      <c r="Q42" t="str">
        <f>T(JAN!B44)</f>
        <v>DAVI FARIAS 141501</v>
      </c>
      <c r="R42" t="str">
        <f t="array" ref="R42">IF($Q42="","",_xlfn.TEXTJOIN(", ",TRUE,IF(JAN!$G44:$AK44="HE",JAN!$G$4:$AK$4,"")))</f>
        <v/>
      </c>
      <c r="S42" t="str">
        <f t="array" ref="S42">IF($Q42="","",_xlfn.TEXTJOIN(", ",TRUE,IF(FEV!$G44:$AK44="HE",FEV!$G$4:$AK$4,"")))</f>
        <v/>
      </c>
      <c r="T42" t="str">
        <f t="array" ref="T42">IF($Q42="","",_xlfn.TEXTJOIN(", ",TRUE,IF(MAR!$G44:$AK44="HE",MAR!$G$4:$AK$4,"")))</f>
        <v/>
      </c>
      <c r="U42" t="str">
        <f t="array" ref="U42">IF($Q42="","",_xlfn.TEXTJOIN(", ",TRUE,IF(ABR!$G44:$AK44="HE",ABR!$G$4:$AK$4,"")))</f>
        <v/>
      </c>
      <c r="V42" t="str">
        <f t="array" ref="V42">IF($Q42="","",_xlfn.TEXTJOIN(", ",TRUE,IF(MAI!$G44:$AK44="HE",MAI!$G$4:$AK$4,"")))</f>
        <v/>
      </c>
      <c r="W42" t="str">
        <f t="array" ref="W42">IF($Q42="","",_xlfn.TEXTJOIN(", ",TRUE,IF(JUN!$G44:$AK44="HE",JUN!$G$4:$AK$4,"")))</f>
        <v/>
      </c>
      <c r="X42" t="str">
        <f t="array" ref="X42">IF($Q42="","",_xlfn.TEXTJOIN(", ",TRUE,IF(JUL!$G44:$AK44="HE",JUL!$G$4:$AK$4,"")))</f>
        <v/>
      </c>
      <c r="Y42" t="str">
        <f t="array" ref="Y42">IF($Q42="","",_xlfn.TEXTJOIN(", ",TRUE,IF(AGO!$G44:$AK44="HE",AGO!$G$4:$AK$4,"")))</f>
        <v>16</v>
      </c>
      <c r="Z42" t="str">
        <f t="array" ref="Z42">IF($Q42="","",_xlfn.TEXTJOIN(", ",TRUE,IF(SET!$G44:$AK44="HE",SET!$G$4:$AK$4,"")))</f>
        <v>27</v>
      </c>
      <c r="AA42" t="str">
        <f t="array" ref="AA42">IF($Q42="","",_xlfn.TEXTJOIN(", ",TRUE,IF(OUT!$G44:$AK44="HE",OUT!$G$4:$AK$4,"")))</f>
        <v>18</v>
      </c>
      <c r="AB42" t="str">
        <f t="array" ref="AB42">IF($Q42="","",_xlfn.TEXTJOIN(", ",TRUE,IF(NOV!$G44:$AK44="HE",NOV!$G$4:$AK$4,"")))</f>
        <v/>
      </c>
      <c r="AC42" t="str">
        <f t="array" ref="AC42">IF($Q42="","",_xlfn.TEXTJOIN(", ",TRUE,IF(DEZ!$G44:$AK44="HE",DEZ!$G$4:$AK$4,"")))</f>
        <v/>
      </c>
      <c r="AD42">
        <f>IF($Q42="","",SUM(JAN:DEZ!C44))</f>
        <v>3</v>
      </c>
      <c r="AF42">
        <f>IF(AND($Q42&lt;&gt;"",N($AD42)&gt;0),COUNT($AF$3:AF41)+1,"")</f>
        <v>22</v>
      </c>
    </row>
    <row r="43" spans="1:32" x14ac:dyDescent="0.25">
      <c r="A43" s="36" t="str">
        <f>IFERROR(INDEX($Q$4:$Q$153,MATCH(ROWS($A$4:A43),$AF$4:$AF$153,0)),"")</f>
        <v>MARLON TEMPORÁRIO</v>
      </c>
      <c r="B43" s="35" t="str">
        <f>IFERROR(INDEX($R$4:$R$153,MATCH(ROWS($A$4:A43),$AF$4:$AF$153,0)),"")</f>
        <v/>
      </c>
      <c r="C43" s="35" t="str">
        <f>IFERROR(INDEX($S$4:$S$153,MATCH(ROWS($A$4:A43),$AF$4:$AF$153,0)),"")</f>
        <v/>
      </c>
      <c r="D43" s="35" t="str">
        <f>IFERROR(INDEX($T$4:$T$153,MATCH(ROWS($A$4:A43),$AF$4:$AF$153,0)),"")</f>
        <v/>
      </c>
      <c r="E43" s="35" t="str">
        <f>IFERROR(INDEX($U$4:$U$153,MATCH(ROWS($A$4:A43),$AF$4:$AF$153,0)),"")</f>
        <v/>
      </c>
      <c r="F43" s="35" t="str">
        <f>IFERROR(INDEX($V$4:$V$153,MATCH(ROWS($A$4:A43),$AF$4:$AF$153,0)),"")</f>
        <v/>
      </c>
      <c r="G43" s="35" t="str">
        <f>IFERROR(INDEX($W$4:$W$153,MATCH(ROWS($A$4:A43),$AF$4:$AF$153,0)),"")</f>
        <v/>
      </c>
      <c r="H43" s="35" t="str">
        <f>IFERROR(INDEX($X$4:$X$153,MATCH(ROWS($A$4:A43),$AF$4:$AF$153,0)),"")</f>
        <v/>
      </c>
      <c r="I43" s="35" t="str">
        <f>IFERROR(INDEX($Y$4:$Y$153,MATCH(ROWS($A$4:A43),$AF$4:$AF$153,0)),"")</f>
        <v/>
      </c>
      <c r="J43" s="35" t="str">
        <f>IFERROR(INDEX($Z$4:$Z$153,MATCH(ROWS($A$4:A43),$AF$4:$AF$153,0)),"")</f>
        <v/>
      </c>
      <c r="K43" s="35" t="str">
        <f>IFERROR(INDEX($AA$4:$AA$153,MATCH(ROWS($A$4:A43),$AF$4:$AF$153,0)),"")</f>
        <v>18</v>
      </c>
      <c r="L43" s="35" t="str">
        <f>IFERROR(INDEX($AB$4:$AB$153,MATCH(ROWS($A$4:A43),$AF$4:$AF$153,0)),"")</f>
        <v/>
      </c>
      <c r="M43" s="35" t="str">
        <f>IFERROR(INDEX($AC$4:$AC$153,MATCH(ROWS($A$4:A43),$AF$4:$AF$153,0)),"")</f>
        <v/>
      </c>
      <c r="N43" s="35">
        <f>IFERROR(INDEX($AD$4:$AD$153,MATCH(ROWS($A$4:A43),$AF$4:$AF$153,0)),"")</f>
        <v>1</v>
      </c>
      <c r="Q43" t="str">
        <f>T(JAN!B45)</f>
        <v>JEAN MARTINS 37002258</v>
      </c>
      <c r="R43" t="str">
        <f t="array" ref="R43">IF($Q43="","",_xlfn.TEXTJOIN(", ",TRUE,IF(JAN!$G45:$AK45="HE",JAN!$G$4:$AK$4,"")))</f>
        <v/>
      </c>
      <c r="S43" t="str">
        <f t="array" ref="S43">IF($Q43="","",_xlfn.TEXTJOIN(", ",TRUE,IF(FEV!$G45:$AK45="HE",FEV!$G$4:$AK$4,"")))</f>
        <v/>
      </c>
      <c r="T43" t="str">
        <f t="array" ref="T43">IF($Q43="","",_xlfn.TEXTJOIN(", ",TRUE,IF(MAR!$G45:$AK45="HE",MAR!$G$4:$AK$4,"")))</f>
        <v/>
      </c>
      <c r="U43" t="str">
        <f t="array" ref="U43">IF($Q43="","",_xlfn.TEXTJOIN(", ",TRUE,IF(ABR!$G45:$AK45="HE",ABR!$G$4:$AK$4,"")))</f>
        <v/>
      </c>
      <c r="V43" t="str">
        <f t="array" ref="V43">IF($Q43="","",_xlfn.TEXTJOIN(", ",TRUE,IF(MAI!$G45:$AK45="HE",MAI!$G$4:$AK$4,"")))</f>
        <v/>
      </c>
      <c r="W43" t="str">
        <f t="array" ref="W43">IF($Q43="","",_xlfn.TEXTJOIN(", ",TRUE,IF(JUN!$G45:$AK45="HE",JUN!$G$4:$AK$4,"")))</f>
        <v/>
      </c>
      <c r="X43" t="str">
        <f t="array" ref="X43">IF($Q43="","",_xlfn.TEXTJOIN(", ",TRUE,IF(JUL!$G45:$AK45="HE",JUL!$G$4:$AK$4,"")))</f>
        <v/>
      </c>
      <c r="Y43" t="str">
        <f t="array" ref="Y43">IF($Q43="","",_xlfn.TEXTJOIN(", ",TRUE,IF(AGO!$G45:$AK45="HE",AGO!$G$4:$AK$4,"")))</f>
        <v>16</v>
      </c>
      <c r="Z43" t="str">
        <f t="array" ref="Z43">IF($Q43="","",_xlfn.TEXTJOIN(", ",TRUE,IF(SET!$G45:$AK45="HE",SET!$G$4:$AK$4,"")))</f>
        <v/>
      </c>
      <c r="AA43" t="str">
        <f t="array" ref="AA43">IF($Q43="","",_xlfn.TEXTJOIN(", ",TRUE,IF(OUT!$G45:$AK45="HE",OUT!$G$4:$AK$4,"")))</f>
        <v/>
      </c>
      <c r="AB43" t="str">
        <f t="array" ref="AB43">IF($Q43="","",_xlfn.TEXTJOIN(", ",TRUE,IF(NOV!$G45:$AK45="HE",NOV!$G$4:$AK$4,"")))</f>
        <v/>
      </c>
      <c r="AC43" t="str">
        <f t="array" ref="AC43">IF($Q43="","",_xlfn.TEXTJOIN(", ",TRUE,IF(DEZ!$G45:$AK45="HE",DEZ!$G$4:$AK$4,"")))</f>
        <v/>
      </c>
      <c r="AD43">
        <f>IF($Q43="","",SUM(JAN:DEZ!C45))</f>
        <v>1</v>
      </c>
      <c r="AF43">
        <f>IF(AND($Q43&lt;&gt;"",N($AD43)&gt;0),COUNT($AF$3:AF42)+1,"")</f>
        <v>23</v>
      </c>
    </row>
    <row r="44" spans="1:32" x14ac:dyDescent="0.25">
      <c r="A44" s="36" t="str">
        <f>IFERROR(INDEX($Q$4:$Q$153,MATCH(ROWS($A$4:A44),$AF$4:$AF$153,0)),"")</f>
        <v>GUILHERME CARMARGO TEMPORARIO</v>
      </c>
      <c r="B44" s="35" t="str">
        <f>IFERROR(INDEX($R$4:$R$153,MATCH(ROWS($A$4:A44),$AF$4:$AF$153,0)),"")</f>
        <v/>
      </c>
      <c r="C44" s="35" t="str">
        <f>IFERROR(INDEX($S$4:$S$153,MATCH(ROWS($A$4:A44),$AF$4:$AF$153,0)),"")</f>
        <v/>
      </c>
      <c r="D44" s="35" t="str">
        <f>IFERROR(INDEX($T$4:$T$153,MATCH(ROWS($A$4:A44),$AF$4:$AF$153,0)),"")</f>
        <v/>
      </c>
      <c r="E44" s="35" t="str">
        <f>IFERROR(INDEX($U$4:$U$153,MATCH(ROWS($A$4:A44),$AF$4:$AF$153,0)),"")</f>
        <v/>
      </c>
      <c r="F44" s="35" t="str">
        <f>IFERROR(INDEX($V$4:$V$153,MATCH(ROWS($A$4:A44),$AF$4:$AF$153,0)),"")</f>
        <v/>
      </c>
      <c r="G44" s="35" t="str">
        <f>IFERROR(INDEX($W$4:$W$153,MATCH(ROWS($A$4:A44),$AF$4:$AF$153,0)),"")</f>
        <v/>
      </c>
      <c r="H44" s="35" t="str">
        <f>IFERROR(INDEX($X$4:$X$153,MATCH(ROWS($A$4:A44),$AF$4:$AF$153,0)),"")</f>
        <v/>
      </c>
      <c r="I44" s="35" t="str">
        <f>IFERROR(INDEX($Y$4:$Y$153,MATCH(ROWS($A$4:A44),$AF$4:$AF$153,0)),"")</f>
        <v/>
      </c>
      <c r="J44" s="35" t="str">
        <f>IFERROR(INDEX($Z$4:$Z$153,MATCH(ROWS($A$4:A44),$AF$4:$AF$153,0)),"")</f>
        <v/>
      </c>
      <c r="K44" s="35" t="str">
        <f>IFERROR(INDEX($AA$4:$AA$153,MATCH(ROWS($A$4:A44),$AF$4:$AF$153,0)),"")</f>
        <v>18</v>
      </c>
      <c r="L44" s="35" t="str">
        <f>IFERROR(INDEX($AB$4:$AB$153,MATCH(ROWS($A$4:A44),$AF$4:$AF$153,0)),"")</f>
        <v/>
      </c>
      <c r="M44" s="35" t="str">
        <f>IFERROR(INDEX($AC$4:$AC$153,MATCH(ROWS($A$4:A44),$AF$4:$AF$153,0)),"")</f>
        <v/>
      </c>
      <c r="N44" s="35">
        <f>IFERROR(INDEX($AD$4:$AD$153,MATCH(ROWS($A$4:A44),$AF$4:$AF$153,0)),"")</f>
        <v>1</v>
      </c>
      <c r="Q44" t="str">
        <f>T(JAN!B46)</f>
        <v>LORENZO LOPES 246601</v>
      </c>
      <c r="R44" t="str">
        <f t="array" ref="R44">IF($Q44="","",_xlfn.TEXTJOIN(", ",TRUE,IF(JAN!$G46:$AK46="HE",JAN!$G$4:$AK$4,"")))</f>
        <v/>
      </c>
      <c r="S44" t="str">
        <f t="array" ref="S44">IF($Q44="","",_xlfn.TEXTJOIN(", ",TRUE,IF(FEV!$G46:$AK46="HE",FEV!$G$4:$AK$4,"")))</f>
        <v/>
      </c>
      <c r="T44" t="str">
        <f t="array" ref="T44">IF($Q44="","",_xlfn.TEXTJOIN(", ",TRUE,IF(MAR!$G46:$AK46="HE",MAR!$G$4:$AK$4,"")))</f>
        <v/>
      </c>
      <c r="U44" t="str">
        <f t="array" ref="U44">IF($Q44="","",_xlfn.TEXTJOIN(", ",TRUE,IF(ABR!$G46:$AK46="HE",ABR!$G$4:$AK$4,"")))</f>
        <v/>
      </c>
      <c r="V44" t="str">
        <f t="array" ref="V44">IF($Q44="","",_xlfn.TEXTJOIN(", ",TRUE,IF(MAI!$G46:$AK46="HE",MAI!$G$4:$AK$4,"")))</f>
        <v/>
      </c>
      <c r="W44" t="str">
        <f t="array" ref="W44">IF($Q44="","",_xlfn.TEXTJOIN(", ",TRUE,IF(JUN!$G46:$AK46="HE",JUN!$G$4:$AK$4,"")))</f>
        <v/>
      </c>
      <c r="X44" t="str">
        <f t="array" ref="X44">IF($Q44="","",_xlfn.TEXTJOIN(", ",TRUE,IF(JUL!$G46:$AK46="HE",JUL!$G$4:$AK$4,"")))</f>
        <v/>
      </c>
      <c r="Y44" t="str">
        <f t="array" ref="Y44">IF($Q44="","",_xlfn.TEXTJOIN(", ",TRUE,IF(AGO!$G46:$AK46="HE",AGO!$G$4:$AK$4,"")))</f>
        <v/>
      </c>
      <c r="Z44" t="str">
        <f t="array" ref="Z44">IF($Q44="","",_xlfn.TEXTJOIN(", ",TRUE,IF(SET!$G46:$AK46="HE",SET!$G$4:$AK$4,"")))</f>
        <v/>
      </c>
      <c r="AA44" t="str">
        <f t="array" ref="AA44">IF($Q44="","",_xlfn.TEXTJOIN(", ",TRUE,IF(OUT!$G46:$AK46="HE",OUT!$G$4:$AK$4,"")))</f>
        <v/>
      </c>
      <c r="AB44" t="str">
        <f t="array" ref="AB44">IF($Q44="","",_xlfn.TEXTJOIN(", ",TRUE,IF(NOV!$G46:$AK46="HE",NOV!$G$4:$AK$4,"")))</f>
        <v/>
      </c>
      <c r="AC44" t="str">
        <f t="array" ref="AC44">IF($Q44="","",_xlfn.TEXTJOIN(", ",TRUE,IF(DEZ!$G46:$AK46="HE",DEZ!$G$4:$AK$4,"")))</f>
        <v/>
      </c>
      <c r="AD44">
        <f>IF($Q44="","",SUM(JAN:DEZ!C46))</f>
        <v>0</v>
      </c>
      <c r="AF44" t="str">
        <f>IF(AND($Q44&lt;&gt;"",N($AD44)&gt;0),COUNT($AF$3:AF43)+1,"")</f>
        <v/>
      </c>
    </row>
    <row r="45" spans="1:32" x14ac:dyDescent="0.25">
      <c r="A45" s="36" t="str">
        <f>IFERROR(INDEX($Q$4:$Q$153,MATCH(ROWS($A$4:A45),$AF$4:$AF$153,0)),"")</f>
        <v>RENAN TEMPORARIO</v>
      </c>
      <c r="B45" s="35" t="str">
        <f>IFERROR(INDEX($R$4:$R$153,MATCH(ROWS($A$4:A45),$AF$4:$AF$153,0)),"")</f>
        <v/>
      </c>
      <c r="C45" s="35" t="str">
        <f>IFERROR(INDEX($S$4:$S$153,MATCH(ROWS($A$4:A45),$AF$4:$AF$153,0)),"")</f>
        <v/>
      </c>
      <c r="D45" s="35" t="str">
        <f>IFERROR(INDEX($T$4:$T$153,MATCH(ROWS($A$4:A45),$AF$4:$AF$153,0)),"")</f>
        <v/>
      </c>
      <c r="E45" s="35" t="str">
        <f>IFERROR(INDEX($U$4:$U$153,MATCH(ROWS($A$4:A45),$AF$4:$AF$153,0)),"")</f>
        <v/>
      </c>
      <c r="F45" s="35" t="str">
        <f>IFERROR(INDEX($V$4:$V$153,MATCH(ROWS($A$4:A45),$AF$4:$AF$153,0)),"")</f>
        <v/>
      </c>
      <c r="G45" s="35" t="str">
        <f>IFERROR(INDEX($W$4:$W$153,MATCH(ROWS($A$4:A45),$AF$4:$AF$153,0)),"")</f>
        <v/>
      </c>
      <c r="H45" s="35" t="str">
        <f>IFERROR(INDEX($X$4:$X$153,MATCH(ROWS($A$4:A45),$AF$4:$AF$153,0)),"")</f>
        <v/>
      </c>
      <c r="I45" s="35" t="str">
        <f>IFERROR(INDEX($Y$4:$Y$153,MATCH(ROWS($A$4:A45),$AF$4:$AF$153,0)),"")</f>
        <v/>
      </c>
      <c r="J45" s="35" t="str">
        <f>IFERROR(INDEX($Z$4:$Z$153,MATCH(ROWS($A$4:A45),$AF$4:$AF$153,0)),"")</f>
        <v/>
      </c>
      <c r="K45" s="35" t="str">
        <f>IFERROR(INDEX($AA$4:$AA$153,MATCH(ROWS($A$4:A45),$AF$4:$AF$153,0)),"")</f>
        <v>18</v>
      </c>
      <c r="L45" s="35" t="str">
        <f>IFERROR(INDEX($AB$4:$AB$153,MATCH(ROWS($A$4:A45),$AF$4:$AF$153,0)),"")</f>
        <v/>
      </c>
      <c r="M45" s="35" t="str">
        <f>IFERROR(INDEX($AC$4:$AC$153,MATCH(ROWS($A$4:A45),$AF$4:$AF$153,0)),"")</f>
        <v/>
      </c>
      <c r="N45" s="35">
        <f>IFERROR(INDEX($AD$4:$AD$153,MATCH(ROWS($A$4:A45),$AF$4:$AF$153,0)),"")</f>
        <v>1</v>
      </c>
      <c r="Q45" t="str">
        <f>T(JAN!B47)</f>
        <v>GERSON FALEIRO 317801</v>
      </c>
      <c r="R45" t="str">
        <f t="array" ref="R45">IF($Q45="","",_xlfn.TEXTJOIN(", ",TRUE,IF(JAN!$G47:$AK47="HE",JAN!$G$4:$AK$4,"")))</f>
        <v/>
      </c>
      <c r="S45" t="str">
        <f t="array" ref="S45">IF($Q45="","",_xlfn.TEXTJOIN(", ",TRUE,IF(FEV!$G47:$AK47="HE",FEV!$G$4:$AK$4,"")))</f>
        <v/>
      </c>
      <c r="T45" t="str">
        <f t="array" ref="T45">IF($Q45="","",_xlfn.TEXTJOIN(", ",TRUE,IF(MAR!$G47:$AK47="HE",MAR!$G$4:$AK$4,"")))</f>
        <v/>
      </c>
      <c r="U45" t="str">
        <f t="array" ref="U45">IF($Q45="","",_xlfn.TEXTJOIN(", ",TRUE,IF(ABR!$G47:$AK47="HE",ABR!$G$4:$AK$4,"")))</f>
        <v/>
      </c>
      <c r="V45" t="str">
        <f t="array" ref="V45">IF($Q45="","",_xlfn.TEXTJOIN(", ",TRUE,IF(MAI!$G47:$AK47="HE",MAI!$G$4:$AK$4,"")))</f>
        <v/>
      </c>
      <c r="W45" t="str">
        <f t="array" ref="W45">IF($Q45="","",_xlfn.TEXTJOIN(", ",TRUE,IF(JUN!$G47:$AK47="HE",JUN!$G$4:$AK$4,"")))</f>
        <v/>
      </c>
      <c r="X45" t="str">
        <f t="array" ref="X45">IF($Q45="","",_xlfn.TEXTJOIN(", ",TRUE,IF(JUL!$G47:$AK47="HE",JUL!$G$4:$AK$4,"")))</f>
        <v/>
      </c>
      <c r="Y45" t="str">
        <f t="array" ref="Y45">IF($Q45="","",_xlfn.TEXTJOIN(", ",TRUE,IF(AGO!$G47:$AK47="HE",AGO!$G$4:$AK$4,"")))</f>
        <v>16</v>
      </c>
      <c r="Z45" t="str">
        <f t="array" ref="Z45">IF($Q45="","",_xlfn.TEXTJOIN(", ",TRUE,IF(SET!$G47:$AK47="HE",SET!$G$4:$AK$4,"")))</f>
        <v/>
      </c>
      <c r="AA45" t="str">
        <f t="array" ref="AA45">IF($Q45="","",_xlfn.TEXTJOIN(", ",TRUE,IF(OUT!$G47:$AK47="HE",OUT!$G$4:$AK$4,"")))</f>
        <v>18</v>
      </c>
      <c r="AB45" t="str">
        <f t="array" ref="AB45">IF($Q45="","",_xlfn.TEXTJOIN(", ",TRUE,IF(NOV!$G47:$AK47="HE",NOV!$G$4:$AK$4,"")))</f>
        <v/>
      </c>
      <c r="AC45" t="str">
        <f t="array" ref="AC45">IF($Q45="","",_xlfn.TEXTJOIN(", ",TRUE,IF(DEZ!$G47:$AK47="HE",DEZ!$G$4:$AK$4,"")))</f>
        <v/>
      </c>
      <c r="AD45">
        <f>IF($Q45="","",SUM(JAN:DEZ!C47))</f>
        <v>2</v>
      </c>
      <c r="AF45">
        <f>IF(AND($Q45&lt;&gt;"",N($AD45)&gt;0),COUNT($AF$3:AF44)+1,"")</f>
        <v>24</v>
      </c>
    </row>
    <row r="46" spans="1:32" x14ac:dyDescent="0.25">
      <c r="A46" s="36" t="str">
        <f>IFERROR(INDEX($Q$4:$Q$153,MATCH(ROWS($A$4:A46),$AF$4:$AF$153,0)),"")</f>
        <v>TAYLOR TEMPORÁRIO</v>
      </c>
      <c r="B46" s="35" t="str">
        <f>IFERROR(INDEX($R$4:$R$153,MATCH(ROWS($A$4:A46),$AF$4:$AF$153,0)),"")</f>
        <v/>
      </c>
      <c r="C46" s="35" t="str">
        <f>IFERROR(INDEX($S$4:$S$153,MATCH(ROWS($A$4:A46),$AF$4:$AF$153,0)),"")</f>
        <v/>
      </c>
      <c r="D46" s="35" t="str">
        <f>IFERROR(INDEX($T$4:$T$153,MATCH(ROWS($A$4:A46),$AF$4:$AF$153,0)),"")</f>
        <v/>
      </c>
      <c r="E46" s="35" t="str">
        <f>IFERROR(INDEX($U$4:$U$153,MATCH(ROWS($A$4:A46),$AF$4:$AF$153,0)),"")</f>
        <v/>
      </c>
      <c r="F46" s="35" t="str">
        <f>IFERROR(INDEX($V$4:$V$153,MATCH(ROWS($A$4:A46),$AF$4:$AF$153,0)),"")</f>
        <v/>
      </c>
      <c r="G46" s="35" t="str">
        <f>IFERROR(INDEX($W$4:$W$153,MATCH(ROWS($A$4:A46),$AF$4:$AF$153,0)),"")</f>
        <v/>
      </c>
      <c r="H46" s="35" t="str">
        <f>IFERROR(INDEX($X$4:$X$153,MATCH(ROWS($A$4:A46),$AF$4:$AF$153,0)),"")</f>
        <v/>
      </c>
      <c r="I46" s="35" t="str">
        <f>IFERROR(INDEX($Y$4:$Y$153,MATCH(ROWS($A$4:A46),$AF$4:$AF$153,0)),"")</f>
        <v/>
      </c>
      <c r="J46" s="35" t="str">
        <f>IFERROR(INDEX($Z$4:$Z$153,MATCH(ROWS($A$4:A46),$AF$4:$AF$153,0)),"")</f>
        <v/>
      </c>
      <c r="K46" s="35" t="str">
        <f>IFERROR(INDEX($AA$4:$AA$153,MATCH(ROWS($A$4:A46),$AF$4:$AF$153,0)),"")</f>
        <v>18</v>
      </c>
      <c r="L46" s="35" t="str">
        <f>IFERROR(INDEX($AB$4:$AB$153,MATCH(ROWS($A$4:A46),$AF$4:$AF$153,0)),"")</f>
        <v/>
      </c>
      <c r="M46" s="35" t="str">
        <f>IFERROR(INDEX($AC$4:$AC$153,MATCH(ROWS($A$4:A46),$AF$4:$AF$153,0)),"")</f>
        <v/>
      </c>
      <c r="N46" s="35">
        <f>IFERROR(INDEX($AD$4:$AD$153,MATCH(ROWS($A$4:A46),$AF$4:$AF$153,0)),"")</f>
        <v>1</v>
      </c>
      <c r="Q46" t="str">
        <f>T(JAN!B48)</f>
        <v>EDENIR TRINDADE 389401</v>
      </c>
      <c r="R46" t="str">
        <f t="array" ref="R46">IF($Q46="","",_xlfn.TEXTJOIN(", ",TRUE,IF(JAN!$G48:$AK48="HE",JAN!$G$4:$AK$4,"")))</f>
        <v/>
      </c>
      <c r="S46" t="str">
        <f t="array" ref="S46">IF($Q46="","",_xlfn.TEXTJOIN(", ",TRUE,IF(FEV!$G48:$AK48="HE",FEV!$G$4:$AK$4,"")))</f>
        <v/>
      </c>
      <c r="T46" t="str">
        <f t="array" ref="T46">IF($Q46="","",_xlfn.TEXTJOIN(", ",TRUE,IF(MAR!$G48:$AK48="HE",MAR!$G$4:$AK$4,"")))</f>
        <v/>
      </c>
      <c r="U46" t="str">
        <f t="array" ref="U46">IF($Q46="","",_xlfn.TEXTJOIN(", ",TRUE,IF(ABR!$G48:$AK48="HE",ABR!$G$4:$AK$4,"")))</f>
        <v/>
      </c>
      <c r="V46" t="str">
        <f t="array" ref="V46">IF($Q46="","",_xlfn.TEXTJOIN(", ",TRUE,IF(MAI!$G48:$AK48="HE",MAI!$G$4:$AK$4,"")))</f>
        <v/>
      </c>
      <c r="W46" t="str">
        <f t="array" ref="W46">IF($Q46="","",_xlfn.TEXTJOIN(", ",TRUE,IF(JUN!$G48:$AK48="HE",JUN!$G$4:$AK$4,"")))</f>
        <v/>
      </c>
      <c r="X46" t="str">
        <f t="array" ref="X46">IF($Q46="","",_xlfn.TEXTJOIN(", ",TRUE,IF(JUL!$G48:$AK48="HE",JUL!$G$4:$AK$4,"")))</f>
        <v/>
      </c>
      <c r="Y46" t="str">
        <f t="array" ref="Y46">IF($Q46="","",_xlfn.TEXTJOIN(", ",TRUE,IF(AGO!$G48:$AK48="HE",AGO!$G$4:$AK$4,"")))</f>
        <v>2, 16</v>
      </c>
      <c r="Z46" t="str">
        <f t="array" ref="Z46">IF($Q46="","",_xlfn.TEXTJOIN(", ",TRUE,IF(SET!$G48:$AK48="HE",SET!$G$4:$AK$4,"")))</f>
        <v>27</v>
      </c>
      <c r="AA46" t="str">
        <f t="array" ref="AA46">IF($Q46="","",_xlfn.TEXTJOIN(", ",TRUE,IF(OUT!$G48:$AK48="HE",OUT!$G$4:$AK$4,"")))</f>
        <v/>
      </c>
      <c r="AB46" t="str">
        <f t="array" ref="AB46">IF($Q46="","",_xlfn.TEXTJOIN(", ",TRUE,IF(NOV!$G48:$AK48="HE",NOV!$G$4:$AK$4,"")))</f>
        <v/>
      </c>
      <c r="AC46" t="str">
        <f t="array" ref="AC46">IF($Q46="","",_xlfn.TEXTJOIN(", ",TRUE,IF(DEZ!$G48:$AK48="HE",DEZ!$G$4:$AK$4,"")))</f>
        <v/>
      </c>
      <c r="AD46">
        <f>IF($Q46="","",SUM(JAN:DEZ!C48))</f>
        <v>3</v>
      </c>
      <c r="AF46">
        <f>IF(AND($Q46&lt;&gt;"",N($AD46)&gt;0),COUNT($AF$3:AF45)+1,"")</f>
        <v>25</v>
      </c>
    </row>
    <row r="47" spans="1:32" x14ac:dyDescent="0.25">
      <c r="A47" s="36" t="str">
        <f>IFERROR(INDEX($Q$4:$Q$153,MATCH(ROWS($A$4:A47),$AF$4:$AF$153,0)),"")</f>
        <v>ÉRICK TEMPORÁRIO</v>
      </c>
      <c r="B47" s="35" t="str">
        <f>IFERROR(INDEX($R$4:$R$153,MATCH(ROWS($A$4:A47),$AF$4:$AF$153,0)),"")</f>
        <v/>
      </c>
      <c r="C47" s="35" t="str">
        <f>IFERROR(INDEX($S$4:$S$153,MATCH(ROWS($A$4:A47),$AF$4:$AF$153,0)),"")</f>
        <v/>
      </c>
      <c r="D47" s="35" t="str">
        <f>IFERROR(INDEX($T$4:$T$153,MATCH(ROWS($A$4:A47),$AF$4:$AF$153,0)),"")</f>
        <v/>
      </c>
      <c r="E47" s="35" t="str">
        <f>IFERROR(INDEX($U$4:$U$153,MATCH(ROWS($A$4:A47),$AF$4:$AF$153,0)),"")</f>
        <v/>
      </c>
      <c r="F47" s="35" t="str">
        <f>IFERROR(INDEX($V$4:$V$153,MATCH(ROWS($A$4:A47),$AF$4:$AF$153,0)),"")</f>
        <v/>
      </c>
      <c r="G47" s="35" t="str">
        <f>IFERROR(INDEX($W$4:$W$153,MATCH(ROWS($A$4:A47),$AF$4:$AF$153,0)),"")</f>
        <v/>
      </c>
      <c r="H47" s="35" t="str">
        <f>IFERROR(INDEX($X$4:$X$153,MATCH(ROWS($A$4:A47),$AF$4:$AF$153,0)),"")</f>
        <v/>
      </c>
      <c r="I47" s="35" t="str">
        <f>IFERROR(INDEX($Y$4:$Y$153,MATCH(ROWS($A$4:A47),$AF$4:$AF$153,0)),"")</f>
        <v/>
      </c>
      <c r="J47" s="35" t="str">
        <f>IFERROR(INDEX($Z$4:$Z$153,MATCH(ROWS($A$4:A47),$AF$4:$AF$153,0)),"")</f>
        <v/>
      </c>
      <c r="K47" s="35" t="str">
        <f>IFERROR(INDEX($AA$4:$AA$153,MATCH(ROWS($A$4:A47),$AF$4:$AF$153,0)),"")</f>
        <v>18</v>
      </c>
      <c r="L47" s="35" t="str">
        <f>IFERROR(INDEX($AB$4:$AB$153,MATCH(ROWS($A$4:A47),$AF$4:$AF$153,0)),"")</f>
        <v/>
      </c>
      <c r="M47" s="35" t="str">
        <f>IFERROR(INDEX($AC$4:$AC$153,MATCH(ROWS($A$4:A47),$AF$4:$AF$153,0)),"")</f>
        <v/>
      </c>
      <c r="N47" s="35">
        <f>IFERROR(INDEX($AD$4:$AD$153,MATCH(ROWS($A$4:A47),$AF$4:$AF$153,0)),"")</f>
        <v>1</v>
      </c>
      <c r="Q47" t="str">
        <f>T(JAN!B49)</f>
        <v>VACIR PINTO 185201</v>
      </c>
      <c r="R47" t="str">
        <f t="array" ref="R47">IF($Q47="","",_xlfn.TEXTJOIN(", ",TRUE,IF(JAN!$G49:$AK49="HE",JAN!$G$4:$AK$4,"")))</f>
        <v/>
      </c>
      <c r="S47" t="str">
        <f t="array" ref="S47">IF($Q47="","",_xlfn.TEXTJOIN(", ",TRUE,IF(FEV!$G49:$AK49="HE",FEV!$G$4:$AK$4,"")))</f>
        <v/>
      </c>
      <c r="T47" t="str">
        <f t="array" ref="T47">IF($Q47="","",_xlfn.TEXTJOIN(", ",TRUE,IF(MAR!$G49:$AK49="HE",MAR!$G$4:$AK$4,"")))</f>
        <v/>
      </c>
      <c r="U47" t="str">
        <f t="array" ref="U47">IF($Q47="","",_xlfn.TEXTJOIN(", ",TRUE,IF(ABR!$G49:$AK49="HE",ABR!$G$4:$AK$4,"")))</f>
        <v/>
      </c>
      <c r="V47" t="str">
        <f t="array" ref="V47">IF($Q47="","",_xlfn.TEXTJOIN(", ",TRUE,IF(MAI!$G49:$AK49="HE",MAI!$G$4:$AK$4,"")))</f>
        <v/>
      </c>
      <c r="W47" t="str">
        <f t="array" ref="W47">IF($Q47="","",_xlfn.TEXTJOIN(", ",TRUE,IF(JUN!$G49:$AK49="HE",JUN!$G$4:$AK$4,"")))</f>
        <v/>
      </c>
      <c r="X47" t="str">
        <f t="array" ref="X47">IF($Q47="","",_xlfn.TEXTJOIN(", ",TRUE,IF(JUL!$G49:$AK49="HE",JUL!$G$4:$AK$4,"")))</f>
        <v/>
      </c>
      <c r="Y47" t="str">
        <f t="array" ref="Y47">IF($Q47="","",_xlfn.TEXTJOIN(", ",TRUE,IF(AGO!$G49:$AK49="HE",AGO!$G$4:$AK$4,"")))</f>
        <v/>
      </c>
      <c r="Z47" t="str">
        <f t="array" ref="Z47">IF($Q47="","",_xlfn.TEXTJOIN(", ",TRUE,IF(SET!$G49:$AK49="HE",SET!$G$4:$AK$4,"")))</f>
        <v/>
      </c>
      <c r="AA47" t="str">
        <f t="array" ref="AA47">IF($Q47="","",_xlfn.TEXTJOIN(", ",TRUE,IF(OUT!$G49:$AK49="HE",OUT!$G$4:$AK$4,"")))</f>
        <v/>
      </c>
      <c r="AB47" t="str">
        <f t="array" ref="AB47">IF($Q47="","",_xlfn.TEXTJOIN(", ",TRUE,IF(NOV!$G49:$AK49="HE",NOV!$G$4:$AK$4,"")))</f>
        <v/>
      </c>
      <c r="AC47" t="str">
        <f t="array" ref="AC47">IF($Q47="","",_xlfn.TEXTJOIN(", ",TRUE,IF(DEZ!$G49:$AK49="HE",DEZ!$G$4:$AK$4,"")))</f>
        <v/>
      </c>
      <c r="AD47">
        <f>IF($Q47="","",SUM(JAN:DEZ!C49))</f>
        <v>0</v>
      </c>
      <c r="AF47" t="str">
        <f>IF(AND($Q47&lt;&gt;"",N($AD47)&gt;0),COUNT($AF$3:AF46)+1,"")</f>
        <v/>
      </c>
    </row>
    <row r="48" spans="1:32" x14ac:dyDescent="0.25">
      <c r="A48" s="36" t="str">
        <f>IFERROR(INDEX($Q$4:$Q$153,MATCH(ROWS($A$4:A48),$AF$4:$AF$153,0)),"")</f>
        <v/>
      </c>
      <c r="B48" s="35" t="str">
        <f>IFERROR(INDEX($R$4:$R$153,MATCH(ROWS($A$4:A48),$AF$4:$AF$153,0)),"")</f>
        <v/>
      </c>
      <c r="C48" s="35" t="str">
        <f>IFERROR(INDEX($S$4:$S$153,MATCH(ROWS($A$4:A48),$AF$4:$AF$153,0)),"")</f>
        <v/>
      </c>
      <c r="D48" s="35" t="str">
        <f>IFERROR(INDEX($T$4:$T$153,MATCH(ROWS($A$4:A48),$AF$4:$AF$153,0)),"")</f>
        <v/>
      </c>
      <c r="E48" s="35" t="str">
        <f>IFERROR(INDEX($U$4:$U$153,MATCH(ROWS($A$4:A48),$AF$4:$AF$153,0)),"")</f>
        <v/>
      </c>
      <c r="F48" s="35" t="str">
        <f>IFERROR(INDEX($V$4:$V$153,MATCH(ROWS($A$4:A48),$AF$4:$AF$153,0)),"")</f>
        <v/>
      </c>
      <c r="G48" s="35" t="str">
        <f>IFERROR(INDEX($W$4:$W$153,MATCH(ROWS($A$4:A48),$AF$4:$AF$153,0)),"")</f>
        <v/>
      </c>
      <c r="H48" s="35" t="str">
        <f>IFERROR(INDEX($X$4:$X$153,MATCH(ROWS($A$4:A48),$AF$4:$AF$153,0)),"")</f>
        <v/>
      </c>
      <c r="I48" s="35" t="str">
        <f>IFERROR(INDEX($Y$4:$Y$153,MATCH(ROWS($A$4:A48),$AF$4:$AF$153,0)),"")</f>
        <v/>
      </c>
      <c r="J48" s="35" t="str">
        <f>IFERROR(INDEX($Z$4:$Z$153,MATCH(ROWS($A$4:A48),$AF$4:$AF$153,0)),"")</f>
        <v/>
      </c>
      <c r="K48" s="35" t="str">
        <f>IFERROR(INDEX($AA$4:$AA$153,MATCH(ROWS($A$4:A48),$AF$4:$AF$153,0)),"")</f>
        <v/>
      </c>
      <c r="L48" s="35" t="str">
        <f>IFERROR(INDEX($AB$4:$AB$153,MATCH(ROWS($A$4:A48),$AF$4:$AF$153,0)),"")</f>
        <v/>
      </c>
      <c r="M48" s="35" t="str">
        <f>IFERROR(INDEX($AC$4:$AC$153,MATCH(ROWS($A$4:A48),$AF$4:$AF$153,0)),"")</f>
        <v/>
      </c>
      <c r="N48" s="35" t="str">
        <f>IFERROR(INDEX($AD$4:$AD$153,MATCH(ROWS($A$4:A48),$AF$4:$AF$153,0)),"")</f>
        <v/>
      </c>
      <c r="Q48" t="str">
        <f>T(JAN!B50)</f>
        <v>DIEGO BOEIRA 125801</v>
      </c>
      <c r="R48" t="str">
        <f t="array" ref="R48">IF($Q48="","",_xlfn.TEXTJOIN(", ",TRUE,IF(JAN!$G50:$AK50="HE",JAN!$G$4:$AK$4,"")))</f>
        <v/>
      </c>
      <c r="S48" t="str">
        <f t="array" ref="S48">IF($Q48="","",_xlfn.TEXTJOIN(", ",TRUE,IF(FEV!$G50:$AK50="HE",FEV!$G$4:$AK$4,"")))</f>
        <v/>
      </c>
      <c r="T48" t="str">
        <f t="array" ref="T48">IF($Q48="","",_xlfn.TEXTJOIN(", ",TRUE,IF(MAR!$G50:$AK50="HE",MAR!$G$4:$AK$4,"")))</f>
        <v/>
      </c>
      <c r="U48" t="str">
        <f t="array" ref="U48">IF($Q48="","",_xlfn.TEXTJOIN(", ",TRUE,IF(ABR!$G50:$AK50="HE",ABR!$G$4:$AK$4,"")))</f>
        <v/>
      </c>
      <c r="V48" t="str">
        <f t="array" ref="V48">IF($Q48="","",_xlfn.TEXTJOIN(", ",TRUE,IF(MAI!$G50:$AK50="HE",MAI!$G$4:$AK$4,"")))</f>
        <v/>
      </c>
      <c r="W48" t="str">
        <f t="array" ref="W48">IF($Q48="","",_xlfn.TEXTJOIN(", ",TRUE,IF(JUN!$G50:$AK50="HE",JUN!$G$4:$AK$4,"")))</f>
        <v/>
      </c>
      <c r="X48" t="str">
        <f t="array" ref="X48">IF($Q48="","",_xlfn.TEXTJOIN(", ",TRUE,IF(JUL!$G50:$AK50="HE",JUL!$G$4:$AK$4,"")))</f>
        <v>19</v>
      </c>
      <c r="Y48" t="str">
        <f t="array" ref="Y48">IF($Q48="","",_xlfn.TEXTJOIN(", ",TRUE,IF(AGO!$G50:$AK50="HE",AGO!$G$4:$AK$4,"")))</f>
        <v>16</v>
      </c>
      <c r="Z48" t="str">
        <f t="array" ref="Z48">IF($Q48="","",_xlfn.TEXTJOIN(", ",TRUE,IF(SET!$G50:$AK50="HE",SET!$G$4:$AK$4,"")))</f>
        <v/>
      </c>
      <c r="AA48" t="str">
        <f t="array" ref="AA48">IF($Q48="","",_xlfn.TEXTJOIN(", ",TRUE,IF(OUT!$G50:$AK50="HE",OUT!$G$4:$AK$4,"")))</f>
        <v/>
      </c>
      <c r="AB48" t="str">
        <f t="array" ref="AB48">IF($Q48="","",_xlfn.TEXTJOIN(", ",TRUE,IF(NOV!$G50:$AK50="HE",NOV!$G$4:$AK$4,"")))</f>
        <v/>
      </c>
      <c r="AC48" t="str">
        <f t="array" ref="AC48">IF($Q48="","",_xlfn.TEXTJOIN(", ",TRUE,IF(DEZ!$G50:$AK50="HE",DEZ!$G$4:$AK$4,"")))</f>
        <v/>
      </c>
      <c r="AD48">
        <f>IF($Q48="","",SUM(JAN:DEZ!C50))</f>
        <v>2</v>
      </c>
      <c r="AF48">
        <f>IF(AND($Q48&lt;&gt;"",N($AD48)&gt;0),COUNT($AF$3:AF47)+1,"")</f>
        <v>26</v>
      </c>
    </row>
    <row r="49" spans="1:32" x14ac:dyDescent="0.25">
      <c r="A49" s="36" t="str">
        <f>IFERROR(INDEX($Q$4:$Q$153,MATCH(ROWS($A$4:A49),$AF$4:$AF$153,0)),"")</f>
        <v/>
      </c>
      <c r="B49" s="35" t="str">
        <f>IFERROR(INDEX($R$4:$R$153,MATCH(ROWS($A$4:A49),$AF$4:$AF$153,0)),"")</f>
        <v/>
      </c>
      <c r="C49" s="35" t="str">
        <f>IFERROR(INDEX($S$4:$S$153,MATCH(ROWS($A$4:A49),$AF$4:$AF$153,0)),"")</f>
        <v/>
      </c>
      <c r="D49" s="35" t="str">
        <f>IFERROR(INDEX($T$4:$T$153,MATCH(ROWS($A$4:A49),$AF$4:$AF$153,0)),"")</f>
        <v/>
      </c>
      <c r="E49" s="35" t="str">
        <f>IFERROR(INDEX($U$4:$U$153,MATCH(ROWS($A$4:A49),$AF$4:$AF$153,0)),"")</f>
        <v/>
      </c>
      <c r="F49" s="35" t="str">
        <f>IFERROR(INDEX($V$4:$V$153,MATCH(ROWS($A$4:A49),$AF$4:$AF$153,0)),"")</f>
        <v/>
      </c>
      <c r="G49" s="35" t="str">
        <f>IFERROR(INDEX($W$4:$W$153,MATCH(ROWS($A$4:A49),$AF$4:$AF$153,0)),"")</f>
        <v/>
      </c>
      <c r="H49" s="35" t="str">
        <f>IFERROR(INDEX($X$4:$X$153,MATCH(ROWS($A$4:A49),$AF$4:$AF$153,0)),"")</f>
        <v/>
      </c>
      <c r="I49" s="35" t="str">
        <f>IFERROR(INDEX($Y$4:$Y$153,MATCH(ROWS($A$4:A49),$AF$4:$AF$153,0)),"")</f>
        <v/>
      </c>
      <c r="J49" s="35" t="str">
        <f>IFERROR(INDEX($Z$4:$Z$153,MATCH(ROWS($A$4:A49),$AF$4:$AF$153,0)),"")</f>
        <v/>
      </c>
      <c r="K49" s="35" t="str">
        <f>IFERROR(INDEX($AA$4:$AA$153,MATCH(ROWS($A$4:A49),$AF$4:$AF$153,0)),"")</f>
        <v/>
      </c>
      <c r="L49" s="35" t="str">
        <f>IFERROR(INDEX($AB$4:$AB$153,MATCH(ROWS($A$4:A49),$AF$4:$AF$153,0)),"")</f>
        <v/>
      </c>
      <c r="M49" s="35" t="str">
        <f>IFERROR(INDEX($AC$4:$AC$153,MATCH(ROWS($A$4:A49),$AF$4:$AF$153,0)),"")</f>
        <v/>
      </c>
      <c r="N49" s="35" t="str">
        <f>IFERROR(INDEX($AD$4:$AD$153,MATCH(ROWS($A$4:A49),$AF$4:$AF$153,0)),"")</f>
        <v/>
      </c>
      <c r="Q49" t="str">
        <f>T(JAN!B51)</f>
        <v>STEFAN KOVALICK 310001</v>
      </c>
      <c r="R49" t="str">
        <f t="array" ref="R49">IF($Q49="","",_xlfn.TEXTJOIN(", ",TRUE,IF(JAN!$G51:$AK51="HE",JAN!$G$4:$AK$4,"")))</f>
        <v/>
      </c>
      <c r="S49" t="str">
        <f t="array" ref="S49">IF($Q49="","",_xlfn.TEXTJOIN(", ",TRUE,IF(FEV!$G51:$AK51="HE",FEV!$G$4:$AK$4,"")))</f>
        <v/>
      </c>
      <c r="T49" t="str">
        <f t="array" ref="T49">IF($Q49="","",_xlfn.TEXTJOIN(", ",TRUE,IF(MAR!$G51:$AK51="HE",MAR!$G$4:$AK$4,"")))</f>
        <v/>
      </c>
      <c r="U49" t="str">
        <f t="array" ref="U49">IF($Q49="","",_xlfn.TEXTJOIN(", ",TRUE,IF(ABR!$G51:$AK51="HE",ABR!$G$4:$AK$4,"")))</f>
        <v/>
      </c>
      <c r="V49" t="str">
        <f t="array" ref="V49">IF($Q49="","",_xlfn.TEXTJOIN(", ",TRUE,IF(MAI!$G51:$AK51="HE",MAI!$G$4:$AK$4,"")))</f>
        <v/>
      </c>
      <c r="W49" t="str">
        <f t="array" ref="W49">IF($Q49="","",_xlfn.TEXTJOIN(", ",TRUE,IF(JUN!$G51:$AK51="HE",JUN!$G$4:$AK$4,"")))</f>
        <v/>
      </c>
      <c r="X49" t="str">
        <f t="array" ref="X49">IF($Q49="","",_xlfn.TEXTJOIN(", ",TRUE,IF(JUL!$G51:$AK51="HE",JUL!$G$4:$AK$4,"")))</f>
        <v>19</v>
      </c>
      <c r="Y49" t="str">
        <f t="array" ref="Y49">IF($Q49="","",_xlfn.TEXTJOIN(", ",TRUE,IF(AGO!$G51:$AK51="HE",AGO!$G$4:$AK$4,"")))</f>
        <v>2, 16</v>
      </c>
      <c r="Z49" t="str">
        <f t="array" ref="Z49">IF($Q49="","",_xlfn.TEXTJOIN(", ",TRUE,IF(SET!$G51:$AK51="HE",SET!$G$4:$AK$4,"")))</f>
        <v>20</v>
      </c>
      <c r="AA49" t="str">
        <f t="array" ref="AA49">IF($Q49="","",_xlfn.TEXTJOIN(", ",TRUE,IF(OUT!$G51:$AK51="HE",OUT!$G$4:$AK$4,"")))</f>
        <v>11</v>
      </c>
      <c r="AB49" t="str">
        <f t="array" ref="AB49">IF($Q49="","",_xlfn.TEXTJOIN(", ",TRUE,IF(NOV!$G51:$AK51="HE",NOV!$G$4:$AK$4,"")))</f>
        <v/>
      </c>
      <c r="AC49" t="str">
        <f t="array" ref="AC49">IF($Q49="","",_xlfn.TEXTJOIN(", ",TRUE,IF(DEZ!$G51:$AK51="HE",DEZ!$G$4:$AK$4,"")))</f>
        <v/>
      </c>
      <c r="AD49">
        <f>IF($Q49="","",SUM(JAN:DEZ!C51))</f>
        <v>5</v>
      </c>
      <c r="AF49">
        <f>IF(AND($Q49&lt;&gt;"",N($AD49)&gt;0),COUNT($AF$3:AF48)+1,"")</f>
        <v>27</v>
      </c>
    </row>
    <row r="50" spans="1:32" x14ac:dyDescent="0.25">
      <c r="A50" s="36" t="str">
        <f>IFERROR(INDEX($Q$4:$Q$153,MATCH(ROWS($A$4:A50),$AF$4:$AF$153,0)),"")</f>
        <v/>
      </c>
      <c r="B50" s="35" t="str">
        <f>IFERROR(INDEX($R$4:$R$153,MATCH(ROWS($A$4:A50),$AF$4:$AF$153,0)),"")</f>
        <v/>
      </c>
      <c r="C50" s="35" t="str">
        <f>IFERROR(INDEX($S$4:$S$153,MATCH(ROWS($A$4:A50),$AF$4:$AF$153,0)),"")</f>
        <v/>
      </c>
      <c r="D50" s="35" t="str">
        <f>IFERROR(INDEX($T$4:$T$153,MATCH(ROWS($A$4:A50),$AF$4:$AF$153,0)),"")</f>
        <v/>
      </c>
      <c r="E50" s="35" t="str">
        <f>IFERROR(INDEX($U$4:$U$153,MATCH(ROWS($A$4:A50),$AF$4:$AF$153,0)),"")</f>
        <v/>
      </c>
      <c r="F50" s="35" t="str">
        <f>IFERROR(INDEX($V$4:$V$153,MATCH(ROWS($A$4:A50),$AF$4:$AF$153,0)),"")</f>
        <v/>
      </c>
      <c r="G50" s="35" t="str">
        <f>IFERROR(INDEX($W$4:$W$153,MATCH(ROWS($A$4:A50),$AF$4:$AF$153,0)),"")</f>
        <v/>
      </c>
      <c r="H50" s="35" t="str">
        <f>IFERROR(INDEX($X$4:$X$153,MATCH(ROWS($A$4:A50),$AF$4:$AF$153,0)),"")</f>
        <v/>
      </c>
      <c r="I50" s="35" t="str">
        <f>IFERROR(INDEX($Y$4:$Y$153,MATCH(ROWS($A$4:A50),$AF$4:$AF$153,0)),"")</f>
        <v/>
      </c>
      <c r="J50" s="35" t="str">
        <f>IFERROR(INDEX($Z$4:$Z$153,MATCH(ROWS($A$4:A50),$AF$4:$AF$153,0)),"")</f>
        <v/>
      </c>
      <c r="K50" s="35" t="str">
        <f>IFERROR(INDEX($AA$4:$AA$153,MATCH(ROWS($A$4:A50),$AF$4:$AF$153,0)),"")</f>
        <v/>
      </c>
      <c r="L50" s="35" t="str">
        <f>IFERROR(INDEX($AB$4:$AB$153,MATCH(ROWS($A$4:A50),$AF$4:$AF$153,0)),"")</f>
        <v/>
      </c>
      <c r="M50" s="35" t="str">
        <f>IFERROR(INDEX($AC$4:$AC$153,MATCH(ROWS($A$4:A50),$AF$4:$AF$153,0)),"")</f>
        <v/>
      </c>
      <c r="N50" s="35" t="str">
        <f>IFERROR(INDEX($AD$4:$AD$153,MATCH(ROWS($A$4:A50),$AF$4:$AF$153,0)),"")</f>
        <v/>
      </c>
      <c r="Q50" t="str">
        <f>T(JAN!B52)</f>
        <v>JEFERSON SCHENA 309901</v>
      </c>
      <c r="R50" t="str">
        <f t="array" ref="R50">IF($Q50="","",_xlfn.TEXTJOIN(", ",TRUE,IF(JAN!$G52:$AK52="HE",JAN!$G$4:$AK$4,"")))</f>
        <v/>
      </c>
      <c r="S50" t="str">
        <f t="array" ref="S50">IF($Q50="","",_xlfn.TEXTJOIN(", ",TRUE,IF(FEV!$G52:$AK52="HE",FEV!$G$4:$AK$4,"")))</f>
        <v/>
      </c>
      <c r="T50" t="str">
        <f t="array" ref="T50">IF($Q50="","",_xlfn.TEXTJOIN(", ",TRUE,IF(MAR!$G52:$AK52="HE",MAR!$G$4:$AK$4,"")))</f>
        <v/>
      </c>
      <c r="U50" t="str">
        <f t="array" ref="U50">IF($Q50="","",_xlfn.TEXTJOIN(", ",TRUE,IF(ABR!$G52:$AK52="HE",ABR!$G$4:$AK$4,"")))</f>
        <v/>
      </c>
      <c r="V50" t="str">
        <f t="array" ref="V50">IF($Q50="","",_xlfn.TEXTJOIN(", ",TRUE,IF(MAI!$G52:$AK52="HE",MAI!$G$4:$AK$4,"")))</f>
        <v/>
      </c>
      <c r="W50" t="str">
        <f t="array" ref="W50">IF($Q50="","",_xlfn.TEXTJOIN(", ",TRUE,IF(JUN!$G52:$AK52="HE",JUN!$G$4:$AK$4,"")))</f>
        <v/>
      </c>
      <c r="X50" t="str">
        <f t="array" ref="X50">IF($Q50="","",_xlfn.TEXTJOIN(", ",TRUE,IF(JUL!$G52:$AK52="HE",JUL!$G$4:$AK$4,"")))</f>
        <v/>
      </c>
      <c r="Y50" t="str">
        <f t="array" ref="Y50">IF($Q50="","",_xlfn.TEXTJOIN(", ",TRUE,IF(AGO!$G52:$AK52="HE",AGO!$G$4:$AK$4,"")))</f>
        <v/>
      </c>
      <c r="Z50" t="str">
        <f t="array" ref="Z50">IF($Q50="","",_xlfn.TEXTJOIN(", ",TRUE,IF(SET!$G52:$AK52="HE",SET!$G$4:$AK$4,"")))</f>
        <v/>
      </c>
      <c r="AA50" t="str">
        <f t="array" ref="AA50">IF($Q50="","",_xlfn.TEXTJOIN(", ",TRUE,IF(OUT!$G52:$AK52="HE",OUT!$G$4:$AK$4,"")))</f>
        <v>18</v>
      </c>
      <c r="AB50" t="str">
        <f t="array" ref="AB50">IF($Q50="","",_xlfn.TEXTJOIN(", ",TRUE,IF(NOV!$G52:$AK52="HE",NOV!$G$4:$AK$4,"")))</f>
        <v/>
      </c>
      <c r="AC50" t="str">
        <f t="array" ref="AC50">IF($Q50="","",_xlfn.TEXTJOIN(", ",TRUE,IF(DEZ!$G52:$AK52="HE",DEZ!$G$4:$AK$4,"")))</f>
        <v/>
      </c>
      <c r="AD50">
        <f>IF($Q50="","",SUM(JAN:DEZ!C52))</f>
        <v>1</v>
      </c>
      <c r="AF50">
        <f>IF(AND($Q50&lt;&gt;"",N($AD50)&gt;0),COUNT($AF$3:AF49)+1,"")</f>
        <v>28</v>
      </c>
    </row>
    <row r="51" spans="1:32" x14ac:dyDescent="0.25">
      <c r="A51" s="36" t="str">
        <f>IFERROR(INDEX($Q$4:$Q$153,MATCH(ROWS($A$4:A51),$AF$4:$AF$153,0)),"")</f>
        <v/>
      </c>
      <c r="B51" s="35" t="str">
        <f>IFERROR(INDEX($R$4:$R$153,MATCH(ROWS($A$4:A51),$AF$4:$AF$153,0)),"")</f>
        <v/>
      </c>
      <c r="C51" s="35" t="str">
        <f>IFERROR(INDEX($S$4:$S$153,MATCH(ROWS($A$4:A51),$AF$4:$AF$153,0)),"")</f>
        <v/>
      </c>
      <c r="D51" s="35" t="str">
        <f>IFERROR(INDEX($T$4:$T$153,MATCH(ROWS($A$4:A51),$AF$4:$AF$153,0)),"")</f>
        <v/>
      </c>
      <c r="E51" s="35" t="str">
        <f>IFERROR(INDEX($U$4:$U$153,MATCH(ROWS($A$4:A51),$AF$4:$AF$153,0)),"")</f>
        <v/>
      </c>
      <c r="F51" s="35" t="str">
        <f>IFERROR(INDEX($V$4:$V$153,MATCH(ROWS($A$4:A51),$AF$4:$AF$153,0)),"")</f>
        <v/>
      </c>
      <c r="G51" s="35" t="str">
        <f>IFERROR(INDEX($W$4:$W$153,MATCH(ROWS($A$4:A51),$AF$4:$AF$153,0)),"")</f>
        <v/>
      </c>
      <c r="H51" s="35" t="str">
        <f>IFERROR(INDEX($X$4:$X$153,MATCH(ROWS($A$4:A51),$AF$4:$AF$153,0)),"")</f>
        <v/>
      </c>
      <c r="I51" s="35" t="str">
        <f>IFERROR(INDEX($Y$4:$Y$153,MATCH(ROWS($A$4:A51),$AF$4:$AF$153,0)),"")</f>
        <v/>
      </c>
      <c r="J51" s="35" t="str">
        <f>IFERROR(INDEX($Z$4:$Z$153,MATCH(ROWS($A$4:A51),$AF$4:$AF$153,0)),"")</f>
        <v/>
      </c>
      <c r="K51" s="35" t="str">
        <f>IFERROR(INDEX($AA$4:$AA$153,MATCH(ROWS($A$4:A51),$AF$4:$AF$153,0)),"")</f>
        <v/>
      </c>
      <c r="L51" s="35" t="str">
        <f>IFERROR(INDEX($AB$4:$AB$153,MATCH(ROWS($A$4:A51),$AF$4:$AF$153,0)),"")</f>
        <v/>
      </c>
      <c r="M51" s="35" t="str">
        <f>IFERROR(INDEX($AC$4:$AC$153,MATCH(ROWS($A$4:A51),$AF$4:$AF$153,0)),"")</f>
        <v/>
      </c>
      <c r="N51" s="35" t="str">
        <f>IFERROR(INDEX($AD$4:$AD$153,MATCH(ROWS($A$4:A51),$AF$4:$AF$153,0)),"")</f>
        <v/>
      </c>
      <c r="Q51" t="str">
        <f>T(JAN!B53)</f>
        <v>ALEXANDRE ARAUJO 346001</v>
      </c>
      <c r="R51" t="str">
        <f t="array" ref="R51">IF($Q51="","",_xlfn.TEXTJOIN(", ",TRUE,IF(JAN!$G53:$AK53="HE",JAN!$G$4:$AK$4,"")))</f>
        <v/>
      </c>
      <c r="S51" t="str">
        <f t="array" ref="S51">IF($Q51="","",_xlfn.TEXTJOIN(", ",TRUE,IF(FEV!$G53:$AK53="HE",FEV!$G$4:$AK$4,"")))</f>
        <v/>
      </c>
      <c r="T51" t="str">
        <f t="array" ref="T51">IF($Q51="","",_xlfn.TEXTJOIN(", ",TRUE,IF(MAR!$G53:$AK53="HE",MAR!$G$4:$AK$4,"")))</f>
        <v/>
      </c>
      <c r="U51" t="str">
        <f t="array" ref="U51">IF($Q51="","",_xlfn.TEXTJOIN(", ",TRUE,IF(ABR!$G53:$AK53="HE",ABR!$G$4:$AK$4,"")))</f>
        <v/>
      </c>
      <c r="V51" t="str">
        <f t="array" ref="V51">IF($Q51="","",_xlfn.TEXTJOIN(", ",TRUE,IF(MAI!$G53:$AK53="HE",MAI!$G$4:$AK$4,"")))</f>
        <v/>
      </c>
      <c r="W51" t="str">
        <f t="array" ref="W51">IF($Q51="","",_xlfn.TEXTJOIN(", ",TRUE,IF(JUN!$G53:$AK53="HE",JUN!$G$4:$AK$4,"")))</f>
        <v/>
      </c>
      <c r="X51" t="str">
        <f t="array" ref="X51">IF($Q51="","",_xlfn.TEXTJOIN(", ",TRUE,IF(JUL!$G53:$AK53="HE",JUL!$G$4:$AK$4,"")))</f>
        <v/>
      </c>
      <c r="Y51" t="str">
        <f t="array" ref="Y51">IF($Q51="","",_xlfn.TEXTJOIN(", ",TRUE,IF(AGO!$G53:$AK53="HE",AGO!$G$4:$AK$4,"")))</f>
        <v/>
      </c>
      <c r="Z51" t="str">
        <f t="array" ref="Z51">IF($Q51="","",_xlfn.TEXTJOIN(", ",TRUE,IF(SET!$G53:$AK53="HE",SET!$G$4:$AK$4,"")))</f>
        <v/>
      </c>
      <c r="AA51" t="str">
        <f t="array" ref="AA51">IF($Q51="","",_xlfn.TEXTJOIN(", ",TRUE,IF(OUT!$G53:$AK53="HE",OUT!$G$4:$AK$4,"")))</f>
        <v/>
      </c>
      <c r="AB51" t="str">
        <f t="array" ref="AB51">IF($Q51="","",_xlfn.TEXTJOIN(", ",TRUE,IF(NOV!$G53:$AK53="HE",NOV!$G$4:$AK$4,"")))</f>
        <v/>
      </c>
      <c r="AC51" t="str">
        <f t="array" ref="AC51">IF($Q51="","",_xlfn.TEXTJOIN(", ",TRUE,IF(DEZ!$G53:$AK53="HE",DEZ!$G$4:$AK$4,"")))</f>
        <v/>
      </c>
      <c r="AD51">
        <f>IF($Q51="","",SUM(JAN:DEZ!C53))</f>
        <v>0</v>
      </c>
      <c r="AF51" t="str">
        <f>IF(AND($Q51&lt;&gt;"",N($AD51)&gt;0),COUNT($AF$3:AF50)+1,"")</f>
        <v/>
      </c>
    </row>
    <row r="52" spans="1:32" x14ac:dyDescent="0.25">
      <c r="A52" s="36" t="str">
        <f>IFERROR(INDEX($Q$4:$Q$153,MATCH(ROWS($A$4:A52),$AF$4:$AF$153,0)),"")</f>
        <v/>
      </c>
      <c r="B52" s="35" t="str">
        <f>IFERROR(INDEX($R$4:$R$153,MATCH(ROWS($A$4:A52),$AF$4:$AF$153,0)),"")</f>
        <v/>
      </c>
      <c r="C52" s="35" t="str">
        <f>IFERROR(INDEX($S$4:$S$153,MATCH(ROWS($A$4:A52),$AF$4:$AF$153,0)),"")</f>
        <v/>
      </c>
      <c r="D52" s="35" t="str">
        <f>IFERROR(INDEX($T$4:$T$153,MATCH(ROWS($A$4:A52),$AF$4:$AF$153,0)),"")</f>
        <v/>
      </c>
      <c r="E52" s="35" t="str">
        <f>IFERROR(INDEX($U$4:$U$153,MATCH(ROWS($A$4:A52),$AF$4:$AF$153,0)),"")</f>
        <v/>
      </c>
      <c r="F52" s="35" t="str">
        <f>IFERROR(INDEX($V$4:$V$153,MATCH(ROWS($A$4:A52),$AF$4:$AF$153,0)),"")</f>
        <v/>
      </c>
      <c r="G52" s="35" t="str">
        <f>IFERROR(INDEX($W$4:$W$153,MATCH(ROWS($A$4:A52),$AF$4:$AF$153,0)),"")</f>
        <v/>
      </c>
      <c r="H52" s="35" t="str">
        <f>IFERROR(INDEX($X$4:$X$153,MATCH(ROWS($A$4:A52),$AF$4:$AF$153,0)),"")</f>
        <v/>
      </c>
      <c r="I52" s="35" t="str">
        <f>IFERROR(INDEX($Y$4:$Y$153,MATCH(ROWS($A$4:A52),$AF$4:$AF$153,0)),"")</f>
        <v/>
      </c>
      <c r="J52" s="35" t="str">
        <f>IFERROR(INDEX($Z$4:$Z$153,MATCH(ROWS($A$4:A52),$AF$4:$AF$153,0)),"")</f>
        <v/>
      </c>
      <c r="K52" s="35" t="str">
        <f>IFERROR(INDEX($AA$4:$AA$153,MATCH(ROWS($A$4:A52),$AF$4:$AF$153,0)),"")</f>
        <v/>
      </c>
      <c r="L52" s="35" t="str">
        <f>IFERROR(INDEX($AB$4:$AB$153,MATCH(ROWS($A$4:A52),$AF$4:$AF$153,0)),"")</f>
        <v/>
      </c>
      <c r="M52" s="35" t="str">
        <f>IFERROR(INDEX($AC$4:$AC$153,MATCH(ROWS($A$4:A52),$AF$4:$AF$153,0)),"")</f>
        <v/>
      </c>
      <c r="N52" s="35" t="str">
        <f>IFERROR(INDEX($AD$4:$AD$153,MATCH(ROWS($A$4:A52),$AF$4:$AF$153,0)),"")</f>
        <v/>
      </c>
      <c r="Q52" t="str">
        <f>T(JAN!B54)</f>
        <v>FABIANO BORGES 128901</v>
      </c>
      <c r="R52" t="str">
        <f t="array" ref="R52">IF($Q52="","",_xlfn.TEXTJOIN(", ",TRUE,IF(JAN!$G54:$AK54="HE",JAN!$G$4:$AK$4,"")))</f>
        <v/>
      </c>
      <c r="S52" t="str">
        <f t="array" ref="S52">IF($Q52="","",_xlfn.TEXTJOIN(", ",TRUE,IF(FEV!$G54:$AK54="HE",FEV!$G$4:$AK$4,"")))</f>
        <v/>
      </c>
      <c r="T52" t="str">
        <f t="array" ref="T52">IF($Q52="","",_xlfn.TEXTJOIN(", ",TRUE,IF(MAR!$G54:$AK54="HE",MAR!$G$4:$AK$4,"")))</f>
        <v/>
      </c>
      <c r="U52" t="str">
        <f t="array" ref="U52">IF($Q52="","",_xlfn.TEXTJOIN(", ",TRUE,IF(ABR!$G54:$AK54="HE",ABR!$G$4:$AK$4,"")))</f>
        <v/>
      </c>
      <c r="V52" t="str">
        <f t="array" ref="V52">IF($Q52="","",_xlfn.TEXTJOIN(", ",TRUE,IF(MAI!$G54:$AK54="HE",MAI!$G$4:$AK$4,"")))</f>
        <v/>
      </c>
      <c r="W52" t="str">
        <f t="array" ref="W52">IF($Q52="","",_xlfn.TEXTJOIN(", ",TRUE,IF(JUN!$G54:$AK54="HE",JUN!$G$4:$AK$4,"")))</f>
        <v/>
      </c>
      <c r="X52" t="str">
        <f t="array" ref="X52">IF($Q52="","",_xlfn.TEXTJOIN(", ",TRUE,IF(JUL!$G54:$AK54="HE",JUL!$G$4:$AK$4,"")))</f>
        <v/>
      </c>
      <c r="Y52" t="str">
        <f t="array" ref="Y52">IF($Q52="","",_xlfn.TEXTJOIN(", ",TRUE,IF(AGO!$G54:$AK54="HE",AGO!$G$4:$AK$4,"")))</f>
        <v>16</v>
      </c>
      <c r="Z52" t="str">
        <f t="array" ref="Z52">IF($Q52="","",_xlfn.TEXTJOIN(", ",TRUE,IF(SET!$G54:$AK54="HE",SET!$G$4:$AK$4,"")))</f>
        <v/>
      </c>
      <c r="AA52" t="str">
        <f t="array" ref="AA52">IF($Q52="","",_xlfn.TEXTJOIN(", ",TRUE,IF(OUT!$G54:$AK54="HE",OUT!$G$4:$AK$4,"")))</f>
        <v/>
      </c>
      <c r="AB52" t="str">
        <f t="array" ref="AB52">IF($Q52="","",_xlfn.TEXTJOIN(", ",TRUE,IF(NOV!$G54:$AK54="HE",NOV!$G$4:$AK$4,"")))</f>
        <v/>
      </c>
      <c r="AC52" t="str">
        <f t="array" ref="AC52">IF($Q52="","",_xlfn.TEXTJOIN(", ",TRUE,IF(DEZ!$G54:$AK54="HE",DEZ!$G$4:$AK$4,"")))</f>
        <v/>
      </c>
      <c r="AD52">
        <f>IF($Q52="","",SUM(JAN:DEZ!C54))</f>
        <v>1</v>
      </c>
      <c r="AF52">
        <f>IF(AND($Q52&lt;&gt;"",N($AD52)&gt;0),COUNT($AF$3:AF51)+1,"")</f>
        <v>29</v>
      </c>
    </row>
    <row r="53" spans="1:32" x14ac:dyDescent="0.25">
      <c r="A53" s="36" t="str">
        <f>IFERROR(INDEX($Q$4:$Q$153,MATCH(ROWS($A$4:A53),$AF$4:$AF$153,0)),"")</f>
        <v/>
      </c>
      <c r="B53" s="35" t="str">
        <f>IFERROR(INDEX($R$4:$R$153,MATCH(ROWS($A$4:A53),$AF$4:$AF$153,0)),"")</f>
        <v/>
      </c>
      <c r="C53" s="35" t="str">
        <f>IFERROR(INDEX($S$4:$S$153,MATCH(ROWS($A$4:A53),$AF$4:$AF$153,0)),"")</f>
        <v/>
      </c>
      <c r="D53" s="35" t="str">
        <f>IFERROR(INDEX($T$4:$T$153,MATCH(ROWS($A$4:A53),$AF$4:$AF$153,0)),"")</f>
        <v/>
      </c>
      <c r="E53" s="35" t="str">
        <f>IFERROR(INDEX($U$4:$U$153,MATCH(ROWS($A$4:A53),$AF$4:$AF$153,0)),"")</f>
        <v/>
      </c>
      <c r="F53" s="35" t="str">
        <f>IFERROR(INDEX($V$4:$V$153,MATCH(ROWS($A$4:A53),$AF$4:$AF$153,0)),"")</f>
        <v/>
      </c>
      <c r="G53" s="35" t="str">
        <f>IFERROR(INDEX($W$4:$W$153,MATCH(ROWS($A$4:A53),$AF$4:$AF$153,0)),"")</f>
        <v/>
      </c>
      <c r="H53" s="35" t="str">
        <f>IFERROR(INDEX($X$4:$X$153,MATCH(ROWS($A$4:A53),$AF$4:$AF$153,0)),"")</f>
        <v/>
      </c>
      <c r="I53" s="35" t="str">
        <f>IFERROR(INDEX($Y$4:$Y$153,MATCH(ROWS($A$4:A53),$AF$4:$AF$153,0)),"")</f>
        <v/>
      </c>
      <c r="J53" s="35" t="str">
        <f>IFERROR(INDEX($Z$4:$Z$153,MATCH(ROWS($A$4:A53),$AF$4:$AF$153,0)),"")</f>
        <v/>
      </c>
      <c r="K53" s="35" t="str">
        <f>IFERROR(INDEX($AA$4:$AA$153,MATCH(ROWS($A$4:A53),$AF$4:$AF$153,0)),"")</f>
        <v/>
      </c>
      <c r="L53" s="35" t="str">
        <f>IFERROR(INDEX($AB$4:$AB$153,MATCH(ROWS($A$4:A53),$AF$4:$AF$153,0)),"")</f>
        <v/>
      </c>
      <c r="M53" s="35" t="str">
        <f>IFERROR(INDEX($AC$4:$AC$153,MATCH(ROWS($A$4:A53),$AF$4:$AF$153,0)),"")</f>
        <v/>
      </c>
      <c r="N53" s="35" t="str">
        <f>IFERROR(INDEX($AD$4:$AD$153,MATCH(ROWS($A$4:A53),$AF$4:$AF$153,0)),"")</f>
        <v/>
      </c>
      <c r="Q53" t="str">
        <f>T(JAN!B55)</f>
        <v>LAUTIER ALMEIDA 317501</v>
      </c>
      <c r="R53" t="str">
        <f t="array" ref="R53">IF($Q53="","",_xlfn.TEXTJOIN(", ",TRUE,IF(JAN!$G55:$AK55="HE",JAN!$G$4:$AK$4,"")))</f>
        <v/>
      </c>
      <c r="S53" t="str">
        <f t="array" ref="S53">IF($Q53="","",_xlfn.TEXTJOIN(", ",TRUE,IF(FEV!$G55:$AK55="HE",FEV!$G$4:$AK$4,"")))</f>
        <v/>
      </c>
      <c r="T53" t="str">
        <f t="array" ref="T53">IF($Q53="","",_xlfn.TEXTJOIN(", ",TRUE,IF(MAR!$G55:$AK55="HE",MAR!$G$4:$AK$4,"")))</f>
        <v/>
      </c>
      <c r="U53" t="str">
        <f t="array" ref="U53">IF($Q53="","",_xlfn.TEXTJOIN(", ",TRUE,IF(ABR!$G55:$AK55="HE",ABR!$G$4:$AK$4,"")))</f>
        <v/>
      </c>
      <c r="V53" t="str">
        <f t="array" ref="V53">IF($Q53="","",_xlfn.TEXTJOIN(", ",TRUE,IF(MAI!$G55:$AK55="HE",MAI!$G$4:$AK$4,"")))</f>
        <v/>
      </c>
      <c r="W53" t="str">
        <f t="array" ref="W53">IF($Q53="","",_xlfn.TEXTJOIN(", ",TRUE,IF(JUN!$G55:$AK55="HE",JUN!$G$4:$AK$4,"")))</f>
        <v/>
      </c>
      <c r="X53" t="str">
        <f t="array" ref="X53">IF($Q53="","",_xlfn.TEXTJOIN(", ",TRUE,IF(JUL!$G55:$AK55="HE",JUL!$G$4:$AK$4,"")))</f>
        <v/>
      </c>
      <c r="Y53" t="str">
        <f t="array" ref="Y53">IF($Q53="","",_xlfn.TEXTJOIN(", ",TRUE,IF(AGO!$G55:$AK55="HE",AGO!$G$4:$AK$4,"")))</f>
        <v>16</v>
      </c>
      <c r="Z53" t="str">
        <f t="array" ref="Z53">IF($Q53="","",_xlfn.TEXTJOIN(", ",TRUE,IF(SET!$G55:$AK55="HE",SET!$G$4:$AK$4,"")))</f>
        <v/>
      </c>
      <c r="AA53" t="str">
        <f t="array" ref="AA53">IF($Q53="","",_xlfn.TEXTJOIN(", ",TRUE,IF(OUT!$G55:$AK55="HE",OUT!$G$4:$AK$4,"")))</f>
        <v/>
      </c>
      <c r="AB53" t="str">
        <f t="array" ref="AB53">IF($Q53="","",_xlfn.TEXTJOIN(", ",TRUE,IF(NOV!$G55:$AK55="HE",NOV!$G$4:$AK$4,"")))</f>
        <v/>
      </c>
      <c r="AC53" t="str">
        <f t="array" ref="AC53">IF($Q53="","",_xlfn.TEXTJOIN(", ",TRUE,IF(DEZ!$G55:$AK55="HE",DEZ!$G$4:$AK$4,"")))</f>
        <v/>
      </c>
      <c r="AD53">
        <f>IF($Q53="","",SUM(JAN:DEZ!C55))</f>
        <v>1</v>
      </c>
      <c r="AF53">
        <f>IF(AND($Q53&lt;&gt;"",N($AD53)&gt;0),COUNT($AF$3:AF52)+1,"")</f>
        <v>30</v>
      </c>
    </row>
    <row r="54" spans="1:32" x14ac:dyDescent="0.25">
      <c r="A54" s="36" t="str">
        <f>IFERROR(INDEX($Q$4:$Q$153,MATCH(ROWS($A$4:A54),$AF$4:$AF$153,0)),"")</f>
        <v/>
      </c>
      <c r="B54" s="35" t="str">
        <f>IFERROR(INDEX($R$4:$R$153,MATCH(ROWS($A$4:A54),$AF$4:$AF$153,0)),"")</f>
        <v/>
      </c>
      <c r="C54" s="35" t="str">
        <f>IFERROR(INDEX($S$4:$S$153,MATCH(ROWS($A$4:A54),$AF$4:$AF$153,0)),"")</f>
        <v/>
      </c>
      <c r="D54" s="35" t="str">
        <f>IFERROR(INDEX($T$4:$T$153,MATCH(ROWS($A$4:A54),$AF$4:$AF$153,0)),"")</f>
        <v/>
      </c>
      <c r="E54" s="35" t="str">
        <f>IFERROR(INDEX($U$4:$U$153,MATCH(ROWS($A$4:A54),$AF$4:$AF$153,0)),"")</f>
        <v/>
      </c>
      <c r="F54" s="35" t="str">
        <f>IFERROR(INDEX($V$4:$V$153,MATCH(ROWS($A$4:A54),$AF$4:$AF$153,0)),"")</f>
        <v/>
      </c>
      <c r="G54" s="35" t="str">
        <f>IFERROR(INDEX($W$4:$W$153,MATCH(ROWS($A$4:A54),$AF$4:$AF$153,0)),"")</f>
        <v/>
      </c>
      <c r="H54" s="35" t="str">
        <f>IFERROR(INDEX($X$4:$X$153,MATCH(ROWS($A$4:A54),$AF$4:$AF$153,0)),"")</f>
        <v/>
      </c>
      <c r="I54" s="35" t="str">
        <f>IFERROR(INDEX($Y$4:$Y$153,MATCH(ROWS($A$4:A54),$AF$4:$AF$153,0)),"")</f>
        <v/>
      </c>
      <c r="J54" s="35" t="str">
        <f>IFERROR(INDEX($Z$4:$Z$153,MATCH(ROWS($A$4:A54),$AF$4:$AF$153,0)),"")</f>
        <v/>
      </c>
      <c r="K54" s="35" t="str">
        <f>IFERROR(INDEX($AA$4:$AA$153,MATCH(ROWS($A$4:A54),$AF$4:$AF$153,0)),"")</f>
        <v/>
      </c>
      <c r="L54" s="35" t="str">
        <f>IFERROR(INDEX($AB$4:$AB$153,MATCH(ROWS($A$4:A54),$AF$4:$AF$153,0)),"")</f>
        <v/>
      </c>
      <c r="M54" s="35" t="str">
        <f>IFERROR(INDEX($AC$4:$AC$153,MATCH(ROWS($A$4:A54),$AF$4:$AF$153,0)),"")</f>
        <v/>
      </c>
      <c r="N54" s="35" t="str">
        <f>IFERROR(INDEX($AD$4:$AD$153,MATCH(ROWS($A$4:A54),$AF$4:$AF$153,0)),"")</f>
        <v/>
      </c>
      <c r="Q54" t="str">
        <f>T(JAN!B56)</f>
        <v>RENAN RAMBO 327701</v>
      </c>
      <c r="R54" t="str">
        <f t="array" ref="R54">IF($Q54="","",_xlfn.TEXTJOIN(", ",TRUE,IF(JAN!$G56:$AK56="HE",JAN!$G$4:$AK$4,"")))</f>
        <v/>
      </c>
      <c r="S54" t="str">
        <f t="array" ref="S54">IF($Q54="","",_xlfn.TEXTJOIN(", ",TRUE,IF(FEV!$G56:$AK56="HE",FEV!$G$4:$AK$4,"")))</f>
        <v/>
      </c>
      <c r="T54" t="str">
        <f t="array" ref="T54">IF($Q54="","",_xlfn.TEXTJOIN(", ",TRUE,IF(MAR!$G56:$AK56="HE",MAR!$G$4:$AK$4,"")))</f>
        <v/>
      </c>
      <c r="U54" t="str">
        <f t="array" ref="U54">IF($Q54="","",_xlfn.TEXTJOIN(", ",TRUE,IF(ABR!$G56:$AK56="HE",ABR!$G$4:$AK$4,"")))</f>
        <v/>
      </c>
      <c r="V54" t="str">
        <f t="array" ref="V54">IF($Q54="","",_xlfn.TEXTJOIN(", ",TRUE,IF(MAI!$G56:$AK56="HE",MAI!$G$4:$AK$4,"")))</f>
        <v/>
      </c>
      <c r="W54" t="str">
        <f t="array" ref="W54">IF($Q54="","",_xlfn.TEXTJOIN(", ",TRUE,IF(JUN!$G56:$AK56="HE",JUN!$G$4:$AK$4,"")))</f>
        <v/>
      </c>
      <c r="X54" t="str">
        <f t="array" ref="X54">IF($Q54="","",_xlfn.TEXTJOIN(", ",TRUE,IF(JUL!$G56:$AK56="HE",JUL!$G$4:$AK$4,"")))</f>
        <v/>
      </c>
      <c r="Y54" t="str">
        <f t="array" ref="Y54">IF($Q54="","",_xlfn.TEXTJOIN(", ",TRUE,IF(AGO!$G56:$AK56="HE",AGO!$G$4:$AK$4,"")))</f>
        <v>16</v>
      </c>
      <c r="Z54" t="str">
        <f t="array" ref="Z54">IF($Q54="","",_xlfn.TEXTJOIN(", ",TRUE,IF(SET!$G56:$AK56="HE",SET!$G$4:$AK$4,"")))</f>
        <v/>
      </c>
      <c r="AA54" t="str">
        <f t="array" ref="AA54">IF($Q54="","",_xlfn.TEXTJOIN(", ",TRUE,IF(OUT!$G56:$AK56="HE",OUT!$G$4:$AK$4,"")))</f>
        <v/>
      </c>
      <c r="AB54" t="str">
        <f t="array" ref="AB54">IF($Q54="","",_xlfn.TEXTJOIN(", ",TRUE,IF(NOV!$G56:$AK56="HE",NOV!$G$4:$AK$4,"")))</f>
        <v/>
      </c>
      <c r="AC54" t="str">
        <f t="array" ref="AC54">IF($Q54="","",_xlfn.TEXTJOIN(", ",TRUE,IF(DEZ!$G56:$AK56="HE",DEZ!$G$4:$AK$4,"")))</f>
        <v/>
      </c>
      <c r="AD54">
        <f>IF($Q54="","",SUM(JAN:DEZ!C56))</f>
        <v>1</v>
      </c>
      <c r="AF54">
        <f>IF(AND($Q54&lt;&gt;"",N($AD54)&gt;0),COUNT($AF$3:AF53)+1,"")</f>
        <v>31</v>
      </c>
    </row>
    <row r="55" spans="1:32" x14ac:dyDescent="0.25">
      <c r="A55" s="36" t="str">
        <f>IFERROR(INDEX($Q$4:$Q$153,MATCH(ROWS($A$4:A55),$AF$4:$AF$153,0)),"")</f>
        <v/>
      </c>
      <c r="B55" s="35" t="str">
        <f>IFERROR(INDEX($R$4:$R$153,MATCH(ROWS($A$4:A55),$AF$4:$AF$153,0)),"")</f>
        <v/>
      </c>
      <c r="C55" s="35" t="str">
        <f>IFERROR(INDEX($S$4:$S$153,MATCH(ROWS($A$4:A55),$AF$4:$AF$153,0)),"")</f>
        <v/>
      </c>
      <c r="D55" s="35" t="str">
        <f>IFERROR(INDEX($T$4:$T$153,MATCH(ROWS($A$4:A55),$AF$4:$AF$153,0)),"")</f>
        <v/>
      </c>
      <c r="E55" s="35" t="str">
        <f>IFERROR(INDEX($U$4:$U$153,MATCH(ROWS($A$4:A55),$AF$4:$AF$153,0)),"")</f>
        <v/>
      </c>
      <c r="F55" s="35" t="str">
        <f>IFERROR(INDEX($V$4:$V$153,MATCH(ROWS($A$4:A55),$AF$4:$AF$153,0)),"")</f>
        <v/>
      </c>
      <c r="G55" s="35" t="str">
        <f>IFERROR(INDEX($W$4:$W$153,MATCH(ROWS($A$4:A55),$AF$4:$AF$153,0)),"")</f>
        <v/>
      </c>
      <c r="H55" s="35" t="str">
        <f>IFERROR(INDEX($X$4:$X$153,MATCH(ROWS($A$4:A55),$AF$4:$AF$153,0)),"")</f>
        <v/>
      </c>
      <c r="I55" s="35" t="str">
        <f>IFERROR(INDEX($Y$4:$Y$153,MATCH(ROWS($A$4:A55),$AF$4:$AF$153,0)),"")</f>
        <v/>
      </c>
      <c r="J55" s="35" t="str">
        <f>IFERROR(INDEX($Z$4:$Z$153,MATCH(ROWS($A$4:A55),$AF$4:$AF$153,0)),"")</f>
        <v/>
      </c>
      <c r="K55" s="35" t="str">
        <f>IFERROR(INDEX($AA$4:$AA$153,MATCH(ROWS($A$4:A55),$AF$4:$AF$153,0)),"")</f>
        <v/>
      </c>
      <c r="L55" s="35" t="str">
        <f>IFERROR(INDEX($AB$4:$AB$153,MATCH(ROWS($A$4:A55),$AF$4:$AF$153,0)),"")</f>
        <v/>
      </c>
      <c r="M55" s="35" t="str">
        <f>IFERROR(INDEX($AC$4:$AC$153,MATCH(ROWS($A$4:A55),$AF$4:$AF$153,0)),"")</f>
        <v/>
      </c>
      <c r="N55" s="35" t="str">
        <f>IFERROR(INDEX($AD$4:$AD$153,MATCH(ROWS($A$4:A55),$AF$4:$AF$153,0)),"")</f>
        <v/>
      </c>
      <c r="Q55" t="str">
        <f>T(JAN!B57)</f>
        <v>LUCAS SEVERO 471301</v>
      </c>
      <c r="R55" t="str">
        <f t="array" ref="R55">IF($Q55="","",_xlfn.TEXTJOIN(", ",TRUE,IF(JAN!$G57:$AK57="HE",JAN!$G$4:$AK$4,"")))</f>
        <v/>
      </c>
      <c r="S55" t="str">
        <f t="array" ref="S55">IF($Q55="","",_xlfn.TEXTJOIN(", ",TRUE,IF(FEV!$G57:$AK57="HE",FEV!$G$4:$AK$4,"")))</f>
        <v/>
      </c>
      <c r="T55" t="str">
        <f t="array" ref="T55">IF($Q55="","",_xlfn.TEXTJOIN(", ",TRUE,IF(MAR!$G57:$AK57="HE",MAR!$G$4:$AK$4,"")))</f>
        <v/>
      </c>
      <c r="U55" t="str">
        <f t="array" ref="U55">IF($Q55="","",_xlfn.TEXTJOIN(", ",TRUE,IF(ABR!$G57:$AK57="HE",ABR!$G$4:$AK$4,"")))</f>
        <v/>
      </c>
      <c r="V55" t="str">
        <f t="array" ref="V55">IF($Q55="","",_xlfn.TEXTJOIN(", ",TRUE,IF(MAI!$G57:$AK57="HE",MAI!$G$4:$AK$4,"")))</f>
        <v/>
      </c>
      <c r="W55" t="str">
        <f t="array" ref="W55">IF($Q55="","",_xlfn.TEXTJOIN(", ",TRUE,IF(JUN!$G57:$AK57="HE",JUN!$G$4:$AK$4,"")))</f>
        <v/>
      </c>
      <c r="X55" t="str">
        <f t="array" ref="X55">IF($Q55="","",_xlfn.TEXTJOIN(", ",TRUE,IF(JUL!$G57:$AK57="HE",JUL!$G$4:$AK$4,"")))</f>
        <v/>
      </c>
      <c r="Y55" t="str">
        <f t="array" ref="Y55">IF($Q55="","",_xlfn.TEXTJOIN(", ",TRUE,IF(AGO!$G57:$AK57="HE",AGO!$G$4:$AK$4,"")))</f>
        <v/>
      </c>
      <c r="Z55" t="str">
        <f t="array" ref="Z55">IF($Q55="","",_xlfn.TEXTJOIN(", ",TRUE,IF(SET!$G57:$AK57="HE",SET!$G$4:$AK$4,"")))</f>
        <v/>
      </c>
      <c r="AA55" t="str">
        <f t="array" ref="AA55">IF($Q55="","",_xlfn.TEXTJOIN(", ",TRUE,IF(OUT!$G57:$AK57="HE",OUT!$G$4:$AK$4,"")))</f>
        <v/>
      </c>
      <c r="AB55" t="str">
        <f t="array" ref="AB55">IF($Q55="","",_xlfn.TEXTJOIN(", ",TRUE,IF(NOV!$G57:$AK57="HE",NOV!$G$4:$AK$4,"")))</f>
        <v/>
      </c>
      <c r="AC55" t="str">
        <f t="array" ref="AC55">IF($Q55="","",_xlfn.TEXTJOIN(", ",TRUE,IF(DEZ!$G57:$AK57="HE",DEZ!$G$4:$AK$4,"")))</f>
        <v/>
      </c>
      <c r="AD55">
        <f>IF($Q55="","",SUM(JAN:DEZ!C57))</f>
        <v>0</v>
      </c>
      <c r="AF55" t="str">
        <f>IF(AND($Q55&lt;&gt;"",N($AD55)&gt;0),COUNT($AF$3:AF54)+1,"")</f>
        <v/>
      </c>
    </row>
    <row r="56" spans="1:32" x14ac:dyDescent="0.25">
      <c r="A56" s="36" t="str">
        <f>IFERROR(INDEX($Q$4:$Q$153,MATCH(ROWS($A$4:A56),$AF$4:$AF$153,0)),"")</f>
        <v/>
      </c>
      <c r="B56" s="35" t="str">
        <f>IFERROR(INDEX($R$4:$R$153,MATCH(ROWS($A$4:A56),$AF$4:$AF$153,0)),"")</f>
        <v/>
      </c>
      <c r="C56" s="35" t="str">
        <f>IFERROR(INDEX($S$4:$S$153,MATCH(ROWS($A$4:A56),$AF$4:$AF$153,0)),"")</f>
        <v/>
      </c>
      <c r="D56" s="35" t="str">
        <f>IFERROR(INDEX($T$4:$T$153,MATCH(ROWS($A$4:A56),$AF$4:$AF$153,0)),"")</f>
        <v/>
      </c>
      <c r="E56" s="35" t="str">
        <f>IFERROR(INDEX($U$4:$U$153,MATCH(ROWS($A$4:A56),$AF$4:$AF$153,0)),"")</f>
        <v/>
      </c>
      <c r="F56" s="35" t="str">
        <f>IFERROR(INDEX($V$4:$V$153,MATCH(ROWS($A$4:A56),$AF$4:$AF$153,0)),"")</f>
        <v/>
      </c>
      <c r="G56" s="35" t="str">
        <f>IFERROR(INDEX($W$4:$W$153,MATCH(ROWS($A$4:A56),$AF$4:$AF$153,0)),"")</f>
        <v/>
      </c>
      <c r="H56" s="35" t="str">
        <f>IFERROR(INDEX($X$4:$X$153,MATCH(ROWS($A$4:A56),$AF$4:$AF$153,0)),"")</f>
        <v/>
      </c>
      <c r="I56" s="35" t="str">
        <f>IFERROR(INDEX($Y$4:$Y$153,MATCH(ROWS($A$4:A56),$AF$4:$AF$153,0)),"")</f>
        <v/>
      </c>
      <c r="J56" s="35" t="str">
        <f>IFERROR(INDEX($Z$4:$Z$153,MATCH(ROWS($A$4:A56),$AF$4:$AF$153,0)),"")</f>
        <v/>
      </c>
      <c r="K56" s="35" t="str">
        <f>IFERROR(INDEX($AA$4:$AA$153,MATCH(ROWS($A$4:A56),$AF$4:$AF$153,0)),"")</f>
        <v/>
      </c>
      <c r="L56" s="35" t="str">
        <f>IFERROR(INDEX($AB$4:$AB$153,MATCH(ROWS($A$4:A56),$AF$4:$AF$153,0)),"")</f>
        <v/>
      </c>
      <c r="M56" s="35" t="str">
        <f>IFERROR(INDEX($AC$4:$AC$153,MATCH(ROWS($A$4:A56),$AF$4:$AF$153,0)),"")</f>
        <v/>
      </c>
      <c r="N56" s="35" t="str">
        <f>IFERROR(INDEX($AD$4:$AD$153,MATCH(ROWS($A$4:A56),$AF$4:$AF$153,0)),"")</f>
        <v/>
      </c>
      <c r="Q56" t="str">
        <f>T(JAN!B58)</f>
        <v>EDER MONTICELLI 318101</v>
      </c>
      <c r="R56" t="str">
        <f t="array" ref="R56">IF($Q56="","",_xlfn.TEXTJOIN(", ",TRUE,IF(JAN!$G58:$AK58="HE",JAN!$G$4:$AK$4,"")))</f>
        <v/>
      </c>
      <c r="S56" t="str">
        <f t="array" ref="S56">IF($Q56="","",_xlfn.TEXTJOIN(", ",TRUE,IF(FEV!$G58:$AK58="HE",FEV!$G$4:$AK$4,"")))</f>
        <v/>
      </c>
      <c r="T56" t="str">
        <f t="array" ref="T56">IF($Q56="","",_xlfn.TEXTJOIN(", ",TRUE,IF(MAR!$G58:$AK58="HE",MAR!$G$4:$AK$4,"")))</f>
        <v/>
      </c>
      <c r="U56" t="str">
        <f t="array" ref="U56">IF($Q56="","",_xlfn.TEXTJOIN(", ",TRUE,IF(ABR!$G58:$AK58="HE",ABR!$G$4:$AK$4,"")))</f>
        <v/>
      </c>
      <c r="V56" t="str">
        <f t="array" ref="V56">IF($Q56="","",_xlfn.TEXTJOIN(", ",TRUE,IF(MAI!$G58:$AK58="HE",MAI!$G$4:$AK$4,"")))</f>
        <v/>
      </c>
      <c r="W56" t="str">
        <f t="array" ref="W56">IF($Q56="","",_xlfn.TEXTJOIN(", ",TRUE,IF(JUN!$G58:$AK58="HE",JUN!$G$4:$AK$4,"")))</f>
        <v/>
      </c>
      <c r="X56" t="str">
        <f t="array" ref="X56">IF($Q56="","",_xlfn.TEXTJOIN(", ",TRUE,IF(JUL!$G58:$AK58="HE",JUL!$G$4:$AK$4,"")))</f>
        <v/>
      </c>
      <c r="Y56" t="str">
        <f t="array" ref="Y56">IF($Q56="","",_xlfn.TEXTJOIN(", ",TRUE,IF(AGO!$G58:$AK58="HE",AGO!$G$4:$AK$4,"")))</f>
        <v/>
      </c>
      <c r="Z56" t="str">
        <f t="array" ref="Z56">IF($Q56="","",_xlfn.TEXTJOIN(", ",TRUE,IF(SET!$G58:$AK58="HE",SET!$G$4:$AK$4,"")))</f>
        <v/>
      </c>
      <c r="AA56" t="str">
        <f t="array" ref="AA56">IF($Q56="","",_xlfn.TEXTJOIN(", ",TRUE,IF(OUT!$G58:$AK58="HE",OUT!$G$4:$AK$4,"")))</f>
        <v/>
      </c>
      <c r="AB56" t="str">
        <f t="array" ref="AB56">IF($Q56="","",_xlfn.TEXTJOIN(", ",TRUE,IF(NOV!$G58:$AK58="HE",NOV!$G$4:$AK$4,"")))</f>
        <v/>
      </c>
      <c r="AC56" t="str">
        <f t="array" ref="AC56">IF($Q56="","",_xlfn.TEXTJOIN(", ",TRUE,IF(DEZ!$G58:$AK58="HE",DEZ!$G$4:$AK$4,"")))</f>
        <v/>
      </c>
      <c r="AD56">
        <f>IF($Q56="","",SUM(JAN:DEZ!C58))</f>
        <v>0</v>
      </c>
      <c r="AF56" t="str">
        <f>IF(AND($Q56&lt;&gt;"",N($AD56)&gt;0),COUNT($AF$3:AF55)+1,"")</f>
        <v/>
      </c>
    </row>
    <row r="57" spans="1:32" x14ac:dyDescent="0.25">
      <c r="A57" s="36" t="str">
        <f>IFERROR(INDEX($Q$4:$Q$153,MATCH(ROWS($A$4:A57),$AF$4:$AF$153,0)),"")</f>
        <v/>
      </c>
      <c r="B57" s="35" t="str">
        <f>IFERROR(INDEX($R$4:$R$153,MATCH(ROWS($A$4:A57),$AF$4:$AF$153,0)),"")</f>
        <v/>
      </c>
      <c r="C57" s="35" t="str">
        <f>IFERROR(INDEX($S$4:$S$153,MATCH(ROWS($A$4:A57),$AF$4:$AF$153,0)),"")</f>
        <v/>
      </c>
      <c r="D57" s="35" t="str">
        <f>IFERROR(INDEX($T$4:$T$153,MATCH(ROWS($A$4:A57),$AF$4:$AF$153,0)),"")</f>
        <v/>
      </c>
      <c r="E57" s="35" t="str">
        <f>IFERROR(INDEX($U$4:$U$153,MATCH(ROWS($A$4:A57),$AF$4:$AF$153,0)),"")</f>
        <v/>
      </c>
      <c r="F57" s="35" t="str">
        <f>IFERROR(INDEX($V$4:$V$153,MATCH(ROWS($A$4:A57),$AF$4:$AF$153,0)),"")</f>
        <v/>
      </c>
      <c r="G57" s="35" t="str">
        <f>IFERROR(INDEX($W$4:$W$153,MATCH(ROWS($A$4:A57),$AF$4:$AF$153,0)),"")</f>
        <v/>
      </c>
      <c r="H57" s="35" t="str">
        <f>IFERROR(INDEX($X$4:$X$153,MATCH(ROWS($A$4:A57),$AF$4:$AF$153,0)),"")</f>
        <v/>
      </c>
      <c r="I57" s="35" t="str">
        <f>IFERROR(INDEX($Y$4:$Y$153,MATCH(ROWS($A$4:A57),$AF$4:$AF$153,0)),"")</f>
        <v/>
      </c>
      <c r="J57" s="35" t="str">
        <f>IFERROR(INDEX($Z$4:$Z$153,MATCH(ROWS($A$4:A57),$AF$4:$AF$153,0)),"")</f>
        <v/>
      </c>
      <c r="K57" s="35" t="str">
        <f>IFERROR(INDEX($AA$4:$AA$153,MATCH(ROWS($A$4:A57),$AF$4:$AF$153,0)),"")</f>
        <v/>
      </c>
      <c r="L57" s="35" t="str">
        <f>IFERROR(INDEX($AB$4:$AB$153,MATCH(ROWS($A$4:A57),$AF$4:$AF$153,0)),"")</f>
        <v/>
      </c>
      <c r="M57" s="35" t="str">
        <f>IFERROR(INDEX($AC$4:$AC$153,MATCH(ROWS($A$4:A57),$AF$4:$AF$153,0)),"")</f>
        <v/>
      </c>
      <c r="N57" s="35" t="str">
        <f>IFERROR(INDEX($AD$4:$AD$153,MATCH(ROWS($A$4:A57),$AF$4:$AF$153,0)),"")</f>
        <v/>
      </c>
      <c r="Q57" t="str">
        <f>T(JAN!B59)</f>
        <v>JULIANO LENHARD 446901</v>
      </c>
      <c r="R57" t="str">
        <f t="array" ref="R57">IF($Q57="","",_xlfn.TEXTJOIN(", ",TRUE,IF(JAN!$G59:$AK59="HE",JAN!$G$4:$AK$4,"")))</f>
        <v/>
      </c>
      <c r="S57" t="str">
        <f t="array" ref="S57">IF($Q57="","",_xlfn.TEXTJOIN(", ",TRUE,IF(FEV!$G59:$AK59="HE",FEV!$G$4:$AK$4,"")))</f>
        <v/>
      </c>
      <c r="T57" t="str">
        <f t="array" ref="T57">IF($Q57="","",_xlfn.TEXTJOIN(", ",TRUE,IF(MAR!$G59:$AK59="HE",MAR!$G$4:$AK$4,"")))</f>
        <v/>
      </c>
      <c r="U57" t="str">
        <f t="array" ref="U57">IF($Q57="","",_xlfn.TEXTJOIN(", ",TRUE,IF(ABR!$G59:$AK59="HE",ABR!$G$4:$AK$4,"")))</f>
        <v/>
      </c>
      <c r="V57" t="str">
        <f t="array" ref="V57">IF($Q57="","",_xlfn.TEXTJOIN(", ",TRUE,IF(MAI!$G59:$AK59="HE",MAI!$G$4:$AK$4,"")))</f>
        <v/>
      </c>
      <c r="W57" t="str">
        <f t="array" ref="W57">IF($Q57="","",_xlfn.TEXTJOIN(", ",TRUE,IF(JUN!$G59:$AK59="HE",JUN!$G$4:$AK$4,"")))</f>
        <v/>
      </c>
      <c r="X57" t="str">
        <f t="array" ref="X57">IF($Q57="","",_xlfn.TEXTJOIN(", ",TRUE,IF(JUL!$G59:$AK59="HE",JUL!$G$4:$AK$4,"")))</f>
        <v/>
      </c>
      <c r="Y57" t="str">
        <f t="array" ref="Y57">IF($Q57="","",_xlfn.TEXTJOIN(", ",TRUE,IF(AGO!$G59:$AK59="HE",AGO!$G$4:$AK$4,"")))</f>
        <v/>
      </c>
      <c r="Z57" t="str">
        <f t="array" ref="Z57">IF($Q57="","",_xlfn.TEXTJOIN(", ",TRUE,IF(SET!$G59:$AK59="HE",SET!$G$4:$AK$4,"")))</f>
        <v/>
      </c>
      <c r="AA57" t="str">
        <f t="array" ref="AA57">IF($Q57="","",_xlfn.TEXTJOIN(", ",TRUE,IF(OUT!$G59:$AK59="HE",OUT!$G$4:$AK$4,"")))</f>
        <v/>
      </c>
      <c r="AB57" t="str">
        <f t="array" ref="AB57">IF($Q57="","",_xlfn.TEXTJOIN(", ",TRUE,IF(NOV!$G59:$AK59="HE",NOV!$G$4:$AK$4,"")))</f>
        <v/>
      </c>
      <c r="AC57" t="str">
        <f t="array" ref="AC57">IF($Q57="","",_xlfn.TEXTJOIN(", ",TRUE,IF(DEZ!$G59:$AK59="HE",DEZ!$G$4:$AK$4,"")))</f>
        <v/>
      </c>
      <c r="AD57">
        <f>IF($Q57="","",SUM(JAN:DEZ!C59))</f>
        <v>0</v>
      </c>
      <c r="AF57" t="str">
        <f>IF(AND($Q57&lt;&gt;"",N($AD57)&gt;0),COUNT($AF$3:AF56)+1,"")</f>
        <v/>
      </c>
    </row>
    <row r="58" spans="1:32" x14ac:dyDescent="0.25">
      <c r="A58" s="36" t="str">
        <f>IFERROR(INDEX($Q$4:$Q$153,MATCH(ROWS($A$4:A58),$AF$4:$AF$153,0)),"")</f>
        <v/>
      </c>
      <c r="B58" s="35" t="str">
        <f>IFERROR(INDEX($R$4:$R$153,MATCH(ROWS($A$4:A58),$AF$4:$AF$153,0)),"")</f>
        <v/>
      </c>
      <c r="C58" s="35" t="str">
        <f>IFERROR(INDEX($S$4:$S$153,MATCH(ROWS($A$4:A58),$AF$4:$AF$153,0)),"")</f>
        <v/>
      </c>
      <c r="D58" s="35" t="str">
        <f>IFERROR(INDEX($T$4:$T$153,MATCH(ROWS($A$4:A58),$AF$4:$AF$153,0)),"")</f>
        <v/>
      </c>
      <c r="E58" s="35" t="str">
        <f>IFERROR(INDEX($U$4:$U$153,MATCH(ROWS($A$4:A58),$AF$4:$AF$153,0)),"")</f>
        <v/>
      </c>
      <c r="F58" s="35" t="str">
        <f>IFERROR(INDEX($V$4:$V$153,MATCH(ROWS($A$4:A58),$AF$4:$AF$153,0)),"")</f>
        <v/>
      </c>
      <c r="G58" s="35" t="str">
        <f>IFERROR(INDEX($W$4:$W$153,MATCH(ROWS($A$4:A58),$AF$4:$AF$153,0)),"")</f>
        <v/>
      </c>
      <c r="H58" s="35" t="str">
        <f>IFERROR(INDEX($X$4:$X$153,MATCH(ROWS($A$4:A58),$AF$4:$AF$153,0)),"")</f>
        <v/>
      </c>
      <c r="I58" s="35" t="str">
        <f>IFERROR(INDEX($Y$4:$Y$153,MATCH(ROWS($A$4:A58),$AF$4:$AF$153,0)),"")</f>
        <v/>
      </c>
      <c r="J58" s="35" t="str">
        <f>IFERROR(INDEX($Z$4:$Z$153,MATCH(ROWS($A$4:A58),$AF$4:$AF$153,0)),"")</f>
        <v/>
      </c>
      <c r="K58" s="35" t="str">
        <f>IFERROR(INDEX($AA$4:$AA$153,MATCH(ROWS($A$4:A58),$AF$4:$AF$153,0)),"")</f>
        <v/>
      </c>
      <c r="L58" s="35" t="str">
        <f>IFERROR(INDEX($AB$4:$AB$153,MATCH(ROWS($A$4:A58),$AF$4:$AF$153,0)),"")</f>
        <v/>
      </c>
      <c r="M58" s="35" t="str">
        <f>IFERROR(INDEX($AC$4:$AC$153,MATCH(ROWS($A$4:A58),$AF$4:$AF$153,0)),"")</f>
        <v/>
      </c>
      <c r="N58" s="35" t="str">
        <f>IFERROR(INDEX($AD$4:$AD$153,MATCH(ROWS($A$4:A58),$AF$4:$AF$153,0)),"")</f>
        <v/>
      </c>
      <c r="Q58" t="str">
        <f>T(JAN!B60)</f>
        <v>CARLOS CONCEIÇÃO 509201</v>
      </c>
      <c r="R58" t="str">
        <f t="array" ref="R58">IF($Q58="","",_xlfn.TEXTJOIN(", ",TRUE,IF(JAN!$G60:$AK60="HE",JAN!$G$4:$AK$4,"")))</f>
        <v/>
      </c>
      <c r="S58" t="str">
        <f t="array" ref="S58">IF($Q58="","",_xlfn.TEXTJOIN(", ",TRUE,IF(FEV!$G60:$AK60="HE",FEV!$G$4:$AK$4,"")))</f>
        <v/>
      </c>
      <c r="T58" t="str">
        <f t="array" ref="T58">IF($Q58="","",_xlfn.TEXTJOIN(", ",TRUE,IF(MAR!$G60:$AK60="HE",MAR!$G$4:$AK$4,"")))</f>
        <v/>
      </c>
      <c r="U58" t="str">
        <f t="array" ref="U58">IF($Q58="","",_xlfn.TEXTJOIN(", ",TRUE,IF(ABR!$G60:$AK60="HE",ABR!$G$4:$AK$4,"")))</f>
        <v/>
      </c>
      <c r="V58" t="str">
        <f t="array" ref="V58">IF($Q58="","",_xlfn.TEXTJOIN(", ",TRUE,IF(MAI!$G60:$AK60="HE",MAI!$G$4:$AK$4,"")))</f>
        <v/>
      </c>
      <c r="W58" t="str">
        <f t="array" ref="W58">IF($Q58="","",_xlfn.TEXTJOIN(", ",TRUE,IF(JUN!$G60:$AK60="HE",JUN!$G$4:$AK$4,"")))</f>
        <v/>
      </c>
      <c r="X58" t="str">
        <f t="array" ref="X58">IF($Q58="","",_xlfn.TEXTJOIN(", ",TRUE,IF(JUL!$G60:$AK60="HE",JUL!$G$4:$AK$4,"")))</f>
        <v/>
      </c>
      <c r="Y58" t="str">
        <f t="array" ref="Y58">IF($Q58="","",_xlfn.TEXTJOIN(", ",TRUE,IF(AGO!$G60:$AK60="HE",AGO!$G$4:$AK$4,"")))</f>
        <v/>
      </c>
      <c r="Z58" t="str">
        <f t="array" ref="Z58">IF($Q58="","",_xlfn.TEXTJOIN(", ",TRUE,IF(SET!$G60:$AK60="HE",SET!$G$4:$AK$4,"")))</f>
        <v/>
      </c>
      <c r="AA58" t="str">
        <f t="array" ref="AA58">IF($Q58="","",_xlfn.TEXTJOIN(", ",TRUE,IF(OUT!$G60:$AK60="HE",OUT!$G$4:$AK$4,"")))</f>
        <v/>
      </c>
      <c r="AB58" t="str">
        <f t="array" ref="AB58">IF($Q58="","",_xlfn.TEXTJOIN(", ",TRUE,IF(NOV!$G60:$AK60="HE",NOV!$G$4:$AK$4,"")))</f>
        <v/>
      </c>
      <c r="AC58" t="str">
        <f t="array" ref="AC58">IF($Q58="","",_xlfn.TEXTJOIN(", ",TRUE,IF(DEZ!$G60:$AK60="HE",DEZ!$G$4:$AK$4,"")))</f>
        <v/>
      </c>
      <c r="AD58">
        <f>IF($Q58="","",SUM(JAN:DEZ!C60))</f>
        <v>0</v>
      </c>
      <c r="AF58" t="str">
        <f>IF(AND($Q58&lt;&gt;"",N($AD58)&gt;0),COUNT($AF$3:AF57)+1,"")</f>
        <v/>
      </c>
    </row>
    <row r="59" spans="1:32" x14ac:dyDescent="0.25">
      <c r="A59" s="36" t="str">
        <f>IFERROR(INDEX($Q$4:$Q$153,MATCH(ROWS($A$4:A59),$AF$4:$AF$153,0)),"")</f>
        <v/>
      </c>
      <c r="B59" s="35" t="str">
        <f>IFERROR(INDEX($R$4:$R$153,MATCH(ROWS($A$4:A59),$AF$4:$AF$153,0)),"")</f>
        <v/>
      </c>
      <c r="C59" s="35" t="str">
        <f>IFERROR(INDEX($S$4:$S$153,MATCH(ROWS($A$4:A59),$AF$4:$AF$153,0)),"")</f>
        <v/>
      </c>
      <c r="D59" s="35" t="str">
        <f>IFERROR(INDEX($T$4:$T$153,MATCH(ROWS($A$4:A59),$AF$4:$AF$153,0)),"")</f>
        <v/>
      </c>
      <c r="E59" s="35" t="str">
        <f>IFERROR(INDEX($U$4:$U$153,MATCH(ROWS($A$4:A59),$AF$4:$AF$153,0)),"")</f>
        <v/>
      </c>
      <c r="F59" s="35" t="str">
        <f>IFERROR(INDEX($V$4:$V$153,MATCH(ROWS($A$4:A59),$AF$4:$AF$153,0)),"")</f>
        <v/>
      </c>
      <c r="G59" s="35" t="str">
        <f>IFERROR(INDEX($W$4:$W$153,MATCH(ROWS($A$4:A59),$AF$4:$AF$153,0)),"")</f>
        <v/>
      </c>
      <c r="H59" s="35" t="str">
        <f>IFERROR(INDEX($X$4:$X$153,MATCH(ROWS($A$4:A59),$AF$4:$AF$153,0)),"")</f>
        <v/>
      </c>
      <c r="I59" s="35" t="str">
        <f>IFERROR(INDEX($Y$4:$Y$153,MATCH(ROWS($A$4:A59),$AF$4:$AF$153,0)),"")</f>
        <v/>
      </c>
      <c r="J59" s="35" t="str">
        <f>IFERROR(INDEX($Z$4:$Z$153,MATCH(ROWS($A$4:A59),$AF$4:$AF$153,0)),"")</f>
        <v/>
      </c>
      <c r="K59" s="35" t="str">
        <f>IFERROR(INDEX($AA$4:$AA$153,MATCH(ROWS($A$4:A59),$AF$4:$AF$153,0)),"")</f>
        <v/>
      </c>
      <c r="L59" s="35" t="str">
        <f>IFERROR(INDEX($AB$4:$AB$153,MATCH(ROWS($A$4:A59),$AF$4:$AF$153,0)),"")</f>
        <v/>
      </c>
      <c r="M59" s="35" t="str">
        <f>IFERROR(INDEX($AC$4:$AC$153,MATCH(ROWS($A$4:A59),$AF$4:$AF$153,0)),"")</f>
        <v/>
      </c>
      <c r="N59" s="35" t="str">
        <f>IFERROR(INDEX($AD$4:$AD$153,MATCH(ROWS($A$4:A59),$AF$4:$AF$153,0)),"")</f>
        <v/>
      </c>
      <c r="Q59" t="str">
        <f>T(JAN!B61)</f>
        <v>FABIO BARBOSA 444601</v>
      </c>
      <c r="R59" t="str">
        <f t="array" ref="R59">IF($Q59="","",_xlfn.TEXTJOIN(", ",TRUE,IF(JAN!$G61:$AK61="HE",JAN!$G$4:$AK$4,"")))</f>
        <v/>
      </c>
      <c r="S59" t="str">
        <f t="array" ref="S59">IF($Q59="","",_xlfn.TEXTJOIN(", ",TRUE,IF(FEV!$G61:$AK61="HE",FEV!$G$4:$AK$4,"")))</f>
        <v/>
      </c>
      <c r="T59" t="str">
        <f t="array" ref="T59">IF($Q59="","",_xlfn.TEXTJOIN(", ",TRUE,IF(MAR!$G61:$AK61="HE",MAR!$G$4:$AK$4,"")))</f>
        <v/>
      </c>
      <c r="U59" t="str">
        <f t="array" ref="U59">IF($Q59="","",_xlfn.TEXTJOIN(", ",TRUE,IF(ABR!$G61:$AK61="HE",ABR!$G$4:$AK$4,"")))</f>
        <v/>
      </c>
      <c r="V59" t="str">
        <f t="array" ref="V59">IF($Q59="","",_xlfn.TEXTJOIN(", ",TRUE,IF(MAI!$G61:$AK61="HE",MAI!$G$4:$AK$4,"")))</f>
        <v/>
      </c>
      <c r="W59" t="str">
        <f t="array" ref="W59">IF($Q59="","",_xlfn.TEXTJOIN(", ",TRUE,IF(JUN!$G61:$AK61="HE",JUN!$G$4:$AK$4,"")))</f>
        <v/>
      </c>
      <c r="X59" t="str">
        <f t="array" ref="X59">IF($Q59="","",_xlfn.TEXTJOIN(", ",TRUE,IF(JUL!$G61:$AK61="HE",JUL!$G$4:$AK$4,"")))</f>
        <v/>
      </c>
      <c r="Y59" t="str">
        <f t="array" ref="Y59">IF($Q59="","",_xlfn.TEXTJOIN(", ",TRUE,IF(AGO!$G61:$AK61="HE",AGO!$G$4:$AK$4,"")))</f>
        <v/>
      </c>
      <c r="Z59" t="str">
        <f t="array" ref="Z59">IF($Q59="","",_xlfn.TEXTJOIN(", ",TRUE,IF(SET!$G61:$AK61="HE",SET!$G$4:$AK$4,"")))</f>
        <v>7</v>
      </c>
      <c r="AA59" t="str">
        <f t="array" ref="AA59">IF($Q59="","",_xlfn.TEXTJOIN(", ",TRUE,IF(OUT!$G61:$AK61="HE",OUT!$G$4:$AK$4,"")))</f>
        <v/>
      </c>
      <c r="AB59" t="str">
        <f t="array" ref="AB59">IF($Q59="","",_xlfn.TEXTJOIN(", ",TRUE,IF(NOV!$G61:$AK61="HE",NOV!$G$4:$AK$4,"")))</f>
        <v/>
      </c>
      <c r="AC59" t="str">
        <f t="array" ref="AC59">IF($Q59="","",_xlfn.TEXTJOIN(", ",TRUE,IF(DEZ!$G61:$AK61="HE",DEZ!$G$4:$AK$4,"")))</f>
        <v/>
      </c>
      <c r="AD59">
        <f>IF($Q59="","",SUM(JAN:DEZ!C61))</f>
        <v>1</v>
      </c>
      <c r="AF59">
        <f>IF(AND($Q59&lt;&gt;"",N($AD59)&gt;0),COUNT($AF$3:AF58)+1,"")</f>
        <v>32</v>
      </c>
    </row>
    <row r="60" spans="1:32" x14ac:dyDescent="0.25">
      <c r="A60" s="36" t="str">
        <f>IFERROR(INDEX($Q$4:$Q$153,MATCH(ROWS($A$4:A60),$AF$4:$AF$153,0)),"")</f>
        <v/>
      </c>
      <c r="B60" s="35" t="str">
        <f>IFERROR(INDEX($R$4:$R$153,MATCH(ROWS($A$4:A60),$AF$4:$AF$153,0)),"")</f>
        <v/>
      </c>
      <c r="C60" s="35" t="str">
        <f>IFERROR(INDEX($S$4:$S$153,MATCH(ROWS($A$4:A60),$AF$4:$AF$153,0)),"")</f>
        <v/>
      </c>
      <c r="D60" s="35" t="str">
        <f>IFERROR(INDEX($T$4:$T$153,MATCH(ROWS($A$4:A60),$AF$4:$AF$153,0)),"")</f>
        <v/>
      </c>
      <c r="E60" s="35" t="str">
        <f>IFERROR(INDEX($U$4:$U$153,MATCH(ROWS($A$4:A60),$AF$4:$AF$153,0)),"")</f>
        <v/>
      </c>
      <c r="F60" s="35" t="str">
        <f>IFERROR(INDEX($V$4:$V$153,MATCH(ROWS($A$4:A60),$AF$4:$AF$153,0)),"")</f>
        <v/>
      </c>
      <c r="G60" s="35" t="str">
        <f>IFERROR(INDEX($W$4:$W$153,MATCH(ROWS($A$4:A60),$AF$4:$AF$153,0)),"")</f>
        <v/>
      </c>
      <c r="H60" s="35" t="str">
        <f>IFERROR(INDEX($X$4:$X$153,MATCH(ROWS($A$4:A60),$AF$4:$AF$153,0)),"")</f>
        <v/>
      </c>
      <c r="I60" s="35" t="str">
        <f>IFERROR(INDEX($Y$4:$Y$153,MATCH(ROWS($A$4:A60),$AF$4:$AF$153,0)),"")</f>
        <v/>
      </c>
      <c r="J60" s="35" t="str">
        <f>IFERROR(INDEX($Z$4:$Z$153,MATCH(ROWS($A$4:A60),$AF$4:$AF$153,0)),"")</f>
        <v/>
      </c>
      <c r="K60" s="35" t="str">
        <f>IFERROR(INDEX($AA$4:$AA$153,MATCH(ROWS($A$4:A60),$AF$4:$AF$153,0)),"")</f>
        <v/>
      </c>
      <c r="L60" s="35" t="str">
        <f>IFERROR(INDEX($AB$4:$AB$153,MATCH(ROWS($A$4:A60),$AF$4:$AF$153,0)),"")</f>
        <v/>
      </c>
      <c r="M60" s="35" t="str">
        <f>IFERROR(INDEX($AC$4:$AC$153,MATCH(ROWS($A$4:A60),$AF$4:$AF$153,0)),"")</f>
        <v/>
      </c>
      <c r="N60" s="35" t="str">
        <f>IFERROR(INDEX($AD$4:$AD$153,MATCH(ROWS($A$4:A60),$AF$4:$AF$153,0)),"")</f>
        <v/>
      </c>
      <c r="Q60" t="str">
        <f>T(JAN!B62)</f>
        <v>CLAUDIOMIR DE SOUZA 415401</v>
      </c>
      <c r="R60" t="str">
        <f t="array" ref="R60">IF($Q60="","",_xlfn.TEXTJOIN(", ",TRUE,IF(JAN!$G62:$AK62="HE",JAN!$G$4:$AK$4,"")))</f>
        <v/>
      </c>
      <c r="S60" t="str">
        <f t="array" ref="S60">IF($Q60="","",_xlfn.TEXTJOIN(", ",TRUE,IF(FEV!$G62:$AK62="HE",FEV!$G$4:$AK$4,"")))</f>
        <v/>
      </c>
      <c r="T60" t="str">
        <f t="array" ref="T60">IF($Q60="","",_xlfn.TEXTJOIN(", ",TRUE,IF(MAR!$G62:$AK62="HE",MAR!$G$4:$AK$4,"")))</f>
        <v/>
      </c>
      <c r="U60" t="str">
        <f t="array" ref="U60">IF($Q60="","",_xlfn.TEXTJOIN(", ",TRUE,IF(ABR!$G62:$AK62="HE",ABR!$G$4:$AK$4,"")))</f>
        <v/>
      </c>
      <c r="V60" t="str">
        <f t="array" ref="V60">IF($Q60="","",_xlfn.TEXTJOIN(", ",TRUE,IF(MAI!$G62:$AK62="HE",MAI!$G$4:$AK$4,"")))</f>
        <v/>
      </c>
      <c r="W60" t="str">
        <f t="array" ref="W60">IF($Q60="","",_xlfn.TEXTJOIN(", ",TRUE,IF(JUN!$G62:$AK62="HE",JUN!$G$4:$AK$4,"")))</f>
        <v/>
      </c>
      <c r="X60" t="str">
        <f t="array" ref="X60">IF($Q60="","",_xlfn.TEXTJOIN(", ",TRUE,IF(JUL!$G62:$AK62="HE",JUL!$G$4:$AK$4,"")))</f>
        <v/>
      </c>
      <c r="Y60" t="str">
        <f t="array" ref="Y60">IF($Q60="","",_xlfn.TEXTJOIN(", ",TRUE,IF(AGO!$G62:$AK62="HE",AGO!$G$4:$AK$4,"")))</f>
        <v/>
      </c>
      <c r="Z60" t="str">
        <f t="array" ref="Z60">IF($Q60="","",_xlfn.TEXTJOIN(", ",TRUE,IF(SET!$G62:$AK62="HE",SET!$G$4:$AK$4,"")))</f>
        <v>7</v>
      </c>
      <c r="AA60" t="str">
        <f t="array" ref="AA60">IF($Q60="","",_xlfn.TEXTJOIN(", ",TRUE,IF(OUT!$G62:$AK62="HE",OUT!$G$4:$AK$4,"")))</f>
        <v/>
      </c>
      <c r="AB60" t="str">
        <f t="array" ref="AB60">IF($Q60="","",_xlfn.TEXTJOIN(", ",TRUE,IF(NOV!$G62:$AK62="HE",NOV!$G$4:$AK$4,"")))</f>
        <v/>
      </c>
      <c r="AC60" t="str">
        <f t="array" ref="AC60">IF($Q60="","",_xlfn.TEXTJOIN(", ",TRUE,IF(DEZ!$G62:$AK62="HE",DEZ!$G$4:$AK$4,"")))</f>
        <v/>
      </c>
      <c r="AD60">
        <f>IF($Q60="","",SUM(JAN:DEZ!C62))</f>
        <v>1</v>
      </c>
      <c r="AF60">
        <f>IF(AND($Q60&lt;&gt;"",N($AD60)&gt;0),COUNT($AF$3:AF59)+1,"")</f>
        <v>33</v>
      </c>
    </row>
    <row r="61" spans="1:32" x14ac:dyDescent="0.25">
      <c r="A61" s="36" t="str">
        <f>IFERROR(INDEX($Q$4:$Q$153,MATCH(ROWS($A$4:A61),$AF$4:$AF$153,0)),"")</f>
        <v/>
      </c>
      <c r="B61" s="35" t="str">
        <f>IFERROR(INDEX($R$4:$R$153,MATCH(ROWS($A$4:A61),$AF$4:$AF$153,0)),"")</f>
        <v/>
      </c>
      <c r="C61" s="35" t="str">
        <f>IFERROR(INDEX($S$4:$S$153,MATCH(ROWS($A$4:A61),$AF$4:$AF$153,0)),"")</f>
        <v/>
      </c>
      <c r="D61" s="35" t="str">
        <f>IFERROR(INDEX($T$4:$T$153,MATCH(ROWS($A$4:A61),$AF$4:$AF$153,0)),"")</f>
        <v/>
      </c>
      <c r="E61" s="35" t="str">
        <f>IFERROR(INDEX($U$4:$U$153,MATCH(ROWS($A$4:A61),$AF$4:$AF$153,0)),"")</f>
        <v/>
      </c>
      <c r="F61" s="35" t="str">
        <f>IFERROR(INDEX($V$4:$V$153,MATCH(ROWS($A$4:A61),$AF$4:$AF$153,0)),"")</f>
        <v/>
      </c>
      <c r="G61" s="35" t="str">
        <f>IFERROR(INDEX($W$4:$W$153,MATCH(ROWS($A$4:A61),$AF$4:$AF$153,0)),"")</f>
        <v/>
      </c>
      <c r="H61" s="35" t="str">
        <f>IFERROR(INDEX($X$4:$X$153,MATCH(ROWS($A$4:A61),$AF$4:$AF$153,0)),"")</f>
        <v/>
      </c>
      <c r="I61" s="35" t="str">
        <f>IFERROR(INDEX($Y$4:$Y$153,MATCH(ROWS($A$4:A61),$AF$4:$AF$153,0)),"")</f>
        <v/>
      </c>
      <c r="J61" s="35" t="str">
        <f>IFERROR(INDEX($Z$4:$Z$153,MATCH(ROWS($A$4:A61),$AF$4:$AF$153,0)),"")</f>
        <v/>
      </c>
      <c r="K61" s="35" t="str">
        <f>IFERROR(INDEX($AA$4:$AA$153,MATCH(ROWS($A$4:A61),$AF$4:$AF$153,0)),"")</f>
        <v/>
      </c>
      <c r="L61" s="35" t="str">
        <f>IFERROR(INDEX($AB$4:$AB$153,MATCH(ROWS($A$4:A61),$AF$4:$AF$153,0)),"")</f>
        <v/>
      </c>
      <c r="M61" s="35" t="str">
        <f>IFERROR(INDEX($AC$4:$AC$153,MATCH(ROWS($A$4:A61),$AF$4:$AF$153,0)),"")</f>
        <v/>
      </c>
      <c r="N61" s="35" t="str">
        <f>IFERROR(INDEX($AD$4:$AD$153,MATCH(ROWS($A$4:A61),$AF$4:$AF$153,0)),"")</f>
        <v/>
      </c>
      <c r="Q61" t="str">
        <f>T(JAN!B63)</f>
        <v>VAGNER LEMOS 360301</v>
      </c>
      <c r="R61" t="str">
        <f t="array" ref="R61">IF($Q61="","",_xlfn.TEXTJOIN(", ",TRUE,IF(JAN!$G63:$AK63="HE",JAN!$G$4:$AK$4,"")))</f>
        <v/>
      </c>
      <c r="S61" t="str">
        <f t="array" ref="S61">IF($Q61="","",_xlfn.TEXTJOIN(", ",TRUE,IF(FEV!$G63:$AK63="HE",FEV!$G$4:$AK$4,"")))</f>
        <v/>
      </c>
      <c r="T61" t="str">
        <f t="array" ref="T61">IF($Q61="","",_xlfn.TEXTJOIN(", ",TRUE,IF(MAR!$G63:$AK63="HE",MAR!$G$4:$AK$4,"")))</f>
        <v/>
      </c>
      <c r="U61" t="str">
        <f t="array" ref="U61">IF($Q61="","",_xlfn.TEXTJOIN(", ",TRUE,IF(ABR!$G63:$AK63="HE",ABR!$G$4:$AK$4,"")))</f>
        <v/>
      </c>
      <c r="V61" t="str">
        <f t="array" ref="V61">IF($Q61="","",_xlfn.TEXTJOIN(", ",TRUE,IF(MAI!$G63:$AK63="HE",MAI!$G$4:$AK$4,"")))</f>
        <v/>
      </c>
      <c r="W61" t="str">
        <f t="array" ref="W61">IF($Q61="","",_xlfn.TEXTJOIN(", ",TRUE,IF(JUN!$G63:$AK63="HE",JUN!$G$4:$AK$4,"")))</f>
        <v/>
      </c>
      <c r="X61" t="str">
        <f t="array" ref="X61">IF($Q61="","",_xlfn.TEXTJOIN(", ",TRUE,IF(JUL!$G63:$AK63="HE",JUL!$G$4:$AK$4,"")))</f>
        <v/>
      </c>
      <c r="Y61" t="str">
        <f t="array" ref="Y61">IF($Q61="","",_xlfn.TEXTJOIN(", ",TRUE,IF(AGO!$G63:$AK63="HE",AGO!$G$4:$AK$4,"")))</f>
        <v/>
      </c>
      <c r="Z61" t="str">
        <f t="array" ref="Z61">IF($Q61="","",_xlfn.TEXTJOIN(", ",TRUE,IF(SET!$G63:$AK63="HE",SET!$G$4:$AK$4,"")))</f>
        <v/>
      </c>
      <c r="AA61" t="str">
        <f t="array" ref="AA61">IF($Q61="","",_xlfn.TEXTJOIN(", ",TRUE,IF(OUT!$G63:$AK63="HE",OUT!$G$4:$AK$4,"")))</f>
        <v/>
      </c>
      <c r="AB61" t="str">
        <f t="array" ref="AB61">IF($Q61="","",_xlfn.TEXTJOIN(", ",TRUE,IF(NOV!$G63:$AK63="HE",NOV!$G$4:$AK$4,"")))</f>
        <v/>
      </c>
      <c r="AC61" t="str">
        <f t="array" ref="AC61">IF($Q61="","",_xlfn.TEXTJOIN(", ",TRUE,IF(DEZ!$G63:$AK63="HE",DEZ!$G$4:$AK$4,"")))</f>
        <v/>
      </c>
      <c r="AD61">
        <f>IF($Q61="","",SUM(JAN:DEZ!C63))</f>
        <v>0</v>
      </c>
      <c r="AF61" t="str">
        <f>IF(AND($Q61&lt;&gt;"",N($AD61)&gt;0),COUNT($AF$3:AF60)+1,"")</f>
        <v/>
      </c>
    </row>
    <row r="62" spans="1:32" x14ac:dyDescent="0.25">
      <c r="A62" s="36" t="str">
        <f>IFERROR(INDEX($Q$4:$Q$153,MATCH(ROWS($A$4:A62),$AF$4:$AF$153,0)),"")</f>
        <v/>
      </c>
      <c r="B62" s="35" t="str">
        <f>IFERROR(INDEX($R$4:$R$153,MATCH(ROWS($A$4:A62),$AF$4:$AF$153,0)),"")</f>
        <v/>
      </c>
      <c r="C62" s="35" t="str">
        <f>IFERROR(INDEX($S$4:$S$153,MATCH(ROWS($A$4:A62),$AF$4:$AF$153,0)),"")</f>
        <v/>
      </c>
      <c r="D62" s="35" t="str">
        <f>IFERROR(INDEX($T$4:$T$153,MATCH(ROWS($A$4:A62),$AF$4:$AF$153,0)),"")</f>
        <v/>
      </c>
      <c r="E62" s="35" t="str">
        <f>IFERROR(INDEX($U$4:$U$153,MATCH(ROWS($A$4:A62),$AF$4:$AF$153,0)),"")</f>
        <v/>
      </c>
      <c r="F62" s="35" t="str">
        <f>IFERROR(INDEX($V$4:$V$153,MATCH(ROWS($A$4:A62),$AF$4:$AF$153,0)),"")</f>
        <v/>
      </c>
      <c r="G62" s="35" t="str">
        <f>IFERROR(INDEX($W$4:$W$153,MATCH(ROWS($A$4:A62),$AF$4:$AF$153,0)),"")</f>
        <v/>
      </c>
      <c r="H62" s="35" t="str">
        <f>IFERROR(INDEX($X$4:$X$153,MATCH(ROWS($A$4:A62),$AF$4:$AF$153,0)),"")</f>
        <v/>
      </c>
      <c r="I62" s="35" t="str">
        <f>IFERROR(INDEX($Y$4:$Y$153,MATCH(ROWS($A$4:A62),$AF$4:$AF$153,0)),"")</f>
        <v/>
      </c>
      <c r="J62" s="35" t="str">
        <f>IFERROR(INDEX($Z$4:$Z$153,MATCH(ROWS($A$4:A62),$AF$4:$AF$153,0)),"")</f>
        <v/>
      </c>
      <c r="K62" s="35" t="str">
        <f>IFERROR(INDEX($AA$4:$AA$153,MATCH(ROWS($A$4:A62),$AF$4:$AF$153,0)),"")</f>
        <v/>
      </c>
      <c r="L62" s="35" t="str">
        <f>IFERROR(INDEX($AB$4:$AB$153,MATCH(ROWS($A$4:A62),$AF$4:$AF$153,0)),"")</f>
        <v/>
      </c>
      <c r="M62" s="35" t="str">
        <f>IFERROR(INDEX($AC$4:$AC$153,MATCH(ROWS($A$4:A62),$AF$4:$AF$153,0)),"")</f>
        <v/>
      </c>
      <c r="N62" s="35" t="str">
        <f>IFERROR(INDEX($AD$4:$AD$153,MATCH(ROWS($A$4:A62),$AF$4:$AF$153,0)),"")</f>
        <v/>
      </c>
      <c r="Q62" t="str">
        <f>T(JAN!B64)</f>
        <v>RODRIGO FREITAS 283001</v>
      </c>
      <c r="R62" t="str">
        <f t="array" ref="R62">IF($Q62="","",_xlfn.TEXTJOIN(", ",TRUE,IF(JAN!$G64:$AK64="HE",JAN!$G$4:$AK$4,"")))</f>
        <v/>
      </c>
      <c r="S62" t="str">
        <f t="array" ref="S62">IF($Q62="","",_xlfn.TEXTJOIN(", ",TRUE,IF(FEV!$G64:$AK64="HE",FEV!$G$4:$AK$4,"")))</f>
        <v/>
      </c>
      <c r="T62" t="str">
        <f t="array" ref="T62">IF($Q62="","",_xlfn.TEXTJOIN(", ",TRUE,IF(MAR!$G64:$AK64="HE",MAR!$G$4:$AK$4,"")))</f>
        <v/>
      </c>
      <c r="U62" t="str">
        <f t="array" ref="U62">IF($Q62="","",_xlfn.TEXTJOIN(", ",TRUE,IF(ABR!$G64:$AK64="HE",ABR!$G$4:$AK$4,"")))</f>
        <v/>
      </c>
      <c r="V62" t="str">
        <f t="array" ref="V62">IF($Q62="","",_xlfn.TEXTJOIN(", ",TRUE,IF(MAI!$G64:$AK64="HE",MAI!$G$4:$AK$4,"")))</f>
        <v/>
      </c>
      <c r="W62" t="str">
        <f t="array" ref="W62">IF($Q62="","",_xlfn.TEXTJOIN(", ",TRUE,IF(JUN!$G64:$AK64="HE",JUN!$G$4:$AK$4,"")))</f>
        <v/>
      </c>
      <c r="X62" t="str">
        <f t="array" ref="X62">IF($Q62="","",_xlfn.TEXTJOIN(", ",TRUE,IF(JUL!$G64:$AK64="HE",JUL!$G$4:$AK$4,"")))</f>
        <v/>
      </c>
      <c r="Y62" t="str">
        <f t="array" ref="Y62">IF($Q62="","",_xlfn.TEXTJOIN(", ",TRUE,IF(AGO!$G64:$AK64="HE",AGO!$G$4:$AK$4,"")))</f>
        <v>16</v>
      </c>
      <c r="Z62" t="str">
        <f t="array" ref="Z62">IF($Q62="","",_xlfn.TEXTJOIN(", ",TRUE,IF(SET!$G64:$AK64="HE",SET!$G$4:$AK$4,"")))</f>
        <v/>
      </c>
      <c r="AA62" t="str">
        <f t="array" ref="AA62">IF($Q62="","",_xlfn.TEXTJOIN(", ",TRUE,IF(OUT!$G64:$AK64="HE",OUT!$G$4:$AK$4,"")))</f>
        <v/>
      </c>
      <c r="AB62" t="str">
        <f t="array" ref="AB62">IF($Q62="","",_xlfn.TEXTJOIN(", ",TRUE,IF(NOV!$G64:$AK64="HE",NOV!$G$4:$AK$4,"")))</f>
        <v/>
      </c>
      <c r="AC62" t="str">
        <f t="array" ref="AC62">IF($Q62="","",_xlfn.TEXTJOIN(", ",TRUE,IF(DEZ!$G64:$AK64="HE",DEZ!$G$4:$AK$4,"")))</f>
        <v/>
      </c>
      <c r="AD62">
        <f>IF($Q62="","",SUM(JAN:DEZ!C64))</f>
        <v>1</v>
      </c>
      <c r="AF62">
        <f>IF(AND($Q62&lt;&gt;"",N($AD62)&gt;0),COUNT($AF$3:AF61)+1,"")</f>
        <v>34</v>
      </c>
    </row>
    <row r="63" spans="1:32" x14ac:dyDescent="0.25">
      <c r="A63" s="36" t="str">
        <f>IFERROR(INDEX($Q$4:$Q$153,MATCH(ROWS($A$4:A63),$AF$4:$AF$153,0)),"")</f>
        <v/>
      </c>
      <c r="B63" s="35" t="str">
        <f>IFERROR(INDEX($R$4:$R$153,MATCH(ROWS($A$4:A63),$AF$4:$AF$153,0)),"")</f>
        <v/>
      </c>
      <c r="C63" s="35" t="str">
        <f>IFERROR(INDEX($S$4:$S$153,MATCH(ROWS($A$4:A63),$AF$4:$AF$153,0)),"")</f>
        <v/>
      </c>
      <c r="D63" s="35" t="str">
        <f>IFERROR(INDEX($T$4:$T$153,MATCH(ROWS($A$4:A63),$AF$4:$AF$153,0)),"")</f>
        <v/>
      </c>
      <c r="E63" s="35" t="str">
        <f>IFERROR(INDEX($U$4:$U$153,MATCH(ROWS($A$4:A63),$AF$4:$AF$153,0)),"")</f>
        <v/>
      </c>
      <c r="F63" s="35" t="str">
        <f>IFERROR(INDEX($V$4:$V$153,MATCH(ROWS($A$4:A63),$AF$4:$AF$153,0)),"")</f>
        <v/>
      </c>
      <c r="G63" s="35" t="str">
        <f>IFERROR(INDEX($W$4:$W$153,MATCH(ROWS($A$4:A63),$AF$4:$AF$153,0)),"")</f>
        <v/>
      </c>
      <c r="H63" s="35" t="str">
        <f>IFERROR(INDEX($X$4:$X$153,MATCH(ROWS($A$4:A63),$AF$4:$AF$153,0)),"")</f>
        <v/>
      </c>
      <c r="I63" s="35" t="str">
        <f>IFERROR(INDEX($Y$4:$Y$153,MATCH(ROWS($A$4:A63),$AF$4:$AF$153,0)),"")</f>
        <v/>
      </c>
      <c r="J63" s="35" t="str">
        <f>IFERROR(INDEX($Z$4:$Z$153,MATCH(ROWS($A$4:A63),$AF$4:$AF$153,0)),"")</f>
        <v/>
      </c>
      <c r="K63" s="35" t="str">
        <f>IFERROR(INDEX($AA$4:$AA$153,MATCH(ROWS($A$4:A63),$AF$4:$AF$153,0)),"")</f>
        <v/>
      </c>
      <c r="L63" s="35" t="str">
        <f>IFERROR(INDEX($AB$4:$AB$153,MATCH(ROWS($A$4:A63),$AF$4:$AF$153,0)),"")</f>
        <v/>
      </c>
      <c r="M63" s="35" t="str">
        <f>IFERROR(INDEX($AC$4:$AC$153,MATCH(ROWS($A$4:A63),$AF$4:$AF$153,0)),"")</f>
        <v/>
      </c>
      <c r="N63" s="35" t="str">
        <f>IFERROR(INDEX($AD$4:$AD$153,MATCH(ROWS($A$4:A63),$AF$4:$AF$153,0)),"")</f>
        <v/>
      </c>
      <c r="Q63" t="str">
        <f>T(JAN!B65)</f>
        <v>ANTONIO LUCIANO 454801</v>
      </c>
      <c r="R63" t="str">
        <f t="array" ref="R63">IF($Q63="","",_xlfn.TEXTJOIN(", ",TRUE,IF(JAN!$G65:$AK65="HE",JAN!$G$4:$AK$4,"")))</f>
        <v/>
      </c>
      <c r="S63" t="str">
        <f t="array" ref="S63">IF($Q63="","",_xlfn.TEXTJOIN(", ",TRUE,IF(FEV!$G65:$AK65="HE",FEV!$G$4:$AK$4,"")))</f>
        <v/>
      </c>
      <c r="T63" t="str">
        <f t="array" ref="T63">IF($Q63="","",_xlfn.TEXTJOIN(", ",TRUE,IF(MAR!$G65:$AK65="HE",MAR!$G$4:$AK$4,"")))</f>
        <v/>
      </c>
      <c r="U63" t="str">
        <f t="array" ref="U63">IF($Q63="","",_xlfn.TEXTJOIN(", ",TRUE,IF(ABR!$G65:$AK65="HE",ABR!$G$4:$AK$4,"")))</f>
        <v/>
      </c>
      <c r="V63" t="str">
        <f t="array" ref="V63">IF($Q63="","",_xlfn.TEXTJOIN(", ",TRUE,IF(MAI!$G65:$AK65="HE",MAI!$G$4:$AK$4,"")))</f>
        <v/>
      </c>
      <c r="W63" t="str">
        <f t="array" ref="W63">IF($Q63="","",_xlfn.TEXTJOIN(", ",TRUE,IF(JUN!$G65:$AK65="HE",JUN!$G$4:$AK$4,"")))</f>
        <v/>
      </c>
      <c r="X63" t="str">
        <f t="array" ref="X63">IF($Q63="","",_xlfn.TEXTJOIN(", ",TRUE,IF(JUL!$G65:$AK65="HE",JUL!$G$4:$AK$4,"")))</f>
        <v/>
      </c>
      <c r="Y63" t="str">
        <f t="array" ref="Y63">IF($Q63="","",_xlfn.TEXTJOIN(", ",TRUE,IF(AGO!$G65:$AK65="HE",AGO!$G$4:$AK$4,"")))</f>
        <v>16</v>
      </c>
      <c r="Z63" t="str">
        <f t="array" ref="Z63">IF($Q63="","",_xlfn.TEXTJOIN(", ",TRUE,IF(SET!$G65:$AK65="HE",SET!$G$4:$AK$4,"")))</f>
        <v/>
      </c>
      <c r="AA63" t="str">
        <f t="array" ref="AA63">IF($Q63="","",_xlfn.TEXTJOIN(", ",TRUE,IF(OUT!$G65:$AK65="HE",OUT!$G$4:$AK$4,"")))</f>
        <v/>
      </c>
      <c r="AB63" t="str">
        <f t="array" ref="AB63">IF($Q63="","",_xlfn.TEXTJOIN(", ",TRUE,IF(NOV!$G65:$AK65="HE",NOV!$G$4:$AK$4,"")))</f>
        <v/>
      </c>
      <c r="AC63" t="str">
        <f t="array" ref="AC63">IF($Q63="","",_xlfn.TEXTJOIN(", ",TRUE,IF(DEZ!$G65:$AK65="HE",DEZ!$G$4:$AK$4,"")))</f>
        <v/>
      </c>
      <c r="AD63">
        <f>IF($Q63="","",SUM(JAN:DEZ!C65))</f>
        <v>1</v>
      </c>
      <c r="AF63">
        <f>IF(AND($Q63&lt;&gt;"",N($AD63)&gt;0),COUNT($AF$3:AF62)+1,"")</f>
        <v>35</v>
      </c>
    </row>
    <row r="64" spans="1:32" x14ac:dyDescent="0.25">
      <c r="A64" s="36" t="str">
        <f>IFERROR(INDEX($Q$4:$Q$153,MATCH(ROWS($A$4:A64),$AF$4:$AF$153,0)),"")</f>
        <v/>
      </c>
      <c r="B64" s="35" t="str">
        <f>IFERROR(INDEX($R$4:$R$153,MATCH(ROWS($A$4:A64),$AF$4:$AF$153,0)),"")</f>
        <v/>
      </c>
      <c r="C64" s="35" t="str">
        <f>IFERROR(INDEX($S$4:$S$153,MATCH(ROWS($A$4:A64),$AF$4:$AF$153,0)),"")</f>
        <v/>
      </c>
      <c r="D64" s="35" t="str">
        <f>IFERROR(INDEX($T$4:$T$153,MATCH(ROWS($A$4:A64),$AF$4:$AF$153,0)),"")</f>
        <v/>
      </c>
      <c r="E64" s="35" t="str">
        <f>IFERROR(INDEX($U$4:$U$153,MATCH(ROWS($A$4:A64),$AF$4:$AF$153,0)),"")</f>
        <v/>
      </c>
      <c r="F64" s="35" t="str">
        <f>IFERROR(INDEX($V$4:$V$153,MATCH(ROWS($A$4:A64),$AF$4:$AF$153,0)),"")</f>
        <v/>
      </c>
      <c r="G64" s="35" t="str">
        <f>IFERROR(INDEX($W$4:$W$153,MATCH(ROWS($A$4:A64),$AF$4:$AF$153,0)),"")</f>
        <v/>
      </c>
      <c r="H64" s="35" t="str">
        <f>IFERROR(INDEX($X$4:$X$153,MATCH(ROWS($A$4:A64),$AF$4:$AF$153,0)),"")</f>
        <v/>
      </c>
      <c r="I64" s="35" t="str">
        <f>IFERROR(INDEX($Y$4:$Y$153,MATCH(ROWS($A$4:A64),$AF$4:$AF$153,0)),"")</f>
        <v/>
      </c>
      <c r="J64" s="35" t="str">
        <f>IFERROR(INDEX($Z$4:$Z$153,MATCH(ROWS($A$4:A64),$AF$4:$AF$153,0)),"")</f>
        <v/>
      </c>
      <c r="K64" s="35" t="str">
        <f>IFERROR(INDEX($AA$4:$AA$153,MATCH(ROWS($A$4:A64),$AF$4:$AF$153,0)),"")</f>
        <v/>
      </c>
      <c r="L64" s="35" t="str">
        <f>IFERROR(INDEX($AB$4:$AB$153,MATCH(ROWS($A$4:A64),$AF$4:$AF$153,0)),"")</f>
        <v/>
      </c>
      <c r="M64" s="35" t="str">
        <f>IFERROR(INDEX($AC$4:$AC$153,MATCH(ROWS($A$4:A64),$AF$4:$AF$153,0)),"")</f>
        <v/>
      </c>
      <c r="N64" s="35" t="str">
        <f>IFERROR(INDEX($AD$4:$AD$153,MATCH(ROWS($A$4:A64),$AF$4:$AF$153,0)),"")</f>
        <v/>
      </c>
      <c r="Q64" t="str">
        <f>T(JAN!B66)</f>
        <v>JONATHAM CORREA 447001</v>
      </c>
      <c r="R64" t="str">
        <f t="array" ref="R64">IF($Q64="","",_xlfn.TEXTJOIN(", ",TRUE,IF(JAN!$G66:$AK66="HE",JAN!$G$4:$AK$4,"")))</f>
        <v/>
      </c>
      <c r="S64" t="str">
        <f t="array" ref="S64">IF($Q64="","",_xlfn.TEXTJOIN(", ",TRUE,IF(FEV!$G66:$AK66="HE",FEV!$G$4:$AK$4,"")))</f>
        <v/>
      </c>
      <c r="T64" t="str">
        <f t="array" ref="T64">IF($Q64="","",_xlfn.TEXTJOIN(", ",TRUE,IF(MAR!$G66:$AK66="HE",MAR!$G$4:$AK$4,"")))</f>
        <v/>
      </c>
      <c r="U64" t="str">
        <f t="array" ref="U64">IF($Q64="","",_xlfn.TEXTJOIN(", ",TRUE,IF(ABR!$G66:$AK66="HE",ABR!$G$4:$AK$4,"")))</f>
        <v/>
      </c>
      <c r="V64" t="str">
        <f t="array" ref="V64">IF($Q64="","",_xlfn.TEXTJOIN(", ",TRUE,IF(MAI!$G66:$AK66="HE",MAI!$G$4:$AK$4,"")))</f>
        <v/>
      </c>
      <c r="W64" t="str">
        <f t="array" ref="W64">IF($Q64="","",_xlfn.TEXTJOIN(", ",TRUE,IF(JUN!$G66:$AK66="HE",JUN!$G$4:$AK$4,"")))</f>
        <v/>
      </c>
      <c r="X64" t="str">
        <f t="array" ref="X64">IF($Q64="","",_xlfn.TEXTJOIN(", ",TRUE,IF(JUL!$G66:$AK66="HE",JUL!$G$4:$AK$4,"")))</f>
        <v/>
      </c>
      <c r="Y64" t="str">
        <f t="array" ref="Y64">IF($Q64="","",_xlfn.TEXTJOIN(", ",TRUE,IF(AGO!$G66:$AK66="HE",AGO!$G$4:$AK$4,"")))</f>
        <v/>
      </c>
      <c r="Z64" t="str">
        <f t="array" ref="Z64">IF($Q64="","",_xlfn.TEXTJOIN(", ",TRUE,IF(SET!$G66:$AK66="HE",SET!$G$4:$AK$4,"")))</f>
        <v/>
      </c>
      <c r="AA64" t="str">
        <f t="array" ref="AA64">IF($Q64="","",_xlfn.TEXTJOIN(", ",TRUE,IF(OUT!$G66:$AK66="HE",OUT!$G$4:$AK$4,"")))</f>
        <v/>
      </c>
      <c r="AB64" t="str">
        <f t="array" ref="AB64">IF($Q64="","",_xlfn.TEXTJOIN(", ",TRUE,IF(NOV!$G66:$AK66="HE",NOV!$G$4:$AK$4,"")))</f>
        <v/>
      </c>
      <c r="AC64" t="str">
        <f t="array" ref="AC64">IF($Q64="","",_xlfn.TEXTJOIN(", ",TRUE,IF(DEZ!$G66:$AK66="HE",DEZ!$G$4:$AK$4,"")))</f>
        <v/>
      </c>
      <c r="AD64">
        <f>IF($Q64="","",SUM(JAN:DEZ!C66))</f>
        <v>0</v>
      </c>
      <c r="AF64" t="str">
        <f>IF(AND($Q64&lt;&gt;"",N($AD64)&gt;0),COUNT($AF$3:AF63)+1,"")</f>
        <v/>
      </c>
    </row>
    <row r="65" spans="1:32" x14ac:dyDescent="0.25">
      <c r="A65" s="36" t="str">
        <f>IFERROR(INDEX($Q$4:$Q$153,MATCH(ROWS($A$4:A65),$AF$4:$AF$153,0)),"")</f>
        <v/>
      </c>
      <c r="B65" s="35" t="str">
        <f>IFERROR(INDEX($R$4:$R$153,MATCH(ROWS($A$4:A65),$AF$4:$AF$153,0)),"")</f>
        <v/>
      </c>
      <c r="C65" s="35" t="str">
        <f>IFERROR(INDEX($S$4:$S$153,MATCH(ROWS($A$4:A65),$AF$4:$AF$153,0)),"")</f>
        <v/>
      </c>
      <c r="D65" s="35" t="str">
        <f>IFERROR(INDEX($T$4:$T$153,MATCH(ROWS($A$4:A65),$AF$4:$AF$153,0)),"")</f>
        <v/>
      </c>
      <c r="E65" s="35" t="str">
        <f>IFERROR(INDEX($U$4:$U$153,MATCH(ROWS($A$4:A65),$AF$4:$AF$153,0)),"")</f>
        <v/>
      </c>
      <c r="F65" s="35" t="str">
        <f>IFERROR(INDEX($V$4:$V$153,MATCH(ROWS($A$4:A65),$AF$4:$AF$153,0)),"")</f>
        <v/>
      </c>
      <c r="G65" s="35" t="str">
        <f>IFERROR(INDEX($W$4:$W$153,MATCH(ROWS($A$4:A65),$AF$4:$AF$153,0)),"")</f>
        <v/>
      </c>
      <c r="H65" s="35" t="str">
        <f>IFERROR(INDEX($X$4:$X$153,MATCH(ROWS($A$4:A65),$AF$4:$AF$153,0)),"")</f>
        <v/>
      </c>
      <c r="I65" s="35" t="str">
        <f>IFERROR(INDEX($Y$4:$Y$153,MATCH(ROWS($A$4:A65),$AF$4:$AF$153,0)),"")</f>
        <v/>
      </c>
      <c r="J65" s="35" t="str">
        <f>IFERROR(INDEX($Z$4:$Z$153,MATCH(ROWS($A$4:A65),$AF$4:$AF$153,0)),"")</f>
        <v/>
      </c>
      <c r="K65" s="35" t="str">
        <f>IFERROR(INDEX($AA$4:$AA$153,MATCH(ROWS($A$4:A65),$AF$4:$AF$153,0)),"")</f>
        <v/>
      </c>
      <c r="L65" s="35" t="str">
        <f>IFERROR(INDEX($AB$4:$AB$153,MATCH(ROWS($A$4:A65),$AF$4:$AF$153,0)),"")</f>
        <v/>
      </c>
      <c r="M65" s="35" t="str">
        <f>IFERROR(INDEX($AC$4:$AC$153,MATCH(ROWS($A$4:A65),$AF$4:$AF$153,0)),"")</f>
        <v/>
      </c>
      <c r="N65" s="35" t="str">
        <f>IFERROR(INDEX($AD$4:$AD$153,MATCH(ROWS($A$4:A65),$AF$4:$AF$153,0)),"")</f>
        <v/>
      </c>
      <c r="Q65" t="str">
        <f>T(JAN!B67)</f>
        <v>GUILHERME MELCHIOR 37002309</v>
      </c>
      <c r="R65" t="str">
        <f t="array" ref="R65">IF($Q65="","",_xlfn.TEXTJOIN(", ",TRUE,IF(JAN!$G67:$AK67="HE",JAN!$G$4:$AK$4,"")))</f>
        <v/>
      </c>
      <c r="S65" t="str">
        <f t="array" ref="S65">IF($Q65="","",_xlfn.TEXTJOIN(", ",TRUE,IF(FEV!$G67:$AK67="HE",FEV!$G$4:$AK$4,"")))</f>
        <v/>
      </c>
      <c r="T65" t="str">
        <f t="array" ref="T65">IF($Q65="","",_xlfn.TEXTJOIN(", ",TRUE,IF(MAR!$G67:$AK67="HE",MAR!$G$4:$AK$4,"")))</f>
        <v/>
      </c>
      <c r="U65" t="str">
        <f t="array" ref="U65">IF($Q65="","",_xlfn.TEXTJOIN(", ",TRUE,IF(ABR!$G67:$AK67="HE",ABR!$G$4:$AK$4,"")))</f>
        <v/>
      </c>
      <c r="V65" t="str">
        <f t="array" ref="V65">IF($Q65="","",_xlfn.TEXTJOIN(", ",TRUE,IF(MAI!$G67:$AK67="HE",MAI!$G$4:$AK$4,"")))</f>
        <v/>
      </c>
      <c r="W65" t="str">
        <f t="array" ref="W65">IF($Q65="","",_xlfn.TEXTJOIN(", ",TRUE,IF(JUN!$G67:$AK67="HE",JUN!$G$4:$AK$4,"")))</f>
        <v/>
      </c>
      <c r="X65" t="str">
        <f t="array" ref="X65">IF($Q65="","",_xlfn.TEXTJOIN(", ",TRUE,IF(JUL!$G67:$AK67="HE",JUL!$G$4:$AK$4,"")))</f>
        <v/>
      </c>
      <c r="Y65" t="str">
        <f t="array" ref="Y65">IF($Q65="","",_xlfn.TEXTJOIN(", ",TRUE,IF(AGO!$G67:$AK67="HE",AGO!$G$4:$AK$4,"")))</f>
        <v/>
      </c>
      <c r="Z65" t="str">
        <f t="array" ref="Z65">IF($Q65="","",_xlfn.TEXTJOIN(", ",TRUE,IF(SET!$G67:$AK67="HE",SET!$G$4:$AK$4,"")))</f>
        <v/>
      </c>
      <c r="AA65" t="str">
        <f t="array" ref="AA65">IF($Q65="","",_xlfn.TEXTJOIN(", ",TRUE,IF(OUT!$G67:$AK67="HE",OUT!$G$4:$AK$4,"")))</f>
        <v/>
      </c>
      <c r="AB65" t="str">
        <f t="array" ref="AB65">IF($Q65="","",_xlfn.TEXTJOIN(", ",TRUE,IF(NOV!$G67:$AK67="HE",NOV!$G$4:$AK$4,"")))</f>
        <v/>
      </c>
      <c r="AC65" t="str">
        <f t="array" ref="AC65">IF($Q65="","",_xlfn.TEXTJOIN(", ",TRUE,IF(DEZ!$G67:$AK67="HE",DEZ!$G$4:$AK$4,"")))</f>
        <v/>
      </c>
      <c r="AD65">
        <f>IF($Q65="","",SUM(JAN:DEZ!C67))</f>
        <v>0</v>
      </c>
      <c r="AF65" t="str">
        <f>IF(AND($Q65&lt;&gt;"",N($AD65)&gt;0),COUNT($AF$3:AF64)+1,"")</f>
        <v/>
      </c>
    </row>
    <row r="66" spans="1:32" x14ac:dyDescent="0.25">
      <c r="A66" s="36" t="str">
        <f>IFERROR(INDEX($Q$4:$Q$153,MATCH(ROWS($A$4:A66),$AF$4:$AF$153,0)),"")</f>
        <v/>
      </c>
      <c r="B66" s="35" t="str">
        <f>IFERROR(INDEX($R$4:$R$153,MATCH(ROWS($A$4:A66),$AF$4:$AF$153,0)),"")</f>
        <v/>
      </c>
      <c r="C66" s="35" t="str">
        <f>IFERROR(INDEX($S$4:$S$153,MATCH(ROWS($A$4:A66),$AF$4:$AF$153,0)),"")</f>
        <v/>
      </c>
      <c r="D66" s="35" t="str">
        <f>IFERROR(INDEX($T$4:$T$153,MATCH(ROWS($A$4:A66),$AF$4:$AF$153,0)),"")</f>
        <v/>
      </c>
      <c r="E66" s="35" t="str">
        <f>IFERROR(INDEX($U$4:$U$153,MATCH(ROWS($A$4:A66),$AF$4:$AF$153,0)),"")</f>
        <v/>
      </c>
      <c r="F66" s="35" t="str">
        <f>IFERROR(INDEX($V$4:$V$153,MATCH(ROWS($A$4:A66),$AF$4:$AF$153,0)),"")</f>
        <v/>
      </c>
      <c r="G66" s="35" t="str">
        <f>IFERROR(INDEX($W$4:$W$153,MATCH(ROWS($A$4:A66),$AF$4:$AF$153,0)),"")</f>
        <v/>
      </c>
      <c r="H66" s="35" t="str">
        <f>IFERROR(INDEX($X$4:$X$153,MATCH(ROWS($A$4:A66),$AF$4:$AF$153,0)),"")</f>
        <v/>
      </c>
      <c r="I66" s="35" t="str">
        <f>IFERROR(INDEX($Y$4:$Y$153,MATCH(ROWS($A$4:A66),$AF$4:$AF$153,0)),"")</f>
        <v/>
      </c>
      <c r="J66" s="35" t="str">
        <f>IFERROR(INDEX($Z$4:$Z$153,MATCH(ROWS($A$4:A66),$AF$4:$AF$153,0)),"")</f>
        <v/>
      </c>
      <c r="K66" s="35" t="str">
        <f>IFERROR(INDEX($AA$4:$AA$153,MATCH(ROWS($A$4:A66),$AF$4:$AF$153,0)),"")</f>
        <v/>
      </c>
      <c r="L66" s="35" t="str">
        <f>IFERROR(INDEX($AB$4:$AB$153,MATCH(ROWS($A$4:A66),$AF$4:$AF$153,0)),"")</f>
        <v/>
      </c>
      <c r="M66" s="35" t="str">
        <f>IFERROR(INDEX($AC$4:$AC$153,MATCH(ROWS($A$4:A66),$AF$4:$AF$153,0)),"")</f>
        <v/>
      </c>
      <c r="N66" s="35" t="str">
        <f>IFERROR(INDEX($AD$4:$AD$153,MATCH(ROWS($A$4:A66),$AF$4:$AF$153,0)),"")</f>
        <v/>
      </c>
      <c r="Q66" t="str">
        <f>T(JAN!B68)</f>
        <v>CLODOALDO TEMPORARIO</v>
      </c>
      <c r="R66" t="str">
        <f t="array" ref="R66">IF($Q66="","",_xlfn.TEXTJOIN(", ",TRUE,IF(JAN!$G68:$AK68="HE",JAN!$G$4:$AK$4,"")))</f>
        <v/>
      </c>
      <c r="S66" t="str">
        <f t="array" ref="S66">IF($Q66="","",_xlfn.TEXTJOIN(", ",TRUE,IF(FEV!$G68:$AK68="HE",FEV!$G$4:$AK$4,"")))</f>
        <v/>
      </c>
      <c r="T66" t="str">
        <f t="array" ref="T66">IF($Q66="","",_xlfn.TEXTJOIN(", ",TRUE,IF(MAR!$G68:$AK68="HE",MAR!$G$4:$AK$4,"")))</f>
        <v/>
      </c>
      <c r="U66" t="str">
        <f t="array" ref="U66">IF($Q66="","",_xlfn.TEXTJOIN(", ",TRUE,IF(ABR!$G68:$AK68="HE",ABR!$G$4:$AK$4,"")))</f>
        <v/>
      </c>
      <c r="V66" t="str">
        <f t="array" ref="V66">IF($Q66="","",_xlfn.TEXTJOIN(", ",TRUE,IF(MAI!$G68:$AK68="HE",MAI!$G$4:$AK$4,"")))</f>
        <v/>
      </c>
      <c r="W66" t="str">
        <f t="array" ref="W66">IF($Q66="","",_xlfn.TEXTJOIN(", ",TRUE,IF(JUN!$G68:$AK68="HE",JUN!$G$4:$AK$4,"")))</f>
        <v/>
      </c>
      <c r="X66" t="str">
        <f t="array" ref="X66">IF($Q66="","",_xlfn.TEXTJOIN(", ",TRUE,IF(JUL!$G68:$AK68="HE",JUL!$G$4:$AK$4,"")))</f>
        <v/>
      </c>
      <c r="Y66" t="str">
        <f t="array" ref="Y66">IF($Q66="","",_xlfn.TEXTJOIN(", ",TRUE,IF(AGO!$G68:$AK68="HE",AGO!$G$4:$AK$4,"")))</f>
        <v/>
      </c>
      <c r="Z66" t="str">
        <f t="array" ref="Z66">IF($Q66="","",_xlfn.TEXTJOIN(", ",TRUE,IF(SET!$G68:$AK68="HE",SET!$G$4:$AK$4,"")))</f>
        <v>27</v>
      </c>
      <c r="AA66" t="str">
        <f t="array" ref="AA66">IF($Q66="","",_xlfn.TEXTJOIN(", ",TRUE,IF(OUT!$G68:$AK68="HE",OUT!$G$4:$AK$4,"")))</f>
        <v/>
      </c>
      <c r="AB66" t="str">
        <f t="array" ref="AB66">IF($Q66="","",_xlfn.TEXTJOIN(", ",TRUE,IF(NOV!$G68:$AK68="HE",NOV!$G$4:$AK$4,"")))</f>
        <v/>
      </c>
      <c r="AC66" t="str">
        <f t="array" ref="AC66">IF($Q66="","",_xlfn.TEXTJOIN(", ",TRUE,IF(DEZ!$G68:$AK68="HE",DEZ!$G$4:$AK$4,"")))</f>
        <v/>
      </c>
      <c r="AD66">
        <f>IF($Q66="","",SUM(JAN:DEZ!C68))</f>
        <v>1</v>
      </c>
      <c r="AF66">
        <f>IF(AND($Q66&lt;&gt;"",N($AD66)&gt;0),COUNT($AF$3:AF65)+1,"")</f>
        <v>36</v>
      </c>
    </row>
    <row r="67" spans="1:32" x14ac:dyDescent="0.25">
      <c r="A67" s="36" t="str">
        <f>IFERROR(INDEX($Q$4:$Q$153,MATCH(ROWS($A$4:A67),$AF$4:$AF$153,0)),"")</f>
        <v/>
      </c>
      <c r="B67" s="35" t="str">
        <f>IFERROR(INDEX($R$4:$R$153,MATCH(ROWS($A$4:A67),$AF$4:$AF$153,0)),"")</f>
        <v/>
      </c>
      <c r="C67" s="35" t="str">
        <f>IFERROR(INDEX($S$4:$S$153,MATCH(ROWS($A$4:A67),$AF$4:$AF$153,0)),"")</f>
        <v/>
      </c>
      <c r="D67" s="35" t="str">
        <f>IFERROR(INDEX($T$4:$T$153,MATCH(ROWS($A$4:A67),$AF$4:$AF$153,0)),"")</f>
        <v/>
      </c>
      <c r="E67" s="35" t="str">
        <f>IFERROR(INDEX($U$4:$U$153,MATCH(ROWS($A$4:A67),$AF$4:$AF$153,0)),"")</f>
        <v/>
      </c>
      <c r="F67" s="35" t="str">
        <f>IFERROR(INDEX($V$4:$V$153,MATCH(ROWS($A$4:A67),$AF$4:$AF$153,0)),"")</f>
        <v/>
      </c>
      <c r="G67" s="35" t="str">
        <f>IFERROR(INDEX($W$4:$W$153,MATCH(ROWS($A$4:A67),$AF$4:$AF$153,0)),"")</f>
        <v/>
      </c>
      <c r="H67" s="35" t="str">
        <f>IFERROR(INDEX($X$4:$X$153,MATCH(ROWS($A$4:A67),$AF$4:$AF$153,0)),"")</f>
        <v/>
      </c>
      <c r="I67" s="35" t="str">
        <f>IFERROR(INDEX($Y$4:$Y$153,MATCH(ROWS($A$4:A67),$AF$4:$AF$153,0)),"")</f>
        <v/>
      </c>
      <c r="J67" s="35" t="str">
        <f>IFERROR(INDEX($Z$4:$Z$153,MATCH(ROWS($A$4:A67),$AF$4:$AF$153,0)),"")</f>
        <v/>
      </c>
      <c r="K67" s="35" t="str">
        <f>IFERROR(INDEX($AA$4:$AA$153,MATCH(ROWS($A$4:A67),$AF$4:$AF$153,0)),"")</f>
        <v/>
      </c>
      <c r="L67" s="35" t="str">
        <f>IFERROR(INDEX($AB$4:$AB$153,MATCH(ROWS($A$4:A67),$AF$4:$AF$153,0)),"")</f>
        <v/>
      </c>
      <c r="M67" s="35" t="str">
        <f>IFERROR(INDEX($AC$4:$AC$153,MATCH(ROWS($A$4:A67),$AF$4:$AF$153,0)),"")</f>
        <v/>
      </c>
      <c r="N67" s="35" t="str">
        <f>IFERROR(INDEX($AD$4:$AD$153,MATCH(ROWS($A$4:A67),$AF$4:$AF$153,0)),"")</f>
        <v/>
      </c>
      <c r="Q67" t="str">
        <f>T(JAN!B69)</f>
        <v>TAYLER TEMPORARIO</v>
      </c>
      <c r="R67" t="str">
        <f t="array" ref="R67">IF($Q67="","",_xlfn.TEXTJOIN(", ",TRUE,IF(JAN!$G69:$AK69="HE",JAN!$G$4:$AK$4,"")))</f>
        <v/>
      </c>
      <c r="S67" t="str">
        <f t="array" ref="S67">IF($Q67="","",_xlfn.TEXTJOIN(", ",TRUE,IF(FEV!$G69:$AK69="HE",FEV!$G$4:$AK$4,"")))</f>
        <v/>
      </c>
      <c r="T67" t="str">
        <f t="array" ref="T67">IF($Q67="","",_xlfn.TEXTJOIN(", ",TRUE,IF(MAR!$G69:$AK69="HE",MAR!$G$4:$AK$4,"")))</f>
        <v/>
      </c>
      <c r="U67" t="str">
        <f t="array" ref="U67">IF($Q67="","",_xlfn.TEXTJOIN(", ",TRUE,IF(ABR!$G69:$AK69="HE",ABR!$G$4:$AK$4,"")))</f>
        <v/>
      </c>
      <c r="V67" t="str">
        <f t="array" ref="V67">IF($Q67="","",_xlfn.TEXTJOIN(", ",TRUE,IF(MAI!$G69:$AK69="HE",MAI!$G$4:$AK$4,"")))</f>
        <v/>
      </c>
      <c r="W67" t="str">
        <f t="array" ref="W67">IF($Q67="","",_xlfn.TEXTJOIN(", ",TRUE,IF(JUN!$G69:$AK69="HE",JUN!$G$4:$AK$4,"")))</f>
        <v/>
      </c>
      <c r="X67" t="str">
        <f t="array" ref="X67">IF($Q67="","",_xlfn.TEXTJOIN(", ",TRUE,IF(JUL!$G69:$AK69="HE",JUL!$G$4:$AK$4,"")))</f>
        <v/>
      </c>
      <c r="Y67" t="str">
        <f t="array" ref="Y67">IF($Q67="","",_xlfn.TEXTJOIN(", ",TRUE,IF(AGO!$G69:$AK69="HE",AGO!$G$4:$AK$4,"")))</f>
        <v/>
      </c>
      <c r="Z67" t="str">
        <f t="array" ref="Z67">IF($Q67="","",_xlfn.TEXTJOIN(", ",TRUE,IF(SET!$G69:$AK69="HE",SET!$G$4:$AK$4,"")))</f>
        <v/>
      </c>
      <c r="AA67" t="str">
        <f t="array" ref="AA67">IF($Q67="","",_xlfn.TEXTJOIN(", ",TRUE,IF(OUT!$G69:$AK69="HE",OUT!$G$4:$AK$4,"")))</f>
        <v/>
      </c>
      <c r="AB67" t="str">
        <f t="array" ref="AB67">IF($Q67="","",_xlfn.TEXTJOIN(", ",TRUE,IF(NOV!$G69:$AK69="HE",NOV!$G$4:$AK$4,"")))</f>
        <v/>
      </c>
      <c r="AC67" t="str">
        <f t="array" ref="AC67">IF($Q67="","",_xlfn.TEXTJOIN(", ",TRUE,IF(DEZ!$G69:$AK69="HE",DEZ!$G$4:$AK$4,"")))</f>
        <v/>
      </c>
      <c r="AD67">
        <f>IF($Q67="","",SUM(JAN:DEZ!C69))</f>
        <v>0</v>
      </c>
      <c r="AF67" t="str">
        <f>IF(AND($Q67&lt;&gt;"",N($AD67)&gt;0),COUNT($AF$3:AF66)+1,"")</f>
        <v/>
      </c>
    </row>
    <row r="68" spans="1:32" x14ac:dyDescent="0.25">
      <c r="A68" s="36" t="str">
        <f>IFERROR(INDEX($Q$4:$Q$153,MATCH(ROWS($A$4:A68),$AF$4:$AF$153,0)),"")</f>
        <v/>
      </c>
      <c r="B68" s="35" t="str">
        <f>IFERROR(INDEX($R$4:$R$153,MATCH(ROWS($A$4:A68),$AF$4:$AF$153,0)),"")</f>
        <v/>
      </c>
      <c r="C68" s="35" t="str">
        <f>IFERROR(INDEX($S$4:$S$153,MATCH(ROWS($A$4:A68),$AF$4:$AF$153,0)),"")</f>
        <v/>
      </c>
      <c r="D68" s="35" t="str">
        <f>IFERROR(INDEX($T$4:$T$153,MATCH(ROWS($A$4:A68),$AF$4:$AF$153,0)),"")</f>
        <v/>
      </c>
      <c r="E68" s="35" t="str">
        <f>IFERROR(INDEX($U$4:$U$153,MATCH(ROWS($A$4:A68),$AF$4:$AF$153,0)),"")</f>
        <v/>
      </c>
      <c r="F68" s="35" t="str">
        <f>IFERROR(INDEX($V$4:$V$153,MATCH(ROWS($A$4:A68),$AF$4:$AF$153,0)),"")</f>
        <v/>
      </c>
      <c r="G68" s="35" t="str">
        <f>IFERROR(INDEX($W$4:$W$153,MATCH(ROWS($A$4:A68),$AF$4:$AF$153,0)),"")</f>
        <v/>
      </c>
      <c r="H68" s="35" t="str">
        <f>IFERROR(INDEX($X$4:$X$153,MATCH(ROWS($A$4:A68),$AF$4:$AF$153,0)),"")</f>
        <v/>
      </c>
      <c r="I68" s="35" t="str">
        <f>IFERROR(INDEX($Y$4:$Y$153,MATCH(ROWS($A$4:A68),$AF$4:$AF$153,0)),"")</f>
        <v/>
      </c>
      <c r="J68" s="35" t="str">
        <f>IFERROR(INDEX($Z$4:$Z$153,MATCH(ROWS($A$4:A68),$AF$4:$AF$153,0)),"")</f>
        <v/>
      </c>
      <c r="K68" s="35" t="str">
        <f>IFERROR(INDEX($AA$4:$AA$153,MATCH(ROWS($A$4:A68),$AF$4:$AF$153,0)),"")</f>
        <v/>
      </c>
      <c r="L68" s="35" t="str">
        <f>IFERROR(INDEX($AB$4:$AB$153,MATCH(ROWS($A$4:A68),$AF$4:$AF$153,0)),"")</f>
        <v/>
      </c>
      <c r="M68" s="35" t="str">
        <f>IFERROR(INDEX($AC$4:$AC$153,MATCH(ROWS($A$4:A68),$AF$4:$AF$153,0)),"")</f>
        <v/>
      </c>
      <c r="N68" s="35" t="str">
        <f>IFERROR(INDEX($AD$4:$AD$153,MATCH(ROWS($A$4:A68),$AF$4:$AF$153,0)),"")</f>
        <v/>
      </c>
      <c r="Q68" t="str">
        <f>T(JAN!B70)</f>
        <v>MARCOS VINICIUS TEMPORARIO</v>
      </c>
      <c r="R68" t="str">
        <f t="array" ref="R68">IF($Q68="","",_xlfn.TEXTJOIN(", ",TRUE,IF(JAN!$G70:$AK70="HE",JAN!$G$4:$AK$4,"")))</f>
        <v/>
      </c>
      <c r="S68" t="str">
        <f t="array" ref="S68">IF($Q68="","",_xlfn.TEXTJOIN(", ",TRUE,IF(FEV!$G70:$AK70="HE",FEV!$G$4:$AK$4,"")))</f>
        <v/>
      </c>
      <c r="T68" t="str">
        <f t="array" ref="T68">IF($Q68="","",_xlfn.TEXTJOIN(", ",TRUE,IF(MAR!$G70:$AK70="HE",MAR!$G$4:$AK$4,"")))</f>
        <v/>
      </c>
      <c r="U68" t="str">
        <f t="array" ref="U68">IF($Q68="","",_xlfn.TEXTJOIN(", ",TRUE,IF(ABR!$G70:$AK70="HE",ABR!$G$4:$AK$4,"")))</f>
        <v/>
      </c>
      <c r="V68" t="str">
        <f t="array" ref="V68">IF($Q68="","",_xlfn.TEXTJOIN(", ",TRUE,IF(MAI!$G70:$AK70="HE",MAI!$G$4:$AK$4,"")))</f>
        <v/>
      </c>
      <c r="W68" t="str">
        <f t="array" ref="W68">IF($Q68="","",_xlfn.TEXTJOIN(", ",TRUE,IF(JUN!$G70:$AK70="HE",JUN!$G$4:$AK$4,"")))</f>
        <v/>
      </c>
      <c r="X68" t="str">
        <f t="array" ref="X68">IF($Q68="","",_xlfn.TEXTJOIN(", ",TRUE,IF(JUL!$G70:$AK70="HE",JUL!$G$4:$AK$4,"")))</f>
        <v/>
      </c>
      <c r="Y68" t="str">
        <f t="array" ref="Y68">IF($Q68="","",_xlfn.TEXTJOIN(", ",TRUE,IF(AGO!$G70:$AK70="HE",AGO!$G$4:$AK$4,"")))</f>
        <v/>
      </c>
      <c r="Z68" t="str">
        <f t="array" ref="Z68">IF($Q68="","",_xlfn.TEXTJOIN(", ",TRUE,IF(SET!$G70:$AK70="HE",SET!$G$4:$AK$4,"")))</f>
        <v/>
      </c>
      <c r="AA68" t="str">
        <f t="array" ref="AA68">IF($Q68="","",_xlfn.TEXTJOIN(", ",TRUE,IF(OUT!$G70:$AK70="HE",OUT!$G$4:$AK$4,"")))</f>
        <v/>
      </c>
      <c r="AB68" t="str">
        <f t="array" ref="AB68">IF($Q68="","",_xlfn.TEXTJOIN(", ",TRUE,IF(NOV!$G70:$AK70="HE",NOV!$G$4:$AK$4,"")))</f>
        <v/>
      </c>
      <c r="AC68" t="str">
        <f t="array" ref="AC68">IF($Q68="","",_xlfn.TEXTJOIN(", ",TRUE,IF(DEZ!$G70:$AK70="HE",DEZ!$G$4:$AK$4,"")))</f>
        <v/>
      </c>
      <c r="AD68">
        <f>IF($Q68="","",SUM(JAN:DEZ!C70))</f>
        <v>0</v>
      </c>
      <c r="AF68" t="str">
        <f>IF(AND($Q68&lt;&gt;"",N($AD68)&gt;0),COUNT($AF$3:AF67)+1,"")</f>
        <v/>
      </c>
    </row>
    <row r="69" spans="1:32" x14ac:dyDescent="0.25">
      <c r="A69" s="36" t="str">
        <f>IFERROR(INDEX($Q$4:$Q$153,MATCH(ROWS($A$4:A69),$AF$4:$AF$153,0)),"")</f>
        <v/>
      </c>
      <c r="B69" s="35" t="str">
        <f>IFERROR(INDEX($R$4:$R$153,MATCH(ROWS($A$4:A69),$AF$4:$AF$153,0)),"")</f>
        <v/>
      </c>
      <c r="C69" s="35" t="str">
        <f>IFERROR(INDEX($S$4:$S$153,MATCH(ROWS($A$4:A69),$AF$4:$AF$153,0)),"")</f>
        <v/>
      </c>
      <c r="D69" s="35" t="str">
        <f>IFERROR(INDEX($T$4:$T$153,MATCH(ROWS($A$4:A69),$AF$4:$AF$153,0)),"")</f>
        <v/>
      </c>
      <c r="E69" s="35" t="str">
        <f>IFERROR(INDEX($U$4:$U$153,MATCH(ROWS($A$4:A69),$AF$4:$AF$153,0)),"")</f>
        <v/>
      </c>
      <c r="F69" s="35" t="str">
        <f>IFERROR(INDEX($V$4:$V$153,MATCH(ROWS($A$4:A69),$AF$4:$AF$153,0)),"")</f>
        <v/>
      </c>
      <c r="G69" s="35" t="str">
        <f>IFERROR(INDEX($W$4:$W$153,MATCH(ROWS($A$4:A69),$AF$4:$AF$153,0)),"")</f>
        <v/>
      </c>
      <c r="H69" s="35" t="str">
        <f>IFERROR(INDEX($X$4:$X$153,MATCH(ROWS($A$4:A69),$AF$4:$AF$153,0)),"")</f>
        <v/>
      </c>
      <c r="I69" s="35" t="str">
        <f>IFERROR(INDEX($Y$4:$Y$153,MATCH(ROWS($A$4:A69),$AF$4:$AF$153,0)),"")</f>
        <v/>
      </c>
      <c r="J69" s="35" t="str">
        <f>IFERROR(INDEX($Z$4:$Z$153,MATCH(ROWS($A$4:A69),$AF$4:$AF$153,0)),"")</f>
        <v/>
      </c>
      <c r="K69" s="35" t="str">
        <f>IFERROR(INDEX($AA$4:$AA$153,MATCH(ROWS($A$4:A69),$AF$4:$AF$153,0)),"")</f>
        <v/>
      </c>
      <c r="L69" s="35" t="str">
        <f>IFERROR(INDEX($AB$4:$AB$153,MATCH(ROWS($A$4:A69),$AF$4:$AF$153,0)),"")</f>
        <v/>
      </c>
      <c r="M69" s="35" t="str">
        <f>IFERROR(INDEX($AC$4:$AC$153,MATCH(ROWS($A$4:A69),$AF$4:$AF$153,0)),"")</f>
        <v/>
      </c>
      <c r="N69" s="35" t="str">
        <f>IFERROR(INDEX($AD$4:$AD$153,MATCH(ROWS($A$4:A69),$AF$4:$AF$153,0)),"")</f>
        <v/>
      </c>
      <c r="Q69" t="str">
        <f>T(JAN!B71)</f>
        <v>MARCOS TEMPORARIO</v>
      </c>
      <c r="R69" t="str">
        <f t="array" ref="R69">IF($Q69="","",_xlfn.TEXTJOIN(", ",TRUE,IF(JAN!$G71:$AK71="HE",JAN!$G$4:$AK$4,"")))</f>
        <v/>
      </c>
      <c r="S69" t="str">
        <f t="array" ref="S69">IF($Q69="","",_xlfn.TEXTJOIN(", ",TRUE,IF(FEV!$G71:$AK71="HE",FEV!$G$4:$AK$4,"")))</f>
        <v/>
      </c>
      <c r="T69" t="str">
        <f t="array" ref="T69">IF($Q69="","",_xlfn.TEXTJOIN(", ",TRUE,IF(MAR!$G71:$AK71="HE",MAR!$G$4:$AK$4,"")))</f>
        <v/>
      </c>
      <c r="U69" t="str">
        <f t="array" ref="U69">IF($Q69="","",_xlfn.TEXTJOIN(", ",TRUE,IF(ABR!$G71:$AK71="HE",ABR!$G$4:$AK$4,"")))</f>
        <v/>
      </c>
      <c r="V69" t="str">
        <f t="array" ref="V69">IF($Q69="","",_xlfn.TEXTJOIN(", ",TRUE,IF(MAI!$G71:$AK71="HE",MAI!$G$4:$AK$4,"")))</f>
        <v/>
      </c>
      <c r="W69" t="str">
        <f t="array" ref="W69">IF($Q69="","",_xlfn.TEXTJOIN(", ",TRUE,IF(JUN!$G71:$AK71="HE",JUN!$G$4:$AK$4,"")))</f>
        <v/>
      </c>
      <c r="X69" t="str">
        <f t="array" ref="X69">IF($Q69="","",_xlfn.TEXTJOIN(", ",TRUE,IF(JUL!$G71:$AK71="HE",JUL!$G$4:$AK$4,"")))</f>
        <v/>
      </c>
      <c r="Y69" t="str">
        <f t="array" ref="Y69">IF($Q69="","",_xlfn.TEXTJOIN(", ",TRUE,IF(AGO!$G71:$AK71="HE",AGO!$G$4:$AK$4,"")))</f>
        <v/>
      </c>
      <c r="Z69" t="str">
        <f t="array" ref="Z69">IF($Q69="","",_xlfn.TEXTJOIN(", ",TRUE,IF(SET!$G71:$AK71="HE",SET!$G$4:$AK$4,"")))</f>
        <v/>
      </c>
      <c r="AA69" t="str">
        <f t="array" ref="AA69">IF($Q69="","",_xlfn.TEXTJOIN(", ",TRUE,IF(OUT!$G71:$AK71="HE",OUT!$G$4:$AK$4,"")))</f>
        <v>18</v>
      </c>
      <c r="AB69" t="str">
        <f t="array" ref="AB69">IF($Q69="","",_xlfn.TEXTJOIN(", ",TRUE,IF(NOV!$G71:$AK71="HE",NOV!$G$4:$AK$4,"")))</f>
        <v/>
      </c>
      <c r="AC69" t="str">
        <f t="array" ref="AC69">IF($Q69="","",_xlfn.TEXTJOIN(", ",TRUE,IF(DEZ!$G71:$AK71="HE",DEZ!$G$4:$AK$4,"")))</f>
        <v/>
      </c>
      <c r="AD69">
        <f>IF($Q69="","",SUM(JAN:DEZ!C71))</f>
        <v>1</v>
      </c>
      <c r="AF69">
        <f>IF(AND($Q69&lt;&gt;"",N($AD69)&gt;0),COUNT($AF$3:AF68)+1,"")</f>
        <v>37</v>
      </c>
    </row>
    <row r="70" spans="1:32" x14ac:dyDescent="0.25">
      <c r="A70" s="36" t="str">
        <f>IFERROR(INDEX($Q$4:$Q$153,MATCH(ROWS($A$4:A70),$AF$4:$AF$153,0)),"")</f>
        <v/>
      </c>
      <c r="B70" s="35" t="str">
        <f>IFERROR(INDEX($R$4:$R$153,MATCH(ROWS($A$4:A70),$AF$4:$AF$153,0)),"")</f>
        <v/>
      </c>
      <c r="C70" s="35" t="str">
        <f>IFERROR(INDEX($S$4:$S$153,MATCH(ROWS($A$4:A70),$AF$4:$AF$153,0)),"")</f>
        <v/>
      </c>
      <c r="D70" s="35" t="str">
        <f>IFERROR(INDEX($T$4:$T$153,MATCH(ROWS($A$4:A70),$AF$4:$AF$153,0)),"")</f>
        <v/>
      </c>
      <c r="E70" s="35" t="str">
        <f>IFERROR(INDEX($U$4:$U$153,MATCH(ROWS($A$4:A70),$AF$4:$AF$153,0)),"")</f>
        <v/>
      </c>
      <c r="F70" s="35" t="str">
        <f>IFERROR(INDEX($V$4:$V$153,MATCH(ROWS($A$4:A70),$AF$4:$AF$153,0)),"")</f>
        <v/>
      </c>
      <c r="G70" s="35" t="str">
        <f>IFERROR(INDEX($W$4:$W$153,MATCH(ROWS($A$4:A70),$AF$4:$AF$153,0)),"")</f>
        <v/>
      </c>
      <c r="H70" s="35" t="str">
        <f>IFERROR(INDEX($X$4:$X$153,MATCH(ROWS($A$4:A70),$AF$4:$AF$153,0)),"")</f>
        <v/>
      </c>
      <c r="I70" s="35" t="str">
        <f>IFERROR(INDEX($Y$4:$Y$153,MATCH(ROWS($A$4:A70),$AF$4:$AF$153,0)),"")</f>
        <v/>
      </c>
      <c r="J70" s="35" t="str">
        <f>IFERROR(INDEX($Z$4:$Z$153,MATCH(ROWS($A$4:A70),$AF$4:$AF$153,0)),"")</f>
        <v/>
      </c>
      <c r="K70" s="35" t="str">
        <f>IFERROR(INDEX($AA$4:$AA$153,MATCH(ROWS($A$4:A70),$AF$4:$AF$153,0)),"")</f>
        <v/>
      </c>
      <c r="L70" s="35" t="str">
        <f>IFERROR(INDEX($AB$4:$AB$153,MATCH(ROWS($A$4:A70),$AF$4:$AF$153,0)),"")</f>
        <v/>
      </c>
      <c r="M70" s="35" t="str">
        <f>IFERROR(INDEX($AC$4:$AC$153,MATCH(ROWS($A$4:A70),$AF$4:$AF$153,0)),"")</f>
        <v/>
      </c>
      <c r="N70" s="35" t="str">
        <f>IFERROR(INDEX($AD$4:$AD$153,MATCH(ROWS($A$4:A70),$AF$4:$AF$153,0)),"")</f>
        <v/>
      </c>
      <c r="Q70" t="str">
        <f>T(JAN!B72)</f>
        <v>FLAVIO TEMPORARIO</v>
      </c>
      <c r="R70" t="str">
        <f t="array" ref="R70">IF($Q70="","",_xlfn.TEXTJOIN(", ",TRUE,IF(JAN!$G72:$AK72="HE",JAN!$G$4:$AK$4,"")))</f>
        <v/>
      </c>
      <c r="S70" t="str">
        <f t="array" ref="S70">IF($Q70="","",_xlfn.TEXTJOIN(", ",TRUE,IF(FEV!$G72:$AK72="HE",FEV!$G$4:$AK$4,"")))</f>
        <v/>
      </c>
      <c r="T70" t="str">
        <f t="array" ref="T70">IF($Q70="","",_xlfn.TEXTJOIN(", ",TRUE,IF(MAR!$G72:$AK72="HE",MAR!$G$4:$AK$4,"")))</f>
        <v/>
      </c>
      <c r="U70" t="str">
        <f t="array" ref="U70">IF($Q70="","",_xlfn.TEXTJOIN(", ",TRUE,IF(ABR!$G72:$AK72="HE",ABR!$G$4:$AK$4,"")))</f>
        <v/>
      </c>
      <c r="V70" t="str">
        <f t="array" ref="V70">IF($Q70="","",_xlfn.TEXTJOIN(", ",TRUE,IF(MAI!$G72:$AK72="HE",MAI!$G$4:$AK$4,"")))</f>
        <v/>
      </c>
      <c r="W70" t="str">
        <f t="array" ref="W70">IF($Q70="","",_xlfn.TEXTJOIN(", ",TRUE,IF(JUN!$G72:$AK72="HE",JUN!$G$4:$AK$4,"")))</f>
        <v/>
      </c>
      <c r="X70" t="str">
        <f t="array" ref="X70">IF($Q70="","",_xlfn.TEXTJOIN(", ",TRUE,IF(JUL!$G72:$AK72="HE",JUL!$G$4:$AK$4,"")))</f>
        <v/>
      </c>
      <c r="Y70" t="str">
        <f t="array" ref="Y70">IF($Q70="","",_xlfn.TEXTJOIN(", ",TRUE,IF(AGO!$G72:$AK72="HE",AGO!$G$4:$AK$4,"")))</f>
        <v/>
      </c>
      <c r="Z70" t="str">
        <f t="array" ref="Z70">IF($Q70="","",_xlfn.TEXTJOIN(", ",TRUE,IF(SET!$G72:$AK72="HE",SET!$G$4:$AK$4,"")))</f>
        <v/>
      </c>
      <c r="AA70" t="str">
        <f t="array" ref="AA70">IF($Q70="","",_xlfn.TEXTJOIN(", ",TRUE,IF(OUT!$G72:$AK72="HE",OUT!$G$4:$AK$4,"")))</f>
        <v>18</v>
      </c>
      <c r="AB70" t="str">
        <f t="array" ref="AB70">IF($Q70="","",_xlfn.TEXTJOIN(", ",TRUE,IF(NOV!$G72:$AK72="HE",NOV!$G$4:$AK$4,"")))</f>
        <v/>
      </c>
      <c r="AC70" t="str">
        <f t="array" ref="AC70">IF($Q70="","",_xlfn.TEXTJOIN(", ",TRUE,IF(DEZ!$G72:$AK72="HE",DEZ!$G$4:$AK$4,"")))</f>
        <v/>
      </c>
      <c r="AD70">
        <f>IF($Q70="","",SUM(JAN:DEZ!C72))</f>
        <v>1</v>
      </c>
      <c r="AF70">
        <f>IF(AND($Q70&lt;&gt;"",N($AD70)&gt;0),COUNT($AF$3:AF69)+1,"")</f>
        <v>38</v>
      </c>
    </row>
    <row r="71" spans="1:32" x14ac:dyDescent="0.25">
      <c r="A71" s="36" t="str">
        <f>IFERROR(INDEX($Q$4:$Q$153,MATCH(ROWS($A$4:A71),$AF$4:$AF$153,0)),"")</f>
        <v/>
      </c>
      <c r="B71" s="35" t="str">
        <f>IFERROR(INDEX($R$4:$R$153,MATCH(ROWS($A$4:A71),$AF$4:$AF$153,0)),"")</f>
        <v/>
      </c>
      <c r="C71" s="35" t="str">
        <f>IFERROR(INDEX($S$4:$S$153,MATCH(ROWS($A$4:A71),$AF$4:$AF$153,0)),"")</f>
        <v/>
      </c>
      <c r="D71" s="35" t="str">
        <f>IFERROR(INDEX($T$4:$T$153,MATCH(ROWS($A$4:A71),$AF$4:$AF$153,0)),"")</f>
        <v/>
      </c>
      <c r="E71" s="35" t="str">
        <f>IFERROR(INDEX($U$4:$U$153,MATCH(ROWS($A$4:A71),$AF$4:$AF$153,0)),"")</f>
        <v/>
      </c>
      <c r="F71" s="35" t="str">
        <f>IFERROR(INDEX($V$4:$V$153,MATCH(ROWS($A$4:A71),$AF$4:$AF$153,0)),"")</f>
        <v/>
      </c>
      <c r="G71" s="35" t="str">
        <f>IFERROR(INDEX($W$4:$W$153,MATCH(ROWS($A$4:A71),$AF$4:$AF$153,0)),"")</f>
        <v/>
      </c>
      <c r="H71" s="35" t="str">
        <f>IFERROR(INDEX($X$4:$X$153,MATCH(ROWS($A$4:A71),$AF$4:$AF$153,0)),"")</f>
        <v/>
      </c>
      <c r="I71" s="35" t="str">
        <f>IFERROR(INDEX($Y$4:$Y$153,MATCH(ROWS($A$4:A71),$AF$4:$AF$153,0)),"")</f>
        <v/>
      </c>
      <c r="J71" s="35" t="str">
        <f>IFERROR(INDEX($Z$4:$Z$153,MATCH(ROWS($A$4:A71),$AF$4:$AF$153,0)),"")</f>
        <v/>
      </c>
      <c r="K71" s="35" t="str">
        <f>IFERROR(INDEX($AA$4:$AA$153,MATCH(ROWS($A$4:A71),$AF$4:$AF$153,0)),"")</f>
        <v/>
      </c>
      <c r="L71" s="35" t="str">
        <f>IFERROR(INDEX($AB$4:$AB$153,MATCH(ROWS($A$4:A71),$AF$4:$AF$153,0)),"")</f>
        <v/>
      </c>
      <c r="M71" s="35" t="str">
        <f>IFERROR(INDEX($AC$4:$AC$153,MATCH(ROWS($A$4:A71),$AF$4:$AF$153,0)),"")</f>
        <v/>
      </c>
      <c r="N71" s="35" t="str">
        <f>IFERROR(INDEX($AD$4:$AD$153,MATCH(ROWS($A$4:A71),$AF$4:$AF$153,0)),"")</f>
        <v/>
      </c>
      <c r="Q71" t="str">
        <f>T(JAN!B73)</f>
        <v>MARCIO DUARTE 434601</v>
      </c>
      <c r="R71" t="str">
        <f t="array" ref="R71">IF($Q71="","",_xlfn.TEXTJOIN(", ",TRUE,IF(JAN!$G73:$AK73="HE",JAN!$G$4:$AK$4,"")))</f>
        <v/>
      </c>
      <c r="S71" t="str">
        <f t="array" ref="S71">IF($Q71="","",_xlfn.TEXTJOIN(", ",TRUE,IF(FEV!$G73:$AK73="HE",FEV!$G$4:$AK$4,"")))</f>
        <v/>
      </c>
      <c r="T71" t="str">
        <f t="array" ref="T71">IF($Q71="","",_xlfn.TEXTJOIN(", ",TRUE,IF(MAR!$G73:$AK73="HE",MAR!$G$4:$AK$4,"")))</f>
        <v/>
      </c>
      <c r="U71" t="str">
        <f t="array" ref="U71">IF($Q71="","",_xlfn.TEXTJOIN(", ",TRUE,IF(ABR!$G73:$AK73="HE",ABR!$G$4:$AK$4,"")))</f>
        <v/>
      </c>
      <c r="V71" t="str">
        <f t="array" ref="V71">IF($Q71="","",_xlfn.TEXTJOIN(", ",TRUE,IF(MAI!$G73:$AK73="HE",MAI!$G$4:$AK$4,"")))</f>
        <v/>
      </c>
      <c r="W71" t="str">
        <f t="array" ref="W71">IF($Q71="","",_xlfn.TEXTJOIN(", ",TRUE,IF(JUN!$G73:$AK73="HE",JUN!$G$4:$AK$4,"")))</f>
        <v/>
      </c>
      <c r="X71" t="str">
        <f t="array" ref="X71">IF($Q71="","",_xlfn.TEXTJOIN(", ",TRUE,IF(JUL!$G73:$AK73="HE",JUL!$G$4:$AK$4,"")))</f>
        <v/>
      </c>
      <c r="Y71" t="str">
        <f t="array" ref="Y71">IF($Q71="","",_xlfn.TEXTJOIN(", ",TRUE,IF(AGO!$G73:$AK73="HE",AGO!$G$4:$AK$4,"")))</f>
        <v>16</v>
      </c>
      <c r="Z71" t="str">
        <f t="array" ref="Z71">IF($Q71="","",_xlfn.TEXTJOIN(", ",TRUE,IF(SET!$G73:$AK73="HE",SET!$G$4:$AK$4,"")))</f>
        <v/>
      </c>
      <c r="AA71" t="str">
        <f t="array" ref="AA71">IF($Q71="","",_xlfn.TEXTJOIN(", ",TRUE,IF(OUT!$G73:$AK73="HE",OUT!$G$4:$AK$4,"")))</f>
        <v/>
      </c>
      <c r="AB71" t="str">
        <f t="array" ref="AB71">IF($Q71="","",_xlfn.TEXTJOIN(", ",TRUE,IF(NOV!$G73:$AK73="HE",NOV!$G$4:$AK$4,"")))</f>
        <v/>
      </c>
      <c r="AC71" t="str">
        <f t="array" ref="AC71">IF($Q71="","",_xlfn.TEXTJOIN(", ",TRUE,IF(DEZ!$G73:$AK73="HE",DEZ!$G$4:$AK$4,"")))</f>
        <v/>
      </c>
      <c r="AD71">
        <f>IF($Q71="","",SUM(JAN:DEZ!C73))</f>
        <v>1</v>
      </c>
      <c r="AF71">
        <f>IF(AND($Q71&lt;&gt;"",N($AD71)&gt;0),COUNT($AF$3:AF70)+1,"")</f>
        <v>39</v>
      </c>
    </row>
    <row r="72" spans="1:32" x14ac:dyDescent="0.25">
      <c r="A72" s="36" t="str">
        <f>IFERROR(INDEX($Q$4:$Q$153,MATCH(ROWS($A$4:A72),$AF$4:$AF$153,0)),"")</f>
        <v/>
      </c>
      <c r="B72" s="35" t="str">
        <f>IFERROR(INDEX($R$4:$R$153,MATCH(ROWS($A$4:A72),$AF$4:$AF$153,0)),"")</f>
        <v/>
      </c>
      <c r="C72" s="35" t="str">
        <f>IFERROR(INDEX($S$4:$S$153,MATCH(ROWS($A$4:A72),$AF$4:$AF$153,0)),"")</f>
        <v/>
      </c>
      <c r="D72" s="35" t="str">
        <f>IFERROR(INDEX($T$4:$T$153,MATCH(ROWS($A$4:A72),$AF$4:$AF$153,0)),"")</f>
        <v/>
      </c>
      <c r="E72" s="35" t="str">
        <f>IFERROR(INDEX($U$4:$U$153,MATCH(ROWS($A$4:A72),$AF$4:$AF$153,0)),"")</f>
        <v/>
      </c>
      <c r="F72" s="35" t="str">
        <f>IFERROR(INDEX($V$4:$V$153,MATCH(ROWS($A$4:A72),$AF$4:$AF$153,0)),"")</f>
        <v/>
      </c>
      <c r="G72" s="35" t="str">
        <f>IFERROR(INDEX($W$4:$W$153,MATCH(ROWS($A$4:A72),$AF$4:$AF$153,0)),"")</f>
        <v/>
      </c>
      <c r="H72" s="35" t="str">
        <f>IFERROR(INDEX($X$4:$X$153,MATCH(ROWS($A$4:A72),$AF$4:$AF$153,0)),"")</f>
        <v/>
      </c>
      <c r="I72" s="35" t="str">
        <f>IFERROR(INDEX($Y$4:$Y$153,MATCH(ROWS($A$4:A72),$AF$4:$AF$153,0)),"")</f>
        <v/>
      </c>
      <c r="J72" s="35" t="str">
        <f>IFERROR(INDEX($Z$4:$Z$153,MATCH(ROWS($A$4:A72),$AF$4:$AF$153,0)),"")</f>
        <v/>
      </c>
      <c r="K72" s="35" t="str">
        <f>IFERROR(INDEX($AA$4:$AA$153,MATCH(ROWS($A$4:A72),$AF$4:$AF$153,0)),"")</f>
        <v/>
      </c>
      <c r="L72" s="35" t="str">
        <f>IFERROR(INDEX($AB$4:$AB$153,MATCH(ROWS($A$4:A72),$AF$4:$AF$153,0)),"")</f>
        <v/>
      </c>
      <c r="M72" s="35" t="str">
        <f>IFERROR(INDEX($AC$4:$AC$153,MATCH(ROWS($A$4:A72),$AF$4:$AF$153,0)),"")</f>
        <v/>
      </c>
      <c r="N72" s="35" t="str">
        <f>IFERROR(INDEX($AD$4:$AD$153,MATCH(ROWS($A$4:A72),$AF$4:$AF$153,0)),"")</f>
        <v/>
      </c>
      <c r="Q72" t="str">
        <f>T(JAN!B74)</f>
        <v>DEIVIDE TEMPORARIO</v>
      </c>
      <c r="R72" t="str">
        <f t="array" ref="R72">IF($Q72="","",_xlfn.TEXTJOIN(", ",TRUE,IF(JAN!$G74:$AK74="HE",JAN!$G$4:$AK$4,"")))</f>
        <v/>
      </c>
      <c r="S72" t="str">
        <f t="array" ref="S72">IF($Q72="","",_xlfn.TEXTJOIN(", ",TRUE,IF(FEV!$G74:$AK74="HE",FEV!$G$4:$AK$4,"")))</f>
        <v/>
      </c>
      <c r="T72" t="str">
        <f t="array" ref="T72">IF($Q72="","",_xlfn.TEXTJOIN(", ",TRUE,IF(MAR!$G74:$AK74="HE",MAR!$G$4:$AK$4,"")))</f>
        <v/>
      </c>
      <c r="U72" t="str">
        <f t="array" ref="U72">IF($Q72="","",_xlfn.TEXTJOIN(", ",TRUE,IF(ABR!$G74:$AK74="HE",ABR!$G$4:$AK$4,"")))</f>
        <v/>
      </c>
      <c r="V72" t="str">
        <f t="array" ref="V72">IF($Q72="","",_xlfn.TEXTJOIN(", ",TRUE,IF(MAI!$G74:$AK74="HE",MAI!$G$4:$AK$4,"")))</f>
        <v/>
      </c>
      <c r="W72" t="str">
        <f t="array" ref="W72">IF($Q72="","",_xlfn.TEXTJOIN(", ",TRUE,IF(JUN!$G74:$AK74="HE",JUN!$G$4:$AK$4,"")))</f>
        <v/>
      </c>
      <c r="X72" t="str">
        <f t="array" ref="X72">IF($Q72="","",_xlfn.TEXTJOIN(", ",TRUE,IF(JUL!$G74:$AK74="HE",JUL!$G$4:$AK$4,"")))</f>
        <v/>
      </c>
      <c r="Y72" t="str">
        <f t="array" ref="Y72">IF($Q72="","",_xlfn.TEXTJOIN(", ",TRUE,IF(AGO!$G74:$AK74="HE",AGO!$G$4:$AK$4,"")))</f>
        <v/>
      </c>
      <c r="Z72" t="str">
        <f t="array" ref="Z72">IF($Q72="","",_xlfn.TEXTJOIN(", ",TRUE,IF(SET!$G74:$AK74="HE",SET!$G$4:$AK$4,"")))</f>
        <v/>
      </c>
      <c r="AA72" t="str">
        <f t="array" ref="AA72">IF($Q72="","",_xlfn.TEXTJOIN(", ",TRUE,IF(OUT!$G74:$AK74="HE",OUT!$G$4:$AK$4,"")))</f>
        <v/>
      </c>
      <c r="AB72" t="str">
        <f t="array" ref="AB72">IF($Q72="","",_xlfn.TEXTJOIN(", ",TRUE,IF(NOV!$G74:$AK74="HE",NOV!$G$4:$AK$4,"")))</f>
        <v/>
      </c>
      <c r="AC72" t="str">
        <f t="array" ref="AC72">IF($Q72="","",_xlfn.TEXTJOIN(", ",TRUE,IF(DEZ!$G74:$AK74="HE",DEZ!$G$4:$AK$4,"")))</f>
        <v/>
      </c>
      <c r="AD72">
        <f>IF($Q72="","",SUM(JAN:DEZ!C74))</f>
        <v>0</v>
      </c>
      <c r="AF72" t="str">
        <f>IF(AND($Q72&lt;&gt;"",N($AD72)&gt;0),COUNT($AF$3:AF71)+1,"")</f>
        <v/>
      </c>
    </row>
    <row r="73" spans="1:32" x14ac:dyDescent="0.25">
      <c r="A73" s="36" t="str">
        <f>IFERROR(INDEX($Q$4:$Q$153,MATCH(ROWS($A$4:A73),$AF$4:$AF$153,0)),"")</f>
        <v/>
      </c>
      <c r="B73" s="35" t="str">
        <f>IFERROR(INDEX($R$4:$R$153,MATCH(ROWS($A$4:A73),$AF$4:$AF$153,0)),"")</f>
        <v/>
      </c>
      <c r="C73" s="35" t="str">
        <f>IFERROR(INDEX($S$4:$S$153,MATCH(ROWS($A$4:A73),$AF$4:$AF$153,0)),"")</f>
        <v/>
      </c>
      <c r="D73" s="35" t="str">
        <f>IFERROR(INDEX($T$4:$T$153,MATCH(ROWS($A$4:A73),$AF$4:$AF$153,0)),"")</f>
        <v/>
      </c>
      <c r="E73" s="35" t="str">
        <f>IFERROR(INDEX($U$4:$U$153,MATCH(ROWS($A$4:A73),$AF$4:$AF$153,0)),"")</f>
        <v/>
      </c>
      <c r="F73" s="35" t="str">
        <f>IFERROR(INDEX($V$4:$V$153,MATCH(ROWS($A$4:A73),$AF$4:$AF$153,0)),"")</f>
        <v/>
      </c>
      <c r="G73" s="35" t="str">
        <f>IFERROR(INDEX($W$4:$W$153,MATCH(ROWS($A$4:A73),$AF$4:$AF$153,0)),"")</f>
        <v/>
      </c>
      <c r="H73" s="35" t="str">
        <f>IFERROR(INDEX($X$4:$X$153,MATCH(ROWS($A$4:A73),$AF$4:$AF$153,0)),"")</f>
        <v/>
      </c>
      <c r="I73" s="35" t="str">
        <f>IFERROR(INDEX($Y$4:$Y$153,MATCH(ROWS($A$4:A73),$AF$4:$AF$153,0)),"")</f>
        <v/>
      </c>
      <c r="J73" s="35" t="str">
        <f>IFERROR(INDEX($Z$4:$Z$153,MATCH(ROWS($A$4:A73),$AF$4:$AF$153,0)),"")</f>
        <v/>
      </c>
      <c r="K73" s="35" t="str">
        <f>IFERROR(INDEX($AA$4:$AA$153,MATCH(ROWS($A$4:A73),$AF$4:$AF$153,0)),"")</f>
        <v/>
      </c>
      <c r="L73" s="35" t="str">
        <f>IFERROR(INDEX($AB$4:$AB$153,MATCH(ROWS($A$4:A73),$AF$4:$AF$153,0)),"")</f>
        <v/>
      </c>
      <c r="M73" s="35" t="str">
        <f>IFERROR(INDEX($AC$4:$AC$153,MATCH(ROWS($A$4:A73),$AF$4:$AF$153,0)),"")</f>
        <v/>
      </c>
      <c r="N73" s="35" t="str">
        <f>IFERROR(INDEX($AD$4:$AD$153,MATCH(ROWS($A$4:A73),$AF$4:$AF$153,0)),"")</f>
        <v/>
      </c>
      <c r="Q73" t="str">
        <f>T(JAN!B75)</f>
        <v>MARLON TEMPORÁRIO</v>
      </c>
      <c r="R73" t="str">
        <f t="array" ref="R73">IF($Q73="","",_xlfn.TEXTJOIN(", ",TRUE,IF(JAN!$G75:$AK75="HE",JAN!$G$4:$AK$4,"")))</f>
        <v/>
      </c>
      <c r="S73" t="str">
        <f t="array" ref="S73">IF($Q73="","",_xlfn.TEXTJOIN(", ",TRUE,IF(FEV!$G75:$AK75="HE",FEV!$G$4:$AK$4,"")))</f>
        <v/>
      </c>
      <c r="T73" t="str">
        <f t="array" ref="T73">IF($Q73="","",_xlfn.TEXTJOIN(", ",TRUE,IF(MAR!$G75:$AK75="HE",MAR!$G$4:$AK$4,"")))</f>
        <v/>
      </c>
      <c r="U73" t="str">
        <f t="array" ref="U73">IF($Q73="","",_xlfn.TEXTJOIN(", ",TRUE,IF(ABR!$G75:$AK75="HE",ABR!$G$4:$AK$4,"")))</f>
        <v/>
      </c>
      <c r="V73" t="str">
        <f t="array" ref="V73">IF($Q73="","",_xlfn.TEXTJOIN(", ",TRUE,IF(MAI!$G75:$AK75="HE",MAI!$G$4:$AK$4,"")))</f>
        <v/>
      </c>
      <c r="W73" t="str">
        <f t="array" ref="W73">IF($Q73="","",_xlfn.TEXTJOIN(", ",TRUE,IF(JUN!$G75:$AK75="HE",JUN!$G$4:$AK$4,"")))</f>
        <v/>
      </c>
      <c r="X73" t="str">
        <f t="array" ref="X73">IF($Q73="","",_xlfn.TEXTJOIN(", ",TRUE,IF(JUL!$G75:$AK75="HE",JUL!$G$4:$AK$4,"")))</f>
        <v/>
      </c>
      <c r="Y73" t="str">
        <f t="array" ref="Y73">IF($Q73="","",_xlfn.TEXTJOIN(", ",TRUE,IF(AGO!$G75:$AK75="HE",AGO!$G$4:$AK$4,"")))</f>
        <v/>
      </c>
      <c r="Z73" t="str">
        <f t="array" ref="Z73">IF($Q73="","",_xlfn.TEXTJOIN(", ",TRUE,IF(SET!$G75:$AK75="HE",SET!$G$4:$AK$4,"")))</f>
        <v/>
      </c>
      <c r="AA73" t="str">
        <f t="array" ref="AA73">IF($Q73="","",_xlfn.TEXTJOIN(", ",TRUE,IF(OUT!$G75:$AK75="HE",OUT!$G$4:$AK$4,"")))</f>
        <v>18</v>
      </c>
      <c r="AB73" t="str">
        <f t="array" ref="AB73">IF($Q73="","",_xlfn.TEXTJOIN(", ",TRUE,IF(NOV!$G75:$AK75="HE",NOV!$G$4:$AK$4,"")))</f>
        <v/>
      </c>
      <c r="AC73" t="str">
        <f t="array" ref="AC73">IF($Q73="","",_xlfn.TEXTJOIN(", ",TRUE,IF(DEZ!$G75:$AK75="HE",DEZ!$G$4:$AK$4,"")))</f>
        <v/>
      </c>
      <c r="AD73">
        <f>IF($Q73="","",SUM(JAN:DEZ!C75))</f>
        <v>1</v>
      </c>
      <c r="AF73">
        <f>IF(AND($Q73&lt;&gt;"",N($AD73)&gt;0),COUNT($AF$3:AF72)+1,"")</f>
        <v>40</v>
      </c>
    </row>
    <row r="74" spans="1:32" x14ac:dyDescent="0.25">
      <c r="A74" s="36" t="str">
        <f>IFERROR(INDEX($Q$4:$Q$153,MATCH(ROWS($A$4:A74),$AF$4:$AF$153,0)),"")</f>
        <v/>
      </c>
      <c r="B74" s="35" t="str">
        <f>IFERROR(INDEX($R$4:$R$153,MATCH(ROWS($A$4:A74),$AF$4:$AF$153,0)),"")</f>
        <v/>
      </c>
      <c r="C74" s="35" t="str">
        <f>IFERROR(INDEX($S$4:$S$153,MATCH(ROWS($A$4:A74),$AF$4:$AF$153,0)),"")</f>
        <v/>
      </c>
      <c r="D74" s="35" t="str">
        <f>IFERROR(INDEX($T$4:$T$153,MATCH(ROWS($A$4:A74),$AF$4:$AF$153,0)),"")</f>
        <v/>
      </c>
      <c r="E74" s="35" t="str">
        <f>IFERROR(INDEX($U$4:$U$153,MATCH(ROWS($A$4:A74),$AF$4:$AF$153,0)),"")</f>
        <v/>
      </c>
      <c r="F74" s="35" t="str">
        <f>IFERROR(INDEX($V$4:$V$153,MATCH(ROWS($A$4:A74),$AF$4:$AF$153,0)),"")</f>
        <v/>
      </c>
      <c r="G74" s="35" t="str">
        <f>IFERROR(INDEX($W$4:$W$153,MATCH(ROWS($A$4:A74),$AF$4:$AF$153,0)),"")</f>
        <v/>
      </c>
      <c r="H74" s="35" t="str">
        <f>IFERROR(INDEX($X$4:$X$153,MATCH(ROWS($A$4:A74),$AF$4:$AF$153,0)),"")</f>
        <v/>
      </c>
      <c r="I74" s="35" t="str">
        <f>IFERROR(INDEX($Y$4:$Y$153,MATCH(ROWS($A$4:A74),$AF$4:$AF$153,0)),"")</f>
        <v/>
      </c>
      <c r="J74" s="35" t="str">
        <f>IFERROR(INDEX($Z$4:$Z$153,MATCH(ROWS($A$4:A74),$AF$4:$AF$153,0)),"")</f>
        <v/>
      </c>
      <c r="K74" s="35" t="str">
        <f>IFERROR(INDEX($AA$4:$AA$153,MATCH(ROWS($A$4:A74),$AF$4:$AF$153,0)),"")</f>
        <v/>
      </c>
      <c r="L74" s="35" t="str">
        <f>IFERROR(INDEX($AB$4:$AB$153,MATCH(ROWS($A$4:A74),$AF$4:$AF$153,0)),"")</f>
        <v/>
      </c>
      <c r="M74" s="35" t="str">
        <f>IFERROR(INDEX($AC$4:$AC$153,MATCH(ROWS($A$4:A74),$AF$4:$AF$153,0)),"")</f>
        <v/>
      </c>
      <c r="N74" s="35" t="str">
        <f>IFERROR(INDEX($AD$4:$AD$153,MATCH(ROWS($A$4:A74),$AF$4:$AF$153,0)),"")</f>
        <v/>
      </c>
      <c r="Q74" t="str">
        <f>T(JAN!B76)</f>
        <v>GUILHERME CARMARGO TEMPORARIO</v>
      </c>
      <c r="R74" t="str">
        <f t="array" ref="R74">IF($Q74="","",_xlfn.TEXTJOIN(", ",TRUE,IF(JAN!$G76:$AK76="HE",JAN!$G$4:$AK$4,"")))</f>
        <v/>
      </c>
      <c r="S74" t="str">
        <f t="array" ref="S74">IF($Q74="","",_xlfn.TEXTJOIN(", ",TRUE,IF(FEV!$G76:$AK76="HE",FEV!$G$4:$AK$4,"")))</f>
        <v/>
      </c>
      <c r="T74" t="str">
        <f t="array" ref="T74">IF($Q74="","",_xlfn.TEXTJOIN(", ",TRUE,IF(MAR!$G76:$AK76="HE",MAR!$G$4:$AK$4,"")))</f>
        <v/>
      </c>
      <c r="U74" t="str">
        <f t="array" ref="U74">IF($Q74="","",_xlfn.TEXTJOIN(", ",TRUE,IF(ABR!$G76:$AK76="HE",ABR!$G$4:$AK$4,"")))</f>
        <v/>
      </c>
      <c r="V74" t="str">
        <f t="array" ref="V74">IF($Q74="","",_xlfn.TEXTJOIN(", ",TRUE,IF(MAI!$G76:$AK76="HE",MAI!$G$4:$AK$4,"")))</f>
        <v/>
      </c>
      <c r="W74" t="str">
        <f t="array" ref="W74">IF($Q74="","",_xlfn.TEXTJOIN(", ",TRUE,IF(JUN!$G76:$AK76="HE",JUN!$G$4:$AK$4,"")))</f>
        <v/>
      </c>
      <c r="X74" t="str">
        <f t="array" ref="X74">IF($Q74="","",_xlfn.TEXTJOIN(", ",TRUE,IF(JUL!$G76:$AK76="HE",JUL!$G$4:$AK$4,"")))</f>
        <v/>
      </c>
      <c r="Y74" t="str">
        <f t="array" ref="Y74">IF($Q74="","",_xlfn.TEXTJOIN(", ",TRUE,IF(AGO!$G76:$AK76="HE",AGO!$G$4:$AK$4,"")))</f>
        <v/>
      </c>
      <c r="Z74" t="str">
        <f t="array" ref="Z74">IF($Q74="","",_xlfn.TEXTJOIN(", ",TRUE,IF(SET!$G76:$AK76="HE",SET!$G$4:$AK$4,"")))</f>
        <v/>
      </c>
      <c r="AA74" t="str">
        <f t="array" ref="AA74">IF($Q74="","",_xlfn.TEXTJOIN(", ",TRUE,IF(OUT!$G76:$AK76="HE",OUT!$G$4:$AK$4,"")))</f>
        <v>18</v>
      </c>
      <c r="AB74" t="str">
        <f t="array" ref="AB74">IF($Q74="","",_xlfn.TEXTJOIN(", ",TRUE,IF(NOV!$G76:$AK76="HE",NOV!$G$4:$AK$4,"")))</f>
        <v/>
      </c>
      <c r="AC74" t="str">
        <f t="array" ref="AC74">IF($Q74="","",_xlfn.TEXTJOIN(", ",TRUE,IF(DEZ!$G76:$AK76="HE",DEZ!$G$4:$AK$4,"")))</f>
        <v/>
      </c>
      <c r="AD74">
        <f>IF($Q74="","",SUM(JAN:DEZ!C76))</f>
        <v>1</v>
      </c>
      <c r="AF74">
        <f>IF(AND($Q74&lt;&gt;"",N($AD74)&gt;0),COUNT($AF$3:AF73)+1,"")</f>
        <v>41</v>
      </c>
    </row>
    <row r="75" spans="1:32" x14ac:dyDescent="0.25">
      <c r="A75" s="36" t="str">
        <f>IFERROR(INDEX($Q$4:$Q$153,MATCH(ROWS($A$4:A75),$AF$4:$AF$153,0)),"")</f>
        <v/>
      </c>
      <c r="B75" s="35" t="str">
        <f>IFERROR(INDEX($R$4:$R$153,MATCH(ROWS($A$4:A75),$AF$4:$AF$153,0)),"")</f>
        <v/>
      </c>
      <c r="C75" s="35" t="str">
        <f>IFERROR(INDEX($S$4:$S$153,MATCH(ROWS($A$4:A75),$AF$4:$AF$153,0)),"")</f>
        <v/>
      </c>
      <c r="D75" s="35" t="str">
        <f>IFERROR(INDEX($T$4:$T$153,MATCH(ROWS($A$4:A75),$AF$4:$AF$153,0)),"")</f>
        <v/>
      </c>
      <c r="E75" s="35" t="str">
        <f>IFERROR(INDEX($U$4:$U$153,MATCH(ROWS($A$4:A75),$AF$4:$AF$153,0)),"")</f>
        <v/>
      </c>
      <c r="F75" s="35" t="str">
        <f>IFERROR(INDEX($V$4:$V$153,MATCH(ROWS($A$4:A75),$AF$4:$AF$153,0)),"")</f>
        <v/>
      </c>
      <c r="G75" s="35" t="str">
        <f>IFERROR(INDEX($W$4:$W$153,MATCH(ROWS($A$4:A75),$AF$4:$AF$153,0)),"")</f>
        <v/>
      </c>
      <c r="H75" s="35" t="str">
        <f>IFERROR(INDEX($X$4:$X$153,MATCH(ROWS($A$4:A75),$AF$4:$AF$153,0)),"")</f>
        <v/>
      </c>
      <c r="I75" s="35" t="str">
        <f>IFERROR(INDEX($Y$4:$Y$153,MATCH(ROWS($A$4:A75),$AF$4:$AF$153,0)),"")</f>
        <v/>
      </c>
      <c r="J75" s="35" t="str">
        <f>IFERROR(INDEX($Z$4:$Z$153,MATCH(ROWS($A$4:A75),$AF$4:$AF$153,0)),"")</f>
        <v/>
      </c>
      <c r="K75" s="35" t="str">
        <f>IFERROR(INDEX($AA$4:$AA$153,MATCH(ROWS($A$4:A75),$AF$4:$AF$153,0)),"")</f>
        <v/>
      </c>
      <c r="L75" s="35" t="str">
        <f>IFERROR(INDEX($AB$4:$AB$153,MATCH(ROWS($A$4:A75),$AF$4:$AF$153,0)),"")</f>
        <v/>
      </c>
      <c r="M75" s="35" t="str">
        <f>IFERROR(INDEX($AC$4:$AC$153,MATCH(ROWS($A$4:A75),$AF$4:$AF$153,0)),"")</f>
        <v/>
      </c>
      <c r="N75" s="35" t="str">
        <f>IFERROR(INDEX($AD$4:$AD$153,MATCH(ROWS($A$4:A75),$AF$4:$AF$153,0)),"")</f>
        <v/>
      </c>
      <c r="Q75" t="str">
        <f>T(JAN!B77)</f>
        <v>BRYAN TEMPORARIO</v>
      </c>
      <c r="R75" t="str">
        <f t="array" ref="R75">IF($Q75="","",_xlfn.TEXTJOIN(", ",TRUE,IF(JAN!$G77:$AK77="HE",JAN!$G$4:$AK$4,"")))</f>
        <v/>
      </c>
      <c r="S75" t="str">
        <f t="array" ref="S75">IF($Q75="","",_xlfn.TEXTJOIN(", ",TRUE,IF(FEV!$G77:$AK77="HE",FEV!$G$4:$AK$4,"")))</f>
        <v/>
      </c>
      <c r="T75" t="str">
        <f t="array" ref="T75">IF($Q75="","",_xlfn.TEXTJOIN(", ",TRUE,IF(MAR!$G77:$AK77="HE",MAR!$G$4:$AK$4,"")))</f>
        <v/>
      </c>
      <c r="U75" t="str">
        <f t="array" ref="U75">IF($Q75="","",_xlfn.TEXTJOIN(", ",TRUE,IF(ABR!$G77:$AK77="HE",ABR!$G$4:$AK$4,"")))</f>
        <v/>
      </c>
      <c r="V75" t="str">
        <f t="array" ref="V75">IF($Q75="","",_xlfn.TEXTJOIN(", ",TRUE,IF(MAI!$G77:$AK77="HE",MAI!$G$4:$AK$4,"")))</f>
        <v/>
      </c>
      <c r="W75" t="str">
        <f t="array" ref="W75">IF($Q75="","",_xlfn.TEXTJOIN(", ",TRUE,IF(JUN!$G77:$AK77="HE",JUN!$G$4:$AK$4,"")))</f>
        <v/>
      </c>
      <c r="X75" t="str">
        <f t="array" ref="X75">IF($Q75="","",_xlfn.TEXTJOIN(", ",TRUE,IF(JUL!$G77:$AK77="HE",JUL!$G$4:$AK$4,"")))</f>
        <v/>
      </c>
      <c r="Y75" t="str">
        <f t="array" ref="Y75">IF($Q75="","",_xlfn.TEXTJOIN(", ",TRUE,IF(AGO!$G77:$AK77="HE",AGO!$G$4:$AK$4,"")))</f>
        <v/>
      </c>
      <c r="Z75" t="str">
        <f t="array" ref="Z75">IF($Q75="","",_xlfn.TEXTJOIN(", ",TRUE,IF(SET!$G77:$AK77="HE",SET!$G$4:$AK$4,"")))</f>
        <v/>
      </c>
      <c r="AA75" t="str">
        <f t="array" ref="AA75">IF($Q75="","",_xlfn.TEXTJOIN(", ",TRUE,IF(OUT!$G77:$AK77="HE",OUT!$G$4:$AK$4,"")))</f>
        <v/>
      </c>
      <c r="AB75" t="str">
        <f t="array" ref="AB75">IF($Q75="","",_xlfn.TEXTJOIN(", ",TRUE,IF(NOV!$G77:$AK77="HE",NOV!$G$4:$AK$4,"")))</f>
        <v/>
      </c>
      <c r="AC75" t="str">
        <f t="array" ref="AC75">IF($Q75="","",_xlfn.TEXTJOIN(", ",TRUE,IF(DEZ!$G77:$AK77="HE",DEZ!$G$4:$AK$4,"")))</f>
        <v/>
      </c>
      <c r="AD75">
        <f>IF($Q75="","",SUM(JAN:DEZ!C77))</f>
        <v>0</v>
      </c>
      <c r="AF75" t="str">
        <f>IF(AND($Q75&lt;&gt;"",N($AD75)&gt;0),COUNT($AF$3:AF74)+1,"")</f>
        <v/>
      </c>
    </row>
    <row r="76" spans="1:32" x14ac:dyDescent="0.25">
      <c r="A76" s="36" t="str">
        <f>IFERROR(INDEX($Q$4:$Q$153,MATCH(ROWS($A$4:A76),$AF$4:$AF$153,0)),"")</f>
        <v/>
      </c>
      <c r="B76" s="35" t="str">
        <f>IFERROR(INDEX($R$4:$R$153,MATCH(ROWS($A$4:A76),$AF$4:$AF$153,0)),"")</f>
        <v/>
      </c>
      <c r="C76" s="35" t="str">
        <f>IFERROR(INDEX($S$4:$S$153,MATCH(ROWS($A$4:A76),$AF$4:$AF$153,0)),"")</f>
        <v/>
      </c>
      <c r="D76" s="35" t="str">
        <f>IFERROR(INDEX($T$4:$T$153,MATCH(ROWS($A$4:A76),$AF$4:$AF$153,0)),"")</f>
        <v/>
      </c>
      <c r="E76" s="35" t="str">
        <f>IFERROR(INDEX($U$4:$U$153,MATCH(ROWS($A$4:A76),$AF$4:$AF$153,0)),"")</f>
        <v/>
      </c>
      <c r="F76" s="35" t="str">
        <f>IFERROR(INDEX($V$4:$V$153,MATCH(ROWS($A$4:A76),$AF$4:$AF$153,0)),"")</f>
        <v/>
      </c>
      <c r="G76" s="35" t="str">
        <f>IFERROR(INDEX($W$4:$W$153,MATCH(ROWS($A$4:A76),$AF$4:$AF$153,0)),"")</f>
        <v/>
      </c>
      <c r="H76" s="35" t="str">
        <f>IFERROR(INDEX($X$4:$X$153,MATCH(ROWS($A$4:A76),$AF$4:$AF$153,0)),"")</f>
        <v/>
      </c>
      <c r="I76" s="35" t="str">
        <f>IFERROR(INDEX($Y$4:$Y$153,MATCH(ROWS($A$4:A76),$AF$4:$AF$153,0)),"")</f>
        <v/>
      </c>
      <c r="J76" s="35" t="str">
        <f>IFERROR(INDEX($Z$4:$Z$153,MATCH(ROWS($A$4:A76),$AF$4:$AF$153,0)),"")</f>
        <v/>
      </c>
      <c r="K76" s="35" t="str">
        <f>IFERROR(INDEX($AA$4:$AA$153,MATCH(ROWS($A$4:A76),$AF$4:$AF$153,0)),"")</f>
        <v/>
      </c>
      <c r="L76" s="35" t="str">
        <f>IFERROR(INDEX($AB$4:$AB$153,MATCH(ROWS($A$4:A76),$AF$4:$AF$153,0)),"")</f>
        <v/>
      </c>
      <c r="M76" s="35" t="str">
        <f>IFERROR(INDEX($AC$4:$AC$153,MATCH(ROWS($A$4:A76),$AF$4:$AF$153,0)),"")</f>
        <v/>
      </c>
      <c r="N76" s="35" t="str">
        <f>IFERROR(INDEX($AD$4:$AD$153,MATCH(ROWS($A$4:A76),$AF$4:$AF$153,0)),"")</f>
        <v/>
      </c>
      <c r="Q76" t="str">
        <f>T(JAN!B78)</f>
        <v>PABLO TEMPORARIO</v>
      </c>
      <c r="R76" t="str">
        <f t="array" ref="R76">IF($Q76="","",_xlfn.TEXTJOIN(", ",TRUE,IF(JAN!$G78:$AK78="HE",JAN!$G$4:$AK$4,"")))</f>
        <v/>
      </c>
      <c r="S76" t="str">
        <f t="array" ref="S76">IF($Q76="","",_xlfn.TEXTJOIN(", ",TRUE,IF(FEV!$G78:$AK78="HE",FEV!$G$4:$AK$4,"")))</f>
        <v/>
      </c>
      <c r="T76" t="str">
        <f t="array" ref="T76">IF($Q76="","",_xlfn.TEXTJOIN(", ",TRUE,IF(MAR!$G78:$AK78="HE",MAR!$G$4:$AK$4,"")))</f>
        <v/>
      </c>
      <c r="U76" t="str">
        <f t="array" ref="U76">IF($Q76="","",_xlfn.TEXTJOIN(", ",TRUE,IF(ABR!$G78:$AK78="HE",ABR!$G$4:$AK$4,"")))</f>
        <v/>
      </c>
      <c r="V76" t="str">
        <f t="array" ref="V76">IF($Q76="","",_xlfn.TEXTJOIN(", ",TRUE,IF(MAI!$G78:$AK78="HE",MAI!$G$4:$AK$4,"")))</f>
        <v/>
      </c>
      <c r="W76" t="str">
        <f t="array" ref="W76">IF($Q76="","",_xlfn.TEXTJOIN(", ",TRUE,IF(JUN!$G78:$AK78="HE",JUN!$G$4:$AK$4,"")))</f>
        <v/>
      </c>
      <c r="X76" t="str">
        <f t="array" ref="X76">IF($Q76="","",_xlfn.TEXTJOIN(", ",TRUE,IF(JUL!$G78:$AK78="HE",JUL!$G$4:$AK$4,"")))</f>
        <v/>
      </c>
      <c r="Y76" t="str">
        <f t="array" ref="Y76">IF($Q76="","",_xlfn.TEXTJOIN(", ",TRUE,IF(AGO!$G78:$AK78="HE",AGO!$G$4:$AK$4,"")))</f>
        <v/>
      </c>
      <c r="Z76" t="str">
        <f t="array" ref="Z76">IF($Q76="","",_xlfn.TEXTJOIN(", ",TRUE,IF(SET!$G78:$AK78="HE",SET!$G$4:$AK$4,"")))</f>
        <v/>
      </c>
      <c r="AA76" t="str">
        <f t="array" ref="AA76">IF($Q76="","",_xlfn.TEXTJOIN(", ",TRUE,IF(OUT!$G78:$AK78="HE",OUT!$G$4:$AK$4,"")))</f>
        <v/>
      </c>
      <c r="AB76" t="str">
        <f t="array" ref="AB76">IF($Q76="","",_xlfn.TEXTJOIN(", ",TRUE,IF(NOV!$G78:$AK78="HE",NOV!$G$4:$AK$4,"")))</f>
        <v/>
      </c>
      <c r="AC76" t="str">
        <f t="array" ref="AC76">IF($Q76="","",_xlfn.TEXTJOIN(", ",TRUE,IF(DEZ!$G78:$AK78="HE",DEZ!$G$4:$AK$4,"")))</f>
        <v/>
      </c>
      <c r="AD76">
        <f>IF($Q76="","",SUM(JAN:DEZ!C78))</f>
        <v>0</v>
      </c>
      <c r="AF76" t="str">
        <f>IF(AND($Q76&lt;&gt;"",N($AD76)&gt;0),COUNT($AF$3:AF75)+1,"")</f>
        <v/>
      </c>
    </row>
    <row r="77" spans="1:32" x14ac:dyDescent="0.25">
      <c r="A77" s="36" t="str">
        <f>IFERROR(INDEX($Q$4:$Q$153,MATCH(ROWS($A$4:A77),$AF$4:$AF$153,0)),"")</f>
        <v/>
      </c>
      <c r="B77" s="35" t="str">
        <f>IFERROR(INDEX($R$4:$R$153,MATCH(ROWS($A$4:A77),$AF$4:$AF$153,0)),"")</f>
        <v/>
      </c>
      <c r="C77" s="35" t="str">
        <f>IFERROR(INDEX($S$4:$S$153,MATCH(ROWS($A$4:A77),$AF$4:$AF$153,0)),"")</f>
        <v/>
      </c>
      <c r="D77" s="35" t="str">
        <f>IFERROR(INDEX($T$4:$T$153,MATCH(ROWS($A$4:A77),$AF$4:$AF$153,0)),"")</f>
        <v/>
      </c>
      <c r="E77" s="35" t="str">
        <f>IFERROR(INDEX($U$4:$U$153,MATCH(ROWS($A$4:A77),$AF$4:$AF$153,0)),"")</f>
        <v/>
      </c>
      <c r="F77" s="35" t="str">
        <f>IFERROR(INDEX($V$4:$V$153,MATCH(ROWS($A$4:A77),$AF$4:$AF$153,0)),"")</f>
        <v/>
      </c>
      <c r="G77" s="35" t="str">
        <f>IFERROR(INDEX($W$4:$W$153,MATCH(ROWS($A$4:A77),$AF$4:$AF$153,0)),"")</f>
        <v/>
      </c>
      <c r="H77" s="35" t="str">
        <f>IFERROR(INDEX($X$4:$X$153,MATCH(ROWS($A$4:A77),$AF$4:$AF$153,0)),"")</f>
        <v/>
      </c>
      <c r="I77" s="35" t="str">
        <f>IFERROR(INDEX($Y$4:$Y$153,MATCH(ROWS($A$4:A77),$AF$4:$AF$153,0)),"")</f>
        <v/>
      </c>
      <c r="J77" s="35" t="str">
        <f>IFERROR(INDEX($Z$4:$Z$153,MATCH(ROWS($A$4:A77),$AF$4:$AF$153,0)),"")</f>
        <v/>
      </c>
      <c r="K77" s="35" t="str">
        <f>IFERROR(INDEX($AA$4:$AA$153,MATCH(ROWS($A$4:A77),$AF$4:$AF$153,0)),"")</f>
        <v/>
      </c>
      <c r="L77" s="35" t="str">
        <f>IFERROR(INDEX($AB$4:$AB$153,MATCH(ROWS($A$4:A77),$AF$4:$AF$153,0)),"")</f>
        <v/>
      </c>
      <c r="M77" s="35" t="str">
        <f>IFERROR(INDEX($AC$4:$AC$153,MATCH(ROWS($A$4:A77),$AF$4:$AF$153,0)),"")</f>
        <v/>
      </c>
      <c r="N77" s="35" t="str">
        <f>IFERROR(INDEX($AD$4:$AD$153,MATCH(ROWS($A$4:A77),$AF$4:$AF$153,0)),"")</f>
        <v/>
      </c>
      <c r="Q77" t="str">
        <f>T(JAN!B79)</f>
        <v>JOAQUIM TEMPORARIO</v>
      </c>
      <c r="R77" t="str">
        <f t="array" ref="R77">IF($Q77="","",_xlfn.TEXTJOIN(", ",TRUE,IF(JAN!$G79:$AK79="HE",JAN!$G$4:$AK$4,"")))</f>
        <v/>
      </c>
      <c r="S77" t="str">
        <f t="array" ref="S77">IF($Q77="","",_xlfn.TEXTJOIN(", ",TRUE,IF(FEV!$G79:$AK79="HE",FEV!$G$4:$AK$4,"")))</f>
        <v/>
      </c>
      <c r="T77" t="str">
        <f t="array" ref="T77">IF($Q77="","",_xlfn.TEXTJOIN(", ",TRUE,IF(MAR!$G79:$AK79="HE",MAR!$G$4:$AK$4,"")))</f>
        <v/>
      </c>
      <c r="U77" t="str">
        <f t="array" ref="U77">IF($Q77="","",_xlfn.TEXTJOIN(", ",TRUE,IF(ABR!$G79:$AK79="HE",ABR!$G$4:$AK$4,"")))</f>
        <v/>
      </c>
      <c r="V77" t="str">
        <f t="array" ref="V77">IF($Q77="","",_xlfn.TEXTJOIN(", ",TRUE,IF(MAI!$G79:$AK79="HE",MAI!$G$4:$AK$4,"")))</f>
        <v/>
      </c>
      <c r="W77" t="str">
        <f t="array" ref="W77">IF($Q77="","",_xlfn.TEXTJOIN(", ",TRUE,IF(JUN!$G79:$AK79="HE",JUN!$G$4:$AK$4,"")))</f>
        <v/>
      </c>
      <c r="X77" t="str">
        <f t="array" ref="X77">IF($Q77="","",_xlfn.TEXTJOIN(", ",TRUE,IF(JUL!$G79:$AK79="HE",JUL!$G$4:$AK$4,"")))</f>
        <v/>
      </c>
      <c r="Y77" t="str">
        <f t="array" ref="Y77">IF($Q77="","",_xlfn.TEXTJOIN(", ",TRUE,IF(AGO!$G79:$AK79="HE",AGO!$G$4:$AK$4,"")))</f>
        <v/>
      </c>
      <c r="Z77" t="str">
        <f t="array" ref="Z77">IF($Q77="","",_xlfn.TEXTJOIN(", ",TRUE,IF(SET!$G79:$AK79="HE",SET!$G$4:$AK$4,"")))</f>
        <v/>
      </c>
      <c r="AA77" t="str">
        <f t="array" ref="AA77">IF($Q77="","",_xlfn.TEXTJOIN(", ",TRUE,IF(OUT!$G79:$AK79="HE",OUT!$G$4:$AK$4,"")))</f>
        <v/>
      </c>
      <c r="AB77" t="str">
        <f t="array" ref="AB77">IF($Q77="","",_xlfn.TEXTJOIN(", ",TRUE,IF(NOV!$G79:$AK79="HE",NOV!$G$4:$AK$4,"")))</f>
        <v/>
      </c>
      <c r="AC77" t="str">
        <f t="array" ref="AC77">IF($Q77="","",_xlfn.TEXTJOIN(", ",TRUE,IF(DEZ!$G79:$AK79="HE",DEZ!$G$4:$AK$4,"")))</f>
        <v/>
      </c>
      <c r="AD77">
        <f>IF($Q77="","",SUM(JAN:DEZ!C79))</f>
        <v>0</v>
      </c>
      <c r="AF77" t="str">
        <f>IF(AND($Q77&lt;&gt;"",N($AD77)&gt;0),COUNT($AF$3:AF76)+1,"")</f>
        <v/>
      </c>
    </row>
    <row r="78" spans="1:32" x14ac:dyDescent="0.25">
      <c r="A78" s="36" t="str">
        <f>IFERROR(INDEX($Q$4:$Q$153,MATCH(ROWS($A$4:A78),$AF$4:$AF$153,0)),"")</f>
        <v/>
      </c>
      <c r="B78" s="35" t="str">
        <f>IFERROR(INDEX($R$4:$R$153,MATCH(ROWS($A$4:A78),$AF$4:$AF$153,0)),"")</f>
        <v/>
      </c>
      <c r="C78" s="35" t="str">
        <f>IFERROR(INDEX($S$4:$S$153,MATCH(ROWS($A$4:A78),$AF$4:$AF$153,0)),"")</f>
        <v/>
      </c>
      <c r="D78" s="35" t="str">
        <f>IFERROR(INDEX($T$4:$T$153,MATCH(ROWS($A$4:A78),$AF$4:$AF$153,0)),"")</f>
        <v/>
      </c>
      <c r="E78" s="35" t="str">
        <f>IFERROR(INDEX($U$4:$U$153,MATCH(ROWS($A$4:A78),$AF$4:$AF$153,0)),"")</f>
        <v/>
      </c>
      <c r="F78" s="35" t="str">
        <f>IFERROR(INDEX($V$4:$V$153,MATCH(ROWS($A$4:A78),$AF$4:$AF$153,0)),"")</f>
        <v/>
      </c>
      <c r="G78" s="35" t="str">
        <f>IFERROR(INDEX($W$4:$W$153,MATCH(ROWS($A$4:A78),$AF$4:$AF$153,0)),"")</f>
        <v/>
      </c>
      <c r="H78" s="35" t="str">
        <f>IFERROR(INDEX($X$4:$X$153,MATCH(ROWS($A$4:A78),$AF$4:$AF$153,0)),"")</f>
        <v/>
      </c>
      <c r="I78" s="35" t="str">
        <f>IFERROR(INDEX($Y$4:$Y$153,MATCH(ROWS($A$4:A78),$AF$4:$AF$153,0)),"")</f>
        <v/>
      </c>
      <c r="J78" s="35" t="str">
        <f>IFERROR(INDEX($Z$4:$Z$153,MATCH(ROWS($A$4:A78),$AF$4:$AF$153,0)),"")</f>
        <v/>
      </c>
      <c r="K78" s="35" t="str">
        <f>IFERROR(INDEX($AA$4:$AA$153,MATCH(ROWS($A$4:A78),$AF$4:$AF$153,0)),"")</f>
        <v/>
      </c>
      <c r="L78" s="35" t="str">
        <f>IFERROR(INDEX($AB$4:$AB$153,MATCH(ROWS($A$4:A78),$AF$4:$AF$153,0)),"")</f>
        <v/>
      </c>
      <c r="M78" s="35" t="str">
        <f>IFERROR(INDEX($AC$4:$AC$153,MATCH(ROWS($A$4:A78),$AF$4:$AF$153,0)),"")</f>
        <v/>
      </c>
      <c r="N78" s="35" t="str">
        <f>IFERROR(INDEX($AD$4:$AD$153,MATCH(ROWS($A$4:A78),$AF$4:$AF$153,0)),"")</f>
        <v/>
      </c>
      <c r="Q78" t="str">
        <f>T(JAN!B80)</f>
        <v>RAFAEL TEMPORARIO</v>
      </c>
      <c r="R78" t="str">
        <f t="array" ref="R78">IF($Q78="","",_xlfn.TEXTJOIN(", ",TRUE,IF(JAN!$G80:$AK80="HE",JAN!$G$4:$AK$4,"")))</f>
        <v/>
      </c>
      <c r="S78" t="str">
        <f t="array" ref="S78">IF($Q78="","",_xlfn.TEXTJOIN(", ",TRUE,IF(FEV!$G80:$AK80="HE",FEV!$G$4:$AK$4,"")))</f>
        <v/>
      </c>
      <c r="T78" t="str">
        <f t="array" ref="T78">IF($Q78="","",_xlfn.TEXTJOIN(", ",TRUE,IF(MAR!$G80:$AK80="HE",MAR!$G$4:$AK$4,"")))</f>
        <v/>
      </c>
      <c r="U78" t="str">
        <f t="array" ref="U78">IF($Q78="","",_xlfn.TEXTJOIN(", ",TRUE,IF(ABR!$G80:$AK80="HE",ABR!$G$4:$AK$4,"")))</f>
        <v/>
      </c>
      <c r="V78" t="str">
        <f t="array" ref="V78">IF($Q78="","",_xlfn.TEXTJOIN(", ",TRUE,IF(MAI!$G80:$AK80="HE",MAI!$G$4:$AK$4,"")))</f>
        <v/>
      </c>
      <c r="W78" t="str">
        <f t="array" ref="W78">IF($Q78="","",_xlfn.TEXTJOIN(", ",TRUE,IF(JUN!$G80:$AK80="HE",JUN!$G$4:$AK$4,"")))</f>
        <v/>
      </c>
      <c r="X78" t="str">
        <f t="array" ref="X78">IF($Q78="","",_xlfn.TEXTJOIN(", ",TRUE,IF(JUL!$G80:$AK80="HE",JUL!$G$4:$AK$4,"")))</f>
        <v/>
      </c>
      <c r="Y78" t="str">
        <f t="array" ref="Y78">IF($Q78="","",_xlfn.TEXTJOIN(", ",TRUE,IF(AGO!$G80:$AK80="HE",AGO!$G$4:$AK$4,"")))</f>
        <v/>
      </c>
      <c r="Z78" t="str">
        <f t="array" ref="Z78">IF($Q78="","",_xlfn.TEXTJOIN(", ",TRUE,IF(SET!$G80:$AK80="HE",SET!$G$4:$AK$4,"")))</f>
        <v/>
      </c>
      <c r="AA78" t="str">
        <f t="array" ref="AA78">IF($Q78="","",_xlfn.TEXTJOIN(", ",TRUE,IF(OUT!$G80:$AK80="HE",OUT!$G$4:$AK$4,"")))</f>
        <v/>
      </c>
      <c r="AB78" t="str">
        <f t="array" ref="AB78">IF($Q78="","",_xlfn.TEXTJOIN(", ",TRUE,IF(NOV!$G80:$AK80="HE",NOV!$G$4:$AK$4,"")))</f>
        <v/>
      </c>
      <c r="AC78" t="str">
        <f t="array" ref="AC78">IF($Q78="","",_xlfn.TEXTJOIN(", ",TRUE,IF(DEZ!$G80:$AK80="HE",DEZ!$G$4:$AK$4,"")))</f>
        <v/>
      </c>
      <c r="AD78">
        <f>IF($Q78="","",SUM(JAN:DEZ!C80))</f>
        <v>0</v>
      </c>
      <c r="AF78" t="str">
        <f>IF(AND($Q78&lt;&gt;"",N($AD78)&gt;0),COUNT($AF$3:AF77)+1,"")</f>
        <v/>
      </c>
    </row>
    <row r="79" spans="1:32" x14ac:dyDescent="0.25">
      <c r="A79" s="36" t="str">
        <f>IFERROR(INDEX($Q$4:$Q$153,MATCH(ROWS($A$4:A79),$AF$4:$AF$153,0)),"")</f>
        <v/>
      </c>
      <c r="B79" s="35" t="str">
        <f>IFERROR(INDEX($R$4:$R$153,MATCH(ROWS($A$4:A79),$AF$4:$AF$153,0)),"")</f>
        <v/>
      </c>
      <c r="C79" s="35" t="str">
        <f>IFERROR(INDEX($S$4:$S$153,MATCH(ROWS($A$4:A79),$AF$4:$AF$153,0)),"")</f>
        <v/>
      </c>
      <c r="D79" s="35" t="str">
        <f>IFERROR(INDEX($T$4:$T$153,MATCH(ROWS($A$4:A79),$AF$4:$AF$153,0)),"")</f>
        <v/>
      </c>
      <c r="E79" s="35" t="str">
        <f>IFERROR(INDEX($U$4:$U$153,MATCH(ROWS($A$4:A79),$AF$4:$AF$153,0)),"")</f>
        <v/>
      </c>
      <c r="F79" s="35" t="str">
        <f>IFERROR(INDEX($V$4:$V$153,MATCH(ROWS($A$4:A79),$AF$4:$AF$153,0)),"")</f>
        <v/>
      </c>
      <c r="G79" s="35" t="str">
        <f>IFERROR(INDEX($W$4:$W$153,MATCH(ROWS($A$4:A79),$AF$4:$AF$153,0)),"")</f>
        <v/>
      </c>
      <c r="H79" s="35" t="str">
        <f>IFERROR(INDEX($X$4:$X$153,MATCH(ROWS($A$4:A79),$AF$4:$AF$153,0)),"")</f>
        <v/>
      </c>
      <c r="I79" s="35" t="str">
        <f>IFERROR(INDEX($Y$4:$Y$153,MATCH(ROWS($A$4:A79),$AF$4:$AF$153,0)),"")</f>
        <v/>
      </c>
      <c r="J79" s="35" t="str">
        <f>IFERROR(INDEX($Z$4:$Z$153,MATCH(ROWS($A$4:A79),$AF$4:$AF$153,0)),"")</f>
        <v/>
      </c>
      <c r="K79" s="35" t="str">
        <f>IFERROR(INDEX($AA$4:$AA$153,MATCH(ROWS($A$4:A79),$AF$4:$AF$153,0)),"")</f>
        <v/>
      </c>
      <c r="L79" s="35" t="str">
        <f>IFERROR(INDEX($AB$4:$AB$153,MATCH(ROWS($A$4:A79),$AF$4:$AF$153,0)),"")</f>
        <v/>
      </c>
      <c r="M79" s="35" t="str">
        <f>IFERROR(INDEX($AC$4:$AC$153,MATCH(ROWS($A$4:A79),$AF$4:$AF$153,0)),"")</f>
        <v/>
      </c>
      <c r="N79" s="35" t="str">
        <f>IFERROR(INDEX($AD$4:$AD$153,MATCH(ROWS($A$4:A79),$AF$4:$AF$153,0)),"")</f>
        <v/>
      </c>
      <c r="Q79" t="str">
        <f>T(JAN!B81)</f>
        <v>FELIPE TEMPÓRARIO</v>
      </c>
      <c r="R79" t="str">
        <f t="array" ref="R79">IF($Q79="","",_xlfn.TEXTJOIN(", ",TRUE,IF(JAN!$G81:$AK81="HE",JAN!$G$4:$AK$4,"")))</f>
        <v/>
      </c>
      <c r="S79" t="str">
        <f t="array" ref="S79">IF($Q79="","",_xlfn.TEXTJOIN(", ",TRUE,IF(FEV!$G81:$AK81="HE",FEV!$G$4:$AK$4,"")))</f>
        <v/>
      </c>
      <c r="T79" t="str">
        <f t="array" ref="T79">IF($Q79="","",_xlfn.TEXTJOIN(", ",TRUE,IF(MAR!$G81:$AK81="HE",MAR!$G$4:$AK$4,"")))</f>
        <v/>
      </c>
      <c r="U79" t="str">
        <f t="array" ref="U79">IF($Q79="","",_xlfn.TEXTJOIN(", ",TRUE,IF(ABR!$G81:$AK81="HE",ABR!$G$4:$AK$4,"")))</f>
        <v/>
      </c>
      <c r="V79" t="str">
        <f t="array" ref="V79">IF($Q79="","",_xlfn.TEXTJOIN(", ",TRUE,IF(MAI!$G81:$AK81="HE",MAI!$G$4:$AK$4,"")))</f>
        <v/>
      </c>
      <c r="W79" t="str">
        <f t="array" ref="W79">IF($Q79="","",_xlfn.TEXTJOIN(", ",TRUE,IF(JUN!$G81:$AK81="HE",JUN!$G$4:$AK$4,"")))</f>
        <v/>
      </c>
      <c r="X79" t="str">
        <f t="array" ref="X79">IF($Q79="","",_xlfn.TEXTJOIN(", ",TRUE,IF(JUL!$G81:$AK81="HE",JUL!$G$4:$AK$4,"")))</f>
        <v/>
      </c>
      <c r="Y79" t="str">
        <f t="array" ref="Y79">IF($Q79="","",_xlfn.TEXTJOIN(", ",TRUE,IF(AGO!$G81:$AK81="HE",AGO!$G$4:$AK$4,"")))</f>
        <v/>
      </c>
      <c r="Z79" t="str">
        <f t="array" ref="Z79">IF($Q79="","",_xlfn.TEXTJOIN(", ",TRUE,IF(SET!$G81:$AK81="HE",SET!$G$4:$AK$4,"")))</f>
        <v/>
      </c>
      <c r="AA79" t="str">
        <f t="array" ref="AA79">IF($Q79="","",_xlfn.TEXTJOIN(", ",TRUE,IF(OUT!$G81:$AK81="HE",OUT!$G$4:$AK$4,"")))</f>
        <v/>
      </c>
      <c r="AB79" t="str">
        <f t="array" ref="AB79">IF($Q79="","",_xlfn.TEXTJOIN(", ",TRUE,IF(NOV!$G81:$AK81="HE",NOV!$G$4:$AK$4,"")))</f>
        <v/>
      </c>
      <c r="AC79" t="str">
        <f t="array" ref="AC79">IF($Q79="","",_xlfn.TEXTJOIN(", ",TRUE,IF(DEZ!$G81:$AK81="HE",DEZ!$G$4:$AK$4,"")))</f>
        <v/>
      </c>
      <c r="AD79">
        <f>IF($Q79="","",SUM(JAN:DEZ!C81))</f>
        <v>0</v>
      </c>
      <c r="AF79" t="str">
        <f>IF(AND($Q79&lt;&gt;"",N($AD79)&gt;0),COUNT($AF$3:AF78)+1,"")</f>
        <v/>
      </c>
    </row>
    <row r="80" spans="1:32" x14ac:dyDescent="0.25">
      <c r="A80" s="36" t="str">
        <f>IFERROR(INDEX($Q$4:$Q$153,MATCH(ROWS($A$4:A80),$AF$4:$AF$153,0)),"")</f>
        <v/>
      </c>
      <c r="B80" s="35" t="str">
        <f>IFERROR(INDEX($R$4:$R$153,MATCH(ROWS($A$4:A80),$AF$4:$AF$153,0)),"")</f>
        <v/>
      </c>
      <c r="C80" s="35" t="str">
        <f>IFERROR(INDEX($S$4:$S$153,MATCH(ROWS($A$4:A80),$AF$4:$AF$153,0)),"")</f>
        <v/>
      </c>
      <c r="D80" s="35" t="str">
        <f>IFERROR(INDEX($T$4:$T$153,MATCH(ROWS($A$4:A80),$AF$4:$AF$153,0)),"")</f>
        <v/>
      </c>
      <c r="E80" s="35" t="str">
        <f>IFERROR(INDEX($U$4:$U$153,MATCH(ROWS($A$4:A80),$AF$4:$AF$153,0)),"")</f>
        <v/>
      </c>
      <c r="F80" s="35" t="str">
        <f>IFERROR(INDEX($V$4:$V$153,MATCH(ROWS($A$4:A80),$AF$4:$AF$153,0)),"")</f>
        <v/>
      </c>
      <c r="G80" s="35" t="str">
        <f>IFERROR(INDEX($W$4:$W$153,MATCH(ROWS($A$4:A80),$AF$4:$AF$153,0)),"")</f>
        <v/>
      </c>
      <c r="H80" s="35" t="str">
        <f>IFERROR(INDEX($X$4:$X$153,MATCH(ROWS($A$4:A80),$AF$4:$AF$153,0)),"")</f>
        <v/>
      </c>
      <c r="I80" s="35" t="str">
        <f>IFERROR(INDEX($Y$4:$Y$153,MATCH(ROWS($A$4:A80),$AF$4:$AF$153,0)),"")</f>
        <v/>
      </c>
      <c r="J80" s="35" t="str">
        <f>IFERROR(INDEX($Z$4:$Z$153,MATCH(ROWS($A$4:A80),$AF$4:$AF$153,0)),"")</f>
        <v/>
      </c>
      <c r="K80" s="35" t="str">
        <f>IFERROR(INDEX($AA$4:$AA$153,MATCH(ROWS($A$4:A80),$AF$4:$AF$153,0)),"")</f>
        <v/>
      </c>
      <c r="L80" s="35" t="str">
        <f>IFERROR(INDEX($AB$4:$AB$153,MATCH(ROWS($A$4:A80),$AF$4:$AF$153,0)),"")</f>
        <v/>
      </c>
      <c r="M80" s="35" t="str">
        <f>IFERROR(INDEX($AC$4:$AC$153,MATCH(ROWS($A$4:A80),$AF$4:$AF$153,0)),"")</f>
        <v/>
      </c>
      <c r="N80" s="35" t="str">
        <f>IFERROR(INDEX($AD$4:$AD$153,MATCH(ROWS($A$4:A80),$AF$4:$AF$153,0)),"")</f>
        <v/>
      </c>
      <c r="Q80" t="str">
        <f>T(JAN!B82)</f>
        <v>RENAN TEMPORARIO</v>
      </c>
      <c r="R80" t="str">
        <f t="array" ref="R80">IF($Q80="","",_xlfn.TEXTJOIN(", ",TRUE,IF(JAN!$G82:$AK82="HE",JAN!$G$4:$AK$4,"")))</f>
        <v/>
      </c>
      <c r="S80" t="str">
        <f t="array" ref="S80">IF($Q80="","",_xlfn.TEXTJOIN(", ",TRUE,IF(FEV!$G82:$AK82="HE",FEV!$G$4:$AK$4,"")))</f>
        <v/>
      </c>
      <c r="T80" t="str">
        <f t="array" ref="T80">IF($Q80="","",_xlfn.TEXTJOIN(", ",TRUE,IF(MAR!$G82:$AK82="HE",MAR!$G$4:$AK$4,"")))</f>
        <v/>
      </c>
      <c r="U80" t="str">
        <f t="array" ref="U80">IF($Q80="","",_xlfn.TEXTJOIN(", ",TRUE,IF(ABR!$G82:$AK82="HE",ABR!$G$4:$AK$4,"")))</f>
        <v/>
      </c>
      <c r="V80" t="str">
        <f t="array" ref="V80">IF($Q80="","",_xlfn.TEXTJOIN(", ",TRUE,IF(MAI!$G82:$AK82="HE",MAI!$G$4:$AK$4,"")))</f>
        <v/>
      </c>
      <c r="W80" t="str">
        <f t="array" ref="W80">IF($Q80="","",_xlfn.TEXTJOIN(", ",TRUE,IF(JUN!$G82:$AK82="HE",JUN!$G$4:$AK$4,"")))</f>
        <v/>
      </c>
      <c r="X80" t="str">
        <f t="array" ref="X80">IF($Q80="","",_xlfn.TEXTJOIN(", ",TRUE,IF(JUL!$G82:$AK82="HE",JUL!$G$4:$AK$4,"")))</f>
        <v/>
      </c>
      <c r="Y80" t="str">
        <f t="array" ref="Y80">IF($Q80="","",_xlfn.TEXTJOIN(", ",TRUE,IF(AGO!$G82:$AK82="HE",AGO!$G$4:$AK$4,"")))</f>
        <v/>
      </c>
      <c r="Z80" t="str">
        <f t="array" ref="Z80">IF($Q80="","",_xlfn.TEXTJOIN(", ",TRUE,IF(SET!$G82:$AK82="HE",SET!$G$4:$AK$4,"")))</f>
        <v/>
      </c>
      <c r="AA80" t="str">
        <f t="array" ref="AA80">IF($Q80="","",_xlfn.TEXTJOIN(", ",TRUE,IF(OUT!$G82:$AK82="HE",OUT!$G$4:$AK$4,"")))</f>
        <v>18</v>
      </c>
      <c r="AB80" t="str">
        <f t="array" ref="AB80">IF($Q80="","",_xlfn.TEXTJOIN(", ",TRUE,IF(NOV!$G82:$AK82="HE",NOV!$G$4:$AK$4,"")))</f>
        <v/>
      </c>
      <c r="AC80" t="str">
        <f t="array" ref="AC80">IF($Q80="","",_xlfn.TEXTJOIN(", ",TRUE,IF(DEZ!$G82:$AK82="HE",DEZ!$G$4:$AK$4,"")))</f>
        <v/>
      </c>
      <c r="AD80">
        <f>IF($Q80="","",SUM(JAN:DEZ!C82))</f>
        <v>1</v>
      </c>
      <c r="AF80">
        <f>IF(AND($Q80&lt;&gt;"",N($AD80)&gt;0),COUNT($AF$3:AF79)+1,"")</f>
        <v>42</v>
      </c>
    </row>
    <row r="81" spans="1:32" x14ac:dyDescent="0.25">
      <c r="A81" s="36" t="str">
        <f>IFERROR(INDEX($Q$4:$Q$153,MATCH(ROWS($A$4:A81),$AF$4:$AF$153,0)),"")</f>
        <v/>
      </c>
      <c r="B81" s="35" t="str">
        <f>IFERROR(INDEX($R$4:$R$153,MATCH(ROWS($A$4:A81),$AF$4:$AF$153,0)),"")</f>
        <v/>
      </c>
      <c r="C81" s="35" t="str">
        <f>IFERROR(INDEX($S$4:$S$153,MATCH(ROWS($A$4:A81),$AF$4:$AF$153,0)),"")</f>
        <v/>
      </c>
      <c r="D81" s="35" t="str">
        <f>IFERROR(INDEX($T$4:$T$153,MATCH(ROWS($A$4:A81),$AF$4:$AF$153,0)),"")</f>
        <v/>
      </c>
      <c r="E81" s="35" t="str">
        <f>IFERROR(INDEX($U$4:$U$153,MATCH(ROWS($A$4:A81),$AF$4:$AF$153,0)),"")</f>
        <v/>
      </c>
      <c r="F81" s="35" t="str">
        <f>IFERROR(INDEX($V$4:$V$153,MATCH(ROWS($A$4:A81),$AF$4:$AF$153,0)),"")</f>
        <v/>
      </c>
      <c r="G81" s="35" t="str">
        <f>IFERROR(INDEX($W$4:$W$153,MATCH(ROWS($A$4:A81),$AF$4:$AF$153,0)),"")</f>
        <v/>
      </c>
      <c r="H81" s="35" t="str">
        <f>IFERROR(INDEX($X$4:$X$153,MATCH(ROWS($A$4:A81),$AF$4:$AF$153,0)),"")</f>
        <v/>
      </c>
      <c r="I81" s="35" t="str">
        <f>IFERROR(INDEX($Y$4:$Y$153,MATCH(ROWS($A$4:A81),$AF$4:$AF$153,0)),"")</f>
        <v/>
      </c>
      <c r="J81" s="35" t="str">
        <f>IFERROR(INDEX($Z$4:$Z$153,MATCH(ROWS($A$4:A81),$AF$4:$AF$153,0)),"")</f>
        <v/>
      </c>
      <c r="K81" s="35" t="str">
        <f>IFERROR(INDEX($AA$4:$AA$153,MATCH(ROWS($A$4:A81),$AF$4:$AF$153,0)),"")</f>
        <v/>
      </c>
      <c r="L81" s="35" t="str">
        <f>IFERROR(INDEX($AB$4:$AB$153,MATCH(ROWS($A$4:A81),$AF$4:$AF$153,0)),"")</f>
        <v/>
      </c>
      <c r="M81" s="35" t="str">
        <f>IFERROR(INDEX($AC$4:$AC$153,MATCH(ROWS($A$4:A81),$AF$4:$AF$153,0)),"")</f>
        <v/>
      </c>
      <c r="N81" s="35" t="str">
        <f>IFERROR(INDEX($AD$4:$AD$153,MATCH(ROWS($A$4:A81),$AF$4:$AF$153,0)),"")</f>
        <v/>
      </c>
      <c r="Q81" t="str">
        <f>T(JAN!B83)</f>
        <v>VILSON TEMPORARIO</v>
      </c>
      <c r="R81" t="str">
        <f t="array" ref="R81">IF($Q81="","",_xlfn.TEXTJOIN(", ",TRUE,IF(JAN!$G83:$AK83="HE",JAN!$G$4:$AK$4,"")))</f>
        <v/>
      </c>
      <c r="S81" t="str">
        <f t="array" ref="S81">IF($Q81="","",_xlfn.TEXTJOIN(", ",TRUE,IF(FEV!$G83:$AK83="HE",FEV!$G$4:$AK$4,"")))</f>
        <v/>
      </c>
      <c r="T81" t="str">
        <f t="array" ref="T81">IF($Q81="","",_xlfn.TEXTJOIN(", ",TRUE,IF(MAR!$G83:$AK83="HE",MAR!$G$4:$AK$4,"")))</f>
        <v/>
      </c>
      <c r="U81" t="str">
        <f t="array" ref="U81">IF($Q81="","",_xlfn.TEXTJOIN(", ",TRUE,IF(ABR!$G83:$AK83="HE",ABR!$G$4:$AK$4,"")))</f>
        <v/>
      </c>
      <c r="V81" t="str">
        <f t="array" ref="V81">IF($Q81="","",_xlfn.TEXTJOIN(", ",TRUE,IF(MAI!$G83:$AK83="HE",MAI!$G$4:$AK$4,"")))</f>
        <v/>
      </c>
      <c r="W81" t="str">
        <f t="array" ref="W81">IF($Q81="","",_xlfn.TEXTJOIN(", ",TRUE,IF(JUN!$G83:$AK83="HE",JUN!$G$4:$AK$4,"")))</f>
        <v/>
      </c>
      <c r="X81" t="str">
        <f t="array" ref="X81">IF($Q81="","",_xlfn.TEXTJOIN(", ",TRUE,IF(JUL!$G83:$AK83="HE",JUL!$G$4:$AK$4,"")))</f>
        <v/>
      </c>
      <c r="Y81" t="str">
        <f t="array" ref="Y81">IF($Q81="","",_xlfn.TEXTJOIN(", ",TRUE,IF(AGO!$G83:$AK83="HE",AGO!$G$4:$AK$4,"")))</f>
        <v/>
      </c>
      <c r="Z81" t="str">
        <f t="array" ref="Z81">IF($Q81="","",_xlfn.TEXTJOIN(", ",TRUE,IF(SET!$G83:$AK83="HE",SET!$G$4:$AK$4,"")))</f>
        <v/>
      </c>
      <c r="AA81" t="str">
        <f t="array" ref="AA81">IF($Q81="","",_xlfn.TEXTJOIN(", ",TRUE,IF(OUT!$G83:$AK83="HE",OUT!$G$4:$AK$4,"")))</f>
        <v/>
      </c>
      <c r="AB81" t="str">
        <f t="array" ref="AB81">IF($Q81="","",_xlfn.TEXTJOIN(", ",TRUE,IF(NOV!$G83:$AK83="HE",NOV!$G$4:$AK$4,"")))</f>
        <v/>
      </c>
      <c r="AC81" t="str">
        <f t="array" ref="AC81">IF($Q81="","",_xlfn.TEXTJOIN(", ",TRUE,IF(DEZ!$G83:$AK83="HE",DEZ!$G$4:$AK$4,"")))</f>
        <v/>
      </c>
      <c r="AD81">
        <f>IF($Q81="","",SUM(JAN:DEZ!C83))</f>
        <v>0</v>
      </c>
      <c r="AF81" t="str">
        <f>IF(AND($Q81&lt;&gt;"",N($AD81)&gt;0),COUNT($AF$3:AF80)+1,"")</f>
        <v/>
      </c>
    </row>
    <row r="82" spans="1:32" x14ac:dyDescent="0.25">
      <c r="A82" s="36" t="str">
        <f>IFERROR(INDEX($Q$4:$Q$153,MATCH(ROWS($A$4:A82),$AF$4:$AF$153,0)),"")</f>
        <v/>
      </c>
      <c r="B82" s="35" t="str">
        <f>IFERROR(INDEX($R$4:$R$153,MATCH(ROWS($A$4:A82),$AF$4:$AF$153,0)),"")</f>
        <v/>
      </c>
      <c r="C82" s="35" t="str">
        <f>IFERROR(INDEX($S$4:$S$153,MATCH(ROWS($A$4:A82),$AF$4:$AF$153,0)),"")</f>
        <v/>
      </c>
      <c r="D82" s="35" t="str">
        <f>IFERROR(INDEX($T$4:$T$153,MATCH(ROWS($A$4:A82),$AF$4:$AF$153,0)),"")</f>
        <v/>
      </c>
      <c r="E82" s="35" t="str">
        <f>IFERROR(INDEX($U$4:$U$153,MATCH(ROWS($A$4:A82),$AF$4:$AF$153,0)),"")</f>
        <v/>
      </c>
      <c r="F82" s="35" t="str">
        <f>IFERROR(INDEX($V$4:$V$153,MATCH(ROWS($A$4:A82),$AF$4:$AF$153,0)),"")</f>
        <v/>
      </c>
      <c r="G82" s="35" t="str">
        <f>IFERROR(INDEX($W$4:$W$153,MATCH(ROWS($A$4:A82),$AF$4:$AF$153,0)),"")</f>
        <v/>
      </c>
      <c r="H82" s="35" t="str">
        <f>IFERROR(INDEX($X$4:$X$153,MATCH(ROWS($A$4:A82),$AF$4:$AF$153,0)),"")</f>
        <v/>
      </c>
      <c r="I82" s="35" t="str">
        <f>IFERROR(INDEX($Y$4:$Y$153,MATCH(ROWS($A$4:A82),$AF$4:$AF$153,0)),"")</f>
        <v/>
      </c>
      <c r="J82" s="35" t="str">
        <f>IFERROR(INDEX($Z$4:$Z$153,MATCH(ROWS($A$4:A82),$AF$4:$AF$153,0)),"")</f>
        <v/>
      </c>
      <c r="K82" s="35" t="str">
        <f>IFERROR(INDEX($AA$4:$AA$153,MATCH(ROWS($A$4:A82),$AF$4:$AF$153,0)),"")</f>
        <v/>
      </c>
      <c r="L82" s="35" t="str">
        <f>IFERROR(INDEX($AB$4:$AB$153,MATCH(ROWS($A$4:A82),$AF$4:$AF$153,0)),"")</f>
        <v/>
      </c>
      <c r="M82" s="35" t="str">
        <f>IFERROR(INDEX($AC$4:$AC$153,MATCH(ROWS($A$4:A82),$AF$4:$AF$153,0)),"")</f>
        <v/>
      </c>
      <c r="N82" s="35" t="str">
        <f>IFERROR(INDEX($AD$4:$AD$153,MATCH(ROWS($A$4:A82),$AF$4:$AF$153,0)),"")</f>
        <v/>
      </c>
      <c r="Q82" t="str">
        <f>T(JAN!B84)</f>
        <v>MARCO TEMPORARIO</v>
      </c>
      <c r="R82" t="str">
        <f t="array" ref="R82">IF($Q82="","",_xlfn.TEXTJOIN(", ",TRUE,IF(JAN!$G84:$AK84="HE",JAN!$G$4:$AK$4,"")))</f>
        <v/>
      </c>
      <c r="S82" t="str">
        <f t="array" ref="S82">IF($Q82="","",_xlfn.TEXTJOIN(", ",TRUE,IF(FEV!$G84:$AK84="HE",FEV!$G$4:$AK$4,"")))</f>
        <v/>
      </c>
      <c r="T82" t="str">
        <f t="array" ref="T82">IF($Q82="","",_xlfn.TEXTJOIN(", ",TRUE,IF(MAR!$G84:$AK84="HE",MAR!$G$4:$AK$4,"")))</f>
        <v/>
      </c>
      <c r="U82" t="str">
        <f t="array" ref="U82">IF($Q82="","",_xlfn.TEXTJOIN(", ",TRUE,IF(ABR!$G84:$AK84="HE",ABR!$G$4:$AK$4,"")))</f>
        <v/>
      </c>
      <c r="V82" t="str">
        <f t="array" ref="V82">IF($Q82="","",_xlfn.TEXTJOIN(", ",TRUE,IF(MAI!$G84:$AK84="HE",MAI!$G$4:$AK$4,"")))</f>
        <v/>
      </c>
      <c r="W82" t="str">
        <f t="array" ref="W82">IF($Q82="","",_xlfn.TEXTJOIN(", ",TRUE,IF(JUN!$G84:$AK84="HE",JUN!$G$4:$AK$4,"")))</f>
        <v/>
      </c>
      <c r="X82" t="str">
        <f t="array" ref="X82">IF($Q82="","",_xlfn.TEXTJOIN(", ",TRUE,IF(JUL!$G84:$AK84="HE",JUL!$G$4:$AK$4,"")))</f>
        <v/>
      </c>
      <c r="Y82" t="str">
        <f t="array" ref="Y82">IF($Q82="","",_xlfn.TEXTJOIN(", ",TRUE,IF(AGO!$G84:$AK84="HE",AGO!$G$4:$AK$4,"")))</f>
        <v/>
      </c>
      <c r="Z82" t="str">
        <f t="array" ref="Z82">IF($Q82="","",_xlfn.TEXTJOIN(", ",TRUE,IF(SET!$G84:$AK84="HE",SET!$G$4:$AK$4,"")))</f>
        <v/>
      </c>
      <c r="AA82" t="str">
        <f t="array" ref="AA82">IF($Q82="","",_xlfn.TEXTJOIN(", ",TRUE,IF(OUT!$G84:$AK84="HE",OUT!$G$4:$AK$4,"")))</f>
        <v/>
      </c>
      <c r="AB82" t="str">
        <f t="array" ref="AB82">IF($Q82="","",_xlfn.TEXTJOIN(", ",TRUE,IF(NOV!$G84:$AK84="HE",NOV!$G$4:$AK$4,"")))</f>
        <v/>
      </c>
      <c r="AC82" t="str">
        <f t="array" ref="AC82">IF($Q82="","",_xlfn.TEXTJOIN(", ",TRUE,IF(DEZ!$G84:$AK84="HE",DEZ!$G$4:$AK$4,"")))</f>
        <v/>
      </c>
      <c r="AD82">
        <f>IF($Q82="","",SUM(JAN:DEZ!C84))</f>
        <v>0</v>
      </c>
      <c r="AF82" t="str">
        <f>IF(AND($Q82&lt;&gt;"",N($AD82)&gt;0),COUNT($AF$3:AF81)+1,"")</f>
        <v/>
      </c>
    </row>
    <row r="83" spans="1:32" x14ac:dyDescent="0.25">
      <c r="A83" s="36" t="str">
        <f>IFERROR(INDEX($Q$4:$Q$153,MATCH(ROWS($A$4:A83),$AF$4:$AF$153,0)),"")</f>
        <v/>
      </c>
      <c r="B83" s="35" t="str">
        <f>IFERROR(INDEX($R$4:$R$153,MATCH(ROWS($A$4:A83),$AF$4:$AF$153,0)),"")</f>
        <v/>
      </c>
      <c r="C83" s="35" t="str">
        <f>IFERROR(INDEX($S$4:$S$153,MATCH(ROWS($A$4:A83),$AF$4:$AF$153,0)),"")</f>
        <v/>
      </c>
      <c r="D83" s="35" t="str">
        <f>IFERROR(INDEX($T$4:$T$153,MATCH(ROWS($A$4:A83),$AF$4:$AF$153,0)),"")</f>
        <v/>
      </c>
      <c r="E83" s="35" t="str">
        <f>IFERROR(INDEX($U$4:$U$153,MATCH(ROWS($A$4:A83),$AF$4:$AF$153,0)),"")</f>
        <v/>
      </c>
      <c r="F83" s="35" t="str">
        <f>IFERROR(INDEX($V$4:$V$153,MATCH(ROWS($A$4:A83),$AF$4:$AF$153,0)),"")</f>
        <v/>
      </c>
      <c r="G83" s="35" t="str">
        <f>IFERROR(INDEX($W$4:$W$153,MATCH(ROWS($A$4:A83),$AF$4:$AF$153,0)),"")</f>
        <v/>
      </c>
      <c r="H83" s="35" t="str">
        <f>IFERROR(INDEX($X$4:$X$153,MATCH(ROWS($A$4:A83),$AF$4:$AF$153,0)),"")</f>
        <v/>
      </c>
      <c r="I83" s="35" t="str">
        <f>IFERROR(INDEX($Y$4:$Y$153,MATCH(ROWS($A$4:A83),$AF$4:$AF$153,0)),"")</f>
        <v/>
      </c>
      <c r="J83" s="35" t="str">
        <f>IFERROR(INDEX($Z$4:$Z$153,MATCH(ROWS($A$4:A83),$AF$4:$AF$153,0)),"")</f>
        <v/>
      </c>
      <c r="K83" s="35" t="str">
        <f>IFERROR(INDEX($AA$4:$AA$153,MATCH(ROWS($A$4:A83),$AF$4:$AF$153,0)),"")</f>
        <v/>
      </c>
      <c r="L83" s="35" t="str">
        <f>IFERROR(INDEX($AB$4:$AB$153,MATCH(ROWS($A$4:A83),$AF$4:$AF$153,0)),"")</f>
        <v/>
      </c>
      <c r="M83" s="35" t="str">
        <f>IFERROR(INDEX($AC$4:$AC$153,MATCH(ROWS($A$4:A83),$AF$4:$AF$153,0)),"")</f>
        <v/>
      </c>
      <c r="N83" s="35" t="str">
        <f>IFERROR(INDEX($AD$4:$AD$153,MATCH(ROWS($A$4:A83),$AF$4:$AF$153,0)),"")</f>
        <v/>
      </c>
      <c r="Q83" t="str">
        <f>T(JAN!B85)</f>
        <v>MARCELO CUSTORIO 313401</v>
      </c>
      <c r="R83" t="str">
        <f t="array" ref="R83">IF($Q83="","",_xlfn.TEXTJOIN(", ",TRUE,IF(JAN!$G85:$AK85="HE",JAN!$G$4:$AK$4,"")))</f>
        <v/>
      </c>
      <c r="S83" t="str">
        <f t="array" ref="S83">IF($Q83="","",_xlfn.TEXTJOIN(", ",TRUE,IF(FEV!$G85:$AK85="HE",FEV!$G$4:$AK$4,"")))</f>
        <v/>
      </c>
      <c r="T83" t="str">
        <f t="array" ref="T83">IF($Q83="","",_xlfn.TEXTJOIN(", ",TRUE,IF(MAR!$G85:$AK85="HE",MAR!$G$4:$AK$4,"")))</f>
        <v/>
      </c>
      <c r="U83" t="str">
        <f t="array" ref="U83">IF($Q83="","",_xlfn.TEXTJOIN(", ",TRUE,IF(ABR!$G85:$AK85="HE",ABR!$G$4:$AK$4,"")))</f>
        <v/>
      </c>
      <c r="V83" t="str">
        <f t="array" ref="V83">IF($Q83="","",_xlfn.TEXTJOIN(", ",TRUE,IF(MAI!$G85:$AK85="HE",MAI!$G$4:$AK$4,"")))</f>
        <v/>
      </c>
      <c r="W83" t="str">
        <f t="array" ref="W83">IF($Q83="","",_xlfn.TEXTJOIN(", ",TRUE,IF(JUN!$G85:$AK85="HE",JUN!$G$4:$AK$4,"")))</f>
        <v/>
      </c>
      <c r="X83" t="str">
        <f t="array" ref="X83">IF($Q83="","",_xlfn.TEXTJOIN(", ",TRUE,IF(JUL!$G85:$AK85="HE",JUL!$G$4:$AK$4,"")))</f>
        <v/>
      </c>
      <c r="Y83" t="str">
        <f t="array" ref="Y83">IF($Q83="","",_xlfn.TEXTJOIN(", ",TRUE,IF(AGO!$G85:$AK85="HE",AGO!$G$4:$AK$4,"")))</f>
        <v/>
      </c>
      <c r="Z83" t="str">
        <f t="array" ref="Z83">IF($Q83="","",_xlfn.TEXTJOIN(", ",TRUE,IF(SET!$G85:$AK85="HE",SET!$G$4:$AK$4,"")))</f>
        <v/>
      </c>
      <c r="AA83" t="str">
        <f t="array" ref="AA83">IF($Q83="","",_xlfn.TEXTJOIN(", ",TRUE,IF(OUT!$G85:$AK85="HE",OUT!$G$4:$AK$4,"")))</f>
        <v/>
      </c>
      <c r="AB83" t="str">
        <f t="array" ref="AB83">IF($Q83="","",_xlfn.TEXTJOIN(", ",TRUE,IF(NOV!$G85:$AK85="HE",NOV!$G$4:$AK$4,"")))</f>
        <v/>
      </c>
      <c r="AC83" t="str">
        <f t="array" ref="AC83">IF($Q83="","",_xlfn.TEXTJOIN(", ",TRUE,IF(DEZ!$G85:$AK85="HE",DEZ!$G$4:$AK$4,"")))</f>
        <v/>
      </c>
      <c r="AD83">
        <f>IF($Q83="","",SUM(JAN:DEZ!C85))</f>
        <v>0</v>
      </c>
      <c r="AF83" t="str">
        <f>IF(AND($Q83&lt;&gt;"",N($AD83)&gt;0),COUNT($AF$3:AF82)+1,"")</f>
        <v/>
      </c>
    </row>
    <row r="84" spans="1:32" x14ac:dyDescent="0.25">
      <c r="A84" s="36" t="str">
        <f>IFERROR(INDEX($Q$4:$Q$153,MATCH(ROWS($A$4:A84),$AF$4:$AF$153,0)),"")</f>
        <v/>
      </c>
      <c r="B84" s="35" t="str">
        <f>IFERROR(INDEX($R$4:$R$153,MATCH(ROWS($A$4:A84),$AF$4:$AF$153,0)),"")</f>
        <v/>
      </c>
      <c r="C84" s="35" t="str">
        <f>IFERROR(INDEX($S$4:$S$153,MATCH(ROWS($A$4:A84),$AF$4:$AF$153,0)),"")</f>
        <v/>
      </c>
      <c r="D84" s="35" t="str">
        <f>IFERROR(INDEX($T$4:$T$153,MATCH(ROWS($A$4:A84),$AF$4:$AF$153,0)),"")</f>
        <v/>
      </c>
      <c r="E84" s="35" t="str">
        <f>IFERROR(INDEX($U$4:$U$153,MATCH(ROWS($A$4:A84),$AF$4:$AF$153,0)),"")</f>
        <v/>
      </c>
      <c r="F84" s="35" t="str">
        <f>IFERROR(INDEX($V$4:$V$153,MATCH(ROWS($A$4:A84),$AF$4:$AF$153,0)),"")</f>
        <v/>
      </c>
      <c r="G84" s="35" t="str">
        <f>IFERROR(INDEX($W$4:$W$153,MATCH(ROWS($A$4:A84),$AF$4:$AF$153,0)),"")</f>
        <v/>
      </c>
      <c r="H84" s="35" t="str">
        <f>IFERROR(INDEX($X$4:$X$153,MATCH(ROWS($A$4:A84),$AF$4:$AF$153,0)),"")</f>
        <v/>
      </c>
      <c r="I84" s="35" t="str">
        <f>IFERROR(INDEX($Y$4:$Y$153,MATCH(ROWS($A$4:A84),$AF$4:$AF$153,0)),"")</f>
        <v/>
      </c>
      <c r="J84" s="35" t="str">
        <f>IFERROR(INDEX($Z$4:$Z$153,MATCH(ROWS($A$4:A84),$AF$4:$AF$153,0)),"")</f>
        <v/>
      </c>
      <c r="K84" s="35" t="str">
        <f>IFERROR(INDEX($AA$4:$AA$153,MATCH(ROWS($A$4:A84),$AF$4:$AF$153,0)),"")</f>
        <v/>
      </c>
      <c r="L84" s="35" t="str">
        <f>IFERROR(INDEX($AB$4:$AB$153,MATCH(ROWS($A$4:A84),$AF$4:$AF$153,0)),"")</f>
        <v/>
      </c>
      <c r="M84" s="35" t="str">
        <f>IFERROR(INDEX($AC$4:$AC$153,MATCH(ROWS($A$4:A84),$AF$4:$AF$153,0)),"")</f>
        <v/>
      </c>
      <c r="N84" s="35" t="str">
        <f>IFERROR(INDEX($AD$4:$AD$153,MATCH(ROWS($A$4:A84),$AF$4:$AF$153,0)),"")</f>
        <v/>
      </c>
      <c r="Q84" t="str">
        <f>T(JAN!B86)</f>
        <v>TAYLOR TEMPORÁRIO</v>
      </c>
      <c r="R84" t="str">
        <f t="array" ref="R84">IF($Q84="","",_xlfn.TEXTJOIN(", ",TRUE,IF(JAN!$G86:$AK86="HE",JAN!$G$4:$AK$4,"")))</f>
        <v/>
      </c>
      <c r="S84" t="str">
        <f t="array" ref="S84">IF($Q84="","",_xlfn.TEXTJOIN(", ",TRUE,IF(FEV!$G86:$AK86="HE",FEV!$G$4:$AK$4,"")))</f>
        <v/>
      </c>
      <c r="T84" t="str">
        <f t="array" ref="T84">IF($Q84="","",_xlfn.TEXTJOIN(", ",TRUE,IF(MAR!$G86:$AK86="HE",MAR!$G$4:$AK$4,"")))</f>
        <v/>
      </c>
      <c r="U84" t="str">
        <f t="array" ref="U84">IF($Q84="","",_xlfn.TEXTJOIN(", ",TRUE,IF(ABR!$G86:$AK86="HE",ABR!$G$4:$AK$4,"")))</f>
        <v/>
      </c>
      <c r="V84" t="str">
        <f t="array" ref="V84">IF($Q84="","",_xlfn.TEXTJOIN(", ",TRUE,IF(MAI!$G86:$AK86="HE",MAI!$G$4:$AK$4,"")))</f>
        <v/>
      </c>
      <c r="W84" t="str">
        <f t="array" ref="W84">IF($Q84="","",_xlfn.TEXTJOIN(", ",TRUE,IF(JUN!$G86:$AK86="HE",JUN!$G$4:$AK$4,"")))</f>
        <v/>
      </c>
      <c r="X84" t="str">
        <f t="array" ref="X84">IF($Q84="","",_xlfn.TEXTJOIN(", ",TRUE,IF(JUL!$G86:$AK86="HE",JUL!$G$4:$AK$4,"")))</f>
        <v/>
      </c>
      <c r="Y84" t="str">
        <f t="array" ref="Y84">IF($Q84="","",_xlfn.TEXTJOIN(", ",TRUE,IF(AGO!$G86:$AK86="HE",AGO!$G$4:$AK$4,"")))</f>
        <v/>
      </c>
      <c r="Z84" t="str">
        <f t="array" ref="Z84">IF($Q84="","",_xlfn.TEXTJOIN(", ",TRUE,IF(SET!$G86:$AK86="HE",SET!$G$4:$AK$4,"")))</f>
        <v/>
      </c>
      <c r="AA84" t="str">
        <f t="array" ref="AA84">IF($Q84="","",_xlfn.TEXTJOIN(", ",TRUE,IF(OUT!$G86:$AK86="HE",OUT!$G$4:$AK$4,"")))</f>
        <v>18</v>
      </c>
      <c r="AB84" t="str">
        <f t="array" ref="AB84">IF($Q84="","",_xlfn.TEXTJOIN(", ",TRUE,IF(NOV!$G86:$AK86="HE",NOV!$G$4:$AK$4,"")))</f>
        <v/>
      </c>
      <c r="AC84" t="str">
        <f t="array" ref="AC84">IF($Q84="","",_xlfn.TEXTJOIN(", ",TRUE,IF(DEZ!$G86:$AK86="HE",DEZ!$G$4:$AK$4,"")))</f>
        <v/>
      </c>
      <c r="AD84">
        <f>IF($Q84="","",SUM(JAN:DEZ!C86))</f>
        <v>1</v>
      </c>
      <c r="AF84">
        <f>IF(AND($Q84&lt;&gt;"",N($AD84)&gt;0),COUNT($AF$3:AF83)+1,"")</f>
        <v>43</v>
      </c>
    </row>
    <row r="85" spans="1:32" x14ac:dyDescent="0.25">
      <c r="A85" s="36" t="str">
        <f>IFERROR(INDEX($Q$4:$Q$153,MATCH(ROWS($A$4:A85),$AF$4:$AF$153,0)),"")</f>
        <v/>
      </c>
      <c r="B85" s="35" t="str">
        <f>IFERROR(INDEX($R$4:$R$153,MATCH(ROWS($A$4:A85),$AF$4:$AF$153,0)),"")</f>
        <v/>
      </c>
      <c r="C85" s="35" t="str">
        <f>IFERROR(INDEX($S$4:$S$153,MATCH(ROWS($A$4:A85),$AF$4:$AF$153,0)),"")</f>
        <v/>
      </c>
      <c r="D85" s="35" t="str">
        <f>IFERROR(INDEX($T$4:$T$153,MATCH(ROWS($A$4:A85),$AF$4:$AF$153,0)),"")</f>
        <v/>
      </c>
      <c r="E85" s="35" t="str">
        <f>IFERROR(INDEX($U$4:$U$153,MATCH(ROWS($A$4:A85),$AF$4:$AF$153,0)),"")</f>
        <v/>
      </c>
      <c r="F85" s="35" t="str">
        <f>IFERROR(INDEX($V$4:$V$153,MATCH(ROWS($A$4:A85),$AF$4:$AF$153,0)),"")</f>
        <v/>
      </c>
      <c r="G85" s="35" t="str">
        <f>IFERROR(INDEX($W$4:$W$153,MATCH(ROWS($A$4:A85),$AF$4:$AF$153,0)),"")</f>
        <v/>
      </c>
      <c r="H85" s="35" t="str">
        <f>IFERROR(INDEX($X$4:$X$153,MATCH(ROWS($A$4:A85),$AF$4:$AF$153,0)),"")</f>
        <v/>
      </c>
      <c r="I85" s="35" t="str">
        <f>IFERROR(INDEX($Y$4:$Y$153,MATCH(ROWS($A$4:A85),$AF$4:$AF$153,0)),"")</f>
        <v/>
      </c>
      <c r="J85" s="35" t="str">
        <f>IFERROR(INDEX($Z$4:$Z$153,MATCH(ROWS($A$4:A85),$AF$4:$AF$153,0)),"")</f>
        <v/>
      </c>
      <c r="K85" s="35" t="str">
        <f>IFERROR(INDEX($AA$4:$AA$153,MATCH(ROWS($A$4:A85),$AF$4:$AF$153,0)),"")</f>
        <v/>
      </c>
      <c r="L85" s="35" t="str">
        <f>IFERROR(INDEX($AB$4:$AB$153,MATCH(ROWS($A$4:A85),$AF$4:$AF$153,0)),"")</f>
        <v/>
      </c>
      <c r="M85" s="35" t="str">
        <f>IFERROR(INDEX($AC$4:$AC$153,MATCH(ROWS($A$4:A85),$AF$4:$AF$153,0)),"")</f>
        <v/>
      </c>
      <c r="N85" s="35" t="str">
        <f>IFERROR(INDEX($AD$4:$AD$153,MATCH(ROWS($A$4:A85),$AF$4:$AF$153,0)),"")</f>
        <v/>
      </c>
      <c r="Q85" t="str">
        <f>T(JAN!B87)</f>
        <v>ÉRICK TEMPORÁRIO</v>
      </c>
      <c r="R85" t="str">
        <f t="array" ref="R85">IF($Q85="","",_xlfn.TEXTJOIN(", ",TRUE,IF(JAN!$G87:$AK87="HE",JAN!$G$4:$AK$4,"")))</f>
        <v/>
      </c>
      <c r="S85" t="str">
        <f t="array" ref="S85">IF($Q85="","",_xlfn.TEXTJOIN(", ",TRUE,IF(FEV!$G87:$AK87="HE",FEV!$G$4:$AK$4,"")))</f>
        <v/>
      </c>
      <c r="T85" t="str">
        <f t="array" ref="T85">IF($Q85="","",_xlfn.TEXTJOIN(", ",TRUE,IF(MAR!$G87:$AK87="HE",MAR!$G$4:$AK$4,"")))</f>
        <v/>
      </c>
      <c r="U85" t="str">
        <f t="array" ref="U85">IF($Q85="","",_xlfn.TEXTJOIN(", ",TRUE,IF(ABR!$G87:$AK87="HE",ABR!$G$4:$AK$4,"")))</f>
        <v/>
      </c>
      <c r="V85" t="str">
        <f t="array" ref="V85">IF($Q85="","",_xlfn.TEXTJOIN(", ",TRUE,IF(MAI!$G87:$AK87="HE",MAI!$G$4:$AK$4,"")))</f>
        <v/>
      </c>
      <c r="W85" t="str">
        <f t="array" ref="W85">IF($Q85="","",_xlfn.TEXTJOIN(", ",TRUE,IF(JUN!$G87:$AK87="HE",JUN!$G$4:$AK$4,"")))</f>
        <v/>
      </c>
      <c r="X85" t="str">
        <f t="array" ref="X85">IF($Q85="","",_xlfn.TEXTJOIN(", ",TRUE,IF(JUL!$G87:$AK87="HE",JUL!$G$4:$AK$4,"")))</f>
        <v/>
      </c>
      <c r="Y85" t="str">
        <f t="array" ref="Y85">IF($Q85="","",_xlfn.TEXTJOIN(", ",TRUE,IF(AGO!$G87:$AK87="HE",AGO!$G$4:$AK$4,"")))</f>
        <v/>
      </c>
      <c r="Z85" t="str">
        <f t="array" ref="Z85">IF($Q85="","",_xlfn.TEXTJOIN(", ",TRUE,IF(SET!$G87:$AK87="HE",SET!$G$4:$AK$4,"")))</f>
        <v/>
      </c>
      <c r="AA85" t="str">
        <f t="array" ref="AA85">IF($Q85="","",_xlfn.TEXTJOIN(", ",TRUE,IF(OUT!$G87:$AK87="HE",OUT!$G$4:$AK$4,"")))</f>
        <v>18</v>
      </c>
      <c r="AB85" t="str">
        <f t="array" ref="AB85">IF($Q85="","",_xlfn.TEXTJOIN(", ",TRUE,IF(NOV!$G87:$AK87="HE",NOV!$G$4:$AK$4,"")))</f>
        <v/>
      </c>
      <c r="AC85" t="str">
        <f t="array" ref="AC85">IF($Q85="","",_xlfn.TEXTJOIN(", ",TRUE,IF(DEZ!$G87:$AK87="HE",DEZ!$G$4:$AK$4,"")))</f>
        <v/>
      </c>
      <c r="AD85">
        <f>IF($Q85="","",SUM(JAN:DEZ!C87))</f>
        <v>1</v>
      </c>
      <c r="AF85">
        <f>IF(AND($Q85&lt;&gt;"",N($AD85)&gt;0),COUNT($AF$3:AF84)+1,"")</f>
        <v>44</v>
      </c>
    </row>
    <row r="86" spans="1:32" x14ac:dyDescent="0.25">
      <c r="A86" s="36" t="str">
        <f>IFERROR(INDEX($Q$4:$Q$153,MATCH(ROWS($A$4:A86),$AF$4:$AF$153,0)),"")</f>
        <v/>
      </c>
      <c r="B86" s="35" t="str">
        <f>IFERROR(INDEX($R$4:$R$153,MATCH(ROWS($A$4:A86),$AF$4:$AF$153,0)),"")</f>
        <v/>
      </c>
      <c r="C86" s="35" t="str">
        <f>IFERROR(INDEX($S$4:$S$153,MATCH(ROWS($A$4:A86),$AF$4:$AF$153,0)),"")</f>
        <v/>
      </c>
      <c r="D86" s="35" t="str">
        <f>IFERROR(INDEX($T$4:$T$153,MATCH(ROWS($A$4:A86),$AF$4:$AF$153,0)),"")</f>
        <v/>
      </c>
      <c r="E86" s="35" t="str">
        <f>IFERROR(INDEX($U$4:$U$153,MATCH(ROWS($A$4:A86),$AF$4:$AF$153,0)),"")</f>
        <v/>
      </c>
      <c r="F86" s="35" t="str">
        <f>IFERROR(INDEX($V$4:$V$153,MATCH(ROWS($A$4:A86),$AF$4:$AF$153,0)),"")</f>
        <v/>
      </c>
      <c r="G86" s="35" t="str">
        <f>IFERROR(INDEX($W$4:$W$153,MATCH(ROWS($A$4:A86),$AF$4:$AF$153,0)),"")</f>
        <v/>
      </c>
      <c r="H86" s="35" t="str">
        <f>IFERROR(INDEX($X$4:$X$153,MATCH(ROWS($A$4:A86),$AF$4:$AF$153,0)),"")</f>
        <v/>
      </c>
      <c r="I86" s="35" t="str">
        <f>IFERROR(INDEX($Y$4:$Y$153,MATCH(ROWS($A$4:A86),$AF$4:$AF$153,0)),"")</f>
        <v/>
      </c>
      <c r="J86" s="35" t="str">
        <f>IFERROR(INDEX($Z$4:$Z$153,MATCH(ROWS($A$4:A86),$AF$4:$AF$153,0)),"")</f>
        <v/>
      </c>
      <c r="K86" s="35" t="str">
        <f>IFERROR(INDEX($AA$4:$AA$153,MATCH(ROWS($A$4:A86),$AF$4:$AF$153,0)),"")</f>
        <v/>
      </c>
      <c r="L86" s="35" t="str">
        <f>IFERROR(INDEX($AB$4:$AB$153,MATCH(ROWS($A$4:A86),$AF$4:$AF$153,0)),"")</f>
        <v/>
      </c>
      <c r="M86" s="35" t="str">
        <f>IFERROR(INDEX($AC$4:$AC$153,MATCH(ROWS($A$4:A86),$AF$4:$AF$153,0)),"")</f>
        <v/>
      </c>
      <c r="N86" s="35" t="str">
        <f>IFERROR(INDEX($AD$4:$AD$153,MATCH(ROWS($A$4:A86),$AF$4:$AF$153,0)),"")</f>
        <v/>
      </c>
      <c r="Q86" t="str">
        <f>T(JAN!B88)</f>
        <v/>
      </c>
      <c r="R86" t="str">
        <f t="array" ref="R86">IF($Q86="","",_xlfn.TEXTJOIN(", ",TRUE,IF(JAN!$G88:$AK88="HE",JAN!$G$4:$AK$4,"")))</f>
        <v/>
      </c>
      <c r="S86" t="str">
        <f t="array" ref="S86">IF($Q86="","",_xlfn.TEXTJOIN(", ",TRUE,IF(FEV!$G88:$AK88="HE",FEV!$G$4:$AK$4,"")))</f>
        <v/>
      </c>
      <c r="T86" t="str">
        <f t="array" ref="T86">IF($Q86="","",_xlfn.TEXTJOIN(", ",TRUE,IF(MAR!$G88:$AK88="HE",MAR!$G$4:$AK$4,"")))</f>
        <v/>
      </c>
      <c r="U86" t="str">
        <f t="array" ref="U86">IF($Q86="","",_xlfn.TEXTJOIN(", ",TRUE,IF(ABR!$G88:$AK88="HE",ABR!$G$4:$AK$4,"")))</f>
        <v/>
      </c>
      <c r="V86" t="str">
        <f t="array" ref="V86">IF($Q86="","",_xlfn.TEXTJOIN(", ",TRUE,IF(MAI!$G88:$AK88="HE",MAI!$G$4:$AK$4,"")))</f>
        <v/>
      </c>
      <c r="W86" t="str">
        <f t="array" ref="W86">IF($Q86="","",_xlfn.TEXTJOIN(", ",TRUE,IF(JUN!$G88:$AK88="HE",JUN!$G$4:$AK$4,"")))</f>
        <v/>
      </c>
      <c r="X86" t="str">
        <f t="array" ref="X86">IF($Q86="","",_xlfn.TEXTJOIN(", ",TRUE,IF(JUL!$G88:$AK88="HE",JUL!$G$4:$AK$4,"")))</f>
        <v/>
      </c>
      <c r="Y86" t="str">
        <f t="array" ref="Y86">IF($Q86="","",_xlfn.TEXTJOIN(", ",TRUE,IF(AGO!$G88:$AK88="HE",AGO!$G$4:$AK$4,"")))</f>
        <v/>
      </c>
      <c r="Z86" t="str">
        <f t="array" ref="Z86">IF($Q86="","",_xlfn.TEXTJOIN(", ",TRUE,IF(SET!$G88:$AK88="HE",SET!$G$4:$AK$4,"")))</f>
        <v/>
      </c>
      <c r="AA86" t="str">
        <f t="array" ref="AA86">IF($Q86="","",_xlfn.TEXTJOIN(", ",TRUE,IF(OUT!$G88:$AK88="HE",OUT!$G$4:$AK$4,"")))</f>
        <v/>
      </c>
      <c r="AB86" t="str">
        <f t="array" ref="AB86">IF($Q86="","",_xlfn.TEXTJOIN(", ",TRUE,IF(NOV!$G88:$AK88="HE",NOV!$G$4:$AK$4,"")))</f>
        <v/>
      </c>
      <c r="AC86" t="str">
        <f t="array" ref="AC86">IF($Q86="","",_xlfn.TEXTJOIN(", ",TRUE,IF(DEZ!$G88:$AK88="HE",DEZ!$G$4:$AK$4,"")))</f>
        <v/>
      </c>
      <c r="AD86" t="str">
        <f>IF($Q86="","",SUM(JAN:DEZ!C88))</f>
        <v/>
      </c>
      <c r="AF86" t="str">
        <f>IF(AND($Q86&lt;&gt;"",N($AD86)&gt;0),COUNT($AF$3:AF85)+1,"")</f>
        <v/>
      </c>
    </row>
    <row r="87" spans="1:32" x14ac:dyDescent="0.25">
      <c r="A87" s="36" t="str">
        <f>IFERROR(INDEX($Q$4:$Q$153,MATCH(ROWS($A$4:A87),$AF$4:$AF$153,0)),"")</f>
        <v/>
      </c>
      <c r="B87" s="35" t="str">
        <f>IFERROR(INDEX($R$4:$R$153,MATCH(ROWS($A$4:A87),$AF$4:$AF$153,0)),"")</f>
        <v/>
      </c>
      <c r="C87" s="35" t="str">
        <f>IFERROR(INDEX($S$4:$S$153,MATCH(ROWS($A$4:A87),$AF$4:$AF$153,0)),"")</f>
        <v/>
      </c>
      <c r="D87" s="35" t="str">
        <f>IFERROR(INDEX($T$4:$T$153,MATCH(ROWS($A$4:A87),$AF$4:$AF$153,0)),"")</f>
        <v/>
      </c>
      <c r="E87" s="35" t="str">
        <f>IFERROR(INDEX($U$4:$U$153,MATCH(ROWS($A$4:A87),$AF$4:$AF$153,0)),"")</f>
        <v/>
      </c>
      <c r="F87" s="35" t="str">
        <f>IFERROR(INDEX($V$4:$V$153,MATCH(ROWS($A$4:A87),$AF$4:$AF$153,0)),"")</f>
        <v/>
      </c>
      <c r="G87" s="35" t="str">
        <f>IFERROR(INDEX($W$4:$W$153,MATCH(ROWS($A$4:A87),$AF$4:$AF$153,0)),"")</f>
        <v/>
      </c>
      <c r="H87" s="35" t="str">
        <f>IFERROR(INDEX($X$4:$X$153,MATCH(ROWS($A$4:A87),$AF$4:$AF$153,0)),"")</f>
        <v/>
      </c>
      <c r="I87" s="35" t="str">
        <f>IFERROR(INDEX($Y$4:$Y$153,MATCH(ROWS($A$4:A87),$AF$4:$AF$153,0)),"")</f>
        <v/>
      </c>
      <c r="J87" s="35" t="str">
        <f>IFERROR(INDEX($Z$4:$Z$153,MATCH(ROWS($A$4:A87),$AF$4:$AF$153,0)),"")</f>
        <v/>
      </c>
      <c r="K87" s="35" t="str">
        <f>IFERROR(INDEX($AA$4:$AA$153,MATCH(ROWS($A$4:A87),$AF$4:$AF$153,0)),"")</f>
        <v/>
      </c>
      <c r="L87" s="35" t="str">
        <f>IFERROR(INDEX($AB$4:$AB$153,MATCH(ROWS($A$4:A87),$AF$4:$AF$153,0)),"")</f>
        <v/>
      </c>
      <c r="M87" s="35" t="str">
        <f>IFERROR(INDEX($AC$4:$AC$153,MATCH(ROWS($A$4:A87),$AF$4:$AF$153,0)),"")</f>
        <v/>
      </c>
      <c r="N87" s="35" t="str">
        <f>IFERROR(INDEX($AD$4:$AD$153,MATCH(ROWS($A$4:A87),$AF$4:$AF$153,0)),"")</f>
        <v/>
      </c>
      <c r="Q87" t="str">
        <f>T(JAN!B89)</f>
        <v/>
      </c>
      <c r="R87" t="str">
        <f t="array" ref="R87">IF($Q87="","",_xlfn.TEXTJOIN(", ",TRUE,IF(JAN!$G89:$AK89="HE",JAN!$G$4:$AK$4,"")))</f>
        <v/>
      </c>
      <c r="S87" t="str">
        <f t="array" ref="S87">IF($Q87="","",_xlfn.TEXTJOIN(", ",TRUE,IF(FEV!$G89:$AK89="HE",FEV!$G$4:$AK$4,"")))</f>
        <v/>
      </c>
      <c r="T87" t="str">
        <f t="array" ref="T87">IF($Q87="","",_xlfn.TEXTJOIN(", ",TRUE,IF(MAR!$G89:$AK89="HE",MAR!$G$4:$AK$4,"")))</f>
        <v/>
      </c>
      <c r="U87" t="str">
        <f t="array" ref="U87">IF($Q87="","",_xlfn.TEXTJOIN(", ",TRUE,IF(ABR!$G89:$AK89="HE",ABR!$G$4:$AK$4,"")))</f>
        <v/>
      </c>
      <c r="V87" t="str">
        <f t="array" ref="V87">IF($Q87="","",_xlfn.TEXTJOIN(", ",TRUE,IF(MAI!$G89:$AK89="HE",MAI!$G$4:$AK$4,"")))</f>
        <v/>
      </c>
      <c r="W87" t="str">
        <f t="array" ref="W87">IF($Q87="","",_xlfn.TEXTJOIN(", ",TRUE,IF(JUN!$G89:$AK89="HE",JUN!$G$4:$AK$4,"")))</f>
        <v/>
      </c>
      <c r="X87" t="str">
        <f t="array" ref="X87">IF($Q87="","",_xlfn.TEXTJOIN(", ",TRUE,IF(JUL!$G89:$AK89="HE",JUL!$G$4:$AK$4,"")))</f>
        <v/>
      </c>
      <c r="Y87" t="str">
        <f t="array" ref="Y87">IF($Q87="","",_xlfn.TEXTJOIN(", ",TRUE,IF(AGO!$G89:$AK89="HE",AGO!$G$4:$AK$4,"")))</f>
        <v/>
      </c>
      <c r="Z87" t="str">
        <f t="array" ref="Z87">IF($Q87="","",_xlfn.TEXTJOIN(", ",TRUE,IF(SET!$G89:$AK89="HE",SET!$G$4:$AK$4,"")))</f>
        <v/>
      </c>
      <c r="AA87" t="str">
        <f t="array" ref="AA87">IF($Q87="","",_xlfn.TEXTJOIN(", ",TRUE,IF(OUT!$G89:$AK89="HE",OUT!$G$4:$AK$4,"")))</f>
        <v/>
      </c>
      <c r="AB87" t="str">
        <f t="array" ref="AB87">IF($Q87="","",_xlfn.TEXTJOIN(", ",TRUE,IF(NOV!$G89:$AK89="HE",NOV!$G$4:$AK$4,"")))</f>
        <v/>
      </c>
      <c r="AC87" t="str">
        <f t="array" ref="AC87">IF($Q87="","",_xlfn.TEXTJOIN(", ",TRUE,IF(DEZ!$G89:$AK89="HE",DEZ!$G$4:$AK$4,"")))</f>
        <v/>
      </c>
      <c r="AD87" t="str">
        <f>IF($Q87="","",SUM(JAN:DEZ!C89))</f>
        <v/>
      </c>
      <c r="AF87" t="str">
        <f>IF(AND($Q87&lt;&gt;"",N($AD87)&gt;0),COUNT($AF$3:AF86)+1,"")</f>
        <v/>
      </c>
    </row>
    <row r="88" spans="1:32" x14ac:dyDescent="0.25">
      <c r="A88" s="36" t="str">
        <f>IFERROR(INDEX($Q$4:$Q$153,MATCH(ROWS($A$4:A88),$AF$4:$AF$153,0)),"")</f>
        <v/>
      </c>
      <c r="B88" s="35" t="str">
        <f>IFERROR(INDEX($R$4:$R$153,MATCH(ROWS($A$4:A88),$AF$4:$AF$153,0)),"")</f>
        <v/>
      </c>
      <c r="C88" s="35" t="str">
        <f>IFERROR(INDEX($S$4:$S$153,MATCH(ROWS($A$4:A88),$AF$4:$AF$153,0)),"")</f>
        <v/>
      </c>
      <c r="D88" s="35" t="str">
        <f>IFERROR(INDEX($T$4:$T$153,MATCH(ROWS($A$4:A88),$AF$4:$AF$153,0)),"")</f>
        <v/>
      </c>
      <c r="E88" s="35" t="str">
        <f>IFERROR(INDEX($U$4:$U$153,MATCH(ROWS($A$4:A88),$AF$4:$AF$153,0)),"")</f>
        <v/>
      </c>
      <c r="F88" s="35" t="str">
        <f>IFERROR(INDEX($V$4:$V$153,MATCH(ROWS($A$4:A88),$AF$4:$AF$153,0)),"")</f>
        <v/>
      </c>
      <c r="G88" s="35" t="str">
        <f>IFERROR(INDEX($W$4:$W$153,MATCH(ROWS($A$4:A88),$AF$4:$AF$153,0)),"")</f>
        <v/>
      </c>
      <c r="H88" s="35" t="str">
        <f>IFERROR(INDEX($X$4:$X$153,MATCH(ROWS($A$4:A88),$AF$4:$AF$153,0)),"")</f>
        <v/>
      </c>
      <c r="I88" s="35" t="str">
        <f>IFERROR(INDEX($Y$4:$Y$153,MATCH(ROWS($A$4:A88),$AF$4:$AF$153,0)),"")</f>
        <v/>
      </c>
      <c r="J88" s="35" t="str">
        <f>IFERROR(INDEX($Z$4:$Z$153,MATCH(ROWS($A$4:A88),$AF$4:$AF$153,0)),"")</f>
        <v/>
      </c>
      <c r="K88" s="35" t="str">
        <f>IFERROR(INDEX($AA$4:$AA$153,MATCH(ROWS($A$4:A88),$AF$4:$AF$153,0)),"")</f>
        <v/>
      </c>
      <c r="L88" s="35" t="str">
        <f>IFERROR(INDEX($AB$4:$AB$153,MATCH(ROWS($A$4:A88),$AF$4:$AF$153,0)),"")</f>
        <v/>
      </c>
      <c r="M88" s="35" t="str">
        <f>IFERROR(INDEX($AC$4:$AC$153,MATCH(ROWS($A$4:A88),$AF$4:$AF$153,0)),"")</f>
        <v/>
      </c>
      <c r="N88" s="35" t="str">
        <f>IFERROR(INDEX($AD$4:$AD$153,MATCH(ROWS($A$4:A88),$AF$4:$AF$153,0)),"")</f>
        <v/>
      </c>
      <c r="Q88" t="str">
        <f>T(JAN!B90)</f>
        <v/>
      </c>
      <c r="R88" t="str">
        <f t="array" ref="R88">IF($Q88="","",_xlfn.TEXTJOIN(", ",TRUE,IF(JAN!$G90:$AK90="HE",JAN!$G$4:$AK$4,"")))</f>
        <v/>
      </c>
      <c r="S88" t="str">
        <f t="array" ref="S88">IF($Q88="","",_xlfn.TEXTJOIN(", ",TRUE,IF(FEV!$G90:$AK90="HE",FEV!$G$4:$AK$4,"")))</f>
        <v/>
      </c>
      <c r="T88" t="str">
        <f t="array" ref="T88">IF($Q88="","",_xlfn.TEXTJOIN(", ",TRUE,IF(MAR!$G90:$AK90="HE",MAR!$G$4:$AK$4,"")))</f>
        <v/>
      </c>
      <c r="U88" t="str">
        <f t="array" ref="U88">IF($Q88="","",_xlfn.TEXTJOIN(", ",TRUE,IF(ABR!$G90:$AK90="HE",ABR!$G$4:$AK$4,"")))</f>
        <v/>
      </c>
      <c r="V88" t="str">
        <f t="array" ref="V88">IF($Q88="","",_xlfn.TEXTJOIN(", ",TRUE,IF(MAI!$G90:$AK90="HE",MAI!$G$4:$AK$4,"")))</f>
        <v/>
      </c>
      <c r="W88" t="str">
        <f t="array" ref="W88">IF($Q88="","",_xlfn.TEXTJOIN(", ",TRUE,IF(JUN!$G90:$AK90="HE",JUN!$G$4:$AK$4,"")))</f>
        <v/>
      </c>
      <c r="X88" t="str">
        <f t="array" ref="X88">IF($Q88="","",_xlfn.TEXTJOIN(", ",TRUE,IF(JUL!$G90:$AK90="HE",JUL!$G$4:$AK$4,"")))</f>
        <v/>
      </c>
      <c r="Y88" t="str">
        <f t="array" ref="Y88">IF($Q88="","",_xlfn.TEXTJOIN(", ",TRUE,IF(AGO!$G90:$AK90="HE",AGO!$G$4:$AK$4,"")))</f>
        <v/>
      </c>
      <c r="Z88" t="str">
        <f t="array" ref="Z88">IF($Q88="","",_xlfn.TEXTJOIN(", ",TRUE,IF(SET!$G90:$AK90="HE",SET!$G$4:$AK$4,"")))</f>
        <v/>
      </c>
      <c r="AA88" t="str">
        <f t="array" ref="AA88">IF($Q88="","",_xlfn.TEXTJOIN(", ",TRUE,IF(OUT!$G90:$AK90="HE",OUT!$G$4:$AK$4,"")))</f>
        <v/>
      </c>
      <c r="AB88" t="str">
        <f t="array" ref="AB88">IF($Q88="","",_xlfn.TEXTJOIN(", ",TRUE,IF(NOV!$G90:$AK90="HE",NOV!$G$4:$AK$4,"")))</f>
        <v/>
      </c>
      <c r="AC88" t="str">
        <f t="array" ref="AC88">IF($Q88="","",_xlfn.TEXTJOIN(", ",TRUE,IF(DEZ!$G90:$AK90="HE",DEZ!$G$4:$AK$4,"")))</f>
        <v/>
      </c>
      <c r="AD88" t="str">
        <f>IF($Q88="","",SUM(JAN:DEZ!C90))</f>
        <v/>
      </c>
      <c r="AF88" t="str">
        <f>IF(AND($Q88&lt;&gt;"",N($AD88)&gt;0),COUNT($AF$3:AF87)+1,"")</f>
        <v/>
      </c>
    </row>
    <row r="89" spans="1:32" x14ac:dyDescent="0.25">
      <c r="A89" s="36" t="str">
        <f>IFERROR(INDEX($Q$4:$Q$153,MATCH(ROWS($A$4:A89),$AF$4:$AF$153,0)),"")</f>
        <v/>
      </c>
      <c r="B89" s="35" t="str">
        <f>IFERROR(INDEX($R$4:$R$153,MATCH(ROWS($A$4:A89),$AF$4:$AF$153,0)),"")</f>
        <v/>
      </c>
      <c r="C89" s="35" t="str">
        <f>IFERROR(INDEX($S$4:$S$153,MATCH(ROWS($A$4:A89),$AF$4:$AF$153,0)),"")</f>
        <v/>
      </c>
      <c r="D89" s="35" t="str">
        <f>IFERROR(INDEX($T$4:$T$153,MATCH(ROWS($A$4:A89),$AF$4:$AF$153,0)),"")</f>
        <v/>
      </c>
      <c r="E89" s="35" t="str">
        <f>IFERROR(INDEX($U$4:$U$153,MATCH(ROWS($A$4:A89),$AF$4:$AF$153,0)),"")</f>
        <v/>
      </c>
      <c r="F89" s="35" t="str">
        <f>IFERROR(INDEX($V$4:$V$153,MATCH(ROWS($A$4:A89),$AF$4:$AF$153,0)),"")</f>
        <v/>
      </c>
      <c r="G89" s="35" t="str">
        <f>IFERROR(INDEX($W$4:$W$153,MATCH(ROWS($A$4:A89),$AF$4:$AF$153,0)),"")</f>
        <v/>
      </c>
      <c r="H89" s="35" t="str">
        <f>IFERROR(INDEX($X$4:$X$153,MATCH(ROWS($A$4:A89),$AF$4:$AF$153,0)),"")</f>
        <v/>
      </c>
      <c r="I89" s="35" t="str">
        <f>IFERROR(INDEX($Y$4:$Y$153,MATCH(ROWS($A$4:A89),$AF$4:$AF$153,0)),"")</f>
        <v/>
      </c>
      <c r="J89" s="35" t="str">
        <f>IFERROR(INDEX($Z$4:$Z$153,MATCH(ROWS($A$4:A89),$AF$4:$AF$153,0)),"")</f>
        <v/>
      </c>
      <c r="K89" s="35" t="str">
        <f>IFERROR(INDEX($AA$4:$AA$153,MATCH(ROWS($A$4:A89),$AF$4:$AF$153,0)),"")</f>
        <v/>
      </c>
      <c r="L89" s="35" t="str">
        <f>IFERROR(INDEX($AB$4:$AB$153,MATCH(ROWS($A$4:A89),$AF$4:$AF$153,0)),"")</f>
        <v/>
      </c>
      <c r="M89" s="35" t="str">
        <f>IFERROR(INDEX($AC$4:$AC$153,MATCH(ROWS($A$4:A89),$AF$4:$AF$153,0)),"")</f>
        <v/>
      </c>
      <c r="N89" s="35" t="str">
        <f>IFERROR(INDEX($AD$4:$AD$153,MATCH(ROWS($A$4:A89),$AF$4:$AF$153,0)),"")</f>
        <v/>
      </c>
      <c r="Q89" t="str">
        <f>T(JAN!B91)</f>
        <v/>
      </c>
      <c r="R89" t="str">
        <f t="array" ref="R89">IF($Q89="","",_xlfn.TEXTJOIN(", ",TRUE,IF(JAN!$G91:$AK91="HE",JAN!$G$4:$AK$4,"")))</f>
        <v/>
      </c>
      <c r="S89" t="str">
        <f t="array" ref="S89">IF($Q89="","",_xlfn.TEXTJOIN(", ",TRUE,IF(FEV!$G91:$AK91="HE",FEV!$G$4:$AK$4,"")))</f>
        <v/>
      </c>
      <c r="T89" t="str">
        <f t="array" ref="T89">IF($Q89="","",_xlfn.TEXTJOIN(", ",TRUE,IF(MAR!$G91:$AK91="HE",MAR!$G$4:$AK$4,"")))</f>
        <v/>
      </c>
      <c r="U89" t="str">
        <f t="array" ref="U89">IF($Q89="","",_xlfn.TEXTJOIN(", ",TRUE,IF(ABR!$G91:$AK91="HE",ABR!$G$4:$AK$4,"")))</f>
        <v/>
      </c>
      <c r="V89" t="str">
        <f t="array" ref="V89">IF($Q89="","",_xlfn.TEXTJOIN(", ",TRUE,IF(MAI!$G91:$AK91="HE",MAI!$G$4:$AK$4,"")))</f>
        <v/>
      </c>
      <c r="W89" t="str">
        <f t="array" ref="W89">IF($Q89="","",_xlfn.TEXTJOIN(", ",TRUE,IF(JUN!$G91:$AK91="HE",JUN!$G$4:$AK$4,"")))</f>
        <v/>
      </c>
      <c r="X89" t="str">
        <f t="array" ref="X89">IF($Q89="","",_xlfn.TEXTJOIN(", ",TRUE,IF(JUL!$G91:$AK91="HE",JUL!$G$4:$AK$4,"")))</f>
        <v/>
      </c>
      <c r="Y89" t="str">
        <f t="array" ref="Y89">IF($Q89="","",_xlfn.TEXTJOIN(", ",TRUE,IF(AGO!$G91:$AK91="HE",AGO!$G$4:$AK$4,"")))</f>
        <v/>
      </c>
      <c r="Z89" t="str">
        <f t="array" ref="Z89">IF($Q89="","",_xlfn.TEXTJOIN(", ",TRUE,IF(SET!$G91:$AK91="HE",SET!$G$4:$AK$4,"")))</f>
        <v/>
      </c>
      <c r="AA89" t="str">
        <f t="array" ref="AA89">IF($Q89="","",_xlfn.TEXTJOIN(", ",TRUE,IF(OUT!$G91:$AK91="HE",OUT!$G$4:$AK$4,"")))</f>
        <v/>
      </c>
      <c r="AB89" t="str">
        <f t="array" ref="AB89">IF($Q89="","",_xlfn.TEXTJOIN(", ",TRUE,IF(NOV!$G91:$AK91="HE",NOV!$G$4:$AK$4,"")))</f>
        <v/>
      </c>
      <c r="AC89" t="str">
        <f t="array" ref="AC89">IF($Q89="","",_xlfn.TEXTJOIN(", ",TRUE,IF(DEZ!$G91:$AK91="HE",DEZ!$G$4:$AK$4,"")))</f>
        <v/>
      </c>
      <c r="AD89" t="str">
        <f>IF($Q89="","",SUM(JAN:DEZ!C91))</f>
        <v/>
      </c>
      <c r="AF89" t="str">
        <f>IF(AND($Q89&lt;&gt;"",N($AD89)&gt;0),COUNT($AF$3:AF88)+1,"")</f>
        <v/>
      </c>
    </row>
    <row r="90" spans="1:32" x14ac:dyDescent="0.25">
      <c r="A90" s="36" t="str">
        <f>IFERROR(INDEX($Q$4:$Q$153,MATCH(ROWS($A$4:A90),$AF$4:$AF$153,0)),"")</f>
        <v/>
      </c>
      <c r="B90" s="35" t="str">
        <f>IFERROR(INDEX($R$4:$R$153,MATCH(ROWS($A$4:A90),$AF$4:$AF$153,0)),"")</f>
        <v/>
      </c>
      <c r="C90" s="35" t="str">
        <f>IFERROR(INDEX($S$4:$S$153,MATCH(ROWS($A$4:A90),$AF$4:$AF$153,0)),"")</f>
        <v/>
      </c>
      <c r="D90" s="35" t="str">
        <f>IFERROR(INDEX($T$4:$T$153,MATCH(ROWS($A$4:A90),$AF$4:$AF$153,0)),"")</f>
        <v/>
      </c>
      <c r="E90" s="35" t="str">
        <f>IFERROR(INDEX($U$4:$U$153,MATCH(ROWS($A$4:A90),$AF$4:$AF$153,0)),"")</f>
        <v/>
      </c>
      <c r="F90" s="35" t="str">
        <f>IFERROR(INDEX($V$4:$V$153,MATCH(ROWS($A$4:A90),$AF$4:$AF$153,0)),"")</f>
        <v/>
      </c>
      <c r="G90" s="35" t="str">
        <f>IFERROR(INDEX($W$4:$W$153,MATCH(ROWS($A$4:A90),$AF$4:$AF$153,0)),"")</f>
        <v/>
      </c>
      <c r="H90" s="35" t="str">
        <f>IFERROR(INDEX($X$4:$X$153,MATCH(ROWS($A$4:A90),$AF$4:$AF$153,0)),"")</f>
        <v/>
      </c>
      <c r="I90" s="35" t="str">
        <f>IFERROR(INDEX($Y$4:$Y$153,MATCH(ROWS($A$4:A90),$AF$4:$AF$153,0)),"")</f>
        <v/>
      </c>
      <c r="J90" s="35" t="str">
        <f>IFERROR(INDEX($Z$4:$Z$153,MATCH(ROWS($A$4:A90),$AF$4:$AF$153,0)),"")</f>
        <v/>
      </c>
      <c r="K90" s="35" t="str">
        <f>IFERROR(INDEX($AA$4:$AA$153,MATCH(ROWS($A$4:A90),$AF$4:$AF$153,0)),"")</f>
        <v/>
      </c>
      <c r="L90" s="35" t="str">
        <f>IFERROR(INDEX($AB$4:$AB$153,MATCH(ROWS($A$4:A90),$AF$4:$AF$153,0)),"")</f>
        <v/>
      </c>
      <c r="M90" s="35" t="str">
        <f>IFERROR(INDEX($AC$4:$AC$153,MATCH(ROWS($A$4:A90),$AF$4:$AF$153,0)),"")</f>
        <v/>
      </c>
      <c r="N90" s="35" t="str">
        <f>IFERROR(INDEX($AD$4:$AD$153,MATCH(ROWS($A$4:A90),$AF$4:$AF$153,0)),"")</f>
        <v/>
      </c>
      <c r="Q90" t="str">
        <f>T(JAN!B92)</f>
        <v/>
      </c>
      <c r="R90" t="str">
        <f t="array" ref="R90">IF($Q90="","",_xlfn.TEXTJOIN(", ",TRUE,IF(JAN!$G92:$AK92="HE",JAN!$G$4:$AK$4,"")))</f>
        <v/>
      </c>
      <c r="S90" t="str">
        <f t="array" ref="S90">IF($Q90="","",_xlfn.TEXTJOIN(", ",TRUE,IF(FEV!$G92:$AK92="HE",FEV!$G$4:$AK$4,"")))</f>
        <v/>
      </c>
      <c r="T90" t="str">
        <f t="array" ref="T90">IF($Q90="","",_xlfn.TEXTJOIN(", ",TRUE,IF(MAR!$G92:$AK92="HE",MAR!$G$4:$AK$4,"")))</f>
        <v/>
      </c>
      <c r="U90" t="str">
        <f t="array" ref="U90">IF($Q90="","",_xlfn.TEXTJOIN(", ",TRUE,IF(ABR!$G92:$AK92="HE",ABR!$G$4:$AK$4,"")))</f>
        <v/>
      </c>
      <c r="V90" t="str">
        <f t="array" ref="V90">IF($Q90="","",_xlfn.TEXTJOIN(", ",TRUE,IF(MAI!$G92:$AK92="HE",MAI!$G$4:$AK$4,"")))</f>
        <v/>
      </c>
      <c r="W90" t="str">
        <f t="array" ref="W90">IF($Q90="","",_xlfn.TEXTJOIN(", ",TRUE,IF(JUN!$G92:$AK92="HE",JUN!$G$4:$AK$4,"")))</f>
        <v/>
      </c>
      <c r="X90" t="str">
        <f t="array" ref="X90">IF($Q90="","",_xlfn.TEXTJOIN(", ",TRUE,IF(JUL!$G92:$AK92="HE",JUL!$G$4:$AK$4,"")))</f>
        <v/>
      </c>
      <c r="Y90" t="str">
        <f t="array" ref="Y90">IF($Q90="","",_xlfn.TEXTJOIN(", ",TRUE,IF(AGO!$G92:$AK92="HE",AGO!$G$4:$AK$4,"")))</f>
        <v/>
      </c>
      <c r="Z90" t="str">
        <f t="array" ref="Z90">IF($Q90="","",_xlfn.TEXTJOIN(", ",TRUE,IF(SET!$G92:$AK92="HE",SET!$G$4:$AK$4,"")))</f>
        <v/>
      </c>
      <c r="AA90" t="str">
        <f t="array" ref="AA90">IF($Q90="","",_xlfn.TEXTJOIN(", ",TRUE,IF(OUT!$G92:$AK92="HE",OUT!$G$4:$AK$4,"")))</f>
        <v/>
      </c>
      <c r="AB90" t="str">
        <f t="array" ref="AB90">IF($Q90="","",_xlfn.TEXTJOIN(", ",TRUE,IF(NOV!$G92:$AK92="HE",NOV!$G$4:$AK$4,"")))</f>
        <v/>
      </c>
      <c r="AC90" t="str">
        <f t="array" ref="AC90">IF($Q90="","",_xlfn.TEXTJOIN(", ",TRUE,IF(DEZ!$G92:$AK92="HE",DEZ!$G$4:$AK$4,"")))</f>
        <v/>
      </c>
      <c r="AD90" t="str">
        <f>IF($Q90="","",SUM(JAN:DEZ!C92))</f>
        <v/>
      </c>
      <c r="AF90" t="str">
        <f>IF(AND($Q90&lt;&gt;"",N($AD90)&gt;0),COUNT($AF$3:AF89)+1,"")</f>
        <v/>
      </c>
    </row>
    <row r="91" spans="1:32" x14ac:dyDescent="0.25">
      <c r="A91" s="36" t="str">
        <f>IFERROR(INDEX($Q$4:$Q$153,MATCH(ROWS($A$4:A91),$AF$4:$AF$153,0)),"")</f>
        <v/>
      </c>
      <c r="B91" s="35" t="str">
        <f>IFERROR(INDEX($R$4:$R$153,MATCH(ROWS($A$4:A91),$AF$4:$AF$153,0)),"")</f>
        <v/>
      </c>
      <c r="C91" s="35" t="str">
        <f>IFERROR(INDEX($S$4:$S$153,MATCH(ROWS($A$4:A91),$AF$4:$AF$153,0)),"")</f>
        <v/>
      </c>
      <c r="D91" s="35" t="str">
        <f>IFERROR(INDEX($T$4:$T$153,MATCH(ROWS($A$4:A91),$AF$4:$AF$153,0)),"")</f>
        <v/>
      </c>
      <c r="E91" s="35" t="str">
        <f>IFERROR(INDEX($U$4:$U$153,MATCH(ROWS($A$4:A91),$AF$4:$AF$153,0)),"")</f>
        <v/>
      </c>
      <c r="F91" s="35" t="str">
        <f>IFERROR(INDEX($V$4:$V$153,MATCH(ROWS($A$4:A91),$AF$4:$AF$153,0)),"")</f>
        <v/>
      </c>
      <c r="G91" s="35" t="str">
        <f>IFERROR(INDEX($W$4:$W$153,MATCH(ROWS($A$4:A91),$AF$4:$AF$153,0)),"")</f>
        <v/>
      </c>
      <c r="H91" s="35" t="str">
        <f>IFERROR(INDEX($X$4:$X$153,MATCH(ROWS($A$4:A91),$AF$4:$AF$153,0)),"")</f>
        <v/>
      </c>
      <c r="I91" s="35" t="str">
        <f>IFERROR(INDEX($Y$4:$Y$153,MATCH(ROWS($A$4:A91),$AF$4:$AF$153,0)),"")</f>
        <v/>
      </c>
      <c r="J91" s="35" t="str">
        <f>IFERROR(INDEX($Z$4:$Z$153,MATCH(ROWS($A$4:A91),$AF$4:$AF$153,0)),"")</f>
        <v/>
      </c>
      <c r="K91" s="35" t="str">
        <f>IFERROR(INDEX($AA$4:$AA$153,MATCH(ROWS($A$4:A91),$AF$4:$AF$153,0)),"")</f>
        <v/>
      </c>
      <c r="L91" s="35" t="str">
        <f>IFERROR(INDEX($AB$4:$AB$153,MATCH(ROWS($A$4:A91),$AF$4:$AF$153,0)),"")</f>
        <v/>
      </c>
      <c r="M91" s="35" t="str">
        <f>IFERROR(INDEX($AC$4:$AC$153,MATCH(ROWS($A$4:A91),$AF$4:$AF$153,0)),"")</f>
        <v/>
      </c>
      <c r="N91" s="35" t="str">
        <f>IFERROR(INDEX($AD$4:$AD$153,MATCH(ROWS($A$4:A91),$AF$4:$AF$153,0)),"")</f>
        <v/>
      </c>
      <c r="Q91" t="str">
        <f>T(JAN!B93)</f>
        <v/>
      </c>
      <c r="R91" t="str">
        <f t="array" ref="R91">IF($Q91="","",_xlfn.TEXTJOIN(", ",TRUE,IF(JAN!$G93:$AK93="HE",JAN!$G$4:$AK$4,"")))</f>
        <v/>
      </c>
      <c r="S91" t="str">
        <f t="array" ref="S91">IF($Q91="","",_xlfn.TEXTJOIN(", ",TRUE,IF(FEV!$G93:$AK93="HE",FEV!$G$4:$AK$4,"")))</f>
        <v/>
      </c>
      <c r="T91" t="str">
        <f t="array" ref="T91">IF($Q91="","",_xlfn.TEXTJOIN(", ",TRUE,IF(MAR!$G93:$AK93="HE",MAR!$G$4:$AK$4,"")))</f>
        <v/>
      </c>
      <c r="U91" t="str">
        <f t="array" ref="U91">IF($Q91="","",_xlfn.TEXTJOIN(", ",TRUE,IF(ABR!$G93:$AK93="HE",ABR!$G$4:$AK$4,"")))</f>
        <v/>
      </c>
      <c r="V91" t="str">
        <f t="array" ref="V91">IF($Q91="","",_xlfn.TEXTJOIN(", ",TRUE,IF(MAI!$G93:$AK93="HE",MAI!$G$4:$AK$4,"")))</f>
        <v/>
      </c>
      <c r="W91" t="str">
        <f t="array" ref="W91">IF($Q91="","",_xlfn.TEXTJOIN(", ",TRUE,IF(JUN!$G93:$AK93="HE",JUN!$G$4:$AK$4,"")))</f>
        <v/>
      </c>
      <c r="X91" t="str">
        <f t="array" ref="X91">IF($Q91="","",_xlfn.TEXTJOIN(", ",TRUE,IF(JUL!$G93:$AK93="HE",JUL!$G$4:$AK$4,"")))</f>
        <v/>
      </c>
      <c r="Y91" t="str">
        <f t="array" ref="Y91">IF($Q91="","",_xlfn.TEXTJOIN(", ",TRUE,IF(AGO!$G93:$AK93="HE",AGO!$G$4:$AK$4,"")))</f>
        <v/>
      </c>
      <c r="Z91" t="str">
        <f t="array" ref="Z91">IF($Q91="","",_xlfn.TEXTJOIN(", ",TRUE,IF(SET!$G93:$AK93="HE",SET!$G$4:$AK$4,"")))</f>
        <v/>
      </c>
      <c r="AA91" t="str">
        <f t="array" ref="AA91">IF($Q91="","",_xlfn.TEXTJOIN(", ",TRUE,IF(OUT!$G93:$AK93="HE",OUT!$G$4:$AK$4,"")))</f>
        <v/>
      </c>
      <c r="AB91" t="str">
        <f t="array" ref="AB91">IF($Q91="","",_xlfn.TEXTJOIN(", ",TRUE,IF(NOV!$G93:$AK93="HE",NOV!$G$4:$AK$4,"")))</f>
        <v/>
      </c>
      <c r="AC91" t="str">
        <f t="array" ref="AC91">IF($Q91="","",_xlfn.TEXTJOIN(", ",TRUE,IF(DEZ!$G93:$AK93="HE",DEZ!$G$4:$AK$4,"")))</f>
        <v/>
      </c>
      <c r="AD91" t="str">
        <f>IF($Q91="","",SUM(JAN:DEZ!C93))</f>
        <v/>
      </c>
      <c r="AF91" t="str">
        <f>IF(AND($Q91&lt;&gt;"",N($AD91)&gt;0),COUNT($AF$3:AF90)+1,"")</f>
        <v/>
      </c>
    </row>
    <row r="92" spans="1:32" x14ac:dyDescent="0.25">
      <c r="A92" s="36" t="str">
        <f>IFERROR(INDEX($Q$4:$Q$153,MATCH(ROWS($A$4:A92),$AF$4:$AF$153,0)),"")</f>
        <v/>
      </c>
      <c r="B92" s="35" t="str">
        <f>IFERROR(INDEX($R$4:$R$153,MATCH(ROWS($A$4:A92),$AF$4:$AF$153,0)),"")</f>
        <v/>
      </c>
      <c r="C92" s="35" t="str">
        <f>IFERROR(INDEX($S$4:$S$153,MATCH(ROWS($A$4:A92),$AF$4:$AF$153,0)),"")</f>
        <v/>
      </c>
      <c r="D92" s="35" t="str">
        <f>IFERROR(INDEX($T$4:$T$153,MATCH(ROWS($A$4:A92),$AF$4:$AF$153,0)),"")</f>
        <v/>
      </c>
      <c r="E92" s="35" t="str">
        <f>IFERROR(INDEX($U$4:$U$153,MATCH(ROWS($A$4:A92),$AF$4:$AF$153,0)),"")</f>
        <v/>
      </c>
      <c r="F92" s="35" t="str">
        <f>IFERROR(INDEX($V$4:$V$153,MATCH(ROWS($A$4:A92),$AF$4:$AF$153,0)),"")</f>
        <v/>
      </c>
      <c r="G92" s="35" t="str">
        <f>IFERROR(INDEX($W$4:$W$153,MATCH(ROWS($A$4:A92),$AF$4:$AF$153,0)),"")</f>
        <v/>
      </c>
      <c r="H92" s="35" t="str">
        <f>IFERROR(INDEX($X$4:$X$153,MATCH(ROWS($A$4:A92),$AF$4:$AF$153,0)),"")</f>
        <v/>
      </c>
      <c r="I92" s="35" t="str">
        <f>IFERROR(INDEX($Y$4:$Y$153,MATCH(ROWS($A$4:A92),$AF$4:$AF$153,0)),"")</f>
        <v/>
      </c>
      <c r="J92" s="35" t="str">
        <f>IFERROR(INDEX($Z$4:$Z$153,MATCH(ROWS($A$4:A92),$AF$4:$AF$153,0)),"")</f>
        <v/>
      </c>
      <c r="K92" s="35" t="str">
        <f>IFERROR(INDEX($AA$4:$AA$153,MATCH(ROWS($A$4:A92),$AF$4:$AF$153,0)),"")</f>
        <v/>
      </c>
      <c r="L92" s="35" t="str">
        <f>IFERROR(INDEX($AB$4:$AB$153,MATCH(ROWS($A$4:A92),$AF$4:$AF$153,0)),"")</f>
        <v/>
      </c>
      <c r="M92" s="35" t="str">
        <f>IFERROR(INDEX($AC$4:$AC$153,MATCH(ROWS($A$4:A92),$AF$4:$AF$153,0)),"")</f>
        <v/>
      </c>
      <c r="N92" s="35" t="str">
        <f>IFERROR(INDEX($AD$4:$AD$153,MATCH(ROWS($A$4:A92),$AF$4:$AF$153,0)),"")</f>
        <v/>
      </c>
      <c r="Q92" t="str">
        <f>T(JAN!B94)</f>
        <v/>
      </c>
      <c r="R92" t="str">
        <f t="array" ref="R92">IF($Q92="","",_xlfn.TEXTJOIN(", ",TRUE,IF(JAN!$G94:$AK94="HE",JAN!$G$4:$AK$4,"")))</f>
        <v/>
      </c>
      <c r="S92" t="str">
        <f t="array" ref="S92">IF($Q92="","",_xlfn.TEXTJOIN(", ",TRUE,IF(FEV!$G94:$AK94="HE",FEV!$G$4:$AK$4,"")))</f>
        <v/>
      </c>
      <c r="T92" t="str">
        <f t="array" ref="T92">IF($Q92="","",_xlfn.TEXTJOIN(", ",TRUE,IF(MAR!$G94:$AK94="HE",MAR!$G$4:$AK$4,"")))</f>
        <v/>
      </c>
      <c r="U92" t="str">
        <f t="array" ref="U92">IF($Q92="","",_xlfn.TEXTJOIN(", ",TRUE,IF(ABR!$G94:$AK94="HE",ABR!$G$4:$AK$4,"")))</f>
        <v/>
      </c>
      <c r="V92" t="str">
        <f t="array" ref="V92">IF($Q92="","",_xlfn.TEXTJOIN(", ",TRUE,IF(MAI!$G94:$AK94="HE",MAI!$G$4:$AK$4,"")))</f>
        <v/>
      </c>
      <c r="W92" t="str">
        <f t="array" ref="W92">IF($Q92="","",_xlfn.TEXTJOIN(", ",TRUE,IF(JUN!$G94:$AK94="HE",JUN!$G$4:$AK$4,"")))</f>
        <v/>
      </c>
      <c r="X92" t="str">
        <f t="array" ref="X92">IF($Q92="","",_xlfn.TEXTJOIN(", ",TRUE,IF(JUL!$G94:$AK94="HE",JUL!$G$4:$AK$4,"")))</f>
        <v/>
      </c>
      <c r="Y92" t="str">
        <f t="array" ref="Y92">IF($Q92="","",_xlfn.TEXTJOIN(", ",TRUE,IF(AGO!$G94:$AK94="HE",AGO!$G$4:$AK$4,"")))</f>
        <v/>
      </c>
      <c r="Z92" t="str">
        <f t="array" ref="Z92">IF($Q92="","",_xlfn.TEXTJOIN(", ",TRUE,IF(SET!$G94:$AK94="HE",SET!$G$4:$AK$4,"")))</f>
        <v/>
      </c>
      <c r="AA92" t="str">
        <f t="array" ref="AA92">IF($Q92="","",_xlfn.TEXTJOIN(", ",TRUE,IF(OUT!$G94:$AK94="HE",OUT!$G$4:$AK$4,"")))</f>
        <v/>
      </c>
      <c r="AB92" t="str">
        <f t="array" ref="AB92">IF($Q92="","",_xlfn.TEXTJOIN(", ",TRUE,IF(NOV!$G94:$AK94="HE",NOV!$G$4:$AK$4,"")))</f>
        <v/>
      </c>
      <c r="AC92" t="str">
        <f t="array" ref="AC92">IF($Q92="","",_xlfn.TEXTJOIN(", ",TRUE,IF(DEZ!$G94:$AK94="HE",DEZ!$G$4:$AK$4,"")))</f>
        <v/>
      </c>
      <c r="AD92" t="str">
        <f>IF($Q92="","",SUM(JAN:DEZ!C94))</f>
        <v/>
      </c>
      <c r="AF92" t="str">
        <f>IF(AND($Q92&lt;&gt;"",N($AD92)&gt;0),COUNT($AF$3:AF91)+1,"")</f>
        <v/>
      </c>
    </row>
    <row r="93" spans="1:32" x14ac:dyDescent="0.25">
      <c r="A93" s="36" t="str">
        <f>IFERROR(INDEX($Q$4:$Q$153,MATCH(ROWS($A$4:A93),$AF$4:$AF$153,0)),"")</f>
        <v/>
      </c>
      <c r="B93" s="35" t="str">
        <f>IFERROR(INDEX($R$4:$R$153,MATCH(ROWS($A$4:A93),$AF$4:$AF$153,0)),"")</f>
        <v/>
      </c>
      <c r="C93" s="35" t="str">
        <f>IFERROR(INDEX($S$4:$S$153,MATCH(ROWS($A$4:A93),$AF$4:$AF$153,0)),"")</f>
        <v/>
      </c>
      <c r="D93" s="35" t="str">
        <f>IFERROR(INDEX($T$4:$T$153,MATCH(ROWS($A$4:A93),$AF$4:$AF$153,0)),"")</f>
        <v/>
      </c>
      <c r="E93" s="35" t="str">
        <f>IFERROR(INDEX($U$4:$U$153,MATCH(ROWS($A$4:A93),$AF$4:$AF$153,0)),"")</f>
        <v/>
      </c>
      <c r="F93" s="35" t="str">
        <f>IFERROR(INDEX($V$4:$V$153,MATCH(ROWS($A$4:A93),$AF$4:$AF$153,0)),"")</f>
        <v/>
      </c>
      <c r="G93" s="35" t="str">
        <f>IFERROR(INDEX($W$4:$W$153,MATCH(ROWS($A$4:A93),$AF$4:$AF$153,0)),"")</f>
        <v/>
      </c>
      <c r="H93" s="35" t="str">
        <f>IFERROR(INDEX($X$4:$X$153,MATCH(ROWS($A$4:A93),$AF$4:$AF$153,0)),"")</f>
        <v/>
      </c>
      <c r="I93" s="35" t="str">
        <f>IFERROR(INDEX($Y$4:$Y$153,MATCH(ROWS($A$4:A93),$AF$4:$AF$153,0)),"")</f>
        <v/>
      </c>
      <c r="J93" s="35" t="str">
        <f>IFERROR(INDEX($Z$4:$Z$153,MATCH(ROWS($A$4:A93),$AF$4:$AF$153,0)),"")</f>
        <v/>
      </c>
      <c r="K93" s="35" t="str">
        <f>IFERROR(INDEX($AA$4:$AA$153,MATCH(ROWS($A$4:A93),$AF$4:$AF$153,0)),"")</f>
        <v/>
      </c>
      <c r="L93" s="35" t="str">
        <f>IFERROR(INDEX($AB$4:$AB$153,MATCH(ROWS($A$4:A93),$AF$4:$AF$153,0)),"")</f>
        <v/>
      </c>
      <c r="M93" s="35" t="str">
        <f>IFERROR(INDEX($AC$4:$AC$153,MATCH(ROWS($A$4:A93),$AF$4:$AF$153,0)),"")</f>
        <v/>
      </c>
      <c r="N93" s="35" t="str">
        <f>IFERROR(INDEX($AD$4:$AD$153,MATCH(ROWS($A$4:A93),$AF$4:$AF$153,0)),"")</f>
        <v/>
      </c>
      <c r="Q93" t="str">
        <f>T(JAN!B95)</f>
        <v/>
      </c>
      <c r="R93" t="str">
        <f t="array" ref="R93">IF($Q93="","",_xlfn.TEXTJOIN(", ",TRUE,IF(JAN!$G95:$AK95="HE",JAN!$G$4:$AK$4,"")))</f>
        <v/>
      </c>
      <c r="S93" t="str">
        <f t="array" ref="S93">IF($Q93="","",_xlfn.TEXTJOIN(", ",TRUE,IF(FEV!$G95:$AK95="HE",FEV!$G$4:$AK$4,"")))</f>
        <v/>
      </c>
      <c r="T93" t="str">
        <f t="array" ref="T93">IF($Q93="","",_xlfn.TEXTJOIN(", ",TRUE,IF(MAR!$G95:$AK95="HE",MAR!$G$4:$AK$4,"")))</f>
        <v/>
      </c>
      <c r="U93" t="str">
        <f t="array" ref="U93">IF($Q93="","",_xlfn.TEXTJOIN(", ",TRUE,IF(ABR!$G95:$AK95="HE",ABR!$G$4:$AK$4,"")))</f>
        <v/>
      </c>
      <c r="V93" t="str">
        <f t="array" ref="V93">IF($Q93="","",_xlfn.TEXTJOIN(", ",TRUE,IF(MAI!$G95:$AK95="HE",MAI!$G$4:$AK$4,"")))</f>
        <v/>
      </c>
      <c r="W93" t="str">
        <f t="array" ref="W93">IF($Q93="","",_xlfn.TEXTJOIN(", ",TRUE,IF(JUN!$G95:$AK95="HE",JUN!$G$4:$AK$4,"")))</f>
        <v/>
      </c>
      <c r="X93" t="str">
        <f t="array" ref="X93">IF($Q93="","",_xlfn.TEXTJOIN(", ",TRUE,IF(JUL!$G95:$AK95="HE",JUL!$G$4:$AK$4,"")))</f>
        <v/>
      </c>
      <c r="Y93" t="str">
        <f t="array" ref="Y93">IF($Q93="","",_xlfn.TEXTJOIN(", ",TRUE,IF(AGO!$G95:$AK95="HE",AGO!$G$4:$AK$4,"")))</f>
        <v/>
      </c>
      <c r="Z93" t="str">
        <f t="array" ref="Z93">IF($Q93="","",_xlfn.TEXTJOIN(", ",TRUE,IF(SET!$G95:$AK95="HE",SET!$G$4:$AK$4,"")))</f>
        <v/>
      </c>
      <c r="AA93" t="str">
        <f t="array" ref="AA93">IF($Q93="","",_xlfn.TEXTJOIN(", ",TRUE,IF(OUT!$G95:$AK95="HE",OUT!$G$4:$AK$4,"")))</f>
        <v/>
      </c>
      <c r="AB93" t="str">
        <f t="array" ref="AB93">IF($Q93="","",_xlfn.TEXTJOIN(", ",TRUE,IF(NOV!$G95:$AK95="HE",NOV!$G$4:$AK$4,"")))</f>
        <v/>
      </c>
      <c r="AC93" t="str">
        <f t="array" ref="AC93">IF($Q93="","",_xlfn.TEXTJOIN(", ",TRUE,IF(DEZ!$G95:$AK95="HE",DEZ!$G$4:$AK$4,"")))</f>
        <v/>
      </c>
      <c r="AD93" t="str">
        <f>IF($Q93="","",SUM(JAN:DEZ!C95))</f>
        <v/>
      </c>
      <c r="AF93" t="str">
        <f>IF(AND($Q93&lt;&gt;"",N($AD93)&gt;0),COUNT($AF$3:AF92)+1,"")</f>
        <v/>
      </c>
    </row>
    <row r="94" spans="1:32" x14ac:dyDescent="0.25">
      <c r="A94" s="36" t="str">
        <f>IFERROR(INDEX($Q$4:$Q$153,MATCH(ROWS($A$4:A94),$AF$4:$AF$153,0)),"")</f>
        <v/>
      </c>
      <c r="B94" s="35" t="str">
        <f>IFERROR(INDEX($R$4:$R$153,MATCH(ROWS($A$4:A94),$AF$4:$AF$153,0)),"")</f>
        <v/>
      </c>
      <c r="C94" s="35" t="str">
        <f>IFERROR(INDEX($S$4:$S$153,MATCH(ROWS($A$4:A94),$AF$4:$AF$153,0)),"")</f>
        <v/>
      </c>
      <c r="D94" s="35" t="str">
        <f>IFERROR(INDEX($T$4:$T$153,MATCH(ROWS($A$4:A94),$AF$4:$AF$153,0)),"")</f>
        <v/>
      </c>
      <c r="E94" s="35" t="str">
        <f>IFERROR(INDEX($U$4:$U$153,MATCH(ROWS($A$4:A94),$AF$4:$AF$153,0)),"")</f>
        <v/>
      </c>
      <c r="F94" s="35" t="str">
        <f>IFERROR(INDEX($V$4:$V$153,MATCH(ROWS($A$4:A94),$AF$4:$AF$153,0)),"")</f>
        <v/>
      </c>
      <c r="G94" s="35" t="str">
        <f>IFERROR(INDEX($W$4:$W$153,MATCH(ROWS($A$4:A94),$AF$4:$AF$153,0)),"")</f>
        <v/>
      </c>
      <c r="H94" s="35" t="str">
        <f>IFERROR(INDEX($X$4:$X$153,MATCH(ROWS($A$4:A94),$AF$4:$AF$153,0)),"")</f>
        <v/>
      </c>
      <c r="I94" s="35" t="str">
        <f>IFERROR(INDEX($Y$4:$Y$153,MATCH(ROWS($A$4:A94),$AF$4:$AF$153,0)),"")</f>
        <v/>
      </c>
      <c r="J94" s="35" t="str">
        <f>IFERROR(INDEX($Z$4:$Z$153,MATCH(ROWS($A$4:A94),$AF$4:$AF$153,0)),"")</f>
        <v/>
      </c>
      <c r="K94" s="35" t="str">
        <f>IFERROR(INDEX($AA$4:$AA$153,MATCH(ROWS($A$4:A94),$AF$4:$AF$153,0)),"")</f>
        <v/>
      </c>
      <c r="L94" s="35" t="str">
        <f>IFERROR(INDEX($AB$4:$AB$153,MATCH(ROWS($A$4:A94),$AF$4:$AF$153,0)),"")</f>
        <v/>
      </c>
      <c r="M94" s="35" t="str">
        <f>IFERROR(INDEX($AC$4:$AC$153,MATCH(ROWS($A$4:A94),$AF$4:$AF$153,0)),"")</f>
        <v/>
      </c>
      <c r="N94" s="35" t="str">
        <f>IFERROR(INDEX($AD$4:$AD$153,MATCH(ROWS($A$4:A94),$AF$4:$AF$153,0)),"")</f>
        <v/>
      </c>
      <c r="Q94" t="str">
        <f>T(JAN!B96)</f>
        <v/>
      </c>
      <c r="R94" t="str">
        <f t="array" ref="R94">IF($Q94="","",_xlfn.TEXTJOIN(", ",TRUE,IF(JAN!$G96:$AK96="HE",JAN!$G$4:$AK$4,"")))</f>
        <v/>
      </c>
      <c r="S94" t="str">
        <f t="array" ref="S94">IF($Q94="","",_xlfn.TEXTJOIN(", ",TRUE,IF(FEV!$G96:$AK96="HE",FEV!$G$4:$AK$4,"")))</f>
        <v/>
      </c>
      <c r="T94" t="str">
        <f t="array" ref="T94">IF($Q94="","",_xlfn.TEXTJOIN(", ",TRUE,IF(MAR!$G96:$AK96="HE",MAR!$G$4:$AK$4,"")))</f>
        <v/>
      </c>
      <c r="U94" t="str">
        <f t="array" ref="U94">IF($Q94="","",_xlfn.TEXTJOIN(", ",TRUE,IF(ABR!$G96:$AK96="HE",ABR!$G$4:$AK$4,"")))</f>
        <v/>
      </c>
      <c r="V94" t="str">
        <f t="array" ref="V94">IF($Q94="","",_xlfn.TEXTJOIN(", ",TRUE,IF(MAI!$G96:$AK96="HE",MAI!$G$4:$AK$4,"")))</f>
        <v/>
      </c>
      <c r="W94" t="str">
        <f t="array" ref="W94">IF($Q94="","",_xlfn.TEXTJOIN(", ",TRUE,IF(JUN!$G96:$AK96="HE",JUN!$G$4:$AK$4,"")))</f>
        <v/>
      </c>
      <c r="X94" t="str">
        <f t="array" ref="X94">IF($Q94="","",_xlfn.TEXTJOIN(", ",TRUE,IF(JUL!$G96:$AK96="HE",JUL!$G$4:$AK$4,"")))</f>
        <v/>
      </c>
      <c r="Y94" t="str">
        <f t="array" ref="Y94">IF($Q94="","",_xlfn.TEXTJOIN(", ",TRUE,IF(AGO!$G96:$AK96="HE",AGO!$G$4:$AK$4,"")))</f>
        <v/>
      </c>
      <c r="Z94" t="str">
        <f t="array" ref="Z94">IF($Q94="","",_xlfn.TEXTJOIN(", ",TRUE,IF(SET!$G96:$AK96="HE",SET!$G$4:$AK$4,"")))</f>
        <v/>
      </c>
      <c r="AA94" t="str">
        <f t="array" ref="AA94">IF($Q94="","",_xlfn.TEXTJOIN(", ",TRUE,IF(OUT!$G96:$AK96="HE",OUT!$G$4:$AK$4,"")))</f>
        <v/>
      </c>
      <c r="AB94" t="str">
        <f t="array" ref="AB94">IF($Q94="","",_xlfn.TEXTJOIN(", ",TRUE,IF(NOV!$G96:$AK96="HE",NOV!$G$4:$AK$4,"")))</f>
        <v/>
      </c>
      <c r="AC94" t="str">
        <f t="array" ref="AC94">IF($Q94="","",_xlfn.TEXTJOIN(", ",TRUE,IF(DEZ!$G96:$AK96="HE",DEZ!$G$4:$AK$4,"")))</f>
        <v/>
      </c>
      <c r="AD94" t="str">
        <f>IF($Q94="","",SUM(JAN:DEZ!C96))</f>
        <v/>
      </c>
      <c r="AF94" t="str">
        <f>IF(AND($Q94&lt;&gt;"",N($AD94)&gt;0),COUNT($AF$3:AF93)+1,"")</f>
        <v/>
      </c>
    </row>
    <row r="95" spans="1:32" x14ac:dyDescent="0.25">
      <c r="A95" s="36" t="str">
        <f>IFERROR(INDEX($Q$4:$Q$153,MATCH(ROWS($A$4:A95),$AF$4:$AF$153,0)),"")</f>
        <v/>
      </c>
      <c r="B95" s="35" t="str">
        <f>IFERROR(INDEX($R$4:$R$153,MATCH(ROWS($A$4:A95),$AF$4:$AF$153,0)),"")</f>
        <v/>
      </c>
      <c r="C95" s="35" t="str">
        <f>IFERROR(INDEX($S$4:$S$153,MATCH(ROWS($A$4:A95),$AF$4:$AF$153,0)),"")</f>
        <v/>
      </c>
      <c r="D95" s="35" t="str">
        <f>IFERROR(INDEX($T$4:$T$153,MATCH(ROWS($A$4:A95),$AF$4:$AF$153,0)),"")</f>
        <v/>
      </c>
      <c r="E95" s="35" t="str">
        <f>IFERROR(INDEX($U$4:$U$153,MATCH(ROWS($A$4:A95),$AF$4:$AF$153,0)),"")</f>
        <v/>
      </c>
      <c r="F95" s="35" t="str">
        <f>IFERROR(INDEX($V$4:$V$153,MATCH(ROWS($A$4:A95),$AF$4:$AF$153,0)),"")</f>
        <v/>
      </c>
      <c r="G95" s="35" t="str">
        <f>IFERROR(INDEX($W$4:$W$153,MATCH(ROWS($A$4:A95),$AF$4:$AF$153,0)),"")</f>
        <v/>
      </c>
      <c r="H95" s="35" t="str">
        <f>IFERROR(INDEX($X$4:$X$153,MATCH(ROWS($A$4:A95),$AF$4:$AF$153,0)),"")</f>
        <v/>
      </c>
      <c r="I95" s="35" t="str">
        <f>IFERROR(INDEX($Y$4:$Y$153,MATCH(ROWS($A$4:A95),$AF$4:$AF$153,0)),"")</f>
        <v/>
      </c>
      <c r="J95" s="35" t="str">
        <f>IFERROR(INDEX($Z$4:$Z$153,MATCH(ROWS($A$4:A95),$AF$4:$AF$153,0)),"")</f>
        <v/>
      </c>
      <c r="K95" s="35" t="str">
        <f>IFERROR(INDEX($AA$4:$AA$153,MATCH(ROWS($A$4:A95),$AF$4:$AF$153,0)),"")</f>
        <v/>
      </c>
      <c r="L95" s="35" t="str">
        <f>IFERROR(INDEX($AB$4:$AB$153,MATCH(ROWS($A$4:A95),$AF$4:$AF$153,0)),"")</f>
        <v/>
      </c>
      <c r="M95" s="35" t="str">
        <f>IFERROR(INDEX($AC$4:$AC$153,MATCH(ROWS($A$4:A95),$AF$4:$AF$153,0)),"")</f>
        <v/>
      </c>
      <c r="N95" s="35" t="str">
        <f>IFERROR(INDEX($AD$4:$AD$153,MATCH(ROWS($A$4:A95),$AF$4:$AF$153,0)),"")</f>
        <v/>
      </c>
      <c r="Q95" t="str">
        <f>T(JAN!B97)</f>
        <v/>
      </c>
      <c r="R95" t="str">
        <f t="array" ref="R95">IF($Q95="","",_xlfn.TEXTJOIN(", ",TRUE,IF(JAN!$G97:$AK97="HE",JAN!$G$4:$AK$4,"")))</f>
        <v/>
      </c>
      <c r="S95" t="str">
        <f t="array" ref="S95">IF($Q95="","",_xlfn.TEXTJOIN(", ",TRUE,IF(FEV!$G97:$AK97="HE",FEV!$G$4:$AK$4,"")))</f>
        <v/>
      </c>
      <c r="T95" t="str">
        <f t="array" ref="T95">IF($Q95="","",_xlfn.TEXTJOIN(", ",TRUE,IF(MAR!$G97:$AK97="HE",MAR!$G$4:$AK$4,"")))</f>
        <v/>
      </c>
      <c r="U95" t="str">
        <f t="array" ref="U95">IF($Q95="","",_xlfn.TEXTJOIN(", ",TRUE,IF(ABR!$G97:$AK97="HE",ABR!$G$4:$AK$4,"")))</f>
        <v/>
      </c>
      <c r="V95" t="str">
        <f t="array" ref="V95">IF($Q95="","",_xlfn.TEXTJOIN(", ",TRUE,IF(MAI!$G97:$AK97="HE",MAI!$G$4:$AK$4,"")))</f>
        <v/>
      </c>
      <c r="W95" t="str">
        <f t="array" ref="W95">IF($Q95="","",_xlfn.TEXTJOIN(", ",TRUE,IF(JUN!$G97:$AK97="HE",JUN!$G$4:$AK$4,"")))</f>
        <v/>
      </c>
      <c r="X95" t="str">
        <f t="array" ref="X95">IF($Q95="","",_xlfn.TEXTJOIN(", ",TRUE,IF(JUL!$G97:$AK97="HE",JUL!$G$4:$AK$4,"")))</f>
        <v/>
      </c>
      <c r="Y95" t="str">
        <f t="array" ref="Y95">IF($Q95="","",_xlfn.TEXTJOIN(", ",TRUE,IF(AGO!$G97:$AK97="HE",AGO!$G$4:$AK$4,"")))</f>
        <v/>
      </c>
      <c r="Z95" t="str">
        <f t="array" ref="Z95">IF($Q95="","",_xlfn.TEXTJOIN(", ",TRUE,IF(SET!$G97:$AK97="HE",SET!$G$4:$AK$4,"")))</f>
        <v/>
      </c>
      <c r="AA95" t="str">
        <f t="array" ref="AA95">IF($Q95="","",_xlfn.TEXTJOIN(", ",TRUE,IF(OUT!$G97:$AK97="HE",OUT!$G$4:$AK$4,"")))</f>
        <v/>
      </c>
      <c r="AB95" t="str">
        <f t="array" ref="AB95">IF($Q95="","",_xlfn.TEXTJOIN(", ",TRUE,IF(NOV!$G97:$AK97="HE",NOV!$G$4:$AK$4,"")))</f>
        <v/>
      </c>
      <c r="AC95" t="str">
        <f t="array" ref="AC95">IF($Q95="","",_xlfn.TEXTJOIN(", ",TRUE,IF(DEZ!$G97:$AK97="HE",DEZ!$G$4:$AK$4,"")))</f>
        <v/>
      </c>
      <c r="AD95" t="str">
        <f>IF($Q95="","",SUM(JAN:DEZ!C97))</f>
        <v/>
      </c>
      <c r="AF95" t="str">
        <f>IF(AND($Q95&lt;&gt;"",N($AD95)&gt;0),COUNT($AF$3:AF94)+1,"")</f>
        <v/>
      </c>
    </row>
    <row r="96" spans="1:32" x14ac:dyDescent="0.25">
      <c r="A96" s="36" t="str">
        <f>IFERROR(INDEX($Q$4:$Q$153,MATCH(ROWS($A$4:A96),$AF$4:$AF$153,0)),"")</f>
        <v/>
      </c>
      <c r="B96" s="35" t="str">
        <f>IFERROR(INDEX($R$4:$R$153,MATCH(ROWS($A$4:A96),$AF$4:$AF$153,0)),"")</f>
        <v/>
      </c>
      <c r="C96" s="35" t="str">
        <f>IFERROR(INDEX($S$4:$S$153,MATCH(ROWS($A$4:A96),$AF$4:$AF$153,0)),"")</f>
        <v/>
      </c>
      <c r="D96" s="35" t="str">
        <f>IFERROR(INDEX($T$4:$T$153,MATCH(ROWS($A$4:A96),$AF$4:$AF$153,0)),"")</f>
        <v/>
      </c>
      <c r="E96" s="35" t="str">
        <f>IFERROR(INDEX($U$4:$U$153,MATCH(ROWS($A$4:A96),$AF$4:$AF$153,0)),"")</f>
        <v/>
      </c>
      <c r="F96" s="35" t="str">
        <f>IFERROR(INDEX($V$4:$V$153,MATCH(ROWS($A$4:A96),$AF$4:$AF$153,0)),"")</f>
        <v/>
      </c>
      <c r="G96" s="35" t="str">
        <f>IFERROR(INDEX($W$4:$W$153,MATCH(ROWS($A$4:A96),$AF$4:$AF$153,0)),"")</f>
        <v/>
      </c>
      <c r="H96" s="35" t="str">
        <f>IFERROR(INDEX($X$4:$X$153,MATCH(ROWS($A$4:A96),$AF$4:$AF$153,0)),"")</f>
        <v/>
      </c>
      <c r="I96" s="35" t="str">
        <f>IFERROR(INDEX($Y$4:$Y$153,MATCH(ROWS($A$4:A96),$AF$4:$AF$153,0)),"")</f>
        <v/>
      </c>
      <c r="J96" s="35" t="str">
        <f>IFERROR(INDEX($Z$4:$Z$153,MATCH(ROWS($A$4:A96),$AF$4:$AF$153,0)),"")</f>
        <v/>
      </c>
      <c r="K96" s="35" t="str">
        <f>IFERROR(INDEX($AA$4:$AA$153,MATCH(ROWS($A$4:A96),$AF$4:$AF$153,0)),"")</f>
        <v/>
      </c>
      <c r="L96" s="35" t="str">
        <f>IFERROR(INDEX($AB$4:$AB$153,MATCH(ROWS($A$4:A96),$AF$4:$AF$153,0)),"")</f>
        <v/>
      </c>
      <c r="M96" s="35" t="str">
        <f>IFERROR(INDEX($AC$4:$AC$153,MATCH(ROWS($A$4:A96),$AF$4:$AF$153,0)),"")</f>
        <v/>
      </c>
      <c r="N96" s="35" t="str">
        <f>IFERROR(INDEX($AD$4:$AD$153,MATCH(ROWS($A$4:A96),$AF$4:$AF$153,0)),"")</f>
        <v/>
      </c>
      <c r="Q96" t="str">
        <f>T(JAN!B98)</f>
        <v/>
      </c>
      <c r="R96" t="str">
        <f t="array" ref="R96">IF($Q96="","",_xlfn.TEXTJOIN(", ",TRUE,IF(JAN!$G98:$AK98="HE",JAN!$G$4:$AK$4,"")))</f>
        <v/>
      </c>
      <c r="S96" t="str">
        <f t="array" ref="S96">IF($Q96="","",_xlfn.TEXTJOIN(", ",TRUE,IF(FEV!$G98:$AK98="HE",FEV!$G$4:$AK$4,"")))</f>
        <v/>
      </c>
      <c r="T96" t="str">
        <f t="array" ref="T96">IF($Q96="","",_xlfn.TEXTJOIN(", ",TRUE,IF(MAR!$G98:$AK98="HE",MAR!$G$4:$AK$4,"")))</f>
        <v/>
      </c>
      <c r="U96" t="str">
        <f t="array" ref="U96">IF($Q96="","",_xlfn.TEXTJOIN(", ",TRUE,IF(ABR!$G98:$AK98="HE",ABR!$G$4:$AK$4,"")))</f>
        <v/>
      </c>
      <c r="V96" t="str">
        <f t="array" ref="V96">IF($Q96="","",_xlfn.TEXTJOIN(", ",TRUE,IF(MAI!$G98:$AK98="HE",MAI!$G$4:$AK$4,"")))</f>
        <v/>
      </c>
      <c r="W96" t="str">
        <f t="array" ref="W96">IF($Q96="","",_xlfn.TEXTJOIN(", ",TRUE,IF(JUN!$G98:$AK98="HE",JUN!$G$4:$AK$4,"")))</f>
        <v/>
      </c>
      <c r="X96" t="str">
        <f t="array" ref="X96">IF($Q96="","",_xlfn.TEXTJOIN(", ",TRUE,IF(JUL!$G98:$AK98="HE",JUL!$G$4:$AK$4,"")))</f>
        <v/>
      </c>
      <c r="Y96" t="str">
        <f t="array" ref="Y96">IF($Q96="","",_xlfn.TEXTJOIN(", ",TRUE,IF(AGO!$G98:$AK98="HE",AGO!$G$4:$AK$4,"")))</f>
        <v/>
      </c>
      <c r="Z96" t="str">
        <f t="array" ref="Z96">IF($Q96="","",_xlfn.TEXTJOIN(", ",TRUE,IF(SET!$G98:$AK98="HE",SET!$G$4:$AK$4,"")))</f>
        <v/>
      </c>
      <c r="AA96" t="str">
        <f t="array" ref="AA96">IF($Q96="","",_xlfn.TEXTJOIN(", ",TRUE,IF(OUT!$G98:$AK98="HE",OUT!$G$4:$AK$4,"")))</f>
        <v/>
      </c>
      <c r="AB96" t="str">
        <f t="array" ref="AB96">IF($Q96="","",_xlfn.TEXTJOIN(", ",TRUE,IF(NOV!$G98:$AK98="HE",NOV!$G$4:$AK$4,"")))</f>
        <v/>
      </c>
      <c r="AC96" t="str">
        <f t="array" ref="AC96">IF($Q96="","",_xlfn.TEXTJOIN(", ",TRUE,IF(DEZ!$G98:$AK98="HE",DEZ!$G$4:$AK$4,"")))</f>
        <v/>
      </c>
      <c r="AD96" t="str">
        <f>IF($Q96="","",SUM(JAN:DEZ!C98))</f>
        <v/>
      </c>
      <c r="AF96" t="str">
        <f>IF(AND($Q96&lt;&gt;"",N($AD96)&gt;0),COUNT($AF$3:AF95)+1,"")</f>
        <v/>
      </c>
    </row>
    <row r="97" spans="1:32" x14ac:dyDescent="0.25">
      <c r="A97" s="36" t="str">
        <f>IFERROR(INDEX($Q$4:$Q$153,MATCH(ROWS($A$4:A97),$AF$4:$AF$153,0)),"")</f>
        <v/>
      </c>
      <c r="B97" s="35" t="str">
        <f>IFERROR(INDEX($R$4:$R$153,MATCH(ROWS($A$4:A97),$AF$4:$AF$153,0)),"")</f>
        <v/>
      </c>
      <c r="C97" s="35" t="str">
        <f>IFERROR(INDEX($S$4:$S$153,MATCH(ROWS($A$4:A97),$AF$4:$AF$153,0)),"")</f>
        <v/>
      </c>
      <c r="D97" s="35" t="str">
        <f>IFERROR(INDEX($T$4:$T$153,MATCH(ROWS($A$4:A97),$AF$4:$AF$153,0)),"")</f>
        <v/>
      </c>
      <c r="E97" s="35" t="str">
        <f>IFERROR(INDEX($U$4:$U$153,MATCH(ROWS($A$4:A97),$AF$4:$AF$153,0)),"")</f>
        <v/>
      </c>
      <c r="F97" s="35" t="str">
        <f>IFERROR(INDEX($V$4:$V$153,MATCH(ROWS($A$4:A97),$AF$4:$AF$153,0)),"")</f>
        <v/>
      </c>
      <c r="G97" s="35" t="str">
        <f>IFERROR(INDEX($W$4:$W$153,MATCH(ROWS($A$4:A97),$AF$4:$AF$153,0)),"")</f>
        <v/>
      </c>
      <c r="H97" s="35" t="str">
        <f>IFERROR(INDEX($X$4:$X$153,MATCH(ROWS($A$4:A97),$AF$4:$AF$153,0)),"")</f>
        <v/>
      </c>
      <c r="I97" s="35" t="str">
        <f>IFERROR(INDEX($Y$4:$Y$153,MATCH(ROWS($A$4:A97),$AF$4:$AF$153,0)),"")</f>
        <v/>
      </c>
      <c r="J97" s="35" t="str">
        <f>IFERROR(INDEX($Z$4:$Z$153,MATCH(ROWS($A$4:A97),$AF$4:$AF$153,0)),"")</f>
        <v/>
      </c>
      <c r="K97" s="35" t="str">
        <f>IFERROR(INDEX($AA$4:$AA$153,MATCH(ROWS($A$4:A97),$AF$4:$AF$153,0)),"")</f>
        <v/>
      </c>
      <c r="L97" s="35" t="str">
        <f>IFERROR(INDEX($AB$4:$AB$153,MATCH(ROWS($A$4:A97),$AF$4:$AF$153,0)),"")</f>
        <v/>
      </c>
      <c r="M97" s="35" t="str">
        <f>IFERROR(INDEX($AC$4:$AC$153,MATCH(ROWS($A$4:A97),$AF$4:$AF$153,0)),"")</f>
        <v/>
      </c>
      <c r="N97" s="35" t="str">
        <f>IFERROR(INDEX($AD$4:$AD$153,MATCH(ROWS($A$4:A97),$AF$4:$AF$153,0)),"")</f>
        <v/>
      </c>
      <c r="Q97" t="str">
        <f>T(JAN!B99)</f>
        <v/>
      </c>
      <c r="R97" t="str">
        <f t="array" ref="R97">IF($Q97="","",_xlfn.TEXTJOIN(", ",TRUE,IF(JAN!$G99:$AK99="HE",JAN!$G$4:$AK$4,"")))</f>
        <v/>
      </c>
      <c r="S97" t="str">
        <f t="array" ref="S97">IF($Q97="","",_xlfn.TEXTJOIN(", ",TRUE,IF(FEV!$G99:$AK99="HE",FEV!$G$4:$AK$4,"")))</f>
        <v/>
      </c>
      <c r="T97" t="str">
        <f t="array" ref="T97">IF($Q97="","",_xlfn.TEXTJOIN(", ",TRUE,IF(MAR!$G99:$AK99="HE",MAR!$G$4:$AK$4,"")))</f>
        <v/>
      </c>
      <c r="U97" t="str">
        <f t="array" ref="U97">IF($Q97="","",_xlfn.TEXTJOIN(", ",TRUE,IF(ABR!$G99:$AK99="HE",ABR!$G$4:$AK$4,"")))</f>
        <v/>
      </c>
      <c r="V97" t="str">
        <f t="array" ref="V97">IF($Q97="","",_xlfn.TEXTJOIN(", ",TRUE,IF(MAI!$G99:$AK99="HE",MAI!$G$4:$AK$4,"")))</f>
        <v/>
      </c>
      <c r="W97" t="str">
        <f t="array" ref="W97">IF($Q97="","",_xlfn.TEXTJOIN(", ",TRUE,IF(JUN!$G99:$AK99="HE",JUN!$G$4:$AK$4,"")))</f>
        <v/>
      </c>
      <c r="X97" t="str">
        <f t="array" ref="X97">IF($Q97="","",_xlfn.TEXTJOIN(", ",TRUE,IF(JUL!$G99:$AK99="HE",JUL!$G$4:$AK$4,"")))</f>
        <v/>
      </c>
      <c r="Y97" t="str">
        <f t="array" ref="Y97">IF($Q97="","",_xlfn.TEXTJOIN(", ",TRUE,IF(AGO!$G99:$AK99="HE",AGO!$G$4:$AK$4,"")))</f>
        <v/>
      </c>
      <c r="Z97" t="str">
        <f t="array" ref="Z97">IF($Q97="","",_xlfn.TEXTJOIN(", ",TRUE,IF(SET!$G99:$AK99="HE",SET!$G$4:$AK$4,"")))</f>
        <v/>
      </c>
      <c r="AA97" t="str">
        <f t="array" ref="AA97">IF($Q97="","",_xlfn.TEXTJOIN(", ",TRUE,IF(OUT!$G99:$AK99="HE",OUT!$G$4:$AK$4,"")))</f>
        <v/>
      </c>
      <c r="AB97" t="str">
        <f t="array" ref="AB97">IF($Q97="","",_xlfn.TEXTJOIN(", ",TRUE,IF(NOV!$G99:$AK99="HE",NOV!$G$4:$AK$4,"")))</f>
        <v/>
      </c>
      <c r="AC97" t="str">
        <f t="array" ref="AC97">IF($Q97="","",_xlfn.TEXTJOIN(", ",TRUE,IF(DEZ!$G99:$AK99="HE",DEZ!$G$4:$AK$4,"")))</f>
        <v/>
      </c>
      <c r="AD97" t="str">
        <f>IF($Q97="","",SUM(JAN:DEZ!C99))</f>
        <v/>
      </c>
      <c r="AF97" t="str">
        <f>IF(AND($Q97&lt;&gt;"",N($AD97)&gt;0),COUNT($AF$3:AF96)+1,"")</f>
        <v/>
      </c>
    </row>
    <row r="98" spans="1:32" x14ac:dyDescent="0.25">
      <c r="A98" s="36" t="str">
        <f>IFERROR(INDEX($Q$4:$Q$153,MATCH(ROWS($A$4:A98),$AF$4:$AF$153,0)),"")</f>
        <v/>
      </c>
      <c r="B98" s="35" t="str">
        <f>IFERROR(INDEX($R$4:$R$153,MATCH(ROWS($A$4:A98),$AF$4:$AF$153,0)),"")</f>
        <v/>
      </c>
      <c r="C98" s="35" t="str">
        <f>IFERROR(INDEX($S$4:$S$153,MATCH(ROWS($A$4:A98),$AF$4:$AF$153,0)),"")</f>
        <v/>
      </c>
      <c r="D98" s="35" t="str">
        <f>IFERROR(INDEX($T$4:$T$153,MATCH(ROWS($A$4:A98),$AF$4:$AF$153,0)),"")</f>
        <v/>
      </c>
      <c r="E98" s="35" t="str">
        <f>IFERROR(INDEX($U$4:$U$153,MATCH(ROWS($A$4:A98),$AF$4:$AF$153,0)),"")</f>
        <v/>
      </c>
      <c r="F98" s="35" t="str">
        <f>IFERROR(INDEX($V$4:$V$153,MATCH(ROWS($A$4:A98),$AF$4:$AF$153,0)),"")</f>
        <v/>
      </c>
      <c r="G98" s="35" t="str">
        <f>IFERROR(INDEX($W$4:$W$153,MATCH(ROWS($A$4:A98),$AF$4:$AF$153,0)),"")</f>
        <v/>
      </c>
      <c r="H98" s="35" t="str">
        <f>IFERROR(INDEX($X$4:$X$153,MATCH(ROWS($A$4:A98),$AF$4:$AF$153,0)),"")</f>
        <v/>
      </c>
      <c r="I98" s="35" t="str">
        <f>IFERROR(INDEX($Y$4:$Y$153,MATCH(ROWS($A$4:A98),$AF$4:$AF$153,0)),"")</f>
        <v/>
      </c>
      <c r="J98" s="35" t="str">
        <f>IFERROR(INDEX($Z$4:$Z$153,MATCH(ROWS($A$4:A98),$AF$4:$AF$153,0)),"")</f>
        <v/>
      </c>
      <c r="K98" s="35" t="str">
        <f>IFERROR(INDEX($AA$4:$AA$153,MATCH(ROWS($A$4:A98),$AF$4:$AF$153,0)),"")</f>
        <v/>
      </c>
      <c r="L98" s="35" t="str">
        <f>IFERROR(INDEX($AB$4:$AB$153,MATCH(ROWS($A$4:A98),$AF$4:$AF$153,0)),"")</f>
        <v/>
      </c>
      <c r="M98" s="35" t="str">
        <f>IFERROR(INDEX($AC$4:$AC$153,MATCH(ROWS($A$4:A98),$AF$4:$AF$153,0)),"")</f>
        <v/>
      </c>
      <c r="N98" s="35" t="str">
        <f>IFERROR(INDEX($AD$4:$AD$153,MATCH(ROWS($A$4:A98),$AF$4:$AF$153,0)),"")</f>
        <v/>
      </c>
      <c r="Q98" t="str">
        <f>T(JAN!B100)</f>
        <v/>
      </c>
      <c r="R98" t="str">
        <f t="array" ref="R98">IF($Q98="","",_xlfn.TEXTJOIN(", ",TRUE,IF(JAN!$G100:$AK100="HE",JAN!$G$4:$AK$4,"")))</f>
        <v/>
      </c>
      <c r="S98" t="str">
        <f t="array" ref="S98">IF($Q98="","",_xlfn.TEXTJOIN(", ",TRUE,IF(FEV!$G100:$AK100="HE",FEV!$G$4:$AK$4,"")))</f>
        <v/>
      </c>
      <c r="T98" t="str">
        <f t="array" ref="T98">IF($Q98="","",_xlfn.TEXTJOIN(", ",TRUE,IF(MAR!$G100:$AK100="HE",MAR!$G$4:$AK$4,"")))</f>
        <v/>
      </c>
      <c r="U98" t="str">
        <f t="array" ref="U98">IF($Q98="","",_xlfn.TEXTJOIN(", ",TRUE,IF(ABR!$G100:$AK100="HE",ABR!$G$4:$AK$4,"")))</f>
        <v/>
      </c>
      <c r="V98" t="str">
        <f t="array" ref="V98">IF($Q98="","",_xlfn.TEXTJOIN(", ",TRUE,IF(MAI!$G100:$AK100="HE",MAI!$G$4:$AK$4,"")))</f>
        <v/>
      </c>
      <c r="W98" t="str">
        <f t="array" ref="W98">IF($Q98="","",_xlfn.TEXTJOIN(", ",TRUE,IF(JUN!$G100:$AK100="HE",JUN!$G$4:$AK$4,"")))</f>
        <v/>
      </c>
      <c r="X98" t="str">
        <f t="array" ref="X98">IF($Q98="","",_xlfn.TEXTJOIN(", ",TRUE,IF(JUL!$G100:$AK100="HE",JUL!$G$4:$AK$4,"")))</f>
        <v/>
      </c>
      <c r="Y98" t="str">
        <f t="array" ref="Y98">IF($Q98="","",_xlfn.TEXTJOIN(", ",TRUE,IF(AGO!$G100:$AK100="HE",AGO!$G$4:$AK$4,"")))</f>
        <v/>
      </c>
      <c r="Z98" t="str">
        <f t="array" ref="Z98">IF($Q98="","",_xlfn.TEXTJOIN(", ",TRUE,IF(SET!$G100:$AK100="HE",SET!$G$4:$AK$4,"")))</f>
        <v/>
      </c>
      <c r="AA98" t="str">
        <f t="array" ref="AA98">IF($Q98="","",_xlfn.TEXTJOIN(", ",TRUE,IF(OUT!$G100:$AK100="HE",OUT!$G$4:$AK$4,"")))</f>
        <v/>
      </c>
      <c r="AB98" t="str">
        <f t="array" ref="AB98">IF($Q98="","",_xlfn.TEXTJOIN(", ",TRUE,IF(NOV!$G100:$AK100="HE",NOV!$G$4:$AK$4,"")))</f>
        <v/>
      </c>
      <c r="AC98" t="str">
        <f t="array" ref="AC98">IF($Q98="","",_xlfn.TEXTJOIN(", ",TRUE,IF(DEZ!$G100:$AK100="HE",DEZ!$G$4:$AK$4,"")))</f>
        <v/>
      </c>
      <c r="AD98" t="str">
        <f>IF($Q98="","",SUM(JAN:DEZ!C100))</f>
        <v/>
      </c>
      <c r="AF98" t="str">
        <f>IF(AND($Q98&lt;&gt;"",N($AD98)&gt;0),COUNT($AF$3:AF97)+1,"")</f>
        <v/>
      </c>
    </row>
    <row r="99" spans="1:32" x14ac:dyDescent="0.25">
      <c r="A99" s="36" t="str">
        <f>IFERROR(INDEX($Q$4:$Q$153,MATCH(ROWS($A$4:A99),$AF$4:$AF$153,0)),"")</f>
        <v/>
      </c>
      <c r="B99" s="35" t="str">
        <f>IFERROR(INDEX($R$4:$R$153,MATCH(ROWS($A$4:A99),$AF$4:$AF$153,0)),"")</f>
        <v/>
      </c>
      <c r="C99" s="35" t="str">
        <f>IFERROR(INDEX($S$4:$S$153,MATCH(ROWS($A$4:A99),$AF$4:$AF$153,0)),"")</f>
        <v/>
      </c>
      <c r="D99" s="35" t="str">
        <f>IFERROR(INDEX($T$4:$T$153,MATCH(ROWS($A$4:A99),$AF$4:$AF$153,0)),"")</f>
        <v/>
      </c>
      <c r="E99" s="35" t="str">
        <f>IFERROR(INDEX($U$4:$U$153,MATCH(ROWS($A$4:A99),$AF$4:$AF$153,0)),"")</f>
        <v/>
      </c>
      <c r="F99" s="35" t="str">
        <f>IFERROR(INDEX($V$4:$V$153,MATCH(ROWS($A$4:A99),$AF$4:$AF$153,0)),"")</f>
        <v/>
      </c>
      <c r="G99" s="35" t="str">
        <f>IFERROR(INDEX($W$4:$W$153,MATCH(ROWS($A$4:A99),$AF$4:$AF$153,0)),"")</f>
        <v/>
      </c>
      <c r="H99" s="35" t="str">
        <f>IFERROR(INDEX($X$4:$X$153,MATCH(ROWS($A$4:A99),$AF$4:$AF$153,0)),"")</f>
        <v/>
      </c>
      <c r="I99" s="35" t="str">
        <f>IFERROR(INDEX($Y$4:$Y$153,MATCH(ROWS($A$4:A99),$AF$4:$AF$153,0)),"")</f>
        <v/>
      </c>
      <c r="J99" s="35" t="str">
        <f>IFERROR(INDEX($Z$4:$Z$153,MATCH(ROWS($A$4:A99),$AF$4:$AF$153,0)),"")</f>
        <v/>
      </c>
      <c r="K99" s="35" t="str">
        <f>IFERROR(INDEX($AA$4:$AA$153,MATCH(ROWS($A$4:A99),$AF$4:$AF$153,0)),"")</f>
        <v/>
      </c>
      <c r="L99" s="35" t="str">
        <f>IFERROR(INDEX($AB$4:$AB$153,MATCH(ROWS($A$4:A99),$AF$4:$AF$153,0)),"")</f>
        <v/>
      </c>
      <c r="M99" s="35" t="str">
        <f>IFERROR(INDEX($AC$4:$AC$153,MATCH(ROWS($A$4:A99),$AF$4:$AF$153,0)),"")</f>
        <v/>
      </c>
      <c r="N99" s="35" t="str">
        <f>IFERROR(INDEX($AD$4:$AD$153,MATCH(ROWS($A$4:A99),$AF$4:$AF$153,0)),"")</f>
        <v/>
      </c>
      <c r="Q99" t="str">
        <f>T(JAN!B101)</f>
        <v/>
      </c>
      <c r="R99" t="str">
        <f t="array" ref="R99">IF($Q99="","",_xlfn.TEXTJOIN(", ",TRUE,IF(JAN!$G101:$AK101="HE",JAN!$G$4:$AK$4,"")))</f>
        <v/>
      </c>
      <c r="S99" t="str">
        <f t="array" ref="S99">IF($Q99="","",_xlfn.TEXTJOIN(", ",TRUE,IF(FEV!$G101:$AK101="HE",FEV!$G$4:$AK$4,"")))</f>
        <v/>
      </c>
      <c r="T99" t="str">
        <f t="array" ref="T99">IF($Q99="","",_xlfn.TEXTJOIN(", ",TRUE,IF(MAR!$G101:$AK101="HE",MAR!$G$4:$AK$4,"")))</f>
        <v/>
      </c>
      <c r="U99" t="str">
        <f t="array" ref="U99">IF($Q99="","",_xlfn.TEXTJOIN(", ",TRUE,IF(ABR!$G101:$AK101="HE",ABR!$G$4:$AK$4,"")))</f>
        <v/>
      </c>
      <c r="V99" t="str">
        <f t="array" ref="V99">IF($Q99="","",_xlfn.TEXTJOIN(", ",TRUE,IF(MAI!$G101:$AK101="HE",MAI!$G$4:$AK$4,"")))</f>
        <v/>
      </c>
      <c r="W99" t="str">
        <f t="array" ref="W99">IF($Q99="","",_xlfn.TEXTJOIN(", ",TRUE,IF(JUN!$G101:$AK101="HE",JUN!$G$4:$AK$4,"")))</f>
        <v/>
      </c>
      <c r="X99" t="str">
        <f t="array" ref="X99">IF($Q99="","",_xlfn.TEXTJOIN(", ",TRUE,IF(JUL!$G101:$AK101="HE",JUL!$G$4:$AK$4,"")))</f>
        <v/>
      </c>
      <c r="Y99" t="str">
        <f t="array" ref="Y99">IF($Q99="","",_xlfn.TEXTJOIN(", ",TRUE,IF(AGO!$G101:$AK101="HE",AGO!$G$4:$AK$4,"")))</f>
        <v/>
      </c>
      <c r="Z99" t="str">
        <f t="array" ref="Z99">IF($Q99="","",_xlfn.TEXTJOIN(", ",TRUE,IF(SET!$G101:$AK101="HE",SET!$G$4:$AK$4,"")))</f>
        <v/>
      </c>
      <c r="AA99" t="str">
        <f t="array" ref="AA99">IF($Q99="","",_xlfn.TEXTJOIN(", ",TRUE,IF(OUT!$G101:$AK101="HE",OUT!$G$4:$AK$4,"")))</f>
        <v/>
      </c>
      <c r="AB99" t="str">
        <f t="array" ref="AB99">IF($Q99="","",_xlfn.TEXTJOIN(", ",TRUE,IF(NOV!$G101:$AK101="HE",NOV!$G$4:$AK$4,"")))</f>
        <v/>
      </c>
      <c r="AC99" t="str">
        <f t="array" ref="AC99">IF($Q99="","",_xlfn.TEXTJOIN(", ",TRUE,IF(DEZ!$G101:$AK101="HE",DEZ!$G$4:$AK$4,"")))</f>
        <v/>
      </c>
      <c r="AD99" t="str">
        <f>IF($Q99="","",SUM(JAN:DEZ!C101))</f>
        <v/>
      </c>
      <c r="AF99" t="str">
        <f>IF(AND($Q99&lt;&gt;"",N($AD99)&gt;0),COUNT($AF$3:AF98)+1,"")</f>
        <v/>
      </c>
    </row>
    <row r="100" spans="1:32" x14ac:dyDescent="0.25">
      <c r="A100" s="36" t="str">
        <f>IFERROR(INDEX($Q$4:$Q$153,MATCH(ROWS($A$4:A100),$AF$4:$AF$153,0)),"")</f>
        <v/>
      </c>
      <c r="B100" s="35" t="str">
        <f>IFERROR(INDEX($R$4:$R$153,MATCH(ROWS($A$4:A100),$AF$4:$AF$153,0)),"")</f>
        <v/>
      </c>
      <c r="C100" s="35" t="str">
        <f>IFERROR(INDEX($S$4:$S$153,MATCH(ROWS($A$4:A100),$AF$4:$AF$153,0)),"")</f>
        <v/>
      </c>
      <c r="D100" s="35" t="str">
        <f>IFERROR(INDEX($T$4:$T$153,MATCH(ROWS($A$4:A100),$AF$4:$AF$153,0)),"")</f>
        <v/>
      </c>
      <c r="E100" s="35" t="str">
        <f>IFERROR(INDEX($U$4:$U$153,MATCH(ROWS($A$4:A100),$AF$4:$AF$153,0)),"")</f>
        <v/>
      </c>
      <c r="F100" s="35" t="str">
        <f>IFERROR(INDEX($V$4:$V$153,MATCH(ROWS($A$4:A100),$AF$4:$AF$153,0)),"")</f>
        <v/>
      </c>
      <c r="G100" s="35" t="str">
        <f>IFERROR(INDEX($W$4:$W$153,MATCH(ROWS($A$4:A100),$AF$4:$AF$153,0)),"")</f>
        <v/>
      </c>
      <c r="H100" s="35" t="str">
        <f>IFERROR(INDEX($X$4:$X$153,MATCH(ROWS($A$4:A100),$AF$4:$AF$153,0)),"")</f>
        <v/>
      </c>
      <c r="I100" s="35" t="str">
        <f>IFERROR(INDEX($Y$4:$Y$153,MATCH(ROWS($A$4:A100),$AF$4:$AF$153,0)),"")</f>
        <v/>
      </c>
      <c r="J100" s="35" t="str">
        <f>IFERROR(INDEX($Z$4:$Z$153,MATCH(ROWS($A$4:A100),$AF$4:$AF$153,0)),"")</f>
        <v/>
      </c>
      <c r="K100" s="35" t="str">
        <f>IFERROR(INDEX($AA$4:$AA$153,MATCH(ROWS($A$4:A100),$AF$4:$AF$153,0)),"")</f>
        <v/>
      </c>
      <c r="L100" s="35" t="str">
        <f>IFERROR(INDEX($AB$4:$AB$153,MATCH(ROWS($A$4:A100),$AF$4:$AF$153,0)),"")</f>
        <v/>
      </c>
      <c r="M100" s="35" t="str">
        <f>IFERROR(INDEX($AC$4:$AC$153,MATCH(ROWS($A$4:A100),$AF$4:$AF$153,0)),"")</f>
        <v/>
      </c>
      <c r="N100" s="35" t="str">
        <f>IFERROR(INDEX($AD$4:$AD$153,MATCH(ROWS($A$4:A100),$AF$4:$AF$153,0)),"")</f>
        <v/>
      </c>
      <c r="Q100" t="str">
        <f>T(JAN!B102)</f>
        <v/>
      </c>
      <c r="R100" t="str">
        <f t="array" ref="R100">IF($Q100="","",_xlfn.TEXTJOIN(", ",TRUE,IF(JAN!$G102:$AK102="HE",JAN!$G$4:$AK$4,"")))</f>
        <v/>
      </c>
      <c r="S100" t="str">
        <f t="array" ref="S100">IF($Q100="","",_xlfn.TEXTJOIN(", ",TRUE,IF(FEV!$G102:$AK102="HE",FEV!$G$4:$AK$4,"")))</f>
        <v/>
      </c>
      <c r="T100" t="str">
        <f t="array" ref="T100">IF($Q100="","",_xlfn.TEXTJOIN(", ",TRUE,IF(MAR!$G102:$AK102="HE",MAR!$G$4:$AK$4,"")))</f>
        <v/>
      </c>
      <c r="U100" t="str">
        <f t="array" ref="U100">IF($Q100="","",_xlfn.TEXTJOIN(", ",TRUE,IF(ABR!$G102:$AK102="HE",ABR!$G$4:$AK$4,"")))</f>
        <v/>
      </c>
      <c r="V100" t="str">
        <f t="array" ref="V100">IF($Q100="","",_xlfn.TEXTJOIN(", ",TRUE,IF(MAI!$G102:$AK102="HE",MAI!$G$4:$AK$4,"")))</f>
        <v/>
      </c>
      <c r="W100" t="str">
        <f t="array" ref="W100">IF($Q100="","",_xlfn.TEXTJOIN(", ",TRUE,IF(JUN!$G102:$AK102="HE",JUN!$G$4:$AK$4,"")))</f>
        <v/>
      </c>
      <c r="X100" t="str">
        <f t="array" ref="X100">IF($Q100="","",_xlfn.TEXTJOIN(", ",TRUE,IF(JUL!$G102:$AK102="HE",JUL!$G$4:$AK$4,"")))</f>
        <v/>
      </c>
      <c r="Y100" t="str">
        <f t="array" ref="Y100">IF($Q100="","",_xlfn.TEXTJOIN(", ",TRUE,IF(AGO!$G102:$AK102="HE",AGO!$G$4:$AK$4,"")))</f>
        <v/>
      </c>
      <c r="Z100" t="str">
        <f t="array" ref="Z100">IF($Q100="","",_xlfn.TEXTJOIN(", ",TRUE,IF(SET!$G102:$AK102="HE",SET!$G$4:$AK$4,"")))</f>
        <v/>
      </c>
      <c r="AA100" t="str">
        <f t="array" ref="AA100">IF($Q100="","",_xlfn.TEXTJOIN(", ",TRUE,IF(OUT!$G102:$AK102="HE",OUT!$G$4:$AK$4,"")))</f>
        <v/>
      </c>
      <c r="AB100" t="str">
        <f t="array" ref="AB100">IF($Q100="","",_xlfn.TEXTJOIN(", ",TRUE,IF(NOV!$G102:$AK102="HE",NOV!$G$4:$AK$4,"")))</f>
        <v/>
      </c>
      <c r="AC100" t="str">
        <f t="array" ref="AC100">IF($Q100="","",_xlfn.TEXTJOIN(", ",TRUE,IF(DEZ!$G102:$AK102="HE",DEZ!$G$4:$AK$4,"")))</f>
        <v/>
      </c>
      <c r="AD100" t="str">
        <f>IF($Q100="","",SUM(JAN:DEZ!C102))</f>
        <v/>
      </c>
      <c r="AF100" t="str">
        <f>IF(AND($Q100&lt;&gt;"",N($AD100)&gt;0),COUNT($AF$3:AF99)+1,"")</f>
        <v/>
      </c>
    </row>
    <row r="101" spans="1:32" x14ac:dyDescent="0.25">
      <c r="A101" s="36" t="str">
        <f>IFERROR(INDEX($Q$4:$Q$153,MATCH(ROWS($A$4:A101),$AF$4:$AF$153,0)),"")</f>
        <v/>
      </c>
      <c r="B101" s="35" t="str">
        <f>IFERROR(INDEX($R$4:$R$153,MATCH(ROWS($A$4:A101),$AF$4:$AF$153,0)),"")</f>
        <v/>
      </c>
      <c r="C101" s="35" t="str">
        <f>IFERROR(INDEX($S$4:$S$153,MATCH(ROWS($A$4:A101),$AF$4:$AF$153,0)),"")</f>
        <v/>
      </c>
      <c r="D101" s="35" t="str">
        <f>IFERROR(INDEX($T$4:$T$153,MATCH(ROWS($A$4:A101),$AF$4:$AF$153,0)),"")</f>
        <v/>
      </c>
      <c r="E101" s="35" t="str">
        <f>IFERROR(INDEX($U$4:$U$153,MATCH(ROWS($A$4:A101),$AF$4:$AF$153,0)),"")</f>
        <v/>
      </c>
      <c r="F101" s="35" t="str">
        <f>IFERROR(INDEX($V$4:$V$153,MATCH(ROWS($A$4:A101),$AF$4:$AF$153,0)),"")</f>
        <v/>
      </c>
      <c r="G101" s="35" t="str">
        <f>IFERROR(INDEX($W$4:$W$153,MATCH(ROWS($A$4:A101),$AF$4:$AF$153,0)),"")</f>
        <v/>
      </c>
      <c r="H101" s="35" t="str">
        <f>IFERROR(INDEX($X$4:$X$153,MATCH(ROWS($A$4:A101),$AF$4:$AF$153,0)),"")</f>
        <v/>
      </c>
      <c r="I101" s="35" t="str">
        <f>IFERROR(INDEX($Y$4:$Y$153,MATCH(ROWS($A$4:A101),$AF$4:$AF$153,0)),"")</f>
        <v/>
      </c>
      <c r="J101" s="35" t="str">
        <f>IFERROR(INDEX($Z$4:$Z$153,MATCH(ROWS($A$4:A101),$AF$4:$AF$153,0)),"")</f>
        <v/>
      </c>
      <c r="K101" s="35" t="str">
        <f>IFERROR(INDEX($AA$4:$AA$153,MATCH(ROWS($A$4:A101),$AF$4:$AF$153,0)),"")</f>
        <v/>
      </c>
      <c r="L101" s="35" t="str">
        <f>IFERROR(INDEX($AB$4:$AB$153,MATCH(ROWS($A$4:A101),$AF$4:$AF$153,0)),"")</f>
        <v/>
      </c>
      <c r="M101" s="35" t="str">
        <f>IFERROR(INDEX($AC$4:$AC$153,MATCH(ROWS($A$4:A101),$AF$4:$AF$153,0)),"")</f>
        <v/>
      </c>
      <c r="N101" s="35" t="str">
        <f>IFERROR(INDEX($AD$4:$AD$153,MATCH(ROWS($A$4:A101),$AF$4:$AF$153,0)),"")</f>
        <v/>
      </c>
      <c r="Q101" t="str">
        <f>T(JAN!B103)</f>
        <v/>
      </c>
      <c r="R101" t="str">
        <f t="array" ref="R101">IF($Q101="","",_xlfn.TEXTJOIN(", ",TRUE,IF(JAN!$G103:$AK103="HE",JAN!$G$4:$AK$4,"")))</f>
        <v/>
      </c>
      <c r="S101" t="str">
        <f t="array" ref="S101">IF($Q101="","",_xlfn.TEXTJOIN(", ",TRUE,IF(FEV!$G103:$AK103="HE",FEV!$G$4:$AK$4,"")))</f>
        <v/>
      </c>
      <c r="T101" t="str">
        <f t="array" ref="T101">IF($Q101="","",_xlfn.TEXTJOIN(", ",TRUE,IF(MAR!$G103:$AK103="HE",MAR!$G$4:$AK$4,"")))</f>
        <v/>
      </c>
      <c r="U101" t="str">
        <f t="array" ref="U101">IF($Q101="","",_xlfn.TEXTJOIN(", ",TRUE,IF(ABR!$G103:$AK103="HE",ABR!$G$4:$AK$4,"")))</f>
        <v/>
      </c>
      <c r="V101" t="str">
        <f t="array" ref="V101">IF($Q101="","",_xlfn.TEXTJOIN(", ",TRUE,IF(MAI!$G103:$AK103="HE",MAI!$G$4:$AK$4,"")))</f>
        <v/>
      </c>
      <c r="W101" t="str">
        <f t="array" ref="W101">IF($Q101="","",_xlfn.TEXTJOIN(", ",TRUE,IF(JUN!$G103:$AK103="HE",JUN!$G$4:$AK$4,"")))</f>
        <v/>
      </c>
      <c r="X101" t="str">
        <f t="array" ref="X101">IF($Q101="","",_xlfn.TEXTJOIN(", ",TRUE,IF(JUL!$G103:$AK103="HE",JUL!$G$4:$AK$4,"")))</f>
        <v/>
      </c>
      <c r="Y101" t="str">
        <f t="array" ref="Y101">IF($Q101="","",_xlfn.TEXTJOIN(", ",TRUE,IF(AGO!$G103:$AK103="HE",AGO!$G$4:$AK$4,"")))</f>
        <v/>
      </c>
      <c r="Z101" t="str">
        <f t="array" ref="Z101">IF($Q101="","",_xlfn.TEXTJOIN(", ",TRUE,IF(SET!$G103:$AK103="HE",SET!$G$4:$AK$4,"")))</f>
        <v/>
      </c>
      <c r="AA101" t="str">
        <f t="array" ref="AA101">IF($Q101="","",_xlfn.TEXTJOIN(", ",TRUE,IF(OUT!$G103:$AK103="HE",OUT!$G$4:$AK$4,"")))</f>
        <v/>
      </c>
      <c r="AB101" t="str">
        <f t="array" ref="AB101">IF($Q101="","",_xlfn.TEXTJOIN(", ",TRUE,IF(NOV!$G103:$AK103="HE",NOV!$G$4:$AK$4,"")))</f>
        <v/>
      </c>
      <c r="AC101" t="str">
        <f t="array" ref="AC101">IF($Q101="","",_xlfn.TEXTJOIN(", ",TRUE,IF(DEZ!$G103:$AK103="HE",DEZ!$G$4:$AK$4,"")))</f>
        <v/>
      </c>
      <c r="AD101" t="str">
        <f>IF($Q101="","",SUM(JAN:DEZ!C103))</f>
        <v/>
      </c>
      <c r="AF101" t="str">
        <f>IF(AND($Q101&lt;&gt;"",N($AD101)&gt;0),COUNT($AF$3:AF100)+1,"")</f>
        <v/>
      </c>
    </row>
    <row r="102" spans="1:32" x14ac:dyDescent="0.25">
      <c r="A102" s="36" t="str">
        <f>IFERROR(INDEX($Q$4:$Q$153,MATCH(ROWS($A$4:A102),$AF$4:$AF$153,0)),"")</f>
        <v/>
      </c>
      <c r="B102" s="35" t="str">
        <f>IFERROR(INDEX($R$4:$R$153,MATCH(ROWS($A$4:A102),$AF$4:$AF$153,0)),"")</f>
        <v/>
      </c>
      <c r="C102" s="35" t="str">
        <f>IFERROR(INDEX($S$4:$S$153,MATCH(ROWS($A$4:A102),$AF$4:$AF$153,0)),"")</f>
        <v/>
      </c>
      <c r="D102" s="35" t="str">
        <f>IFERROR(INDEX($T$4:$T$153,MATCH(ROWS($A$4:A102),$AF$4:$AF$153,0)),"")</f>
        <v/>
      </c>
      <c r="E102" s="35" t="str">
        <f>IFERROR(INDEX($U$4:$U$153,MATCH(ROWS($A$4:A102),$AF$4:$AF$153,0)),"")</f>
        <v/>
      </c>
      <c r="F102" s="35" t="str">
        <f>IFERROR(INDEX($V$4:$V$153,MATCH(ROWS($A$4:A102),$AF$4:$AF$153,0)),"")</f>
        <v/>
      </c>
      <c r="G102" s="35" t="str">
        <f>IFERROR(INDEX($W$4:$W$153,MATCH(ROWS($A$4:A102),$AF$4:$AF$153,0)),"")</f>
        <v/>
      </c>
      <c r="H102" s="35" t="str">
        <f>IFERROR(INDEX($X$4:$X$153,MATCH(ROWS($A$4:A102),$AF$4:$AF$153,0)),"")</f>
        <v/>
      </c>
      <c r="I102" s="35" t="str">
        <f>IFERROR(INDEX($Y$4:$Y$153,MATCH(ROWS($A$4:A102),$AF$4:$AF$153,0)),"")</f>
        <v/>
      </c>
      <c r="J102" s="35" t="str">
        <f>IFERROR(INDEX($Z$4:$Z$153,MATCH(ROWS($A$4:A102),$AF$4:$AF$153,0)),"")</f>
        <v/>
      </c>
      <c r="K102" s="35" t="str">
        <f>IFERROR(INDEX($AA$4:$AA$153,MATCH(ROWS($A$4:A102),$AF$4:$AF$153,0)),"")</f>
        <v/>
      </c>
      <c r="L102" s="35" t="str">
        <f>IFERROR(INDEX($AB$4:$AB$153,MATCH(ROWS($A$4:A102),$AF$4:$AF$153,0)),"")</f>
        <v/>
      </c>
      <c r="M102" s="35" t="str">
        <f>IFERROR(INDEX($AC$4:$AC$153,MATCH(ROWS($A$4:A102),$AF$4:$AF$153,0)),"")</f>
        <v/>
      </c>
      <c r="N102" s="35" t="str">
        <f>IFERROR(INDEX($AD$4:$AD$153,MATCH(ROWS($A$4:A102),$AF$4:$AF$153,0)),"")</f>
        <v/>
      </c>
      <c r="Q102" t="str">
        <f>T(JAN!B104)</f>
        <v/>
      </c>
      <c r="R102" t="str">
        <f t="array" ref="R102">IF($Q102="","",_xlfn.TEXTJOIN(", ",TRUE,IF(JAN!$G104:$AK104="HE",JAN!$G$4:$AK$4,"")))</f>
        <v/>
      </c>
      <c r="S102" t="str">
        <f t="array" ref="S102">IF($Q102="","",_xlfn.TEXTJOIN(", ",TRUE,IF(FEV!$G104:$AK104="HE",FEV!$G$4:$AK$4,"")))</f>
        <v/>
      </c>
      <c r="T102" t="str">
        <f t="array" ref="T102">IF($Q102="","",_xlfn.TEXTJOIN(", ",TRUE,IF(MAR!$G104:$AK104="HE",MAR!$G$4:$AK$4,"")))</f>
        <v/>
      </c>
      <c r="U102" t="str">
        <f t="array" ref="U102">IF($Q102="","",_xlfn.TEXTJOIN(", ",TRUE,IF(ABR!$G104:$AK104="HE",ABR!$G$4:$AK$4,"")))</f>
        <v/>
      </c>
      <c r="V102" t="str">
        <f t="array" ref="V102">IF($Q102="","",_xlfn.TEXTJOIN(", ",TRUE,IF(MAI!$G104:$AK104="HE",MAI!$G$4:$AK$4,"")))</f>
        <v/>
      </c>
      <c r="W102" t="str">
        <f t="array" ref="W102">IF($Q102="","",_xlfn.TEXTJOIN(", ",TRUE,IF(JUN!$G104:$AK104="HE",JUN!$G$4:$AK$4,"")))</f>
        <v/>
      </c>
      <c r="X102" t="str">
        <f t="array" ref="X102">IF($Q102="","",_xlfn.TEXTJOIN(", ",TRUE,IF(JUL!$G104:$AK104="HE",JUL!$G$4:$AK$4,"")))</f>
        <v/>
      </c>
      <c r="Y102" t="str">
        <f t="array" ref="Y102">IF($Q102="","",_xlfn.TEXTJOIN(", ",TRUE,IF(AGO!$G104:$AK104="HE",AGO!$G$4:$AK$4,"")))</f>
        <v/>
      </c>
      <c r="Z102" t="str">
        <f t="array" ref="Z102">IF($Q102="","",_xlfn.TEXTJOIN(", ",TRUE,IF(SET!$G104:$AK104="HE",SET!$G$4:$AK$4,"")))</f>
        <v/>
      </c>
      <c r="AA102" t="str">
        <f t="array" ref="AA102">IF($Q102="","",_xlfn.TEXTJOIN(", ",TRUE,IF(OUT!$G104:$AK104="HE",OUT!$G$4:$AK$4,"")))</f>
        <v/>
      </c>
      <c r="AB102" t="str">
        <f t="array" ref="AB102">IF($Q102="","",_xlfn.TEXTJOIN(", ",TRUE,IF(NOV!$G104:$AK104="HE",NOV!$G$4:$AK$4,"")))</f>
        <v/>
      </c>
      <c r="AC102" t="str">
        <f t="array" ref="AC102">IF($Q102="","",_xlfn.TEXTJOIN(", ",TRUE,IF(DEZ!$G104:$AK104="HE",DEZ!$G$4:$AK$4,"")))</f>
        <v/>
      </c>
      <c r="AD102" t="str">
        <f>IF($Q102="","",SUM(JAN:DEZ!C104))</f>
        <v/>
      </c>
      <c r="AF102" t="str">
        <f>IF(AND($Q102&lt;&gt;"",N($AD102)&gt;0),COUNT($AF$3:AF101)+1,"")</f>
        <v/>
      </c>
    </row>
    <row r="103" spans="1:32" x14ac:dyDescent="0.25">
      <c r="A103" s="36" t="str">
        <f>IFERROR(INDEX($Q$4:$Q$153,MATCH(ROWS($A$4:A103),$AF$4:$AF$153,0)),"")</f>
        <v/>
      </c>
      <c r="B103" s="35" t="str">
        <f>IFERROR(INDEX($R$4:$R$153,MATCH(ROWS($A$4:A103),$AF$4:$AF$153,0)),"")</f>
        <v/>
      </c>
      <c r="C103" s="35" t="str">
        <f>IFERROR(INDEX($S$4:$S$153,MATCH(ROWS($A$4:A103),$AF$4:$AF$153,0)),"")</f>
        <v/>
      </c>
      <c r="D103" s="35" t="str">
        <f>IFERROR(INDEX($T$4:$T$153,MATCH(ROWS($A$4:A103),$AF$4:$AF$153,0)),"")</f>
        <v/>
      </c>
      <c r="E103" s="35" t="str">
        <f>IFERROR(INDEX($U$4:$U$153,MATCH(ROWS($A$4:A103),$AF$4:$AF$153,0)),"")</f>
        <v/>
      </c>
      <c r="F103" s="35" t="str">
        <f>IFERROR(INDEX($V$4:$V$153,MATCH(ROWS($A$4:A103),$AF$4:$AF$153,0)),"")</f>
        <v/>
      </c>
      <c r="G103" s="35" t="str">
        <f>IFERROR(INDEX($W$4:$W$153,MATCH(ROWS($A$4:A103),$AF$4:$AF$153,0)),"")</f>
        <v/>
      </c>
      <c r="H103" s="35" t="str">
        <f>IFERROR(INDEX($X$4:$X$153,MATCH(ROWS($A$4:A103),$AF$4:$AF$153,0)),"")</f>
        <v/>
      </c>
      <c r="I103" s="35" t="str">
        <f>IFERROR(INDEX($Y$4:$Y$153,MATCH(ROWS($A$4:A103),$AF$4:$AF$153,0)),"")</f>
        <v/>
      </c>
      <c r="J103" s="35" t="str">
        <f>IFERROR(INDEX($Z$4:$Z$153,MATCH(ROWS($A$4:A103),$AF$4:$AF$153,0)),"")</f>
        <v/>
      </c>
      <c r="K103" s="35" t="str">
        <f>IFERROR(INDEX($AA$4:$AA$153,MATCH(ROWS($A$4:A103),$AF$4:$AF$153,0)),"")</f>
        <v/>
      </c>
      <c r="L103" s="35" t="str">
        <f>IFERROR(INDEX($AB$4:$AB$153,MATCH(ROWS($A$4:A103),$AF$4:$AF$153,0)),"")</f>
        <v/>
      </c>
      <c r="M103" s="35" t="str">
        <f>IFERROR(INDEX($AC$4:$AC$153,MATCH(ROWS($A$4:A103),$AF$4:$AF$153,0)),"")</f>
        <v/>
      </c>
      <c r="N103" s="35" t="str">
        <f>IFERROR(INDEX($AD$4:$AD$153,MATCH(ROWS($A$4:A103),$AF$4:$AF$153,0)),"")</f>
        <v/>
      </c>
      <c r="Q103" t="str">
        <f>T(JAN!B105)</f>
        <v/>
      </c>
      <c r="R103" t="str">
        <f t="array" ref="R103">IF($Q103="","",_xlfn.TEXTJOIN(", ",TRUE,IF(JAN!$G105:$AK105="HE",JAN!$G$4:$AK$4,"")))</f>
        <v/>
      </c>
      <c r="S103" t="str">
        <f t="array" ref="S103">IF($Q103="","",_xlfn.TEXTJOIN(", ",TRUE,IF(FEV!$G105:$AK105="HE",FEV!$G$4:$AK$4,"")))</f>
        <v/>
      </c>
      <c r="T103" t="str">
        <f t="array" ref="T103">IF($Q103="","",_xlfn.TEXTJOIN(", ",TRUE,IF(MAR!$G105:$AK105="HE",MAR!$G$4:$AK$4,"")))</f>
        <v/>
      </c>
      <c r="U103" t="str">
        <f t="array" ref="U103">IF($Q103="","",_xlfn.TEXTJOIN(", ",TRUE,IF(ABR!$G105:$AK105="HE",ABR!$G$4:$AK$4,"")))</f>
        <v/>
      </c>
      <c r="V103" t="str">
        <f t="array" ref="V103">IF($Q103="","",_xlfn.TEXTJOIN(", ",TRUE,IF(MAI!$G105:$AK105="HE",MAI!$G$4:$AK$4,"")))</f>
        <v/>
      </c>
      <c r="W103" t="str">
        <f t="array" ref="W103">IF($Q103="","",_xlfn.TEXTJOIN(", ",TRUE,IF(JUN!$G105:$AK105="HE",JUN!$G$4:$AK$4,"")))</f>
        <v/>
      </c>
      <c r="X103" t="str">
        <f t="array" ref="X103">IF($Q103="","",_xlfn.TEXTJOIN(", ",TRUE,IF(JUL!$G105:$AK105="HE",JUL!$G$4:$AK$4,"")))</f>
        <v/>
      </c>
      <c r="Y103" t="str">
        <f t="array" ref="Y103">IF($Q103="","",_xlfn.TEXTJOIN(", ",TRUE,IF(AGO!$G105:$AK105="HE",AGO!$G$4:$AK$4,"")))</f>
        <v/>
      </c>
      <c r="Z103" t="str">
        <f t="array" ref="Z103">IF($Q103="","",_xlfn.TEXTJOIN(", ",TRUE,IF(SET!$G105:$AK105="HE",SET!$G$4:$AK$4,"")))</f>
        <v/>
      </c>
      <c r="AA103" t="str">
        <f t="array" ref="AA103">IF($Q103="","",_xlfn.TEXTJOIN(", ",TRUE,IF(OUT!$G105:$AK105="HE",OUT!$G$4:$AK$4,"")))</f>
        <v/>
      </c>
      <c r="AB103" t="str">
        <f t="array" ref="AB103">IF($Q103="","",_xlfn.TEXTJOIN(", ",TRUE,IF(NOV!$G105:$AK105="HE",NOV!$G$4:$AK$4,"")))</f>
        <v/>
      </c>
      <c r="AC103" t="str">
        <f t="array" ref="AC103">IF($Q103="","",_xlfn.TEXTJOIN(", ",TRUE,IF(DEZ!$G105:$AK105="HE",DEZ!$G$4:$AK$4,"")))</f>
        <v/>
      </c>
      <c r="AD103" t="str">
        <f>IF($Q103="","",SUM(JAN:DEZ!C105))</f>
        <v/>
      </c>
      <c r="AF103" t="str">
        <f>IF(AND($Q103&lt;&gt;"",N($AD103)&gt;0),COUNT($AF$3:AF102)+1,"")</f>
        <v/>
      </c>
    </row>
    <row r="104" spans="1:32" x14ac:dyDescent="0.25">
      <c r="A104" s="36" t="str">
        <f>IFERROR(INDEX($Q$4:$Q$153,MATCH(ROWS($A$4:A104),$AF$4:$AF$153,0)),"")</f>
        <v/>
      </c>
      <c r="B104" s="35" t="str">
        <f>IFERROR(INDEX($R$4:$R$153,MATCH(ROWS($A$4:A104),$AF$4:$AF$153,0)),"")</f>
        <v/>
      </c>
      <c r="C104" s="35" t="str">
        <f>IFERROR(INDEX($S$4:$S$153,MATCH(ROWS($A$4:A104),$AF$4:$AF$153,0)),"")</f>
        <v/>
      </c>
      <c r="D104" s="35" t="str">
        <f>IFERROR(INDEX($T$4:$T$153,MATCH(ROWS($A$4:A104),$AF$4:$AF$153,0)),"")</f>
        <v/>
      </c>
      <c r="E104" s="35" t="str">
        <f>IFERROR(INDEX($U$4:$U$153,MATCH(ROWS($A$4:A104),$AF$4:$AF$153,0)),"")</f>
        <v/>
      </c>
      <c r="F104" s="35" t="str">
        <f>IFERROR(INDEX($V$4:$V$153,MATCH(ROWS($A$4:A104),$AF$4:$AF$153,0)),"")</f>
        <v/>
      </c>
      <c r="G104" s="35" t="str">
        <f>IFERROR(INDEX($W$4:$W$153,MATCH(ROWS($A$4:A104),$AF$4:$AF$153,0)),"")</f>
        <v/>
      </c>
      <c r="H104" s="35" t="str">
        <f>IFERROR(INDEX($X$4:$X$153,MATCH(ROWS($A$4:A104),$AF$4:$AF$153,0)),"")</f>
        <v/>
      </c>
      <c r="I104" s="35" t="str">
        <f>IFERROR(INDEX($Y$4:$Y$153,MATCH(ROWS($A$4:A104),$AF$4:$AF$153,0)),"")</f>
        <v/>
      </c>
      <c r="J104" s="35" t="str">
        <f>IFERROR(INDEX($Z$4:$Z$153,MATCH(ROWS($A$4:A104),$AF$4:$AF$153,0)),"")</f>
        <v/>
      </c>
      <c r="K104" s="35" t="str">
        <f>IFERROR(INDEX($AA$4:$AA$153,MATCH(ROWS($A$4:A104),$AF$4:$AF$153,0)),"")</f>
        <v/>
      </c>
      <c r="L104" s="35" t="str">
        <f>IFERROR(INDEX($AB$4:$AB$153,MATCH(ROWS($A$4:A104),$AF$4:$AF$153,0)),"")</f>
        <v/>
      </c>
      <c r="M104" s="35" t="str">
        <f>IFERROR(INDEX($AC$4:$AC$153,MATCH(ROWS($A$4:A104),$AF$4:$AF$153,0)),"")</f>
        <v/>
      </c>
      <c r="N104" s="35" t="str">
        <f>IFERROR(INDEX($AD$4:$AD$153,MATCH(ROWS($A$4:A104),$AF$4:$AF$153,0)),"")</f>
        <v/>
      </c>
      <c r="Q104" t="str">
        <f>T(JAN!B106)</f>
        <v/>
      </c>
      <c r="R104" t="str">
        <f t="array" ref="R104">IF($Q104="","",_xlfn.TEXTJOIN(", ",TRUE,IF(JAN!$G106:$AK106="HE",JAN!$G$4:$AK$4,"")))</f>
        <v/>
      </c>
      <c r="S104" t="str">
        <f t="array" ref="S104">IF($Q104="","",_xlfn.TEXTJOIN(", ",TRUE,IF(FEV!$G106:$AK106="HE",FEV!$G$4:$AK$4,"")))</f>
        <v/>
      </c>
      <c r="T104" t="str">
        <f t="array" ref="T104">IF($Q104="","",_xlfn.TEXTJOIN(", ",TRUE,IF(MAR!$G106:$AK106="HE",MAR!$G$4:$AK$4,"")))</f>
        <v/>
      </c>
      <c r="U104" t="str">
        <f t="array" ref="U104">IF($Q104="","",_xlfn.TEXTJOIN(", ",TRUE,IF(ABR!$G106:$AK106="HE",ABR!$G$4:$AK$4,"")))</f>
        <v/>
      </c>
      <c r="V104" t="str">
        <f t="array" ref="V104">IF($Q104="","",_xlfn.TEXTJOIN(", ",TRUE,IF(MAI!$G106:$AK106="HE",MAI!$G$4:$AK$4,"")))</f>
        <v/>
      </c>
      <c r="W104" t="str">
        <f t="array" ref="W104">IF($Q104="","",_xlfn.TEXTJOIN(", ",TRUE,IF(JUN!$G106:$AK106="HE",JUN!$G$4:$AK$4,"")))</f>
        <v/>
      </c>
      <c r="X104" t="str">
        <f t="array" ref="X104">IF($Q104="","",_xlfn.TEXTJOIN(", ",TRUE,IF(JUL!$G106:$AK106="HE",JUL!$G$4:$AK$4,"")))</f>
        <v/>
      </c>
      <c r="Y104" t="str">
        <f t="array" ref="Y104">IF($Q104="","",_xlfn.TEXTJOIN(", ",TRUE,IF(AGO!$G106:$AK106="HE",AGO!$G$4:$AK$4,"")))</f>
        <v/>
      </c>
      <c r="Z104" t="str">
        <f t="array" ref="Z104">IF($Q104="","",_xlfn.TEXTJOIN(", ",TRUE,IF(SET!$G106:$AK106="HE",SET!$G$4:$AK$4,"")))</f>
        <v/>
      </c>
      <c r="AA104" t="str">
        <f t="array" ref="AA104">IF($Q104="","",_xlfn.TEXTJOIN(", ",TRUE,IF(OUT!$G106:$AK106="HE",OUT!$G$4:$AK$4,"")))</f>
        <v/>
      </c>
      <c r="AB104" t="str">
        <f t="array" ref="AB104">IF($Q104="","",_xlfn.TEXTJOIN(", ",TRUE,IF(NOV!$G106:$AK106="HE",NOV!$G$4:$AK$4,"")))</f>
        <v/>
      </c>
      <c r="AC104" t="str">
        <f t="array" ref="AC104">IF($Q104="","",_xlfn.TEXTJOIN(", ",TRUE,IF(DEZ!$G106:$AK106="HE",DEZ!$G$4:$AK$4,"")))</f>
        <v/>
      </c>
      <c r="AD104" t="str">
        <f>IF($Q104="","",SUM(JAN:DEZ!C106))</f>
        <v/>
      </c>
      <c r="AF104" t="str">
        <f>IF(AND($Q104&lt;&gt;"",N($AD104)&gt;0),COUNT($AF$3:AF103)+1,"")</f>
        <v/>
      </c>
    </row>
    <row r="105" spans="1:32" x14ac:dyDescent="0.25">
      <c r="A105" s="36" t="str">
        <f>IFERROR(INDEX($Q$4:$Q$153,MATCH(ROWS($A$4:A105),$AF$4:$AF$153,0)),"")</f>
        <v/>
      </c>
      <c r="B105" s="35" t="str">
        <f>IFERROR(INDEX($R$4:$R$153,MATCH(ROWS($A$4:A105),$AF$4:$AF$153,0)),"")</f>
        <v/>
      </c>
      <c r="C105" s="35" t="str">
        <f>IFERROR(INDEX($S$4:$S$153,MATCH(ROWS($A$4:A105),$AF$4:$AF$153,0)),"")</f>
        <v/>
      </c>
      <c r="D105" s="35" t="str">
        <f>IFERROR(INDEX($T$4:$T$153,MATCH(ROWS($A$4:A105),$AF$4:$AF$153,0)),"")</f>
        <v/>
      </c>
      <c r="E105" s="35" t="str">
        <f>IFERROR(INDEX($U$4:$U$153,MATCH(ROWS($A$4:A105),$AF$4:$AF$153,0)),"")</f>
        <v/>
      </c>
      <c r="F105" s="35" t="str">
        <f>IFERROR(INDEX($V$4:$V$153,MATCH(ROWS($A$4:A105),$AF$4:$AF$153,0)),"")</f>
        <v/>
      </c>
      <c r="G105" s="35" t="str">
        <f>IFERROR(INDEX($W$4:$W$153,MATCH(ROWS($A$4:A105),$AF$4:$AF$153,0)),"")</f>
        <v/>
      </c>
      <c r="H105" s="35" t="str">
        <f>IFERROR(INDEX($X$4:$X$153,MATCH(ROWS($A$4:A105),$AF$4:$AF$153,0)),"")</f>
        <v/>
      </c>
      <c r="I105" s="35" t="str">
        <f>IFERROR(INDEX($Y$4:$Y$153,MATCH(ROWS($A$4:A105),$AF$4:$AF$153,0)),"")</f>
        <v/>
      </c>
      <c r="J105" s="35" t="str">
        <f>IFERROR(INDEX($Z$4:$Z$153,MATCH(ROWS($A$4:A105),$AF$4:$AF$153,0)),"")</f>
        <v/>
      </c>
      <c r="K105" s="35" t="str">
        <f>IFERROR(INDEX($AA$4:$AA$153,MATCH(ROWS($A$4:A105),$AF$4:$AF$153,0)),"")</f>
        <v/>
      </c>
      <c r="L105" s="35" t="str">
        <f>IFERROR(INDEX($AB$4:$AB$153,MATCH(ROWS($A$4:A105),$AF$4:$AF$153,0)),"")</f>
        <v/>
      </c>
      <c r="M105" s="35" t="str">
        <f>IFERROR(INDEX($AC$4:$AC$153,MATCH(ROWS($A$4:A105),$AF$4:$AF$153,0)),"")</f>
        <v/>
      </c>
      <c r="N105" s="35" t="str">
        <f>IFERROR(INDEX($AD$4:$AD$153,MATCH(ROWS($A$4:A105),$AF$4:$AF$153,0)),"")</f>
        <v/>
      </c>
      <c r="Q105" t="str">
        <f>T(JAN!B107)</f>
        <v/>
      </c>
      <c r="R105" t="str">
        <f t="array" ref="R105">IF($Q105="","",_xlfn.TEXTJOIN(", ",TRUE,IF(JAN!$G107:$AK107="HE",JAN!$G$4:$AK$4,"")))</f>
        <v/>
      </c>
      <c r="S105" t="str">
        <f t="array" ref="S105">IF($Q105="","",_xlfn.TEXTJOIN(", ",TRUE,IF(FEV!$G107:$AK107="HE",FEV!$G$4:$AK$4,"")))</f>
        <v/>
      </c>
      <c r="T105" t="str">
        <f t="array" ref="T105">IF($Q105="","",_xlfn.TEXTJOIN(", ",TRUE,IF(MAR!$G107:$AK107="HE",MAR!$G$4:$AK$4,"")))</f>
        <v/>
      </c>
      <c r="U105" t="str">
        <f t="array" ref="U105">IF($Q105="","",_xlfn.TEXTJOIN(", ",TRUE,IF(ABR!$G107:$AK107="HE",ABR!$G$4:$AK$4,"")))</f>
        <v/>
      </c>
      <c r="V105" t="str">
        <f t="array" ref="V105">IF($Q105="","",_xlfn.TEXTJOIN(", ",TRUE,IF(MAI!$G107:$AK107="HE",MAI!$G$4:$AK$4,"")))</f>
        <v/>
      </c>
      <c r="W105" t="str">
        <f t="array" ref="W105">IF($Q105="","",_xlfn.TEXTJOIN(", ",TRUE,IF(JUN!$G107:$AK107="HE",JUN!$G$4:$AK$4,"")))</f>
        <v/>
      </c>
      <c r="X105" t="str">
        <f t="array" ref="X105">IF($Q105="","",_xlfn.TEXTJOIN(", ",TRUE,IF(JUL!$G107:$AK107="HE",JUL!$G$4:$AK$4,"")))</f>
        <v/>
      </c>
      <c r="Y105" t="str">
        <f t="array" ref="Y105">IF($Q105="","",_xlfn.TEXTJOIN(", ",TRUE,IF(AGO!$G107:$AK107="HE",AGO!$G$4:$AK$4,"")))</f>
        <v/>
      </c>
      <c r="Z105" t="str">
        <f t="array" ref="Z105">IF($Q105="","",_xlfn.TEXTJOIN(", ",TRUE,IF(SET!$G107:$AK107="HE",SET!$G$4:$AK$4,"")))</f>
        <v/>
      </c>
      <c r="AA105" t="str">
        <f t="array" ref="AA105">IF($Q105="","",_xlfn.TEXTJOIN(", ",TRUE,IF(OUT!$G107:$AK107="HE",OUT!$G$4:$AK$4,"")))</f>
        <v/>
      </c>
      <c r="AB105" t="str">
        <f t="array" ref="AB105">IF($Q105="","",_xlfn.TEXTJOIN(", ",TRUE,IF(NOV!$G107:$AK107="HE",NOV!$G$4:$AK$4,"")))</f>
        <v/>
      </c>
      <c r="AC105" t="str">
        <f t="array" ref="AC105">IF($Q105="","",_xlfn.TEXTJOIN(", ",TRUE,IF(DEZ!$G107:$AK107="HE",DEZ!$G$4:$AK$4,"")))</f>
        <v/>
      </c>
      <c r="AD105" t="str">
        <f>IF($Q105="","",SUM(JAN:DEZ!C107))</f>
        <v/>
      </c>
      <c r="AF105" t="str">
        <f>IF(AND($Q105&lt;&gt;"",N($AD105)&gt;0),COUNT($AF$3:AF104)+1,"")</f>
        <v/>
      </c>
    </row>
    <row r="106" spans="1:32" x14ac:dyDescent="0.25">
      <c r="A106" s="36" t="str">
        <f>IFERROR(INDEX($Q$4:$Q$153,MATCH(ROWS($A$4:A106),$AF$4:$AF$153,0)),"")</f>
        <v/>
      </c>
      <c r="B106" s="35" t="str">
        <f>IFERROR(INDEX($R$4:$R$153,MATCH(ROWS($A$4:A106),$AF$4:$AF$153,0)),"")</f>
        <v/>
      </c>
      <c r="C106" s="35" t="str">
        <f>IFERROR(INDEX($S$4:$S$153,MATCH(ROWS($A$4:A106),$AF$4:$AF$153,0)),"")</f>
        <v/>
      </c>
      <c r="D106" s="35" t="str">
        <f>IFERROR(INDEX($T$4:$T$153,MATCH(ROWS($A$4:A106),$AF$4:$AF$153,0)),"")</f>
        <v/>
      </c>
      <c r="E106" s="35" t="str">
        <f>IFERROR(INDEX($U$4:$U$153,MATCH(ROWS($A$4:A106),$AF$4:$AF$153,0)),"")</f>
        <v/>
      </c>
      <c r="F106" s="35" t="str">
        <f>IFERROR(INDEX($V$4:$V$153,MATCH(ROWS($A$4:A106),$AF$4:$AF$153,0)),"")</f>
        <v/>
      </c>
      <c r="G106" s="35" t="str">
        <f>IFERROR(INDEX($W$4:$W$153,MATCH(ROWS($A$4:A106),$AF$4:$AF$153,0)),"")</f>
        <v/>
      </c>
      <c r="H106" s="35" t="str">
        <f>IFERROR(INDEX($X$4:$X$153,MATCH(ROWS($A$4:A106),$AF$4:$AF$153,0)),"")</f>
        <v/>
      </c>
      <c r="I106" s="35" t="str">
        <f>IFERROR(INDEX($Y$4:$Y$153,MATCH(ROWS($A$4:A106),$AF$4:$AF$153,0)),"")</f>
        <v/>
      </c>
      <c r="J106" s="35" t="str">
        <f>IFERROR(INDEX($Z$4:$Z$153,MATCH(ROWS($A$4:A106),$AF$4:$AF$153,0)),"")</f>
        <v/>
      </c>
      <c r="K106" s="35" t="str">
        <f>IFERROR(INDEX($AA$4:$AA$153,MATCH(ROWS($A$4:A106),$AF$4:$AF$153,0)),"")</f>
        <v/>
      </c>
      <c r="L106" s="35" t="str">
        <f>IFERROR(INDEX($AB$4:$AB$153,MATCH(ROWS($A$4:A106),$AF$4:$AF$153,0)),"")</f>
        <v/>
      </c>
      <c r="M106" s="35" t="str">
        <f>IFERROR(INDEX($AC$4:$AC$153,MATCH(ROWS($A$4:A106),$AF$4:$AF$153,0)),"")</f>
        <v/>
      </c>
      <c r="N106" s="35" t="str">
        <f>IFERROR(INDEX($AD$4:$AD$153,MATCH(ROWS($A$4:A106),$AF$4:$AF$153,0)),"")</f>
        <v/>
      </c>
      <c r="Q106" t="str">
        <f>T(JAN!B108)</f>
        <v/>
      </c>
      <c r="R106" t="str">
        <f t="array" ref="R106">IF($Q106="","",_xlfn.TEXTJOIN(", ",TRUE,IF(JAN!$G108:$AK108="HE",JAN!$G$4:$AK$4,"")))</f>
        <v/>
      </c>
      <c r="S106" t="str">
        <f t="array" ref="S106">IF($Q106="","",_xlfn.TEXTJOIN(", ",TRUE,IF(FEV!$G108:$AK108="HE",FEV!$G$4:$AK$4,"")))</f>
        <v/>
      </c>
      <c r="T106" t="str">
        <f t="array" ref="T106">IF($Q106="","",_xlfn.TEXTJOIN(", ",TRUE,IF(MAR!$G108:$AK108="HE",MAR!$G$4:$AK$4,"")))</f>
        <v/>
      </c>
      <c r="U106" t="str">
        <f t="array" ref="U106">IF($Q106="","",_xlfn.TEXTJOIN(", ",TRUE,IF(ABR!$G108:$AK108="HE",ABR!$G$4:$AK$4,"")))</f>
        <v/>
      </c>
      <c r="V106" t="str">
        <f t="array" ref="V106">IF($Q106="","",_xlfn.TEXTJOIN(", ",TRUE,IF(MAI!$G108:$AK108="HE",MAI!$G$4:$AK$4,"")))</f>
        <v/>
      </c>
      <c r="W106" t="str">
        <f t="array" ref="W106">IF($Q106="","",_xlfn.TEXTJOIN(", ",TRUE,IF(JUN!$G108:$AK108="HE",JUN!$G$4:$AK$4,"")))</f>
        <v/>
      </c>
      <c r="X106" t="str">
        <f t="array" ref="X106">IF($Q106="","",_xlfn.TEXTJOIN(", ",TRUE,IF(JUL!$G108:$AK108="HE",JUL!$G$4:$AK$4,"")))</f>
        <v/>
      </c>
      <c r="Y106" t="str">
        <f t="array" ref="Y106">IF($Q106="","",_xlfn.TEXTJOIN(", ",TRUE,IF(AGO!$G108:$AK108="HE",AGO!$G$4:$AK$4,"")))</f>
        <v/>
      </c>
      <c r="Z106" t="str">
        <f t="array" ref="Z106">IF($Q106="","",_xlfn.TEXTJOIN(", ",TRUE,IF(SET!$G108:$AK108="HE",SET!$G$4:$AK$4,"")))</f>
        <v/>
      </c>
      <c r="AA106" t="str">
        <f t="array" ref="AA106">IF($Q106="","",_xlfn.TEXTJOIN(", ",TRUE,IF(OUT!$G108:$AK108="HE",OUT!$G$4:$AK$4,"")))</f>
        <v/>
      </c>
      <c r="AB106" t="str">
        <f t="array" ref="AB106">IF($Q106="","",_xlfn.TEXTJOIN(", ",TRUE,IF(NOV!$G108:$AK108="HE",NOV!$G$4:$AK$4,"")))</f>
        <v/>
      </c>
      <c r="AC106" t="str">
        <f t="array" ref="AC106">IF($Q106="","",_xlfn.TEXTJOIN(", ",TRUE,IF(DEZ!$G108:$AK108="HE",DEZ!$G$4:$AK$4,"")))</f>
        <v/>
      </c>
      <c r="AD106" t="str">
        <f>IF($Q106="","",SUM(JAN:DEZ!C108))</f>
        <v/>
      </c>
      <c r="AF106" t="str">
        <f>IF(AND($Q106&lt;&gt;"",N($AD106)&gt;0),COUNT($AF$3:AF105)+1,"")</f>
        <v/>
      </c>
    </row>
    <row r="107" spans="1:32" x14ac:dyDescent="0.25">
      <c r="A107" s="36" t="str">
        <f>IFERROR(INDEX($Q$4:$Q$153,MATCH(ROWS($A$4:A107),$AF$4:$AF$153,0)),"")</f>
        <v/>
      </c>
      <c r="B107" s="35" t="str">
        <f>IFERROR(INDEX($R$4:$R$153,MATCH(ROWS($A$4:A107),$AF$4:$AF$153,0)),"")</f>
        <v/>
      </c>
      <c r="C107" s="35" t="str">
        <f>IFERROR(INDEX($S$4:$S$153,MATCH(ROWS($A$4:A107),$AF$4:$AF$153,0)),"")</f>
        <v/>
      </c>
      <c r="D107" s="35" t="str">
        <f>IFERROR(INDEX($T$4:$T$153,MATCH(ROWS($A$4:A107),$AF$4:$AF$153,0)),"")</f>
        <v/>
      </c>
      <c r="E107" s="35" t="str">
        <f>IFERROR(INDEX($U$4:$U$153,MATCH(ROWS($A$4:A107),$AF$4:$AF$153,0)),"")</f>
        <v/>
      </c>
      <c r="F107" s="35" t="str">
        <f>IFERROR(INDEX($V$4:$V$153,MATCH(ROWS($A$4:A107),$AF$4:$AF$153,0)),"")</f>
        <v/>
      </c>
      <c r="G107" s="35" t="str">
        <f>IFERROR(INDEX($W$4:$W$153,MATCH(ROWS($A$4:A107),$AF$4:$AF$153,0)),"")</f>
        <v/>
      </c>
      <c r="H107" s="35" t="str">
        <f>IFERROR(INDEX($X$4:$X$153,MATCH(ROWS($A$4:A107),$AF$4:$AF$153,0)),"")</f>
        <v/>
      </c>
      <c r="I107" s="35" t="str">
        <f>IFERROR(INDEX($Y$4:$Y$153,MATCH(ROWS($A$4:A107),$AF$4:$AF$153,0)),"")</f>
        <v/>
      </c>
      <c r="J107" s="35" t="str">
        <f>IFERROR(INDEX($Z$4:$Z$153,MATCH(ROWS($A$4:A107),$AF$4:$AF$153,0)),"")</f>
        <v/>
      </c>
      <c r="K107" s="35" t="str">
        <f>IFERROR(INDEX($AA$4:$AA$153,MATCH(ROWS($A$4:A107),$AF$4:$AF$153,0)),"")</f>
        <v/>
      </c>
      <c r="L107" s="35" t="str">
        <f>IFERROR(INDEX($AB$4:$AB$153,MATCH(ROWS($A$4:A107),$AF$4:$AF$153,0)),"")</f>
        <v/>
      </c>
      <c r="M107" s="35" t="str">
        <f>IFERROR(INDEX($AC$4:$AC$153,MATCH(ROWS($A$4:A107),$AF$4:$AF$153,0)),"")</f>
        <v/>
      </c>
      <c r="N107" s="35" t="str">
        <f>IFERROR(INDEX($AD$4:$AD$153,MATCH(ROWS($A$4:A107),$AF$4:$AF$153,0)),"")</f>
        <v/>
      </c>
      <c r="Q107" t="str">
        <f>T(JAN!B109)</f>
        <v/>
      </c>
      <c r="R107" t="str">
        <f t="array" ref="R107">IF($Q107="","",_xlfn.TEXTJOIN(", ",TRUE,IF(JAN!$G109:$AK109="HE",JAN!$G$4:$AK$4,"")))</f>
        <v/>
      </c>
      <c r="S107" t="str">
        <f t="array" ref="S107">IF($Q107="","",_xlfn.TEXTJOIN(", ",TRUE,IF(FEV!$G109:$AK109="HE",FEV!$G$4:$AK$4,"")))</f>
        <v/>
      </c>
      <c r="T107" t="str">
        <f t="array" ref="T107">IF($Q107="","",_xlfn.TEXTJOIN(", ",TRUE,IF(MAR!$G109:$AK109="HE",MAR!$G$4:$AK$4,"")))</f>
        <v/>
      </c>
      <c r="U107" t="str">
        <f t="array" ref="U107">IF($Q107="","",_xlfn.TEXTJOIN(", ",TRUE,IF(ABR!$G109:$AK109="HE",ABR!$G$4:$AK$4,"")))</f>
        <v/>
      </c>
      <c r="V107" t="str">
        <f t="array" ref="V107">IF($Q107="","",_xlfn.TEXTJOIN(", ",TRUE,IF(MAI!$G109:$AK109="HE",MAI!$G$4:$AK$4,"")))</f>
        <v/>
      </c>
      <c r="W107" t="str">
        <f t="array" ref="W107">IF($Q107="","",_xlfn.TEXTJOIN(", ",TRUE,IF(JUN!$G109:$AK109="HE",JUN!$G$4:$AK$4,"")))</f>
        <v/>
      </c>
      <c r="X107" t="str">
        <f t="array" ref="X107">IF($Q107="","",_xlfn.TEXTJOIN(", ",TRUE,IF(JUL!$G109:$AK109="HE",JUL!$G$4:$AK$4,"")))</f>
        <v/>
      </c>
      <c r="Y107" t="str">
        <f t="array" ref="Y107">IF($Q107="","",_xlfn.TEXTJOIN(", ",TRUE,IF(AGO!$G109:$AK109="HE",AGO!$G$4:$AK$4,"")))</f>
        <v/>
      </c>
      <c r="Z107" t="str">
        <f t="array" ref="Z107">IF($Q107="","",_xlfn.TEXTJOIN(", ",TRUE,IF(SET!$G109:$AK109="HE",SET!$G$4:$AK$4,"")))</f>
        <v/>
      </c>
      <c r="AA107" t="str">
        <f t="array" ref="AA107">IF($Q107="","",_xlfn.TEXTJOIN(", ",TRUE,IF(OUT!$G109:$AK109="HE",OUT!$G$4:$AK$4,"")))</f>
        <v/>
      </c>
      <c r="AB107" t="str">
        <f t="array" ref="AB107">IF($Q107="","",_xlfn.TEXTJOIN(", ",TRUE,IF(NOV!$G109:$AK109="HE",NOV!$G$4:$AK$4,"")))</f>
        <v/>
      </c>
      <c r="AC107" t="str">
        <f t="array" ref="AC107">IF($Q107="","",_xlfn.TEXTJOIN(", ",TRUE,IF(DEZ!$G109:$AK109="HE",DEZ!$G$4:$AK$4,"")))</f>
        <v/>
      </c>
      <c r="AD107" t="str">
        <f>IF($Q107="","",SUM(JAN:DEZ!C109))</f>
        <v/>
      </c>
      <c r="AF107" t="str">
        <f>IF(AND($Q107&lt;&gt;"",N($AD107)&gt;0),COUNT($AF$3:AF106)+1,"")</f>
        <v/>
      </c>
    </row>
    <row r="108" spans="1:32" x14ac:dyDescent="0.25">
      <c r="A108" s="36" t="str">
        <f>IFERROR(INDEX($Q$4:$Q$153,MATCH(ROWS($A$4:A108),$AF$4:$AF$153,0)),"")</f>
        <v/>
      </c>
      <c r="B108" s="35" t="str">
        <f>IFERROR(INDEX($R$4:$R$153,MATCH(ROWS($A$4:A108),$AF$4:$AF$153,0)),"")</f>
        <v/>
      </c>
      <c r="C108" s="35" t="str">
        <f>IFERROR(INDEX($S$4:$S$153,MATCH(ROWS($A$4:A108),$AF$4:$AF$153,0)),"")</f>
        <v/>
      </c>
      <c r="D108" s="35" t="str">
        <f>IFERROR(INDEX($T$4:$T$153,MATCH(ROWS($A$4:A108),$AF$4:$AF$153,0)),"")</f>
        <v/>
      </c>
      <c r="E108" s="35" t="str">
        <f>IFERROR(INDEX($U$4:$U$153,MATCH(ROWS($A$4:A108),$AF$4:$AF$153,0)),"")</f>
        <v/>
      </c>
      <c r="F108" s="35" t="str">
        <f>IFERROR(INDEX($V$4:$V$153,MATCH(ROWS($A$4:A108),$AF$4:$AF$153,0)),"")</f>
        <v/>
      </c>
      <c r="G108" s="35" t="str">
        <f>IFERROR(INDEX($W$4:$W$153,MATCH(ROWS($A$4:A108),$AF$4:$AF$153,0)),"")</f>
        <v/>
      </c>
      <c r="H108" s="35" t="str">
        <f>IFERROR(INDEX($X$4:$X$153,MATCH(ROWS($A$4:A108),$AF$4:$AF$153,0)),"")</f>
        <v/>
      </c>
      <c r="I108" s="35" t="str">
        <f>IFERROR(INDEX($Y$4:$Y$153,MATCH(ROWS($A$4:A108),$AF$4:$AF$153,0)),"")</f>
        <v/>
      </c>
      <c r="J108" s="35" t="str">
        <f>IFERROR(INDEX($Z$4:$Z$153,MATCH(ROWS($A$4:A108),$AF$4:$AF$153,0)),"")</f>
        <v/>
      </c>
      <c r="K108" s="35" t="str">
        <f>IFERROR(INDEX($AA$4:$AA$153,MATCH(ROWS($A$4:A108),$AF$4:$AF$153,0)),"")</f>
        <v/>
      </c>
      <c r="L108" s="35" t="str">
        <f>IFERROR(INDEX($AB$4:$AB$153,MATCH(ROWS($A$4:A108),$AF$4:$AF$153,0)),"")</f>
        <v/>
      </c>
      <c r="M108" s="35" t="str">
        <f>IFERROR(INDEX($AC$4:$AC$153,MATCH(ROWS($A$4:A108),$AF$4:$AF$153,0)),"")</f>
        <v/>
      </c>
      <c r="N108" s="35" t="str">
        <f>IFERROR(INDEX($AD$4:$AD$153,MATCH(ROWS($A$4:A108),$AF$4:$AF$153,0)),"")</f>
        <v/>
      </c>
      <c r="Q108" t="str">
        <f>T(JAN!B110)</f>
        <v/>
      </c>
      <c r="R108" t="str">
        <f t="array" ref="R108">IF($Q108="","",_xlfn.TEXTJOIN(", ",TRUE,IF(JAN!$G110:$AK110="HE",JAN!$G$4:$AK$4,"")))</f>
        <v/>
      </c>
      <c r="S108" t="str">
        <f t="array" ref="S108">IF($Q108="","",_xlfn.TEXTJOIN(", ",TRUE,IF(FEV!$G110:$AK110="HE",FEV!$G$4:$AK$4,"")))</f>
        <v/>
      </c>
      <c r="T108" t="str">
        <f t="array" ref="T108">IF($Q108="","",_xlfn.TEXTJOIN(", ",TRUE,IF(MAR!$G110:$AK110="HE",MAR!$G$4:$AK$4,"")))</f>
        <v/>
      </c>
      <c r="U108" t="str">
        <f t="array" ref="U108">IF($Q108="","",_xlfn.TEXTJOIN(", ",TRUE,IF(ABR!$G110:$AK110="HE",ABR!$G$4:$AK$4,"")))</f>
        <v/>
      </c>
      <c r="V108" t="str">
        <f t="array" ref="V108">IF($Q108="","",_xlfn.TEXTJOIN(", ",TRUE,IF(MAI!$G110:$AK110="HE",MAI!$G$4:$AK$4,"")))</f>
        <v/>
      </c>
      <c r="W108" t="str">
        <f t="array" ref="W108">IF($Q108="","",_xlfn.TEXTJOIN(", ",TRUE,IF(JUN!$G110:$AK110="HE",JUN!$G$4:$AK$4,"")))</f>
        <v/>
      </c>
      <c r="X108" t="str">
        <f t="array" ref="X108">IF($Q108="","",_xlfn.TEXTJOIN(", ",TRUE,IF(JUL!$G110:$AK110="HE",JUL!$G$4:$AK$4,"")))</f>
        <v/>
      </c>
      <c r="Y108" t="str">
        <f t="array" ref="Y108">IF($Q108="","",_xlfn.TEXTJOIN(", ",TRUE,IF(AGO!$G110:$AK110="HE",AGO!$G$4:$AK$4,"")))</f>
        <v/>
      </c>
      <c r="Z108" t="str">
        <f t="array" ref="Z108">IF($Q108="","",_xlfn.TEXTJOIN(", ",TRUE,IF(SET!$G110:$AK110="HE",SET!$G$4:$AK$4,"")))</f>
        <v/>
      </c>
      <c r="AA108" t="str">
        <f t="array" ref="AA108">IF($Q108="","",_xlfn.TEXTJOIN(", ",TRUE,IF(OUT!$G110:$AK110="HE",OUT!$G$4:$AK$4,"")))</f>
        <v/>
      </c>
      <c r="AB108" t="str">
        <f t="array" ref="AB108">IF($Q108="","",_xlfn.TEXTJOIN(", ",TRUE,IF(NOV!$G110:$AK110="HE",NOV!$G$4:$AK$4,"")))</f>
        <v/>
      </c>
      <c r="AC108" t="str">
        <f t="array" ref="AC108">IF($Q108="","",_xlfn.TEXTJOIN(", ",TRUE,IF(DEZ!$G110:$AK110="HE",DEZ!$G$4:$AK$4,"")))</f>
        <v/>
      </c>
      <c r="AD108" t="str">
        <f>IF($Q108="","",SUM(JAN:DEZ!C110))</f>
        <v/>
      </c>
      <c r="AF108" t="str">
        <f>IF(AND($Q108&lt;&gt;"",N($AD108)&gt;0),COUNT($AF$3:AF107)+1,"")</f>
        <v/>
      </c>
    </row>
    <row r="109" spans="1:32" x14ac:dyDescent="0.25">
      <c r="A109" s="36" t="str">
        <f>IFERROR(INDEX($Q$4:$Q$153,MATCH(ROWS($A$4:A109),$AF$4:$AF$153,0)),"")</f>
        <v/>
      </c>
      <c r="B109" s="35" t="str">
        <f>IFERROR(INDEX($R$4:$R$153,MATCH(ROWS($A$4:A109),$AF$4:$AF$153,0)),"")</f>
        <v/>
      </c>
      <c r="C109" s="35" t="str">
        <f>IFERROR(INDEX($S$4:$S$153,MATCH(ROWS($A$4:A109),$AF$4:$AF$153,0)),"")</f>
        <v/>
      </c>
      <c r="D109" s="35" t="str">
        <f>IFERROR(INDEX($T$4:$T$153,MATCH(ROWS($A$4:A109),$AF$4:$AF$153,0)),"")</f>
        <v/>
      </c>
      <c r="E109" s="35" t="str">
        <f>IFERROR(INDEX($U$4:$U$153,MATCH(ROWS($A$4:A109),$AF$4:$AF$153,0)),"")</f>
        <v/>
      </c>
      <c r="F109" s="35" t="str">
        <f>IFERROR(INDEX($V$4:$V$153,MATCH(ROWS($A$4:A109),$AF$4:$AF$153,0)),"")</f>
        <v/>
      </c>
      <c r="G109" s="35" t="str">
        <f>IFERROR(INDEX($W$4:$W$153,MATCH(ROWS($A$4:A109),$AF$4:$AF$153,0)),"")</f>
        <v/>
      </c>
      <c r="H109" s="35" t="str">
        <f>IFERROR(INDEX($X$4:$X$153,MATCH(ROWS($A$4:A109),$AF$4:$AF$153,0)),"")</f>
        <v/>
      </c>
      <c r="I109" s="35" t="str">
        <f>IFERROR(INDEX($Y$4:$Y$153,MATCH(ROWS($A$4:A109),$AF$4:$AF$153,0)),"")</f>
        <v/>
      </c>
      <c r="J109" s="35" t="str">
        <f>IFERROR(INDEX($Z$4:$Z$153,MATCH(ROWS($A$4:A109),$AF$4:$AF$153,0)),"")</f>
        <v/>
      </c>
      <c r="K109" s="35" t="str">
        <f>IFERROR(INDEX($AA$4:$AA$153,MATCH(ROWS($A$4:A109),$AF$4:$AF$153,0)),"")</f>
        <v/>
      </c>
      <c r="L109" s="35" t="str">
        <f>IFERROR(INDEX($AB$4:$AB$153,MATCH(ROWS($A$4:A109),$AF$4:$AF$153,0)),"")</f>
        <v/>
      </c>
      <c r="M109" s="35" t="str">
        <f>IFERROR(INDEX($AC$4:$AC$153,MATCH(ROWS($A$4:A109),$AF$4:$AF$153,0)),"")</f>
        <v/>
      </c>
      <c r="N109" s="35" t="str">
        <f>IFERROR(INDEX($AD$4:$AD$153,MATCH(ROWS($A$4:A109),$AF$4:$AF$153,0)),"")</f>
        <v/>
      </c>
      <c r="Q109" t="str">
        <f>T(JAN!B111)</f>
        <v/>
      </c>
      <c r="R109" t="str">
        <f t="array" ref="R109">IF($Q109="","",_xlfn.TEXTJOIN(", ",TRUE,IF(JAN!$G111:$AK111="HE",JAN!$G$4:$AK$4,"")))</f>
        <v/>
      </c>
      <c r="S109" t="str">
        <f t="array" ref="S109">IF($Q109="","",_xlfn.TEXTJOIN(", ",TRUE,IF(FEV!$G111:$AK111="HE",FEV!$G$4:$AK$4,"")))</f>
        <v/>
      </c>
      <c r="T109" t="str">
        <f t="array" ref="T109">IF($Q109="","",_xlfn.TEXTJOIN(", ",TRUE,IF(MAR!$G111:$AK111="HE",MAR!$G$4:$AK$4,"")))</f>
        <v/>
      </c>
      <c r="U109" t="str">
        <f t="array" ref="U109">IF($Q109="","",_xlfn.TEXTJOIN(", ",TRUE,IF(ABR!$G111:$AK111="HE",ABR!$G$4:$AK$4,"")))</f>
        <v/>
      </c>
      <c r="V109" t="str">
        <f t="array" ref="V109">IF($Q109="","",_xlfn.TEXTJOIN(", ",TRUE,IF(MAI!$G111:$AK111="HE",MAI!$G$4:$AK$4,"")))</f>
        <v/>
      </c>
      <c r="W109" t="str">
        <f t="array" ref="W109">IF($Q109="","",_xlfn.TEXTJOIN(", ",TRUE,IF(JUN!$G111:$AK111="HE",JUN!$G$4:$AK$4,"")))</f>
        <v/>
      </c>
      <c r="X109" t="str">
        <f t="array" ref="X109">IF($Q109="","",_xlfn.TEXTJOIN(", ",TRUE,IF(JUL!$G111:$AK111="HE",JUL!$G$4:$AK$4,"")))</f>
        <v/>
      </c>
      <c r="Y109" t="str">
        <f t="array" ref="Y109">IF($Q109="","",_xlfn.TEXTJOIN(", ",TRUE,IF(AGO!$G111:$AK111="HE",AGO!$G$4:$AK$4,"")))</f>
        <v/>
      </c>
      <c r="Z109" t="str">
        <f t="array" ref="Z109">IF($Q109="","",_xlfn.TEXTJOIN(", ",TRUE,IF(SET!$G111:$AK111="HE",SET!$G$4:$AK$4,"")))</f>
        <v/>
      </c>
      <c r="AA109" t="str">
        <f t="array" ref="AA109">IF($Q109="","",_xlfn.TEXTJOIN(", ",TRUE,IF(OUT!$G111:$AK111="HE",OUT!$G$4:$AK$4,"")))</f>
        <v/>
      </c>
      <c r="AB109" t="str">
        <f t="array" ref="AB109">IF($Q109="","",_xlfn.TEXTJOIN(", ",TRUE,IF(NOV!$G111:$AK111="HE",NOV!$G$4:$AK$4,"")))</f>
        <v/>
      </c>
      <c r="AC109" t="str">
        <f t="array" ref="AC109">IF($Q109="","",_xlfn.TEXTJOIN(", ",TRUE,IF(DEZ!$G111:$AK111="HE",DEZ!$G$4:$AK$4,"")))</f>
        <v/>
      </c>
      <c r="AD109" t="str">
        <f>IF($Q109="","",SUM(JAN:DEZ!C111))</f>
        <v/>
      </c>
      <c r="AF109" t="str">
        <f>IF(AND($Q109&lt;&gt;"",N($AD109)&gt;0),COUNT($AF$3:AF108)+1,"")</f>
        <v/>
      </c>
    </row>
    <row r="110" spans="1:32" x14ac:dyDescent="0.25">
      <c r="A110" s="36" t="str">
        <f>IFERROR(INDEX($Q$4:$Q$153,MATCH(ROWS($A$4:A110),$AF$4:$AF$153,0)),"")</f>
        <v/>
      </c>
      <c r="B110" s="35" t="str">
        <f>IFERROR(INDEX($R$4:$R$153,MATCH(ROWS($A$4:A110),$AF$4:$AF$153,0)),"")</f>
        <v/>
      </c>
      <c r="C110" s="35" t="str">
        <f>IFERROR(INDEX($S$4:$S$153,MATCH(ROWS($A$4:A110),$AF$4:$AF$153,0)),"")</f>
        <v/>
      </c>
      <c r="D110" s="35" t="str">
        <f>IFERROR(INDEX($T$4:$T$153,MATCH(ROWS($A$4:A110),$AF$4:$AF$153,0)),"")</f>
        <v/>
      </c>
      <c r="E110" s="35" t="str">
        <f>IFERROR(INDEX($U$4:$U$153,MATCH(ROWS($A$4:A110),$AF$4:$AF$153,0)),"")</f>
        <v/>
      </c>
      <c r="F110" s="35" t="str">
        <f>IFERROR(INDEX($V$4:$V$153,MATCH(ROWS($A$4:A110),$AF$4:$AF$153,0)),"")</f>
        <v/>
      </c>
      <c r="G110" s="35" t="str">
        <f>IFERROR(INDEX($W$4:$W$153,MATCH(ROWS($A$4:A110),$AF$4:$AF$153,0)),"")</f>
        <v/>
      </c>
      <c r="H110" s="35" t="str">
        <f>IFERROR(INDEX($X$4:$X$153,MATCH(ROWS($A$4:A110),$AF$4:$AF$153,0)),"")</f>
        <v/>
      </c>
      <c r="I110" s="35" t="str">
        <f>IFERROR(INDEX($Y$4:$Y$153,MATCH(ROWS($A$4:A110),$AF$4:$AF$153,0)),"")</f>
        <v/>
      </c>
      <c r="J110" s="35" t="str">
        <f>IFERROR(INDEX($Z$4:$Z$153,MATCH(ROWS($A$4:A110),$AF$4:$AF$153,0)),"")</f>
        <v/>
      </c>
      <c r="K110" s="35" t="str">
        <f>IFERROR(INDEX($AA$4:$AA$153,MATCH(ROWS($A$4:A110),$AF$4:$AF$153,0)),"")</f>
        <v/>
      </c>
      <c r="L110" s="35" t="str">
        <f>IFERROR(INDEX($AB$4:$AB$153,MATCH(ROWS($A$4:A110),$AF$4:$AF$153,0)),"")</f>
        <v/>
      </c>
      <c r="M110" s="35" t="str">
        <f>IFERROR(INDEX($AC$4:$AC$153,MATCH(ROWS($A$4:A110),$AF$4:$AF$153,0)),"")</f>
        <v/>
      </c>
      <c r="N110" s="35" t="str">
        <f>IFERROR(INDEX($AD$4:$AD$153,MATCH(ROWS($A$4:A110),$AF$4:$AF$153,0)),"")</f>
        <v/>
      </c>
      <c r="Q110" t="str">
        <f>T(JAN!B112)</f>
        <v/>
      </c>
      <c r="R110" t="str">
        <f t="array" ref="R110">IF($Q110="","",_xlfn.TEXTJOIN(", ",TRUE,IF(JAN!$G112:$AK112="HE",JAN!$G$4:$AK$4,"")))</f>
        <v/>
      </c>
      <c r="S110" t="str">
        <f t="array" ref="S110">IF($Q110="","",_xlfn.TEXTJOIN(", ",TRUE,IF(FEV!$G112:$AK112="HE",FEV!$G$4:$AK$4,"")))</f>
        <v/>
      </c>
      <c r="T110" t="str">
        <f t="array" ref="T110">IF($Q110="","",_xlfn.TEXTJOIN(", ",TRUE,IF(MAR!$G112:$AK112="HE",MAR!$G$4:$AK$4,"")))</f>
        <v/>
      </c>
      <c r="U110" t="str">
        <f t="array" ref="U110">IF($Q110="","",_xlfn.TEXTJOIN(", ",TRUE,IF(ABR!$G112:$AK112="HE",ABR!$G$4:$AK$4,"")))</f>
        <v/>
      </c>
      <c r="V110" t="str">
        <f t="array" ref="V110">IF($Q110="","",_xlfn.TEXTJOIN(", ",TRUE,IF(MAI!$G112:$AK112="HE",MAI!$G$4:$AK$4,"")))</f>
        <v/>
      </c>
      <c r="W110" t="str">
        <f t="array" ref="W110">IF($Q110="","",_xlfn.TEXTJOIN(", ",TRUE,IF(JUN!$G112:$AK112="HE",JUN!$G$4:$AK$4,"")))</f>
        <v/>
      </c>
      <c r="X110" t="str">
        <f t="array" ref="X110">IF($Q110="","",_xlfn.TEXTJOIN(", ",TRUE,IF(JUL!$G112:$AK112="HE",JUL!$G$4:$AK$4,"")))</f>
        <v/>
      </c>
      <c r="Y110" t="str">
        <f t="array" ref="Y110">IF($Q110="","",_xlfn.TEXTJOIN(", ",TRUE,IF(AGO!$G112:$AK112="HE",AGO!$G$4:$AK$4,"")))</f>
        <v/>
      </c>
      <c r="Z110" t="str">
        <f t="array" ref="Z110">IF($Q110="","",_xlfn.TEXTJOIN(", ",TRUE,IF(SET!$G112:$AK112="HE",SET!$G$4:$AK$4,"")))</f>
        <v/>
      </c>
      <c r="AA110" t="str">
        <f t="array" ref="AA110">IF($Q110="","",_xlfn.TEXTJOIN(", ",TRUE,IF(OUT!$G112:$AK112="HE",OUT!$G$4:$AK$4,"")))</f>
        <v/>
      </c>
      <c r="AB110" t="str">
        <f t="array" ref="AB110">IF($Q110="","",_xlfn.TEXTJOIN(", ",TRUE,IF(NOV!$G112:$AK112="HE",NOV!$G$4:$AK$4,"")))</f>
        <v/>
      </c>
      <c r="AC110" t="str">
        <f t="array" ref="AC110">IF($Q110="","",_xlfn.TEXTJOIN(", ",TRUE,IF(DEZ!$G112:$AK112="HE",DEZ!$G$4:$AK$4,"")))</f>
        <v/>
      </c>
      <c r="AD110" t="str">
        <f>IF($Q110="","",SUM(JAN:DEZ!C112))</f>
        <v/>
      </c>
      <c r="AF110" t="str">
        <f>IF(AND($Q110&lt;&gt;"",N($AD110)&gt;0),COUNT($AF$3:AF109)+1,"")</f>
        <v/>
      </c>
    </row>
    <row r="111" spans="1:32" x14ac:dyDescent="0.25">
      <c r="A111" s="36" t="str">
        <f>IFERROR(INDEX($Q$4:$Q$153,MATCH(ROWS($A$4:A111),$AF$4:$AF$153,0)),"")</f>
        <v/>
      </c>
      <c r="B111" s="35" t="str">
        <f>IFERROR(INDEX($R$4:$R$153,MATCH(ROWS($A$4:A111),$AF$4:$AF$153,0)),"")</f>
        <v/>
      </c>
      <c r="C111" s="35" t="str">
        <f>IFERROR(INDEX($S$4:$S$153,MATCH(ROWS($A$4:A111),$AF$4:$AF$153,0)),"")</f>
        <v/>
      </c>
      <c r="D111" s="35" t="str">
        <f>IFERROR(INDEX($T$4:$T$153,MATCH(ROWS($A$4:A111),$AF$4:$AF$153,0)),"")</f>
        <v/>
      </c>
      <c r="E111" s="35" t="str">
        <f>IFERROR(INDEX($U$4:$U$153,MATCH(ROWS($A$4:A111),$AF$4:$AF$153,0)),"")</f>
        <v/>
      </c>
      <c r="F111" s="35" t="str">
        <f>IFERROR(INDEX($V$4:$V$153,MATCH(ROWS($A$4:A111),$AF$4:$AF$153,0)),"")</f>
        <v/>
      </c>
      <c r="G111" s="35" t="str">
        <f>IFERROR(INDEX($W$4:$W$153,MATCH(ROWS($A$4:A111),$AF$4:$AF$153,0)),"")</f>
        <v/>
      </c>
      <c r="H111" s="35" t="str">
        <f>IFERROR(INDEX($X$4:$X$153,MATCH(ROWS($A$4:A111),$AF$4:$AF$153,0)),"")</f>
        <v/>
      </c>
      <c r="I111" s="35" t="str">
        <f>IFERROR(INDEX($Y$4:$Y$153,MATCH(ROWS($A$4:A111),$AF$4:$AF$153,0)),"")</f>
        <v/>
      </c>
      <c r="J111" s="35" t="str">
        <f>IFERROR(INDEX($Z$4:$Z$153,MATCH(ROWS($A$4:A111),$AF$4:$AF$153,0)),"")</f>
        <v/>
      </c>
      <c r="K111" s="35" t="str">
        <f>IFERROR(INDEX($AA$4:$AA$153,MATCH(ROWS($A$4:A111),$AF$4:$AF$153,0)),"")</f>
        <v/>
      </c>
      <c r="L111" s="35" t="str">
        <f>IFERROR(INDEX($AB$4:$AB$153,MATCH(ROWS($A$4:A111),$AF$4:$AF$153,0)),"")</f>
        <v/>
      </c>
      <c r="M111" s="35" t="str">
        <f>IFERROR(INDEX($AC$4:$AC$153,MATCH(ROWS($A$4:A111),$AF$4:$AF$153,0)),"")</f>
        <v/>
      </c>
      <c r="N111" s="35" t="str">
        <f>IFERROR(INDEX($AD$4:$AD$153,MATCH(ROWS($A$4:A111),$AF$4:$AF$153,0)),"")</f>
        <v/>
      </c>
      <c r="Q111" t="str">
        <f>T(JAN!B113)</f>
        <v/>
      </c>
      <c r="R111" t="str">
        <f t="array" ref="R111">IF($Q111="","",_xlfn.TEXTJOIN(", ",TRUE,IF(JAN!$G113:$AK113="HE",JAN!$G$4:$AK$4,"")))</f>
        <v/>
      </c>
      <c r="S111" t="str">
        <f t="array" ref="S111">IF($Q111="","",_xlfn.TEXTJOIN(", ",TRUE,IF(FEV!$G113:$AK113="HE",FEV!$G$4:$AK$4,"")))</f>
        <v/>
      </c>
      <c r="T111" t="str">
        <f t="array" ref="T111">IF($Q111="","",_xlfn.TEXTJOIN(", ",TRUE,IF(MAR!$G113:$AK113="HE",MAR!$G$4:$AK$4,"")))</f>
        <v/>
      </c>
      <c r="U111" t="str">
        <f t="array" ref="U111">IF($Q111="","",_xlfn.TEXTJOIN(", ",TRUE,IF(ABR!$G113:$AK113="HE",ABR!$G$4:$AK$4,"")))</f>
        <v/>
      </c>
      <c r="V111" t="str">
        <f t="array" ref="V111">IF($Q111="","",_xlfn.TEXTJOIN(", ",TRUE,IF(MAI!$G113:$AK113="HE",MAI!$G$4:$AK$4,"")))</f>
        <v/>
      </c>
      <c r="W111" t="str">
        <f t="array" ref="W111">IF($Q111="","",_xlfn.TEXTJOIN(", ",TRUE,IF(JUN!$G113:$AK113="HE",JUN!$G$4:$AK$4,"")))</f>
        <v/>
      </c>
      <c r="X111" t="str">
        <f t="array" ref="X111">IF($Q111="","",_xlfn.TEXTJOIN(", ",TRUE,IF(JUL!$G113:$AK113="HE",JUL!$G$4:$AK$4,"")))</f>
        <v/>
      </c>
      <c r="Y111" t="str">
        <f t="array" ref="Y111">IF($Q111="","",_xlfn.TEXTJOIN(", ",TRUE,IF(AGO!$G113:$AK113="HE",AGO!$G$4:$AK$4,"")))</f>
        <v/>
      </c>
      <c r="Z111" t="str">
        <f t="array" ref="Z111">IF($Q111="","",_xlfn.TEXTJOIN(", ",TRUE,IF(SET!$G113:$AK113="HE",SET!$G$4:$AK$4,"")))</f>
        <v/>
      </c>
      <c r="AA111" t="str">
        <f t="array" ref="AA111">IF($Q111="","",_xlfn.TEXTJOIN(", ",TRUE,IF(OUT!$G113:$AK113="HE",OUT!$G$4:$AK$4,"")))</f>
        <v/>
      </c>
      <c r="AB111" t="str">
        <f t="array" ref="AB111">IF($Q111="","",_xlfn.TEXTJOIN(", ",TRUE,IF(NOV!$G113:$AK113="HE",NOV!$G$4:$AK$4,"")))</f>
        <v/>
      </c>
      <c r="AC111" t="str">
        <f t="array" ref="AC111">IF($Q111="","",_xlfn.TEXTJOIN(", ",TRUE,IF(DEZ!$G113:$AK113="HE",DEZ!$G$4:$AK$4,"")))</f>
        <v/>
      </c>
      <c r="AD111" t="str">
        <f>IF($Q111="","",SUM(JAN:DEZ!C113))</f>
        <v/>
      </c>
      <c r="AF111" t="str">
        <f>IF(AND($Q111&lt;&gt;"",N($AD111)&gt;0),COUNT($AF$3:AF110)+1,"")</f>
        <v/>
      </c>
    </row>
    <row r="112" spans="1:32" x14ac:dyDescent="0.25">
      <c r="A112" s="36" t="str">
        <f>IFERROR(INDEX($Q$4:$Q$153,MATCH(ROWS($A$4:A112),$AF$4:$AF$153,0)),"")</f>
        <v/>
      </c>
      <c r="B112" s="35" t="str">
        <f>IFERROR(INDEX($R$4:$R$153,MATCH(ROWS($A$4:A112),$AF$4:$AF$153,0)),"")</f>
        <v/>
      </c>
      <c r="C112" s="35" t="str">
        <f>IFERROR(INDEX($S$4:$S$153,MATCH(ROWS($A$4:A112),$AF$4:$AF$153,0)),"")</f>
        <v/>
      </c>
      <c r="D112" s="35" t="str">
        <f>IFERROR(INDEX($T$4:$T$153,MATCH(ROWS($A$4:A112),$AF$4:$AF$153,0)),"")</f>
        <v/>
      </c>
      <c r="E112" s="35" t="str">
        <f>IFERROR(INDEX($U$4:$U$153,MATCH(ROWS($A$4:A112),$AF$4:$AF$153,0)),"")</f>
        <v/>
      </c>
      <c r="F112" s="35" t="str">
        <f>IFERROR(INDEX($V$4:$V$153,MATCH(ROWS($A$4:A112),$AF$4:$AF$153,0)),"")</f>
        <v/>
      </c>
      <c r="G112" s="35" t="str">
        <f>IFERROR(INDEX($W$4:$W$153,MATCH(ROWS($A$4:A112),$AF$4:$AF$153,0)),"")</f>
        <v/>
      </c>
      <c r="H112" s="35" t="str">
        <f>IFERROR(INDEX($X$4:$X$153,MATCH(ROWS($A$4:A112),$AF$4:$AF$153,0)),"")</f>
        <v/>
      </c>
      <c r="I112" s="35" t="str">
        <f>IFERROR(INDEX($Y$4:$Y$153,MATCH(ROWS($A$4:A112),$AF$4:$AF$153,0)),"")</f>
        <v/>
      </c>
      <c r="J112" s="35" t="str">
        <f>IFERROR(INDEX($Z$4:$Z$153,MATCH(ROWS($A$4:A112),$AF$4:$AF$153,0)),"")</f>
        <v/>
      </c>
      <c r="K112" s="35" t="str">
        <f>IFERROR(INDEX($AA$4:$AA$153,MATCH(ROWS($A$4:A112),$AF$4:$AF$153,0)),"")</f>
        <v/>
      </c>
      <c r="L112" s="35" t="str">
        <f>IFERROR(INDEX($AB$4:$AB$153,MATCH(ROWS($A$4:A112),$AF$4:$AF$153,0)),"")</f>
        <v/>
      </c>
      <c r="M112" s="35" t="str">
        <f>IFERROR(INDEX($AC$4:$AC$153,MATCH(ROWS($A$4:A112),$AF$4:$AF$153,0)),"")</f>
        <v/>
      </c>
      <c r="N112" s="35" t="str">
        <f>IFERROR(INDEX($AD$4:$AD$153,MATCH(ROWS($A$4:A112),$AF$4:$AF$153,0)),"")</f>
        <v/>
      </c>
      <c r="Q112" t="str">
        <f>T(JAN!B114)</f>
        <v/>
      </c>
      <c r="R112" t="str">
        <f t="array" ref="R112">IF($Q112="","",_xlfn.TEXTJOIN(", ",TRUE,IF(JAN!$G114:$AK114="HE",JAN!$G$4:$AK$4,"")))</f>
        <v/>
      </c>
      <c r="S112" t="str">
        <f t="array" ref="S112">IF($Q112="","",_xlfn.TEXTJOIN(", ",TRUE,IF(FEV!$G114:$AK114="HE",FEV!$G$4:$AK$4,"")))</f>
        <v/>
      </c>
      <c r="T112" t="str">
        <f t="array" ref="T112">IF($Q112="","",_xlfn.TEXTJOIN(", ",TRUE,IF(MAR!$G114:$AK114="HE",MAR!$G$4:$AK$4,"")))</f>
        <v/>
      </c>
      <c r="U112" t="str">
        <f t="array" ref="U112">IF($Q112="","",_xlfn.TEXTJOIN(", ",TRUE,IF(ABR!$G114:$AK114="HE",ABR!$G$4:$AK$4,"")))</f>
        <v/>
      </c>
      <c r="V112" t="str">
        <f t="array" ref="V112">IF($Q112="","",_xlfn.TEXTJOIN(", ",TRUE,IF(MAI!$G114:$AK114="HE",MAI!$G$4:$AK$4,"")))</f>
        <v/>
      </c>
      <c r="W112" t="str">
        <f t="array" ref="W112">IF($Q112="","",_xlfn.TEXTJOIN(", ",TRUE,IF(JUN!$G114:$AK114="HE",JUN!$G$4:$AK$4,"")))</f>
        <v/>
      </c>
      <c r="X112" t="str">
        <f t="array" ref="X112">IF($Q112="","",_xlfn.TEXTJOIN(", ",TRUE,IF(JUL!$G114:$AK114="HE",JUL!$G$4:$AK$4,"")))</f>
        <v/>
      </c>
      <c r="Y112" t="str">
        <f t="array" ref="Y112">IF($Q112="","",_xlfn.TEXTJOIN(", ",TRUE,IF(AGO!$G114:$AK114="HE",AGO!$G$4:$AK$4,"")))</f>
        <v/>
      </c>
      <c r="Z112" t="str">
        <f t="array" ref="Z112">IF($Q112="","",_xlfn.TEXTJOIN(", ",TRUE,IF(SET!$G114:$AK114="HE",SET!$G$4:$AK$4,"")))</f>
        <v/>
      </c>
      <c r="AA112" t="str">
        <f t="array" ref="AA112">IF($Q112="","",_xlfn.TEXTJOIN(", ",TRUE,IF(OUT!$G114:$AK114="HE",OUT!$G$4:$AK$4,"")))</f>
        <v/>
      </c>
      <c r="AB112" t="str">
        <f t="array" ref="AB112">IF($Q112="","",_xlfn.TEXTJOIN(", ",TRUE,IF(NOV!$G114:$AK114="HE",NOV!$G$4:$AK$4,"")))</f>
        <v/>
      </c>
      <c r="AC112" t="str">
        <f t="array" ref="AC112">IF($Q112="","",_xlfn.TEXTJOIN(", ",TRUE,IF(DEZ!$G114:$AK114="HE",DEZ!$G$4:$AK$4,"")))</f>
        <v/>
      </c>
      <c r="AD112" t="str">
        <f>IF($Q112="","",SUM(JAN:DEZ!C114))</f>
        <v/>
      </c>
      <c r="AF112" t="str">
        <f>IF(AND($Q112&lt;&gt;"",N($AD112)&gt;0),COUNT($AF$3:AF111)+1,"")</f>
        <v/>
      </c>
    </row>
    <row r="113" spans="1:32" x14ac:dyDescent="0.25">
      <c r="A113" s="36" t="str">
        <f>IFERROR(INDEX($Q$4:$Q$153,MATCH(ROWS($A$4:A113),$AF$4:$AF$153,0)),"")</f>
        <v/>
      </c>
      <c r="B113" s="35" t="str">
        <f>IFERROR(INDEX($R$4:$R$153,MATCH(ROWS($A$4:A113),$AF$4:$AF$153,0)),"")</f>
        <v/>
      </c>
      <c r="C113" s="35" t="str">
        <f>IFERROR(INDEX($S$4:$S$153,MATCH(ROWS($A$4:A113),$AF$4:$AF$153,0)),"")</f>
        <v/>
      </c>
      <c r="D113" s="35" t="str">
        <f>IFERROR(INDEX($T$4:$T$153,MATCH(ROWS($A$4:A113),$AF$4:$AF$153,0)),"")</f>
        <v/>
      </c>
      <c r="E113" s="35" t="str">
        <f>IFERROR(INDEX($U$4:$U$153,MATCH(ROWS($A$4:A113),$AF$4:$AF$153,0)),"")</f>
        <v/>
      </c>
      <c r="F113" s="35" t="str">
        <f>IFERROR(INDEX($V$4:$V$153,MATCH(ROWS($A$4:A113),$AF$4:$AF$153,0)),"")</f>
        <v/>
      </c>
      <c r="G113" s="35" t="str">
        <f>IFERROR(INDEX($W$4:$W$153,MATCH(ROWS($A$4:A113),$AF$4:$AF$153,0)),"")</f>
        <v/>
      </c>
      <c r="H113" s="35" t="str">
        <f>IFERROR(INDEX($X$4:$X$153,MATCH(ROWS($A$4:A113),$AF$4:$AF$153,0)),"")</f>
        <v/>
      </c>
      <c r="I113" s="35" t="str">
        <f>IFERROR(INDEX($Y$4:$Y$153,MATCH(ROWS($A$4:A113),$AF$4:$AF$153,0)),"")</f>
        <v/>
      </c>
      <c r="J113" s="35" t="str">
        <f>IFERROR(INDEX($Z$4:$Z$153,MATCH(ROWS($A$4:A113),$AF$4:$AF$153,0)),"")</f>
        <v/>
      </c>
      <c r="K113" s="35" t="str">
        <f>IFERROR(INDEX($AA$4:$AA$153,MATCH(ROWS($A$4:A113),$AF$4:$AF$153,0)),"")</f>
        <v/>
      </c>
      <c r="L113" s="35" t="str">
        <f>IFERROR(INDEX($AB$4:$AB$153,MATCH(ROWS($A$4:A113),$AF$4:$AF$153,0)),"")</f>
        <v/>
      </c>
      <c r="M113" s="35" t="str">
        <f>IFERROR(INDEX($AC$4:$AC$153,MATCH(ROWS($A$4:A113),$AF$4:$AF$153,0)),"")</f>
        <v/>
      </c>
      <c r="N113" s="35" t="str">
        <f>IFERROR(INDEX($AD$4:$AD$153,MATCH(ROWS($A$4:A113),$AF$4:$AF$153,0)),"")</f>
        <v/>
      </c>
      <c r="Q113" t="str">
        <f>T(JAN!B115)</f>
        <v/>
      </c>
      <c r="R113" t="str">
        <f t="array" ref="R113">IF($Q113="","",_xlfn.TEXTJOIN(", ",TRUE,IF(JAN!$G115:$AK115="HE",JAN!$G$4:$AK$4,"")))</f>
        <v/>
      </c>
      <c r="S113" t="str">
        <f t="array" ref="S113">IF($Q113="","",_xlfn.TEXTJOIN(", ",TRUE,IF(FEV!$G115:$AK115="HE",FEV!$G$4:$AK$4,"")))</f>
        <v/>
      </c>
      <c r="T113" t="str">
        <f t="array" ref="T113">IF($Q113="","",_xlfn.TEXTJOIN(", ",TRUE,IF(MAR!$G115:$AK115="HE",MAR!$G$4:$AK$4,"")))</f>
        <v/>
      </c>
      <c r="U113" t="str">
        <f t="array" ref="U113">IF($Q113="","",_xlfn.TEXTJOIN(", ",TRUE,IF(ABR!$G115:$AK115="HE",ABR!$G$4:$AK$4,"")))</f>
        <v/>
      </c>
      <c r="V113" t="str">
        <f t="array" ref="V113">IF($Q113="","",_xlfn.TEXTJOIN(", ",TRUE,IF(MAI!$G115:$AK115="HE",MAI!$G$4:$AK$4,"")))</f>
        <v/>
      </c>
      <c r="W113" t="str">
        <f t="array" ref="W113">IF($Q113="","",_xlfn.TEXTJOIN(", ",TRUE,IF(JUN!$G115:$AK115="HE",JUN!$G$4:$AK$4,"")))</f>
        <v/>
      </c>
      <c r="X113" t="str">
        <f t="array" ref="X113">IF($Q113="","",_xlfn.TEXTJOIN(", ",TRUE,IF(JUL!$G115:$AK115="HE",JUL!$G$4:$AK$4,"")))</f>
        <v/>
      </c>
      <c r="Y113" t="str">
        <f t="array" ref="Y113">IF($Q113="","",_xlfn.TEXTJOIN(", ",TRUE,IF(AGO!$G115:$AK115="HE",AGO!$G$4:$AK$4,"")))</f>
        <v/>
      </c>
      <c r="Z113" t="str">
        <f t="array" ref="Z113">IF($Q113="","",_xlfn.TEXTJOIN(", ",TRUE,IF(SET!$G115:$AK115="HE",SET!$G$4:$AK$4,"")))</f>
        <v/>
      </c>
      <c r="AA113" t="str">
        <f t="array" ref="AA113">IF($Q113="","",_xlfn.TEXTJOIN(", ",TRUE,IF(OUT!$G115:$AK115="HE",OUT!$G$4:$AK$4,"")))</f>
        <v/>
      </c>
      <c r="AB113" t="str">
        <f t="array" ref="AB113">IF($Q113="","",_xlfn.TEXTJOIN(", ",TRUE,IF(NOV!$G115:$AK115="HE",NOV!$G$4:$AK$4,"")))</f>
        <v/>
      </c>
      <c r="AC113" t="str">
        <f t="array" ref="AC113">IF($Q113="","",_xlfn.TEXTJOIN(", ",TRUE,IF(DEZ!$G115:$AK115="HE",DEZ!$G$4:$AK$4,"")))</f>
        <v/>
      </c>
      <c r="AD113" t="str">
        <f>IF($Q113="","",SUM(JAN:DEZ!C115))</f>
        <v/>
      </c>
      <c r="AF113" t="str">
        <f>IF(AND($Q113&lt;&gt;"",N($AD113)&gt;0),COUNT($AF$3:AF112)+1,"")</f>
        <v/>
      </c>
    </row>
    <row r="114" spans="1:32" x14ac:dyDescent="0.25">
      <c r="A114" s="36" t="str">
        <f>IFERROR(INDEX($Q$4:$Q$153,MATCH(ROWS($A$4:A114),$AF$4:$AF$153,0)),"")</f>
        <v/>
      </c>
      <c r="B114" s="35" t="str">
        <f>IFERROR(INDEX($R$4:$R$153,MATCH(ROWS($A$4:A114),$AF$4:$AF$153,0)),"")</f>
        <v/>
      </c>
      <c r="C114" s="35" t="str">
        <f>IFERROR(INDEX($S$4:$S$153,MATCH(ROWS($A$4:A114),$AF$4:$AF$153,0)),"")</f>
        <v/>
      </c>
      <c r="D114" s="35" t="str">
        <f>IFERROR(INDEX($T$4:$T$153,MATCH(ROWS($A$4:A114),$AF$4:$AF$153,0)),"")</f>
        <v/>
      </c>
      <c r="E114" s="35" t="str">
        <f>IFERROR(INDEX($U$4:$U$153,MATCH(ROWS($A$4:A114),$AF$4:$AF$153,0)),"")</f>
        <v/>
      </c>
      <c r="F114" s="35" t="str">
        <f>IFERROR(INDEX($V$4:$V$153,MATCH(ROWS($A$4:A114),$AF$4:$AF$153,0)),"")</f>
        <v/>
      </c>
      <c r="G114" s="35" t="str">
        <f>IFERROR(INDEX($W$4:$W$153,MATCH(ROWS($A$4:A114),$AF$4:$AF$153,0)),"")</f>
        <v/>
      </c>
      <c r="H114" s="35" t="str">
        <f>IFERROR(INDEX($X$4:$X$153,MATCH(ROWS($A$4:A114),$AF$4:$AF$153,0)),"")</f>
        <v/>
      </c>
      <c r="I114" s="35" t="str">
        <f>IFERROR(INDEX($Y$4:$Y$153,MATCH(ROWS($A$4:A114),$AF$4:$AF$153,0)),"")</f>
        <v/>
      </c>
      <c r="J114" s="35" t="str">
        <f>IFERROR(INDEX($Z$4:$Z$153,MATCH(ROWS($A$4:A114),$AF$4:$AF$153,0)),"")</f>
        <v/>
      </c>
      <c r="K114" s="35" t="str">
        <f>IFERROR(INDEX($AA$4:$AA$153,MATCH(ROWS($A$4:A114),$AF$4:$AF$153,0)),"")</f>
        <v/>
      </c>
      <c r="L114" s="35" t="str">
        <f>IFERROR(INDEX($AB$4:$AB$153,MATCH(ROWS($A$4:A114),$AF$4:$AF$153,0)),"")</f>
        <v/>
      </c>
      <c r="M114" s="35" t="str">
        <f>IFERROR(INDEX($AC$4:$AC$153,MATCH(ROWS($A$4:A114),$AF$4:$AF$153,0)),"")</f>
        <v/>
      </c>
      <c r="N114" s="35" t="str">
        <f>IFERROR(INDEX($AD$4:$AD$153,MATCH(ROWS($A$4:A114),$AF$4:$AF$153,0)),"")</f>
        <v/>
      </c>
      <c r="Q114" t="str">
        <f>T(JAN!B116)</f>
        <v/>
      </c>
      <c r="R114" t="str">
        <f t="array" ref="R114">IF($Q114="","",_xlfn.TEXTJOIN(", ",TRUE,IF(JAN!$G116:$AK116="HE",JAN!$G$4:$AK$4,"")))</f>
        <v/>
      </c>
      <c r="S114" t="str">
        <f t="array" ref="S114">IF($Q114="","",_xlfn.TEXTJOIN(", ",TRUE,IF(FEV!$G116:$AK116="HE",FEV!$G$4:$AK$4,"")))</f>
        <v/>
      </c>
      <c r="T114" t="str">
        <f t="array" ref="T114">IF($Q114="","",_xlfn.TEXTJOIN(", ",TRUE,IF(MAR!$G116:$AK116="HE",MAR!$G$4:$AK$4,"")))</f>
        <v/>
      </c>
      <c r="U114" t="str">
        <f t="array" ref="U114">IF($Q114="","",_xlfn.TEXTJOIN(", ",TRUE,IF(ABR!$G116:$AK116="HE",ABR!$G$4:$AK$4,"")))</f>
        <v/>
      </c>
      <c r="V114" t="str">
        <f t="array" ref="V114">IF($Q114="","",_xlfn.TEXTJOIN(", ",TRUE,IF(MAI!$G116:$AK116="HE",MAI!$G$4:$AK$4,"")))</f>
        <v/>
      </c>
      <c r="W114" t="str">
        <f t="array" ref="W114">IF($Q114="","",_xlfn.TEXTJOIN(", ",TRUE,IF(JUN!$G116:$AK116="HE",JUN!$G$4:$AK$4,"")))</f>
        <v/>
      </c>
      <c r="X114" t="str">
        <f t="array" ref="X114">IF($Q114="","",_xlfn.TEXTJOIN(", ",TRUE,IF(JUL!$G116:$AK116="HE",JUL!$G$4:$AK$4,"")))</f>
        <v/>
      </c>
      <c r="Y114" t="str">
        <f t="array" ref="Y114">IF($Q114="","",_xlfn.TEXTJOIN(", ",TRUE,IF(AGO!$G116:$AK116="HE",AGO!$G$4:$AK$4,"")))</f>
        <v/>
      </c>
      <c r="Z114" t="str">
        <f t="array" ref="Z114">IF($Q114="","",_xlfn.TEXTJOIN(", ",TRUE,IF(SET!$G116:$AK116="HE",SET!$G$4:$AK$4,"")))</f>
        <v/>
      </c>
      <c r="AA114" t="str">
        <f t="array" ref="AA114">IF($Q114="","",_xlfn.TEXTJOIN(", ",TRUE,IF(OUT!$G116:$AK116="HE",OUT!$G$4:$AK$4,"")))</f>
        <v/>
      </c>
      <c r="AB114" t="str">
        <f t="array" ref="AB114">IF($Q114="","",_xlfn.TEXTJOIN(", ",TRUE,IF(NOV!$G116:$AK116="HE",NOV!$G$4:$AK$4,"")))</f>
        <v/>
      </c>
      <c r="AC114" t="str">
        <f t="array" ref="AC114">IF($Q114="","",_xlfn.TEXTJOIN(", ",TRUE,IF(DEZ!$G116:$AK116="HE",DEZ!$G$4:$AK$4,"")))</f>
        <v/>
      </c>
      <c r="AD114" t="str">
        <f>IF($Q114="","",SUM(JAN:DEZ!C116))</f>
        <v/>
      </c>
      <c r="AF114" t="str">
        <f>IF(AND($Q114&lt;&gt;"",N($AD114)&gt;0),COUNT($AF$3:AF113)+1,"")</f>
        <v/>
      </c>
    </row>
    <row r="115" spans="1:32" x14ac:dyDescent="0.25">
      <c r="A115" s="36" t="str">
        <f>IFERROR(INDEX($Q$4:$Q$153,MATCH(ROWS($A$4:A115),$AF$4:$AF$153,0)),"")</f>
        <v/>
      </c>
      <c r="B115" s="35" t="str">
        <f>IFERROR(INDEX($R$4:$R$153,MATCH(ROWS($A$4:A115),$AF$4:$AF$153,0)),"")</f>
        <v/>
      </c>
      <c r="C115" s="35" t="str">
        <f>IFERROR(INDEX($S$4:$S$153,MATCH(ROWS($A$4:A115),$AF$4:$AF$153,0)),"")</f>
        <v/>
      </c>
      <c r="D115" s="35" t="str">
        <f>IFERROR(INDEX($T$4:$T$153,MATCH(ROWS($A$4:A115),$AF$4:$AF$153,0)),"")</f>
        <v/>
      </c>
      <c r="E115" s="35" t="str">
        <f>IFERROR(INDEX($U$4:$U$153,MATCH(ROWS($A$4:A115),$AF$4:$AF$153,0)),"")</f>
        <v/>
      </c>
      <c r="F115" s="35" t="str">
        <f>IFERROR(INDEX($V$4:$V$153,MATCH(ROWS($A$4:A115),$AF$4:$AF$153,0)),"")</f>
        <v/>
      </c>
      <c r="G115" s="35" t="str">
        <f>IFERROR(INDEX($W$4:$W$153,MATCH(ROWS($A$4:A115),$AF$4:$AF$153,0)),"")</f>
        <v/>
      </c>
      <c r="H115" s="35" t="str">
        <f>IFERROR(INDEX($X$4:$X$153,MATCH(ROWS($A$4:A115),$AF$4:$AF$153,0)),"")</f>
        <v/>
      </c>
      <c r="I115" s="35" t="str">
        <f>IFERROR(INDEX($Y$4:$Y$153,MATCH(ROWS($A$4:A115),$AF$4:$AF$153,0)),"")</f>
        <v/>
      </c>
      <c r="J115" s="35" t="str">
        <f>IFERROR(INDEX($Z$4:$Z$153,MATCH(ROWS($A$4:A115),$AF$4:$AF$153,0)),"")</f>
        <v/>
      </c>
      <c r="K115" s="35" t="str">
        <f>IFERROR(INDEX($AA$4:$AA$153,MATCH(ROWS($A$4:A115),$AF$4:$AF$153,0)),"")</f>
        <v/>
      </c>
      <c r="L115" s="35" t="str">
        <f>IFERROR(INDEX($AB$4:$AB$153,MATCH(ROWS($A$4:A115),$AF$4:$AF$153,0)),"")</f>
        <v/>
      </c>
      <c r="M115" s="35" t="str">
        <f>IFERROR(INDEX($AC$4:$AC$153,MATCH(ROWS($A$4:A115),$AF$4:$AF$153,0)),"")</f>
        <v/>
      </c>
      <c r="N115" s="35" t="str">
        <f>IFERROR(INDEX($AD$4:$AD$153,MATCH(ROWS($A$4:A115),$AF$4:$AF$153,0)),"")</f>
        <v/>
      </c>
      <c r="Q115" t="str">
        <f>T(JAN!B117)</f>
        <v/>
      </c>
      <c r="R115" t="str">
        <f t="array" ref="R115">IF($Q115="","",_xlfn.TEXTJOIN(", ",TRUE,IF(JAN!$G117:$AK117="HE",JAN!$G$4:$AK$4,"")))</f>
        <v/>
      </c>
      <c r="S115" t="str">
        <f t="array" ref="S115">IF($Q115="","",_xlfn.TEXTJOIN(", ",TRUE,IF(FEV!$G117:$AK117="HE",FEV!$G$4:$AK$4,"")))</f>
        <v/>
      </c>
      <c r="T115" t="str">
        <f t="array" ref="T115">IF($Q115="","",_xlfn.TEXTJOIN(", ",TRUE,IF(MAR!$G117:$AK117="HE",MAR!$G$4:$AK$4,"")))</f>
        <v/>
      </c>
      <c r="U115" t="str">
        <f t="array" ref="U115">IF($Q115="","",_xlfn.TEXTJOIN(", ",TRUE,IF(ABR!$G117:$AK117="HE",ABR!$G$4:$AK$4,"")))</f>
        <v/>
      </c>
      <c r="V115" t="str">
        <f t="array" ref="V115">IF($Q115="","",_xlfn.TEXTJOIN(", ",TRUE,IF(MAI!$G117:$AK117="HE",MAI!$G$4:$AK$4,"")))</f>
        <v/>
      </c>
      <c r="W115" t="str">
        <f t="array" ref="W115">IF($Q115="","",_xlfn.TEXTJOIN(", ",TRUE,IF(JUN!$G117:$AK117="HE",JUN!$G$4:$AK$4,"")))</f>
        <v/>
      </c>
      <c r="X115" t="str">
        <f t="array" ref="X115">IF($Q115="","",_xlfn.TEXTJOIN(", ",TRUE,IF(JUL!$G117:$AK117="HE",JUL!$G$4:$AK$4,"")))</f>
        <v/>
      </c>
      <c r="Y115" t="str">
        <f t="array" ref="Y115">IF($Q115="","",_xlfn.TEXTJOIN(", ",TRUE,IF(AGO!$G117:$AK117="HE",AGO!$G$4:$AK$4,"")))</f>
        <v/>
      </c>
      <c r="Z115" t="str">
        <f t="array" ref="Z115">IF($Q115="","",_xlfn.TEXTJOIN(", ",TRUE,IF(SET!$G117:$AK117="HE",SET!$G$4:$AK$4,"")))</f>
        <v/>
      </c>
      <c r="AA115" t="str">
        <f t="array" ref="AA115">IF($Q115="","",_xlfn.TEXTJOIN(", ",TRUE,IF(OUT!$G117:$AK117="HE",OUT!$G$4:$AK$4,"")))</f>
        <v/>
      </c>
      <c r="AB115" t="str">
        <f t="array" ref="AB115">IF($Q115="","",_xlfn.TEXTJOIN(", ",TRUE,IF(NOV!$G117:$AK117="HE",NOV!$G$4:$AK$4,"")))</f>
        <v/>
      </c>
      <c r="AC115" t="str">
        <f t="array" ref="AC115">IF($Q115="","",_xlfn.TEXTJOIN(", ",TRUE,IF(DEZ!$G117:$AK117="HE",DEZ!$G$4:$AK$4,"")))</f>
        <v/>
      </c>
      <c r="AD115" t="str">
        <f>IF($Q115="","",SUM(JAN:DEZ!C117))</f>
        <v/>
      </c>
      <c r="AF115" t="str">
        <f>IF(AND($Q115&lt;&gt;"",N($AD115)&gt;0),COUNT($AF$3:AF114)+1,"")</f>
        <v/>
      </c>
    </row>
    <row r="116" spans="1:32" x14ac:dyDescent="0.25">
      <c r="A116" s="36" t="str">
        <f>IFERROR(INDEX($Q$4:$Q$153,MATCH(ROWS($A$4:A116),$AF$4:$AF$153,0)),"")</f>
        <v/>
      </c>
      <c r="B116" s="35" t="str">
        <f>IFERROR(INDEX($R$4:$R$153,MATCH(ROWS($A$4:A116),$AF$4:$AF$153,0)),"")</f>
        <v/>
      </c>
      <c r="C116" s="35" t="str">
        <f>IFERROR(INDEX($S$4:$S$153,MATCH(ROWS($A$4:A116),$AF$4:$AF$153,0)),"")</f>
        <v/>
      </c>
      <c r="D116" s="35" t="str">
        <f>IFERROR(INDEX($T$4:$T$153,MATCH(ROWS($A$4:A116),$AF$4:$AF$153,0)),"")</f>
        <v/>
      </c>
      <c r="E116" s="35" t="str">
        <f>IFERROR(INDEX($U$4:$U$153,MATCH(ROWS($A$4:A116),$AF$4:$AF$153,0)),"")</f>
        <v/>
      </c>
      <c r="F116" s="35" t="str">
        <f>IFERROR(INDEX($V$4:$V$153,MATCH(ROWS($A$4:A116),$AF$4:$AF$153,0)),"")</f>
        <v/>
      </c>
      <c r="G116" s="35" t="str">
        <f>IFERROR(INDEX($W$4:$W$153,MATCH(ROWS($A$4:A116),$AF$4:$AF$153,0)),"")</f>
        <v/>
      </c>
      <c r="H116" s="35" t="str">
        <f>IFERROR(INDEX($X$4:$X$153,MATCH(ROWS($A$4:A116),$AF$4:$AF$153,0)),"")</f>
        <v/>
      </c>
      <c r="I116" s="35" t="str">
        <f>IFERROR(INDEX($Y$4:$Y$153,MATCH(ROWS($A$4:A116),$AF$4:$AF$153,0)),"")</f>
        <v/>
      </c>
      <c r="J116" s="35" t="str">
        <f>IFERROR(INDEX($Z$4:$Z$153,MATCH(ROWS($A$4:A116),$AF$4:$AF$153,0)),"")</f>
        <v/>
      </c>
      <c r="K116" s="35" t="str">
        <f>IFERROR(INDEX($AA$4:$AA$153,MATCH(ROWS($A$4:A116),$AF$4:$AF$153,0)),"")</f>
        <v/>
      </c>
      <c r="L116" s="35" t="str">
        <f>IFERROR(INDEX($AB$4:$AB$153,MATCH(ROWS($A$4:A116),$AF$4:$AF$153,0)),"")</f>
        <v/>
      </c>
      <c r="M116" s="35" t="str">
        <f>IFERROR(INDEX($AC$4:$AC$153,MATCH(ROWS($A$4:A116),$AF$4:$AF$153,0)),"")</f>
        <v/>
      </c>
      <c r="N116" s="35" t="str">
        <f>IFERROR(INDEX($AD$4:$AD$153,MATCH(ROWS($A$4:A116),$AF$4:$AF$153,0)),"")</f>
        <v/>
      </c>
      <c r="Q116" t="str">
        <f>T(JAN!B118)</f>
        <v/>
      </c>
      <c r="R116" t="str">
        <f t="array" ref="R116">IF($Q116="","",_xlfn.TEXTJOIN(", ",TRUE,IF(JAN!$G118:$AK118="HE",JAN!$G$4:$AK$4,"")))</f>
        <v/>
      </c>
      <c r="S116" t="str">
        <f t="array" ref="S116">IF($Q116="","",_xlfn.TEXTJOIN(", ",TRUE,IF(FEV!$G118:$AK118="HE",FEV!$G$4:$AK$4,"")))</f>
        <v/>
      </c>
      <c r="T116" t="str">
        <f t="array" ref="T116">IF($Q116="","",_xlfn.TEXTJOIN(", ",TRUE,IF(MAR!$G118:$AK118="HE",MAR!$G$4:$AK$4,"")))</f>
        <v/>
      </c>
      <c r="U116" t="str">
        <f t="array" ref="U116">IF($Q116="","",_xlfn.TEXTJOIN(", ",TRUE,IF(ABR!$G118:$AK118="HE",ABR!$G$4:$AK$4,"")))</f>
        <v/>
      </c>
      <c r="V116" t="str">
        <f t="array" ref="V116">IF($Q116="","",_xlfn.TEXTJOIN(", ",TRUE,IF(MAI!$G118:$AK118="HE",MAI!$G$4:$AK$4,"")))</f>
        <v/>
      </c>
      <c r="W116" t="str">
        <f t="array" ref="W116">IF($Q116="","",_xlfn.TEXTJOIN(", ",TRUE,IF(JUN!$G118:$AK118="HE",JUN!$G$4:$AK$4,"")))</f>
        <v/>
      </c>
      <c r="X116" t="str">
        <f t="array" ref="X116">IF($Q116="","",_xlfn.TEXTJOIN(", ",TRUE,IF(JUL!$G118:$AK118="HE",JUL!$G$4:$AK$4,"")))</f>
        <v/>
      </c>
      <c r="Y116" t="str">
        <f t="array" ref="Y116">IF($Q116="","",_xlfn.TEXTJOIN(", ",TRUE,IF(AGO!$G118:$AK118="HE",AGO!$G$4:$AK$4,"")))</f>
        <v/>
      </c>
      <c r="Z116" t="str">
        <f t="array" ref="Z116">IF($Q116="","",_xlfn.TEXTJOIN(", ",TRUE,IF(SET!$G118:$AK118="HE",SET!$G$4:$AK$4,"")))</f>
        <v/>
      </c>
      <c r="AA116" t="str">
        <f t="array" ref="AA116">IF($Q116="","",_xlfn.TEXTJOIN(", ",TRUE,IF(OUT!$G118:$AK118="HE",OUT!$G$4:$AK$4,"")))</f>
        <v/>
      </c>
      <c r="AB116" t="str">
        <f t="array" ref="AB116">IF($Q116="","",_xlfn.TEXTJOIN(", ",TRUE,IF(NOV!$G118:$AK118="HE",NOV!$G$4:$AK$4,"")))</f>
        <v/>
      </c>
      <c r="AC116" t="str">
        <f t="array" ref="AC116">IF($Q116="","",_xlfn.TEXTJOIN(", ",TRUE,IF(DEZ!$G118:$AK118="HE",DEZ!$G$4:$AK$4,"")))</f>
        <v/>
      </c>
      <c r="AD116" t="str">
        <f>IF($Q116="","",SUM(JAN:DEZ!C118))</f>
        <v/>
      </c>
      <c r="AF116" t="str">
        <f>IF(AND($Q116&lt;&gt;"",N($AD116)&gt;0),COUNT($AF$3:AF115)+1,"")</f>
        <v/>
      </c>
    </row>
    <row r="117" spans="1:32" x14ac:dyDescent="0.25">
      <c r="A117" s="36" t="str">
        <f>IFERROR(INDEX($Q$4:$Q$153,MATCH(ROWS($A$4:A117),$AF$4:$AF$153,0)),"")</f>
        <v/>
      </c>
      <c r="B117" s="35" t="str">
        <f>IFERROR(INDEX($R$4:$R$153,MATCH(ROWS($A$4:A117),$AF$4:$AF$153,0)),"")</f>
        <v/>
      </c>
      <c r="C117" s="35" t="str">
        <f>IFERROR(INDEX($S$4:$S$153,MATCH(ROWS($A$4:A117),$AF$4:$AF$153,0)),"")</f>
        <v/>
      </c>
      <c r="D117" s="35" t="str">
        <f>IFERROR(INDEX($T$4:$T$153,MATCH(ROWS($A$4:A117),$AF$4:$AF$153,0)),"")</f>
        <v/>
      </c>
      <c r="E117" s="35" t="str">
        <f>IFERROR(INDEX($U$4:$U$153,MATCH(ROWS($A$4:A117),$AF$4:$AF$153,0)),"")</f>
        <v/>
      </c>
      <c r="F117" s="35" t="str">
        <f>IFERROR(INDEX($V$4:$V$153,MATCH(ROWS($A$4:A117),$AF$4:$AF$153,0)),"")</f>
        <v/>
      </c>
      <c r="G117" s="35" t="str">
        <f>IFERROR(INDEX($W$4:$W$153,MATCH(ROWS($A$4:A117),$AF$4:$AF$153,0)),"")</f>
        <v/>
      </c>
      <c r="H117" s="35" t="str">
        <f>IFERROR(INDEX($X$4:$X$153,MATCH(ROWS($A$4:A117),$AF$4:$AF$153,0)),"")</f>
        <v/>
      </c>
      <c r="I117" s="35" t="str">
        <f>IFERROR(INDEX($Y$4:$Y$153,MATCH(ROWS($A$4:A117),$AF$4:$AF$153,0)),"")</f>
        <v/>
      </c>
      <c r="J117" s="35" t="str">
        <f>IFERROR(INDEX($Z$4:$Z$153,MATCH(ROWS($A$4:A117),$AF$4:$AF$153,0)),"")</f>
        <v/>
      </c>
      <c r="K117" s="35" t="str">
        <f>IFERROR(INDEX($AA$4:$AA$153,MATCH(ROWS($A$4:A117),$AF$4:$AF$153,0)),"")</f>
        <v/>
      </c>
      <c r="L117" s="35" t="str">
        <f>IFERROR(INDEX($AB$4:$AB$153,MATCH(ROWS($A$4:A117),$AF$4:$AF$153,0)),"")</f>
        <v/>
      </c>
      <c r="M117" s="35" t="str">
        <f>IFERROR(INDEX($AC$4:$AC$153,MATCH(ROWS($A$4:A117),$AF$4:$AF$153,0)),"")</f>
        <v/>
      </c>
      <c r="N117" s="35" t="str">
        <f>IFERROR(INDEX($AD$4:$AD$153,MATCH(ROWS($A$4:A117),$AF$4:$AF$153,0)),"")</f>
        <v/>
      </c>
      <c r="Q117" t="str">
        <f>T(JAN!B119)</f>
        <v/>
      </c>
      <c r="R117" t="str">
        <f t="array" ref="R117">IF($Q117="","",_xlfn.TEXTJOIN(", ",TRUE,IF(JAN!$G119:$AK119="HE",JAN!$G$4:$AK$4,"")))</f>
        <v/>
      </c>
      <c r="S117" t="str">
        <f t="array" ref="S117">IF($Q117="","",_xlfn.TEXTJOIN(", ",TRUE,IF(FEV!$G119:$AK119="HE",FEV!$G$4:$AK$4,"")))</f>
        <v/>
      </c>
      <c r="T117" t="str">
        <f t="array" ref="T117">IF($Q117="","",_xlfn.TEXTJOIN(", ",TRUE,IF(MAR!$G119:$AK119="HE",MAR!$G$4:$AK$4,"")))</f>
        <v/>
      </c>
      <c r="U117" t="str">
        <f t="array" ref="U117">IF($Q117="","",_xlfn.TEXTJOIN(", ",TRUE,IF(ABR!$G119:$AK119="HE",ABR!$G$4:$AK$4,"")))</f>
        <v/>
      </c>
      <c r="V117" t="str">
        <f t="array" ref="V117">IF($Q117="","",_xlfn.TEXTJOIN(", ",TRUE,IF(MAI!$G119:$AK119="HE",MAI!$G$4:$AK$4,"")))</f>
        <v/>
      </c>
      <c r="W117" t="str">
        <f t="array" ref="W117">IF($Q117="","",_xlfn.TEXTJOIN(", ",TRUE,IF(JUN!$G119:$AK119="HE",JUN!$G$4:$AK$4,"")))</f>
        <v/>
      </c>
      <c r="X117" t="str">
        <f t="array" ref="X117">IF($Q117="","",_xlfn.TEXTJOIN(", ",TRUE,IF(JUL!$G119:$AK119="HE",JUL!$G$4:$AK$4,"")))</f>
        <v/>
      </c>
      <c r="Y117" t="str">
        <f t="array" ref="Y117">IF($Q117="","",_xlfn.TEXTJOIN(", ",TRUE,IF(AGO!$G119:$AK119="HE",AGO!$G$4:$AK$4,"")))</f>
        <v/>
      </c>
      <c r="Z117" t="str">
        <f t="array" ref="Z117">IF($Q117="","",_xlfn.TEXTJOIN(", ",TRUE,IF(SET!$G119:$AK119="HE",SET!$G$4:$AK$4,"")))</f>
        <v/>
      </c>
      <c r="AA117" t="str">
        <f t="array" ref="AA117">IF($Q117="","",_xlfn.TEXTJOIN(", ",TRUE,IF(OUT!$G119:$AK119="HE",OUT!$G$4:$AK$4,"")))</f>
        <v/>
      </c>
      <c r="AB117" t="str">
        <f t="array" ref="AB117">IF($Q117="","",_xlfn.TEXTJOIN(", ",TRUE,IF(NOV!$G119:$AK119="HE",NOV!$G$4:$AK$4,"")))</f>
        <v/>
      </c>
      <c r="AC117" t="str">
        <f t="array" ref="AC117">IF($Q117="","",_xlfn.TEXTJOIN(", ",TRUE,IF(DEZ!$G119:$AK119="HE",DEZ!$G$4:$AK$4,"")))</f>
        <v/>
      </c>
      <c r="AD117" t="str">
        <f>IF($Q117="","",SUM(JAN:DEZ!C119))</f>
        <v/>
      </c>
      <c r="AF117" t="str">
        <f>IF(AND($Q117&lt;&gt;"",N($AD117)&gt;0),COUNT($AF$3:AF116)+1,"")</f>
        <v/>
      </c>
    </row>
    <row r="118" spans="1:32" x14ac:dyDescent="0.25">
      <c r="A118" s="36" t="str">
        <f>IFERROR(INDEX($Q$4:$Q$153,MATCH(ROWS($A$4:A118),$AF$4:$AF$153,0)),"")</f>
        <v/>
      </c>
      <c r="B118" s="35" t="str">
        <f>IFERROR(INDEX($R$4:$R$153,MATCH(ROWS($A$4:A118),$AF$4:$AF$153,0)),"")</f>
        <v/>
      </c>
      <c r="C118" s="35" t="str">
        <f>IFERROR(INDEX($S$4:$S$153,MATCH(ROWS($A$4:A118),$AF$4:$AF$153,0)),"")</f>
        <v/>
      </c>
      <c r="D118" s="35" t="str">
        <f>IFERROR(INDEX($T$4:$T$153,MATCH(ROWS($A$4:A118),$AF$4:$AF$153,0)),"")</f>
        <v/>
      </c>
      <c r="E118" s="35" t="str">
        <f>IFERROR(INDEX($U$4:$U$153,MATCH(ROWS($A$4:A118),$AF$4:$AF$153,0)),"")</f>
        <v/>
      </c>
      <c r="F118" s="35" t="str">
        <f>IFERROR(INDEX($V$4:$V$153,MATCH(ROWS($A$4:A118),$AF$4:$AF$153,0)),"")</f>
        <v/>
      </c>
      <c r="G118" s="35" t="str">
        <f>IFERROR(INDEX($W$4:$W$153,MATCH(ROWS($A$4:A118),$AF$4:$AF$153,0)),"")</f>
        <v/>
      </c>
      <c r="H118" s="35" t="str">
        <f>IFERROR(INDEX($X$4:$X$153,MATCH(ROWS($A$4:A118),$AF$4:$AF$153,0)),"")</f>
        <v/>
      </c>
      <c r="I118" s="35" t="str">
        <f>IFERROR(INDEX($Y$4:$Y$153,MATCH(ROWS($A$4:A118),$AF$4:$AF$153,0)),"")</f>
        <v/>
      </c>
      <c r="J118" s="35" t="str">
        <f>IFERROR(INDEX($Z$4:$Z$153,MATCH(ROWS($A$4:A118),$AF$4:$AF$153,0)),"")</f>
        <v/>
      </c>
      <c r="K118" s="35" t="str">
        <f>IFERROR(INDEX($AA$4:$AA$153,MATCH(ROWS($A$4:A118),$AF$4:$AF$153,0)),"")</f>
        <v/>
      </c>
      <c r="L118" s="35" t="str">
        <f>IFERROR(INDEX($AB$4:$AB$153,MATCH(ROWS($A$4:A118),$AF$4:$AF$153,0)),"")</f>
        <v/>
      </c>
      <c r="M118" s="35" t="str">
        <f>IFERROR(INDEX($AC$4:$AC$153,MATCH(ROWS($A$4:A118),$AF$4:$AF$153,0)),"")</f>
        <v/>
      </c>
      <c r="N118" s="35" t="str">
        <f>IFERROR(INDEX($AD$4:$AD$153,MATCH(ROWS($A$4:A118),$AF$4:$AF$153,0)),"")</f>
        <v/>
      </c>
      <c r="Q118" t="str">
        <f>T(JAN!B120)</f>
        <v/>
      </c>
      <c r="R118" t="str">
        <f t="array" ref="R118">IF($Q118="","",_xlfn.TEXTJOIN(", ",TRUE,IF(JAN!$G120:$AK120="HE",JAN!$G$4:$AK$4,"")))</f>
        <v/>
      </c>
      <c r="S118" t="str">
        <f t="array" ref="S118">IF($Q118="","",_xlfn.TEXTJOIN(", ",TRUE,IF(FEV!$G120:$AK120="HE",FEV!$G$4:$AK$4,"")))</f>
        <v/>
      </c>
      <c r="T118" t="str">
        <f t="array" ref="T118">IF($Q118="","",_xlfn.TEXTJOIN(", ",TRUE,IF(MAR!$G120:$AK120="HE",MAR!$G$4:$AK$4,"")))</f>
        <v/>
      </c>
      <c r="U118" t="str">
        <f t="array" ref="U118">IF($Q118="","",_xlfn.TEXTJOIN(", ",TRUE,IF(ABR!$G120:$AK120="HE",ABR!$G$4:$AK$4,"")))</f>
        <v/>
      </c>
      <c r="V118" t="str">
        <f t="array" ref="V118">IF($Q118="","",_xlfn.TEXTJOIN(", ",TRUE,IF(MAI!$G120:$AK120="HE",MAI!$G$4:$AK$4,"")))</f>
        <v/>
      </c>
      <c r="W118" t="str">
        <f t="array" ref="W118">IF($Q118="","",_xlfn.TEXTJOIN(", ",TRUE,IF(JUN!$G120:$AK120="HE",JUN!$G$4:$AK$4,"")))</f>
        <v/>
      </c>
      <c r="X118" t="str">
        <f t="array" ref="X118">IF($Q118="","",_xlfn.TEXTJOIN(", ",TRUE,IF(JUL!$G120:$AK120="HE",JUL!$G$4:$AK$4,"")))</f>
        <v/>
      </c>
      <c r="Y118" t="str">
        <f t="array" ref="Y118">IF($Q118="","",_xlfn.TEXTJOIN(", ",TRUE,IF(AGO!$G120:$AK120="HE",AGO!$G$4:$AK$4,"")))</f>
        <v/>
      </c>
      <c r="Z118" t="str">
        <f t="array" ref="Z118">IF($Q118="","",_xlfn.TEXTJOIN(", ",TRUE,IF(SET!$G120:$AK120="HE",SET!$G$4:$AK$4,"")))</f>
        <v/>
      </c>
      <c r="AA118" t="str">
        <f t="array" ref="AA118">IF($Q118="","",_xlfn.TEXTJOIN(", ",TRUE,IF(OUT!$G120:$AK120="HE",OUT!$G$4:$AK$4,"")))</f>
        <v/>
      </c>
      <c r="AB118" t="str">
        <f t="array" ref="AB118">IF($Q118="","",_xlfn.TEXTJOIN(", ",TRUE,IF(NOV!$G120:$AK120="HE",NOV!$G$4:$AK$4,"")))</f>
        <v/>
      </c>
      <c r="AC118" t="str">
        <f t="array" ref="AC118">IF($Q118="","",_xlfn.TEXTJOIN(", ",TRUE,IF(DEZ!$G120:$AK120="HE",DEZ!$G$4:$AK$4,"")))</f>
        <v/>
      </c>
      <c r="AD118" t="str">
        <f>IF($Q118="","",SUM(JAN:DEZ!C120))</f>
        <v/>
      </c>
      <c r="AF118" t="str">
        <f>IF(AND($Q118&lt;&gt;"",N($AD118)&gt;0),COUNT($AF$3:AF117)+1,"")</f>
        <v/>
      </c>
    </row>
    <row r="119" spans="1:32" x14ac:dyDescent="0.25">
      <c r="A119" s="36" t="str">
        <f>IFERROR(INDEX($Q$4:$Q$153,MATCH(ROWS($A$4:A119),$AF$4:$AF$153,0)),"")</f>
        <v/>
      </c>
      <c r="B119" s="35" t="str">
        <f>IFERROR(INDEX($R$4:$R$153,MATCH(ROWS($A$4:A119),$AF$4:$AF$153,0)),"")</f>
        <v/>
      </c>
      <c r="C119" s="35" t="str">
        <f>IFERROR(INDEX($S$4:$S$153,MATCH(ROWS($A$4:A119),$AF$4:$AF$153,0)),"")</f>
        <v/>
      </c>
      <c r="D119" s="35" t="str">
        <f>IFERROR(INDEX($T$4:$T$153,MATCH(ROWS($A$4:A119),$AF$4:$AF$153,0)),"")</f>
        <v/>
      </c>
      <c r="E119" s="35" t="str">
        <f>IFERROR(INDEX($U$4:$U$153,MATCH(ROWS($A$4:A119),$AF$4:$AF$153,0)),"")</f>
        <v/>
      </c>
      <c r="F119" s="35" t="str">
        <f>IFERROR(INDEX($V$4:$V$153,MATCH(ROWS($A$4:A119),$AF$4:$AF$153,0)),"")</f>
        <v/>
      </c>
      <c r="G119" s="35" t="str">
        <f>IFERROR(INDEX($W$4:$W$153,MATCH(ROWS($A$4:A119),$AF$4:$AF$153,0)),"")</f>
        <v/>
      </c>
      <c r="H119" s="35" t="str">
        <f>IFERROR(INDEX($X$4:$X$153,MATCH(ROWS($A$4:A119),$AF$4:$AF$153,0)),"")</f>
        <v/>
      </c>
      <c r="I119" s="35" t="str">
        <f>IFERROR(INDEX($Y$4:$Y$153,MATCH(ROWS($A$4:A119),$AF$4:$AF$153,0)),"")</f>
        <v/>
      </c>
      <c r="J119" s="35" t="str">
        <f>IFERROR(INDEX($Z$4:$Z$153,MATCH(ROWS($A$4:A119),$AF$4:$AF$153,0)),"")</f>
        <v/>
      </c>
      <c r="K119" s="35" t="str">
        <f>IFERROR(INDEX($AA$4:$AA$153,MATCH(ROWS($A$4:A119),$AF$4:$AF$153,0)),"")</f>
        <v/>
      </c>
      <c r="L119" s="35" t="str">
        <f>IFERROR(INDEX($AB$4:$AB$153,MATCH(ROWS($A$4:A119),$AF$4:$AF$153,0)),"")</f>
        <v/>
      </c>
      <c r="M119" s="35" t="str">
        <f>IFERROR(INDEX($AC$4:$AC$153,MATCH(ROWS($A$4:A119),$AF$4:$AF$153,0)),"")</f>
        <v/>
      </c>
      <c r="N119" s="35" t="str">
        <f>IFERROR(INDEX($AD$4:$AD$153,MATCH(ROWS($A$4:A119),$AF$4:$AF$153,0)),"")</f>
        <v/>
      </c>
      <c r="Q119" t="str">
        <f>T(JAN!B121)</f>
        <v/>
      </c>
      <c r="R119" t="str">
        <f t="array" ref="R119">IF($Q119="","",_xlfn.TEXTJOIN(", ",TRUE,IF(JAN!$G121:$AK121="HE",JAN!$G$4:$AK$4,"")))</f>
        <v/>
      </c>
      <c r="S119" t="str">
        <f t="array" ref="S119">IF($Q119="","",_xlfn.TEXTJOIN(", ",TRUE,IF(FEV!$G121:$AK121="HE",FEV!$G$4:$AK$4,"")))</f>
        <v/>
      </c>
      <c r="T119" t="str">
        <f t="array" ref="T119">IF($Q119="","",_xlfn.TEXTJOIN(", ",TRUE,IF(MAR!$G121:$AK121="HE",MAR!$G$4:$AK$4,"")))</f>
        <v/>
      </c>
      <c r="U119" t="str">
        <f t="array" ref="U119">IF($Q119="","",_xlfn.TEXTJOIN(", ",TRUE,IF(ABR!$G121:$AK121="HE",ABR!$G$4:$AK$4,"")))</f>
        <v/>
      </c>
      <c r="V119" t="str">
        <f t="array" ref="V119">IF($Q119="","",_xlfn.TEXTJOIN(", ",TRUE,IF(MAI!$G121:$AK121="HE",MAI!$G$4:$AK$4,"")))</f>
        <v/>
      </c>
      <c r="W119" t="str">
        <f t="array" ref="W119">IF($Q119="","",_xlfn.TEXTJOIN(", ",TRUE,IF(JUN!$G121:$AK121="HE",JUN!$G$4:$AK$4,"")))</f>
        <v/>
      </c>
      <c r="X119" t="str">
        <f t="array" ref="X119">IF($Q119="","",_xlfn.TEXTJOIN(", ",TRUE,IF(JUL!$G121:$AK121="HE",JUL!$G$4:$AK$4,"")))</f>
        <v/>
      </c>
      <c r="Y119" t="str">
        <f t="array" ref="Y119">IF($Q119="","",_xlfn.TEXTJOIN(", ",TRUE,IF(AGO!$G121:$AK121="HE",AGO!$G$4:$AK$4,"")))</f>
        <v/>
      </c>
      <c r="Z119" t="str">
        <f t="array" ref="Z119">IF($Q119="","",_xlfn.TEXTJOIN(", ",TRUE,IF(SET!$G121:$AK121="HE",SET!$G$4:$AK$4,"")))</f>
        <v/>
      </c>
      <c r="AA119" t="str">
        <f t="array" ref="AA119">IF($Q119="","",_xlfn.TEXTJOIN(", ",TRUE,IF(OUT!$G121:$AK121="HE",OUT!$G$4:$AK$4,"")))</f>
        <v/>
      </c>
      <c r="AB119" t="str">
        <f t="array" ref="AB119">IF($Q119="","",_xlfn.TEXTJOIN(", ",TRUE,IF(NOV!$G121:$AK121="HE",NOV!$G$4:$AK$4,"")))</f>
        <v/>
      </c>
      <c r="AC119" t="str">
        <f t="array" ref="AC119">IF($Q119="","",_xlfn.TEXTJOIN(", ",TRUE,IF(DEZ!$G121:$AK121="HE",DEZ!$G$4:$AK$4,"")))</f>
        <v/>
      </c>
      <c r="AD119" t="str">
        <f>IF($Q119="","",SUM(JAN:DEZ!C121))</f>
        <v/>
      </c>
      <c r="AF119" t="str">
        <f>IF(AND($Q119&lt;&gt;"",N($AD119)&gt;0),COUNT($AF$3:AF118)+1,"")</f>
        <v/>
      </c>
    </row>
    <row r="120" spans="1:32" x14ac:dyDescent="0.25">
      <c r="A120" s="36" t="str">
        <f>IFERROR(INDEX($Q$4:$Q$153,MATCH(ROWS($A$4:A120),$AF$4:$AF$153,0)),"")</f>
        <v/>
      </c>
      <c r="B120" s="35" t="str">
        <f>IFERROR(INDEX($R$4:$R$153,MATCH(ROWS($A$4:A120),$AF$4:$AF$153,0)),"")</f>
        <v/>
      </c>
      <c r="C120" s="35" t="str">
        <f>IFERROR(INDEX($S$4:$S$153,MATCH(ROWS($A$4:A120),$AF$4:$AF$153,0)),"")</f>
        <v/>
      </c>
      <c r="D120" s="35" t="str">
        <f>IFERROR(INDEX($T$4:$T$153,MATCH(ROWS($A$4:A120),$AF$4:$AF$153,0)),"")</f>
        <v/>
      </c>
      <c r="E120" s="35" t="str">
        <f>IFERROR(INDEX($U$4:$U$153,MATCH(ROWS($A$4:A120),$AF$4:$AF$153,0)),"")</f>
        <v/>
      </c>
      <c r="F120" s="35" t="str">
        <f>IFERROR(INDEX($V$4:$V$153,MATCH(ROWS($A$4:A120),$AF$4:$AF$153,0)),"")</f>
        <v/>
      </c>
      <c r="G120" s="35" t="str">
        <f>IFERROR(INDEX($W$4:$W$153,MATCH(ROWS($A$4:A120),$AF$4:$AF$153,0)),"")</f>
        <v/>
      </c>
      <c r="H120" s="35" t="str">
        <f>IFERROR(INDEX($X$4:$X$153,MATCH(ROWS($A$4:A120),$AF$4:$AF$153,0)),"")</f>
        <v/>
      </c>
      <c r="I120" s="35" t="str">
        <f>IFERROR(INDEX($Y$4:$Y$153,MATCH(ROWS($A$4:A120),$AF$4:$AF$153,0)),"")</f>
        <v/>
      </c>
      <c r="J120" s="35" t="str">
        <f>IFERROR(INDEX($Z$4:$Z$153,MATCH(ROWS($A$4:A120),$AF$4:$AF$153,0)),"")</f>
        <v/>
      </c>
      <c r="K120" s="35" t="str">
        <f>IFERROR(INDEX($AA$4:$AA$153,MATCH(ROWS($A$4:A120),$AF$4:$AF$153,0)),"")</f>
        <v/>
      </c>
      <c r="L120" s="35" t="str">
        <f>IFERROR(INDEX($AB$4:$AB$153,MATCH(ROWS($A$4:A120),$AF$4:$AF$153,0)),"")</f>
        <v/>
      </c>
      <c r="M120" s="35" t="str">
        <f>IFERROR(INDEX($AC$4:$AC$153,MATCH(ROWS($A$4:A120),$AF$4:$AF$153,0)),"")</f>
        <v/>
      </c>
      <c r="N120" s="35" t="str">
        <f>IFERROR(INDEX($AD$4:$AD$153,MATCH(ROWS($A$4:A120),$AF$4:$AF$153,0)),"")</f>
        <v/>
      </c>
      <c r="Q120" t="str">
        <f>T(JAN!B122)</f>
        <v/>
      </c>
      <c r="R120" t="str">
        <f t="array" ref="R120">IF($Q120="","",_xlfn.TEXTJOIN(", ",TRUE,IF(JAN!$G122:$AK122="HE",JAN!$G$4:$AK$4,"")))</f>
        <v/>
      </c>
      <c r="S120" t="str">
        <f t="array" ref="S120">IF($Q120="","",_xlfn.TEXTJOIN(", ",TRUE,IF(FEV!$G122:$AK122="HE",FEV!$G$4:$AK$4,"")))</f>
        <v/>
      </c>
      <c r="T120" t="str">
        <f t="array" ref="T120">IF($Q120="","",_xlfn.TEXTJOIN(", ",TRUE,IF(MAR!$G122:$AK122="HE",MAR!$G$4:$AK$4,"")))</f>
        <v/>
      </c>
      <c r="U120" t="str">
        <f t="array" ref="U120">IF($Q120="","",_xlfn.TEXTJOIN(", ",TRUE,IF(ABR!$G122:$AK122="HE",ABR!$G$4:$AK$4,"")))</f>
        <v/>
      </c>
      <c r="V120" t="str">
        <f t="array" ref="V120">IF($Q120="","",_xlfn.TEXTJOIN(", ",TRUE,IF(MAI!$G122:$AK122="HE",MAI!$G$4:$AK$4,"")))</f>
        <v/>
      </c>
      <c r="W120" t="str">
        <f t="array" ref="W120">IF($Q120="","",_xlfn.TEXTJOIN(", ",TRUE,IF(JUN!$G122:$AK122="HE",JUN!$G$4:$AK$4,"")))</f>
        <v/>
      </c>
      <c r="X120" t="str">
        <f t="array" ref="X120">IF($Q120="","",_xlfn.TEXTJOIN(", ",TRUE,IF(JUL!$G122:$AK122="HE",JUL!$G$4:$AK$4,"")))</f>
        <v/>
      </c>
      <c r="Y120" t="str">
        <f t="array" ref="Y120">IF($Q120="","",_xlfn.TEXTJOIN(", ",TRUE,IF(AGO!$G122:$AK122="HE",AGO!$G$4:$AK$4,"")))</f>
        <v/>
      </c>
      <c r="Z120" t="str">
        <f t="array" ref="Z120">IF($Q120="","",_xlfn.TEXTJOIN(", ",TRUE,IF(SET!$G122:$AK122="HE",SET!$G$4:$AK$4,"")))</f>
        <v/>
      </c>
      <c r="AA120" t="str">
        <f t="array" ref="AA120">IF($Q120="","",_xlfn.TEXTJOIN(", ",TRUE,IF(OUT!$G122:$AK122="HE",OUT!$G$4:$AK$4,"")))</f>
        <v/>
      </c>
      <c r="AB120" t="str">
        <f t="array" ref="AB120">IF($Q120="","",_xlfn.TEXTJOIN(", ",TRUE,IF(NOV!$G122:$AK122="HE",NOV!$G$4:$AK$4,"")))</f>
        <v/>
      </c>
      <c r="AC120" t="str">
        <f t="array" ref="AC120">IF($Q120="","",_xlfn.TEXTJOIN(", ",TRUE,IF(DEZ!$G122:$AK122="HE",DEZ!$G$4:$AK$4,"")))</f>
        <v/>
      </c>
      <c r="AD120" t="str">
        <f>IF($Q120="","",SUM(JAN:DEZ!C122))</f>
        <v/>
      </c>
      <c r="AF120" t="str">
        <f>IF(AND($Q120&lt;&gt;"",N($AD120)&gt;0),COUNT($AF$3:AF119)+1,"")</f>
        <v/>
      </c>
    </row>
    <row r="121" spans="1:32" x14ac:dyDescent="0.25">
      <c r="A121" s="36" t="str">
        <f>IFERROR(INDEX($Q$4:$Q$153,MATCH(ROWS($A$4:A121),$AF$4:$AF$153,0)),"")</f>
        <v/>
      </c>
      <c r="B121" s="35" t="str">
        <f>IFERROR(INDEX($R$4:$R$153,MATCH(ROWS($A$4:A121),$AF$4:$AF$153,0)),"")</f>
        <v/>
      </c>
      <c r="C121" s="35" t="str">
        <f>IFERROR(INDEX($S$4:$S$153,MATCH(ROWS($A$4:A121),$AF$4:$AF$153,0)),"")</f>
        <v/>
      </c>
      <c r="D121" s="35" t="str">
        <f>IFERROR(INDEX($T$4:$T$153,MATCH(ROWS($A$4:A121),$AF$4:$AF$153,0)),"")</f>
        <v/>
      </c>
      <c r="E121" s="35" t="str">
        <f>IFERROR(INDEX($U$4:$U$153,MATCH(ROWS($A$4:A121),$AF$4:$AF$153,0)),"")</f>
        <v/>
      </c>
      <c r="F121" s="35" t="str">
        <f>IFERROR(INDEX($V$4:$V$153,MATCH(ROWS($A$4:A121),$AF$4:$AF$153,0)),"")</f>
        <v/>
      </c>
      <c r="G121" s="35" t="str">
        <f>IFERROR(INDEX($W$4:$W$153,MATCH(ROWS($A$4:A121),$AF$4:$AF$153,0)),"")</f>
        <v/>
      </c>
      <c r="H121" s="35" t="str">
        <f>IFERROR(INDEX($X$4:$X$153,MATCH(ROWS($A$4:A121),$AF$4:$AF$153,0)),"")</f>
        <v/>
      </c>
      <c r="I121" s="35" t="str">
        <f>IFERROR(INDEX($Y$4:$Y$153,MATCH(ROWS($A$4:A121),$AF$4:$AF$153,0)),"")</f>
        <v/>
      </c>
      <c r="J121" s="35" t="str">
        <f>IFERROR(INDEX($Z$4:$Z$153,MATCH(ROWS($A$4:A121),$AF$4:$AF$153,0)),"")</f>
        <v/>
      </c>
      <c r="K121" s="35" t="str">
        <f>IFERROR(INDEX($AA$4:$AA$153,MATCH(ROWS($A$4:A121),$AF$4:$AF$153,0)),"")</f>
        <v/>
      </c>
      <c r="L121" s="35" t="str">
        <f>IFERROR(INDEX($AB$4:$AB$153,MATCH(ROWS($A$4:A121),$AF$4:$AF$153,0)),"")</f>
        <v/>
      </c>
      <c r="M121" s="35" t="str">
        <f>IFERROR(INDEX($AC$4:$AC$153,MATCH(ROWS($A$4:A121),$AF$4:$AF$153,0)),"")</f>
        <v/>
      </c>
      <c r="N121" s="35" t="str">
        <f>IFERROR(INDEX($AD$4:$AD$153,MATCH(ROWS($A$4:A121),$AF$4:$AF$153,0)),"")</f>
        <v/>
      </c>
      <c r="Q121" t="str">
        <f>T(JAN!B123)</f>
        <v/>
      </c>
      <c r="R121" t="str">
        <f t="array" ref="R121">IF($Q121="","",_xlfn.TEXTJOIN(", ",TRUE,IF(JAN!$G123:$AK123="HE",JAN!$G$4:$AK$4,"")))</f>
        <v/>
      </c>
      <c r="S121" t="str">
        <f t="array" ref="S121">IF($Q121="","",_xlfn.TEXTJOIN(", ",TRUE,IF(FEV!$G123:$AK123="HE",FEV!$G$4:$AK$4,"")))</f>
        <v/>
      </c>
      <c r="T121" t="str">
        <f t="array" ref="T121">IF($Q121="","",_xlfn.TEXTJOIN(", ",TRUE,IF(MAR!$G123:$AK123="HE",MAR!$G$4:$AK$4,"")))</f>
        <v/>
      </c>
      <c r="U121" t="str">
        <f t="array" ref="U121">IF($Q121="","",_xlfn.TEXTJOIN(", ",TRUE,IF(ABR!$G123:$AK123="HE",ABR!$G$4:$AK$4,"")))</f>
        <v/>
      </c>
      <c r="V121" t="str">
        <f t="array" ref="V121">IF($Q121="","",_xlfn.TEXTJOIN(", ",TRUE,IF(MAI!$G123:$AK123="HE",MAI!$G$4:$AK$4,"")))</f>
        <v/>
      </c>
      <c r="W121" t="str">
        <f t="array" ref="W121">IF($Q121="","",_xlfn.TEXTJOIN(", ",TRUE,IF(JUN!$G123:$AK123="HE",JUN!$G$4:$AK$4,"")))</f>
        <v/>
      </c>
      <c r="X121" t="str">
        <f t="array" ref="X121">IF($Q121="","",_xlfn.TEXTJOIN(", ",TRUE,IF(JUL!$G123:$AK123="HE",JUL!$G$4:$AK$4,"")))</f>
        <v/>
      </c>
      <c r="Y121" t="str">
        <f t="array" ref="Y121">IF($Q121="","",_xlfn.TEXTJOIN(", ",TRUE,IF(AGO!$G123:$AK123="HE",AGO!$G$4:$AK$4,"")))</f>
        <v/>
      </c>
      <c r="Z121" t="str">
        <f t="array" ref="Z121">IF($Q121="","",_xlfn.TEXTJOIN(", ",TRUE,IF(SET!$G123:$AK123="HE",SET!$G$4:$AK$4,"")))</f>
        <v/>
      </c>
      <c r="AA121" t="str">
        <f t="array" ref="AA121">IF($Q121="","",_xlfn.TEXTJOIN(", ",TRUE,IF(OUT!$G123:$AK123="HE",OUT!$G$4:$AK$4,"")))</f>
        <v/>
      </c>
      <c r="AB121" t="str">
        <f t="array" ref="AB121">IF($Q121="","",_xlfn.TEXTJOIN(", ",TRUE,IF(NOV!$G123:$AK123="HE",NOV!$G$4:$AK$4,"")))</f>
        <v/>
      </c>
      <c r="AC121" t="str">
        <f t="array" ref="AC121">IF($Q121="","",_xlfn.TEXTJOIN(", ",TRUE,IF(DEZ!$G123:$AK123="HE",DEZ!$G$4:$AK$4,"")))</f>
        <v/>
      </c>
      <c r="AD121" t="str">
        <f>IF($Q121="","",SUM(JAN:DEZ!C123))</f>
        <v/>
      </c>
      <c r="AF121" t="str">
        <f>IF(AND($Q121&lt;&gt;"",N($AD121)&gt;0),COUNT($AF$3:AF120)+1,"")</f>
        <v/>
      </c>
    </row>
    <row r="122" spans="1:32" x14ac:dyDescent="0.25">
      <c r="A122" s="36" t="str">
        <f>IFERROR(INDEX($Q$4:$Q$153,MATCH(ROWS($A$4:A122),$AF$4:$AF$153,0)),"")</f>
        <v/>
      </c>
      <c r="B122" s="35" t="str">
        <f>IFERROR(INDEX($R$4:$R$153,MATCH(ROWS($A$4:A122),$AF$4:$AF$153,0)),"")</f>
        <v/>
      </c>
      <c r="C122" s="35" t="str">
        <f>IFERROR(INDEX($S$4:$S$153,MATCH(ROWS($A$4:A122),$AF$4:$AF$153,0)),"")</f>
        <v/>
      </c>
      <c r="D122" s="35" t="str">
        <f>IFERROR(INDEX($T$4:$T$153,MATCH(ROWS($A$4:A122),$AF$4:$AF$153,0)),"")</f>
        <v/>
      </c>
      <c r="E122" s="35" t="str">
        <f>IFERROR(INDEX($U$4:$U$153,MATCH(ROWS($A$4:A122),$AF$4:$AF$153,0)),"")</f>
        <v/>
      </c>
      <c r="F122" s="35" t="str">
        <f>IFERROR(INDEX($V$4:$V$153,MATCH(ROWS($A$4:A122),$AF$4:$AF$153,0)),"")</f>
        <v/>
      </c>
      <c r="G122" s="35" t="str">
        <f>IFERROR(INDEX($W$4:$W$153,MATCH(ROWS($A$4:A122),$AF$4:$AF$153,0)),"")</f>
        <v/>
      </c>
      <c r="H122" s="35" t="str">
        <f>IFERROR(INDEX($X$4:$X$153,MATCH(ROWS($A$4:A122),$AF$4:$AF$153,0)),"")</f>
        <v/>
      </c>
      <c r="I122" s="35" t="str">
        <f>IFERROR(INDEX($Y$4:$Y$153,MATCH(ROWS($A$4:A122),$AF$4:$AF$153,0)),"")</f>
        <v/>
      </c>
      <c r="J122" s="35" t="str">
        <f>IFERROR(INDEX($Z$4:$Z$153,MATCH(ROWS($A$4:A122),$AF$4:$AF$153,0)),"")</f>
        <v/>
      </c>
      <c r="K122" s="35" t="str">
        <f>IFERROR(INDEX($AA$4:$AA$153,MATCH(ROWS($A$4:A122),$AF$4:$AF$153,0)),"")</f>
        <v/>
      </c>
      <c r="L122" s="35" t="str">
        <f>IFERROR(INDEX($AB$4:$AB$153,MATCH(ROWS($A$4:A122),$AF$4:$AF$153,0)),"")</f>
        <v/>
      </c>
      <c r="M122" s="35" t="str">
        <f>IFERROR(INDEX($AC$4:$AC$153,MATCH(ROWS($A$4:A122),$AF$4:$AF$153,0)),"")</f>
        <v/>
      </c>
      <c r="N122" s="35" t="str">
        <f>IFERROR(INDEX($AD$4:$AD$153,MATCH(ROWS($A$4:A122),$AF$4:$AF$153,0)),"")</f>
        <v/>
      </c>
      <c r="Q122" t="str">
        <f>T(JAN!B124)</f>
        <v/>
      </c>
      <c r="R122" t="str">
        <f t="array" ref="R122">IF($Q122="","",_xlfn.TEXTJOIN(", ",TRUE,IF(JAN!$G124:$AK124="HE",JAN!$G$4:$AK$4,"")))</f>
        <v/>
      </c>
      <c r="S122" t="str">
        <f t="array" ref="S122">IF($Q122="","",_xlfn.TEXTJOIN(", ",TRUE,IF(FEV!$G124:$AK124="HE",FEV!$G$4:$AK$4,"")))</f>
        <v/>
      </c>
      <c r="T122" t="str">
        <f t="array" ref="T122">IF($Q122="","",_xlfn.TEXTJOIN(", ",TRUE,IF(MAR!$G124:$AK124="HE",MAR!$G$4:$AK$4,"")))</f>
        <v/>
      </c>
      <c r="U122" t="str">
        <f t="array" ref="U122">IF($Q122="","",_xlfn.TEXTJOIN(", ",TRUE,IF(ABR!$G124:$AK124="HE",ABR!$G$4:$AK$4,"")))</f>
        <v/>
      </c>
      <c r="V122" t="str">
        <f t="array" ref="V122">IF($Q122="","",_xlfn.TEXTJOIN(", ",TRUE,IF(MAI!$G124:$AK124="HE",MAI!$G$4:$AK$4,"")))</f>
        <v/>
      </c>
      <c r="W122" t="str">
        <f t="array" ref="W122">IF($Q122="","",_xlfn.TEXTJOIN(", ",TRUE,IF(JUN!$G124:$AK124="HE",JUN!$G$4:$AK$4,"")))</f>
        <v/>
      </c>
      <c r="X122" t="str">
        <f t="array" ref="X122">IF($Q122="","",_xlfn.TEXTJOIN(", ",TRUE,IF(JUL!$G124:$AK124="HE",JUL!$G$4:$AK$4,"")))</f>
        <v/>
      </c>
      <c r="Y122" t="str">
        <f t="array" ref="Y122">IF($Q122="","",_xlfn.TEXTJOIN(", ",TRUE,IF(AGO!$G124:$AK124="HE",AGO!$G$4:$AK$4,"")))</f>
        <v/>
      </c>
      <c r="Z122" t="str">
        <f t="array" ref="Z122">IF($Q122="","",_xlfn.TEXTJOIN(", ",TRUE,IF(SET!$G124:$AK124="HE",SET!$G$4:$AK$4,"")))</f>
        <v/>
      </c>
      <c r="AA122" t="str">
        <f t="array" ref="AA122">IF($Q122="","",_xlfn.TEXTJOIN(", ",TRUE,IF(OUT!$G124:$AK124="HE",OUT!$G$4:$AK$4,"")))</f>
        <v/>
      </c>
      <c r="AB122" t="str">
        <f t="array" ref="AB122">IF($Q122="","",_xlfn.TEXTJOIN(", ",TRUE,IF(NOV!$G124:$AK124="HE",NOV!$G$4:$AK$4,"")))</f>
        <v/>
      </c>
      <c r="AC122" t="str">
        <f t="array" ref="AC122">IF($Q122="","",_xlfn.TEXTJOIN(", ",TRUE,IF(DEZ!$G124:$AK124="HE",DEZ!$G$4:$AK$4,"")))</f>
        <v/>
      </c>
      <c r="AD122" t="str">
        <f>IF($Q122="","",SUM(JAN:DEZ!C124))</f>
        <v/>
      </c>
      <c r="AF122" t="str">
        <f>IF(AND($Q122&lt;&gt;"",N($AD122)&gt;0),COUNT($AF$3:AF121)+1,"")</f>
        <v/>
      </c>
    </row>
    <row r="123" spans="1:32" x14ac:dyDescent="0.25">
      <c r="A123" s="36" t="str">
        <f>IFERROR(INDEX($Q$4:$Q$153,MATCH(ROWS($A$4:A123),$AF$4:$AF$153,0)),"")</f>
        <v/>
      </c>
      <c r="B123" s="35" t="str">
        <f>IFERROR(INDEX($R$4:$R$153,MATCH(ROWS($A$4:A123),$AF$4:$AF$153,0)),"")</f>
        <v/>
      </c>
      <c r="C123" s="35" t="str">
        <f>IFERROR(INDEX($S$4:$S$153,MATCH(ROWS($A$4:A123),$AF$4:$AF$153,0)),"")</f>
        <v/>
      </c>
      <c r="D123" s="35" t="str">
        <f>IFERROR(INDEX($T$4:$T$153,MATCH(ROWS($A$4:A123),$AF$4:$AF$153,0)),"")</f>
        <v/>
      </c>
      <c r="E123" s="35" t="str">
        <f>IFERROR(INDEX($U$4:$U$153,MATCH(ROWS($A$4:A123),$AF$4:$AF$153,0)),"")</f>
        <v/>
      </c>
      <c r="F123" s="35" t="str">
        <f>IFERROR(INDEX($V$4:$V$153,MATCH(ROWS($A$4:A123),$AF$4:$AF$153,0)),"")</f>
        <v/>
      </c>
      <c r="G123" s="35" t="str">
        <f>IFERROR(INDEX($W$4:$W$153,MATCH(ROWS($A$4:A123),$AF$4:$AF$153,0)),"")</f>
        <v/>
      </c>
      <c r="H123" s="35" t="str">
        <f>IFERROR(INDEX($X$4:$X$153,MATCH(ROWS($A$4:A123),$AF$4:$AF$153,0)),"")</f>
        <v/>
      </c>
      <c r="I123" s="35" t="str">
        <f>IFERROR(INDEX($Y$4:$Y$153,MATCH(ROWS($A$4:A123),$AF$4:$AF$153,0)),"")</f>
        <v/>
      </c>
      <c r="J123" s="35" t="str">
        <f>IFERROR(INDEX($Z$4:$Z$153,MATCH(ROWS($A$4:A123),$AF$4:$AF$153,0)),"")</f>
        <v/>
      </c>
      <c r="K123" s="35" t="str">
        <f>IFERROR(INDEX($AA$4:$AA$153,MATCH(ROWS($A$4:A123),$AF$4:$AF$153,0)),"")</f>
        <v/>
      </c>
      <c r="L123" s="35" t="str">
        <f>IFERROR(INDEX($AB$4:$AB$153,MATCH(ROWS($A$4:A123),$AF$4:$AF$153,0)),"")</f>
        <v/>
      </c>
      <c r="M123" s="35" t="str">
        <f>IFERROR(INDEX($AC$4:$AC$153,MATCH(ROWS($A$4:A123),$AF$4:$AF$153,0)),"")</f>
        <v/>
      </c>
      <c r="N123" s="35" t="str">
        <f>IFERROR(INDEX($AD$4:$AD$153,MATCH(ROWS($A$4:A123),$AF$4:$AF$153,0)),"")</f>
        <v/>
      </c>
      <c r="Q123" t="str">
        <f>T(JAN!B125)</f>
        <v/>
      </c>
      <c r="R123" t="str">
        <f t="array" ref="R123">IF($Q123="","",_xlfn.TEXTJOIN(", ",TRUE,IF(JAN!$G125:$AK125="HE",JAN!$G$4:$AK$4,"")))</f>
        <v/>
      </c>
      <c r="S123" t="str">
        <f t="array" ref="S123">IF($Q123="","",_xlfn.TEXTJOIN(", ",TRUE,IF(FEV!$G125:$AK125="HE",FEV!$G$4:$AK$4,"")))</f>
        <v/>
      </c>
      <c r="T123" t="str">
        <f t="array" ref="T123">IF($Q123="","",_xlfn.TEXTJOIN(", ",TRUE,IF(MAR!$G125:$AK125="HE",MAR!$G$4:$AK$4,"")))</f>
        <v/>
      </c>
      <c r="U123" t="str">
        <f t="array" ref="U123">IF($Q123="","",_xlfn.TEXTJOIN(", ",TRUE,IF(ABR!$G125:$AK125="HE",ABR!$G$4:$AK$4,"")))</f>
        <v/>
      </c>
      <c r="V123" t="str">
        <f t="array" ref="V123">IF($Q123="","",_xlfn.TEXTJOIN(", ",TRUE,IF(MAI!$G125:$AK125="HE",MAI!$G$4:$AK$4,"")))</f>
        <v/>
      </c>
      <c r="W123" t="str">
        <f t="array" ref="W123">IF($Q123="","",_xlfn.TEXTJOIN(", ",TRUE,IF(JUN!$G125:$AK125="HE",JUN!$G$4:$AK$4,"")))</f>
        <v/>
      </c>
      <c r="X123" t="str">
        <f t="array" ref="X123">IF($Q123="","",_xlfn.TEXTJOIN(", ",TRUE,IF(JUL!$G125:$AK125="HE",JUL!$G$4:$AK$4,"")))</f>
        <v/>
      </c>
      <c r="Y123" t="str">
        <f t="array" ref="Y123">IF($Q123="","",_xlfn.TEXTJOIN(", ",TRUE,IF(AGO!$G125:$AK125="HE",AGO!$G$4:$AK$4,"")))</f>
        <v/>
      </c>
      <c r="Z123" t="str">
        <f t="array" ref="Z123">IF($Q123="","",_xlfn.TEXTJOIN(", ",TRUE,IF(SET!$G125:$AK125="HE",SET!$G$4:$AK$4,"")))</f>
        <v/>
      </c>
      <c r="AA123" t="str">
        <f t="array" ref="AA123">IF($Q123="","",_xlfn.TEXTJOIN(", ",TRUE,IF(OUT!$G125:$AK125="HE",OUT!$G$4:$AK$4,"")))</f>
        <v/>
      </c>
      <c r="AB123" t="str">
        <f t="array" ref="AB123">IF($Q123="","",_xlfn.TEXTJOIN(", ",TRUE,IF(NOV!$G125:$AK125="HE",NOV!$G$4:$AK$4,"")))</f>
        <v/>
      </c>
      <c r="AC123" t="str">
        <f t="array" ref="AC123">IF($Q123="","",_xlfn.TEXTJOIN(", ",TRUE,IF(DEZ!$G125:$AK125="HE",DEZ!$G$4:$AK$4,"")))</f>
        <v/>
      </c>
      <c r="AD123" t="str">
        <f>IF($Q123="","",SUM(JAN:DEZ!C125))</f>
        <v/>
      </c>
      <c r="AF123" t="str">
        <f>IF(AND($Q123&lt;&gt;"",N($AD123)&gt;0),COUNT($AF$3:AF122)+1,"")</f>
        <v/>
      </c>
    </row>
    <row r="124" spans="1:32" x14ac:dyDescent="0.25">
      <c r="A124" s="36" t="str">
        <f>IFERROR(INDEX($Q$4:$Q$153,MATCH(ROWS($A$4:A124),$AF$4:$AF$153,0)),"")</f>
        <v/>
      </c>
      <c r="B124" s="35" t="str">
        <f>IFERROR(INDEX($R$4:$R$153,MATCH(ROWS($A$4:A124),$AF$4:$AF$153,0)),"")</f>
        <v/>
      </c>
      <c r="C124" s="35" t="str">
        <f>IFERROR(INDEX($S$4:$S$153,MATCH(ROWS($A$4:A124),$AF$4:$AF$153,0)),"")</f>
        <v/>
      </c>
      <c r="D124" s="35" t="str">
        <f>IFERROR(INDEX($T$4:$T$153,MATCH(ROWS($A$4:A124),$AF$4:$AF$153,0)),"")</f>
        <v/>
      </c>
      <c r="E124" s="35" t="str">
        <f>IFERROR(INDEX($U$4:$U$153,MATCH(ROWS($A$4:A124),$AF$4:$AF$153,0)),"")</f>
        <v/>
      </c>
      <c r="F124" s="35" t="str">
        <f>IFERROR(INDEX($V$4:$V$153,MATCH(ROWS($A$4:A124),$AF$4:$AF$153,0)),"")</f>
        <v/>
      </c>
      <c r="G124" s="35" t="str">
        <f>IFERROR(INDEX($W$4:$W$153,MATCH(ROWS($A$4:A124),$AF$4:$AF$153,0)),"")</f>
        <v/>
      </c>
      <c r="H124" s="35" t="str">
        <f>IFERROR(INDEX($X$4:$X$153,MATCH(ROWS($A$4:A124),$AF$4:$AF$153,0)),"")</f>
        <v/>
      </c>
      <c r="I124" s="35" t="str">
        <f>IFERROR(INDEX($Y$4:$Y$153,MATCH(ROWS($A$4:A124),$AF$4:$AF$153,0)),"")</f>
        <v/>
      </c>
      <c r="J124" s="35" t="str">
        <f>IFERROR(INDEX($Z$4:$Z$153,MATCH(ROWS($A$4:A124),$AF$4:$AF$153,0)),"")</f>
        <v/>
      </c>
      <c r="K124" s="35" t="str">
        <f>IFERROR(INDEX($AA$4:$AA$153,MATCH(ROWS($A$4:A124),$AF$4:$AF$153,0)),"")</f>
        <v/>
      </c>
      <c r="L124" s="35" t="str">
        <f>IFERROR(INDEX($AB$4:$AB$153,MATCH(ROWS($A$4:A124),$AF$4:$AF$153,0)),"")</f>
        <v/>
      </c>
      <c r="M124" s="35" t="str">
        <f>IFERROR(INDEX($AC$4:$AC$153,MATCH(ROWS($A$4:A124),$AF$4:$AF$153,0)),"")</f>
        <v/>
      </c>
      <c r="N124" s="35" t="str">
        <f>IFERROR(INDEX($AD$4:$AD$153,MATCH(ROWS($A$4:A124),$AF$4:$AF$153,0)),"")</f>
        <v/>
      </c>
      <c r="Q124" t="str">
        <f>T(JAN!B126)</f>
        <v/>
      </c>
      <c r="R124" t="str">
        <f t="array" ref="R124">IF($Q124="","",_xlfn.TEXTJOIN(", ",TRUE,IF(JAN!$G126:$AK126="HE",JAN!$G$4:$AK$4,"")))</f>
        <v/>
      </c>
      <c r="S124" t="str">
        <f t="array" ref="S124">IF($Q124="","",_xlfn.TEXTJOIN(", ",TRUE,IF(FEV!$G126:$AK126="HE",FEV!$G$4:$AK$4,"")))</f>
        <v/>
      </c>
      <c r="T124" t="str">
        <f t="array" ref="T124">IF($Q124="","",_xlfn.TEXTJOIN(", ",TRUE,IF(MAR!$G126:$AK126="HE",MAR!$G$4:$AK$4,"")))</f>
        <v/>
      </c>
      <c r="U124" t="str">
        <f t="array" ref="U124">IF($Q124="","",_xlfn.TEXTJOIN(", ",TRUE,IF(ABR!$G126:$AK126="HE",ABR!$G$4:$AK$4,"")))</f>
        <v/>
      </c>
      <c r="V124" t="str">
        <f t="array" ref="V124">IF($Q124="","",_xlfn.TEXTJOIN(", ",TRUE,IF(MAI!$G126:$AK126="HE",MAI!$G$4:$AK$4,"")))</f>
        <v/>
      </c>
      <c r="W124" t="str">
        <f t="array" ref="W124">IF($Q124="","",_xlfn.TEXTJOIN(", ",TRUE,IF(JUN!$G126:$AK126="HE",JUN!$G$4:$AK$4,"")))</f>
        <v/>
      </c>
      <c r="X124" t="str">
        <f t="array" ref="X124">IF($Q124="","",_xlfn.TEXTJOIN(", ",TRUE,IF(JUL!$G126:$AK126="HE",JUL!$G$4:$AK$4,"")))</f>
        <v/>
      </c>
      <c r="Y124" t="str">
        <f t="array" ref="Y124">IF($Q124="","",_xlfn.TEXTJOIN(", ",TRUE,IF(AGO!$G126:$AK126="HE",AGO!$G$4:$AK$4,"")))</f>
        <v/>
      </c>
      <c r="Z124" t="str">
        <f t="array" ref="Z124">IF($Q124="","",_xlfn.TEXTJOIN(", ",TRUE,IF(SET!$G126:$AK126="HE",SET!$G$4:$AK$4,"")))</f>
        <v/>
      </c>
      <c r="AA124" t="str">
        <f t="array" ref="AA124">IF($Q124="","",_xlfn.TEXTJOIN(", ",TRUE,IF(OUT!$G126:$AK126="HE",OUT!$G$4:$AK$4,"")))</f>
        <v/>
      </c>
      <c r="AB124" t="str">
        <f t="array" ref="AB124">IF($Q124="","",_xlfn.TEXTJOIN(", ",TRUE,IF(NOV!$G126:$AK126="HE",NOV!$G$4:$AK$4,"")))</f>
        <v/>
      </c>
      <c r="AC124" t="str">
        <f t="array" ref="AC124">IF($Q124="","",_xlfn.TEXTJOIN(", ",TRUE,IF(DEZ!$G126:$AK126="HE",DEZ!$G$4:$AK$4,"")))</f>
        <v/>
      </c>
      <c r="AD124" t="str">
        <f>IF($Q124="","",SUM(JAN:DEZ!C126))</f>
        <v/>
      </c>
      <c r="AF124" t="str">
        <f>IF(AND($Q124&lt;&gt;"",N($AD124)&gt;0),COUNT($AF$3:AF123)+1,"")</f>
        <v/>
      </c>
    </row>
    <row r="125" spans="1:32" x14ac:dyDescent="0.25">
      <c r="A125" s="36" t="str">
        <f>IFERROR(INDEX($Q$4:$Q$153,MATCH(ROWS($A$4:A125),$AF$4:$AF$153,0)),"")</f>
        <v/>
      </c>
      <c r="B125" s="35" t="str">
        <f>IFERROR(INDEX($R$4:$R$153,MATCH(ROWS($A$4:A125),$AF$4:$AF$153,0)),"")</f>
        <v/>
      </c>
      <c r="C125" s="35" t="str">
        <f>IFERROR(INDEX($S$4:$S$153,MATCH(ROWS($A$4:A125),$AF$4:$AF$153,0)),"")</f>
        <v/>
      </c>
      <c r="D125" s="35" t="str">
        <f>IFERROR(INDEX($T$4:$T$153,MATCH(ROWS($A$4:A125),$AF$4:$AF$153,0)),"")</f>
        <v/>
      </c>
      <c r="E125" s="35" t="str">
        <f>IFERROR(INDEX($U$4:$U$153,MATCH(ROWS($A$4:A125),$AF$4:$AF$153,0)),"")</f>
        <v/>
      </c>
      <c r="F125" s="35" t="str">
        <f>IFERROR(INDEX($V$4:$V$153,MATCH(ROWS($A$4:A125),$AF$4:$AF$153,0)),"")</f>
        <v/>
      </c>
      <c r="G125" s="35" t="str">
        <f>IFERROR(INDEX($W$4:$W$153,MATCH(ROWS($A$4:A125),$AF$4:$AF$153,0)),"")</f>
        <v/>
      </c>
      <c r="H125" s="35" t="str">
        <f>IFERROR(INDEX($X$4:$X$153,MATCH(ROWS($A$4:A125),$AF$4:$AF$153,0)),"")</f>
        <v/>
      </c>
      <c r="I125" s="35" t="str">
        <f>IFERROR(INDEX($Y$4:$Y$153,MATCH(ROWS($A$4:A125),$AF$4:$AF$153,0)),"")</f>
        <v/>
      </c>
      <c r="J125" s="35" t="str">
        <f>IFERROR(INDEX($Z$4:$Z$153,MATCH(ROWS($A$4:A125),$AF$4:$AF$153,0)),"")</f>
        <v/>
      </c>
      <c r="K125" s="35" t="str">
        <f>IFERROR(INDEX($AA$4:$AA$153,MATCH(ROWS($A$4:A125),$AF$4:$AF$153,0)),"")</f>
        <v/>
      </c>
      <c r="L125" s="35" t="str">
        <f>IFERROR(INDEX($AB$4:$AB$153,MATCH(ROWS($A$4:A125),$AF$4:$AF$153,0)),"")</f>
        <v/>
      </c>
      <c r="M125" s="35" t="str">
        <f>IFERROR(INDEX($AC$4:$AC$153,MATCH(ROWS($A$4:A125),$AF$4:$AF$153,0)),"")</f>
        <v/>
      </c>
      <c r="N125" s="35" t="str">
        <f>IFERROR(INDEX($AD$4:$AD$153,MATCH(ROWS($A$4:A125),$AF$4:$AF$153,0)),"")</f>
        <v/>
      </c>
      <c r="Q125" t="str">
        <f>T(JAN!B127)</f>
        <v/>
      </c>
      <c r="R125" t="str">
        <f t="array" ref="R125">IF($Q125="","",_xlfn.TEXTJOIN(", ",TRUE,IF(JAN!$G127:$AK127="HE",JAN!$G$4:$AK$4,"")))</f>
        <v/>
      </c>
      <c r="S125" t="str">
        <f t="array" ref="S125">IF($Q125="","",_xlfn.TEXTJOIN(", ",TRUE,IF(FEV!$G127:$AK127="HE",FEV!$G$4:$AK$4,"")))</f>
        <v/>
      </c>
      <c r="T125" t="str">
        <f t="array" ref="T125">IF($Q125="","",_xlfn.TEXTJOIN(", ",TRUE,IF(MAR!$G127:$AK127="HE",MAR!$G$4:$AK$4,"")))</f>
        <v/>
      </c>
      <c r="U125" t="str">
        <f t="array" ref="U125">IF($Q125="","",_xlfn.TEXTJOIN(", ",TRUE,IF(ABR!$G127:$AK127="HE",ABR!$G$4:$AK$4,"")))</f>
        <v/>
      </c>
      <c r="V125" t="str">
        <f t="array" ref="V125">IF($Q125="","",_xlfn.TEXTJOIN(", ",TRUE,IF(MAI!$G127:$AK127="HE",MAI!$G$4:$AK$4,"")))</f>
        <v/>
      </c>
      <c r="W125" t="str">
        <f t="array" ref="W125">IF($Q125="","",_xlfn.TEXTJOIN(", ",TRUE,IF(JUN!$G127:$AK127="HE",JUN!$G$4:$AK$4,"")))</f>
        <v/>
      </c>
      <c r="X125" t="str">
        <f t="array" ref="X125">IF($Q125="","",_xlfn.TEXTJOIN(", ",TRUE,IF(JUL!$G127:$AK127="HE",JUL!$G$4:$AK$4,"")))</f>
        <v/>
      </c>
      <c r="Y125" t="str">
        <f t="array" ref="Y125">IF($Q125="","",_xlfn.TEXTJOIN(", ",TRUE,IF(AGO!$G127:$AK127="HE",AGO!$G$4:$AK$4,"")))</f>
        <v/>
      </c>
      <c r="Z125" t="str">
        <f t="array" ref="Z125">IF($Q125="","",_xlfn.TEXTJOIN(", ",TRUE,IF(SET!$G127:$AK127="HE",SET!$G$4:$AK$4,"")))</f>
        <v/>
      </c>
      <c r="AA125" t="str">
        <f t="array" ref="AA125">IF($Q125="","",_xlfn.TEXTJOIN(", ",TRUE,IF(OUT!$G127:$AK127="HE",OUT!$G$4:$AK$4,"")))</f>
        <v/>
      </c>
      <c r="AB125" t="str">
        <f t="array" ref="AB125">IF($Q125="","",_xlfn.TEXTJOIN(", ",TRUE,IF(NOV!$G127:$AK127="HE",NOV!$G$4:$AK$4,"")))</f>
        <v/>
      </c>
      <c r="AC125" t="str">
        <f t="array" ref="AC125">IF($Q125="","",_xlfn.TEXTJOIN(", ",TRUE,IF(DEZ!$G127:$AK127="HE",DEZ!$G$4:$AK$4,"")))</f>
        <v/>
      </c>
      <c r="AD125" t="str">
        <f>IF($Q125="","",SUM(JAN:DEZ!C127))</f>
        <v/>
      </c>
      <c r="AF125" t="str">
        <f>IF(AND($Q125&lt;&gt;"",N($AD125)&gt;0),COUNT($AF$3:AF124)+1,"")</f>
        <v/>
      </c>
    </row>
    <row r="126" spans="1:32" x14ac:dyDescent="0.25">
      <c r="A126" s="36" t="str">
        <f>IFERROR(INDEX($Q$4:$Q$153,MATCH(ROWS($A$4:A126),$AF$4:$AF$153,0)),"")</f>
        <v/>
      </c>
      <c r="B126" s="35" t="str">
        <f>IFERROR(INDEX($R$4:$R$153,MATCH(ROWS($A$4:A126),$AF$4:$AF$153,0)),"")</f>
        <v/>
      </c>
      <c r="C126" s="35" t="str">
        <f>IFERROR(INDEX($S$4:$S$153,MATCH(ROWS($A$4:A126),$AF$4:$AF$153,0)),"")</f>
        <v/>
      </c>
      <c r="D126" s="35" t="str">
        <f>IFERROR(INDEX($T$4:$T$153,MATCH(ROWS($A$4:A126),$AF$4:$AF$153,0)),"")</f>
        <v/>
      </c>
      <c r="E126" s="35" t="str">
        <f>IFERROR(INDEX($U$4:$U$153,MATCH(ROWS($A$4:A126),$AF$4:$AF$153,0)),"")</f>
        <v/>
      </c>
      <c r="F126" s="35" t="str">
        <f>IFERROR(INDEX($V$4:$V$153,MATCH(ROWS($A$4:A126),$AF$4:$AF$153,0)),"")</f>
        <v/>
      </c>
      <c r="G126" s="35" t="str">
        <f>IFERROR(INDEX($W$4:$W$153,MATCH(ROWS($A$4:A126),$AF$4:$AF$153,0)),"")</f>
        <v/>
      </c>
      <c r="H126" s="35" t="str">
        <f>IFERROR(INDEX($X$4:$X$153,MATCH(ROWS($A$4:A126),$AF$4:$AF$153,0)),"")</f>
        <v/>
      </c>
      <c r="I126" s="35" t="str">
        <f>IFERROR(INDEX($Y$4:$Y$153,MATCH(ROWS($A$4:A126),$AF$4:$AF$153,0)),"")</f>
        <v/>
      </c>
      <c r="J126" s="35" t="str">
        <f>IFERROR(INDEX($Z$4:$Z$153,MATCH(ROWS($A$4:A126),$AF$4:$AF$153,0)),"")</f>
        <v/>
      </c>
      <c r="K126" s="35" t="str">
        <f>IFERROR(INDEX($AA$4:$AA$153,MATCH(ROWS($A$4:A126),$AF$4:$AF$153,0)),"")</f>
        <v/>
      </c>
      <c r="L126" s="35" t="str">
        <f>IFERROR(INDEX($AB$4:$AB$153,MATCH(ROWS($A$4:A126),$AF$4:$AF$153,0)),"")</f>
        <v/>
      </c>
      <c r="M126" s="35" t="str">
        <f>IFERROR(INDEX($AC$4:$AC$153,MATCH(ROWS($A$4:A126),$AF$4:$AF$153,0)),"")</f>
        <v/>
      </c>
      <c r="N126" s="35" t="str">
        <f>IFERROR(INDEX($AD$4:$AD$153,MATCH(ROWS($A$4:A126),$AF$4:$AF$153,0)),"")</f>
        <v/>
      </c>
      <c r="Q126" t="str">
        <f>T(JAN!B128)</f>
        <v/>
      </c>
      <c r="R126" t="str">
        <f t="array" ref="R126">IF($Q126="","",_xlfn.TEXTJOIN(", ",TRUE,IF(JAN!$G128:$AK128="HE",JAN!$G$4:$AK$4,"")))</f>
        <v/>
      </c>
      <c r="S126" t="str">
        <f t="array" ref="S126">IF($Q126="","",_xlfn.TEXTJOIN(", ",TRUE,IF(FEV!$G128:$AK128="HE",FEV!$G$4:$AK$4,"")))</f>
        <v/>
      </c>
      <c r="T126" t="str">
        <f t="array" ref="T126">IF($Q126="","",_xlfn.TEXTJOIN(", ",TRUE,IF(MAR!$G128:$AK128="HE",MAR!$G$4:$AK$4,"")))</f>
        <v/>
      </c>
      <c r="U126" t="str">
        <f t="array" ref="U126">IF($Q126="","",_xlfn.TEXTJOIN(", ",TRUE,IF(ABR!$G128:$AK128="HE",ABR!$G$4:$AK$4,"")))</f>
        <v/>
      </c>
      <c r="V126" t="str">
        <f t="array" ref="V126">IF($Q126="","",_xlfn.TEXTJOIN(", ",TRUE,IF(MAI!$G128:$AK128="HE",MAI!$G$4:$AK$4,"")))</f>
        <v/>
      </c>
      <c r="W126" t="str">
        <f t="array" ref="W126">IF($Q126="","",_xlfn.TEXTJOIN(", ",TRUE,IF(JUN!$G128:$AK128="HE",JUN!$G$4:$AK$4,"")))</f>
        <v/>
      </c>
      <c r="X126" t="str">
        <f t="array" ref="X126">IF($Q126="","",_xlfn.TEXTJOIN(", ",TRUE,IF(JUL!$G128:$AK128="HE",JUL!$G$4:$AK$4,"")))</f>
        <v/>
      </c>
      <c r="Y126" t="str">
        <f t="array" ref="Y126">IF($Q126="","",_xlfn.TEXTJOIN(", ",TRUE,IF(AGO!$G128:$AK128="HE",AGO!$G$4:$AK$4,"")))</f>
        <v/>
      </c>
      <c r="Z126" t="str">
        <f t="array" ref="Z126">IF($Q126="","",_xlfn.TEXTJOIN(", ",TRUE,IF(SET!$G128:$AK128="HE",SET!$G$4:$AK$4,"")))</f>
        <v/>
      </c>
      <c r="AA126" t="str">
        <f t="array" ref="AA126">IF($Q126="","",_xlfn.TEXTJOIN(", ",TRUE,IF(OUT!$G128:$AK128="HE",OUT!$G$4:$AK$4,"")))</f>
        <v/>
      </c>
      <c r="AB126" t="str">
        <f t="array" ref="AB126">IF($Q126="","",_xlfn.TEXTJOIN(", ",TRUE,IF(NOV!$G128:$AK128="HE",NOV!$G$4:$AK$4,"")))</f>
        <v/>
      </c>
      <c r="AC126" t="str">
        <f t="array" ref="AC126">IF($Q126="","",_xlfn.TEXTJOIN(", ",TRUE,IF(DEZ!$G128:$AK128="HE",DEZ!$G$4:$AK$4,"")))</f>
        <v/>
      </c>
      <c r="AD126" t="str">
        <f>IF($Q126="","",SUM(JAN:DEZ!C128))</f>
        <v/>
      </c>
      <c r="AF126" t="str">
        <f>IF(AND($Q126&lt;&gt;"",N($AD126)&gt;0),COUNT($AF$3:AF125)+1,"")</f>
        <v/>
      </c>
    </row>
    <row r="127" spans="1:32" x14ac:dyDescent="0.25">
      <c r="A127" s="36" t="str">
        <f>IFERROR(INDEX($Q$4:$Q$153,MATCH(ROWS($A$4:A127),$AF$4:$AF$153,0)),"")</f>
        <v/>
      </c>
      <c r="B127" s="35" t="str">
        <f>IFERROR(INDEX($R$4:$R$153,MATCH(ROWS($A$4:A127),$AF$4:$AF$153,0)),"")</f>
        <v/>
      </c>
      <c r="C127" s="35" t="str">
        <f>IFERROR(INDEX($S$4:$S$153,MATCH(ROWS($A$4:A127),$AF$4:$AF$153,0)),"")</f>
        <v/>
      </c>
      <c r="D127" s="35" t="str">
        <f>IFERROR(INDEX($T$4:$T$153,MATCH(ROWS($A$4:A127),$AF$4:$AF$153,0)),"")</f>
        <v/>
      </c>
      <c r="E127" s="35" t="str">
        <f>IFERROR(INDEX($U$4:$U$153,MATCH(ROWS($A$4:A127),$AF$4:$AF$153,0)),"")</f>
        <v/>
      </c>
      <c r="F127" s="35" t="str">
        <f>IFERROR(INDEX($V$4:$V$153,MATCH(ROWS($A$4:A127),$AF$4:$AF$153,0)),"")</f>
        <v/>
      </c>
      <c r="G127" s="35" t="str">
        <f>IFERROR(INDEX($W$4:$W$153,MATCH(ROWS($A$4:A127),$AF$4:$AF$153,0)),"")</f>
        <v/>
      </c>
      <c r="H127" s="35" t="str">
        <f>IFERROR(INDEX($X$4:$X$153,MATCH(ROWS($A$4:A127),$AF$4:$AF$153,0)),"")</f>
        <v/>
      </c>
      <c r="I127" s="35" t="str">
        <f>IFERROR(INDEX($Y$4:$Y$153,MATCH(ROWS($A$4:A127),$AF$4:$AF$153,0)),"")</f>
        <v/>
      </c>
      <c r="J127" s="35" t="str">
        <f>IFERROR(INDEX($Z$4:$Z$153,MATCH(ROWS($A$4:A127),$AF$4:$AF$153,0)),"")</f>
        <v/>
      </c>
      <c r="K127" s="35" t="str">
        <f>IFERROR(INDEX($AA$4:$AA$153,MATCH(ROWS($A$4:A127),$AF$4:$AF$153,0)),"")</f>
        <v/>
      </c>
      <c r="L127" s="35" t="str">
        <f>IFERROR(INDEX($AB$4:$AB$153,MATCH(ROWS($A$4:A127),$AF$4:$AF$153,0)),"")</f>
        <v/>
      </c>
      <c r="M127" s="35" t="str">
        <f>IFERROR(INDEX($AC$4:$AC$153,MATCH(ROWS($A$4:A127),$AF$4:$AF$153,0)),"")</f>
        <v/>
      </c>
      <c r="N127" s="35" t="str">
        <f>IFERROR(INDEX($AD$4:$AD$153,MATCH(ROWS($A$4:A127),$AF$4:$AF$153,0)),"")</f>
        <v/>
      </c>
      <c r="Q127" t="str">
        <f>T(JAN!B129)</f>
        <v/>
      </c>
      <c r="R127" t="str">
        <f t="array" ref="R127">IF($Q127="","",_xlfn.TEXTJOIN(", ",TRUE,IF(JAN!$G129:$AK129="HE",JAN!$G$4:$AK$4,"")))</f>
        <v/>
      </c>
      <c r="S127" t="str">
        <f t="array" ref="S127">IF($Q127="","",_xlfn.TEXTJOIN(", ",TRUE,IF(FEV!$G129:$AK129="HE",FEV!$G$4:$AK$4,"")))</f>
        <v/>
      </c>
      <c r="T127" t="str">
        <f t="array" ref="T127">IF($Q127="","",_xlfn.TEXTJOIN(", ",TRUE,IF(MAR!$G129:$AK129="HE",MAR!$G$4:$AK$4,"")))</f>
        <v/>
      </c>
      <c r="U127" t="str">
        <f t="array" ref="U127">IF($Q127="","",_xlfn.TEXTJOIN(", ",TRUE,IF(ABR!$G129:$AK129="HE",ABR!$G$4:$AK$4,"")))</f>
        <v/>
      </c>
      <c r="V127" t="str">
        <f t="array" ref="V127">IF($Q127="","",_xlfn.TEXTJOIN(", ",TRUE,IF(MAI!$G129:$AK129="HE",MAI!$G$4:$AK$4,"")))</f>
        <v/>
      </c>
      <c r="W127" t="str">
        <f t="array" ref="W127">IF($Q127="","",_xlfn.TEXTJOIN(", ",TRUE,IF(JUN!$G129:$AK129="HE",JUN!$G$4:$AK$4,"")))</f>
        <v/>
      </c>
      <c r="X127" t="str">
        <f t="array" ref="X127">IF($Q127="","",_xlfn.TEXTJOIN(", ",TRUE,IF(JUL!$G129:$AK129="HE",JUL!$G$4:$AK$4,"")))</f>
        <v/>
      </c>
      <c r="Y127" t="str">
        <f t="array" ref="Y127">IF($Q127="","",_xlfn.TEXTJOIN(", ",TRUE,IF(AGO!$G129:$AK129="HE",AGO!$G$4:$AK$4,"")))</f>
        <v/>
      </c>
      <c r="Z127" t="str">
        <f t="array" ref="Z127">IF($Q127="","",_xlfn.TEXTJOIN(", ",TRUE,IF(SET!$G129:$AK129="HE",SET!$G$4:$AK$4,"")))</f>
        <v/>
      </c>
      <c r="AA127" t="str">
        <f t="array" ref="AA127">IF($Q127="","",_xlfn.TEXTJOIN(", ",TRUE,IF(OUT!$G129:$AK129="HE",OUT!$G$4:$AK$4,"")))</f>
        <v/>
      </c>
      <c r="AB127" t="str">
        <f t="array" ref="AB127">IF($Q127="","",_xlfn.TEXTJOIN(", ",TRUE,IF(NOV!$G129:$AK129="HE",NOV!$G$4:$AK$4,"")))</f>
        <v/>
      </c>
      <c r="AC127" t="str">
        <f t="array" ref="AC127">IF($Q127="","",_xlfn.TEXTJOIN(", ",TRUE,IF(DEZ!$G129:$AK129="HE",DEZ!$G$4:$AK$4,"")))</f>
        <v/>
      </c>
      <c r="AD127" t="str">
        <f>IF($Q127="","",SUM(JAN:DEZ!C129))</f>
        <v/>
      </c>
      <c r="AF127" t="str">
        <f>IF(AND($Q127&lt;&gt;"",N($AD127)&gt;0),COUNT($AF$3:AF126)+1,"")</f>
        <v/>
      </c>
    </row>
    <row r="128" spans="1:32" x14ac:dyDescent="0.25">
      <c r="A128" s="36" t="str">
        <f>IFERROR(INDEX($Q$4:$Q$153,MATCH(ROWS($A$4:A128),$AF$4:$AF$153,0)),"")</f>
        <v/>
      </c>
      <c r="B128" s="35" t="str">
        <f>IFERROR(INDEX($R$4:$R$153,MATCH(ROWS($A$4:A128),$AF$4:$AF$153,0)),"")</f>
        <v/>
      </c>
      <c r="C128" s="35" t="str">
        <f>IFERROR(INDEX($S$4:$S$153,MATCH(ROWS($A$4:A128),$AF$4:$AF$153,0)),"")</f>
        <v/>
      </c>
      <c r="D128" s="35" t="str">
        <f>IFERROR(INDEX($T$4:$T$153,MATCH(ROWS($A$4:A128),$AF$4:$AF$153,0)),"")</f>
        <v/>
      </c>
      <c r="E128" s="35" t="str">
        <f>IFERROR(INDEX($U$4:$U$153,MATCH(ROWS($A$4:A128),$AF$4:$AF$153,0)),"")</f>
        <v/>
      </c>
      <c r="F128" s="35" t="str">
        <f>IFERROR(INDEX($V$4:$V$153,MATCH(ROWS($A$4:A128),$AF$4:$AF$153,0)),"")</f>
        <v/>
      </c>
      <c r="G128" s="35" t="str">
        <f>IFERROR(INDEX($W$4:$W$153,MATCH(ROWS($A$4:A128),$AF$4:$AF$153,0)),"")</f>
        <v/>
      </c>
      <c r="H128" s="35" t="str">
        <f>IFERROR(INDEX($X$4:$X$153,MATCH(ROWS($A$4:A128),$AF$4:$AF$153,0)),"")</f>
        <v/>
      </c>
      <c r="I128" s="35" t="str">
        <f>IFERROR(INDEX($Y$4:$Y$153,MATCH(ROWS($A$4:A128),$AF$4:$AF$153,0)),"")</f>
        <v/>
      </c>
      <c r="J128" s="35" t="str">
        <f>IFERROR(INDEX($Z$4:$Z$153,MATCH(ROWS($A$4:A128),$AF$4:$AF$153,0)),"")</f>
        <v/>
      </c>
      <c r="K128" s="35" t="str">
        <f>IFERROR(INDEX($AA$4:$AA$153,MATCH(ROWS($A$4:A128),$AF$4:$AF$153,0)),"")</f>
        <v/>
      </c>
      <c r="L128" s="35" t="str">
        <f>IFERROR(INDEX($AB$4:$AB$153,MATCH(ROWS($A$4:A128),$AF$4:$AF$153,0)),"")</f>
        <v/>
      </c>
      <c r="M128" s="35" t="str">
        <f>IFERROR(INDEX($AC$4:$AC$153,MATCH(ROWS($A$4:A128),$AF$4:$AF$153,0)),"")</f>
        <v/>
      </c>
      <c r="N128" s="35" t="str">
        <f>IFERROR(INDEX($AD$4:$AD$153,MATCH(ROWS($A$4:A128),$AF$4:$AF$153,0)),"")</f>
        <v/>
      </c>
      <c r="Q128" t="str">
        <f>T(JAN!B130)</f>
        <v/>
      </c>
      <c r="R128" t="str">
        <f t="array" ref="R128">IF($Q128="","",_xlfn.TEXTJOIN(", ",TRUE,IF(JAN!$G130:$AK130="HE",JAN!$G$4:$AK$4,"")))</f>
        <v/>
      </c>
      <c r="S128" t="str">
        <f t="array" ref="S128">IF($Q128="","",_xlfn.TEXTJOIN(", ",TRUE,IF(FEV!$G130:$AK130="HE",FEV!$G$4:$AK$4,"")))</f>
        <v/>
      </c>
      <c r="T128" t="str">
        <f t="array" ref="T128">IF($Q128="","",_xlfn.TEXTJOIN(", ",TRUE,IF(MAR!$G130:$AK130="HE",MAR!$G$4:$AK$4,"")))</f>
        <v/>
      </c>
      <c r="U128" t="str">
        <f t="array" ref="U128">IF($Q128="","",_xlfn.TEXTJOIN(", ",TRUE,IF(ABR!$G130:$AK130="HE",ABR!$G$4:$AK$4,"")))</f>
        <v/>
      </c>
      <c r="V128" t="str">
        <f t="array" ref="V128">IF($Q128="","",_xlfn.TEXTJOIN(", ",TRUE,IF(MAI!$G130:$AK130="HE",MAI!$G$4:$AK$4,"")))</f>
        <v/>
      </c>
      <c r="W128" t="str">
        <f t="array" ref="W128">IF($Q128="","",_xlfn.TEXTJOIN(", ",TRUE,IF(JUN!$G130:$AK130="HE",JUN!$G$4:$AK$4,"")))</f>
        <v/>
      </c>
      <c r="X128" t="str">
        <f t="array" ref="X128">IF($Q128="","",_xlfn.TEXTJOIN(", ",TRUE,IF(JUL!$G130:$AK130="HE",JUL!$G$4:$AK$4,"")))</f>
        <v/>
      </c>
      <c r="Y128" t="str">
        <f t="array" ref="Y128">IF($Q128="","",_xlfn.TEXTJOIN(", ",TRUE,IF(AGO!$G130:$AK130="HE",AGO!$G$4:$AK$4,"")))</f>
        <v/>
      </c>
      <c r="Z128" t="str">
        <f t="array" ref="Z128">IF($Q128="","",_xlfn.TEXTJOIN(", ",TRUE,IF(SET!$G130:$AK130="HE",SET!$G$4:$AK$4,"")))</f>
        <v/>
      </c>
      <c r="AA128" t="str">
        <f t="array" ref="AA128">IF($Q128="","",_xlfn.TEXTJOIN(", ",TRUE,IF(OUT!$G130:$AK130="HE",OUT!$G$4:$AK$4,"")))</f>
        <v/>
      </c>
      <c r="AB128" t="str">
        <f t="array" ref="AB128">IF($Q128="","",_xlfn.TEXTJOIN(", ",TRUE,IF(NOV!$G130:$AK130="HE",NOV!$G$4:$AK$4,"")))</f>
        <v/>
      </c>
      <c r="AC128" t="str">
        <f t="array" ref="AC128">IF($Q128="","",_xlfn.TEXTJOIN(", ",TRUE,IF(DEZ!$G130:$AK130="HE",DEZ!$G$4:$AK$4,"")))</f>
        <v/>
      </c>
      <c r="AD128" t="str">
        <f>IF($Q128="","",SUM(JAN:DEZ!C130))</f>
        <v/>
      </c>
      <c r="AF128" t="str">
        <f>IF(AND($Q128&lt;&gt;"",N($AD128)&gt;0),COUNT($AF$3:AF127)+1,"")</f>
        <v/>
      </c>
    </row>
    <row r="129" spans="1:32" x14ac:dyDescent="0.25">
      <c r="A129" s="36" t="str">
        <f>IFERROR(INDEX($Q$4:$Q$153,MATCH(ROWS($A$4:A129),$AF$4:$AF$153,0)),"")</f>
        <v/>
      </c>
      <c r="B129" s="35" t="str">
        <f>IFERROR(INDEX($R$4:$R$153,MATCH(ROWS($A$4:A129),$AF$4:$AF$153,0)),"")</f>
        <v/>
      </c>
      <c r="C129" s="35" t="str">
        <f>IFERROR(INDEX($S$4:$S$153,MATCH(ROWS($A$4:A129),$AF$4:$AF$153,0)),"")</f>
        <v/>
      </c>
      <c r="D129" s="35" t="str">
        <f>IFERROR(INDEX($T$4:$T$153,MATCH(ROWS($A$4:A129),$AF$4:$AF$153,0)),"")</f>
        <v/>
      </c>
      <c r="E129" s="35" t="str">
        <f>IFERROR(INDEX($U$4:$U$153,MATCH(ROWS($A$4:A129),$AF$4:$AF$153,0)),"")</f>
        <v/>
      </c>
      <c r="F129" s="35" t="str">
        <f>IFERROR(INDEX($V$4:$V$153,MATCH(ROWS($A$4:A129),$AF$4:$AF$153,0)),"")</f>
        <v/>
      </c>
      <c r="G129" s="35" t="str">
        <f>IFERROR(INDEX($W$4:$W$153,MATCH(ROWS($A$4:A129),$AF$4:$AF$153,0)),"")</f>
        <v/>
      </c>
      <c r="H129" s="35" t="str">
        <f>IFERROR(INDEX($X$4:$X$153,MATCH(ROWS($A$4:A129),$AF$4:$AF$153,0)),"")</f>
        <v/>
      </c>
      <c r="I129" s="35" t="str">
        <f>IFERROR(INDEX($Y$4:$Y$153,MATCH(ROWS($A$4:A129),$AF$4:$AF$153,0)),"")</f>
        <v/>
      </c>
      <c r="J129" s="35" t="str">
        <f>IFERROR(INDEX($Z$4:$Z$153,MATCH(ROWS($A$4:A129),$AF$4:$AF$153,0)),"")</f>
        <v/>
      </c>
      <c r="K129" s="35" t="str">
        <f>IFERROR(INDEX($AA$4:$AA$153,MATCH(ROWS($A$4:A129),$AF$4:$AF$153,0)),"")</f>
        <v/>
      </c>
      <c r="L129" s="35" t="str">
        <f>IFERROR(INDEX($AB$4:$AB$153,MATCH(ROWS($A$4:A129),$AF$4:$AF$153,0)),"")</f>
        <v/>
      </c>
      <c r="M129" s="35" t="str">
        <f>IFERROR(INDEX($AC$4:$AC$153,MATCH(ROWS($A$4:A129),$AF$4:$AF$153,0)),"")</f>
        <v/>
      </c>
      <c r="N129" s="35" t="str">
        <f>IFERROR(INDEX($AD$4:$AD$153,MATCH(ROWS($A$4:A129),$AF$4:$AF$153,0)),"")</f>
        <v/>
      </c>
      <c r="Q129" t="str">
        <f>T(JAN!B131)</f>
        <v/>
      </c>
      <c r="R129" t="str">
        <f t="array" ref="R129">IF($Q129="","",_xlfn.TEXTJOIN(", ",TRUE,IF(JAN!$G131:$AK131="HE",JAN!$G$4:$AK$4,"")))</f>
        <v/>
      </c>
      <c r="S129" t="str">
        <f t="array" ref="S129">IF($Q129="","",_xlfn.TEXTJOIN(", ",TRUE,IF(FEV!$G131:$AK131="HE",FEV!$G$4:$AK$4,"")))</f>
        <v/>
      </c>
      <c r="T129" t="str">
        <f t="array" ref="T129">IF($Q129="","",_xlfn.TEXTJOIN(", ",TRUE,IF(MAR!$G131:$AK131="HE",MAR!$G$4:$AK$4,"")))</f>
        <v/>
      </c>
      <c r="U129" t="str">
        <f t="array" ref="U129">IF($Q129="","",_xlfn.TEXTJOIN(", ",TRUE,IF(ABR!$G131:$AK131="HE",ABR!$G$4:$AK$4,"")))</f>
        <v/>
      </c>
      <c r="V129" t="str">
        <f t="array" ref="V129">IF($Q129="","",_xlfn.TEXTJOIN(", ",TRUE,IF(MAI!$G131:$AK131="HE",MAI!$G$4:$AK$4,"")))</f>
        <v/>
      </c>
      <c r="W129" t="str">
        <f t="array" ref="W129">IF($Q129="","",_xlfn.TEXTJOIN(", ",TRUE,IF(JUN!$G131:$AK131="HE",JUN!$G$4:$AK$4,"")))</f>
        <v/>
      </c>
      <c r="X129" t="str">
        <f t="array" ref="X129">IF($Q129="","",_xlfn.TEXTJOIN(", ",TRUE,IF(JUL!$G131:$AK131="HE",JUL!$G$4:$AK$4,"")))</f>
        <v/>
      </c>
      <c r="Y129" t="str">
        <f t="array" ref="Y129">IF($Q129="","",_xlfn.TEXTJOIN(", ",TRUE,IF(AGO!$G131:$AK131="HE",AGO!$G$4:$AK$4,"")))</f>
        <v/>
      </c>
      <c r="Z129" t="str">
        <f t="array" ref="Z129">IF($Q129="","",_xlfn.TEXTJOIN(", ",TRUE,IF(SET!$G131:$AK131="HE",SET!$G$4:$AK$4,"")))</f>
        <v/>
      </c>
      <c r="AA129" t="str">
        <f t="array" ref="AA129">IF($Q129="","",_xlfn.TEXTJOIN(", ",TRUE,IF(OUT!$G131:$AK131="HE",OUT!$G$4:$AK$4,"")))</f>
        <v/>
      </c>
      <c r="AB129" t="str">
        <f t="array" ref="AB129">IF($Q129="","",_xlfn.TEXTJOIN(", ",TRUE,IF(NOV!$G131:$AK131="HE",NOV!$G$4:$AK$4,"")))</f>
        <v/>
      </c>
      <c r="AC129" t="str">
        <f t="array" ref="AC129">IF($Q129="","",_xlfn.TEXTJOIN(", ",TRUE,IF(DEZ!$G131:$AK131="HE",DEZ!$G$4:$AK$4,"")))</f>
        <v/>
      </c>
      <c r="AD129" t="str">
        <f>IF($Q129="","",SUM(JAN:DEZ!C131))</f>
        <v/>
      </c>
      <c r="AF129" t="str">
        <f>IF(AND($Q129&lt;&gt;"",N($AD129)&gt;0),COUNT($AF$3:AF128)+1,"")</f>
        <v/>
      </c>
    </row>
    <row r="130" spans="1:32" x14ac:dyDescent="0.25">
      <c r="A130" s="36" t="str">
        <f>IFERROR(INDEX($Q$4:$Q$153,MATCH(ROWS($A$4:A130),$AF$4:$AF$153,0)),"")</f>
        <v/>
      </c>
      <c r="B130" s="35" t="str">
        <f>IFERROR(INDEX($R$4:$R$153,MATCH(ROWS($A$4:A130),$AF$4:$AF$153,0)),"")</f>
        <v/>
      </c>
      <c r="C130" s="35" t="str">
        <f>IFERROR(INDEX($S$4:$S$153,MATCH(ROWS($A$4:A130),$AF$4:$AF$153,0)),"")</f>
        <v/>
      </c>
      <c r="D130" s="35" t="str">
        <f>IFERROR(INDEX($T$4:$T$153,MATCH(ROWS($A$4:A130),$AF$4:$AF$153,0)),"")</f>
        <v/>
      </c>
      <c r="E130" s="35" t="str">
        <f>IFERROR(INDEX($U$4:$U$153,MATCH(ROWS($A$4:A130),$AF$4:$AF$153,0)),"")</f>
        <v/>
      </c>
      <c r="F130" s="35" t="str">
        <f>IFERROR(INDEX($V$4:$V$153,MATCH(ROWS($A$4:A130),$AF$4:$AF$153,0)),"")</f>
        <v/>
      </c>
      <c r="G130" s="35" t="str">
        <f>IFERROR(INDEX($W$4:$W$153,MATCH(ROWS($A$4:A130),$AF$4:$AF$153,0)),"")</f>
        <v/>
      </c>
      <c r="H130" s="35" t="str">
        <f>IFERROR(INDEX($X$4:$X$153,MATCH(ROWS($A$4:A130),$AF$4:$AF$153,0)),"")</f>
        <v/>
      </c>
      <c r="I130" s="35" t="str">
        <f>IFERROR(INDEX($Y$4:$Y$153,MATCH(ROWS($A$4:A130),$AF$4:$AF$153,0)),"")</f>
        <v/>
      </c>
      <c r="J130" s="35" t="str">
        <f>IFERROR(INDEX($Z$4:$Z$153,MATCH(ROWS($A$4:A130),$AF$4:$AF$153,0)),"")</f>
        <v/>
      </c>
      <c r="K130" s="35" t="str">
        <f>IFERROR(INDEX($AA$4:$AA$153,MATCH(ROWS($A$4:A130),$AF$4:$AF$153,0)),"")</f>
        <v/>
      </c>
      <c r="L130" s="35" t="str">
        <f>IFERROR(INDEX($AB$4:$AB$153,MATCH(ROWS($A$4:A130),$AF$4:$AF$153,0)),"")</f>
        <v/>
      </c>
      <c r="M130" s="35" t="str">
        <f>IFERROR(INDEX($AC$4:$AC$153,MATCH(ROWS($A$4:A130),$AF$4:$AF$153,0)),"")</f>
        <v/>
      </c>
      <c r="N130" s="35" t="str">
        <f>IFERROR(INDEX($AD$4:$AD$153,MATCH(ROWS($A$4:A130),$AF$4:$AF$153,0)),"")</f>
        <v/>
      </c>
      <c r="Q130" t="str">
        <f>T(JAN!B132)</f>
        <v/>
      </c>
      <c r="R130" t="str">
        <f t="array" ref="R130">IF($Q130="","",_xlfn.TEXTJOIN(", ",TRUE,IF(JAN!$G132:$AK132="HE",JAN!$G$4:$AK$4,"")))</f>
        <v/>
      </c>
      <c r="S130" t="str">
        <f t="array" ref="S130">IF($Q130="","",_xlfn.TEXTJOIN(", ",TRUE,IF(FEV!$G132:$AK132="HE",FEV!$G$4:$AK$4,"")))</f>
        <v/>
      </c>
      <c r="T130" t="str">
        <f t="array" ref="T130">IF($Q130="","",_xlfn.TEXTJOIN(", ",TRUE,IF(MAR!$G132:$AK132="HE",MAR!$G$4:$AK$4,"")))</f>
        <v/>
      </c>
      <c r="U130" t="str">
        <f t="array" ref="U130">IF($Q130="","",_xlfn.TEXTJOIN(", ",TRUE,IF(ABR!$G132:$AK132="HE",ABR!$G$4:$AK$4,"")))</f>
        <v/>
      </c>
      <c r="V130" t="str">
        <f t="array" ref="V130">IF($Q130="","",_xlfn.TEXTJOIN(", ",TRUE,IF(MAI!$G132:$AK132="HE",MAI!$G$4:$AK$4,"")))</f>
        <v/>
      </c>
      <c r="W130" t="str">
        <f t="array" ref="W130">IF($Q130="","",_xlfn.TEXTJOIN(", ",TRUE,IF(JUN!$G132:$AK132="HE",JUN!$G$4:$AK$4,"")))</f>
        <v/>
      </c>
      <c r="X130" t="str">
        <f t="array" ref="X130">IF($Q130="","",_xlfn.TEXTJOIN(", ",TRUE,IF(JUL!$G132:$AK132="HE",JUL!$G$4:$AK$4,"")))</f>
        <v/>
      </c>
      <c r="Y130" t="str">
        <f t="array" ref="Y130">IF($Q130="","",_xlfn.TEXTJOIN(", ",TRUE,IF(AGO!$G132:$AK132="HE",AGO!$G$4:$AK$4,"")))</f>
        <v/>
      </c>
      <c r="Z130" t="str">
        <f t="array" ref="Z130">IF($Q130="","",_xlfn.TEXTJOIN(", ",TRUE,IF(SET!$G132:$AK132="HE",SET!$G$4:$AK$4,"")))</f>
        <v/>
      </c>
      <c r="AA130" t="str">
        <f t="array" ref="AA130">IF($Q130="","",_xlfn.TEXTJOIN(", ",TRUE,IF(OUT!$G132:$AK132="HE",OUT!$G$4:$AK$4,"")))</f>
        <v/>
      </c>
      <c r="AB130" t="str">
        <f t="array" ref="AB130">IF($Q130="","",_xlfn.TEXTJOIN(", ",TRUE,IF(NOV!$G132:$AK132="HE",NOV!$G$4:$AK$4,"")))</f>
        <v/>
      </c>
      <c r="AC130" t="str">
        <f t="array" ref="AC130">IF($Q130="","",_xlfn.TEXTJOIN(", ",TRUE,IF(DEZ!$G132:$AK132="HE",DEZ!$G$4:$AK$4,"")))</f>
        <v/>
      </c>
      <c r="AD130" t="str">
        <f>IF($Q130="","",SUM(JAN:DEZ!C132))</f>
        <v/>
      </c>
      <c r="AF130" t="str">
        <f>IF(AND($Q130&lt;&gt;"",N($AD130)&gt;0),COUNT($AF$3:AF129)+1,"")</f>
        <v/>
      </c>
    </row>
    <row r="131" spans="1:32" x14ac:dyDescent="0.25">
      <c r="A131" s="36" t="str">
        <f>IFERROR(INDEX($Q$4:$Q$153,MATCH(ROWS($A$4:A131),$AF$4:$AF$153,0)),"")</f>
        <v/>
      </c>
      <c r="B131" s="35" t="str">
        <f>IFERROR(INDEX($R$4:$R$153,MATCH(ROWS($A$4:A131),$AF$4:$AF$153,0)),"")</f>
        <v/>
      </c>
      <c r="C131" s="35" t="str">
        <f>IFERROR(INDEX($S$4:$S$153,MATCH(ROWS($A$4:A131),$AF$4:$AF$153,0)),"")</f>
        <v/>
      </c>
      <c r="D131" s="35" t="str">
        <f>IFERROR(INDEX($T$4:$T$153,MATCH(ROWS($A$4:A131),$AF$4:$AF$153,0)),"")</f>
        <v/>
      </c>
      <c r="E131" s="35" t="str">
        <f>IFERROR(INDEX($U$4:$U$153,MATCH(ROWS($A$4:A131),$AF$4:$AF$153,0)),"")</f>
        <v/>
      </c>
      <c r="F131" s="35" t="str">
        <f>IFERROR(INDEX($V$4:$V$153,MATCH(ROWS($A$4:A131),$AF$4:$AF$153,0)),"")</f>
        <v/>
      </c>
      <c r="G131" s="35" t="str">
        <f>IFERROR(INDEX($W$4:$W$153,MATCH(ROWS($A$4:A131),$AF$4:$AF$153,0)),"")</f>
        <v/>
      </c>
      <c r="H131" s="35" t="str">
        <f>IFERROR(INDEX($X$4:$X$153,MATCH(ROWS($A$4:A131),$AF$4:$AF$153,0)),"")</f>
        <v/>
      </c>
      <c r="I131" s="35" t="str">
        <f>IFERROR(INDEX($Y$4:$Y$153,MATCH(ROWS($A$4:A131),$AF$4:$AF$153,0)),"")</f>
        <v/>
      </c>
      <c r="J131" s="35" t="str">
        <f>IFERROR(INDEX($Z$4:$Z$153,MATCH(ROWS($A$4:A131),$AF$4:$AF$153,0)),"")</f>
        <v/>
      </c>
      <c r="K131" s="35" t="str">
        <f>IFERROR(INDEX($AA$4:$AA$153,MATCH(ROWS($A$4:A131),$AF$4:$AF$153,0)),"")</f>
        <v/>
      </c>
      <c r="L131" s="35" t="str">
        <f>IFERROR(INDEX($AB$4:$AB$153,MATCH(ROWS($A$4:A131),$AF$4:$AF$153,0)),"")</f>
        <v/>
      </c>
      <c r="M131" s="35" t="str">
        <f>IFERROR(INDEX($AC$4:$AC$153,MATCH(ROWS($A$4:A131),$AF$4:$AF$153,0)),"")</f>
        <v/>
      </c>
      <c r="N131" s="35" t="str">
        <f>IFERROR(INDEX($AD$4:$AD$153,MATCH(ROWS($A$4:A131),$AF$4:$AF$153,0)),"")</f>
        <v/>
      </c>
      <c r="Q131" t="str">
        <f>T(JAN!B133)</f>
        <v/>
      </c>
      <c r="R131" t="str">
        <f t="array" ref="R131">IF($Q131="","",_xlfn.TEXTJOIN(", ",TRUE,IF(JAN!$G133:$AK133="HE",JAN!$G$4:$AK$4,"")))</f>
        <v/>
      </c>
      <c r="S131" t="str">
        <f t="array" ref="S131">IF($Q131="","",_xlfn.TEXTJOIN(", ",TRUE,IF(FEV!$G133:$AK133="HE",FEV!$G$4:$AK$4,"")))</f>
        <v/>
      </c>
      <c r="T131" t="str">
        <f t="array" ref="T131">IF($Q131="","",_xlfn.TEXTJOIN(", ",TRUE,IF(MAR!$G133:$AK133="HE",MAR!$G$4:$AK$4,"")))</f>
        <v/>
      </c>
      <c r="U131" t="str">
        <f t="array" ref="U131">IF($Q131="","",_xlfn.TEXTJOIN(", ",TRUE,IF(ABR!$G133:$AK133="HE",ABR!$G$4:$AK$4,"")))</f>
        <v/>
      </c>
      <c r="V131" t="str">
        <f t="array" ref="V131">IF($Q131="","",_xlfn.TEXTJOIN(", ",TRUE,IF(MAI!$G133:$AK133="HE",MAI!$G$4:$AK$4,"")))</f>
        <v/>
      </c>
      <c r="W131" t="str">
        <f t="array" ref="W131">IF($Q131="","",_xlfn.TEXTJOIN(", ",TRUE,IF(JUN!$G133:$AK133="HE",JUN!$G$4:$AK$4,"")))</f>
        <v/>
      </c>
      <c r="X131" t="str">
        <f t="array" ref="X131">IF($Q131="","",_xlfn.TEXTJOIN(", ",TRUE,IF(JUL!$G133:$AK133="HE",JUL!$G$4:$AK$4,"")))</f>
        <v/>
      </c>
      <c r="Y131" t="str">
        <f t="array" ref="Y131">IF($Q131="","",_xlfn.TEXTJOIN(", ",TRUE,IF(AGO!$G133:$AK133="HE",AGO!$G$4:$AK$4,"")))</f>
        <v/>
      </c>
      <c r="Z131" t="str">
        <f t="array" ref="Z131">IF($Q131="","",_xlfn.TEXTJOIN(", ",TRUE,IF(SET!$G133:$AK133="HE",SET!$G$4:$AK$4,"")))</f>
        <v/>
      </c>
      <c r="AA131" t="str">
        <f t="array" ref="AA131">IF($Q131="","",_xlfn.TEXTJOIN(", ",TRUE,IF(OUT!$G133:$AK133="HE",OUT!$G$4:$AK$4,"")))</f>
        <v/>
      </c>
      <c r="AB131" t="str">
        <f t="array" ref="AB131">IF($Q131="","",_xlfn.TEXTJOIN(", ",TRUE,IF(NOV!$G133:$AK133="HE",NOV!$G$4:$AK$4,"")))</f>
        <v/>
      </c>
      <c r="AC131" t="str">
        <f t="array" ref="AC131">IF($Q131="","",_xlfn.TEXTJOIN(", ",TRUE,IF(DEZ!$G133:$AK133="HE",DEZ!$G$4:$AK$4,"")))</f>
        <v/>
      </c>
      <c r="AD131" t="str">
        <f>IF($Q131="","",SUM(JAN:DEZ!C133))</f>
        <v/>
      </c>
      <c r="AF131" t="str">
        <f>IF(AND($Q131&lt;&gt;"",N($AD131)&gt;0),COUNT($AF$3:AF130)+1,"")</f>
        <v/>
      </c>
    </row>
    <row r="132" spans="1:32" x14ac:dyDescent="0.25">
      <c r="A132" s="36" t="str">
        <f>IFERROR(INDEX($Q$4:$Q$153,MATCH(ROWS($A$4:A132),$AF$4:$AF$153,0)),"")</f>
        <v/>
      </c>
      <c r="B132" s="35" t="str">
        <f>IFERROR(INDEX($R$4:$R$153,MATCH(ROWS($A$4:A132),$AF$4:$AF$153,0)),"")</f>
        <v/>
      </c>
      <c r="C132" s="35" t="str">
        <f>IFERROR(INDEX($S$4:$S$153,MATCH(ROWS($A$4:A132),$AF$4:$AF$153,0)),"")</f>
        <v/>
      </c>
      <c r="D132" s="35" t="str">
        <f>IFERROR(INDEX($T$4:$T$153,MATCH(ROWS($A$4:A132),$AF$4:$AF$153,0)),"")</f>
        <v/>
      </c>
      <c r="E132" s="35" t="str">
        <f>IFERROR(INDEX($U$4:$U$153,MATCH(ROWS($A$4:A132),$AF$4:$AF$153,0)),"")</f>
        <v/>
      </c>
      <c r="F132" s="35" t="str">
        <f>IFERROR(INDEX($V$4:$V$153,MATCH(ROWS($A$4:A132),$AF$4:$AF$153,0)),"")</f>
        <v/>
      </c>
      <c r="G132" s="35" t="str">
        <f>IFERROR(INDEX($W$4:$W$153,MATCH(ROWS($A$4:A132),$AF$4:$AF$153,0)),"")</f>
        <v/>
      </c>
      <c r="H132" s="35" t="str">
        <f>IFERROR(INDEX($X$4:$X$153,MATCH(ROWS($A$4:A132),$AF$4:$AF$153,0)),"")</f>
        <v/>
      </c>
      <c r="I132" s="35" t="str">
        <f>IFERROR(INDEX($Y$4:$Y$153,MATCH(ROWS($A$4:A132),$AF$4:$AF$153,0)),"")</f>
        <v/>
      </c>
      <c r="J132" s="35" t="str">
        <f>IFERROR(INDEX($Z$4:$Z$153,MATCH(ROWS($A$4:A132),$AF$4:$AF$153,0)),"")</f>
        <v/>
      </c>
      <c r="K132" s="35" t="str">
        <f>IFERROR(INDEX($AA$4:$AA$153,MATCH(ROWS($A$4:A132),$AF$4:$AF$153,0)),"")</f>
        <v/>
      </c>
      <c r="L132" s="35" t="str">
        <f>IFERROR(INDEX($AB$4:$AB$153,MATCH(ROWS($A$4:A132),$AF$4:$AF$153,0)),"")</f>
        <v/>
      </c>
      <c r="M132" s="35" t="str">
        <f>IFERROR(INDEX($AC$4:$AC$153,MATCH(ROWS($A$4:A132),$AF$4:$AF$153,0)),"")</f>
        <v/>
      </c>
      <c r="N132" s="35" t="str">
        <f>IFERROR(INDEX($AD$4:$AD$153,MATCH(ROWS($A$4:A132),$AF$4:$AF$153,0)),"")</f>
        <v/>
      </c>
      <c r="Q132" t="str">
        <f>T(JAN!B134)</f>
        <v/>
      </c>
      <c r="R132" t="str">
        <f t="array" ref="R132">IF($Q132="","",_xlfn.TEXTJOIN(", ",TRUE,IF(JAN!$G134:$AK134="HE",JAN!$G$4:$AK$4,"")))</f>
        <v/>
      </c>
      <c r="S132" t="str">
        <f t="array" ref="S132">IF($Q132="","",_xlfn.TEXTJOIN(", ",TRUE,IF(FEV!$G134:$AK134="HE",FEV!$G$4:$AK$4,"")))</f>
        <v/>
      </c>
      <c r="T132" t="str">
        <f t="array" ref="T132">IF($Q132="","",_xlfn.TEXTJOIN(", ",TRUE,IF(MAR!$G134:$AK134="HE",MAR!$G$4:$AK$4,"")))</f>
        <v/>
      </c>
      <c r="U132" t="str">
        <f t="array" ref="U132">IF($Q132="","",_xlfn.TEXTJOIN(", ",TRUE,IF(ABR!$G134:$AK134="HE",ABR!$G$4:$AK$4,"")))</f>
        <v/>
      </c>
      <c r="V132" t="str">
        <f t="array" ref="V132">IF($Q132="","",_xlfn.TEXTJOIN(", ",TRUE,IF(MAI!$G134:$AK134="HE",MAI!$G$4:$AK$4,"")))</f>
        <v/>
      </c>
      <c r="W132" t="str">
        <f t="array" ref="W132">IF($Q132="","",_xlfn.TEXTJOIN(", ",TRUE,IF(JUN!$G134:$AK134="HE",JUN!$G$4:$AK$4,"")))</f>
        <v/>
      </c>
      <c r="X132" t="str">
        <f t="array" ref="X132">IF($Q132="","",_xlfn.TEXTJOIN(", ",TRUE,IF(JUL!$G134:$AK134="HE",JUL!$G$4:$AK$4,"")))</f>
        <v/>
      </c>
      <c r="Y132" t="str">
        <f t="array" ref="Y132">IF($Q132="","",_xlfn.TEXTJOIN(", ",TRUE,IF(AGO!$G134:$AK134="HE",AGO!$G$4:$AK$4,"")))</f>
        <v/>
      </c>
      <c r="Z132" t="str">
        <f t="array" ref="Z132">IF($Q132="","",_xlfn.TEXTJOIN(", ",TRUE,IF(SET!$G134:$AK134="HE",SET!$G$4:$AK$4,"")))</f>
        <v/>
      </c>
      <c r="AA132" t="str">
        <f t="array" ref="AA132">IF($Q132="","",_xlfn.TEXTJOIN(", ",TRUE,IF(OUT!$G134:$AK134="HE",OUT!$G$4:$AK$4,"")))</f>
        <v/>
      </c>
      <c r="AB132" t="str">
        <f t="array" ref="AB132">IF($Q132="","",_xlfn.TEXTJOIN(", ",TRUE,IF(NOV!$G134:$AK134="HE",NOV!$G$4:$AK$4,"")))</f>
        <v/>
      </c>
      <c r="AC132" t="str">
        <f t="array" ref="AC132">IF($Q132="","",_xlfn.TEXTJOIN(", ",TRUE,IF(DEZ!$G134:$AK134="HE",DEZ!$G$4:$AK$4,"")))</f>
        <v/>
      </c>
      <c r="AD132" t="str">
        <f>IF($Q132="","",SUM(JAN:DEZ!C134))</f>
        <v/>
      </c>
      <c r="AF132" t="str">
        <f>IF(AND($Q132&lt;&gt;"",N($AD132)&gt;0),COUNT($AF$3:AF131)+1,"")</f>
        <v/>
      </c>
    </row>
    <row r="133" spans="1:32" x14ac:dyDescent="0.25">
      <c r="A133" s="36" t="str">
        <f>IFERROR(INDEX($Q$4:$Q$153,MATCH(ROWS($A$4:A133),$AF$4:$AF$153,0)),"")</f>
        <v/>
      </c>
      <c r="B133" s="35" t="str">
        <f>IFERROR(INDEX($R$4:$R$153,MATCH(ROWS($A$4:A133),$AF$4:$AF$153,0)),"")</f>
        <v/>
      </c>
      <c r="C133" s="35" t="str">
        <f>IFERROR(INDEX($S$4:$S$153,MATCH(ROWS($A$4:A133),$AF$4:$AF$153,0)),"")</f>
        <v/>
      </c>
      <c r="D133" s="35" t="str">
        <f>IFERROR(INDEX($T$4:$T$153,MATCH(ROWS($A$4:A133),$AF$4:$AF$153,0)),"")</f>
        <v/>
      </c>
      <c r="E133" s="35" t="str">
        <f>IFERROR(INDEX($U$4:$U$153,MATCH(ROWS($A$4:A133),$AF$4:$AF$153,0)),"")</f>
        <v/>
      </c>
      <c r="F133" s="35" t="str">
        <f>IFERROR(INDEX($V$4:$V$153,MATCH(ROWS($A$4:A133),$AF$4:$AF$153,0)),"")</f>
        <v/>
      </c>
      <c r="G133" s="35" t="str">
        <f>IFERROR(INDEX($W$4:$W$153,MATCH(ROWS($A$4:A133),$AF$4:$AF$153,0)),"")</f>
        <v/>
      </c>
      <c r="H133" s="35" t="str">
        <f>IFERROR(INDEX($X$4:$X$153,MATCH(ROWS($A$4:A133),$AF$4:$AF$153,0)),"")</f>
        <v/>
      </c>
      <c r="I133" s="35" t="str">
        <f>IFERROR(INDEX($Y$4:$Y$153,MATCH(ROWS($A$4:A133),$AF$4:$AF$153,0)),"")</f>
        <v/>
      </c>
      <c r="J133" s="35" t="str">
        <f>IFERROR(INDEX($Z$4:$Z$153,MATCH(ROWS($A$4:A133),$AF$4:$AF$153,0)),"")</f>
        <v/>
      </c>
      <c r="K133" s="35" t="str">
        <f>IFERROR(INDEX($AA$4:$AA$153,MATCH(ROWS($A$4:A133),$AF$4:$AF$153,0)),"")</f>
        <v/>
      </c>
      <c r="L133" s="35" t="str">
        <f>IFERROR(INDEX($AB$4:$AB$153,MATCH(ROWS($A$4:A133),$AF$4:$AF$153,0)),"")</f>
        <v/>
      </c>
      <c r="M133" s="35" t="str">
        <f>IFERROR(INDEX($AC$4:$AC$153,MATCH(ROWS($A$4:A133),$AF$4:$AF$153,0)),"")</f>
        <v/>
      </c>
      <c r="N133" s="35" t="str">
        <f>IFERROR(INDEX($AD$4:$AD$153,MATCH(ROWS($A$4:A133),$AF$4:$AF$153,0)),"")</f>
        <v/>
      </c>
      <c r="Q133" t="str">
        <f>T(JAN!B135)</f>
        <v/>
      </c>
      <c r="R133" t="str">
        <f t="array" ref="R133">IF($Q133="","",_xlfn.TEXTJOIN(", ",TRUE,IF(JAN!$G135:$AK135="HE",JAN!$G$4:$AK$4,"")))</f>
        <v/>
      </c>
      <c r="S133" t="str">
        <f t="array" ref="S133">IF($Q133="","",_xlfn.TEXTJOIN(", ",TRUE,IF(FEV!$G135:$AK135="HE",FEV!$G$4:$AK$4,"")))</f>
        <v/>
      </c>
      <c r="T133" t="str">
        <f t="array" ref="T133">IF($Q133="","",_xlfn.TEXTJOIN(", ",TRUE,IF(MAR!$G135:$AK135="HE",MAR!$G$4:$AK$4,"")))</f>
        <v/>
      </c>
      <c r="U133" t="str">
        <f t="array" ref="U133">IF($Q133="","",_xlfn.TEXTJOIN(", ",TRUE,IF(ABR!$G135:$AK135="HE",ABR!$G$4:$AK$4,"")))</f>
        <v/>
      </c>
      <c r="V133" t="str">
        <f t="array" ref="V133">IF($Q133="","",_xlfn.TEXTJOIN(", ",TRUE,IF(MAI!$G135:$AK135="HE",MAI!$G$4:$AK$4,"")))</f>
        <v/>
      </c>
      <c r="W133" t="str">
        <f t="array" ref="W133">IF($Q133="","",_xlfn.TEXTJOIN(", ",TRUE,IF(JUN!$G135:$AK135="HE",JUN!$G$4:$AK$4,"")))</f>
        <v/>
      </c>
      <c r="X133" t="str">
        <f t="array" ref="X133">IF($Q133="","",_xlfn.TEXTJOIN(", ",TRUE,IF(JUL!$G135:$AK135="HE",JUL!$G$4:$AK$4,"")))</f>
        <v/>
      </c>
      <c r="Y133" t="str">
        <f t="array" ref="Y133">IF($Q133="","",_xlfn.TEXTJOIN(", ",TRUE,IF(AGO!$G135:$AK135="HE",AGO!$G$4:$AK$4,"")))</f>
        <v/>
      </c>
      <c r="Z133" t="str">
        <f t="array" ref="Z133">IF($Q133="","",_xlfn.TEXTJOIN(", ",TRUE,IF(SET!$G135:$AK135="HE",SET!$G$4:$AK$4,"")))</f>
        <v/>
      </c>
      <c r="AA133" t="str">
        <f t="array" ref="AA133">IF($Q133="","",_xlfn.TEXTJOIN(", ",TRUE,IF(OUT!$G135:$AK135="HE",OUT!$G$4:$AK$4,"")))</f>
        <v/>
      </c>
      <c r="AB133" t="str">
        <f t="array" ref="AB133">IF($Q133="","",_xlfn.TEXTJOIN(", ",TRUE,IF(NOV!$G135:$AK135="HE",NOV!$G$4:$AK$4,"")))</f>
        <v/>
      </c>
      <c r="AC133" t="str">
        <f t="array" ref="AC133">IF($Q133="","",_xlfn.TEXTJOIN(", ",TRUE,IF(DEZ!$G135:$AK135="HE",DEZ!$G$4:$AK$4,"")))</f>
        <v/>
      </c>
      <c r="AD133" t="str">
        <f>IF($Q133="","",SUM(JAN:DEZ!C135))</f>
        <v/>
      </c>
      <c r="AF133" t="str">
        <f>IF(AND($Q133&lt;&gt;"",N($AD133)&gt;0),COUNT($AF$3:AF132)+1,"")</f>
        <v/>
      </c>
    </row>
    <row r="134" spans="1:32" x14ac:dyDescent="0.25">
      <c r="A134" s="36" t="str">
        <f>IFERROR(INDEX($Q$4:$Q$153,MATCH(ROWS($A$4:A134),$AF$4:$AF$153,0)),"")</f>
        <v/>
      </c>
      <c r="B134" s="35" t="str">
        <f>IFERROR(INDEX($R$4:$R$153,MATCH(ROWS($A$4:A134),$AF$4:$AF$153,0)),"")</f>
        <v/>
      </c>
      <c r="C134" s="35" t="str">
        <f>IFERROR(INDEX($S$4:$S$153,MATCH(ROWS($A$4:A134),$AF$4:$AF$153,0)),"")</f>
        <v/>
      </c>
      <c r="D134" s="35" t="str">
        <f>IFERROR(INDEX($T$4:$T$153,MATCH(ROWS($A$4:A134),$AF$4:$AF$153,0)),"")</f>
        <v/>
      </c>
      <c r="E134" s="35" t="str">
        <f>IFERROR(INDEX($U$4:$U$153,MATCH(ROWS($A$4:A134),$AF$4:$AF$153,0)),"")</f>
        <v/>
      </c>
      <c r="F134" s="35" t="str">
        <f>IFERROR(INDEX($V$4:$V$153,MATCH(ROWS($A$4:A134),$AF$4:$AF$153,0)),"")</f>
        <v/>
      </c>
      <c r="G134" s="35" t="str">
        <f>IFERROR(INDEX($W$4:$W$153,MATCH(ROWS($A$4:A134),$AF$4:$AF$153,0)),"")</f>
        <v/>
      </c>
      <c r="H134" s="35" t="str">
        <f>IFERROR(INDEX($X$4:$X$153,MATCH(ROWS($A$4:A134),$AF$4:$AF$153,0)),"")</f>
        <v/>
      </c>
      <c r="I134" s="35" t="str">
        <f>IFERROR(INDEX($Y$4:$Y$153,MATCH(ROWS($A$4:A134),$AF$4:$AF$153,0)),"")</f>
        <v/>
      </c>
      <c r="J134" s="35" t="str">
        <f>IFERROR(INDEX($Z$4:$Z$153,MATCH(ROWS($A$4:A134),$AF$4:$AF$153,0)),"")</f>
        <v/>
      </c>
      <c r="K134" s="35" t="str">
        <f>IFERROR(INDEX($AA$4:$AA$153,MATCH(ROWS($A$4:A134),$AF$4:$AF$153,0)),"")</f>
        <v/>
      </c>
      <c r="L134" s="35" t="str">
        <f>IFERROR(INDEX($AB$4:$AB$153,MATCH(ROWS($A$4:A134),$AF$4:$AF$153,0)),"")</f>
        <v/>
      </c>
      <c r="M134" s="35" t="str">
        <f>IFERROR(INDEX($AC$4:$AC$153,MATCH(ROWS($A$4:A134),$AF$4:$AF$153,0)),"")</f>
        <v/>
      </c>
      <c r="N134" s="35" t="str">
        <f>IFERROR(INDEX($AD$4:$AD$153,MATCH(ROWS($A$4:A134),$AF$4:$AF$153,0)),"")</f>
        <v/>
      </c>
      <c r="Q134" t="str">
        <f>T(JAN!B136)</f>
        <v/>
      </c>
      <c r="R134" t="str">
        <f t="array" ref="R134">IF($Q134="","",_xlfn.TEXTJOIN(", ",TRUE,IF(JAN!$G136:$AK136="HE",JAN!$G$4:$AK$4,"")))</f>
        <v/>
      </c>
      <c r="S134" t="str">
        <f t="array" ref="S134">IF($Q134="","",_xlfn.TEXTJOIN(", ",TRUE,IF(FEV!$G136:$AK136="HE",FEV!$G$4:$AK$4,"")))</f>
        <v/>
      </c>
      <c r="T134" t="str">
        <f t="array" ref="T134">IF($Q134="","",_xlfn.TEXTJOIN(", ",TRUE,IF(MAR!$G136:$AK136="HE",MAR!$G$4:$AK$4,"")))</f>
        <v/>
      </c>
      <c r="U134" t="str">
        <f t="array" ref="U134">IF($Q134="","",_xlfn.TEXTJOIN(", ",TRUE,IF(ABR!$G136:$AK136="HE",ABR!$G$4:$AK$4,"")))</f>
        <v/>
      </c>
      <c r="V134" t="str">
        <f t="array" ref="V134">IF($Q134="","",_xlfn.TEXTJOIN(", ",TRUE,IF(MAI!$G136:$AK136="HE",MAI!$G$4:$AK$4,"")))</f>
        <v/>
      </c>
      <c r="W134" t="str">
        <f t="array" ref="W134">IF($Q134="","",_xlfn.TEXTJOIN(", ",TRUE,IF(JUN!$G136:$AK136="HE",JUN!$G$4:$AK$4,"")))</f>
        <v/>
      </c>
      <c r="X134" t="str">
        <f t="array" ref="X134">IF($Q134="","",_xlfn.TEXTJOIN(", ",TRUE,IF(JUL!$G136:$AK136="HE",JUL!$G$4:$AK$4,"")))</f>
        <v/>
      </c>
      <c r="Y134" t="str">
        <f t="array" ref="Y134">IF($Q134="","",_xlfn.TEXTJOIN(", ",TRUE,IF(AGO!$G136:$AK136="HE",AGO!$G$4:$AK$4,"")))</f>
        <v/>
      </c>
      <c r="Z134" t="str">
        <f t="array" ref="Z134">IF($Q134="","",_xlfn.TEXTJOIN(", ",TRUE,IF(SET!$G136:$AK136="HE",SET!$G$4:$AK$4,"")))</f>
        <v/>
      </c>
      <c r="AA134" t="str">
        <f t="array" ref="AA134">IF($Q134="","",_xlfn.TEXTJOIN(", ",TRUE,IF(OUT!$G136:$AK136="HE",OUT!$G$4:$AK$4,"")))</f>
        <v/>
      </c>
      <c r="AB134" t="str">
        <f t="array" ref="AB134">IF($Q134="","",_xlfn.TEXTJOIN(", ",TRUE,IF(NOV!$G136:$AK136="HE",NOV!$G$4:$AK$4,"")))</f>
        <v/>
      </c>
      <c r="AC134" t="str">
        <f t="array" ref="AC134">IF($Q134="","",_xlfn.TEXTJOIN(", ",TRUE,IF(DEZ!$G136:$AK136="HE",DEZ!$G$4:$AK$4,"")))</f>
        <v/>
      </c>
      <c r="AD134" t="str">
        <f>IF($Q134="","",SUM(JAN:DEZ!C136))</f>
        <v/>
      </c>
      <c r="AF134" t="str">
        <f>IF(AND($Q134&lt;&gt;"",N($AD134)&gt;0),COUNT($AF$3:AF133)+1,"")</f>
        <v/>
      </c>
    </row>
    <row r="135" spans="1:32" x14ac:dyDescent="0.25">
      <c r="A135" s="36" t="str">
        <f>IFERROR(INDEX($Q$4:$Q$153,MATCH(ROWS($A$4:A135),$AF$4:$AF$153,0)),"")</f>
        <v/>
      </c>
      <c r="B135" s="35" t="str">
        <f>IFERROR(INDEX($R$4:$R$153,MATCH(ROWS($A$4:A135),$AF$4:$AF$153,0)),"")</f>
        <v/>
      </c>
      <c r="C135" s="35" t="str">
        <f>IFERROR(INDEX($S$4:$S$153,MATCH(ROWS($A$4:A135),$AF$4:$AF$153,0)),"")</f>
        <v/>
      </c>
      <c r="D135" s="35" t="str">
        <f>IFERROR(INDEX($T$4:$T$153,MATCH(ROWS($A$4:A135),$AF$4:$AF$153,0)),"")</f>
        <v/>
      </c>
      <c r="E135" s="35" t="str">
        <f>IFERROR(INDEX($U$4:$U$153,MATCH(ROWS($A$4:A135),$AF$4:$AF$153,0)),"")</f>
        <v/>
      </c>
      <c r="F135" s="35" t="str">
        <f>IFERROR(INDEX($V$4:$V$153,MATCH(ROWS($A$4:A135),$AF$4:$AF$153,0)),"")</f>
        <v/>
      </c>
      <c r="G135" s="35" t="str">
        <f>IFERROR(INDEX($W$4:$W$153,MATCH(ROWS($A$4:A135),$AF$4:$AF$153,0)),"")</f>
        <v/>
      </c>
      <c r="H135" s="35" t="str">
        <f>IFERROR(INDEX($X$4:$X$153,MATCH(ROWS($A$4:A135),$AF$4:$AF$153,0)),"")</f>
        <v/>
      </c>
      <c r="I135" s="35" t="str">
        <f>IFERROR(INDEX($Y$4:$Y$153,MATCH(ROWS($A$4:A135),$AF$4:$AF$153,0)),"")</f>
        <v/>
      </c>
      <c r="J135" s="35" t="str">
        <f>IFERROR(INDEX($Z$4:$Z$153,MATCH(ROWS($A$4:A135),$AF$4:$AF$153,0)),"")</f>
        <v/>
      </c>
      <c r="K135" s="35" t="str">
        <f>IFERROR(INDEX($AA$4:$AA$153,MATCH(ROWS($A$4:A135),$AF$4:$AF$153,0)),"")</f>
        <v/>
      </c>
      <c r="L135" s="35" t="str">
        <f>IFERROR(INDEX($AB$4:$AB$153,MATCH(ROWS($A$4:A135),$AF$4:$AF$153,0)),"")</f>
        <v/>
      </c>
      <c r="M135" s="35" t="str">
        <f>IFERROR(INDEX($AC$4:$AC$153,MATCH(ROWS($A$4:A135),$AF$4:$AF$153,0)),"")</f>
        <v/>
      </c>
      <c r="N135" s="35" t="str">
        <f>IFERROR(INDEX($AD$4:$AD$153,MATCH(ROWS($A$4:A135),$AF$4:$AF$153,0)),"")</f>
        <v/>
      </c>
      <c r="Q135" t="str">
        <f>T(JAN!B137)</f>
        <v/>
      </c>
      <c r="R135" t="str">
        <f t="array" ref="R135">IF($Q135="","",_xlfn.TEXTJOIN(", ",TRUE,IF(JAN!$G137:$AK137="HE",JAN!$G$4:$AK$4,"")))</f>
        <v/>
      </c>
      <c r="S135" t="str">
        <f t="array" ref="S135">IF($Q135="","",_xlfn.TEXTJOIN(", ",TRUE,IF(FEV!$G137:$AK137="HE",FEV!$G$4:$AK$4,"")))</f>
        <v/>
      </c>
      <c r="T135" t="str">
        <f t="array" ref="T135">IF($Q135="","",_xlfn.TEXTJOIN(", ",TRUE,IF(MAR!$G137:$AK137="HE",MAR!$G$4:$AK$4,"")))</f>
        <v/>
      </c>
      <c r="U135" t="str">
        <f t="array" ref="U135">IF($Q135="","",_xlfn.TEXTJOIN(", ",TRUE,IF(ABR!$G137:$AK137="HE",ABR!$G$4:$AK$4,"")))</f>
        <v/>
      </c>
      <c r="V135" t="str">
        <f t="array" ref="V135">IF($Q135="","",_xlfn.TEXTJOIN(", ",TRUE,IF(MAI!$G137:$AK137="HE",MAI!$G$4:$AK$4,"")))</f>
        <v/>
      </c>
      <c r="W135" t="str">
        <f t="array" ref="W135">IF($Q135="","",_xlfn.TEXTJOIN(", ",TRUE,IF(JUN!$G137:$AK137="HE",JUN!$G$4:$AK$4,"")))</f>
        <v/>
      </c>
      <c r="X135" t="str">
        <f t="array" ref="X135">IF($Q135="","",_xlfn.TEXTJOIN(", ",TRUE,IF(JUL!$G137:$AK137="HE",JUL!$G$4:$AK$4,"")))</f>
        <v/>
      </c>
      <c r="Y135" t="str">
        <f t="array" ref="Y135">IF($Q135="","",_xlfn.TEXTJOIN(", ",TRUE,IF(AGO!$G137:$AK137="HE",AGO!$G$4:$AK$4,"")))</f>
        <v/>
      </c>
      <c r="Z135" t="str">
        <f t="array" ref="Z135">IF($Q135="","",_xlfn.TEXTJOIN(", ",TRUE,IF(SET!$G137:$AK137="HE",SET!$G$4:$AK$4,"")))</f>
        <v/>
      </c>
      <c r="AA135" t="str">
        <f t="array" ref="AA135">IF($Q135="","",_xlfn.TEXTJOIN(", ",TRUE,IF(OUT!$G137:$AK137="HE",OUT!$G$4:$AK$4,"")))</f>
        <v/>
      </c>
      <c r="AB135" t="str">
        <f t="array" ref="AB135">IF($Q135="","",_xlfn.TEXTJOIN(", ",TRUE,IF(NOV!$G137:$AK137="HE",NOV!$G$4:$AK$4,"")))</f>
        <v/>
      </c>
      <c r="AC135" t="str">
        <f t="array" ref="AC135">IF($Q135="","",_xlfn.TEXTJOIN(", ",TRUE,IF(DEZ!$G137:$AK137="HE",DEZ!$G$4:$AK$4,"")))</f>
        <v/>
      </c>
      <c r="AD135" t="str">
        <f>IF($Q135="","",SUM(JAN:DEZ!C137))</f>
        <v/>
      </c>
      <c r="AF135" t="str">
        <f>IF(AND($Q135&lt;&gt;"",N($AD135)&gt;0),COUNT($AF$3:AF134)+1,"")</f>
        <v/>
      </c>
    </row>
    <row r="136" spans="1:32" x14ac:dyDescent="0.25">
      <c r="A136" s="36" t="str">
        <f>IFERROR(INDEX($Q$4:$Q$153,MATCH(ROWS($A$4:A136),$AF$4:$AF$153,0)),"")</f>
        <v/>
      </c>
      <c r="B136" s="35" t="str">
        <f>IFERROR(INDEX($R$4:$R$153,MATCH(ROWS($A$4:A136),$AF$4:$AF$153,0)),"")</f>
        <v/>
      </c>
      <c r="C136" s="35" t="str">
        <f>IFERROR(INDEX($S$4:$S$153,MATCH(ROWS($A$4:A136),$AF$4:$AF$153,0)),"")</f>
        <v/>
      </c>
      <c r="D136" s="35" t="str">
        <f>IFERROR(INDEX($T$4:$T$153,MATCH(ROWS($A$4:A136),$AF$4:$AF$153,0)),"")</f>
        <v/>
      </c>
      <c r="E136" s="35" t="str">
        <f>IFERROR(INDEX($U$4:$U$153,MATCH(ROWS($A$4:A136),$AF$4:$AF$153,0)),"")</f>
        <v/>
      </c>
      <c r="F136" s="35" t="str">
        <f>IFERROR(INDEX($V$4:$V$153,MATCH(ROWS($A$4:A136),$AF$4:$AF$153,0)),"")</f>
        <v/>
      </c>
      <c r="G136" s="35" t="str">
        <f>IFERROR(INDEX($W$4:$W$153,MATCH(ROWS($A$4:A136),$AF$4:$AF$153,0)),"")</f>
        <v/>
      </c>
      <c r="H136" s="35" t="str">
        <f>IFERROR(INDEX($X$4:$X$153,MATCH(ROWS($A$4:A136),$AF$4:$AF$153,0)),"")</f>
        <v/>
      </c>
      <c r="I136" s="35" t="str">
        <f>IFERROR(INDEX($Y$4:$Y$153,MATCH(ROWS($A$4:A136),$AF$4:$AF$153,0)),"")</f>
        <v/>
      </c>
      <c r="J136" s="35" t="str">
        <f>IFERROR(INDEX($Z$4:$Z$153,MATCH(ROWS($A$4:A136),$AF$4:$AF$153,0)),"")</f>
        <v/>
      </c>
      <c r="K136" s="35" t="str">
        <f>IFERROR(INDEX($AA$4:$AA$153,MATCH(ROWS($A$4:A136),$AF$4:$AF$153,0)),"")</f>
        <v/>
      </c>
      <c r="L136" s="35" t="str">
        <f>IFERROR(INDEX($AB$4:$AB$153,MATCH(ROWS($A$4:A136),$AF$4:$AF$153,0)),"")</f>
        <v/>
      </c>
      <c r="M136" s="35" t="str">
        <f>IFERROR(INDEX($AC$4:$AC$153,MATCH(ROWS($A$4:A136),$AF$4:$AF$153,0)),"")</f>
        <v/>
      </c>
      <c r="N136" s="35" t="str">
        <f>IFERROR(INDEX($AD$4:$AD$153,MATCH(ROWS($A$4:A136),$AF$4:$AF$153,0)),"")</f>
        <v/>
      </c>
      <c r="Q136" t="str">
        <f>T(JAN!B138)</f>
        <v/>
      </c>
      <c r="R136" t="str">
        <f t="array" ref="R136">IF($Q136="","",_xlfn.TEXTJOIN(", ",TRUE,IF(JAN!$G138:$AK138="HE",JAN!$G$4:$AK$4,"")))</f>
        <v/>
      </c>
      <c r="S136" t="str">
        <f t="array" ref="S136">IF($Q136="","",_xlfn.TEXTJOIN(", ",TRUE,IF(FEV!$G138:$AK138="HE",FEV!$G$4:$AK$4,"")))</f>
        <v/>
      </c>
      <c r="T136" t="str">
        <f t="array" ref="T136">IF($Q136="","",_xlfn.TEXTJOIN(", ",TRUE,IF(MAR!$G138:$AK138="HE",MAR!$G$4:$AK$4,"")))</f>
        <v/>
      </c>
      <c r="U136" t="str">
        <f t="array" ref="U136">IF($Q136="","",_xlfn.TEXTJOIN(", ",TRUE,IF(ABR!$G138:$AK138="HE",ABR!$G$4:$AK$4,"")))</f>
        <v/>
      </c>
      <c r="V136" t="str">
        <f t="array" ref="V136">IF($Q136="","",_xlfn.TEXTJOIN(", ",TRUE,IF(MAI!$G138:$AK138="HE",MAI!$G$4:$AK$4,"")))</f>
        <v/>
      </c>
      <c r="W136" t="str">
        <f t="array" ref="W136">IF($Q136="","",_xlfn.TEXTJOIN(", ",TRUE,IF(JUN!$G138:$AK138="HE",JUN!$G$4:$AK$4,"")))</f>
        <v/>
      </c>
      <c r="X136" t="str">
        <f t="array" ref="X136">IF($Q136="","",_xlfn.TEXTJOIN(", ",TRUE,IF(JUL!$G138:$AK138="HE",JUL!$G$4:$AK$4,"")))</f>
        <v/>
      </c>
      <c r="Y136" t="str">
        <f t="array" ref="Y136">IF($Q136="","",_xlfn.TEXTJOIN(", ",TRUE,IF(AGO!$G138:$AK138="HE",AGO!$G$4:$AK$4,"")))</f>
        <v/>
      </c>
      <c r="Z136" t="str">
        <f t="array" ref="Z136">IF($Q136="","",_xlfn.TEXTJOIN(", ",TRUE,IF(SET!$G138:$AK138="HE",SET!$G$4:$AK$4,"")))</f>
        <v/>
      </c>
      <c r="AA136" t="str">
        <f t="array" ref="AA136">IF($Q136="","",_xlfn.TEXTJOIN(", ",TRUE,IF(OUT!$G138:$AK138="HE",OUT!$G$4:$AK$4,"")))</f>
        <v/>
      </c>
      <c r="AB136" t="str">
        <f t="array" ref="AB136">IF($Q136="","",_xlfn.TEXTJOIN(", ",TRUE,IF(NOV!$G138:$AK138="HE",NOV!$G$4:$AK$4,"")))</f>
        <v/>
      </c>
      <c r="AC136" t="str">
        <f t="array" ref="AC136">IF($Q136="","",_xlfn.TEXTJOIN(", ",TRUE,IF(DEZ!$G138:$AK138="HE",DEZ!$G$4:$AK$4,"")))</f>
        <v/>
      </c>
      <c r="AD136" t="str">
        <f>IF($Q136="","",SUM(JAN:DEZ!C138))</f>
        <v/>
      </c>
      <c r="AF136" t="str">
        <f>IF(AND($Q136&lt;&gt;"",N($AD136)&gt;0),COUNT($AF$3:AF135)+1,"")</f>
        <v/>
      </c>
    </row>
    <row r="137" spans="1:32" x14ac:dyDescent="0.25">
      <c r="A137" s="36" t="str">
        <f>IFERROR(INDEX($Q$4:$Q$153,MATCH(ROWS($A$4:A137),$AF$4:$AF$153,0)),"")</f>
        <v/>
      </c>
      <c r="B137" s="35" t="str">
        <f>IFERROR(INDEX($R$4:$R$153,MATCH(ROWS($A$4:A137),$AF$4:$AF$153,0)),"")</f>
        <v/>
      </c>
      <c r="C137" s="35" t="str">
        <f>IFERROR(INDEX($S$4:$S$153,MATCH(ROWS($A$4:A137),$AF$4:$AF$153,0)),"")</f>
        <v/>
      </c>
      <c r="D137" s="35" t="str">
        <f>IFERROR(INDEX($T$4:$T$153,MATCH(ROWS($A$4:A137),$AF$4:$AF$153,0)),"")</f>
        <v/>
      </c>
      <c r="E137" s="35" t="str">
        <f>IFERROR(INDEX($U$4:$U$153,MATCH(ROWS($A$4:A137),$AF$4:$AF$153,0)),"")</f>
        <v/>
      </c>
      <c r="F137" s="35" t="str">
        <f>IFERROR(INDEX($V$4:$V$153,MATCH(ROWS($A$4:A137),$AF$4:$AF$153,0)),"")</f>
        <v/>
      </c>
      <c r="G137" s="35" t="str">
        <f>IFERROR(INDEX($W$4:$W$153,MATCH(ROWS($A$4:A137),$AF$4:$AF$153,0)),"")</f>
        <v/>
      </c>
      <c r="H137" s="35" t="str">
        <f>IFERROR(INDEX($X$4:$X$153,MATCH(ROWS($A$4:A137),$AF$4:$AF$153,0)),"")</f>
        <v/>
      </c>
      <c r="I137" s="35" t="str">
        <f>IFERROR(INDEX($Y$4:$Y$153,MATCH(ROWS($A$4:A137),$AF$4:$AF$153,0)),"")</f>
        <v/>
      </c>
      <c r="J137" s="35" t="str">
        <f>IFERROR(INDEX($Z$4:$Z$153,MATCH(ROWS($A$4:A137),$AF$4:$AF$153,0)),"")</f>
        <v/>
      </c>
      <c r="K137" s="35" t="str">
        <f>IFERROR(INDEX($AA$4:$AA$153,MATCH(ROWS($A$4:A137),$AF$4:$AF$153,0)),"")</f>
        <v/>
      </c>
      <c r="L137" s="35" t="str">
        <f>IFERROR(INDEX($AB$4:$AB$153,MATCH(ROWS($A$4:A137),$AF$4:$AF$153,0)),"")</f>
        <v/>
      </c>
      <c r="M137" s="35" t="str">
        <f>IFERROR(INDEX($AC$4:$AC$153,MATCH(ROWS($A$4:A137),$AF$4:$AF$153,0)),"")</f>
        <v/>
      </c>
      <c r="N137" s="35" t="str">
        <f>IFERROR(INDEX($AD$4:$AD$153,MATCH(ROWS($A$4:A137),$AF$4:$AF$153,0)),"")</f>
        <v/>
      </c>
      <c r="Q137" t="str">
        <f>T(JAN!B139)</f>
        <v/>
      </c>
      <c r="R137" t="str">
        <f t="array" ref="R137">IF($Q137="","",_xlfn.TEXTJOIN(", ",TRUE,IF(JAN!$G139:$AK139="HE",JAN!$G$4:$AK$4,"")))</f>
        <v/>
      </c>
      <c r="S137" t="str">
        <f t="array" ref="S137">IF($Q137="","",_xlfn.TEXTJOIN(", ",TRUE,IF(FEV!$G139:$AK139="HE",FEV!$G$4:$AK$4,"")))</f>
        <v/>
      </c>
      <c r="T137" t="str">
        <f t="array" ref="T137">IF($Q137="","",_xlfn.TEXTJOIN(", ",TRUE,IF(MAR!$G139:$AK139="HE",MAR!$G$4:$AK$4,"")))</f>
        <v/>
      </c>
      <c r="U137" t="str">
        <f t="array" ref="U137">IF($Q137="","",_xlfn.TEXTJOIN(", ",TRUE,IF(ABR!$G139:$AK139="HE",ABR!$G$4:$AK$4,"")))</f>
        <v/>
      </c>
      <c r="V137" t="str">
        <f t="array" ref="V137">IF($Q137="","",_xlfn.TEXTJOIN(", ",TRUE,IF(MAI!$G139:$AK139="HE",MAI!$G$4:$AK$4,"")))</f>
        <v/>
      </c>
      <c r="W137" t="str">
        <f t="array" ref="W137">IF($Q137="","",_xlfn.TEXTJOIN(", ",TRUE,IF(JUN!$G139:$AK139="HE",JUN!$G$4:$AK$4,"")))</f>
        <v/>
      </c>
      <c r="X137" t="str">
        <f t="array" ref="X137">IF($Q137="","",_xlfn.TEXTJOIN(", ",TRUE,IF(JUL!$G139:$AK139="HE",JUL!$G$4:$AK$4,"")))</f>
        <v/>
      </c>
      <c r="Y137" t="str">
        <f t="array" ref="Y137">IF($Q137="","",_xlfn.TEXTJOIN(", ",TRUE,IF(AGO!$G139:$AK139="HE",AGO!$G$4:$AK$4,"")))</f>
        <v/>
      </c>
      <c r="Z137" t="str">
        <f t="array" ref="Z137">IF($Q137="","",_xlfn.TEXTJOIN(", ",TRUE,IF(SET!$G139:$AK139="HE",SET!$G$4:$AK$4,"")))</f>
        <v/>
      </c>
      <c r="AA137" t="str">
        <f t="array" ref="AA137">IF($Q137="","",_xlfn.TEXTJOIN(", ",TRUE,IF(OUT!$G139:$AK139="HE",OUT!$G$4:$AK$4,"")))</f>
        <v/>
      </c>
      <c r="AB137" t="str">
        <f t="array" ref="AB137">IF($Q137="","",_xlfn.TEXTJOIN(", ",TRUE,IF(NOV!$G139:$AK139="HE",NOV!$G$4:$AK$4,"")))</f>
        <v/>
      </c>
      <c r="AC137" t="str">
        <f t="array" ref="AC137">IF($Q137="","",_xlfn.TEXTJOIN(", ",TRUE,IF(DEZ!$G139:$AK139="HE",DEZ!$G$4:$AK$4,"")))</f>
        <v/>
      </c>
      <c r="AD137" t="str">
        <f>IF($Q137="","",SUM(JAN:DEZ!C139))</f>
        <v/>
      </c>
      <c r="AF137" t="str">
        <f>IF(AND($Q137&lt;&gt;"",N($AD137)&gt;0),COUNT($AF$3:AF136)+1,"")</f>
        <v/>
      </c>
    </row>
    <row r="138" spans="1:32" x14ac:dyDescent="0.25">
      <c r="A138" s="36" t="str">
        <f>IFERROR(INDEX($Q$4:$Q$153,MATCH(ROWS($A$4:A138),$AF$4:$AF$153,0)),"")</f>
        <v/>
      </c>
      <c r="B138" s="35" t="str">
        <f>IFERROR(INDEX($R$4:$R$153,MATCH(ROWS($A$4:A138),$AF$4:$AF$153,0)),"")</f>
        <v/>
      </c>
      <c r="C138" s="35" t="str">
        <f>IFERROR(INDEX($S$4:$S$153,MATCH(ROWS($A$4:A138),$AF$4:$AF$153,0)),"")</f>
        <v/>
      </c>
      <c r="D138" s="35" t="str">
        <f>IFERROR(INDEX($T$4:$T$153,MATCH(ROWS($A$4:A138),$AF$4:$AF$153,0)),"")</f>
        <v/>
      </c>
      <c r="E138" s="35" t="str">
        <f>IFERROR(INDEX($U$4:$U$153,MATCH(ROWS($A$4:A138),$AF$4:$AF$153,0)),"")</f>
        <v/>
      </c>
      <c r="F138" s="35" t="str">
        <f>IFERROR(INDEX($V$4:$V$153,MATCH(ROWS($A$4:A138),$AF$4:$AF$153,0)),"")</f>
        <v/>
      </c>
      <c r="G138" s="35" t="str">
        <f>IFERROR(INDEX($W$4:$W$153,MATCH(ROWS($A$4:A138),$AF$4:$AF$153,0)),"")</f>
        <v/>
      </c>
      <c r="H138" s="35" t="str">
        <f>IFERROR(INDEX($X$4:$X$153,MATCH(ROWS($A$4:A138),$AF$4:$AF$153,0)),"")</f>
        <v/>
      </c>
      <c r="I138" s="35" t="str">
        <f>IFERROR(INDEX($Y$4:$Y$153,MATCH(ROWS($A$4:A138),$AF$4:$AF$153,0)),"")</f>
        <v/>
      </c>
      <c r="J138" s="35" t="str">
        <f>IFERROR(INDEX($Z$4:$Z$153,MATCH(ROWS($A$4:A138),$AF$4:$AF$153,0)),"")</f>
        <v/>
      </c>
      <c r="K138" s="35" t="str">
        <f>IFERROR(INDEX($AA$4:$AA$153,MATCH(ROWS($A$4:A138),$AF$4:$AF$153,0)),"")</f>
        <v/>
      </c>
      <c r="L138" s="35" t="str">
        <f>IFERROR(INDEX($AB$4:$AB$153,MATCH(ROWS($A$4:A138),$AF$4:$AF$153,0)),"")</f>
        <v/>
      </c>
      <c r="M138" s="35" t="str">
        <f>IFERROR(INDEX($AC$4:$AC$153,MATCH(ROWS($A$4:A138),$AF$4:$AF$153,0)),"")</f>
        <v/>
      </c>
      <c r="N138" s="35" t="str">
        <f>IFERROR(INDEX($AD$4:$AD$153,MATCH(ROWS($A$4:A138),$AF$4:$AF$153,0)),"")</f>
        <v/>
      </c>
      <c r="Q138" t="str">
        <f>T(JAN!B140)</f>
        <v/>
      </c>
      <c r="R138" t="str">
        <f t="array" ref="R138">IF($Q138="","",_xlfn.TEXTJOIN(", ",TRUE,IF(JAN!$G140:$AK140="HE",JAN!$G$4:$AK$4,"")))</f>
        <v/>
      </c>
      <c r="S138" t="str">
        <f t="array" ref="S138">IF($Q138="","",_xlfn.TEXTJOIN(", ",TRUE,IF(FEV!$G140:$AK140="HE",FEV!$G$4:$AK$4,"")))</f>
        <v/>
      </c>
      <c r="T138" t="str">
        <f t="array" ref="T138">IF($Q138="","",_xlfn.TEXTJOIN(", ",TRUE,IF(MAR!$G140:$AK140="HE",MAR!$G$4:$AK$4,"")))</f>
        <v/>
      </c>
      <c r="U138" t="str">
        <f t="array" ref="U138">IF($Q138="","",_xlfn.TEXTJOIN(", ",TRUE,IF(ABR!$G140:$AK140="HE",ABR!$G$4:$AK$4,"")))</f>
        <v/>
      </c>
      <c r="V138" t="str">
        <f t="array" ref="V138">IF($Q138="","",_xlfn.TEXTJOIN(", ",TRUE,IF(MAI!$G140:$AK140="HE",MAI!$G$4:$AK$4,"")))</f>
        <v/>
      </c>
      <c r="W138" t="str">
        <f t="array" ref="W138">IF($Q138="","",_xlfn.TEXTJOIN(", ",TRUE,IF(JUN!$G140:$AK140="HE",JUN!$G$4:$AK$4,"")))</f>
        <v/>
      </c>
      <c r="X138" t="str">
        <f t="array" ref="X138">IF($Q138="","",_xlfn.TEXTJOIN(", ",TRUE,IF(JUL!$G140:$AK140="HE",JUL!$G$4:$AK$4,"")))</f>
        <v/>
      </c>
      <c r="Y138" t="str">
        <f t="array" ref="Y138">IF($Q138="","",_xlfn.TEXTJOIN(", ",TRUE,IF(AGO!$G140:$AK140="HE",AGO!$G$4:$AK$4,"")))</f>
        <v/>
      </c>
      <c r="Z138" t="str">
        <f t="array" ref="Z138">IF($Q138="","",_xlfn.TEXTJOIN(", ",TRUE,IF(SET!$G140:$AK140="HE",SET!$G$4:$AK$4,"")))</f>
        <v/>
      </c>
      <c r="AA138" t="str">
        <f t="array" ref="AA138">IF($Q138="","",_xlfn.TEXTJOIN(", ",TRUE,IF(OUT!$G140:$AK140="HE",OUT!$G$4:$AK$4,"")))</f>
        <v/>
      </c>
      <c r="AB138" t="str">
        <f t="array" ref="AB138">IF($Q138="","",_xlfn.TEXTJOIN(", ",TRUE,IF(NOV!$G140:$AK140="HE",NOV!$G$4:$AK$4,"")))</f>
        <v/>
      </c>
      <c r="AC138" t="str">
        <f t="array" ref="AC138">IF($Q138="","",_xlfn.TEXTJOIN(", ",TRUE,IF(DEZ!$G140:$AK140="HE",DEZ!$G$4:$AK$4,"")))</f>
        <v/>
      </c>
      <c r="AD138" t="str">
        <f>IF($Q138="","",SUM(JAN:DEZ!C140))</f>
        <v/>
      </c>
      <c r="AF138" t="str">
        <f>IF(AND($Q138&lt;&gt;"",N($AD138)&gt;0),COUNT($AF$3:AF137)+1,"")</f>
        <v/>
      </c>
    </row>
    <row r="139" spans="1:32" x14ac:dyDescent="0.25">
      <c r="A139" s="36" t="str">
        <f>IFERROR(INDEX($Q$4:$Q$153,MATCH(ROWS($A$4:A139),$AF$4:$AF$153,0)),"")</f>
        <v/>
      </c>
      <c r="B139" s="35" t="str">
        <f>IFERROR(INDEX($R$4:$R$153,MATCH(ROWS($A$4:A139),$AF$4:$AF$153,0)),"")</f>
        <v/>
      </c>
      <c r="C139" s="35" t="str">
        <f>IFERROR(INDEX($S$4:$S$153,MATCH(ROWS($A$4:A139),$AF$4:$AF$153,0)),"")</f>
        <v/>
      </c>
      <c r="D139" s="35" t="str">
        <f>IFERROR(INDEX($T$4:$T$153,MATCH(ROWS($A$4:A139),$AF$4:$AF$153,0)),"")</f>
        <v/>
      </c>
      <c r="E139" s="35" t="str">
        <f>IFERROR(INDEX($U$4:$U$153,MATCH(ROWS($A$4:A139),$AF$4:$AF$153,0)),"")</f>
        <v/>
      </c>
      <c r="F139" s="35" t="str">
        <f>IFERROR(INDEX($V$4:$V$153,MATCH(ROWS($A$4:A139),$AF$4:$AF$153,0)),"")</f>
        <v/>
      </c>
      <c r="G139" s="35" t="str">
        <f>IFERROR(INDEX($W$4:$W$153,MATCH(ROWS($A$4:A139),$AF$4:$AF$153,0)),"")</f>
        <v/>
      </c>
      <c r="H139" s="35" t="str">
        <f>IFERROR(INDEX($X$4:$X$153,MATCH(ROWS($A$4:A139),$AF$4:$AF$153,0)),"")</f>
        <v/>
      </c>
      <c r="I139" s="35" t="str">
        <f>IFERROR(INDEX($Y$4:$Y$153,MATCH(ROWS($A$4:A139),$AF$4:$AF$153,0)),"")</f>
        <v/>
      </c>
      <c r="J139" s="35" t="str">
        <f>IFERROR(INDEX($Z$4:$Z$153,MATCH(ROWS($A$4:A139),$AF$4:$AF$153,0)),"")</f>
        <v/>
      </c>
      <c r="K139" s="35" t="str">
        <f>IFERROR(INDEX($AA$4:$AA$153,MATCH(ROWS($A$4:A139),$AF$4:$AF$153,0)),"")</f>
        <v/>
      </c>
      <c r="L139" s="35" t="str">
        <f>IFERROR(INDEX($AB$4:$AB$153,MATCH(ROWS($A$4:A139),$AF$4:$AF$153,0)),"")</f>
        <v/>
      </c>
      <c r="M139" s="35" t="str">
        <f>IFERROR(INDEX($AC$4:$AC$153,MATCH(ROWS($A$4:A139),$AF$4:$AF$153,0)),"")</f>
        <v/>
      </c>
      <c r="N139" s="35" t="str">
        <f>IFERROR(INDEX($AD$4:$AD$153,MATCH(ROWS($A$4:A139),$AF$4:$AF$153,0)),"")</f>
        <v/>
      </c>
      <c r="Q139" t="str">
        <f>T(JAN!B141)</f>
        <v/>
      </c>
      <c r="R139" t="str">
        <f t="array" ref="R139">IF($Q139="","",_xlfn.TEXTJOIN(", ",TRUE,IF(JAN!$G141:$AK141="HE",JAN!$G$4:$AK$4,"")))</f>
        <v/>
      </c>
      <c r="S139" t="str">
        <f t="array" ref="S139">IF($Q139="","",_xlfn.TEXTJOIN(", ",TRUE,IF(FEV!$G141:$AK141="HE",FEV!$G$4:$AK$4,"")))</f>
        <v/>
      </c>
      <c r="T139" t="str">
        <f t="array" ref="T139">IF($Q139="","",_xlfn.TEXTJOIN(", ",TRUE,IF(MAR!$G141:$AK141="HE",MAR!$G$4:$AK$4,"")))</f>
        <v/>
      </c>
      <c r="U139" t="str">
        <f t="array" ref="U139">IF($Q139="","",_xlfn.TEXTJOIN(", ",TRUE,IF(ABR!$G141:$AK141="HE",ABR!$G$4:$AK$4,"")))</f>
        <v/>
      </c>
      <c r="V139" t="str">
        <f t="array" ref="V139">IF($Q139="","",_xlfn.TEXTJOIN(", ",TRUE,IF(MAI!$G141:$AK141="HE",MAI!$G$4:$AK$4,"")))</f>
        <v/>
      </c>
      <c r="W139" t="str">
        <f t="array" ref="W139">IF($Q139="","",_xlfn.TEXTJOIN(", ",TRUE,IF(JUN!$G141:$AK141="HE",JUN!$G$4:$AK$4,"")))</f>
        <v/>
      </c>
      <c r="X139" t="str">
        <f t="array" ref="X139">IF($Q139="","",_xlfn.TEXTJOIN(", ",TRUE,IF(JUL!$G141:$AK141="HE",JUL!$G$4:$AK$4,"")))</f>
        <v/>
      </c>
      <c r="Y139" t="str">
        <f t="array" ref="Y139">IF($Q139="","",_xlfn.TEXTJOIN(", ",TRUE,IF(AGO!$G141:$AK141="HE",AGO!$G$4:$AK$4,"")))</f>
        <v/>
      </c>
      <c r="Z139" t="str">
        <f t="array" ref="Z139">IF($Q139="","",_xlfn.TEXTJOIN(", ",TRUE,IF(SET!$G141:$AK141="HE",SET!$G$4:$AK$4,"")))</f>
        <v/>
      </c>
      <c r="AA139" t="str">
        <f t="array" ref="AA139">IF($Q139="","",_xlfn.TEXTJOIN(", ",TRUE,IF(OUT!$G141:$AK141="HE",OUT!$G$4:$AK$4,"")))</f>
        <v/>
      </c>
      <c r="AB139" t="str">
        <f t="array" ref="AB139">IF($Q139="","",_xlfn.TEXTJOIN(", ",TRUE,IF(NOV!$G141:$AK141="HE",NOV!$G$4:$AK$4,"")))</f>
        <v/>
      </c>
      <c r="AC139" t="str">
        <f t="array" ref="AC139">IF($Q139="","",_xlfn.TEXTJOIN(", ",TRUE,IF(DEZ!$G141:$AK141="HE",DEZ!$G$4:$AK$4,"")))</f>
        <v/>
      </c>
      <c r="AD139" t="str">
        <f>IF($Q139="","",SUM(JAN:DEZ!C141))</f>
        <v/>
      </c>
      <c r="AF139" t="str">
        <f>IF(AND($Q139&lt;&gt;"",N($AD139)&gt;0),COUNT($AF$3:AF138)+1,"")</f>
        <v/>
      </c>
    </row>
    <row r="140" spans="1:32" x14ac:dyDescent="0.25">
      <c r="A140" s="36" t="str">
        <f>IFERROR(INDEX($Q$4:$Q$153,MATCH(ROWS($A$4:A140),$AF$4:$AF$153,0)),"")</f>
        <v/>
      </c>
      <c r="B140" s="35" t="str">
        <f>IFERROR(INDEX($R$4:$R$153,MATCH(ROWS($A$4:A140),$AF$4:$AF$153,0)),"")</f>
        <v/>
      </c>
      <c r="C140" s="35" t="str">
        <f>IFERROR(INDEX($S$4:$S$153,MATCH(ROWS($A$4:A140),$AF$4:$AF$153,0)),"")</f>
        <v/>
      </c>
      <c r="D140" s="35" t="str">
        <f>IFERROR(INDEX($T$4:$T$153,MATCH(ROWS($A$4:A140),$AF$4:$AF$153,0)),"")</f>
        <v/>
      </c>
      <c r="E140" s="35" t="str">
        <f>IFERROR(INDEX($U$4:$U$153,MATCH(ROWS($A$4:A140),$AF$4:$AF$153,0)),"")</f>
        <v/>
      </c>
      <c r="F140" s="35" t="str">
        <f>IFERROR(INDEX($V$4:$V$153,MATCH(ROWS($A$4:A140),$AF$4:$AF$153,0)),"")</f>
        <v/>
      </c>
      <c r="G140" s="35" t="str">
        <f>IFERROR(INDEX($W$4:$W$153,MATCH(ROWS($A$4:A140),$AF$4:$AF$153,0)),"")</f>
        <v/>
      </c>
      <c r="H140" s="35" t="str">
        <f>IFERROR(INDEX($X$4:$X$153,MATCH(ROWS($A$4:A140),$AF$4:$AF$153,0)),"")</f>
        <v/>
      </c>
      <c r="I140" s="35" t="str">
        <f>IFERROR(INDEX($Y$4:$Y$153,MATCH(ROWS($A$4:A140),$AF$4:$AF$153,0)),"")</f>
        <v/>
      </c>
      <c r="J140" s="35" t="str">
        <f>IFERROR(INDEX($Z$4:$Z$153,MATCH(ROWS($A$4:A140),$AF$4:$AF$153,0)),"")</f>
        <v/>
      </c>
      <c r="K140" s="35" t="str">
        <f>IFERROR(INDEX($AA$4:$AA$153,MATCH(ROWS($A$4:A140),$AF$4:$AF$153,0)),"")</f>
        <v/>
      </c>
      <c r="L140" s="35" t="str">
        <f>IFERROR(INDEX($AB$4:$AB$153,MATCH(ROWS($A$4:A140),$AF$4:$AF$153,0)),"")</f>
        <v/>
      </c>
      <c r="M140" s="35" t="str">
        <f>IFERROR(INDEX($AC$4:$AC$153,MATCH(ROWS($A$4:A140),$AF$4:$AF$153,0)),"")</f>
        <v/>
      </c>
      <c r="N140" s="35" t="str">
        <f>IFERROR(INDEX($AD$4:$AD$153,MATCH(ROWS($A$4:A140),$AF$4:$AF$153,0)),"")</f>
        <v/>
      </c>
      <c r="Q140" t="str">
        <f>T(JAN!B142)</f>
        <v/>
      </c>
      <c r="R140" t="str">
        <f t="array" ref="R140">IF($Q140="","",_xlfn.TEXTJOIN(", ",TRUE,IF(JAN!$G142:$AK142="HE",JAN!$G$4:$AK$4,"")))</f>
        <v/>
      </c>
      <c r="S140" t="str">
        <f t="array" ref="S140">IF($Q140="","",_xlfn.TEXTJOIN(", ",TRUE,IF(FEV!$G142:$AK142="HE",FEV!$G$4:$AK$4,"")))</f>
        <v/>
      </c>
      <c r="T140" t="str">
        <f t="array" ref="T140">IF($Q140="","",_xlfn.TEXTJOIN(", ",TRUE,IF(MAR!$G142:$AK142="HE",MAR!$G$4:$AK$4,"")))</f>
        <v/>
      </c>
      <c r="U140" t="str">
        <f t="array" ref="U140">IF($Q140="","",_xlfn.TEXTJOIN(", ",TRUE,IF(ABR!$G142:$AK142="HE",ABR!$G$4:$AK$4,"")))</f>
        <v/>
      </c>
      <c r="V140" t="str">
        <f t="array" ref="V140">IF($Q140="","",_xlfn.TEXTJOIN(", ",TRUE,IF(MAI!$G142:$AK142="HE",MAI!$G$4:$AK$4,"")))</f>
        <v/>
      </c>
      <c r="W140" t="str">
        <f t="array" ref="W140">IF($Q140="","",_xlfn.TEXTJOIN(", ",TRUE,IF(JUN!$G142:$AK142="HE",JUN!$G$4:$AK$4,"")))</f>
        <v/>
      </c>
      <c r="X140" t="str">
        <f t="array" ref="X140">IF($Q140="","",_xlfn.TEXTJOIN(", ",TRUE,IF(JUL!$G142:$AK142="HE",JUL!$G$4:$AK$4,"")))</f>
        <v/>
      </c>
      <c r="Y140" t="str">
        <f t="array" ref="Y140">IF($Q140="","",_xlfn.TEXTJOIN(", ",TRUE,IF(AGO!$G142:$AK142="HE",AGO!$G$4:$AK$4,"")))</f>
        <v/>
      </c>
      <c r="Z140" t="str">
        <f t="array" ref="Z140">IF($Q140="","",_xlfn.TEXTJOIN(", ",TRUE,IF(SET!$G142:$AK142="HE",SET!$G$4:$AK$4,"")))</f>
        <v/>
      </c>
      <c r="AA140" t="str">
        <f t="array" ref="AA140">IF($Q140="","",_xlfn.TEXTJOIN(", ",TRUE,IF(OUT!$G142:$AK142="HE",OUT!$G$4:$AK$4,"")))</f>
        <v/>
      </c>
      <c r="AB140" t="str">
        <f t="array" ref="AB140">IF($Q140="","",_xlfn.TEXTJOIN(", ",TRUE,IF(NOV!$G142:$AK142="HE",NOV!$G$4:$AK$4,"")))</f>
        <v/>
      </c>
      <c r="AC140" t="str">
        <f t="array" ref="AC140">IF($Q140="","",_xlfn.TEXTJOIN(", ",TRUE,IF(DEZ!$G142:$AK142="HE",DEZ!$G$4:$AK$4,"")))</f>
        <v/>
      </c>
      <c r="AD140" t="str">
        <f>IF($Q140="","",SUM(JAN:DEZ!C142))</f>
        <v/>
      </c>
      <c r="AF140" t="str">
        <f>IF(AND($Q140&lt;&gt;"",N($AD140)&gt;0),COUNT($AF$3:AF139)+1,"")</f>
        <v/>
      </c>
    </row>
    <row r="141" spans="1:32" x14ac:dyDescent="0.25">
      <c r="A141" s="36" t="str">
        <f>IFERROR(INDEX($Q$4:$Q$153,MATCH(ROWS($A$4:A141),$AF$4:$AF$153,0)),"")</f>
        <v/>
      </c>
      <c r="B141" s="35" t="str">
        <f>IFERROR(INDEX($R$4:$R$153,MATCH(ROWS($A$4:A141),$AF$4:$AF$153,0)),"")</f>
        <v/>
      </c>
      <c r="C141" s="35" t="str">
        <f>IFERROR(INDEX($S$4:$S$153,MATCH(ROWS($A$4:A141),$AF$4:$AF$153,0)),"")</f>
        <v/>
      </c>
      <c r="D141" s="35" t="str">
        <f>IFERROR(INDEX($T$4:$T$153,MATCH(ROWS($A$4:A141),$AF$4:$AF$153,0)),"")</f>
        <v/>
      </c>
      <c r="E141" s="35" t="str">
        <f>IFERROR(INDEX($U$4:$U$153,MATCH(ROWS($A$4:A141),$AF$4:$AF$153,0)),"")</f>
        <v/>
      </c>
      <c r="F141" s="35" t="str">
        <f>IFERROR(INDEX($V$4:$V$153,MATCH(ROWS($A$4:A141),$AF$4:$AF$153,0)),"")</f>
        <v/>
      </c>
      <c r="G141" s="35" t="str">
        <f>IFERROR(INDEX($W$4:$W$153,MATCH(ROWS($A$4:A141),$AF$4:$AF$153,0)),"")</f>
        <v/>
      </c>
      <c r="H141" s="35" t="str">
        <f>IFERROR(INDEX($X$4:$X$153,MATCH(ROWS($A$4:A141),$AF$4:$AF$153,0)),"")</f>
        <v/>
      </c>
      <c r="I141" s="35" t="str">
        <f>IFERROR(INDEX($Y$4:$Y$153,MATCH(ROWS($A$4:A141),$AF$4:$AF$153,0)),"")</f>
        <v/>
      </c>
      <c r="J141" s="35" t="str">
        <f>IFERROR(INDEX($Z$4:$Z$153,MATCH(ROWS($A$4:A141),$AF$4:$AF$153,0)),"")</f>
        <v/>
      </c>
      <c r="K141" s="35" t="str">
        <f>IFERROR(INDEX($AA$4:$AA$153,MATCH(ROWS($A$4:A141),$AF$4:$AF$153,0)),"")</f>
        <v/>
      </c>
      <c r="L141" s="35" t="str">
        <f>IFERROR(INDEX($AB$4:$AB$153,MATCH(ROWS($A$4:A141),$AF$4:$AF$153,0)),"")</f>
        <v/>
      </c>
      <c r="M141" s="35" t="str">
        <f>IFERROR(INDEX($AC$4:$AC$153,MATCH(ROWS($A$4:A141),$AF$4:$AF$153,0)),"")</f>
        <v/>
      </c>
      <c r="N141" s="35" t="str">
        <f>IFERROR(INDEX($AD$4:$AD$153,MATCH(ROWS($A$4:A141),$AF$4:$AF$153,0)),"")</f>
        <v/>
      </c>
      <c r="Q141" t="str">
        <f>T(JAN!B143)</f>
        <v/>
      </c>
      <c r="R141" t="str">
        <f t="array" ref="R141">IF($Q141="","",_xlfn.TEXTJOIN(", ",TRUE,IF(JAN!$G143:$AK143="HE",JAN!$G$4:$AK$4,"")))</f>
        <v/>
      </c>
      <c r="S141" t="str">
        <f t="array" ref="S141">IF($Q141="","",_xlfn.TEXTJOIN(", ",TRUE,IF(FEV!$G143:$AK143="HE",FEV!$G$4:$AK$4,"")))</f>
        <v/>
      </c>
      <c r="T141" t="str">
        <f t="array" ref="T141">IF($Q141="","",_xlfn.TEXTJOIN(", ",TRUE,IF(MAR!$G143:$AK143="HE",MAR!$G$4:$AK$4,"")))</f>
        <v/>
      </c>
      <c r="U141" t="str">
        <f t="array" ref="U141">IF($Q141="","",_xlfn.TEXTJOIN(", ",TRUE,IF(ABR!$G143:$AK143="HE",ABR!$G$4:$AK$4,"")))</f>
        <v/>
      </c>
      <c r="V141" t="str">
        <f t="array" ref="V141">IF($Q141="","",_xlfn.TEXTJOIN(", ",TRUE,IF(MAI!$G143:$AK143="HE",MAI!$G$4:$AK$4,"")))</f>
        <v/>
      </c>
      <c r="W141" t="str">
        <f t="array" ref="W141">IF($Q141="","",_xlfn.TEXTJOIN(", ",TRUE,IF(JUN!$G143:$AK143="HE",JUN!$G$4:$AK$4,"")))</f>
        <v/>
      </c>
      <c r="X141" t="str">
        <f t="array" ref="X141">IF($Q141="","",_xlfn.TEXTJOIN(", ",TRUE,IF(JUL!$G143:$AK143="HE",JUL!$G$4:$AK$4,"")))</f>
        <v/>
      </c>
      <c r="Y141" t="str">
        <f t="array" ref="Y141">IF($Q141="","",_xlfn.TEXTJOIN(", ",TRUE,IF(AGO!$G143:$AK143="HE",AGO!$G$4:$AK$4,"")))</f>
        <v/>
      </c>
      <c r="Z141" t="str">
        <f t="array" ref="Z141">IF($Q141="","",_xlfn.TEXTJOIN(", ",TRUE,IF(SET!$G143:$AK143="HE",SET!$G$4:$AK$4,"")))</f>
        <v/>
      </c>
      <c r="AA141" t="str">
        <f t="array" ref="AA141">IF($Q141="","",_xlfn.TEXTJOIN(", ",TRUE,IF(OUT!$G143:$AK143="HE",OUT!$G$4:$AK$4,"")))</f>
        <v/>
      </c>
      <c r="AB141" t="str">
        <f t="array" ref="AB141">IF($Q141="","",_xlfn.TEXTJOIN(", ",TRUE,IF(NOV!$G143:$AK143="HE",NOV!$G$4:$AK$4,"")))</f>
        <v/>
      </c>
      <c r="AC141" t="str">
        <f t="array" ref="AC141">IF($Q141="","",_xlfn.TEXTJOIN(", ",TRUE,IF(DEZ!$G143:$AK143="HE",DEZ!$G$4:$AK$4,"")))</f>
        <v/>
      </c>
      <c r="AD141" t="str">
        <f>IF($Q141="","",SUM(JAN:DEZ!C143))</f>
        <v/>
      </c>
      <c r="AF141" t="str">
        <f>IF(AND($Q141&lt;&gt;"",N($AD141)&gt;0),COUNT($AF$3:AF140)+1,"")</f>
        <v/>
      </c>
    </row>
    <row r="142" spans="1:32" x14ac:dyDescent="0.25">
      <c r="A142" s="36" t="str">
        <f>IFERROR(INDEX($Q$4:$Q$153,MATCH(ROWS($A$4:A142),$AF$4:$AF$153,0)),"")</f>
        <v/>
      </c>
      <c r="B142" s="35" t="str">
        <f>IFERROR(INDEX($R$4:$R$153,MATCH(ROWS($A$4:A142),$AF$4:$AF$153,0)),"")</f>
        <v/>
      </c>
      <c r="C142" s="35" t="str">
        <f>IFERROR(INDEX($S$4:$S$153,MATCH(ROWS($A$4:A142),$AF$4:$AF$153,0)),"")</f>
        <v/>
      </c>
      <c r="D142" s="35" t="str">
        <f>IFERROR(INDEX($T$4:$T$153,MATCH(ROWS($A$4:A142),$AF$4:$AF$153,0)),"")</f>
        <v/>
      </c>
      <c r="E142" s="35" t="str">
        <f>IFERROR(INDEX($U$4:$U$153,MATCH(ROWS($A$4:A142),$AF$4:$AF$153,0)),"")</f>
        <v/>
      </c>
      <c r="F142" s="35" t="str">
        <f>IFERROR(INDEX($V$4:$V$153,MATCH(ROWS($A$4:A142),$AF$4:$AF$153,0)),"")</f>
        <v/>
      </c>
      <c r="G142" s="35" t="str">
        <f>IFERROR(INDEX($W$4:$W$153,MATCH(ROWS($A$4:A142),$AF$4:$AF$153,0)),"")</f>
        <v/>
      </c>
      <c r="H142" s="35" t="str">
        <f>IFERROR(INDEX($X$4:$X$153,MATCH(ROWS($A$4:A142),$AF$4:$AF$153,0)),"")</f>
        <v/>
      </c>
      <c r="I142" s="35" t="str">
        <f>IFERROR(INDEX($Y$4:$Y$153,MATCH(ROWS($A$4:A142),$AF$4:$AF$153,0)),"")</f>
        <v/>
      </c>
      <c r="J142" s="35" t="str">
        <f>IFERROR(INDEX($Z$4:$Z$153,MATCH(ROWS($A$4:A142),$AF$4:$AF$153,0)),"")</f>
        <v/>
      </c>
      <c r="K142" s="35" t="str">
        <f>IFERROR(INDEX($AA$4:$AA$153,MATCH(ROWS($A$4:A142),$AF$4:$AF$153,0)),"")</f>
        <v/>
      </c>
      <c r="L142" s="35" t="str">
        <f>IFERROR(INDEX($AB$4:$AB$153,MATCH(ROWS($A$4:A142),$AF$4:$AF$153,0)),"")</f>
        <v/>
      </c>
      <c r="M142" s="35" t="str">
        <f>IFERROR(INDEX($AC$4:$AC$153,MATCH(ROWS($A$4:A142),$AF$4:$AF$153,0)),"")</f>
        <v/>
      </c>
      <c r="N142" s="35" t="str">
        <f>IFERROR(INDEX($AD$4:$AD$153,MATCH(ROWS($A$4:A142),$AF$4:$AF$153,0)),"")</f>
        <v/>
      </c>
      <c r="Q142" t="str">
        <f>T(JAN!B144)</f>
        <v/>
      </c>
      <c r="R142" t="str">
        <f t="array" ref="R142">IF($Q142="","",_xlfn.TEXTJOIN(", ",TRUE,IF(JAN!$G144:$AK144="HE",JAN!$G$4:$AK$4,"")))</f>
        <v/>
      </c>
      <c r="S142" t="str">
        <f t="array" ref="S142">IF($Q142="","",_xlfn.TEXTJOIN(", ",TRUE,IF(FEV!$G144:$AK144="HE",FEV!$G$4:$AK$4,"")))</f>
        <v/>
      </c>
      <c r="T142" t="str">
        <f t="array" ref="T142">IF($Q142="","",_xlfn.TEXTJOIN(", ",TRUE,IF(MAR!$G144:$AK144="HE",MAR!$G$4:$AK$4,"")))</f>
        <v/>
      </c>
      <c r="U142" t="str">
        <f t="array" ref="U142">IF($Q142="","",_xlfn.TEXTJOIN(", ",TRUE,IF(ABR!$G144:$AK144="HE",ABR!$G$4:$AK$4,"")))</f>
        <v/>
      </c>
      <c r="V142" t="str">
        <f t="array" ref="V142">IF($Q142="","",_xlfn.TEXTJOIN(", ",TRUE,IF(MAI!$G144:$AK144="HE",MAI!$G$4:$AK$4,"")))</f>
        <v/>
      </c>
      <c r="W142" t="str">
        <f t="array" ref="W142">IF($Q142="","",_xlfn.TEXTJOIN(", ",TRUE,IF(JUN!$G144:$AK144="HE",JUN!$G$4:$AK$4,"")))</f>
        <v/>
      </c>
      <c r="X142" t="str">
        <f t="array" ref="X142">IF($Q142="","",_xlfn.TEXTJOIN(", ",TRUE,IF(JUL!$G144:$AK144="HE",JUL!$G$4:$AK$4,"")))</f>
        <v/>
      </c>
      <c r="Y142" t="str">
        <f t="array" ref="Y142">IF($Q142="","",_xlfn.TEXTJOIN(", ",TRUE,IF(AGO!$G144:$AK144="HE",AGO!$G$4:$AK$4,"")))</f>
        <v/>
      </c>
      <c r="Z142" t="str">
        <f t="array" ref="Z142">IF($Q142="","",_xlfn.TEXTJOIN(", ",TRUE,IF(SET!$G144:$AK144="HE",SET!$G$4:$AK$4,"")))</f>
        <v/>
      </c>
      <c r="AA142" t="str">
        <f t="array" ref="AA142">IF($Q142="","",_xlfn.TEXTJOIN(", ",TRUE,IF(OUT!$G144:$AK144="HE",OUT!$G$4:$AK$4,"")))</f>
        <v/>
      </c>
      <c r="AB142" t="str">
        <f t="array" ref="AB142">IF($Q142="","",_xlfn.TEXTJOIN(", ",TRUE,IF(NOV!$G144:$AK144="HE",NOV!$G$4:$AK$4,"")))</f>
        <v/>
      </c>
      <c r="AC142" t="str">
        <f t="array" ref="AC142">IF($Q142="","",_xlfn.TEXTJOIN(", ",TRUE,IF(DEZ!$G144:$AK144="HE",DEZ!$G$4:$AK$4,"")))</f>
        <v/>
      </c>
      <c r="AD142" t="str">
        <f>IF($Q142="","",SUM(JAN:DEZ!C144))</f>
        <v/>
      </c>
      <c r="AF142" t="str">
        <f>IF(AND($Q142&lt;&gt;"",N($AD142)&gt;0),COUNT($AF$3:AF141)+1,"")</f>
        <v/>
      </c>
    </row>
    <row r="143" spans="1:32" x14ac:dyDescent="0.25">
      <c r="A143" s="36" t="str">
        <f>IFERROR(INDEX($Q$4:$Q$153,MATCH(ROWS($A$4:A143),$AF$4:$AF$153,0)),"")</f>
        <v/>
      </c>
      <c r="B143" s="35" t="str">
        <f>IFERROR(INDEX($R$4:$R$153,MATCH(ROWS($A$4:A143),$AF$4:$AF$153,0)),"")</f>
        <v/>
      </c>
      <c r="C143" s="35" t="str">
        <f>IFERROR(INDEX($S$4:$S$153,MATCH(ROWS($A$4:A143),$AF$4:$AF$153,0)),"")</f>
        <v/>
      </c>
      <c r="D143" s="35" t="str">
        <f>IFERROR(INDEX($T$4:$T$153,MATCH(ROWS($A$4:A143),$AF$4:$AF$153,0)),"")</f>
        <v/>
      </c>
      <c r="E143" s="35" t="str">
        <f>IFERROR(INDEX($U$4:$U$153,MATCH(ROWS($A$4:A143),$AF$4:$AF$153,0)),"")</f>
        <v/>
      </c>
      <c r="F143" s="35" t="str">
        <f>IFERROR(INDEX($V$4:$V$153,MATCH(ROWS($A$4:A143),$AF$4:$AF$153,0)),"")</f>
        <v/>
      </c>
      <c r="G143" s="35" t="str">
        <f>IFERROR(INDEX($W$4:$W$153,MATCH(ROWS($A$4:A143),$AF$4:$AF$153,0)),"")</f>
        <v/>
      </c>
      <c r="H143" s="35" t="str">
        <f>IFERROR(INDEX($X$4:$X$153,MATCH(ROWS($A$4:A143),$AF$4:$AF$153,0)),"")</f>
        <v/>
      </c>
      <c r="I143" s="35" t="str">
        <f>IFERROR(INDEX($Y$4:$Y$153,MATCH(ROWS($A$4:A143),$AF$4:$AF$153,0)),"")</f>
        <v/>
      </c>
      <c r="J143" s="35" t="str">
        <f>IFERROR(INDEX($Z$4:$Z$153,MATCH(ROWS($A$4:A143),$AF$4:$AF$153,0)),"")</f>
        <v/>
      </c>
      <c r="K143" s="35" t="str">
        <f>IFERROR(INDEX($AA$4:$AA$153,MATCH(ROWS($A$4:A143),$AF$4:$AF$153,0)),"")</f>
        <v/>
      </c>
      <c r="L143" s="35" t="str">
        <f>IFERROR(INDEX($AB$4:$AB$153,MATCH(ROWS($A$4:A143),$AF$4:$AF$153,0)),"")</f>
        <v/>
      </c>
      <c r="M143" s="35" t="str">
        <f>IFERROR(INDEX($AC$4:$AC$153,MATCH(ROWS($A$4:A143),$AF$4:$AF$153,0)),"")</f>
        <v/>
      </c>
      <c r="N143" s="35" t="str">
        <f>IFERROR(INDEX($AD$4:$AD$153,MATCH(ROWS($A$4:A143),$AF$4:$AF$153,0)),"")</f>
        <v/>
      </c>
      <c r="Q143" t="str">
        <f>T(JAN!B145)</f>
        <v/>
      </c>
      <c r="R143" t="str">
        <f t="array" ref="R143">IF($Q143="","",_xlfn.TEXTJOIN(", ",TRUE,IF(JAN!$G145:$AK145="HE",JAN!$G$4:$AK$4,"")))</f>
        <v/>
      </c>
      <c r="S143" t="str">
        <f t="array" ref="S143">IF($Q143="","",_xlfn.TEXTJOIN(", ",TRUE,IF(FEV!$G145:$AK145="HE",FEV!$G$4:$AK$4,"")))</f>
        <v/>
      </c>
      <c r="T143" t="str">
        <f t="array" ref="T143">IF($Q143="","",_xlfn.TEXTJOIN(", ",TRUE,IF(MAR!$G145:$AK145="HE",MAR!$G$4:$AK$4,"")))</f>
        <v/>
      </c>
      <c r="U143" t="str">
        <f t="array" ref="U143">IF($Q143="","",_xlfn.TEXTJOIN(", ",TRUE,IF(ABR!$G145:$AK145="HE",ABR!$G$4:$AK$4,"")))</f>
        <v/>
      </c>
      <c r="V143" t="str">
        <f t="array" ref="V143">IF($Q143="","",_xlfn.TEXTJOIN(", ",TRUE,IF(MAI!$G145:$AK145="HE",MAI!$G$4:$AK$4,"")))</f>
        <v/>
      </c>
      <c r="W143" t="str">
        <f t="array" ref="W143">IF($Q143="","",_xlfn.TEXTJOIN(", ",TRUE,IF(JUN!$G145:$AK145="HE",JUN!$G$4:$AK$4,"")))</f>
        <v/>
      </c>
      <c r="X143" t="str">
        <f t="array" ref="X143">IF($Q143="","",_xlfn.TEXTJOIN(", ",TRUE,IF(JUL!$G145:$AK145="HE",JUL!$G$4:$AK$4,"")))</f>
        <v/>
      </c>
      <c r="Y143" t="str">
        <f t="array" ref="Y143">IF($Q143="","",_xlfn.TEXTJOIN(", ",TRUE,IF(AGO!$G145:$AK145="HE",AGO!$G$4:$AK$4,"")))</f>
        <v/>
      </c>
      <c r="Z143" t="str">
        <f t="array" ref="Z143">IF($Q143="","",_xlfn.TEXTJOIN(", ",TRUE,IF(SET!$G145:$AK145="HE",SET!$G$4:$AK$4,"")))</f>
        <v/>
      </c>
      <c r="AA143" t="str">
        <f t="array" ref="AA143">IF($Q143="","",_xlfn.TEXTJOIN(", ",TRUE,IF(OUT!$G145:$AK145="HE",OUT!$G$4:$AK$4,"")))</f>
        <v/>
      </c>
      <c r="AB143" t="str">
        <f t="array" ref="AB143">IF($Q143="","",_xlfn.TEXTJOIN(", ",TRUE,IF(NOV!$G145:$AK145="HE",NOV!$G$4:$AK$4,"")))</f>
        <v/>
      </c>
      <c r="AC143" t="str">
        <f t="array" ref="AC143">IF($Q143="","",_xlfn.TEXTJOIN(", ",TRUE,IF(DEZ!$G145:$AK145="HE",DEZ!$G$4:$AK$4,"")))</f>
        <v/>
      </c>
      <c r="AD143" t="str">
        <f>IF($Q143="","",SUM(JAN:DEZ!C145))</f>
        <v/>
      </c>
      <c r="AF143" t="str">
        <f>IF(AND($Q143&lt;&gt;"",N($AD143)&gt;0),COUNT($AF$3:AF142)+1,"")</f>
        <v/>
      </c>
    </row>
    <row r="144" spans="1:32" x14ac:dyDescent="0.25">
      <c r="A144" s="36" t="str">
        <f>IFERROR(INDEX($Q$4:$Q$153,MATCH(ROWS($A$4:A144),$AF$4:$AF$153,0)),"")</f>
        <v/>
      </c>
      <c r="B144" s="35" t="str">
        <f>IFERROR(INDEX($R$4:$R$153,MATCH(ROWS($A$4:A144),$AF$4:$AF$153,0)),"")</f>
        <v/>
      </c>
      <c r="C144" s="35" t="str">
        <f>IFERROR(INDEX($S$4:$S$153,MATCH(ROWS($A$4:A144),$AF$4:$AF$153,0)),"")</f>
        <v/>
      </c>
      <c r="D144" s="35" t="str">
        <f>IFERROR(INDEX($T$4:$T$153,MATCH(ROWS($A$4:A144),$AF$4:$AF$153,0)),"")</f>
        <v/>
      </c>
      <c r="E144" s="35" t="str">
        <f>IFERROR(INDEX($U$4:$U$153,MATCH(ROWS($A$4:A144),$AF$4:$AF$153,0)),"")</f>
        <v/>
      </c>
      <c r="F144" s="35" t="str">
        <f>IFERROR(INDEX($V$4:$V$153,MATCH(ROWS($A$4:A144),$AF$4:$AF$153,0)),"")</f>
        <v/>
      </c>
      <c r="G144" s="35" t="str">
        <f>IFERROR(INDEX($W$4:$W$153,MATCH(ROWS($A$4:A144),$AF$4:$AF$153,0)),"")</f>
        <v/>
      </c>
      <c r="H144" s="35" t="str">
        <f>IFERROR(INDEX($X$4:$X$153,MATCH(ROWS($A$4:A144),$AF$4:$AF$153,0)),"")</f>
        <v/>
      </c>
      <c r="I144" s="35" t="str">
        <f>IFERROR(INDEX($Y$4:$Y$153,MATCH(ROWS($A$4:A144),$AF$4:$AF$153,0)),"")</f>
        <v/>
      </c>
      <c r="J144" s="35" t="str">
        <f>IFERROR(INDEX($Z$4:$Z$153,MATCH(ROWS($A$4:A144),$AF$4:$AF$153,0)),"")</f>
        <v/>
      </c>
      <c r="K144" s="35" t="str">
        <f>IFERROR(INDEX($AA$4:$AA$153,MATCH(ROWS($A$4:A144),$AF$4:$AF$153,0)),"")</f>
        <v/>
      </c>
      <c r="L144" s="35" t="str">
        <f>IFERROR(INDEX($AB$4:$AB$153,MATCH(ROWS($A$4:A144),$AF$4:$AF$153,0)),"")</f>
        <v/>
      </c>
      <c r="M144" s="35" t="str">
        <f>IFERROR(INDEX($AC$4:$AC$153,MATCH(ROWS($A$4:A144),$AF$4:$AF$153,0)),"")</f>
        <v/>
      </c>
      <c r="N144" s="35" t="str">
        <f>IFERROR(INDEX($AD$4:$AD$153,MATCH(ROWS($A$4:A144),$AF$4:$AF$153,0)),"")</f>
        <v/>
      </c>
      <c r="Q144" t="str">
        <f>T(JAN!B146)</f>
        <v/>
      </c>
      <c r="R144" t="str">
        <f t="array" ref="R144">IF($Q144="","",_xlfn.TEXTJOIN(", ",TRUE,IF(JAN!$G146:$AK146="HE",JAN!$G$4:$AK$4,"")))</f>
        <v/>
      </c>
      <c r="S144" t="str">
        <f t="array" ref="S144">IF($Q144="","",_xlfn.TEXTJOIN(", ",TRUE,IF(FEV!$G146:$AK146="HE",FEV!$G$4:$AK$4,"")))</f>
        <v/>
      </c>
      <c r="T144" t="str">
        <f t="array" ref="T144">IF($Q144="","",_xlfn.TEXTJOIN(", ",TRUE,IF(MAR!$G146:$AK146="HE",MAR!$G$4:$AK$4,"")))</f>
        <v/>
      </c>
      <c r="U144" t="str">
        <f t="array" ref="U144">IF($Q144="","",_xlfn.TEXTJOIN(", ",TRUE,IF(ABR!$G146:$AK146="HE",ABR!$G$4:$AK$4,"")))</f>
        <v/>
      </c>
      <c r="V144" t="str">
        <f t="array" ref="V144">IF($Q144="","",_xlfn.TEXTJOIN(", ",TRUE,IF(MAI!$G146:$AK146="HE",MAI!$G$4:$AK$4,"")))</f>
        <v/>
      </c>
      <c r="W144" t="str">
        <f t="array" ref="W144">IF($Q144="","",_xlfn.TEXTJOIN(", ",TRUE,IF(JUN!$G146:$AK146="HE",JUN!$G$4:$AK$4,"")))</f>
        <v/>
      </c>
      <c r="X144" t="str">
        <f t="array" ref="X144">IF($Q144="","",_xlfn.TEXTJOIN(", ",TRUE,IF(JUL!$G146:$AK146="HE",JUL!$G$4:$AK$4,"")))</f>
        <v/>
      </c>
      <c r="Y144" t="str">
        <f t="array" ref="Y144">IF($Q144="","",_xlfn.TEXTJOIN(", ",TRUE,IF(AGO!$G146:$AK146="HE",AGO!$G$4:$AK$4,"")))</f>
        <v/>
      </c>
      <c r="Z144" t="str">
        <f t="array" ref="Z144">IF($Q144="","",_xlfn.TEXTJOIN(", ",TRUE,IF(SET!$G146:$AK146="HE",SET!$G$4:$AK$4,"")))</f>
        <v/>
      </c>
      <c r="AA144" t="str">
        <f t="array" ref="AA144">IF($Q144="","",_xlfn.TEXTJOIN(", ",TRUE,IF(OUT!$G146:$AK146="HE",OUT!$G$4:$AK$4,"")))</f>
        <v/>
      </c>
      <c r="AB144" t="str">
        <f t="array" ref="AB144">IF($Q144="","",_xlfn.TEXTJOIN(", ",TRUE,IF(NOV!$G146:$AK146="HE",NOV!$G$4:$AK$4,"")))</f>
        <v/>
      </c>
      <c r="AC144" t="str">
        <f t="array" ref="AC144">IF($Q144="","",_xlfn.TEXTJOIN(", ",TRUE,IF(DEZ!$G146:$AK146="HE",DEZ!$G$4:$AK$4,"")))</f>
        <v/>
      </c>
      <c r="AD144" t="str">
        <f>IF($Q144="","",SUM(JAN:DEZ!C146))</f>
        <v/>
      </c>
      <c r="AF144" t="str">
        <f>IF(AND($Q144&lt;&gt;"",N($AD144)&gt;0),COUNT($AF$3:AF143)+1,"")</f>
        <v/>
      </c>
    </row>
    <row r="145" spans="1:32" x14ac:dyDescent="0.25">
      <c r="A145" s="36" t="str">
        <f>IFERROR(INDEX($Q$4:$Q$153,MATCH(ROWS($A$4:A145),$AF$4:$AF$153,0)),"")</f>
        <v/>
      </c>
      <c r="B145" s="35" t="str">
        <f>IFERROR(INDEX($R$4:$R$153,MATCH(ROWS($A$4:A145),$AF$4:$AF$153,0)),"")</f>
        <v/>
      </c>
      <c r="C145" s="35" t="str">
        <f>IFERROR(INDEX($S$4:$S$153,MATCH(ROWS($A$4:A145),$AF$4:$AF$153,0)),"")</f>
        <v/>
      </c>
      <c r="D145" s="35" t="str">
        <f>IFERROR(INDEX($T$4:$T$153,MATCH(ROWS($A$4:A145),$AF$4:$AF$153,0)),"")</f>
        <v/>
      </c>
      <c r="E145" s="35" t="str">
        <f>IFERROR(INDEX($U$4:$U$153,MATCH(ROWS($A$4:A145),$AF$4:$AF$153,0)),"")</f>
        <v/>
      </c>
      <c r="F145" s="35" t="str">
        <f>IFERROR(INDEX($V$4:$V$153,MATCH(ROWS($A$4:A145),$AF$4:$AF$153,0)),"")</f>
        <v/>
      </c>
      <c r="G145" s="35" t="str">
        <f>IFERROR(INDEX($W$4:$W$153,MATCH(ROWS($A$4:A145),$AF$4:$AF$153,0)),"")</f>
        <v/>
      </c>
      <c r="H145" s="35" t="str">
        <f>IFERROR(INDEX($X$4:$X$153,MATCH(ROWS($A$4:A145),$AF$4:$AF$153,0)),"")</f>
        <v/>
      </c>
      <c r="I145" s="35" t="str">
        <f>IFERROR(INDEX($Y$4:$Y$153,MATCH(ROWS($A$4:A145),$AF$4:$AF$153,0)),"")</f>
        <v/>
      </c>
      <c r="J145" s="35" t="str">
        <f>IFERROR(INDEX($Z$4:$Z$153,MATCH(ROWS($A$4:A145),$AF$4:$AF$153,0)),"")</f>
        <v/>
      </c>
      <c r="K145" s="35" t="str">
        <f>IFERROR(INDEX($AA$4:$AA$153,MATCH(ROWS($A$4:A145),$AF$4:$AF$153,0)),"")</f>
        <v/>
      </c>
      <c r="L145" s="35" t="str">
        <f>IFERROR(INDEX($AB$4:$AB$153,MATCH(ROWS($A$4:A145),$AF$4:$AF$153,0)),"")</f>
        <v/>
      </c>
      <c r="M145" s="35" t="str">
        <f>IFERROR(INDEX($AC$4:$AC$153,MATCH(ROWS($A$4:A145),$AF$4:$AF$153,0)),"")</f>
        <v/>
      </c>
      <c r="N145" s="35" t="str">
        <f>IFERROR(INDEX($AD$4:$AD$153,MATCH(ROWS($A$4:A145),$AF$4:$AF$153,0)),"")</f>
        <v/>
      </c>
      <c r="Q145" t="str">
        <f>T(JAN!B147)</f>
        <v/>
      </c>
      <c r="R145" t="str">
        <f t="array" ref="R145">IF($Q145="","",_xlfn.TEXTJOIN(", ",TRUE,IF(JAN!$G147:$AK147="HE",JAN!$G$4:$AK$4,"")))</f>
        <v/>
      </c>
      <c r="S145" t="str">
        <f t="array" ref="S145">IF($Q145="","",_xlfn.TEXTJOIN(", ",TRUE,IF(FEV!$G147:$AK147="HE",FEV!$G$4:$AK$4,"")))</f>
        <v/>
      </c>
      <c r="T145" t="str">
        <f t="array" ref="T145">IF($Q145="","",_xlfn.TEXTJOIN(", ",TRUE,IF(MAR!$G147:$AK147="HE",MAR!$G$4:$AK$4,"")))</f>
        <v/>
      </c>
      <c r="U145" t="str">
        <f t="array" ref="U145">IF($Q145="","",_xlfn.TEXTJOIN(", ",TRUE,IF(ABR!$G147:$AK147="HE",ABR!$G$4:$AK$4,"")))</f>
        <v/>
      </c>
      <c r="V145" t="str">
        <f t="array" ref="V145">IF($Q145="","",_xlfn.TEXTJOIN(", ",TRUE,IF(MAI!$G147:$AK147="HE",MAI!$G$4:$AK$4,"")))</f>
        <v/>
      </c>
      <c r="W145" t="str">
        <f t="array" ref="W145">IF($Q145="","",_xlfn.TEXTJOIN(", ",TRUE,IF(JUN!$G147:$AK147="HE",JUN!$G$4:$AK$4,"")))</f>
        <v/>
      </c>
      <c r="X145" t="str">
        <f t="array" ref="X145">IF($Q145="","",_xlfn.TEXTJOIN(", ",TRUE,IF(JUL!$G147:$AK147="HE",JUL!$G$4:$AK$4,"")))</f>
        <v/>
      </c>
      <c r="Y145" t="str">
        <f t="array" ref="Y145">IF($Q145="","",_xlfn.TEXTJOIN(", ",TRUE,IF(AGO!$G147:$AK147="HE",AGO!$G$4:$AK$4,"")))</f>
        <v/>
      </c>
      <c r="Z145" t="str">
        <f t="array" ref="Z145">IF($Q145="","",_xlfn.TEXTJOIN(", ",TRUE,IF(SET!$G147:$AK147="HE",SET!$G$4:$AK$4,"")))</f>
        <v/>
      </c>
      <c r="AA145" t="str">
        <f t="array" ref="AA145">IF($Q145="","",_xlfn.TEXTJOIN(", ",TRUE,IF(OUT!$G147:$AK147="HE",OUT!$G$4:$AK$4,"")))</f>
        <v/>
      </c>
      <c r="AB145" t="str">
        <f t="array" ref="AB145">IF($Q145="","",_xlfn.TEXTJOIN(", ",TRUE,IF(NOV!$G147:$AK147="HE",NOV!$G$4:$AK$4,"")))</f>
        <v/>
      </c>
      <c r="AC145" t="str">
        <f t="array" ref="AC145">IF($Q145="","",_xlfn.TEXTJOIN(", ",TRUE,IF(DEZ!$G147:$AK147="HE",DEZ!$G$4:$AK$4,"")))</f>
        <v/>
      </c>
      <c r="AD145" t="str">
        <f>IF($Q145="","",SUM(JAN:DEZ!C147))</f>
        <v/>
      </c>
      <c r="AF145" t="str">
        <f>IF(AND($Q145&lt;&gt;"",N($AD145)&gt;0),COUNT($AF$3:AF144)+1,"")</f>
        <v/>
      </c>
    </row>
    <row r="146" spans="1:32" x14ac:dyDescent="0.25">
      <c r="A146" s="36" t="str">
        <f>IFERROR(INDEX($Q$4:$Q$153,MATCH(ROWS($A$4:A146),$AF$4:$AF$153,0)),"")</f>
        <v/>
      </c>
      <c r="B146" s="35" t="str">
        <f>IFERROR(INDEX($R$4:$R$153,MATCH(ROWS($A$4:A146),$AF$4:$AF$153,0)),"")</f>
        <v/>
      </c>
      <c r="C146" s="35" t="str">
        <f>IFERROR(INDEX($S$4:$S$153,MATCH(ROWS($A$4:A146),$AF$4:$AF$153,0)),"")</f>
        <v/>
      </c>
      <c r="D146" s="35" t="str">
        <f>IFERROR(INDEX($T$4:$T$153,MATCH(ROWS($A$4:A146),$AF$4:$AF$153,0)),"")</f>
        <v/>
      </c>
      <c r="E146" s="35" t="str">
        <f>IFERROR(INDEX($U$4:$U$153,MATCH(ROWS($A$4:A146),$AF$4:$AF$153,0)),"")</f>
        <v/>
      </c>
      <c r="F146" s="35" t="str">
        <f>IFERROR(INDEX($V$4:$V$153,MATCH(ROWS($A$4:A146),$AF$4:$AF$153,0)),"")</f>
        <v/>
      </c>
      <c r="G146" s="35" t="str">
        <f>IFERROR(INDEX($W$4:$W$153,MATCH(ROWS($A$4:A146),$AF$4:$AF$153,0)),"")</f>
        <v/>
      </c>
      <c r="H146" s="35" t="str">
        <f>IFERROR(INDEX($X$4:$X$153,MATCH(ROWS($A$4:A146),$AF$4:$AF$153,0)),"")</f>
        <v/>
      </c>
      <c r="I146" s="35" t="str">
        <f>IFERROR(INDEX($Y$4:$Y$153,MATCH(ROWS($A$4:A146),$AF$4:$AF$153,0)),"")</f>
        <v/>
      </c>
      <c r="J146" s="35" t="str">
        <f>IFERROR(INDEX($Z$4:$Z$153,MATCH(ROWS($A$4:A146),$AF$4:$AF$153,0)),"")</f>
        <v/>
      </c>
      <c r="K146" s="35" t="str">
        <f>IFERROR(INDEX($AA$4:$AA$153,MATCH(ROWS($A$4:A146),$AF$4:$AF$153,0)),"")</f>
        <v/>
      </c>
      <c r="L146" s="35" t="str">
        <f>IFERROR(INDEX($AB$4:$AB$153,MATCH(ROWS($A$4:A146),$AF$4:$AF$153,0)),"")</f>
        <v/>
      </c>
      <c r="M146" s="35" t="str">
        <f>IFERROR(INDEX($AC$4:$AC$153,MATCH(ROWS($A$4:A146),$AF$4:$AF$153,0)),"")</f>
        <v/>
      </c>
      <c r="N146" s="35" t="str">
        <f>IFERROR(INDEX($AD$4:$AD$153,MATCH(ROWS($A$4:A146),$AF$4:$AF$153,0)),"")</f>
        <v/>
      </c>
      <c r="Q146" t="str">
        <f>T(JAN!B148)</f>
        <v/>
      </c>
      <c r="R146" t="str">
        <f t="array" ref="R146">IF($Q146="","",_xlfn.TEXTJOIN(", ",TRUE,IF(JAN!$G148:$AK148="HE",JAN!$G$4:$AK$4,"")))</f>
        <v/>
      </c>
      <c r="S146" t="str">
        <f t="array" ref="S146">IF($Q146="","",_xlfn.TEXTJOIN(", ",TRUE,IF(FEV!$G148:$AK148="HE",FEV!$G$4:$AK$4,"")))</f>
        <v/>
      </c>
      <c r="T146" t="str">
        <f t="array" ref="T146">IF($Q146="","",_xlfn.TEXTJOIN(", ",TRUE,IF(MAR!$G148:$AK148="HE",MAR!$G$4:$AK$4,"")))</f>
        <v/>
      </c>
      <c r="U146" t="str">
        <f t="array" ref="U146">IF($Q146="","",_xlfn.TEXTJOIN(", ",TRUE,IF(ABR!$G148:$AK148="HE",ABR!$G$4:$AK$4,"")))</f>
        <v/>
      </c>
      <c r="V146" t="str">
        <f t="array" ref="V146">IF($Q146="","",_xlfn.TEXTJOIN(", ",TRUE,IF(MAI!$G148:$AK148="HE",MAI!$G$4:$AK$4,"")))</f>
        <v/>
      </c>
      <c r="W146" t="str">
        <f t="array" ref="W146">IF($Q146="","",_xlfn.TEXTJOIN(", ",TRUE,IF(JUN!$G148:$AK148="HE",JUN!$G$4:$AK$4,"")))</f>
        <v/>
      </c>
      <c r="X146" t="str">
        <f t="array" ref="X146">IF($Q146="","",_xlfn.TEXTJOIN(", ",TRUE,IF(JUL!$G148:$AK148="HE",JUL!$G$4:$AK$4,"")))</f>
        <v/>
      </c>
      <c r="Y146" t="str">
        <f t="array" ref="Y146">IF($Q146="","",_xlfn.TEXTJOIN(", ",TRUE,IF(AGO!$G148:$AK148="HE",AGO!$G$4:$AK$4,"")))</f>
        <v/>
      </c>
      <c r="Z146" t="str">
        <f t="array" ref="Z146">IF($Q146="","",_xlfn.TEXTJOIN(", ",TRUE,IF(SET!$G148:$AK148="HE",SET!$G$4:$AK$4,"")))</f>
        <v/>
      </c>
      <c r="AA146" t="str">
        <f t="array" ref="AA146">IF($Q146="","",_xlfn.TEXTJOIN(", ",TRUE,IF(OUT!$G148:$AK148="HE",OUT!$G$4:$AK$4,"")))</f>
        <v/>
      </c>
      <c r="AB146" t="str">
        <f t="array" ref="AB146">IF($Q146="","",_xlfn.TEXTJOIN(", ",TRUE,IF(NOV!$G148:$AK148="HE",NOV!$G$4:$AK$4,"")))</f>
        <v/>
      </c>
      <c r="AC146" t="str">
        <f t="array" ref="AC146">IF($Q146="","",_xlfn.TEXTJOIN(", ",TRUE,IF(DEZ!$G148:$AK148="HE",DEZ!$G$4:$AK$4,"")))</f>
        <v/>
      </c>
      <c r="AD146" t="str">
        <f>IF($Q146="","",SUM(JAN:DEZ!C148))</f>
        <v/>
      </c>
      <c r="AF146" t="str">
        <f>IF(AND($Q146&lt;&gt;"",N($AD146)&gt;0),COUNT($AF$3:AF145)+1,"")</f>
        <v/>
      </c>
    </row>
    <row r="147" spans="1:32" x14ac:dyDescent="0.25">
      <c r="A147" s="36" t="str">
        <f>IFERROR(INDEX($Q$4:$Q$153,MATCH(ROWS($A$4:A147),$AF$4:$AF$153,0)),"")</f>
        <v/>
      </c>
      <c r="B147" s="35" t="str">
        <f>IFERROR(INDEX($R$4:$R$153,MATCH(ROWS($A$4:A147),$AF$4:$AF$153,0)),"")</f>
        <v/>
      </c>
      <c r="C147" s="35" t="str">
        <f>IFERROR(INDEX($S$4:$S$153,MATCH(ROWS($A$4:A147),$AF$4:$AF$153,0)),"")</f>
        <v/>
      </c>
      <c r="D147" s="35" t="str">
        <f>IFERROR(INDEX($T$4:$T$153,MATCH(ROWS($A$4:A147),$AF$4:$AF$153,0)),"")</f>
        <v/>
      </c>
      <c r="E147" s="35" t="str">
        <f>IFERROR(INDEX($U$4:$U$153,MATCH(ROWS($A$4:A147),$AF$4:$AF$153,0)),"")</f>
        <v/>
      </c>
      <c r="F147" s="35" t="str">
        <f>IFERROR(INDEX($V$4:$V$153,MATCH(ROWS($A$4:A147),$AF$4:$AF$153,0)),"")</f>
        <v/>
      </c>
      <c r="G147" s="35" t="str">
        <f>IFERROR(INDEX($W$4:$W$153,MATCH(ROWS($A$4:A147),$AF$4:$AF$153,0)),"")</f>
        <v/>
      </c>
      <c r="H147" s="35" t="str">
        <f>IFERROR(INDEX($X$4:$X$153,MATCH(ROWS($A$4:A147),$AF$4:$AF$153,0)),"")</f>
        <v/>
      </c>
      <c r="I147" s="35" t="str">
        <f>IFERROR(INDEX($Y$4:$Y$153,MATCH(ROWS($A$4:A147),$AF$4:$AF$153,0)),"")</f>
        <v/>
      </c>
      <c r="J147" s="35" t="str">
        <f>IFERROR(INDEX($Z$4:$Z$153,MATCH(ROWS($A$4:A147),$AF$4:$AF$153,0)),"")</f>
        <v/>
      </c>
      <c r="K147" s="35" t="str">
        <f>IFERROR(INDEX($AA$4:$AA$153,MATCH(ROWS($A$4:A147),$AF$4:$AF$153,0)),"")</f>
        <v/>
      </c>
      <c r="L147" s="35" t="str">
        <f>IFERROR(INDEX($AB$4:$AB$153,MATCH(ROWS($A$4:A147),$AF$4:$AF$153,0)),"")</f>
        <v/>
      </c>
      <c r="M147" s="35" t="str">
        <f>IFERROR(INDEX($AC$4:$AC$153,MATCH(ROWS($A$4:A147),$AF$4:$AF$153,0)),"")</f>
        <v/>
      </c>
      <c r="N147" s="35" t="str">
        <f>IFERROR(INDEX($AD$4:$AD$153,MATCH(ROWS($A$4:A147),$AF$4:$AF$153,0)),"")</f>
        <v/>
      </c>
      <c r="Q147" t="str">
        <f>T(JAN!B149)</f>
        <v/>
      </c>
      <c r="R147" t="str">
        <f t="array" ref="R147">IF($Q147="","",_xlfn.TEXTJOIN(", ",TRUE,IF(JAN!$G149:$AK149="HE",JAN!$G$4:$AK$4,"")))</f>
        <v/>
      </c>
      <c r="S147" t="str">
        <f t="array" ref="S147">IF($Q147="","",_xlfn.TEXTJOIN(", ",TRUE,IF(FEV!$G149:$AK149="HE",FEV!$G$4:$AK$4,"")))</f>
        <v/>
      </c>
      <c r="T147" t="str">
        <f t="array" ref="T147">IF($Q147="","",_xlfn.TEXTJOIN(", ",TRUE,IF(MAR!$G149:$AK149="HE",MAR!$G$4:$AK$4,"")))</f>
        <v/>
      </c>
      <c r="U147" t="str">
        <f t="array" ref="U147">IF($Q147="","",_xlfn.TEXTJOIN(", ",TRUE,IF(ABR!$G149:$AK149="HE",ABR!$G$4:$AK$4,"")))</f>
        <v/>
      </c>
      <c r="V147" t="str">
        <f t="array" ref="V147">IF($Q147="","",_xlfn.TEXTJOIN(", ",TRUE,IF(MAI!$G149:$AK149="HE",MAI!$G$4:$AK$4,"")))</f>
        <v/>
      </c>
      <c r="W147" t="str">
        <f t="array" ref="W147">IF($Q147="","",_xlfn.TEXTJOIN(", ",TRUE,IF(JUN!$G149:$AK149="HE",JUN!$G$4:$AK$4,"")))</f>
        <v/>
      </c>
      <c r="X147" t="str">
        <f t="array" ref="X147">IF($Q147="","",_xlfn.TEXTJOIN(", ",TRUE,IF(JUL!$G149:$AK149="HE",JUL!$G$4:$AK$4,"")))</f>
        <v/>
      </c>
      <c r="Y147" t="str">
        <f t="array" ref="Y147">IF($Q147="","",_xlfn.TEXTJOIN(", ",TRUE,IF(AGO!$G149:$AK149="HE",AGO!$G$4:$AK$4,"")))</f>
        <v/>
      </c>
      <c r="Z147" t="str">
        <f t="array" ref="Z147">IF($Q147="","",_xlfn.TEXTJOIN(", ",TRUE,IF(SET!$G149:$AK149="HE",SET!$G$4:$AK$4,"")))</f>
        <v/>
      </c>
      <c r="AA147" t="str">
        <f t="array" ref="AA147">IF($Q147="","",_xlfn.TEXTJOIN(", ",TRUE,IF(OUT!$G149:$AK149="HE",OUT!$G$4:$AK$4,"")))</f>
        <v/>
      </c>
      <c r="AB147" t="str">
        <f t="array" ref="AB147">IF($Q147="","",_xlfn.TEXTJOIN(", ",TRUE,IF(NOV!$G149:$AK149="HE",NOV!$G$4:$AK$4,"")))</f>
        <v/>
      </c>
      <c r="AC147" t="str">
        <f t="array" ref="AC147">IF($Q147="","",_xlfn.TEXTJOIN(", ",TRUE,IF(DEZ!$G149:$AK149="HE",DEZ!$G$4:$AK$4,"")))</f>
        <v/>
      </c>
      <c r="AD147" t="str">
        <f>IF($Q147="","",SUM(JAN:DEZ!C149))</f>
        <v/>
      </c>
      <c r="AF147" t="str">
        <f>IF(AND($Q147&lt;&gt;"",N($AD147)&gt;0),COUNT($AF$3:AF146)+1,"")</f>
        <v/>
      </c>
    </row>
    <row r="148" spans="1:32" x14ac:dyDescent="0.25">
      <c r="A148" s="36" t="str">
        <f>IFERROR(INDEX($Q$4:$Q$153,MATCH(ROWS($A$4:A148),$AF$4:$AF$153,0)),"")</f>
        <v/>
      </c>
      <c r="B148" s="35" t="str">
        <f>IFERROR(INDEX($R$4:$R$153,MATCH(ROWS($A$4:A148),$AF$4:$AF$153,0)),"")</f>
        <v/>
      </c>
      <c r="C148" s="35" t="str">
        <f>IFERROR(INDEX($S$4:$S$153,MATCH(ROWS($A$4:A148),$AF$4:$AF$153,0)),"")</f>
        <v/>
      </c>
      <c r="D148" s="35" t="str">
        <f>IFERROR(INDEX($T$4:$T$153,MATCH(ROWS($A$4:A148),$AF$4:$AF$153,0)),"")</f>
        <v/>
      </c>
      <c r="E148" s="35" t="str">
        <f>IFERROR(INDEX($U$4:$U$153,MATCH(ROWS($A$4:A148),$AF$4:$AF$153,0)),"")</f>
        <v/>
      </c>
      <c r="F148" s="35" t="str">
        <f>IFERROR(INDEX($V$4:$V$153,MATCH(ROWS($A$4:A148),$AF$4:$AF$153,0)),"")</f>
        <v/>
      </c>
      <c r="G148" s="35" t="str">
        <f>IFERROR(INDEX($W$4:$W$153,MATCH(ROWS($A$4:A148),$AF$4:$AF$153,0)),"")</f>
        <v/>
      </c>
      <c r="H148" s="35" t="str">
        <f>IFERROR(INDEX($X$4:$X$153,MATCH(ROWS($A$4:A148),$AF$4:$AF$153,0)),"")</f>
        <v/>
      </c>
      <c r="I148" s="35" t="str">
        <f>IFERROR(INDEX($Y$4:$Y$153,MATCH(ROWS($A$4:A148),$AF$4:$AF$153,0)),"")</f>
        <v/>
      </c>
      <c r="J148" s="35" t="str">
        <f>IFERROR(INDEX($Z$4:$Z$153,MATCH(ROWS($A$4:A148),$AF$4:$AF$153,0)),"")</f>
        <v/>
      </c>
      <c r="K148" s="35" t="str">
        <f>IFERROR(INDEX($AA$4:$AA$153,MATCH(ROWS($A$4:A148),$AF$4:$AF$153,0)),"")</f>
        <v/>
      </c>
      <c r="L148" s="35" t="str">
        <f>IFERROR(INDEX($AB$4:$AB$153,MATCH(ROWS($A$4:A148),$AF$4:$AF$153,0)),"")</f>
        <v/>
      </c>
      <c r="M148" s="35" t="str">
        <f>IFERROR(INDEX($AC$4:$AC$153,MATCH(ROWS($A$4:A148),$AF$4:$AF$153,0)),"")</f>
        <v/>
      </c>
      <c r="N148" s="35" t="str">
        <f>IFERROR(INDEX($AD$4:$AD$153,MATCH(ROWS($A$4:A148),$AF$4:$AF$153,0)),"")</f>
        <v/>
      </c>
      <c r="Q148" t="str">
        <f>T(JAN!B150)</f>
        <v/>
      </c>
      <c r="R148" t="str">
        <f t="array" ref="R148">IF($Q148="","",_xlfn.TEXTJOIN(", ",TRUE,IF(JAN!$G150:$AK150="HE",JAN!$G$4:$AK$4,"")))</f>
        <v/>
      </c>
      <c r="S148" t="str">
        <f t="array" ref="S148">IF($Q148="","",_xlfn.TEXTJOIN(", ",TRUE,IF(FEV!$G150:$AK150="HE",FEV!$G$4:$AK$4,"")))</f>
        <v/>
      </c>
      <c r="T148" t="str">
        <f t="array" ref="T148">IF($Q148="","",_xlfn.TEXTJOIN(", ",TRUE,IF(MAR!$G150:$AK150="HE",MAR!$G$4:$AK$4,"")))</f>
        <v/>
      </c>
      <c r="U148" t="str">
        <f t="array" ref="U148">IF($Q148="","",_xlfn.TEXTJOIN(", ",TRUE,IF(ABR!$G150:$AK150="HE",ABR!$G$4:$AK$4,"")))</f>
        <v/>
      </c>
      <c r="V148" t="str">
        <f t="array" ref="V148">IF($Q148="","",_xlfn.TEXTJOIN(", ",TRUE,IF(MAI!$G150:$AK150="HE",MAI!$G$4:$AK$4,"")))</f>
        <v/>
      </c>
      <c r="W148" t="str">
        <f t="array" ref="W148">IF($Q148="","",_xlfn.TEXTJOIN(", ",TRUE,IF(JUN!$G150:$AK150="HE",JUN!$G$4:$AK$4,"")))</f>
        <v/>
      </c>
      <c r="X148" t="str">
        <f t="array" ref="X148">IF($Q148="","",_xlfn.TEXTJOIN(", ",TRUE,IF(JUL!$G150:$AK150="HE",JUL!$G$4:$AK$4,"")))</f>
        <v/>
      </c>
      <c r="Y148" t="str">
        <f t="array" ref="Y148">IF($Q148="","",_xlfn.TEXTJOIN(", ",TRUE,IF(AGO!$G150:$AK150="HE",AGO!$G$4:$AK$4,"")))</f>
        <v/>
      </c>
      <c r="Z148" t="str">
        <f t="array" ref="Z148">IF($Q148="","",_xlfn.TEXTJOIN(", ",TRUE,IF(SET!$G150:$AK150="HE",SET!$G$4:$AK$4,"")))</f>
        <v/>
      </c>
      <c r="AA148" t="str">
        <f t="array" ref="AA148">IF($Q148="","",_xlfn.TEXTJOIN(", ",TRUE,IF(OUT!$G150:$AK150="HE",OUT!$G$4:$AK$4,"")))</f>
        <v/>
      </c>
      <c r="AB148" t="str">
        <f t="array" ref="AB148">IF($Q148="","",_xlfn.TEXTJOIN(", ",TRUE,IF(NOV!$G150:$AK150="HE",NOV!$G$4:$AK$4,"")))</f>
        <v/>
      </c>
      <c r="AC148" t="str">
        <f t="array" ref="AC148">IF($Q148="","",_xlfn.TEXTJOIN(", ",TRUE,IF(DEZ!$G150:$AK150="HE",DEZ!$G$4:$AK$4,"")))</f>
        <v/>
      </c>
      <c r="AD148" t="str">
        <f>IF($Q148="","",SUM(JAN:DEZ!C150))</f>
        <v/>
      </c>
      <c r="AF148" t="str">
        <f>IF(AND($Q148&lt;&gt;"",N($AD148)&gt;0),COUNT($AF$3:AF147)+1,"")</f>
        <v/>
      </c>
    </row>
    <row r="149" spans="1:32" x14ac:dyDescent="0.25">
      <c r="A149" s="36" t="str">
        <f>IFERROR(INDEX($Q$4:$Q$153,MATCH(ROWS($A$4:A149),$AF$4:$AF$153,0)),"")</f>
        <v/>
      </c>
      <c r="B149" s="35" t="str">
        <f>IFERROR(INDEX($R$4:$R$153,MATCH(ROWS($A$4:A149),$AF$4:$AF$153,0)),"")</f>
        <v/>
      </c>
      <c r="C149" s="35" t="str">
        <f>IFERROR(INDEX($S$4:$S$153,MATCH(ROWS($A$4:A149),$AF$4:$AF$153,0)),"")</f>
        <v/>
      </c>
      <c r="D149" s="35" t="str">
        <f>IFERROR(INDEX($T$4:$T$153,MATCH(ROWS($A$4:A149),$AF$4:$AF$153,0)),"")</f>
        <v/>
      </c>
      <c r="E149" s="35" t="str">
        <f>IFERROR(INDEX($U$4:$U$153,MATCH(ROWS($A$4:A149),$AF$4:$AF$153,0)),"")</f>
        <v/>
      </c>
      <c r="F149" s="35" t="str">
        <f>IFERROR(INDEX($V$4:$V$153,MATCH(ROWS($A$4:A149),$AF$4:$AF$153,0)),"")</f>
        <v/>
      </c>
      <c r="G149" s="35" t="str">
        <f>IFERROR(INDEX($W$4:$W$153,MATCH(ROWS($A$4:A149),$AF$4:$AF$153,0)),"")</f>
        <v/>
      </c>
      <c r="H149" s="35" t="str">
        <f>IFERROR(INDEX($X$4:$X$153,MATCH(ROWS($A$4:A149),$AF$4:$AF$153,0)),"")</f>
        <v/>
      </c>
      <c r="I149" s="35" t="str">
        <f>IFERROR(INDEX($Y$4:$Y$153,MATCH(ROWS($A$4:A149),$AF$4:$AF$153,0)),"")</f>
        <v/>
      </c>
      <c r="J149" s="35" t="str">
        <f>IFERROR(INDEX($Z$4:$Z$153,MATCH(ROWS($A$4:A149),$AF$4:$AF$153,0)),"")</f>
        <v/>
      </c>
      <c r="K149" s="35" t="str">
        <f>IFERROR(INDEX($AA$4:$AA$153,MATCH(ROWS($A$4:A149),$AF$4:$AF$153,0)),"")</f>
        <v/>
      </c>
      <c r="L149" s="35" t="str">
        <f>IFERROR(INDEX($AB$4:$AB$153,MATCH(ROWS($A$4:A149),$AF$4:$AF$153,0)),"")</f>
        <v/>
      </c>
      <c r="M149" s="35" t="str">
        <f>IFERROR(INDEX($AC$4:$AC$153,MATCH(ROWS($A$4:A149),$AF$4:$AF$153,0)),"")</f>
        <v/>
      </c>
      <c r="N149" s="35" t="str">
        <f>IFERROR(INDEX($AD$4:$AD$153,MATCH(ROWS($A$4:A149),$AF$4:$AF$153,0)),"")</f>
        <v/>
      </c>
      <c r="Q149" t="str">
        <f>T(JAN!B151)</f>
        <v/>
      </c>
      <c r="R149" t="str">
        <f t="array" ref="R149">IF($Q149="","",_xlfn.TEXTJOIN(", ",TRUE,IF(JAN!$G151:$AK151="HE",JAN!$G$4:$AK$4,"")))</f>
        <v/>
      </c>
      <c r="S149" t="str">
        <f t="array" ref="S149">IF($Q149="","",_xlfn.TEXTJOIN(", ",TRUE,IF(FEV!$G151:$AK151="HE",FEV!$G$4:$AK$4,"")))</f>
        <v/>
      </c>
      <c r="T149" t="str">
        <f t="array" ref="T149">IF($Q149="","",_xlfn.TEXTJOIN(", ",TRUE,IF(MAR!$G151:$AK151="HE",MAR!$G$4:$AK$4,"")))</f>
        <v/>
      </c>
      <c r="U149" t="str">
        <f t="array" ref="U149">IF($Q149="","",_xlfn.TEXTJOIN(", ",TRUE,IF(ABR!$G151:$AK151="HE",ABR!$G$4:$AK$4,"")))</f>
        <v/>
      </c>
      <c r="V149" t="str">
        <f t="array" ref="V149">IF($Q149="","",_xlfn.TEXTJOIN(", ",TRUE,IF(MAI!$G151:$AK151="HE",MAI!$G$4:$AK$4,"")))</f>
        <v/>
      </c>
      <c r="W149" t="str">
        <f t="array" ref="W149">IF($Q149="","",_xlfn.TEXTJOIN(", ",TRUE,IF(JUN!$G151:$AK151="HE",JUN!$G$4:$AK$4,"")))</f>
        <v/>
      </c>
      <c r="X149" t="str">
        <f t="array" ref="X149">IF($Q149="","",_xlfn.TEXTJOIN(", ",TRUE,IF(JUL!$G151:$AK151="HE",JUL!$G$4:$AK$4,"")))</f>
        <v/>
      </c>
      <c r="Y149" t="str">
        <f t="array" ref="Y149">IF($Q149="","",_xlfn.TEXTJOIN(", ",TRUE,IF(AGO!$G151:$AK151="HE",AGO!$G$4:$AK$4,"")))</f>
        <v/>
      </c>
      <c r="Z149" t="str">
        <f t="array" ref="Z149">IF($Q149="","",_xlfn.TEXTJOIN(", ",TRUE,IF(SET!$G151:$AK151="HE",SET!$G$4:$AK$4,"")))</f>
        <v/>
      </c>
      <c r="AA149" t="str">
        <f t="array" ref="AA149">IF($Q149="","",_xlfn.TEXTJOIN(", ",TRUE,IF(OUT!$G151:$AK151="HE",OUT!$G$4:$AK$4,"")))</f>
        <v/>
      </c>
      <c r="AB149" t="str">
        <f t="array" ref="AB149">IF($Q149="","",_xlfn.TEXTJOIN(", ",TRUE,IF(NOV!$G151:$AK151="HE",NOV!$G$4:$AK$4,"")))</f>
        <v/>
      </c>
      <c r="AC149" t="str">
        <f t="array" ref="AC149">IF($Q149="","",_xlfn.TEXTJOIN(", ",TRUE,IF(DEZ!$G151:$AK151="HE",DEZ!$G$4:$AK$4,"")))</f>
        <v/>
      </c>
      <c r="AD149" t="str">
        <f>IF($Q149="","",SUM(JAN:DEZ!C151))</f>
        <v/>
      </c>
      <c r="AF149" t="str">
        <f>IF(AND($Q149&lt;&gt;"",N($AD149)&gt;0),COUNT($AF$3:AF148)+1,"")</f>
        <v/>
      </c>
    </row>
    <row r="150" spans="1:32" x14ac:dyDescent="0.25">
      <c r="A150" s="36" t="str">
        <f>IFERROR(INDEX($Q$4:$Q$153,MATCH(ROWS($A$4:A150),$AF$4:$AF$153,0)),"")</f>
        <v/>
      </c>
      <c r="B150" s="35" t="str">
        <f>IFERROR(INDEX($R$4:$R$153,MATCH(ROWS($A$4:A150),$AF$4:$AF$153,0)),"")</f>
        <v/>
      </c>
      <c r="C150" s="35" t="str">
        <f>IFERROR(INDEX($S$4:$S$153,MATCH(ROWS($A$4:A150),$AF$4:$AF$153,0)),"")</f>
        <v/>
      </c>
      <c r="D150" s="35" t="str">
        <f>IFERROR(INDEX($T$4:$T$153,MATCH(ROWS($A$4:A150),$AF$4:$AF$153,0)),"")</f>
        <v/>
      </c>
      <c r="E150" s="35" t="str">
        <f>IFERROR(INDEX($U$4:$U$153,MATCH(ROWS($A$4:A150),$AF$4:$AF$153,0)),"")</f>
        <v/>
      </c>
      <c r="F150" s="35" t="str">
        <f>IFERROR(INDEX($V$4:$V$153,MATCH(ROWS($A$4:A150),$AF$4:$AF$153,0)),"")</f>
        <v/>
      </c>
      <c r="G150" s="35" t="str">
        <f>IFERROR(INDEX($W$4:$W$153,MATCH(ROWS($A$4:A150),$AF$4:$AF$153,0)),"")</f>
        <v/>
      </c>
      <c r="H150" s="35" t="str">
        <f>IFERROR(INDEX($X$4:$X$153,MATCH(ROWS($A$4:A150),$AF$4:$AF$153,0)),"")</f>
        <v/>
      </c>
      <c r="I150" s="35" t="str">
        <f>IFERROR(INDEX($Y$4:$Y$153,MATCH(ROWS($A$4:A150),$AF$4:$AF$153,0)),"")</f>
        <v/>
      </c>
      <c r="J150" s="35" t="str">
        <f>IFERROR(INDEX($Z$4:$Z$153,MATCH(ROWS($A$4:A150),$AF$4:$AF$153,0)),"")</f>
        <v/>
      </c>
      <c r="K150" s="35" t="str">
        <f>IFERROR(INDEX($AA$4:$AA$153,MATCH(ROWS($A$4:A150),$AF$4:$AF$153,0)),"")</f>
        <v/>
      </c>
      <c r="L150" s="35" t="str">
        <f>IFERROR(INDEX($AB$4:$AB$153,MATCH(ROWS($A$4:A150),$AF$4:$AF$153,0)),"")</f>
        <v/>
      </c>
      <c r="M150" s="35" t="str">
        <f>IFERROR(INDEX($AC$4:$AC$153,MATCH(ROWS($A$4:A150),$AF$4:$AF$153,0)),"")</f>
        <v/>
      </c>
      <c r="N150" s="35" t="str">
        <f>IFERROR(INDEX($AD$4:$AD$153,MATCH(ROWS($A$4:A150),$AF$4:$AF$153,0)),"")</f>
        <v/>
      </c>
      <c r="Q150" t="str">
        <f>T(JAN!B152)</f>
        <v/>
      </c>
      <c r="R150" t="str">
        <f t="array" ref="R150">IF($Q150="","",_xlfn.TEXTJOIN(", ",TRUE,IF(JAN!$G152:$AK152="HE",JAN!$G$4:$AK$4,"")))</f>
        <v/>
      </c>
      <c r="S150" t="str">
        <f t="array" ref="S150">IF($Q150="","",_xlfn.TEXTJOIN(", ",TRUE,IF(FEV!$G152:$AK152="HE",FEV!$G$4:$AK$4,"")))</f>
        <v/>
      </c>
      <c r="T150" t="str">
        <f t="array" ref="T150">IF($Q150="","",_xlfn.TEXTJOIN(", ",TRUE,IF(MAR!$G152:$AK152="HE",MAR!$G$4:$AK$4,"")))</f>
        <v/>
      </c>
      <c r="U150" t="str">
        <f t="array" ref="U150">IF($Q150="","",_xlfn.TEXTJOIN(", ",TRUE,IF(ABR!$G152:$AK152="HE",ABR!$G$4:$AK$4,"")))</f>
        <v/>
      </c>
      <c r="V150" t="str">
        <f t="array" ref="V150">IF($Q150="","",_xlfn.TEXTJOIN(", ",TRUE,IF(MAI!$G152:$AK152="HE",MAI!$G$4:$AK$4,"")))</f>
        <v/>
      </c>
      <c r="W150" t="str">
        <f t="array" ref="W150">IF($Q150="","",_xlfn.TEXTJOIN(", ",TRUE,IF(JUN!$G152:$AK152="HE",JUN!$G$4:$AK$4,"")))</f>
        <v/>
      </c>
      <c r="X150" t="str">
        <f t="array" ref="X150">IF($Q150="","",_xlfn.TEXTJOIN(", ",TRUE,IF(JUL!$G152:$AK152="HE",JUL!$G$4:$AK$4,"")))</f>
        <v/>
      </c>
      <c r="Y150" t="str">
        <f t="array" ref="Y150">IF($Q150="","",_xlfn.TEXTJOIN(", ",TRUE,IF(AGO!$G152:$AK152="HE",AGO!$G$4:$AK$4,"")))</f>
        <v/>
      </c>
      <c r="Z150" t="str">
        <f t="array" ref="Z150">IF($Q150="","",_xlfn.TEXTJOIN(", ",TRUE,IF(SET!$G152:$AK152="HE",SET!$G$4:$AK$4,"")))</f>
        <v/>
      </c>
      <c r="AA150" t="str">
        <f t="array" ref="AA150">IF($Q150="","",_xlfn.TEXTJOIN(", ",TRUE,IF(OUT!$G152:$AK152="HE",OUT!$G$4:$AK$4,"")))</f>
        <v/>
      </c>
      <c r="AB150" t="str">
        <f t="array" ref="AB150">IF($Q150="","",_xlfn.TEXTJOIN(", ",TRUE,IF(NOV!$G152:$AK152="HE",NOV!$G$4:$AK$4,"")))</f>
        <v/>
      </c>
      <c r="AC150" t="str">
        <f t="array" ref="AC150">IF($Q150="","",_xlfn.TEXTJOIN(", ",TRUE,IF(DEZ!$G152:$AK152="HE",DEZ!$G$4:$AK$4,"")))</f>
        <v/>
      </c>
      <c r="AD150" t="str">
        <f>IF($Q150="","",SUM(JAN:DEZ!C152))</f>
        <v/>
      </c>
      <c r="AF150" t="str">
        <f>IF(AND($Q150&lt;&gt;"",N($AD150)&gt;0),COUNT($AF$3:AF149)+1,"")</f>
        <v/>
      </c>
    </row>
    <row r="151" spans="1:32" x14ac:dyDescent="0.25">
      <c r="A151" s="36" t="str">
        <f>IFERROR(INDEX($Q$4:$Q$153,MATCH(ROWS($A$4:A151),$AF$4:$AF$153,0)),"")</f>
        <v/>
      </c>
      <c r="B151" s="35" t="str">
        <f>IFERROR(INDEX($R$4:$R$153,MATCH(ROWS($A$4:A151),$AF$4:$AF$153,0)),"")</f>
        <v/>
      </c>
      <c r="C151" s="35" t="str">
        <f>IFERROR(INDEX($S$4:$S$153,MATCH(ROWS($A$4:A151),$AF$4:$AF$153,0)),"")</f>
        <v/>
      </c>
      <c r="D151" s="35" t="str">
        <f>IFERROR(INDEX($T$4:$T$153,MATCH(ROWS($A$4:A151),$AF$4:$AF$153,0)),"")</f>
        <v/>
      </c>
      <c r="E151" s="35" t="str">
        <f>IFERROR(INDEX($U$4:$U$153,MATCH(ROWS($A$4:A151),$AF$4:$AF$153,0)),"")</f>
        <v/>
      </c>
      <c r="F151" s="35" t="str">
        <f>IFERROR(INDEX($V$4:$V$153,MATCH(ROWS($A$4:A151),$AF$4:$AF$153,0)),"")</f>
        <v/>
      </c>
      <c r="G151" s="35" t="str">
        <f>IFERROR(INDEX($W$4:$W$153,MATCH(ROWS($A$4:A151),$AF$4:$AF$153,0)),"")</f>
        <v/>
      </c>
      <c r="H151" s="35" t="str">
        <f>IFERROR(INDEX($X$4:$X$153,MATCH(ROWS($A$4:A151),$AF$4:$AF$153,0)),"")</f>
        <v/>
      </c>
      <c r="I151" s="35" t="str">
        <f>IFERROR(INDEX($Y$4:$Y$153,MATCH(ROWS($A$4:A151),$AF$4:$AF$153,0)),"")</f>
        <v/>
      </c>
      <c r="J151" s="35" t="str">
        <f>IFERROR(INDEX($Z$4:$Z$153,MATCH(ROWS($A$4:A151),$AF$4:$AF$153,0)),"")</f>
        <v/>
      </c>
      <c r="K151" s="35" t="str">
        <f>IFERROR(INDEX($AA$4:$AA$153,MATCH(ROWS($A$4:A151),$AF$4:$AF$153,0)),"")</f>
        <v/>
      </c>
      <c r="L151" s="35" t="str">
        <f>IFERROR(INDEX($AB$4:$AB$153,MATCH(ROWS($A$4:A151),$AF$4:$AF$153,0)),"")</f>
        <v/>
      </c>
      <c r="M151" s="35" t="str">
        <f>IFERROR(INDEX($AC$4:$AC$153,MATCH(ROWS($A$4:A151),$AF$4:$AF$153,0)),"")</f>
        <v/>
      </c>
      <c r="N151" s="35" t="str">
        <f>IFERROR(INDEX($AD$4:$AD$153,MATCH(ROWS($A$4:A151),$AF$4:$AF$153,0)),"")</f>
        <v/>
      </c>
      <c r="Q151" t="str">
        <f>T(JAN!B153)</f>
        <v/>
      </c>
      <c r="R151" t="str">
        <f t="array" ref="R151">IF($Q151="","",_xlfn.TEXTJOIN(", ",TRUE,IF(JAN!$G153:$AK153="HE",JAN!$G$4:$AK$4,"")))</f>
        <v/>
      </c>
      <c r="S151" t="str">
        <f t="array" ref="S151">IF($Q151="","",_xlfn.TEXTJOIN(", ",TRUE,IF(FEV!$G153:$AK153="HE",FEV!$G$4:$AK$4,"")))</f>
        <v/>
      </c>
      <c r="T151" t="str">
        <f t="array" ref="T151">IF($Q151="","",_xlfn.TEXTJOIN(", ",TRUE,IF(MAR!$G153:$AK153="HE",MAR!$G$4:$AK$4,"")))</f>
        <v/>
      </c>
      <c r="U151" t="str">
        <f t="array" ref="U151">IF($Q151="","",_xlfn.TEXTJOIN(", ",TRUE,IF(ABR!$G153:$AK153="HE",ABR!$G$4:$AK$4,"")))</f>
        <v/>
      </c>
      <c r="V151" t="str">
        <f t="array" ref="V151">IF($Q151="","",_xlfn.TEXTJOIN(", ",TRUE,IF(MAI!$G153:$AK153="HE",MAI!$G$4:$AK$4,"")))</f>
        <v/>
      </c>
      <c r="W151" t="str">
        <f t="array" ref="W151">IF($Q151="","",_xlfn.TEXTJOIN(", ",TRUE,IF(JUN!$G153:$AK153="HE",JUN!$G$4:$AK$4,"")))</f>
        <v/>
      </c>
      <c r="X151" t="str">
        <f t="array" ref="X151">IF($Q151="","",_xlfn.TEXTJOIN(", ",TRUE,IF(JUL!$G153:$AK153="HE",JUL!$G$4:$AK$4,"")))</f>
        <v/>
      </c>
      <c r="Y151" t="str">
        <f t="array" ref="Y151">IF($Q151="","",_xlfn.TEXTJOIN(", ",TRUE,IF(AGO!$G153:$AK153="HE",AGO!$G$4:$AK$4,"")))</f>
        <v/>
      </c>
      <c r="Z151" t="str">
        <f t="array" ref="Z151">IF($Q151="","",_xlfn.TEXTJOIN(", ",TRUE,IF(SET!$G153:$AK153="HE",SET!$G$4:$AK$4,"")))</f>
        <v/>
      </c>
      <c r="AA151" t="str">
        <f t="array" ref="AA151">IF($Q151="","",_xlfn.TEXTJOIN(", ",TRUE,IF(OUT!$G153:$AK153="HE",OUT!$G$4:$AK$4,"")))</f>
        <v/>
      </c>
      <c r="AB151" t="str">
        <f t="array" ref="AB151">IF($Q151="","",_xlfn.TEXTJOIN(", ",TRUE,IF(NOV!$G153:$AK153="HE",NOV!$G$4:$AK$4,"")))</f>
        <v/>
      </c>
      <c r="AC151" t="str">
        <f t="array" ref="AC151">IF($Q151="","",_xlfn.TEXTJOIN(", ",TRUE,IF(DEZ!$G153:$AK153="HE",DEZ!$G$4:$AK$4,"")))</f>
        <v/>
      </c>
      <c r="AD151" t="str">
        <f>IF($Q151="","",SUM(JAN:DEZ!C153))</f>
        <v/>
      </c>
      <c r="AF151" t="str">
        <f>IF(AND($Q151&lt;&gt;"",N($AD151)&gt;0),COUNT($AF$3:AF150)+1,"")</f>
        <v/>
      </c>
    </row>
    <row r="152" spans="1:32" x14ac:dyDescent="0.25">
      <c r="A152" s="36" t="str">
        <f>IFERROR(INDEX($Q$4:$Q$153,MATCH(ROWS($A$4:A152),$AF$4:$AF$153,0)),"")</f>
        <v/>
      </c>
      <c r="B152" s="35" t="str">
        <f>IFERROR(INDEX($R$4:$R$153,MATCH(ROWS($A$4:A152),$AF$4:$AF$153,0)),"")</f>
        <v/>
      </c>
      <c r="C152" s="35" t="str">
        <f>IFERROR(INDEX($S$4:$S$153,MATCH(ROWS($A$4:A152),$AF$4:$AF$153,0)),"")</f>
        <v/>
      </c>
      <c r="D152" s="35" t="str">
        <f>IFERROR(INDEX($T$4:$T$153,MATCH(ROWS($A$4:A152),$AF$4:$AF$153,0)),"")</f>
        <v/>
      </c>
      <c r="E152" s="35" t="str">
        <f>IFERROR(INDEX($U$4:$U$153,MATCH(ROWS($A$4:A152),$AF$4:$AF$153,0)),"")</f>
        <v/>
      </c>
      <c r="F152" s="35" t="str">
        <f>IFERROR(INDEX($V$4:$V$153,MATCH(ROWS($A$4:A152),$AF$4:$AF$153,0)),"")</f>
        <v/>
      </c>
      <c r="G152" s="35" t="str">
        <f>IFERROR(INDEX($W$4:$W$153,MATCH(ROWS($A$4:A152),$AF$4:$AF$153,0)),"")</f>
        <v/>
      </c>
      <c r="H152" s="35" t="str">
        <f>IFERROR(INDEX($X$4:$X$153,MATCH(ROWS($A$4:A152),$AF$4:$AF$153,0)),"")</f>
        <v/>
      </c>
      <c r="I152" s="35" t="str">
        <f>IFERROR(INDEX($Y$4:$Y$153,MATCH(ROWS($A$4:A152),$AF$4:$AF$153,0)),"")</f>
        <v/>
      </c>
      <c r="J152" s="35" t="str">
        <f>IFERROR(INDEX($Z$4:$Z$153,MATCH(ROWS($A$4:A152),$AF$4:$AF$153,0)),"")</f>
        <v/>
      </c>
      <c r="K152" s="35" t="str">
        <f>IFERROR(INDEX($AA$4:$AA$153,MATCH(ROWS($A$4:A152),$AF$4:$AF$153,0)),"")</f>
        <v/>
      </c>
      <c r="L152" s="35" t="str">
        <f>IFERROR(INDEX($AB$4:$AB$153,MATCH(ROWS($A$4:A152),$AF$4:$AF$153,0)),"")</f>
        <v/>
      </c>
      <c r="M152" s="35" t="str">
        <f>IFERROR(INDEX($AC$4:$AC$153,MATCH(ROWS($A$4:A152),$AF$4:$AF$153,0)),"")</f>
        <v/>
      </c>
      <c r="N152" s="35" t="str">
        <f>IFERROR(INDEX($AD$4:$AD$153,MATCH(ROWS($A$4:A152),$AF$4:$AF$153,0)),"")</f>
        <v/>
      </c>
      <c r="Q152" t="str">
        <f>T(JAN!B154)</f>
        <v/>
      </c>
      <c r="R152" t="str">
        <f t="array" ref="R152">IF($Q152="","",_xlfn.TEXTJOIN(", ",TRUE,IF(JAN!$G154:$AK154="HE",JAN!$G$4:$AK$4,"")))</f>
        <v/>
      </c>
      <c r="S152" t="str">
        <f t="array" ref="S152">IF($Q152="","",_xlfn.TEXTJOIN(", ",TRUE,IF(FEV!$G154:$AK154="HE",FEV!$G$4:$AK$4,"")))</f>
        <v/>
      </c>
      <c r="T152" t="str">
        <f t="array" ref="T152">IF($Q152="","",_xlfn.TEXTJOIN(", ",TRUE,IF(MAR!$G154:$AK154="HE",MAR!$G$4:$AK$4,"")))</f>
        <v/>
      </c>
      <c r="U152" t="str">
        <f t="array" ref="U152">IF($Q152="","",_xlfn.TEXTJOIN(", ",TRUE,IF(ABR!$G154:$AK154="HE",ABR!$G$4:$AK$4,"")))</f>
        <v/>
      </c>
      <c r="V152" t="str">
        <f t="array" ref="V152">IF($Q152="","",_xlfn.TEXTJOIN(", ",TRUE,IF(MAI!$G154:$AK154="HE",MAI!$G$4:$AK$4,"")))</f>
        <v/>
      </c>
      <c r="W152" t="str">
        <f t="array" ref="W152">IF($Q152="","",_xlfn.TEXTJOIN(", ",TRUE,IF(JUN!$G154:$AK154="HE",JUN!$G$4:$AK$4,"")))</f>
        <v/>
      </c>
      <c r="X152" t="str">
        <f t="array" ref="X152">IF($Q152="","",_xlfn.TEXTJOIN(", ",TRUE,IF(JUL!$G154:$AK154="HE",JUL!$G$4:$AK$4,"")))</f>
        <v/>
      </c>
      <c r="Y152" t="str">
        <f t="array" ref="Y152">IF($Q152="","",_xlfn.TEXTJOIN(", ",TRUE,IF(AGO!$G154:$AK154="HE",AGO!$G$4:$AK$4,"")))</f>
        <v/>
      </c>
      <c r="Z152" t="str">
        <f t="array" ref="Z152">IF($Q152="","",_xlfn.TEXTJOIN(", ",TRUE,IF(SET!$G154:$AK154="HE",SET!$G$4:$AK$4,"")))</f>
        <v/>
      </c>
      <c r="AA152" t="str">
        <f t="array" ref="AA152">IF($Q152="","",_xlfn.TEXTJOIN(", ",TRUE,IF(OUT!$G154:$AK154="HE",OUT!$G$4:$AK$4,"")))</f>
        <v/>
      </c>
      <c r="AB152" t="str">
        <f t="array" ref="AB152">IF($Q152="","",_xlfn.TEXTJOIN(", ",TRUE,IF(NOV!$G154:$AK154="HE",NOV!$G$4:$AK$4,"")))</f>
        <v/>
      </c>
      <c r="AC152" t="str">
        <f t="array" ref="AC152">IF($Q152="","",_xlfn.TEXTJOIN(", ",TRUE,IF(DEZ!$G154:$AK154="HE",DEZ!$G$4:$AK$4,"")))</f>
        <v/>
      </c>
      <c r="AD152" t="str">
        <f>IF($Q152="","",SUM(JAN:DEZ!C154))</f>
        <v/>
      </c>
      <c r="AF152" t="str">
        <f>IF(AND($Q152&lt;&gt;"",N($AD152)&gt;0),COUNT($AF$3:AF151)+1,"")</f>
        <v/>
      </c>
    </row>
    <row r="153" spans="1:32" x14ac:dyDescent="0.25">
      <c r="A153" s="36" t="str">
        <f>IFERROR(INDEX($Q$4:$Q$153,MATCH(ROWS($A$4:A153),$AF$4:$AF$153,0)),"")</f>
        <v/>
      </c>
      <c r="B153" s="35" t="str">
        <f>IFERROR(INDEX($R$4:$R$153,MATCH(ROWS($A$4:A153),$AF$4:$AF$153,0)),"")</f>
        <v/>
      </c>
      <c r="C153" s="35" t="str">
        <f>IFERROR(INDEX($S$4:$S$153,MATCH(ROWS($A$4:A153),$AF$4:$AF$153,0)),"")</f>
        <v/>
      </c>
      <c r="D153" s="35" t="str">
        <f>IFERROR(INDEX($T$4:$T$153,MATCH(ROWS($A$4:A153),$AF$4:$AF$153,0)),"")</f>
        <v/>
      </c>
      <c r="E153" s="35" t="str">
        <f>IFERROR(INDEX($U$4:$U$153,MATCH(ROWS($A$4:A153),$AF$4:$AF$153,0)),"")</f>
        <v/>
      </c>
      <c r="F153" s="35" t="str">
        <f>IFERROR(INDEX($V$4:$V$153,MATCH(ROWS($A$4:A153),$AF$4:$AF$153,0)),"")</f>
        <v/>
      </c>
      <c r="G153" s="35" t="str">
        <f>IFERROR(INDEX($W$4:$W$153,MATCH(ROWS($A$4:A153),$AF$4:$AF$153,0)),"")</f>
        <v/>
      </c>
      <c r="H153" s="35" t="str">
        <f>IFERROR(INDEX($X$4:$X$153,MATCH(ROWS($A$4:A153),$AF$4:$AF$153,0)),"")</f>
        <v/>
      </c>
      <c r="I153" s="35" t="str">
        <f>IFERROR(INDEX($Y$4:$Y$153,MATCH(ROWS($A$4:A153),$AF$4:$AF$153,0)),"")</f>
        <v/>
      </c>
      <c r="J153" s="35" t="str">
        <f>IFERROR(INDEX($Z$4:$Z$153,MATCH(ROWS($A$4:A153),$AF$4:$AF$153,0)),"")</f>
        <v/>
      </c>
      <c r="K153" s="35" t="str">
        <f>IFERROR(INDEX($AA$4:$AA$153,MATCH(ROWS($A$4:A153),$AF$4:$AF$153,0)),"")</f>
        <v/>
      </c>
      <c r="L153" s="35" t="str">
        <f>IFERROR(INDEX($AB$4:$AB$153,MATCH(ROWS($A$4:A153),$AF$4:$AF$153,0)),"")</f>
        <v/>
      </c>
      <c r="M153" s="35" t="str">
        <f>IFERROR(INDEX($AC$4:$AC$153,MATCH(ROWS($A$4:A153),$AF$4:$AF$153,0)),"")</f>
        <v/>
      </c>
      <c r="N153" s="35" t="str">
        <f>IFERROR(INDEX($AD$4:$AD$153,MATCH(ROWS($A$4:A153),$AF$4:$AF$153,0)),"")</f>
        <v/>
      </c>
      <c r="Q153" t="str">
        <f>T(JAN!B155)</f>
        <v/>
      </c>
      <c r="R153" t="str">
        <f t="array" ref="R153">IF($Q153="","",_xlfn.TEXTJOIN(", ",TRUE,IF(JAN!$G155:$AK155="HE",JAN!$G$4:$AK$4,"")))</f>
        <v/>
      </c>
      <c r="S153" t="str">
        <f t="array" ref="S153">IF($Q153="","",_xlfn.TEXTJOIN(", ",TRUE,IF(FEV!$G155:$AK155="HE",FEV!$G$4:$AK$4,"")))</f>
        <v/>
      </c>
      <c r="T153" t="str">
        <f t="array" ref="T153">IF($Q153="","",_xlfn.TEXTJOIN(", ",TRUE,IF(MAR!$G155:$AK155="HE",MAR!$G$4:$AK$4,"")))</f>
        <v/>
      </c>
      <c r="U153" t="str">
        <f t="array" ref="U153">IF($Q153="","",_xlfn.TEXTJOIN(", ",TRUE,IF(ABR!$G155:$AK155="HE",ABR!$G$4:$AK$4,"")))</f>
        <v/>
      </c>
      <c r="V153" t="str">
        <f t="array" ref="V153">IF($Q153="","",_xlfn.TEXTJOIN(", ",TRUE,IF(MAI!$G155:$AK155="HE",MAI!$G$4:$AK$4,"")))</f>
        <v/>
      </c>
      <c r="W153" t="str">
        <f t="array" ref="W153">IF($Q153="","",_xlfn.TEXTJOIN(", ",TRUE,IF(JUN!$G155:$AK155="HE",JUN!$G$4:$AK$4,"")))</f>
        <v/>
      </c>
      <c r="X153" t="str">
        <f t="array" ref="X153">IF($Q153="","",_xlfn.TEXTJOIN(", ",TRUE,IF(JUL!$G155:$AK155="HE",JUL!$G$4:$AK$4,"")))</f>
        <v/>
      </c>
      <c r="Y153" t="str">
        <f t="array" ref="Y153">IF($Q153="","",_xlfn.TEXTJOIN(", ",TRUE,IF(AGO!$G155:$AK155="HE",AGO!$G$4:$AK$4,"")))</f>
        <v/>
      </c>
      <c r="Z153" t="str">
        <f t="array" ref="Z153">IF($Q153="","",_xlfn.TEXTJOIN(", ",TRUE,IF(SET!$G155:$AK155="HE",SET!$G$4:$AK$4,"")))</f>
        <v/>
      </c>
      <c r="AA153" t="str">
        <f t="array" ref="AA153">IF($Q153="","",_xlfn.TEXTJOIN(", ",TRUE,IF(OUT!$G155:$AK155="HE",OUT!$G$4:$AK$4,"")))</f>
        <v/>
      </c>
      <c r="AB153" t="str">
        <f t="array" ref="AB153">IF($Q153="","",_xlfn.TEXTJOIN(", ",TRUE,IF(NOV!$G155:$AK155="HE",NOV!$G$4:$AK$4,"")))</f>
        <v/>
      </c>
      <c r="AC153" t="str">
        <f t="array" ref="AC153">IF($Q153="","",_xlfn.TEXTJOIN(", ",TRUE,IF(DEZ!$G155:$AK155="HE",DEZ!$G$4:$AK$4,"")))</f>
        <v/>
      </c>
      <c r="AD153" t="str">
        <f>IF($Q153="","",SUM(JAN:DEZ!C155))</f>
        <v/>
      </c>
      <c r="AF153" t="str">
        <f>IF(AND($Q153&lt;&gt;"",N($AD153)&gt;0),COUNT($AF$3:AF152)+1,"")</f>
        <v/>
      </c>
    </row>
  </sheetData>
  <pageMargins left="0.75" right="0.75" top="1" bottom="1" header="0.5" footer="0.5"/>
  <headerFooter>
    <oddFooter>&amp;L&amp;"Calibri"&amp;11 &amp;K808080_x000D_#   INTERNAL_x000D_&amp;1#&amp;"Aptos"&amp;11&amp;K808080   INTERNAL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AF459"/>
  <sheetViews>
    <sheetView workbookViewId="0">
      <pane xSplit="1" ySplit="3" topLeftCell="B159" activePane="bottomRight" state="frozen"/>
      <selection pane="topRight"/>
      <selection pane="bottomLeft"/>
      <selection pane="bottomRight" activeCell="N1" sqref="N1"/>
    </sheetView>
  </sheetViews>
  <sheetFormatPr defaultRowHeight="15" outlineLevelRow="1" x14ac:dyDescent="0.25"/>
  <cols>
    <col min="1" max="1" width="34.140625" customWidth="1"/>
    <col min="2" max="7" width="10.7109375" customWidth="1"/>
    <col min="8" max="8" width="25.42578125" customWidth="1"/>
    <col min="9" max="9" width="40.140625" customWidth="1"/>
    <col min="10" max="10" width="41.140625" customWidth="1"/>
    <col min="11" max="13" width="16.28515625" customWidth="1"/>
    <col min="14" max="14" width="9" customWidth="1"/>
    <col min="17" max="30" width="13" hidden="1" customWidth="1"/>
    <col min="32" max="32" width="13" hidden="1" customWidth="1"/>
  </cols>
  <sheetData>
    <row r="1" spans="1:32" ht="17.25" customHeight="1" x14ac:dyDescent="0.3">
      <c r="A1" s="32" t="s">
        <v>146</v>
      </c>
      <c r="N1" s="31" t="str">
        <f>HYPERLINK("#PAINEL!A1","← Voltar ao PAINEL")</f>
        <v>← Voltar ao PAINEL</v>
      </c>
    </row>
    <row r="2" spans="1:32" x14ac:dyDescent="0.25">
      <c r="A2" s="48" t="s">
        <v>147</v>
      </c>
    </row>
    <row r="3" spans="1:32" x14ac:dyDescent="0.25">
      <c r="A3" s="34" t="s">
        <v>27</v>
      </c>
      <c r="B3" s="34" t="s">
        <v>134</v>
      </c>
      <c r="C3" s="34" t="s">
        <v>135</v>
      </c>
      <c r="D3" s="34" t="s">
        <v>136</v>
      </c>
      <c r="E3" s="34" t="s">
        <v>137</v>
      </c>
      <c r="F3" s="34" t="s">
        <v>138</v>
      </c>
      <c r="G3" s="34" t="s">
        <v>139</v>
      </c>
      <c r="H3" s="34" t="s">
        <v>140</v>
      </c>
      <c r="I3" s="34" t="s">
        <v>141</v>
      </c>
      <c r="J3" s="34" t="s">
        <v>6</v>
      </c>
      <c r="K3" s="34" t="s">
        <v>142</v>
      </c>
      <c r="L3" s="34" t="s">
        <v>143</v>
      </c>
      <c r="M3" s="34" t="s">
        <v>144</v>
      </c>
      <c r="N3" s="34" t="s">
        <v>148</v>
      </c>
    </row>
    <row r="4" spans="1:32" ht="20.100000000000001" customHeight="1" x14ac:dyDescent="0.25">
      <c r="A4" s="71" t="str">
        <f>IFERROR(INDEX($Q$4:$Q$153,MATCH(ROWS($A$4:A4),$AF$4:$AF$153,0)),"")</f>
        <v>ROGÉRIO OLIVEIRA 75001</v>
      </c>
      <c r="B4" s="72" t="str">
        <f>IFERROR(INDEX($R$4:$R$153,MATCH(ROWS($A$4:A4),$AF$4:$AF$153,0)),"")</f>
        <v/>
      </c>
      <c r="C4" s="72" t="str">
        <f>IFERROR(INDEX($S$4:$S$153,MATCH(ROWS($A$4:A4),$AF$4:$AF$153,0)),"")</f>
        <v/>
      </c>
      <c r="D4" s="72" t="str">
        <f>IFERROR(INDEX($T$4:$T$153,MATCH(ROWS($A$4:A4),$AF$4:$AF$153,0)),"")</f>
        <v/>
      </c>
      <c r="E4" s="72" t="str">
        <f>IFERROR(INDEX($U$4:$U$153,MATCH(ROWS($A$4:A4),$AF$4:$AF$153,0)),"")</f>
        <v/>
      </c>
      <c r="F4" s="72" t="str">
        <f>IFERROR(INDEX($V$4:$V$153,MATCH(ROWS($A$4:A4),$AF$4:$AF$153,0)),"")</f>
        <v/>
      </c>
      <c r="G4" s="72" t="str">
        <f>IFERROR(INDEX($W$4:$W$153,MATCH(ROWS($A$4:A4),$AF$4:$AF$153,0)),"")</f>
        <v/>
      </c>
      <c r="H4" s="72" t="str">
        <f>IFERROR(INDEX($X$4:$X$153,MATCH(ROWS($A$4:A4),$AF$4:$AF$153,0)),"")</f>
        <v/>
      </c>
      <c r="I4" s="72" t="str">
        <f>IFERROR(INDEX($Y$4:$Y$153,MATCH(ROWS($A$4:A4),$AF$4:$AF$153,0)),"")</f>
        <v/>
      </c>
      <c r="J4" s="72" t="str">
        <f>IFERROR(INDEX($Z$4:$Z$153,MATCH(ROWS($A$4:A4),$AF$4:$AF$153,0)),"")</f>
        <v>22</v>
      </c>
      <c r="K4" s="72" t="str">
        <f>IFERROR(INDEX($AA$4:$AA$153,MATCH(ROWS($A$4:A4),$AF$4:$AF$153,0)),"")</f>
        <v/>
      </c>
      <c r="L4" s="72" t="str">
        <f>IFERROR(INDEX($AB$4:$AB$153,MATCH(ROWS($A$4:A4),$AF$4:$AF$153,0)),"")</f>
        <v/>
      </c>
      <c r="M4" s="72" t="str">
        <f>IFERROR(INDEX($AC$4:$AC$153,MATCH(ROWS($A$4:A4),$AF$4:$AF$153,0)),"")</f>
        <v/>
      </c>
      <c r="N4" s="35">
        <f>IFERROR(INDEX($AD$4:$AD$153,MATCH(ROWS($A$4:A4),$AF$4:$AF$153,0)),"")</f>
        <v>1</v>
      </c>
      <c r="Q4" t="str">
        <f>T(JAN!B6)</f>
        <v>ROGÉRIO OLIVEIRA 75001</v>
      </c>
      <c r="R4" t="str">
        <f t="array" ref="R4">IF($Q4="","",_xlfn.TEXTJOIN(", ",TRUE,IF(JAN!$G6:$AK6="FL",JAN!$G$4:$AK$4,"")))</f>
        <v/>
      </c>
      <c r="S4" t="str">
        <f t="array" ref="S4">IF($Q4="","",_xlfn.TEXTJOIN(", ",TRUE,IF(FEV!$G6:$AK6="FL",FEV!$G$4:$AK$4,"")))</f>
        <v/>
      </c>
      <c r="T4" t="str">
        <f t="array" ref="T4">IF($Q4="","",_xlfn.TEXTJOIN(", ",TRUE,IF(MAR!$G6:$AK6="FL",MAR!$G$4:$AK$4,"")))</f>
        <v/>
      </c>
      <c r="U4" t="str">
        <f t="array" ref="U4">IF($Q4="","",_xlfn.TEXTJOIN(", ",TRUE,IF(ABR!$G6:$AK6="FL",ABR!$G$4:$AK$4,"")))</f>
        <v/>
      </c>
      <c r="V4" t="str">
        <f t="array" ref="V4">IF($Q4="","",_xlfn.TEXTJOIN(", ",TRUE,IF(MAI!$G6:$AK6="FL",MAI!$G$4:$AK$4,"")))</f>
        <v/>
      </c>
      <c r="W4" t="str">
        <f t="array" ref="W4">IF($Q4="","",_xlfn.TEXTJOIN(", ",TRUE,IF(JUN!$G6:$AK6="FL",JUN!$G$4:$AK$4,"")))</f>
        <v/>
      </c>
      <c r="X4" t="str">
        <f t="array" ref="X4">IF($Q4="","",_xlfn.TEXTJOIN(", ",TRUE,IF(JUL!$G6:$AK6="FL",JUL!$G$4:$AK$4,"")))</f>
        <v/>
      </c>
      <c r="Y4" t="str">
        <f t="array" ref="Y4">IF($Q4="","",_xlfn.TEXTJOIN(", ",TRUE,IF(AGO!$G6:$AK6="FL",AGO!$G$4:$AK$4,"")))</f>
        <v/>
      </c>
      <c r="Z4" t="str">
        <f t="array" ref="Z4">IF($Q4="","",_xlfn.TEXTJOIN(", ",TRUE,IF(SET!$G6:$AK6="FL",SET!$G$4:$AK$4,"")))</f>
        <v>22</v>
      </c>
      <c r="AA4" t="str">
        <f t="array" ref="AA4">IF($Q4="","",_xlfn.TEXTJOIN(", ",TRUE,IF(OUT!$G6:$AK6="FL",OUT!$G$4:$AK$4,"")))</f>
        <v/>
      </c>
      <c r="AB4" t="str">
        <f t="array" ref="AB4">IF($Q4="","",_xlfn.TEXTJOIN(", ",TRUE,IF(NOV!$G6:$AK6="FL",NOV!$G$4:$AK$4,"")))</f>
        <v/>
      </c>
      <c r="AC4" t="str">
        <f t="array" ref="AC4">IF($Q4="","",_xlfn.TEXTJOIN(", ",TRUE,IF(DEZ!$G6:$AK6="FL",DEZ!$G$4:$AK$4,"")))</f>
        <v/>
      </c>
      <c r="AD4">
        <f>IF($Q4="","",COUNTIF(JAN!$G6:$AK6,"FL")+COUNTIF(FEV!$G6:$AK6,"FL")+COUNTIF(MAR!$G6:$AK6,"FL")+COUNTIF(ABR!$G6:$AK6,"FL")+COUNTIF(MAI!$G6:$AK6,"FL")+COUNTIF(JUN!$G6:$AK6,"FL")+COUNTIF(JUL!$G6:$AK6,"FL")+COUNTIF(AGO!$G6:$AK6,"FL")+COUNTIF(SET!$G6:$AK6,"FL")+COUNTIF(OUT!$G6:$AK6,"FL")+COUNTIF(NOV!$G6:$AK6,"FL")+COUNTIF(DEZ!$G6:$AK6,"FL"))</f>
        <v>1</v>
      </c>
      <c r="AF4">
        <f>IF(AND($Q4&lt;&gt;"",N($AD4)&gt;0),COUNT($AF$3:AF3)+1,"")</f>
        <v>1</v>
      </c>
    </row>
    <row r="5" spans="1:32" ht="20.100000000000001" customHeight="1" x14ac:dyDescent="0.25">
      <c r="A5" s="71" t="str">
        <f>IFERROR(INDEX($Q$4:$Q$153,MATCH(ROWS($A$4:A5),$AF$4:$AF$153,0)),"")</f>
        <v>CARLOS ALMEIDA 343901</v>
      </c>
      <c r="B5" s="72" t="str">
        <f>IFERROR(INDEX($R$4:$R$153,MATCH(ROWS($A$4:A5),$AF$4:$AF$153,0)),"")</f>
        <v/>
      </c>
      <c r="C5" s="72" t="str">
        <f>IFERROR(INDEX($S$4:$S$153,MATCH(ROWS($A$4:A5),$AF$4:$AF$153,0)),"")</f>
        <v/>
      </c>
      <c r="D5" s="72" t="str">
        <f>IFERROR(INDEX($T$4:$T$153,MATCH(ROWS($A$4:A5),$AF$4:$AF$153,0)),"")</f>
        <v/>
      </c>
      <c r="E5" s="72" t="str">
        <f>IFERROR(INDEX($U$4:$U$153,MATCH(ROWS($A$4:A5),$AF$4:$AF$153,0)),"")</f>
        <v/>
      </c>
      <c r="F5" s="72" t="str">
        <f>IFERROR(INDEX($V$4:$V$153,MATCH(ROWS($A$4:A5),$AF$4:$AF$153,0)),"")</f>
        <v/>
      </c>
      <c r="G5" s="72" t="str">
        <f>IFERROR(INDEX($W$4:$W$153,MATCH(ROWS($A$4:A5),$AF$4:$AF$153,0)),"")</f>
        <v/>
      </c>
      <c r="H5" s="73" t="str">
        <f>IFERROR(INDEX($X$4:$X$153,MATCH(ROWS($A$4:A5),$AF$4:$AF$153,0)),"")</f>
        <v>27, 28</v>
      </c>
      <c r="I5" s="72" t="str">
        <f>IFERROR(INDEX($Y$4:$Y$153,MATCH(ROWS($A$4:A5),$AF$4:$AF$153,0)),"")</f>
        <v/>
      </c>
      <c r="J5" s="72" t="str">
        <f>IFERROR(INDEX($Z$4:$Z$153,MATCH(ROWS($A$4:A5),$AF$4:$AF$153,0)),"")</f>
        <v/>
      </c>
      <c r="K5" s="72" t="str">
        <f>IFERROR(INDEX($AA$4:$AA$153,MATCH(ROWS($A$4:A5),$AF$4:$AF$153,0)),"")</f>
        <v/>
      </c>
      <c r="L5" s="72" t="str">
        <f>IFERROR(INDEX($AB$4:$AB$153,MATCH(ROWS($A$4:A5),$AF$4:$AF$153,0)),"")</f>
        <v/>
      </c>
      <c r="M5" s="72" t="str">
        <f>IFERROR(INDEX($AC$4:$AC$153,MATCH(ROWS($A$4:A5),$AF$4:$AF$153,0)),"")</f>
        <v/>
      </c>
      <c r="N5" s="35">
        <f>IFERROR(INDEX($AD$4:$AD$153,MATCH(ROWS($A$4:A5),$AF$4:$AF$153,0)),"")</f>
        <v>2</v>
      </c>
      <c r="Q5" t="str">
        <f>T(JAN!B7)</f>
        <v>IVÃ DE PAULA 393701</v>
      </c>
      <c r="R5" t="str">
        <f t="array" ref="R5">IF($Q5="","",_xlfn.TEXTJOIN(", ",TRUE,IF(JAN!$G7:$AK7="FL",JAN!$G$4:$AK$4,"")))</f>
        <v/>
      </c>
      <c r="S5" t="str">
        <f t="array" ref="S5">IF($Q5="","",_xlfn.TEXTJOIN(", ",TRUE,IF(FEV!$G7:$AK7="FL",FEV!$G$4:$AK$4,"")))</f>
        <v/>
      </c>
      <c r="T5" t="str">
        <f t="array" ref="T5">IF($Q5="","",_xlfn.TEXTJOIN(", ",TRUE,IF(MAR!$G7:$AK7="FL",MAR!$G$4:$AK$4,"")))</f>
        <v/>
      </c>
      <c r="U5" t="str">
        <f t="array" ref="U5">IF($Q5="","",_xlfn.TEXTJOIN(", ",TRUE,IF(ABR!$G7:$AK7="FL",ABR!$G$4:$AK$4,"")))</f>
        <v/>
      </c>
      <c r="V5" t="str">
        <f t="array" ref="V5">IF($Q5="","",_xlfn.TEXTJOIN(", ",TRUE,IF(MAI!$G7:$AK7="FL",MAI!$G$4:$AK$4,"")))</f>
        <v/>
      </c>
      <c r="W5" t="str">
        <f t="array" ref="W5">IF($Q5="","",_xlfn.TEXTJOIN(", ",TRUE,IF(JUN!$G7:$AK7="FL",JUN!$G$4:$AK$4,"")))</f>
        <v/>
      </c>
      <c r="X5" t="str">
        <f t="array" ref="X5">IF($Q5="","",_xlfn.TEXTJOIN(", ",TRUE,IF(JUL!$G7:$AK7="FL",JUL!$G$4:$AK$4,"")))</f>
        <v/>
      </c>
      <c r="Y5" t="str">
        <f t="array" ref="Y5">IF($Q5="","",_xlfn.TEXTJOIN(", ",TRUE,IF(AGO!$G7:$AK7="FL",AGO!$G$4:$AK$4,"")))</f>
        <v/>
      </c>
      <c r="Z5" t="str">
        <f t="array" ref="Z5">IF($Q5="","",_xlfn.TEXTJOIN(", ",TRUE,IF(SET!$G7:$AK7="FL",SET!$G$4:$AK$4,"")))</f>
        <v/>
      </c>
      <c r="AA5" t="str">
        <f t="array" ref="AA5">IF($Q5="","",_xlfn.TEXTJOIN(", ",TRUE,IF(OUT!$G7:$AK7="FL",OUT!$G$4:$AK$4,"")))</f>
        <v/>
      </c>
      <c r="AB5" t="str">
        <f t="array" ref="AB5">IF($Q5="","",_xlfn.TEXTJOIN(", ",TRUE,IF(NOV!$G7:$AK7="FL",NOV!$G$4:$AK$4,"")))</f>
        <v/>
      </c>
      <c r="AC5" t="str">
        <f t="array" ref="AC5">IF($Q5="","",_xlfn.TEXTJOIN(", ",TRUE,IF(DEZ!$G7:$AK7="FL",DEZ!$G$4:$AK$4,"")))</f>
        <v/>
      </c>
      <c r="AD5">
        <f>IF($Q5="","",COUNTIF(JAN!$G7:$AK7,"FL")+COUNTIF(FEV!$G7:$AK7,"FL")+COUNTIF(MAR!$G7:$AK7,"FL")+COUNTIF(ABR!$G7:$AK7,"FL")+COUNTIF(MAI!$G7:$AK7,"FL")+COUNTIF(JUN!$G7:$AK7,"FL")+COUNTIF(JUL!$G7:$AK7,"FL")+COUNTIF(AGO!$G7:$AK7,"FL")+COUNTIF(SET!$G7:$AK7,"FL")+COUNTIF(OUT!$G7:$AK7,"FL")+COUNTIF(NOV!$G7:$AK7,"FL")+COUNTIF(DEZ!$G7:$AK7,"FL"))</f>
        <v>0</v>
      </c>
      <c r="AF5" t="str">
        <f>IF(AND($Q5&lt;&gt;"",N($AD5)&gt;0),COUNT($AF$3:AF4)+1,"")</f>
        <v/>
      </c>
    </row>
    <row r="6" spans="1:32" ht="20.100000000000001" customHeight="1" x14ac:dyDescent="0.25">
      <c r="A6" s="71" t="str">
        <f>IFERROR(INDEX($Q$4:$Q$153,MATCH(ROWS($A$4:A6),$AF$4:$AF$153,0)),"")</f>
        <v>MISAEL SANTOS 37002097</v>
      </c>
      <c r="B6" s="72" t="str">
        <f>IFERROR(INDEX($R$4:$R$153,MATCH(ROWS($A$4:A6),$AF$4:$AF$153,0)),"")</f>
        <v/>
      </c>
      <c r="C6" s="72" t="str">
        <f>IFERROR(INDEX($S$4:$S$153,MATCH(ROWS($A$4:A6),$AF$4:$AF$153,0)),"")</f>
        <v/>
      </c>
      <c r="D6" s="72" t="str">
        <f>IFERROR(INDEX($T$4:$T$153,MATCH(ROWS($A$4:A6),$AF$4:$AF$153,0)),"")</f>
        <v/>
      </c>
      <c r="E6" s="72" t="str">
        <f>IFERROR(INDEX($U$4:$U$153,MATCH(ROWS($A$4:A6),$AF$4:$AF$153,0)),"")</f>
        <v/>
      </c>
      <c r="F6" s="72" t="str">
        <f>IFERROR(INDEX($V$4:$V$153,MATCH(ROWS($A$4:A6),$AF$4:$AF$153,0)),"")</f>
        <v/>
      </c>
      <c r="G6" s="72" t="str">
        <f>IFERROR(INDEX($W$4:$W$153,MATCH(ROWS($A$4:A6),$AF$4:$AF$153,0)),"")</f>
        <v/>
      </c>
      <c r="H6" s="72" t="str">
        <f>IFERROR(INDEX($X$4:$X$153,MATCH(ROWS($A$4:A6),$AF$4:$AF$153,0)),"")</f>
        <v/>
      </c>
      <c r="I6" s="72" t="str">
        <f>IFERROR(INDEX($Y$4:$Y$153,MATCH(ROWS($A$4:A6),$AF$4:$AF$153,0)),"")</f>
        <v/>
      </c>
      <c r="J6" s="72" t="str">
        <f>IFERROR(INDEX($Z$4:$Z$153,MATCH(ROWS($A$4:A6),$AF$4:$AF$153,0)),"")</f>
        <v>5, 8, 28</v>
      </c>
      <c r="K6" s="72" t="str">
        <f>IFERROR(INDEX($AA$4:$AA$153,MATCH(ROWS($A$4:A6),$AF$4:$AF$153,0)),"")</f>
        <v>2, 3</v>
      </c>
      <c r="L6" s="72" t="str">
        <f>IFERROR(INDEX($AB$4:$AB$153,MATCH(ROWS($A$4:A6),$AF$4:$AF$153,0)),"")</f>
        <v/>
      </c>
      <c r="M6" s="72" t="str">
        <f>IFERROR(INDEX($AC$4:$AC$153,MATCH(ROWS($A$4:A6),$AF$4:$AF$153,0)),"")</f>
        <v/>
      </c>
      <c r="N6" s="35">
        <f>IFERROR(INDEX($AD$4:$AD$153,MATCH(ROWS($A$4:A6),$AF$4:$AF$153,0)),"")</f>
        <v>5</v>
      </c>
      <c r="Q6" t="str">
        <f>T(JAN!B8)</f>
        <v>CARLOS ALMEIDA 343901</v>
      </c>
      <c r="R6" t="str">
        <f t="array" ref="R6">IF($Q6="","",_xlfn.TEXTJOIN(", ",TRUE,IF(JAN!$G8:$AK8="FL",JAN!$G$4:$AK$4,"")))</f>
        <v/>
      </c>
      <c r="S6" t="str">
        <f t="array" ref="S6">IF($Q6="","",_xlfn.TEXTJOIN(", ",TRUE,IF(FEV!$G8:$AK8="FL",FEV!$G$4:$AK$4,"")))</f>
        <v/>
      </c>
      <c r="T6" t="str">
        <f t="array" ref="T6">IF($Q6="","",_xlfn.TEXTJOIN(", ",TRUE,IF(MAR!$G8:$AK8="FL",MAR!$G$4:$AK$4,"")))</f>
        <v/>
      </c>
      <c r="U6" t="str">
        <f t="array" ref="U6">IF($Q6="","",_xlfn.TEXTJOIN(", ",TRUE,IF(ABR!$G8:$AK8="FL",ABR!$G$4:$AK$4,"")))</f>
        <v/>
      </c>
      <c r="V6" t="str">
        <f t="array" ref="V6">IF($Q6="","",_xlfn.TEXTJOIN(", ",TRUE,IF(MAI!$G8:$AK8="FL",MAI!$G$4:$AK$4,"")))</f>
        <v/>
      </c>
      <c r="W6" t="str">
        <f t="array" ref="W6">IF($Q6="","",_xlfn.TEXTJOIN(", ",TRUE,IF(JUN!$G8:$AK8="FL",JUN!$G$4:$AK$4,"")))</f>
        <v/>
      </c>
      <c r="X6" t="str">
        <f t="array" ref="X6">IF($Q6="","",_xlfn.TEXTJOIN(", ",TRUE,IF(JUL!$G8:$AK8="FL",JUL!$G$4:$AK$4,"")))</f>
        <v>27, 28</v>
      </c>
      <c r="Y6" t="str">
        <f t="array" ref="Y6">IF($Q6="","",_xlfn.TEXTJOIN(", ",TRUE,IF(AGO!$G8:$AK8="FL",AGO!$G$4:$AK$4,"")))</f>
        <v/>
      </c>
      <c r="Z6" t="str">
        <f t="array" ref="Z6">IF($Q6="","",_xlfn.TEXTJOIN(", ",TRUE,IF(SET!$G8:$AK8="FL",SET!$G$4:$AK$4,"")))</f>
        <v/>
      </c>
      <c r="AA6" t="str">
        <f t="array" ref="AA6">IF($Q6="","",_xlfn.TEXTJOIN(", ",TRUE,IF(OUT!$G8:$AK8="FL",OUT!$G$4:$AK$4,"")))</f>
        <v/>
      </c>
      <c r="AB6" t="str">
        <f t="array" ref="AB6">IF($Q6="","",_xlfn.TEXTJOIN(", ",TRUE,IF(NOV!$G8:$AK8="FL",NOV!$G$4:$AK$4,"")))</f>
        <v/>
      </c>
      <c r="AC6" t="str">
        <f t="array" ref="AC6">IF($Q6="","",_xlfn.TEXTJOIN(", ",TRUE,IF(DEZ!$G8:$AK8="FL",DEZ!$G$4:$AK$4,"")))</f>
        <v/>
      </c>
      <c r="AD6">
        <f>IF($Q6="","",COUNTIF(JAN!$G8:$AK8,"FL")+COUNTIF(FEV!$G8:$AK8,"FL")+COUNTIF(MAR!$G8:$AK8,"FL")+COUNTIF(ABR!$G8:$AK8,"FL")+COUNTIF(MAI!$G8:$AK8,"FL")+COUNTIF(JUN!$G8:$AK8,"FL")+COUNTIF(JUL!$G8:$AK8,"FL")+COUNTIF(AGO!$G8:$AK8,"FL")+COUNTIF(SET!$G8:$AK8,"FL")+COUNTIF(OUT!$G8:$AK8,"FL")+COUNTIF(NOV!$G8:$AK8,"FL")+COUNTIF(DEZ!$G8:$AK8,"FL"))</f>
        <v>2</v>
      </c>
      <c r="AF6">
        <f>IF(AND($Q6&lt;&gt;"",N($AD6)&gt;0),COUNT($AF$3:AF5)+1,"")</f>
        <v>2</v>
      </c>
    </row>
    <row r="7" spans="1:32" ht="20.100000000000001" customHeight="1" x14ac:dyDescent="0.25">
      <c r="A7" s="71" t="str">
        <f>IFERROR(INDEX($Q$4:$Q$153,MATCH(ROWS($A$4:A7),$AF$4:$AF$153,0)),"")</f>
        <v>ALEXANDRE SELAU 145401</v>
      </c>
      <c r="B7" s="72" t="str">
        <f>IFERROR(INDEX($R$4:$R$153,MATCH(ROWS($A$4:A7),$AF$4:$AF$153,0)),"")</f>
        <v/>
      </c>
      <c r="C7" s="72" t="str">
        <f>IFERROR(INDEX($S$4:$S$153,MATCH(ROWS($A$4:A7),$AF$4:$AF$153,0)),"")</f>
        <v/>
      </c>
      <c r="D7" s="72" t="str">
        <f>IFERROR(INDEX($T$4:$T$153,MATCH(ROWS($A$4:A7),$AF$4:$AF$153,0)),"")</f>
        <v/>
      </c>
      <c r="E7" s="72" t="str">
        <f>IFERROR(INDEX($U$4:$U$153,MATCH(ROWS($A$4:A7),$AF$4:$AF$153,0)),"")</f>
        <v/>
      </c>
      <c r="F7" s="72" t="str">
        <f>IFERROR(INDEX($V$4:$V$153,MATCH(ROWS($A$4:A7),$AF$4:$AF$153,0)),"")</f>
        <v/>
      </c>
      <c r="G7" s="72" t="str">
        <f>IFERROR(INDEX($W$4:$W$153,MATCH(ROWS($A$4:A7),$AF$4:$AF$153,0)),"")</f>
        <v/>
      </c>
      <c r="H7" s="72" t="str">
        <f>IFERROR(INDEX($X$4:$X$153,MATCH(ROWS($A$4:A7),$AF$4:$AF$153,0)),"")</f>
        <v/>
      </c>
      <c r="I7" s="72" t="str">
        <f>IFERROR(INDEX($Y$4:$Y$153,MATCH(ROWS($A$4:A7),$AF$4:$AF$153,0)),"")</f>
        <v>7</v>
      </c>
      <c r="J7" s="72" t="str">
        <f>IFERROR(INDEX($Z$4:$Z$153,MATCH(ROWS($A$4:A7),$AF$4:$AF$153,0)),"")</f>
        <v/>
      </c>
      <c r="K7" s="72" t="str">
        <f>IFERROR(INDEX($AA$4:$AA$153,MATCH(ROWS($A$4:A7),$AF$4:$AF$153,0)),"")</f>
        <v/>
      </c>
      <c r="L7" s="72" t="str">
        <f>IFERROR(INDEX($AB$4:$AB$153,MATCH(ROWS($A$4:A7),$AF$4:$AF$153,0)),"")</f>
        <v/>
      </c>
      <c r="M7" s="72" t="str">
        <f>IFERROR(INDEX($AC$4:$AC$153,MATCH(ROWS($A$4:A7),$AF$4:$AF$153,0)),"")</f>
        <v/>
      </c>
      <c r="N7" s="35">
        <f>IFERROR(INDEX($AD$4:$AD$153,MATCH(ROWS($A$4:A7),$AF$4:$AF$153,0)),"")</f>
        <v>1</v>
      </c>
      <c r="Q7" t="str">
        <f>T(JAN!B9)</f>
        <v>MISAEL SANTOS 37002097</v>
      </c>
      <c r="R7" t="str">
        <f t="array" ref="R7">IF($Q7="","",_xlfn.TEXTJOIN(", ",TRUE,IF(JAN!$G9:$AK9="FL",JAN!$G$4:$AK$4,"")))</f>
        <v/>
      </c>
      <c r="S7" t="str">
        <f t="array" ref="S7">IF($Q7="","",_xlfn.TEXTJOIN(", ",TRUE,IF(FEV!$G9:$AK9="FL",FEV!$G$4:$AK$4,"")))</f>
        <v/>
      </c>
      <c r="T7" t="str">
        <f t="array" ref="T7">IF($Q7="","",_xlfn.TEXTJOIN(", ",TRUE,IF(MAR!$G9:$AK9="FL",MAR!$G$4:$AK$4,"")))</f>
        <v/>
      </c>
      <c r="U7" t="str">
        <f t="array" ref="U7">IF($Q7="","",_xlfn.TEXTJOIN(", ",TRUE,IF(ABR!$G9:$AK9="FL",ABR!$G$4:$AK$4,"")))</f>
        <v/>
      </c>
      <c r="V7" t="str">
        <f t="array" ref="V7">IF($Q7="","",_xlfn.TEXTJOIN(", ",TRUE,IF(MAI!$G9:$AK9="FL",MAI!$G$4:$AK$4,"")))</f>
        <v/>
      </c>
      <c r="W7" t="str">
        <f t="array" ref="W7">IF($Q7="","",_xlfn.TEXTJOIN(", ",TRUE,IF(JUN!$G9:$AK9="FL",JUN!$G$4:$AK$4,"")))</f>
        <v/>
      </c>
      <c r="X7" t="str">
        <f t="array" ref="X7">IF($Q7="","",_xlfn.TEXTJOIN(", ",TRUE,IF(JUL!$G9:$AK9="FL",JUL!$G$4:$AK$4,"")))</f>
        <v/>
      </c>
      <c r="Y7" t="str">
        <f t="array" ref="Y7">IF($Q7="","",_xlfn.TEXTJOIN(", ",TRUE,IF(AGO!$G9:$AK9="FL",AGO!$G$4:$AK$4,"")))</f>
        <v/>
      </c>
      <c r="Z7" t="str">
        <f t="array" ref="Z7">IF($Q7="","",_xlfn.TEXTJOIN(", ",TRUE,IF(SET!$G9:$AK9="FL",SET!$G$4:$AK$4,"")))</f>
        <v>5, 8, 28</v>
      </c>
      <c r="AA7" t="str">
        <f t="array" ref="AA7">IF($Q7="","",_xlfn.TEXTJOIN(", ",TRUE,IF(OUT!$G9:$AK9="FL",OUT!$G$4:$AK$4,"")))</f>
        <v>2, 3</v>
      </c>
      <c r="AB7" t="str">
        <f t="array" ref="AB7">IF($Q7="","",_xlfn.TEXTJOIN(", ",TRUE,IF(NOV!$G9:$AK9="FL",NOV!$G$4:$AK$4,"")))</f>
        <v/>
      </c>
      <c r="AC7" t="str">
        <f t="array" ref="AC7">IF($Q7="","",_xlfn.TEXTJOIN(", ",TRUE,IF(DEZ!$G9:$AK9="FL",DEZ!$G$4:$AK$4,"")))</f>
        <v/>
      </c>
      <c r="AD7">
        <f>IF($Q7="","",COUNTIF(JAN!$G9:$AK9,"FL")+COUNTIF(FEV!$G9:$AK9,"FL")+COUNTIF(MAR!$G9:$AK9,"FL")+COUNTIF(ABR!$G9:$AK9,"FL")+COUNTIF(MAI!$G9:$AK9,"FL")+COUNTIF(JUN!$G9:$AK9,"FL")+COUNTIF(JUL!$G9:$AK9,"FL")+COUNTIF(AGO!$G9:$AK9,"FL")+COUNTIF(SET!$G9:$AK9,"FL")+COUNTIF(OUT!$G9:$AK9,"FL")+COUNTIF(NOV!$G9:$AK9,"FL")+COUNTIF(DEZ!$G9:$AK9,"FL"))</f>
        <v>5</v>
      </c>
      <c r="AF7">
        <f>IF(AND($Q7&lt;&gt;"",N($AD7)&gt;0),COUNT($AF$3:AF6)+1,"")</f>
        <v>3</v>
      </c>
    </row>
    <row r="8" spans="1:32" ht="20.100000000000001" customHeight="1" x14ac:dyDescent="0.25">
      <c r="A8" s="71" t="str">
        <f>IFERROR(INDEX($Q$4:$Q$153,MATCH(ROWS($A$4:A8),$AF$4:$AF$153,0)),"")</f>
        <v>ROQUE DARLAN 464801</v>
      </c>
      <c r="B8" s="72" t="str">
        <f>IFERROR(INDEX($R$4:$R$153,MATCH(ROWS($A$4:A8),$AF$4:$AF$153,0)),"")</f>
        <v/>
      </c>
      <c r="C8" s="72" t="str">
        <f>IFERROR(INDEX($S$4:$S$153,MATCH(ROWS($A$4:A8),$AF$4:$AF$153,0)),"")</f>
        <v/>
      </c>
      <c r="D8" s="72" t="str">
        <f>IFERROR(INDEX($T$4:$T$153,MATCH(ROWS($A$4:A8),$AF$4:$AF$153,0)),"")</f>
        <v/>
      </c>
      <c r="E8" s="72" t="str">
        <f>IFERROR(INDEX($U$4:$U$153,MATCH(ROWS($A$4:A8),$AF$4:$AF$153,0)),"")</f>
        <v/>
      </c>
      <c r="F8" s="72" t="str">
        <f>IFERROR(INDEX($V$4:$V$153,MATCH(ROWS($A$4:A8),$AF$4:$AF$153,0)),"")</f>
        <v/>
      </c>
      <c r="G8" s="72" t="str">
        <f>IFERROR(INDEX($W$4:$W$153,MATCH(ROWS($A$4:A8),$AF$4:$AF$153,0)),"")</f>
        <v/>
      </c>
      <c r="H8" s="72" t="str">
        <f>IFERROR(INDEX($X$4:$X$153,MATCH(ROWS($A$4:A8),$AF$4:$AF$153,0)),"")</f>
        <v/>
      </c>
      <c r="I8" s="72" t="str">
        <f>IFERROR(INDEX($Y$4:$Y$153,MATCH(ROWS($A$4:A8),$AF$4:$AF$153,0)),"")</f>
        <v/>
      </c>
      <c r="J8" s="72" t="str">
        <f>IFERROR(INDEX($Z$4:$Z$153,MATCH(ROWS($A$4:A8),$AF$4:$AF$153,0)),"")</f>
        <v>5</v>
      </c>
      <c r="K8" s="72" t="str">
        <f>IFERROR(INDEX($AA$4:$AA$153,MATCH(ROWS($A$4:A8),$AF$4:$AF$153,0)),"")</f>
        <v/>
      </c>
      <c r="L8" s="72" t="str">
        <f>IFERROR(INDEX($AB$4:$AB$153,MATCH(ROWS($A$4:A8),$AF$4:$AF$153,0)),"")</f>
        <v/>
      </c>
      <c r="M8" s="72" t="str">
        <f>IFERROR(INDEX($AC$4:$AC$153,MATCH(ROWS($A$4:A8),$AF$4:$AF$153,0)),"")</f>
        <v/>
      </c>
      <c r="N8" s="35">
        <f>IFERROR(INDEX($AD$4:$AD$153,MATCH(ROWS($A$4:A8),$AF$4:$AF$153,0)),"")</f>
        <v>1</v>
      </c>
      <c r="Q8" t="str">
        <f>T(JAN!B10)</f>
        <v>ALEXANDRE SELAU 145401</v>
      </c>
      <c r="R8" t="str">
        <f t="array" ref="R8">IF($Q8="","",_xlfn.TEXTJOIN(", ",TRUE,IF(JAN!$G10:$AK10="FL",JAN!$G$4:$AK$4,"")))</f>
        <v/>
      </c>
      <c r="S8" t="str">
        <f t="array" ref="S8">IF($Q8="","",_xlfn.TEXTJOIN(", ",TRUE,IF(FEV!$G10:$AK10="FL",FEV!$G$4:$AK$4,"")))</f>
        <v/>
      </c>
      <c r="T8" t="str">
        <f t="array" ref="T8">IF($Q8="","",_xlfn.TEXTJOIN(", ",TRUE,IF(MAR!$G10:$AK10="FL",MAR!$G$4:$AK$4,"")))</f>
        <v/>
      </c>
      <c r="U8" t="str">
        <f t="array" ref="U8">IF($Q8="","",_xlfn.TEXTJOIN(", ",TRUE,IF(ABR!$G10:$AK10="FL",ABR!$G$4:$AK$4,"")))</f>
        <v/>
      </c>
      <c r="V8" t="str">
        <f t="array" ref="V8">IF($Q8="","",_xlfn.TEXTJOIN(", ",TRUE,IF(MAI!$G10:$AK10="FL",MAI!$G$4:$AK$4,"")))</f>
        <v/>
      </c>
      <c r="W8" t="str">
        <f t="array" ref="W8">IF($Q8="","",_xlfn.TEXTJOIN(", ",TRUE,IF(JUN!$G10:$AK10="FL",JUN!$G$4:$AK$4,"")))</f>
        <v/>
      </c>
      <c r="X8" t="str">
        <f t="array" ref="X8">IF($Q8="","",_xlfn.TEXTJOIN(", ",TRUE,IF(JUL!$G10:$AK10="FL",JUL!$G$4:$AK$4,"")))</f>
        <v/>
      </c>
      <c r="Y8" t="str">
        <f t="array" ref="Y8">IF($Q8="","",_xlfn.TEXTJOIN(", ",TRUE,IF(AGO!$G10:$AK10="FL",AGO!$G$4:$AK$4,"")))</f>
        <v>7</v>
      </c>
      <c r="Z8" t="str">
        <f t="array" ref="Z8">IF($Q8="","",_xlfn.TEXTJOIN(", ",TRUE,IF(SET!$G10:$AK10="FL",SET!$G$4:$AK$4,"")))</f>
        <v/>
      </c>
      <c r="AA8" t="str">
        <f t="array" ref="AA8">IF($Q8="","",_xlfn.TEXTJOIN(", ",TRUE,IF(OUT!$G10:$AK10="FL",OUT!$G$4:$AK$4,"")))</f>
        <v/>
      </c>
      <c r="AB8" t="str">
        <f t="array" ref="AB8">IF($Q8="","",_xlfn.TEXTJOIN(", ",TRUE,IF(NOV!$G10:$AK10="FL",NOV!$G$4:$AK$4,"")))</f>
        <v/>
      </c>
      <c r="AC8" t="str">
        <f t="array" ref="AC8">IF($Q8="","",_xlfn.TEXTJOIN(", ",TRUE,IF(DEZ!$G10:$AK10="FL",DEZ!$G$4:$AK$4,"")))</f>
        <v/>
      </c>
      <c r="AD8">
        <f>IF($Q8="","",COUNTIF(JAN!$G10:$AK10,"FL")+COUNTIF(FEV!$G10:$AK10,"FL")+COUNTIF(MAR!$G10:$AK10,"FL")+COUNTIF(ABR!$G10:$AK10,"FL")+COUNTIF(MAI!$G10:$AK10,"FL")+COUNTIF(JUN!$G10:$AK10,"FL")+COUNTIF(JUL!$G10:$AK10,"FL")+COUNTIF(AGO!$G10:$AK10,"FL")+COUNTIF(SET!$G10:$AK10,"FL")+COUNTIF(OUT!$G10:$AK10,"FL")+COUNTIF(NOV!$G10:$AK10,"FL")+COUNTIF(DEZ!$G10:$AK10,"FL"))</f>
        <v>1</v>
      </c>
      <c r="AF8">
        <f>IF(AND($Q8&lt;&gt;"",N($AD8)&gt;0),COUNT($AF$3:AF7)+1,"")</f>
        <v>4</v>
      </c>
    </row>
    <row r="9" spans="1:32" ht="20.100000000000001" customHeight="1" x14ac:dyDescent="0.25">
      <c r="A9" s="71" t="str">
        <f>IFERROR(INDEX($Q$4:$Q$153,MATCH(ROWS($A$4:A9),$AF$4:$AF$153,0)),"")</f>
        <v>RAFAEL SANTOS 355101</v>
      </c>
      <c r="B9" s="72" t="str">
        <f>IFERROR(INDEX($R$4:$R$153,MATCH(ROWS($A$4:A9),$AF$4:$AF$153,0)),"")</f>
        <v/>
      </c>
      <c r="C9" s="72" t="str">
        <f>IFERROR(INDEX($S$4:$S$153,MATCH(ROWS($A$4:A9),$AF$4:$AF$153,0)),"")</f>
        <v/>
      </c>
      <c r="D9" s="72" t="str">
        <f>IFERROR(INDEX($T$4:$T$153,MATCH(ROWS($A$4:A9),$AF$4:$AF$153,0)),"")</f>
        <v/>
      </c>
      <c r="E9" s="72" t="str">
        <f>IFERROR(INDEX($U$4:$U$153,MATCH(ROWS($A$4:A9),$AF$4:$AF$153,0)),"")</f>
        <v/>
      </c>
      <c r="F9" s="72" t="str">
        <f>IFERROR(INDEX($V$4:$V$153,MATCH(ROWS($A$4:A9),$AF$4:$AF$153,0)),"")</f>
        <v/>
      </c>
      <c r="G9" s="72" t="str">
        <f>IFERROR(INDEX($W$4:$W$153,MATCH(ROWS($A$4:A9),$AF$4:$AF$153,0)),"")</f>
        <v/>
      </c>
      <c r="H9" s="72" t="str">
        <f>IFERROR(INDEX($X$4:$X$153,MATCH(ROWS($A$4:A9),$AF$4:$AF$153,0)),"")</f>
        <v>28</v>
      </c>
      <c r="I9" s="72" t="str">
        <f>IFERROR(INDEX($Y$4:$Y$153,MATCH(ROWS($A$4:A9),$AF$4:$AF$153,0)),"")</f>
        <v/>
      </c>
      <c r="J9" s="72" t="str">
        <f>IFERROR(INDEX($Z$4:$Z$153,MATCH(ROWS($A$4:A9),$AF$4:$AF$153,0)),"")</f>
        <v>17</v>
      </c>
      <c r="K9" s="72" t="str">
        <f>IFERROR(INDEX($AA$4:$AA$153,MATCH(ROWS($A$4:A9),$AF$4:$AF$153,0)),"")</f>
        <v/>
      </c>
      <c r="L9" s="72" t="str">
        <f>IFERROR(INDEX($AB$4:$AB$153,MATCH(ROWS($A$4:A9),$AF$4:$AF$153,0)),"")</f>
        <v/>
      </c>
      <c r="M9" s="72" t="str">
        <f>IFERROR(INDEX($AC$4:$AC$153,MATCH(ROWS($A$4:A9),$AF$4:$AF$153,0)),"")</f>
        <v/>
      </c>
      <c r="N9" s="35">
        <f>IFERROR(INDEX($AD$4:$AD$153,MATCH(ROWS($A$4:A9),$AF$4:$AF$153,0)),"")</f>
        <v>2</v>
      </c>
      <c r="Q9" t="str">
        <f>T(JAN!B11)</f>
        <v>FABIANO FORTES 57401</v>
      </c>
      <c r="R9" t="str">
        <f t="array" ref="R9">IF($Q9="","",_xlfn.TEXTJOIN(", ",TRUE,IF(JAN!$G11:$AK11="FL",JAN!$G$4:$AK$4,"")))</f>
        <v/>
      </c>
      <c r="S9" t="str">
        <f t="array" ref="S9">IF($Q9="","",_xlfn.TEXTJOIN(", ",TRUE,IF(FEV!$G11:$AK11="FL",FEV!$G$4:$AK$4,"")))</f>
        <v/>
      </c>
      <c r="T9" t="str">
        <f t="array" ref="T9">IF($Q9="","",_xlfn.TEXTJOIN(", ",TRUE,IF(MAR!$G11:$AK11="FL",MAR!$G$4:$AK$4,"")))</f>
        <v/>
      </c>
      <c r="U9" t="str">
        <f t="array" ref="U9">IF($Q9="","",_xlfn.TEXTJOIN(", ",TRUE,IF(ABR!$G11:$AK11="FL",ABR!$G$4:$AK$4,"")))</f>
        <v/>
      </c>
      <c r="V9" t="str">
        <f t="array" ref="V9">IF($Q9="","",_xlfn.TEXTJOIN(", ",TRUE,IF(MAI!$G11:$AK11="FL",MAI!$G$4:$AK$4,"")))</f>
        <v/>
      </c>
      <c r="W9" t="str">
        <f t="array" ref="W9">IF($Q9="","",_xlfn.TEXTJOIN(", ",TRUE,IF(JUN!$G11:$AK11="FL",JUN!$G$4:$AK$4,"")))</f>
        <v/>
      </c>
      <c r="X9" t="str">
        <f t="array" ref="X9">IF($Q9="","",_xlfn.TEXTJOIN(", ",TRUE,IF(JUL!$G11:$AK11="FL",JUL!$G$4:$AK$4,"")))</f>
        <v/>
      </c>
      <c r="Y9" t="str">
        <f t="array" ref="Y9">IF($Q9="","",_xlfn.TEXTJOIN(", ",TRUE,IF(AGO!$G11:$AK11="FL",AGO!$G$4:$AK$4,"")))</f>
        <v/>
      </c>
      <c r="Z9" t="str">
        <f t="array" ref="Z9">IF($Q9="","",_xlfn.TEXTJOIN(", ",TRUE,IF(SET!$G11:$AK11="FL",SET!$G$4:$AK$4,"")))</f>
        <v/>
      </c>
      <c r="AA9" t="str">
        <f t="array" ref="AA9">IF($Q9="","",_xlfn.TEXTJOIN(", ",TRUE,IF(OUT!$G11:$AK11="FL",OUT!$G$4:$AK$4,"")))</f>
        <v/>
      </c>
      <c r="AB9" t="str">
        <f t="array" ref="AB9">IF($Q9="","",_xlfn.TEXTJOIN(", ",TRUE,IF(NOV!$G11:$AK11="FL",NOV!$G$4:$AK$4,"")))</f>
        <v/>
      </c>
      <c r="AC9" t="str">
        <f t="array" ref="AC9">IF($Q9="","",_xlfn.TEXTJOIN(", ",TRUE,IF(DEZ!$G11:$AK11="FL",DEZ!$G$4:$AK$4,"")))</f>
        <v/>
      </c>
      <c r="AD9">
        <f>IF($Q9="","",COUNTIF(JAN!$G11:$AK11,"FL")+COUNTIF(FEV!$G11:$AK11,"FL")+COUNTIF(MAR!$G11:$AK11,"FL")+COUNTIF(ABR!$G11:$AK11,"FL")+COUNTIF(MAI!$G11:$AK11,"FL")+COUNTIF(JUN!$G11:$AK11,"FL")+COUNTIF(JUL!$G11:$AK11,"FL")+COUNTIF(AGO!$G11:$AK11,"FL")+COUNTIF(SET!$G11:$AK11,"FL")+COUNTIF(OUT!$G11:$AK11,"FL")+COUNTIF(NOV!$G11:$AK11,"FL")+COUNTIF(DEZ!$G11:$AK11,"FL"))</f>
        <v>0</v>
      </c>
      <c r="AF9" t="str">
        <f>IF(AND($Q9&lt;&gt;"",N($AD9)&gt;0),COUNT($AF$3:AF8)+1,"")</f>
        <v/>
      </c>
    </row>
    <row r="10" spans="1:32" ht="20.100000000000001" customHeight="1" x14ac:dyDescent="0.25">
      <c r="A10" s="71" t="str">
        <f>IFERROR(INDEX($Q$4:$Q$153,MATCH(ROWS($A$4:A10),$AF$4:$AF$153,0)),"")</f>
        <v>DANIEL MACHADO 112601</v>
      </c>
      <c r="B10" s="72" t="str">
        <f>IFERROR(INDEX($R$4:$R$153,MATCH(ROWS($A$4:A10),$AF$4:$AF$153,0)),"")</f>
        <v/>
      </c>
      <c r="C10" s="72" t="str">
        <f>IFERROR(INDEX($S$4:$S$153,MATCH(ROWS($A$4:A10),$AF$4:$AF$153,0)),"")</f>
        <v/>
      </c>
      <c r="D10" s="72" t="str">
        <f>IFERROR(INDEX($T$4:$T$153,MATCH(ROWS($A$4:A10),$AF$4:$AF$153,0)),"")</f>
        <v/>
      </c>
      <c r="E10" s="72" t="str">
        <f>IFERROR(INDEX($U$4:$U$153,MATCH(ROWS($A$4:A10),$AF$4:$AF$153,0)),"")</f>
        <v/>
      </c>
      <c r="F10" s="72" t="str">
        <f>IFERROR(INDEX($V$4:$V$153,MATCH(ROWS($A$4:A10),$AF$4:$AF$153,0)),"")</f>
        <v/>
      </c>
      <c r="G10" s="72" t="str">
        <f>IFERROR(INDEX($W$4:$W$153,MATCH(ROWS($A$4:A10),$AF$4:$AF$153,0)),"")</f>
        <v/>
      </c>
      <c r="H10" s="72" t="str">
        <f>IFERROR(INDEX($X$4:$X$153,MATCH(ROWS($A$4:A10),$AF$4:$AF$153,0)),"")</f>
        <v>24, 25, 27, 28</v>
      </c>
      <c r="I10" s="72" t="str">
        <f>IFERROR(INDEX($Y$4:$Y$153,MATCH(ROWS($A$4:A10),$AF$4:$AF$153,0)),"")</f>
        <v>7</v>
      </c>
      <c r="J10" s="72" t="str">
        <f>IFERROR(INDEX($Z$4:$Z$153,MATCH(ROWS($A$4:A10),$AF$4:$AF$153,0)),"")</f>
        <v/>
      </c>
      <c r="K10" s="72" t="str">
        <f>IFERROR(INDEX($AA$4:$AA$153,MATCH(ROWS($A$4:A10),$AF$4:$AF$153,0)),"")</f>
        <v/>
      </c>
      <c r="L10" s="72" t="str">
        <f>IFERROR(INDEX($AB$4:$AB$153,MATCH(ROWS($A$4:A10),$AF$4:$AF$153,0)),"")</f>
        <v/>
      </c>
      <c r="M10" s="72" t="str">
        <f>IFERROR(INDEX($AC$4:$AC$153,MATCH(ROWS($A$4:A10),$AF$4:$AF$153,0)),"")</f>
        <v/>
      </c>
      <c r="N10" s="35">
        <f>IFERROR(INDEX($AD$4:$AD$153,MATCH(ROWS($A$4:A10),$AF$4:$AF$153,0)),"")</f>
        <v>5</v>
      </c>
      <c r="Q10" t="str">
        <f>T(JAN!B12)</f>
        <v>DOUGLAS MILANI 398501</v>
      </c>
      <c r="R10" t="str">
        <f t="array" ref="R10">IF($Q10="","",_xlfn.TEXTJOIN(", ",TRUE,IF(JAN!$G12:$AK12="FL",JAN!$G$4:$AK$4,"")))</f>
        <v/>
      </c>
      <c r="S10" t="str">
        <f t="array" ref="S10">IF($Q10="","",_xlfn.TEXTJOIN(", ",TRUE,IF(FEV!$G12:$AK12="FL",FEV!$G$4:$AK$4,"")))</f>
        <v/>
      </c>
      <c r="T10" t="str">
        <f t="array" ref="T10">IF($Q10="","",_xlfn.TEXTJOIN(", ",TRUE,IF(MAR!$G12:$AK12="FL",MAR!$G$4:$AK$4,"")))</f>
        <v/>
      </c>
      <c r="U10" t="str">
        <f t="array" ref="U10">IF($Q10="","",_xlfn.TEXTJOIN(", ",TRUE,IF(ABR!$G12:$AK12="FL",ABR!$G$4:$AK$4,"")))</f>
        <v/>
      </c>
      <c r="V10" t="str">
        <f t="array" ref="V10">IF($Q10="","",_xlfn.TEXTJOIN(", ",TRUE,IF(MAI!$G12:$AK12="FL",MAI!$G$4:$AK$4,"")))</f>
        <v/>
      </c>
      <c r="W10" t="str">
        <f t="array" ref="W10">IF($Q10="","",_xlfn.TEXTJOIN(", ",TRUE,IF(JUN!$G12:$AK12="FL",JUN!$G$4:$AK$4,"")))</f>
        <v/>
      </c>
      <c r="X10" t="str">
        <f t="array" ref="X10">IF($Q10="","",_xlfn.TEXTJOIN(", ",TRUE,IF(JUL!$G12:$AK12="FL",JUL!$G$4:$AK$4,"")))</f>
        <v/>
      </c>
      <c r="Y10" t="str">
        <f t="array" ref="Y10">IF($Q10="","",_xlfn.TEXTJOIN(", ",TRUE,IF(AGO!$G12:$AK12="FL",AGO!$G$4:$AK$4,"")))</f>
        <v/>
      </c>
      <c r="Z10" t="str">
        <f t="array" ref="Z10">IF($Q10="","",_xlfn.TEXTJOIN(", ",TRUE,IF(SET!$G12:$AK12="FL",SET!$G$4:$AK$4,"")))</f>
        <v/>
      </c>
      <c r="AA10" t="str">
        <f t="array" ref="AA10">IF($Q10="","",_xlfn.TEXTJOIN(", ",TRUE,IF(OUT!$G12:$AK12="FL",OUT!$G$4:$AK$4,"")))</f>
        <v/>
      </c>
      <c r="AB10" t="str">
        <f t="array" ref="AB10">IF($Q10="","",_xlfn.TEXTJOIN(", ",TRUE,IF(NOV!$G12:$AK12="FL",NOV!$G$4:$AK$4,"")))</f>
        <v/>
      </c>
      <c r="AC10" t="str">
        <f t="array" ref="AC10">IF($Q10="","",_xlfn.TEXTJOIN(", ",TRUE,IF(DEZ!$G12:$AK12="FL",DEZ!$G$4:$AK$4,"")))</f>
        <v/>
      </c>
      <c r="AD10">
        <f>IF($Q10="","",COUNTIF(JAN!$G12:$AK12,"FL")+COUNTIF(FEV!$G12:$AK12,"FL")+COUNTIF(MAR!$G12:$AK12,"FL")+COUNTIF(ABR!$G12:$AK12,"FL")+COUNTIF(MAI!$G12:$AK12,"FL")+COUNTIF(JUN!$G12:$AK12,"FL")+COUNTIF(JUL!$G12:$AK12,"FL")+COUNTIF(AGO!$G12:$AK12,"FL")+COUNTIF(SET!$G12:$AK12,"FL")+COUNTIF(OUT!$G12:$AK12,"FL")+COUNTIF(NOV!$G12:$AK12,"FL")+COUNTIF(DEZ!$G12:$AK12,"FL"))</f>
        <v>0</v>
      </c>
      <c r="AF10" t="str">
        <f>IF(AND($Q10&lt;&gt;"",N($AD10)&gt;0),COUNT($AF$3:AF9)+1,"")</f>
        <v/>
      </c>
    </row>
    <row r="11" spans="1:32" ht="20.100000000000001" customHeight="1" x14ac:dyDescent="0.25">
      <c r="A11" s="71" t="str">
        <f>IFERROR(INDEX($Q$4:$Q$153,MATCH(ROWS($A$4:A11),$AF$4:$AF$153,0)),"")</f>
        <v>JOSE HERTE 109801</v>
      </c>
      <c r="B11" s="72" t="str">
        <f>IFERROR(INDEX($R$4:$R$153,MATCH(ROWS($A$4:A11),$AF$4:$AF$153,0)),"")</f>
        <v/>
      </c>
      <c r="C11" s="72" t="str">
        <f>IFERROR(INDEX($S$4:$S$153,MATCH(ROWS($A$4:A11),$AF$4:$AF$153,0)),"")</f>
        <v/>
      </c>
      <c r="D11" s="72" t="str">
        <f>IFERROR(INDEX($T$4:$T$153,MATCH(ROWS($A$4:A11),$AF$4:$AF$153,0)),"")</f>
        <v/>
      </c>
      <c r="E11" s="72" t="str">
        <f>IFERROR(INDEX($U$4:$U$153,MATCH(ROWS($A$4:A11),$AF$4:$AF$153,0)),"")</f>
        <v/>
      </c>
      <c r="F11" s="72" t="str">
        <f>IFERROR(INDEX($V$4:$V$153,MATCH(ROWS($A$4:A11),$AF$4:$AF$153,0)),"")</f>
        <v/>
      </c>
      <c r="G11" s="72" t="str">
        <f>IFERROR(INDEX($W$4:$W$153,MATCH(ROWS($A$4:A11),$AF$4:$AF$153,0)),"")</f>
        <v/>
      </c>
      <c r="H11" s="72" t="str">
        <f>IFERROR(INDEX($X$4:$X$153,MATCH(ROWS($A$4:A11),$AF$4:$AF$153,0)),"")</f>
        <v/>
      </c>
      <c r="I11" s="72" t="str">
        <f>IFERROR(INDEX($Y$4:$Y$153,MATCH(ROWS($A$4:A11),$AF$4:$AF$153,0)),"")</f>
        <v>21, 22</v>
      </c>
      <c r="J11" s="72" t="str">
        <f>IFERROR(INDEX($Z$4:$Z$153,MATCH(ROWS($A$4:A11),$AF$4:$AF$153,0)),"")</f>
        <v>8</v>
      </c>
      <c r="K11" s="72" t="str">
        <f>IFERROR(INDEX($AA$4:$AA$153,MATCH(ROWS($A$4:A11),$AF$4:$AF$153,0)),"")</f>
        <v>1</v>
      </c>
      <c r="L11" s="72" t="str">
        <f>IFERROR(INDEX($AB$4:$AB$153,MATCH(ROWS($A$4:A11),$AF$4:$AF$153,0)),"")</f>
        <v/>
      </c>
      <c r="M11" s="72" t="str">
        <f>IFERROR(INDEX($AC$4:$AC$153,MATCH(ROWS($A$4:A11),$AF$4:$AF$153,0)),"")</f>
        <v/>
      </c>
      <c r="N11" s="35">
        <f>IFERROR(INDEX($AD$4:$AD$153,MATCH(ROWS($A$4:A11),$AF$4:$AF$153,0)),"")</f>
        <v>4</v>
      </c>
      <c r="Q11" t="str">
        <f>T(JAN!B13)</f>
        <v>ROQUE DARLAN 464801</v>
      </c>
      <c r="R11" t="str">
        <f t="array" ref="R11">IF($Q11="","",_xlfn.TEXTJOIN(", ",TRUE,IF(JAN!$G13:$AK13="FL",JAN!$G$4:$AK$4,"")))</f>
        <v/>
      </c>
      <c r="S11" t="str">
        <f t="array" ref="S11">IF($Q11="","",_xlfn.TEXTJOIN(", ",TRUE,IF(FEV!$G13:$AK13="FL",FEV!$G$4:$AK$4,"")))</f>
        <v/>
      </c>
      <c r="T11" t="str">
        <f t="array" ref="T11">IF($Q11="","",_xlfn.TEXTJOIN(", ",TRUE,IF(MAR!$G13:$AK13="FL",MAR!$G$4:$AK$4,"")))</f>
        <v/>
      </c>
      <c r="U11" t="str">
        <f t="array" ref="U11">IF($Q11="","",_xlfn.TEXTJOIN(", ",TRUE,IF(ABR!$G13:$AK13="FL",ABR!$G$4:$AK$4,"")))</f>
        <v/>
      </c>
      <c r="V11" t="str">
        <f t="array" ref="V11">IF($Q11="","",_xlfn.TEXTJOIN(", ",TRUE,IF(MAI!$G13:$AK13="FL",MAI!$G$4:$AK$4,"")))</f>
        <v/>
      </c>
      <c r="W11" t="str">
        <f t="array" ref="W11">IF($Q11="","",_xlfn.TEXTJOIN(", ",TRUE,IF(JUN!$G13:$AK13="FL",JUN!$G$4:$AK$4,"")))</f>
        <v/>
      </c>
      <c r="X11" t="str">
        <f t="array" ref="X11">IF($Q11="","",_xlfn.TEXTJOIN(", ",TRUE,IF(JUL!$G13:$AK13="FL",JUL!$G$4:$AK$4,"")))</f>
        <v/>
      </c>
      <c r="Y11" t="str">
        <f t="array" ref="Y11">IF($Q11="","",_xlfn.TEXTJOIN(", ",TRUE,IF(AGO!$G13:$AK13="FL",AGO!$G$4:$AK$4,"")))</f>
        <v/>
      </c>
      <c r="Z11" t="str">
        <f t="array" ref="Z11">IF($Q11="","",_xlfn.TEXTJOIN(", ",TRUE,IF(SET!$G13:$AK13="FL",SET!$G$4:$AK$4,"")))</f>
        <v>5</v>
      </c>
      <c r="AA11" t="str">
        <f t="array" ref="AA11">IF($Q11="","",_xlfn.TEXTJOIN(", ",TRUE,IF(OUT!$G13:$AK13="FL",OUT!$G$4:$AK$4,"")))</f>
        <v/>
      </c>
      <c r="AB11" t="str">
        <f t="array" ref="AB11">IF($Q11="","",_xlfn.TEXTJOIN(", ",TRUE,IF(NOV!$G13:$AK13="FL",NOV!$G$4:$AK$4,"")))</f>
        <v/>
      </c>
      <c r="AC11" t="str">
        <f t="array" ref="AC11">IF($Q11="","",_xlfn.TEXTJOIN(", ",TRUE,IF(DEZ!$G13:$AK13="FL",DEZ!$G$4:$AK$4,"")))</f>
        <v/>
      </c>
      <c r="AD11">
        <f>IF($Q11="","",COUNTIF(JAN!$G13:$AK13,"FL")+COUNTIF(FEV!$G13:$AK13,"FL")+COUNTIF(MAR!$G13:$AK13,"FL")+COUNTIF(ABR!$G13:$AK13,"FL")+COUNTIF(MAI!$G13:$AK13,"FL")+COUNTIF(JUN!$G13:$AK13,"FL")+COUNTIF(JUL!$G13:$AK13,"FL")+COUNTIF(AGO!$G13:$AK13,"FL")+COUNTIF(SET!$G13:$AK13,"FL")+COUNTIF(OUT!$G13:$AK13,"FL")+COUNTIF(NOV!$G13:$AK13,"FL")+COUNTIF(DEZ!$G13:$AK13,"FL"))</f>
        <v>1</v>
      </c>
      <c r="AF11">
        <f>IF(AND($Q11&lt;&gt;"",N($AD11)&gt;0),COUNT($AF$3:AF10)+1,"")</f>
        <v>5</v>
      </c>
    </row>
    <row r="12" spans="1:32" ht="20.100000000000001" customHeight="1" x14ac:dyDescent="0.25">
      <c r="A12" s="71" t="str">
        <f>IFERROR(INDEX($Q$4:$Q$153,MATCH(ROWS($A$4:A12),$AF$4:$AF$153,0)),"")</f>
        <v>EVERTON SILVA 37001892</v>
      </c>
      <c r="B12" s="72" t="str">
        <f>IFERROR(INDEX($R$4:$R$153,MATCH(ROWS($A$4:A12),$AF$4:$AF$153,0)),"")</f>
        <v/>
      </c>
      <c r="C12" s="72" t="str">
        <f>IFERROR(INDEX($S$4:$S$153,MATCH(ROWS($A$4:A12),$AF$4:$AF$153,0)),"")</f>
        <v/>
      </c>
      <c r="D12" s="72" t="str">
        <f>IFERROR(INDEX($T$4:$T$153,MATCH(ROWS($A$4:A12),$AF$4:$AF$153,0)),"")</f>
        <v/>
      </c>
      <c r="E12" s="72" t="str">
        <f>IFERROR(INDEX($U$4:$U$153,MATCH(ROWS($A$4:A12),$AF$4:$AF$153,0)),"")</f>
        <v/>
      </c>
      <c r="F12" s="72" t="str">
        <f>IFERROR(INDEX($V$4:$V$153,MATCH(ROWS($A$4:A12),$AF$4:$AF$153,0)),"")</f>
        <v/>
      </c>
      <c r="G12" s="72" t="str">
        <f>IFERROR(INDEX($W$4:$W$153,MATCH(ROWS($A$4:A12),$AF$4:$AF$153,0)),"")</f>
        <v/>
      </c>
      <c r="H12" s="72" t="str">
        <f>IFERROR(INDEX($X$4:$X$153,MATCH(ROWS($A$4:A12),$AF$4:$AF$153,0)),"")</f>
        <v/>
      </c>
      <c r="I12" s="72" t="str">
        <f>IFERROR(INDEX($Y$4:$Y$153,MATCH(ROWS($A$4:A12),$AF$4:$AF$153,0)),"")</f>
        <v>3</v>
      </c>
      <c r="J12" s="72" t="str">
        <f>IFERROR(INDEX($Z$4:$Z$153,MATCH(ROWS($A$4:A12),$AF$4:$AF$153,0)),"")</f>
        <v/>
      </c>
      <c r="K12" s="72" t="str">
        <f>IFERROR(INDEX($AA$4:$AA$153,MATCH(ROWS($A$4:A12),$AF$4:$AF$153,0)),"")</f>
        <v/>
      </c>
      <c r="L12" s="72" t="str">
        <f>IFERROR(INDEX($AB$4:$AB$153,MATCH(ROWS($A$4:A12),$AF$4:$AF$153,0)),"")</f>
        <v/>
      </c>
      <c r="M12" s="72" t="str">
        <f>IFERROR(INDEX($AC$4:$AC$153,MATCH(ROWS($A$4:A12),$AF$4:$AF$153,0)),"")</f>
        <v/>
      </c>
      <c r="N12" s="35">
        <f>IFERROR(INDEX($AD$4:$AD$153,MATCH(ROWS($A$4:A12),$AF$4:$AF$153,0)),"")</f>
        <v>1</v>
      </c>
      <c r="Q12" t="str">
        <f>T(JAN!B14)</f>
        <v>FREDERICO SILVA 416501</v>
      </c>
      <c r="R12" t="str">
        <f t="array" ref="R12">IF($Q12="","",_xlfn.TEXTJOIN(", ",TRUE,IF(JAN!$G14:$AK14="FL",JAN!$G$4:$AK$4,"")))</f>
        <v/>
      </c>
      <c r="S12" t="str">
        <f t="array" ref="S12">IF($Q12="","",_xlfn.TEXTJOIN(", ",TRUE,IF(FEV!$G14:$AK14="FL",FEV!$G$4:$AK$4,"")))</f>
        <v/>
      </c>
      <c r="T12" t="str">
        <f t="array" ref="T12">IF($Q12="","",_xlfn.TEXTJOIN(", ",TRUE,IF(MAR!$G14:$AK14="FL",MAR!$G$4:$AK$4,"")))</f>
        <v/>
      </c>
      <c r="U12" t="str">
        <f t="array" ref="U12">IF($Q12="","",_xlfn.TEXTJOIN(", ",TRUE,IF(ABR!$G14:$AK14="FL",ABR!$G$4:$AK$4,"")))</f>
        <v/>
      </c>
      <c r="V12" t="str">
        <f t="array" ref="V12">IF($Q12="","",_xlfn.TEXTJOIN(", ",TRUE,IF(MAI!$G14:$AK14="FL",MAI!$G$4:$AK$4,"")))</f>
        <v/>
      </c>
      <c r="W12" t="str">
        <f t="array" ref="W12">IF($Q12="","",_xlfn.TEXTJOIN(", ",TRUE,IF(JUN!$G14:$AK14="FL",JUN!$G$4:$AK$4,"")))</f>
        <v/>
      </c>
      <c r="X12" t="str">
        <f t="array" ref="X12">IF($Q12="","",_xlfn.TEXTJOIN(", ",TRUE,IF(JUL!$G14:$AK14="FL",JUL!$G$4:$AK$4,"")))</f>
        <v/>
      </c>
      <c r="Y12" t="str">
        <f t="array" ref="Y12">IF($Q12="","",_xlfn.TEXTJOIN(", ",TRUE,IF(AGO!$G14:$AK14="FL",AGO!$G$4:$AK$4,"")))</f>
        <v/>
      </c>
      <c r="Z12" t="str">
        <f t="array" ref="Z12">IF($Q12="","",_xlfn.TEXTJOIN(", ",TRUE,IF(SET!$G14:$AK14="FL",SET!$G$4:$AK$4,"")))</f>
        <v/>
      </c>
      <c r="AA12" t="str">
        <f t="array" ref="AA12">IF($Q12="","",_xlfn.TEXTJOIN(", ",TRUE,IF(OUT!$G14:$AK14="FL",OUT!$G$4:$AK$4,"")))</f>
        <v/>
      </c>
      <c r="AB12" t="str">
        <f t="array" ref="AB12">IF($Q12="","",_xlfn.TEXTJOIN(", ",TRUE,IF(NOV!$G14:$AK14="FL",NOV!$G$4:$AK$4,"")))</f>
        <v/>
      </c>
      <c r="AC12" t="str">
        <f t="array" ref="AC12">IF($Q12="","",_xlfn.TEXTJOIN(", ",TRUE,IF(DEZ!$G14:$AK14="FL",DEZ!$G$4:$AK$4,"")))</f>
        <v/>
      </c>
      <c r="AD12">
        <f>IF($Q12="","",COUNTIF(JAN!$G14:$AK14,"FL")+COUNTIF(FEV!$G14:$AK14,"FL")+COUNTIF(MAR!$G14:$AK14,"FL")+COUNTIF(ABR!$G14:$AK14,"FL")+COUNTIF(MAI!$G14:$AK14,"FL")+COUNTIF(JUN!$G14:$AK14,"FL")+COUNTIF(JUL!$G14:$AK14,"FL")+COUNTIF(AGO!$G14:$AK14,"FL")+COUNTIF(SET!$G14:$AK14,"FL")+COUNTIF(OUT!$G14:$AK14,"FL")+COUNTIF(NOV!$G14:$AK14,"FL")+COUNTIF(DEZ!$G14:$AK14,"FL"))</f>
        <v>0</v>
      </c>
      <c r="AF12" t="str">
        <f>IF(AND($Q12&lt;&gt;"",N($AD12)&gt;0),COUNT($AF$3:AF11)+1,"")</f>
        <v/>
      </c>
    </row>
    <row r="13" spans="1:32" ht="20.100000000000001" customHeight="1" x14ac:dyDescent="0.25">
      <c r="A13" s="71" t="str">
        <f>IFERROR(INDEX($Q$4:$Q$153,MATCH(ROWS($A$4:A13),$AF$4:$AF$153,0)),"")</f>
        <v>ANILTON MORAES 327401</v>
      </c>
      <c r="B13" s="72" t="str">
        <f>IFERROR(INDEX($R$4:$R$153,MATCH(ROWS($A$4:A13),$AF$4:$AF$153,0)),"")</f>
        <v/>
      </c>
      <c r="C13" s="72" t="str">
        <f>IFERROR(INDEX($S$4:$S$153,MATCH(ROWS($A$4:A13),$AF$4:$AF$153,0)),"")</f>
        <v/>
      </c>
      <c r="D13" s="72" t="str">
        <f>IFERROR(INDEX($T$4:$T$153,MATCH(ROWS($A$4:A13),$AF$4:$AF$153,0)),"")</f>
        <v/>
      </c>
      <c r="E13" s="72" t="str">
        <f>IFERROR(INDEX($U$4:$U$153,MATCH(ROWS($A$4:A13),$AF$4:$AF$153,0)),"")</f>
        <v/>
      </c>
      <c r="F13" s="72" t="str">
        <f>IFERROR(INDEX($V$4:$V$153,MATCH(ROWS($A$4:A13),$AF$4:$AF$153,0)),"")</f>
        <v/>
      </c>
      <c r="G13" s="72" t="str">
        <f>IFERROR(INDEX($W$4:$W$153,MATCH(ROWS($A$4:A13),$AF$4:$AF$153,0)),"")</f>
        <v/>
      </c>
      <c r="H13" s="72" t="str">
        <f>IFERROR(INDEX($X$4:$X$153,MATCH(ROWS($A$4:A13),$AF$4:$AF$153,0)),"")</f>
        <v/>
      </c>
      <c r="I13" s="72" t="str">
        <f>IFERROR(INDEX($Y$4:$Y$153,MATCH(ROWS($A$4:A13),$AF$4:$AF$153,0)),"")</f>
        <v>31</v>
      </c>
      <c r="J13" s="72" t="str">
        <f>IFERROR(INDEX($Z$4:$Z$153,MATCH(ROWS($A$4:A13),$AF$4:$AF$153,0)),"")</f>
        <v/>
      </c>
      <c r="K13" s="72" t="str">
        <f>IFERROR(INDEX($AA$4:$AA$153,MATCH(ROWS($A$4:A13),$AF$4:$AF$153,0)),"")</f>
        <v/>
      </c>
      <c r="L13" s="72" t="str">
        <f>IFERROR(INDEX($AB$4:$AB$153,MATCH(ROWS($A$4:A13),$AF$4:$AF$153,0)),"")</f>
        <v/>
      </c>
      <c r="M13" s="72" t="str">
        <f>IFERROR(INDEX($AC$4:$AC$153,MATCH(ROWS($A$4:A13),$AF$4:$AF$153,0)),"")</f>
        <v/>
      </c>
      <c r="N13" s="35">
        <f>IFERROR(INDEX($AD$4:$AD$153,MATCH(ROWS($A$4:A13),$AF$4:$AF$153,0)),"")</f>
        <v>1</v>
      </c>
      <c r="Q13" t="str">
        <f>T(JAN!B15)</f>
        <v>RAFAEL SANTOS 355101</v>
      </c>
      <c r="R13" t="str">
        <f t="array" ref="R13">IF($Q13="","",_xlfn.TEXTJOIN(", ",TRUE,IF(JAN!$G15:$AK15="FL",JAN!$G$4:$AK$4,"")))</f>
        <v/>
      </c>
      <c r="S13" t="str">
        <f t="array" ref="S13">IF($Q13="","",_xlfn.TEXTJOIN(", ",TRUE,IF(FEV!$G15:$AK15="FL",FEV!$G$4:$AK$4,"")))</f>
        <v/>
      </c>
      <c r="T13" t="str">
        <f t="array" ref="T13">IF($Q13="","",_xlfn.TEXTJOIN(", ",TRUE,IF(MAR!$G15:$AK15="FL",MAR!$G$4:$AK$4,"")))</f>
        <v/>
      </c>
      <c r="U13" t="str">
        <f t="array" ref="U13">IF($Q13="","",_xlfn.TEXTJOIN(", ",TRUE,IF(ABR!$G15:$AK15="FL",ABR!$G$4:$AK$4,"")))</f>
        <v/>
      </c>
      <c r="V13" t="str">
        <f t="array" ref="V13">IF($Q13="","",_xlfn.TEXTJOIN(", ",TRUE,IF(MAI!$G15:$AK15="FL",MAI!$G$4:$AK$4,"")))</f>
        <v/>
      </c>
      <c r="W13" t="str">
        <f t="array" ref="W13">IF($Q13="","",_xlfn.TEXTJOIN(", ",TRUE,IF(JUN!$G15:$AK15="FL",JUN!$G$4:$AK$4,"")))</f>
        <v/>
      </c>
      <c r="X13" t="str">
        <f t="array" ref="X13">IF($Q13="","",_xlfn.TEXTJOIN(", ",TRUE,IF(JUL!$G15:$AK15="FL",JUL!$G$4:$AK$4,"")))</f>
        <v>28</v>
      </c>
      <c r="Y13" t="str">
        <f t="array" ref="Y13">IF($Q13="","",_xlfn.TEXTJOIN(", ",TRUE,IF(AGO!$G15:$AK15="FL",AGO!$G$4:$AK$4,"")))</f>
        <v/>
      </c>
      <c r="Z13" t="str">
        <f t="array" ref="Z13">IF($Q13="","",_xlfn.TEXTJOIN(", ",TRUE,IF(SET!$G15:$AK15="FL",SET!$G$4:$AK$4,"")))</f>
        <v>17</v>
      </c>
      <c r="AA13" t="str">
        <f t="array" ref="AA13">IF($Q13="","",_xlfn.TEXTJOIN(", ",TRUE,IF(OUT!$G15:$AK15="FL",OUT!$G$4:$AK$4,"")))</f>
        <v/>
      </c>
      <c r="AB13" t="str">
        <f t="array" ref="AB13">IF($Q13="","",_xlfn.TEXTJOIN(", ",TRUE,IF(NOV!$G15:$AK15="FL",NOV!$G$4:$AK$4,"")))</f>
        <v/>
      </c>
      <c r="AC13" t="str">
        <f t="array" ref="AC13">IF($Q13="","",_xlfn.TEXTJOIN(", ",TRUE,IF(DEZ!$G15:$AK15="FL",DEZ!$G$4:$AK$4,"")))</f>
        <v/>
      </c>
      <c r="AD13">
        <f>IF($Q13="","",COUNTIF(JAN!$G15:$AK15,"FL")+COUNTIF(FEV!$G15:$AK15,"FL")+COUNTIF(MAR!$G15:$AK15,"FL")+COUNTIF(ABR!$G15:$AK15,"FL")+COUNTIF(MAI!$G15:$AK15,"FL")+COUNTIF(JUN!$G15:$AK15,"FL")+COUNTIF(JUL!$G15:$AK15,"FL")+COUNTIF(AGO!$G15:$AK15,"FL")+COUNTIF(SET!$G15:$AK15,"FL")+COUNTIF(OUT!$G15:$AK15,"FL")+COUNTIF(NOV!$G15:$AK15,"FL")+COUNTIF(DEZ!$G15:$AK15,"FL"))</f>
        <v>2</v>
      </c>
      <c r="AF13">
        <f>IF(AND($Q13&lt;&gt;"",N($AD13)&gt;0),COUNT($AF$3:AF12)+1,"")</f>
        <v>6</v>
      </c>
    </row>
    <row r="14" spans="1:32" ht="20.100000000000001" customHeight="1" x14ac:dyDescent="0.25">
      <c r="A14" s="71" t="str">
        <f>IFERROR(INDEX($Q$4:$Q$153,MATCH(ROWS($A$4:A14),$AF$4:$AF$153,0)),"")</f>
        <v>REGIS CERETA 384101</v>
      </c>
      <c r="B14" s="72" t="str">
        <f>IFERROR(INDEX($R$4:$R$153,MATCH(ROWS($A$4:A14),$AF$4:$AF$153,0)),"")</f>
        <v/>
      </c>
      <c r="C14" s="72" t="str">
        <f>IFERROR(INDEX($S$4:$S$153,MATCH(ROWS($A$4:A14),$AF$4:$AF$153,0)),"")</f>
        <v/>
      </c>
      <c r="D14" s="72" t="str">
        <f>IFERROR(INDEX($T$4:$T$153,MATCH(ROWS($A$4:A14),$AF$4:$AF$153,0)),"")</f>
        <v/>
      </c>
      <c r="E14" s="72" t="str">
        <f>IFERROR(INDEX($U$4:$U$153,MATCH(ROWS($A$4:A14),$AF$4:$AF$153,0)),"")</f>
        <v/>
      </c>
      <c r="F14" s="72" t="str">
        <f>IFERROR(INDEX($V$4:$V$153,MATCH(ROWS($A$4:A14),$AF$4:$AF$153,0)),"")</f>
        <v/>
      </c>
      <c r="G14" s="72" t="str">
        <f>IFERROR(INDEX($W$4:$W$153,MATCH(ROWS($A$4:A14),$AF$4:$AF$153,0)),"")</f>
        <v/>
      </c>
      <c r="H14" s="72" t="str">
        <f>IFERROR(INDEX($X$4:$X$153,MATCH(ROWS($A$4:A14),$AF$4:$AF$153,0)),"")</f>
        <v/>
      </c>
      <c r="I14" s="72" t="str">
        <f>IFERROR(INDEX($Y$4:$Y$153,MATCH(ROWS($A$4:A14),$AF$4:$AF$153,0)),"")</f>
        <v/>
      </c>
      <c r="J14" s="72" t="str">
        <f>IFERROR(INDEX($Z$4:$Z$153,MATCH(ROWS($A$4:A14),$AF$4:$AF$153,0)),"")</f>
        <v>2</v>
      </c>
      <c r="K14" s="72" t="str">
        <f>IFERROR(INDEX($AA$4:$AA$153,MATCH(ROWS($A$4:A14),$AF$4:$AF$153,0)),"")</f>
        <v/>
      </c>
      <c r="L14" s="72" t="str">
        <f>IFERROR(INDEX($AB$4:$AB$153,MATCH(ROWS($A$4:A14),$AF$4:$AF$153,0)),"")</f>
        <v/>
      </c>
      <c r="M14" s="72" t="str">
        <f>IFERROR(INDEX($AC$4:$AC$153,MATCH(ROWS($A$4:A14),$AF$4:$AF$153,0)),"")</f>
        <v/>
      </c>
      <c r="N14" s="35">
        <f>IFERROR(INDEX($AD$4:$AD$153,MATCH(ROWS($A$4:A14),$AF$4:$AF$153,0)),"")</f>
        <v>1</v>
      </c>
      <c r="Q14" t="str">
        <f>T(JAN!B16)</f>
        <v>DANIEL MACHADO 112601</v>
      </c>
      <c r="R14" t="str">
        <f t="array" ref="R14">IF($Q14="","",_xlfn.TEXTJOIN(", ",TRUE,IF(JAN!$G16:$AK16="FL",JAN!$G$4:$AK$4,"")))</f>
        <v/>
      </c>
      <c r="S14" t="str">
        <f t="array" ref="S14">IF($Q14="","",_xlfn.TEXTJOIN(", ",TRUE,IF(FEV!$G16:$AK16="FL",FEV!$G$4:$AK$4,"")))</f>
        <v/>
      </c>
      <c r="T14" t="str">
        <f t="array" ref="T14">IF($Q14="","",_xlfn.TEXTJOIN(", ",TRUE,IF(MAR!$G16:$AK16="FL",MAR!$G$4:$AK$4,"")))</f>
        <v/>
      </c>
      <c r="U14" t="str">
        <f t="array" ref="U14">IF($Q14="","",_xlfn.TEXTJOIN(", ",TRUE,IF(ABR!$G16:$AK16="FL",ABR!$G$4:$AK$4,"")))</f>
        <v/>
      </c>
      <c r="V14" t="str">
        <f t="array" ref="V14">IF($Q14="","",_xlfn.TEXTJOIN(", ",TRUE,IF(MAI!$G16:$AK16="FL",MAI!$G$4:$AK$4,"")))</f>
        <v/>
      </c>
      <c r="W14" t="str">
        <f t="array" ref="W14">IF($Q14="","",_xlfn.TEXTJOIN(", ",TRUE,IF(JUN!$G16:$AK16="FL",JUN!$G$4:$AK$4,"")))</f>
        <v/>
      </c>
      <c r="X14" t="str">
        <f t="array" ref="X14">IF($Q14="","",_xlfn.TEXTJOIN(", ",TRUE,IF(JUL!$G16:$AK16="FL",JUL!$G$4:$AK$4,"")))</f>
        <v>24, 25, 27, 28</v>
      </c>
      <c r="Y14" t="str">
        <f t="array" ref="Y14">IF($Q14="","",_xlfn.TEXTJOIN(", ",TRUE,IF(AGO!$G16:$AK16="FL",AGO!$G$4:$AK$4,"")))</f>
        <v>7</v>
      </c>
      <c r="Z14" t="str">
        <f t="array" ref="Z14">IF($Q14="","",_xlfn.TEXTJOIN(", ",TRUE,IF(SET!$G16:$AK16="FL",SET!$G$4:$AK$4,"")))</f>
        <v/>
      </c>
      <c r="AA14" t="str">
        <f t="array" ref="AA14">IF($Q14="","",_xlfn.TEXTJOIN(", ",TRUE,IF(OUT!$G16:$AK16="FL",OUT!$G$4:$AK$4,"")))</f>
        <v/>
      </c>
      <c r="AB14" t="str">
        <f t="array" ref="AB14">IF($Q14="","",_xlfn.TEXTJOIN(", ",TRUE,IF(NOV!$G16:$AK16="FL",NOV!$G$4:$AK$4,"")))</f>
        <v/>
      </c>
      <c r="AC14" t="str">
        <f t="array" ref="AC14">IF($Q14="","",_xlfn.TEXTJOIN(", ",TRUE,IF(DEZ!$G16:$AK16="FL",DEZ!$G$4:$AK$4,"")))</f>
        <v/>
      </c>
      <c r="AD14">
        <f>IF($Q14="","",COUNTIF(JAN!$G16:$AK16,"FL")+COUNTIF(FEV!$G16:$AK16,"FL")+COUNTIF(MAR!$G16:$AK16,"FL")+COUNTIF(ABR!$G16:$AK16,"FL")+COUNTIF(MAI!$G16:$AK16,"FL")+COUNTIF(JUN!$G16:$AK16,"FL")+COUNTIF(JUL!$G16:$AK16,"FL")+COUNTIF(AGO!$G16:$AK16,"FL")+COUNTIF(SET!$G16:$AK16,"FL")+COUNTIF(OUT!$G16:$AK16,"FL")+COUNTIF(NOV!$G16:$AK16,"FL")+COUNTIF(DEZ!$G16:$AK16,"FL"))</f>
        <v>5</v>
      </c>
      <c r="AF14">
        <f>IF(AND($Q14&lt;&gt;"",N($AD14)&gt;0),COUNT($AF$3:AF13)+1,"")</f>
        <v>7</v>
      </c>
    </row>
    <row r="15" spans="1:32" ht="20.100000000000001" customHeight="1" x14ac:dyDescent="0.25">
      <c r="A15" s="71" t="str">
        <f>IFERROR(INDEX($Q$4:$Q$153,MATCH(ROWS($A$4:A15),$AF$4:$AF$153,0)),"")</f>
        <v>ANDERSON SANTOS 434801</v>
      </c>
      <c r="B15" s="72" t="str">
        <f>IFERROR(INDEX($R$4:$R$153,MATCH(ROWS($A$4:A15),$AF$4:$AF$153,0)),"")</f>
        <v/>
      </c>
      <c r="C15" s="72" t="str">
        <f>IFERROR(INDEX($S$4:$S$153,MATCH(ROWS($A$4:A15),$AF$4:$AF$153,0)),"")</f>
        <v/>
      </c>
      <c r="D15" s="72" t="str">
        <f>IFERROR(INDEX($T$4:$T$153,MATCH(ROWS($A$4:A15),$AF$4:$AF$153,0)),"")</f>
        <v/>
      </c>
      <c r="E15" s="72" t="str">
        <f>IFERROR(INDEX($U$4:$U$153,MATCH(ROWS($A$4:A15),$AF$4:$AF$153,0)),"")</f>
        <v/>
      </c>
      <c r="F15" s="72" t="str">
        <f>IFERROR(INDEX($V$4:$V$153,MATCH(ROWS($A$4:A15),$AF$4:$AF$153,0)),"")</f>
        <v/>
      </c>
      <c r="G15" s="72" t="str">
        <f>IFERROR(INDEX($W$4:$W$153,MATCH(ROWS($A$4:A15),$AF$4:$AF$153,0)),"")</f>
        <v/>
      </c>
      <c r="H15" s="72" t="str">
        <f>IFERROR(INDEX($X$4:$X$153,MATCH(ROWS($A$4:A15),$AF$4:$AF$153,0)),"")</f>
        <v>27</v>
      </c>
      <c r="I15" s="72" t="str">
        <f>IFERROR(INDEX($Y$4:$Y$153,MATCH(ROWS($A$4:A15),$AF$4:$AF$153,0)),"")</f>
        <v>7</v>
      </c>
      <c r="J15" s="72" t="str">
        <f>IFERROR(INDEX($Z$4:$Z$153,MATCH(ROWS($A$4:A15),$AF$4:$AF$153,0)),"")</f>
        <v>5</v>
      </c>
      <c r="K15" s="72" t="str">
        <f>IFERROR(INDEX($AA$4:$AA$153,MATCH(ROWS($A$4:A15),$AF$4:$AF$153,0)),"")</f>
        <v/>
      </c>
      <c r="L15" s="72" t="str">
        <f>IFERROR(INDEX($AB$4:$AB$153,MATCH(ROWS($A$4:A15),$AF$4:$AF$153,0)),"")</f>
        <v/>
      </c>
      <c r="M15" s="72" t="str">
        <f>IFERROR(INDEX($AC$4:$AC$153,MATCH(ROWS($A$4:A15),$AF$4:$AF$153,0)),"")</f>
        <v/>
      </c>
      <c r="N15" s="35">
        <f>IFERROR(INDEX($AD$4:$AD$153,MATCH(ROWS($A$4:A15),$AF$4:$AF$153,0)),"")</f>
        <v>3</v>
      </c>
      <c r="Q15" t="str">
        <f>T(JAN!B17)</f>
        <v>JOSE HERTE 109801</v>
      </c>
      <c r="R15" t="str">
        <f t="array" ref="R15">IF($Q15="","",_xlfn.TEXTJOIN(", ",TRUE,IF(JAN!$G17:$AK17="FL",JAN!$G$4:$AK$4,"")))</f>
        <v/>
      </c>
      <c r="S15" t="str">
        <f t="array" ref="S15">IF($Q15="","",_xlfn.TEXTJOIN(", ",TRUE,IF(FEV!$G17:$AK17="FL",FEV!$G$4:$AK$4,"")))</f>
        <v/>
      </c>
      <c r="T15" t="str">
        <f t="array" ref="T15">IF($Q15="","",_xlfn.TEXTJOIN(", ",TRUE,IF(MAR!$G17:$AK17="FL",MAR!$G$4:$AK$4,"")))</f>
        <v/>
      </c>
      <c r="U15" t="str">
        <f t="array" ref="U15">IF($Q15="","",_xlfn.TEXTJOIN(", ",TRUE,IF(ABR!$G17:$AK17="FL",ABR!$G$4:$AK$4,"")))</f>
        <v/>
      </c>
      <c r="V15" t="str">
        <f t="array" ref="V15">IF($Q15="","",_xlfn.TEXTJOIN(", ",TRUE,IF(MAI!$G17:$AK17="FL",MAI!$G$4:$AK$4,"")))</f>
        <v/>
      </c>
      <c r="W15" t="str">
        <f t="array" ref="W15">IF($Q15="","",_xlfn.TEXTJOIN(", ",TRUE,IF(JUN!$G17:$AK17="FL",JUN!$G$4:$AK$4,"")))</f>
        <v/>
      </c>
      <c r="X15" t="str">
        <f t="array" ref="X15">IF($Q15="","",_xlfn.TEXTJOIN(", ",TRUE,IF(JUL!$G17:$AK17="FL",JUL!$G$4:$AK$4,"")))</f>
        <v/>
      </c>
      <c r="Y15" t="str">
        <f t="array" ref="Y15">IF($Q15="","",_xlfn.TEXTJOIN(", ",TRUE,IF(AGO!$G17:$AK17="FL",AGO!$G$4:$AK$4,"")))</f>
        <v>21, 22</v>
      </c>
      <c r="Z15" t="str">
        <f t="array" ref="Z15">IF($Q15="","",_xlfn.TEXTJOIN(", ",TRUE,IF(SET!$G17:$AK17="FL",SET!$G$4:$AK$4,"")))</f>
        <v>8</v>
      </c>
      <c r="AA15" t="str">
        <f t="array" ref="AA15">IF($Q15="","",_xlfn.TEXTJOIN(", ",TRUE,IF(OUT!$G17:$AK17="FL",OUT!$G$4:$AK$4,"")))</f>
        <v>1</v>
      </c>
      <c r="AB15" t="str">
        <f t="array" ref="AB15">IF($Q15="","",_xlfn.TEXTJOIN(", ",TRUE,IF(NOV!$G17:$AK17="FL",NOV!$G$4:$AK$4,"")))</f>
        <v/>
      </c>
      <c r="AC15" t="str">
        <f t="array" ref="AC15">IF($Q15="","",_xlfn.TEXTJOIN(", ",TRUE,IF(DEZ!$G17:$AK17="FL",DEZ!$G$4:$AK$4,"")))</f>
        <v/>
      </c>
      <c r="AD15">
        <f>IF($Q15="","",COUNTIF(JAN!$G17:$AK17,"FL")+COUNTIF(FEV!$G17:$AK17,"FL")+COUNTIF(MAR!$G17:$AK17,"FL")+COUNTIF(ABR!$G17:$AK17,"FL")+COUNTIF(MAI!$G17:$AK17,"FL")+COUNTIF(JUN!$G17:$AK17,"FL")+COUNTIF(JUL!$G17:$AK17,"FL")+COUNTIF(AGO!$G17:$AK17,"FL")+COUNTIF(SET!$G17:$AK17,"FL")+COUNTIF(OUT!$G17:$AK17,"FL")+COUNTIF(NOV!$G17:$AK17,"FL")+COUNTIF(DEZ!$G17:$AK17,"FL"))</f>
        <v>4</v>
      </c>
      <c r="AF15">
        <f>IF(AND($Q15&lt;&gt;"",N($AD15)&gt;0),COUNT($AF$3:AF14)+1,"")</f>
        <v>8</v>
      </c>
    </row>
    <row r="16" spans="1:32" ht="20.100000000000001" customHeight="1" x14ac:dyDescent="0.25">
      <c r="A16" s="71" t="str">
        <f>IFERROR(INDEX($Q$4:$Q$153,MATCH(ROWS($A$4:A16),$AF$4:$AF$153,0)),"")</f>
        <v>ALEX GABRIEL 37002111</v>
      </c>
      <c r="B16" s="72" t="str">
        <f>IFERROR(INDEX($R$4:$R$153,MATCH(ROWS($A$4:A16),$AF$4:$AF$153,0)),"")</f>
        <v/>
      </c>
      <c r="C16" s="72" t="str">
        <f>IFERROR(INDEX($S$4:$S$153,MATCH(ROWS($A$4:A16),$AF$4:$AF$153,0)),"")</f>
        <v/>
      </c>
      <c r="D16" s="72" t="str">
        <f>IFERROR(INDEX($T$4:$T$153,MATCH(ROWS($A$4:A16),$AF$4:$AF$153,0)),"")</f>
        <v/>
      </c>
      <c r="E16" s="72" t="str">
        <f>IFERROR(INDEX($U$4:$U$153,MATCH(ROWS($A$4:A16),$AF$4:$AF$153,0)),"")</f>
        <v/>
      </c>
      <c r="F16" s="72" t="str">
        <f>IFERROR(INDEX($V$4:$V$153,MATCH(ROWS($A$4:A16),$AF$4:$AF$153,0)),"")</f>
        <v/>
      </c>
      <c r="G16" s="72" t="str">
        <f>IFERROR(INDEX($W$4:$W$153,MATCH(ROWS($A$4:A16),$AF$4:$AF$153,0)),"")</f>
        <v/>
      </c>
      <c r="H16" s="72" t="str">
        <f>IFERROR(INDEX($X$4:$X$153,MATCH(ROWS($A$4:A16),$AF$4:$AF$153,0)),"")</f>
        <v/>
      </c>
      <c r="I16" s="72" t="str">
        <f>IFERROR(INDEX($Y$4:$Y$153,MATCH(ROWS($A$4:A16),$AF$4:$AF$153,0)),"")</f>
        <v/>
      </c>
      <c r="J16" s="72" t="str">
        <f>IFERROR(INDEX($Z$4:$Z$153,MATCH(ROWS($A$4:A16),$AF$4:$AF$153,0)),"")</f>
        <v>17, 18</v>
      </c>
      <c r="K16" s="72" t="str">
        <f>IFERROR(INDEX($AA$4:$AA$153,MATCH(ROWS($A$4:A16),$AF$4:$AF$153,0)),"")</f>
        <v/>
      </c>
      <c r="L16" s="72" t="str">
        <f>IFERROR(INDEX($AB$4:$AB$153,MATCH(ROWS($A$4:A16),$AF$4:$AF$153,0)),"")</f>
        <v/>
      </c>
      <c r="M16" s="72" t="str">
        <f>IFERROR(INDEX($AC$4:$AC$153,MATCH(ROWS($A$4:A16),$AF$4:$AF$153,0)),"")</f>
        <v/>
      </c>
      <c r="N16" s="35">
        <f>IFERROR(INDEX($AD$4:$AD$153,MATCH(ROWS($A$4:A16),$AF$4:$AF$153,0)),"")</f>
        <v>2</v>
      </c>
      <c r="Q16" t="str">
        <f>T(JAN!B18)</f>
        <v>EVERTON SILVA 37001892</v>
      </c>
      <c r="R16" t="str">
        <f t="array" ref="R16">IF($Q16="","",_xlfn.TEXTJOIN(", ",TRUE,IF(JAN!$G18:$AK18="FL",JAN!$G$4:$AK$4,"")))</f>
        <v/>
      </c>
      <c r="S16" t="str">
        <f t="array" ref="S16">IF($Q16="","",_xlfn.TEXTJOIN(", ",TRUE,IF(FEV!$G18:$AK18="FL",FEV!$G$4:$AK$4,"")))</f>
        <v/>
      </c>
      <c r="T16" t="str">
        <f t="array" ref="T16">IF($Q16="","",_xlfn.TEXTJOIN(", ",TRUE,IF(MAR!$G18:$AK18="FL",MAR!$G$4:$AK$4,"")))</f>
        <v/>
      </c>
      <c r="U16" t="str">
        <f t="array" ref="U16">IF($Q16="","",_xlfn.TEXTJOIN(", ",TRUE,IF(ABR!$G18:$AK18="FL",ABR!$G$4:$AK$4,"")))</f>
        <v/>
      </c>
      <c r="V16" t="str">
        <f t="array" ref="V16">IF($Q16="","",_xlfn.TEXTJOIN(", ",TRUE,IF(MAI!$G18:$AK18="FL",MAI!$G$4:$AK$4,"")))</f>
        <v/>
      </c>
      <c r="W16" t="str">
        <f t="array" ref="W16">IF($Q16="","",_xlfn.TEXTJOIN(", ",TRUE,IF(JUN!$G18:$AK18="FL",JUN!$G$4:$AK$4,"")))</f>
        <v/>
      </c>
      <c r="X16" t="str">
        <f t="array" ref="X16">IF($Q16="","",_xlfn.TEXTJOIN(", ",TRUE,IF(JUL!$G18:$AK18="FL",JUL!$G$4:$AK$4,"")))</f>
        <v/>
      </c>
      <c r="Y16" t="str">
        <f t="array" ref="Y16">IF($Q16="","",_xlfn.TEXTJOIN(", ",TRUE,IF(AGO!$G18:$AK18="FL",AGO!$G$4:$AK$4,"")))</f>
        <v>3</v>
      </c>
      <c r="Z16" t="str">
        <f t="array" ref="Z16">IF($Q16="","",_xlfn.TEXTJOIN(", ",TRUE,IF(SET!$G18:$AK18="FL",SET!$G$4:$AK$4,"")))</f>
        <v/>
      </c>
      <c r="AA16" t="str">
        <f t="array" ref="AA16">IF($Q16="","",_xlfn.TEXTJOIN(", ",TRUE,IF(OUT!$G18:$AK18="FL",OUT!$G$4:$AK$4,"")))</f>
        <v/>
      </c>
      <c r="AB16" t="str">
        <f t="array" ref="AB16">IF($Q16="","",_xlfn.TEXTJOIN(", ",TRUE,IF(NOV!$G18:$AK18="FL",NOV!$G$4:$AK$4,"")))</f>
        <v/>
      </c>
      <c r="AC16" t="str">
        <f t="array" ref="AC16">IF($Q16="","",_xlfn.TEXTJOIN(", ",TRUE,IF(DEZ!$G18:$AK18="FL",DEZ!$G$4:$AK$4,"")))</f>
        <v/>
      </c>
      <c r="AD16">
        <f>IF($Q16="","",COUNTIF(JAN!$G18:$AK18,"FL")+COUNTIF(FEV!$G18:$AK18,"FL")+COUNTIF(MAR!$G18:$AK18,"FL")+COUNTIF(ABR!$G18:$AK18,"FL")+COUNTIF(MAI!$G18:$AK18,"FL")+COUNTIF(JUN!$G18:$AK18,"FL")+COUNTIF(JUL!$G18:$AK18,"FL")+COUNTIF(AGO!$G18:$AK18,"FL")+COUNTIF(SET!$G18:$AK18,"FL")+COUNTIF(OUT!$G18:$AK18,"FL")+COUNTIF(NOV!$G18:$AK18,"FL")+COUNTIF(DEZ!$G18:$AK18,"FL"))</f>
        <v>1</v>
      </c>
      <c r="AF16">
        <f>IF(AND($Q16&lt;&gt;"",N($AD16)&gt;0),COUNT($AF$3:AF15)+1,"")</f>
        <v>9</v>
      </c>
    </row>
    <row r="17" spans="1:32" ht="20.100000000000001" customHeight="1" x14ac:dyDescent="0.25">
      <c r="A17" s="71" t="str">
        <f>IFERROR(INDEX($Q$4:$Q$153,MATCH(ROWS($A$4:A17),$AF$4:$AF$153,0)),"")</f>
        <v>EDUARDO SCHNEIDER 37002143</v>
      </c>
      <c r="B17" s="72" t="str">
        <f>IFERROR(INDEX($R$4:$R$153,MATCH(ROWS($A$4:A17),$AF$4:$AF$153,0)),"")</f>
        <v/>
      </c>
      <c r="C17" s="72" t="str">
        <f>IFERROR(INDEX($S$4:$S$153,MATCH(ROWS($A$4:A17),$AF$4:$AF$153,0)),"")</f>
        <v/>
      </c>
      <c r="D17" s="72" t="str">
        <f>IFERROR(INDEX($T$4:$T$153,MATCH(ROWS($A$4:A17),$AF$4:$AF$153,0)),"")</f>
        <v/>
      </c>
      <c r="E17" s="72" t="str">
        <f>IFERROR(INDEX($U$4:$U$153,MATCH(ROWS($A$4:A17),$AF$4:$AF$153,0)),"")</f>
        <v/>
      </c>
      <c r="F17" s="72" t="str">
        <f>IFERROR(INDEX($V$4:$V$153,MATCH(ROWS($A$4:A17),$AF$4:$AF$153,0)),"")</f>
        <v/>
      </c>
      <c r="G17" s="72" t="str">
        <f>IFERROR(INDEX($W$4:$W$153,MATCH(ROWS($A$4:A17),$AF$4:$AF$153,0)),"")</f>
        <v/>
      </c>
      <c r="H17" s="72" t="str">
        <f>IFERROR(INDEX($X$4:$X$153,MATCH(ROWS($A$4:A17),$AF$4:$AF$153,0)),"")</f>
        <v/>
      </c>
      <c r="I17" s="72" t="str">
        <f>IFERROR(INDEX($Y$4:$Y$153,MATCH(ROWS($A$4:A17),$AF$4:$AF$153,0)),"")</f>
        <v>3, 4</v>
      </c>
      <c r="J17" s="72" t="str">
        <f>IFERROR(INDEX($Z$4:$Z$153,MATCH(ROWS($A$4:A17),$AF$4:$AF$153,0)),"")</f>
        <v>28</v>
      </c>
      <c r="K17" s="72" t="str">
        <f>IFERROR(INDEX($AA$4:$AA$153,MATCH(ROWS($A$4:A17),$AF$4:$AF$153,0)),"")</f>
        <v/>
      </c>
      <c r="L17" s="72" t="str">
        <f>IFERROR(INDEX($AB$4:$AB$153,MATCH(ROWS($A$4:A17),$AF$4:$AF$153,0)),"")</f>
        <v/>
      </c>
      <c r="M17" s="72" t="str">
        <f>IFERROR(INDEX($AC$4:$AC$153,MATCH(ROWS($A$4:A17),$AF$4:$AF$153,0)),"")</f>
        <v/>
      </c>
      <c r="N17" s="35">
        <f>IFERROR(INDEX($AD$4:$AD$153,MATCH(ROWS($A$4:A17),$AF$4:$AF$153,0)),"")</f>
        <v>3</v>
      </c>
      <c r="Q17" t="str">
        <f>T(JAN!B19)</f>
        <v>ANILTON MORAES 327401</v>
      </c>
      <c r="R17" t="str">
        <f t="array" ref="R17">IF($Q17="","",_xlfn.TEXTJOIN(", ",TRUE,IF(JAN!$G19:$AK19="FL",JAN!$G$4:$AK$4,"")))</f>
        <v/>
      </c>
      <c r="S17" t="str">
        <f t="array" ref="S17">IF($Q17="","",_xlfn.TEXTJOIN(", ",TRUE,IF(FEV!$G19:$AK19="FL",FEV!$G$4:$AK$4,"")))</f>
        <v/>
      </c>
      <c r="T17" t="str">
        <f t="array" ref="T17">IF($Q17="","",_xlfn.TEXTJOIN(", ",TRUE,IF(MAR!$G19:$AK19="FL",MAR!$G$4:$AK$4,"")))</f>
        <v/>
      </c>
      <c r="U17" t="str">
        <f t="array" ref="U17">IF($Q17="","",_xlfn.TEXTJOIN(", ",TRUE,IF(ABR!$G19:$AK19="FL",ABR!$G$4:$AK$4,"")))</f>
        <v/>
      </c>
      <c r="V17" t="str">
        <f t="array" ref="V17">IF($Q17="","",_xlfn.TEXTJOIN(", ",TRUE,IF(MAI!$G19:$AK19="FL",MAI!$G$4:$AK$4,"")))</f>
        <v/>
      </c>
      <c r="W17" t="str">
        <f t="array" ref="W17">IF($Q17="","",_xlfn.TEXTJOIN(", ",TRUE,IF(JUN!$G19:$AK19="FL",JUN!$G$4:$AK$4,"")))</f>
        <v/>
      </c>
      <c r="X17" t="str">
        <f t="array" ref="X17">IF($Q17="","",_xlfn.TEXTJOIN(", ",TRUE,IF(JUL!$G19:$AK19="FL",JUL!$G$4:$AK$4,"")))</f>
        <v/>
      </c>
      <c r="Y17" t="str">
        <f t="array" ref="Y17">IF($Q17="","",_xlfn.TEXTJOIN(", ",TRUE,IF(AGO!$G19:$AK19="FL",AGO!$G$4:$AK$4,"")))</f>
        <v>31</v>
      </c>
      <c r="Z17" t="str">
        <f t="array" ref="Z17">IF($Q17="","",_xlfn.TEXTJOIN(", ",TRUE,IF(SET!$G19:$AK19="FL",SET!$G$4:$AK$4,"")))</f>
        <v/>
      </c>
      <c r="AA17" t="str">
        <f t="array" ref="AA17">IF($Q17="","",_xlfn.TEXTJOIN(", ",TRUE,IF(OUT!$G19:$AK19="FL",OUT!$G$4:$AK$4,"")))</f>
        <v/>
      </c>
      <c r="AB17" t="str">
        <f t="array" ref="AB17">IF($Q17="","",_xlfn.TEXTJOIN(", ",TRUE,IF(NOV!$G19:$AK19="FL",NOV!$G$4:$AK$4,"")))</f>
        <v/>
      </c>
      <c r="AC17" t="str">
        <f t="array" ref="AC17">IF($Q17="","",_xlfn.TEXTJOIN(", ",TRUE,IF(DEZ!$G19:$AK19="FL",DEZ!$G$4:$AK$4,"")))</f>
        <v/>
      </c>
      <c r="AD17">
        <f>IF($Q17="","",COUNTIF(JAN!$G19:$AK19,"FL")+COUNTIF(FEV!$G19:$AK19,"FL")+COUNTIF(MAR!$G19:$AK19,"FL")+COUNTIF(ABR!$G19:$AK19,"FL")+COUNTIF(MAI!$G19:$AK19,"FL")+COUNTIF(JUN!$G19:$AK19,"FL")+COUNTIF(JUL!$G19:$AK19,"FL")+COUNTIF(AGO!$G19:$AK19,"FL")+COUNTIF(SET!$G19:$AK19,"FL")+COUNTIF(OUT!$G19:$AK19,"FL")+COUNTIF(NOV!$G19:$AK19,"FL")+COUNTIF(DEZ!$G19:$AK19,"FL"))</f>
        <v>1</v>
      </c>
      <c r="AF17">
        <f>IF(AND($Q17&lt;&gt;"",N($AD17)&gt;0),COUNT($AF$3:AF16)+1,"")</f>
        <v>10</v>
      </c>
    </row>
    <row r="18" spans="1:32" ht="20.100000000000001" customHeight="1" x14ac:dyDescent="0.25">
      <c r="A18" s="71" t="str">
        <f>IFERROR(INDEX($Q$4:$Q$153,MATCH(ROWS($A$4:A18),$AF$4:$AF$153,0)),"")</f>
        <v>DENIS GABRIEL 37002145</v>
      </c>
      <c r="B18" s="72" t="str">
        <f>IFERROR(INDEX($R$4:$R$153,MATCH(ROWS($A$4:A18),$AF$4:$AF$153,0)),"")</f>
        <v/>
      </c>
      <c r="C18" s="72" t="str">
        <f>IFERROR(INDEX($S$4:$S$153,MATCH(ROWS($A$4:A18),$AF$4:$AF$153,0)),"")</f>
        <v/>
      </c>
      <c r="D18" s="72" t="str">
        <f>IFERROR(INDEX($T$4:$T$153,MATCH(ROWS($A$4:A18),$AF$4:$AF$153,0)),"")</f>
        <v/>
      </c>
      <c r="E18" s="72" t="str">
        <f>IFERROR(INDEX($U$4:$U$153,MATCH(ROWS($A$4:A18),$AF$4:$AF$153,0)),"")</f>
        <v/>
      </c>
      <c r="F18" s="72" t="str">
        <f>IFERROR(INDEX($V$4:$V$153,MATCH(ROWS($A$4:A18),$AF$4:$AF$153,0)),"")</f>
        <v/>
      </c>
      <c r="G18" s="72" t="str">
        <f>IFERROR(INDEX($W$4:$W$153,MATCH(ROWS($A$4:A18),$AF$4:$AF$153,0)),"")</f>
        <v/>
      </c>
      <c r="H18" s="72" t="str">
        <f>IFERROR(INDEX($X$4:$X$153,MATCH(ROWS($A$4:A18),$AF$4:$AF$153,0)),"")</f>
        <v/>
      </c>
      <c r="I18" s="72" t="str">
        <f>IFERROR(INDEX($Y$4:$Y$153,MATCH(ROWS($A$4:A18),$AF$4:$AF$153,0)),"")</f>
        <v/>
      </c>
      <c r="J18" s="72" t="str">
        <f>IFERROR(INDEX($Z$4:$Z$153,MATCH(ROWS($A$4:A18),$AF$4:$AF$153,0)),"")</f>
        <v/>
      </c>
      <c r="K18" s="72" t="str">
        <f>IFERROR(INDEX($AA$4:$AA$153,MATCH(ROWS($A$4:A18),$AF$4:$AF$153,0)),"")</f>
        <v>5</v>
      </c>
      <c r="L18" s="72" t="str">
        <f>IFERROR(INDEX($AB$4:$AB$153,MATCH(ROWS($A$4:A18),$AF$4:$AF$153,0)),"")</f>
        <v/>
      </c>
      <c r="M18" s="72" t="str">
        <f>IFERROR(INDEX($AC$4:$AC$153,MATCH(ROWS($A$4:A18),$AF$4:$AF$153,0)),"")</f>
        <v/>
      </c>
      <c r="N18" s="35">
        <f>IFERROR(INDEX($AD$4:$AD$153,MATCH(ROWS($A$4:A18),$AF$4:$AF$153,0)),"")</f>
        <v>1</v>
      </c>
      <c r="Q18" t="str">
        <f>T(JAN!B20)</f>
        <v>MARCOS SOUZA 453701</v>
      </c>
      <c r="R18" t="str">
        <f t="array" ref="R18">IF($Q18="","",_xlfn.TEXTJOIN(", ",TRUE,IF(JAN!$G20:$AK20="FL",JAN!$G$4:$AK$4,"")))</f>
        <v/>
      </c>
      <c r="S18" t="str">
        <f t="array" ref="S18">IF($Q18="","",_xlfn.TEXTJOIN(", ",TRUE,IF(FEV!$G20:$AK20="FL",FEV!$G$4:$AK$4,"")))</f>
        <v/>
      </c>
      <c r="T18" t="str">
        <f t="array" ref="T18">IF($Q18="","",_xlfn.TEXTJOIN(", ",TRUE,IF(MAR!$G20:$AK20="FL",MAR!$G$4:$AK$4,"")))</f>
        <v/>
      </c>
      <c r="U18" t="str">
        <f t="array" ref="U18">IF($Q18="","",_xlfn.TEXTJOIN(", ",TRUE,IF(ABR!$G20:$AK20="FL",ABR!$G$4:$AK$4,"")))</f>
        <v/>
      </c>
      <c r="V18" t="str">
        <f t="array" ref="V18">IF($Q18="","",_xlfn.TEXTJOIN(", ",TRUE,IF(MAI!$G20:$AK20="FL",MAI!$G$4:$AK$4,"")))</f>
        <v/>
      </c>
      <c r="W18" t="str">
        <f t="array" ref="W18">IF($Q18="","",_xlfn.TEXTJOIN(", ",TRUE,IF(JUN!$G20:$AK20="FL",JUN!$G$4:$AK$4,"")))</f>
        <v/>
      </c>
      <c r="X18" t="str">
        <f t="array" ref="X18">IF($Q18="","",_xlfn.TEXTJOIN(", ",TRUE,IF(JUL!$G20:$AK20="FL",JUL!$G$4:$AK$4,"")))</f>
        <v/>
      </c>
      <c r="Y18" t="str">
        <f t="array" ref="Y18">IF($Q18="","",_xlfn.TEXTJOIN(", ",TRUE,IF(AGO!$G20:$AK20="FL",AGO!$G$4:$AK$4,"")))</f>
        <v/>
      </c>
      <c r="Z18" t="str">
        <f t="array" ref="Z18">IF($Q18="","",_xlfn.TEXTJOIN(", ",TRUE,IF(SET!$G20:$AK20="FL",SET!$G$4:$AK$4,"")))</f>
        <v/>
      </c>
      <c r="AA18" t="str">
        <f t="array" ref="AA18">IF($Q18="","",_xlfn.TEXTJOIN(", ",TRUE,IF(OUT!$G20:$AK20="FL",OUT!$G$4:$AK$4,"")))</f>
        <v/>
      </c>
      <c r="AB18" t="str">
        <f t="array" ref="AB18">IF($Q18="","",_xlfn.TEXTJOIN(", ",TRUE,IF(NOV!$G20:$AK20="FL",NOV!$G$4:$AK$4,"")))</f>
        <v/>
      </c>
      <c r="AC18" t="str">
        <f t="array" ref="AC18">IF($Q18="","",_xlfn.TEXTJOIN(", ",TRUE,IF(DEZ!$G20:$AK20="FL",DEZ!$G$4:$AK$4,"")))</f>
        <v/>
      </c>
      <c r="AD18">
        <f>IF($Q18="","",COUNTIF(JAN!$G20:$AK20,"FL")+COUNTIF(FEV!$G20:$AK20,"FL")+COUNTIF(MAR!$G20:$AK20,"FL")+COUNTIF(ABR!$G20:$AK20,"FL")+COUNTIF(MAI!$G20:$AK20,"FL")+COUNTIF(JUN!$G20:$AK20,"FL")+COUNTIF(JUL!$G20:$AK20,"FL")+COUNTIF(AGO!$G20:$AK20,"FL")+COUNTIF(SET!$G20:$AK20,"FL")+COUNTIF(OUT!$G20:$AK20,"FL")+COUNTIF(NOV!$G20:$AK20,"FL")+COUNTIF(DEZ!$G20:$AK20,"FL"))</f>
        <v>0</v>
      </c>
      <c r="AF18" t="str">
        <f>IF(AND($Q18&lt;&gt;"",N($AD18)&gt;0),COUNT($AF$3:AF17)+1,"")</f>
        <v/>
      </c>
    </row>
    <row r="19" spans="1:32" ht="20.100000000000001" customHeight="1" x14ac:dyDescent="0.25">
      <c r="A19" s="71" t="str">
        <f>IFERROR(INDEX($Q$4:$Q$153,MATCH(ROWS($A$4:A19),$AF$4:$AF$153,0)),"")</f>
        <v>ALEXANDRE NUNES 461301</v>
      </c>
      <c r="B19" s="72" t="str">
        <f>IFERROR(INDEX($R$4:$R$153,MATCH(ROWS($A$4:A19),$AF$4:$AF$153,0)),"")</f>
        <v/>
      </c>
      <c r="C19" s="72" t="str">
        <f>IFERROR(INDEX($S$4:$S$153,MATCH(ROWS($A$4:A19),$AF$4:$AF$153,0)),"")</f>
        <v/>
      </c>
      <c r="D19" s="72" t="str">
        <f>IFERROR(INDEX($T$4:$T$153,MATCH(ROWS($A$4:A19),$AF$4:$AF$153,0)),"")</f>
        <v/>
      </c>
      <c r="E19" s="72" t="str">
        <f>IFERROR(INDEX($U$4:$U$153,MATCH(ROWS($A$4:A19),$AF$4:$AF$153,0)),"")</f>
        <v/>
      </c>
      <c r="F19" s="72" t="str">
        <f>IFERROR(INDEX($V$4:$V$153,MATCH(ROWS($A$4:A19),$AF$4:$AF$153,0)),"")</f>
        <v/>
      </c>
      <c r="G19" s="72" t="str">
        <f>IFERROR(INDEX($W$4:$W$153,MATCH(ROWS($A$4:A19),$AF$4:$AF$153,0)),"")</f>
        <v/>
      </c>
      <c r="H19" s="72" t="str">
        <f>IFERROR(INDEX($X$4:$X$153,MATCH(ROWS($A$4:A19),$AF$4:$AF$153,0)),"")</f>
        <v>29</v>
      </c>
      <c r="I19" s="72" t="str">
        <f>IFERROR(INDEX($Y$4:$Y$153,MATCH(ROWS($A$4:A19),$AF$4:$AF$153,0)),"")</f>
        <v/>
      </c>
      <c r="J19" s="72" t="str">
        <f>IFERROR(INDEX($Z$4:$Z$153,MATCH(ROWS($A$4:A19),$AF$4:$AF$153,0)),"")</f>
        <v/>
      </c>
      <c r="K19" s="72" t="str">
        <f>IFERROR(INDEX($AA$4:$AA$153,MATCH(ROWS($A$4:A19),$AF$4:$AF$153,0)),"")</f>
        <v/>
      </c>
      <c r="L19" s="72" t="str">
        <f>IFERROR(INDEX($AB$4:$AB$153,MATCH(ROWS($A$4:A19),$AF$4:$AF$153,0)),"")</f>
        <v/>
      </c>
      <c r="M19" s="72" t="str">
        <f>IFERROR(INDEX($AC$4:$AC$153,MATCH(ROWS($A$4:A19),$AF$4:$AF$153,0)),"")</f>
        <v/>
      </c>
      <c r="N19" s="35">
        <f>IFERROR(INDEX($AD$4:$AD$153,MATCH(ROWS($A$4:A19),$AF$4:$AF$153,0)),"")</f>
        <v>1</v>
      </c>
      <c r="Q19" t="str">
        <f>T(JAN!B21)</f>
        <v>MARCOS EBERTZ 356601</v>
      </c>
      <c r="R19" t="str">
        <f t="array" ref="R19">IF($Q19="","",_xlfn.TEXTJOIN(", ",TRUE,IF(JAN!$G21:$AK21="FL",JAN!$G$4:$AK$4,"")))</f>
        <v/>
      </c>
      <c r="S19" t="str">
        <f t="array" ref="S19">IF($Q19="","",_xlfn.TEXTJOIN(", ",TRUE,IF(FEV!$G21:$AK21="FL",FEV!$G$4:$AK$4,"")))</f>
        <v/>
      </c>
      <c r="T19" t="str">
        <f t="array" ref="T19">IF($Q19="","",_xlfn.TEXTJOIN(", ",TRUE,IF(MAR!$G21:$AK21="FL",MAR!$G$4:$AK$4,"")))</f>
        <v/>
      </c>
      <c r="U19" t="str">
        <f t="array" ref="U19">IF($Q19="","",_xlfn.TEXTJOIN(", ",TRUE,IF(ABR!$G21:$AK21="FL",ABR!$G$4:$AK$4,"")))</f>
        <v/>
      </c>
      <c r="V19" t="str">
        <f t="array" ref="V19">IF($Q19="","",_xlfn.TEXTJOIN(", ",TRUE,IF(MAI!$G21:$AK21="FL",MAI!$G$4:$AK$4,"")))</f>
        <v/>
      </c>
      <c r="W19" t="str">
        <f t="array" ref="W19">IF($Q19="","",_xlfn.TEXTJOIN(", ",TRUE,IF(JUN!$G21:$AK21="FL",JUN!$G$4:$AK$4,"")))</f>
        <v/>
      </c>
      <c r="X19" t="str">
        <f t="array" ref="X19">IF($Q19="","",_xlfn.TEXTJOIN(", ",TRUE,IF(JUL!$G21:$AK21="FL",JUL!$G$4:$AK$4,"")))</f>
        <v/>
      </c>
      <c r="Y19" t="str">
        <f t="array" ref="Y19">IF($Q19="","",_xlfn.TEXTJOIN(", ",TRUE,IF(AGO!$G21:$AK21="FL",AGO!$G$4:$AK$4,"")))</f>
        <v/>
      </c>
      <c r="Z19" t="str">
        <f t="array" ref="Z19">IF($Q19="","",_xlfn.TEXTJOIN(", ",TRUE,IF(SET!$G21:$AK21="FL",SET!$G$4:$AK$4,"")))</f>
        <v/>
      </c>
      <c r="AA19" t="str">
        <f t="array" ref="AA19">IF($Q19="","",_xlfn.TEXTJOIN(", ",TRUE,IF(OUT!$G21:$AK21="FL",OUT!$G$4:$AK$4,"")))</f>
        <v/>
      </c>
      <c r="AB19" t="str">
        <f t="array" ref="AB19">IF($Q19="","",_xlfn.TEXTJOIN(", ",TRUE,IF(NOV!$G21:$AK21="FL",NOV!$G$4:$AK$4,"")))</f>
        <v/>
      </c>
      <c r="AC19" t="str">
        <f t="array" ref="AC19">IF($Q19="","",_xlfn.TEXTJOIN(", ",TRUE,IF(DEZ!$G21:$AK21="FL",DEZ!$G$4:$AK$4,"")))</f>
        <v/>
      </c>
      <c r="AD19">
        <f>IF($Q19="","",COUNTIF(JAN!$G21:$AK21,"FL")+COUNTIF(FEV!$G21:$AK21,"FL")+COUNTIF(MAR!$G21:$AK21,"FL")+COUNTIF(ABR!$G21:$AK21,"FL")+COUNTIF(MAI!$G21:$AK21,"FL")+COUNTIF(JUN!$G21:$AK21,"FL")+COUNTIF(JUL!$G21:$AK21,"FL")+COUNTIF(AGO!$G21:$AK21,"FL")+COUNTIF(SET!$G21:$AK21,"FL")+COUNTIF(OUT!$G21:$AK21,"FL")+COUNTIF(NOV!$G21:$AK21,"FL")+COUNTIF(DEZ!$G21:$AK21,"FL"))</f>
        <v>0</v>
      </c>
      <c r="AF19" t="str">
        <f>IF(AND($Q19&lt;&gt;"",N($AD19)&gt;0),COUNT($AF$3:AF18)+1,"")</f>
        <v/>
      </c>
    </row>
    <row r="20" spans="1:32" ht="20.100000000000001" customHeight="1" x14ac:dyDescent="0.25">
      <c r="A20" s="71" t="str">
        <f>IFERROR(INDEX($Q$4:$Q$153,MATCH(ROWS($A$4:A20),$AF$4:$AF$153,0)),"")</f>
        <v>DIGO GRAZCKI 37002136</v>
      </c>
      <c r="B20" s="72" t="str">
        <f>IFERROR(INDEX($R$4:$R$153,MATCH(ROWS($A$4:A20),$AF$4:$AF$153,0)),"")</f>
        <v/>
      </c>
      <c r="C20" s="72" t="str">
        <f>IFERROR(INDEX($S$4:$S$153,MATCH(ROWS($A$4:A20),$AF$4:$AF$153,0)),"")</f>
        <v/>
      </c>
      <c r="D20" s="72" t="str">
        <f>IFERROR(INDEX($T$4:$T$153,MATCH(ROWS($A$4:A20),$AF$4:$AF$153,0)),"")</f>
        <v/>
      </c>
      <c r="E20" s="72" t="str">
        <f>IFERROR(INDEX($U$4:$U$153,MATCH(ROWS($A$4:A20),$AF$4:$AF$153,0)),"")</f>
        <v/>
      </c>
      <c r="F20" s="72" t="str">
        <f>IFERROR(INDEX($V$4:$V$153,MATCH(ROWS($A$4:A20),$AF$4:$AF$153,0)),"")</f>
        <v/>
      </c>
      <c r="G20" s="72" t="str">
        <f>IFERROR(INDEX($W$4:$W$153,MATCH(ROWS($A$4:A20),$AF$4:$AF$153,0)),"")</f>
        <v/>
      </c>
      <c r="H20" s="72" t="str">
        <f>IFERROR(INDEX($X$4:$X$153,MATCH(ROWS($A$4:A20),$AF$4:$AF$153,0)),"")</f>
        <v>29, 30</v>
      </c>
      <c r="I20" s="72" t="str">
        <f>IFERROR(INDEX($Y$4:$Y$153,MATCH(ROWS($A$4:A20),$AF$4:$AF$153,0)),"")</f>
        <v>3, 21</v>
      </c>
      <c r="J20" s="72" t="str">
        <f>IFERROR(INDEX($Z$4:$Z$153,MATCH(ROWS($A$4:A20),$AF$4:$AF$153,0)),"")</f>
        <v/>
      </c>
      <c r="K20" s="72" t="str">
        <f>IFERROR(INDEX($AA$4:$AA$153,MATCH(ROWS($A$4:A20),$AF$4:$AF$153,0)),"")</f>
        <v/>
      </c>
      <c r="L20" s="72" t="str">
        <f>IFERROR(INDEX($AB$4:$AB$153,MATCH(ROWS($A$4:A20),$AF$4:$AF$153,0)),"")</f>
        <v/>
      </c>
      <c r="M20" s="72" t="str">
        <f>IFERROR(INDEX($AC$4:$AC$153,MATCH(ROWS($A$4:A20),$AF$4:$AF$153,0)),"")</f>
        <v/>
      </c>
      <c r="N20" s="35">
        <f>IFERROR(INDEX($AD$4:$AD$153,MATCH(ROWS($A$4:A20),$AF$4:$AF$153,0)),"")</f>
        <v>4</v>
      </c>
      <c r="Q20" t="str">
        <f>T(JAN!B22)</f>
        <v>REGIS CERETA 384101</v>
      </c>
      <c r="R20" t="str">
        <f t="array" ref="R20">IF($Q20="","",_xlfn.TEXTJOIN(", ",TRUE,IF(JAN!$G22:$AK22="FL",JAN!$G$4:$AK$4,"")))</f>
        <v/>
      </c>
      <c r="S20" t="str">
        <f t="array" ref="S20">IF($Q20="","",_xlfn.TEXTJOIN(", ",TRUE,IF(FEV!$G22:$AK22="FL",FEV!$G$4:$AK$4,"")))</f>
        <v/>
      </c>
      <c r="T20" t="str">
        <f t="array" ref="T20">IF($Q20="","",_xlfn.TEXTJOIN(", ",TRUE,IF(MAR!$G22:$AK22="FL",MAR!$G$4:$AK$4,"")))</f>
        <v/>
      </c>
      <c r="U20" t="str">
        <f t="array" ref="U20">IF($Q20="","",_xlfn.TEXTJOIN(", ",TRUE,IF(ABR!$G22:$AK22="FL",ABR!$G$4:$AK$4,"")))</f>
        <v/>
      </c>
      <c r="V20" t="str">
        <f t="array" ref="V20">IF($Q20="","",_xlfn.TEXTJOIN(", ",TRUE,IF(MAI!$G22:$AK22="FL",MAI!$G$4:$AK$4,"")))</f>
        <v/>
      </c>
      <c r="W20" t="str">
        <f t="array" ref="W20">IF($Q20="","",_xlfn.TEXTJOIN(", ",TRUE,IF(JUN!$G22:$AK22="FL",JUN!$G$4:$AK$4,"")))</f>
        <v/>
      </c>
      <c r="X20" t="str">
        <f t="array" ref="X20">IF($Q20="","",_xlfn.TEXTJOIN(", ",TRUE,IF(JUL!$G22:$AK22="FL",JUL!$G$4:$AK$4,"")))</f>
        <v/>
      </c>
      <c r="Y20" t="str">
        <f t="array" ref="Y20">IF($Q20="","",_xlfn.TEXTJOIN(", ",TRUE,IF(AGO!$G22:$AK22="FL",AGO!$G$4:$AK$4,"")))</f>
        <v/>
      </c>
      <c r="Z20" t="str">
        <f t="array" ref="Z20">IF($Q20="","",_xlfn.TEXTJOIN(", ",TRUE,IF(SET!$G22:$AK22="FL",SET!$G$4:$AK$4,"")))</f>
        <v>2</v>
      </c>
      <c r="AA20" t="str">
        <f t="array" ref="AA20">IF($Q20="","",_xlfn.TEXTJOIN(", ",TRUE,IF(OUT!$G22:$AK22="FL",OUT!$G$4:$AK$4,"")))</f>
        <v/>
      </c>
      <c r="AB20" t="str">
        <f t="array" ref="AB20">IF($Q20="","",_xlfn.TEXTJOIN(", ",TRUE,IF(NOV!$G22:$AK22="FL",NOV!$G$4:$AK$4,"")))</f>
        <v/>
      </c>
      <c r="AC20" t="str">
        <f t="array" ref="AC20">IF($Q20="","",_xlfn.TEXTJOIN(", ",TRUE,IF(DEZ!$G22:$AK22="FL",DEZ!$G$4:$AK$4,"")))</f>
        <v/>
      </c>
      <c r="AD20">
        <f>IF($Q20="","",COUNTIF(JAN!$G22:$AK22,"FL")+COUNTIF(FEV!$G22:$AK22,"FL")+COUNTIF(MAR!$G22:$AK22,"FL")+COUNTIF(ABR!$G22:$AK22,"FL")+COUNTIF(MAI!$G22:$AK22,"FL")+COUNTIF(JUN!$G22:$AK22,"FL")+COUNTIF(JUL!$G22:$AK22,"FL")+COUNTIF(AGO!$G22:$AK22,"FL")+COUNTIF(SET!$G22:$AK22,"FL")+COUNTIF(OUT!$G22:$AK22,"FL")+COUNTIF(NOV!$G22:$AK22,"FL")+COUNTIF(DEZ!$G22:$AK22,"FL"))</f>
        <v>1</v>
      </c>
      <c r="AF20">
        <f>IF(AND($Q20&lt;&gt;"",N($AD20)&gt;0),COUNT($AF$3:AF19)+1,"")</f>
        <v>11</v>
      </c>
    </row>
    <row r="21" spans="1:32" ht="20.100000000000001" customHeight="1" x14ac:dyDescent="0.25">
      <c r="A21" s="35" t="str">
        <f>IFERROR(INDEX($Q$4:$Q$153,MATCH(ROWS($A$4:A21),$AF$4:$AF$153,0)),"")</f>
        <v>CHARLES SCOT 310301</v>
      </c>
      <c r="B21" s="72" t="str">
        <f>IFERROR(INDEX($R$4:$R$153,MATCH(ROWS($A$4:A21),$AF$4:$AF$153,0)),"")</f>
        <v/>
      </c>
      <c r="C21" s="72" t="str">
        <f>IFERROR(INDEX($S$4:$S$153,MATCH(ROWS($A$4:A21),$AF$4:$AF$153,0)),"")</f>
        <v/>
      </c>
      <c r="D21" s="72" t="str">
        <f>IFERROR(INDEX($T$4:$T$153,MATCH(ROWS($A$4:A21),$AF$4:$AF$153,0)),"")</f>
        <v/>
      </c>
      <c r="E21" s="72" t="str">
        <f>IFERROR(INDEX($U$4:$U$153,MATCH(ROWS($A$4:A21),$AF$4:$AF$153,0)),"")</f>
        <v/>
      </c>
      <c r="F21" s="72" t="str">
        <f>IFERROR(INDEX($V$4:$V$153,MATCH(ROWS($A$4:A21),$AF$4:$AF$153,0)),"")</f>
        <v/>
      </c>
      <c r="G21" s="72" t="str">
        <f>IFERROR(INDEX($W$4:$W$153,MATCH(ROWS($A$4:A21),$AF$4:$AF$153,0)),"")</f>
        <v/>
      </c>
      <c r="H21" s="72" t="str">
        <f>IFERROR(INDEX($X$4:$X$153,MATCH(ROWS($A$4:A21),$AF$4:$AF$153,0)),"")</f>
        <v/>
      </c>
      <c r="I21" s="72" t="str">
        <f>IFERROR(INDEX($Y$4:$Y$153,MATCH(ROWS($A$4:A21),$AF$4:$AF$153,0)),"")</f>
        <v>7, 25, 26</v>
      </c>
      <c r="J21" s="72" t="str">
        <f>IFERROR(INDEX($Z$4:$Z$153,MATCH(ROWS($A$4:A21),$AF$4:$AF$153,0)),"")</f>
        <v/>
      </c>
      <c r="K21" s="72" t="str">
        <f>IFERROR(INDEX($AA$4:$AA$153,MATCH(ROWS($A$4:A21),$AF$4:$AF$153,0)),"")</f>
        <v/>
      </c>
      <c r="L21" s="72" t="str">
        <f>IFERROR(INDEX($AB$4:$AB$153,MATCH(ROWS($A$4:A21),$AF$4:$AF$153,0)),"")</f>
        <v/>
      </c>
      <c r="M21" s="72" t="str">
        <f>IFERROR(INDEX($AC$4:$AC$153,MATCH(ROWS($A$4:A21),$AF$4:$AF$153,0)),"")</f>
        <v/>
      </c>
      <c r="N21" s="35">
        <f>IFERROR(INDEX($AD$4:$AD$153,MATCH(ROWS($A$4:A21),$AF$4:$AF$153,0)),"")</f>
        <v>3</v>
      </c>
      <c r="Q21" t="str">
        <f>T(JAN!B23)</f>
        <v>ANDERSON SANTOS 434801</v>
      </c>
      <c r="R21" t="str">
        <f t="array" ref="R21">IF($Q21="","",_xlfn.TEXTJOIN(", ",TRUE,IF(JAN!$G23:$AK23="FL",JAN!$G$4:$AK$4,"")))</f>
        <v/>
      </c>
      <c r="S21" t="str">
        <f t="array" ref="S21">IF($Q21="","",_xlfn.TEXTJOIN(", ",TRUE,IF(FEV!$G23:$AK23="FL",FEV!$G$4:$AK$4,"")))</f>
        <v/>
      </c>
      <c r="T21" t="str">
        <f t="array" ref="T21">IF($Q21="","",_xlfn.TEXTJOIN(", ",TRUE,IF(MAR!$G23:$AK23="FL",MAR!$G$4:$AK$4,"")))</f>
        <v/>
      </c>
      <c r="U21" t="str">
        <f t="array" ref="U21">IF($Q21="","",_xlfn.TEXTJOIN(", ",TRUE,IF(ABR!$G23:$AK23="FL",ABR!$G$4:$AK$4,"")))</f>
        <v/>
      </c>
      <c r="V21" t="str">
        <f t="array" ref="V21">IF($Q21="","",_xlfn.TEXTJOIN(", ",TRUE,IF(MAI!$G23:$AK23="FL",MAI!$G$4:$AK$4,"")))</f>
        <v/>
      </c>
      <c r="W21" t="str">
        <f t="array" ref="W21">IF($Q21="","",_xlfn.TEXTJOIN(", ",TRUE,IF(JUN!$G23:$AK23="FL",JUN!$G$4:$AK$4,"")))</f>
        <v/>
      </c>
      <c r="X21" t="str">
        <f t="array" ref="X21">IF($Q21="","",_xlfn.TEXTJOIN(", ",TRUE,IF(JUL!$G23:$AK23="FL",JUL!$G$4:$AK$4,"")))</f>
        <v>27</v>
      </c>
      <c r="Y21" t="str">
        <f t="array" ref="Y21">IF($Q21="","",_xlfn.TEXTJOIN(", ",TRUE,IF(AGO!$G23:$AK23="FL",AGO!$G$4:$AK$4,"")))</f>
        <v>7</v>
      </c>
      <c r="Z21" t="str">
        <f t="array" ref="Z21">IF($Q21="","",_xlfn.TEXTJOIN(", ",TRUE,IF(SET!$G23:$AK23="FL",SET!$G$4:$AK$4,"")))</f>
        <v>5</v>
      </c>
      <c r="AA21" t="str">
        <f t="array" ref="AA21">IF($Q21="","",_xlfn.TEXTJOIN(", ",TRUE,IF(OUT!$G23:$AK23="FL",OUT!$G$4:$AK$4,"")))</f>
        <v/>
      </c>
      <c r="AB21" t="str">
        <f t="array" ref="AB21">IF($Q21="","",_xlfn.TEXTJOIN(", ",TRUE,IF(NOV!$G23:$AK23="FL",NOV!$G$4:$AK$4,"")))</f>
        <v/>
      </c>
      <c r="AC21" t="str">
        <f t="array" ref="AC21">IF($Q21="","",_xlfn.TEXTJOIN(", ",TRUE,IF(DEZ!$G23:$AK23="FL",DEZ!$G$4:$AK$4,"")))</f>
        <v/>
      </c>
      <c r="AD21">
        <f>IF($Q21="","",COUNTIF(JAN!$G23:$AK23,"FL")+COUNTIF(FEV!$G23:$AK23,"FL")+COUNTIF(MAR!$G23:$AK23,"FL")+COUNTIF(ABR!$G23:$AK23,"FL")+COUNTIF(MAI!$G23:$AK23,"FL")+COUNTIF(JUN!$G23:$AK23,"FL")+COUNTIF(JUL!$G23:$AK23,"FL")+COUNTIF(AGO!$G23:$AK23,"FL")+COUNTIF(SET!$G23:$AK23,"FL")+COUNTIF(OUT!$G23:$AK23,"FL")+COUNTIF(NOV!$G23:$AK23,"FL")+COUNTIF(DEZ!$G23:$AK23,"FL"))</f>
        <v>3</v>
      </c>
      <c r="AF21">
        <f>IF(AND($Q21&lt;&gt;"",N($AD21)&gt;0),COUNT($AF$3:AF20)+1,"")</f>
        <v>12</v>
      </c>
    </row>
    <row r="22" spans="1:32" ht="20.100000000000001" customHeight="1" x14ac:dyDescent="0.25">
      <c r="A22" s="35" t="str">
        <f>IFERROR(INDEX($Q$4:$Q$153,MATCH(ROWS($A$4:A22),$AF$4:$AF$153,0)),"")</f>
        <v>ALEXANDRE MARINHO 37002252</v>
      </c>
      <c r="B22" s="72" t="str">
        <f>IFERROR(INDEX($R$4:$R$153,MATCH(ROWS($A$4:A22),$AF$4:$AF$153,0)),"")</f>
        <v/>
      </c>
      <c r="C22" s="72" t="str">
        <f>IFERROR(INDEX($S$4:$S$153,MATCH(ROWS($A$4:A22),$AF$4:$AF$153,0)),"")</f>
        <v/>
      </c>
      <c r="D22" s="72" t="str">
        <f>IFERROR(INDEX($T$4:$T$153,MATCH(ROWS($A$4:A22),$AF$4:$AF$153,0)),"")</f>
        <v/>
      </c>
      <c r="E22" s="72" t="str">
        <f>IFERROR(INDEX($U$4:$U$153,MATCH(ROWS($A$4:A22),$AF$4:$AF$153,0)),"")</f>
        <v/>
      </c>
      <c r="F22" s="72" t="str">
        <f>IFERROR(INDEX($V$4:$V$153,MATCH(ROWS($A$4:A22),$AF$4:$AF$153,0)),"")</f>
        <v/>
      </c>
      <c r="G22" s="72" t="str">
        <f>IFERROR(INDEX($W$4:$W$153,MATCH(ROWS($A$4:A22),$AF$4:$AF$153,0)),"")</f>
        <v/>
      </c>
      <c r="H22" s="72" t="str">
        <f>IFERROR(INDEX($X$4:$X$153,MATCH(ROWS($A$4:A22),$AF$4:$AF$153,0)),"")</f>
        <v>21, 22, 23, 24, 25</v>
      </c>
      <c r="I22" s="72" t="str">
        <f>IFERROR(INDEX($Y$4:$Y$153,MATCH(ROWS($A$4:A22),$AF$4:$AF$153,0)),"")</f>
        <v>7, 10, 15</v>
      </c>
      <c r="J22" s="72" t="str">
        <f>IFERROR(INDEX($Z$4:$Z$153,MATCH(ROWS($A$4:A22),$AF$4:$AF$153,0)),"")</f>
        <v>9</v>
      </c>
      <c r="K22" s="72" t="str">
        <f>IFERROR(INDEX($AA$4:$AA$153,MATCH(ROWS($A$4:A22),$AF$4:$AF$153,0)),"")</f>
        <v>3, 6</v>
      </c>
      <c r="L22" s="72" t="str">
        <f>IFERROR(INDEX($AB$4:$AB$153,MATCH(ROWS($A$4:A22),$AF$4:$AF$153,0)),"")</f>
        <v/>
      </c>
      <c r="M22" s="72" t="str">
        <f>IFERROR(INDEX($AC$4:$AC$153,MATCH(ROWS($A$4:A22),$AF$4:$AF$153,0)),"")</f>
        <v/>
      </c>
      <c r="N22" s="35">
        <f>IFERROR(INDEX($AD$4:$AD$153,MATCH(ROWS($A$4:A22),$AF$4:$AF$153,0)),"")</f>
        <v>11</v>
      </c>
      <c r="Q22" t="str">
        <f>T(JAN!B24)</f>
        <v>ALEX GABRIEL 37002111</v>
      </c>
      <c r="R22" t="str">
        <f t="array" ref="R22">IF($Q22="","",_xlfn.TEXTJOIN(", ",TRUE,IF(JAN!$G24:$AK24="FL",JAN!$G$4:$AK$4,"")))</f>
        <v/>
      </c>
      <c r="S22" t="str">
        <f t="array" ref="S22">IF($Q22="","",_xlfn.TEXTJOIN(", ",TRUE,IF(FEV!$G24:$AK24="FL",FEV!$G$4:$AK$4,"")))</f>
        <v/>
      </c>
      <c r="T22" t="str">
        <f t="array" ref="T22">IF($Q22="","",_xlfn.TEXTJOIN(", ",TRUE,IF(MAR!$G24:$AK24="FL",MAR!$G$4:$AK$4,"")))</f>
        <v/>
      </c>
      <c r="U22" t="str">
        <f t="array" ref="U22">IF($Q22="","",_xlfn.TEXTJOIN(", ",TRUE,IF(ABR!$G24:$AK24="FL",ABR!$G$4:$AK$4,"")))</f>
        <v/>
      </c>
      <c r="V22" t="str">
        <f t="array" ref="V22">IF($Q22="","",_xlfn.TEXTJOIN(", ",TRUE,IF(MAI!$G24:$AK24="FL",MAI!$G$4:$AK$4,"")))</f>
        <v/>
      </c>
      <c r="W22" t="str">
        <f t="array" ref="W22">IF($Q22="","",_xlfn.TEXTJOIN(", ",TRUE,IF(JUN!$G24:$AK24="FL",JUN!$G$4:$AK$4,"")))</f>
        <v/>
      </c>
      <c r="X22" t="str">
        <f t="array" ref="X22">IF($Q22="","",_xlfn.TEXTJOIN(", ",TRUE,IF(JUL!$G24:$AK24="FL",JUL!$G$4:$AK$4,"")))</f>
        <v/>
      </c>
      <c r="Y22" t="str">
        <f t="array" ref="Y22">IF($Q22="","",_xlfn.TEXTJOIN(", ",TRUE,IF(AGO!$G24:$AK24="FL",AGO!$G$4:$AK$4,"")))</f>
        <v/>
      </c>
      <c r="Z22" t="str">
        <f t="array" ref="Z22">IF($Q22="","",_xlfn.TEXTJOIN(", ",TRUE,IF(SET!$G24:$AK24="FL",SET!$G$4:$AK$4,"")))</f>
        <v>17, 18</v>
      </c>
      <c r="AA22" t="str">
        <f t="array" ref="AA22">IF($Q22="","",_xlfn.TEXTJOIN(", ",TRUE,IF(OUT!$G24:$AK24="FL",OUT!$G$4:$AK$4,"")))</f>
        <v/>
      </c>
      <c r="AB22" t="str">
        <f t="array" ref="AB22">IF($Q22="","",_xlfn.TEXTJOIN(", ",TRUE,IF(NOV!$G24:$AK24="FL",NOV!$G$4:$AK$4,"")))</f>
        <v/>
      </c>
      <c r="AC22" t="str">
        <f t="array" ref="AC22">IF($Q22="","",_xlfn.TEXTJOIN(", ",TRUE,IF(DEZ!$G24:$AK24="FL",DEZ!$G$4:$AK$4,"")))</f>
        <v/>
      </c>
      <c r="AD22">
        <f>IF($Q22="","",COUNTIF(JAN!$G24:$AK24,"FL")+COUNTIF(FEV!$G24:$AK24,"FL")+COUNTIF(MAR!$G24:$AK24,"FL")+COUNTIF(ABR!$G24:$AK24,"FL")+COUNTIF(MAI!$G24:$AK24,"FL")+COUNTIF(JUN!$G24:$AK24,"FL")+COUNTIF(JUL!$G24:$AK24,"FL")+COUNTIF(AGO!$G24:$AK24,"FL")+COUNTIF(SET!$G24:$AK24,"FL")+COUNTIF(OUT!$G24:$AK24,"FL")+COUNTIF(NOV!$G24:$AK24,"FL")+COUNTIF(DEZ!$G24:$AK24,"FL"))</f>
        <v>2</v>
      </c>
      <c r="AF22">
        <f>IF(AND($Q22&lt;&gt;"",N($AD22)&gt;0),COUNT($AF$3:AF21)+1,"")</f>
        <v>13</v>
      </c>
    </row>
    <row r="23" spans="1:32" ht="20.100000000000001" customHeight="1" x14ac:dyDescent="0.25">
      <c r="A23" s="35" t="str">
        <f>IFERROR(INDEX($Q$4:$Q$153,MATCH(ROWS($A$4:A23),$AF$4:$AF$153,0)),"")</f>
        <v>JOSIMAR ROCHA 390801</v>
      </c>
      <c r="B23" s="72" t="str">
        <f>IFERROR(INDEX($R$4:$R$153,MATCH(ROWS($A$4:A23),$AF$4:$AF$153,0)),"")</f>
        <v/>
      </c>
      <c r="C23" s="72" t="str">
        <f>IFERROR(INDEX($S$4:$S$153,MATCH(ROWS($A$4:A23),$AF$4:$AF$153,0)),"")</f>
        <v/>
      </c>
      <c r="D23" s="72" t="str">
        <f>IFERROR(INDEX($T$4:$T$153,MATCH(ROWS($A$4:A23),$AF$4:$AF$153,0)),"")</f>
        <v/>
      </c>
      <c r="E23" s="72" t="str">
        <f>IFERROR(INDEX($U$4:$U$153,MATCH(ROWS($A$4:A23),$AF$4:$AF$153,0)),"")</f>
        <v/>
      </c>
      <c r="F23" s="72" t="str">
        <f>IFERROR(INDEX($V$4:$V$153,MATCH(ROWS($A$4:A23),$AF$4:$AF$153,0)),"")</f>
        <v/>
      </c>
      <c r="G23" s="72" t="str">
        <f>IFERROR(INDEX($W$4:$W$153,MATCH(ROWS($A$4:A23),$AF$4:$AF$153,0)),"")</f>
        <v/>
      </c>
      <c r="H23" s="72" t="str">
        <f>IFERROR(INDEX($X$4:$X$153,MATCH(ROWS($A$4:A23),$AF$4:$AF$153,0)),"")</f>
        <v/>
      </c>
      <c r="I23" s="72" t="str">
        <f>IFERROR(INDEX($Y$4:$Y$153,MATCH(ROWS($A$4:A23),$AF$4:$AF$153,0)),"")</f>
        <v/>
      </c>
      <c r="J23" s="72" t="str">
        <f>IFERROR(INDEX($Z$4:$Z$153,MATCH(ROWS($A$4:A23),$AF$4:$AF$153,0)),"")</f>
        <v>16, 17</v>
      </c>
      <c r="K23" s="72" t="str">
        <f>IFERROR(INDEX($AA$4:$AA$153,MATCH(ROWS($A$4:A23),$AF$4:$AF$153,0)),"")</f>
        <v/>
      </c>
      <c r="L23" s="72" t="str">
        <f>IFERROR(INDEX($AB$4:$AB$153,MATCH(ROWS($A$4:A23),$AF$4:$AF$153,0)),"")</f>
        <v/>
      </c>
      <c r="M23" s="72" t="str">
        <f>IFERROR(INDEX($AC$4:$AC$153,MATCH(ROWS($A$4:A23),$AF$4:$AF$153,0)),"")</f>
        <v/>
      </c>
      <c r="N23" s="35">
        <f>IFERROR(INDEX($AD$4:$AD$153,MATCH(ROWS($A$4:A23),$AF$4:$AF$153,0)),"")</f>
        <v>2</v>
      </c>
      <c r="Q23" t="str">
        <f>T(JAN!B25)</f>
        <v>RENATO GUEDES 381901</v>
      </c>
      <c r="R23" t="str">
        <f t="array" ref="R23">IF($Q23="","",_xlfn.TEXTJOIN(", ",TRUE,IF(JAN!$G25:$AK25="FL",JAN!$G$4:$AK$4,"")))</f>
        <v/>
      </c>
      <c r="S23" t="str">
        <f t="array" ref="S23">IF($Q23="","",_xlfn.TEXTJOIN(", ",TRUE,IF(FEV!$G25:$AK25="FL",FEV!$G$4:$AK$4,"")))</f>
        <v/>
      </c>
      <c r="T23" t="str">
        <f t="array" ref="T23">IF($Q23="","",_xlfn.TEXTJOIN(", ",TRUE,IF(MAR!$G25:$AK25="FL",MAR!$G$4:$AK$4,"")))</f>
        <v/>
      </c>
      <c r="U23" t="str">
        <f t="array" ref="U23">IF($Q23="","",_xlfn.TEXTJOIN(", ",TRUE,IF(ABR!$G25:$AK25="FL",ABR!$G$4:$AK$4,"")))</f>
        <v/>
      </c>
      <c r="V23" t="str">
        <f t="array" ref="V23">IF($Q23="","",_xlfn.TEXTJOIN(", ",TRUE,IF(MAI!$G25:$AK25="FL",MAI!$G$4:$AK$4,"")))</f>
        <v/>
      </c>
      <c r="W23" t="str">
        <f t="array" ref="W23">IF($Q23="","",_xlfn.TEXTJOIN(", ",TRUE,IF(JUN!$G25:$AK25="FL",JUN!$G$4:$AK$4,"")))</f>
        <v/>
      </c>
      <c r="X23" t="str">
        <f t="array" ref="X23">IF($Q23="","",_xlfn.TEXTJOIN(", ",TRUE,IF(JUL!$G25:$AK25="FL",JUL!$G$4:$AK$4,"")))</f>
        <v/>
      </c>
      <c r="Y23" t="str">
        <f t="array" ref="Y23">IF($Q23="","",_xlfn.TEXTJOIN(", ",TRUE,IF(AGO!$G25:$AK25="FL",AGO!$G$4:$AK$4,"")))</f>
        <v/>
      </c>
      <c r="Z23" t="str">
        <f t="array" ref="Z23">IF($Q23="","",_xlfn.TEXTJOIN(", ",TRUE,IF(SET!$G25:$AK25="FL",SET!$G$4:$AK$4,"")))</f>
        <v/>
      </c>
      <c r="AA23" t="str">
        <f t="array" ref="AA23">IF($Q23="","",_xlfn.TEXTJOIN(", ",TRUE,IF(OUT!$G25:$AK25="FL",OUT!$G$4:$AK$4,"")))</f>
        <v/>
      </c>
      <c r="AB23" t="str">
        <f t="array" ref="AB23">IF($Q23="","",_xlfn.TEXTJOIN(", ",TRUE,IF(NOV!$G25:$AK25="FL",NOV!$G$4:$AK$4,"")))</f>
        <v/>
      </c>
      <c r="AC23" t="str">
        <f t="array" ref="AC23">IF($Q23="","",_xlfn.TEXTJOIN(", ",TRUE,IF(DEZ!$G25:$AK25="FL",DEZ!$G$4:$AK$4,"")))</f>
        <v/>
      </c>
      <c r="AD23">
        <f>IF($Q23="","",COUNTIF(JAN!$G25:$AK25,"FL")+COUNTIF(FEV!$G25:$AK25,"FL")+COUNTIF(MAR!$G25:$AK25,"FL")+COUNTIF(ABR!$G25:$AK25,"FL")+COUNTIF(MAI!$G25:$AK25,"FL")+COUNTIF(JUN!$G25:$AK25,"FL")+COUNTIF(JUL!$G25:$AK25,"FL")+COUNTIF(AGO!$G25:$AK25,"FL")+COUNTIF(SET!$G25:$AK25,"FL")+COUNTIF(OUT!$G25:$AK25,"FL")+COUNTIF(NOV!$G25:$AK25,"FL")+COUNTIF(DEZ!$G25:$AK25,"FL"))</f>
        <v>0</v>
      </c>
      <c r="AF23" t="str">
        <f>IF(AND($Q23&lt;&gt;"",N($AD23)&gt;0),COUNT($AF$3:AF22)+1,"")</f>
        <v/>
      </c>
    </row>
    <row r="24" spans="1:32" ht="20.100000000000001" customHeight="1" x14ac:dyDescent="0.25">
      <c r="A24" s="35" t="str">
        <f>IFERROR(INDEX($Q$4:$Q$153,MATCH(ROWS($A$4:A24),$AF$4:$AF$153,0)),"")</f>
        <v>LUCIANO GROSS 37002144</v>
      </c>
      <c r="B24" s="35" t="str">
        <f>IFERROR(INDEX($R$4:$R$153,MATCH(ROWS($A$4:A24),$AF$4:$AF$153,0)),"")</f>
        <v/>
      </c>
      <c r="C24" s="35" t="str">
        <f>IFERROR(INDEX($S$4:$S$153,MATCH(ROWS($A$4:A24),$AF$4:$AF$153,0)),"")</f>
        <v/>
      </c>
      <c r="D24" s="35" t="str">
        <f>IFERROR(INDEX($T$4:$T$153,MATCH(ROWS($A$4:A24),$AF$4:$AF$153,0)),"")</f>
        <v/>
      </c>
      <c r="E24" s="35" t="str">
        <f>IFERROR(INDEX($U$4:$U$153,MATCH(ROWS($A$4:A24),$AF$4:$AF$153,0)),"")</f>
        <v/>
      </c>
      <c r="F24" s="35" t="str">
        <f>IFERROR(INDEX($V$4:$V$153,MATCH(ROWS($A$4:A24),$AF$4:$AF$153,0)),"")</f>
        <v/>
      </c>
      <c r="G24" s="35" t="str">
        <f>IFERROR(INDEX($W$4:$W$153,MATCH(ROWS($A$4:A24),$AF$4:$AF$153,0)),"")</f>
        <v/>
      </c>
      <c r="H24" s="35" t="str">
        <f>IFERROR(INDEX($X$4:$X$153,MATCH(ROWS($A$4:A24),$AF$4:$AF$153,0)),"")</f>
        <v>18, 21, 27, 28, 29</v>
      </c>
      <c r="I24" s="72" t="str">
        <f>IFERROR(INDEX($Y$4:$Y$153,MATCH(ROWS($A$4:A24),$AF$4:$AF$153,0)),"")</f>
        <v>3, 4, 5, 6, 7, 8, 11, 14, 15, 27, 29, 31</v>
      </c>
      <c r="J24" s="35" t="str">
        <f>IFERROR(INDEX($Z$4:$Z$153,MATCH(ROWS($A$4:A24),$AF$4:$AF$153,0)),"")</f>
        <v>1, 2, 4, 5, 8, 9, 10, 11, 12, 14, 15, 16, 17, 18, 22, 25, 28</v>
      </c>
      <c r="K24" s="35" t="str">
        <f>IFERROR(INDEX($AA$4:$AA$153,MATCH(ROWS($A$4:A24),$AF$4:$AF$153,0)),"")</f>
        <v>2, 3, 5, 6, 8, 13</v>
      </c>
      <c r="L24" s="35" t="str">
        <f>IFERROR(INDEX($AB$4:$AB$153,MATCH(ROWS($A$4:A24),$AF$4:$AF$153,0)),"")</f>
        <v/>
      </c>
      <c r="M24" s="35" t="str">
        <f>IFERROR(INDEX($AC$4:$AC$153,MATCH(ROWS($A$4:A24),$AF$4:$AF$153,0)),"")</f>
        <v/>
      </c>
      <c r="N24" s="35">
        <f>IFERROR(INDEX($AD$4:$AD$153,MATCH(ROWS($A$4:A24),$AF$4:$AF$153,0)),"")</f>
        <v>40</v>
      </c>
      <c r="Q24" t="str">
        <f>T(JAN!B26)</f>
        <v>EDUARDO SCHNEIDER 37002143</v>
      </c>
      <c r="R24" t="str">
        <f t="array" ref="R24">IF($Q24="","",_xlfn.TEXTJOIN(", ",TRUE,IF(JAN!$G26:$AK26="FL",JAN!$G$4:$AK$4,"")))</f>
        <v/>
      </c>
      <c r="S24" t="str">
        <f t="array" ref="S24">IF($Q24="","",_xlfn.TEXTJOIN(", ",TRUE,IF(FEV!$G26:$AK26="FL",FEV!$G$4:$AK$4,"")))</f>
        <v/>
      </c>
      <c r="T24" t="str">
        <f t="array" ref="T24">IF($Q24="","",_xlfn.TEXTJOIN(", ",TRUE,IF(MAR!$G26:$AK26="FL",MAR!$G$4:$AK$4,"")))</f>
        <v/>
      </c>
      <c r="U24" t="str">
        <f t="array" ref="U24">IF($Q24="","",_xlfn.TEXTJOIN(", ",TRUE,IF(ABR!$G26:$AK26="FL",ABR!$G$4:$AK$4,"")))</f>
        <v/>
      </c>
      <c r="V24" t="str">
        <f t="array" ref="V24">IF($Q24="","",_xlfn.TEXTJOIN(", ",TRUE,IF(MAI!$G26:$AK26="FL",MAI!$G$4:$AK$4,"")))</f>
        <v/>
      </c>
      <c r="W24" t="str">
        <f t="array" ref="W24">IF($Q24="","",_xlfn.TEXTJOIN(", ",TRUE,IF(JUN!$G26:$AK26="FL",JUN!$G$4:$AK$4,"")))</f>
        <v/>
      </c>
      <c r="X24" t="str">
        <f t="array" ref="X24">IF($Q24="","",_xlfn.TEXTJOIN(", ",TRUE,IF(JUL!$G26:$AK26="FL",JUL!$G$4:$AK$4,"")))</f>
        <v/>
      </c>
      <c r="Y24" t="str">
        <f t="array" ref="Y24">IF($Q24="","",_xlfn.TEXTJOIN(", ",TRUE,IF(AGO!$G26:$AK26="FL",AGO!$G$4:$AK$4,"")))</f>
        <v>3, 4</v>
      </c>
      <c r="Z24" t="str">
        <f t="array" ref="Z24">IF($Q24="","",_xlfn.TEXTJOIN(", ",TRUE,IF(SET!$G26:$AK26="FL",SET!$G$4:$AK$4,"")))</f>
        <v>28</v>
      </c>
      <c r="AA24" t="str">
        <f t="array" ref="AA24">IF($Q24="","",_xlfn.TEXTJOIN(", ",TRUE,IF(OUT!$G26:$AK26="FL",OUT!$G$4:$AK$4,"")))</f>
        <v/>
      </c>
      <c r="AB24" t="str">
        <f t="array" ref="AB24">IF($Q24="","",_xlfn.TEXTJOIN(", ",TRUE,IF(NOV!$G26:$AK26="FL",NOV!$G$4:$AK$4,"")))</f>
        <v/>
      </c>
      <c r="AC24" t="str">
        <f t="array" ref="AC24">IF($Q24="","",_xlfn.TEXTJOIN(", ",TRUE,IF(DEZ!$G26:$AK26="FL",DEZ!$G$4:$AK$4,"")))</f>
        <v/>
      </c>
      <c r="AD24">
        <f>IF($Q24="","",COUNTIF(JAN!$G26:$AK26,"FL")+COUNTIF(FEV!$G26:$AK26,"FL")+COUNTIF(MAR!$G26:$AK26,"FL")+COUNTIF(ABR!$G26:$AK26,"FL")+COUNTIF(MAI!$G26:$AK26,"FL")+COUNTIF(JUN!$G26:$AK26,"FL")+COUNTIF(JUL!$G26:$AK26,"FL")+COUNTIF(AGO!$G26:$AK26,"FL")+COUNTIF(SET!$G26:$AK26,"FL")+COUNTIF(OUT!$G26:$AK26,"FL")+COUNTIF(NOV!$G26:$AK26,"FL")+COUNTIF(DEZ!$G26:$AK26,"FL"))</f>
        <v>3</v>
      </c>
      <c r="AF24">
        <f>IF(AND($Q24&lt;&gt;"",N($AD24)&gt;0),COUNT($AF$3:AF23)+1,"")</f>
        <v>14</v>
      </c>
    </row>
    <row r="25" spans="1:32" ht="20.100000000000001" customHeight="1" x14ac:dyDescent="0.25">
      <c r="A25" s="35" t="str">
        <f>IFERROR(INDEX($Q$4:$Q$153,MATCH(ROWS($A$4:A25),$AF$4:$AF$153,0)),"")</f>
        <v>PATRICK OLIVEIRA 361601</v>
      </c>
      <c r="B25" s="35" t="str">
        <f>IFERROR(INDEX($R$4:$R$153,MATCH(ROWS($A$4:A25),$AF$4:$AF$153,0)),"")</f>
        <v/>
      </c>
      <c r="C25" s="35" t="str">
        <f>IFERROR(INDEX($S$4:$S$153,MATCH(ROWS($A$4:A25),$AF$4:$AF$153,0)),"")</f>
        <v/>
      </c>
      <c r="D25" s="35" t="str">
        <f>IFERROR(INDEX($T$4:$T$153,MATCH(ROWS($A$4:A25),$AF$4:$AF$153,0)),"")</f>
        <v/>
      </c>
      <c r="E25" s="35" t="str">
        <f>IFERROR(INDEX($U$4:$U$153,MATCH(ROWS($A$4:A25),$AF$4:$AF$153,0)),"")</f>
        <v/>
      </c>
      <c r="F25" s="35" t="str">
        <f>IFERROR(INDEX($V$4:$V$153,MATCH(ROWS($A$4:A25),$AF$4:$AF$153,0)),"")</f>
        <v/>
      </c>
      <c r="G25" s="35" t="str">
        <f>IFERROR(INDEX($W$4:$W$153,MATCH(ROWS($A$4:A25),$AF$4:$AF$153,0)),"")</f>
        <v/>
      </c>
      <c r="H25" s="35" t="str">
        <f>IFERROR(INDEX($X$4:$X$153,MATCH(ROWS($A$4:A25),$AF$4:$AF$153,0)),"")</f>
        <v/>
      </c>
      <c r="I25" s="72" t="str">
        <f>IFERROR(INDEX($Y$4:$Y$153,MATCH(ROWS($A$4:A25),$AF$4:$AF$153,0)),"")</f>
        <v/>
      </c>
      <c r="J25" s="35" t="str">
        <f>IFERROR(INDEX($Z$4:$Z$153,MATCH(ROWS($A$4:A25),$AF$4:$AF$153,0)),"")</f>
        <v/>
      </c>
      <c r="K25" s="35" t="str">
        <f>IFERROR(INDEX($AA$4:$AA$153,MATCH(ROWS($A$4:A25),$AF$4:$AF$153,0)),"")</f>
        <v>5</v>
      </c>
      <c r="L25" s="35" t="str">
        <f>IFERROR(INDEX($AB$4:$AB$153,MATCH(ROWS($A$4:A25),$AF$4:$AF$153,0)),"")</f>
        <v/>
      </c>
      <c r="M25" s="35" t="str">
        <f>IFERROR(INDEX($AC$4:$AC$153,MATCH(ROWS($A$4:A25),$AF$4:$AF$153,0)),"")</f>
        <v/>
      </c>
      <c r="N25" s="35">
        <f>IFERROR(INDEX($AD$4:$AD$153,MATCH(ROWS($A$4:A25),$AF$4:$AF$153,0)),"")</f>
        <v>1</v>
      </c>
      <c r="Q25" t="str">
        <f>T(JAN!B27)</f>
        <v>VANDERLEI BUSSA 309601</v>
      </c>
      <c r="R25" t="str">
        <f t="array" ref="R25">IF($Q25="","",_xlfn.TEXTJOIN(", ",TRUE,IF(JAN!$G27:$AK27="FL",JAN!$G$4:$AK$4,"")))</f>
        <v/>
      </c>
      <c r="S25" t="str">
        <f t="array" ref="S25">IF($Q25="","",_xlfn.TEXTJOIN(", ",TRUE,IF(FEV!$G27:$AK27="FL",FEV!$G$4:$AK$4,"")))</f>
        <v/>
      </c>
      <c r="T25" t="str">
        <f t="array" ref="T25">IF($Q25="","",_xlfn.TEXTJOIN(", ",TRUE,IF(MAR!$G27:$AK27="FL",MAR!$G$4:$AK$4,"")))</f>
        <v/>
      </c>
      <c r="U25" t="str">
        <f t="array" ref="U25">IF($Q25="","",_xlfn.TEXTJOIN(", ",TRUE,IF(ABR!$G27:$AK27="FL",ABR!$G$4:$AK$4,"")))</f>
        <v/>
      </c>
      <c r="V25" t="str">
        <f t="array" ref="V25">IF($Q25="","",_xlfn.TEXTJOIN(", ",TRUE,IF(MAI!$G27:$AK27="FL",MAI!$G$4:$AK$4,"")))</f>
        <v/>
      </c>
      <c r="W25" t="str">
        <f t="array" ref="W25">IF($Q25="","",_xlfn.TEXTJOIN(", ",TRUE,IF(JUN!$G27:$AK27="FL",JUN!$G$4:$AK$4,"")))</f>
        <v/>
      </c>
      <c r="X25" t="str">
        <f t="array" ref="X25">IF($Q25="","",_xlfn.TEXTJOIN(", ",TRUE,IF(JUL!$G27:$AK27="FL",JUL!$G$4:$AK$4,"")))</f>
        <v/>
      </c>
      <c r="Y25" t="str">
        <f t="array" ref="Y25">IF($Q25="","",_xlfn.TEXTJOIN(", ",TRUE,IF(AGO!$G27:$AK27="FL",AGO!$G$4:$AK$4,"")))</f>
        <v/>
      </c>
      <c r="Z25" t="str">
        <f t="array" ref="Z25">IF($Q25="","",_xlfn.TEXTJOIN(", ",TRUE,IF(SET!$G27:$AK27="FL",SET!$G$4:$AK$4,"")))</f>
        <v/>
      </c>
      <c r="AA25" t="str">
        <f t="array" ref="AA25">IF($Q25="","",_xlfn.TEXTJOIN(", ",TRUE,IF(OUT!$G27:$AK27="FL",OUT!$G$4:$AK$4,"")))</f>
        <v/>
      </c>
      <c r="AB25" t="str">
        <f t="array" ref="AB25">IF($Q25="","",_xlfn.TEXTJOIN(", ",TRUE,IF(NOV!$G27:$AK27="FL",NOV!$G$4:$AK$4,"")))</f>
        <v/>
      </c>
      <c r="AC25" t="str">
        <f t="array" ref="AC25">IF($Q25="","",_xlfn.TEXTJOIN(", ",TRUE,IF(DEZ!$G27:$AK27="FL",DEZ!$G$4:$AK$4,"")))</f>
        <v/>
      </c>
      <c r="AD25">
        <f>IF($Q25="","",COUNTIF(JAN!$G27:$AK27,"FL")+COUNTIF(FEV!$G27:$AK27,"FL")+COUNTIF(MAR!$G27:$AK27,"FL")+COUNTIF(ABR!$G27:$AK27,"FL")+COUNTIF(MAI!$G27:$AK27,"FL")+COUNTIF(JUN!$G27:$AK27,"FL")+COUNTIF(JUL!$G27:$AK27,"FL")+COUNTIF(AGO!$G27:$AK27,"FL")+COUNTIF(SET!$G27:$AK27,"FL")+COUNTIF(OUT!$G27:$AK27,"FL")+COUNTIF(NOV!$G27:$AK27,"FL")+COUNTIF(DEZ!$G27:$AK27,"FL"))</f>
        <v>0</v>
      </c>
      <c r="AF25" t="str">
        <f>IF(AND($Q25&lt;&gt;"",N($AD25)&gt;0),COUNT($AF$3:AF24)+1,"")</f>
        <v/>
      </c>
    </row>
    <row r="26" spans="1:32" ht="20.100000000000001" customHeight="1" x14ac:dyDescent="0.25">
      <c r="A26" s="35" t="str">
        <f>IFERROR(INDEX($Q$4:$Q$153,MATCH(ROWS($A$4:A26),$AF$4:$AF$153,0)),"")</f>
        <v>DIEGO BOEIRA 125801</v>
      </c>
      <c r="B26" s="35" t="str">
        <f>IFERROR(INDEX($R$4:$R$153,MATCH(ROWS($A$4:A26),$AF$4:$AF$153,0)),"")</f>
        <v/>
      </c>
      <c r="C26" s="35" t="str">
        <f>IFERROR(INDEX($S$4:$S$153,MATCH(ROWS($A$4:A26),$AF$4:$AF$153,0)),"")</f>
        <v/>
      </c>
      <c r="D26" s="35" t="str">
        <f>IFERROR(INDEX($T$4:$T$153,MATCH(ROWS($A$4:A26),$AF$4:$AF$153,0)),"")</f>
        <v/>
      </c>
      <c r="E26" s="35" t="str">
        <f>IFERROR(INDEX($U$4:$U$153,MATCH(ROWS($A$4:A26),$AF$4:$AF$153,0)),"")</f>
        <v/>
      </c>
      <c r="F26" s="35" t="str">
        <f>IFERROR(INDEX($V$4:$V$153,MATCH(ROWS($A$4:A26),$AF$4:$AF$153,0)),"")</f>
        <v/>
      </c>
      <c r="G26" s="35" t="str">
        <f>IFERROR(INDEX($W$4:$W$153,MATCH(ROWS($A$4:A26),$AF$4:$AF$153,0)),"")</f>
        <v/>
      </c>
      <c r="H26" s="35" t="str">
        <f>IFERROR(INDEX($X$4:$X$153,MATCH(ROWS($A$4:A26),$AF$4:$AF$153,0)),"")</f>
        <v/>
      </c>
      <c r="I26" s="72" t="str">
        <f>IFERROR(INDEX($Y$4:$Y$153,MATCH(ROWS($A$4:A26),$AF$4:$AF$153,0)),"")</f>
        <v>7</v>
      </c>
      <c r="J26" s="35" t="str">
        <f>IFERROR(INDEX($Z$4:$Z$153,MATCH(ROWS($A$4:A26),$AF$4:$AF$153,0)),"")</f>
        <v>1, 14</v>
      </c>
      <c r="K26" s="35" t="str">
        <f>IFERROR(INDEX($AA$4:$AA$153,MATCH(ROWS($A$4:A26),$AF$4:$AF$153,0)),"")</f>
        <v>13</v>
      </c>
      <c r="L26" s="35" t="str">
        <f>IFERROR(INDEX($AB$4:$AB$153,MATCH(ROWS($A$4:A26),$AF$4:$AF$153,0)),"")</f>
        <v/>
      </c>
      <c r="M26" s="35" t="str">
        <f>IFERROR(INDEX($AC$4:$AC$153,MATCH(ROWS($A$4:A26),$AF$4:$AF$153,0)),"")</f>
        <v/>
      </c>
      <c r="N26" s="35">
        <f>IFERROR(INDEX($AD$4:$AD$153,MATCH(ROWS($A$4:A26),$AF$4:$AF$153,0)),"")</f>
        <v>4</v>
      </c>
      <c r="Q26" t="str">
        <f>T(JAN!B28)</f>
        <v>DENIS GABRIEL 37002145</v>
      </c>
      <c r="R26" t="str">
        <f t="array" ref="R26">IF($Q26="","",_xlfn.TEXTJOIN(", ",TRUE,IF(JAN!$G28:$AK28="FL",JAN!$G$4:$AK$4,"")))</f>
        <v/>
      </c>
      <c r="S26" t="str">
        <f t="array" ref="S26">IF($Q26="","",_xlfn.TEXTJOIN(", ",TRUE,IF(FEV!$G28:$AK28="FL",FEV!$G$4:$AK$4,"")))</f>
        <v/>
      </c>
      <c r="T26" t="str">
        <f t="array" ref="T26">IF($Q26="","",_xlfn.TEXTJOIN(", ",TRUE,IF(MAR!$G28:$AK28="FL",MAR!$G$4:$AK$4,"")))</f>
        <v/>
      </c>
      <c r="U26" t="str">
        <f t="array" ref="U26">IF($Q26="","",_xlfn.TEXTJOIN(", ",TRUE,IF(ABR!$G28:$AK28="FL",ABR!$G$4:$AK$4,"")))</f>
        <v/>
      </c>
      <c r="V26" t="str">
        <f t="array" ref="V26">IF($Q26="","",_xlfn.TEXTJOIN(", ",TRUE,IF(MAI!$G28:$AK28="FL",MAI!$G$4:$AK$4,"")))</f>
        <v/>
      </c>
      <c r="W26" t="str">
        <f t="array" ref="W26">IF($Q26="","",_xlfn.TEXTJOIN(", ",TRUE,IF(JUN!$G28:$AK28="FL",JUN!$G$4:$AK$4,"")))</f>
        <v/>
      </c>
      <c r="X26" t="str">
        <f t="array" ref="X26">IF($Q26="","",_xlfn.TEXTJOIN(", ",TRUE,IF(JUL!$G28:$AK28="FL",JUL!$G$4:$AK$4,"")))</f>
        <v/>
      </c>
      <c r="Y26" t="str">
        <f t="array" ref="Y26">IF($Q26="","",_xlfn.TEXTJOIN(", ",TRUE,IF(AGO!$G28:$AK28="FL",AGO!$G$4:$AK$4,"")))</f>
        <v/>
      </c>
      <c r="Z26" t="str">
        <f t="array" ref="Z26">IF($Q26="","",_xlfn.TEXTJOIN(", ",TRUE,IF(SET!$G28:$AK28="FL",SET!$G$4:$AK$4,"")))</f>
        <v/>
      </c>
      <c r="AA26" t="str">
        <f t="array" ref="AA26">IF($Q26="","",_xlfn.TEXTJOIN(", ",TRUE,IF(OUT!$G28:$AK28="FL",OUT!$G$4:$AK$4,"")))</f>
        <v>5</v>
      </c>
      <c r="AB26" t="str">
        <f t="array" ref="AB26">IF($Q26="","",_xlfn.TEXTJOIN(", ",TRUE,IF(NOV!$G28:$AK28="FL",NOV!$G$4:$AK$4,"")))</f>
        <v/>
      </c>
      <c r="AC26" t="str">
        <f t="array" ref="AC26">IF($Q26="","",_xlfn.TEXTJOIN(", ",TRUE,IF(DEZ!$G28:$AK28="FL",DEZ!$G$4:$AK$4,"")))</f>
        <v/>
      </c>
      <c r="AD26">
        <f>IF($Q26="","",COUNTIF(JAN!$G28:$AK28,"FL")+COUNTIF(FEV!$G28:$AK28,"FL")+COUNTIF(MAR!$G28:$AK28,"FL")+COUNTIF(ABR!$G28:$AK28,"FL")+COUNTIF(MAI!$G28:$AK28,"FL")+COUNTIF(JUN!$G28:$AK28,"FL")+COUNTIF(JUL!$G28:$AK28,"FL")+COUNTIF(AGO!$G28:$AK28,"FL")+COUNTIF(SET!$G28:$AK28,"FL")+COUNTIF(OUT!$G28:$AK28,"FL")+COUNTIF(NOV!$G28:$AK28,"FL")+COUNTIF(DEZ!$G28:$AK28,"FL"))</f>
        <v>1</v>
      </c>
      <c r="AF26">
        <f>IF(AND($Q26&lt;&gt;"",N($AD26)&gt;0),COUNT($AF$3:AF25)+1,"")</f>
        <v>15</v>
      </c>
    </row>
    <row r="27" spans="1:32" ht="20.100000000000001" customHeight="1" x14ac:dyDescent="0.25">
      <c r="A27" s="35" t="str">
        <f>IFERROR(INDEX($Q$4:$Q$153,MATCH(ROWS($A$4:A27),$AF$4:$AF$153,0)),"")</f>
        <v>STEFAN KOVALICK 310001</v>
      </c>
      <c r="B27" s="35" t="str">
        <f>IFERROR(INDEX($R$4:$R$153,MATCH(ROWS($A$4:A27),$AF$4:$AF$153,0)),"")</f>
        <v/>
      </c>
      <c r="C27" s="35" t="str">
        <f>IFERROR(INDEX($S$4:$S$153,MATCH(ROWS($A$4:A27),$AF$4:$AF$153,0)),"")</f>
        <v/>
      </c>
      <c r="D27" s="35" t="str">
        <f>IFERROR(INDEX($T$4:$T$153,MATCH(ROWS($A$4:A27),$AF$4:$AF$153,0)),"")</f>
        <v/>
      </c>
      <c r="E27" s="35" t="str">
        <f>IFERROR(INDEX($U$4:$U$153,MATCH(ROWS($A$4:A27),$AF$4:$AF$153,0)),"")</f>
        <v/>
      </c>
      <c r="F27" s="35" t="str">
        <f>IFERROR(INDEX($V$4:$V$153,MATCH(ROWS($A$4:A27),$AF$4:$AF$153,0)),"")</f>
        <v/>
      </c>
      <c r="G27" s="35" t="str">
        <f>IFERROR(INDEX($W$4:$W$153,MATCH(ROWS($A$4:A27),$AF$4:$AF$153,0)),"")</f>
        <v/>
      </c>
      <c r="H27" s="35" t="str">
        <f>IFERROR(INDEX($X$4:$X$153,MATCH(ROWS($A$4:A27),$AF$4:$AF$153,0)),"")</f>
        <v/>
      </c>
      <c r="I27" s="72" t="str">
        <f>IFERROR(INDEX($Y$4:$Y$153,MATCH(ROWS($A$4:A27),$AF$4:$AF$153,0)),"")</f>
        <v/>
      </c>
      <c r="J27" s="35" t="str">
        <f>IFERROR(INDEX($Z$4:$Z$153,MATCH(ROWS($A$4:A27),$AF$4:$AF$153,0)),"")</f>
        <v>28</v>
      </c>
      <c r="K27" s="35" t="str">
        <f>IFERROR(INDEX($AA$4:$AA$153,MATCH(ROWS($A$4:A27),$AF$4:$AF$153,0)),"")</f>
        <v>5</v>
      </c>
      <c r="L27" s="35" t="str">
        <f>IFERROR(INDEX($AB$4:$AB$153,MATCH(ROWS($A$4:A27),$AF$4:$AF$153,0)),"")</f>
        <v/>
      </c>
      <c r="M27" s="35" t="str">
        <f>IFERROR(INDEX($AC$4:$AC$153,MATCH(ROWS($A$4:A27),$AF$4:$AF$153,0)),"")</f>
        <v/>
      </c>
      <c r="N27" s="35">
        <f>IFERROR(INDEX($AD$4:$AD$153,MATCH(ROWS($A$4:A27),$AF$4:$AF$153,0)),"")</f>
        <v>2</v>
      </c>
      <c r="Q27" t="str">
        <f>T(JAN!B29)</f>
        <v>DIEGO DIETRICH 352801</v>
      </c>
      <c r="R27" t="str">
        <f t="array" ref="R27">IF($Q27="","",_xlfn.TEXTJOIN(", ",TRUE,IF(JAN!$G29:$AK29="FL",JAN!$G$4:$AK$4,"")))</f>
        <v/>
      </c>
      <c r="S27" t="str">
        <f t="array" ref="S27">IF($Q27="","",_xlfn.TEXTJOIN(", ",TRUE,IF(FEV!$G29:$AK29="FL",FEV!$G$4:$AK$4,"")))</f>
        <v/>
      </c>
      <c r="T27" t="str">
        <f t="array" ref="T27">IF($Q27="","",_xlfn.TEXTJOIN(", ",TRUE,IF(MAR!$G29:$AK29="FL",MAR!$G$4:$AK$4,"")))</f>
        <v/>
      </c>
      <c r="U27" t="str">
        <f t="array" ref="U27">IF($Q27="","",_xlfn.TEXTJOIN(", ",TRUE,IF(ABR!$G29:$AK29="FL",ABR!$G$4:$AK$4,"")))</f>
        <v/>
      </c>
      <c r="V27" t="str">
        <f t="array" ref="V27">IF($Q27="","",_xlfn.TEXTJOIN(", ",TRUE,IF(MAI!$G29:$AK29="FL",MAI!$G$4:$AK$4,"")))</f>
        <v/>
      </c>
      <c r="W27" t="str">
        <f t="array" ref="W27">IF($Q27="","",_xlfn.TEXTJOIN(", ",TRUE,IF(JUN!$G29:$AK29="FL",JUN!$G$4:$AK$4,"")))</f>
        <v/>
      </c>
      <c r="X27" t="str">
        <f t="array" ref="X27">IF($Q27="","",_xlfn.TEXTJOIN(", ",TRUE,IF(JUL!$G29:$AK29="FL",JUL!$G$4:$AK$4,"")))</f>
        <v/>
      </c>
      <c r="Y27" t="str">
        <f t="array" ref="Y27">IF($Q27="","",_xlfn.TEXTJOIN(", ",TRUE,IF(AGO!$G29:$AK29="FL",AGO!$G$4:$AK$4,"")))</f>
        <v/>
      </c>
      <c r="Z27" t="str">
        <f t="array" ref="Z27">IF($Q27="","",_xlfn.TEXTJOIN(", ",TRUE,IF(SET!$G29:$AK29="FL",SET!$G$4:$AK$4,"")))</f>
        <v/>
      </c>
      <c r="AA27" t="str">
        <f t="array" ref="AA27">IF($Q27="","",_xlfn.TEXTJOIN(", ",TRUE,IF(OUT!$G29:$AK29="FL",OUT!$G$4:$AK$4,"")))</f>
        <v/>
      </c>
      <c r="AB27" t="str">
        <f t="array" ref="AB27">IF($Q27="","",_xlfn.TEXTJOIN(", ",TRUE,IF(NOV!$G29:$AK29="FL",NOV!$G$4:$AK$4,"")))</f>
        <v/>
      </c>
      <c r="AC27" t="str">
        <f t="array" ref="AC27">IF($Q27="","",_xlfn.TEXTJOIN(", ",TRUE,IF(DEZ!$G29:$AK29="FL",DEZ!$G$4:$AK$4,"")))</f>
        <v/>
      </c>
      <c r="AD27">
        <f>IF($Q27="","",COUNTIF(JAN!$G29:$AK29,"FL")+COUNTIF(FEV!$G29:$AK29,"FL")+COUNTIF(MAR!$G29:$AK29,"FL")+COUNTIF(ABR!$G29:$AK29,"FL")+COUNTIF(MAI!$G29:$AK29,"FL")+COUNTIF(JUN!$G29:$AK29,"FL")+COUNTIF(JUL!$G29:$AK29,"FL")+COUNTIF(AGO!$G29:$AK29,"FL")+COUNTIF(SET!$G29:$AK29,"FL")+COUNTIF(OUT!$G29:$AK29,"FL")+COUNTIF(NOV!$G29:$AK29,"FL")+COUNTIF(DEZ!$G29:$AK29,"FL"))</f>
        <v>0</v>
      </c>
      <c r="AF27" t="str">
        <f>IF(AND($Q27&lt;&gt;"",N($AD27)&gt;0),COUNT($AF$3:AF26)+1,"")</f>
        <v/>
      </c>
    </row>
    <row r="28" spans="1:32" ht="20.100000000000001" customHeight="1" x14ac:dyDescent="0.25">
      <c r="A28" s="35" t="str">
        <f>IFERROR(INDEX($Q$4:$Q$153,MATCH(ROWS($A$4:A28),$AF$4:$AF$153,0)),"")</f>
        <v>ALEXANDRE ARAUJO 346001</v>
      </c>
      <c r="B28" s="35" t="str">
        <f>IFERROR(INDEX($R$4:$R$153,MATCH(ROWS($A$4:A28),$AF$4:$AF$153,0)),"")</f>
        <v/>
      </c>
      <c r="C28" s="35" t="str">
        <f>IFERROR(INDEX($S$4:$S$153,MATCH(ROWS($A$4:A28),$AF$4:$AF$153,0)),"")</f>
        <v/>
      </c>
      <c r="D28" s="35" t="str">
        <f>IFERROR(INDEX($T$4:$T$153,MATCH(ROWS($A$4:A28),$AF$4:$AF$153,0)),"")</f>
        <v/>
      </c>
      <c r="E28" s="35" t="str">
        <f>IFERROR(INDEX($U$4:$U$153,MATCH(ROWS($A$4:A28),$AF$4:$AF$153,0)),"")</f>
        <v/>
      </c>
      <c r="F28" s="35" t="str">
        <f>IFERROR(INDEX($V$4:$V$153,MATCH(ROWS($A$4:A28),$AF$4:$AF$153,0)),"")</f>
        <v/>
      </c>
      <c r="G28" s="35" t="str">
        <f>IFERROR(INDEX($W$4:$W$153,MATCH(ROWS($A$4:A28),$AF$4:$AF$153,0)),"")</f>
        <v/>
      </c>
      <c r="H28" s="35" t="str">
        <f>IFERROR(INDEX($X$4:$X$153,MATCH(ROWS($A$4:A28),$AF$4:$AF$153,0)),"")</f>
        <v/>
      </c>
      <c r="I28" s="72" t="str">
        <f>IFERROR(INDEX($Y$4:$Y$153,MATCH(ROWS($A$4:A28),$AF$4:$AF$153,0)),"")</f>
        <v>7</v>
      </c>
      <c r="J28" s="35" t="str">
        <f>IFERROR(INDEX($Z$4:$Z$153,MATCH(ROWS($A$4:A28),$AF$4:$AF$153,0)),"")</f>
        <v/>
      </c>
      <c r="K28" s="35" t="str">
        <f>IFERROR(INDEX($AA$4:$AA$153,MATCH(ROWS($A$4:A28),$AF$4:$AF$153,0)),"")</f>
        <v>5</v>
      </c>
      <c r="L28" s="35" t="str">
        <f>IFERROR(INDEX($AB$4:$AB$153,MATCH(ROWS($A$4:A28),$AF$4:$AF$153,0)),"")</f>
        <v/>
      </c>
      <c r="M28" s="35" t="str">
        <f>IFERROR(INDEX($AC$4:$AC$153,MATCH(ROWS($A$4:A28),$AF$4:$AF$153,0)),"")</f>
        <v/>
      </c>
      <c r="N28" s="35">
        <f>IFERROR(INDEX($AD$4:$AD$153,MATCH(ROWS($A$4:A28),$AF$4:$AF$153,0)),"")</f>
        <v>2</v>
      </c>
      <c r="Q28" t="str">
        <f>T(JAN!B30)</f>
        <v>MARCELOS DORNELLES 37002274</v>
      </c>
      <c r="R28" t="str">
        <f t="array" ref="R28">IF($Q28="","",_xlfn.TEXTJOIN(", ",TRUE,IF(JAN!$G30:$AK30="FL",JAN!$G$4:$AK$4,"")))</f>
        <v/>
      </c>
      <c r="S28" t="str">
        <f t="array" ref="S28">IF($Q28="","",_xlfn.TEXTJOIN(", ",TRUE,IF(FEV!$G30:$AK30="FL",FEV!$G$4:$AK$4,"")))</f>
        <v/>
      </c>
      <c r="T28" t="str">
        <f t="array" ref="T28">IF($Q28="","",_xlfn.TEXTJOIN(", ",TRUE,IF(MAR!$G30:$AK30="FL",MAR!$G$4:$AK$4,"")))</f>
        <v/>
      </c>
      <c r="U28" t="str">
        <f t="array" ref="U28">IF($Q28="","",_xlfn.TEXTJOIN(", ",TRUE,IF(ABR!$G30:$AK30="FL",ABR!$G$4:$AK$4,"")))</f>
        <v/>
      </c>
      <c r="V28" t="str">
        <f t="array" ref="V28">IF($Q28="","",_xlfn.TEXTJOIN(", ",TRUE,IF(MAI!$G30:$AK30="FL",MAI!$G$4:$AK$4,"")))</f>
        <v/>
      </c>
      <c r="W28" t="str">
        <f t="array" ref="W28">IF($Q28="","",_xlfn.TEXTJOIN(", ",TRUE,IF(JUN!$G30:$AK30="FL",JUN!$G$4:$AK$4,"")))</f>
        <v/>
      </c>
      <c r="X28" t="str">
        <f t="array" ref="X28">IF($Q28="","",_xlfn.TEXTJOIN(", ",TRUE,IF(JUL!$G30:$AK30="FL",JUL!$G$4:$AK$4,"")))</f>
        <v/>
      </c>
      <c r="Y28" t="str">
        <f t="array" ref="Y28">IF($Q28="","",_xlfn.TEXTJOIN(", ",TRUE,IF(AGO!$G30:$AK30="FL",AGO!$G$4:$AK$4,"")))</f>
        <v/>
      </c>
      <c r="Z28" t="str">
        <f t="array" ref="Z28">IF($Q28="","",_xlfn.TEXTJOIN(", ",TRUE,IF(SET!$G30:$AK30="FL",SET!$G$4:$AK$4,"")))</f>
        <v/>
      </c>
      <c r="AA28" t="str">
        <f t="array" ref="AA28">IF($Q28="","",_xlfn.TEXTJOIN(", ",TRUE,IF(OUT!$G30:$AK30="FL",OUT!$G$4:$AK$4,"")))</f>
        <v/>
      </c>
      <c r="AB28" t="str">
        <f t="array" ref="AB28">IF($Q28="","",_xlfn.TEXTJOIN(", ",TRUE,IF(NOV!$G30:$AK30="FL",NOV!$G$4:$AK$4,"")))</f>
        <v/>
      </c>
      <c r="AC28" t="str">
        <f t="array" ref="AC28">IF($Q28="","",_xlfn.TEXTJOIN(", ",TRUE,IF(DEZ!$G30:$AK30="FL",DEZ!$G$4:$AK$4,"")))</f>
        <v/>
      </c>
      <c r="AD28">
        <f>IF($Q28="","",COUNTIF(JAN!$G30:$AK30,"FL")+COUNTIF(FEV!$G30:$AK30,"FL")+COUNTIF(MAR!$G30:$AK30,"FL")+COUNTIF(ABR!$G30:$AK30,"FL")+COUNTIF(MAI!$G30:$AK30,"FL")+COUNTIF(JUN!$G30:$AK30,"FL")+COUNTIF(JUL!$G30:$AK30,"FL")+COUNTIF(AGO!$G30:$AK30,"FL")+COUNTIF(SET!$G30:$AK30,"FL")+COUNTIF(OUT!$G30:$AK30,"FL")+COUNTIF(NOV!$G30:$AK30,"FL")+COUNTIF(DEZ!$G30:$AK30,"FL"))</f>
        <v>0</v>
      </c>
      <c r="AF28" t="str">
        <f>IF(AND($Q28&lt;&gt;"",N($AD28)&gt;0),COUNT($AF$3:AF27)+1,"")</f>
        <v/>
      </c>
    </row>
    <row r="29" spans="1:32" ht="20.100000000000001" customHeight="1" x14ac:dyDescent="0.25">
      <c r="A29" s="35" t="str">
        <f>IFERROR(INDEX($Q$4:$Q$153,MATCH(ROWS($A$4:A29),$AF$4:$AF$153,0)),"")</f>
        <v>FABIANO BORGES 128901</v>
      </c>
      <c r="B29" s="35" t="str">
        <f>IFERROR(INDEX($R$4:$R$153,MATCH(ROWS($A$4:A29),$AF$4:$AF$153,0)),"")</f>
        <v/>
      </c>
      <c r="C29" s="35" t="str">
        <f>IFERROR(INDEX($S$4:$S$153,MATCH(ROWS($A$4:A29),$AF$4:$AF$153,0)),"")</f>
        <v/>
      </c>
      <c r="D29" s="35" t="str">
        <f>IFERROR(INDEX($T$4:$T$153,MATCH(ROWS($A$4:A29),$AF$4:$AF$153,0)),"")</f>
        <v/>
      </c>
      <c r="E29" s="35" t="str">
        <f>IFERROR(INDEX($U$4:$U$153,MATCH(ROWS($A$4:A29),$AF$4:$AF$153,0)),"")</f>
        <v/>
      </c>
      <c r="F29" s="35" t="str">
        <f>IFERROR(INDEX($V$4:$V$153,MATCH(ROWS($A$4:A29),$AF$4:$AF$153,0)),"")</f>
        <v/>
      </c>
      <c r="G29" s="35" t="str">
        <f>IFERROR(INDEX($W$4:$W$153,MATCH(ROWS($A$4:A29),$AF$4:$AF$153,0)),"")</f>
        <v/>
      </c>
      <c r="H29" s="35" t="str">
        <f>IFERROR(INDEX($X$4:$X$153,MATCH(ROWS($A$4:A29),$AF$4:$AF$153,0)),"")</f>
        <v/>
      </c>
      <c r="I29" s="72" t="str">
        <f>IFERROR(INDEX($Y$4:$Y$153,MATCH(ROWS($A$4:A29),$AF$4:$AF$153,0)),"")</f>
        <v>26</v>
      </c>
      <c r="J29" s="35" t="str">
        <f>IFERROR(INDEX($Z$4:$Z$153,MATCH(ROWS($A$4:A29),$AF$4:$AF$153,0)),"")</f>
        <v>14, 15</v>
      </c>
      <c r="K29" s="35" t="str">
        <f>IFERROR(INDEX($AA$4:$AA$153,MATCH(ROWS($A$4:A29),$AF$4:$AF$153,0)),"")</f>
        <v/>
      </c>
      <c r="L29" s="35" t="str">
        <f>IFERROR(INDEX($AB$4:$AB$153,MATCH(ROWS($A$4:A29),$AF$4:$AF$153,0)),"")</f>
        <v/>
      </c>
      <c r="M29" s="35" t="str">
        <f>IFERROR(INDEX($AC$4:$AC$153,MATCH(ROWS($A$4:A29),$AF$4:$AF$153,0)),"")</f>
        <v/>
      </c>
      <c r="N29" s="35">
        <f>IFERROR(INDEX($AD$4:$AD$153,MATCH(ROWS($A$4:A29),$AF$4:$AF$153,0)),"")</f>
        <v>3</v>
      </c>
      <c r="Q29" t="str">
        <f>T(JAN!B31)</f>
        <v>ALEXANDRE NUNES 461301</v>
      </c>
      <c r="R29" t="str">
        <f t="array" ref="R29">IF($Q29="","",_xlfn.TEXTJOIN(", ",TRUE,IF(JAN!$G31:$AK31="FL",JAN!$G$4:$AK$4,"")))</f>
        <v/>
      </c>
      <c r="S29" t="str">
        <f t="array" ref="S29">IF($Q29="","",_xlfn.TEXTJOIN(", ",TRUE,IF(FEV!$G31:$AK31="FL",FEV!$G$4:$AK$4,"")))</f>
        <v/>
      </c>
      <c r="T29" t="str">
        <f t="array" ref="T29">IF($Q29="","",_xlfn.TEXTJOIN(", ",TRUE,IF(MAR!$G31:$AK31="FL",MAR!$G$4:$AK$4,"")))</f>
        <v/>
      </c>
      <c r="U29" t="str">
        <f t="array" ref="U29">IF($Q29="","",_xlfn.TEXTJOIN(", ",TRUE,IF(ABR!$G31:$AK31="FL",ABR!$G$4:$AK$4,"")))</f>
        <v/>
      </c>
      <c r="V29" t="str">
        <f t="array" ref="V29">IF($Q29="","",_xlfn.TEXTJOIN(", ",TRUE,IF(MAI!$G31:$AK31="FL",MAI!$G$4:$AK$4,"")))</f>
        <v/>
      </c>
      <c r="W29" t="str">
        <f t="array" ref="W29">IF($Q29="","",_xlfn.TEXTJOIN(", ",TRUE,IF(JUN!$G31:$AK31="FL",JUN!$G$4:$AK$4,"")))</f>
        <v/>
      </c>
      <c r="X29" t="str">
        <f t="array" ref="X29">IF($Q29="","",_xlfn.TEXTJOIN(", ",TRUE,IF(JUL!$G31:$AK31="FL",JUL!$G$4:$AK$4,"")))</f>
        <v>29</v>
      </c>
      <c r="Y29" t="str">
        <f t="array" ref="Y29">IF($Q29="","",_xlfn.TEXTJOIN(", ",TRUE,IF(AGO!$G31:$AK31="FL",AGO!$G$4:$AK$4,"")))</f>
        <v/>
      </c>
      <c r="Z29" t="str">
        <f t="array" ref="Z29">IF($Q29="","",_xlfn.TEXTJOIN(", ",TRUE,IF(SET!$G31:$AK31="FL",SET!$G$4:$AK$4,"")))</f>
        <v/>
      </c>
      <c r="AA29" t="str">
        <f t="array" ref="AA29">IF($Q29="","",_xlfn.TEXTJOIN(", ",TRUE,IF(OUT!$G31:$AK31="FL",OUT!$G$4:$AK$4,"")))</f>
        <v/>
      </c>
      <c r="AB29" t="str">
        <f t="array" ref="AB29">IF($Q29="","",_xlfn.TEXTJOIN(", ",TRUE,IF(NOV!$G31:$AK31="FL",NOV!$G$4:$AK$4,"")))</f>
        <v/>
      </c>
      <c r="AC29" t="str">
        <f t="array" ref="AC29">IF($Q29="","",_xlfn.TEXTJOIN(", ",TRUE,IF(DEZ!$G31:$AK31="FL",DEZ!$G$4:$AK$4,"")))</f>
        <v/>
      </c>
      <c r="AD29">
        <f>IF($Q29="","",COUNTIF(JAN!$G31:$AK31,"FL")+COUNTIF(FEV!$G31:$AK31,"FL")+COUNTIF(MAR!$G31:$AK31,"FL")+COUNTIF(ABR!$G31:$AK31,"FL")+COUNTIF(MAI!$G31:$AK31,"FL")+COUNTIF(JUN!$G31:$AK31,"FL")+COUNTIF(JUL!$G31:$AK31,"FL")+COUNTIF(AGO!$G31:$AK31,"FL")+COUNTIF(SET!$G31:$AK31,"FL")+COUNTIF(OUT!$G31:$AK31,"FL")+COUNTIF(NOV!$G31:$AK31,"FL")+COUNTIF(DEZ!$G31:$AK31,"FL"))</f>
        <v>1</v>
      </c>
      <c r="AF29">
        <f>IF(AND($Q29&lt;&gt;"",N($AD29)&gt;0),COUNT($AF$3:AF28)+1,"")</f>
        <v>16</v>
      </c>
    </row>
    <row r="30" spans="1:32" hidden="1" outlineLevel="1" x14ac:dyDescent="0.25">
      <c r="A30" s="35" t="str">
        <f>IFERROR(INDEX($Q$4:$Q$153,MATCH(ROWS($A$4:A30),$AF$4:$AF$153,0)),"")</f>
        <v>LAUTIER ALMEIDA 317501</v>
      </c>
      <c r="B30" s="35" t="str">
        <f>IFERROR(INDEX($R$4:$R$153,MATCH(ROWS($A$4:A30),$AF$4:$AF$153,0)),"")</f>
        <v/>
      </c>
      <c r="C30" s="35" t="str">
        <f>IFERROR(INDEX($S$4:$S$153,MATCH(ROWS($A$4:A30),$AF$4:$AF$153,0)),"")</f>
        <v/>
      </c>
      <c r="D30" s="35" t="str">
        <f>IFERROR(INDEX($T$4:$T$153,MATCH(ROWS($A$4:A30),$AF$4:$AF$153,0)),"")</f>
        <v/>
      </c>
      <c r="E30" s="35" t="str">
        <f>IFERROR(INDEX($U$4:$U$153,MATCH(ROWS($A$4:A30),$AF$4:$AF$153,0)),"")</f>
        <v/>
      </c>
      <c r="F30" s="35" t="str">
        <f>IFERROR(INDEX($V$4:$V$153,MATCH(ROWS($A$4:A30),$AF$4:$AF$153,0)),"")</f>
        <v/>
      </c>
      <c r="G30" s="35" t="str">
        <f>IFERROR(INDEX($W$4:$W$153,MATCH(ROWS($A$4:A30),$AF$4:$AF$153,0)),"")</f>
        <v/>
      </c>
      <c r="H30" s="35" t="str">
        <f>IFERROR(INDEX($X$4:$X$153,MATCH(ROWS($A$4:A30),$AF$4:$AF$153,0)),"")</f>
        <v/>
      </c>
      <c r="I30" s="72" t="str">
        <f>IFERROR(INDEX($Y$4:$Y$153,MATCH(ROWS($A$4:A30),$AF$4:$AF$153,0)),"")</f>
        <v/>
      </c>
      <c r="J30" s="35" t="str">
        <f>IFERROR(INDEX($Z$4:$Z$153,MATCH(ROWS($A$4:A30),$AF$4:$AF$153,0)),"")</f>
        <v>5, 22</v>
      </c>
      <c r="K30" s="35" t="str">
        <f>IFERROR(INDEX($AA$4:$AA$153,MATCH(ROWS($A$4:A30),$AF$4:$AF$153,0)),"")</f>
        <v/>
      </c>
      <c r="L30" s="35" t="str">
        <f>IFERROR(INDEX($AB$4:$AB$153,MATCH(ROWS($A$4:A30),$AF$4:$AF$153,0)),"")</f>
        <v/>
      </c>
      <c r="M30" s="35" t="str">
        <f>IFERROR(INDEX($AC$4:$AC$153,MATCH(ROWS($A$4:A30),$AF$4:$AF$153,0)),"")</f>
        <v/>
      </c>
      <c r="N30" s="35">
        <f>IFERROR(INDEX($AD$4:$AD$153,MATCH(ROWS($A$4:A30),$AF$4:$AF$153,0)),"")</f>
        <v>2</v>
      </c>
      <c r="Q30" t="str">
        <f>T(JAN!B32)</f>
        <v>DIGO GRAZCKI 37002136</v>
      </c>
      <c r="R30" t="str">
        <f t="array" ref="R30">IF($Q30="","",_xlfn.TEXTJOIN(", ",TRUE,IF(JAN!$G32:$AK32="FL",JAN!$G$4:$AK$4,"")))</f>
        <v/>
      </c>
      <c r="S30" t="str">
        <f t="array" ref="S30">IF($Q30="","",_xlfn.TEXTJOIN(", ",TRUE,IF(FEV!$G32:$AK32="FL",FEV!$G$4:$AK$4,"")))</f>
        <v/>
      </c>
      <c r="T30" t="str">
        <f t="array" ref="T30">IF($Q30="","",_xlfn.TEXTJOIN(", ",TRUE,IF(MAR!$G32:$AK32="FL",MAR!$G$4:$AK$4,"")))</f>
        <v/>
      </c>
      <c r="U30" t="str">
        <f t="array" ref="U30">IF($Q30="","",_xlfn.TEXTJOIN(", ",TRUE,IF(ABR!$G32:$AK32="FL",ABR!$G$4:$AK$4,"")))</f>
        <v/>
      </c>
      <c r="V30" t="str">
        <f t="array" ref="V30">IF($Q30="","",_xlfn.TEXTJOIN(", ",TRUE,IF(MAI!$G32:$AK32="FL",MAI!$G$4:$AK$4,"")))</f>
        <v/>
      </c>
      <c r="W30" t="str">
        <f t="array" ref="W30">IF($Q30="","",_xlfn.TEXTJOIN(", ",TRUE,IF(JUN!$G32:$AK32="FL",JUN!$G$4:$AK$4,"")))</f>
        <v/>
      </c>
      <c r="X30" t="str">
        <f t="array" ref="X30">IF($Q30="","",_xlfn.TEXTJOIN(", ",TRUE,IF(JUL!$G32:$AK32="FL",JUL!$G$4:$AK$4,"")))</f>
        <v>29, 30</v>
      </c>
      <c r="Y30" t="str">
        <f t="array" ref="Y30">IF($Q30="","",_xlfn.TEXTJOIN(", ",TRUE,IF(AGO!$G32:$AK32="FL",AGO!$G$4:$AK$4,"")))</f>
        <v>3, 21</v>
      </c>
      <c r="Z30" t="str">
        <f t="array" ref="Z30">IF($Q30="","",_xlfn.TEXTJOIN(", ",TRUE,IF(SET!$G32:$AK32="FL",SET!$G$4:$AK$4,"")))</f>
        <v/>
      </c>
      <c r="AA30" t="str">
        <f t="array" ref="AA30">IF($Q30="","",_xlfn.TEXTJOIN(", ",TRUE,IF(OUT!$G32:$AK32="FL",OUT!$G$4:$AK$4,"")))</f>
        <v/>
      </c>
      <c r="AB30" t="str">
        <f t="array" ref="AB30">IF($Q30="","",_xlfn.TEXTJOIN(", ",TRUE,IF(NOV!$G32:$AK32="FL",NOV!$G$4:$AK$4,"")))</f>
        <v/>
      </c>
      <c r="AC30" t="str">
        <f t="array" ref="AC30">IF($Q30="","",_xlfn.TEXTJOIN(", ",TRUE,IF(DEZ!$G32:$AK32="FL",DEZ!$G$4:$AK$4,"")))</f>
        <v/>
      </c>
      <c r="AD30">
        <f>IF($Q30="","",COUNTIF(JAN!$G32:$AK32,"FL")+COUNTIF(FEV!$G32:$AK32,"FL")+COUNTIF(MAR!$G32:$AK32,"FL")+COUNTIF(ABR!$G32:$AK32,"FL")+COUNTIF(MAI!$G32:$AK32,"FL")+COUNTIF(JUN!$G32:$AK32,"FL")+COUNTIF(JUL!$G32:$AK32,"FL")+COUNTIF(AGO!$G32:$AK32,"FL")+COUNTIF(SET!$G32:$AK32,"FL")+COUNTIF(OUT!$G32:$AK32,"FL")+COUNTIF(NOV!$G32:$AK32,"FL")+COUNTIF(DEZ!$G32:$AK32,"FL"))</f>
        <v>4</v>
      </c>
      <c r="AF30">
        <f>IF(AND($Q30&lt;&gt;"",N($AD30)&gt;0),COUNT($AF$3:AF29)+1,"")</f>
        <v>17</v>
      </c>
    </row>
    <row r="31" spans="1:32" hidden="1" outlineLevel="1" x14ac:dyDescent="0.25">
      <c r="A31" s="35" t="str">
        <f>IFERROR(INDEX($Q$4:$Q$153,MATCH(ROWS($A$4:A31),$AF$4:$AF$153,0)),"")</f>
        <v>EDER MONTICELLI 318101</v>
      </c>
      <c r="B31" s="35" t="str">
        <f>IFERROR(INDEX($R$4:$R$153,MATCH(ROWS($A$4:A31),$AF$4:$AF$153,0)),"")</f>
        <v/>
      </c>
      <c r="C31" s="35" t="str">
        <f>IFERROR(INDEX($S$4:$S$153,MATCH(ROWS($A$4:A31),$AF$4:$AF$153,0)),"")</f>
        <v/>
      </c>
      <c r="D31" s="35" t="str">
        <f>IFERROR(INDEX($T$4:$T$153,MATCH(ROWS($A$4:A31),$AF$4:$AF$153,0)),"")</f>
        <v/>
      </c>
      <c r="E31" s="35" t="str">
        <f>IFERROR(INDEX($U$4:$U$153,MATCH(ROWS($A$4:A31),$AF$4:$AF$153,0)),"")</f>
        <v/>
      </c>
      <c r="F31" s="35" t="str">
        <f>IFERROR(INDEX($V$4:$V$153,MATCH(ROWS($A$4:A31),$AF$4:$AF$153,0)),"")</f>
        <v/>
      </c>
      <c r="G31" s="35" t="str">
        <f>IFERROR(INDEX($W$4:$W$153,MATCH(ROWS($A$4:A31),$AF$4:$AF$153,0)),"")</f>
        <v/>
      </c>
      <c r="H31" s="35" t="str">
        <f>IFERROR(INDEX($X$4:$X$153,MATCH(ROWS($A$4:A31),$AF$4:$AF$153,0)),"")</f>
        <v/>
      </c>
      <c r="I31" s="72" t="str">
        <f>IFERROR(INDEX($Y$4:$Y$153,MATCH(ROWS($A$4:A31),$AF$4:$AF$153,0)),"")</f>
        <v/>
      </c>
      <c r="J31" s="35" t="str">
        <f>IFERROR(INDEX($Z$4:$Z$153,MATCH(ROWS($A$4:A31),$AF$4:$AF$153,0)),"")</f>
        <v>12</v>
      </c>
      <c r="K31" s="35" t="str">
        <f>IFERROR(INDEX($AA$4:$AA$153,MATCH(ROWS($A$4:A31),$AF$4:$AF$153,0)),"")</f>
        <v>5</v>
      </c>
      <c r="L31" s="35" t="str">
        <f>IFERROR(INDEX($AB$4:$AB$153,MATCH(ROWS($A$4:A31),$AF$4:$AF$153,0)),"")</f>
        <v/>
      </c>
      <c r="M31" s="35" t="str">
        <f>IFERROR(INDEX($AC$4:$AC$153,MATCH(ROWS($A$4:A31),$AF$4:$AF$153,0)),"")</f>
        <v/>
      </c>
      <c r="N31" s="35">
        <f>IFERROR(INDEX($AD$4:$AD$153,MATCH(ROWS($A$4:A31),$AF$4:$AF$153,0)),"")</f>
        <v>2</v>
      </c>
      <c r="Q31" t="str">
        <f>T(JAN!B33)</f>
        <v>CHARLES SCOT 310301</v>
      </c>
      <c r="R31" t="str">
        <f t="array" ref="R31">IF($Q31="","",_xlfn.TEXTJOIN(", ",TRUE,IF(JAN!$G33:$AK33="FL",JAN!$G$4:$AK$4,"")))</f>
        <v/>
      </c>
      <c r="S31" t="str">
        <f t="array" ref="S31">IF($Q31="","",_xlfn.TEXTJOIN(", ",TRUE,IF(FEV!$G33:$AK33="FL",FEV!$G$4:$AK$4,"")))</f>
        <v/>
      </c>
      <c r="T31" t="str">
        <f t="array" ref="T31">IF($Q31="","",_xlfn.TEXTJOIN(", ",TRUE,IF(MAR!$G33:$AK33="FL",MAR!$G$4:$AK$4,"")))</f>
        <v/>
      </c>
      <c r="U31" t="str">
        <f t="array" ref="U31">IF($Q31="","",_xlfn.TEXTJOIN(", ",TRUE,IF(ABR!$G33:$AK33="FL",ABR!$G$4:$AK$4,"")))</f>
        <v/>
      </c>
      <c r="V31" t="str">
        <f t="array" ref="V31">IF($Q31="","",_xlfn.TEXTJOIN(", ",TRUE,IF(MAI!$G33:$AK33="FL",MAI!$G$4:$AK$4,"")))</f>
        <v/>
      </c>
      <c r="W31" t="str">
        <f t="array" ref="W31">IF($Q31="","",_xlfn.TEXTJOIN(", ",TRUE,IF(JUN!$G33:$AK33="FL",JUN!$G$4:$AK$4,"")))</f>
        <v/>
      </c>
      <c r="X31" t="str">
        <f t="array" ref="X31">IF($Q31="","",_xlfn.TEXTJOIN(", ",TRUE,IF(JUL!$G33:$AK33="FL",JUL!$G$4:$AK$4,"")))</f>
        <v/>
      </c>
      <c r="Y31" t="str">
        <f t="array" ref="Y31">IF($Q31="","",_xlfn.TEXTJOIN(", ",TRUE,IF(AGO!$G33:$AK33="FL",AGO!$G$4:$AK$4,"")))</f>
        <v>7, 25, 26</v>
      </c>
      <c r="Z31" t="str">
        <f t="array" ref="Z31">IF($Q31="","",_xlfn.TEXTJOIN(", ",TRUE,IF(SET!$G33:$AK33="FL",SET!$G$4:$AK$4,"")))</f>
        <v/>
      </c>
      <c r="AA31" t="str">
        <f t="array" ref="AA31">IF($Q31="","",_xlfn.TEXTJOIN(", ",TRUE,IF(OUT!$G33:$AK33="FL",OUT!$G$4:$AK$4,"")))</f>
        <v/>
      </c>
      <c r="AB31" t="str">
        <f t="array" ref="AB31">IF($Q31="","",_xlfn.TEXTJOIN(", ",TRUE,IF(NOV!$G33:$AK33="FL",NOV!$G$4:$AK$4,"")))</f>
        <v/>
      </c>
      <c r="AC31" t="str">
        <f t="array" ref="AC31">IF($Q31="","",_xlfn.TEXTJOIN(", ",TRUE,IF(DEZ!$G33:$AK33="FL",DEZ!$G$4:$AK$4,"")))</f>
        <v/>
      </c>
      <c r="AD31">
        <f>IF($Q31="","",COUNTIF(JAN!$G33:$AK33,"FL")+COUNTIF(FEV!$G33:$AK33,"FL")+COUNTIF(MAR!$G33:$AK33,"FL")+COUNTIF(ABR!$G33:$AK33,"FL")+COUNTIF(MAI!$G33:$AK33,"FL")+COUNTIF(JUN!$G33:$AK33,"FL")+COUNTIF(JUL!$G33:$AK33,"FL")+COUNTIF(AGO!$G33:$AK33,"FL")+COUNTIF(SET!$G33:$AK33,"FL")+COUNTIF(OUT!$G33:$AK33,"FL")+COUNTIF(NOV!$G33:$AK33,"FL")+COUNTIF(DEZ!$G33:$AK33,"FL"))</f>
        <v>3</v>
      </c>
      <c r="AF31">
        <f>IF(AND($Q31&lt;&gt;"",N($AD31)&gt;0),COUNT($AF$3:AF30)+1,"")</f>
        <v>18</v>
      </c>
    </row>
    <row r="32" spans="1:32" hidden="1" outlineLevel="1" x14ac:dyDescent="0.25">
      <c r="A32" s="35" t="str">
        <f>IFERROR(INDEX($Q$4:$Q$153,MATCH(ROWS($A$4:A32),$AF$4:$AF$153,0)),"")</f>
        <v>JULIANO LENHARD 446901</v>
      </c>
      <c r="B32" s="35" t="str">
        <f>IFERROR(INDEX($R$4:$R$153,MATCH(ROWS($A$4:A32),$AF$4:$AF$153,0)),"")</f>
        <v/>
      </c>
      <c r="C32" s="35" t="str">
        <f>IFERROR(INDEX($S$4:$S$153,MATCH(ROWS($A$4:A32),$AF$4:$AF$153,0)),"")</f>
        <v/>
      </c>
      <c r="D32" s="35" t="str">
        <f>IFERROR(INDEX($T$4:$T$153,MATCH(ROWS($A$4:A32),$AF$4:$AF$153,0)),"")</f>
        <v/>
      </c>
      <c r="E32" s="35" t="str">
        <f>IFERROR(INDEX($U$4:$U$153,MATCH(ROWS($A$4:A32),$AF$4:$AF$153,0)),"")</f>
        <v/>
      </c>
      <c r="F32" s="35" t="str">
        <f>IFERROR(INDEX($V$4:$V$153,MATCH(ROWS($A$4:A32),$AF$4:$AF$153,0)),"")</f>
        <v/>
      </c>
      <c r="G32" s="35" t="str">
        <f>IFERROR(INDEX($W$4:$W$153,MATCH(ROWS($A$4:A32),$AF$4:$AF$153,0)),"")</f>
        <v/>
      </c>
      <c r="H32" s="35" t="str">
        <f>IFERROR(INDEX($X$4:$X$153,MATCH(ROWS($A$4:A32),$AF$4:$AF$153,0)),"")</f>
        <v/>
      </c>
      <c r="I32" s="72" t="str">
        <f>IFERROR(INDEX($Y$4:$Y$153,MATCH(ROWS($A$4:A32),$AF$4:$AF$153,0)),"")</f>
        <v/>
      </c>
      <c r="J32" s="35" t="str">
        <f>IFERROR(INDEX($Z$4:$Z$153,MATCH(ROWS($A$4:A32),$AF$4:$AF$153,0)),"")</f>
        <v>22, 25</v>
      </c>
      <c r="K32" s="35" t="str">
        <f>IFERROR(INDEX($AA$4:$AA$153,MATCH(ROWS($A$4:A32),$AF$4:$AF$153,0)),"")</f>
        <v/>
      </c>
      <c r="L32" s="35" t="str">
        <f>IFERROR(INDEX($AB$4:$AB$153,MATCH(ROWS($A$4:A32),$AF$4:$AF$153,0)),"")</f>
        <v/>
      </c>
      <c r="M32" s="35" t="str">
        <f>IFERROR(INDEX($AC$4:$AC$153,MATCH(ROWS($A$4:A32),$AF$4:$AF$153,0)),"")</f>
        <v/>
      </c>
      <c r="N32" s="35">
        <f>IFERROR(INDEX($AD$4:$AD$153,MATCH(ROWS($A$4:A32),$AF$4:$AF$153,0)),"")</f>
        <v>2</v>
      </c>
      <c r="Q32" t="str">
        <f>T(JAN!B34)</f>
        <v>EDUARDO RIBEIRO 484301</v>
      </c>
      <c r="R32" t="str">
        <f t="array" ref="R32">IF($Q32="","",_xlfn.TEXTJOIN(", ",TRUE,IF(JAN!$G34:$AK34="FL",JAN!$G$4:$AK$4,"")))</f>
        <v/>
      </c>
      <c r="S32" t="str">
        <f t="array" ref="S32">IF($Q32="","",_xlfn.TEXTJOIN(", ",TRUE,IF(FEV!$G34:$AK34="FL",FEV!$G$4:$AK$4,"")))</f>
        <v/>
      </c>
      <c r="T32" t="str">
        <f t="array" ref="T32">IF($Q32="","",_xlfn.TEXTJOIN(", ",TRUE,IF(MAR!$G34:$AK34="FL",MAR!$G$4:$AK$4,"")))</f>
        <v/>
      </c>
      <c r="U32" t="str">
        <f t="array" ref="U32">IF($Q32="","",_xlfn.TEXTJOIN(", ",TRUE,IF(ABR!$G34:$AK34="FL",ABR!$G$4:$AK$4,"")))</f>
        <v/>
      </c>
      <c r="V32" t="str">
        <f t="array" ref="V32">IF($Q32="","",_xlfn.TEXTJOIN(", ",TRUE,IF(MAI!$G34:$AK34="FL",MAI!$G$4:$AK$4,"")))</f>
        <v/>
      </c>
      <c r="W32" t="str">
        <f t="array" ref="W32">IF($Q32="","",_xlfn.TEXTJOIN(", ",TRUE,IF(JUN!$G34:$AK34="FL",JUN!$G$4:$AK$4,"")))</f>
        <v/>
      </c>
      <c r="X32" t="str">
        <f t="array" ref="X32">IF($Q32="","",_xlfn.TEXTJOIN(", ",TRUE,IF(JUL!$G34:$AK34="FL",JUL!$G$4:$AK$4,"")))</f>
        <v/>
      </c>
      <c r="Y32" t="str">
        <f t="array" ref="Y32">IF($Q32="","",_xlfn.TEXTJOIN(", ",TRUE,IF(AGO!$G34:$AK34="FL",AGO!$G$4:$AK$4,"")))</f>
        <v/>
      </c>
      <c r="Z32" t="str">
        <f t="array" ref="Z32">IF($Q32="","",_xlfn.TEXTJOIN(", ",TRUE,IF(SET!$G34:$AK34="FL",SET!$G$4:$AK$4,"")))</f>
        <v/>
      </c>
      <c r="AA32" t="str">
        <f t="array" ref="AA32">IF($Q32="","",_xlfn.TEXTJOIN(", ",TRUE,IF(OUT!$G34:$AK34="FL",OUT!$G$4:$AK$4,"")))</f>
        <v/>
      </c>
      <c r="AB32" t="str">
        <f t="array" ref="AB32">IF($Q32="","",_xlfn.TEXTJOIN(", ",TRUE,IF(NOV!$G34:$AK34="FL",NOV!$G$4:$AK$4,"")))</f>
        <v/>
      </c>
      <c r="AC32" t="str">
        <f t="array" ref="AC32">IF($Q32="","",_xlfn.TEXTJOIN(", ",TRUE,IF(DEZ!$G34:$AK34="FL",DEZ!$G$4:$AK$4,"")))</f>
        <v/>
      </c>
      <c r="AD32">
        <f>IF($Q32="","",COUNTIF(JAN!$G34:$AK34,"FL")+COUNTIF(FEV!$G34:$AK34,"FL")+COUNTIF(MAR!$G34:$AK34,"FL")+COUNTIF(ABR!$G34:$AK34,"FL")+COUNTIF(MAI!$G34:$AK34,"FL")+COUNTIF(JUN!$G34:$AK34,"FL")+COUNTIF(JUL!$G34:$AK34,"FL")+COUNTIF(AGO!$G34:$AK34,"FL")+COUNTIF(SET!$G34:$AK34,"FL")+COUNTIF(OUT!$G34:$AK34,"FL")+COUNTIF(NOV!$G34:$AK34,"FL")+COUNTIF(DEZ!$G34:$AK34,"FL"))</f>
        <v>0</v>
      </c>
      <c r="AF32" t="str">
        <f>IF(AND($Q32&lt;&gt;"",N($AD32)&gt;0),COUNT($AF$3:AF31)+1,"")</f>
        <v/>
      </c>
    </row>
    <row r="33" spans="1:32" hidden="1" outlineLevel="1" x14ac:dyDescent="0.25">
      <c r="A33" s="35" t="str">
        <f>IFERROR(INDEX($Q$4:$Q$153,MATCH(ROWS($A$4:A33),$AF$4:$AF$153,0)),"")</f>
        <v>CARLOS CONCEIÇÃO 509201</v>
      </c>
      <c r="B33" s="35" t="str">
        <f>IFERROR(INDEX($R$4:$R$153,MATCH(ROWS($A$4:A33),$AF$4:$AF$153,0)),"")</f>
        <v/>
      </c>
      <c r="C33" s="35" t="str">
        <f>IFERROR(INDEX($S$4:$S$153,MATCH(ROWS($A$4:A33),$AF$4:$AF$153,0)),"")</f>
        <v/>
      </c>
      <c r="D33" s="35" t="str">
        <f>IFERROR(INDEX($T$4:$T$153,MATCH(ROWS($A$4:A33),$AF$4:$AF$153,0)),"")</f>
        <v/>
      </c>
      <c r="E33" s="35" t="str">
        <f>IFERROR(INDEX($U$4:$U$153,MATCH(ROWS($A$4:A33),$AF$4:$AF$153,0)),"")</f>
        <v/>
      </c>
      <c r="F33" s="35" t="str">
        <f>IFERROR(INDEX($V$4:$V$153,MATCH(ROWS($A$4:A33),$AF$4:$AF$153,0)),"")</f>
        <v/>
      </c>
      <c r="G33" s="35" t="str">
        <f>IFERROR(INDEX($W$4:$W$153,MATCH(ROWS($A$4:A33),$AF$4:$AF$153,0)),"")</f>
        <v/>
      </c>
      <c r="H33" s="35" t="str">
        <f>IFERROR(INDEX($X$4:$X$153,MATCH(ROWS($A$4:A33),$AF$4:$AF$153,0)),"")</f>
        <v>17, 20, 21, 22</v>
      </c>
      <c r="I33" s="72" t="str">
        <f>IFERROR(INDEX($Y$4:$Y$153,MATCH(ROWS($A$4:A33),$AF$4:$AF$153,0)),"")</f>
        <v>3, 7, 10, 11, 12, 19</v>
      </c>
      <c r="J33" s="35" t="str">
        <f>IFERROR(INDEX($Z$4:$Z$153,MATCH(ROWS($A$4:A33),$AF$4:$AF$153,0)),"")</f>
        <v>28, 29, 30</v>
      </c>
      <c r="K33" s="35" t="str">
        <f>IFERROR(INDEX($AA$4:$AA$153,MATCH(ROWS($A$4:A33),$AF$4:$AF$153,0)),"")</f>
        <v>1, 2, 3, 5, 6, 13</v>
      </c>
      <c r="L33" s="35" t="str">
        <f>IFERROR(INDEX($AB$4:$AB$153,MATCH(ROWS($A$4:A33),$AF$4:$AF$153,0)),"")</f>
        <v/>
      </c>
      <c r="M33" s="35" t="str">
        <f>IFERROR(INDEX($AC$4:$AC$153,MATCH(ROWS($A$4:A33),$AF$4:$AF$153,0)),"")</f>
        <v/>
      </c>
      <c r="N33" s="35">
        <f>IFERROR(INDEX($AD$4:$AD$153,MATCH(ROWS($A$4:A33),$AF$4:$AF$153,0)),"")</f>
        <v>19</v>
      </c>
      <c r="Q33" t="str">
        <f>T(JAN!B35)</f>
        <v>RODRIGO BRAZEIRO 281401</v>
      </c>
      <c r="R33" t="str">
        <f t="array" ref="R33">IF($Q33="","",_xlfn.TEXTJOIN(", ",TRUE,IF(JAN!$G35:$AK35="FL",JAN!$G$4:$AK$4,"")))</f>
        <v/>
      </c>
      <c r="S33" t="str">
        <f t="array" ref="S33">IF($Q33="","",_xlfn.TEXTJOIN(", ",TRUE,IF(FEV!$G35:$AK35="FL",FEV!$G$4:$AK$4,"")))</f>
        <v/>
      </c>
      <c r="T33" t="str">
        <f t="array" ref="T33">IF($Q33="","",_xlfn.TEXTJOIN(", ",TRUE,IF(MAR!$G35:$AK35="FL",MAR!$G$4:$AK$4,"")))</f>
        <v/>
      </c>
      <c r="U33" t="str">
        <f t="array" ref="U33">IF($Q33="","",_xlfn.TEXTJOIN(", ",TRUE,IF(ABR!$G35:$AK35="FL",ABR!$G$4:$AK$4,"")))</f>
        <v/>
      </c>
      <c r="V33" t="str">
        <f t="array" ref="V33">IF($Q33="","",_xlfn.TEXTJOIN(", ",TRUE,IF(MAI!$G35:$AK35="FL",MAI!$G$4:$AK$4,"")))</f>
        <v/>
      </c>
      <c r="W33" t="str">
        <f t="array" ref="W33">IF($Q33="","",_xlfn.TEXTJOIN(", ",TRUE,IF(JUN!$G35:$AK35="FL",JUN!$G$4:$AK$4,"")))</f>
        <v/>
      </c>
      <c r="X33" t="str">
        <f t="array" ref="X33">IF($Q33="","",_xlfn.TEXTJOIN(", ",TRUE,IF(JUL!$G35:$AK35="FL",JUL!$G$4:$AK$4,"")))</f>
        <v/>
      </c>
      <c r="Y33" t="str">
        <f t="array" ref="Y33">IF($Q33="","",_xlfn.TEXTJOIN(", ",TRUE,IF(AGO!$G35:$AK35="FL",AGO!$G$4:$AK$4,"")))</f>
        <v/>
      </c>
      <c r="Z33" t="str">
        <f t="array" ref="Z33">IF($Q33="","",_xlfn.TEXTJOIN(", ",TRUE,IF(SET!$G35:$AK35="FL",SET!$G$4:$AK$4,"")))</f>
        <v/>
      </c>
      <c r="AA33" t="str">
        <f t="array" ref="AA33">IF($Q33="","",_xlfn.TEXTJOIN(", ",TRUE,IF(OUT!$G35:$AK35="FL",OUT!$G$4:$AK$4,"")))</f>
        <v/>
      </c>
      <c r="AB33" t="str">
        <f t="array" ref="AB33">IF($Q33="","",_xlfn.TEXTJOIN(", ",TRUE,IF(NOV!$G35:$AK35="FL",NOV!$G$4:$AK$4,"")))</f>
        <v/>
      </c>
      <c r="AC33" t="str">
        <f t="array" ref="AC33">IF($Q33="","",_xlfn.TEXTJOIN(", ",TRUE,IF(DEZ!$G35:$AK35="FL",DEZ!$G$4:$AK$4,"")))</f>
        <v/>
      </c>
      <c r="AD33">
        <f>IF($Q33="","",COUNTIF(JAN!$G35:$AK35,"FL")+COUNTIF(FEV!$G35:$AK35,"FL")+COUNTIF(MAR!$G35:$AK35,"FL")+COUNTIF(ABR!$G35:$AK35,"FL")+COUNTIF(MAI!$G35:$AK35,"FL")+COUNTIF(JUN!$G35:$AK35,"FL")+COUNTIF(JUL!$G35:$AK35,"FL")+COUNTIF(AGO!$G35:$AK35,"FL")+COUNTIF(SET!$G35:$AK35,"FL")+COUNTIF(OUT!$G35:$AK35,"FL")+COUNTIF(NOV!$G35:$AK35,"FL")+COUNTIF(DEZ!$G35:$AK35,"FL"))</f>
        <v>0</v>
      </c>
      <c r="AF33" t="str">
        <f>IF(AND($Q33&lt;&gt;"",N($AD33)&gt;0),COUNT($AF$3:AF32)+1,"")</f>
        <v/>
      </c>
    </row>
    <row r="34" spans="1:32" hidden="1" outlineLevel="1" x14ac:dyDescent="0.25">
      <c r="A34" s="35" t="str">
        <f>IFERROR(INDEX($Q$4:$Q$153,MATCH(ROWS($A$4:A34),$AF$4:$AF$153,0)),"")</f>
        <v>FABIO BARBOSA 444601</v>
      </c>
      <c r="B34" s="35" t="str">
        <f>IFERROR(INDEX($R$4:$R$153,MATCH(ROWS($A$4:A34),$AF$4:$AF$153,0)),"")</f>
        <v/>
      </c>
      <c r="C34" s="35" t="str">
        <f>IFERROR(INDEX($S$4:$S$153,MATCH(ROWS($A$4:A34),$AF$4:$AF$153,0)),"")</f>
        <v/>
      </c>
      <c r="D34" s="35" t="str">
        <f>IFERROR(INDEX($T$4:$T$153,MATCH(ROWS($A$4:A34),$AF$4:$AF$153,0)),"")</f>
        <v/>
      </c>
      <c r="E34" s="35" t="str">
        <f>IFERROR(INDEX($U$4:$U$153,MATCH(ROWS($A$4:A34),$AF$4:$AF$153,0)),"")</f>
        <v/>
      </c>
      <c r="F34" s="35" t="str">
        <f>IFERROR(INDEX($V$4:$V$153,MATCH(ROWS($A$4:A34),$AF$4:$AF$153,0)),"")</f>
        <v/>
      </c>
      <c r="G34" s="35" t="str">
        <f>IFERROR(INDEX($W$4:$W$153,MATCH(ROWS($A$4:A34),$AF$4:$AF$153,0)),"")</f>
        <v/>
      </c>
      <c r="H34" s="35" t="str">
        <f>IFERROR(INDEX($X$4:$X$153,MATCH(ROWS($A$4:A34),$AF$4:$AF$153,0)),"")</f>
        <v/>
      </c>
      <c r="I34" s="72" t="str">
        <f>IFERROR(INDEX($Y$4:$Y$153,MATCH(ROWS($A$4:A34),$AF$4:$AF$153,0)),"")</f>
        <v>3, 4</v>
      </c>
      <c r="J34" s="35" t="str">
        <f>IFERROR(INDEX($Z$4:$Z$153,MATCH(ROWS($A$4:A34),$AF$4:$AF$153,0)),"")</f>
        <v/>
      </c>
      <c r="K34" s="35" t="str">
        <f>IFERROR(INDEX($AA$4:$AA$153,MATCH(ROWS($A$4:A34),$AF$4:$AF$153,0)),"")</f>
        <v/>
      </c>
      <c r="L34" s="35" t="str">
        <f>IFERROR(INDEX($AB$4:$AB$153,MATCH(ROWS($A$4:A34),$AF$4:$AF$153,0)),"")</f>
        <v/>
      </c>
      <c r="M34" s="35" t="str">
        <f>IFERROR(INDEX($AC$4:$AC$153,MATCH(ROWS($A$4:A34),$AF$4:$AF$153,0)),"")</f>
        <v/>
      </c>
      <c r="N34" s="35">
        <f>IFERROR(INDEX($AD$4:$AD$153,MATCH(ROWS($A$4:A34),$AF$4:$AF$153,0)),"")</f>
        <v>2</v>
      </c>
      <c r="Q34" t="str">
        <f>T(JAN!B36)</f>
        <v>ALEXANDRE MARINHO 37002252</v>
      </c>
      <c r="R34" t="str">
        <f t="array" ref="R34">IF($Q34="","",_xlfn.TEXTJOIN(", ",TRUE,IF(JAN!$G36:$AK36="FL",JAN!$G$4:$AK$4,"")))</f>
        <v/>
      </c>
      <c r="S34" t="str">
        <f t="array" ref="S34">IF($Q34="","",_xlfn.TEXTJOIN(", ",TRUE,IF(FEV!$G36:$AK36="FL",FEV!$G$4:$AK$4,"")))</f>
        <v/>
      </c>
      <c r="T34" t="str">
        <f t="array" ref="T34">IF($Q34="","",_xlfn.TEXTJOIN(", ",TRUE,IF(MAR!$G36:$AK36="FL",MAR!$G$4:$AK$4,"")))</f>
        <v/>
      </c>
      <c r="U34" t="str">
        <f t="array" ref="U34">IF($Q34="","",_xlfn.TEXTJOIN(", ",TRUE,IF(ABR!$G36:$AK36="FL",ABR!$G$4:$AK$4,"")))</f>
        <v/>
      </c>
      <c r="V34" t="str">
        <f t="array" ref="V34">IF($Q34="","",_xlfn.TEXTJOIN(", ",TRUE,IF(MAI!$G36:$AK36="FL",MAI!$G$4:$AK$4,"")))</f>
        <v/>
      </c>
      <c r="W34" t="str">
        <f t="array" ref="W34">IF($Q34="","",_xlfn.TEXTJOIN(", ",TRUE,IF(JUN!$G36:$AK36="FL",JUN!$G$4:$AK$4,"")))</f>
        <v/>
      </c>
      <c r="X34" t="str">
        <f t="array" ref="X34">IF($Q34="","",_xlfn.TEXTJOIN(", ",TRUE,IF(JUL!$G36:$AK36="FL",JUL!$G$4:$AK$4,"")))</f>
        <v>21, 22, 23, 24, 25</v>
      </c>
      <c r="Y34" t="str">
        <f t="array" ref="Y34">IF($Q34="","",_xlfn.TEXTJOIN(", ",TRUE,IF(AGO!$G36:$AK36="FL",AGO!$G$4:$AK$4,"")))</f>
        <v>7, 10, 15</v>
      </c>
      <c r="Z34" t="str">
        <f t="array" ref="Z34">IF($Q34="","",_xlfn.TEXTJOIN(", ",TRUE,IF(SET!$G36:$AK36="FL",SET!$G$4:$AK$4,"")))</f>
        <v>9</v>
      </c>
      <c r="AA34" t="str">
        <f t="array" ref="AA34">IF($Q34="","",_xlfn.TEXTJOIN(", ",TRUE,IF(OUT!$G36:$AK36="FL",OUT!$G$4:$AK$4,"")))</f>
        <v>3, 6</v>
      </c>
      <c r="AB34" t="str">
        <f t="array" ref="AB34">IF($Q34="","",_xlfn.TEXTJOIN(", ",TRUE,IF(NOV!$G36:$AK36="FL",NOV!$G$4:$AK$4,"")))</f>
        <v/>
      </c>
      <c r="AC34" t="str">
        <f t="array" ref="AC34">IF($Q34="","",_xlfn.TEXTJOIN(", ",TRUE,IF(DEZ!$G36:$AK36="FL",DEZ!$G$4:$AK$4,"")))</f>
        <v/>
      </c>
      <c r="AD34">
        <f>IF($Q34="","",COUNTIF(JAN!$G36:$AK36,"FL")+COUNTIF(FEV!$G36:$AK36,"FL")+COUNTIF(MAR!$G36:$AK36,"FL")+COUNTIF(ABR!$G36:$AK36,"FL")+COUNTIF(MAI!$G36:$AK36,"FL")+COUNTIF(JUN!$G36:$AK36,"FL")+COUNTIF(JUL!$G36:$AK36,"FL")+COUNTIF(AGO!$G36:$AK36,"FL")+COUNTIF(SET!$G36:$AK36,"FL")+COUNTIF(OUT!$G36:$AK36,"FL")+COUNTIF(NOV!$G36:$AK36,"FL")+COUNTIF(DEZ!$G36:$AK36,"FL"))</f>
        <v>11</v>
      </c>
      <c r="AF34">
        <f>IF(AND($Q34&lt;&gt;"",N($AD34)&gt;0),COUNT($AF$3:AF33)+1,"")</f>
        <v>19</v>
      </c>
    </row>
    <row r="35" spans="1:32" hidden="1" outlineLevel="1" x14ac:dyDescent="0.25">
      <c r="A35" s="35" t="str">
        <f>IFERROR(INDEX($Q$4:$Q$153,MATCH(ROWS($A$4:A35),$AF$4:$AF$153,0)),"")</f>
        <v>CLAUDIOMIR DE SOUZA 415401</v>
      </c>
      <c r="B35" s="35" t="str">
        <f>IFERROR(INDEX($R$4:$R$153,MATCH(ROWS($A$4:A35),$AF$4:$AF$153,0)),"")</f>
        <v/>
      </c>
      <c r="C35" s="35" t="str">
        <f>IFERROR(INDEX($S$4:$S$153,MATCH(ROWS($A$4:A35),$AF$4:$AF$153,0)),"")</f>
        <v/>
      </c>
      <c r="D35" s="35" t="str">
        <f>IFERROR(INDEX($T$4:$T$153,MATCH(ROWS($A$4:A35),$AF$4:$AF$153,0)),"")</f>
        <v/>
      </c>
      <c r="E35" s="35" t="str">
        <f>IFERROR(INDEX($U$4:$U$153,MATCH(ROWS($A$4:A35),$AF$4:$AF$153,0)),"")</f>
        <v/>
      </c>
      <c r="F35" s="35" t="str">
        <f>IFERROR(INDEX($V$4:$V$153,MATCH(ROWS($A$4:A35),$AF$4:$AF$153,0)),"")</f>
        <v/>
      </c>
      <c r="G35" s="35" t="str">
        <f>IFERROR(INDEX($W$4:$W$153,MATCH(ROWS($A$4:A35),$AF$4:$AF$153,0)),"")</f>
        <v/>
      </c>
      <c r="H35" s="35" t="str">
        <f>IFERROR(INDEX($X$4:$X$153,MATCH(ROWS($A$4:A35),$AF$4:$AF$153,0)),"")</f>
        <v>25, 27, 28</v>
      </c>
      <c r="I35" s="72" t="str">
        <f>IFERROR(INDEX($Y$4:$Y$153,MATCH(ROWS($A$4:A35),$AF$4:$AF$153,0)),"")</f>
        <v>3, 15</v>
      </c>
      <c r="J35" s="35" t="str">
        <f>IFERROR(INDEX($Z$4:$Z$153,MATCH(ROWS($A$4:A35),$AF$4:$AF$153,0)),"")</f>
        <v/>
      </c>
      <c r="K35" s="35" t="str">
        <f>IFERROR(INDEX($AA$4:$AA$153,MATCH(ROWS($A$4:A35),$AF$4:$AF$153,0)),"")</f>
        <v/>
      </c>
      <c r="L35" s="35" t="str">
        <f>IFERROR(INDEX($AB$4:$AB$153,MATCH(ROWS($A$4:A35),$AF$4:$AF$153,0)),"")</f>
        <v/>
      </c>
      <c r="M35" s="35" t="str">
        <f>IFERROR(INDEX($AC$4:$AC$153,MATCH(ROWS($A$4:A35),$AF$4:$AF$153,0)),"")</f>
        <v/>
      </c>
      <c r="N35" s="35">
        <f>IFERROR(INDEX($AD$4:$AD$153,MATCH(ROWS($A$4:A35),$AF$4:$AF$153,0)),"")</f>
        <v>5</v>
      </c>
      <c r="Q35" t="str">
        <f>T(JAN!B37)</f>
        <v>DIERRI SOUZA 166901</v>
      </c>
      <c r="R35" t="str">
        <f t="array" ref="R35">IF($Q35="","",_xlfn.TEXTJOIN(", ",TRUE,IF(JAN!$G37:$AK37="FL",JAN!$G$4:$AK$4,"")))</f>
        <v/>
      </c>
      <c r="S35" t="str">
        <f t="array" ref="S35">IF($Q35="","",_xlfn.TEXTJOIN(", ",TRUE,IF(FEV!$G37:$AK37="FL",FEV!$G$4:$AK$4,"")))</f>
        <v/>
      </c>
      <c r="T35" t="str">
        <f t="array" ref="T35">IF($Q35="","",_xlfn.TEXTJOIN(", ",TRUE,IF(MAR!$G37:$AK37="FL",MAR!$G$4:$AK$4,"")))</f>
        <v/>
      </c>
      <c r="U35" t="str">
        <f t="array" ref="U35">IF($Q35="","",_xlfn.TEXTJOIN(", ",TRUE,IF(ABR!$G37:$AK37="FL",ABR!$G$4:$AK$4,"")))</f>
        <v/>
      </c>
      <c r="V35" t="str">
        <f t="array" ref="V35">IF($Q35="","",_xlfn.TEXTJOIN(", ",TRUE,IF(MAI!$G37:$AK37="FL",MAI!$G$4:$AK$4,"")))</f>
        <v/>
      </c>
      <c r="W35" t="str">
        <f t="array" ref="W35">IF($Q35="","",_xlfn.TEXTJOIN(", ",TRUE,IF(JUN!$G37:$AK37="FL",JUN!$G$4:$AK$4,"")))</f>
        <v/>
      </c>
      <c r="X35" t="str">
        <f t="array" ref="X35">IF($Q35="","",_xlfn.TEXTJOIN(", ",TRUE,IF(JUL!$G37:$AK37="FL",JUL!$G$4:$AK$4,"")))</f>
        <v/>
      </c>
      <c r="Y35" t="str">
        <f t="array" ref="Y35">IF($Q35="","",_xlfn.TEXTJOIN(", ",TRUE,IF(AGO!$G37:$AK37="FL",AGO!$G$4:$AK$4,"")))</f>
        <v/>
      </c>
      <c r="Z35" t="str">
        <f t="array" ref="Z35">IF($Q35="","",_xlfn.TEXTJOIN(", ",TRUE,IF(SET!$G37:$AK37="FL",SET!$G$4:$AK$4,"")))</f>
        <v/>
      </c>
      <c r="AA35" t="str">
        <f t="array" ref="AA35">IF($Q35="","",_xlfn.TEXTJOIN(", ",TRUE,IF(OUT!$G37:$AK37="FL",OUT!$G$4:$AK$4,"")))</f>
        <v/>
      </c>
      <c r="AB35" t="str">
        <f t="array" ref="AB35">IF($Q35="","",_xlfn.TEXTJOIN(", ",TRUE,IF(NOV!$G37:$AK37="FL",NOV!$G$4:$AK$4,"")))</f>
        <v/>
      </c>
      <c r="AC35" t="str">
        <f t="array" ref="AC35">IF($Q35="","",_xlfn.TEXTJOIN(", ",TRUE,IF(DEZ!$G37:$AK37="FL",DEZ!$G$4:$AK$4,"")))</f>
        <v/>
      </c>
      <c r="AD35">
        <f>IF($Q35="","",COUNTIF(JAN!$G37:$AK37,"FL")+COUNTIF(FEV!$G37:$AK37,"FL")+COUNTIF(MAR!$G37:$AK37,"FL")+COUNTIF(ABR!$G37:$AK37,"FL")+COUNTIF(MAI!$G37:$AK37,"FL")+COUNTIF(JUN!$G37:$AK37,"FL")+COUNTIF(JUL!$G37:$AK37,"FL")+COUNTIF(AGO!$G37:$AK37,"FL")+COUNTIF(SET!$G37:$AK37,"FL")+COUNTIF(OUT!$G37:$AK37,"FL")+COUNTIF(NOV!$G37:$AK37,"FL")+COUNTIF(DEZ!$G37:$AK37,"FL"))</f>
        <v>0</v>
      </c>
      <c r="AF35" t="str">
        <f>IF(AND($Q35&lt;&gt;"",N($AD35)&gt;0),COUNT($AF$3:AF34)+1,"")</f>
        <v/>
      </c>
    </row>
    <row r="36" spans="1:32" hidden="1" outlineLevel="1" x14ac:dyDescent="0.25">
      <c r="A36" s="35" t="str">
        <f>IFERROR(INDEX($Q$4:$Q$153,MATCH(ROWS($A$4:A36),$AF$4:$AF$153,0)),"")</f>
        <v>VAGNER LEMOS 360301</v>
      </c>
      <c r="B36" s="35" t="str">
        <f>IFERROR(INDEX($R$4:$R$153,MATCH(ROWS($A$4:A36),$AF$4:$AF$153,0)),"")</f>
        <v/>
      </c>
      <c r="C36" s="35" t="str">
        <f>IFERROR(INDEX($S$4:$S$153,MATCH(ROWS($A$4:A36),$AF$4:$AF$153,0)),"")</f>
        <v/>
      </c>
      <c r="D36" s="35" t="str">
        <f>IFERROR(INDEX($T$4:$T$153,MATCH(ROWS($A$4:A36),$AF$4:$AF$153,0)),"")</f>
        <v/>
      </c>
      <c r="E36" s="35" t="str">
        <f>IFERROR(INDEX($U$4:$U$153,MATCH(ROWS($A$4:A36),$AF$4:$AF$153,0)),"")</f>
        <v/>
      </c>
      <c r="F36" s="35" t="str">
        <f>IFERROR(INDEX($V$4:$V$153,MATCH(ROWS($A$4:A36),$AF$4:$AF$153,0)),"")</f>
        <v/>
      </c>
      <c r="G36" s="35" t="str">
        <f>IFERROR(INDEX($W$4:$W$153,MATCH(ROWS($A$4:A36),$AF$4:$AF$153,0)),"")</f>
        <v/>
      </c>
      <c r="H36" s="35" t="str">
        <f>IFERROR(INDEX($X$4:$X$153,MATCH(ROWS($A$4:A36),$AF$4:$AF$153,0)),"")</f>
        <v/>
      </c>
      <c r="I36" s="72" t="str">
        <f>IFERROR(INDEX($Y$4:$Y$153,MATCH(ROWS($A$4:A36),$AF$4:$AF$153,0)),"")</f>
        <v/>
      </c>
      <c r="J36" s="35" t="str">
        <f>IFERROR(INDEX($Z$4:$Z$153,MATCH(ROWS($A$4:A36),$AF$4:$AF$153,0)),"")</f>
        <v/>
      </c>
      <c r="K36" s="35" t="str">
        <f>IFERROR(INDEX($AA$4:$AA$153,MATCH(ROWS($A$4:A36),$AF$4:$AF$153,0)),"")</f>
        <v>13</v>
      </c>
      <c r="L36" s="35" t="str">
        <f>IFERROR(INDEX($AB$4:$AB$153,MATCH(ROWS($A$4:A36),$AF$4:$AF$153,0)),"")</f>
        <v/>
      </c>
      <c r="M36" s="35" t="str">
        <f>IFERROR(INDEX($AC$4:$AC$153,MATCH(ROWS($A$4:A36),$AF$4:$AF$153,0)),"")</f>
        <v/>
      </c>
      <c r="N36" s="35">
        <f>IFERROR(INDEX($AD$4:$AD$153,MATCH(ROWS($A$4:A36),$AF$4:$AF$153,0)),"")</f>
        <v>1</v>
      </c>
      <c r="Q36" t="str">
        <f>T(JAN!B38)</f>
        <v>JOSIMAR ROCHA 390801</v>
      </c>
      <c r="R36" t="str">
        <f t="array" ref="R36">IF($Q36="","",_xlfn.TEXTJOIN(", ",TRUE,IF(JAN!$G38:$AK38="FL",JAN!$G$4:$AK$4,"")))</f>
        <v/>
      </c>
      <c r="S36" t="str">
        <f t="array" ref="S36">IF($Q36="","",_xlfn.TEXTJOIN(", ",TRUE,IF(FEV!$G38:$AK38="FL",FEV!$G$4:$AK$4,"")))</f>
        <v/>
      </c>
      <c r="T36" t="str">
        <f t="array" ref="T36">IF($Q36="","",_xlfn.TEXTJOIN(", ",TRUE,IF(MAR!$G38:$AK38="FL",MAR!$G$4:$AK$4,"")))</f>
        <v/>
      </c>
      <c r="U36" t="str">
        <f t="array" ref="U36">IF($Q36="","",_xlfn.TEXTJOIN(", ",TRUE,IF(ABR!$G38:$AK38="FL",ABR!$G$4:$AK$4,"")))</f>
        <v/>
      </c>
      <c r="V36" t="str">
        <f t="array" ref="V36">IF($Q36="","",_xlfn.TEXTJOIN(", ",TRUE,IF(MAI!$G38:$AK38="FL",MAI!$G$4:$AK$4,"")))</f>
        <v/>
      </c>
      <c r="W36" t="str">
        <f t="array" ref="W36">IF($Q36="","",_xlfn.TEXTJOIN(", ",TRUE,IF(JUN!$G38:$AK38="FL",JUN!$G$4:$AK$4,"")))</f>
        <v/>
      </c>
      <c r="X36" t="str">
        <f t="array" ref="X36">IF($Q36="","",_xlfn.TEXTJOIN(", ",TRUE,IF(JUL!$G38:$AK38="FL",JUL!$G$4:$AK$4,"")))</f>
        <v/>
      </c>
      <c r="Y36" t="str">
        <f t="array" ref="Y36">IF($Q36="","",_xlfn.TEXTJOIN(", ",TRUE,IF(AGO!$G38:$AK38="FL",AGO!$G$4:$AK$4,"")))</f>
        <v/>
      </c>
      <c r="Z36" t="str">
        <f t="array" ref="Z36">IF($Q36="","",_xlfn.TEXTJOIN(", ",TRUE,IF(SET!$G38:$AK38="FL",SET!$G$4:$AK$4,"")))</f>
        <v>16, 17</v>
      </c>
      <c r="AA36" t="str">
        <f t="array" ref="AA36">IF($Q36="","",_xlfn.TEXTJOIN(", ",TRUE,IF(OUT!$G38:$AK38="FL",OUT!$G$4:$AK$4,"")))</f>
        <v/>
      </c>
      <c r="AB36" t="str">
        <f t="array" ref="AB36">IF($Q36="","",_xlfn.TEXTJOIN(", ",TRUE,IF(NOV!$G38:$AK38="FL",NOV!$G$4:$AK$4,"")))</f>
        <v/>
      </c>
      <c r="AC36" t="str">
        <f t="array" ref="AC36">IF($Q36="","",_xlfn.TEXTJOIN(", ",TRUE,IF(DEZ!$G38:$AK38="FL",DEZ!$G$4:$AK$4,"")))</f>
        <v/>
      </c>
      <c r="AD36">
        <f>IF($Q36="","",COUNTIF(JAN!$G38:$AK38,"FL")+COUNTIF(FEV!$G38:$AK38,"FL")+COUNTIF(MAR!$G38:$AK38,"FL")+COUNTIF(ABR!$G38:$AK38,"FL")+COUNTIF(MAI!$G38:$AK38,"FL")+COUNTIF(JUN!$G38:$AK38,"FL")+COUNTIF(JUL!$G38:$AK38,"FL")+COUNTIF(AGO!$G38:$AK38,"FL")+COUNTIF(SET!$G38:$AK38,"FL")+COUNTIF(OUT!$G38:$AK38,"FL")+COUNTIF(NOV!$G38:$AK38,"FL")+COUNTIF(DEZ!$G38:$AK38,"FL"))</f>
        <v>2</v>
      </c>
      <c r="AF36">
        <f>IF(AND($Q36&lt;&gt;"",N($AD36)&gt;0),COUNT($AF$3:AF35)+1,"")</f>
        <v>20</v>
      </c>
    </row>
    <row r="37" spans="1:32" hidden="1" outlineLevel="1" x14ac:dyDescent="0.25">
      <c r="A37" s="35" t="str">
        <f>IFERROR(INDEX($Q$4:$Q$153,MATCH(ROWS($A$4:A37),$AF$4:$AF$153,0)),"")</f>
        <v>RODRIGO FREITAS 283001</v>
      </c>
      <c r="B37" s="35" t="str">
        <f>IFERROR(INDEX($R$4:$R$153,MATCH(ROWS($A$4:A37),$AF$4:$AF$153,0)),"")</f>
        <v/>
      </c>
      <c r="C37" s="35" t="str">
        <f>IFERROR(INDEX($S$4:$S$153,MATCH(ROWS($A$4:A37),$AF$4:$AF$153,0)),"")</f>
        <v/>
      </c>
      <c r="D37" s="35" t="str">
        <f>IFERROR(INDEX($T$4:$T$153,MATCH(ROWS($A$4:A37),$AF$4:$AF$153,0)),"")</f>
        <v/>
      </c>
      <c r="E37" s="35" t="str">
        <f>IFERROR(INDEX($U$4:$U$153,MATCH(ROWS($A$4:A37),$AF$4:$AF$153,0)),"")</f>
        <v/>
      </c>
      <c r="F37" s="35" t="str">
        <f>IFERROR(INDEX($V$4:$V$153,MATCH(ROWS($A$4:A37),$AF$4:$AF$153,0)),"")</f>
        <v/>
      </c>
      <c r="G37" s="35" t="str">
        <f>IFERROR(INDEX($W$4:$W$153,MATCH(ROWS($A$4:A37),$AF$4:$AF$153,0)),"")</f>
        <v/>
      </c>
      <c r="H37" s="35" t="str">
        <f>IFERROR(INDEX($X$4:$X$153,MATCH(ROWS($A$4:A37),$AF$4:$AF$153,0)),"")</f>
        <v/>
      </c>
      <c r="I37" s="72" t="str">
        <f>IFERROR(INDEX($Y$4:$Y$153,MATCH(ROWS($A$4:A37),$AF$4:$AF$153,0)),"")</f>
        <v/>
      </c>
      <c r="J37" s="35" t="str">
        <f>IFERROR(INDEX($Z$4:$Z$153,MATCH(ROWS($A$4:A37),$AF$4:$AF$153,0)),"")</f>
        <v>5</v>
      </c>
      <c r="K37" s="35" t="str">
        <f>IFERROR(INDEX($AA$4:$AA$153,MATCH(ROWS($A$4:A37),$AF$4:$AF$153,0)),"")</f>
        <v/>
      </c>
      <c r="L37" s="35" t="str">
        <f>IFERROR(INDEX($AB$4:$AB$153,MATCH(ROWS($A$4:A37),$AF$4:$AF$153,0)),"")</f>
        <v/>
      </c>
      <c r="M37" s="35" t="str">
        <f>IFERROR(INDEX($AC$4:$AC$153,MATCH(ROWS($A$4:A37),$AF$4:$AF$153,0)),"")</f>
        <v/>
      </c>
      <c r="N37" s="35">
        <f>IFERROR(INDEX($AD$4:$AD$153,MATCH(ROWS($A$4:A37),$AF$4:$AF$153,0)),"")</f>
        <v>1</v>
      </c>
      <c r="Q37" t="str">
        <f>T(JAN!B39)</f>
        <v>JONATHAM DALAZEM 517501</v>
      </c>
      <c r="R37" t="str">
        <f t="array" ref="R37">IF($Q37="","",_xlfn.TEXTJOIN(", ",TRUE,IF(JAN!$G39:$AK39="FL",JAN!$G$4:$AK$4,"")))</f>
        <v/>
      </c>
      <c r="S37" t="str">
        <f t="array" ref="S37">IF($Q37="","",_xlfn.TEXTJOIN(", ",TRUE,IF(FEV!$G39:$AK39="FL",FEV!$G$4:$AK$4,"")))</f>
        <v/>
      </c>
      <c r="T37" t="str">
        <f t="array" ref="T37">IF($Q37="","",_xlfn.TEXTJOIN(", ",TRUE,IF(MAR!$G39:$AK39="FL",MAR!$G$4:$AK$4,"")))</f>
        <v/>
      </c>
      <c r="U37" t="str">
        <f t="array" ref="U37">IF($Q37="","",_xlfn.TEXTJOIN(", ",TRUE,IF(ABR!$G39:$AK39="FL",ABR!$G$4:$AK$4,"")))</f>
        <v/>
      </c>
      <c r="V37" t="str">
        <f t="array" ref="V37">IF($Q37="","",_xlfn.TEXTJOIN(", ",TRUE,IF(MAI!$G39:$AK39="FL",MAI!$G$4:$AK$4,"")))</f>
        <v/>
      </c>
      <c r="W37" t="str">
        <f t="array" ref="W37">IF($Q37="","",_xlfn.TEXTJOIN(", ",TRUE,IF(JUN!$G39:$AK39="FL",JUN!$G$4:$AK$4,"")))</f>
        <v/>
      </c>
      <c r="X37" t="str">
        <f t="array" ref="X37">IF($Q37="","",_xlfn.TEXTJOIN(", ",TRUE,IF(JUL!$G39:$AK39="FL",JUL!$G$4:$AK$4,"")))</f>
        <v/>
      </c>
      <c r="Y37" t="str">
        <f t="array" ref="Y37">IF($Q37="","",_xlfn.TEXTJOIN(", ",TRUE,IF(AGO!$G39:$AK39="FL",AGO!$G$4:$AK$4,"")))</f>
        <v/>
      </c>
      <c r="Z37" t="str">
        <f t="array" ref="Z37">IF($Q37="","",_xlfn.TEXTJOIN(", ",TRUE,IF(SET!$G39:$AK39="FL",SET!$G$4:$AK$4,"")))</f>
        <v/>
      </c>
      <c r="AA37" t="str">
        <f t="array" ref="AA37">IF($Q37="","",_xlfn.TEXTJOIN(", ",TRUE,IF(OUT!$G39:$AK39="FL",OUT!$G$4:$AK$4,"")))</f>
        <v/>
      </c>
      <c r="AB37" t="str">
        <f t="array" ref="AB37">IF($Q37="","",_xlfn.TEXTJOIN(", ",TRUE,IF(NOV!$G39:$AK39="FL",NOV!$G$4:$AK$4,"")))</f>
        <v/>
      </c>
      <c r="AC37" t="str">
        <f t="array" ref="AC37">IF($Q37="","",_xlfn.TEXTJOIN(", ",TRUE,IF(DEZ!$G39:$AK39="FL",DEZ!$G$4:$AK$4,"")))</f>
        <v/>
      </c>
      <c r="AD37">
        <f>IF($Q37="","",COUNTIF(JAN!$G39:$AK39,"FL")+COUNTIF(FEV!$G39:$AK39,"FL")+COUNTIF(MAR!$G39:$AK39,"FL")+COUNTIF(ABR!$G39:$AK39,"FL")+COUNTIF(MAI!$G39:$AK39,"FL")+COUNTIF(JUN!$G39:$AK39,"FL")+COUNTIF(JUL!$G39:$AK39,"FL")+COUNTIF(AGO!$G39:$AK39,"FL")+COUNTIF(SET!$G39:$AK39,"FL")+COUNTIF(OUT!$G39:$AK39,"FL")+COUNTIF(NOV!$G39:$AK39,"FL")+COUNTIF(DEZ!$G39:$AK39,"FL"))</f>
        <v>0</v>
      </c>
      <c r="AF37" t="str">
        <f>IF(AND($Q37&lt;&gt;"",N($AD37)&gt;0),COUNT($AF$3:AF36)+1,"")</f>
        <v/>
      </c>
    </row>
    <row r="38" spans="1:32" hidden="1" outlineLevel="1" x14ac:dyDescent="0.25">
      <c r="A38" s="35" t="str">
        <f>IFERROR(INDEX($Q$4:$Q$153,MATCH(ROWS($A$4:A38),$AF$4:$AF$153,0)),"")</f>
        <v>ANTONIO LUCIANO 454801</v>
      </c>
      <c r="B38" s="35" t="str">
        <f>IFERROR(INDEX($R$4:$R$153,MATCH(ROWS($A$4:A38),$AF$4:$AF$153,0)),"")</f>
        <v/>
      </c>
      <c r="C38" s="35" t="str">
        <f>IFERROR(INDEX($S$4:$S$153,MATCH(ROWS($A$4:A38),$AF$4:$AF$153,0)),"")</f>
        <v/>
      </c>
      <c r="D38" s="35" t="str">
        <f>IFERROR(INDEX($T$4:$T$153,MATCH(ROWS($A$4:A38),$AF$4:$AF$153,0)),"")</f>
        <v/>
      </c>
      <c r="E38" s="35" t="str">
        <f>IFERROR(INDEX($U$4:$U$153,MATCH(ROWS($A$4:A38),$AF$4:$AF$153,0)),"")</f>
        <v/>
      </c>
      <c r="F38" s="35" t="str">
        <f>IFERROR(INDEX($V$4:$V$153,MATCH(ROWS($A$4:A38),$AF$4:$AF$153,0)),"")</f>
        <v/>
      </c>
      <c r="G38" s="35" t="str">
        <f>IFERROR(INDEX($W$4:$W$153,MATCH(ROWS($A$4:A38),$AF$4:$AF$153,0)),"")</f>
        <v/>
      </c>
      <c r="H38" s="35" t="str">
        <f>IFERROR(INDEX($X$4:$X$153,MATCH(ROWS($A$4:A38),$AF$4:$AF$153,0)),"")</f>
        <v/>
      </c>
      <c r="I38" s="72" t="str">
        <f>IFERROR(INDEX($Y$4:$Y$153,MATCH(ROWS($A$4:A38),$AF$4:$AF$153,0)),"")</f>
        <v/>
      </c>
      <c r="J38" s="35" t="str">
        <f>IFERROR(INDEX($Z$4:$Z$153,MATCH(ROWS($A$4:A38),$AF$4:$AF$153,0)),"")</f>
        <v>5</v>
      </c>
      <c r="K38" s="35" t="str">
        <f>IFERROR(INDEX($AA$4:$AA$153,MATCH(ROWS($A$4:A38),$AF$4:$AF$153,0)),"")</f>
        <v>5</v>
      </c>
      <c r="L38" s="35" t="str">
        <f>IFERROR(INDEX($AB$4:$AB$153,MATCH(ROWS($A$4:A38),$AF$4:$AF$153,0)),"")</f>
        <v/>
      </c>
      <c r="M38" s="35" t="str">
        <f>IFERROR(INDEX($AC$4:$AC$153,MATCH(ROWS($A$4:A38),$AF$4:$AF$153,0)),"")</f>
        <v/>
      </c>
      <c r="N38" s="35">
        <f>IFERROR(INDEX($AD$4:$AD$153,MATCH(ROWS($A$4:A38),$AF$4:$AF$153,0)),"")</f>
        <v>2</v>
      </c>
      <c r="Q38" t="str">
        <f>T(JAN!B40)</f>
        <v>LUCAS PEREIRA 37002099</v>
      </c>
      <c r="R38" t="str">
        <f t="array" ref="R38">IF($Q38="","",_xlfn.TEXTJOIN(", ",TRUE,IF(JAN!$G40:$AK40="FL",JAN!$G$4:$AK$4,"")))</f>
        <v/>
      </c>
      <c r="S38" t="str">
        <f t="array" ref="S38">IF($Q38="","",_xlfn.TEXTJOIN(", ",TRUE,IF(FEV!$G40:$AK40="FL",FEV!$G$4:$AK$4,"")))</f>
        <v/>
      </c>
      <c r="T38" t="str">
        <f t="array" ref="T38">IF($Q38="","",_xlfn.TEXTJOIN(", ",TRUE,IF(MAR!$G40:$AK40="FL",MAR!$G$4:$AK$4,"")))</f>
        <v/>
      </c>
      <c r="U38" t="str">
        <f t="array" ref="U38">IF($Q38="","",_xlfn.TEXTJOIN(", ",TRUE,IF(ABR!$G40:$AK40="FL",ABR!$G$4:$AK$4,"")))</f>
        <v/>
      </c>
      <c r="V38" t="str">
        <f t="array" ref="V38">IF($Q38="","",_xlfn.TEXTJOIN(", ",TRUE,IF(MAI!$G40:$AK40="FL",MAI!$G$4:$AK$4,"")))</f>
        <v/>
      </c>
      <c r="W38" t="str">
        <f t="array" ref="W38">IF($Q38="","",_xlfn.TEXTJOIN(", ",TRUE,IF(JUN!$G40:$AK40="FL",JUN!$G$4:$AK$4,"")))</f>
        <v/>
      </c>
      <c r="X38" t="str">
        <f t="array" ref="X38">IF($Q38="","",_xlfn.TEXTJOIN(", ",TRUE,IF(JUL!$G40:$AK40="FL",JUL!$G$4:$AK$4,"")))</f>
        <v/>
      </c>
      <c r="Y38" t="str">
        <f t="array" ref="Y38">IF($Q38="","",_xlfn.TEXTJOIN(", ",TRUE,IF(AGO!$G40:$AK40="FL",AGO!$G$4:$AK$4,"")))</f>
        <v/>
      </c>
      <c r="Z38" t="str">
        <f t="array" ref="Z38">IF($Q38="","",_xlfn.TEXTJOIN(", ",TRUE,IF(SET!$G40:$AK40="FL",SET!$G$4:$AK$4,"")))</f>
        <v/>
      </c>
      <c r="AA38" t="str">
        <f t="array" ref="AA38">IF($Q38="","",_xlfn.TEXTJOIN(", ",TRUE,IF(OUT!$G40:$AK40="FL",OUT!$G$4:$AK$4,"")))</f>
        <v/>
      </c>
      <c r="AB38" t="str">
        <f t="array" ref="AB38">IF($Q38="","",_xlfn.TEXTJOIN(", ",TRUE,IF(NOV!$G40:$AK40="FL",NOV!$G$4:$AK$4,"")))</f>
        <v/>
      </c>
      <c r="AC38" t="str">
        <f t="array" ref="AC38">IF($Q38="","",_xlfn.TEXTJOIN(", ",TRUE,IF(DEZ!$G40:$AK40="FL",DEZ!$G$4:$AK$4,"")))</f>
        <v/>
      </c>
      <c r="AD38">
        <f>IF($Q38="","",COUNTIF(JAN!$G40:$AK40,"FL")+COUNTIF(FEV!$G40:$AK40,"FL")+COUNTIF(MAR!$G40:$AK40,"FL")+COUNTIF(ABR!$G40:$AK40,"FL")+COUNTIF(MAI!$G40:$AK40,"FL")+COUNTIF(JUN!$G40:$AK40,"FL")+COUNTIF(JUL!$G40:$AK40,"FL")+COUNTIF(AGO!$G40:$AK40,"FL")+COUNTIF(SET!$G40:$AK40,"FL")+COUNTIF(OUT!$G40:$AK40,"FL")+COUNTIF(NOV!$G40:$AK40,"FL")+COUNTIF(DEZ!$G40:$AK40,"FL"))</f>
        <v>0</v>
      </c>
      <c r="AF38" t="str">
        <f>IF(AND($Q38&lt;&gt;"",N($AD38)&gt;0),COUNT($AF$3:AF37)+1,"")</f>
        <v/>
      </c>
    </row>
    <row r="39" spans="1:32" hidden="1" outlineLevel="1" x14ac:dyDescent="0.25">
      <c r="A39" s="35" t="str">
        <f>IFERROR(INDEX($Q$4:$Q$153,MATCH(ROWS($A$4:A39),$AF$4:$AF$153,0)),"")</f>
        <v>GUILHERME MELCHIOR 37002309</v>
      </c>
      <c r="B39" s="35" t="str">
        <f>IFERROR(INDEX($R$4:$R$153,MATCH(ROWS($A$4:A39),$AF$4:$AF$153,0)),"")</f>
        <v/>
      </c>
      <c r="C39" s="35" t="str">
        <f>IFERROR(INDEX($S$4:$S$153,MATCH(ROWS($A$4:A39),$AF$4:$AF$153,0)),"")</f>
        <v/>
      </c>
      <c r="D39" s="35" t="str">
        <f>IFERROR(INDEX($T$4:$T$153,MATCH(ROWS($A$4:A39),$AF$4:$AF$153,0)),"")</f>
        <v/>
      </c>
      <c r="E39" s="35" t="str">
        <f>IFERROR(INDEX($U$4:$U$153,MATCH(ROWS($A$4:A39),$AF$4:$AF$153,0)),"")</f>
        <v/>
      </c>
      <c r="F39" s="35" t="str">
        <f>IFERROR(INDEX($V$4:$V$153,MATCH(ROWS($A$4:A39),$AF$4:$AF$153,0)),"")</f>
        <v/>
      </c>
      <c r="G39" s="35" t="str">
        <f>IFERROR(INDEX($W$4:$W$153,MATCH(ROWS($A$4:A39),$AF$4:$AF$153,0)),"")</f>
        <v/>
      </c>
      <c r="H39" s="35" t="str">
        <f>IFERROR(INDEX($X$4:$X$153,MATCH(ROWS($A$4:A39),$AF$4:$AF$153,0)),"")</f>
        <v/>
      </c>
      <c r="I39" s="72" t="str">
        <f>IFERROR(INDEX($Y$4:$Y$153,MATCH(ROWS($A$4:A39),$AF$4:$AF$153,0)),"")</f>
        <v>7</v>
      </c>
      <c r="J39" s="35" t="str">
        <f>IFERROR(INDEX($Z$4:$Z$153,MATCH(ROWS($A$4:A39),$AF$4:$AF$153,0)),"")</f>
        <v/>
      </c>
      <c r="K39" s="35" t="str">
        <f>IFERROR(INDEX($AA$4:$AA$153,MATCH(ROWS($A$4:A39),$AF$4:$AF$153,0)),"")</f>
        <v/>
      </c>
      <c r="L39" s="35" t="str">
        <f>IFERROR(INDEX($AB$4:$AB$153,MATCH(ROWS($A$4:A39),$AF$4:$AF$153,0)),"")</f>
        <v/>
      </c>
      <c r="M39" s="35" t="str">
        <f>IFERROR(INDEX($AC$4:$AC$153,MATCH(ROWS($A$4:A39),$AF$4:$AF$153,0)),"")</f>
        <v/>
      </c>
      <c r="N39" s="35">
        <f>IFERROR(INDEX($AD$4:$AD$153,MATCH(ROWS($A$4:A39),$AF$4:$AF$153,0)),"")</f>
        <v>1</v>
      </c>
      <c r="Q39" t="str">
        <f>T(JAN!B41)</f>
        <v>LUCIANO GROSS 37002144</v>
      </c>
      <c r="R39" t="str">
        <f t="array" ref="R39">IF($Q39="","",_xlfn.TEXTJOIN(", ",TRUE,IF(JAN!$G41:$AK41="FL",JAN!$G$4:$AK$4,"")))</f>
        <v/>
      </c>
      <c r="S39" t="str">
        <f t="array" ref="S39">IF($Q39="","",_xlfn.TEXTJOIN(", ",TRUE,IF(FEV!$G41:$AK41="FL",FEV!$G$4:$AK$4,"")))</f>
        <v/>
      </c>
      <c r="T39" t="str">
        <f t="array" ref="T39">IF($Q39="","",_xlfn.TEXTJOIN(", ",TRUE,IF(MAR!$G41:$AK41="FL",MAR!$G$4:$AK$4,"")))</f>
        <v/>
      </c>
      <c r="U39" t="str">
        <f t="array" ref="U39">IF($Q39="","",_xlfn.TEXTJOIN(", ",TRUE,IF(ABR!$G41:$AK41="FL",ABR!$G$4:$AK$4,"")))</f>
        <v/>
      </c>
      <c r="V39" t="str">
        <f t="array" ref="V39">IF($Q39="","",_xlfn.TEXTJOIN(", ",TRUE,IF(MAI!$G41:$AK41="FL",MAI!$G$4:$AK$4,"")))</f>
        <v/>
      </c>
      <c r="W39" t="str">
        <f t="array" ref="W39">IF($Q39="","",_xlfn.TEXTJOIN(", ",TRUE,IF(JUN!$G41:$AK41="FL",JUN!$G$4:$AK$4,"")))</f>
        <v/>
      </c>
      <c r="X39" t="str">
        <f t="array" ref="X39">IF($Q39="","",_xlfn.TEXTJOIN(", ",TRUE,IF(JUL!$G41:$AK41="FL",JUL!$G$4:$AK$4,"")))</f>
        <v>18, 21, 27, 28, 29</v>
      </c>
      <c r="Y39" t="str">
        <f t="array" ref="Y39">IF($Q39="","",_xlfn.TEXTJOIN(", ",TRUE,IF(AGO!$G41:$AK41="FL",AGO!$G$4:$AK$4,"")))</f>
        <v>3, 4, 5, 6, 7, 8, 11, 14, 15, 27, 29, 31</v>
      </c>
      <c r="Z39" t="str">
        <f t="array" ref="Z39">IF($Q39="","",_xlfn.TEXTJOIN(", ",TRUE,IF(SET!$G41:$AK41="FL",SET!$G$4:$AK$4,"")))</f>
        <v>1, 2, 4, 5, 8, 9, 10, 11, 12, 14, 15, 16, 17, 18, 22, 25, 28</v>
      </c>
      <c r="AA39" t="str">
        <f t="array" ref="AA39">IF($Q39="","",_xlfn.TEXTJOIN(", ",TRUE,IF(OUT!$G41:$AK41="FL",OUT!$G$4:$AK$4,"")))</f>
        <v>2, 3, 5, 6, 8, 13</v>
      </c>
      <c r="AB39" t="str">
        <f t="array" ref="AB39">IF($Q39="","",_xlfn.TEXTJOIN(", ",TRUE,IF(NOV!$G41:$AK41="FL",NOV!$G$4:$AK$4,"")))</f>
        <v/>
      </c>
      <c r="AC39" t="str">
        <f t="array" ref="AC39">IF($Q39="","",_xlfn.TEXTJOIN(", ",TRUE,IF(DEZ!$G41:$AK41="FL",DEZ!$G$4:$AK$4,"")))</f>
        <v/>
      </c>
      <c r="AD39">
        <f>IF($Q39="","",COUNTIF(JAN!$G41:$AK41,"FL")+COUNTIF(FEV!$G41:$AK41,"FL")+COUNTIF(MAR!$G41:$AK41,"FL")+COUNTIF(ABR!$G41:$AK41,"FL")+COUNTIF(MAI!$G41:$AK41,"FL")+COUNTIF(JUN!$G41:$AK41,"FL")+COUNTIF(JUL!$G41:$AK41,"FL")+COUNTIF(AGO!$G41:$AK41,"FL")+COUNTIF(SET!$G41:$AK41,"FL")+COUNTIF(OUT!$G41:$AK41,"FL")+COUNTIF(NOV!$G41:$AK41,"FL")+COUNTIF(DEZ!$G41:$AK41,"FL"))</f>
        <v>40</v>
      </c>
      <c r="AF39">
        <f>IF(AND($Q39&lt;&gt;"",N($AD39)&gt;0),COUNT($AF$3:AF38)+1,"")</f>
        <v>21</v>
      </c>
    </row>
    <row r="40" spans="1:32" hidden="1" outlineLevel="1" x14ac:dyDescent="0.25">
      <c r="A40" s="35" t="str">
        <f>IFERROR(INDEX($Q$4:$Q$153,MATCH(ROWS($A$4:A40),$AF$4:$AF$153,0)),"")</f>
        <v>CLODOALDO TEMPORARIO</v>
      </c>
      <c r="B40" s="35" t="str">
        <f>IFERROR(INDEX($R$4:$R$153,MATCH(ROWS($A$4:A40),$AF$4:$AF$153,0)),"")</f>
        <v/>
      </c>
      <c r="C40" s="35" t="str">
        <f>IFERROR(INDEX($S$4:$S$153,MATCH(ROWS($A$4:A40),$AF$4:$AF$153,0)),"")</f>
        <v/>
      </c>
      <c r="D40" s="35" t="str">
        <f>IFERROR(INDEX($T$4:$T$153,MATCH(ROWS($A$4:A40),$AF$4:$AF$153,0)),"")</f>
        <v/>
      </c>
      <c r="E40" s="35" t="str">
        <f>IFERROR(INDEX($U$4:$U$153,MATCH(ROWS($A$4:A40),$AF$4:$AF$153,0)),"")</f>
        <v/>
      </c>
      <c r="F40" s="35" t="str">
        <f>IFERROR(INDEX($V$4:$V$153,MATCH(ROWS($A$4:A40),$AF$4:$AF$153,0)),"")</f>
        <v/>
      </c>
      <c r="G40" s="35" t="str">
        <f>IFERROR(INDEX($W$4:$W$153,MATCH(ROWS($A$4:A40),$AF$4:$AF$153,0)),"")</f>
        <v/>
      </c>
      <c r="H40" s="35" t="str">
        <f>IFERROR(INDEX($X$4:$X$153,MATCH(ROWS($A$4:A40),$AF$4:$AF$153,0)),"")</f>
        <v/>
      </c>
      <c r="I40" s="72" t="str">
        <f>IFERROR(INDEX($Y$4:$Y$153,MATCH(ROWS($A$4:A40),$AF$4:$AF$153,0)),"")</f>
        <v>18</v>
      </c>
      <c r="J40" s="35" t="str">
        <f>IFERROR(INDEX($Z$4:$Z$153,MATCH(ROWS($A$4:A40),$AF$4:$AF$153,0)),"")</f>
        <v/>
      </c>
      <c r="K40" s="35" t="str">
        <f>IFERROR(INDEX($AA$4:$AA$153,MATCH(ROWS($A$4:A40),$AF$4:$AF$153,0)),"")</f>
        <v/>
      </c>
      <c r="L40" s="35" t="str">
        <f>IFERROR(INDEX($AB$4:$AB$153,MATCH(ROWS($A$4:A40),$AF$4:$AF$153,0)),"")</f>
        <v/>
      </c>
      <c r="M40" s="35" t="str">
        <f>IFERROR(INDEX($AC$4:$AC$153,MATCH(ROWS($A$4:A40),$AF$4:$AF$153,0)),"")</f>
        <v/>
      </c>
      <c r="N40" s="35">
        <f>IFERROR(INDEX($AD$4:$AD$153,MATCH(ROWS($A$4:A40),$AF$4:$AF$153,0)),"")</f>
        <v>1</v>
      </c>
      <c r="Q40" t="str">
        <f>T(JAN!B42)</f>
        <v>UILIAN NOGUEIRA 483101</v>
      </c>
      <c r="R40" t="str">
        <f t="array" ref="R40">IF($Q40="","",_xlfn.TEXTJOIN(", ",TRUE,IF(JAN!$G42:$AK42="FL",JAN!$G$4:$AK$4,"")))</f>
        <v/>
      </c>
      <c r="S40" t="str">
        <f t="array" ref="S40">IF($Q40="","",_xlfn.TEXTJOIN(", ",TRUE,IF(FEV!$G42:$AK42="FL",FEV!$G$4:$AK$4,"")))</f>
        <v/>
      </c>
      <c r="T40" t="str">
        <f t="array" ref="T40">IF($Q40="","",_xlfn.TEXTJOIN(", ",TRUE,IF(MAR!$G42:$AK42="FL",MAR!$G$4:$AK$4,"")))</f>
        <v/>
      </c>
      <c r="U40" t="str">
        <f t="array" ref="U40">IF($Q40="","",_xlfn.TEXTJOIN(", ",TRUE,IF(ABR!$G42:$AK42="FL",ABR!$G$4:$AK$4,"")))</f>
        <v/>
      </c>
      <c r="V40" t="str">
        <f t="array" ref="V40">IF($Q40="","",_xlfn.TEXTJOIN(", ",TRUE,IF(MAI!$G42:$AK42="FL",MAI!$G$4:$AK$4,"")))</f>
        <v/>
      </c>
      <c r="W40" t="str">
        <f t="array" ref="W40">IF($Q40="","",_xlfn.TEXTJOIN(", ",TRUE,IF(JUN!$G42:$AK42="FL",JUN!$G$4:$AK$4,"")))</f>
        <v/>
      </c>
      <c r="X40" t="str">
        <f t="array" ref="X40">IF($Q40="","",_xlfn.TEXTJOIN(", ",TRUE,IF(JUL!$G42:$AK42="FL",JUL!$G$4:$AK$4,"")))</f>
        <v/>
      </c>
      <c r="Y40" t="str">
        <f t="array" ref="Y40">IF($Q40="","",_xlfn.TEXTJOIN(", ",TRUE,IF(AGO!$G42:$AK42="FL",AGO!$G$4:$AK$4,"")))</f>
        <v/>
      </c>
      <c r="Z40" t="str">
        <f t="array" ref="Z40">IF($Q40="","",_xlfn.TEXTJOIN(", ",TRUE,IF(SET!$G42:$AK42="FL",SET!$G$4:$AK$4,"")))</f>
        <v/>
      </c>
      <c r="AA40" t="str">
        <f t="array" ref="AA40">IF($Q40="","",_xlfn.TEXTJOIN(", ",TRUE,IF(OUT!$G42:$AK42="FL",OUT!$G$4:$AK$4,"")))</f>
        <v/>
      </c>
      <c r="AB40" t="str">
        <f t="array" ref="AB40">IF($Q40="","",_xlfn.TEXTJOIN(", ",TRUE,IF(NOV!$G42:$AK42="FL",NOV!$G$4:$AK$4,"")))</f>
        <v/>
      </c>
      <c r="AC40" t="str">
        <f t="array" ref="AC40">IF($Q40="","",_xlfn.TEXTJOIN(", ",TRUE,IF(DEZ!$G42:$AK42="FL",DEZ!$G$4:$AK$4,"")))</f>
        <v/>
      </c>
      <c r="AD40">
        <f>IF($Q40="","",COUNTIF(JAN!$G42:$AK42,"FL")+COUNTIF(FEV!$G42:$AK42,"FL")+COUNTIF(MAR!$G42:$AK42,"FL")+COUNTIF(ABR!$G42:$AK42,"FL")+COUNTIF(MAI!$G42:$AK42,"FL")+COUNTIF(JUN!$G42:$AK42,"FL")+COUNTIF(JUL!$G42:$AK42,"FL")+COUNTIF(AGO!$G42:$AK42,"FL")+COUNTIF(SET!$G42:$AK42,"FL")+COUNTIF(OUT!$G42:$AK42,"FL")+COUNTIF(NOV!$G42:$AK42,"FL")+COUNTIF(DEZ!$G42:$AK42,"FL"))</f>
        <v>0</v>
      </c>
      <c r="AF40" t="str">
        <f>IF(AND($Q40&lt;&gt;"",N($AD40)&gt;0),COUNT($AF$3:AF39)+1,"")</f>
        <v/>
      </c>
    </row>
    <row r="41" spans="1:32" hidden="1" outlineLevel="1" x14ac:dyDescent="0.25">
      <c r="A41" s="35" t="str">
        <f>IFERROR(INDEX($Q$4:$Q$153,MATCH(ROWS($A$4:A41),$AF$4:$AF$153,0)),"")</f>
        <v>TAYLER TEMPORARIO</v>
      </c>
      <c r="B41" s="35" t="str">
        <f>IFERROR(INDEX($R$4:$R$153,MATCH(ROWS($A$4:A41),$AF$4:$AF$153,0)),"")</f>
        <v/>
      </c>
      <c r="C41" s="35" t="str">
        <f>IFERROR(INDEX($S$4:$S$153,MATCH(ROWS($A$4:A41),$AF$4:$AF$153,0)),"")</f>
        <v/>
      </c>
      <c r="D41" s="35" t="str">
        <f>IFERROR(INDEX($T$4:$T$153,MATCH(ROWS($A$4:A41),$AF$4:$AF$153,0)),"")</f>
        <v/>
      </c>
      <c r="E41" s="35" t="str">
        <f>IFERROR(INDEX($U$4:$U$153,MATCH(ROWS($A$4:A41),$AF$4:$AF$153,0)),"")</f>
        <v/>
      </c>
      <c r="F41" s="35" t="str">
        <f>IFERROR(INDEX($V$4:$V$153,MATCH(ROWS($A$4:A41),$AF$4:$AF$153,0)),"")</f>
        <v/>
      </c>
      <c r="G41" s="35" t="str">
        <f>IFERROR(INDEX($W$4:$W$153,MATCH(ROWS($A$4:A41),$AF$4:$AF$153,0)),"")</f>
        <v/>
      </c>
      <c r="H41" s="35" t="str">
        <f>IFERROR(INDEX($X$4:$X$153,MATCH(ROWS($A$4:A41),$AF$4:$AF$153,0)),"")</f>
        <v/>
      </c>
      <c r="I41" s="72" t="str">
        <f>IFERROR(INDEX($Y$4:$Y$153,MATCH(ROWS($A$4:A41),$AF$4:$AF$153,0)),"")</f>
        <v>10, 11, 12, 13, 14, 15, 17, 18, 19, 20, 21, 22, 24, 25, 26, 27, 28, 29</v>
      </c>
      <c r="J41" s="35" t="str">
        <f>IFERROR(INDEX($Z$4:$Z$153,MATCH(ROWS($A$4:A41),$AF$4:$AF$153,0)),"")</f>
        <v>1, 2, 4, 5</v>
      </c>
      <c r="K41" s="35" t="str">
        <f>IFERROR(INDEX($AA$4:$AA$153,MATCH(ROWS($A$4:A41),$AF$4:$AF$153,0)),"")</f>
        <v/>
      </c>
      <c r="L41" s="35" t="str">
        <f>IFERROR(INDEX($AB$4:$AB$153,MATCH(ROWS($A$4:A41),$AF$4:$AF$153,0)),"")</f>
        <v/>
      </c>
      <c r="M41" s="35" t="str">
        <f>IFERROR(INDEX($AC$4:$AC$153,MATCH(ROWS($A$4:A41),$AF$4:$AF$153,0)),"")</f>
        <v/>
      </c>
      <c r="N41" s="35">
        <f>IFERROR(INDEX($AD$4:$AD$153,MATCH(ROWS($A$4:A41),$AF$4:$AF$153,0)),"")</f>
        <v>22</v>
      </c>
      <c r="Q41" t="str">
        <f>T(JAN!B43)</f>
        <v>PATRICK OLIVEIRA 361601</v>
      </c>
      <c r="R41" t="str">
        <f t="array" ref="R41">IF($Q41="","",_xlfn.TEXTJOIN(", ",TRUE,IF(JAN!$G43:$AK43="FL",JAN!$G$4:$AK$4,"")))</f>
        <v/>
      </c>
      <c r="S41" t="str">
        <f t="array" ref="S41">IF($Q41="","",_xlfn.TEXTJOIN(", ",TRUE,IF(FEV!$G43:$AK43="FL",FEV!$G$4:$AK$4,"")))</f>
        <v/>
      </c>
      <c r="T41" t="str">
        <f t="array" ref="T41">IF($Q41="","",_xlfn.TEXTJOIN(", ",TRUE,IF(MAR!$G43:$AK43="FL",MAR!$G$4:$AK$4,"")))</f>
        <v/>
      </c>
      <c r="U41" t="str">
        <f t="array" ref="U41">IF($Q41="","",_xlfn.TEXTJOIN(", ",TRUE,IF(ABR!$G43:$AK43="FL",ABR!$G$4:$AK$4,"")))</f>
        <v/>
      </c>
      <c r="V41" t="str">
        <f t="array" ref="V41">IF($Q41="","",_xlfn.TEXTJOIN(", ",TRUE,IF(MAI!$G43:$AK43="FL",MAI!$G$4:$AK$4,"")))</f>
        <v/>
      </c>
      <c r="W41" t="str">
        <f t="array" ref="W41">IF($Q41="","",_xlfn.TEXTJOIN(", ",TRUE,IF(JUN!$G43:$AK43="FL",JUN!$G$4:$AK$4,"")))</f>
        <v/>
      </c>
      <c r="X41" t="str">
        <f t="array" ref="X41">IF($Q41="","",_xlfn.TEXTJOIN(", ",TRUE,IF(JUL!$G43:$AK43="FL",JUL!$G$4:$AK$4,"")))</f>
        <v/>
      </c>
      <c r="Y41" t="str">
        <f t="array" ref="Y41">IF($Q41="","",_xlfn.TEXTJOIN(", ",TRUE,IF(AGO!$G43:$AK43="FL",AGO!$G$4:$AK$4,"")))</f>
        <v/>
      </c>
      <c r="Z41" t="str">
        <f t="array" ref="Z41">IF($Q41="","",_xlfn.TEXTJOIN(", ",TRUE,IF(SET!$G43:$AK43="FL",SET!$G$4:$AK$4,"")))</f>
        <v/>
      </c>
      <c r="AA41" t="str">
        <f t="array" ref="AA41">IF($Q41="","",_xlfn.TEXTJOIN(", ",TRUE,IF(OUT!$G43:$AK43="FL",OUT!$G$4:$AK$4,"")))</f>
        <v>5</v>
      </c>
      <c r="AB41" t="str">
        <f t="array" ref="AB41">IF($Q41="","",_xlfn.TEXTJOIN(", ",TRUE,IF(NOV!$G43:$AK43="FL",NOV!$G$4:$AK$4,"")))</f>
        <v/>
      </c>
      <c r="AC41" t="str">
        <f t="array" ref="AC41">IF($Q41="","",_xlfn.TEXTJOIN(", ",TRUE,IF(DEZ!$G43:$AK43="FL",DEZ!$G$4:$AK$4,"")))</f>
        <v/>
      </c>
      <c r="AD41">
        <f>IF($Q41="","",COUNTIF(JAN!$G43:$AK43,"FL")+COUNTIF(FEV!$G43:$AK43,"FL")+COUNTIF(MAR!$G43:$AK43,"FL")+COUNTIF(ABR!$G43:$AK43,"FL")+COUNTIF(MAI!$G43:$AK43,"FL")+COUNTIF(JUN!$G43:$AK43,"FL")+COUNTIF(JUL!$G43:$AK43,"FL")+COUNTIF(AGO!$G43:$AK43,"FL")+COUNTIF(SET!$G43:$AK43,"FL")+COUNTIF(OUT!$G43:$AK43,"FL")+COUNTIF(NOV!$G43:$AK43,"FL")+COUNTIF(DEZ!$G43:$AK43,"FL"))</f>
        <v>1</v>
      </c>
      <c r="AF41">
        <f>IF(AND($Q41&lt;&gt;"",N($AD41)&gt;0),COUNT($AF$3:AF40)+1,"")</f>
        <v>22</v>
      </c>
    </row>
    <row r="42" spans="1:32" hidden="1" outlineLevel="1" x14ac:dyDescent="0.25">
      <c r="A42" s="35" t="str">
        <f>IFERROR(INDEX($Q$4:$Q$153,MATCH(ROWS($A$4:A42),$AF$4:$AF$153,0)),"")</f>
        <v>FLAVIO TEMPORARIO</v>
      </c>
      <c r="B42" s="35" t="str">
        <f>IFERROR(INDEX($R$4:$R$153,MATCH(ROWS($A$4:A42),$AF$4:$AF$153,0)),"")</f>
        <v/>
      </c>
      <c r="C42" s="35" t="str">
        <f>IFERROR(INDEX($S$4:$S$153,MATCH(ROWS($A$4:A42),$AF$4:$AF$153,0)),"")</f>
        <v/>
      </c>
      <c r="D42" s="35" t="str">
        <f>IFERROR(INDEX($T$4:$T$153,MATCH(ROWS($A$4:A42),$AF$4:$AF$153,0)),"")</f>
        <v/>
      </c>
      <c r="E42" s="35" t="str">
        <f>IFERROR(INDEX($U$4:$U$153,MATCH(ROWS($A$4:A42),$AF$4:$AF$153,0)),"")</f>
        <v/>
      </c>
      <c r="F42" s="35" t="str">
        <f>IFERROR(INDEX($V$4:$V$153,MATCH(ROWS($A$4:A42),$AF$4:$AF$153,0)),"")</f>
        <v/>
      </c>
      <c r="G42" s="35" t="str">
        <f>IFERROR(INDEX($W$4:$W$153,MATCH(ROWS($A$4:A42),$AF$4:$AF$153,0)),"")</f>
        <v/>
      </c>
      <c r="H42" s="35" t="str">
        <f>IFERROR(INDEX($X$4:$X$153,MATCH(ROWS($A$4:A42),$AF$4:$AF$153,0)),"")</f>
        <v/>
      </c>
      <c r="I42" s="72" t="str">
        <f>IFERROR(INDEX($Y$4:$Y$153,MATCH(ROWS($A$4:A42),$AF$4:$AF$153,0)),"")</f>
        <v>13</v>
      </c>
      <c r="J42" s="35" t="str">
        <f>IFERROR(INDEX($Z$4:$Z$153,MATCH(ROWS($A$4:A42),$AF$4:$AF$153,0)),"")</f>
        <v/>
      </c>
      <c r="K42" s="35" t="str">
        <f>IFERROR(INDEX($AA$4:$AA$153,MATCH(ROWS($A$4:A42),$AF$4:$AF$153,0)),"")</f>
        <v/>
      </c>
      <c r="L42" s="35" t="str">
        <f>IFERROR(INDEX($AB$4:$AB$153,MATCH(ROWS($A$4:A42),$AF$4:$AF$153,0)),"")</f>
        <v/>
      </c>
      <c r="M42" s="35" t="str">
        <f>IFERROR(INDEX($AC$4:$AC$153,MATCH(ROWS($A$4:A42),$AF$4:$AF$153,0)),"")</f>
        <v/>
      </c>
      <c r="N42" s="35">
        <f>IFERROR(INDEX($AD$4:$AD$153,MATCH(ROWS($A$4:A42),$AF$4:$AF$153,0)),"")</f>
        <v>1</v>
      </c>
      <c r="Q42" t="str">
        <f>T(JAN!B44)</f>
        <v>DAVI FARIAS 141501</v>
      </c>
      <c r="R42" t="str">
        <f t="array" ref="R42">IF($Q42="","",_xlfn.TEXTJOIN(", ",TRUE,IF(JAN!$G44:$AK44="FL",JAN!$G$4:$AK$4,"")))</f>
        <v/>
      </c>
      <c r="S42" t="str">
        <f t="array" ref="S42">IF($Q42="","",_xlfn.TEXTJOIN(", ",TRUE,IF(FEV!$G44:$AK44="FL",FEV!$G$4:$AK$4,"")))</f>
        <v/>
      </c>
      <c r="T42" t="str">
        <f t="array" ref="T42">IF($Q42="","",_xlfn.TEXTJOIN(", ",TRUE,IF(MAR!$G44:$AK44="FL",MAR!$G$4:$AK$4,"")))</f>
        <v/>
      </c>
      <c r="U42" t="str">
        <f t="array" ref="U42">IF($Q42="","",_xlfn.TEXTJOIN(", ",TRUE,IF(ABR!$G44:$AK44="FL",ABR!$G$4:$AK$4,"")))</f>
        <v/>
      </c>
      <c r="V42" t="str">
        <f t="array" ref="V42">IF($Q42="","",_xlfn.TEXTJOIN(", ",TRUE,IF(MAI!$G44:$AK44="FL",MAI!$G$4:$AK$4,"")))</f>
        <v/>
      </c>
      <c r="W42" t="str">
        <f t="array" ref="W42">IF($Q42="","",_xlfn.TEXTJOIN(", ",TRUE,IF(JUN!$G44:$AK44="FL",JUN!$G$4:$AK$4,"")))</f>
        <v/>
      </c>
      <c r="X42" t="str">
        <f t="array" ref="X42">IF($Q42="","",_xlfn.TEXTJOIN(", ",TRUE,IF(JUL!$G44:$AK44="FL",JUL!$G$4:$AK$4,"")))</f>
        <v/>
      </c>
      <c r="Y42" t="str">
        <f t="array" ref="Y42">IF($Q42="","",_xlfn.TEXTJOIN(", ",TRUE,IF(AGO!$G44:$AK44="FL",AGO!$G$4:$AK$4,"")))</f>
        <v/>
      </c>
      <c r="Z42" t="str">
        <f t="array" ref="Z42">IF($Q42="","",_xlfn.TEXTJOIN(", ",TRUE,IF(SET!$G44:$AK44="FL",SET!$G$4:$AK$4,"")))</f>
        <v/>
      </c>
      <c r="AA42" t="str">
        <f t="array" ref="AA42">IF($Q42="","",_xlfn.TEXTJOIN(", ",TRUE,IF(OUT!$G44:$AK44="FL",OUT!$G$4:$AK$4,"")))</f>
        <v/>
      </c>
      <c r="AB42" t="str">
        <f t="array" ref="AB42">IF($Q42="","",_xlfn.TEXTJOIN(", ",TRUE,IF(NOV!$G44:$AK44="FL",NOV!$G$4:$AK$4,"")))</f>
        <v/>
      </c>
      <c r="AC42" t="str">
        <f t="array" ref="AC42">IF($Q42="","",_xlfn.TEXTJOIN(", ",TRUE,IF(DEZ!$G44:$AK44="FL",DEZ!$G$4:$AK$4,"")))</f>
        <v/>
      </c>
      <c r="AD42">
        <f>IF($Q42="","",COUNTIF(JAN!$G44:$AK44,"FL")+COUNTIF(FEV!$G44:$AK44,"FL")+COUNTIF(MAR!$G44:$AK44,"FL")+COUNTIF(ABR!$G44:$AK44,"FL")+COUNTIF(MAI!$G44:$AK44,"FL")+COUNTIF(JUN!$G44:$AK44,"FL")+COUNTIF(JUL!$G44:$AK44,"FL")+COUNTIF(AGO!$G44:$AK44,"FL")+COUNTIF(SET!$G44:$AK44,"FL")+COUNTIF(OUT!$G44:$AK44,"FL")+COUNTIF(NOV!$G44:$AK44,"FL")+COUNTIF(DEZ!$G44:$AK44,"FL"))</f>
        <v>0</v>
      </c>
      <c r="AF42" t="str">
        <f>IF(AND($Q42&lt;&gt;"",N($AD42)&gt;0),COUNT($AF$3:AF41)+1,"")</f>
        <v/>
      </c>
    </row>
    <row r="43" spans="1:32" hidden="1" outlineLevel="1" x14ac:dyDescent="0.25">
      <c r="A43" s="35" t="str">
        <f>IFERROR(INDEX($Q$4:$Q$153,MATCH(ROWS($A$4:A43),$AF$4:$AF$153,0)),"")</f>
        <v>MARCIO DUARTE 434601</v>
      </c>
      <c r="B43" s="35" t="str">
        <f>IFERROR(INDEX($R$4:$R$153,MATCH(ROWS($A$4:A43),$AF$4:$AF$153,0)),"")</f>
        <v/>
      </c>
      <c r="C43" s="35" t="str">
        <f>IFERROR(INDEX($S$4:$S$153,MATCH(ROWS($A$4:A43),$AF$4:$AF$153,0)),"")</f>
        <v/>
      </c>
      <c r="D43" s="35" t="str">
        <f>IFERROR(INDEX($T$4:$T$153,MATCH(ROWS($A$4:A43),$AF$4:$AF$153,0)),"")</f>
        <v/>
      </c>
      <c r="E43" s="35" t="str">
        <f>IFERROR(INDEX($U$4:$U$153,MATCH(ROWS($A$4:A43),$AF$4:$AF$153,0)),"")</f>
        <v/>
      </c>
      <c r="F43" s="35" t="str">
        <f>IFERROR(INDEX($V$4:$V$153,MATCH(ROWS($A$4:A43),$AF$4:$AF$153,0)),"")</f>
        <v/>
      </c>
      <c r="G43" s="35" t="str">
        <f>IFERROR(INDEX($W$4:$W$153,MATCH(ROWS($A$4:A43),$AF$4:$AF$153,0)),"")</f>
        <v/>
      </c>
      <c r="H43" s="35" t="str">
        <f>IFERROR(INDEX($X$4:$X$153,MATCH(ROWS($A$4:A43),$AF$4:$AF$153,0)),"")</f>
        <v/>
      </c>
      <c r="I43" s="72" t="str">
        <f>IFERROR(INDEX($Y$4:$Y$153,MATCH(ROWS($A$4:A43),$AF$4:$AF$153,0)),"")</f>
        <v>31</v>
      </c>
      <c r="J43" s="35" t="str">
        <f>IFERROR(INDEX($Z$4:$Z$153,MATCH(ROWS($A$4:A43),$AF$4:$AF$153,0)),"")</f>
        <v>25</v>
      </c>
      <c r="K43" s="35" t="str">
        <f>IFERROR(INDEX($AA$4:$AA$153,MATCH(ROWS($A$4:A43),$AF$4:$AF$153,0)),"")</f>
        <v/>
      </c>
      <c r="L43" s="35" t="str">
        <f>IFERROR(INDEX($AB$4:$AB$153,MATCH(ROWS($A$4:A43),$AF$4:$AF$153,0)),"")</f>
        <v/>
      </c>
      <c r="M43" s="35" t="str">
        <f>IFERROR(INDEX($AC$4:$AC$153,MATCH(ROWS($A$4:A43),$AF$4:$AF$153,0)),"")</f>
        <v/>
      </c>
      <c r="N43" s="35">
        <f>IFERROR(INDEX($AD$4:$AD$153,MATCH(ROWS($A$4:A43),$AF$4:$AF$153,0)),"")</f>
        <v>2</v>
      </c>
      <c r="Q43" t="str">
        <f>T(JAN!B45)</f>
        <v>JEAN MARTINS 37002258</v>
      </c>
      <c r="R43" t="str">
        <f t="array" ref="R43">IF($Q43="","",_xlfn.TEXTJOIN(", ",TRUE,IF(JAN!$G45:$AK45="FL",JAN!$G$4:$AK$4,"")))</f>
        <v/>
      </c>
      <c r="S43" t="str">
        <f t="array" ref="S43">IF($Q43="","",_xlfn.TEXTJOIN(", ",TRUE,IF(FEV!$G45:$AK45="FL",FEV!$G$4:$AK$4,"")))</f>
        <v/>
      </c>
      <c r="T43" t="str">
        <f t="array" ref="T43">IF($Q43="","",_xlfn.TEXTJOIN(", ",TRUE,IF(MAR!$G45:$AK45="FL",MAR!$G$4:$AK$4,"")))</f>
        <v/>
      </c>
      <c r="U43" t="str">
        <f t="array" ref="U43">IF($Q43="","",_xlfn.TEXTJOIN(", ",TRUE,IF(ABR!$G45:$AK45="FL",ABR!$G$4:$AK$4,"")))</f>
        <v/>
      </c>
      <c r="V43" t="str">
        <f t="array" ref="V43">IF($Q43="","",_xlfn.TEXTJOIN(", ",TRUE,IF(MAI!$G45:$AK45="FL",MAI!$G$4:$AK$4,"")))</f>
        <v/>
      </c>
      <c r="W43" t="str">
        <f t="array" ref="W43">IF($Q43="","",_xlfn.TEXTJOIN(", ",TRUE,IF(JUN!$G45:$AK45="FL",JUN!$G$4:$AK$4,"")))</f>
        <v/>
      </c>
      <c r="X43" t="str">
        <f t="array" ref="X43">IF($Q43="","",_xlfn.TEXTJOIN(", ",TRUE,IF(JUL!$G45:$AK45="FL",JUL!$G$4:$AK$4,"")))</f>
        <v/>
      </c>
      <c r="Y43" t="str">
        <f t="array" ref="Y43">IF($Q43="","",_xlfn.TEXTJOIN(", ",TRUE,IF(AGO!$G45:$AK45="FL",AGO!$G$4:$AK$4,"")))</f>
        <v/>
      </c>
      <c r="Z43" t="str">
        <f t="array" ref="Z43">IF($Q43="","",_xlfn.TEXTJOIN(", ",TRUE,IF(SET!$G45:$AK45="FL",SET!$G$4:$AK$4,"")))</f>
        <v/>
      </c>
      <c r="AA43" t="str">
        <f t="array" ref="AA43">IF($Q43="","",_xlfn.TEXTJOIN(", ",TRUE,IF(OUT!$G45:$AK45="FL",OUT!$G$4:$AK$4,"")))</f>
        <v/>
      </c>
      <c r="AB43" t="str">
        <f t="array" ref="AB43">IF($Q43="","",_xlfn.TEXTJOIN(", ",TRUE,IF(NOV!$G45:$AK45="FL",NOV!$G$4:$AK$4,"")))</f>
        <v/>
      </c>
      <c r="AC43" t="str">
        <f t="array" ref="AC43">IF($Q43="","",_xlfn.TEXTJOIN(", ",TRUE,IF(DEZ!$G45:$AK45="FL",DEZ!$G$4:$AK$4,"")))</f>
        <v/>
      </c>
      <c r="AD43">
        <f>IF($Q43="","",COUNTIF(JAN!$G45:$AK45,"FL")+COUNTIF(FEV!$G45:$AK45,"FL")+COUNTIF(MAR!$G45:$AK45,"FL")+COUNTIF(ABR!$G45:$AK45,"FL")+COUNTIF(MAI!$G45:$AK45,"FL")+COUNTIF(JUN!$G45:$AK45,"FL")+COUNTIF(JUL!$G45:$AK45,"FL")+COUNTIF(AGO!$G45:$AK45,"FL")+COUNTIF(SET!$G45:$AK45,"FL")+COUNTIF(OUT!$G45:$AK45,"FL")+COUNTIF(NOV!$G45:$AK45,"FL")+COUNTIF(DEZ!$G45:$AK45,"FL"))</f>
        <v>0</v>
      </c>
      <c r="AF43" t="str">
        <f>IF(AND($Q43&lt;&gt;"",N($AD43)&gt;0),COUNT($AF$3:AF42)+1,"")</f>
        <v/>
      </c>
    </row>
    <row r="44" spans="1:32" hidden="1" outlineLevel="1" x14ac:dyDescent="0.25">
      <c r="A44" s="35" t="str">
        <f>IFERROR(INDEX($Q$4:$Q$153,MATCH(ROWS($A$4:A44),$AF$4:$AF$153,0)),"")</f>
        <v>DEIVIDE TEMPORARIO</v>
      </c>
      <c r="B44" s="35" t="str">
        <f>IFERROR(INDEX($R$4:$R$153,MATCH(ROWS($A$4:A44),$AF$4:$AF$153,0)),"")</f>
        <v/>
      </c>
      <c r="C44" s="35" t="str">
        <f>IFERROR(INDEX($S$4:$S$153,MATCH(ROWS($A$4:A44),$AF$4:$AF$153,0)),"")</f>
        <v/>
      </c>
      <c r="D44" s="35" t="str">
        <f>IFERROR(INDEX($T$4:$T$153,MATCH(ROWS($A$4:A44),$AF$4:$AF$153,0)),"")</f>
        <v/>
      </c>
      <c r="E44" s="35" t="str">
        <f>IFERROR(INDEX($U$4:$U$153,MATCH(ROWS($A$4:A44),$AF$4:$AF$153,0)),"")</f>
        <v/>
      </c>
      <c r="F44" s="35" t="str">
        <f>IFERROR(INDEX($V$4:$V$153,MATCH(ROWS($A$4:A44),$AF$4:$AF$153,0)),"")</f>
        <v/>
      </c>
      <c r="G44" s="35" t="str">
        <f>IFERROR(INDEX($W$4:$W$153,MATCH(ROWS($A$4:A44),$AF$4:$AF$153,0)),"")</f>
        <v/>
      </c>
      <c r="H44" s="35" t="str">
        <f>IFERROR(INDEX($X$4:$X$153,MATCH(ROWS($A$4:A44),$AF$4:$AF$153,0)),"")</f>
        <v/>
      </c>
      <c r="I44" s="72" t="str">
        <f>IFERROR(INDEX($Y$4:$Y$153,MATCH(ROWS($A$4:A44),$AF$4:$AF$153,0)),"")</f>
        <v>22</v>
      </c>
      <c r="J44" s="35" t="str">
        <f>IFERROR(INDEX($Z$4:$Z$153,MATCH(ROWS($A$4:A44),$AF$4:$AF$153,0)),"")</f>
        <v/>
      </c>
      <c r="K44" s="35" t="str">
        <f>IFERROR(INDEX($AA$4:$AA$153,MATCH(ROWS($A$4:A44),$AF$4:$AF$153,0)),"")</f>
        <v>13</v>
      </c>
      <c r="L44" s="35" t="str">
        <f>IFERROR(INDEX($AB$4:$AB$153,MATCH(ROWS($A$4:A44),$AF$4:$AF$153,0)),"")</f>
        <v/>
      </c>
      <c r="M44" s="35" t="str">
        <f>IFERROR(INDEX($AC$4:$AC$153,MATCH(ROWS($A$4:A44),$AF$4:$AF$153,0)),"")</f>
        <v/>
      </c>
      <c r="N44" s="35">
        <f>IFERROR(INDEX($AD$4:$AD$153,MATCH(ROWS($A$4:A44),$AF$4:$AF$153,0)),"")</f>
        <v>2</v>
      </c>
      <c r="Q44" t="str">
        <f>T(JAN!B46)</f>
        <v>LORENZO LOPES 246601</v>
      </c>
      <c r="R44" t="str">
        <f t="array" ref="R44">IF($Q44="","",_xlfn.TEXTJOIN(", ",TRUE,IF(JAN!$G46:$AK46="FL",JAN!$G$4:$AK$4,"")))</f>
        <v/>
      </c>
      <c r="S44" t="str">
        <f t="array" ref="S44">IF($Q44="","",_xlfn.TEXTJOIN(", ",TRUE,IF(FEV!$G46:$AK46="FL",FEV!$G$4:$AK$4,"")))</f>
        <v/>
      </c>
      <c r="T44" t="str">
        <f t="array" ref="T44">IF($Q44="","",_xlfn.TEXTJOIN(", ",TRUE,IF(MAR!$G46:$AK46="FL",MAR!$G$4:$AK$4,"")))</f>
        <v/>
      </c>
      <c r="U44" t="str">
        <f t="array" ref="U44">IF($Q44="","",_xlfn.TEXTJOIN(", ",TRUE,IF(ABR!$G46:$AK46="FL",ABR!$G$4:$AK$4,"")))</f>
        <v/>
      </c>
      <c r="V44" t="str">
        <f t="array" ref="V44">IF($Q44="","",_xlfn.TEXTJOIN(", ",TRUE,IF(MAI!$G46:$AK46="FL",MAI!$G$4:$AK$4,"")))</f>
        <v/>
      </c>
      <c r="W44" t="str">
        <f t="array" ref="W44">IF($Q44="","",_xlfn.TEXTJOIN(", ",TRUE,IF(JUN!$G46:$AK46="FL",JUN!$G$4:$AK$4,"")))</f>
        <v/>
      </c>
      <c r="X44" t="str">
        <f t="array" ref="X44">IF($Q44="","",_xlfn.TEXTJOIN(", ",TRUE,IF(JUL!$G46:$AK46="FL",JUL!$G$4:$AK$4,"")))</f>
        <v/>
      </c>
      <c r="Y44" t="str">
        <f t="array" ref="Y44">IF($Q44="","",_xlfn.TEXTJOIN(", ",TRUE,IF(AGO!$G46:$AK46="FL",AGO!$G$4:$AK$4,"")))</f>
        <v/>
      </c>
      <c r="Z44" t="str">
        <f t="array" ref="Z44">IF($Q44="","",_xlfn.TEXTJOIN(", ",TRUE,IF(SET!$G46:$AK46="FL",SET!$G$4:$AK$4,"")))</f>
        <v/>
      </c>
      <c r="AA44" t="str">
        <f t="array" ref="AA44">IF($Q44="","",_xlfn.TEXTJOIN(", ",TRUE,IF(OUT!$G46:$AK46="FL",OUT!$G$4:$AK$4,"")))</f>
        <v/>
      </c>
      <c r="AB44" t="str">
        <f t="array" ref="AB44">IF($Q44="","",_xlfn.TEXTJOIN(", ",TRUE,IF(NOV!$G46:$AK46="FL",NOV!$G$4:$AK$4,"")))</f>
        <v/>
      </c>
      <c r="AC44" t="str">
        <f t="array" ref="AC44">IF($Q44="","",_xlfn.TEXTJOIN(", ",TRUE,IF(DEZ!$G46:$AK46="FL",DEZ!$G$4:$AK$4,"")))</f>
        <v/>
      </c>
      <c r="AD44">
        <f>IF($Q44="","",COUNTIF(JAN!$G46:$AK46,"FL")+COUNTIF(FEV!$G46:$AK46,"FL")+COUNTIF(MAR!$G46:$AK46,"FL")+COUNTIF(ABR!$G46:$AK46,"FL")+COUNTIF(MAI!$G46:$AK46,"FL")+COUNTIF(JUN!$G46:$AK46,"FL")+COUNTIF(JUL!$G46:$AK46,"FL")+COUNTIF(AGO!$G46:$AK46,"FL")+COUNTIF(SET!$G46:$AK46,"FL")+COUNTIF(OUT!$G46:$AK46,"FL")+COUNTIF(NOV!$G46:$AK46,"FL")+COUNTIF(DEZ!$G46:$AK46,"FL"))</f>
        <v>0</v>
      </c>
      <c r="AF44" t="str">
        <f>IF(AND($Q44&lt;&gt;"",N($AD44)&gt;0),COUNT($AF$3:AF43)+1,"")</f>
        <v/>
      </c>
    </row>
    <row r="45" spans="1:32" hidden="1" outlineLevel="1" x14ac:dyDescent="0.25">
      <c r="A45" s="35" t="str">
        <f>IFERROR(INDEX($Q$4:$Q$153,MATCH(ROWS($A$4:A45),$AF$4:$AF$153,0)),"")</f>
        <v>MARLON TEMPORÁRIO</v>
      </c>
      <c r="B45" s="35" t="str">
        <f>IFERROR(INDEX($R$4:$R$153,MATCH(ROWS($A$4:A45),$AF$4:$AF$153,0)),"")</f>
        <v/>
      </c>
      <c r="C45" s="35" t="str">
        <f>IFERROR(INDEX($S$4:$S$153,MATCH(ROWS($A$4:A45),$AF$4:$AF$153,0)),"")</f>
        <v/>
      </c>
      <c r="D45" s="35" t="str">
        <f>IFERROR(INDEX($T$4:$T$153,MATCH(ROWS($A$4:A45),$AF$4:$AF$153,0)),"")</f>
        <v/>
      </c>
      <c r="E45" s="35" t="str">
        <f>IFERROR(INDEX($U$4:$U$153,MATCH(ROWS($A$4:A45),$AF$4:$AF$153,0)),"")</f>
        <v/>
      </c>
      <c r="F45" s="35" t="str">
        <f>IFERROR(INDEX($V$4:$V$153,MATCH(ROWS($A$4:A45),$AF$4:$AF$153,0)),"")</f>
        <v/>
      </c>
      <c r="G45" s="35" t="str">
        <f>IFERROR(INDEX($W$4:$W$153,MATCH(ROWS($A$4:A45),$AF$4:$AF$153,0)),"")</f>
        <v/>
      </c>
      <c r="H45" s="35" t="str">
        <f>IFERROR(INDEX($X$4:$X$153,MATCH(ROWS($A$4:A45),$AF$4:$AF$153,0)),"")</f>
        <v/>
      </c>
      <c r="I45" s="72" t="str">
        <f>IFERROR(INDEX($Y$4:$Y$153,MATCH(ROWS($A$4:A45),$AF$4:$AF$153,0)),"")</f>
        <v>20</v>
      </c>
      <c r="J45" s="35" t="str">
        <f>IFERROR(INDEX($Z$4:$Z$153,MATCH(ROWS($A$4:A45),$AF$4:$AF$153,0)),"")</f>
        <v/>
      </c>
      <c r="K45" s="35" t="str">
        <f>IFERROR(INDEX($AA$4:$AA$153,MATCH(ROWS($A$4:A45),$AF$4:$AF$153,0)),"")</f>
        <v/>
      </c>
      <c r="L45" s="35" t="str">
        <f>IFERROR(INDEX($AB$4:$AB$153,MATCH(ROWS($A$4:A45),$AF$4:$AF$153,0)),"")</f>
        <v/>
      </c>
      <c r="M45" s="35" t="str">
        <f>IFERROR(INDEX($AC$4:$AC$153,MATCH(ROWS($A$4:A45),$AF$4:$AF$153,0)),"")</f>
        <v/>
      </c>
      <c r="N45" s="35">
        <f>IFERROR(INDEX($AD$4:$AD$153,MATCH(ROWS($A$4:A45),$AF$4:$AF$153,0)),"")</f>
        <v>1</v>
      </c>
      <c r="Q45" t="str">
        <f>T(JAN!B47)</f>
        <v>GERSON FALEIRO 317801</v>
      </c>
      <c r="R45" t="str">
        <f t="array" ref="R45">IF($Q45="","",_xlfn.TEXTJOIN(", ",TRUE,IF(JAN!$G47:$AK47="FL",JAN!$G$4:$AK$4,"")))</f>
        <v/>
      </c>
      <c r="S45" t="str">
        <f t="array" ref="S45">IF($Q45="","",_xlfn.TEXTJOIN(", ",TRUE,IF(FEV!$G47:$AK47="FL",FEV!$G$4:$AK$4,"")))</f>
        <v/>
      </c>
      <c r="T45" t="str">
        <f t="array" ref="T45">IF($Q45="","",_xlfn.TEXTJOIN(", ",TRUE,IF(MAR!$G47:$AK47="FL",MAR!$G$4:$AK$4,"")))</f>
        <v/>
      </c>
      <c r="U45" t="str">
        <f t="array" ref="U45">IF($Q45="","",_xlfn.TEXTJOIN(", ",TRUE,IF(ABR!$G47:$AK47="FL",ABR!$G$4:$AK$4,"")))</f>
        <v/>
      </c>
      <c r="V45" t="str">
        <f t="array" ref="V45">IF($Q45="","",_xlfn.TEXTJOIN(", ",TRUE,IF(MAI!$G47:$AK47="FL",MAI!$G$4:$AK$4,"")))</f>
        <v/>
      </c>
      <c r="W45" t="str">
        <f t="array" ref="W45">IF($Q45="","",_xlfn.TEXTJOIN(", ",TRUE,IF(JUN!$G47:$AK47="FL",JUN!$G$4:$AK$4,"")))</f>
        <v/>
      </c>
      <c r="X45" t="str">
        <f t="array" ref="X45">IF($Q45="","",_xlfn.TEXTJOIN(", ",TRUE,IF(JUL!$G47:$AK47="FL",JUL!$G$4:$AK$4,"")))</f>
        <v/>
      </c>
      <c r="Y45" t="str">
        <f t="array" ref="Y45">IF($Q45="","",_xlfn.TEXTJOIN(", ",TRUE,IF(AGO!$G47:$AK47="FL",AGO!$G$4:$AK$4,"")))</f>
        <v/>
      </c>
      <c r="Z45" t="str">
        <f t="array" ref="Z45">IF($Q45="","",_xlfn.TEXTJOIN(", ",TRUE,IF(SET!$G47:$AK47="FL",SET!$G$4:$AK$4,"")))</f>
        <v/>
      </c>
      <c r="AA45" t="str">
        <f t="array" ref="AA45">IF($Q45="","",_xlfn.TEXTJOIN(", ",TRUE,IF(OUT!$G47:$AK47="FL",OUT!$G$4:$AK$4,"")))</f>
        <v/>
      </c>
      <c r="AB45" t="str">
        <f t="array" ref="AB45">IF($Q45="","",_xlfn.TEXTJOIN(", ",TRUE,IF(NOV!$G47:$AK47="FL",NOV!$G$4:$AK$4,"")))</f>
        <v/>
      </c>
      <c r="AC45" t="str">
        <f t="array" ref="AC45">IF($Q45="","",_xlfn.TEXTJOIN(", ",TRUE,IF(DEZ!$G47:$AK47="FL",DEZ!$G$4:$AK$4,"")))</f>
        <v/>
      </c>
      <c r="AD45">
        <f>IF($Q45="","",COUNTIF(JAN!$G47:$AK47,"FL")+COUNTIF(FEV!$G47:$AK47,"FL")+COUNTIF(MAR!$G47:$AK47,"FL")+COUNTIF(ABR!$G47:$AK47,"FL")+COUNTIF(MAI!$G47:$AK47,"FL")+COUNTIF(JUN!$G47:$AK47,"FL")+COUNTIF(JUL!$G47:$AK47,"FL")+COUNTIF(AGO!$G47:$AK47,"FL")+COUNTIF(SET!$G47:$AK47,"FL")+COUNTIF(OUT!$G47:$AK47,"FL")+COUNTIF(NOV!$G47:$AK47,"FL")+COUNTIF(DEZ!$G47:$AK47,"FL"))</f>
        <v>0</v>
      </c>
      <c r="AF45" t="str">
        <f>IF(AND($Q45&lt;&gt;"",N($AD45)&gt;0),COUNT($AF$3:AF44)+1,"")</f>
        <v/>
      </c>
    </row>
    <row r="46" spans="1:32" hidden="1" outlineLevel="1" x14ac:dyDescent="0.25">
      <c r="A46" s="36" t="str">
        <f>IFERROR(INDEX($Q$4:$Q$153,MATCH(ROWS($A$4:A46),$AF$4:$AF$153,0)),"")</f>
        <v>GUILHERME CARMARGO TEMPORARIO</v>
      </c>
      <c r="B46" s="35" t="str">
        <f>IFERROR(INDEX($R$4:$R$153,MATCH(ROWS($A$4:A46),$AF$4:$AF$153,0)),"")</f>
        <v/>
      </c>
      <c r="C46" s="35" t="str">
        <f>IFERROR(INDEX($S$4:$S$153,MATCH(ROWS($A$4:A46),$AF$4:$AF$153,0)),"")</f>
        <v/>
      </c>
      <c r="D46" s="35" t="str">
        <f>IFERROR(INDEX($T$4:$T$153,MATCH(ROWS($A$4:A46),$AF$4:$AF$153,0)),"")</f>
        <v/>
      </c>
      <c r="E46" s="35" t="str">
        <f>IFERROR(INDEX($U$4:$U$153,MATCH(ROWS($A$4:A46),$AF$4:$AF$153,0)),"")</f>
        <v/>
      </c>
      <c r="F46" s="35" t="str">
        <f>IFERROR(INDEX($V$4:$V$153,MATCH(ROWS($A$4:A46),$AF$4:$AF$153,0)),"")</f>
        <v/>
      </c>
      <c r="G46" s="35" t="str">
        <f>IFERROR(INDEX($W$4:$W$153,MATCH(ROWS($A$4:A46),$AF$4:$AF$153,0)),"")</f>
        <v/>
      </c>
      <c r="H46" s="35" t="str">
        <f>IFERROR(INDEX($X$4:$X$153,MATCH(ROWS($A$4:A46),$AF$4:$AF$153,0)),"")</f>
        <v/>
      </c>
      <c r="I46" s="72" t="str">
        <f>IFERROR(INDEX($Y$4:$Y$153,MATCH(ROWS($A$4:A46),$AF$4:$AF$153,0)),"")</f>
        <v>20</v>
      </c>
      <c r="J46" s="35" t="str">
        <f>IFERROR(INDEX($Z$4:$Z$153,MATCH(ROWS($A$4:A46),$AF$4:$AF$153,0)),"")</f>
        <v/>
      </c>
      <c r="K46" s="35" t="str">
        <f>IFERROR(INDEX($AA$4:$AA$153,MATCH(ROWS($A$4:A46),$AF$4:$AF$153,0)),"")</f>
        <v/>
      </c>
      <c r="L46" s="35" t="str">
        <f>IFERROR(INDEX($AB$4:$AB$153,MATCH(ROWS($A$4:A46),$AF$4:$AF$153,0)),"")</f>
        <v/>
      </c>
      <c r="M46" s="35" t="str">
        <f>IFERROR(INDEX($AC$4:$AC$153,MATCH(ROWS($A$4:A46),$AF$4:$AF$153,0)),"")</f>
        <v/>
      </c>
      <c r="N46" s="35">
        <f>IFERROR(INDEX($AD$4:$AD$153,MATCH(ROWS($A$4:A46),$AF$4:$AF$153,0)),"")</f>
        <v>1</v>
      </c>
      <c r="Q46" t="str">
        <f>T(JAN!B48)</f>
        <v>EDENIR TRINDADE 389401</v>
      </c>
      <c r="R46" t="str">
        <f t="array" ref="R46">IF($Q46="","",_xlfn.TEXTJOIN(", ",TRUE,IF(JAN!$G48:$AK48="FL",JAN!$G$4:$AK$4,"")))</f>
        <v/>
      </c>
      <c r="S46" t="str">
        <f t="array" ref="S46">IF($Q46="","",_xlfn.TEXTJOIN(", ",TRUE,IF(FEV!$G48:$AK48="FL",FEV!$G$4:$AK$4,"")))</f>
        <v/>
      </c>
      <c r="T46" t="str">
        <f t="array" ref="T46">IF($Q46="","",_xlfn.TEXTJOIN(", ",TRUE,IF(MAR!$G48:$AK48="FL",MAR!$G$4:$AK$4,"")))</f>
        <v/>
      </c>
      <c r="U46" t="str">
        <f t="array" ref="U46">IF($Q46="","",_xlfn.TEXTJOIN(", ",TRUE,IF(ABR!$G48:$AK48="FL",ABR!$G$4:$AK$4,"")))</f>
        <v/>
      </c>
      <c r="V46" t="str">
        <f t="array" ref="V46">IF($Q46="","",_xlfn.TEXTJOIN(", ",TRUE,IF(MAI!$G48:$AK48="FL",MAI!$G$4:$AK$4,"")))</f>
        <v/>
      </c>
      <c r="W46" t="str">
        <f t="array" ref="W46">IF($Q46="","",_xlfn.TEXTJOIN(", ",TRUE,IF(JUN!$G48:$AK48="FL",JUN!$G$4:$AK$4,"")))</f>
        <v/>
      </c>
      <c r="X46" t="str">
        <f t="array" ref="X46">IF($Q46="","",_xlfn.TEXTJOIN(", ",TRUE,IF(JUL!$G48:$AK48="FL",JUL!$G$4:$AK$4,"")))</f>
        <v/>
      </c>
      <c r="Y46" t="str">
        <f t="array" ref="Y46">IF($Q46="","",_xlfn.TEXTJOIN(", ",TRUE,IF(AGO!$G48:$AK48="FL",AGO!$G$4:$AK$4,"")))</f>
        <v/>
      </c>
      <c r="Z46" t="str">
        <f t="array" ref="Z46">IF($Q46="","",_xlfn.TEXTJOIN(", ",TRUE,IF(SET!$G48:$AK48="FL",SET!$G$4:$AK$4,"")))</f>
        <v/>
      </c>
      <c r="AA46" t="str">
        <f t="array" ref="AA46">IF($Q46="","",_xlfn.TEXTJOIN(", ",TRUE,IF(OUT!$G48:$AK48="FL",OUT!$G$4:$AK$4,"")))</f>
        <v/>
      </c>
      <c r="AB46" t="str">
        <f t="array" ref="AB46">IF($Q46="","",_xlfn.TEXTJOIN(", ",TRUE,IF(NOV!$G48:$AK48="FL",NOV!$G$4:$AK$4,"")))</f>
        <v/>
      </c>
      <c r="AC46" t="str">
        <f t="array" ref="AC46">IF($Q46="","",_xlfn.TEXTJOIN(", ",TRUE,IF(DEZ!$G48:$AK48="FL",DEZ!$G$4:$AK$4,"")))</f>
        <v/>
      </c>
      <c r="AD46">
        <f>IF($Q46="","",COUNTIF(JAN!$G48:$AK48,"FL")+COUNTIF(FEV!$G48:$AK48,"FL")+COUNTIF(MAR!$G48:$AK48,"FL")+COUNTIF(ABR!$G48:$AK48,"FL")+COUNTIF(MAI!$G48:$AK48,"FL")+COUNTIF(JUN!$G48:$AK48,"FL")+COUNTIF(JUL!$G48:$AK48,"FL")+COUNTIF(AGO!$G48:$AK48,"FL")+COUNTIF(SET!$G48:$AK48,"FL")+COUNTIF(OUT!$G48:$AK48,"FL")+COUNTIF(NOV!$G48:$AK48,"FL")+COUNTIF(DEZ!$G48:$AK48,"FL"))</f>
        <v>0</v>
      </c>
      <c r="AF46" t="str">
        <f>IF(AND($Q46&lt;&gt;"",N($AD46)&gt;0),COUNT($AF$3:AF45)+1,"")</f>
        <v/>
      </c>
    </row>
    <row r="47" spans="1:32" hidden="1" outlineLevel="1" x14ac:dyDescent="0.25">
      <c r="A47" s="36" t="str">
        <f>IFERROR(INDEX($Q$4:$Q$153,MATCH(ROWS($A$4:A47),$AF$4:$AF$153,0)),"")</f>
        <v>PABLO TEMPORARIO</v>
      </c>
      <c r="B47" s="35" t="str">
        <f>IFERROR(INDEX($R$4:$R$153,MATCH(ROWS($A$4:A47),$AF$4:$AF$153,0)),"")</f>
        <v/>
      </c>
      <c r="C47" s="35" t="str">
        <f>IFERROR(INDEX($S$4:$S$153,MATCH(ROWS($A$4:A47),$AF$4:$AF$153,0)),"")</f>
        <v/>
      </c>
      <c r="D47" s="35" t="str">
        <f>IFERROR(INDEX($T$4:$T$153,MATCH(ROWS($A$4:A47),$AF$4:$AF$153,0)),"")</f>
        <v/>
      </c>
      <c r="E47" s="35" t="str">
        <f>IFERROR(INDEX($U$4:$U$153,MATCH(ROWS($A$4:A47),$AF$4:$AF$153,0)),"")</f>
        <v/>
      </c>
      <c r="F47" s="35" t="str">
        <f>IFERROR(INDEX($V$4:$V$153,MATCH(ROWS($A$4:A47),$AF$4:$AF$153,0)),"")</f>
        <v/>
      </c>
      <c r="G47" s="35" t="str">
        <f>IFERROR(INDEX($W$4:$W$153,MATCH(ROWS($A$4:A47),$AF$4:$AF$153,0)),"")</f>
        <v/>
      </c>
      <c r="H47" s="35" t="str">
        <f>IFERROR(INDEX($X$4:$X$153,MATCH(ROWS($A$4:A47),$AF$4:$AF$153,0)),"")</f>
        <v/>
      </c>
      <c r="I47" s="72" t="str">
        <f>IFERROR(INDEX($Y$4:$Y$153,MATCH(ROWS($A$4:A47),$AF$4:$AF$153,0)),"")</f>
        <v/>
      </c>
      <c r="J47" s="35" t="str">
        <f>IFERROR(INDEX($Z$4:$Z$153,MATCH(ROWS($A$4:A47),$AF$4:$AF$153,0)),"")</f>
        <v>4, 11, 14, 15, 18, 22</v>
      </c>
      <c r="K47" s="35" t="str">
        <f>IFERROR(INDEX($AA$4:$AA$153,MATCH(ROWS($A$4:A47),$AF$4:$AF$153,0)),"")</f>
        <v>3, 5, 6</v>
      </c>
      <c r="L47" s="35" t="str">
        <f>IFERROR(INDEX($AB$4:$AB$153,MATCH(ROWS($A$4:A47),$AF$4:$AF$153,0)),"")</f>
        <v/>
      </c>
      <c r="M47" s="35" t="str">
        <f>IFERROR(INDEX($AC$4:$AC$153,MATCH(ROWS($A$4:A47),$AF$4:$AF$153,0)),"")</f>
        <v/>
      </c>
      <c r="N47" s="35">
        <f>IFERROR(INDEX($AD$4:$AD$153,MATCH(ROWS($A$4:A47),$AF$4:$AF$153,0)),"")</f>
        <v>9</v>
      </c>
      <c r="Q47" t="str">
        <f>T(JAN!B49)</f>
        <v>VACIR PINTO 185201</v>
      </c>
      <c r="R47" t="str">
        <f t="array" ref="R47">IF($Q47="","",_xlfn.TEXTJOIN(", ",TRUE,IF(JAN!$G49:$AK49="FL",JAN!$G$4:$AK$4,"")))</f>
        <v/>
      </c>
      <c r="S47" t="str">
        <f t="array" ref="S47">IF($Q47="","",_xlfn.TEXTJOIN(", ",TRUE,IF(FEV!$G49:$AK49="FL",FEV!$G$4:$AK$4,"")))</f>
        <v/>
      </c>
      <c r="T47" t="str">
        <f t="array" ref="T47">IF($Q47="","",_xlfn.TEXTJOIN(", ",TRUE,IF(MAR!$G49:$AK49="FL",MAR!$G$4:$AK$4,"")))</f>
        <v/>
      </c>
      <c r="U47" t="str">
        <f t="array" ref="U47">IF($Q47="","",_xlfn.TEXTJOIN(", ",TRUE,IF(ABR!$G49:$AK49="FL",ABR!$G$4:$AK$4,"")))</f>
        <v/>
      </c>
      <c r="V47" t="str">
        <f t="array" ref="V47">IF($Q47="","",_xlfn.TEXTJOIN(", ",TRUE,IF(MAI!$G49:$AK49="FL",MAI!$G$4:$AK$4,"")))</f>
        <v/>
      </c>
      <c r="W47" t="str">
        <f t="array" ref="W47">IF($Q47="","",_xlfn.TEXTJOIN(", ",TRUE,IF(JUN!$G49:$AK49="FL",JUN!$G$4:$AK$4,"")))</f>
        <v/>
      </c>
      <c r="X47" t="str">
        <f t="array" ref="X47">IF($Q47="","",_xlfn.TEXTJOIN(", ",TRUE,IF(JUL!$G49:$AK49="FL",JUL!$G$4:$AK$4,"")))</f>
        <v/>
      </c>
      <c r="Y47" t="str">
        <f t="array" ref="Y47">IF($Q47="","",_xlfn.TEXTJOIN(", ",TRUE,IF(AGO!$G49:$AK49="FL",AGO!$G$4:$AK$4,"")))</f>
        <v/>
      </c>
      <c r="Z47" t="str">
        <f t="array" ref="Z47">IF($Q47="","",_xlfn.TEXTJOIN(", ",TRUE,IF(SET!$G49:$AK49="FL",SET!$G$4:$AK$4,"")))</f>
        <v/>
      </c>
      <c r="AA47" t="str">
        <f t="array" ref="AA47">IF($Q47="","",_xlfn.TEXTJOIN(", ",TRUE,IF(OUT!$G49:$AK49="FL",OUT!$G$4:$AK$4,"")))</f>
        <v/>
      </c>
      <c r="AB47" t="str">
        <f t="array" ref="AB47">IF($Q47="","",_xlfn.TEXTJOIN(", ",TRUE,IF(NOV!$G49:$AK49="FL",NOV!$G$4:$AK$4,"")))</f>
        <v/>
      </c>
      <c r="AC47" t="str">
        <f t="array" ref="AC47">IF($Q47="","",_xlfn.TEXTJOIN(", ",TRUE,IF(DEZ!$G49:$AK49="FL",DEZ!$G$4:$AK$4,"")))</f>
        <v/>
      </c>
      <c r="AD47">
        <f>IF($Q47="","",COUNTIF(JAN!$G49:$AK49,"FL")+COUNTIF(FEV!$G49:$AK49,"FL")+COUNTIF(MAR!$G49:$AK49,"FL")+COUNTIF(ABR!$G49:$AK49,"FL")+COUNTIF(MAI!$G49:$AK49,"FL")+COUNTIF(JUN!$G49:$AK49,"FL")+COUNTIF(JUL!$G49:$AK49,"FL")+COUNTIF(AGO!$G49:$AK49,"FL")+COUNTIF(SET!$G49:$AK49,"FL")+COUNTIF(OUT!$G49:$AK49,"FL")+COUNTIF(NOV!$G49:$AK49,"FL")+COUNTIF(DEZ!$G49:$AK49,"FL"))</f>
        <v>0</v>
      </c>
      <c r="AF47" t="str">
        <f>IF(AND($Q47&lt;&gt;"",N($AD47)&gt;0),COUNT($AF$3:AF46)+1,"")</f>
        <v/>
      </c>
    </row>
    <row r="48" spans="1:32" hidden="1" outlineLevel="1" x14ac:dyDescent="0.25">
      <c r="A48" s="36" t="str">
        <f>IFERROR(INDEX($Q$4:$Q$153,MATCH(ROWS($A$4:A48),$AF$4:$AF$153,0)),"")</f>
        <v>JOAQUIM TEMPORARIO</v>
      </c>
      <c r="B48" s="35" t="str">
        <f>IFERROR(INDEX($R$4:$R$153,MATCH(ROWS($A$4:A48),$AF$4:$AF$153,0)),"")</f>
        <v/>
      </c>
      <c r="C48" s="35" t="str">
        <f>IFERROR(INDEX($S$4:$S$153,MATCH(ROWS($A$4:A48),$AF$4:$AF$153,0)),"")</f>
        <v/>
      </c>
      <c r="D48" s="35" t="str">
        <f>IFERROR(INDEX($T$4:$T$153,MATCH(ROWS($A$4:A48),$AF$4:$AF$153,0)),"")</f>
        <v/>
      </c>
      <c r="E48" s="35" t="str">
        <f>IFERROR(INDEX($U$4:$U$153,MATCH(ROWS($A$4:A48),$AF$4:$AF$153,0)),"")</f>
        <v/>
      </c>
      <c r="F48" s="35" t="str">
        <f>IFERROR(INDEX($V$4:$V$153,MATCH(ROWS($A$4:A48),$AF$4:$AF$153,0)),"")</f>
        <v/>
      </c>
      <c r="G48" s="35" t="str">
        <f>IFERROR(INDEX($W$4:$W$153,MATCH(ROWS($A$4:A48),$AF$4:$AF$153,0)),"")</f>
        <v/>
      </c>
      <c r="H48" s="35" t="str">
        <f>IFERROR(INDEX($X$4:$X$153,MATCH(ROWS($A$4:A48),$AF$4:$AF$153,0)),"")</f>
        <v/>
      </c>
      <c r="I48" s="72" t="str">
        <f>IFERROR(INDEX($Y$4:$Y$153,MATCH(ROWS($A$4:A48),$AF$4:$AF$153,0)),"")</f>
        <v/>
      </c>
      <c r="J48" s="35" t="str">
        <f>IFERROR(INDEX($Z$4:$Z$153,MATCH(ROWS($A$4:A48),$AF$4:$AF$153,0)),"")</f>
        <v>9</v>
      </c>
      <c r="K48" s="35" t="str">
        <f>IFERROR(INDEX($AA$4:$AA$153,MATCH(ROWS($A$4:A48),$AF$4:$AF$153,0)),"")</f>
        <v>5, 13</v>
      </c>
      <c r="L48" s="35" t="str">
        <f>IFERROR(INDEX($AB$4:$AB$153,MATCH(ROWS($A$4:A48),$AF$4:$AF$153,0)),"")</f>
        <v/>
      </c>
      <c r="M48" s="35" t="str">
        <f>IFERROR(INDEX($AC$4:$AC$153,MATCH(ROWS($A$4:A48),$AF$4:$AF$153,0)),"")</f>
        <v/>
      </c>
      <c r="N48" s="35">
        <f>IFERROR(INDEX($AD$4:$AD$153,MATCH(ROWS($A$4:A48),$AF$4:$AF$153,0)),"")</f>
        <v>3</v>
      </c>
      <c r="Q48" t="str">
        <f>T(JAN!B50)</f>
        <v>DIEGO BOEIRA 125801</v>
      </c>
      <c r="R48" t="str">
        <f t="array" ref="R48">IF($Q48="","",_xlfn.TEXTJOIN(", ",TRUE,IF(JAN!$G50:$AK50="FL",JAN!$G$4:$AK$4,"")))</f>
        <v/>
      </c>
      <c r="S48" t="str">
        <f t="array" ref="S48">IF($Q48="","",_xlfn.TEXTJOIN(", ",TRUE,IF(FEV!$G50:$AK50="FL",FEV!$G$4:$AK$4,"")))</f>
        <v/>
      </c>
      <c r="T48" t="str">
        <f t="array" ref="T48">IF($Q48="","",_xlfn.TEXTJOIN(", ",TRUE,IF(MAR!$G50:$AK50="FL",MAR!$G$4:$AK$4,"")))</f>
        <v/>
      </c>
      <c r="U48" t="str">
        <f t="array" ref="U48">IF($Q48="","",_xlfn.TEXTJOIN(", ",TRUE,IF(ABR!$G50:$AK50="FL",ABR!$G$4:$AK$4,"")))</f>
        <v/>
      </c>
      <c r="V48" t="str">
        <f t="array" ref="V48">IF($Q48="","",_xlfn.TEXTJOIN(", ",TRUE,IF(MAI!$G50:$AK50="FL",MAI!$G$4:$AK$4,"")))</f>
        <v/>
      </c>
      <c r="W48" t="str">
        <f t="array" ref="W48">IF($Q48="","",_xlfn.TEXTJOIN(", ",TRUE,IF(JUN!$G50:$AK50="FL",JUN!$G$4:$AK$4,"")))</f>
        <v/>
      </c>
      <c r="X48" t="str">
        <f t="array" ref="X48">IF($Q48="","",_xlfn.TEXTJOIN(", ",TRUE,IF(JUL!$G50:$AK50="FL",JUL!$G$4:$AK$4,"")))</f>
        <v/>
      </c>
      <c r="Y48" t="str">
        <f t="array" ref="Y48">IF($Q48="","",_xlfn.TEXTJOIN(", ",TRUE,IF(AGO!$G50:$AK50="FL",AGO!$G$4:$AK$4,"")))</f>
        <v>7</v>
      </c>
      <c r="Z48" t="str">
        <f t="array" ref="Z48">IF($Q48="","",_xlfn.TEXTJOIN(", ",TRUE,IF(SET!$G50:$AK50="FL",SET!$G$4:$AK$4,"")))</f>
        <v>1, 14</v>
      </c>
      <c r="AA48" t="str">
        <f t="array" ref="AA48">IF($Q48="","",_xlfn.TEXTJOIN(", ",TRUE,IF(OUT!$G50:$AK50="FL",OUT!$G$4:$AK$4,"")))</f>
        <v>13</v>
      </c>
      <c r="AB48" t="str">
        <f t="array" ref="AB48">IF($Q48="","",_xlfn.TEXTJOIN(", ",TRUE,IF(NOV!$G50:$AK50="FL",NOV!$G$4:$AK$4,"")))</f>
        <v/>
      </c>
      <c r="AC48" t="str">
        <f t="array" ref="AC48">IF($Q48="","",_xlfn.TEXTJOIN(", ",TRUE,IF(DEZ!$G50:$AK50="FL",DEZ!$G$4:$AK$4,"")))</f>
        <v/>
      </c>
      <c r="AD48">
        <f>IF($Q48="","",COUNTIF(JAN!$G50:$AK50,"FL")+COUNTIF(FEV!$G50:$AK50,"FL")+COUNTIF(MAR!$G50:$AK50,"FL")+COUNTIF(ABR!$G50:$AK50,"FL")+COUNTIF(MAI!$G50:$AK50,"FL")+COUNTIF(JUN!$G50:$AK50,"FL")+COUNTIF(JUL!$G50:$AK50,"FL")+COUNTIF(AGO!$G50:$AK50,"FL")+COUNTIF(SET!$G50:$AK50,"FL")+COUNTIF(OUT!$G50:$AK50,"FL")+COUNTIF(NOV!$G50:$AK50,"FL")+COUNTIF(DEZ!$G50:$AK50,"FL"))</f>
        <v>4</v>
      </c>
      <c r="AF48">
        <f>IF(AND($Q48&lt;&gt;"",N($AD48)&gt;0),COUNT($AF$3:AF47)+1,"")</f>
        <v>23</v>
      </c>
    </row>
    <row r="49" spans="1:32" hidden="1" outlineLevel="1" x14ac:dyDescent="0.25">
      <c r="A49" s="36" t="str">
        <f>IFERROR(INDEX($Q$4:$Q$153,MATCH(ROWS($A$4:A49),$AF$4:$AF$153,0)),"")</f>
        <v>RAFAEL TEMPORARIO</v>
      </c>
      <c r="B49" s="35" t="str">
        <f>IFERROR(INDEX($R$4:$R$153,MATCH(ROWS($A$4:A49),$AF$4:$AF$153,0)),"")</f>
        <v/>
      </c>
      <c r="C49" s="35" t="str">
        <f>IFERROR(INDEX($S$4:$S$153,MATCH(ROWS($A$4:A49),$AF$4:$AF$153,0)),"")</f>
        <v/>
      </c>
      <c r="D49" s="35" t="str">
        <f>IFERROR(INDEX($T$4:$T$153,MATCH(ROWS($A$4:A49),$AF$4:$AF$153,0)),"")</f>
        <v/>
      </c>
      <c r="E49" s="35" t="str">
        <f>IFERROR(INDEX($U$4:$U$153,MATCH(ROWS($A$4:A49),$AF$4:$AF$153,0)),"")</f>
        <v/>
      </c>
      <c r="F49" s="35" t="str">
        <f>IFERROR(INDEX($V$4:$V$153,MATCH(ROWS($A$4:A49),$AF$4:$AF$153,0)),"")</f>
        <v/>
      </c>
      <c r="G49" s="35" t="str">
        <f>IFERROR(INDEX($W$4:$W$153,MATCH(ROWS($A$4:A49),$AF$4:$AF$153,0)),"")</f>
        <v/>
      </c>
      <c r="H49" s="35" t="str">
        <f>IFERROR(INDEX($X$4:$X$153,MATCH(ROWS($A$4:A49),$AF$4:$AF$153,0)),"")</f>
        <v/>
      </c>
      <c r="I49" s="72" t="str">
        <f>IFERROR(INDEX($Y$4:$Y$153,MATCH(ROWS($A$4:A49),$AF$4:$AF$153,0)),"")</f>
        <v/>
      </c>
      <c r="J49" s="35" t="str">
        <f>IFERROR(INDEX($Z$4:$Z$153,MATCH(ROWS($A$4:A49),$AF$4:$AF$153,0)),"")</f>
        <v>10, 14, 15, 16, 18, 22, 25</v>
      </c>
      <c r="K49" s="35" t="str">
        <f>IFERROR(INDEX($AA$4:$AA$153,MATCH(ROWS($A$4:A49),$AF$4:$AF$153,0)),"")</f>
        <v>5, 6</v>
      </c>
      <c r="L49" s="35" t="str">
        <f>IFERROR(INDEX($AB$4:$AB$153,MATCH(ROWS($A$4:A49),$AF$4:$AF$153,0)),"")</f>
        <v/>
      </c>
      <c r="M49" s="35" t="str">
        <f>IFERROR(INDEX($AC$4:$AC$153,MATCH(ROWS($A$4:A49),$AF$4:$AF$153,0)),"")</f>
        <v/>
      </c>
      <c r="N49" s="35">
        <f>IFERROR(INDEX($AD$4:$AD$153,MATCH(ROWS($A$4:A49),$AF$4:$AF$153,0)),"")</f>
        <v>9</v>
      </c>
      <c r="Q49" t="str">
        <f>T(JAN!B51)</f>
        <v>STEFAN KOVALICK 310001</v>
      </c>
      <c r="R49" t="str">
        <f t="array" ref="R49">IF($Q49="","",_xlfn.TEXTJOIN(", ",TRUE,IF(JAN!$G51:$AK51="FL",JAN!$G$4:$AK$4,"")))</f>
        <v/>
      </c>
      <c r="S49" t="str">
        <f t="array" ref="S49">IF($Q49="","",_xlfn.TEXTJOIN(", ",TRUE,IF(FEV!$G51:$AK51="FL",FEV!$G$4:$AK$4,"")))</f>
        <v/>
      </c>
      <c r="T49" t="str">
        <f t="array" ref="T49">IF($Q49="","",_xlfn.TEXTJOIN(", ",TRUE,IF(MAR!$G51:$AK51="FL",MAR!$G$4:$AK$4,"")))</f>
        <v/>
      </c>
      <c r="U49" t="str">
        <f t="array" ref="U49">IF($Q49="","",_xlfn.TEXTJOIN(", ",TRUE,IF(ABR!$G51:$AK51="FL",ABR!$G$4:$AK$4,"")))</f>
        <v/>
      </c>
      <c r="V49" t="str">
        <f t="array" ref="V49">IF($Q49="","",_xlfn.TEXTJOIN(", ",TRUE,IF(MAI!$G51:$AK51="FL",MAI!$G$4:$AK$4,"")))</f>
        <v/>
      </c>
      <c r="W49" t="str">
        <f t="array" ref="W49">IF($Q49="","",_xlfn.TEXTJOIN(", ",TRUE,IF(JUN!$G51:$AK51="FL",JUN!$G$4:$AK$4,"")))</f>
        <v/>
      </c>
      <c r="X49" t="str">
        <f t="array" ref="X49">IF($Q49="","",_xlfn.TEXTJOIN(", ",TRUE,IF(JUL!$G51:$AK51="FL",JUL!$G$4:$AK$4,"")))</f>
        <v/>
      </c>
      <c r="Y49" t="str">
        <f t="array" ref="Y49">IF($Q49="","",_xlfn.TEXTJOIN(", ",TRUE,IF(AGO!$G51:$AK51="FL",AGO!$G$4:$AK$4,"")))</f>
        <v/>
      </c>
      <c r="Z49" t="str">
        <f t="array" ref="Z49">IF($Q49="","",_xlfn.TEXTJOIN(", ",TRUE,IF(SET!$G51:$AK51="FL",SET!$G$4:$AK$4,"")))</f>
        <v>28</v>
      </c>
      <c r="AA49" t="str">
        <f t="array" ref="AA49">IF($Q49="","",_xlfn.TEXTJOIN(", ",TRUE,IF(OUT!$G51:$AK51="FL",OUT!$G$4:$AK$4,"")))</f>
        <v>5</v>
      </c>
      <c r="AB49" t="str">
        <f t="array" ref="AB49">IF($Q49="","",_xlfn.TEXTJOIN(", ",TRUE,IF(NOV!$G51:$AK51="FL",NOV!$G$4:$AK$4,"")))</f>
        <v/>
      </c>
      <c r="AC49" t="str">
        <f t="array" ref="AC49">IF($Q49="","",_xlfn.TEXTJOIN(", ",TRUE,IF(DEZ!$G51:$AK51="FL",DEZ!$G$4:$AK$4,"")))</f>
        <v/>
      </c>
      <c r="AD49">
        <f>IF($Q49="","",COUNTIF(JAN!$G51:$AK51,"FL")+COUNTIF(FEV!$G51:$AK51,"FL")+COUNTIF(MAR!$G51:$AK51,"FL")+COUNTIF(ABR!$G51:$AK51,"FL")+COUNTIF(MAI!$G51:$AK51,"FL")+COUNTIF(JUN!$G51:$AK51,"FL")+COUNTIF(JUL!$G51:$AK51,"FL")+COUNTIF(AGO!$G51:$AK51,"FL")+COUNTIF(SET!$G51:$AK51,"FL")+COUNTIF(OUT!$G51:$AK51,"FL")+COUNTIF(NOV!$G51:$AK51,"FL")+COUNTIF(DEZ!$G51:$AK51,"FL"))</f>
        <v>2</v>
      </c>
      <c r="AF49">
        <f>IF(AND($Q49&lt;&gt;"",N($AD49)&gt;0),COUNT($AF$3:AF48)+1,"")</f>
        <v>24</v>
      </c>
    </row>
    <row r="50" spans="1:32" hidden="1" outlineLevel="1" x14ac:dyDescent="0.25">
      <c r="A50" s="36" t="str">
        <f>IFERROR(INDEX($Q$4:$Q$153,MATCH(ROWS($A$4:A50),$AF$4:$AF$153,0)),"")</f>
        <v>VILSON TEMPORARIO</v>
      </c>
      <c r="B50" s="35" t="str">
        <f>IFERROR(INDEX($R$4:$R$153,MATCH(ROWS($A$4:A50),$AF$4:$AF$153,0)),"")</f>
        <v/>
      </c>
      <c r="C50" s="35" t="str">
        <f>IFERROR(INDEX($S$4:$S$153,MATCH(ROWS($A$4:A50),$AF$4:$AF$153,0)),"")</f>
        <v/>
      </c>
      <c r="D50" s="35" t="str">
        <f>IFERROR(INDEX($T$4:$T$153,MATCH(ROWS($A$4:A50),$AF$4:$AF$153,0)),"")</f>
        <v/>
      </c>
      <c r="E50" s="35" t="str">
        <f>IFERROR(INDEX($U$4:$U$153,MATCH(ROWS($A$4:A50),$AF$4:$AF$153,0)),"")</f>
        <v/>
      </c>
      <c r="F50" s="35" t="str">
        <f>IFERROR(INDEX($V$4:$V$153,MATCH(ROWS($A$4:A50),$AF$4:$AF$153,0)),"")</f>
        <v/>
      </c>
      <c r="G50" s="35" t="str">
        <f>IFERROR(INDEX($W$4:$W$153,MATCH(ROWS($A$4:A50),$AF$4:$AF$153,0)),"")</f>
        <v/>
      </c>
      <c r="H50" s="35" t="str">
        <f>IFERROR(INDEX($X$4:$X$153,MATCH(ROWS($A$4:A50),$AF$4:$AF$153,0)),"")</f>
        <v/>
      </c>
      <c r="I50" s="72" t="str">
        <f>IFERROR(INDEX($Y$4:$Y$153,MATCH(ROWS($A$4:A50),$AF$4:$AF$153,0)),"")</f>
        <v/>
      </c>
      <c r="J50" s="35" t="str">
        <f>IFERROR(INDEX($Z$4:$Z$153,MATCH(ROWS($A$4:A50),$AF$4:$AF$153,0)),"")</f>
        <v/>
      </c>
      <c r="K50" s="35" t="str">
        <f>IFERROR(INDEX($AA$4:$AA$153,MATCH(ROWS($A$4:A50),$AF$4:$AF$153,0)),"")</f>
        <v>6</v>
      </c>
      <c r="L50" s="35" t="str">
        <f>IFERROR(INDEX($AB$4:$AB$153,MATCH(ROWS($A$4:A50),$AF$4:$AF$153,0)),"")</f>
        <v/>
      </c>
      <c r="M50" s="35" t="str">
        <f>IFERROR(INDEX($AC$4:$AC$153,MATCH(ROWS($A$4:A50),$AF$4:$AF$153,0)),"")</f>
        <v/>
      </c>
      <c r="N50" s="35">
        <f>IFERROR(INDEX($AD$4:$AD$153,MATCH(ROWS($A$4:A50),$AF$4:$AF$153,0)),"")</f>
        <v>1</v>
      </c>
      <c r="Q50" t="str">
        <f>T(JAN!B52)</f>
        <v>JEFERSON SCHENA 309901</v>
      </c>
      <c r="R50" t="str">
        <f t="array" ref="R50">IF($Q50="","",_xlfn.TEXTJOIN(", ",TRUE,IF(JAN!$G52:$AK52="FL",JAN!$G$4:$AK$4,"")))</f>
        <v/>
      </c>
      <c r="S50" t="str">
        <f t="array" ref="S50">IF($Q50="","",_xlfn.TEXTJOIN(", ",TRUE,IF(FEV!$G52:$AK52="FL",FEV!$G$4:$AK$4,"")))</f>
        <v/>
      </c>
      <c r="T50" t="str">
        <f t="array" ref="T50">IF($Q50="","",_xlfn.TEXTJOIN(", ",TRUE,IF(MAR!$G52:$AK52="FL",MAR!$G$4:$AK$4,"")))</f>
        <v/>
      </c>
      <c r="U50" t="str">
        <f t="array" ref="U50">IF($Q50="","",_xlfn.TEXTJOIN(", ",TRUE,IF(ABR!$G52:$AK52="FL",ABR!$G$4:$AK$4,"")))</f>
        <v/>
      </c>
      <c r="V50" t="str">
        <f t="array" ref="V50">IF($Q50="","",_xlfn.TEXTJOIN(", ",TRUE,IF(MAI!$G52:$AK52="FL",MAI!$G$4:$AK$4,"")))</f>
        <v/>
      </c>
      <c r="W50" t="str">
        <f t="array" ref="W50">IF($Q50="","",_xlfn.TEXTJOIN(", ",TRUE,IF(JUN!$G52:$AK52="FL",JUN!$G$4:$AK$4,"")))</f>
        <v/>
      </c>
      <c r="X50" t="str">
        <f t="array" ref="X50">IF($Q50="","",_xlfn.TEXTJOIN(", ",TRUE,IF(JUL!$G52:$AK52="FL",JUL!$G$4:$AK$4,"")))</f>
        <v/>
      </c>
      <c r="Y50" t="str">
        <f t="array" ref="Y50">IF($Q50="","",_xlfn.TEXTJOIN(", ",TRUE,IF(AGO!$G52:$AK52="FL",AGO!$G$4:$AK$4,"")))</f>
        <v/>
      </c>
      <c r="Z50" t="str">
        <f t="array" ref="Z50">IF($Q50="","",_xlfn.TEXTJOIN(", ",TRUE,IF(SET!$G52:$AK52="FL",SET!$G$4:$AK$4,"")))</f>
        <v/>
      </c>
      <c r="AA50" t="str">
        <f t="array" ref="AA50">IF($Q50="","",_xlfn.TEXTJOIN(", ",TRUE,IF(OUT!$G52:$AK52="FL",OUT!$G$4:$AK$4,"")))</f>
        <v/>
      </c>
      <c r="AB50" t="str">
        <f t="array" ref="AB50">IF($Q50="","",_xlfn.TEXTJOIN(", ",TRUE,IF(NOV!$G52:$AK52="FL",NOV!$G$4:$AK$4,"")))</f>
        <v/>
      </c>
      <c r="AC50" t="str">
        <f t="array" ref="AC50">IF($Q50="","",_xlfn.TEXTJOIN(", ",TRUE,IF(DEZ!$G52:$AK52="FL",DEZ!$G$4:$AK$4,"")))</f>
        <v/>
      </c>
      <c r="AD50">
        <f>IF($Q50="","",COUNTIF(JAN!$G52:$AK52,"FL")+COUNTIF(FEV!$G52:$AK52,"FL")+COUNTIF(MAR!$G52:$AK52,"FL")+COUNTIF(ABR!$G52:$AK52,"FL")+COUNTIF(MAI!$G52:$AK52,"FL")+COUNTIF(JUN!$G52:$AK52,"FL")+COUNTIF(JUL!$G52:$AK52,"FL")+COUNTIF(AGO!$G52:$AK52,"FL")+COUNTIF(SET!$G52:$AK52,"FL")+COUNTIF(OUT!$G52:$AK52,"FL")+COUNTIF(NOV!$G52:$AK52,"FL")+COUNTIF(DEZ!$G52:$AK52,"FL"))</f>
        <v>0</v>
      </c>
      <c r="AF50" t="str">
        <f>IF(AND($Q50&lt;&gt;"",N($AD50)&gt;0),COUNT($AF$3:AF49)+1,"")</f>
        <v/>
      </c>
    </row>
    <row r="51" spans="1:32" hidden="1" outlineLevel="1" x14ac:dyDescent="0.25">
      <c r="A51" s="36" t="str">
        <f>IFERROR(INDEX($Q$4:$Q$153,MATCH(ROWS($A$4:A51),$AF$4:$AF$153,0)),"")</f>
        <v>MARCO TEMPORARIO</v>
      </c>
      <c r="B51" s="35" t="str">
        <f>IFERROR(INDEX($R$4:$R$153,MATCH(ROWS($A$4:A51),$AF$4:$AF$153,0)),"")</f>
        <v/>
      </c>
      <c r="C51" s="35" t="str">
        <f>IFERROR(INDEX($S$4:$S$153,MATCH(ROWS($A$4:A51),$AF$4:$AF$153,0)),"")</f>
        <v/>
      </c>
      <c r="D51" s="35" t="str">
        <f>IFERROR(INDEX($T$4:$T$153,MATCH(ROWS($A$4:A51),$AF$4:$AF$153,0)),"")</f>
        <v/>
      </c>
      <c r="E51" s="35" t="str">
        <f>IFERROR(INDEX($U$4:$U$153,MATCH(ROWS($A$4:A51),$AF$4:$AF$153,0)),"")</f>
        <v/>
      </c>
      <c r="F51" s="35" t="str">
        <f>IFERROR(INDEX($V$4:$V$153,MATCH(ROWS($A$4:A51),$AF$4:$AF$153,0)),"")</f>
        <v/>
      </c>
      <c r="G51" s="35" t="str">
        <f>IFERROR(INDEX($W$4:$W$153,MATCH(ROWS($A$4:A51),$AF$4:$AF$153,0)),"")</f>
        <v/>
      </c>
      <c r="H51" s="35" t="str">
        <f>IFERROR(INDEX($X$4:$X$153,MATCH(ROWS($A$4:A51),$AF$4:$AF$153,0)),"")</f>
        <v/>
      </c>
      <c r="I51" s="72" t="str">
        <f>IFERROR(INDEX($Y$4:$Y$153,MATCH(ROWS($A$4:A51),$AF$4:$AF$153,0)),"")</f>
        <v/>
      </c>
      <c r="J51" s="35" t="str">
        <f>IFERROR(INDEX($Z$4:$Z$153,MATCH(ROWS($A$4:A51),$AF$4:$AF$153,0)),"")</f>
        <v/>
      </c>
      <c r="K51" s="35" t="str">
        <f>IFERROR(INDEX($AA$4:$AA$153,MATCH(ROWS($A$4:A51),$AF$4:$AF$153,0)),"")</f>
        <v>6</v>
      </c>
      <c r="L51" s="35" t="str">
        <f>IFERROR(INDEX($AB$4:$AB$153,MATCH(ROWS($A$4:A51),$AF$4:$AF$153,0)),"")</f>
        <v/>
      </c>
      <c r="M51" s="35" t="str">
        <f>IFERROR(INDEX($AC$4:$AC$153,MATCH(ROWS($A$4:A51),$AF$4:$AF$153,0)),"")</f>
        <v/>
      </c>
      <c r="N51" s="35">
        <f>IFERROR(INDEX($AD$4:$AD$153,MATCH(ROWS($A$4:A51),$AF$4:$AF$153,0)),"")</f>
        <v>1</v>
      </c>
      <c r="Q51" t="str">
        <f>T(JAN!B53)</f>
        <v>ALEXANDRE ARAUJO 346001</v>
      </c>
      <c r="R51" t="str">
        <f t="array" ref="R51">IF($Q51="","",_xlfn.TEXTJOIN(", ",TRUE,IF(JAN!$G53:$AK53="FL",JAN!$G$4:$AK$4,"")))</f>
        <v/>
      </c>
      <c r="S51" t="str">
        <f t="array" ref="S51">IF($Q51="","",_xlfn.TEXTJOIN(", ",TRUE,IF(FEV!$G53:$AK53="FL",FEV!$G$4:$AK$4,"")))</f>
        <v/>
      </c>
      <c r="T51" t="str">
        <f t="array" ref="T51">IF($Q51="","",_xlfn.TEXTJOIN(", ",TRUE,IF(MAR!$G53:$AK53="FL",MAR!$G$4:$AK$4,"")))</f>
        <v/>
      </c>
      <c r="U51" t="str">
        <f t="array" ref="U51">IF($Q51="","",_xlfn.TEXTJOIN(", ",TRUE,IF(ABR!$G53:$AK53="FL",ABR!$G$4:$AK$4,"")))</f>
        <v/>
      </c>
      <c r="V51" t="str">
        <f t="array" ref="V51">IF($Q51="","",_xlfn.TEXTJOIN(", ",TRUE,IF(MAI!$G53:$AK53="FL",MAI!$G$4:$AK$4,"")))</f>
        <v/>
      </c>
      <c r="W51" t="str">
        <f t="array" ref="W51">IF($Q51="","",_xlfn.TEXTJOIN(", ",TRUE,IF(JUN!$G53:$AK53="FL",JUN!$G$4:$AK$4,"")))</f>
        <v/>
      </c>
      <c r="X51" t="str">
        <f t="array" ref="X51">IF($Q51="","",_xlfn.TEXTJOIN(", ",TRUE,IF(JUL!$G53:$AK53="FL",JUL!$G$4:$AK$4,"")))</f>
        <v/>
      </c>
      <c r="Y51" t="str">
        <f t="array" ref="Y51">IF($Q51="","",_xlfn.TEXTJOIN(", ",TRUE,IF(AGO!$G53:$AK53="FL",AGO!$G$4:$AK$4,"")))</f>
        <v>7</v>
      </c>
      <c r="Z51" t="str">
        <f t="array" ref="Z51">IF($Q51="","",_xlfn.TEXTJOIN(", ",TRUE,IF(SET!$G53:$AK53="FL",SET!$G$4:$AK$4,"")))</f>
        <v/>
      </c>
      <c r="AA51" t="str">
        <f t="array" ref="AA51">IF($Q51="","",_xlfn.TEXTJOIN(", ",TRUE,IF(OUT!$G53:$AK53="FL",OUT!$G$4:$AK$4,"")))</f>
        <v>5</v>
      </c>
      <c r="AB51" t="str">
        <f t="array" ref="AB51">IF($Q51="","",_xlfn.TEXTJOIN(", ",TRUE,IF(NOV!$G53:$AK53="FL",NOV!$G$4:$AK$4,"")))</f>
        <v/>
      </c>
      <c r="AC51" t="str">
        <f t="array" ref="AC51">IF($Q51="","",_xlfn.TEXTJOIN(", ",TRUE,IF(DEZ!$G53:$AK53="FL",DEZ!$G$4:$AK$4,"")))</f>
        <v/>
      </c>
      <c r="AD51">
        <f>IF($Q51="","",COUNTIF(JAN!$G53:$AK53,"FL")+COUNTIF(FEV!$G53:$AK53,"FL")+COUNTIF(MAR!$G53:$AK53,"FL")+COUNTIF(ABR!$G53:$AK53,"FL")+COUNTIF(MAI!$G53:$AK53,"FL")+COUNTIF(JUN!$G53:$AK53,"FL")+COUNTIF(JUL!$G53:$AK53,"FL")+COUNTIF(AGO!$G53:$AK53,"FL")+COUNTIF(SET!$G53:$AK53,"FL")+COUNTIF(OUT!$G53:$AK53,"FL")+COUNTIF(NOV!$G53:$AK53,"FL")+COUNTIF(DEZ!$G53:$AK53,"FL"))</f>
        <v>2</v>
      </c>
      <c r="AF51">
        <f>IF(AND($Q51&lt;&gt;"",N($AD51)&gt;0),COUNT($AF$3:AF50)+1,"")</f>
        <v>25</v>
      </c>
    </row>
    <row r="52" spans="1:32" hidden="1" outlineLevel="1" x14ac:dyDescent="0.25">
      <c r="A52" s="36" t="str">
        <f>IFERROR(INDEX($Q$4:$Q$153,MATCH(ROWS($A$4:A52),$AF$4:$AF$153,0)),"")</f>
        <v/>
      </c>
      <c r="B52" s="35" t="str">
        <f>IFERROR(INDEX($R$4:$R$153,MATCH(ROWS($A$4:A52),$AF$4:$AF$153,0)),"")</f>
        <v/>
      </c>
      <c r="C52" s="35" t="str">
        <f>IFERROR(INDEX($S$4:$S$153,MATCH(ROWS($A$4:A52),$AF$4:$AF$153,0)),"")</f>
        <v/>
      </c>
      <c r="D52" s="35" t="str">
        <f>IFERROR(INDEX($T$4:$T$153,MATCH(ROWS($A$4:A52),$AF$4:$AF$153,0)),"")</f>
        <v/>
      </c>
      <c r="E52" s="35" t="str">
        <f>IFERROR(INDEX($U$4:$U$153,MATCH(ROWS($A$4:A52),$AF$4:$AF$153,0)),"")</f>
        <v/>
      </c>
      <c r="F52" s="35" t="str">
        <f>IFERROR(INDEX($V$4:$V$153,MATCH(ROWS($A$4:A52),$AF$4:$AF$153,0)),"")</f>
        <v/>
      </c>
      <c r="G52" s="35" t="str">
        <f>IFERROR(INDEX($W$4:$W$153,MATCH(ROWS($A$4:A52),$AF$4:$AF$153,0)),"")</f>
        <v/>
      </c>
      <c r="H52" s="35" t="str">
        <f>IFERROR(INDEX($X$4:$X$153,MATCH(ROWS($A$4:A52),$AF$4:$AF$153,0)),"")</f>
        <v/>
      </c>
      <c r="I52" s="72" t="str">
        <f>IFERROR(INDEX($Y$4:$Y$153,MATCH(ROWS($A$4:A52),$AF$4:$AF$153,0)),"")</f>
        <v/>
      </c>
      <c r="J52" s="35" t="str">
        <f>IFERROR(INDEX($Z$4:$Z$153,MATCH(ROWS($A$4:A52),$AF$4:$AF$153,0)),"")</f>
        <v/>
      </c>
      <c r="K52" s="35" t="str">
        <f>IFERROR(INDEX($AA$4:$AA$153,MATCH(ROWS($A$4:A52),$AF$4:$AF$153,0)),"")</f>
        <v/>
      </c>
      <c r="L52" s="35" t="str">
        <f>IFERROR(INDEX($AB$4:$AB$153,MATCH(ROWS($A$4:A52),$AF$4:$AF$153,0)),"")</f>
        <v/>
      </c>
      <c r="M52" s="35" t="str">
        <f>IFERROR(INDEX($AC$4:$AC$153,MATCH(ROWS($A$4:A52),$AF$4:$AF$153,0)),"")</f>
        <v/>
      </c>
      <c r="N52" s="35" t="str">
        <f>IFERROR(INDEX($AD$4:$AD$153,MATCH(ROWS($A$4:A52),$AF$4:$AF$153,0)),"")</f>
        <v/>
      </c>
      <c r="Q52" t="str">
        <f>T(JAN!B54)</f>
        <v>FABIANO BORGES 128901</v>
      </c>
      <c r="R52" t="str">
        <f t="array" ref="R52">IF($Q52="","",_xlfn.TEXTJOIN(", ",TRUE,IF(JAN!$G54:$AK54="FL",JAN!$G$4:$AK$4,"")))</f>
        <v/>
      </c>
      <c r="S52" t="str">
        <f t="array" ref="S52">IF($Q52="","",_xlfn.TEXTJOIN(", ",TRUE,IF(FEV!$G54:$AK54="FL",FEV!$G$4:$AK$4,"")))</f>
        <v/>
      </c>
      <c r="T52" t="str">
        <f t="array" ref="T52">IF($Q52="","",_xlfn.TEXTJOIN(", ",TRUE,IF(MAR!$G54:$AK54="FL",MAR!$G$4:$AK$4,"")))</f>
        <v/>
      </c>
      <c r="U52" t="str">
        <f t="array" ref="U52">IF($Q52="","",_xlfn.TEXTJOIN(", ",TRUE,IF(ABR!$G54:$AK54="FL",ABR!$G$4:$AK$4,"")))</f>
        <v/>
      </c>
      <c r="V52" t="str">
        <f t="array" ref="V52">IF($Q52="","",_xlfn.TEXTJOIN(", ",TRUE,IF(MAI!$G54:$AK54="FL",MAI!$G$4:$AK$4,"")))</f>
        <v/>
      </c>
      <c r="W52" t="str">
        <f t="array" ref="W52">IF($Q52="","",_xlfn.TEXTJOIN(", ",TRUE,IF(JUN!$G54:$AK54="FL",JUN!$G$4:$AK$4,"")))</f>
        <v/>
      </c>
      <c r="X52" t="str">
        <f t="array" ref="X52">IF($Q52="","",_xlfn.TEXTJOIN(", ",TRUE,IF(JUL!$G54:$AK54="FL",JUL!$G$4:$AK$4,"")))</f>
        <v/>
      </c>
      <c r="Y52" t="str">
        <f t="array" ref="Y52">IF($Q52="","",_xlfn.TEXTJOIN(", ",TRUE,IF(AGO!$G54:$AK54="FL",AGO!$G$4:$AK$4,"")))</f>
        <v>26</v>
      </c>
      <c r="Z52" t="str">
        <f t="array" ref="Z52">IF($Q52="","",_xlfn.TEXTJOIN(", ",TRUE,IF(SET!$G54:$AK54="FL",SET!$G$4:$AK$4,"")))</f>
        <v>14, 15</v>
      </c>
      <c r="AA52" t="str">
        <f t="array" ref="AA52">IF($Q52="","",_xlfn.TEXTJOIN(", ",TRUE,IF(OUT!$G54:$AK54="FL",OUT!$G$4:$AK$4,"")))</f>
        <v/>
      </c>
      <c r="AB52" t="str">
        <f t="array" ref="AB52">IF($Q52="","",_xlfn.TEXTJOIN(", ",TRUE,IF(NOV!$G54:$AK54="FL",NOV!$G$4:$AK$4,"")))</f>
        <v/>
      </c>
      <c r="AC52" t="str">
        <f t="array" ref="AC52">IF($Q52="","",_xlfn.TEXTJOIN(", ",TRUE,IF(DEZ!$G54:$AK54="FL",DEZ!$G$4:$AK$4,"")))</f>
        <v/>
      </c>
      <c r="AD52">
        <f>IF($Q52="","",COUNTIF(JAN!$G54:$AK54,"FL")+COUNTIF(FEV!$G54:$AK54,"FL")+COUNTIF(MAR!$G54:$AK54,"FL")+COUNTIF(ABR!$G54:$AK54,"FL")+COUNTIF(MAI!$G54:$AK54,"FL")+COUNTIF(JUN!$G54:$AK54,"FL")+COUNTIF(JUL!$G54:$AK54,"FL")+COUNTIF(AGO!$G54:$AK54,"FL")+COUNTIF(SET!$G54:$AK54,"FL")+COUNTIF(OUT!$G54:$AK54,"FL")+COUNTIF(NOV!$G54:$AK54,"FL")+COUNTIF(DEZ!$G54:$AK54,"FL"))</f>
        <v>3</v>
      </c>
      <c r="AF52">
        <f>IF(AND($Q52&lt;&gt;"",N($AD52)&gt;0),COUNT($AF$3:AF51)+1,"")</f>
        <v>26</v>
      </c>
    </row>
    <row r="53" spans="1:32" hidden="1" outlineLevel="1" x14ac:dyDescent="0.25">
      <c r="A53" s="36" t="str">
        <f>IFERROR(INDEX($Q$4:$Q$153,MATCH(ROWS($A$4:A53),$AF$4:$AF$153,0)),"")</f>
        <v/>
      </c>
      <c r="B53" s="35" t="str">
        <f>IFERROR(INDEX($R$4:$R$153,MATCH(ROWS($A$4:A53),$AF$4:$AF$153,0)),"")</f>
        <v/>
      </c>
      <c r="C53" s="35" t="str">
        <f>IFERROR(INDEX($S$4:$S$153,MATCH(ROWS($A$4:A53),$AF$4:$AF$153,0)),"")</f>
        <v/>
      </c>
      <c r="D53" s="35" t="str">
        <f>IFERROR(INDEX($T$4:$T$153,MATCH(ROWS($A$4:A53),$AF$4:$AF$153,0)),"")</f>
        <v/>
      </c>
      <c r="E53" s="35" t="str">
        <f>IFERROR(INDEX($U$4:$U$153,MATCH(ROWS($A$4:A53),$AF$4:$AF$153,0)),"")</f>
        <v/>
      </c>
      <c r="F53" s="35" t="str">
        <f>IFERROR(INDEX($V$4:$V$153,MATCH(ROWS($A$4:A53),$AF$4:$AF$153,0)),"")</f>
        <v/>
      </c>
      <c r="G53" s="35" t="str">
        <f>IFERROR(INDEX($W$4:$W$153,MATCH(ROWS($A$4:A53),$AF$4:$AF$153,0)),"")</f>
        <v/>
      </c>
      <c r="H53" s="35" t="str">
        <f>IFERROR(INDEX($X$4:$X$153,MATCH(ROWS($A$4:A53),$AF$4:$AF$153,0)),"")</f>
        <v/>
      </c>
      <c r="I53" s="72" t="str">
        <f>IFERROR(INDEX($Y$4:$Y$153,MATCH(ROWS($A$4:A53),$AF$4:$AF$153,0)),"")</f>
        <v/>
      </c>
      <c r="J53" s="35" t="str">
        <f>IFERROR(INDEX($Z$4:$Z$153,MATCH(ROWS($A$4:A53),$AF$4:$AF$153,0)),"")</f>
        <v/>
      </c>
      <c r="K53" s="35" t="str">
        <f>IFERROR(INDEX($AA$4:$AA$153,MATCH(ROWS($A$4:A53),$AF$4:$AF$153,0)),"")</f>
        <v/>
      </c>
      <c r="L53" s="35" t="str">
        <f>IFERROR(INDEX($AB$4:$AB$153,MATCH(ROWS($A$4:A53),$AF$4:$AF$153,0)),"")</f>
        <v/>
      </c>
      <c r="M53" s="35" t="str">
        <f>IFERROR(INDEX($AC$4:$AC$153,MATCH(ROWS($A$4:A53),$AF$4:$AF$153,0)),"")</f>
        <v/>
      </c>
      <c r="N53" s="35" t="str">
        <f>IFERROR(INDEX($AD$4:$AD$153,MATCH(ROWS($A$4:A53),$AF$4:$AF$153,0)),"")</f>
        <v/>
      </c>
      <c r="Q53" t="str">
        <f>T(JAN!B55)</f>
        <v>LAUTIER ALMEIDA 317501</v>
      </c>
      <c r="R53" t="str">
        <f t="array" ref="R53">IF($Q53="","",_xlfn.TEXTJOIN(", ",TRUE,IF(JAN!$G55:$AK55="FL",JAN!$G$4:$AK$4,"")))</f>
        <v/>
      </c>
      <c r="S53" t="str">
        <f t="array" ref="S53">IF($Q53="","",_xlfn.TEXTJOIN(", ",TRUE,IF(FEV!$G55:$AK55="FL",FEV!$G$4:$AK$4,"")))</f>
        <v/>
      </c>
      <c r="T53" t="str">
        <f t="array" ref="T53">IF($Q53="","",_xlfn.TEXTJOIN(", ",TRUE,IF(MAR!$G55:$AK55="FL",MAR!$G$4:$AK$4,"")))</f>
        <v/>
      </c>
      <c r="U53" t="str">
        <f t="array" ref="U53">IF($Q53="","",_xlfn.TEXTJOIN(", ",TRUE,IF(ABR!$G55:$AK55="FL",ABR!$G$4:$AK$4,"")))</f>
        <v/>
      </c>
      <c r="V53" t="str">
        <f t="array" ref="V53">IF($Q53="","",_xlfn.TEXTJOIN(", ",TRUE,IF(MAI!$G55:$AK55="FL",MAI!$G$4:$AK$4,"")))</f>
        <v/>
      </c>
      <c r="W53" t="str">
        <f t="array" ref="W53">IF($Q53="","",_xlfn.TEXTJOIN(", ",TRUE,IF(JUN!$G55:$AK55="FL",JUN!$G$4:$AK$4,"")))</f>
        <v/>
      </c>
      <c r="X53" t="str">
        <f t="array" ref="X53">IF($Q53="","",_xlfn.TEXTJOIN(", ",TRUE,IF(JUL!$G55:$AK55="FL",JUL!$G$4:$AK$4,"")))</f>
        <v/>
      </c>
      <c r="Y53" t="str">
        <f t="array" ref="Y53">IF($Q53="","",_xlfn.TEXTJOIN(", ",TRUE,IF(AGO!$G55:$AK55="FL",AGO!$G$4:$AK$4,"")))</f>
        <v/>
      </c>
      <c r="Z53" t="str">
        <f t="array" ref="Z53">IF($Q53="","",_xlfn.TEXTJOIN(", ",TRUE,IF(SET!$G55:$AK55="FL",SET!$G$4:$AK$4,"")))</f>
        <v>5, 22</v>
      </c>
      <c r="AA53" t="str">
        <f t="array" ref="AA53">IF($Q53="","",_xlfn.TEXTJOIN(", ",TRUE,IF(OUT!$G55:$AK55="FL",OUT!$G$4:$AK$4,"")))</f>
        <v/>
      </c>
      <c r="AB53" t="str">
        <f t="array" ref="AB53">IF($Q53="","",_xlfn.TEXTJOIN(", ",TRUE,IF(NOV!$G55:$AK55="FL",NOV!$G$4:$AK$4,"")))</f>
        <v/>
      </c>
      <c r="AC53" t="str">
        <f t="array" ref="AC53">IF($Q53="","",_xlfn.TEXTJOIN(", ",TRUE,IF(DEZ!$G55:$AK55="FL",DEZ!$G$4:$AK$4,"")))</f>
        <v/>
      </c>
      <c r="AD53">
        <f>IF($Q53="","",COUNTIF(JAN!$G55:$AK55,"FL")+COUNTIF(FEV!$G55:$AK55,"FL")+COUNTIF(MAR!$G55:$AK55,"FL")+COUNTIF(ABR!$G55:$AK55,"FL")+COUNTIF(MAI!$G55:$AK55,"FL")+COUNTIF(JUN!$G55:$AK55,"FL")+COUNTIF(JUL!$G55:$AK55,"FL")+COUNTIF(AGO!$G55:$AK55,"FL")+COUNTIF(SET!$G55:$AK55,"FL")+COUNTIF(OUT!$G55:$AK55,"FL")+COUNTIF(NOV!$G55:$AK55,"FL")+COUNTIF(DEZ!$G55:$AK55,"FL"))</f>
        <v>2</v>
      </c>
      <c r="AF53">
        <f>IF(AND($Q53&lt;&gt;"",N($AD53)&gt;0),COUNT($AF$3:AF52)+1,"")</f>
        <v>27</v>
      </c>
    </row>
    <row r="54" spans="1:32" hidden="1" outlineLevel="1" x14ac:dyDescent="0.25">
      <c r="A54" s="36" t="str">
        <f>IFERROR(INDEX($Q$4:$Q$153,MATCH(ROWS($A$4:A54),$AF$4:$AF$153,0)),"")</f>
        <v/>
      </c>
      <c r="B54" s="35" t="str">
        <f>IFERROR(INDEX($R$4:$R$153,MATCH(ROWS($A$4:A54),$AF$4:$AF$153,0)),"")</f>
        <v/>
      </c>
      <c r="C54" s="35" t="str">
        <f>IFERROR(INDEX($S$4:$S$153,MATCH(ROWS($A$4:A54),$AF$4:$AF$153,0)),"")</f>
        <v/>
      </c>
      <c r="D54" s="35" t="str">
        <f>IFERROR(INDEX($T$4:$T$153,MATCH(ROWS($A$4:A54),$AF$4:$AF$153,0)),"")</f>
        <v/>
      </c>
      <c r="E54" s="35" t="str">
        <f>IFERROR(INDEX($U$4:$U$153,MATCH(ROWS($A$4:A54),$AF$4:$AF$153,0)),"")</f>
        <v/>
      </c>
      <c r="F54" s="35" t="str">
        <f>IFERROR(INDEX($V$4:$V$153,MATCH(ROWS($A$4:A54),$AF$4:$AF$153,0)),"")</f>
        <v/>
      </c>
      <c r="G54" s="35" t="str">
        <f>IFERROR(INDEX($W$4:$W$153,MATCH(ROWS($A$4:A54),$AF$4:$AF$153,0)),"")</f>
        <v/>
      </c>
      <c r="H54" s="35" t="str">
        <f>IFERROR(INDEX($X$4:$X$153,MATCH(ROWS($A$4:A54),$AF$4:$AF$153,0)),"")</f>
        <v/>
      </c>
      <c r="I54" s="72" t="str">
        <f>IFERROR(INDEX($Y$4:$Y$153,MATCH(ROWS($A$4:A54),$AF$4:$AF$153,0)),"")</f>
        <v/>
      </c>
      <c r="J54" s="35" t="str">
        <f>IFERROR(INDEX($Z$4:$Z$153,MATCH(ROWS($A$4:A54),$AF$4:$AF$153,0)),"")</f>
        <v/>
      </c>
      <c r="K54" s="35" t="str">
        <f>IFERROR(INDEX($AA$4:$AA$153,MATCH(ROWS($A$4:A54),$AF$4:$AF$153,0)),"")</f>
        <v/>
      </c>
      <c r="L54" s="35" t="str">
        <f>IFERROR(INDEX($AB$4:$AB$153,MATCH(ROWS($A$4:A54),$AF$4:$AF$153,0)),"")</f>
        <v/>
      </c>
      <c r="M54" s="35" t="str">
        <f>IFERROR(INDEX($AC$4:$AC$153,MATCH(ROWS($A$4:A54),$AF$4:$AF$153,0)),"")</f>
        <v/>
      </c>
      <c r="N54" s="35" t="str">
        <f>IFERROR(INDEX($AD$4:$AD$153,MATCH(ROWS($A$4:A54),$AF$4:$AF$153,0)),"")</f>
        <v/>
      </c>
      <c r="Q54" t="str">
        <f>T(JAN!B56)</f>
        <v>RENAN RAMBO 327701</v>
      </c>
      <c r="R54" t="str">
        <f t="array" ref="R54">IF($Q54="","",_xlfn.TEXTJOIN(", ",TRUE,IF(JAN!$G56:$AK56="FL",JAN!$G$4:$AK$4,"")))</f>
        <v/>
      </c>
      <c r="S54" t="str">
        <f t="array" ref="S54">IF($Q54="","",_xlfn.TEXTJOIN(", ",TRUE,IF(FEV!$G56:$AK56="FL",FEV!$G$4:$AK$4,"")))</f>
        <v/>
      </c>
      <c r="T54" t="str">
        <f t="array" ref="T54">IF($Q54="","",_xlfn.TEXTJOIN(", ",TRUE,IF(MAR!$G56:$AK56="FL",MAR!$G$4:$AK$4,"")))</f>
        <v/>
      </c>
      <c r="U54" t="str">
        <f t="array" ref="U54">IF($Q54="","",_xlfn.TEXTJOIN(", ",TRUE,IF(ABR!$G56:$AK56="FL",ABR!$G$4:$AK$4,"")))</f>
        <v/>
      </c>
      <c r="V54" t="str">
        <f t="array" ref="V54">IF($Q54="","",_xlfn.TEXTJOIN(", ",TRUE,IF(MAI!$G56:$AK56="FL",MAI!$G$4:$AK$4,"")))</f>
        <v/>
      </c>
      <c r="W54" t="str">
        <f t="array" ref="W54">IF($Q54="","",_xlfn.TEXTJOIN(", ",TRUE,IF(JUN!$G56:$AK56="FL",JUN!$G$4:$AK$4,"")))</f>
        <v/>
      </c>
      <c r="X54" t="str">
        <f t="array" ref="X54">IF($Q54="","",_xlfn.TEXTJOIN(", ",TRUE,IF(JUL!$G56:$AK56="FL",JUL!$G$4:$AK$4,"")))</f>
        <v/>
      </c>
      <c r="Y54" t="str">
        <f t="array" ref="Y54">IF($Q54="","",_xlfn.TEXTJOIN(", ",TRUE,IF(AGO!$G56:$AK56="FL",AGO!$G$4:$AK$4,"")))</f>
        <v/>
      </c>
      <c r="Z54" t="str">
        <f t="array" ref="Z54">IF($Q54="","",_xlfn.TEXTJOIN(", ",TRUE,IF(SET!$G56:$AK56="FL",SET!$G$4:$AK$4,"")))</f>
        <v/>
      </c>
      <c r="AA54" t="str">
        <f t="array" ref="AA54">IF($Q54="","",_xlfn.TEXTJOIN(", ",TRUE,IF(OUT!$G56:$AK56="FL",OUT!$G$4:$AK$4,"")))</f>
        <v/>
      </c>
      <c r="AB54" t="str">
        <f t="array" ref="AB54">IF($Q54="","",_xlfn.TEXTJOIN(", ",TRUE,IF(NOV!$G56:$AK56="FL",NOV!$G$4:$AK$4,"")))</f>
        <v/>
      </c>
      <c r="AC54" t="str">
        <f t="array" ref="AC54">IF($Q54="","",_xlfn.TEXTJOIN(", ",TRUE,IF(DEZ!$G56:$AK56="FL",DEZ!$G$4:$AK$4,"")))</f>
        <v/>
      </c>
      <c r="AD54">
        <f>IF($Q54="","",COUNTIF(JAN!$G56:$AK56,"FL")+COUNTIF(FEV!$G56:$AK56,"FL")+COUNTIF(MAR!$G56:$AK56,"FL")+COUNTIF(ABR!$G56:$AK56,"FL")+COUNTIF(MAI!$G56:$AK56,"FL")+COUNTIF(JUN!$G56:$AK56,"FL")+COUNTIF(JUL!$G56:$AK56,"FL")+COUNTIF(AGO!$G56:$AK56,"FL")+COUNTIF(SET!$G56:$AK56,"FL")+COUNTIF(OUT!$G56:$AK56,"FL")+COUNTIF(NOV!$G56:$AK56,"FL")+COUNTIF(DEZ!$G56:$AK56,"FL"))</f>
        <v>0</v>
      </c>
      <c r="AF54" t="str">
        <f>IF(AND($Q54&lt;&gt;"",N($AD54)&gt;0),COUNT($AF$3:AF53)+1,"")</f>
        <v/>
      </c>
    </row>
    <row r="55" spans="1:32" hidden="1" outlineLevel="1" x14ac:dyDescent="0.25">
      <c r="A55" s="36" t="str">
        <f>IFERROR(INDEX($Q$4:$Q$153,MATCH(ROWS($A$4:A55),$AF$4:$AF$153,0)),"")</f>
        <v/>
      </c>
      <c r="B55" s="35" t="str">
        <f>IFERROR(INDEX($R$4:$R$153,MATCH(ROWS($A$4:A55),$AF$4:$AF$153,0)),"")</f>
        <v/>
      </c>
      <c r="C55" s="35" t="str">
        <f>IFERROR(INDEX($S$4:$S$153,MATCH(ROWS($A$4:A55),$AF$4:$AF$153,0)),"")</f>
        <v/>
      </c>
      <c r="D55" s="35" t="str">
        <f>IFERROR(INDEX($T$4:$T$153,MATCH(ROWS($A$4:A55),$AF$4:$AF$153,0)),"")</f>
        <v/>
      </c>
      <c r="E55" s="35" t="str">
        <f>IFERROR(INDEX($U$4:$U$153,MATCH(ROWS($A$4:A55),$AF$4:$AF$153,0)),"")</f>
        <v/>
      </c>
      <c r="F55" s="35" t="str">
        <f>IFERROR(INDEX($V$4:$V$153,MATCH(ROWS($A$4:A55),$AF$4:$AF$153,0)),"")</f>
        <v/>
      </c>
      <c r="G55" s="35" t="str">
        <f>IFERROR(INDEX($W$4:$W$153,MATCH(ROWS($A$4:A55),$AF$4:$AF$153,0)),"")</f>
        <v/>
      </c>
      <c r="H55" s="35" t="str">
        <f>IFERROR(INDEX($X$4:$X$153,MATCH(ROWS($A$4:A55),$AF$4:$AF$153,0)),"")</f>
        <v/>
      </c>
      <c r="I55" s="72" t="str">
        <f>IFERROR(INDEX($Y$4:$Y$153,MATCH(ROWS($A$4:A55),$AF$4:$AF$153,0)),"")</f>
        <v/>
      </c>
      <c r="J55" s="35" t="str">
        <f>IFERROR(INDEX($Z$4:$Z$153,MATCH(ROWS($A$4:A55),$AF$4:$AF$153,0)),"")</f>
        <v/>
      </c>
      <c r="K55" s="35" t="str">
        <f>IFERROR(INDEX($AA$4:$AA$153,MATCH(ROWS($A$4:A55),$AF$4:$AF$153,0)),"")</f>
        <v/>
      </c>
      <c r="L55" s="35" t="str">
        <f>IFERROR(INDEX($AB$4:$AB$153,MATCH(ROWS($A$4:A55),$AF$4:$AF$153,0)),"")</f>
        <v/>
      </c>
      <c r="M55" s="35" t="str">
        <f>IFERROR(INDEX($AC$4:$AC$153,MATCH(ROWS($A$4:A55),$AF$4:$AF$153,0)),"")</f>
        <v/>
      </c>
      <c r="N55" s="35" t="str">
        <f>IFERROR(INDEX($AD$4:$AD$153,MATCH(ROWS($A$4:A55),$AF$4:$AF$153,0)),"")</f>
        <v/>
      </c>
      <c r="Q55" t="str">
        <f>T(JAN!B57)</f>
        <v>LUCAS SEVERO 471301</v>
      </c>
      <c r="R55" t="str">
        <f t="array" ref="R55">IF($Q55="","",_xlfn.TEXTJOIN(", ",TRUE,IF(JAN!$G57:$AK57="FL",JAN!$G$4:$AK$4,"")))</f>
        <v/>
      </c>
      <c r="S55" t="str">
        <f t="array" ref="S55">IF($Q55="","",_xlfn.TEXTJOIN(", ",TRUE,IF(FEV!$G57:$AK57="FL",FEV!$G$4:$AK$4,"")))</f>
        <v/>
      </c>
      <c r="T55" t="str">
        <f t="array" ref="T55">IF($Q55="","",_xlfn.TEXTJOIN(", ",TRUE,IF(MAR!$G57:$AK57="FL",MAR!$G$4:$AK$4,"")))</f>
        <v/>
      </c>
      <c r="U55" t="str">
        <f t="array" ref="U55">IF($Q55="","",_xlfn.TEXTJOIN(", ",TRUE,IF(ABR!$G57:$AK57="FL",ABR!$G$4:$AK$4,"")))</f>
        <v/>
      </c>
      <c r="V55" t="str">
        <f t="array" ref="V55">IF($Q55="","",_xlfn.TEXTJOIN(", ",TRUE,IF(MAI!$G57:$AK57="FL",MAI!$G$4:$AK$4,"")))</f>
        <v/>
      </c>
      <c r="W55" t="str">
        <f t="array" ref="W55">IF($Q55="","",_xlfn.TEXTJOIN(", ",TRUE,IF(JUN!$G57:$AK57="FL",JUN!$G$4:$AK$4,"")))</f>
        <v/>
      </c>
      <c r="X55" t="str">
        <f t="array" ref="X55">IF($Q55="","",_xlfn.TEXTJOIN(", ",TRUE,IF(JUL!$G57:$AK57="FL",JUL!$G$4:$AK$4,"")))</f>
        <v/>
      </c>
      <c r="Y55" t="str">
        <f t="array" ref="Y55">IF($Q55="","",_xlfn.TEXTJOIN(", ",TRUE,IF(AGO!$G57:$AK57="FL",AGO!$G$4:$AK$4,"")))</f>
        <v/>
      </c>
      <c r="Z55" t="str">
        <f t="array" ref="Z55">IF($Q55="","",_xlfn.TEXTJOIN(", ",TRUE,IF(SET!$G57:$AK57="FL",SET!$G$4:$AK$4,"")))</f>
        <v/>
      </c>
      <c r="AA55" t="str">
        <f t="array" ref="AA55">IF($Q55="","",_xlfn.TEXTJOIN(", ",TRUE,IF(OUT!$G57:$AK57="FL",OUT!$G$4:$AK$4,"")))</f>
        <v/>
      </c>
      <c r="AB55" t="str">
        <f t="array" ref="AB55">IF($Q55="","",_xlfn.TEXTJOIN(", ",TRUE,IF(NOV!$G57:$AK57="FL",NOV!$G$4:$AK$4,"")))</f>
        <v/>
      </c>
      <c r="AC55" t="str">
        <f t="array" ref="AC55">IF($Q55="","",_xlfn.TEXTJOIN(", ",TRUE,IF(DEZ!$G57:$AK57="FL",DEZ!$G$4:$AK$4,"")))</f>
        <v/>
      </c>
      <c r="AD55">
        <f>IF($Q55="","",COUNTIF(JAN!$G57:$AK57,"FL")+COUNTIF(FEV!$G57:$AK57,"FL")+COUNTIF(MAR!$G57:$AK57,"FL")+COUNTIF(ABR!$G57:$AK57,"FL")+COUNTIF(MAI!$G57:$AK57,"FL")+COUNTIF(JUN!$G57:$AK57,"FL")+COUNTIF(JUL!$G57:$AK57,"FL")+COUNTIF(AGO!$G57:$AK57,"FL")+COUNTIF(SET!$G57:$AK57,"FL")+COUNTIF(OUT!$G57:$AK57,"FL")+COUNTIF(NOV!$G57:$AK57,"FL")+COUNTIF(DEZ!$G57:$AK57,"FL"))</f>
        <v>0</v>
      </c>
      <c r="AF55" t="str">
        <f>IF(AND($Q55&lt;&gt;"",N($AD55)&gt;0),COUNT($AF$3:AF54)+1,"")</f>
        <v/>
      </c>
    </row>
    <row r="56" spans="1:32" hidden="1" outlineLevel="1" x14ac:dyDescent="0.25">
      <c r="A56" s="36" t="str">
        <f>IFERROR(INDEX($Q$4:$Q$153,MATCH(ROWS($A$4:A56),$AF$4:$AF$153,0)),"")</f>
        <v/>
      </c>
      <c r="B56" s="35" t="str">
        <f>IFERROR(INDEX($R$4:$R$153,MATCH(ROWS($A$4:A56),$AF$4:$AF$153,0)),"")</f>
        <v/>
      </c>
      <c r="C56" s="35" t="str">
        <f>IFERROR(INDEX($S$4:$S$153,MATCH(ROWS($A$4:A56),$AF$4:$AF$153,0)),"")</f>
        <v/>
      </c>
      <c r="D56" s="35" t="str">
        <f>IFERROR(INDEX($T$4:$T$153,MATCH(ROWS($A$4:A56),$AF$4:$AF$153,0)),"")</f>
        <v/>
      </c>
      <c r="E56" s="35" t="str">
        <f>IFERROR(INDEX($U$4:$U$153,MATCH(ROWS($A$4:A56),$AF$4:$AF$153,0)),"")</f>
        <v/>
      </c>
      <c r="F56" s="35" t="str">
        <f>IFERROR(INDEX($V$4:$V$153,MATCH(ROWS($A$4:A56),$AF$4:$AF$153,0)),"")</f>
        <v/>
      </c>
      <c r="G56" s="35" t="str">
        <f>IFERROR(INDEX($W$4:$W$153,MATCH(ROWS($A$4:A56),$AF$4:$AF$153,0)),"")</f>
        <v/>
      </c>
      <c r="H56" s="35" t="str">
        <f>IFERROR(INDEX($X$4:$X$153,MATCH(ROWS($A$4:A56),$AF$4:$AF$153,0)),"")</f>
        <v/>
      </c>
      <c r="I56" s="72" t="str">
        <f>IFERROR(INDEX($Y$4:$Y$153,MATCH(ROWS($A$4:A56),$AF$4:$AF$153,0)),"")</f>
        <v/>
      </c>
      <c r="J56" s="35" t="str">
        <f>IFERROR(INDEX($Z$4:$Z$153,MATCH(ROWS($A$4:A56),$AF$4:$AF$153,0)),"")</f>
        <v/>
      </c>
      <c r="K56" s="35" t="str">
        <f>IFERROR(INDEX($AA$4:$AA$153,MATCH(ROWS($A$4:A56),$AF$4:$AF$153,0)),"")</f>
        <v/>
      </c>
      <c r="L56" s="35" t="str">
        <f>IFERROR(INDEX($AB$4:$AB$153,MATCH(ROWS($A$4:A56),$AF$4:$AF$153,0)),"")</f>
        <v/>
      </c>
      <c r="M56" s="35" t="str">
        <f>IFERROR(INDEX($AC$4:$AC$153,MATCH(ROWS($A$4:A56),$AF$4:$AF$153,0)),"")</f>
        <v/>
      </c>
      <c r="N56" s="35" t="str">
        <f>IFERROR(INDEX($AD$4:$AD$153,MATCH(ROWS($A$4:A56),$AF$4:$AF$153,0)),"")</f>
        <v/>
      </c>
      <c r="Q56" t="str">
        <f>T(JAN!B58)</f>
        <v>EDER MONTICELLI 318101</v>
      </c>
      <c r="R56" t="str">
        <f t="array" ref="R56">IF($Q56="","",_xlfn.TEXTJOIN(", ",TRUE,IF(JAN!$G58:$AK58="FL",JAN!$G$4:$AK$4,"")))</f>
        <v/>
      </c>
      <c r="S56" t="str">
        <f t="array" ref="S56">IF($Q56="","",_xlfn.TEXTJOIN(", ",TRUE,IF(FEV!$G58:$AK58="FL",FEV!$G$4:$AK$4,"")))</f>
        <v/>
      </c>
      <c r="T56" t="str">
        <f t="array" ref="T56">IF($Q56="","",_xlfn.TEXTJOIN(", ",TRUE,IF(MAR!$G58:$AK58="FL",MAR!$G$4:$AK$4,"")))</f>
        <v/>
      </c>
      <c r="U56" t="str">
        <f t="array" ref="U56">IF($Q56="","",_xlfn.TEXTJOIN(", ",TRUE,IF(ABR!$G58:$AK58="FL",ABR!$G$4:$AK$4,"")))</f>
        <v/>
      </c>
      <c r="V56" t="str">
        <f t="array" ref="V56">IF($Q56="","",_xlfn.TEXTJOIN(", ",TRUE,IF(MAI!$G58:$AK58="FL",MAI!$G$4:$AK$4,"")))</f>
        <v/>
      </c>
      <c r="W56" t="str">
        <f t="array" ref="W56">IF($Q56="","",_xlfn.TEXTJOIN(", ",TRUE,IF(JUN!$G58:$AK58="FL",JUN!$G$4:$AK$4,"")))</f>
        <v/>
      </c>
      <c r="X56" t="str">
        <f t="array" ref="X56">IF($Q56="","",_xlfn.TEXTJOIN(", ",TRUE,IF(JUL!$G58:$AK58="FL",JUL!$G$4:$AK$4,"")))</f>
        <v/>
      </c>
      <c r="Y56" t="str">
        <f t="array" ref="Y56">IF($Q56="","",_xlfn.TEXTJOIN(", ",TRUE,IF(AGO!$G58:$AK58="FL",AGO!$G$4:$AK$4,"")))</f>
        <v/>
      </c>
      <c r="Z56" t="str">
        <f t="array" ref="Z56">IF($Q56="","",_xlfn.TEXTJOIN(", ",TRUE,IF(SET!$G58:$AK58="FL",SET!$G$4:$AK$4,"")))</f>
        <v>12</v>
      </c>
      <c r="AA56" t="str">
        <f t="array" ref="AA56">IF($Q56="","",_xlfn.TEXTJOIN(", ",TRUE,IF(OUT!$G58:$AK58="FL",OUT!$G$4:$AK$4,"")))</f>
        <v>5</v>
      </c>
      <c r="AB56" t="str">
        <f t="array" ref="AB56">IF($Q56="","",_xlfn.TEXTJOIN(", ",TRUE,IF(NOV!$G58:$AK58="FL",NOV!$G$4:$AK$4,"")))</f>
        <v/>
      </c>
      <c r="AC56" t="str">
        <f t="array" ref="AC56">IF($Q56="","",_xlfn.TEXTJOIN(", ",TRUE,IF(DEZ!$G58:$AK58="FL",DEZ!$G$4:$AK$4,"")))</f>
        <v/>
      </c>
      <c r="AD56">
        <f>IF($Q56="","",COUNTIF(JAN!$G58:$AK58,"FL")+COUNTIF(FEV!$G58:$AK58,"FL")+COUNTIF(MAR!$G58:$AK58,"FL")+COUNTIF(ABR!$G58:$AK58,"FL")+COUNTIF(MAI!$G58:$AK58,"FL")+COUNTIF(JUN!$G58:$AK58,"FL")+COUNTIF(JUL!$G58:$AK58,"FL")+COUNTIF(AGO!$G58:$AK58,"FL")+COUNTIF(SET!$G58:$AK58,"FL")+COUNTIF(OUT!$G58:$AK58,"FL")+COUNTIF(NOV!$G58:$AK58,"FL")+COUNTIF(DEZ!$G58:$AK58,"FL"))</f>
        <v>2</v>
      </c>
      <c r="AF56">
        <f>IF(AND($Q56&lt;&gt;"",N($AD56)&gt;0),COUNT($AF$3:AF55)+1,"")</f>
        <v>28</v>
      </c>
    </row>
    <row r="57" spans="1:32" hidden="1" outlineLevel="1" x14ac:dyDescent="0.25">
      <c r="A57" s="36" t="str">
        <f>IFERROR(INDEX($Q$4:$Q$153,MATCH(ROWS($A$4:A57),$AF$4:$AF$153,0)),"")</f>
        <v/>
      </c>
      <c r="B57" s="35" t="str">
        <f>IFERROR(INDEX($R$4:$R$153,MATCH(ROWS($A$4:A57),$AF$4:$AF$153,0)),"")</f>
        <v/>
      </c>
      <c r="C57" s="35" t="str">
        <f>IFERROR(INDEX($S$4:$S$153,MATCH(ROWS($A$4:A57),$AF$4:$AF$153,0)),"")</f>
        <v/>
      </c>
      <c r="D57" s="35" t="str">
        <f>IFERROR(INDEX($T$4:$T$153,MATCH(ROWS($A$4:A57),$AF$4:$AF$153,0)),"")</f>
        <v/>
      </c>
      <c r="E57" s="35" t="str">
        <f>IFERROR(INDEX($U$4:$U$153,MATCH(ROWS($A$4:A57),$AF$4:$AF$153,0)),"")</f>
        <v/>
      </c>
      <c r="F57" s="35" t="str">
        <f>IFERROR(INDEX($V$4:$V$153,MATCH(ROWS($A$4:A57),$AF$4:$AF$153,0)),"")</f>
        <v/>
      </c>
      <c r="G57" s="35" t="str">
        <f>IFERROR(INDEX($W$4:$W$153,MATCH(ROWS($A$4:A57),$AF$4:$AF$153,0)),"")</f>
        <v/>
      </c>
      <c r="H57" s="35" t="str">
        <f>IFERROR(INDEX($X$4:$X$153,MATCH(ROWS($A$4:A57),$AF$4:$AF$153,0)),"")</f>
        <v/>
      </c>
      <c r="I57" s="72" t="str">
        <f>IFERROR(INDEX($Y$4:$Y$153,MATCH(ROWS($A$4:A57),$AF$4:$AF$153,0)),"")</f>
        <v/>
      </c>
      <c r="J57" s="35" t="str">
        <f>IFERROR(INDEX($Z$4:$Z$153,MATCH(ROWS($A$4:A57),$AF$4:$AF$153,0)),"")</f>
        <v/>
      </c>
      <c r="K57" s="35" t="str">
        <f>IFERROR(INDEX($AA$4:$AA$153,MATCH(ROWS($A$4:A57),$AF$4:$AF$153,0)),"")</f>
        <v/>
      </c>
      <c r="L57" s="35" t="str">
        <f>IFERROR(INDEX($AB$4:$AB$153,MATCH(ROWS($A$4:A57),$AF$4:$AF$153,0)),"")</f>
        <v/>
      </c>
      <c r="M57" s="35" t="str">
        <f>IFERROR(INDEX($AC$4:$AC$153,MATCH(ROWS($A$4:A57),$AF$4:$AF$153,0)),"")</f>
        <v/>
      </c>
      <c r="N57" s="35" t="str">
        <f>IFERROR(INDEX($AD$4:$AD$153,MATCH(ROWS($A$4:A57),$AF$4:$AF$153,0)),"")</f>
        <v/>
      </c>
      <c r="Q57" t="str">
        <f>T(JAN!B59)</f>
        <v>JULIANO LENHARD 446901</v>
      </c>
      <c r="R57" t="str">
        <f t="array" ref="R57">IF($Q57="","",_xlfn.TEXTJOIN(", ",TRUE,IF(JAN!$G59:$AK59="FL",JAN!$G$4:$AK$4,"")))</f>
        <v/>
      </c>
      <c r="S57" t="str">
        <f t="array" ref="S57">IF($Q57="","",_xlfn.TEXTJOIN(", ",TRUE,IF(FEV!$G59:$AK59="FL",FEV!$G$4:$AK$4,"")))</f>
        <v/>
      </c>
      <c r="T57" t="str">
        <f t="array" ref="T57">IF($Q57="","",_xlfn.TEXTJOIN(", ",TRUE,IF(MAR!$G59:$AK59="FL",MAR!$G$4:$AK$4,"")))</f>
        <v/>
      </c>
      <c r="U57" t="str">
        <f t="array" ref="U57">IF($Q57="","",_xlfn.TEXTJOIN(", ",TRUE,IF(ABR!$G59:$AK59="FL",ABR!$G$4:$AK$4,"")))</f>
        <v/>
      </c>
      <c r="V57" t="str">
        <f t="array" ref="V57">IF($Q57="","",_xlfn.TEXTJOIN(", ",TRUE,IF(MAI!$G59:$AK59="FL",MAI!$G$4:$AK$4,"")))</f>
        <v/>
      </c>
      <c r="W57" t="str">
        <f t="array" ref="W57">IF($Q57="","",_xlfn.TEXTJOIN(", ",TRUE,IF(JUN!$G59:$AK59="FL",JUN!$G$4:$AK$4,"")))</f>
        <v/>
      </c>
      <c r="X57" t="str">
        <f t="array" ref="X57">IF($Q57="","",_xlfn.TEXTJOIN(", ",TRUE,IF(JUL!$G59:$AK59="FL",JUL!$G$4:$AK$4,"")))</f>
        <v/>
      </c>
      <c r="Y57" t="str">
        <f t="array" ref="Y57">IF($Q57="","",_xlfn.TEXTJOIN(", ",TRUE,IF(AGO!$G59:$AK59="FL",AGO!$G$4:$AK$4,"")))</f>
        <v/>
      </c>
      <c r="Z57" t="str">
        <f t="array" ref="Z57">IF($Q57="","",_xlfn.TEXTJOIN(", ",TRUE,IF(SET!$G59:$AK59="FL",SET!$G$4:$AK$4,"")))</f>
        <v>22, 25</v>
      </c>
      <c r="AA57" t="str">
        <f t="array" ref="AA57">IF($Q57="","",_xlfn.TEXTJOIN(", ",TRUE,IF(OUT!$G59:$AK59="FL",OUT!$G$4:$AK$4,"")))</f>
        <v/>
      </c>
      <c r="AB57" t="str">
        <f t="array" ref="AB57">IF($Q57="","",_xlfn.TEXTJOIN(", ",TRUE,IF(NOV!$G59:$AK59="FL",NOV!$G$4:$AK$4,"")))</f>
        <v/>
      </c>
      <c r="AC57" t="str">
        <f t="array" ref="AC57">IF($Q57="","",_xlfn.TEXTJOIN(", ",TRUE,IF(DEZ!$G59:$AK59="FL",DEZ!$G$4:$AK$4,"")))</f>
        <v/>
      </c>
      <c r="AD57">
        <f>IF($Q57="","",COUNTIF(JAN!$G59:$AK59,"FL")+COUNTIF(FEV!$G59:$AK59,"FL")+COUNTIF(MAR!$G59:$AK59,"FL")+COUNTIF(ABR!$G59:$AK59,"FL")+COUNTIF(MAI!$G59:$AK59,"FL")+COUNTIF(JUN!$G59:$AK59,"FL")+COUNTIF(JUL!$G59:$AK59,"FL")+COUNTIF(AGO!$G59:$AK59,"FL")+COUNTIF(SET!$G59:$AK59,"FL")+COUNTIF(OUT!$G59:$AK59,"FL")+COUNTIF(NOV!$G59:$AK59,"FL")+COUNTIF(DEZ!$G59:$AK59,"FL"))</f>
        <v>2</v>
      </c>
      <c r="AF57">
        <f>IF(AND($Q57&lt;&gt;"",N($AD57)&gt;0),COUNT($AF$3:AF56)+1,"")</f>
        <v>29</v>
      </c>
    </row>
    <row r="58" spans="1:32" hidden="1" outlineLevel="1" x14ac:dyDescent="0.25">
      <c r="A58" s="36" t="str">
        <f>IFERROR(INDEX($Q$4:$Q$153,MATCH(ROWS($A$4:A58),$AF$4:$AF$153,0)),"")</f>
        <v/>
      </c>
      <c r="B58" s="35" t="str">
        <f>IFERROR(INDEX($R$4:$R$153,MATCH(ROWS($A$4:A58),$AF$4:$AF$153,0)),"")</f>
        <v/>
      </c>
      <c r="C58" s="35" t="str">
        <f>IFERROR(INDEX($S$4:$S$153,MATCH(ROWS($A$4:A58),$AF$4:$AF$153,0)),"")</f>
        <v/>
      </c>
      <c r="D58" s="35" t="str">
        <f>IFERROR(INDEX($T$4:$T$153,MATCH(ROWS($A$4:A58),$AF$4:$AF$153,0)),"")</f>
        <v/>
      </c>
      <c r="E58" s="35" t="str">
        <f>IFERROR(INDEX($U$4:$U$153,MATCH(ROWS($A$4:A58),$AF$4:$AF$153,0)),"")</f>
        <v/>
      </c>
      <c r="F58" s="35" t="str">
        <f>IFERROR(INDEX($V$4:$V$153,MATCH(ROWS($A$4:A58),$AF$4:$AF$153,0)),"")</f>
        <v/>
      </c>
      <c r="G58" s="35" t="str">
        <f>IFERROR(INDEX($W$4:$W$153,MATCH(ROWS($A$4:A58),$AF$4:$AF$153,0)),"")</f>
        <v/>
      </c>
      <c r="H58" s="35" t="str">
        <f>IFERROR(INDEX($X$4:$X$153,MATCH(ROWS($A$4:A58),$AF$4:$AF$153,0)),"")</f>
        <v/>
      </c>
      <c r="I58" s="72" t="str">
        <f>IFERROR(INDEX($Y$4:$Y$153,MATCH(ROWS($A$4:A58),$AF$4:$AF$153,0)),"")</f>
        <v/>
      </c>
      <c r="J58" s="35" t="str">
        <f>IFERROR(INDEX($Z$4:$Z$153,MATCH(ROWS($A$4:A58),$AF$4:$AF$153,0)),"")</f>
        <v/>
      </c>
      <c r="K58" s="35" t="str">
        <f>IFERROR(INDEX($AA$4:$AA$153,MATCH(ROWS($A$4:A58),$AF$4:$AF$153,0)),"")</f>
        <v/>
      </c>
      <c r="L58" s="35" t="str">
        <f>IFERROR(INDEX($AB$4:$AB$153,MATCH(ROWS($A$4:A58),$AF$4:$AF$153,0)),"")</f>
        <v/>
      </c>
      <c r="M58" s="35" t="str">
        <f>IFERROR(INDEX($AC$4:$AC$153,MATCH(ROWS($A$4:A58),$AF$4:$AF$153,0)),"")</f>
        <v/>
      </c>
      <c r="N58" s="35" t="str">
        <f>IFERROR(INDEX($AD$4:$AD$153,MATCH(ROWS($A$4:A58),$AF$4:$AF$153,0)),"")</f>
        <v/>
      </c>
      <c r="Q58" t="str">
        <f>T(JAN!B60)</f>
        <v>CARLOS CONCEIÇÃO 509201</v>
      </c>
      <c r="R58" t="str">
        <f t="array" ref="R58">IF($Q58="","",_xlfn.TEXTJOIN(", ",TRUE,IF(JAN!$G60:$AK60="FL",JAN!$G$4:$AK$4,"")))</f>
        <v/>
      </c>
      <c r="S58" t="str">
        <f t="array" ref="S58">IF($Q58="","",_xlfn.TEXTJOIN(", ",TRUE,IF(FEV!$G60:$AK60="FL",FEV!$G$4:$AK$4,"")))</f>
        <v/>
      </c>
      <c r="T58" t="str">
        <f t="array" ref="T58">IF($Q58="","",_xlfn.TEXTJOIN(", ",TRUE,IF(MAR!$G60:$AK60="FL",MAR!$G$4:$AK$4,"")))</f>
        <v/>
      </c>
      <c r="U58" t="str">
        <f t="array" ref="U58">IF($Q58="","",_xlfn.TEXTJOIN(", ",TRUE,IF(ABR!$G60:$AK60="FL",ABR!$G$4:$AK$4,"")))</f>
        <v/>
      </c>
      <c r="V58" t="str">
        <f t="array" ref="V58">IF($Q58="","",_xlfn.TEXTJOIN(", ",TRUE,IF(MAI!$G60:$AK60="FL",MAI!$G$4:$AK$4,"")))</f>
        <v/>
      </c>
      <c r="W58" t="str">
        <f t="array" ref="W58">IF($Q58="","",_xlfn.TEXTJOIN(", ",TRUE,IF(JUN!$G60:$AK60="FL",JUN!$G$4:$AK$4,"")))</f>
        <v/>
      </c>
      <c r="X58" t="str">
        <f t="array" ref="X58">IF($Q58="","",_xlfn.TEXTJOIN(", ",TRUE,IF(JUL!$G60:$AK60="FL",JUL!$G$4:$AK$4,"")))</f>
        <v>17, 20, 21, 22</v>
      </c>
      <c r="Y58" t="str">
        <f t="array" ref="Y58">IF($Q58="","",_xlfn.TEXTJOIN(", ",TRUE,IF(AGO!$G60:$AK60="FL",AGO!$G$4:$AK$4,"")))</f>
        <v>3, 7, 10, 11, 12, 19</v>
      </c>
      <c r="Z58" t="str">
        <f t="array" ref="Z58">IF($Q58="","",_xlfn.TEXTJOIN(", ",TRUE,IF(SET!$G60:$AK60="FL",SET!$G$4:$AK$4,"")))</f>
        <v>28, 29, 30</v>
      </c>
      <c r="AA58" t="str">
        <f t="array" ref="AA58">IF($Q58="","",_xlfn.TEXTJOIN(", ",TRUE,IF(OUT!$G60:$AK60="FL",OUT!$G$4:$AK$4,"")))</f>
        <v>1, 2, 3, 5, 6, 13</v>
      </c>
      <c r="AB58" t="str">
        <f t="array" ref="AB58">IF($Q58="","",_xlfn.TEXTJOIN(", ",TRUE,IF(NOV!$G60:$AK60="FL",NOV!$G$4:$AK$4,"")))</f>
        <v/>
      </c>
      <c r="AC58" t="str">
        <f t="array" ref="AC58">IF($Q58="","",_xlfn.TEXTJOIN(", ",TRUE,IF(DEZ!$G60:$AK60="FL",DEZ!$G$4:$AK$4,"")))</f>
        <v/>
      </c>
      <c r="AD58">
        <f>IF($Q58="","",COUNTIF(JAN!$G60:$AK60,"FL")+COUNTIF(FEV!$G60:$AK60,"FL")+COUNTIF(MAR!$G60:$AK60,"FL")+COUNTIF(ABR!$G60:$AK60,"FL")+COUNTIF(MAI!$G60:$AK60,"FL")+COUNTIF(JUN!$G60:$AK60,"FL")+COUNTIF(JUL!$G60:$AK60,"FL")+COUNTIF(AGO!$G60:$AK60,"FL")+COUNTIF(SET!$G60:$AK60,"FL")+COUNTIF(OUT!$G60:$AK60,"FL")+COUNTIF(NOV!$G60:$AK60,"FL")+COUNTIF(DEZ!$G60:$AK60,"FL"))</f>
        <v>19</v>
      </c>
      <c r="AF58">
        <f>IF(AND($Q58&lt;&gt;"",N($AD58)&gt;0),COUNT($AF$3:AF57)+1,"")</f>
        <v>30</v>
      </c>
    </row>
    <row r="59" spans="1:32" hidden="1" outlineLevel="1" x14ac:dyDescent="0.25">
      <c r="A59" s="36" t="str">
        <f>IFERROR(INDEX($Q$4:$Q$153,MATCH(ROWS($A$4:A59),$AF$4:$AF$153,0)),"")</f>
        <v/>
      </c>
      <c r="B59" s="35" t="str">
        <f>IFERROR(INDEX($R$4:$R$153,MATCH(ROWS($A$4:A59),$AF$4:$AF$153,0)),"")</f>
        <v/>
      </c>
      <c r="C59" s="35" t="str">
        <f>IFERROR(INDEX($S$4:$S$153,MATCH(ROWS($A$4:A59),$AF$4:$AF$153,0)),"")</f>
        <v/>
      </c>
      <c r="D59" s="35" t="str">
        <f>IFERROR(INDEX($T$4:$T$153,MATCH(ROWS($A$4:A59),$AF$4:$AF$153,0)),"")</f>
        <v/>
      </c>
      <c r="E59" s="35" t="str">
        <f>IFERROR(INDEX($U$4:$U$153,MATCH(ROWS($A$4:A59),$AF$4:$AF$153,0)),"")</f>
        <v/>
      </c>
      <c r="F59" s="35" t="str">
        <f>IFERROR(INDEX($V$4:$V$153,MATCH(ROWS($A$4:A59),$AF$4:$AF$153,0)),"")</f>
        <v/>
      </c>
      <c r="G59" s="35" t="str">
        <f>IFERROR(INDEX($W$4:$W$153,MATCH(ROWS($A$4:A59),$AF$4:$AF$153,0)),"")</f>
        <v/>
      </c>
      <c r="H59" s="35" t="str">
        <f>IFERROR(INDEX($X$4:$X$153,MATCH(ROWS($A$4:A59),$AF$4:$AF$153,0)),"")</f>
        <v/>
      </c>
      <c r="I59" s="72" t="str">
        <f>IFERROR(INDEX($Y$4:$Y$153,MATCH(ROWS($A$4:A59),$AF$4:$AF$153,0)),"")</f>
        <v/>
      </c>
      <c r="J59" s="35" t="str">
        <f>IFERROR(INDEX($Z$4:$Z$153,MATCH(ROWS($A$4:A59),$AF$4:$AF$153,0)),"")</f>
        <v/>
      </c>
      <c r="K59" s="35" t="str">
        <f>IFERROR(INDEX($AA$4:$AA$153,MATCH(ROWS($A$4:A59),$AF$4:$AF$153,0)),"")</f>
        <v/>
      </c>
      <c r="L59" s="35" t="str">
        <f>IFERROR(INDEX($AB$4:$AB$153,MATCH(ROWS($A$4:A59),$AF$4:$AF$153,0)),"")</f>
        <v/>
      </c>
      <c r="M59" s="35" t="str">
        <f>IFERROR(INDEX($AC$4:$AC$153,MATCH(ROWS($A$4:A59),$AF$4:$AF$153,0)),"")</f>
        <v/>
      </c>
      <c r="N59" s="35" t="str">
        <f>IFERROR(INDEX($AD$4:$AD$153,MATCH(ROWS($A$4:A59),$AF$4:$AF$153,0)),"")</f>
        <v/>
      </c>
      <c r="Q59" t="str">
        <f>T(JAN!B61)</f>
        <v>FABIO BARBOSA 444601</v>
      </c>
      <c r="R59" t="str">
        <f t="array" ref="R59">IF($Q59="","",_xlfn.TEXTJOIN(", ",TRUE,IF(JAN!$G61:$AK61="FL",JAN!$G$4:$AK$4,"")))</f>
        <v/>
      </c>
      <c r="S59" t="str">
        <f t="array" ref="S59">IF($Q59="","",_xlfn.TEXTJOIN(", ",TRUE,IF(FEV!$G61:$AK61="FL",FEV!$G$4:$AK$4,"")))</f>
        <v/>
      </c>
      <c r="T59" t="str">
        <f t="array" ref="T59">IF($Q59="","",_xlfn.TEXTJOIN(", ",TRUE,IF(MAR!$G61:$AK61="FL",MAR!$G$4:$AK$4,"")))</f>
        <v/>
      </c>
      <c r="U59" t="str">
        <f t="array" ref="U59">IF($Q59="","",_xlfn.TEXTJOIN(", ",TRUE,IF(ABR!$G61:$AK61="FL",ABR!$G$4:$AK$4,"")))</f>
        <v/>
      </c>
      <c r="V59" t="str">
        <f t="array" ref="V59">IF($Q59="","",_xlfn.TEXTJOIN(", ",TRUE,IF(MAI!$G61:$AK61="FL",MAI!$G$4:$AK$4,"")))</f>
        <v/>
      </c>
      <c r="W59" t="str">
        <f t="array" ref="W59">IF($Q59="","",_xlfn.TEXTJOIN(", ",TRUE,IF(JUN!$G61:$AK61="FL",JUN!$G$4:$AK$4,"")))</f>
        <v/>
      </c>
      <c r="X59" t="str">
        <f t="array" ref="X59">IF($Q59="","",_xlfn.TEXTJOIN(", ",TRUE,IF(JUL!$G61:$AK61="FL",JUL!$G$4:$AK$4,"")))</f>
        <v/>
      </c>
      <c r="Y59" t="str">
        <f t="array" ref="Y59">IF($Q59="","",_xlfn.TEXTJOIN(", ",TRUE,IF(AGO!$G61:$AK61="FL",AGO!$G$4:$AK$4,"")))</f>
        <v>3, 4</v>
      </c>
      <c r="Z59" t="str">
        <f t="array" ref="Z59">IF($Q59="","",_xlfn.TEXTJOIN(", ",TRUE,IF(SET!$G61:$AK61="FL",SET!$G$4:$AK$4,"")))</f>
        <v/>
      </c>
      <c r="AA59" t="str">
        <f t="array" ref="AA59">IF($Q59="","",_xlfn.TEXTJOIN(", ",TRUE,IF(OUT!$G61:$AK61="FL",OUT!$G$4:$AK$4,"")))</f>
        <v/>
      </c>
      <c r="AB59" t="str">
        <f t="array" ref="AB59">IF($Q59="","",_xlfn.TEXTJOIN(", ",TRUE,IF(NOV!$G61:$AK61="FL",NOV!$G$4:$AK$4,"")))</f>
        <v/>
      </c>
      <c r="AC59" t="str">
        <f t="array" ref="AC59">IF($Q59="","",_xlfn.TEXTJOIN(", ",TRUE,IF(DEZ!$G61:$AK61="FL",DEZ!$G$4:$AK$4,"")))</f>
        <v/>
      </c>
      <c r="AD59">
        <f>IF($Q59="","",COUNTIF(JAN!$G61:$AK61,"FL")+COUNTIF(FEV!$G61:$AK61,"FL")+COUNTIF(MAR!$G61:$AK61,"FL")+COUNTIF(ABR!$G61:$AK61,"FL")+COUNTIF(MAI!$G61:$AK61,"FL")+COUNTIF(JUN!$G61:$AK61,"FL")+COUNTIF(JUL!$G61:$AK61,"FL")+COUNTIF(AGO!$G61:$AK61,"FL")+COUNTIF(SET!$G61:$AK61,"FL")+COUNTIF(OUT!$G61:$AK61,"FL")+COUNTIF(NOV!$G61:$AK61,"FL")+COUNTIF(DEZ!$G61:$AK61,"FL"))</f>
        <v>2</v>
      </c>
      <c r="AF59">
        <f>IF(AND($Q59&lt;&gt;"",N($AD59)&gt;0),COUNT($AF$3:AF58)+1,"")</f>
        <v>31</v>
      </c>
    </row>
    <row r="60" spans="1:32" hidden="1" outlineLevel="1" x14ac:dyDescent="0.25">
      <c r="A60" s="36" t="str">
        <f>IFERROR(INDEX($Q$4:$Q$153,MATCH(ROWS($A$4:A60),$AF$4:$AF$153,0)),"")</f>
        <v/>
      </c>
      <c r="B60" s="35" t="str">
        <f>IFERROR(INDEX($R$4:$R$153,MATCH(ROWS($A$4:A60),$AF$4:$AF$153,0)),"")</f>
        <v/>
      </c>
      <c r="C60" s="35" t="str">
        <f>IFERROR(INDEX($S$4:$S$153,MATCH(ROWS($A$4:A60),$AF$4:$AF$153,0)),"")</f>
        <v/>
      </c>
      <c r="D60" s="35" t="str">
        <f>IFERROR(INDEX($T$4:$T$153,MATCH(ROWS($A$4:A60),$AF$4:$AF$153,0)),"")</f>
        <v/>
      </c>
      <c r="E60" s="35" t="str">
        <f>IFERROR(INDEX($U$4:$U$153,MATCH(ROWS($A$4:A60),$AF$4:$AF$153,0)),"")</f>
        <v/>
      </c>
      <c r="F60" s="35" t="str">
        <f>IFERROR(INDEX($V$4:$V$153,MATCH(ROWS($A$4:A60),$AF$4:$AF$153,0)),"")</f>
        <v/>
      </c>
      <c r="G60" s="35" t="str">
        <f>IFERROR(INDEX($W$4:$W$153,MATCH(ROWS($A$4:A60),$AF$4:$AF$153,0)),"")</f>
        <v/>
      </c>
      <c r="H60" s="35" t="str">
        <f>IFERROR(INDEX($X$4:$X$153,MATCH(ROWS($A$4:A60),$AF$4:$AF$153,0)),"")</f>
        <v/>
      </c>
      <c r="I60" s="72" t="str">
        <f>IFERROR(INDEX($Y$4:$Y$153,MATCH(ROWS($A$4:A60),$AF$4:$AF$153,0)),"")</f>
        <v/>
      </c>
      <c r="J60" s="35" t="str">
        <f>IFERROR(INDEX($Z$4:$Z$153,MATCH(ROWS($A$4:A60),$AF$4:$AF$153,0)),"")</f>
        <v/>
      </c>
      <c r="K60" s="35" t="str">
        <f>IFERROR(INDEX($AA$4:$AA$153,MATCH(ROWS($A$4:A60),$AF$4:$AF$153,0)),"")</f>
        <v/>
      </c>
      <c r="L60" s="35" t="str">
        <f>IFERROR(INDEX($AB$4:$AB$153,MATCH(ROWS($A$4:A60),$AF$4:$AF$153,0)),"")</f>
        <v/>
      </c>
      <c r="M60" s="35" t="str">
        <f>IFERROR(INDEX($AC$4:$AC$153,MATCH(ROWS($A$4:A60),$AF$4:$AF$153,0)),"")</f>
        <v/>
      </c>
      <c r="N60" s="35" t="str">
        <f>IFERROR(INDEX($AD$4:$AD$153,MATCH(ROWS($A$4:A60),$AF$4:$AF$153,0)),"")</f>
        <v/>
      </c>
      <c r="Q60" t="str">
        <f>T(JAN!B62)</f>
        <v>CLAUDIOMIR DE SOUZA 415401</v>
      </c>
      <c r="R60" t="str">
        <f t="array" ref="R60">IF($Q60="","",_xlfn.TEXTJOIN(", ",TRUE,IF(JAN!$G62:$AK62="FL",JAN!$G$4:$AK$4,"")))</f>
        <v/>
      </c>
      <c r="S60" t="str">
        <f t="array" ref="S60">IF($Q60="","",_xlfn.TEXTJOIN(", ",TRUE,IF(FEV!$G62:$AK62="FL",FEV!$G$4:$AK$4,"")))</f>
        <v/>
      </c>
      <c r="T60" t="str">
        <f t="array" ref="T60">IF($Q60="","",_xlfn.TEXTJOIN(", ",TRUE,IF(MAR!$G62:$AK62="FL",MAR!$G$4:$AK$4,"")))</f>
        <v/>
      </c>
      <c r="U60" t="str">
        <f t="array" ref="U60">IF($Q60="","",_xlfn.TEXTJOIN(", ",TRUE,IF(ABR!$G62:$AK62="FL",ABR!$G$4:$AK$4,"")))</f>
        <v/>
      </c>
      <c r="V60" t="str">
        <f t="array" ref="V60">IF($Q60="","",_xlfn.TEXTJOIN(", ",TRUE,IF(MAI!$G62:$AK62="FL",MAI!$G$4:$AK$4,"")))</f>
        <v/>
      </c>
      <c r="W60" t="str">
        <f t="array" ref="W60">IF($Q60="","",_xlfn.TEXTJOIN(", ",TRUE,IF(JUN!$G62:$AK62="FL",JUN!$G$4:$AK$4,"")))</f>
        <v/>
      </c>
      <c r="X60" t="str">
        <f t="array" ref="X60">IF($Q60="","",_xlfn.TEXTJOIN(", ",TRUE,IF(JUL!$G62:$AK62="FL",JUL!$G$4:$AK$4,"")))</f>
        <v>25, 27, 28</v>
      </c>
      <c r="Y60" t="str">
        <f t="array" ref="Y60">IF($Q60="","",_xlfn.TEXTJOIN(", ",TRUE,IF(AGO!$G62:$AK62="FL",AGO!$G$4:$AK$4,"")))</f>
        <v>3, 15</v>
      </c>
      <c r="Z60" t="str">
        <f t="array" ref="Z60">IF($Q60="","",_xlfn.TEXTJOIN(", ",TRUE,IF(SET!$G62:$AK62="FL",SET!$G$4:$AK$4,"")))</f>
        <v/>
      </c>
      <c r="AA60" t="str">
        <f t="array" ref="AA60">IF($Q60="","",_xlfn.TEXTJOIN(", ",TRUE,IF(OUT!$G62:$AK62="FL",OUT!$G$4:$AK$4,"")))</f>
        <v/>
      </c>
      <c r="AB60" t="str">
        <f t="array" ref="AB60">IF($Q60="","",_xlfn.TEXTJOIN(", ",TRUE,IF(NOV!$G62:$AK62="FL",NOV!$G$4:$AK$4,"")))</f>
        <v/>
      </c>
      <c r="AC60" t="str">
        <f t="array" ref="AC60">IF($Q60="","",_xlfn.TEXTJOIN(", ",TRUE,IF(DEZ!$G62:$AK62="FL",DEZ!$G$4:$AK$4,"")))</f>
        <v/>
      </c>
      <c r="AD60">
        <f>IF($Q60="","",COUNTIF(JAN!$G62:$AK62,"FL")+COUNTIF(FEV!$G62:$AK62,"FL")+COUNTIF(MAR!$G62:$AK62,"FL")+COUNTIF(ABR!$G62:$AK62,"FL")+COUNTIF(MAI!$G62:$AK62,"FL")+COUNTIF(JUN!$G62:$AK62,"FL")+COUNTIF(JUL!$G62:$AK62,"FL")+COUNTIF(AGO!$G62:$AK62,"FL")+COUNTIF(SET!$G62:$AK62,"FL")+COUNTIF(OUT!$G62:$AK62,"FL")+COUNTIF(NOV!$G62:$AK62,"FL")+COUNTIF(DEZ!$G62:$AK62,"FL"))</f>
        <v>5</v>
      </c>
      <c r="AF60">
        <f>IF(AND($Q60&lt;&gt;"",N($AD60)&gt;0),COUNT($AF$3:AF59)+1,"")</f>
        <v>32</v>
      </c>
    </row>
    <row r="61" spans="1:32" hidden="1" outlineLevel="1" x14ac:dyDescent="0.25">
      <c r="A61" s="36" t="str">
        <f>IFERROR(INDEX($Q$4:$Q$153,MATCH(ROWS($A$4:A61),$AF$4:$AF$153,0)),"")</f>
        <v/>
      </c>
      <c r="B61" s="35" t="str">
        <f>IFERROR(INDEX($R$4:$R$153,MATCH(ROWS($A$4:A61),$AF$4:$AF$153,0)),"")</f>
        <v/>
      </c>
      <c r="C61" s="35" t="str">
        <f>IFERROR(INDEX($S$4:$S$153,MATCH(ROWS($A$4:A61),$AF$4:$AF$153,0)),"")</f>
        <v/>
      </c>
      <c r="D61" s="35" t="str">
        <f>IFERROR(INDEX($T$4:$T$153,MATCH(ROWS($A$4:A61),$AF$4:$AF$153,0)),"")</f>
        <v/>
      </c>
      <c r="E61" s="35" t="str">
        <f>IFERROR(INDEX($U$4:$U$153,MATCH(ROWS($A$4:A61),$AF$4:$AF$153,0)),"")</f>
        <v/>
      </c>
      <c r="F61" s="35" t="str">
        <f>IFERROR(INDEX($V$4:$V$153,MATCH(ROWS($A$4:A61),$AF$4:$AF$153,0)),"")</f>
        <v/>
      </c>
      <c r="G61" s="35" t="str">
        <f>IFERROR(INDEX($W$4:$W$153,MATCH(ROWS($A$4:A61),$AF$4:$AF$153,0)),"")</f>
        <v/>
      </c>
      <c r="H61" s="35" t="str">
        <f>IFERROR(INDEX($X$4:$X$153,MATCH(ROWS($A$4:A61),$AF$4:$AF$153,0)),"")</f>
        <v/>
      </c>
      <c r="I61" s="72" t="str">
        <f>IFERROR(INDEX($Y$4:$Y$153,MATCH(ROWS($A$4:A61),$AF$4:$AF$153,0)),"")</f>
        <v/>
      </c>
      <c r="J61" s="35" t="str">
        <f>IFERROR(INDEX($Z$4:$Z$153,MATCH(ROWS($A$4:A61),$AF$4:$AF$153,0)),"")</f>
        <v/>
      </c>
      <c r="K61" s="35" t="str">
        <f>IFERROR(INDEX($AA$4:$AA$153,MATCH(ROWS($A$4:A61),$AF$4:$AF$153,0)),"")</f>
        <v/>
      </c>
      <c r="L61" s="35" t="str">
        <f>IFERROR(INDEX($AB$4:$AB$153,MATCH(ROWS($A$4:A61),$AF$4:$AF$153,0)),"")</f>
        <v/>
      </c>
      <c r="M61" s="35" t="str">
        <f>IFERROR(INDEX($AC$4:$AC$153,MATCH(ROWS($A$4:A61),$AF$4:$AF$153,0)),"")</f>
        <v/>
      </c>
      <c r="N61" s="35" t="str">
        <f>IFERROR(INDEX($AD$4:$AD$153,MATCH(ROWS($A$4:A61),$AF$4:$AF$153,0)),"")</f>
        <v/>
      </c>
      <c r="Q61" t="str">
        <f>T(JAN!B63)</f>
        <v>VAGNER LEMOS 360301</v>
      </c>
      <c r="R61" t="str">
        <f t="array" ref="R61">IF($Q61="","",_xlfn.TEXTJOIN(", ",TRUE,IF(JAN!$G63:$AK63="FL",JAN!$G$4:$AK$4,"")))</f>
        <v/>
      </c>
      <c r="S61" t="str">
        <f t="array" ref="S61">IF($Q61="","",_xlfn.TEXTJOIN(", ",TRUE,IF(FEV!$G63:$AK63="FL",FEV!$G$4:$AK$4,"")))</f>
        <v/>
      </c>
      <c r="T61" t="str">
        <f t="array" ref="T61">IF($Q61="","",_xlfn.TEXTJOIN(", ",TRUE,IF(MAR!$G63:$AK63="FL",MAR!$G$4:$AK$4,"")))</f>
        <v/>
      </c>
      <c r="U61" t="str">
        <f t="array" ref="U61">IF($Q61="","",_xlfn.TEXTJOIN(", ",TRUE,IF(ABR!$G63:$AK63="FL",ABR!$G$4:$AK$4,"")))</f>
        <v/>
      </c>
      <c r="V61" t="str">
        <f t="array" ref="V61">IF($Q61="","",_xlfn.TEXTJOIN(", ",TRUE,IF(MAI!$G63:$AK63="FL",MAI!$G$4:$AK$4,"")))</f>
        <v/>
      </c>
      <c r="W61" t="str">
        <f t="array" ref="W61">IF($Q61="","",_xlfn.TEXTJOIN(", ",TRUE,IF(JUN!$G63:$AK63="FL",JUN!$G$4:$AK$4,"")))</f>
        <v/>
      </c>
      <c r="X61" t="str">
        <f t="array" ref="X61">IF($Q61="","",_xlfn.TEXTJOIN(", ",TRUE,IF(JUL!$G63:$AK63="FL",JUL!$G$4:$AK$4,"")))</f>
        <v/>
      </c>
      <c r="Y61" t="str">
        <f t="array" ref="Y61">IF($Q61="","",_xlfn.TEXTJOIN(", ",TRUE,IF(AGO!$G63:$AK63="FL",AGO!$G$4:$AK$4,"")))</f>
        <v/>
      </c>
      <c r="Z61" t="str">
        <f t="array" ref="Z61">IF($Q61="","",_xlfn.TEXTJOIN(", ",TRUE,IF(SET!$G63:$AK63="FL",SET!$G$4:$AK$4,"")))</f>
        <v/>
      </c>
      <c r="AA61" t="str">
        <f t="array" ref="AA61">IF($Q61="","",_xlfn.TEXTJOIN(", ",TRUE,IF(OUT!$G63:$AK63="FL",OUT!$G$4:$AK$4,"")))</f>
        <v>13</v>
      </c>
      <c r="AB61" t="str">
        <f t="array" ref="AB61">IF($Q61="","",_xlfn.TEXTJOIN(", ",TRUE,IF(NOV!$G63:$AK63="FL",NOV!$G$4:$AK$4,"")))</f>
        <v/>
      </c>
      <c r="AC61" t="str">
        <f t="array" ref="AC61">IF($Q61="","",_xlfn.TEXTJOIN(", ",TRUE,IF(DEZ!$G63:$AK63="FL",DEZ!$G$4:$AK$4,"")))</f>
        <v/>
      </c>
      <c r="AD61">
        <f>IF($Q61="","",COUNTIF(JAN!$G63:$AK63,"FL")+COUNTIF(FEV!$G63:$AK63,"FL")+COUNTIF(MAR!$G63:$AK63,"FL")+COUNTIF(ABR!$G63:$AK63,"FL")+COUNTIF(MAI!$G63:$AK63,"FL")+COUNTIF(JUN!$G63:$AK63,"FL")+COUNTIF(JUL!$G63:$AK63,"FL")+COUNTIF(AGO!$G63:$AK63,"FL")+COUNTIF(SET!$G63:$AK63,"FL")+COUNTIF(OUT!$G63:$AK63,"FL")+COUNTIF(NOV!$G63:$AK63,"FL")+COUNTIF(DEZ!$G63:$AK63,"FL"))</f>
        <v>1</v>
      </c>
      <c r="AF61">
        <f>IF(AND($Q61&lt;&gt;"",N($AD61)&gt;0),COUNT($AF$3:AF60)+1,"")</f>
        <v>33</v>
      </c>
    </row>
    <row r="62" spans="1:32" hidden="1" outlineLevel="1" x14ac:dyDescent="0.25">
      <c r="A62" s="36" t="str">
        <f>IFERROR(INDEX($Q$4:$Q$153,MATCH(ROWS($A$4:A62),$AF$4:$AF$153,0)),"")</f>
        <v/>
      </c>
      <c r="B62" s="35" t="str">
        <f>IFERROR(INDEX($R$4:$R$153,MATCH(ROWS($A$4:A62),$AF$4:$AF$153,0)),"")</f>
        <v/>
      </c>
      <c r="C62" s="35" t="str">
        <f>IFERROR(INDEX($S$4:$S$153,MATCH(ROWS($A$4:A62),$AF$4:$AF$153,0)),"")</f>
        <v/>
      </c>
      <c r="D62" s="35" t="str">
        <f>IFERROR(INDEX($T$4:$T$153,MATCH(ROWS($A$4:A62),$AF$4:$AF$153,0)),"")</f>
        <v/>
      </c>
      <c r="E62" s="35" t="str">
        <f>IFERROR(INDEX($U$4:$U$153,MATCH(ROWS($A$4:A62),$AF$4:$AF$153,0)),"")</f>
        <v/>
      </c>
      <c r="F62" s="35" t="str">
        <f>IFERROR(INDEX($V$4:$V$153,MATCH(ROWS($A$4:A62),$AF$4:$AF$153,0)),"")</f>
        <v/>
      </c>
      <c r="G62" s="35" t="str">
        <f>IFERROR(INDEX($W$4:$W$153,MATCH(ROWS($A$4:A62),$AF$4:$AF$153,0)),"")</f>
        <v/>
      </c>
      <c r="H62" s="35" t="str">
        <f>IFERROR(INDEX($X$4:$X$153,MATCH(ROWS($A$4:A62),$AF$4:$AF$153,0)),"")</f>
        <v/>
      </c>
      <c r="I62" s="72" t="str">
        <f>IFERROR(INDEX($Y$4:$Y$153,MATCH(ROWS($A$4:A62),$AF$4:$AF$153,0)),"")</f>
        <v/>
      </c>
      <c r="J62" s="35" t="str">
        <f>IFERROR(INDEX($Z$4:$Z$153,MATCH(ROWS($A$4:A62),$AF$4:$AF$153,0)),"")</f>
        <v/>
      </c>
      <c r="K62" s="35" t="str">
        <f>IFERROR(INDEX($AA$4:$AA$153,MATCH(ROWS($A$4:A62),$AF$4:$AF$153,0)),"")</f>
        <v/>
      </c>
      <c r="L62" s="35" t="str">
        <f>IFERROR(INDEX($AB$4:$AB$153,MATCH(ROWS($A$4:A62),$AF$4:$AF$153,0)),"")</f>
        <v/>
      </c>
      <c r="M62" s="35" t="str">
        <f>IFERROR(INDEX($AC$4:$AC$153,MATCH(ROWS($A$4:A62),$AF$4:$AF$153,0)),"")</f>
        <v/>
      </c>
      <c r="N62" s="35" t="str">
        <f>IFERROR(INDEX($AD$4:$AD$153,MATCH(ROWS($A$4:A62),$AF$4:$AF$153,0)),"")</f>
        <v/>
      </c>
      <c r="Q62" t="str">
        <f>T(JAN!B64)</f>
        <v>RODRIGO FREITAS 283001</v>
      </c>
      <c r="R62" t="str">
        <f t="array" ref="R62">IF($Q62="","",_xlfn.TEXTJOIN(", ",TRUE,IF(JAN!$G64:$AK64="FL",JAN!$G$4:$AK$4,"")))</f>
        <v/>
      </c>
      <c r="S62" t="str">
        <f t="array" ref="S62">IF($Q62="","",_xlfn.TEXTJOIN(", ",TRUE,IF(FEV!$G64:$AK64="FL",FEV!$G$4:$AK$4,"")))</f>
        <v/>
      </c>
      <c r="T62" t="str">
        <f t="array" ref="T62">IF($Q62="","",_xlfn.TEXTJOIN(", ",TRUE,IF(MAR!$G64:$AK64="FL",MAR!$G$4:$AK$4,"")))</f>
        <v/>
      </c>
      <c r="U62" t="str">
        <f t="array" ref="U62">IF($Q62="","",_xlfn.TEXTJOIN(", ",TRUE,IF(ABR!$G64:$AK64="FL",ABR!$G$4:$AK$4,"")))</f>
        <v/>
      </c>
      <c r="V62" t="str">
        <f t="array" ref="V62">IF($Q62="","",_xlfn.TEXTJOIN(", ",TRUE,IF(MAI!$G64:$AK64="FL",MAI!$G$4:$AK$4,"")))</f>
        <v/>
      </c>
      <c r="W62" t="str">
        <f t="array" ref="W62">IF($Q62="","",_xlfn.TEXTJOIN(", ",TRUE,IF(JUN!$G64:$AK64="FL",JUN!$G$4:$AK$4,"")))</f>
        <v/>
      </c>
      <c r="X62" t="str">
        <f t="array" ref="X62">IF($Q62="","",_xlfn.TEXTJOIN(", ",TRUE,IF(JUL!$G64:$AK64="FL",JUL!$G$4:$AK$4,"")))</f>
        <v/>
      </c>
      <c r="Y62" t="str">
        <f t="array" ref="Y62">IF($Q62="","",_xlfn.TEXTJOIN(", ",TRUE,IF(AGO!$G64:$AK64="FL",AGO!$G$4:$AK$4,"")))</f>
        <v/>
      </c>
      <c r="Z62" t="str">
        <f t="array" ref="Z62">IF($Q62="","",_xlfn.TEXTJOIN(", ",TRUE,IF(SET!$G64:$AK64="FL",SET!$G$4:$AK$4,"")))</f>
        <v>5</v>
      </c>
      <c r="AA62" t="str">
        <f t="array" ref="AA62">IF($Q62="","",_xlfn.TEXTJOIN(", ",TRUE,IF(OUT!$G64:$AK64="FL",OUT!$G$4:$AK$4,"")))</f>
        <v/>
      </c>
      <c r="AB62" t="str">
        <f t="array" ref="AB62">IF($Q62="","",_xlfn.TEXTJOIN(", ",TRUE,IF(NOV!$G64:$AK64="FL",NOV!$G$4:$AK$4,"")))</f>
        <v/>
      </c>
      <c r="AC62" t="str">
        <f t="array" ref="AC62">IF($Q62="","",_xlfn.TEXTJOIN(", ",TRUE,IF(DEZ!$G64:$AK64="FL",DEZ!$G$4:$AK$4,"")))</f>
        <v/>
      </c>
      <c r="AD62">
        <f>IF($Q62="","",COUNTIF(JAN!$G64:$AK64,"FL")+COUNTIF(FEV!$G64:$AK64,"FL")+COUNTIF(MAR!$G64:$AK64,"FL")+COUNTIF(ABR!$G64:$AK64,"FL")+COUNTIF(MAI!$G64:$AK64,"FL")+COUNTIF(JUN!$G64:$AK64,"FL")+COUNTIF(JUL!$G64:$AK64,"FL")+COUNTIF(AGO!$G64:$AK64,"FL")+COUNTIF(SET!$G64:$AK64,"FL")+COUNTIF(OUT!$G64:$AK64,"FL")+COUNTIF(NOV!$G64:$AK64,"FL")+COUNTIF(DEZ!$G64:$AK64,"FL"))</f>
        <v>1</v>
      </c>
      <c r="AF62">
        <f>IF(AND($Q62&lt;&gt;"",N($AD62)&gt;0),COUNT($AF$3:AF61)+1,"")</f>
        <v>34</v>
      </c>
    </row>
    <row r="63" spans="1:32" hidden="1" outlineLevel="1" x14ac:dyDescent="0.25">
      <c r="A63" s="36" t="str">
        <f>IFERROR(INDEX($Q$4:$Q$153,MATCH(ROWS($A$4:A63),$AF$4:$AF$153,0)),"")</f>
        <v/>
      </c>
      <c r="B63" s="35" t="str">
        <f>IFERROR(INDEX($R$4:$R$153,MATCH(ROWS($A$4:A63),$AF$4:$AF$153,0)),"")</f>
        <v/>
      </c>
      <c r="C63" s="35" t="str">
        <f>IFERROR(INDEX($S$4:$S$153,MATCH(ROWS($A$4:A63),$AF$4:$AF$153,0)),"")</f>
        <v/>
      </c>
      <c r="D63" s="35" t="str">
        <f>IFERROR(INDEX($T$4:$T$153,MATCH(ROWS($A$4:A63),$AF$4:$AF$153,0)),"")</f>
        <v/>
      </c>
      <c r="E63" s="35" t="str">
        <f>IFERROR(INDEX($U$4:$U$153,MATCH(ROWS($A$4:A63),$AF$4:$AF$153,0)),"")</f>
        <v/>
      </c>
      <c r="F63" s="35" t="str">
        <f>IFERROR(INDEX($V$4:$V$153,MATCH(ROWS($A$4:A63),$AF$4:$AF$153,0)),"")</f>
        <v/>
      </c>
      <c r="G63" s="35" t="str">
        <f>IFERROR(INDEX($W$4:$W$153,MATCH(ROWS($A$4:A63),$AF$4:$AF$153,0)),"")</f>
        <v/>
      </c>
      <c r="H63" s="35" t="str">
        <f>IFERROR(INDEX($X$4:$X$153,MATCH(ROWS($A$4:A63),$AF$4:$AF$153,0)),"")</f>
        <v/>
      </c>
      <c r="I63" s="72" t="str">
        <f>IFERROR(INDEX($Y$4:$Y$153,MATCH(ROWS($A$4:A63),$AF$4:$AF$153,0)),"")</f>
        <v/>
      </c>
      <c r="J63" s="35" t="str">
        <f>IFERROR(INDEX($Z$4:$Z$153,MATCH(ROWS($A$4:A63),$AF$4:$AF$153,0)),"")</f>
        <v/>
      </c>
      <c r="K63" s="35" t="str">
        <f>IFERROR(INDEX($AA$4:$AA$153,MATCH(ROWS($A$4:A63),$AF$4:$AF$153,0)),"")</f>
        <v/>
      </c>
      <c r="L63" s="35" t="str">
        <f>IFERROR(INDEX($AB$4:$AB$153,MATCH(ROWS($A$4:A63),$AF$4:$AF$153,0)),"")</f>
        <v/>
      </c>
      <c r="M63" s="35" t="str">
        <f>IFERROR(INDEX($AC$4:$AC$153,MATCH(ROWS($A$4:A63),$AF$4:$AF$153,0)),"")</f>
        <v/>
      </c>
      <c r="N63" s="35" t="str">
        <f>IFERROR(INDEX($AD$4:$AD$153,MATCH(ROWS($A$4:A63),$AF$4:$AF$153,0)),"")</f>
        <v/>
      </c>
      <c r="Q63" t="str">
        <f>T(JAN!B65)</f>
        <v>ANTONIO LUCIANO 454801</v>
      </c>
      <c r="R63" t="str">
        <f t="array" ref="R63">IF($Q63="","",_xlfn.TEXTJOIN(", ",TRUE,IF(JAN!$G65:$AK65="FL",JAN!$G$4:$AK$4,"")))</f>
        <v/>
      </c>
      <c r="S63" t="str">
        <f t="array" ref="S63">IF($Q63="","",_xlfn.TEXTJOIN(", ",TRUE,IF(FEV!$G65:$AK65="FL",FEV!$G$4:$AK$4,"")))</f>
        <v/>
      </c>
      <c r="T63" t="str">
        <f t="array" ref="T63">IF($Q63="","",_xlfn.TEXTJOIN(", ",TRUE,IF(MAR!$G65:$AK65="FL",MAR!$G$4:$AK$4,"")))</f>
        <v/>
      </c>
      <c r="U63" t="str">
        <f t="array" ref="U63">IF($Q63="","",_xlfn.TEXTJOIN(", ",TRUE,IF(ABR!$G65:$AK65="FL",ABR!$G$4:$AK$4,"")))</f>
        <v/>
      </c>
      <c r="V63" t="str">
        <f t="array" ref="V63">IF($Q63="","",_xlfn.TEXTJOIN(", ",TRUE,IF(MAI!$G65:$AK65="FL",MAI!$G$4:$AK$4,"")))</f>
        <v/>
      </c>
      <c r="W63" t="str">
        <f t="array" ref="W63">IF($Q63="","",_xlfn.TEXTJOIN(", ",TRUE,IF(JUN!$G65:$AK65="FL",JUN!$G$4:$AK$4,"")))</f>
        <v/>
      </c>
      <c r="X63" t="str">
        <f t="array" ref="X63">IF($Q63="","",_xlfn.TEXTJOIN(", ",TRUE,IF(JUL!$G65:$AK65="FL",JUL!$G$4:$AK$4,"")))</f>
        <v/>
      </c>
      <c r="Y63" t="str">
        <f t="array" ref="Y63">IF($Q63="","",_xlfn.TEXTJOIN(", ",TRUE,IF(AGO!$G65:$AK65="FL",AGO!$G$4:$AK$4,"")))</f>
        <v/>
      </c>
      <c r="Z63" t="str">
        <f t="array" ref="Z63">IF($Q63="","",_xlfn.TEXTJOIN(", ",TRUE,IF(SET!$G65:$AK65="FL",SET!$G$4:$AK$4,"")))</f>
        <v>5</v>
      </c>
      <c r="AA63" t="str">
        <f t="array" ref="AA63">IF($Q63="","",_xlfn.TEXTJOIN(", ",TRUE,IF(OUT!$G65:$AK65="FL",OUT!$G$4:$AK$4,"")))</f>
        <v>5</v>
      </c>
      <c r="AB63" t="str">
        <f t="array" ref="AB63">IF($Q63="","",_xlfn.TEXTJOIN(", ",TRUE,IF(NOV!$G65:$AK65="FL",NOV!$G$4:$AK$4,"")))</f>
        <v/>
      </c>
      <c r="AC63" t="str">
        <f t="array" ref="AC63">IF($Q63="","",_xlfn.TEXTJOIN(", ",TRUE,IF(DEZ!$G65:$AK65="FL",DEZ!$G$4:$AK$4,"")))</f>
        <v/>
      </c>
      <c r="AD63">
        <f>IF($Q63="","",COUNTIF(JAN!$G65:$AK65,"FL")+COUNTIF(FEV!$G65:$AK65,"FL")+COUNTIF(MAR!$G65:$AK65,"FL")+COUNTIF(ABR!$G65:$AK65,"FL")+COUNTIF(MAI!$G65:$AK65,"FL")+COUNTIF(JUN!$G65:$AK65,"FL")+COUNTIF(JUL!$G65:$AK65,"FL")+COUNTIF(AGO!$G65:$AK65,"FL")+COUNTIF(SET!$G65:$AK65,"FL")+COUNTIF(OUT!$G65:$AK65,"FL")+COUNTIF(NOV!$G65:$AK65,"FL")+COUNTIF(DEZ!$G65:$AK65,"FL"))</f>
        <v>2</v>
      </c>
      <c r="AF63">
        <f>IF(AND($Q63&lt;&gt;"",N($AD63)&gt;0),COUNT($AF$3:AF62)+1,"")</f>
        <v>35</v>
      </c>
    </row>
    <row r="64" spans="1:32" hidden="1" outlineLevel="1" x14ac:dyDescent="0.25">
      <c r="A64" s="36" t="str">
        <f>IFERROR(INDEX($Q$4:$Q$153,MATCH(ROWS($A$4:A64),$AF$4:$AF$153,0)),"")</f>
        <v/>
      </c>
      <c r="B64" s="35" t="str">
        <f>IFERROR(INDEX($R$4:$R$153,MATCH(ROWS($A$4:A64),$AF$4:$AF$153,0)),"")</f>
        <v/>
      </c>
      <c r="C64" s="35" t="str">
        <f>IFERROR(INDEX($S$4:$S$153,MATCH(ROWS($A$4:A64),$AF$4:$AF$153,0)),"")</f>
        <v/>
      </c>
      <c r="D64" s="35" t="str">
        <f>IFERROR(INDEX($T$4:$T$153,MATCH(ROWS($A$4:A64),$AF$4:$AF$153,0)),"")</f>
        <v/>
      </c>
      <c r="E64" s="35" t="str">
        <f>IFERROR(INDEX($U$4:$U$153,MATCH(ROWS($A$4:A64),$AF$4:$AF$153,0)),"")</f>
        <v/>
      </c>
      <c r="F64" s="35" t="str">
        <f>IFERROR(INDEX($V$4:$V$153,MATCH(ROWS($A$4:A64),$AF$4:$AF$153,0)),"")</f>
        <v/>
      </c>
      <c r="G64" s="35" t="str">
        <f>IFERROR(INDEX($W$4:$W$153,MATCH(ROWS($A$4:A64),$AF$4:$AF$153,0)),"")</f>
        <v/>
      </c>
      <c r="H64" s="35" t="str">
        <f>IFERROR(INDEX($X$4:$X$153,MATCH(ROWS($A$4:A64),$AF$4:$AF$153,0)),"")</f>
        <v/>
      </c>
      <c r="I64" s="72" t="str">
        <f>IFERROR(INDEX($Y$4:$Y$153,MATCH(ROWS($A$4:A64),$AF$4:$AF$153,0)),"")</f>
        <v/>
      </c>
      <c r="J64" s="35" t="str">
        <f>IFERROR(INDEX($Z$4:$Z$153,MATCH(ROWS($A$4:A64),$AF$4:$AF$153,0)),"")</f>
        <v/>
      </c>
      <c r="K64" s="35" t="str">
        <f>IFERROR(INDEX($AA$4:$AA$153,MATCH(ROWS($A$4:A64),$AF$4:$AF$153,0)),"")</f>
        <v/>
      </c>
      <c r="L64" s="35" t="str">
        <f>IFERROR(INDEX($AB$4:$AB$153,MATCH(ROWS($A$4:A64),$AF$4:$AF$153,0)),"")</f>
        <v/>
      </c>
      <c r="M64" s="35" t="str">
        <f>IFERROR(INDEX($AC$4:$AC$153,MATCH(ROWS($A$4:A64),$AF$4:$AF$153,0)),"")</f>
        <v/>
      </c>
      <c r="N64" s="35" t="str">
        <f>IFERROR(INDEX($AD$4:$AD$153,MATCH(ROWS($A$4:A64),$AF$4:$AF$153,0)),"")</f>
        <v/>
      </c>
      <c r="Q64" t="str">
        <f>T(JAN!B66)</f>
        <v>JONATHAM CORREA 447001</v>
      </c>
      <c r="R64" t="str">
        <f t="array" ref="R64">IF($Q64="","",_xlfn.TEXTJOIN(", ",TRUE,IF(JAN!$G66:$AK66="FL",JAN!$G$4:$AK$4,"")))</f>
        <v/>
      </c>
      <c r="S64" t="str">
        <f t="array" ref="S64">IF($Q64="","",_xlfn.TEXTJOIN(", ",TRUE,IF(FEV!$G66:$AK66="FL",FEV!$G$4:$AK$4,"")))</f>
        <v/>
      </c>
      <c r="T64" t="str">
        <f t="array" ref="T64">IF($Q64="","",_xlfn.TEXTJOIN(", ",TRUE,IF(MAR!$G66:$AK66="FL",MAR!$G$4:$AK$4,"")))</f>
        <v/>
      </c>
      <c r="U64" t="str">
        <f t="array" ref="U64">IF($Q64="","",_xlfn.TEXTJOIN(", ",TRUE,IF(ABR!$G66:$AK66="FL",ABR!$G$4:$AK$4,"")))</f>
        <v/>
      </c>
      <c r="V64" t="str">
        <f t="array" ref="V64">IF($Q64="","",_xlfn.TEXTJOIN(", ",TRUE,IF(MAI!$G66:$AK66="FL",MAI!$G$4:$AK$4,"")))</f>
        <v/>
      </c>
      <c r="W64" t="str">
        <f t="array" ref="W64">IF($Q64="","",_xlfn.TEXTJOIN(", ",TRUE,IF(JUN!$G66:$AK66="FL",JUN!$G$4:$AK$4,"")))</f>
        <v/>
      </c>
      <c r="X64" t="str">
        <f t="array" ref="X64">IF($Q64="","",_xlfn.TEXTJOIN(", ",TRUE,IF(JUL!$G66:$AK66="FL",JUL!$G$4:$AK$4,"")))</f>
        <v/>
      </c>
      <c r="Y64" t="str">
        <f t="array" ref="Y64">IF($Q64="","",_xlfn.TEXTJOIN(", ",TRUE,IF(AGO!$G66:$AK66="FL",AGO!$G$4:$AK$4,"")))</f>
        <v/>
      </c>
      <c r="Z64" t="str">
        <f t="array" ref="Z64">IF($Q64="","",_xlfn.TEXTJOIN(", ",TRUE,IF(SET!$G66:$AK66="FL",SET!$G$4:$AK$4,"")))</f>
        <v/>
      </c>
      <c r="AA64" t="str">
        <f t="array" ref="AA64">IF($Q64="","",_xlfn.TEXTJOIN(", ",TRUE,IF(OUT!$G66:$AK66="FL",OUT!$G$4:$AK$4,"")))</f>
        <v/>
      </c>
      <c r="AB64" t="str">
        <f t="array" ref="AB64">IF($Q64="","",_xlfn.TEXTJOIN(", ",TRUE,IF(NOV!$G66:$AK66="FL",NOV!$G$4:$AK$4,"")))</f>
        <v/>
      </c>
      <c r="AC64" t="str">
        <f t="array" ref="AC64">IF($Q64="","",_xlfn.TEXTJOIN(", ",TRUE,IF(DEZ!$G66:$AK66="FL",DEZ!$G$4:$AK$4,"")))</f>
        <v/>
      </c>
      <c r="AD64">
        <f>IF($Q64="","",COUNTIF(JAN!$G66:$AK66,"FL")+COUNTIF(FEV!$G66:$AK66,"FL")+COUNTIF(MAR!$G66:$AK66,"FL")+COUNTIF(ABR!$G66:$AK66,"FL")+COUNTIF(MAI!$G66:$AK66,"FL")+COUNTIF(JUN!$G66:$AK66,"FL")+COUNTIF(JUL!$G66:$AK66,"FL")+COUNTIF(AGO!$G66:$AK66,"FL")+COUNTIF(SET!$G66:$AK66,"FL")+COUNTIF(OUT!$G66:$AK66,"FL")+COUNTIF(NOV!$G66:$AK66,"FL")+COUNTIF(DEZ!$G66:$AK66,"FL"))</f>
        <v>0</v>
      </c>
      <c r="AF64" t="str">
        <f>IF(AND($Q64&lt;&gt;"",N($AD64)&gt;0),COUNT($AF$3:AF63)+1,"")</f>
        <v/>
      </c>
    </row>
    <row r="65" spans="1:32" hidden="1" outlineLevel="1" x14ac:dyDescent="0.25">
      <c r="A65" s="36" t="str">
        <f>IFERROR(INDEX($Q$4:$Q$153,MATCH(ROWS($A$4:A65),$AF$4:$AF$153,0)),"")</f>
        <v/>
      </c>
      <c r="B65" s="35" t="str">
        <f>IFERROR(INDEX($R$4:$R$153,MATCH(ROWS($A$4:A65),$AF$4:$AF$153,0)),"")</f>
        <v/>
      </c>
      <c r="C65" s="35" t="str">
        <f>IFERROR(INDEX($S$4:$S$153,MATCH(ROWS($A$4:A65),$AF$4:$AF$153,0)),"")</f>
        <v/>
      </c>
      <c r="D65" s="35" t="str">
        <f>IFERROR(INDEX($T$4:$T$153,MATCH(ROWS($A$4:A65),$AF$4:$AF$153,0)),"")</f>
        <v/>
      </c>
      <c r="E65" s="35" t="str">
        <f>IFERROR(INDEX($U$4:$U$153,MATCH(ROWS($A$4:A65),$AF$4:$AF$153,0)),"")</f>
        <v/>
      </c>
      <c r="F65" s="35" t="str">
        <f>IFERROR(INDEX($V$4:$V$153,MATCH(ROWS($A$4:A65),$AF$4:$AF$153,0)),"")</f>
        <v/>
      </c>
      <c r="G65" s="35" t="str">
        <f>IFERROR(INDEX($W$4:$W$153,MATCH(ROWS($A$4:A65),$AF$4:$AF$153,0)),"")</f>
        <v/>
      </c>
      <c r="H65" s="35" t="str">
        <f>IFERROR(INDEX($X$4:$X$153,MATCH(ROWS($A$4:A65),$AF$4:$AF$153,0)),"")</f>
        <v/>
      </c>
      <c r="I65" s="72" t="str">
        <f>IFERROR(INDEX($Y$4:$Y$153,MATCH(ROWS($A$4:A65),$AF$4:$AF$153,0)),"")</f>
        <v/>
      </c>
      <c r="J65" s="35" t="str">
        <f>IFERROR(INDEX($Z$4:$Z$153,MATCH(ROWS($A$4:A65),$AF$4:$AF$153,0)),"")</f>
        <v/>
      </c>
      <c r="K65" s="35" t="str">
        <f>IFERROR(INDEX($AA$4:$AA$153,MATCH(ROWS($A$4:A65),$AF$4:$AF$153,0)),"")</f>
        <v/>
      </c>
      <c r="L65" s="35" t="str">
        <f>IFERROR(INDEX($AB$4:$AB$153,MATCH(ROWS($A$4:A65),$AF$4:$AF$153,0)),"")</f>
        <v/>
      </c>
      <c r="M65" s="35" t="str">
        <f>IFERROR(INDEX($AC$4:$AC$153,MATCH(ROWS($A$4:A65),$AF$4:$AF$153,0)),"")</f>
        <v/>
      </c>
      <c r="N65" s="35" t="str">
        <f>IFERROR(INDEX($AD$4:$AD$153,MATCH(ROWS($A$4:A65),$AF$4:$AF$153,0)),"")</f>
        <v/>
      </c>
      <c r="Q65" t="str">
        <f>T(JAN!B67)</f>
        <v>GUILHERME MELCHIOR 37002309</v>
      </c>
      <c r="R65" t="str">
        <f t="array" ref="R65">IF($Q65="","",_xlfn.TEXTJOIN(", ",TRUE,IF(JAN!$G67:$AK67="FL",JAN!$G$4:$AK$4,"")))</f>
        <v/>
      </c>
      <c r="S65" t="str">
        <f t="array" ref="S65">IF($Q65="","",_xlfn.TEXTJOIN(", ",TRUE,IF(FEV!$G67:$AK67="FL",FEV!$G$4:$AK$4,"")))</f>
        <v/>
      </c>
      <c r="T65" t="str">
        <f t="array" ref="T65">IF($Q65="","",_xlfn.TEXTJOIN(", ",TRUE,IF(MAR!$G67:$AK67="FL",MAR!$G$4:$AK$4,"")))</f>
        <v/>
      </c>
      <c r="U65" t="str">
        <f t="array" ref="U65">IF($Q65="","",_xlfn.TEXTJOIN(", ",TRUE,IF(ABR!$G67:$AK67="FL",ABR!$G$4:$AK$4,"")))</f>
        <v/>
      </c>
      <c r="V65" t="str">
        <f t="array" ref="V65">IF($Q65="","",_xlfn.TEXTJOIN(", ",TRUE,IF(MAI!$G67:$AK67="FL",MAI!$G$4:$AK$4,"")))</f>
        <v/>
      </c>
      <c r="W65" t="str">
        <f t="array" ref="W65">IF($Q65="","",_xlfn.TEXTJOIN(", ",TRUE,IF(JUN!$G67:$AK67="FL",JUN!$G$4:$AK$4,"")))</f>
        <v/>
      </c>
      <c r="X65" t="str">
        <f t="array" ref="X65">IF($Q65="","",_xlfn.TEXTJOIN(", ",TRUE,IF(JUL!$G67:$AK67="FL",JUL!$G$4:$AK$4,"")))</f>
        <v/>
      </c>
      <c r="Y65" t="str">
        <f t="array" ref="Y65">IF($Q65="","",_xlfn.TEXTJOIN(", ",TRUE,IF(AGO!$G67:$AK67="FL",AGO!$G$4:$AK$4,"")))</f>
        <v>7</v>
      </c>
      <c r="Z65" t="str">
        <f t="array" ref="Z65">IF($Q65="","",_xlfn.TEXTJOIN(", ",TRUE,IF(SET!$G67:$AK67="FL",SET!$G$4:$AK$4,"")))</f>
        <v/>
      </c>
      <c r="AA65" t="str">
        <f t="array" ref="AA65">IF($Q65="","",_xlfn.TEXTJOIN(", ",TRUE,IF(OUT!$G67:$AK67="FL",OUT!$G$4:$AK$4,"")))</f>
        <v/>
      </c>
      <c r="AB65" t="str">
        <f t="array" ref="AB65">IF($Q65="","",_xlfn.TEXTJOIN(", ",TRUE,IF(NOV!$G67:$AK67="FL",NOV!$G$4:$AK$4,"")))</f>
        <v/>
      </c>
      <c r="AC65" t="str">
        <f t="array" ref="AC65">IF($Q65="","",_xlfn.TEXTJOIN(", ",TRUE,IF(DEZ!$G67:$AK67="FL",DEZ!$G$4:$AK$4,"")))</f>
        <v/>
      </c>
      <c r="AD65">
        <f>IF($Q65="","",COUNTIF(JAN!$G67:$AK67,"FL")+COUNTIF(FEV!$G67:$AK67,"FL")+COUNTIF(MAR!$G67:$AK67,"FL")+COUNTIF(ABR!$G67:$AK67,"FL")+COUNTIF(MAI!$G67:$AK67,"FL")+COUNTIF(JUN!$G67:$AK67,"FL")+COUNTIF(JUL!$G67:$AK67,"FL")+COUNTIF(AGO!$G67:$AK67,"FL")+COUNTIF(SET!$G67:$AK67,"FL")+COUNTIF(OUT!$G67:$AK67,"FL")+COUNTIF(NOV!$G67:$AK67,"FL")+COUNTIF(DEZ!$G67:$AK67,"FL"))</f>
        <v>1</v>
      </c>
      <c r="AF65">
        <f>IF(AND($Q65&lt;&gt;"",N($AD65)&gt;0),COUNT($AF$3:AF64)+1,"")</f>
        <v>36</v>
      </c>
    </row>
    <row r="66" spans="1:32" hidden="1" outlineLevel="1" x14ac:dyDescent="0.25">
      <c r="A66" s="36" t="str">
        <f>IFERROR(INDEX($Q$4:$Q$153,MATCH(ROWS($A$4:A66),$AF$4:$AF$153,0)),"")</f>
        <v/>
      </c>
      <c r="B66" s="35" t="str">
        <f>IFERROR(INDEX($R$4:$R$153,MATCH(ROWS($A$4:A66),$AF$4:$AF$153,0)),"")</f>
        <v/>
      </c>
      <c r="C66" s="35" t="str">
        <f>IFERROR(INDEX($S$4:$S$153,MATCH(ROWS($A$4:A66),$AF$4:$AF$153,0)),"")</f>
        <v/>
      </c>
      <c r="D66" s="35" t="str">
        <f>IFERROR(INDEX($T$4:$T$153,MATCH(ROWS($A$4:A66),$AF$4:$AF$153,0)),"")</f>
        <v/>
      </c>
      <c r="E66" s="35" t="str">
        <f>IFERROR(INDEX($U$4:$U$153,MATCH(ROWS($A$4:A66),$AF$4:$AF$153,0)),"")</f>
        <v/>
      </c>
      <c r="F66" s="35" t="str">
        <f>IFERROR(INDEX($V$4:$V$153,MATCH(ROWS($A$4:A66),$AF$4:$AF$153,0)),"")</f>
        <v/>
      </c>
      <c r="G66" s="35" t="str">
        <f>IFERROR(INDEX($W$4:$W$153,MATCH(ROWS($A$4:A66),$AF$4:$AF$153,0)),"")</f>
        <v/>
      </c>
      <c r="H66" s="35" t="str">
        <f>IFERROR(INDEX($X$4:$X$153,MATCH(ROWS($A$4:A66),$AF$4:$AF$153,0)),"")</f>
        <v/>
      </c>
      <c r="I66" s="72" t="str">
        <f>IFERROR(INDEX($Y$4:$Y$153,MATCH(ROWS($A$4:A66),$AF$4:$AF$153,0)),"")</f>
        <v/>
      </c>
      <c r="J66" s="35" t="str">
        <f>IFERROR(INDEX($Z$4:$Z$153,MATCH(ROWS($A$4:A66),$AF$4:$AF$153,0)),"")</f>
        <v/>
      </c>
      <c r="K66" s="35" t="str">
        <f>IFERROR(INDEX($AA$4:$AA$153,MATCH(ROWS($A$4:A66),$AF$4:$AF$153,0)),"")</f>
        <v/>
      </c>
      <c r="L66" s="35" t="str">
        <f>IFERROR(INDEX($AB$4:$AB$153,MATCH(ROWS($A$4:A66),$AF$4:$AF$153,0)),"")</f>
        <v/>
      </c>
      <c r="M66" s="35" t="str">
        <f>IFERROR(INDEX($AC$4:$AC$153,MATCH(ROWS($A$4:A66),$AF$4:$AF$153,0)),"")</f>
        <v/>
      </c>
      <c r="N66" s="35" t="str">
        <f>IFERROR(INDEX($AD$4:$AD$153,MATCH(ROWS($A$4:A66),$AF$4:$AF$153,0)),"")</f>
        <v/>
      </c>
      <c r="Q66" t="str">
        <f>T(JAN!B68)</f>
        <v>CLODOALDO TEMPORARIO</v>
      </c>
      <c r="R66" t="str">
        <f t="array" ref="R66">IF($Q66="","",_xlfn.TEXTJOIN(", ",TRUE,IF(JAN!$G68:$AK68="FL",JAN!$G$4:$AK$4,"")))</f>
        <v/>
      </c>
      <c r="S66" t="str">
        <f t="array" ref="S66">IF($Q66="","",_xlfn.TEXTJOIN(", ",TRUE,IF(FEV!$G68:$AK68="FL",FEV!$G$4:$AK$4,"")))</f>
        <v/>
      </c>
      <c r="T66" t="str">
        <f t="array" ref="T66">IF($Q66="","",_xlfn.TEXTJOIN(", ",TRUE,IF(MAR!$G68:$AK68="FL",MAR!$G$4:$AK$4,"")))</f>
        <v/>
      </c>
      <c r="U66" t="str">
        <f t="array" ref="U66">IF($Q66="","",_xlfn.TEXTJOIN(", ",TRUE,IF(ABR!$G68:$AK68="FL",ABR!$G$4:$AK$4,"")))</f>
        <v/>
      </c>
      <c r="V66" t="str">
        <f t="array" ref="V66">IF($Q66="","",_xlfn.TEXTJOIN(", ",TRUE,IF(MAI!$G68:$AK68="FL",MAI!$G$4:$AK$4,"")))</f>
        <v/>
      </c>
      <c r="W66" t="str">
        <f t="array" ref="W66">IF($Q66="","",_xlfn.TEXTJOIN(", ",TRUE,IF(JUN!$G68:$AK68="FL",JUN!$G$4:$AK$4,"")))</f>
        <v/>
      </c>
      <c r="X66" t="str">
        <f t="array" ref="X66">IF($Q66="","",_xlfn.TEXTJOIN(", ",TRUE,IF(JUL!$G68:$AK68="FL",JUL!$G$4:$AK$4,"")))</f>
        <v/>
      </c>
      <c r="Y66" t="str">
        <f t="array" ref="Y66">IF($Q66="","",_xlfn.TEXTJOIN(", ",TRUE,IF(AGO!$G68:$AK68="FL",AGO!$G$4:$AK$4,"")))</f>
        <v>18</v>
      </c>
      <c r="Z66" t="str">
        <f t="array" ref="Z66">IF($Q66="","",_xlfn.TEXTJOIN(", ",TRUE,IF(SET!$G68:$AK68="FL",SET!$G$4:$AK$4,"")))</f>
        <v/>
      </c>
      <c r="AA66" t="str">
        <f t="array" ref="AA66">IF($Q66="","",_xlfn.TEXTJOIN(", ",TRUE,IF(OUT!$G68:$AK68="FL",OUT!$G$4:$AK$4,"")))</f>
        <v/>
      </c>
      <c r="AB66" t="str">
        <f t="array" ref="AB66">IF($Q66="","",_xlfn.TEXTJOIN(", ",TRUE,IF(NOV!$G68:$AK68="FL",NOV!$G$4:$AK$4,"")))</f>
        <v/>
      </c>
      <c r="AC66" t="str">
        <f t="array" ref="AC66">IF($Q66="","",_xlfn.TEXTJOIN(", ",TRUE,IF(DEZ!$G68:$AK68="FL",DEZ!$G$4:$AK$4,"")))</f>
        <v/>
      </c>
      <c r="AD66">
        <f>IF($Q66="","",COUNTIF(JAN!$G68:$AK68,"FL")+COUNTIF(FEV!$G68:$AK68,"FL")+COUNTIF(MAR!$G68:$AK68,"FL")+COUNTIF(ABR!$G68:$AK68,"FL")+COUNTIF(MAI!$G68:$AK68,"FL")+COUNTIF(JUN!$G68:$AK68,"FL")+COUNTIF(JUL!$G68:$AK68,"FL")+COUNTIF(AGO!$G68:$AK68,"FL")+COUNTIF(SET!$G68:$AK68,"FL")+COUNTIF(OUT!$G68:$AK68,"FL")+COUNTIF(NOV!$G68:$AK68,"FL")+COUNTIF(DEZ!$G68:$AK68,"FL"))</f>
        <v>1</v>
      </c>
      <c r="AF66">
        <f>IF(AND($Q66&lt;&gt;"",N($AD66)&gt;0),COUNT($AF$3:AF65)+1,"")</f>
        <v>37</v>
      </c>
    </row>
    <row r="67" spans="1:32" hidden="1" outlineLevel="1" x14ac:dyDescent="0.25">
      <c r="A67" s="36" t="str">
        <f>IFERROR(INDEX($Q$4:$Q$153,MATCH(ROWS($A$4:A67),$AF$4:$AF$153,0)),"")</f>
        <v/>
      </c>
      <c r="B67" s="35" t="str">
        <f>IFERROR(INDEX($R$4:$R$153,MATCH(ROWS($A$4:A67),$AF$4:$AF$153,0)),"")</f>
        <v/>
      </c>
      <c r="C67" s="35" t="str">
        <f>IFERROR(INDEX($S$4:$S$153,MATCH(ROWS($A$4:A67),$AF$4:$AF$153,0)),"")</f>
        <v/>
      </c>
      <c r="D67" s="35" t="str">
        <f>IFERROR(INDEX($T$4:$T$153,MATCH(ROWS($A$4:A67),$AF$4:$AF$153,0)),"")</f>
        <v/>
      </c>
      <c r="E67" s="35" t="str">
        <f>IFERROR(INDEX($U$4:$U$153,MATCH(ROWS($A$4:A67),$AF$4:$AF$153,0)),"")</f>
        <v/>
      </c>
      <c r="F67" s="35" t="str">
        <f>IFERROR(INDEX($V$4:$V$153,MATCH(ROWS($A$4:A67),$AF$4:$AF$153,0)),"")</f>
        <v/>
      </c>
      <c r="G67" s="35" t="str">
        <f>IFERROR(INDEX($W$4:$W$153,MATCH(ROWS($A$4:A67),$AF$4:$AF$153,0)),"")</f>
        <v/>
      </c>
      <c r="H67" s="35" t="str">
        <f>IFERROR(INDEX($X$4:$X$153,MATCH(ROWS($A$4:A67),$AF$4:$AF$153,0)),"")</f>
        <v/>
      </c>
      <c r="I67" s="72" t="str">
        <f>IFERROR(INDEX($Y$4:$Y$153,MATCH(ROWS($A$4:A67),$AF$4:$AF$153,0)),"")</f>
        <v/>
      </c>
      <c r="J67" s="35" t="str">
        <f>IFERROR(INDEX($Z$4:$Z$153,MATCH(ROWS($A$4:A67),$AF$4:$AF$153,0)),"")</f>
        <v/>
      </c>
      <c r="K67" s="35" t="str">
        <f>IFERROR(INDEX($AA$4:$AA$153,MATCH(ROWS($A$4:A67),$AF$4:$AF$153,0)),"")</f>
        <v/>
      </c>
      <c r="L67" s="35" t="str">
        <f>IFERROR(INDEX($AB$4:$AB$153,MATCH(ROWS($A$4:A67),$AF$4:$AF$153,0)),"")</f>
        <v/>
      </c>
      <c r="M67" s="35" t="str">
        <f>IFERROR(INDEX($AC$4:$AC$153,MATCH(ROWS($A$4:A67),$AF$4:$AF$153,0)),"")</f>
        <v/>
      </c>
      <c r="N67" s="35" t="str">
        <f>IFERROR(INDEX($AD$4:$AD$153,MATCH(ROWS($A$4:A67),$AF$4:$AF$153,0)),"")</f>
        <v/>
      </c>
      <c r="Q67" t="str">
        <f>T(JAN!B69)</f>
        <v>TAYLER TEMPORARIO</v>
      </c>
      <c r="R67" t="str">
        <f t="array" ref="R67">IF($Q67="","",_xlfn.TEXTJOIN(", ",TRUE,IF(JAN!$G69:$AK69="FL",JAN!$G$4:$AK$4,"")))</f>
        <v/>
      </c>
      <c r="S67" t="str">
        <f t="array" ref="S67">IF($Q67="","",_xlfn.TEXTJOIN(", ",TRUE,IF(FEV!$G69:$AK69="FL",FEV!$G$4:$AK$4,"")))</f>
        <v/>
      </c>
      <c r="T67" t="str">
        <f t="array" ref="T67">IF($Q67="","",_xlfn.TEXTJOIN(", ",TRUE,IF(MAR!$G69:$AK69="FL",MAR!$G$4:$AK$4,"")))</f>
        <v/>
      </c>
      <c r="U67" t="str">
        <f t="array" ref="U67">IF($Q67="","",_xlfn.TEXTJOIN(", ",TRUE,IF(ABR!$G69:$AK69="FL",ABR!$G$4:$AK$4,"")))</f>
        <v/>
      </c>
      <c r="V67" t="str">
        <f t="array" ref="V67">IF($Q67="","",_xlfn.TEXTJOIN(", ",TRUE,IF(MAI!$G69:$AK69="FL",MAI!$G$4:$AK$4,"")))</f>
        <v/>
      </c>
      <c r="W67" t="str">
        <f t="array" ref="W67">IF($Q67="","",_xlfn.TEXTJOIN(", ",TRUE,IF(JUN!$G69:$AK69="FL",JUN!$G$4:$AK$4,"")))</f>
        <v/>
      </c>
      <c r="X67" t="str">
        <f t="array" ref="X67">IF($Q67="","",_xlfn.TEXTJOIN(", ",TRUE,IF(JUL!$G69:$AK69="FL",JUL!$G$4:$AK$4,"")))</f>
        <v/>
      </c>
      <c r="Y67" t="str">
        <f t="array" ref="Y67">IF($Q67="","",_xlfn.TEXTJOIN(", ",TRUE,IF(AGO!$G69:$AK69="FL",AGO!$G$4:$AK$4,"")))</f>
        <v>10, 11, 12, 13, 14, 15, 17, 18, 19, 20, 21, 22, 24, 25, 26, 27, 28, 29</v>
      </c>
      <c r="Z67" t="str">
        <f t="array" ref="Z67">IF($Q67="","",_xlfn.TEXTJOIN(", ",TRUE,IF(SET!$G69:$AK69="FL",SET!$G$4:$AK$4,"")))</f>
        <v>1, 2, 4, 5</v>
      </c>
      <c r="AA67" t="str">
        <f t="array" ref="AA67">IF($Q67="","",_xlfn.TEXTJOIN(", ",TRUE,IF(OUT!$G69:$AK69="FL",OUT!$G$4:$AK$4,"")))</f>
        <v/>
      </c>
      <c r="AB67" t="str">
        <f t="array" ref="AB67">IF($Q67="","",_xlfn.TEXTJOIN(", ",TRUE,IF(NOV!$G69:$AK69="FL",NOV!$G$4:$AK$4,"")))</f>
        <v/>
      </c>
      <c r="AC67" t="str">
        <f t="array" ref="AC67">IF($Q67="","",_xlfn.TEXTJOIN(", ",TRUE,IF(DEZ!$G69:$AK69="FL",DEZ!$G$4:$AK$4,"")))</f>
        <v/>
      </c>
      <c r="AD67">
        <f>IF($Q67="","",COUNTIF(JAN!$G69:$AK69,"FL")+COUNTIF(FEV!$G69:$AK69,"FL")+COUNTIF(MAR!$G69:$AK69,"FL")+COUNTIF(ABR!$G69:$AK69,"FL")+COUNTIF(MAI!$G69:$AK69,"FL")+COUNTIF(JUN!$G69:$AK69,"FL")+COUNTIF(JUL!$G69:$AK69,"FL")+COUNTIF(AGO!$G69:$AK69,"FL")+COUNTIF(SET!$G69:$AK69,"FL")+COUNTIF(OUT!$G69:$AK69,"FL")+COUNTIF(NOV!$G69:$AK69,"FL")+COUNTIF(DEZ!$G69:$AK69,"FL"))</f>
        <v>22</v>
      </c>
      <c r="AF67">
        <f>IF(AND($Q67&lt;&gt;"",N($AD67)&gt;0),COUNT($AF$3:AF66)+1,"")</f>
        <v>38</v>
      </c>
    </row>
    <row r="68" spans="1:32" hidden="1" outlineLevel="1" x14ac:dyDescent="0.25">
      <c r="A68" s="36" t="str">
        <f>IFERROR(INDEX($Q$4:$Q$153,MATCH(ROWS($A$4:A68),$AF$4:$AF$153,0)),"")</f>
        <v/>
      </c>
      <c r="B68" s="35" t="str">
        <f>IFERROR(INDEX($R$4:$R$153,MATCH(ROWS($A$4:A68),$AF$4:$AF$153,0)),"")</f>
        <v/>
      </c>
      <c r="C68" s="35" t="str">
        <f>IFERROR(INDEX($S$4:$S$153,MATCH(ROWS($A$4:A68),$AF$4:$AF$153,0)),"")</f>
        <v/>
      </c>
      <c r="D68" s="35" t="str">
        <f>IFERROR(INDEX($T$4:$T$153,MATCH(ROWS($A$4:A68),$AF$4:$AF$153,0)),"")</f>
        <v/>
      </c>
      <c r="E68" s="35" t="str">
        <f>IFERROR(INDEX($U$4:$U$153,MATCH(ROWS($A$4:A68),$AF$4:$AF$153,0)),"")</f>
        <v/>
      </c>
      <c r="F68" s="35" t="str">
        <f>IFERROR(INDEX($V$4:$V$153,MATCH(ROWS($A$4:A68),$AF$4:$AF$153,0)),"")</f>
        <v/>
      </c>
      <c r="G68" s="35" t="str">
        <f>IFERROR(INDEX($W$4:$W$153,MATCH(ROWS($A$4:A68),$AF$4:$AF$153,0)),"")</f>
        <v/>
      </c>
      <c r="H68" s="35" t="str">
        <f>IFERROR(INDEX($X$4:$X$153,MATCH(ROWS($A$4:A68),$AF$4:$AF$153,0)),"")</f>
        <v/>
      </c>
      <c r="I68" s="72" t="str">
        <f>IFERROR(INDEX($Y$4:$Y$153,MATCH(ROWS($A$4:A68),$AF$4:$AF$153,0)),"")</f>
        <v/>
      </c>
      <c r="J68" s="35" t="str">
        <f>IFERROR(INDEX($Z$4:$Z$153,MATCH(ROWS($A$4:A68),$AF$4:$AF$153,0)),"")</f>
        <v/>
      </c>
      <c r="K68" s="35" t="str">
        <f>IFERROR(INDEX($AA$4:$AA$153,MATCH(ROWS($A$4:A68),$AF$4:$AF$153,0)),"")</f>
        <v/>
      </c>
      <c r="L68" s="35" t="str">
        <f>IFERROR(INDEX($AB$4:$AB$153,MATCH(ROWS($A$4:A68),$AF$4:$AF$153,0)),"")</f>
        <v/>
      </c>
      <c r="M68" s="35" t="str">
        <f>IFERROR(INDEX($AC$4:$AC$153,MATCH(ROWS($A$4:A68),$AF$4:$AF$153,0)),"")</f>
        <v/>
      </c>
      <c r="N68" s="35" t="str">
        <f>IFERROR(INDEX($AD$4:$AD$153,MATCH(ROWS($A$4:A68),$AF$4:$AF$153,0)),"")</f>
        <v/>
      </c>
      <c r="Q68" t="str">
        <f>T(JAN!B70)</f>
        <v>MARCOS VINICIUS TEMPORARIO</v>
      </c>
      <c r="R68" t="str">
        <f t="array" ref="R68">IF($Q68="","",_xlfn.TEXTJOIN(", ",TRUE,IF(JAN!$G70:$AK70="FL",JAN!$G$4:$AK$4,"")))</f>
        <v/>
      </c>
      <c r="S68" t="str">
        <f t="array" ref="S68">IF($Q68="","",_xlfn.TEXTJOIN(", ",TRUE,IF(FEV!$G70:$AK70="FL",FEV!$G$4:$AK$4,"")))</f>
        <v/>
      </c>
      <c r="T68" t="str">
        <f t="array" ref="T68">IF($Q68="","",_xlfn.TEXTJOIN(", ",TRUE,IF(MAR!$G70:$AK70="FL",MAR!$G$4:$AK$4,"")))</f>
        <v/>
      </c>
      <c r="U68" t="str">
        <f t="array" ref="U68">IF($Q68="","",_xlfn.TEXTJOIN(", ",TRUE,IF(ABR!$G70:$AK70="FL",ABR!$G$4:$AK$4,"")))</f>
        <v/>
      </c>
      <c r="V68" t="str">
        <f t="array" ref="V68">IF($Q68="","",_xlfn.TEXTJOIN(", ",TRUE,IF(MAI!$G70:$AK70="FL",MAI!$G$4:$AK$4,"")))</f>
        <v/>
      </c>
      <c r="W68" t="str">
        <f t="array" ref="W68">IF($Q68="","",_xlfn.TEXTJOIN(", ",TRUE,IF(JUN!$G70:$AK70="FL",JUN!$G$4:$AK$4,"")))</f>
        <v/>
      </c>
      <c r="X68" t="str">
        <f t="array" ref="X68">IF($Q68="","",_xlfn.TEXTJOIN(", ",TRUE,IF(JUL!$G70:$AK70="FL",JUL!$G$4:$AK$4,"")))</f>
        <v/>
      </c>
      <c r="Y68" t="str">
        <f t="array" ref="Y68">IF($Q68="","",_xlfn.TEXTJOIN(", ",TRUE,IF(AGO!$G70:$AK70="FL",AGO!$G$4:$AK$4,"")))</f>
        <v/>
      </c>
      <c r="Z68" t="str">
        <f t="array" ref="Z68">IF($Q68="","",_xlfn.TEXTJOIN(", ",TRUE,IF(SET!$G70:$AK70="FL",SET!$G$4:$AK$4,"")))</f>
        <v/>
      </c>
      <c r="AA68" t="str">
        <f t="array" ref="AA68">IF($Q68="","",_xlfn.TEXTJOIN(", ",TRUE,IF(OUT!$G70:$AK70="FL",OUT!$G$4:$AK$4,"")))</f>
        <v/>
      </c>
      <c r="AB68" t="str">
        <f t="array" ref="AB68">IF($Q68="","",_xlfn.TEXTJOIN(", ",TRUE,IF(NOV!$G70:$AK70="FL",NOV!$G$4:$AK$4,"")))</f>
        <v/>
      </c>
      <c r="AC68" t="str">
        <f t="array" ref="AC68">IF($Q68="","",_xlfn.TEXTJOIN(", ",TRUE,IF(DEZ!$G70:$AK70="FL",DEZ!$G$4:$AK$4,"")))</f>
        <v/>
      </c>
      <c r="AD68">
        <f>IF($Q68="","",COUNTIF(JAN!$G70:$AK70,"FL")+COUNTIF(FEV!$G70:$AK70,"FL")+COUNTIF(MAR!$G70:$AK70,"FL")+COUNTIF(ABR!$G70:$AK70,"FL")+COUNTIF(MAI!$G70:$AK70,"FL")+COUNTIF(JUN!$G70:$AK70,"FL")+COUNTIF(JUL!$G70:$AK70,"FL")+COUNTIF(AGO!$G70:$AK70,"FL")+COUNTIF(SET!$G70:$AK70,"FL")+COUNTIF(OUT!$G70:$AK70,"FL")+COUNTIF(NOV!$G70:$AK70,"FL")+COUNTIF(DEZ!$G70:$AK70,"FL"))</f>
        <v>0</v>
      </c>
      <c r="AF68" t="str">
        <f>IF(AND($Q68&lt;&gt;"",N($AD68)&gt;0),COUNT($AF$3:AF67)+1,"")</f>
        <v/>
      </c>
    </row>
    <row r="69" spans="1:32" hidden="1" outlineLevel="1" x14ac:dyDescent="0.25">
      <c r="A69" s="36" t="str">
        <f>IFERROR(INDEX($Q$4:$Q$153,MATCH(ROWS($A$4:A69),$AF$4:$AF$153,0)),"")</f>
        <v/>
      </c>
      <c r="B69" s="35" t="str">
        <f>IFERROR(INDEX($R$4:$R$153,MATCH(ROWS($A$4:A69),$AF$4:$AF$153,0)),"")</f>
        <v/>
      </c>
      <c r="C69" s="35" t="str">
        <f>IFERROR(INDEX($S$4:$S$153,MATCH(ROWS($A$4:A69),$AF$4:$AF$153,0)),"")</f>
        <v/>
      </c>
      <c r="D69" s="35" t="str">
        <f>IFERROR(INDEX($T$4:$T$153,MATCH(ROWS($A$4:A69),$AF$4:$AF$153,0)),"")</f>
        <v/>
      </c>
      <c r="E69" s="35" t="str">
        <f>IFERROR(INDEX($U$4:$U$153,MATCH(ROWS($A$4:A69),$AF$4:$AF$153,0)),"")</f>
        <v/>
      </c>
      <c r="F69" s="35" t="str">
        <f>IFERROR(INDEX($V$4:$V$153,MATCH(ROWS($A$4:A69),$AF$4:$AF$153,0)),"")</f>
        <v/>
      </c>
      <c r="G69" s="35" t="str">
        <f>IFERROR(INDEX($W$4:$W$153,MATCH(ROWS($A$4:A69),$AF$4:$AF$153,0)),"")</f>
        <v/>
      </c>
      <c r="H69" s="35" t="str">
        <f>IFERROR(INDEX($X$4:$X$153,MATCH(ROWS($A$4:A69),$AF$4:$AF$153,0)),"")</f>
        <v/>
      </c>
      <c r="I69" s="72" t="str">
        <f>IFERROR(INDEX($Y$4:$Y$153,MATCH(ROWS($A$4:A69),$AF$4:$AF$153,0)),"")</f>
        <v/>
      </c>
      <c r="J69" s="35" t="str">
        <f>IFERROR(INDEX($Z$4:$Z$153,MATCH(ROWS($A$4:A69),$AF$4:$AF$153,0)),"")</f>
        <v/>
      </c>
      <c r="K69" s="35" t="str">
        <f>IFERROR(INDEX($AA$4:$AA$153,MATCH(ROWS($A$4:A69),$AF$4:$AF$153,0)),"")</f>
        <v/>
      </c>
      <c r="L69" s="35" t="str">
        <f>IFERROR(INDEX($AB$4:$AB$153,MATCH(ROWS($A$4:A69),$AF$4:$AF$153,0)),"")</f>
        <v/>
      </c>
      <c r="M69" s="35" t="str">
        <f>IFERROR(INDEX($AC$4:$AC$153,MATCH(ROWS($A$4:A69),$AF$4:$AF$153,0)),"")</f>
        <v/>
      </c>
      <c r="N69" s="35" t="str">
        <f>IFERROR(INDEX($AD$4:$AD$153,MATCH(ROWS($A$4:A69),$AF$4:$AF$153,0)),"")</f>
        <v/>
      </c>
      <c r="Q69" t="str">
        <f>T(JAN!B71)</f>
        <v>MARCOS TEMPORARIO</v>
      </c>
      <c r="R69" t="str">
        <f t="array" ref="R69">IF($Q69="","",_xlfn.TEXTJOIN(", ",TRUE,IF(JAN!$G71:$AK71="FL",JAN!$G$4:$AK$4,"")))</f>
        <v/>
      </c>
      <c r="S69" t="str">
        <f t="array" ref="S69">IF($Q69="","",_xlfn.TEXTJOIN(", ",TRUE,IF(FEV!$G71:$AK71="FL",FEV!$G$4:$AK$4,"")))</f>
        <v/>
      </c>
      <c r="T69" t="str">
        <f t="array" ref="T69">IF($Q69="","",_xlfn.TEXTJOIN(", ",TRUE,IF(MAR!$G71:$AK71="FL",MAR!$G$4:$AK$4,"")))</f>
        <v/>
      </c>
      <c r="U69" t="str">
        <f t="array" ref="U69">IF($Q69="","",_xlfn.TEXTJOIN(", ",TRUE,IF(ABR!$G71:$AK71="FL",ABR!$G$4:$AK$4,"")))</f>
        <v/>
      </c>
      <c r="V69" t="str">
        <f t="array" ref="V69">IF($Q69="","",_xlfn.TEXTJOIN(", ",TRUE,IF(MAI!$G71:$AK71="FL",MAI!$G$4:$AK$4,"")))</f>
        <v/>
      </c>
      <c r="W69" t="str">
        <f t="array" ref="W69">IF($Q69="","",_xlfn.TEXTJOIN(", ",TRUE,IF(JUN!$G71:$AK71="FL",JUN!$G$4:$AK$4,"")))</f>
        <v/>
      </c>
      <c r="X69" t="str">
        <f t="array" ref="X69">IF($Q69="","",_xlfn.TEXTJOIN(", ",TRUE,IF(JUL!$G71:$AK71="FL",JUL!$G$4:$AK$4,"")))</f>
        <v/>
      </c>
      <c r="Y69" t="str">
        <f t="array" ref="Y69">IF($Q69="","",_xlfn.TEXTJOIN(", ",TRUE,IF(AGO!$G71:$AK71="FL",AGO!$G$4:$AK$4,"")))</f>
        <v/>
      </c>
      <c r="Z69" t="str">
        <f t="array" ref="Z69">IF($Q69="","",_xlfn.TEXTJOIN(", ",TRUE,IF(SET!$G71:$AK71="FL",SET!$G$4:$AK$4,"")))</f>
        <v/>
      </c>
      <c r="AA69" t="str">
        <f t="array" ref="AA69">IF($Q69="","",_xlfn.TEXTJOIN(", ",TRUE,IF(OUT!$G71:$AK71="FL",OUT!$G$4:$AK$4,"")))</f>
        <v/>
      </c>
      <c r="AB69" t="str">
        <f t="array" ref="AB69">IF($Q69="","",_xlfn.TEXTJOIN(", ",TRUE,IF(NOV!$G71:$AK71="FL",NOV!$G$4:$AK$4,"")))</f>
        <v/>
      </c>
      <c r="AC69" t="str">
        <f t="array" ref="AC69">IF($Q69="","",_xlfn.TEXTJOIN(", ",TRUE,IF(DEZ!$G71:$AK71="FL",DEZ!$G$4:$AK$4,"")))</f>
        <v/>
      </c>
      <c r="AD69">
        <f>IF($Q69="","",COUNTIF(JAN!$G71:$AK71,"FL")+COUNTIF(FEV!$G71:$AK71,"FL")+COUNTIF(MAR!$G71:$AK71,"FL")+COUNTIF(ABR!$G71:$AK71,"FL")+COUNTIF(MAI!$G71:$AK71,"FL")+COUNTIF(JUN!$G71:$AK71,"FL")+COUNTIF(JUL!$G71:$AK71,"FL")+COUNTIF(AGO!$G71:$AK71,"FL")+COUNTIF(SET!$G71:$AK71,"FL")+COUNTIF(OUT!$G71:$AK71,"FL")+COUNTIF(NOV!$G71:$AK71,"FL")+COUNTIF(DEZ!$G71:$AK71,"FL"))</f>
        <v>0</v>
      </c>
      <c r="AF69" t="str">
        <f>IF(AND($Q69&lt;&gt;"",N($AD69)&gt;0),COUNT($AF$3:AF68)+1,"")</f>
        <v/>
      </c>
    </row>
    <row r="70" spans="1:32" hidden="1" outlineLevel="1" x14ac:dyDescent="0.25">
      <c r="A70" s="36" t="str">
        <f>IFERROR(INDEX($Q$4:$Q$153,MATCH(ROWS($A$4:A70),$AF$4:$AF$153,0)),"")</f>
        <v/>
      </c>
      <c r="B70" s="35" t="str">
        <f>IFERROR(INDEX($R$4:$R$153,MATCH(ROWS($A$4:A70),$AF$4:$AF$153,0)),"")</f>
        <v/>
      </c>
      <c r="C70" s="35" t="str">
        <f>IFERROR(INDEX($S$4:$S$153,MATCH(ROWS($A$4:A70),$AF$4:$AF$153,0)),"")</f>
        <v/>
      </c>
      <c r="D70" s="35" t="str">
        <f>IFERROR(INDEX($T$4:$T$153,MATCH(ROWS($A$4:A70),$AF$4:$AF$153,0)),"")</f>
        <v/>
      </c>
      <c r="E70" s="35" t="str">
        <f>IFERROR(INDEX($U$4:$U$153,MATCH(ROWS($A$4:A70),$AF$4:$AF$153,0)),"")</f>
        <v/>
      </c>
      <c r="F70" s="35" t="str">
        <f>IFERROR(INDEX($V$4:$V$153,MATCH(ROWS($A$4:A70),$AF$4:$AF$153,0)),"")</f>
        <v/>
      </c>
      <c r="G70" s="35" t="str">
        <f>IFERROR(INDEX($W$4:$W$153,MATCH(ROWS($A$4:A70),$AF$4:$AF$153,0)),"")</f>
        <v/>
      </c>
      <c r="H70" s="35" t="str">
        <f>IFERROR(INDEX($X$4:$X$153,MATCH(ROWS($A$4:A70),$AF$4:$AF$153,0)),"")</f>
        <v/>
      </c>
      <c r="I70" s="72" t="str">
        <f>IFERROR(INDEX($Y$4:$Y$153,MATCH(ROWS($A$4:A70),$AF$4:$AF$153,0)),"")</f>
        <v/>
      </c>
      <c r="J70" s="35" t="str">
        <f>IFERROR(INDEX($Z$4:$Z$153,MATCH(ROWS($A$4:A70),$AF$4:$AF$153,0)),"")</f>
        <v/>
      </c>
      <c r="K70" s="35" t="str">
        <f>IFERROR(INDEX($AA$4:$AA$153,MATCH(ROWS($A$4:A70),$AF$4:$AF$153,0)),"")</f>
        <v/>
      </c>
      <c r="L70" s="35" t="str">
        <f>IFERROR(INDEX($AB$4:$AB$153,MATCH(ROWS($A$4:A70),$AF$4:$AF$153,0)),"")</f>
        <v/>
      </c>
      <c r="M70" s="35" t="str">
        <f>IFERROR(INDEX($AC$4:$AC$153,MATCH(ROWS($A$4:A70),$AF$4:$AF$153,0)),"")</f>
        <v/>
      </c>
      <c r="N70" s="35" t="str">
        <f>IFERROR(INDEX($AD$4:$AD$153,MATCH(ROWS($A$4:A70),$AF$4:$AF$153,0)),"")</f>
        <v/>
      </c>
      <c r="Q70" t="str">
        <f>T(JAN!B72)</f>
        <v>FLAVIO TEMPORARIO</v>
      </c>
      <c r="R70" t="str">
        <f t="array" ref="R70">IF($Q70="","",_xlfn.TEXTJOIN(", ",TRUE,IF(JAN!$G72:$AK72="FL",JAN!$G$4:$AK$4,"")))</f>
        <v/>
      </c>
      <c r="S70" t="str">
        <f t="array" ref="S70">IF($Q70="","",_xlfn.TEXTJOIN(", ",TRUE,IF(FEV!$G72:$AK72="FL",FEV!$G$4:$AK$4,"")))</f>
        <v/>
      </c>
      <c r="T70" t="str">
        <f t="array" ref="T70">IF($Q70="","",_xlfn.TEXTJOIN(", ",TRUE,IF(MAR!$G72:$AK72="FL",MAR!$G$4:$AK$4,"")))</f>
        <v/>
      </c>
      <c r="U70" t="str">
        <f t="array" ref="U70">IF($Q70="","",_xlfn.TEXTJOIN(", ",TRUE,IF(ABR!$G72:$AK72="FL",ABR!$G$4:$AK$4,"")))</f>
        <v/>
      </c>
      <c r="V70" t="str">
        <f t="array" ref="V70">IF($Q70="","",_xlfn.TEXTJOIN(", ",TRUE,IF(MAI!$G72:$AK72="FL",MAI!$G$4:$AK$4,"")))</f>
        <v/>
      </c>
      <c r="W70" t="str">
        <f t="array" ref="W70">IF($Q70="","",_xlfn.TEXTJOIN(", ",TRUE,IF(JUN!$G72:$AK72="FL",JUN!$G$4:$AK$4,"")))</f>
        <v/>
      </c>
      <c r="X70" t="str">
        <f t="array" ref="X70">IF($Q70="","",_xlfn.TEXTJOIN(", ",TRUE,IF(JUL!$G72:$AK72="FL",JUL!$G$4:$AK$4,"")))</f>
        <v/>
      </c>
      <c r="Y70" t="str">
        <f t="array" ref="Y70">IF($Q70="","",_xlfn.TEXTJOIN(", ",TRUE,IF(AGO!$G72:$AK72="FL",AGO!$G$4:$AK$4,"")))</f>
        <v>13</v>
      </c>
      <c r="Z70" t="str">
        <f t="array" ref="Z70">IF($Q70="","",_xlfn.TEXTJOIN(", ",TRUE,IF(SET!$G72:$AK72="FL",SET!$G$4:$AK$4,"")))</f>
        <v/>
      </c>
      <c r="AA70" t="str">
        <f t="array" ref="AA70">IF($Q70="","",_xlfn.TEXTJOIN(", ",TRUE,IF(OUT!$G72:$AK72="FL",OUT!$G$4:$AK$4,"")))</f>
        <v/>
      </c>
      <c r="AB70" t="str">
        <f t="array" ref="AB70">IF($Q70="","",_xlfn.TEXTJOIN(", ",TRUE,IF(NOV!$G72:$AK72="FL",NOV!$G$4:$AK$4,"")))</f>
        <v/>
      </c>
      <c r="AC70" t="str">
        <f t="array" ref="AC70">IF($Q70="","",_xlfn.TEXTJOIN(", ",TRUE,IF(DEZ!$G72:$AK72="FL",DEZ!$G$4:$AK$4,"")))</f>
        <v/>
      </c>
      <c r="AD70">
        <f>IF($Q70="","",COUNTIF(JAN!$G72:$AK72,"FL")+COUNTIF(FEV!$G72:$AK72,"FL")+COUNTIF(MAR!$G72:$AK72,"FL")+COUNTIF(ABR!$G72:$AK72,"FL")+COUNTIF(MAI!$G72:$AK72,"FL")+COUNTIF(JUN!$G72:$AK72,"FL")+COUNTIF(JUL!$G72:$AK72,"FL")+COUNTIF(AGO!$G72:$AK72,"FL")+COUNTIF(SET!$G72:$AK72,"FL")+COUNTIF(OUT!$G72:$AK72,"FL")+COUNTIF(NOV!$G72:$AK72,"FL")+COUNTIF(DEZ!$G72:$AK72,"FL"))</f>
        <v>1</v>
      </c>
      <c r="AF70">
        <f>IF(AND($Q70&lt;&gt;"",N($AD70)&gt;0),COUNT($AF$3:AF69)+1,"")</f>
        <v>39</v>
      </c>
    </row>
    <row r="71" spans="1:32" hidden="1" outlineLevel="1" x14ac:dyDescent="0.25">
      <c r="A71" s="36" t="str">
        <f>IFERROR(INDEX($Q$4:$Q$153,MATCH(ROWS($A$4:A71),$AF$4:$AF$153,0)),"")</f>
        <v/>
      </c>
      <c r="B71" s="35" t="str">
        <f>IFERROR(INDEX($R$4:$R$153,MATCH(ROWS($A$4:A71),$AF$4:$AF$153,0)),"")</f>
        <v/>
      </c>
      <c r="C71" s="35" t="str">
        <f>IFERROR(INDEX($S$4:$S$153,MATCH(ROWS($A$4:A71),$AF$4:$AF$153,0)),"")</f>
        <v/>
      </c>
      <c r="D71" s="35" t="str">
        <f>IFERROR(INDEX($T$4:$T$153,MATCH(ROWS($A$4:A71),$AF$4:$AF$153,0)),"")</f>
        <v/>
      </c>
      <c r="E71" s="35" t="str">
        <f>IFERROR(INDEX($U$4:$U$153,MATCH(ROWS($A$4:A71),$AF$4:$AF$153,0)),"")</f>
        <v/>
      </c>
      <c r="F71" s="35" t="str">
        <f>IFERROR(INDEX($V$4:$V$153,MATCH(ROWS($A$4:A71),$AF$4:$AF$153,0)),"")</f>
        <v/>
      </c>
      <c r="G71" s="35" t="str">
        <f>IFERROR(INDEX($W$4:$W$153,MATCH(ROWS($A$4:A71),$AF$4:$AF$153,0)),"")</f>
        <v/>
      </c>
      <c r="H71" s="35" t="str">
        <f>IFERROR(INDEX($X$4:$X$153,MATCH(ROWS($A$4:A71),$AF$4:$AF$153,0)),"")</f>
        <v/>
      </c>
      <c r="I71" s="72" t="str">
        <f>IFERROR(INDEX($Y$4:$Y$153,MATCH(ROWS($A$4:A71),$AF$4:$AF$153,0)),"")</f>
        <v/>
      </c>
      <c r="J71" s="35" t="str">
        <f>IFERROR(INDEX($Z$4:$Z$153,MATCH(ROWS($A$4:A71),$AF$4:$AF$153,0)),"")</f>
        <v/>
      </c>
      <c r="K71" s="35" t="str">
        <f>IFERROR(INDEX($AA$4:$AA$153,MATCH(ROWS($A$4:A71),$AF$4:$AF$153,0)),"")</f>
        <v/>
      </c>
      <c r="L71" s="35" t="str">
        <f>IFERROR(INDEX($AB$4:$AB$153,MATCH(ROWS($A$4:A71),$AF$4:$AF$153,0)),"")</f>
        <v/>
      </c>
      <c r="M71" s="35" t="str">
        <f>IFERROR(INDEX($AC$4:$AC$153,MATCH(ROWS($A$4:A71),$AF$4:$AF$153,0)),"")</f>
        <v/>
      </c>
      <c r="N71" s="35" t="str">
        <f>IFERROR(INDEX($AD$4:$AD$153,MATCH(ROWS($A$4:A71),$AF$4:$AF$153,0)),"")</f>
        <v/>
      </c>
      <c r="Q71" t="str">
        <f>T(JAN!B73)</f>
        <v>MARCIO DUARTE 434601</v>
      </c>
      <c r="R71" t="str">
        <f t="array" ref="R71">IF($Q71="","",_xlfn.TEXTJOIN(", ",TRUE,IF(JAN!$G73:$AK73="FL",JAN!$G$4:$AK$4,"")))</f>
        <v/>
      </c>
      <c r="S71" t="str">
        <f t="array" ref="S71">IF($Q71="","",_xlfn.TEXTJOIN(", ",TRUE,IF(FEV!$G73:$AK73="FL",FEV!$G$4:$AK$4,"")))</f>
        <v/>
      </c>
      <c r="T71" t="str">
        <f t="array" ref="T71">IF($Q71="","",_xlfn.TEXTJOIN(", ",TRUE,IF(MAR!$G73:$AK73="FL",MAR!$G$4:$AK$4,"")))</f>
        <v/>
      </c>
      <c r="U71" t="str">
        <f t="array" ref="U71">IF($Q71="","",_xlfn.TEXTJOIN(", ",TRUE,IF(ABR!$G73:$AK73="FL",ABR!$G$4:$AK$4,"")))</f>
        <v/>
      </c>
      <c r="V71" t="str">
        <f t="array" ref="V71">IF($Q71="","",_xlfn.TEXTJOIN(", ",TRUE,IF(MAI!$G73:$AK73="FL",MAI!$G$4:$AK$4,"")))</f>
        <v/>
      </c>
      <c r="W71" t="str">
        <f t="array" ref="W71">IF($Q71="","",_xlfn.TEXTJOIN(", ",TRUE,IF(JUN!$G73:$AK73="FL",JUN!$G$4:$AK$4,"")))</f>
        <v/>
      </c>
      <c r="X71" t="str">
        <f t="array" ref="X71">IF($Q71="","",_xlfn.TEXTJOIN(", ",TRUE,IF(JUL!$G73:$AK73="FL",JUL!$G$4:$AK$4,"")))</f>
        <v/>
      </c>
      <c r="Y71" t="str">
        <f t="array" ref="Y71">IF($Q71="","",_xlfn.TEXTJOIN(", ",TRUE,IF(AGO!$G73:$AK73="FL",AGO!$G$4:$AK$4,"")))</f>
        <v>31</v>
      </c>
      <c r="Z71" t="str">
        <f t="array" ref="Z71">IF($Q71="","",_xlfn.TEXTJOIN(", ",TRUE,IF(SET!$G73:$AK73="FL",SET!$G$4:$AK$4,"")))</f>
        <v>25</v>
      </c>
      <c r="AA71" t="str">
        <f t="array" ref="AA71">IF($Q71="","",_xlfn.TEXTJOIN(", ",TRUE,IF(OUT!$G73:$AK73="FL",OUT!$G$4:$AK$4,"")))</f>
        <v/>
      </c>
      <c r="AB71" t="str">
        <f t="array" ref="AB71">IF($Q71="","",_xlfn.TEXTJOIN(", ",TRUE,IF(NOV!$G73:$AK73="FL",NOV!$G$4:$AK$4,"")))</f>
        <v/>
      </c>
      <c r="AC71" t="str">
        <f t="array" ref="AC71">IF($Q71="","",_xlfn.TEXTJOIN(", ",TRUE,IF(DEZ!$G73:$AK73="FL",DEZ!$G$4:$AK$4,"")))</f>
        <v/>
      </c>
      <c r="AD71">
        <f>IF($Q71="","",COUNTIF(JAN!$G73:$AK73,"FL")+COUNTIF(FEV!$G73:$AK73,"FL")+COUNTIF(MAR!$G73:$AK73,"FL")+COUNTIF(ABR!$G73:$AK73,"FL")+COUNTIF(MAI!$G73:$AK73,"FL")+COUNTIF(JUN!$G73:$AK73,"FL")+COUNTIF(JUL!$G73:$AK73,"FL")+COUNTIF(AGO!$G73:$AK73,"FL")+COUNTIF(SET!$G73:$AK73,"FL")+COUNTIF(OUT!$G73:$AK73,"FL")+COUNTIF(NOV!$G73:$AK73,"FL")+COUNTIF(DEZ!$G73:$AK73,"FL"))</f>
        <v>2</v>
      </c>
      <c r="AF71">
        <f>IF(AND($Q71&lt;&gt;"",N($AD71)&gt;0),COUNT($AF$3:AF70)+1,"")</f>
        <v>40</v>
      </c>
    </row>
    <row r="72" spans="1:32" hidden="1" outlineLevel="1" x14ac:dyDescent="0.25">
      <c r="A72" s="36" t="str">
        <f>IFERROR(INDEX($Q$4:$Q$153,MATCH(ROWS($A$4:A72),$AF$4:$AF$153,0)),"")</f>
        <v/>
      </c>
      <c r="B72" s="35" t="str">
        <f>IFERROR(INDEX($R$4:$R$153,MATCH(ROWS($A$4:A72),$AF$4:$AF$153,0)),"")</f>
        <v/>
      </c>
      <c r="C72" s="35" t="str">
        <f>IFERROR(INDEX($S$4:$S$153,MATCH(ROWS($A$4:A72),$AF$4:$AF$153,0)),"")</f>
        <v/>
      </c>
      <c r="D72" s="35" t="str">
        <f>IFERROR(INDEX($T$4:$T$153,MATCH(ROWS($A$4:A72),$AF$4:$AF$153,0)),"")</f>
        <v/>
      </c>
      <c r="E72" s="35" t="str">
        <f>IFERROR(INDEX($U$4:$U$153,MATCH(ROWS($A$4:A72),$AF$4:$AF$153,0)),"")</f>
        <v/>
      </c>
      <c r="F72" s="35" t="str">
        <f>IFERROR(INDEX($V$4:$V$153,MATCH(ROWS($A$4:A72),$AF$4:$AF$153,0)),"")</f>
        <v/>
      </c>
      <c r="G72" s="35" t="str">
        <f>IFERROR(INDEX($W$4:$W$153,MATCH(ROWS($A$4:A72),$AF$4:$AF$153,0)),"")</f>
        <v/>
      </c>
      <c r="H72" s="35" t="str">
        <f>IFERROR(INDEX($X$4:$X$153,MATCH(ROWS($A$4:A72),$AF$4:$AF$153,0)),"")</f>
        <v/>
      </c>
      <c r="I72" s="72" t="str">
        <f>IFERROR(INDEX($Y$4:$Y$153,MATCH(ROWS($A$4:A72),$AF$4:$AF$153,0)),"")</f>
        <v/>
      </c>
      <c r="J72" s="35" t="str">
        <f>IFERROR(INDEX($Z$4:$Z$153,MATCH(ROWS($A$4:A72),$AF$4:$AF$153,0)),"")</f>
        <v/>
      </c>
      <c r="K72" s="35" t="str">
        <f>IFERROR(INDEX($AA$4:$AA$153,MATCH(ROWS($A$4:A72),$AF$4:$AF$153,0)),"")</f>
        <v/>
      </c>
      <c r="L72" s="35" t="str">
        <f>IFERROR(INDEX($AB$4:$AB$153,MATCH(ROWS($A$4:A72),$AF$4:$AF$153,0)),"")</f>
        <v/>
      </c>
      <c r="M72" s="35" t="str">
        <f>IFERROR(INDEX($AC$4:$AC$153,MATCH(ROWS($A$4:A72),$AF$4:$AF$153,0)),"")</f>
        <v/>
      </c>
      <c r="N72" s="35" t="str">
        <f>IFERROR(INDEX($AD$4:$AD$153,MATCH(ROWS($A$4:A72),$AF$4:$AF$153,0)),"")</f>
        <v/>
      </c>
      <c r="Q72" t="str">
        <f>T(JAN!B74)</f>
        <v>DEIVIDE TEMPORARIO</v>
      </c>
      <c r="R72" t="str">
        <f t="array" ref="R72">IF($Q72="","",_xlfn.TEXTJOIN(", ",TRUE,IF(JAN!$G74:$AK74="FL",JAN!$G$4:$AK$4,"")))</f>
        <v/>
      </c>
      <c r="S72" t="str">
        <f t="array" ref="S72">IF($Q72="","",_xlfn.TEXTJOIN(", ",TRUE,IF(FEV!$G74:$AK74="FL",FEV!$G$4:$AK$4,"")))</f>
        <v/>
      </c>
      <c r="T72" t="str">
        <f t="array" ref="T72">IF($Q72="","",_xlfn.TEXTJOIN(", ",TRUE,IF(MAR!$G74:$AK74="FL",MAR!$G$4:$AK$4,"")))</f>
        <v/>
      </c>
      <c r="U72" t="str">
        <f t="array" ref="U72">IF($Q72="","",_xlfn.TEXTJOIN(", ",TRUE,IF(ABR!$G74:$AK74="FL",ABR!$G$4:$AK$4,"")))</f>
        <v/>
      </c>
      <c r="V72" t="str">
        <f t="array" ref="V72">IF($Q72="","",_xlfn.TEXTJOIN(", ",TRUE,IF(MAI!$G74:$AK74="FL",MAI!$G$4:$AK$4,"")))</f>
        <v/>
      </c>
      <c r="W72" t="str">
        <f t="array" ref="W72">IF($Q72="","",_xlfn.TEXTJOIN(", ",TRUE,IF(JUN!$G74:$AK74="FL",JUN!$G$4:$AK$4,"")))</f>
        <v/>
      </c>
      <c r="X72" t="str">
        <f t="array" ref="X72">IF($Q72="","",_xlfn.TEXTJOIN(", ",TRUE,IF(JUL!$G74:$AK74="FL",JUL!$G$4:$AK$4,"")))</f>
        <v/>
      </c>
      <c r="Y72" t="str">
        <f t="array" ref="Y72">IF($Q72="","",_xlfn.TEXTJOIN(", ",TRUE,IF(AGO!$G74:$AK74="FL",AGO!$G$4:$AK$4,"")))</f>
        <v>22</v>
      </c>
      <c r="Z72" t="str">
        <f t="array" ref="Z72">IF($Q72="","",_xlfn.TEXTJOIN(", ",TRUE,IF(SET!$G74:$AK74="FL",SET!$G$4:$AK$4,"")))</f>
        <v/>
      </c>
      <c r="AA72" t="str">
        <f t="array" ref="AA72">IF($Q72="","",_xlfn.TEXTJOIN(", ",TRUE,IF(OUT!$G74:$AK74="FL",OUT!$G$4:$AK$4,"")))</f>
        <v>13</v>
      </c>
      <c r="AB72" t="str">
        <f t="array" ref="AB72">IF($Q72="","",_xlfn.TEXTJOIN(", ",TRUE,IF(NOV!$G74:$AK74="FL",NOV!$G$4:$AK$4,"")))</f>
        <v/>
      </c>
      <c r="AC72" t="str">
        <f t="array" ref="AC72">IF($Q72="","",_xlfn.TEXTJOIN(", ",TRUE,IF(DEZ!$G74:$AK74="FL",DEZ!$G$4:$AK$4,"")))</f>
        <v/>
      </c>
      <c r="AD72">
        <f>IF($Q72="","",COUNTIF(JAN!$G74:$AK74,"FL")+COUNTIF(FEV!$G74:$AK74,"FL")+COUNTIF(MAR!$G74:$AK74,"FL")+COUNTIF(ABR!$G74:$AK74,"FL")+COUNTIF(MAI!$G74:$AK74,"FL")+COUNTIF(JUN!$G74:$AK74,"FL")+COUNTIF(JUL!$G74:$AK74,"FL")+COUNTIF(AGO!$G74:$AK74,"FL")+COUNTIF(SET!$G74:$AK74,"FL")+COUNTIF(OUT!$G74:$AK74,"FL")+COUNTIF(NOV!$G74:$AK74,"FL")+COUNTIF(DEZ!$G74:$AK74,"FL"))</f>
        <v>2</v>
      </c>
      <c r="AF72">
        <f>IF(AND($Q72&lt;&gt;"",N($AD72)&gt;0),COUNT($AF$3:AF71)+1,"")</f>
        <v>41</v>
      </c>
    </row>
    <row r="73" spans="1:32" hidden="1" outlineLevel="1" x14ac:dyDescent="0.25">
      <c r="A73" s="36" t="str">
        <f>IFERROR(INDEX($Q$4:$Q$153,MATCH(ROWS($A$4:A73),$AF$4:$AF$153,0)),"")</f>
        <v/>
      </c>
      <c r="B73" s="35" t="str">
        <f>IFERROR(INDEX($R$4:$R$153,MATCH(ROWS($A$4:A73),$AF$4:$AF$153,0)),"")</f>
        <v/>
      </c>
      <c r="C73" s="35" t="str">
        <f>IFERROR(INDEX($S$4:$S$153,MATCH(ROWS($A$4:A73),$AF$4:$AF$153,0)),"")</f>
        <v/>
      </c>
      <c r="D73" s="35" t="str">
        <f>IFERROR(INDEX($T$4:$T$153,MATCH(ROWS($A$4:A73),$AF$4:$AF$153,0)),"")</f>
        <v/>
      </c>
      <c r="E73" s="35" t="str">
        <f>IFERROR(INDEX($U$4:$U$153,MATCH(ROWS($A$4:A73),$AF$4:$AF$153,0)),"")</f>
        <v/>
      </c>
      <c r="F73" s="35" t="str">
        <f>IFERROR(INDEX($V$4:$V$153,MATCH(ROWS($A$4:A73),$AF$4:$AF$153,0)),"")</f>
        <v/>
      </c>
      <c r="G73" s="35" t="str">
        <f>IFERROR(INDEX($W$4:$W$153,MATCH(ROWS($A$4:A73),$AF$4:$AF$153,0)),"")</f>
        <v/>
      </c>
      <c r="H73" s="35" t="str">
        <f>IFERROR(INDEX($X$4:$X$153,MATCH(ROWS($A$4:A73),$AF$4:$AF$153,0)),"")</f>
        <v/>
      </c>
      <c r="I73" s="72" t="str">
        <f>IFERROR(INDEX($Y$4:$Y$153,MATCH(ROWS($A$4:A73),$AF$4:$AF$153,0)),"")</f>
        <v/>
      </c>
      <c r="J73" s="35" t="str">
        <f>IFERROR(INDEX($Z$4:$Z$153,MATCH(ROWS($A$4:A73),$AF$4:$AF$153,0)),"")</f>
        <v/>
      </c>
      <c r="K73" s="35" t="str">
        <f>IFERROR(INDEX($AA$4:$AA$153,MATCH(ROWS($A$4:A73),$AF$4:$AF$153,0)),"")</f>
        <v/>
      </c>
      <c r="L73" s="35" t="str">
        <f>IFERROR(INDEX($AB$4:$AB$153,MATCH(ROWS($A$4:A73),$AF$4:$AF$153,0)),"")</f>
        <v/>
      </c>
      <c r="M73" s="35" t="str">
        <f>IFERROR(INDEX($AC$4:$AC$153,MATCH(ROWS($A$4:A73),$AF$4:$AF$153,0)),"")</f>
        <v/>
      </c>
      <c r="N73" s="35" t="str">
        <f>IFERROR(INDEX($AD$4:$AD$153,MATCH(ROWS($A$4:A73),$AF$4:$AF$153,0)),"")</f>
        <v/>
      </c>
      <c r="Q73" t="str">
        <f>T(JAN!B75)</f>
        <v>MARLON TEMPORÁRIO</v>
      </c>
      <c r="R73" t="str">
        <f t="array" ref="R73">IF($Q73="","",_xlfn.TEXTJOIN(", ",TRUE,IF(JAN!$G75:$AK75="FL",JAN!$G$4:$AK$4,"")))</f>
        <v/>
      </c>
      <c r="S73" t="str">
        <f t="array" ref="S73">IF($Q73="","",_xlfn.TEXTJOIN(", ",TRUE,IF(FEV!$G75:$AK75="FL",FEV!$G$4:$AK$4,"")))</f>
        <v/>
      </c>
      <c r="T73" t="str">
        <f t="array" ref="T73">IF($Q73="","",_xlfn.TEXTJOIN(", ",TRUE,IF(MAR!$G75:$AK75="FL",MAR!$G$4:$AK$4,"")))</f>
        <v/>
      </c>
      <c r="U73" t="str">
        <f t="array" ref="U73">IF($Q73="","",_xlfn.TEXTJOIN(", ",TRUE,IF(ABR!$G75:$AK75="FL",ABR!$G$4:$AK$4,"")))</f>
        <v/>
      </c>
      <c r="V73" t="str">
        <f t="array" ref="V73">IF($Q73="","",_xlfn.TEXTJOIN(", ",TRUE,IF(MAI!$G75:$AK75="FL",MAI!$G$4:$AK$4,"")))</f>
        <v/>
      </c>
      <c r="W73" t="str">
        <f t="array" ref="W73">IF($Q73="","",_xlfn.TEXTJOIN(", ",TRUE,IF(JUN!$G75:$AK75="FL",JUN!$G$4:$AK$4,"")))</f>
        <v/>
      </c>
      <c r="X73" t="str">
        <f t="array" ref="X73">IF($Q73="","",_xlfn.TEXTJOIN(", ",TRUE,IF(JUL!$G75:$AK75="FL",JUL!$G$4:$AK$4,"")))</f>
        <v/>
      </c>
      <c r="Y73" t="str">
        <f t="array" ref="Y73">IF($Q73="","",_xlfn.TEXTJOIN(", ",TRUE,IF(AGO!$G75:$AK75="FL",AGO!$G$4:$AK$4,"")))</f>
        <v>20</v>
      </c>
      <c r="Z73" t="str">
        <f t="array" ref="Z73">IF($Q73="","",_xlfn.TEXTJOIN(", ",TRUE,IF(SET!$G75:$AK75="FL",SET!$G$4:$AK$4,"")))</f>
        <v/>
      </c>
      <c r="AA73" t="str">
        <f t="array" ref="AA73">IF($Q73="","",_xlfn.TEXTJOIN(", ",TRUE,IF(OUT!$G75:$AK75="FL",OUT!$G$4:$AK$4,"")))</f>
        <v/>
      </c>
      <c r="AB73" t="str">
        <f t="array" ref="AB73">IF($Q73="","",_xlfn.TEXTJOIN(", ",TRUE,IF(NOV!$G75:$AK75="FL",NOV!$G$4:$AK$4,"")))</f>
        <v/>
      </c>
      <c r="AC73" t="str">
        <f t="array" ref="AC73">IF($Q73="","",_xlfn.TEXTJOIN(", ",TRUE,IF(DEZ!$G75:$AK75="FL",DEZ!$G$4:$AK$4,"")))</f>
        <v/>
      </c>
      <c r="AD73">
        <f>IF($Q73="","",COUNTIF(JAN!$G75:$AK75,"FL")+COUNTIF(FEV!$G75:$AK75,"FL")+COUNTIF(MAR!$G75:$AK75,"FL")+COUNTIF(ABR!$G75:$AK75,"FL")+COUNTIF(MAI!$G75:$AK75,"FL")+COUNTIF(JUN!$G75:$AK75,"FL")+COUNTIF(JUL!$G75:$AK75,"FL")+COUNTIF(AGO!$G75:$AK75,"FL")+COUNTIF(SET!$G75:$AK75,"FL")+COUNTIF(OUT!$G75:$AK75,"FL")+COUNTIF(NOV!$G75:$AK75,"FL")+COUNTIF(DEZ!$G75:$AK75,"FL"))</f>
        <v>1</v>
      </c>
      <c r="AF73">
        <f>IF(AND($Q73&lt;&gt;"",N($AD73)&gt;0),COUNT($AF$3:AF72)+1,"")</f>
        <v>42</v>
      </c>
    </row>
    <row r="74" spans="1:32" hidden="1" outlineLevel="1" x14ac:dyDescent="0.25">
      <c r="A74" s="36" t="str">
        <f>IFERROR(INDEX($Q$4:$Q$153,MATCH(ROWS($A$4:A74),$AF$4:$AF$153,0)),"")</f>
        <v/>
      </c>
      <c r="B74" s="35" t="str">
        <f>IFERROR(INDEX($R$4:$R$153,MATCH(ROWS($A$4:A74),$AF$4:$AF$153,0)),"")</f>
        <v/>
      </c>
      <c r="C74" s="35" t="str">
        <f>IFERROR(INDEX($S$4:$S$153,MATCH(ROWS($A$4:A74),$AF$4:$AF$153,0)),"")</f>
        <v/>
      </c>
      <c r="D74" s="35" t="str">
        <f>IFERROR(INDEX($T$4:$T$153,MATCH(ROWS($A$4:A74),$AF$4:$AF$153,0)),"")</f>
        <v/>
      </c>
      <c r="E74" s="35" t="str">
        <f>IFERROR(INDEX($U$4:$U$153,MATCH(ROWS($A$4:A74),$AF$4:$AF$153,0)),"")</f>
        <v/>
      </c>
      <c r="F74" s="35" t="str">
        <f>IFERROR(INDEX($V$4:$V$153,MATCH(ROWS($A$4:A74),$AF$4:$AF$153,0)),"")</f>
        <v/>
      </c>
      <c r="G74" s="35" t="str">
        <f>IFERROR(INDEX($W$4:$W$153,MATCH(ROWS($A$4:A74),$AF$4:$AF$153,0)),"")</f>
        <v/>
      </c>
      <c r="H74" s="35" t="str">
        <f>IFERROR(INDEX($X$4:$X$153,MATCH(ROWS($A$4:A74),$AF$4:$AF$153,0)),"")</f>
        <v/>
      </c>
      <c r="I74" s="72" t="str">
        <f>IFERROR(INDEX($Y$4:$Y$153,MATCH(ROWS($A$4:A74),$AF$4:$AF$153,0)),"")</f>
        <v/>
      </c>
      <c r="J74" s="35" t="str">
        <f>IFERROR(INDEX($Z$4:$Z$153,MATCH(ROWS($A$4:A74),$AF$4:$AF$153,0)),"")</f>
        <v/>
      </c>
      <c r="K74" s="35" t="str">
        <f>IFERROR(INDEX($AA$4:$AA$153,MATCH(ROWS($A$4:A74),$AF$4:$AF$153,0)),"")</f>
        <v/>
      </c>
      <c r="L74" s="35" t="str">
        <f>IFERROR(INDEX($AB$4:$AB$153,MATCH(ROWS($A$4:A74),$AF$4:$AF$153,0)),"")</f>
        <v/>
      </c>
      <c r="M74" s="35" t="str">
        <f>IFERROR(INDEX($AC$4:$AC$153,MATCH(ROWS($A$4:A74),$AF$4:$AF$153,0)),"")</f>
        <v/>
      </c>
      <c r="N74" s="35" t="str">
        <f>IFERROR(INDEX($AD$4:$AD$153,MATCH(ROWS($A$4:A74),$AF$4:$AF$153,0)),"")</f>
        <v/>
      </c>
      <c r="Q74" t="str">
        <f>T(JAN!B76)</f>
        <v>GUILHERME CARMARGO TEMPORARIO</v>
      </c>
      <c r="R74" t="str">
        <f t="array" ref="R74">IF($Q74="","",_xlfn.TEXTJOIN(", ",TRUE,IF(JAN!$G76:$AK76="FL",JAN!$G$4:$AK$4,"")))</f>
        <v/>
      </c>
      <c r="S74" t="str">
        <f t="array" ref="S74">IF($Q74="","",_xlfn.TEXTJOIN(", ",TRUE,IF(FEV!$G76:$AK76="FL",FEV!$G$4:$AK$4,"")))</f>
        <v/>
      </c>
      <c r="T74" t="str">
        <f t="array" ref="T74">IF($Q74="","",_xlfn.TEXTJOIN(", ",TRUE,IF(MAR!$G76:$AK76="FL",MAR!$G$4:$AK$4,"")))</f>
        <v/>
      </c>
      <c r="U74" t="str">
        <f t="array" ref="U74">IF($Q74="","",_xlfn.TEXTJOIN(", ",TRUE,IF(ABR!$G76:$AK76="FL",ABR!$G$4:$AK$4,"")))</f>
        <v/>
      </c>
      <c r="V74" t="str">
        <f t="array" ref="V74">IF($Q74="","",_xlfn.TEXTJOIN(", ",TRUE,IF(MAI!$G76:$AK76="FL",MAI!$G$4:$AK$4,"")))</f>
        <v/>
      </c>
      <c r="W74" t="str">
        <f t="array" ref="W74">IF($Q74="","",_xlfn.TEXTJOIN(", ",TRUE,IF(JUN!$G76:$AK76="FL",JUN!$G$4:$AK$4,"")))</f>
        <v/>
      </c>
      <c r="X74" t="str">
        <f t="array" ref="X74">IF($Q74="","",_xlfn.TEXTJOIN(", ",TRUE,IF(JUL!$G76:$AK76="FL",JUL!$G$4:$AK$4,"")))</f>
        <v/>
      </c>
      <c r="Y74" t="str">
        <f t="array" ref="Y74">IF($Q74="","",_xlfn.TEXTJOIN(", ",TRUE,IF(AGO!$G76:$AK76="FL",AGO!$G$4:$AK$4,"")))</f>
        <v>20</v>
      </c>
      <c r="Z74" t="str">
        <f t="array" ref="Z74">IF($Q74="","",_xlfn.TEXTJOIN(", ",TRUE,IF(SET!$G76:$AK76="FL",SET!$G$4:$AK$4,"")))</f>
        <v/>
      </c>
      <c r="AA74" t="str">
        <f t="array" ref="AA74">IF($Q74="","",_xlfn.TEXTJOIN(", ",TRUE,IF(OUT!$G76:$AK76="FL",OUT!$G$4:$AK$4,"")))</f>
        <v/>
      </c>
      <c r="AB74" t="str">
        <f t="array" ref="AB74">IF($Q74="","",_xlfn.TEXTJOIN(", ",TRUE,IF(NOV!$G76:$AK76="FL",NOV!$G$4:$AK$4,"")))</f>
        <v/>
      </c>
      <c r="AC74" t="str">
        <f t="array" ref="AC74">IF($Q74="","",_xlfn.TEXTJOIN(", ",TRUE,IF(DEZ!$G76:$AK76="FL",DEZ!$G$4:$AK$4,"")))</f>
        <v/>
      </c>
      <c r="AD74">
        <f>IF($Q74="","",COUNTIF(JAN!$G76:$AK76,"FL")+COUNTIF(FEV!$G76:$AK76,"FL")+COUNTIF(MAR!$G76:$AK76,"FL")+COUNTIF(ABR!$G76:$AK76,"FL")+COUNTIF(MAI!$G76:$AK76,"FL")+COUNTIF(JUN!$G76:$AK76,"FL")+COUNTIF(JUL!$G76:$AK76,"FL")+COUNTIF(AGO!$G76:$AK76,"FL")+COUNTIF(SET!$G76:$AK76,"FL")+COUNTIF(OUT!$G76:$AK76,"FL")+COUNTIF(NOV!$G76:$AK76,"FL")+COUNTIF(DEZ!$G76:$AK76,"FL"))</f>
        <v>1</v>
      </c>
      <c r="AF74">
        <f>IF(AND($Q74&lt;&gt;"",N($AD74)&gt;0),COUNT($AF$3:AF73)+1,"")</f>
        <v>43</v>
      </c>
    </row>
    <row r="75" spans="1:32" hidden="1" outlineLevel="1" x14ac:dyDescent="0.25">
      <c r="A75" s="36" t="str">
        <f>IFERROR(INDEX($Q$4:$Q$153,MATCH(ROWS($A$4:A75),$AF$4:$AF$153,0)),"")</f>
        <v/>
      </c>
      <c r="B75" s="35" t="str">
        <f>IFERROR(INDEX($R$4:$R$153,MATCH(ROWS($A$4:A75),$AF$4:$AF$153,0)),"")</f>
        <v/>
      </c>
      <c r="C75" s="35" t="str">
        <f>IFERROR(INDEX($S$4:$S$153,MATCH(ROWS($A$4:A75),$AF$4:$AF$153,0)),"")</f>
        <v/>
      </c>
      <c r="D75" s="35" t="str">
        <f>IFERROR(INDEX($T$4:$T$153,MATCH(ROWS($A$4:A75),$AF$4:$AF$153,0)),"")</f>
        <v/>
      </c>
      <c r="E75" s="35" t="str">
        <f>IFERROR(INDEX($U$4:$U$153,MATCH(ROWS($A$4:A75),$AF$4:$AF$153,0)),"")</f>
        <v/>
      </c>
      <c r="F75" s="35" t="str">
        <f>IFERROR(INDEX($V$4:$V$153,MATCH(ROWS($A$4:A75),$AF$4:$AF$153,0)),"")</f>
        <v/>
      </c>
      <c r="G75" s="35" t="str">
        <f>IFERROR(INDEX($W$4:$W$153,MATCH(ROWS($A$4:A75),$AF$4:$AF$153,0)),"")</f>
        <v/>
      </c>
      <c r="H75" s="35" t="str">
        <f>IFERROR(INDEX($X$4:$X$153,MATCH(ROWS($A$4:A75),$AF$4:$AF$153,0)),"")</f>
        <v/>
      </c>
      <c r="I75" s="72" t="str">
        <f>IFERROR(INDEX($Y$4:$Y$153,MATCH(ROWS($A$4:A75),$AF$4:$AF$153,0)),"")</f>
        <v/>
      </c>
      <c r="J75" s="35" t="str">
        <f>IFERROR(INDEX($Z$4:$Z$153,MATCH(ROWS($A$4:A75),$AF$4:$AF$153,0)),"")</f>
        <v/>
      </c>
      <c r="K75" s="35" t="str">
        <f>IFERROR(INDEX($AA$4:$AA$153,MATCH(ROWS($A$4:A75),$AF$4:$AF$153,0)),"")</f>
        <v/>
      </c>
      <c r="L75" s="35" t="str">
        <f>IFERROR(INDEX($AB$4:$AB$153,MATCH(ROWS($A$4:A75),$AF$4:$AF$153,0)),"")</f>
        <v/>
      </c>
      <c r="M75" s="35" t="str">
        <f>IFERROR(INDEX($AC$4:$AC$153,MATCH(ROWS($A$4:A75),$AF$4:$AF$153,0)),"")</f>
        <v/>
      </c>
      <c r="N75" s="35" t="str">
        <f>IFERROR(INDEX($AD$4:$AD$153,MATCH(ROWS($A$4:A75),$AF$4:$AF$153,0)),"")</f>
        <v/>
      </c>
      <c r="Q75" t="str">
        <f>T(JAN!B77)</f>
        <v>BRYAN TEMPORARIO</v>
      </c>
      <c r="R75" t="str">
        <f t="array" ref="R75">IF($Q75="","",_xlfn.TEXTJOIN(", ",TRUE,IF(JAN!$G77:$AK77="FL",JAN!$G$4:$AK$4,"")))</f>
        <v/>
      </c>
      <c r="S75" t="str">
        <f t="array" ref="S75">IF($Q75="","",_xlfn.TEXTJOIN(", ",TRUE,IF(FEV!$G77:$AK77="FL",FEV!$G$4:$AK$4,"")))</f>
        <v/>
      </c>
      <c r="T75" t="str">
        <f t="array" ref="T75">IF($Q75="","",_xlfn.TEXTJOIN(", ",TRUE,IF(MAR!$G77:$AK77="FL",MAR!$G$4:$AK$4,"")))</f>
        <v/>
      </c>
      <c r="U75" t="str">
        <f t="array" ref="U75">IF($Q75="","",_xlfn.TEXTJOIN(", ",TRUE,IF(ABR!$G77:$AK77="FL",ABR!$G$4:$AK$4,"")))</f>
        <v/>
      </c>
      <c r="V75" t="str">
        <f t="array" ref="V75">IF($Q75="","",_xlfn.TEXTJOIN(", ",TRUE,IF(MAI!$G77:$AK77="FL",MAI!$G$4:$AK$4,"")))</f>
        <v/>
      </c>
      <c r="W75" t="str">
        <f t="array" ref="W75">IF($Q75="","",_xlfn.TEXTJOIN(", ",TRUE,IF(JUN!$G77:$AK77="FL",JUN!$G$4:$AK$4,"")))</f>
        <v/>
      </c>
      <c r="X75" t="str">
        <f t="array" ref="X75">IF($Q75="","",_xlfn.TEXTJOIN(", ",TRUE,IF(JUL!$G77:$AK77="FL",JUL!$G$4:$AK$4,"")))</f>
        <v/>
      </c>
      <c r="Y75" t="str">
        <f t="array" ref="Y75">IF($Q75="","",_xlfn.TEXTJOIN(", ",TRUE,IF(AGO!$G77:$AK77="FL",AGO!$G$4:$AK$4,"")))</f>
        <v/>
      </c>
      <c r="Z75" t="str">
        <f t="array" ref="Z75">IF($Q75="","",_xlfn.TEXTJOIN(", ",TRUE,IF(SET!$G77:$AK77="FL",SET!$G$4:$AK$4,"")))</f>
        <v/>
      </c>
      <c r="AA75" t="str">
        <f t="array" ref="AA75">IF($Q75="","",_xlfn.TEXTJOIN(", ",TRUE,IF(OUT!$G77:$AK77="FL",OUT!$G$4:$AK$4,"")))</f>
        <v/>
      </c>
      <c r="AB75" t="str">
        <f t="array" ref="AB75">IF($Q75="","",_xlfn.TEXTJOIN(", ",TRUE,IF(NOV!$G77:$AK77="FL",NOV!$G$4:$AK$4,"")))</f>
        <v/>
      </c>
      <c r="AC75" t="str">
        <f t="array" ref="AC75">IF($Q75="","",_xlfn.TEXTJOIN(", ",TRUE,IF(DEZ!$G77:$AK77="FL",DEZ!$G$4:$AK$4,"")))</f>
        <v/>
      </c>
      <c r="AD75">
        <f>IF($Q75="","",COUNTIF(JAN!$G77:$AK77,"FL")+COUNTIF(FEV!$G77:$AK77,"FL")+COUNTIF(MAR!$G77:$AK77,"FL")+COUNTIF(ABR!$G77:$AK77,"FL")+COUNTIF(MAI!$G77:$AK77,"FL")+COUNTIF(JUN!$G77:$AK77,"FL")+COUNTIF(JUL!$G77:$AK77,"FL")+COUNTIF(AGO!$G77:$AK77,"FL")+COUNTIF(SET!$G77:$AK77,"FL")+COUNTIF(OUT!$G77:$AK77,"FL")+COUNTIF(NOV!$G77:$AK77,"FL")+COUNTIF(DEZ!$G77:$AK77,"FL"))</f>
        <v>0</v>
      </c>
      <c r="AF75" t="str">
        <f>IF(AND($Q75&lt;&gt;"",N($AD75)&gt;0),COUNT($AF$3:AF74)+1,"")</f>
        <v/>
      </c>
    </row>
    <row r="76" spans="1:32" hidden="1" outlineLevel="1" x14ac:dyDescent="0.25">
      <c r="A76" s="36" t="str">
        <f>IFERROR(INDEX($Q$4:$Q$153,MATCH(ROWS($A$4:A76),$AF$4:$AF$153,0)),"")</f>
        <v/>
      </c>
      <c r="B76" s="35" t="str">
        <f>IFERROR(INDEX($R$4:$R$153,MATCH(ROWS($A$4:A76),$AF$4:$AF$153,0)),"")</f>
        <v/>
      </c>
      <c r="C76" s="35" t="str">
        <f>IFERROR(INDEX($S$4:$S$153,MATCH(ROWS($A$4:A76),$AF$4:$AF$153,0)),"")</f>
        <v/>
      </c>
      <c r="D76" s="35" t="str">
        <f>IFERROR(INDEX($T$4:$T$153,MATCH(ROWS($A$4:A76),$AF$4:$AF$153,0)),"")</f>
        <v/>
      </c>
      <c r="E76" s="35" t="str">
        <f>IFERROR(INDEX($U$4:$U$153,MATCH(ROWS($A$4:A76),$AF$4:$AF$153,0)),"")</f>
        <v/>
      </c>
      <c r="F76" s="35" t="str">
        <f>IFERROR(INDEX($V$4:$V$153,MATCH(ROWS($A$4:A76),$AF$4:$AF$153,0)),"")</f>
        <v/>
      </c>
      <c r="G76" s="35" t="str">
        <f>IFERROR(INDEX($W$4:$W$153,MATCH(ROWS($A$4:A76),$AF$4:$AF$153,0)),"")</f>
        <v/>
      </c>
      <c r="H76" s="35" t="str">
        <f>IFERROR(INDEX($X$4:$X$153,MATCH(ROWS($A$4:A76),$AF$4:$AF$153,0)),"")</f>
        <v/>
      </c>
      <c r="I76" s="72" t="str">
        <f>IFERROR(INDEX($Y$4:$Y$153,MATCH(ROWS($A$4:A76),$AF$4:$AF$153,0)),"")</f>
        <v/>
      </c>
      <c r="J76" s="35" t="str">
        <f>IFERROR(INDEX($Z$4:$Z$153,MATCH(ROWS($A$4:A76),$AF$4:$AF$153,0)),"")</f>
        <v/>
      </c>
      <c r="K76" s="35" t="str">
        <f>IFERROR(INDEX($AA$4:$AA$153,MATCH(ROWS($A$4:A76),$AF$4:$AF$153,0)),"")</f>
        <v/>
      </c>
      <c r="L76" s="35" t="str">
        <f>IFERROR(INDEX($AB$4:$AB$153,MATCH(ROWS($A$4:A76),$AF$4:$AF$153,0)),"")</f>
        <v/>
      </c>
      <c r="M76" s="35" t="str">
        <f>IFERROR(INDEX($AC$4:$AC$153,MATCH(ROWS($A$4:A76),$AF$4:$AF$153,0)),"")</f>
        <v/>
      </c>
      <c r="N76" s="35" t="str">
        <f>IFERROR(INDEX($AD$4:$AD$153,MATCH(ROWS($A$4:A76),$AF$4:$AF$153,0)),"")</f>
        <v/>
      </c>
      <c r="Q76" t="str">
        <f>T(JAN!B78)</f>
        <v>PABLO TEMPORARIO</v>
      </c>
      <c r="R76" t="str">
        <f t="array" ref="R76">IF($Q76="","",_xlfn.TEXTJOIN(", ",TRUE,IF(JAN!$G78:$AK78="FL",JAN!$G$4:$AK$4,"")))</f>
        <v/>
      </c>
      <c r="S76" t="str">
        <f t="array" ref="S76">IF($Q76="","",_xlfn.TEXTJOIN(", ",TRUE,IF(FEV!$G78:$AK78="FL",FEV!$G$4:$AK$4,"")))</f>
        <v/>
      </c>
      <c r="T76" t="str">
        <f t="array" ref="T76">IF($Q76="","",_xlfn.TEXTJOIN(", ",TRUE,IF(MAR!$G78:$AK78="FL",MAR!$G$4:$AK$4,"")))</f>
        <v/>
      </c>
      <c r="U76" t="str">
        <f t="array" ref="U76">IF($Q76="","",_xlfn.TEXTJOIN(", ",TRUE,IF(ABR!$G78:$AK78="FL",ABR!$G$4:$AK$4,"")))</f>
        <v/>
      </c>
      <c r="V76" t="str">
        <f t="array" ref="V76">IF($Q76="","",_xlfn.TEXTJOIN(", ",TRUE,IF(MAI!$G78:$AK78="FL",MAI!$G$4:$AK$4,"")))</f>
        <v/>
      </c>
      <c r="W76" t="str">
        <f t="array" ref="W76">IF($Q76="","",_xlfn.TEXTJOIN(", ",TRUE,IF(JUN!$G78:$AK78="FL",JUN!$G$4:$AK$4,"")))</f>
        <v/>
      </c>
      <c r="X76" t="str">
        <f t="array" ref="X76">IF($Q76="","",_xlfn.TEXTJOIN(", ",TRUE,IF(JUL!$G78:$AK78="FL",JUL!$G$4:$AK$4,"")))</f>
        <v/>
      </c>
      <c r="Y76" t="str">
        <f t="array" ref="Y76">IF($Q76="","",_xlfn.TEXTJOIN(", ",TRUE,IF(AGO!$G78:$AK78="FL",AGO!$G$4:$AK$4,"")))</f>
        <v/>
      </c>
      <c r="Z76" t="str">
        <f t="array" ref="Z76">IF($Q76="","",_xlfn.TEXTJOIN(", ",TRUE,IF(SET!$G78:$AK78="FL",SET!$G$4:$AK$4,"")))</f>
        <v>4, 11, 14, 15, 18, 22</v>
      </c>
      <c r="AA76" t="str">
        <f t="array" ref="AA76">IF($Q76="","",_xlfn.TEXTJOIN(", ",TRUE,IF(OUT!$G78:$AK78="FL",OUT!$G$4:$AK$4,"")))</f>
        <v>3, 5, 6</v>
      </c>
      <c r="AB76" t="str">
        <f t="array" ref="AB76">IF($Q76="","",_xlfn.TEXTJOIN(", ",TRUE,IF(NOV!$G78:$AK78="FL",NOV!$G$4:$AK$4,"")))</f>
        <v/>
      </c>
      <c r="AC76" t="str">
        <f t="array" ref="AC76">IF($Q76="","",_xlfn.TEXTJOIN(", ",TRUE,IF(DEZ!$G78:$AK78="FL",DEZ!$G$4:$AK$4,"")))</f>
        <v/>
      </c>
      <c r="AD76">
        <f>IF($Q76="","",COUNTIF(JAN!$G78:$AK78,"FL")+COUNTIF(FEV!$G78:$AK78,"FL")+COUNTIF(MAR!$G78:$AK78,"FL")+COUNTIF(ABR!$G78:$AK78,"FL")+COUNTIF(MAI!$G78:$AK78,"FL")+COUNTIF(JUN!$G78:$AK78,"FL")+COUNTIF(JUL!$G78:$AK78,"FL")+COUNTIF(AGO!$G78:$AK78,"FL")+COUNTIF(SET!$G78:$AK78,"FL")+COUNTIF(OUT!$G78:$AK78,"FL")+COUNTIF(NOV!$G78:$AK78,"FL")+COUNTIF(DEZ!$G78:$AK78,"FL"))</f>
        <v>9</v>
      </c>
      <c r="AF76">
        <f>IF(AND($Q76&lt;&gt;"",N($AD76)&gt;0),COUNT($AF$3:AF75)+1,"")</f>
        <v>44</v>
      </c>
    </row>
    <row r="77" spans="1:32" hidden="1" outlineLevel="1" x14ac:dyDescent="0.25">
      <c r="A77" s="36" t="str">
        <f>IFERROR(INDEX($Q$4:$Q$153,MATCH(ROWS($A$4:A77),$AF$4:$AF$153,0)),"")</f>
        <v/>
      </c>
      <c r="B77" s="35" t="str">
        <f>IFERROR(INDEX($R$4:$R$153,MATCH(ROWS($A$4:A77),$AF$4:$AF$153,0)),"")</f>
        <v/>
      </c>
      <c r="C77" s="35" t="str">
        <f>IFERROR(INDEX($S$4:$S$153,MATCH(ROWS($A$4:A77),$AF$4:$AF$153,0)),"")</f>
        <v/>
      </c>
      <c r="D77" s="35" t="str">
        <f>IFERROR(INDEX($T$4:$T$153,MATCH(ROWS($A$4:A77),$AF$4:$AF$153,0)),"")</f>
        <v/>
      </c>
      <c r="E77" s="35" t="str">
        <f>IFERROR(INDEX($U$4:$U$153,MATCH(ROWS($A$4:A77),$AF$4:$AF$153,0)),"")</f>
        <v/>
      </c>
      <c r="F77" s="35" t="str">
        <f>IFERROR(INDEX($V$4:$V$153,MATCH(ROWS($A$4:A77),$AF$4:$AF$153,0)),"")</f>
        <v/>
      </c>
      <c r="G77" s="35" t="str">
        <f>IFERROR(INDEX($W$4:$W$153,MATCH(ROWS($A$4:A77),$AF$4:$AF$153,0)),"")</f>
        <v/>
      </c>
      <c r="H77" s="35" t="str">
        <f>IFERROR(INDEX($X$4:$X$153,MATCH(ROWS($A$4:A77),$AF$4:$AF$153,0)),"")</f>
        <v/>
      </c>
      <c r="I77" s="72" t="str">
        <f>IFERROR(INDEX($Y$4:$Y$153,MATCH(ROWS($A$4:A77),$AF$4:$AF$153,0)),"")</f>
        <v/>
      </c>
      <c r="J77" s="35" t="str">
        <f>IFERROR(INDEX($Z$4:$Z$153,MATCH(ROWS($A$4:A77),$AF$4:$AF$153,0)),"")</f>
        <v/>
      </c>
      <c r="K77" s="35" t="str">
        <f>IFERROR(INDEX($AA$4:$AA$153,MATCH(ROWS($A$4:A77),$AF$4:$AF$153,0)),"")</f>
        <v/>
      </c>
      <c r="L77" s="35" t="str">
        <f>IFERROR(INDEX($AB$4:$AB$153,MATCH(ROWS($A$4:A77),$AF$4:$AF$153,0)),"")</f>
        <v/>
      </c>
      <c r="M77" s="35" t="str">
        <f>IFERROR(INDEX($AC$4:$AC$153,MATCH(ROWS($A$4:A77),$AF$4:$AF$153,0)),"")</f>
        <v/>
      </c>
      <c r="N77" s="35" t="str">
        <f>IFERROR(INDEX($AD$4:$AD$153,MATCH(ROWS($A$4:A77),$AF$4:$AF$153,0)),"")</f>
        <v/>
      </c>
      <c r="Q77" t="str">
        <f>T(JAN!B79)</f>
        <v>JOAQUIM TEMPORARIO</v>
      </c>
      <c r="R77" t="str">
        <f t="array" ref="R77">IF($Q77="","",_xlfn.TEXTJOIN(", ",TRUE,IF(JAN!$G79:$AK79="FL",JAN!$G$4:$AK$4,"")))</f>
        <v/>
      </c>
      <c r="S77" t="str">
        <f t="array" ref="S77">IF($Q77="","",_xlfn.TEXTJOIN(", ",TRUE,IF(FEV!$G79:$AK79="FL",FEV!$G$4:$AK$4,"")))</f>
        <v/>
      </c>
      <c r="T77" t="str">
        <f t="array" ref="T77">IF($Q77="","",_xlfn.TEXTJOIN(", ",TRUE,IF(MAR!$G79:$AK79="FL",MAR!$G$4:$AK$4,"")))</f>
        <v/>
      </c>
      <c r="U77" t="str">
        <f t="array" ref="U77">IF($Q77="","",_xlfn.TEXTJOIN(", ",TRUE,IF(ABR!$G79:$AK79="FL",ABR!$G$4:$AK$4,"")))</f>
        <v/>
      </c>
      <c r="V77" t="str">
        <f t="array" ref="V77">IF($Q77="","",_xlfn.TEXTJOIN(", ",TRUE,IF(MAI!$G79:$AK79="FL",MAI!$G$4:$AK$4,"")))</f>
        <v/>
      </c>
      <c r="W77" t="str">
        <f t="array" ref="W77">IF($Q77="","",_xlfn.TEXTJOIN(", ",TRUE,IF(JUN!$G79:$AK79="FL",JUN!$G$4:$AK$4,"")))</f>
        <v/>
      </c>
      <c r="X77" t="str">
        <f t="array" ref="X77">IF($Q77="","",_xlfn.TEXTJOIN(", ",TRUE,IF(JUL!$G79:$AK79="FL",JUL!$G$4:$AK$4,"")))</f>
        <v/>
      </c>
      <c r="Y77" t="str">
        <f t="array" ref="Y77">IF($Q77="","",_xlfn.TEXTJOIN(", ",TRUE,IF(AGO!$G79:$AK79="FL",AGO!$G$4:$AK$4,"")))</f>
        <v/>
      </c>
      <c r="Z77" t="str">
        <f t="array" ref="Z77">IF($Q77="","",_xlfn.TEXTJOIN(", ",TRUE,IF(SET!$G79:$AK79="FL",SET!$G$4:$AK$4,"")))</f>
        <v>9</v>
      </c>
      <c r="AA77" t="str">
        <f t="array" ref="AA77">IF($Q77="","",_xlfn.TEXTJOIN(", ",TRUE,IF(OUT!$G79:$AK79="FL",OUT!$G$4:$AK$4,"")))</f>
        <v>5, 13</v>
      </c>
      <c r="AB77" t="str">
        <f t="array" ref="AB77">IF($Q77="","",_xlfn.TEXTJOIN(", ",TRUE,IF(NOV!$G79:$AK79="FL",NOV!$G$4:$AK$4,"")))</f>
        <v/>
      </c>
      <c r="AC77" t="str">
        <f t="array" ref="AC77">IF($Q77="","",_xlfn.TEXTJOIN(", ",TRUE,IF(DEZ!$G79:$AK79="FL",DEZ!$G$4:$AK$4,"")))</f>
        <v/>
      </c>
      <c r="AD77">
        <f>IF($Q77="","",COUNTIF(JAN!$G79:$AK79,"FL")+COUNTIF(FEV!$G79:$AK79,"FL")+COUNTIF(MAR!$G79:$AK79,"FL")+COUNTIF(ABR!$G79:$AK79,"FL")+COUNTIF(MAI!$G79:$AK79,"FL")+COUNTIF(JUN!$G79:$AK79,"FL")+COUNTIF(JUL!$G79:$AK79,"FL")+COUNTIF(AGO!$G79:$AK79,"FL")+COUNTIF(SET!$G79:$AK79,"FL")+COUNTIF(OUT!$G79:$AK79,"FL")+COUNTIF(NOV!$G79:$AK79,"FL")+COUNTIF(DEZ!$G79:$AK79,"FL"))</f>
        <v>3</v>
      </c>
      <c r="AF77">
        <f>IF(AND($Q77&lt;&gt;"",N($AD77)&gt;0),COUNT($AF$3:AF76)+1,"")</f>
        <v>45</v>
      </c>
    </row>
    <row r="78" spans="1:32" hidden="1" outlineLevel="1" x14ac:dyDescent="0.25">
      <c r="A78" s="36" t="str">
        <f>IFERROR(INDEX($Q$4:$Q$153,MATCH(ROWS($A$4:A78),$AF$4:$AF$153,0)),"")</f>
        <v/>
      </c>
      <c r="B78" s="35" t="str">
        <f>IFERROR(INDEX($R$4:$R$153,MATCH(ROWS($A$4:A78),$AF$4:$AF$153,0)),"")</f>
        <v/>
      </c>
      <c r="C78" s="35" t="str">
        <f>IFERROR(INDEX($S$4:$S$153,MATCH(ROWS($A$4:A78),$AF$4:$AF$153,0)),"")</f>
        <v/>
      </c>
      <c r="D78" s="35" t="str">
        <f>IFERROR(INDEX($T$4:$T$153,MATCH(ROWS($A$4:A78),$AF$4:$AF$153,0)),"")</f>
        <v/>
      </c>
      <c r="E78" s="35" t="str">
        <f>IFERROR(INDEX($U$4:$U$153,MATCH(ROWS($A$4:A78),$AF$4:$AF$153,0)),"")</f>
        <v/>
      </c>
      <c r="F78" s="35" t="str">
        <f>IFERROR(INDEX($V$4:$V$153,MATCH(ROWS($A$4:A78),$AF$4:$AF$153,0)),"")</f>
        <v/>
      </c>
      <c r="G78" s="35" t="str">
        <f>IFERROR(INDEX($W$4:$W$153,MATCH(ROWS($A$4:A78),$AF$4:$AF$153,0)),"")</f>
        <v/>
      </c>
      <c r="H78" s="35" t="str">
        <f>IFERROR(INDEX($X$4:$X$153,MATCH(ROWS($A$4:A78),$AF$4:$AF$153,0)),"")</f>
        <v/>
      </c>
      <c r="I78" s="72" t="str">
        <f>IFERROR(INDEX($Y$4:$Y$153,MATCH(ROWS($A$4:A78),$AF$4:$AF$153,0)),"")</f>
        <v/>
      </c>
      <c r="J78" s="35" t="str">
        <f>IFERROR(INDEX($Z$4:$Z$153,MATCH(ROWS($A$4:A78),$AF$4:$AF$153,0)),"")</f>
        <v/>
      </c>
      <c r="K78" s="35" t="str">
        <f>IFERROR(INDEX($AA$4:$AA$153,MATCH(ROWS($A$4:A78),$AF$4:$AF$153,0)),"")</f>
        <v/>
      </c>
      <c r="L78" s="35" t="str">
        <f>IFERROR(INDEX($AB$4:$AB$153,MATCH(ROWS($A$4:A78),$AF$4:$AF$153,0)),"")</f>
        <v/>
      </c>
      <c r="M78" s="35" t="str">
        <f>IFERROR(INDEX($AC$4:$AC$153,MATCH(ROWS($A$4:A78),$AF$4:$AF$153,0)),"")</f>
        <v/>
      </c>
      <c r="N78" s="35" t="str">
        <f>IFERROR(INDEX($AD$4:$AD$153,MATCH(ROWS($A$4:A78),$AF$4:$AF$153,0)),"")</f>
        <v/>
      </c>
      <c r="Q78" t="str">
        <f>T(JAN!B80)</f>
        <v>RAFAEL TEMPORARIO</v>
      </c>
      <c r="R78" t="str">
        <f t="array" ref="R78">IF($Q78="","",_xlfn.TEXTJOIN(", ",TRUE,IF(JAN!$G80:$AK80="FL",JAN!$G$4:$AK$4,"")))</f>
        <v/>
      </c>
      <c r="S78" t="str">
        <f t="array" ref="S78">IF($Q78="","",_xlfn.TEXTJOIN(", ",TRUE,IF(FEV!$G80:$AK80="FL",FEV!$G$4:$AK$4,"")))</f>
        <v/>
      </c>
      <c r="T78" t="str">
        <f t="array" ref="T78">IF($Q78="","",_xlfn.TEXTJOIN(", ",TRUE,IF(MAR!$G80:$AK80="FL",MAR!$G$4:$AK$4,"")))</f>
        <v/>
      </c>
      <c r="U78" t="str">
        <f t="array" ref="U78">IF($Q78="","",_xlfn.TEXTJOIN(", ",TRUE,IF(ABR!$G80:$AK80="FL",ABR!$G$4:$AK$4,"")))</f>
        <v/>
      </c>
      <c r="V78" t="str">
        <f t="array" ref="V78">IF($Q78="","",_xlfn.TEXTJOIN(", ",TRUE,IF(MAI!$G80:$AK80="FL",MAI!$G$4:$AK$4,"")))</f>
        <v/>
      </c>
      <c r="W78" t="str">
        <f t="array" ref="W78">IF($Q78="","",_xlfn.TEXTJOIN(", ",TRUE,IF(JUN!$G80:$AK80="FL",JUN!$G$4:$AK$4,"")))</f>
        <v/>
      </c>
      <c r="X78" t="str">
        <f t="array" ref="X78">IF($Q78="","",_xlfn.TEXTJOIN(", ",TRUE,IF(JUL!$G80:$AK80="FL",JUL!$G$4:$AK$4,"")))</f>
        <v/>
      </c>
      <c r="Y78" t="str">
        <f t="array" ref="Y78">IF($Q78="","",_xlfn.TEXTJOIN(", ",TRUE,IF(AGO!$G80:$AK80="FL",AGO!$G$4:$AK$4,"")))</f>
        <v/>
      </c>
      <c r="Z78" t="str">
        <f t="array" ref="Z78">IF($Q78="","",_xlfn.TEXTJOIN(", ",TRUE,IF(SET!$G80:$AK80="FL",SET!$G$4:$AK$4,"")))</f>
        <v>10, 14, 15, 16, 18, 22, 25</v>
      </c>
      <c r="AA78" t="str">
        <f t="array" ref="AA78">IF($Q78="","",_xlfn.TEXTJOIN(", ",TRUE,IF(OUT!$G80:$AK80="FL",OUT!$G$4:$AK$4,"")))</f>
        <v>5, 6</v>
      </c>
      <c r="AB78" t="str">
        <f t="array" ref="AB78">IF($Q78="","",_xlfn.TEXTJOIN(", ",TRUE,IF(NOV!$G80:$AK80="FL",NOV!$G$4:$AK$4,"")))</f>
        <v/>
      </c>
      <c r="AC78" t="str">
        <f t="array" ref="AC78">IF($Q78="","",_xlfn.TEXTJOIN(", ",TRUE,IF(DEZ!$G80:$AK80="FL",DEZ!$G$4:$AK$4,"")))</f>
        <v/>
      </c>
      <c r="AD78">
        <f>IF($Q78="","",COUNTIF(JAN!$G80:$AK80,"FL")+COUNTIF(FEV!$G80:$AK80,"FL")+COUNTIF(MAR!$G80:$AK80,"FL")+COUNTIF(ABR!$G80:$AK80,"FL")+COUNTIF(MAI!$G80:$AK80,"FL")+COUNTIF(JUN!$G80:$AK80,"FL")+COUNTIF(JUL!$G80:$AK80,"FL")+COUNTIF(AGO!$G80:$AK80,"FL")+COUNTIF(SET!$G80:$AK80,"FL")+COUNTIF(OUT!$G80:$AK80,"FL")+COUNTIF(NOV!$G80:$AK80,"FL")+COUNTIF(DEZ!$G80:$AK80,"FL"))</f>
        <v>9</v>
      </c>
      <c r="AF78">
        <f>IF(AND($Q78&lt;&gt;"",N($AD78)&gt;0),COUNT($AF$3:AF77)+1,"")</f>
        <v>46</v>
      </c>
    </row>
    <row r="79" spans="1:32" hidden="1" outlineLevel="1" x14ac:dyDescent="0.25">
      <c r="A79" s="36" t="str">
        <f>IFERROR(INDEX($Q$4:$Q$153,MATCH(ROWS($A$4:A79),$AF$4:$AF$153,0)),"")</f>
        <v/>
      </c>
      <c r="B79" s="35" t="str">
        <f>IFERROR(INDEX($R$4:$R$153,MATCH(ROWS($A$4:A79),$AF$4:$AF$153,0)),"")</f>
        <v/>
      </c>
      <c r="C79" s="35" t="str">
        <f>IFERROR(INDEX($S$4:$S$153,MATCH(ROWS($A$4:A79),$AF$4:$AF$153,0)),"")</f>
        <v/>
      </c>
      <c r="D79" s="35" t="str">
        <f>IFERROR(INDEX($T$4:$T$153,MATCH(ROWS($A$4:A79),$AF$4:$AF$153,0)),"")</f>
        <v/>
      </c>
      <c r="E79" s="35" t="str">
        <f>IFERROR(INDEX($U$4:$U$153,MATCH(ROWS($A$4:A79),$AF$4:$AF$153,0)),"")</f>
        <v/>
      </c>
      <c r="F79" s="35" t="str">
        <f>IFERROR(INDEX($V$4:$V$153,MATCH(ROWS($A$4:A79),$AF$4:$AF$153,0)),"")</f>
        <v/>
      </c>
      <c r="G79" s="35" t="str">
        <f>IFERROR(INDEX($W$4:$W$153,MATCH(ROWS($A$4:A79),$AF$4:$AF$153,0)),"")</f>
        <v/>
      </c>
      <c r="H79" s="35" t="str">
        <f>IFERROR(INDEX($X$4:$X$153,MATCH(ROWS($A$4:A79),$AF$4:$AF$153,0)),"")</f>
        <v/>
      </c>
      <c r="I79" s="72" t="str">
        <f>IFERROR(INDEX($Y$4:$Y$153,MATCH(ROWS($A$4:A79),$AF$4:$AF$153,0)),"")</f>
        <v/>
      </c>
      <c r="J79" s="35" t="str">
        <f>IFERROR(INDEX($Z$4:$Z$153,MATCH(ROWS($A$4:A79),$AF$4:$AF$153,0)),"")</f>
        <v/>
      </c>
      <c r="K79" s="35" t="str">
        <f>IFERROR(INDEX($AA$4:$AA$153,MATCH(ROWS($A$4:A79),$AF$4:$AF$153,0)),"")</f>
        <v/>
      </c>
      <c r="L79" s="35" t="str">
        <f>IFERROR(INDEX($AB$4:$AB$153,MATCH(ROWS($A$4:A79),$AF$4:$AF$153,0)),"")</f>
        <v/>
      </c>
      <c r="M79" s="35" t="str">
        <f>IFERROR(INDEX($AC$4:$AC$153,MATCH(ROWS($A$4:A79),$AF$4:$AF$153,0)),"")</f>
        <v/>
      </c>
      <c r="N79" s="35" t="str">
        <f>IFERROR(INDEX($AD$4:$AD$153,MATCH(ROWS($A$4:A79),$AF$4:$AF$153,0)),"")</f>
        <v/>
      </c>
      <c r="Q79" t="str">
        <f>T(JAN!B81)</f>
        <v>FELIPE TEMPÓRARIO</v>
      </c>
      <c r="R79" t="str">
        <f t="array" ref="R79">IF($Q79="","",_xlfn.TEXTJOIN(", ",TRUE,IF(JAN!$G81:$AK81="FL",JAN!$G$4:$AK$4,"")))</f>
        <v/>
      </c>
      <c r="S79" t="str">
        <f t="array" ref="S79">IF($Q79="","",_xlfn.TEXTJOIN(", ",TRUE,IF(FEV!$G81:$AK81="FL",FEV!$G$4:$AK$4,"")))</f>
        <v/>
      </c>
      <c r="T79" t="str">
        <f t="array" ref="T79">IF($Q79="","",_xlfn.TEXTJOIN(", ",TRUE,IF(MAR!$G81:$AK81="FL",MAR!$G$4:$AK$4,"")))</f>
        <v/>
      </c>
      <c r="U79" t="str">
        <f t="array" ref="U79">IF($Q79="","",_xlfn.TEXTJOIN(", ",TRUE,IF(ABR!$G81:$AK81="FL",ABR!$G$4:$AK$4,"")))</f>
        <v/>
      </c>
      <c r="V79" t="str">
        <f t="array" ref="V79">IF($Q79="","",_xlfn.TEXTJOIN(", ",TRUE,IF(MAI!$G81:$AK81="FL",MAI!$G$4:$AK$4,"")))</f>
        <v/>
      </c>
      <c r="W79" t="str">
        <f t="array" ref="W79">IF($Q79="","",_xlfn.TEXTJOIN(", ",TRUE,IF(JUN!$G81:$AK81="FL",JUN!$G$4:$AK$4,"")))</f>
        <v/>
      </c>
      <c r="X79" t="str">
        <f t="array" ref="X79">IF($Q79="","",_xlfn.TEXTJOIN(", ",TRUE,IF(JUL!$G81:$AK81="FL",JUL!$G$4:$AK$4,"")))</f>
        <v/>
      </c>
      <c r="Y79" t="str">
        <f t="array" ref="Y79">IF($Q79="","",_xlfn.TEXTJOIN(", ",TRUE,IF(AGO!$G81:$AK81="FL",AGO!$G$4:$AK$4,"")))</f>
        <v/>
      </c>
      <c r="Z79" t="str">
        <f t="array" ref="Z79">IF($Q79="","",_xlfn.TEXTJOIN(", ",TRUE,IF(SET!$G81:$AK81="FL",SET!$G$4:$AK$4,"")))</f>
        <v/>
      </c>
      <c r="AA79" t="str">
        <f t="array" ref="AA79">IF($Q79="","",_xlfn.TEXTJOIN(", ",TRUE,IF(OUT!$G81:$AK81="FL",OUT!$G$4:$AK$4,"")))</f>
        <v/>
      </c>
      <c r="AB79" t="str">
        <f t="array" ref="AB79">IF($Q79="","",_xlfn.TEXTJOIN(", ",TRUE,IF(NOV!$G81:$AK81="FL",NOV!$G$4:$AK$4,"")))</f>
        <v/>
      </c>
      <c r="AC79" t="str">
        <f t="array" ref="AC79">IF($Q79="","",_xlfn.TEXTJOIN(", ",TRUE,IF(DEZ!$G81:$AK81="FL",DEZ!$G$4:$AK$4,"")))</f>
        <v/>
      </c>
      <c r="AD79">
        <f>IF($Q79="","",COUNTIF(JAN!$G81:$AK81,"FL")+COUNTIF(FEV!$G81:$AK81,"FL")+COUNTIF(MAR!$G81:$AK81,"FL")+COUNTIF(ABR!$G81:$AK81,"FL")+COUNTIF(MAI!$G81:$AK81,"FL")+COUNTIF(JUN!$G81:$AK81,"FL")+COUNTIF(JUL!$G81:$AK81,"FL")+COUNTIF(AGO!$G81:$AK81,"FL")+COUNTIF(SET!$G81:$AK81,"FL")+COUNTIF(OUT!$G81:$AK81,"FL")+COUNTIF(NOV!$G81:$AK81,"FL")+COUNTIF(DEZ!$G81:$AK81,"FL"))</f>
        <v>0</v>
      </c>
      <c r="AF79" t="str">
        <f>IF(AND($Q79&lt;&gt;"",N($AD79)&gt;0),COUNT($AF$3:AF78)+1,"")</f>
        <v/>
      </c>
    </row>
    <row r="80" spans="1:32" hidden="1" outlineLevel="1" x14ac:dyDescent="0.25">
      <c r="A80" s="36" t="str">
        <f>IFERROR(INDEX($Q$4:$Q$153,MATCH(ROWS($A$4:A80),$AF$4:$AF$153,0)),"")</f>
        <v/>
      </c>
      <c r="B80" s="35" t="str">
        <f>IFERROR(INDEX($R$4:$R$153,MATCH(ROWS($A$4:A80),$AF$4:$AF$153,0)),"")</f>
        <v/>
      </c>
      <c r="C80" s="35" t="str">
        <f>IFERROR(INDEX($S$4:$S$153,MATCH(ROWS($A$4:A80),$AF$4:$AF$153,0)),"")</f>
        <v/>
      </c>
      <c r="D80" s="35" t="str">
        <f>IFERROR(INDEX($T$4:$T$153,MATCH(ROWS($A$4:A80),$AF$4:$AF$153,0)),"")</f>
        <v/>
      </c>
      <c r="E80" s="35" t="str">
        <f>IFERROR(INDEX($U$4:$U$153,MATCH(ROWS($A$4:A80),$AF$4:$AF$153,0)),"")</f>
        <v/>
      </c>
      <c r="F80" s="35" t="str">
        <f>IFERROR(INDEX($V$4:$V$153,MATCH(ROWS($A$4:A80),$AF$4:$AF$153,0)),"")</f>
        <v/>
      </c>
      <c r="G80" s="35" t="str">
        <f>IFERROR(INDEX($W$4:$W$153,MATCH(ROWS($A$4:A80),$AF$4:$AF$153,0)),"")</f>
        <v/>
      </c>
      <c r="H80" s="35" t="str">
        <f>IFERROR(INDEX($X$4:$X$153,MATCH(ROWS($A$4:A80),$AF$4:$AF$153,0)),"")</f>
        <v/>
      </c>
      <c r="I80" s="72" t="str">
        <f>IFERROR(INDEX($Y$4:$Y$153,MATCH(ROWS($A$4:A80),$AF$4:$AF$153,0)),"")</f>
        <v/>
      </c>
      <c r="J80" s="35" t="str">
        <f>IFERROR(INDEX($Z$4:$Z$153,MATCH(ROWS($A$4:A80),$AF$4:$AF$153,0)),"")</f>
        <v/>
      </c>
      <c r="K80" s="35" t="str">
        <f>IFERROR(INDEX($AA$4:$AA$153,MATCH(ROWS($A$4:A80),$AF$4:$AF$153,0)),"")</f>
        <v/>
      </c>
      <c r="L80" s="35" t="str">
        <f>IFERROR(INDEX($AB$4:$AB$153,MATCH(ROWS($A$4:A80),$AF$4:$AF$153,0)),"")</f>
        <v/>
      </c>
      <c r="M80" s="35" t="str">
        <f>IFERROR(INDEX($AC$4:$AC$153,MATCH(ROWS($A$4:A80),$AF$4:$AF$153,0)),"")</f>
        <v/>
      </c>
      <c r="N80" s="35" t="str">
        <f>IFERROR(INDEX($AD$4:$AD$153,MATCH(ROWS($A$4:A80),$AF$4:$AF$153,0)),"")</f>
        <v/>
      </c>
      <c r="Q80" t="str">
        <f>T(JAN!B82)</f>
        <v>RENAN TEMPORARIO</v>
      </c>
      <c r="R80" t="str">
        <f t="array" ref="R80">IF($Q80="","",_xlfn.TEXTJOIN(", ",TRUE,IF(JAN!$G82:$AK82="FL",JAN!$G$4:$AK$4,"")))</f>
        <v/>
      </c>
      <c r="S80" t="str">
        <f t="array" ref="S80">IF($Q80="","",_xlfn.TEXTJOIN(", ",TRUE,IF(FEV!$G82:$AK82="FL",FEV!$G$4:$AK$4,"")))</f>
        <v/>
      </c>
      <c r="T80" t="str">
        <f t="array" ref="T80">IF($Q80="","",_xlfn.TEXTJOIN(", ",TRUE,IF(MAR!$G82:$AK82="FL",MAR!$G$4:$AK$4,"")))</f>
        <v/>
      </c>
      <c r="U80" t="str">
        <f t="array" ref="U80">IF($Q80="","",_xlfn.TEXTJOIN(", ",TRUE,IF(ABR!$G82:$AK82="FL",ABR!$G$4:$AK$4,"")))</f>
        <v/>
      </c>
      <c r="V80" t="str">
        <f t="array" ref="V80">IF($Q80="","",_xlfn.TEXTJOIN(", ",TRUE,IF(MAI!$G82:$AK82="FL",MAI!$G$4:$AK$4,"")))</f>
        <v/>
      </c>
      <c r="W80" t="str">
        <f t="array" ref="W80">IF($Q80="","",_xlfn.TEXTJOIN(", ",TRUE,IF(JUN!$G82:$AK82="FL",JUN!$G$4:$AK$4,"")))</f>
        <v/>
      </c>
      <c r="X80" t="str">
        <f t="array" ref="X80">IF($Q80="","",_xlfn.TEXTJOIN(", ",TRUE,IF(JUL!$G82:$AK82="FL",JUL!$G$4:$AK$4,"")))</f>
        <v/>
      </c>
      <c r="Y80" t="str">
        <f t="array" ref="Y80">IF($Q80="","",_xlfn.TEXTJOIN(", ",TRUE,IF(AGO!$G82:$AK82="FL",AGO!$G$4:$AK$4,"")))</f>
        <v/>
      </c>
      <c r="Z80" t="str">
        <f t="array" ref="Z80">IF($Q80="","",_xlfn.TEXTJOIN(", ",TRUE,IF(SET!$G82:$AK82="FL",SET!$G$4:$AK$4,"")))</f>
        <v/>
      </c>
      <c r="AA80" t="str">
        <f t="array" ref="AA80">IF($Q80="","",_xlfn.TEXTJOIN(", ",TRUE,IF(OUT!$G82:$AK82="FL",OUT!$G$4:$AK$4,"")))</f>
        <v/>
      </c>
      <c r="AB80" t="str">
        <f t="array" ref="AB80">IF($Q80="","",_xlfn.TEXTJOIN(", ",TRUE,IF(NOV!$G82:$AK82="FL",NOV!$G$4:$AK$4,"")))</f>
        <v/>
      </c>
      <c r="AC80" t="str">
        <f t="array" ref="AC80">IF($Q80="","",_xlfn.TEXTJOIN(", ",TRUE,IF(DEZ!$G82:$AK82="FL",DEZ!$G$4:$AK$4,"")))</f>
        <v/>
      </c>
      <c r="AD80">
        <f>IF($Q80="","",COUNTIF(JAN!$G82:$AK82,"FL")+COUNTIF(FEV!$G82:$AK82,"FL")+COUNTIF(MAR!$G82:$AK82,"FL")+COUNTIF(ABR!$G82:$AK82,"FL")+COUNTIF(MAI!$G82:$AK82,"FL")+COUNTIF(JUN!$G82:$AK82,"FL")+COUNTIF(JUL!$G82:$AK82,"FL")+COUNTIF(AGO!$G82:$AK82,"FL")+COUNTIF(SET!$G82:$AK82,"FL")+COUNTIF(OUT!$G82:$AK82,"FL")+COUNTIF(NOV!$G82:$AK82,"FL")+COUNTIF(DEZ!$G82:$AK82,"FL"))</f>
        <v>0</v>
      </c>
      <c r="AF80" t="str">
        <f>IF(AND($Q80&lt;&gt;"",N($AD80)&gt;0),COUNT($AF$3:AF79)+1,"")</f>
        <v/>
      </c>
    </row>
    <row r="81" spans="1:32" hidden="1" outlineLevel="1" x14ac:dyDescent="0.25">
      <c r="A81" s="36" t="str">
        <f>IFERROR(INDEX($Q$4:$Q$153,MATCH(ROWS($A$4:A81),$AF$4:$AF$153,0)),"")</f>
        <v/>
      </c>
      <c r="B81" s="35" t="str">
        <f>IFERROR(INDEX($R$4:$R$153,MATCH(ROWS($A$4:A81),$AF$4:$AF$153,0)),"")</f>
        <v/>
      </c>
      <c r="C81" s="35" t="str">
        <f>IFERROR(INDEX($S$4:$S$153,MATCH(ROWS($A$4:A81),$AF$4:$AF$153,0)),"")</f>
        <v/>
      </c>
      <c r="D81" s="35" t="str">
        <f>IFERROR(INDEX($T$4:$T$153,MATCH(ROWS($A$4:A81),$AF$4:$AF$153,0)),"")</f>
        <v/>
      </c>
      <c r="E81" s="35" t="str">
        <f>IFERROR(INDEX($U$4:$U$153,MATCH(ROWS($A$4:A81),$AF$4:$AF$153,0)),"")</f>
        <v/>
      </c>
      <c r="F81" s="35" t="str">
        <f>IFERROR(INDEX($V$4:$V$153,MATCH(ROWS($A$4:A81),$AF$4:$AF$153,0)),"")</f>
        <v/>
      </c>
      <c r="G81" s="35" t="str">
        <f>IFERROR(INDEX($W$4:$W$153,MATCH(ROWS($A$4:A81),$AF$4:$AF$153,0)),"")</f>
        <v/>
      </c>
      <c r="H81" s="35" t="str">
        <f>IFERROR(INDEX($X$4:$X$153,MATCH(ROWS($A$4:A81),$AF$4:$AF$153,0)),"")</f>
        <v/>
      </c>
      <c r="I81" s="72" t="str">
        <f>IFERROR(INDEX($Y$4:$Y$153,MATCH(ROWS($A$4:A81),$AF$4:$AF$153,0)),"")</f>
        <v/>
      </c>
      <c r="J81" s="35" t="str">
        <f>IFERROR(INDEX($Z$4:$Z$153,MATCH(ROWS($A$4:A81),$AF$4:$AF$153,0)),"")</f>
        <v/>
      </c>
      <c r="K81" s="35" t="str">
        <f>IFERROR(INDEX($AA$4:$AA$153,MATCH(ROWS($A$4:A81),$AF$4:$AF$153,0)),"")</f>
        <v/>
      </c>
      <c r="L81" s="35" t="str">
        <f>IFERROR(INDEX($AB$4:$AB$153,MATCH(ROWS($A$4:A81),$AF$4:$AF$153,0)),"")</f>
        <v/>
      </c>
      <c r="M81" s="35" t="str">
        <f>IFERROR(INDEX($AC$4:$AC$153,MATCH(ROWS($A$4:A81),$AF$4:$AF$153,0)),"")</f>
        <v/>
      </c>
      <c r="N81" s="35" t="str">
        <f>IFERROR(INDEX($AD$4:$AD$153,MATCH(ROWS($A$4:A81),$AF$4:$AF$153,0)),"")</f>
        <v/>
      </c>
      <c r="Q81" t="str">
        <f>T(JAN!B83)</f>
        <v>VILSON TEMPORARIO</v>
      </c>
      <c r="R81" t="str">
        <f t="array" ref="R81">IF($Q81="","",_xlfn.TEXTJOIN(", ",TRUE,IF(JAN!$G83:$AK83="FL",JAN!$G$4:$AK$4,"")))</f>
        <v/>
      </c>
      <c r="S81" t="str">
        <f t="array" ref="S81">IF($Q81="","",_xlfn.TEXTJOIN(", ",TRUE,IF(FEV!$G83:$AK83="FL",FEV!$G$4:$AK$4,"")))</f>
        <v/>
      </c>
      <c r="T81" t="str">
        <f t="array" ref="T81">IF($Q81="","",_xlfn.TEXTJOIN(", ",TRUE,IF(MAR!$G83:$AK83="FL",MAR!$G$4:$AK$4,"")))</f>
        <v/>
      </c>
      <c r="U81" t="str">
        <f t="array" ref="U81">IF($Q81="","",_xlfn.TEXTJOIN(", ",TRUE,IF(ABR!$G83:$AK83="FL",ABR!$G$4:$AK$4,"")))</f>
        <v/>
      </c>
      <c r="V81" t="str">
        <f t="array" ref="V81">IF($Q81="","",_xlfn.TEXTJOIN(", ",TRUE,IF(MAI!$G83:$AK83="FL",MAI!$G$4:$AK$4,"")))</f>
        <v/>
      </c>
      <c r="W81" t="str">
        <f t="array" ref="W81">IF($Q81="","",_xlfn.TEXTJOIN(", ",TRUE,IF(JUN!$G83:$AK83="FL",JUN!$G$4:$AK$4,"")))</f>
        <v/>
      </c>
      <c r="X81" t="str">
        <f t="array" ref="X81">IF($Q81="","",_xlfn.TEXTJOIN(", ",TRUE,IF(JUL!$G83:$AK83="FL",JUL!$G$4:$AK$4,"")))</f>
        <v/>
      </c>
      <c r="Y81" t="str">
        <f t="array" ref="Y81">IF($Q81="","",_xlfn.TEXTJOIN(", ",TRUE,IF(AGO!$G83:$AK83="FL",AGO!$G$4:$AK$4,"")))</f>
        <v/>
      </c>
      <c r="Z81" t="str">
        <f t="array" ref="Z81">IF($Q81="","",_xlfn.TEXTJOIN(", ",TRUE,IF(SET!$G83:$AK83="FL",SET!$G$4:$AK$4,"")))</f>
        <v/>
      </c>
      <c r="AA81" t="str">
        <f t="array" ref="AA81">IF($Q81="","",_xlfn.TEXTJOIN(", ",TRUE,IF(OUT!$G83:$AK83="FL",OUT!$G$4:$AK$4,"")))</f>
        <v>6</v>
      </c>
      <c r="AB81" t="str">
        <f t="array" ref="AB81">IF($Q81="","",_xlfn.TEXTJOIN(", ",TRUE,IF(NOV!$G83:$AK83="FL",NOV!$G$4:$AK$4,"")))</f>
        <v/>
      </c>
      <c r="AC81" t="str">
        <f t="array" ref="AC81">IF($Q81="","",_xlfn.TEXTJOIN(", ",TRUE,IF(DEZ!$G83:$AK83="FL",DEZ!$G$4:$AK$4,"")))</f>
        <v/>
      </c>
      <c r="AD81">
        <f>IF($Q81="","",COUNTIF(JAN!$G83:$AK83,"FL")+COUNTIF(FEV!$G83:$AK83,"FL")+COUNTIF(MAR!$G83:$AK83,"FL")+COUNTIF(ABR!$G83:$AK83,"FL")+COUNTIF(MAI!$G83:$AK83,"FL")+COUNTIF(JUN!$G83:$AK83,"FL")+COUNTIF(JUL!$G83:$AK83,"FL")+COUNTIF(AGO!$G83:$AK83,"FL")+COUNTIF(SET!$G83:$AK83,"FL")+COUNTIF(OUT!$G83:$AK83,"FL")+COUNTIF(NOV!$G83:$AK83,"FL")+COUNTIF(DEZ!$G83:$AK83,"FL"))</f>
        <v>1</v>
      </c>
      <c r="AF81">
        <f>IF(AND($Q81&lt;&gt;"",N($AD81)&gt;0),COUNT($AF$3:AF80)+1,"")</f>
        <v>47</v>
      </c>
    </row>
    <row r="82" spans="1:32" hidden="1" outlineLevel="1" x14ac:dyDescent="0.25">
      <c r="A82" s="36" t="str">
        <f>IFERROR(INDEX($Q$4:$Q$153,MATCH(ROWS($A$4:A82),$AF$4:$AF$153,0)),"")</f>
        <v/>
      </c>
      <c r="B82" s="35" t="str">
        <f>IFERROR(INDEX($R$4:$R$153,MATCH(ROWS($A$4:A82),$AF$4:$AF$153,0)),"")</f>
        <v/>
      </c>
      <c r="C82" s="35" t="str">
        <f>IFERROR(INDEX($S$4:$S$153,MATCH(ROWS($A$4:A82),$AF$4:$AF$153,0)),"")</f>
        <v/>
      </c>
      <c r="D82" s="35" t="str">
        <f>IFERROR(INDEX($T$4:$T$153,MATCH(ROWS($A$4:A82),$AF$4:$AF$153,0)),"")</f>
        <v/>
      </c>
      <c r="E82" s="35" t="str">
        <f>IFERROR(INDEX($U$4:$U$153,MATCH(ROWS($A$4:A82),$AF$4:$AF$153,0)),"")</f>
        <v/>
      </c>
      <c r="F82" s="35" t="str">
        <f>IFERROR(INDEX($V$4:$V$153,MATCH(ROWS($A$4:A82),$AF$4:$AF$153,0)),"")</f>
        <v/>
      </c>
      <c r="G82" s="35" t="str">
        <f>IFERROR(INDEX($W$4:$W$153,MATCH(ROWS($A$4:A82),$AF$4:$AF$153,0)),"")</f>
        <v/>
      </c>
      <c r="H82" s="35" t="str">
        <f>IFERROR(INDEX($X$4:$X$153,MATCH(ROWS($A$4:A82),$AF$4:$AF$153,0)),"")</f>
        <v/>
      </c>
      <c r="I82" s="72" t="str">
        <f>IFERROR(INDEX($Y$4:$Y$153,MATCH(ROWS($A$4:A82),$AF$4:$AF$153,0)),"")</f>
        <v/>
      </c>
      <c r="J82" s="35" t="str">
        <f>IFERROR(INDEX($Z$4:$Z$153,MATCH(ROWS($A$4:A82),$AF$4:$AF$153,0)),"")</f>
        <v/>
      </c>
      <c r="K82" s="35" t="str">
        <f>IFERROR(INDEX($AA$4:$AA$153,MATCH(ROWS($A$4:A82),$AF$4:$AF$153,0)),"")</f>
        <v/>
      </c>
      <c r="L82" s="35" t="str">
        <f>IFERROR(INDEX($AB$4:$AB$153,MATCH(ROWS($A$4:A82),$AF$4:$AF$153,0)),"")</f>
        <v/>
      </c>
      <c r="M82" s="35" t="str">
        <f>IFERROR(INDEX($AC$4:$AC$153,MATCH(ROWS($A$4:A82),$AF$4:$AF$153,0)),"")</f>
        <v/>
      </c>
      <c r="N82" s="35" t="str">
        <f>IFERROR(INDEX($AD$4:$AD$153,MATCH(ROWS($A$4:A82),$AF$4:$AF$153,0)),"")</f>
        <v/>
      </c>
      <c r="Q82" t="str">
        <f>T(JAN!B84)</f>
        <v>MARCO TEMPORARIO</v>
      </c>
      <c r="R82" t="str">
        <f t="array" ref="R82">IF($Q82="","",_xlfn.TEXTJOIN(", ",TRUE,IF(JAN!$G84:$AK84="FL",JAN!$G$4:$AK$4,"")))</f>
        <v/>
      </c>
      <c r="S82" t="str">
        <f t="array" ref="S82">IF($Q82="","",_xlfn.TEXTJOIN(", ",TRUE,IF(FEV!$G84:$AK84="FL",FEV!$G$4:$AK$4,"")))</f>
        <v/>
      </c>
      <c r="T82" t="str">
        <f t="array" ref="T82">IF($Q82="","",_xlfn.TEXTJOIN(", ",TRUE,IF(MAR!$G84:$AK84="FL",MAR!$G$4:$AK$4,"")))</f>
        <v/>
      </c>
      <c r="U82" t="str">
        <f t="array" ref="U82">IF($Q82="","",_xlfn.TEXTJOIN(", ",TRUE,IF(ABR!$G84:$AK84="FL",ABR!$G$4:$AK$4,"")))</f>
        <v/>
      </c>
      <c r="V82" t="str">
        <f t="array" ref="V82">IF($Q82="","",_xlfn.TEXTJOIN(", ",TRUE,IF(MAI!$G84:$AK84="FL",MAI!$G$4:$AK$4,"")))</f>
        <v/>
      </c>
      <c r="W82" t="str">
        <f t="array" ref="W82">IF($Q82="","",_xlfn.TEXTJOIN(", ",TRUE,IF(JUN!$G84:$AK84="FL",JUN!$G$4:$AK$4,"")))</f>
        <v/>
      </c>
      <c r="X82" t="str">
        <f t="array" ref="X82">IF($Q82="","",_xlfn.TEXTJOIN(", ",TRUE,IF(JUL!$G84:$AK84="FL",JUL!$G$4:$AK$4,"")))</f>
        <v/>
      </c>
      <c r="Y82" t="str">
        <f t="array" ref="Y82">IF($Q82="","",_xlfn.TEXTJOIN(", ",TRUE,IF(AGO!$G84:$AK84="FL",AGO!$G$4:$AK$4,"")))</f>
        <v/>
      </c>
      <c r="Z82" t="str">
        <f t="array" ref="Z82">IF($Q82="","",_xlfn.TEXTJOIN(", ",TRUE,IF(SET!$G84:$AK84="FL",SET!$G$4:$AK$4,"")))</f>
        <v/>
      </c>
      <c r="AA82" t="str">
        <f t="array" ref="AA82">IF($Q82="","",_xlfn.TEXTJOIN(", ",TRUE,IF(OUT!$G84:$AK84="FL",OUT!$G$4:$AK$4,"")))</f>
        <v>6</v>
      </c>
      <c r="AB82" t="str">
        <f t="array" ref="AB82">IF($Q82="","",_xlfn.TEXTJOIN(", ",TRUE,IF(NOV!$G84:$AK84="FL",NOV!$G$4:$AK$4,"")))</f>
        <v/>
      </c>
      <c r="AC82" t="str">
        <f t="array" ref="AC82">IF($Q82="","",_xlfn.TEXTJOIN(", ",TRUE,IF(DEZ!$G84:$AK84="FL",DEZ!$G$4:$AK$4,"")))</f>
        <v/>
      </c>
      <c r="AD82">
        <f>IF($Q82="","",COUNTIF(JAN!$G84:$AK84,"FL")+COUNTIF(FEV!$G84:$AK84,"FL")+COUNTIF(MAR!$G84:$AK84,"FL")+COUNTIF(ABR!$G84:$AK84,"FL")+COUNTIF(MAI!$G84:$AK84,"FL")+COUNTIF(JUN!$G84:$AK84,"FL")+COUNTIF(JUL!$G84:$AK84,"FL")+COUNTIF(AGO!$G84:$AK84,"FL")+COUNTIF(SET!$G84:$AK84,"FL")+COUNTIF(OUT!$G84:$AK84,"FL")+COUNTIF(NOV!$G84:$AK84,"FL")+COUNTIF(DEZ!$G84:$AK84,"FL"))</f>
        <v>1</v>
      </c>
      <c r="AF82">
        <f>IF(AND($Q82&lt;&gt;"",N($AD82)&gt;0),COUNT($AF$3:AF81)+1,"")</f>
        <v>48</v>
      </c>
    </row>
    <row r="83" spans="1:32" hidden="1" outlineLevel="1" x14ac:dyDescent="0.25">
      <c r="A83" s="36" t="str">
        <f>IFERROR(INDEX($Q$4:$Q$153,MATCH(ROWS($A$4:A83),$AF$4:$AF$153,0)),"")</f>
        <v/>
      </c>
      <c r="B83" s="35" t="str">
        <f>IFERROR(INDEX($R$4:$R$153,MATCH(ROWS($A$4:A83),$AF$4:$AF$153,0)),"")</f>
        <v/>
      </c>
      <c r="C83" s="35" t="str">
        <f>IFERROR(INDEX($S$4:$S$153,MATCH(ROWS($A$4:A83),$AF$4:$AF$153,0)),"")</f>
        <v/>
      </c>
      <c r="D83" s="35" t="str">
        <f>IFERROR(INDEX($T$4:$T$153,MATCH(ROWS($A$4:A83),$AF$4:$AF$153,0)),"")</f>
        <v/>
      </c>
      <c r="E83" s="35" t="str">
        <f>IFERROR(INDEX($U$4:$U$153,MATCH(ROWS($A$4:A83),$AF$4:$AF$153,0)),"")</f>
        <v/>
      </c>
      <c r="F83" s="35" t="str">
        <f>IFERROR(INDEX($V$4:$V$153,MATCH(ROWS($A$4:A83),$AF$4:$AF$153,0)),"")</f>
        <v/>
      </c>
      <c r="G83" s="35" t="str">
        <f>IFERROR(INDEX($W$4:$W$153,MATCH(ROWS($A$4:A83),$AF$4:$AF$153,0)),"")</f>
        <v/>
      </c>
      <c r="H83" s="35" t="str">
        <f>IFERROR(INDEX($X$4:$X$153,MATCH(ROWS($A$4:A83),$AF$4:$AF$153,0)),"")</f>
        <v/>
      </c>
      <c r="I83" s="72" t="str">
        <f>IFERROR(INDEX($Y$4:$Y$153,MATCH(ROWS($A$4:A83),$AF$4:$AF$153,0)),"")</f>
        <v/>
      </c>
      <c r="J83" s="35" t="str">
        <f>IFERROR(INDEX($Z$4:$Z$153,MATCH(ROWS($A$4:A83),$AF$4:$AF$153,0)),"")</f>
        <v/>
      </c>
      <c r="K83" s="35" t="str">
        <f>IFERROR(INDEX($AA$4:$AA$153,MATCH(ROWS($A$4:A83),$AF$4:$AF$153,0)),"")</f>
        <v/>
      </c>
      <c r="L83" s="35" t="str">
        <f>IFERROR(INDEX($AB$4:$AB$153,MATCH(ROWS($A$4:A83),$AF$4:$AF$153,0)),"")</f>
        <v/>
      </c>
      <c r="M83" s="35" t="str">
        <f>IFERROR(INDEX($AC$4:$AC$153,MATCH(ROWS($A$4:A83),$AF$4:$AF$153,0)),"")</f>
        <v/>
      </c>
      <c r="N83" s="35" t="str">
        <f>IFERROR(INDEX($AD$4:$AD$153,MATCH(ROWS($A$4:A83),$AF$4:$AF$153,0)),"")</f>
        <v/>
      </c>
      <c r="Q83" t="str">
        <f>T(JAN!B85)</f>
        <v>MARCELO CUSTORIO 313401</v>
      </c>
      <c r="R83" t="str">
        <f t="array" ref="R83">IF($Q83="","",_xlfn.TEXTJOIN(", ",TRUE,IF(JAN!$G85:$AK85="FL",JAN!$G$4:$AK$4,"")))</f>
        <v/>
      </c>
      <c r="S83" t="str">
        <f t="array" ref="S83">IF($Q83="","",_xlfn.TEXTJOIN(", ",TRUE,IF(FEV!$G85:$AK85="FL",FEV!$G$4:$AK$4,"")))</f>
        <v/>
      </c>
      <c r="T83" t="str">
        <f t="array" ref="T83">IF($Q83="","",_xlfn.TEXTJOIN(", ",TRUE,IF(MAR!$G85:$AK85="FL",MAR!$G$4:$AK$4,"")))</f>
        <v/>
      </c>
      <c r="U83" t="str">
        <f t="array" ref="U83">IF($Q83="","",_xlfn.TEXTJOIN(", ",TRUE,IF(ABR!$G85:$AK85="FL",ABR!$G$4:$AK$4,"")))</f>
        <v/>
      </c>
      <c r="V83" t="str">
        <f t="array" ref="V83">IF($Q83="","",_xlfn.TEXTJOIN(", ",TRUE,IF(MAI!$G85:$AK85="FL",MAI!$G$4:$AK$4,"")))</f>
        <v/>
      </c>
      <c r="W83" t="str">
        <f t="array" ref="W83">IF($Q83="","",_xlfn.TEXTJOIN(", ",TRUE,IF(JUN!$G85:$AK85="FL",JUN!$G$4:$AK$4,"")))</f>
        <v/>
      </c>
      <c r="X83" t="str">
        <f t="array" ref="X83">IF($Q83="","",_xlfn.TEXTJOIN(", ",TRUE,IF(JUL!$G85:$AK85="FL",JUL!$G$4:$AK$4,"")))</f>
        <v/>
      </c>
      <c r="Y83" t="str">
        <f t="array" ref="Y83">IF($Q83="","",_xlfn.TEXTJOIN(", ",TRUE,IF(AGO!$G85:$AK85="FL",AGO!$G$4:$AK$4,"")))</f>
        <v/>
      </c>
      <c r="Z83" t="str">
        <f t="array" ref="Z83">IF($Q83="","",_xlfn.TEXTJOIN(", ",TRUE,IF(SET!$G85:$AK85="FL",SET!$G$4:$AK$4,"")))</f>
        <v/>
      </c>
      <c r="AA83" t="str">
        <f t="array" ref="AA83">IF($Q83="","",_xlfn.TEXTJOIN(", ",TRUE,IF(OUT!$G85:$AK85="FL",OUT!$G$4:$AK$4,"")))</f>
        <v/>
      </c>
      <c r="AB83" t="str">
        <f t="array" ref="AB83">IF($Q83="","",_xlfn.TEXTJOIN(", ",TRUE,IF(NOV!$G85:$AK85="FL",NOV!$G$4:$AK$4,"")))</f>
        <v/>
      </c>
      <c r="AC83" t="str">
        <f t="array" ref="AC83">IF($Q83="","",_xlfn.TEXTJOIN(", ",TRUE,IF(DEZ!$G85:$AK85="FL",DEZ!$G$4:$AK$4,"")))</f>
        <v/>
      </c>
      <c r="AD83">
        <f>IF($Q83="","",COUNTIF(JAN!$G85:$AK85,"FL")+COUNTIF(FEV!$G85:$AK85,"FL")+COUNTIF(MAR!$G85:$AK85,"FL")+COUNTIF(ABR!$G85:$AK85,"FL")+COUNTIF(MAI!$G85:$AK85,"FL")+COUNTIF(JUN!$G85:$AK85,"FL")+COUNTIF(JUL!$G85:$AK85,"FL")+COUNTIF(AGO!$G85:$AK85,"FL")+COUNTIF(SET!$G85:$AK85,"FL")+COUNTIF(OUT!$G85:$AK85,"FL")+COUNTIF(NOV!$G85:$AK85,"FL")+COUNTIF(DEZ!$G85:$AK85,"FL"))</f>
        <v>0</v>
      </c>
      <c r="AF83" t="str">
        <f>IF(AND($Q83&lt;&gt;"",N($AD83)&gt;0),COUNT($AF$3:AF82)+1,"")</f>
        <v/>
      </c>
    </row>
    <row r="84" spans="1:32" hidden="1" outlineLevel="1" x14ac:dyDescent="0.25">
      <c r="A84" s="36" t="str">
        <f>IFERROR(INDEX($Q$4:$Q$153,MATCH(ROWS($A$4:A84),$AF$4:$AF$153,0)),"")</f>
        <v/>
      </c>
      <c r="B84" s="35" t="str">
        <f>IFERROR(INDEX($R$4:$R$153,MATCH(ROWS($A$4:A84),$AF$4:$AF$153,0)),"")</f>
        <v/>
      </c>
      <c r="C84" s="35" t="str">
        <f>IFERROR(INDEX($S$4:$S$153,MATCH(ROWS($A$4:A84),$AF$4:$AF$153,0)),"")</f>
        <v/>
      </c>
      <c r="D84" s="35" t="str">
        <f>IFERROR(INDEX($T$4:$T$153,MATCH(ROWS($A$4:A84),$AF$4:$AF$153,0)),"")</f>
        <v/>
      </c>
      <c r="E84" s="35" t="str">
        <f>IFERROR(INDEX($U$4:$U$153,MATCH(ROWS($A$4:A84),$AF$4:$AF$153,0)),"")</f>
        <v/>
      </c>
      <c r="F84" s="35" t="str">
        <f>IFERROR(INDEX($V$4:$V$153,MATCH(ROWS($A$4:A84),$AF$4:$AF$153,0)),"")</f>
        <v/>
      </c>
      <c r="G84" s="35" t="str">
        <f>IFERROR(INDEX($W$4:$W$153,MATCH(ROWS($A$4:A84),$AF$4:$AF$153,0)),"")</f>
        <v/>
      </c>
      <c r="H84" s="35" t="str">
        <f>IFERROR(INDEX($X$4:$X$153,MATCH(ROWS($A$4:A84),$AF$4:$AF$153,0)),"")</f>
        <v/>
      </c>
      <c r="I84" s="72" t="str">
        <f>IFERROR(INDEX($Y$4:$Y$153,MATCH(ROWS($A$4:A84),$AF$4:$AF$153,0)),"")</f>
        <v/>
      </c>
      <c r="J84" s="35" t="str">
        <f>IFERROR(INDEX($Z$4:$Z$153,MATCH(ROWS($A$4:A84),$AF$4:$AF$153,0)),"")</f>
        <v/>
      </c>
      <c r="K84" s="35" t="str">
        <f>IFERROR(INDEX($AA$4:$AA$153,MATCH(ROWS($A$4:A84),$AF$4:$AF$153,0)),"")</f>
        <v/>
      </c>
      <c r="L84" s="35" t="str">
        <f>IFERROR(INDEX($AB$4:$AB$153,MATCH(ROWS($A$4:A84),$AF$4:$AF$153,0)),"")</f>
        <v/>
      </c>
      <c r="M84" s="35" t="str">
        <f>IFERROR(INDEX($AC$4:$AC$153,MATCH(ROWS($A$4:A84),$AF$4:$AF$153,0)),"")</f>
        <v/>
      </c>
      <c r="N84" s="35" t="str">
        <f>IFERROR(INDEX($AD$4:$AD$153,MATCH(ROWS($A$4:A84),$AF$4:$AF$153,0)),"")</f>
        <v/>
      </c>
      <c r="Q84" t="str">
        <f>T(JAN!B86)</f>
        <v>TAYLOR TEMPORÁRIO</v>
      </c>
      <c r="R84" t="str">
        <f t="array" ref="R84">IF($Q84="","",_xlfn.TEXTJOIN(", ",TRUE,IF(JAN!$G86:$AK86="FL",JAN!$G$4:$AK$4,"")))</f>
        <v/>
      </c>
      <c r="S84" t="str">
        <f t="array" ref="S84">IF($Q84="","",_xlfn.TEXTJOIN(", ",TRUE,IF(FEV!$G86:$AK86="FL",FEV!$G$4:$AK$4,"")))</f>
        <v/>
      </c>
      <c r="T84" t="str">
        <f t="array" ref="T84">IF($Q84="","",_xlfn.TEXTJOIN(", ",TRUE,IF(MAR!$G86:$AK86="FL",MAR!$G$4:$AK$4,"")))</f>
        <v/>
      </c>
      <c r="U84" t="str">
        <f t="array" ref="U84">IF($Q84="","",_xlfn.TEXTJOIN(", ",TRUE,IF(ABR!$G86:$AK86="FL",ABR!$G$4:$AK$4,"")))</f>
        <v/>
      </c>
      <c r="V84" t="str">
        <f t="array" ref="V84">IF($Q84="","",_xlfn.TEXTJOIN(", ",TRUE,IF(MAI!$G86:$AK86="FL",MAI!$G$4:$AK$4,"")))</f>
        <v/>
      </c>
      <c r="W84" t="str">
        <f t="array" ref="W84">IF($Q84="","",_xlfn.TEXTJOIN(", ",TRUE,IF(JUN!$G86:$AK86="FL",JUN!$G$4:$AK$4,"")))</f>
        <v/>
      </c>
      <c r="X84" t="str">
        <f t="array" ref="X84">IF($Q84="","",_xlfn.TEXTJOIN(", ",TRUE,IF(JUL!$G86:$AK86="FL",JUL!$G$4:$AK$4,"")))</f>
        <v/>
      </c>
      <c r="Y84" t="str">
        <f t="array" ref="Y84">IF($Q84="","",_xlfn.TEXTJOIN(", ",TRUE,IF(AGO!$G86:$AK86="FL",AGO!$G$4:$AK$4,"")))</f>
        <v/>
      </c>
      <c r="Z84" t="str">
        <f t="array" ref="Z84">IF($Q84="","",_xlfn.TEXTJOIN(", ",TRUE,IF(SET!$G86:$AK86="FL",SET!$G$4:$AK$4,"")))</f>
        <v/>
      </c>
      <c r="AA84" t="str">
        <f t="array" ref="AA84">IF($Q84="","",_xlfn.TEXTJOIN(", ",TRUE,IF(OUT!$G86:$AK86="FL",OUT!$G$4:$AK$4,"")))</f>
        <v/>
      </c>
      <c r="AB84" t="str">
        <f t="array" ref="AB84">IF($Q84="","",_xlfn.TEXTJOIN(", ",TRUE,IF(NOV!$G86:$AK86="FL",NOV!$G$4:$AK$4,"")))</f>
        <v/>
      </c>
      <c r="AC84" t="str">
        <f t="array" ref="AC84">IF($Q84="","",_xlfn.TEXTJOIN(", ",TRUE,IF(DEZ!$G86:$AK86="FL",DEZ!$G$4:$AK$4,"")))</f>
        <v/>
      </c>
      <c r="AD84">
        <f>IF($Q84="","",COUNTIF(JAN!$G86:$AK86,"FL")+COUNTIF(FEV!$G86:$AK86,"FL")+COUNTIF(MAR!$G86:$AK86,"FL")+COUNTIF(ABR!$G86:$AK86,"FL")+COUNTIF(MAI!$G86:$AK86,"FL")+COUNTIF(JUN!$G86:$AK86,"FL")+COUNTIF(JUL!$G86:$AK86,"FL")+COUNTIF(AGO!$G86:$AK86,"FL")+COUNTIF(SET!$G86:$AK86,"FL")+COUNTIF(OUT!$G86:$AK86,"FL")+COUNTIF(NOV!$G86:$AK86,"FL")+COUNTIF(DEZ!$G86:$AK86,"FL"))</f>
        <v>0</v>
      </c>
      <c r="AF84" t="str">
        <f>IF(AND($Q84&lt;&gt;"",N($AD84)&gt;0),COUNT($AF$3:AF83)+1,"")</f>
        <v/>
      </c>
    </row>
    <row r="85" spans="1:32" hidden="1" outlineLevel="1" x14ac:dyDescent="0.25">
      <c r="A85" s="36" t="str">
        <f>IFERROR(INDEX($Q$4:$Q$153,MATCH(ROWS($A$4:A85),$AF$4:$AF$153,0)),"")</f>
        <v/>
      </c>
      <c r="B85" s="35" t="str">
        <f>IFERROR(INDEX($R$4:$R$153,MATCH(ROWS($A$4:A85),$AF$4:$AF$153,0)),"")</f>
        <v/>
      </c>
      <c r="C85" s="35" t="str">
        <f>IFERROR(INDEX($S$4:$S$153,MATCH(ROWS($A$4:A85),$AF$4:$AF$153,0)),"")</f>
        <v/>
      </c>
      <c r="D85" s="35" t="str">
        <f>IFERROR(INDEX($T$4:$T$153,MATCH(ROWS($A$4:A85),$AF$4:$AF$153,0)),"")</f>
        <v/>
      </c>
      <c r="E85" s="35" t="str">
        <f>IFERROR(INDEX($U$4:$U$153,MATCH(ROWS($A$4:A85),$AF$4:$AF$153,0)),"")</f>
        <v/>
      </c>
      <c r="F85" s="35" t="str">
        <f>IFERROR(INDEX($V$4:$V$153,MATCH(ROWS($A$4:A85),$AF$4:$AF$153,0)),"")</f>
        <v/>
      </c>
      <c r="G85" s="35" t="str">
        <f>IFERROR(INDEX($W$4:$W$153,MATCH(ROWS($A$4:A85),$AF$4:$AF$153,0)),"")</f>
        <v/>
      </c>
      <c r="H85" s="35" t="str">
        <f>IFERROR(INDEX($X$4:$X$153,MATCH(ROWS($A$4:A85),$AF$4:$AF$153,0)),"")</f>
        <v/>
      </c>
      <c r="I85" s="72" t="str">
        <f>IFERROR(INDEX($Y$4:$Y$153,MATCH(ROWS($A$4:A85),$AF$4:$AF$153,0)),"")</f>
        <v/>
      </c>
      <c r="J85" s="35" t="str">
        <f>IFERROR(INDEX($Z$4:$Z$153,MATCH(ROWS($A$4:A85),$AF$4:$AF$153,0)),"")</f>
        <v/>
      </c>
      <c r="K85" s="35" t="str">
        <f>IFERROR(INDEX($AA$4:$AA$153,MATCH(ROWS($A$4:A85),$AF$4:$AF$153,0)),"")</f>
        <v/>
      </c>
      <c r="L85" s="35" t="str">
        <f>IFERROR(INDEX($AB$4:$AB$153,MATCH(ROWS($A$4:A85),$AF$4:$AF$153,0)),"")</f>
        <v/>
      </c>
      <c r="M85" s="35" t="str">
        <f>IFERROR(INDEX($AC$4:$AC$153,MATCH(ROWS($A$4:A85),$AF$4:$AF$153,0)),"")</f>
        <v/>
      </c>
      <c r="N85" s="35" t="str">
        <f>IFERROR(INDEX($AD$4:$AD$153,MATCH(ROWS($A$4:A85),$AF$4:$AF$153,0)),"")</f>
        <v/>
      </c>
      <c r="Q85" t="str">
        <f>T(JAN!B87)</f>
        <v>ÉRICK TEMPORÁRIO</v>
      </c>
      <c r="R85" t="str">
        <f t="array" ref="R85">IF($Q85="","",_xlfn.TEXTJOIN(", ",TRUE,IF(JAN!$G87:$AK87="FL",JAN!$G$4:$AK$4,"")))</f>
        <v/>
      </c>
      <c r="S85" t="str">
        <f t="array" ref="S85">IF($Q85="","",_xlfn.TEXTJOIN(", ",TRUE,IF(FEV!$G87:$AK87="FL",FEV!$G$4:$AK$4,"")))</f>
        <v/>
      </c>
      <c r="T85" t="str">
        <f t="array" ref="T85">IF($Q85="","",_xlfn.TEXTJOIN(", ",TRUE,IF(MAR!$G87:$AK87="FL",MAR!$G$4:$AK$4,"")))</f>
        <v/>
      </c>
      <c r="U85" t="str">
        <f t="array" ref="U85">IF($Q85="","",_xlfn.TEXTJOIN(", ",TRUE,IF(ABR!$G87:$AK87="FL",ABR!$G$4:$AK$4,"")))</f>
        <v/>
      </c>
      <c r="V85" t="str">
        <f t="array" ref="V85">IF($Q85="","",_xlfn.TEXTJOIN(", ",TRUE,IF(MAI!$G87:$AK87="FL",MAI!$G$4:$AK$4,"")))</f>
        <v/>
      </c>
      <c r="W85" t="str">
        <f t="array" ref="W85">IF($Q85="","",_xlfn.TEXTJOIN(", ",TRUE,IF(JUN!$G87:$AK87="FL",JUN!$G$4:$AK$4,"")))</f>
        <v/>
      </c>
      <c r="X85" t="str">
        <f t="array" ref="X85">IF($Q85="","",_xlfn.TEXTJOIN(", ",TRUE,IF(JUL!$G87:$AK87="FL",JUL!$G$4:$AK$4,"")))</f>
        <v/>
      </c>
      <c r="Y85" t="str">
        <f t="array" ref="Y85">IF($Q85="","",_xlfn.TEXTJOIN(", ",TRUE,IF(AGO!$G87:$AK87="FL",AGO!$G$4:$AK$4,"")))</f>
        <v/>
      </c>
      <c r="Z85" t="str">
        <f t="array" ref="Z85">IF($Q85="","",_xlfn.TEXTJOIN(", ",TRUE,IF(SET!$G87:$AK87="FL",SET!$G$4:$AK$4,"")))</f>
        <v/>
      </c>
      <c r="AA85" t="str">
        <f t="array" ref="AA85">IF($Q85="","",_xlfn.TEXTJOIN(", ",TRUE,IF(OUT!$G87:$AK87="FL",OUT!$G$4:$AK$4,"")))</f>
        <v/>
      </c>
      <c r="AB85" t="str">
        <f t="array" ref="AB85">IF($Q85="","",_xlfn.TEXTJOIN(", ",TRUE,IF(NOV!$G87:$AK87="FL",NOV!$G$4:$AK$4,"")))</f>
        <v/>
      </c>
      <c r="AC85" t="str">
        <f t="array" ref="AC85">IF($Q85="","",_xlfn.TEXTJOIN(", ",TRUE,IF(DEZ!$G87:$AK87="FL",DEZ!$G$4:$AK$4,"")))</f>
        <v/>
      </c>
      <c r="AD85">
        <f>IF($Q85="","",COUNTIF(JAN!$G87:$AK87,"FL")+COUNTIF(FEV!$G87:$AK87,"FL")+COUNTIF(MAR!$G87:$AK87,"FL")+COUNTIF(ABR!$G87:$AK87,"FL")+COUNTIF(MAI!$G87:$AK87,"FL")+COUNTIF(JUN!$G87:$AK87,"FL")+COUNTIF(JUL!$G87:$AK87,"FL")+COUNTIF(AGO!$G87:$AK87,"FL")+COUNTIF(SET!$G87:$AK87,"FL")+COUNTIF(OUT!$G87:$AK87,"FL")+COUNTIF(NOV!$G87:$AK87,"FL")+COUNTIF(DEZ!$G87:$AK87,"FL"))</f>
        <v>0</v>
      </c>
      <c r="AF85" t="str">
        <f>IF(AND($Q85&lt;&gt;"",N($AD85)&gt;0),COUNT($AF$3:AF84)+1,"")</f>
        <v/>
      </c>
    </row>
    <row r="86" spans="1:32" hidden="1" outlineLevel="1" x14ac:dyDescent="0.25">
      <c r="A86" s="36" t="str">
        <f>IFERROR(INDEX($Q$4:$Q$153,MATCH(ROWS($A$4:A86),$AF$4:$AF$153,0)),"")</f>
        <v/>
      </c>
      <c r="B86" s="35" t="str">
        <f>IFERROR(INDEX($R$4:$R$153,MATCH(ROWS($A$4:A86),$AF$4:$AF$153,0)),"")</f>
        <v/>
      </c>
      <c r="C86" s="35" t="str">
        <f>IFERROR(INDEX($S$4:$S$153,MATCH(ROWS($A$4:A86),$AF$4:$AF$153,0)),"")</f>
        <v/>
      </c>
      <c r="D86" s="35" t="str">
        <f>IFERROR(INDEX($T$4:$T$153,MATCH(ROWS($A$4:A86),$AF$4:$AF$153,0)),"")</f>
        <v/>
      </c>
      <c r="E86" s="35" t="str">
        <f>IFERROR(INDEX($U$4:$U$153,MATCH(ROWS($A$4:A86),$AF$4:$AF$153,0)),"")</f>
        <v/>
      </c>
      <c r="F86" s="35" t="str">
        <f>IFERROR(INDEX($V$4:$V$153,MATCH(ROWS($A$4:A86),$AF$4:$AF$153,0)),"")</f>
        <v/>
      </c>
      <c r="G86" s="35" t="str">
        <f>IFERROR(INDEX($W$4:$W$153,MATCH(ROWS($A$4:A86),$AF$4:$AF$153,0)),"")</f>
        <v/>
      </c>
      <c r="H86" s="35" t="str">
        <f>IFERROR(INDEX($X$4:$X$153,MATCH(ROWS($A$4:A86),$AF$4:$AF$153,0)),"")</f>
        <v/>
      </c>
      <c r="I86" s="72" t="str">
        <f>IFERROR(INDEX($Y$4:$Y$153,MATCH(ROWS($A$4:A86),$AF$4:$AF$153,0)),"")</f>
        <v/>
      </c>
      <c r="J86" s="35" t="str">
        <f>IFERROR(INDEX($Z$4:$Z$153,MATCH(ROWS($A$4:A86),$AF$4:$AF$153,0)),"")</f>
        <v/>
      </c>
      <c r="K86" s="35" t="str">
        <f>IFERROR(INDEX($AA$4:$AA$153,MATCH(ROWS($A$4:A86),$AF$4:$AF$153,0)),"")</f>
        <v/>
      </c>
      <c r="L86" s="35" t="str">
        <f>IFERROR(INDEX($AB$4:$AB$153,MATCH(ROWS($A$4:A86),$AF$4:$AF$153,0)),"")</f>
        <v/>
      </c>
      <c r="M86" s="35" t="str">
        <f>IFERROR(INDEX($AC$4:$AC$153,MATCH(ROWS($A$4:A86),$AF$4:$AF$153,0)),"")</f>
        <v/>
      </c>
      <c r="N86" s="35" t="str">
        <f>IFERROR(INDEX($AD$4:$AD$153,MATCH(ROWS($A$4:A86),$AF$4:$AF$153,0)),"")</f>
        <v/>
      </c>
      <c r="Q86" t="str">
        <f>T(JAN!B88)</f>
        <v/>
      </c>
      <c r="R86" t="str">
        <f t="array" ref="R86">IF($Q86="","",_xlfn.TEXTJOIN(", ",TRUE,IF(JAN!$G88:$AK88="FL",JAN!$G$4:$AK$4,"")))</f>
        <v/>
      </c>
      <c r="S86" t="str">
        <f t="array" ref="S86">IF($Q86="","",_xlfn.TEXTJOIN(", ",TRUE,IF(FEV!$G88:$AK88="FL",FEV!$G$4:$AK$4,"")))</f>
        <v/>
      </c>
      <c r="T86" t="str">
        <f t="array" ref="T86">IF($Q86="","",_xlfn.TEXTJOIN(", ",TRUE,IF(MAR!$G88:$AK88="FL",MAR!$G$4:$AK$4,"")))</f>
        <v/>
      </c>
      <c r="U86" t="str">
        <f t="array" ref="U86">IF($Q86="","",_xlfn.TEXTJOIN(", ",TRUE,IF(ABR!$G88:$AK88="FL",ABR!$G$4:$AK$4,"")))</f>
        <v/>
      </c>
      <c r="V86" t="str">
        <f t="array" ref="V86">IF($Q86="","",_xlfn.TEXTJOIN(", ",TRUE,IF(MAI!$G88:$AK88="FL",MAI!$G$4:$AK$4,"")))</f>
        <v/>
      </c>
      <c r="W86" t="str">
        <f t="array" ref="W86">IF($Q86="","",_xlfn.TEXTJOIN(", ",TRUE,IF(JUN!$G88:$AK88="FL",JUN!$G$4:$AK$4,"")))</f>
        <v/>
      </c>
      <c r="X86" t="str">
        <f t="array" ref="X86">IF($Q86="","",_xlfn.TEXTJOIN(", ",TRUE,IF(JUL!$G88:$AK88="FL",JUL!$G$4:$AK$4,"")))</f>
        <v/>
      </c>
      <c r="Y86" t="str">
        <f t="array" ref="Y86">IF($Q86="","",_xlfn.TEXTJOIN(", ",TRUE,IF(AGO!$G88:$AK88="FL",AGO!$G$4:$AK$4,"")))</f>
        <v/>
      </c>
      <c r="Z86" t="str">
        <f t="array" ref="Z86">IF($Q86="","",_xlfn.TEXTJOIN(", ",TRUE,IF(SET!$G88:$AK88="FL",SET!$G$4:$AK$4,"")))</f>
        <v/>
      </c>
      <c r="AA86" t="str">
        <f t="array" ref="AA86">IF($Q86="","",_xlfn.TEXTJOIN(", ",TRUE,IF(OUT!$G88:$AK88="FL",OUT!$G$4:$AK$4,"")))</f>
        <v/>
      </c>
      <c r="AB86" t="str">
        <f t="array" ref="AB86">IF($Q86="","",_xlfn.TEXTJOIN(", ",TRUE,IF(NOV!$G88:$AK88="FL",NOV!$G$4:$AK$4,"")))</f>
        <v/>
      </c>
      <c r="AC86" t="str">
        <f t="array" ref="AC86">IF($Q86="","",_xlfn.TEXTJOIN(", ",TRUE,IF(DEZ!$G88:$AK88="FL",DEZ!$G$4:$AK$4,"")))</f>
        <v/>
      </c>
      <c r="AD86" t="str">
        <f>IF($Q86="","",COUNTIF(JAN!$G88:$AK88,"FL")+COUNTIF(FEV!$G88:$AK88,"FL")+COUNTIF(MAR!$G88:$AK88,"FL")+COUNTIF(ABR!$G88:$AK88,"FL")+COUNTIF(MAI!$G88:$AK88,"FL")+COUNTIF(JUN!$G88:$AK88,"FL")+COUNTIF(JUL!$G88:$AK88,"FL")+COUNTIF(AGO!$G88:$AK88,"FL")+COUNTIF(SET!$G88:$AK88,"FL")+COUNTIF(OUT!$G88:$AK88,"FL")+COUNTIF(NOV!$G88:$AK88,"FL")+COUNTIF(DEZ!$G88:$AK88,"FL"))</f>
        <v/>
      </c>
      <c r="AF86" t="str">
        <f>IF(AND($Q86&lt;&gt;"",N($AD86)&gt;0),COUNT($AF$3:AF85)+1,"")</f>
        <v/>
      </c>
    </row>
    <row r="87" spans="1:32" hidden="1" outlineLevel="1" x14ac:dyDescent="0.25">
      <c r="A87" s="36" t="str">
        <f>IFERROR(INDEX($Q$4:$Q$153,MATCH(ROWS($A$4:A87),$AF$4:$AF$153,0)),"")</f>
        <v/>
      </c>
      <c r="B87" s="35" t="str">
        <f>IFERROR(INDEX($R$4:$R$153,MATCH(ROWS($A$4:A87),$AF$4:$AF$153,0)),"")</f>
        <v/>
      </c>
      <c r="C87" s="35" t="str">
        <f>IFERROR(INDEX($S$4:$S$153,MATCH(ROWS($A$4:A87),$AF$4:$AF$153,0)),"")</f>
        <v/>
      </c>
      <c r="D87" s="35" t="str">
        <f>IFERROR(INDEX($T$4:$T$153,MATCH(ROWS($A$4:A87),$AF$4:$AF$153,0)),"")</f>
        <v/>
      </c>
      <c r="E87" s="35" t="str">
        <f>IFERROR(INDEX($U$4:$U$153,MATCH(ROWS($A$4:A87),$AF$4:$AF$153,0)),"")</f>
        <v/>
      </c>
      <c r="F87" s="35" t="str">
        <f>IFERROR(INDEX($V$4:$V$153,MATCH(ROWS($A$4:A87),$AF$4:$AF$153,0)),"")</f>
        <v/>
      </c>
      <c r="G87" s="35" t="str">
        <f>IFERROR(INDEX($W$4:$W$153,MATCH(ROWS($A$4:A87),$AF$4:$AF$153,0)),"")</f>
        <v/>
      </c>
      <c r="H87" s="35" t="str">
        <f>IFERROR(INDEX($X$4:$X$153,MATCH(ROWS($A$4:A87),$AF$4:$AF$153,0)),"")</f>
        <v/>
      </c>
      <c r="I87" s="72" t="str">
        <f>IFERROR(INDEX($Y$4:$Y$153,MATCH(ROWS($A$4:A87),$AF$4:$AF$153,0)),"")</f>
        <v/>
      </c>
      <c r="J87" s="35" t="str">
        <f>IFERROR(INDEX($Z$4:$Z$153,MATCH(ROWS($A$4:A87),$AF$4:$AF$153,0)),"")</f>
        <v/>
      </c>
      <c r="K87" s="35" t="str">
        <f>IFERROR(INDEX($AA$4:$AA$153,MATCH(ROWS($A$4:A87),$AF$4:$AF$153,0)),"")</f>
        <v/>
      </c>
      <c r="L87" s="35" t="str">
        <f>IFERROR(INDEX($AB$4:$AB$153,MATCH(ROWS($A$4:A87),$AF$4:$AF$153,0)),"")</f>
        <v/>
      </c>
      <c r="M87" s="35" t="str">
        <f>IFERROR(INDEX($AC$4:$AC$153,MATCH(ROWS($A$4:A87),$AF$4:$AF$153,0)),"")</f>
        <v/>
      </c>
      <c r="N87" s="35" t="str">
        <f>IFERROR(INDEX($AD$4:$AD$153,MATCH(ROWS($A$4:A87),$AF$4:$AF$153,0)),"")</f>
        <v/>
      </c>
      <c r="Q87" t="str">
        <f>T(JAN!B89)</f>
        <v/>
      </c>
      <c r="R87" t="str">
        <f t="array" ref="R87">IF($Q87="","",_xlfn.TEXTJOIN(", ",TRUE,IF(JAN!$G89:$AK89="FL",JAN!$G$4:$AK$4,"")))</f>
        <v/>
      </c>
      <c r="S87" t="str">
        <f t="array" ref="S87">IF($Q87="","",_xlfn.TEXTJOIN(", ",TRUE,IF(FEV!$G89:$AK89="FL",FEV!$G$4:$AK$4,"")))</f>
        <v/>
      </c>
      <c r="T87" t="str">
        <f t="array" ref="T87">IF($Q87="","",_xlfn.TEXTJOIN(", ",TRUE,IF(MAR!$G89:$AK89="FL",MAR!$G$4:$AK$4,"")))</f>
        <v/>
      </c>
      <c r="U87" t="str">
        <f t="array" ref="U87">IF($Q87="","",_xlfn.TEXTJOIN(", ",TRUE,IF(ABR!$G89:$AK89="FL",ABR!$G$4:$AK$4,"")))</f>
        <v/>
      </c>
      <c r="V87" t="str">
        <f t="array" ref="V87">IF($Q87="","",_xlfn.TEXTJOIN(", ",TRUE,IF(MAI!$G89:$AK89="FL",MAI!$G$4:$AK$4,"")))</f>
        <v/>
      </c>
      <c r="W87" t="str">
        <f t="array" ref="W87">IF($Q87="","",_xlfn.TEXTJOIN(", ",TRUE,IF(JUN!$G89:$AK89="FL",JUN!$G$4:$AK$4,"")))</f>
        <v/>
      </c>
      <c r="X87" t="str">
        <f t="array" ref="X87">IF($Q87="","",_xlfn.TEXTJOIN(", ",TRUE,IF(JUL!$G89:$AK89="FL",JUL!$G$4:$AK$4,"")))</f>
        <v/>
      </c>
      <c r="Y87" t="str">
        <f t="array" ref="Y87">IF($Q87="","",_xlfn.TEXTJOIN(", ",TRUE,IF(AGO!$G89:$AK89="FL",AGO!$G$4:$AK$4,"")))</f>
        <v/>
      </c>
      <c r="Z87" t="str">
        <f t="array" ref="Z87">IF($Q87="","",_xlfn.TEXTJOIN(", ",TRUE,IF(SET!$G89:$AK89="FL",SET!$G$4:$AK$4,"")))</f>
        <v/>
      </c>
      <c r="AA87" t="str">
        <f t="array" ref="AA87">IF($Q87="","",_xlfn.TEXTJOIN(", ",TRUE,IF(OUT!$G89:$AK89="FL",OUT!$G$4:$AK$4,"")))</f>
        <v/>
      </c>
      <c r="AB87" t="str">
        <f t="array" ref="AB87">IF($Q87="","",_xlfn.TEXTJOIN(", ",TRUE,IF(NOV!$G89:$AK89="FL",NOV!$G$4:$AK$4,"")))</f>
        <v/>
      </c>
      <c r="AC87" t="str">
        <f t="array" ref="AC87">IF($Q87="","",_xlfn.TEXTJOIN(", ",TRUE,IF(DEZ!$G89:$AK89="FL",DEZ!$G$4:$AK$4,"")))</f>
        <v/>
      </c>
      <c r="AD87" t="str">
        <f>IF($Q87="","",COUNTIF(JAN!$G89:$AK89,"FL")+COUNTIF(FEV!$G89:$AK89,"FL")+COUNTIF(MAR!$G89:$AK89,"FL")+COUNTIF(ABR!$G89:$AK89,"FL")+COUNTIF(MAI!$G89:$AK89,"FL")+COUNTIF(JUN!$G89:$AK89,"FL")+COUNTIF(JUL!$G89:$AK89,"FL")+COUNTIF(AGO!$G89:$AK89,"FL")+COUNTIF(SET!$G89:$AK89,"FL")+COUNTIF(OUT!$G89:$AK89,"FL")+COUNTIF(NOV!$G89:$AK89,"FL")+COUNTIF(DEZ!$G89:$AK89,"FL"))</f>
        <v/>
      </c>
      <c r="AF87" t="str">
        <f>IF(AND($Q87&lt;&gt;"",N($AD87)&gt;0),COUNT($AF$3:AF86)+1,"")</f>
        <v/>
      </c>
    </row>
    <row r="88" spans="1:32" hidden="1" outlineLevel="1" x14ac:dyDescent="0.25">
      <c r="A88" s="36" t="str">
        <f>IFERROR(INDEX($Q$4:$Q$153,MATCH(ROWS($A$4:A88),$AF$4:$AF$153,0)),"")</f>
        <v/>
      </c>
      <c r="B88" s="35" t="str">
        <f>IFERROR(INDEX($R$4:$R$153,MATCH(ROWS($A$4:A88),$AF$4:$AF$153,0)),"")</f>
        <v/>
      </c>
      <c r="C88" s="35" t="str">
        <f>IFERROR(INDEX($S$4:$S$153,MATCH(ROWS($A$4:A88),$AF$4:$AF$153,0)),"")</f>
        <v/>
      </c>
      <c r="D88" s="35" t="str">
        <f>IFERROR(INDEX($T$4:$T$153,MATCH(ROWS($A$4:A88),$AF$4:$AF$153,0)),"")</f>
        <v/>
      </c>
      <c r="E88" s="35" t="str">
        <f>IFERROR(INDEX($U$4:$U$153,MATCH(ROWS($A$4:A88),$AF$4:$AF$153,0)),"")</f>
        <v/>
      </c>
      <c r="F88" s="35" t="str">
        <f>IFERROR(INDEX($V$4:$V$153,MATCH(ROWS($A$4:A88),$AF$4:$AF$153,0)),"")</f>
        <v/>
      </c>
      <c r="G88" s="35" t="str">
        <f>IFERROR(INDEX($W$4:$W$153,MATCH(ROWS($A$4:A88),$AF$4:$AF$153,0)),"")</f>
        <v/>
      </c>
      <c r="H88" s="35" t="str">
        <f>IFERROR(INDEX($X$4:$X$153,MATCH(ROWS($A$4:A88),$AF$4:$AF$153,0)),"")</f>
        <v/>
      </c>
      <c r="I88" s="72" t="str">
        <f>IFERROR(INDEX($Y$4:$Y$153,MATCH(ROWS($A$4:A88),$AF$4:$AF$153,0)),"")</f>
        <v/>
      </c>
      <c r="J88" s="35" t="str">
        <f>IFERROR(INDEX($Z$4:$Z$153,MATCH(ROWS($A$4:A88),$AF$4:$AF$153,0)),"")</f>
        <v/>
      </c>
      <c r="K88" s="35" t="str">
        <f>IFERROR(INDEX($AA$4:$AA$153,MATCH(ROWS($A$4:A88),$AF$4:$AF$153,0)),"")</f>
        <v/>
      </c>
      <c r="L88" s="35" t="str">
        <f>IFERROR(INDEX($AB$4:$AB$153,MATCH(ROWS($A$4:A88),$AF$4:$AF$153,0)),"")</f>
        <v/>
      </c>
      <c r="M88" s="35" t="str">
        <f>IFERROR(INDEX($AC$4:$AC$153,MATCH(ROWS($A$4:A88),$AF$4:$AF$153,0)),"")</f>
        <v/>
      </c>
      <c r="N88" s="35" t="str">
        <f>IFERROR(INDEX($AD$4:$AD$153,MATCH(ROWS($A$4:A88),$AF$4:$AF$153,0)),"")</f>
        <v/>
      </c>
      <c r="Q88" t="str">
        <f>T(JAN!B90)</f>
        <v/>
      </c>
      <c r="R88" t="str">
        <f t="array" ref="R88">IF($Q88="","",_xlfn.TEXTJOIN(", ",TRUE,IF(JAN!$G90:$AK90="FL",JAN!$G$4:$AK$4,"")))</f>
        <v/>
      </c>
      <c r="S88" t="str">
        <f t="array" ref="S88">IF($Q88="","",_xlfn.TEXTJOIN(", ",TRUE,IF(FEV!$G90:$AK90="FL",FEV!$G$4:$AK$4,"")))</f>
        <v/>
      </c>
      <c r="T88" t="str">
        <f t="array" ref="T88">IF($Q88="","",_xlfn.TEXTJOIN(", ",TRUE,IF(MAR!$G90:$AK90="FL",MAR!$G$4:$AK$4,"")))</f>
        <v/>
      </c>
      <c r="U88" t="str">
        <f t="array" ref="U88">IF($Q88="","",_xlfn.TEXTJOIN(", ",TRUE,IF(ABR!$G90:$AK90="FL",ABR!$G$4:$AK$4,"")))</f>
        <v/>
      </c>
      <c r="V88" t="str">
        <f t="array" ref="V88">IF($Q88="","",_xlfn.TEXTJOIN(", ",TRUE,IF(MAI!$G90:$AK90="FL",MAI!$G$4:$AK$4,"")))</f>
        <v/>
      </c>
      <c r="W88" t="str">
        <f t="array" ref="W88">IF($Q88="","",_xlfn.TEXTJOIN(", ",TRUE,IF(JUN!$G90:$AK90="FL",JUN!$G$4:$AK$4,"")))</f>
        <v/>
      </c>
      <c r="X88" t="str">
        <f t="array" ref="X88">IF($Q88="","",_xlfn.TEXTJOIN(", ",TRUE,IF(JUL!$G90:$AK90="FL",JUL!$G$4:$AK$4,"")))</f>
        <v/>
      </c>
      <c r="Y88" t="str">
        <f t="array" ref="Y88">IF($Q88="","",_xlfn.TEXTJOIN(", ",TRUE,IF(AGO!$G90:$AK90="FL",AGO!$G$4:$AK$4,"")))</f>
        <v/>
      </c>
      <c r="Z88" t="str">
        <f t="array" ref="Z88">IF($Q88="","",_xlfn.TEXTJOIN(", ",TRUE,IF(SET!$G90:$AK90="FL",SET!$G$4:$AK$4,"")))</f>
        <v/>
      </c>
      <c r="AA88" t="str">
        <f t="array" ref="AA88">IF($Q88="","",_xlfn.TEXTJOIN(", ",TRUE,IF(OUT!$G90:$AK90="FL",OUT!$G$4:$AK$4,"")))</f>
        <v/>
      </c>
      <c r="AB88" t="str">
        <f t="array" ref="AB88">IF($Q88="","",_xlfn.TEXTJOIN(", ",TRUE,IF(NOV!$G90:$AK90="FL",NOV!$G$4:$AK$4,"")))</f>
        <v/>
      </c>
      <c r="AC88" t="str">
        <f t="array" ref="AC88">IF($Q88="","",_xlfn.TEXTJOIN(", ",TRUE,IF(DEZ!$G90:$AK90="FL",DEZ!$G$4:$AK$4,"")))</f>
        <v/>
      </c>
      <c r="AD88" t="str">
        <f>IF($Q88="","",COUNTIF(JAN!$G90:$AK90,"FL")+COUNTIF(FEV!$G90:$AK90,"FL")+COUNTIF(MAR!$G90:$AK90,"FL")+COUNTIF(ABR!$G90:$AK90,"FL")+COUNTIF(MAI!$G90:$AK90,"FL")+COUNTIF(JUN!$G90:$AK90,"FL")+COUNTIF(JUL!$G90:$AK90,"FL")+COUNTIF(AGO!$G90:$AK90,"FL")+COUNTIF(SET!$G90:$AK90,"FL")+COUNTIF(OUT!$G90:$AK90,"FL")+COUNTIF(NOV!$G90:$AK90,"FL")+COUNTIF(DEZ!$G90:$AK90,"FL"))</f>
        <v/>
      </c>
      <c r="AF88" t="str">
        <f>IF(AND($Q88&lt;&gt;"",N($AD88)&gt;0),COUNT($AF$3:AF87)+1,"")</f>
        <v/>
      </c>
    </row>
    <row r="89" spans="1:32" hidden="1" outlineLevel="1" x14ac:dyDescent="0.25">
      <c r="A89" s="36" t="str">
        <f>IFERROR(INDEX($Q$4:$Q$153,MATCH(ROWS($A$4:A89),$AF$4:$AF$153,0)),"")</f>
        <v/>
      </c>
      <c r="B89" s="35" t="str">
        <f>IFERROR(INDEX($R$4:$R$153,MATCH(ROWS($A$4:A89),$AF$4:$AF$153,0)),"")</f>
        <v/>
      </c>
      <c r="C89" s="35" t="str">
        <f>IFERROR(INDEX($S$4:$S$153,MATCH(ROWS($A$4:A89),$AF$4:$AF$153,0)),"")</f>
        <v/>
      </c>
      <c r="D89" s="35" t="str">
        <f>IFERROR(INDEX($T$4:$T$153,MATCH(ROWS($A$4:A89),$AF$4:$AF$153,0)),"")</f>
        <v/>
      </c>
      <c r="E89" s="35" t="str">
        <f>IFERROR(INDEX($U$4:$U$153,MATCH(ROWS($A$4:A89),$AF$4:$AF$153,0)),"")</f>
        <v/>
      </c>
      <c r="F89" s="35" t="str">
        <f>IFERROR(INDEX($V$4:$V$153,MATCH(ROWS($A$4:A89),$AF$4:$AF$153,0)),"")</f>
        <v/>
      </c>
      <c r="G89" s="35" t="str">
        <f>IFERROR(INDEX($W$4:$W$153,MATCH(ROWS($A$4:A89),$AF$4:$AF$153,0)),"")</f>
        <v/>
      </c>
      <c r="H89" s="35" t="str">
        <f>IFERROR(INDEX($X$4:$X$153,MATCH(ROWS($A$4:A89),$AF$4:$AF$153,0)),"")</f>
        <v/>
      </c>
      <c r="I89" s="72" t="str">
        <f>IFERROR(INDEX($Y$4:$Y$153,MATCH(ROWS($A$4:A89),$AF$4:$AF$153,0)),"")</f>
        <v/>
      </c>
      <c r="J89" s="35" t="str">
        <f>IFERROR(INDEX($Z$4:$Z$153,MATCH(ROWS($A$4:A89),$AF$4:$AF$153,0)),"")</f>
        <v/>
      </c>
      <c r="K89" s="35" t="str">
        <f>IFERROR(INDEX($AA$4:$AA$153,MATCH(ROWS($A$4:A89),$AF$4:$AF$153,0)),"")</f>
        <v/>
      </c>
      <c r="L89" s="35" t="str">
        <f>IFERROR(INDEX($AB$4:$AB$153,MATCH(ROWS($A$4:A89),$AF$4:$AF$153,0)),"")</f>
        <v/>
      </c>
      <c r="M89" s="35" t="str">
        <f>IFERROR(INDEX($AC$4:$AC$153,MATCH(ROWS($A$4:A89),$AF$4:$AF$153,0)),"")</f>
        <v/>
      </c>
      <c r="N89" s="35" t="str">
        <f>IFERROR(INDEX($AD$4:$AD$153,MATCH(ROWS($A$4:A89),$AF$4:$AF$153,0)),"")</f>
        <v/>
      </c>
      <c r="Q89" t="str">
        <f>T(JAN!B91)</f>
        <v/>
      </c>
      <c r="R89" t="str">
        <f t="array" ref="R89">IF($Q89="","",_xlfn.TEXTJOIN(", ",TRUE,IF(JAN!$G91:$AK91="FL",JAN!$G$4:$AK$4,"")))</f>
        <v/>
      </c>
      <c r="S89" t="str">
        <f t="array" ref="S89">IF($Q89="","",_xlfn.TEXTJOIN(", ",TRUE,IF(FEV!$G91:$AK91="FL",FEV!$G$4:$AK$4,"")))</f>
        <v/>
      </c>
      <c r="T89" t="str">
        <f t="array" ref="T89">IF($Q89="","",_xlfn.TEXTJOIN(", ",TRUE,IF(MAR!$G91:$AK91="FL",MAR!$G$4:$AK$4,"")))</f>
        <v/>
      </c>
      <c r="U89" t="str">
        <f t="array" ref="U89">IF($Q89="","",_xlfn.TEXTJOIN(", ",TRUE,IF(ABR!$G91:$AK91="FL",ABR!$G$4:$AK$4,"")))</f>
        <v/>
      </c>
      <c r="V89" t="str">
        <f t="array" ref="V89">IF($Q89="","",_xlfn.TEXTJOIN(", ",TRUE,IF(MAI!$G91:$AK91="FL",MAI!$G$4:$AK$4,"")))</f>
        <v/>
      </c>
      <c r="W89" t="str">
        <f t="array" ref="W89">IF($Q89="","",_xlfn.TEXTJOIN(", ",TRUE,IF(JUN!$G91:$AK91="FL",JUN!$G$4:$AK$4,"")))</f>
        <v/>
      </c>
      <c r="X89" t="str">
        <f t="array" ref="X89">IF($Q89="","",_xlfn.TEXTJOIN(", ",TRUE,IF(JUL!$G91:$AK91="FL",JUL!$G$4:$AK$4,"")))</f>
        <v/>
      </c>
      <c r="Y89" t="str">
        <f t="array" ref="Y89">IF($Q89="","",_xlfn.TEXTJOIN(", ",TRUE,IF(AGO!$G91:$AK91="FL",AGO!$G$4:$AK$4,"")))</f>
        <v/>
      </c>
      <c r="Z89" t="str">
        <f t="array" ref="Z89">IF($Q89="","",_xlfn.TEXTJOIN(", ",TRUE,IF(SET!$G91:$AK91="FL",SET!$G$4:$AK$4,"")))</f>
        <v/>
      </c>
      <c r="AA89" t="str">
        <f t="array" ref="AA89">IF($Q89="","",_xlfn.TEXTJOIN(", ",TRUE,IF(OUT!$G91:$AK91="FL",OUT!$G$4:$AK$4,"")))</f>
        <v/>
      </c>
      <c r="AB89" t="str">
        <f t="array" ref="AB89">IF($Q89="","",_xlfn.TEXTJOIN(", ",TRUE,IF(NOV!$G91:$AK91="FL",NOV!$G$4:$AK$4,"")))</f>
        <v/>
      </c>
      <c r="AC89" t="str">
        <f t="array" ref="AC89">IF($Q89="","",_xlfn.TEXTJOIN(", ",TRUE,IF(DEZ!$G91:$AK91="FL",DEZ!$G$4:$AK$4,"")))</f>
        <v/>
      </c>
      <c r="AD89" t="str">
        <f>IF($Q89="","",COUNTIF(JAN!$G91:$AK91,"FL")+COUNTIF(FEV!$G91:$AK91,"FL")+COUNTIF(MAR!$G91:$AK91,"FL")+COUNTIF(ABR!$G91:$AK91,"FL")+COUNTIF(MAI!$G91:$AK91,"FL")+COUNTIF(JUN!$G91:$AK91,"FL")+COUNTIF(JUL!$G91:$AK91,"FL")+COUNTIF(AGO!$G91:$AK91,"FL")+COUNTIF(SET!$G91:$AK91,"FL")+COUNTIF(OUT!$G91:$AK91,"FL")+COUNTIF(NOV!$G91:$AK91,"FL")+COUNTIF(DEZ!$G91:$AK91,"FL"))</f>
        <v/>
      </c>
      <c r="AF89" t="str">
        <f>IF(AND($Q89&lt;&gt;"",N($AD89)&gt;0),COUNT($AF$3:AF88)+1,"")</f>
        <v/>
      </c>
    </row>
    <row r="90" spans="1:32" hidden="1" outlineLevel="1" x14ac:dyDescent="0.25">
      <c r="A90" s="36" t="str">
        <f>IFERROR(INDEX($Q$4:$Q$153,MATCH(ROWS($A$4:A90),$AF$4:$AF$153,0)),"")</f>
        <v/>
      </c>
      <c r="B90" s="35" t="str">
        <f>IFERROR(INDEX($R$4:$R$153,MATCH(ROWS($A$4:A90),$AF$4:$AF$153,0)),"")</f>
        <v/>
      </c>
      <c r="C90" s="35" t="str">
        <f>IFERROR(INDEX($S$4:$S$153,MATCH(ROWS($A$4:A90),$AF$4:$AF$153,0)),"")</f>
        <v/>
      </c>
      <c r="D90" s="35" t="str">
        <f>IFERROR(INDEX($T$4:$T$153,MATCH(ROWS($A$4:A90),$AF$4:$AF$153,0)),"")</f>
        <v/>
      </c>
      <c r="E90" s="35" t="str">
        <f>IFERROR(INDEX($U$4:$U$153,MATCH(ROWS($A$4:A90),$AF$4:$AF$153,0)),"")</f>
        <v/>
      </c>
      <c r="F90" s="35" t="str">
        <f>IFERROR(INDEX($V$4:$V$153,MATCH(ROWS($A$4:A90),$AF$4:$AF$153,0)),"")</f>
        <v/>
      </c>
      <c r="G90" s="35" t="str">
        <f>IFERROR(INDEX($W$4:$W$153,MATCH(ROWS($A$4:A90),$AF$4:$AF$153,0)),"")</f>
        <v/>
      </c>
      <c r="H90" s="35" t="str">
        <f>IFERROR(INDEX($X$4:$X$153,MATCH(ROWS($A$4:A90),$AF$4:$AF$153,0)),"")</f>
        <v/>
      </c>
      <c r="I90" s="72" t="str">
        <f>IFERROR(INDEX($Y$4:$Y$153,MATCH(ROWS($A$4:A90),$AF$4:$AF$153,0)),"")</f>
        <v/>
      </c>
      <c r="J90" s="35" t="str">
        <f>IFERROR(INDEX($Z$4:$Z$153,MATCH(ROWS($A$4:A90),$AF$4:$AF$153,0)),"")</f>
        <v/>
      </c>
      <c r="K90" s="35" t="str">
        <f>IFERROR(INDEX($AA$4:$AA$153,MATCH(ROWS($A$4:A90),$AF$4:$AF$153,0)),"")</f>
        <v/>
      </c>
      <c r="L90" s="35" t="str">
        <f>IFERROR(INDEX($AB$4:$AB$153,MATCH(ROWS($A$4:A90),$AF$4:$AF$153,0)),"")</f>
        <v/>
      </c>
      <c r="M90" s="35" t="str">
        <f>IFERROR(INDEX($AC$4:$AC$153,MATCH(ROWS($A$4:A90),$AF$4:$AF$153,0)),"")</f>
        <v/>
      </c>
      <c r="N90" s="35" t="str">
        <f>IFERROR(INDEX($AD$4:$AD$153,MATCH(ROWS($A$4:A90),$AF$4:$AF$153,0)),"")</f>
        <v/>
      </c>
      <c r="Q90" t="str">
        <f>T(JAN!B92)</f>
        <v/>
      </c>
      <c r="R90" t="str">
        <f t="array" ref="R90">IF($Q90="","",_xlfn.TEXTJOIN(", ",TRUE,IF(JAN!$G92:$AK92="FL",JAN!$G$4:$AK$4,"")))</f>
        <v/>
      </c>
      <c r="S90" t="str">
        <f t="array" ref="S90">IF($Q90="","",_xlfn.TEXTJOIN(", ",TRUE,IF(FEV!$G92:$AK92="FL",FEV!$G$4:$AK$4,"")))</f>
        <v/>
      </c>
      <c r="T90" t="str">
        <f t="array" ref="T90">IF($Q90="","",_xlfn.TEXTJOIN(", ",TRUE,IF(MAR!$G92:$AK92="FL",MAR!$G$4:$AK$4,"")))</f>
        <v/>
      </c>
      <c r="U90" t="str">
        <f t="array" ref="U90">IF($Q90="","",_xlfn.TEXTJOIN(", ",TRUE,IF(ABR!$G92:$AK92="FL",ABR!$G$4:$AK$4,"")))</f>
        <v/>
      </c>
      <c r="V90" t="str">
        <f t="array" ref="V90">IF($Q90="","",_xlfn.TEXTJOIN(", ",TRUE,IF(MAI!$G92:$AK92="FL",MAI!$G$4:$AK$4,"")))</f>
        <v/>
      </c>
      <c r="W90" t="str">
        <f t="array" ref="W90">IF($Q90="","",_xlfn.TEXTJOIN(", ",TRUE,IF(JUN!$G92:$AK92="FL",JUN!$G$4:$AK$4,"")))</f>
        <v/>
      </c>
      <c r="X90" t="str">
        <f t="array" ref="X90">IF($Q90="","",_xlfn.TEXTJOIN(", ",TRUE,IF(JUL!$G92:$AK92="FL",JUL!$G$4:$AK$4,"")))</f>
        <v/>
      </c>
      <c r="Y90" t="str">
        <f t="array" ref="Y90">IF($Q90="","",_xlfn.TEXTJOIN(", ",TRUE,IF(AGO!$G92:$AK92="FL",AGO!$G$4:$AK$4,"")))</f>
        <v/>
      </c>
      <c r="Z90" t="str">
        <f t="array" ref="Z90">IF($Q90="","",_xlfn.TEXTJOIN(", ",TRUE,IF(SET!$G92:$AK92="FL",SET!$G$4:$AK$4,"")))</f>
        <v/>
      </c>
      <c r="AA90" t="str">
        <f t="array" ref="AA90">IF($Q90="","",_xlfn.TEXTJOIN(", ",TRUE,IF(OUT!$G92:$AK92="FL",OUT!$G$4:$AK$4,"")))</f>
        <v/>
      </c>
      <c r="AB90" t="str">
        <f t="array" ref="AB90">IF($Q90="","",_xlfn.TEXTJOIN(", ",TRUE,IF(NOV!$G92:$AK92="FL",NOV!$G$4:$AK$4,"")))</f>
        <v/>
      </c>
      <c r="AC90" t="str">
        <f t="array" ref="AC90">IF($Q90="","",_xlfn.TEXTJOIN(", ",TRUE,IF(DEZ!$G92:$AK92="FL",DEZ!$G$4:$AK$4,"")))</f>
        <v/>
      </c>
      <c r="AD90" t="str">
        <f>IF($Q90="","",COUNTIF(JAN!$G92:$AK92,"FL")+COUNTIF(FEV!$G92:$AK92,"FL")+COUNTIF(MAR!$G92:$AK92,"FL")+COUNTIF(ABR!$G92:$AK92,"FL")+COUNTIF(MAI!$G92:$AK92,"FL")+COUNTIF(JUN!$G92:$AK92,"FL")+COUNTIF(JUL!$G92:$AK92,"FL")+COUNTIF(AGO!$G92:$AK92,"FL")+COUNTIF(SET!$G92:$AK92,"FL")+COUNTIF(OUT!$G92:$AK92,"FL")+COUNTIF(NOV!$G92:$AK92,"FL")+COUNTIF(DEZ!$G92:$AK92,"FL"))</f>
        <v/>
      </c>
      <c r="AF90" t="str">
        <f>IF(AND($Q90&lt;&gt;"",N($AD90)&gt;0),COUNT($AF$3:AF89)+1,"")</f>
        <v/>
      </c>
    </row>
    <row r="91" spans="1:32" hidden="1" outlineLevel="1" x14ac:dyDescent="0.25">
      <c r="A91" s="36" t="str">
        <f>IFERROR(INDEX($Q$4:$Q$153,MATCH(ROWS($A$4:A91),$AF$4:$AF$153,0)),"")</f>
        <v/>
      </c>
      <c r="B91" s="35" t="str">
        <f>IFERROR(INDEX($R$4:$R$153,MATCH(ROWS($A$4:A91),$AF$4:$AF$153,0)),"")</f>
        <v/>
      </c>
      <c r="C91" s="35" t="str">
        <f>IFERROR(INDEX($S$4:$S$153,MATCH(ROWS($A$4:A91),$AF$4:$AF$153,0)),"")</f>
        <v/>
      </c>
      <c r="D91" s="35" t="str">
        <f>IFERROR(INDEX($T$4:$T$153,MATCH(ROWS($A$4:A91),$AF$4:$AF$153,0)),"")</f>
        <v/>
      </c>
      <c r="E91" s="35" t="str">
        <f>IFERROR(INDEX($U$4:$U$153,MATCH(ROWS($A$4:A91),$AF$4:$AF$153,0)),"")</f>
        <v/>
      </c>
      <c r="F91" s="35" t="str">
        <f>IFERROR(INDEX($V$4:$V$153,MATCH(ROWS($A$4:A91),$AF$4:$AF$153,0)),"")</f>
        <v/>
      </c>
      <c r="G91" s="35" t="str">
        <f>IFERROR(INDEX($W$4:$W$153,MATCH(ROWS($A$4:A91),$AF$4:$AF$153,0)),"")</f>
        <v/>
      </c>
      <c r="H91" s="35" t="str">
        <f>IFERROR(INDEX($X$4:$X$153,MATCH(ROWS($A$4:A91),$AF$4:$AF$153,0)),"")</f>
        <v/>
      </c>
      <c r="I91" s="72" t="str">
        <f>IFERROR(INDEX($Y$4:$Y$153,MATCH(ROWS($A$4:A91),$AF$4:$AF$153,0)),"")</f>
        <v/>
      </c>
      <c r="J91" s="35" t="str">
        <f>IFERROR(INDEX($Z$4:$Z$153,MATCH(ROWS($A$4:A91),$AF$4:$AF$153,0)),"")</f>
        <v/>
      </c>
      <c r="K91" s="35" t="str">
        <f>IFERROR(INDEX($AA$4:$AA$153,MATCH(ROWS($A$4:A91),$AF$4:$AF$153,0)),"")</f>
        <v/>
      </c>
      <c r="L91" s="35" t="str">
        <f>IFERROR(INDEX($AB$4:$AB$153,MATCH(ROWS($A$4:A91),$AF$4:$AF$153,0)),"")</f>
        <v/>
      </c>
      <c r="M91" s="35" t="str">
        <f>IFERROR(INDEX($AC$4:$AC$153,MATCH(ROWS($A$4:A91),$AF$4:$AF$153,0)),"")</f>
        <v/>
      </c>
      <c r="N91" s="35" t="str">
        <f>IFERROR(INDEX($AD$4:$AD$153,MATCH(ROWS($A$4:A91),$AF$4:$AF$153,0)),"")</f>
        <v/>
      </c>
      <c r="Q91" t="str">
        <f>T(JAN!B93)</f>
        <v/>
      </c>
      <c r="R91" t="str">
        <f t="array" ref="R91">IF($Q91="","",_xlfn.TEXTJOIN(", ",TRUE,IF(JAN!$G93:$AK93="FL",JAN!$G$4:$AK$4,"")))</f>
        <v/>
      </c>
      <c r="S91" t="str">
        <f t="array" ref="S91">IF($Q91="","",_xlfn.TEXTJOIN(", ",TRUE,IF(FEV!$G93:$AK93="FL",FEV!$G$4:$AK$4,"")))</f>
        <v/>
      </c>
      <c r="T91" t="str">
        <f t="array" ref="T91">IF($Q91="","",_xlfn.TEXTJOIN(", ",TRUE,IF(MAR!$G93:$AK93="FL",MAR!$G$4:$AK$4,"")))</f>
        <v/>
      </c>
      <c r="U91" t="str">
        <f t="array" ref="U91">IF($Q91="","",_xlfn.TEXTJOIN(", ",TRUE,IF(ABR!$G93:$AK93="FL",ABR!$G$4:$AK$4,"")))</f>
        <v/>
      </c>
      <c r="V91" t="str">
        <f t="array" ref="V91">IF($Q91="","",_xlfn.TEXTJOIN(", ",TRUE,IF(MAI!$G93:$AK93="FL",MAI!$G$4:$AK$4,"")))</f>
        <v/>
      </c>
      <c r="W91" t="str">
        <f t="array" ref="W91">IF($Q91="","",_xlfn.TEXTJOIN(", ",TRUE,IF(JUN!$G93:$AK93="FL",JUN!$G$4:$AK$4,"")))</f>
        <v/>
      </c>
      <c r="X91" t="str">
        <f t="array" ref="X91">IF($Q91="","",_xlfn.TEXTJOIN(", ",TRUE,IF(JUL!$G93:$AK93="FL",JUL!$G$4:$AK$4,"")))</f>
        <v/>
      </c>
      <c r="Y91" t="str">
        <f t="array" ref="Y91">IF($Q91="","",_xlfn.TEXTJOIN(", ",TRUE,IF(AGO!$G93:$AK93="FL",AGO!$G$4:$AK$4,"")))</f>
        <v/>
      </c>
      <c r="Z91" t="str">
        <f t="array" ref="Z91">IF($Q91="","",_xlfn.TEXTJOIN(", ",TRUE,IF(SET!$G93:$AK93="FL",SET!$G$4:$AK$4,"")))</f>
        <v/>
      </c>
      <c r="AA91" t="str">
        <f t="array" ref="AA91">IF($Q91="","",_xlfn.TEXTJOIN(", ",TRUE,IF(OUT!$G93:$AK93="FL",OUT!$G$4:$AK$4,"")))</f>
        <v/>
      </c>
      <c r="AB91" t="str">
        <f t="array" ref="AB91">IF($Q91="","",_xlfn.TEXTJOIN(", ",TRUE,IF(NOV!$G93:$AK93="FL",NOV!$G$4:$AK$4,"")))</f>
        <v/>
      </c>
      <c r="AC91" t="str">
        <f t="array" ref="AC91">IF($Q91="","",_xlfn.TEXTJOIN(", ",TRUE,IF(DEZ!$G93:$AK93="FL",DEZ!$G$4:$AK$4,"")))</f>
        <v/>
      </c>
      <c r="AD91" t="str">
        <f>IF($Q91="","",COUNTIF(JAN!$G93:$AK93,"FL")+COUNTIF(FEV!$G93:$AK93,"FL")+COUNTIF(MAR!$G93:$AK93,"FL")+COUNTIF(ABR!$G93:$AK93,"FL")+COUNTIF(MAI!$G93:$AK93,"FL")+COUNTIF(JUN!$G93:$AK93,"FL")+COUNTIF(JUL!$G93:$AK93,"FL")+COUNTIF(AGO!$G93:$AK93,"FL")+COUNTIF(SET!$G93:$AK93,"FL")+COUNTIF(OUT!$G93:$AK93,"FL")+COUNTIF(NOV!$G93:$AK93,"FL")+COUNTIF(DEZ!$G93:$AK93,"FL"))</f>
        <v/>
      </c>
      <c r="AF91" t="str">
        <f>IF(AND($Q91&lt;&gt;"",N($AD91)&gt;0),COUNT($AF$3:AF90)+1,"")</f>
        <v/>
      </c>
    </row>
    <row r="92" spans="1:32" hidden="1" outlineLevel="1" x14ac:dyDescent="0.25">
      <c r="A92" s="36" t="str">
        <f>IFERROR(INDEX($Q$4:$Q$153,MATCH(ROWS($A$4:A92),$AF$4:$AF$153,0)),"")</f>
        <v/>
      </c>
      <c r="B92" s="35" t="str">
        <f>IFERROR(INDEX($R$4:$R$153,MATCH(ROWS($A$4:A92),$AF$4:$AF$153,0)),"")</f>
        <v/>
      </c>
      <c r="C92" s="35" t="str">
        <f>IFERROR(INDEX($S$4:$S$153,MATCH(ROWS($A$4:A92),$AF$4:$AF$153,0)),"")</f>
        <v/>
      </c>
      <c r="D92" s="35" t="str">
        <f>IFERROR(INDEX($T$4:$T$153,MATCH(ROWS($A$4:A92),$AF$4:$AF$153,0)),"")</f>
        <v/>
      </c>
      <c r="E92" s="35" t="str">
        <f>IFERROR(INDEX($U$4:$U$153,MATCH(ROWS($A$4:A92),$AF$4:$AF$153,0)),"")</f>
        <v/>
      </c>
      <c r="F92" s="35" t="str">
        <f>IFERROR(INDEX($V$4:$V$153,MATCH(ROWS($A$4:A92),$AF$4:$AF$153,0)),"")</f>
        <v/>
      </c>
      <c r="G92" s="35" t="str">
        <f>IFERROR(INDEX($W$4:$W$153,MATCH(ROWS($A$4:A92),$AF$4:$AF$153,0)),"")</f>
        <v/>
      </c>
      <c r="H92" s="35" t="str">
        <f>IFERROR(INDEX($X$4:$X$153,MATCH(ROWS($A$4:A92),$AF$4:$AF$153,0)),"")</f>
        <v/>
      </c>
      <c r="I92" s="72" t="str">
        <f>IFERROR(INDEX($Y$4:$Y$153,MATCH(ROWS($A$4:A92),$AF$4:$AF$153,0)),"")</f>
        <v/>
      </c>
      <c r="J92" s="35" t="str">
        <f>IFERROR(INDEX($Z$4:$Z$153,MATCH(ROWS($A$4:A92),$AF$4:$AF$153,0)),"")</f>
        <v/>
      </c>
      <c r="K92" s="35" t="str">
        <f>IFERROR(INDEX($AA$4:$AA$153,MATCH(ROWS($A$4:A92),$AF$4:$AF$153,0)),"")</f>
        <v/>
      </c>
      <c r="L92" s="35" t="str">
        <f>IFERROR(INDEX($AB$4:$AB$153,MATCH(ROWS($A$4:A92),$AF$4:$AF$153,0)),"")</f>
        <v/>
      </c>
      <c r="M92" s="35" t="str">
        <f>IFERROR(INDEX($AC$4:$AC$153,MATCH(ROWS($A$4:A92),$AF$4:$AF$153,0)),"")</f>
        <v/>
      </c>
      <c r="N92" s="35" t="str">
        <f>IFERROR(INDEX($AD$4:$AD$153,MATCH(ROWS($A$4:A92),$AF$4:$AF$153,0)),"")</f>
        <v/>
      </c>
      <c r="Q92" t="str">
        <f>T(JAN!B94)</f>
        <v/>
      </c>
      <c r="R92" t="str">
        <f t="array" ref="R92">IF($Q92="","",_xlfn.TEXTJOIN(", ",TRUE,IF(JAN!$G94:$AK94="FL",JAN!$G$4:$AK$4,"")))</f>
        <v/>
      </c>
      <c r="S92" t="str">
        <f t="array" ref="S92">IF($Q92="","",_xlfn.TEXTJOIN(", ",TRUE,IF(FEV!$G94:$AK94="FL",FEV!$G$4:$AK$4,"")))</f>
        <v/>
      </c>
      <c r="T92" t="str">
        <f t="array" ref="T92">IF($Q92="","",_xlfn.TEXTJOIN(", ",TRUE,IF(MAR!$G94:$AK94="FL",MAR!$G$4:$AK$4,"")))</f>
        <v/>
      </c>
      <c r="U92" t="str">
        <f t="array" ref="U92">IF($Q92="","",_xlfn.TEXTJOIN(", ",TRUE,IF(ABR!$G94:$AK94="FL",ABR!$G$4:$AK$4,"")))</f>
        <v/>
      </c>
      <c r="V92" t="str">
        <f t="array" ref="V92">IF($Q92="","",_xlfn.TEXTJOIN(", ",TRUE,IF(MAI!$G94:$AK94="FL",MAI!$G$4:$AK$4,"")))</f>
        <v/>
      </c>
      <c r="W92" t="str">
        <f t="array" ref="W92">IF($Q92="","",_xlfn.TEXTJOIN(", ",TRUE,IF(JUN!$G94:$AK94="FL",JUN!$G$4:$AK$4,"")))</f>
        <v/>
      </c>
      <c r="X92" t="str">
        <f t="array" ref="X92">IF($Q92="","",_xlfn.TEXTJOIN(", ",TRUE,IF(JUL!$G94:$AK94="FL",JUL!$G$4:$AK$4,"")))</f>
        <v/>
      </c>
      <c r="Y92" t="str">
        <f t="array" ref="Y92">IF($Q92="","",_xlfn.TEXTJOIN(", ",TRUE,IF(AGO!$G94:$AK94="FL",AGO!$G$4:$AK$4,"")))</f>
        <v/>
      </c>
      <c r="Z92" t="str">
        <f t="array" ref="Z92">IF($Q92="","",_xlfn.TEXTJOIN(", ",TRUE,IF(SET!$G94:$AK94="FL",SET!$G$4:$AK$4,"")))</f>
        <v/>
      </c>
      <c r="AA92" t="str">
        <f t="array" ref="AA92">IF($Q92="","",_xlfn.TEXTJOIN(", ",TRUE,IF(OUT!$G94:$AK94="FL",OUT!$G$4:$AK$4,"")))</f>
        <v/>
      </c>
      <c r="AB92" t="str">
        <f t="array" ref="AB92">IF($Q92="","",_xlfn.TEXTJOIN(", ",TRUE,IF(NOV!$G94:$AK94="FL",NOV!$G$4:$AK$4,"")))</f>
        <v/>
      </c>
      <c r="AC92" t="str">
        <f t="array" ref="AC92">IF($Q92="","",_xlfn.TEXTJOIN(", ",TRUE,IF(DEZ!$G94:$AK94="FL",DEZ!$G$4:$AK$4,"")))</f>
        <v/>
      </c>
      <c r="AD92" t="str">
        <f>IF($Q92="","",COUNTIF(JAN!$G94:$AK94,"FL")+COUNTIF(FEV!$G94:$AK94,"FL")+COUNTIF(MAR!$G94:$AK94,"FL")+COUNTIF(ABR!$G94:$AK94,"FL")+COUNTIF(MAI!$G94:$AK94,"FL")+COUNTIF(JUN!$G94:$AK94,"FL")+COUNTIF(JUL!$G94:$AK94,"FL")+COUNTIF(AGO!$G94:$AK94,"FL")+COUNTIF(SET!$G94:$AK94,"FL")+COUNTIF(OUT!$G94:$AK94,"FL")+COUNTIF(NOV!$G94:$AK94,"FL")+COUNTIF(DEZ!$G94:$AK94,"FL"))</f>
        <v/>
      </c>
      <c r="AF92" t="str">
        <f>IF(AND($Q92&lt;&gt;"",N($AD92)&gt;0),COUNT($AF$3:AF91)+1,"")</f>
        <v/>
      </c>
    </row>
    <row r="93" spans="1:32" hidden="1" outlineLevel="1" x14ac:dyDescent="0.25">
      <c r="A93" s="36" t="str">
        <f>IFERROR(INDEX($Q$4:$Q$153,MATCH(ROWS($A$4:A93),$AF$4:$AF$153,0)),"")</f>
        <v/>
      </c>
      <c r="B93" s="35" t="str">
        <f>IFERROR(INDEX($R$4:$R$153,MATCH(ROWS($A$4:A93),$AF$4:$AF$153,0)),"")</f>
        <v/>
      </c>
      <c r="C93" s="35" t="str">
        <f>IFERROR(INDEX($S$4:$S$153,MATCH(ROWS($A$4:A93),$AF$4:$AF$153,0)),"")</f>
        <v/>
      </c>
      <c r="D93" s="35" t="str">
        <f>IFERROR(INDEX($T$4:$T$153,MATCH(ROWS($A$4:A93),$AF$4:$AF$153,0)),"")</f>
        <v/>
      </c>
      <c r="E93" s="35" t="str">
        <f>IFERROR(INDEX($U$4:$U$153,MATCH(ROWS($A$4:A93),$AF$4:$AF$153,0)),"")</f>
        <v/>
      </c>
      <c r="F93" s="35" t="str">
        <f>IFERROR(INDEX($V$4:$V$153,MATCH(ROWS($A$4:A93),$AF$4:$AF$153,0)),"")</f>
        <v/>
      </c>
      <c r="G93" s="35" t="str">
        <f>IFERROR(INDEX($W$4:$W$153,MATCH(ROWS($A$4:A93),$AF$4:$AF$153,0)),"")</f>
        <v/>
      </c>
      <c r="H93" s="35" t="str">
        <f>IFERROR(INDEX($X$4:$X$153,MATCH(ROWS($A$4:A93),$AF$4:$AF$153,0)),"")</f>
        <v/>
      </c>
      <c r="I93" s="72" t="str">
        <f>IFERROR(INDEX($Y$4:$Y$153,MATCH(ROWS($A$4:A93),$AF$4:$AF$153,0)),"")</f>
        <v/>
      </c>
      <c r="J93" s="35" t="str">
        <f>IFERROR(INDEX($Z$4:$Z$153,MATCH(ROWS($A$4:A93),$AF$4:$AF$153,0)),"")</f>
        <v/>
      </c>
      <c r="K93" s="35" t="str">
        <f>IFERROR(INDEX($AA$4:$AA$153,MATCH(ROWS($A$4:A93),$AF$4:$AF$153,0)),"")</f>
        <v/>
      </c>
      <c r="L93" s="35" t="str">
        <f>IFERROR(INDEX($AB$4:$AB$153,MATCH(ROWS($A$4:A93),$AF$4:$AF$153,0)),"")</f>
        <v/>
      </c>
      <c r="M93" s="35" t="str">
        <f>IFERROR(INDEX($AC$4:$AC$153,MATCH(ROWS($A$4:A93),$AF$4:$AF$153,0)),"")</f>
        <v/>
      </c>
      <c r="N93" s="35" t="str">
        <f>IFERROR(INDEX($AD$4:$AD$153,MATCH(ROWS($A$4:A93),$AF$4:$AF$153,0)),"")</f>
        <v/>
      </c>
      <c r="Q93" t="str">
        <f>T(JAN!B95)</f>
        <v/>
      </c>
      <c r="R93" t="str">
        <f t="array" ref="R93">IF($Q93="","",_xlfn.TEXTJOIN(", ",TRUE,IF(JAN!$G95:$AK95="FL",JAN!$G$4:$AK$4,"")))</f>
        <v/>
      </c>
      <c r="S93" t="str">
        <f t="array" ref="S93">IF($Q93="","",_xlfn.TEXTJOIN(", ",TRUE,IF(FEV!$G95:$AK95="FL",FEV!$G$4:$AK$4,"")))</f>
        <v/>
      </c>
      <c r="T93" t="str">
        <f t="array" ref="T93">IF($Q93="","",_xlfn.TEXTJOIN(", ",TRUE,IF(MAR!$G95:$AK95="FL",MAR!$G$4:$AK$4,"")))</f>
        <v/>
      </c>
      <c r="U93" t="str">
        <f t="array" ref="U93">IF($Q93="","",_xlfn.TEXTJOIN(", ",TRUE,IF(ABR!$G95:$AK95="FL",ABR!$G$4:$AK$4,"")))</f>
        <v/>
      </c>
      <c r="V93" t="str">
        <f t="array" ref="V93">IF($Q93="","",_xlfn.TEXTJOIN(", ",TRUE,IF(MAI!$G95:$AK95="FL",MAI!$G$4:$AK$4,"")))</f>
        <v/>
      </c>
      <c r="W93" t="str">
        <f t="array" ref="W93">IF($Q93="","",_xlfn.TEXTJOIN(", ",TRUE,IF(JUN!$G95:$AK95="FL",JUN!$G$4:$AK$4,"")))</f>
        <v/>
      </c>
      <c r="X93" t="str">
        <f t="array" ref="X93">IF($Q93="","",_xlfn.TEXTJOIN(", ",TRUE,IF(JUL!$G95:$AK95="FL",JUL!$G$4:$AK$4,"")))</f>
        <v/>
      </c>
      <c r="Y93" t="str">
        <f t="array" ref="Y93">IF($Q93="","",_xlfn.TEXTJOIN(", ",TRUE,IF(AGO!$G95:$AK95="FL",AGO!$G$4:$AK$4,"")))</f>
        <v/>
      </c>
      <c r="Z93" t="str">
        <f t="array" ref="Z93">IF($Q93="","",_xlfn.TEXTJOIN(", ",TRUE,IF(SET!$G95:$AK95="FL",SET!$G$4:$AK$4,"")))</f>
        <v/>
      </c>
      <c r="AA93" t="str">
        <f t="array" ref="AA93">IF($Q93="","",_xlfn.TEXTJOIN(", ",TRUE,IF(OUT!$G95:$AK95="FL",OUT!$G$4:$AK$4,"")))</f>
        <v/>
      </c>
      <c r="AB93" t="str">
        <f t="array" ref="AB93">IF($Q93="","",_xlfn.TEXTJOIN(", ",TRUE,IF(NOV!$G95:$AK95="FL",NOV!$G$4:$AK$4,"")))</f>
        <v/>
      </c>
      <c r="AC93" t="str">
        <f t="array" ref="AC93">IF($Q93="","",_xlfn.TEXTJOIN(", ",TRUE,IF(DEZ!$G95:$AK95="FL",DEZ!$G$4:$AK$4,"")))</f>
        <v/>
      </c>
      <c r="AD93" t="str">
        <f>IF($Q93="","",COUNTIF(JAN!$G95:$AK95,"FL")+COUNTIF(FEV!$G95:$AK95,"FL")+COUNTIF(MAR!$G95:$AK95,"FL")+COUNTIF(ABR!$G95:$AK95,"FL")+COUNTIF(MAI!$G95:$AK95,"FL")+COUNTIF(JUN!$G95:$AK95,"FL")+COUNTIF(JUL!$G95:$AK95,"FL")+COUNTIF(AGO!$G95:$AK95,"FL")+COUNTIF(SET!$G95:$AK95,"FL")+COUNTIF(OUT!$G95:$AK95,"FL")+COUNTIF(NOV!$G95:$AK95,"FL")+COUNTIF(DEZ!$G95:$AK95,"FL"))</f>
        <v/>
      </c>
      <c r="AF93" t="str">
        <f>IF(AND($Q93&lt;&gt;"",N($AD93)&gt;0),COUNT($AF$3:AF92)+1,"")</f>
        <v/>
      </c>
    </row>
    <row r="94" spans="1:32" hidden="1" outlineLevel="1" x14ac:dyDescent="0.25">
      <c r="A94" s="36" t="str">
        <f>IFERROR(INDEX($Q$4:$Q$153,MATCH(ROWS($A$4:A94),$AF$4:$AF$153,0)),"")</f>
        <v/>
      </c>
      <c r="B94" s="35" t="str">
        <f>IFERROR(INDEX($R$4:$R$153,MATCH(ROWS($A$4:A94),$AF$4:$AF$153,0)),"")</f>
        <v/>
      </c>
      <c r="C94" s="35" t="str">
        <f>IFERROR(INDEX($S$4:$S$153,MATCH(ROWS($A$4:A94),$AF$4:$AF$153,0)),"")</f>
        <v/>
      </c>
      <c r="D94" s="35" t="str">
        <f>IFERROR(INDEX($T$4:$T$153,MATCH(ROWS($A$4:A94),$AF$4:$AF$153,0)),"")</f>
        <v/>
      </c>
      <c r="E94" s="35" t="str">
        <f>IFERROR(INDEX($U$4:$U$153,MATCH(ROWS($A$4:A94),$AF$4:$AF$153,0)),"")</f>
        <v/>
      </c>
      <c r="F94" s="35" t="str">
        <f>IFERROR(INDEX($V$4:$V$153,MATCH(ROWS($A$4:A94),$AF$4:$AF$153,0)),"")</f>
        <v/>
      </c>
      <c r="G94" s="35" t="str">
        <f>IFERROR(INDEX($W$4:$W$153,MATCH(ROWS($A$4:A94),$AF$4:$AF$153,0)),"")</f>
        <v/>
      </c>
      <c r="H94" s="35" t="str">
        <f>IFERROR(INDEX($X$4:$X$153,MATCH(ROWS($A$4:A94),$AF$4:$AF$153,0)),"")</f>
        <v/>
      </c>
      <c r="I94" s="72" t="str">
        <f>IFERROR(INDEX($Y$4:$Y$153,MATCH(ROWS($A$4:A94),$AF$4:$AF$153,0)),"")</f>
        <v/>
      </c>
      <c r="J94" s="35" t="str">
        <f>IFERROR(INDEX($Z$4:$Z$153,MATCH(ROWS($A$4:A94),$AF$4:$AF$153,0)),"")</f>
        <v/>
      </c>
      <c r="K94" s="35" t="str">
        <f>IFERROR(INDEX($AA$4:$AA$153,MATCH(ROWS($A$4:A94),$AF$4:$AF$153,0)),"")</f>
        <v/>
      </c>
      <c r="L94" s="35" t="str">
        <f>IFERROR(INDEX($AB$4:$AB$153,MATCH(ROWS($A$4:A94),$AF$4:$AF$153,0)),"")</f>
        <v/>
      </c>
      <c r="M94" s="35" t="str">
        <f>IFERROR(INDEX($AC$4:$AC$153,MATCH(ROWS($A$4:A94),$AF$4:$AF$153,0)),"")</f>
        <v/>
      </c>
      <c r="N94" s="35" t="str">
        <f>IFERROR(INDEX($AD$4:$AD$153,MATCH(ROWS($A$4:A94),$AF$4:$AF$153,0)),"")</f>
        <v/>
      </c>
      <c r="Q94" t="str">
        <f>T(JAN!B96)</f>
        <v/>
      </c>
      <c r="R94" t="str">
        <f t="array" ref="R94">IF($Q94="","",_xlfn.TEXTJOIN(", ",TRUE,IF(JAN!$G96:$AK96="FL",JAN!$G$4:$AK$4,"")))</f>
        <v/>
      </c>
      <c r="S94" t="str">
        <f t="array" ref="S94">IF($Q94="","",_xlfn.TEXTJOIN(", ",TRUE,IF(FEV!$G96:$AK96="FL",FEV!$G$4:$AK$4,"")))</f>
        <v/>
      </c>
      <c r="T94" t="str">
        <f t="array" ref="T94">IF($Q94="","",_xlfn.TEXTJOIN(", ",TRUE,IF(MAR!$G96:$AK96="FL",MAR!$G$4:$AK$4,"")))</f>
        <v/>
      </c>
      <c r="U94" t="str">
        <f t="array" ref="U94">IF($Q94="","",_xlfn.TEXTJOIN(", ",TRUE,IF(ABR!$G96:$AK96="FL",ABR!$G$4:$AK$4,"")))</f>
        <v/>
      </c>
      <c r="V94" t="str">
        <f t="array" ref="V94">IF($Q94="","",_xlfn.TEXTJOIN(", ",TRUE,IF(MAI!$G96:$AK96="FL",MAI!$G$4:$AK$4,"")))</f>
        <v/>
      </c>
      <c r="W94" t="str">
        <f t="array" ref="W94">IF($Q94="","",_xlfn.TEXTJOIN(", ",TRUE,IF(JUN!$G96:$AK96="FL",JUN!$G$4:$AK$4,"")))</f>
        <v/>
      </c>
      <c r="X94" t="str">
        <f t="array" ref="X94">IF($Q94="","",_xlfn.TEXTJOIN(", ",TRUE,IF(JUL!$G96:$AK96="FL",JUL!$G$4:$AK$4,"")))</f>
        <v/>
      </c>
      <c r="Y94" t="str">
        <f t="array" ref="Y94">IF($Q94="","",_xlfn.TEXTJOIN(", ",TRUE,IF(AGO!$G96:$AK96="FL",AGO!$G$4:$AK$4,"")))</f>
        <v/>
      </c>
      <c r="Z94" t="str">
        <f t="array" ref="Z94">IF($Q94="","",_xlfn.TEXTJOIN(", ",TRUE,IF(SET!$G96:$AK96="FL",SET!$G$4:$AK$4,"")))</f>
        <v/>
      </c>
      <c r="AA94" t="str">
        <f t="array" ref="AA94">IF($Q94="","",_xlfn.TEXTJOIN(", ",TRUE,IF(OUT!$G96:$AK96="FL",OUT!$G$4:$AK$4,"")))</f>
        <v/>
      </c>
      <c r="AB94" t="str">
        <f t="array" ref="AB94">IF($Q94="","",_xlfn.TEXTJOIN(", ",TRUE,IF(NOV!$G96:$AK96="FL",NOV!$G$4:$AK$4,"")))</f>
        <v/>
      </c>
      <c r="AC94" t="str">
        <f t="array" ref="AC94">IF($Q94="","",_xlfn.TEXTJOIN(", ",TRUE,IF(DEZ!$G96:$AK96="FL",DEZ!$G$4:$AK$4,"")))</f>
        <v/>
      </c>
      <c r="AD94" t="str">
        <f>IF($Q94="","",COUNTIF(JAN!$G96:$AK96,"FL")+COUNTIF(FEV!$G96:$AK96,"FL")+COUNTIF(MAR!$G96:$AK96,"FL")+COUNTIF(ABR!$G96:$AK96,"FL")+COUNTIF(MAI!$G96:$AK96,"FL")+COUNTIF(JUN!$G96:$AK96,"FL")+COUNTIF(JUL!$G96:$AK96,"FL")+COUNTIF(AGO!$G96:$AK96,"FL")+COUNTIF(SET!$G96:$AK96,"FL")+COUNTIF(OUT!$G96:$AK96,"FL")+COUNTIF(NOV!$G96:$AK96,"FL")+COUNTIF(DEZ!$G96:$AK96,"FL"))</f>
        <v/>
      </c>
      <c r="AF94" t="str">
        <f>IF(AND($Q94&lt;&gt;"",N($AD94)&gt;0),COUNT($AF$3:AF93)+1,"")</f>
        <v/>
      </c>
    </row>
    <row r="95" spans="1:32" hidden="1" outlineLevel="1" x14ac:dyDescent="0.25">
      <c r="A95" s="36" t="str">
        <f>IFERROR(INDEX($Q$4:$Q$153,MATCH(ROWS($A$4:A95),$AF$4:$AF$153,0)),"")</f>
        <v/>
      </c>
      <c r="B95" s="35" t="str">
        <f>IFERROR(INDEX($R$4:$R$153,MATCH(ROWS($A$4:A95),$AF$4:$AF$153,0)),"")</f>
        <v/>
      </c>
      <c r="C95" s="35" t="str">
        <f>IFERROR(INDEX($S$4:$S$153,MATCH(ROWS($A$4:A95),$AF$4:$AF$153,0)),"")</f>
        <v/>
      </c>
      <c r="D95" s="35" t="str">
        <f>IFERROR(INDEX($T$4:$T$153,MATCH(ROWS($A$4:A95),$AF$4:$AF$153,0)),"")</f>
        <v/>
      </c>
      <c r="E95" s="35" t="str">
        <f>IFERROR(INDEX($U$4:$U$153,MATCH(ROWS($A$4:A95),$AF$4:$AF$153,0)),"")</f>
        <v/>
      </c>
      <c r="F95" s="35" t="str">
        <f>IFERROR(INDEX($V$4:$V$153,MATCH(ROWS($A$4:A95),$AF$4:$AF$153,0)),"")</f>
        <v/>
      </c>
      <c r="G95" s="35" t="str">
        <f>IFERROR(INDEX($W$4:$W$153,MATCH(ROWS($A$4:A95),$AF$4:$AF$153,0)),"")</f>
        <v/>
      </c>
      <c r="H95" s="35" t="str">
        <f>IFERROR(INDEX($X$4:$X$153,MATCH(ROWS($A$4:A95),$AF$4:$AF$153,0)),"")</f>
        <v/>
      </c>
      <c r="I95" s="72" t="str">
        <f>IFERROR(INDEX($Y$4:$Y$153,MATCH(ROWS($A$4:A95),$AF$4:$AF$153,0)),"")</f>
        <v/>
      </c>
      <c r="J95" s="35" t="str">
        <f>IFERROR(INDEX($Z$4:$Z$153,MATCH(ROWS($A$4:A95),$AF$4:$AF$153,0)),"")</f>
        <v/>
      </c>
      <c r="K95" s="35" t="str">
        <f>IFERROR(INDEX($AA$4:$AA$153,MATCH(ROWS($A$4:A95),$AF$4:$AF$153,0)),"")</f>
        <v/>
      </c>
      <c r="L95" s="35" t="str">
        <f>IFERROR(INDEX($AB$4:$AB$153,MATCH(ROWS($A$4:A95),$AF$4:$AF$153,0)),"")</f>
        <v/>
      </c>
      <c r="M95" s="35" t="str">
        <f>IFERROR(INDEX($AC$4:$AC$153,MATCH(ROWS($A$4:A95),$AF$4:$AF$153,0)),"")</f>
        <v/>
      </c>
      <c r="N95" s="35" t="str">
        <f>IFERROR(INDEX($AD$4:$AD$153,MATCH(ROWS($A$4:A95),$AF$4:$AF$153,0)),"")</f>
        <v/>
      </c>
      <c r="Q95" t="str">
        <f>T(JAN!B97)</f>
        <v/>
      </c>
      <c r="R95" t="str">
        <f t="array" ref="R95">IF($Q95="","",_xlfn.TEXTJOIN(", ",TRUE,IF(JAN!$G97:$AK97="FL",JAN!$G$4:$AK$4,"")))</f>
        <v/>
      </c>
      <c r="S95" t="str">
        <f t="array" ref="S95">IF($Q95="","",_xlfn.TEXTJOIN(", ",TRUE,IF(FEV!$G97:$AK97="FL",FEV!$G$4:$AK$4,"")))</f>
        <v/>
      </c>
      <c r="T95" t="str">
        <f t="array" ref="T95">IF($Q95="","",_xlfn.TEXTJOIN(", ",TRUE,IF(MAR!$G97:$AK97="FL",MAR!$G$4:$AK$4,"")))</f>
        <v/>
      </c>
      <c r="U95" t="str">
        <f t="array" ref="U95">IF($Q95="","",_xlfn.TEXTJOIN(", ",TRUE,IF(ABR!$G97:$AK97="FL",ABR!$G$4:$AK$4,"")))</f>
        <v/>
      </c>
      <c r="V95" t="str">
        <f t="array" ref="V95">IF($Q95="","",_xlfn.TEXTJOIN(", ",TRUE,IF(MAI!$G97:$AK97="FL",MAI!$G$4:$AK$4,"")))</f>
        <v/>
      </c>
      <c r="W95" t="str">
        <f t="array" ref="W95">IF($Q95="","",_xlfn.TEXTJOIN(", ",TRUE,IF(JUN!$G97:$AK97="FL",JUN!$G$4:$AK$4,"")))</f>
        <v/>
      </c>
      <c r="X95" t="str">
        <f t="array" ref="X95">IF($Q95="","",_xlfn.TEXTJOIN(", ",TRUE,IF(JUL!$G97:$AK97="FL",JUL!$G$4:$AK$4,"")))</f>
        <v/>
      </c>
      <c r="Y95" t="str">
        <f t="array" ref="Y95">IF($Q95="","",_xlfn.TEXTJOIN(", ",TRUE,IF(AGO!$G97:$AK97="FL",AGO!$G$4:$AK$4,"")))</f>
        <v/>
      </c>
      <c r="Z95" t="str">
        <f t="array" ref="Z95">IF($Q95="","",_xlfn.TEXTJOIN(", ",TRUE,IF(SET!$G97:$AK97="FL",SET!$G$4:$AK$4,"")))</f>
        <v/>
      </c>
      <c r="AA95" t="str">
        <f t="array" ref="AA95">IF($Q95="","",_xlfn.TEXTJOIN(", ",TRUE,IF(OUT!$G97:$AK97="FL",OUT!$G$4:$AK$4,"")))</f>
        <v/>
      </c>
      <c r="AB95" t="str">
        <f t="array" ref="AB95">IF($Q95="","",_xlfn.TEXTJOIN(", ",TRUE,IF(NOV!$G97:$AK97="FL",NOV!$G$4:$AK$4,"")))</f>
        <v/>
      </c>
      <c r="AC95" t="str">
        <f t="array" ref="AC95">IF($Q95="","",_xlfn.TEXTJOIN(", ",TRUE,IF(DEZ!$G97:$AK97="FL",DEZ!$G$4:$AK$4,"")))</f>
        <v/>
      </c>
      <c r="AD95" t="str">
        <f>IF($Q95="","",COUNTIF(JAN!$G97:$AK97,"FL")+COUNTIF(FEV!$G97:$AK97,"FL")+COUNTIF(MAR!$G97:$AK97,"FL")+COUNTIF(ABR!$G97:$AK97,"FL")+COUNTIF(MAI!$G97:$AK97,"FL")+COUNTIF(JUN!$G97:$AK97,"FL")+COUNTIF(JUL!$G97:$AK97,"FL")+COUNTIF(AGO!$G97:$AK97,"FL")+COUNTIF(SET!$G97:$AK97,"FL")+COUNTIF(OUT!$G97:$AK97,"FL")+COUNTIF(NOV!$G97:$AK97,"FL")+COUNTIF(DEZ!$G97:$AK97,"FL"))</f>
        <v/>
      </c>
      <c r="AF95" t="str">
        <f>IF(AND($Q95&lt;&gt;"",N($AD95)&gt;0),COUNT($AF$3:AF94)+1,"")</f>
        <v/>
      </c>
    </row>
    <row r="96" spans="1:32" hidden="1" outlineLevel="1" x14ac:dyDescent="0.25">
      <c r="A96" s="36" t="str">
        <f>IFERROR(INDEX($Q$4:$Q$153,MATCH(ROWS($A$4:A96),$AF$4:$AF$153,0)),"")</f>
        <v/>
      </c>
      <c r="B96" s="35" t="str">
        <f>IFERROR(INDEX($R$4:$R$153,MATCH(ROWS($A$4:A96),$AF$4:$AF$153,0)),"")</f>
        <v/>
      </c>
      <c r="C96" s="35" t="str">
        <f>IFERROR(INDEX($S$4:$S$153,MATCH(ROWS($A$4:A96),$AF$4:$AF$153,0)),"")</f>
        <v/>
      </c>
      <c r="D96" s="35" t="str">
        <f>IFERROR(INDEX($T$4:$T$153,MATCH(ROWS($A$4:A96),$AF$4:$AF$153,0)),"")</f>
        <v/>
      </c>
      <c r="E96" s="35" t="str">
        <f>IFERROR(INDEX($U$4:$U$153,MATCH(ROWS($A$4:A96),$AF$4:$AF$153,0)),"")</f>
        <v/>
      </c>
      <c r="F96" s="35" t="str">
        <f>IFERROR(INDEX($V$4:$V$153,MATCH(ROWS($A$4:A96),$AF$4:$AF$153,0)),"")</f>
        <v/>
      </c>
      <c r="G96" s="35" t="str">
        <f>IFERROR(INDEX($W$4:$W$153,MATCH(ROWS($A$4:A96),$AF$4:$AF$153,0)),"")</f>
        <v/>
      </c>
      <c r="H96" s="35" t="str">
        <f>IFERROR(INDEX($X$4:$X$153,MATCH(ROWS($A$4:A96),$AF$4:$AF$153,0)),"")</f>
        <v/>
      </c>
      <c r="I96" s="72" t="str">
        <f>IFERROR(INDEX($Y$4:$Y$153,MATCH(ROWS($A$4:A96),$AF$4:$AF$153,0)),"")</f>
        <v/>
      </c>
      <c r="J96" s="35" t="str">
        <f>IFERROR(INDEX($Z$4:$Z$153,MATCH(ROWS($A$4:A96),$AF$4:$AF$153,0)),"")</f>
        <v/>
      </c>
      <c r="K96" s="35" t="str">
        <f>IFERROR(INDEX($AA$4:$AA$153,MATCH(ROWS($A$4:A96),$AF$4:$AF$153,0)),"")</f>
        <v/>
      </c>
      <c r="L96" s="35" t="str">
        <f>IFERROR(INDEX($AB$4:$AB$153,MATCH(ROWS($A$4:A96),$AF$4:$AF$153,0)),"")</f>
        <v/>
      </c>
      <c r="M96" s="35" t="str">
        <f>IFERROR(INDEX($AC$4:$AC$153,MATCH(ROWS($A$4:A96),$AF$4:$AF$153,0)),"")</f>
        <v/>
      </c>
      <c r="N96" s="35" t="str">
        <f>IFERROR(INDEX($AD$4:$AD$153,MATCH(ROWS($A$4:A96),$AF$4:$AF$153,0)),"")</f>
        <v/>
      </c>
      <c r="Q96" t="str">
        <f>T(JAN!B98)</f>
        <v/>
      </c>
      <c r="R96" t="str">
        <f t="array" ref="R96">IF($Q96="","",_xlfn.TEXTJOIN(", ",TRUE,IF(JAN!$G98:$AK98="FL",JAN!$G$4:$AK$4,"")))</f>
        <v/>
      </c>
      <c r="S96" t="str">
        <f t="array" ref="S96">IF($Q96="","",_xlfn.TEXTJOIN(", ",TRUE,IF(FEV!$G98:$AK98="FL",FEV!$G$4:$AK$4,"")))</f>
        <v/>
      </c>
      <c r="T96" t="str">
        <f t="array" ref="T96">IF($Q96="","",_xlfn.TEXTJOIN(", ",TRUE,IF(MAR!$G98:$AK98="FL",MAR!$G$4:$AK$4,"")))</f>
        <v/>
      </c>
      <c r="U96" t="str">
        <f t="array" ref="U96">IF($Q96="","",_xlfn.TEXTJOIN(", ",TRUE,IF(ABR!$G98:$AK98="FL",ABR!$G$4:$AK$4,"")))</f>
        <v/>
      </c>
      <c r="V96" t="str">
        <f t="array" ref="V96">IF($Q96="","",_xlfn.TEXTJOIN(", ",TRUE,IF(MAI!$G98:$AK98="FL",MAI!$G$4:$AK$4,"")))</f>
        <v/>
      </c>
      <c r="W96" t="str">
        <f t="array" ref="W96">IF($Q96="","",_xlfn.TEXTJOIN(", ",TRUE,IF(JUN!$G98:$AK98="FL",JUN!$G$4:$AK$4,"")))</f>
        <v/>
      </c>
      <c r="X96" t="str">
        <f t="array" ref="X96">IF($Q96="","",_xlfn.TEXTJOIN(", ",TRUE,IF(JUL!$G98:$AK98="FL",JUL!$G$4:$AK$4,"")))</f>
        <v/>
      </c>
      <c r="Y96" t="str">
        <f t="array" ref="Y96">IF($Q96="","",_xlfn.TEXTJOIN(", ",TRUE,IF(AGO!$G98:$AK98="FL",AGO!$G$4:$AK$4,"")))</f>
        <v/>
      </c>
      <c r="Z96" t="str">
        <f t="array" ref="Z96">IF($Q96="","",_xlfn.TEXTJOIN(", ",TRUE,IF(SET!$G98:$AK98="FL",SET!$G$4:$AK$4,"")))</f>
        <v/>
      </c>
      <c r="AA96" t="str">
        <f t="array" ref="AA96">IF($Q96="","",_xlfn.TEXTJOIN(", ",TRUE,IF(OUT!$G98:$AK98="FL",OUT!$G$4:$AK$4,"")))</f>
        <v/>
      </c>
      <c r="AB96" t="str">
        <f t="array" ref="AB96">IF($Q96="","",_xlfn.TEXTJOIN(", ",TRUE,IF(NOV!$G98:$AK98="FL",NOV!$G$4:$AK$4,"")))</f>
        <v/>
      </c>
      <c r="AC96" t="str">
        <f t="array" ref="AC96">IF($Q96="","",_xlfn.TEXTJOIN(", ",TRUE,IF(DEZ!$G98:$AK98="FL",DEZ!$G$4:$AK$4,"")))</f>
        <v/>
      </c>
      <c r="AD96" t="str">
        <f>IF($Q96="","",COUNTIF(JAN!$G98:$AK98,"FL")+COUNTIF(FEV!$G98:$AK98,"FL")+COUNTIF(MAR!$G98:$AK98,"FL")+COUNTIF(ABR!$G98:$AK98,"FL")+COUNTIF(MAI!$G98:$AK98,"FL")+COUNTIF(JUN!$G98:$AK98,"FL")+COUNTIF(JUL!$G98:$AK98,"FL")+COUNTIF(AGO!$G98:$AK98,"FL")+COUNTIF(SET!$G98:$AK98,"FL")+COUNTIF(OUT!$G98:$AK98,"FL")+COUNTIF(NOV!$G98:$AK98,"FL")+COUNTIF(DEZ!$G98:$AK98,"FL"))</f>
        <v/>
      </c>
      <c r="AF96" t="str">
        <f>IF(AND($Q96&lt;&gt;"",N($AD96)&gt;0),COUNT($AF$3:AF95)+1,"")</f>
        <v/>
      </c>
    </row>
    <row r="97" spans="1:32" hidden="1" outlineLevel="1" x14ac:dyDescent="0.25">
      <c r="A97" s="36" t="str">
        <f>IFERROR(INDEX($Q$4:$Q$153,MATCH(ROWS($A$4:A97),$AF$4:$AF$153,0)),"")</f>
        <v/>
      </c>
      <c r="B97" s="35" t="str">
        <f>IFERROR(INDEX($R$4:$R$153,MATCH(ROWS($A$4:A97),$AF$4:$AF$153,0)),"")</f>
        <v/>
      </c>
      <c r="C97" s="35" t="str">
        <f>IFERROR(INDEX($S$4:$S$153,MATCH(ROWS($A$4:A97),$AF$4:$AF$153,0)),"")</f>
        <v/>
      </c>
      <c r="D97" s="35" t="str">
        <f>IFERROR(INDEX($T$4:$T$153,MATCH(ROWS($A$4:A97),$AF$4:$AF$153,0)),"")</f>
        <v/>
      </c>
      <c r="E97" s="35" t="str">
        <f>IFERROR(INDEX($U$4:$U$153,MATCH(ROWS($A$4:A97),$AF$4:$AF$153,0)),"")</f>
        <v/>
      </c>
      <c r="F97" s="35" t="str">
        <f>IFERROR(INDEX($V$4:$V$153,MATCH(ROWS($A$4:A97),$AF$4:$AF$153,0)),"")</f>
        <v/>
      </c>
      <c r="G97" s="35" t="str">
        <f>IFERROR(INDEX($W$4:$W$153,MATCH(ROWS($A$4:A97),$AF$4:$AF$153,0)),"")</f>
        <v/>
      </c>
      <c r="H97" s="35" t="str">
        <f>IFERROR(INDEX($X$4:$X$153,MATCH(ROWS($A$4:A97),$AF$4:$AF$153,0)),"")</f>
        <v/>
      </c>
      <c r="I97" s="72" t="str">
        <f>IFERROR(INDEX($Y$4:$Y$153,MATCH(ROWS($A$4:A97),$AF$4:$AF$153,0)),"")</f>
        <v/>
      </c>
      <c r="J97" s="35" t="str">
        <f>IFERROR(INDEX($Z$4:$Z$153,MATCH(ROWS($A$4:A97),$AF$4:$AF$153,0)),"")</f>
        <v/>
      </c>
      <c r="K97" s="35" t="str">
        <f>IFERROR(INDEX($AA$4:$AA$153,MATCH(ROWS($A$4:A97),$AF$4:$AF$153,0)),"")</f>
        <v/>
      </c>
      <c r="L97" s="35" t="str">
        <f>IFERROR(INDEX($AB$4:$AB$153,MATCH(ROWS($A$4:A97),$AF$4:$AF$153,0)),"")</f>
        <v/>
      </c>
      <c r="M97" s="35" t="str">
        <f>IFERROR(INDEX($AC$4:$AC$153,MATCH(ROWS($A$4:A97),$AF$4:$AF$153,0)),"")</f>
        <v/>
      </c>
      <c r="N97" s="35" t="str">
        <f>IFERROR(INDEX($AD$4:$AD$153,MATCH(ROWS($A$4:A97),$AF$4:$AF$153,0)),"")</f>
        <v/>
      </c>
      <c r="Q97" t="str">
        <f>T(JAN!B99)</f>
        <v/>
      </c>
      <c r="R97" t="str">
        <f t="array" ref="R97">IF($Q97="","",_xlfn.TEXTJOIN(", ",TRUE,IF(JAN!$G99:$AK99="FL",JAN!$G$4:$AK$4,"")))</f>
        <v/>
      </c>
      <c r="S97" t="str">
        <f t="array" ref="S97">IF($Q97="","",_xlfn.TEXTJOIN(", ",TRUE,IF(FEV!$G99:$AK99="FL",FEV!$G$4:$AK$4,"")))</f>
        <v/>
      </c>
      <c r="T97" t="str">
        <f t="array" ref="T97">IF($Q97="","",_xlfn.TEXTJOIN(", ",TRUE,IF(MAR!$G99:$AK99="FL",MAR!$G$4:$AK$4,"")))</f>
        <v/>
      </c>
      <c r="U97" t="str">
        <f t="array" ref="U97">IF($Q97="","",_xlfn.TEXTJOIN(", ",TRUE,IF(ABR!$G99:$AK99="FL",ABR!$G$4:$AK$4,"")))</f>
        <v/>
      </c>
      <c r="V97" t="str">
        <f t="array" ref="V97">IF($Q97="","",_xlfn.TEXTJOIN(", ",TRUE,IF(MAI!$G99:$AK99="FL",MAI!$G$4:$AK$4,"")))</f>
        <v/>
      </c>
      <c r="W97" t="str">
        <f t="array" ref="W97">IF($Q97="","",_xlfn.TEXTJOIN(", ",TRUE,IF(JUN!$G99:$AK99="FL",JUN!$G$4:$AK$4,"")))</f>
        <v/>
      </c>
      <c r="X97" t="str">
        <f t="array" ref="X97">IF($Q97="","",_xlfn.TEXTJOIN(", ",TRUE,IF(JUL!$G99:$AK99="FL",JUL!$G$4:$AK$4,"")))</f>
        <v/>
      </c>
      <c r="Y97" t="str">
        <f t="array" ref="Y97">IF($Q97="","",_xlfn.TEXTJOIN(", ",TRUE,IF(AGO!$G99:$AK99="FL",AGO!$G$4:$AK$4,"")))</f>
        <v/>
      </c>
      <c r="Z97" t="str">
        <f t="array" ref="Z97">IF($Q97="","",_xlfn.TEXTJOIN(", ",TRUE,IF(SET!$G99:$AK99="FL",SET!$G$4:$AK$4,"")))</f>
        <v/>
      </c>
      <c r="AA97" t="str">
        <f t="array" ref="AA97">IF($Q97="","",_xlfn.TEXTJOIN(", ",TRUE,IF(OUT!$G99:$AK99="FL",OUT!$G$4:$AK$4,"")))</f>
        <v/>
      </c>
      <c r="AB97" t="str">
        <f t="array" ref="AB97">IF($Q97="","",_xlfn.TEXTJOIN(", ",TRUE,IF(NOV!$G99:$AK99="FL",NOV!$G$4:$AK$4,"")))</f>
        <v/>
      </c>
      <c r="AC97" t="str">
        <f t="array" ref="AC97">IF($Q97="","",_xlfn.TEXTJOIN(", ",TRUE,IF(DEZ!$G99:$AK99="FL",DEZ!$G$4:$AK$4,"")))</f>
        <v/>
      </c>
      <c r="AD97" t="str">
        <f>IF($Q97="","",COUNTIF(JAN!$G99:$AK99,"FL")+COUNTIF(FEV!$G99:$AK99,"FL")+COUNTIF(MAR!$G99:$AK99,"FL")+COUNTIF(ABR!$G99:$AK99,"FL")+COUNTIF(MAI!$G99:$AK99,"FL")+COUNTIF(JUN!$G99:$AK99,"FL")+COUNTIF(JUL!$G99:$AK99,"FL")+COUNTIF(AGO!$G99:$AK99,"FL")+COUNTIF(SET!$G99:$AK99,"FL")+COUNTIF(OUT!$G99:$AK99,"FL")+COUNTIF(NOV!$G99:$AK99,"FL")+COUNTIF(DEZ!$G99:$AK99,"FL"))</f>
        <v/>
      </c>
      <c r="AF97" t="str">
        <f>IF(AND($Q97&lt;&gt;"",N($AD97)&gt;0),COUNT($AF$3:AF96)+1,"")</f>
        <v/>
      </c>
    </row>
    <row r="98" spans="1:32" hidden="1" outlineLevel="1" x14ac:dyDescent="0.25">
      <c r="A98" s="36" t="str">
        <f>IFERROR(INDEX($Q$4:$Q$153,MATCH(ROWS($A$4:A98),$AF$4:$AF$153,0)),"")</f>
        <v/>
      </c>
      <c r="B98" s="35" t="str">
        <f>IFERROR(INDEX($R$4:$R$153,MATCH(ROWS($A$4:A98),$AF$4:$AF$153,0)),"")</f>
        <v/>
      </c>
      <c r="C98" s="35" t="str">
        <f>IFERROR(INDEX($S$4:$S$153,MATCH(ROWS($A$4:A98),$AF$4:$AF$153,0)),"")</f>
        <v/>
      </c>
      <c r="D98" s="35" t="str">
        <f>IFERROR(INDEX($T$4:$T$153,MATCH(ROWS($A$4:A98),$AF$4:$AF$153,0)),"")</f>
        <v/>
      </c>
      <c r="E98" s="35" t="str">
        <f>IFERROR(INDEX($U$4:$U$153,MATCH(ROWS($A$4:A98),$AF$4:$AF$153,0)),"")</f>
        <v/>
      </c>
      <c r="F98" s="35" t="str">
        <f>IFERROR(INDEX($V$4:$V$153,MATCH(ROWS($A$4:A98),$AF$4:$AF$153,0)),"")</f>
        <v/>
      </c>
      <c r="G98" s="35" t="str">
        <f>IFERROR(INDEX($W$4:$W$153,MATCH(ROWS($A$4:A98),$AF$4:$AF$153,0)),"")</f>
        <v/>
      </c>
      <c r="H98" s="35" t="str">
        <f>IFERROR(INDEX($X$4:$X$153,MATCH(ROWS($A$4:A98),$AF$4:$AF$153,0)),"")</f>
        <v/>
      </c>
      <c r="I98" s="72" t="str">
        <f>IFERROR(INDEX($Y$4:$Y$153,MATCH(ROWS($A$4:A98),$AF$4:$AF$153,0)),"")</f>
        <v/>
      </c>
      <c r="J98" s="35" t="str">
        <f>IFERROR(INDEX($Z$4:$Z$153,MATCH(ROWS($A$4:A98),$AF$4:$AF$153,0)),"")</f>
        <v/>
      </c>
      <c r="K98" s="35" t="str">
        <f>IFERROR(INDEX($AA$4:$AA$153,MATCH(ROWS($A$4:A98),$AF$4:$AF$153,0)),"")</f>
        <v/>
      </c>
      <c r="L98" s="35" t="str">
        <f>IFERROR(INDEX($AB$4:$AB$153,MATCH(ROWS($A$4:A98),$AF$4:$AF$153,0)),"")</f>
        <v/>
      </c>
      <c r="M98" s="35" t="str">
        <f>IFERROR(INDEX($AC$4:$AC$153,MATCH(ROWS($A$4:A98),$AF$4:$AF$153,0)),"")</f>
        <v/>
      </c>
      <c r="N98" s="35" t="str">
        <f>IFERROR(INDEX($AD$4:$AD$153,MATCH(ROWS($A$4:A98),$AF$4:$AF$153,0)),"")</f>
        <v/>
      </c>
      <c r="Q98" t="str">
        <f>T(JAN!B100)</f>
        <v/>
      </c>
      <c r="R98" t="str">
        <f t="array" ref="R98">IF($Q98="","",_xlfn.TEXTJOIN(", ",TRUE,IF(JAN!$G100:$AK100="FL",JAN!$G$4:$AK$4,"")))</f>
        <v/>
      </c>
      <c r="S98" t="str">
        <f t="array" ref="S98">IF($Q98="","",_xlfn.TEXTJOIN(", ",TRUE,IF(FEV!$G100:$AK100="FL",FEV!$G$4:$AK$4,"")))</f>
        <v/>
      </c>
      <c r="T98" t="str">
        <f t="array" ref="T98">IF($Q98="","",_xlfn.TEXTJOIN(", ",TRUE,IF(MAR!$G100:$AK100="FL",MAR!$G$4:$AK$4,"")))</f>
        <v/>
      </c>
      <c r="U98" t="str">
        <f t="array" ref="U98">IF($Q98="","",_xlfn.TEXTJOIN(", ",TRUE,IF(ABR!$G100:$AK100="FL",ABR!$G$4:$AK$4,"")))</f>
        <v/>
      </c>
      <c r="V98" t="str">
        <f t="array" ref="V98">IF($Q98="","",_xlfn.TEXTJOIN(", ",TRUE,IF(MAI!$G100:$AK100="FL",MAI!$G$4:$AK$4,"")))</f>
        <v/>
      </c>
      <c r="W98" t="str">
        <f t="array" ref="W98">IF($Q98="","",_xlfn.TEXTJOIN(", ",TRUE,IF(JUN!$G100:$AK100="FL",JUN!$G$4:$AK$4,"")))</f>
        <v/>
      </c>
      <c r="X98" t="str">
        <f t="array" ref="X98">IF($Q98="","",_xlfn.TEXTJOIN(", ",TRUE,IF(JUL!$G100:$AK100="FL",JUL!$G$4:$AK$4,"")))</f>
        <v/>
      </c>
      <c r="Y98" t="str">
        <f t="array" ref="Y98">IF($Q98="","",_xlfn.TEXTJOIN(", ",TRUE,IF(AGO!$G100:$AK100="FL",AGO!$G$4:$AK$4,"")))</f>
        <v/>
      </c>
      <c r="Z98" t="str">
        <f t="array" ref="Z98">IF($Q98="","",_xlfn.TEXTJOIN(", ",TRUE,IF(SET!$G100:$AK100="FL",SET!$G$4:$AK$4,"")))</f>
        <v/>
      </c>
      <c r="AA98" t="str">
        <f t="array" ref="AA98">IF($Q98="","",_xlfn.TEXTJOIN(", ",TRUE,IF(OUT!$G100:$AK100="FL",OUT!$G$4:$AK$4,"")))</f>
        <v/>
      </c>
      <c r="AB98" t="str">
        <f t="array" ref="AB98">IF($Q98="","",_xlfn.TEXTJOIN(", ",TRUE,IF(NOV!$G100:$AK100="FL",NOV!$G$4:$AK$4,"")))</f>
        <v/>
      </c>
      <c r="AC98" t="str">
        <f t="array" ref="AC98">IF($Q98="","",_xlfn.TEXTJOIN(", ",TRUE,IF(DEZ!$G100:$AK100="FL",DEZ!$G$4:$AK$4,"")))</f>
        <v/>
      </c>
      <c r="AD98" t="str">
        <f>IF($Q98="","",COUNTIF(JAN!$G100:$AK100,"FL")+COUNTIF(FEV!$G100:$AK100,"FL")+COUNTIF(MAR!$G100:$AK100,"FL")+COUNTIF(ABR!$G100:$AK100,"FL")+COUNTIF(MAI!$G100:$AK100,"FL")+COUNTIF(JUN!$G100:$AK100,"FL")+COUNTIF(JUL!$G100:$AK100,"FL")+COUNTIF(AGO!$G100:$AK100,"FL")+COUNTIF(SET!$G100:$AK100,"FL")+COUNTIF(OUT!$G100:$AK100,"FL")+COUNTIF(NOV!$G100:$AK100,"FL")+COUNTIF(DEZ!$G100:$AK100,"FL"))</f>
        <v/>
      </c>
      <c r="AF98" t="str">
        <f>IF(AND($Q98&lt;&gt;"",N($AD98)&gt;0),COUNT($AF$3:AF97)+1,"")</f>
        <v/>
      </c>
    </row>
    <row r="99" spans="1:32" hidden="1" outlineLevel="1" x14ac:dyDescent="0.25">
      <c r="A99" s="36" t="str">
        <f>IFERROR(INDEX($Q$4:$Q$153,MATCH(ROWS($A$4:A99),$AF$4:$AF$153,0)),"")</f>
        <v/>
      </c>
      <c r="B99" s="35" t="str">
        <f>IFERROR(INDEX($R$4:$R$153,MATCH(ROWS($A$4:A99),$AF$4:$AF$153,0)),"")</f>
        <v/>
      </c>
      <c r="C99" s="35" t="str">
        <f>IFERROR(INDEX($S$4:$S$153,MATCH(ROWS($A$4:A99),$AF$4:$AF$153,0)),"")</f>
        <v/>
      </c>
      <c r="D99" s="35" t="str">
        <f>IFERROR(INDEX($T$4:$T$153,MATCH(ROWS($A$4:A99),$AF$4:$AF$153,0)),"")</f>
        <v/>
      </c>
      <c r="E99" s="35" t="str">
        <f>IFERROR(INDEX($U$4:$U$153,MATCH(ROWS($A$4:A99),$AF$4:$AF$153,0)),"")</f>
        <v/>
      </c>
      <c r="F99" s="35" t="str">
        <f>IFERROR(INDEX($V$4:$V$153,MATCH(ROWS($A$4:A99),$AF$4:$AF$153,0)),"")</f>
        <v/>
      </c>
      <c r="G99" s="35" t="str">
        <f>IFERROR(INDEX($W$4:$W$153,MATCH(ROWS($A$4:A99),$AF$4:$AF$153,0)),"")</f>
        <v/>
      </c>
      <c r="H99" s="35" t="str">
        <f>IFERROR(INDEX($X$4:$X$153,MATCH(ROWS($A$4:A99),$AF$4:$AF$153,0)),"")</f>
        <v/>
      </c>
      <c r="I99" s="72" t="str">
        <f>IFERROR(INDEX($Y$4:$Y$153,MATCH(ROWS($A$4:A99),$AF$4:$AF$153,0)),"")</f>
        <v/>
      </c>
      <c r="J99" s="35" t="str">
        <f>IFERROR(INDEX($Z$4:$Z$153,MATCH(ROWS($A$4:A99),$AF$4:$AF$153,0)),"")</f>
        <v/>
      </c>
      <c r="K99" s="35" t="str">
        <f>IFERROR(INDEX($AA$4:$AA$153,MATCH(ROWS($A$4:A99),$AF$4:$AF$153,0)),"")</f>
        <v/>
      </c>
      <c r="L99" s="35" t="str">
        <f>IFERROR(INDEX($AB$4:$AB$153,MATCH(ROWS($A$4:A99),$AF$4:$AF$153,0)),"")</f>
        <v/>
      </c>
      <c r="M99" s="35" t="str">
        <f>IFERROR(INDEX($AC$4:$AC$153,MATCH(ROWS($A$4:A99),$AF$4:$AF$153,0)),"")</f>
        <v/>
      </c>
      <c r="N99" s="35" t="str">
        <f>IFERROR(INDEX($AD$4:$AD$153,MATCH(ROWS($A$4:A99),$AF$4:$AF$153,0)),"")</f>
        <v/>
      </c>
      <c r="Q99" t="str">
        <f>T(JAN!B101)</f>
        <v/>
      </c>
      <c r="R99" t="str">
        <f t="array" ref="R99">IF($Q99="","",_xlfn.TEXTJOIN(", ",TRUE,IF(JAN!$G101:$AK101="FL",JAN!$G$4:$AK$4,"")))</f>
        <v/>
      </c>
      <c r="S99" t="str">
        <f t="array" ref="S99">IF($Q99="","",_xlfn.TEXTJOIN(", ",TRUE,IF(FEV!$G101:$AK101="FL",FEV!$G$4:$AK$4,"")))</f>
        <v/>
      </c>
      <c r="T99" t="str">
        <f t="array" ref="T99">IF($Q99="","",_xlfn.TEXTJOIN(", ",TRUE,IF(MAR!$G101:$AK101="FL",MAR!$G$4:$AK$4,"")))</f>
        <v/>
      </c>
      <c r="U99" t="str">
        <f t="array" ref="U99">IF($Q99="","",_xlfn.TEXTJOIN(", ",TRUE,IF(ABR!$G101:$AK101="FL",ABR!$G$4:$AK$4,"")))</f>
        <v/>
      </c>
      <c r="V99" t="str">
        <f t="array" ref="V99">IF($Q99="","",_xlfn.TEXTJOIN(", ",TRUE,IF(MAI!$G101:$AK101="FL",MAI!$G$4:$AK$4,"")))</f>
        <v/>
      </c>
      <c r="W99" t="str">
        <f t="array" ref="W99">IF($Q99="","",_xlfn.TEXTJOIN(", ",TRUE,IF(JUN!$G101:$AK101="FL",JUN!$G$4:$AK$4,"")))</f>
        <v/>
      </c>
      <c r="X99" t="str">
        <f t="array" ref="X99">IF($Q99="","",_xlfn.TEXTJOIN(", ",TRUE,IF(JUL!$G101:$AK101="FL",JUL!$G$4:$AK$4,"")))</f>
        <v/>
      </c>
      <c r="Y99" t="str">
        <f t="array" ref="Y99">IF($Q99="","",_xlfn.TEXTJOIN(", ",TRUE,IF(AGO!$G101:$AK101="FL",AGO!$G$4:$AK$4,"")))</f>
        <v/>
      </c>
      <c r="Z99" t="str">
        <f t="array" ref="Z99">IF($Q99="","",_xlfn.TEXTJOIN(", ",TRUE,IF(SET!$G101:$AK101="FL",SET!$G$4:$AK$4,"")))</f>
        <v/>
      </c>
      <c r="AA99" t="str">
        <f t="array" ref="AA99">IF($Q99="","",_xlfn.TEXTJOIN(", ",TRUE,IF(OUT!$G101:$AK101="FL",OUT!$G$4:$AK$4,"")))</f>
        <v/>
      </c>
      <c r="AB99" t="str">
        <f t="array" ref="AB99">IF($Q99="","",_xlfn.TEXTJOIN(", ",TRUE,IF(NOV!$G101:$AK101="FL",NOV!$G$4:$AK$4,"")))</f>
        <v/>
      </c>
      <c r="AC99" t="str">
        <f t="array" ref="AC99">IF($Q99="","",_xlfn.TEXTJOIN(", ",TRUE,IF(DEZ!$G101:$AK101="FL",DEZ!$G$4:$AK$4,"")))</f>
        <v/>
      </c>
      <c r="AD99" t="str">
        <f>IF($Q99="","",COUNTIF(JAN!$G101:$AK101,"FL")+COUNTIF(FEV!$G101:$AK101,"FL")+COUNTIF(MAR!$G101:$AK101,"FL")+COUNTIF(ABR!$G101:$AK101,"FL")+COUNTIF(MAI!$G101:$AK101,"FL")+COUNTIF(JUN!$G101:$AK101,"FL")+COUNTIF(JUL!$G101:$AK101,"FL")+COUNTIF(AGO!$G101:$AK101,"FL")+COUNTIF(SET!$G101:$AK101,"FL")+COUNTIF(OUT!$G101:$AK101,"FL")+COUNTIF(NOV!$G101:$AK101,"FL")+COUNTIF(DEZ!$G101:$AK101,"FL"))</f>
        <v/>
      </c>
      <c r="AF99" t="str">
        <f>IF(AND($Q99&lt;&gt;"",N($AD99)&gt;0),COUNT($AF$3:AF98)+1,"")</f>
        <v/>
      </c>
    </row>
    <row r="100" spans="1:32" hidden="1" outlineLevel="1" x14ac:dyDescent="0.25">
      <c r="A100" s="36" t="str">
        <f>IFERROR(INDEX($Q$4:$Q$153,MATCH(ROWS($A$4:A100),$AF$4:$AF$153,0)),"")</f>
        <v/>
      </c>
      <c r="B100" s="35" t="str">
        <f>IFERROR(INDEX($R$4:$R$153,MATCH(ROWS($A$4:A100),$AF$4:$AF$153,0)),"")</f>
        <v/>
      </c>
      <c r="C100" s="35" t="str">
        <f>IFERROR(INDEX($S$4:$S$153,MATCH(ROWS($A$4:A100),$AF$4:$AF$153,0)),"")</f>
        <v/>
      </c>
      <c r="D100" s="35" t="str">
        <f>IFERROR(INDEX($T$4:$T$153,MATCH(ROWS($A$4:A100),$AF$4:$AF$153,0)),"")</f>
        <v/>
      </c>
      <c r="E100" s="35" t="str">
        <f>IFERROR(INDEX($U$4:$U$153,MATCH(ROWS($A$4:A100),$AF$4:$AF$153,0)),"")</f>
        <v/>
      </c>
      <c r="F100" s="35" t="str">
        <f>IFERROR(INDEX($V$4:$V$153,MATCH(ROWS($A$4:A100),$AF$4:$AF$153,0)),"")</f>
        <v/>
      </c>
      <c r="G100" s="35" t="str">
        <f>IFERROR(INDEX($W$4:$W$153,MATCH(ROWS($A$4:A100),$AF$4:$AF$153,0)),"")</f>
        <v/>
      </c>
      <c r="H100" s="35" t="str">
        <f>IFERROR(INDEX($X$4:$X$153,MATCH(ROWS($A$4:A100),$AF$4:$AF$153,0)),"")</f>
        <v/>
      </c>
      <c r="I100" s="72" t="str">
        <f>IFERROR(INDEX($Y$4:$Y$153,MATCH(ROWS($A$4:A100),$AF$4:$AF$153,0)),"")</f>
        <v/>
      </c>
      <c r="J100" s="35" t="str">
        <f>IFERROR(INDEX($Z$4:$Z$153,MATCH(ROWS($A$4:A100),$AF$4:$AF$153,0)),"")</f>
        <v/>
      </c>
      <c r="K100" s="35" t="str">
        <f>IFERROR(INDEX($AA$4:$AA$153,MATCH(ROWS($A$4:A100),$AF$4:$AF$153,0)),"")</f>
        <v/>
      </c>
      <c r="L100" s="35" t="str">
        <f>IFERROR(INDEX($AB$4:$AB$153,MATCH(ROWS($A$4:A100),$AF$4:$AF$153,0)),"")</f>
        <v/>
      </c>
      <c r="M100" s="35" t="str">
        <f>IFERROR(INDEX($AC$4:$AC$153,MATCH(ROWS($A$4:A100),$AF$4:$AF$153,0)),"")</f>
        <v/>
      </c>
      <c r="N100" s="35" t="str">
        <f>IFERROR(INDEX($AD$4:$AD$153,MATCH(ROWS($A$4:A100),$AF$4:$AF$153,0)),"")</f>
        <v/>
      </c>
      <c r="Q100" t="str">
        <f>T(JAN!B102)</f>
        <v/>
      </c>
      <c r="R100" t="str">
        <f t="array" ref="R100">IF($Q100="","",_xlfn.TEXTJOIN(", ",TRUE,IF(JAN!$G102:$AK102="FL",JAN!$G$4:$AK$4,"")))</f>
        <v/>
      </c>
      <c r="S100" t="str">
        <f t="array" ref="S100">IF($Q100="","",_xlfn.TEXTJOIN(", ",TRUE,IF(FEV!$G102:$AK102="FL",FEV!$G$4:$AK$4,"")))</f>
        <v/>
      </c>
      <c r="T100" t="str">
        <f t="array" ref="T100">IF($Q100="","",_xlfn.TEXTJOIN(", ",TRUE,IF(MAR!$G102:$AK102="FL",MAR!$G$4:$AK$4,"")))</f>
        <v/>
      </c>
      <c r="U100" t="str">
        <f t="array" ref="U100">IF($Q100="","",_xlfn.TEXTJOIN(", ",TRUE,IF(ABR!$G102:$AK102="FL",ABR!$G$4:$AK$4,"")))</f>
        <v/>
      </c>
      <c r="V100" t="str">
        <f t="array" ref="V100">IF($Q100="","",_xlfn.TEXTJOIN(", ",TRUE,IF(MAI!$G102:$AK102="FL",MAI!$G$4:$AK$4,"")))</f>
        <v/>
      </c>
      <c r="W100" t="str">
        <f t="array" ref="W100">IF($Q100="","",_xlfn.TEXTJOIN(", ",TRUE,IF(JUN!$G102:$AK102="FL",JUN!$G$4:$AK$4,"")))</f>
        <v/>
      </c>
      <c r="X100" t="str">
        <f t="array" ref="X100">IF($Q100="","",_xlfn.TEXTJOIN(", ",TRUE,IF(JUL!$G102:$AK102="FL",JUL!$G$4:$AK$4,"")))</f>
        <v/>
      </c>
      <c r="Y100" t="str">
        <f t="array" ref="Y100">IF($Q100="","",_xlfn.TEXTJOIN(", ",TRUE,IF(AGO!$G102:$AK102="FL",AGO!$G$4:$AK$4,"")))</f>
        <v/>
      </c>
      <c r="Z100" t="str">
        <f t="array" ref="Z100">IF($Q100="","",_xlfn.TEXTJOIN(", ",TRUE,IF(SET!$G102:$AK102="FL",SET!$G$4:$AK$4,"")))</f>
        <v/>
      </c>
      <c r="AA100" t="str">
        <f t="array" ref="AA100">IF($Q100="","",_xlfn.TEXTJOIN(", ",TRUE,IF(OUT!$G102:$AK102="FL",OUT!$G$4:$AK$4,"")))</f>
        <v/>
      </c>
      <c r="AB100" t="str">
        <f t="array" ref="AB100">IF($Q100="","",_xlfn.TEXTJOIN(", ",TRUE,IF(NOV!$G102:$AK102="FL",NOV!$G$4:$AK$4,"")))</f>
        <v/>
      </c>
      <c r="AC100" t="str">
        <f t="array" ref="AC100">IF($Q100="","",_xlfn.TEXTJOIN(", ",TRUE,IF(DEZ!$G102:$AK102="FL",DEZ!$G$4:$AK$4,"")))</f>
        <v/>
      </c>
      <c r="AD100" t="str">
        <f>IF($Q100="","",COUNTIF(JAN!$G102:$AK102,"FL")+COUNTIF(FEV!$G102:$AK102,"FL")+COUNTIF(MAR!$G102:$AK102,"FL")+COUNTIF(ABR!$G102:$AK102,"FL")+COUNTIF(MAI!$G102:$AK102,"FL")+COUNTIF(JUN!$G102:$AK102,"FL")+COUNTIF(JUL!$G102:$AK102,"FL")+COUNTIF(AGO!$G102:$AK102,"FL")+COUNTIF(SET!$G102:$AK102,"FL")+COUNTIF(OUT!$G102:$AK102,"FL")+COUNTIF(NOV!$G102:$AK102,"FL")+COUNTIF(DEZ!$G102:$AK102,"FL"))</f>
        <v/>
      </c>
      <c r="AF100" t="str">
        <f>IF(AND($Q100&lt;&gt;"",N($AD100)&gt;0),COUNT($AF$3:AF99)+1,"")</f>
        <v/>
      </c>
    </row>
    <row r="101" spans="1:32" hidden="1" outlineLevel="1" x14ac:dyDescent="0.25">
      <c r="A101" s="36" t="str">
        <f>IFERROR(INDEX($Q$4:$Q$153,MATCH(ROWS($A$4:A101),$AF$4:$AF$153,0)),"")</f>
        <v/>
      </c>
      <c r="B101" s="35" t="str">
        <f>IFERROR(INDEX($R$4:$R$153,MATCH(ROWS($A$4:A101),$AF$4:$AF$153,0)),"")</f>
        <v/>
      </c>
      <c r="C101" s="35" t="str">
        <f>IFERROR(INDEX($S$4:$S$153,MATCH(ROWS($A$4:A101),$AF$4:$AF$153,0)),"")</f>
        <v/>
      </c>
      <c r="D101" s="35" t="str">
        <f>IFERROR(INDEX($T$4:$T$153,MATCH(ROWS($A$4:A101),$AF$4:$AF$153,0)),"")</f>
        <v/>
      </c>
      <c r="E101" s="35" t="str">
        <f>IFERROR(INDEX($U$4:$U$153,MATCH(ROWS($A$4:A101),$AF$4:$AF$153,0)),"")</f>
        <v/>
      </c>
      <c r="F101" s="35" t="str">
        <f>IFERROR(INDEX($V$4:$V$153,MATCH(ROWS($A$4:A101),$AF$4:$AF$153,0)),"")</f>
        <v/>
      </c>
      <c r="G101" s="35" t="str">
        <f>IFERROR(INDEX($W$4:$W$153,MATCH(ROWS($A$4:A101),$AF$4:$AF$153,0)),"")</f>
        <v/>
      </c>
      <c r="H101" s="35" t="str">
        <f>IFERROR(INDEX($X$4:$X$153,MATCH(ROWS($A$4:A101),$AF$4:$AF$153,0)),"")</f>
        <v/>
      </c>
      <c r="I101" s="72" t="str">
        <f>IFERROR(INDEX($Y$4:$Y$153,MATCH(ROWS($A$4:A101),$AF$4:$AF$153,0)),"")</f>
        <v/>
      </c>
      <c r="J101" s="35" t="str">
        <f>IFERROR(INDEX($Z$4:$Z$153,MATCH(ROWS($A$4:A101),$AF$4:$AF$153,0)),"")</f>
        <v/>
      </c>
      <c r="K101" s="35" t="str">
        <f>IFERROR(INDEX($AA$4:$AA$153,MATCH(ROWS($A$4:A101),$AF$4:$AF$153,0)),"")</f>
        <v/>
      </c>
      <c r="L101" s="35" t="str">
        <f>IFERROR(INDEX($AB$4:$AB$153,MATCH(ROWS($A$4:A101),$AF$4:$AF$153,0)),"")</f>
        <v/>
      </c>
      <c r="M101" s="35" t="str">
        <f>IFERROR(INDEX($AC$4:$AC$153,MATCH(ROWS($A$4:A101),$AF$4:$AF$153,0)),"")</f>
        <v/>
      </c>
      <c r="N101" s="35" t="str">
        <f>IFERROR(INDEX($AD$4:$AD$153,MATCH(ROWS($A$4:A101),$AF$4:$AF$153,0)),"")</f>
        <v/>
      </c>
      <c r="Q101" t="str">
        <f>T(JAN!B103)</f>
        <v/>
      </c>
      <c r="R101" t="str">
        <f t="array" ref="R101">IF($Q101="","",_xlfn.TEXTJOIN(", ",TRUE,IF(JAN!$G103:$AK103="FL",JAN!$G$4:$AK$4,"")))</f>
        <v/>
      </c>
      <c r="S101" t="str">
        <f t="array" ref="S101">IF($Q101="","",_xlfn.TEXTJOIN(", ",TRUE,IF(FEV!$G103:$AK103="FL",FEV!$G$4:$AK$4,"")))</f>
        <v/>
      </c>
      <c r="T101" t="str">
        <f t="array" ref="T101">IF($Q101="","",_xlfn.TEXTJOIN(", ",TRUE,IF(MAR!$G103:$AK103="FL",MAR!$G$4:$AK$4,"")))</f>
        <v/>
      </c>
      <c r="U101" t="str">
        <f t="array" ref="U101">IF($Q101="","",_xlfn.TEXTJOIN(", ",TRUE,IF(ABR!$G103:$AK103="FL",ABR!$G$4:$AK$4,"")))</f>
        <v/>
      </c>
      <c r="V101" t="str">
        <f t="array" ref="V101">IF($Q101="","",_xlfn.TEXTJOIN(", ",TRUE,IF(MAI!$G103:$AK103="FL",MAI!$G$4:$AK$4,"")))</f>
        <v/>
      </c>
      <c r="W101" t="str">
        <f t="array" ref="W101">IF($Q101="","",_xlfn.TEXTJOIN(", ",TRUE,IF(JUN!$G103:$AK103="FL",JUN!$G$4:$AK$4,"")))</f>
        <v/>
      </c>
      <c r="X101" t="str">
        <f t="array" ref="X101">IF($Q101="","",_xlfn.TEXTJOIN(", ",TRUE,IF(JUL!$G103:$AK103="FL",JUL!$G$4:$AK$4,"")))</f>
        <v/>
      </c>
      <c r="Y101" t="str">
        <f t="array" ref="Y101">IF($Q101="","",_xlfn.TEXTJOIN(", ",TRUE,IF(AGO!$G103:$AK103="FL",AGO!$G$4:$AK$4,"")))</f>
        <v/>
      </c>
      <c r="Z101" t="str">
        <f t="array" ref="Z101">IF($Q101="","",_xlfn.TEXTJOIN(", ",TRUE,IF(SET!$G103:$AK103="FL",SET!$G$4:$AK$4,"")))</f>
        <v/>
      </c>
      <c r="AA101" t="str">
        <f t="array" ref="AA101">IF($Q101="","",_xlfn.TEXTJOIN(", ",TRUE,IF(OUT!$G103:$AK103="FL",OUT!$G$4:$AK$4,"")))</f>
        <v/>
      </c>
      <c r="AB101" t="str">
        <f t="array" ref="AB101">IF($Q101="","",_xlfn.TEXTJOIN(", ",TRUE,IF(NOV!$G103:$AK103="FL",NOV!$G$4:$AK$4,"")))</f>
        <v/>
      </c>
      <c r="AC101" t="str">
        <f t="array" ref="AC101">IF($Q101="","",_xlfn.TEXTJOIN(", ",TRUE,IF(DEZ!$G103:$AK103="FL",DEZ!$G$4:$AK$4,"")))</f>
        <v/>
      </c>
      <c r="AD101" t="str">
        <f>IF($Q101="","",COUNTIF(JAN!$G103:$AK103,"FL")+COUNTIF(FEV!$G103:$AK103,"FL")+COUNTIF(MAR!$G103:$AK103,"FL")+COUNTIF(ABR!$G103:$AK103,"FL")+COUNTIF(MAI!$G103:$AK103,"FL")+COUNTIF(JUN!$G103:$AK103,"FL")+COUNTIF(JUL!$G103:$AK103,"FL")+COUNTIF(AGO!$G103:$AK103,"FL")+COUNTIF(SET!$G103:$AK103,"FL")+COUNTIF(OUT!$G103:$AK103,"FL")+COUNTIF(NOV!$G103:$AK103,"FL")+COUNTIF(DEZ!$G103:$AK103,"FL"))</f>
        <v/>
      </c>
      <c r="AF101" t="str">
        <f>IF(AND($Q101&lt;&gt;"",N($AD101)&gt;0),COUNT($AF$3:AF100)+1,"")</f>
        <v/>
      </c>
    </row>
    <row r="102" spans="1:32" hidden="1" outlineLevel="1" x14ac:dyDescent="0.25">
      <c r="A102" s="36" t="str">
        <f>IFERROR(INDEX($Q$4:$Q$153,MATCH(ROWS($A$4:A102),$AF$4:$AF$153,0)),"")</f>
        <v/>
      </c>
      <c r="B102" s="35" t="str">
        <f>IFERROR(INDEX($R$4:$R$153,MATCH(ROWS($A$4:A102),$AF$4:$AF$153,0)),"")</f>
        <v/>
      </c>
      <c r="C102" s="35" t="str">
        <f>IFERROR(INDEX($S$4:$S$153,MATCH(ROWS($A$4:A102),$AF$4:$AF$153,0)),"")</f>
        <v/>
      </c>
      <c r="D102" s="35" t="str">
        <f>IFERROR(INDEX($T$4:$T$153,MATCH(ROWS($A$4:A102),$AF$4:$AF$153,0)),"")</f>
        <v/>
      </c>
      <c r="E102" s="35" t="str">
        <f>IFERROR(INDEX($U$4:$U$153,MATCH(ROWS($A$4:A102),$AF$4:$AF$153,0)),"")</f>
        <v/>
      </c>
      <c r="F102" s="35" t="str">
        <f>IFERROR(INDEX($V$4:$V$153,MATCH(ROWS($A$4:A102),$AF$4:$AF$153,0)),"")</f>
        <v/>
      </c>
      <c r="G102" s="35" t="str">
        <f>IFERROR(INDEX($W$4:$W$153,MATCH(ROWS($A$4:A102),$AF$4:$AF$153,0)),"")</f>
        <v/>
      </c>
      <c r="H102" s="35" t="str">
        <f>IFERROR(INDEX($X$4:$X$153,MATCH(ROWS($A$4:A102),$AF$4:$AF$153,0)),"")</f>
        <v/>
      </c>
      <c r="I102" s="72" t="str">
        <f>IFERROR(INDEX($Y$4:$Y$153,MATCH(ROWS($A$4:A102),$AF$4:$AF$153,0)),"")</f>
        <v/>
      </c>
      <c r="J102" s="35" t="str">
        <f>IFERROR(INDEX($Z$4:$Z$153,MATCH(ROWS($A$4:A102),$AF$4:$AF$153,0)),"")</f>
        <v/>
      </c>
      <c r="K102" s="35" t="str">
        <f>IFERROR(INDEX($AA$4:$AA$153,MATCH(ROWS($A$4:A102),$AF$4:$AF$153,0)),"")</f>
        <v/>
      </c>
      <c r="L102" s="35" t="str">
        <f>IFERROR(INDEX($AB$4:$AB$153,MATCH(ROWS($A$4:A102),$AF$4:$AF$153,0)),"")</f>
        <v/>
      </c>
      <c r="M102" s="35" t="str">
        <f>IFERROR(INDEX($AC$4:$AC$153,MATCH(ROWS($A$4:A102),$AF$4:$AF$153,0)),"")</f>
        <v/>
      </c>
      <c r="N102" s="35" t="str">
        <f>IFERROR(INDEX($AD$4:$AD$153,MATCH(ROWS($A$4:A102),$AF$4:$AF$153,0)),"")</f>
        <v/>
      </c>
      <c r="Q102" t="str">
        <f>T(JAN!B104)</f>
        <v/>
      </c>
      <c r="R102" t="str">
        <f t="array" ref="R102">IF($Q102="","",_xlfn.TEXTJOIN(", ",TRUE,IF(JAN!$G104:$AK104="FL",JAN!$G$4:$AK$4,"")))</f>
        <v/>
      </c>
      <c r="S102" t="str">
        <f t="array" ref="S102">IF($Q102="","",_xlfn.TEXTJOIN(", ",TRUE,IF(FEV!$G104:$AK104="FL",FEV!$G$4:$AK$4,"")))</f>
        <v/>
      </c>
      <c r="T102" t="str">
        <f t="array" ref="T102">IF($Q102="","",_xlfn.TEXTJOIN(", ",TRUE,IF(MAR!$G104:$AK104="FL",MAR!$G$4:$AK$4,"")))</f>
        <v/>
      </c>
      <c r="U102" t="str">
        <f t="array" ref="U102">IF($Q102="","",_xlfn.TEXTJOIN(", ",TRUE,IF(ABR!$G104:$AK104="FL",ABR!$G$4:$AK$4,"")))</f>
        <v/>
      </c>
      <c r="V102" t="str">
        <f t="array" ref="V102">IF($Q102="","",_xlfn.TEXTJOIN(", ",TRUE,IF(MAI!$G104:$AK104="FL",MAI!$G$4:$AK$4,"")))</f>
        <v/>
      </c>
      <c r="W102" t="str">
        <f t="array" ref="W102">IF($Q102="","",_xlfn.TEXTJOIN(", ",TRUE,IF(JUN!$G104:$AK104="FL",JUN!$G$4:$AK$4,"")))</f>
        <v/>
      </c>
      <c r="X102" t="str">
        <f t="array" ref="X102">IF($Q102="","",_xlfn.TEXTJOIN(", ",TRUE,IF(JUL!$G104:$AK104="FL",JUL!$G$4:$AK$4,"")))</f>
        <v/>
      </c>
      <c r="Y102" t="str">
        <f t="array" ref="Y102">IF($Q102="","",_xlfn.TEXTJOIN(", ",TRUE,IF(AGO!$G104:$AK104="FL",AGO!$G$4:$AK$4,"")))</f>
        <v/>
      </c>
      <c r="Z102" t="str">
        <f t="array" ref="Z102">IF($Q102="","",_xlfn.TEXTJOIN(", ",TRUE,IF(SET!$G104:$AK104="FL",SET!$G$4:$AK$4,"")))</f>
        <v/>
      </c>
      <c r="AA102" t="str">
        <f t="array" ref="AA102">IF($Q102="","",_xlfn.TEXTJOIN(", ",TRUE,IF(OUT!$G104:$AK104="FL",OUT!$G$4:$AK$4,"")))</f>
        <v/>
      </c>
      <c r="AB102" t="str">
        <f t="array" ref="AB102">IF($Q102="","",_xlfn.TEXTJOIN(", ",TRUE,IF(NOV!$G104:$AK104="FL",NOV!$G$4:$AK$4,"")))</f>
        <v/>
      </c>
      <c r="AC102" t="str">
        <f t="array" ref="AC102">IF($Q102="","",_xlfn.TEXTJOIN(", ",TRUE,IF(DEZ!$G104:$AK104="FL",DEZ!$G$4:$AK$4,"")))</f>
        <v/>
      </c>
      <c r="AD102" t="str">
        <f>IF($Q102="","",COUNTIF(JAN!$G104:$AK104,"FL")+COUNTIF(FEV!$G104:$AK104,"FL")+COUNTIF(MAR!$G104:$AK104,"FL")+COUNTIF(ABR!$G104:$AK104,"FL")+COUNTIF(MAI!$G104:$AK104,"FL")+COUNTIF(JUN!$G104:$AK104,"FL")+COUNTIF(JUL!$G104:$AK104,"FL")+COUNTIF(AGO!$G104:$AK104,"FL")+COUNTIF(SET!$G104:$AK104,"FL")+COUNTIF(OUT!$G104:$AK104,"FL")+COUNTIF(NOV!$G104:$AK104,"FL")+COUNTIF(DEZ!$G104:$AK104,"FL"))</f>
        <v/>
      </c>
      <c r="AF102" t="str">
        <f>IF(AND($Q102&lt;&gt;"",N($AD102)&gt;0),COUNT($AF$3:AF101)+1,"")</f>
        <v/>
      </c>
    </row>
    <row r="103" spans="1:32" hidden="1" outlineLevel="1" x14ac:dyDescent="0.25">
      <c r="A103" s="36" t="str">
        <f>IFERROR(INDEX($Q$4:$Q$153,MATCH(ROWS($A$4:A103),$AF$4:$AF$153,0)),"")</f>
        <v/>
      </c>
      <c r="B103" s="35" t="str">
        <f>IFERROR(INDEX($R$4:$R$153,MATCH(ROWS($A$4:A103),$AF$4:$AF$153,0)),"")</f>
        <v/>
      </c>
      <c r="C103" s="35" t="str">
        <f>IFERROR(INDEX($S$4:$S$153,MATCH(ROWS($A$4:A103),$AF$4:$AF$153,0)),"")</f>
        <v/>
      </c>
      <c r="D103" s="35" t="str">
        <f>IFERROR(INDEX($T$4:$T$153,MATCH(ROWS($A$4:A103),$AF$4:$AF$153,0)),"")</f>
        <v/>
      </c>
      <c r="E103" s="35" t="str">
        <f>IFERROR(INDEX($U$4:$U$153,MATCH(ROWS($A$4:A103),$AF$4:$AF$153,0)),"")</f>
        <v/>
      </c>
      <c r="F103" s="35" t="str">
        <f>IFERROR(INDEX($V$4:$V$153,MATCH(ROWS($A$4:A103),$AF$4:$AF$153,0)),"")</f>
        <v/>
      </c>
      <c r="G103" s="35" t="str">
        <f>IFERROR(INDEX($W$4:$W$153,MATCH(ROWS($A$4:A103),$AF$4:$AF$153,0)),"")</f>
        <v/>
      </c>
      <c r="H103" s="35" t="str">
        <f>IFERROR(INDEX($X$4:$X$153,MATCH(ROWS($A$4:A103),$AF$4:$AF$153,0)),"")</f>
        <v/>
      </c>
      <c r="I103" s="72" t="str">
        <f>IFERROR(INDEX($Y$4:$Y$153,MATCH(ROWS($A$4:A103),$AF$4:$AF$153,0)),"")</f>
        <v/>
      </c>
      <c r="J103" s="35" t="str">
        <f>IFERROR(INDEX($Z$4:$Z$153,MATCH(ROWS($A$4:A103),$AF$4:$AF$153,0)),"")</f>
        <v/>
      </c>
      <c r="K103" s="35" t="str">
        <f>IFERROR(INDEX($AA$4:$AA$153,MATCH(ROWS($A$4:A103),$AF$4:$AF$153,0)),"")</f>
        <v/>
      </c>
      <c r="L103" s="35" t="str">
        <f>IFERROR(INDEX($AB$4:$AB$153,MATCH(ROWS($A$4:A103),$AF$4:$AF$153,0)),"")</f>
        <v/>
      </c>
      <c r="M103" s="35" t="str">
        <f>IFERROR(INDEX($AC$4:$AC$153,MATCH(ROWS($A$4:A103),$AF$4:$AF$153,0)),"")</f>
        <v/>
      </c>
      <c r="N103" s="35" t="str">
        <f>IFERROR(INDEX($AD$4:$AD$153,MATCH(ROWS($A$4:A103),$AF$4:$AF$153,0)),"")</f>
        <v/>
      </c>
      <c r="Q103" t="str">
        <f>T(JAN!B105)</f>
        <v/>
      </c>
      <c r="R103" t="str">
        <f t="array" ref="R103">IF($Q103="","",_xlfn.TEXTJOIN(", ",TRUE,IF(JAN!$G105:$AK105="FL",JAN!$G$4:$AK$4,"")))</f>
        <v/>
      </c>
      <c r="S103" t="str">
        <f t="array" ref="S103">IF($Q103="","",_xlfn.TEXTJOIN(", ",TRUE,IF(FEV!$G105:$AK105="FL",FEV!$G$4:$AK$4,"")))</f>
        <v/>
      </c>
      <c r="T103" t="str">
        <f t="array" ref="T103">IF($Q103="","",_xlfn.TEXTJOIN(", ",TRUE,IF(MAR!$G105:$AK105="FL",MAR!$G$4:$AK$4,"")))</f>
        <v/>
      </c>
      <c r="U103" t="str">
        <f t="array" ref="U103">IF($Q103="","",_xlfn.TEXTJOIN(", ",TRUE,IF(ABR!$G105:$AK105="FL",ABR!$G$4:$AK$4,"")))</f>
        <v/>
      </c>
      <c r="V103" t="str">
        <f t="array" ref="V103">IF($Q103="","",_xlfn.TEXTJOIN(", ",TRUE,IF(MAI!$G105:$AK105="FL",MAI!$G$4:$AK$4,"")))</f>
        <v/>
      </c>
      <c r="W103" t="str">
        <f t="array" ref="W103">IF($Q103="","",_xlfn.TEXTJOIN(", ",TRUE,IF(JUN!$G105:$AK105="FL",JUN!$G$4:$AK$4,"")))</f>
        <v/>
      </c>
      <c r="X103" t="str">
        <f t="array" ref="X103">IF($Q103="","",_xlfn.TEXTJOIN(", ",TRUE,IF(JUL!$G105:$AK105="FL",JUL!$G$4:$AK$4,"")))</f>
        <v/>
      </c>
      <c r="Y103" t="str">
        <f t="array" ref="Y103">IF($Q103="","",_xlfn.TEXTJOIN(", ",TRUE,IF(AGO!$G105:$AK105="FL",AGO!$G$4:$AK$4,"")))</f>
        <v/>
      </c>
      <c r="Z103" t="str">
        <f t="array" ref="Z103">IF($Q103="","",_xlfn.TEXTJOIN(", ",TRUE,IF(SET!$G105:$AK105="FL",SET!$G$4:$AK$4,"")))</f>
        <v/>
      </c>
      <c r="AA103" t="str">
        <f t="array" ref="AA103">IF($Q103="","",_xlfn.TEXTJOIN(", ",TRUE,IF(OUT!$G105:$AK105="FL",OUT!$G$4:$AK$4,"")))</f>
        <v/>
      </c>
      <c r="AB103" t="str">
        <f t="array" ref="AB103">IF($Q103="","",_xlfn.TEXTJOIN(", ",TRUE,IF(NOV!$G105:$AK105="FL",NOV!$G$4:$AK$4,"")))</f>
        <v/>
      </c>
      <c r="AC103" t="str">
        <f t="array" ref="AC103">IF($Q103="","",_xlfn.TEXTJOIN(", ",TRUE,IF(DEZ!$G105:$AK105="FL",DEZ!$G$4:$AK$4,"")))</f>
        <v/>
      </c>
      <c r="AD103" t="str">
        <f>IF($Q103="","",COUNTIF(JAN!$G105:$AK105,"FL")+COUNTIF(FEV!$G105:$AK105,"FL")+COUNTIF(MAR!$G105:$AK105,"FL")+COUNTIF(ABR!$G105:$AK105,"FL")+COUNTIF(MAI!$G105:$AK105,"FL")+COUNTIF(JUN!$G105:$AK105,"FL")+COUNTIF(JUL!$G105:$AK105,"FL")+COUNTIF(AGO!$G105:$AK105,"FL")+COUNTIF(SET!$G105:$AK105,"FL")+COUNTIF(OUT!$G105:$AK105,"FL")+COUNTIF(NOV!$G105:$AK105,"FL")+COUNTIF(DEZ!$G105:$AK105,"FL"))</f>
        <v/>
      </c>
      <c r="AF103" t="str">
        <f>IF(AND($Q103&lt;&gt;"",N($AD103)&gt;0),COUNT($AF$3:AF102)+1,"")</f>
        <v/>
      </c>
    </row>
    <row r="104" spans="1:32" hidden="1" outlineLevel="1" x14ac:dyDescent="0.25">
      <c r="A104" s="36" t="str">
        <f>IFERROR(INDEX($Q$4:$Q$153,MATCH(ROWS($A$4:A104),$AF$4:$AF$153,0)),"")</f>
        <v/>
      </c>
      <c r="B104" s="35" t="str">
        <f>IFERROR(INDEX($R$4:$R$153,MATCH(ROWS($A$4:A104),$AF$4:$AF$153,0)),"")</f>
        <v/>
      </c>
      <c r="C104" s="35" t="str">
        <f>IFERROR(INDEX($S$4:$S$153,MATCH(ROWS($A$4:A104),$AF$4:$AF$153,0)),"")</f>
        <v/>
      </c>
      <c r="D104" s="35" t="str">
        <f>IFERROR(INDEX($T$4:$T$153,MATCH(ROWS($A$4:A104),$AF$4:$AF$153,0)),"")</f>
        <v/>
      </c>
      <c r="E104" s="35" t="str">
        <f>IFERROR(INDEX($U$4:$U$153,MATCH(ROWS($A$4:A104),$AF$4:$AF$153,0)),"")</f>
        <v/>
      </c>
      <c r="F104" s="35" t="str">
        <f>IFERROR(INDEX($V$4:$V$153,MATCH(ROWS($A$4:A104),$AF$4:$AF$153,0)),"")</f>
        <v/>
      </c>
      <c r="G104" s="35" t="str">
        <f>IFERROR(INDEX($W$4:$W$153,MATCH(ROWS($A$4:A104),$AF$4:$AF$153,0)),"")</f>
        <v/>
      </c>
      <c r="H104" s="35" t="str">
        <f>IFERROR(INDEX($X$4:$X$153,MATCH(ROWS($A$4:A104),$AF$4:$AF$153,0)),"")</f>
        <v/>
      </c>
      <c r="I104" s="72" t="str">
        <f>IFERROR(INDEX($Y$4:$Y$153,MATCH(ROWS($A$4:A104),$AF$4:$AF$153,0)),"")</f>
        <v/>
      </c>
      <c r="J104" s="35" t="str">
        <f>IFERROR(INDEX($Z$4:$Z$153,MATCH(ROWS($A$4:A104),$AF$4:$AF$153,0)),"")</f>
        <v/>
      </c>
      <c r="K104" s="35" t="str">
        <f>IFERROR(INDEX($AA$4:$AA$153,MATCH(ROWS($A$4:A104),$AF$4:$AF$153,0)),"")</f>
        <v/>
      </c>
      <c r="L104" s="35" t="str">
        <f>IFERROR(INDEX($AB$4:$AB$153,MATCH(ROWS($A$4:A104),$AF$4:$AF$153,0)),"")</f>
        <v/>
      </c>
      <c r="M104" s="35" t="str">
        <f>IFERROR(INDEX($AC$4:$AC$153,MATCH(ROWS($A$4:A104),$AF$4:$AF$153,0)),"")</f>
        <v/>
      </c>
      <c r="N104" s="35" t="str">
        <f>IFERROR(INDEX($AD$4:$AD$153,MATCH(ROWS($A$4:A104),$AF$4:$AF$153,0)),"")</f>
        <v/>
      </c>
      <c r="Q104" t="str">
        <f>T(JAN!B106)</f>
        <v/>
      </c>
      <c r="R104" t="str">
        <f t="array" ref="R104">IF($Q104="","",_xlfn.TEXTJOIN(", ",TRUE,IF(JAN!$G106:$AK106="FL",JAN!$G$4:$AK$4,"")))</f>
        <v/>
      </c>
      <c r="S104" t="str">
        <f t="array" ref="S104">IF($Q104="","",_xlfn.TEXTJOIN(", ",TRUE,IF(FEV!$G106:$AK106="FL",FEV!$G$4:$AK$4,"")))</f>
        <v/>
      </c>
      <c r="T104" t="str">
        <f t="array" ref="T104">IF($Q104="","",_xlfn.TEXTJOIN(", ",TRUE,IF(MAR!$G106:$AK106="FL",MAR!$G$4:$AK$4,"")))</f>
        <v/>
      </c>
      <c r="U104" t="str">
        <f t="array" ref="U104">IF($Q104="","",_xlfn.TEXTJOIN(", ",TRUE,IF(ABR!$G106:$AK106="FL",ABR!$G$4:$AK$4,"")))</f>
        <v/>
      </c>
      <c r="V104" t="str">
        <f t="array" ref="V104">IF($Q104="","",_xlfn.TEXTJOIN(", ",TRUE,IF(MAI!$G106:$AK106="FL",MAI!$G$4:$AK$4,"")))</f>
        <v/>
      </c>
      <c r="W104" t="str">
        <f t="array" ref="W104">IF($Q104="","",_xlfn.TEXTJOIN(", ",TRUE,IF(JUN!$G106:$AK106="FL",JUN!$G$4:$AK$4,"")))</f>
        <v/>
      </c>
      <c r="X104" t="str">
        <f t="array" ref="X104">IF($Q104="","",_xlfn.TEXTJOIN(", ",TRUE,IF(JUL!$G106:$AK106="FL",JUL!$G$4:$AK$4,"")))</f>
        <v/>
      </c>
      <c r="Y104" t="str">
        <f t="array" ref="Y104">IF($Q104="","",_xlfn.TEXTJOIN(", ",TRUE,IF(AGO!$G106:$AK106="FL",AGO!$G$4:$AK$4,"")))</f>
        <v/>
      </c>
      <c r="Z104" t="str">
        <f t="array" ref="Z104">IF($Q104="","",_xlfn.TEXTJOIN(", ",TRUE,IF(SET!$G106:$AK106="FL",SET!$G$4:$AK$4,"")))</f>
        <v/>
      </c>
      <c r="AA104" t="str">
        <f t="array" ref="AA104">IF($Q104="","",_xlfn.TEXTJOIN(", ",TRUE,IF(OUT!$G106:$AK106="FL",OUT!$G$4:$AK$4,"")))</f>
        <v/>
      </c>
      <c r="AB104" t="str">
        <f t="array" ref="AB104">IF($Q104="","",_xlfn.TEXTJOIN(", ",TRUE,IF(NOV!$G106:$AK106="FL",NOV!$G$4:$AK$4,"")))</f>
        <v/>
      </c>
      <c r="AC104" t="str">
        <f t="array" ref="AC104">IF($Q104="","",_xlfn.TEXTJOIN(", ",TRUE,IF(DEZ!$G106:$AK106="FL",DEZ!$G$4:$AK$4,"")))</f>
        <v/>
      </c>
      <c r="AD104" t="str">
        <f>IF($Q104="","",COUNTIF(JAN!$G106:$AK106,"FL")+COUNTIF(FEV!$G106:$AK106,"FL")+COUNTIF(MAR!$G106:$AK106,"FL")+COUNTIF(ABR!$G106:$AK106,"FL")+COUNTIF(MAI!$G106:$AK106,"FL")+COUNTIF(JUN!$G106:$AK106,"FL")+COUNTIF(JUL!$G106:$AK106,"FL")+COUNTIF(AGO!$G106:$AK106,"FL")+COUNTIF(SET!$G106:$AK106,"FL")+COUNTIF(OUT!$G106:$AK106,"FL")+COUNTIF(NOV!$G106:$AK106,"FL")+COUNTIF(DEZ!$G106:$AK106,"FL"))</f>
        <v/>
      </c>
      <c r="AF104" t="str">
        <f>IF(AND($Q104&lt;&gt;"",N($AD104)&gt;0),COUNT($AF$3:AF103)+1,"")</f>
        <v/>
      </c>
    </row>
    <row r="105" spans="1:32" hidden="1" outlineLevel="1" x14ac:dyDescent="0.25">
      <c r="A105" s="36" t="str">
        <f>IFERROR(INDEX($Q$4:$Q$153,MATCH(ROWS($A$4:A105),$AF$4:$AF$153,0)),"")</f>
        <v/>
      </c>
      <c r="B105" s="35" t="str">
        <f>IFERROR(INDEX($R$4:$R$153,MATCH(ROWS($A$4:A105),$AF$4:$AF$153,0)),"")</f>
        <v/>
      </c>
      <c r="C105" s="35" t="str">
        <f>IFERROR(INDEX($S$4:$S$153,MATCH(ROWS($A$4:A105),$AF$4:$AF$153,0)),"")</f>
        <v/>
      </c>
      <c r="D105" s="35" t="str">
        <f>IFERROR(INDEX($T$4:$T$153,MATCH(ROWS($A$4:A105),$AF$4:$AF$153,0)),"")</f>
        <v/>
      </c>
      <c r="E105" s="35" t="str">
        <f>IFERROR(INDEX($U$4:$U$153,MATCH(ROWS($A$4:A105),$AF$4:$AF$153,0)),"")</f>
        <v/>
      </c>
      <c r="F105" s="35" t="str">
        <f>IFERROR(INDEX($V$4:$V$153,MATCH(ROWS($A$4:A105),$AF$4:$AF$153,0)),"")</f>
        <v/>
      </c>
      <c r="G105" s="35" t="str">
        <f>IFERROR(INDEX($W$4:$W$153,MATCH(ROWS($A$4:A105),$AF$4:$AF$153,0)),"")</f>
        <v/>
      </c>
      <c r="H105" s="35" t="str">
        <f>IFERROR(INDEX($X$4:$X$153,MATCH(ROWS($A$4:A105),$AF$4:$AF$153,0)),"")</f>
        <v/>
      </c>
      <c r="I105" s="72" t="str">
        <f>IFERROR(INDEX($Y$4:$Y$153,MATCH(ROWS($A$4:A105),$AF$4:$AF$153,0)),"")</f>
        <v/>
      </c>
      <c r="J105" s="35" t="str">
        <f>IFERROR(INDEX($Z$4:$Z$153,MATCH(ROWS($A$4:A105),$AF$4:$AF$153,0)),"")</f>
        <v/>
      </c>
      <c r="K105" s="35" t="str">
        <f>IFERROR(INDEX($AA$4:$AA$153,MATCH(ROWS($A$4:A105),$AF$4:$AF$153,0)),"")</f>
        <v/>
      </c>
      <c r="L105" s="35" t="str">
        <f>IFERROR(INDEX($AB$4:$AB$153,MATCH(ROWS($A$4:A105),$AF$4:$AF$153,0)),"")</f>
        <v/>
      </c>
      <c r="M105" s="35" t="str">
        <f>IFERROR(INDEX($AC$4:$AC$153,MATCH(ROWS($A$4:A105),$AF$4:$AF$153,0)),"")</f>
        <v/>
      </c>
      <c r="N105" s="35" t="str">
        <f>IFERROR(INDEX($AD$4:$AD$153,MATCH(ROWS($A$4:A105),$AF$4:$AF$153,0)),"")</f>
        <v/>
      </c>
      <c r="Q105" t="str">
        <f>T(JAN!B107)</f>
        <v/>
      </c>
      <c r="R105" t="str">
        <f t="array" ref="R105">IF($Q105="","",_xlfn.TEXTJOIN(", ",TRUE,IF(JAN!$G107:$AK107="FL",JAN!$G$4:$AK$4,"")))</f>
        <v/>
      </c>
      <c r="S105" t="str">
        <f t="array" ref="S105">IF($Q105="","",_xlfn.TEXTJOIN(", ",TRUE,IF(FEV!$G107:$AK107="FL",FEV!$G$4:$AK$4,"")))</f>
        <v/>
      </c>
      <c r="T105" t="str">
        <f t="array" ref="T105">IF($Q105="","",_xlfn.TEXTJOIN(", ",TRUE,IF(MAR!$G107:$AK107="FL",MAR!$G$4:$AK$4,"")))</f>
        <v/>
      </c>
      <c r="U105" t="str">
        <f t="array" ref="U105">IF($Q105="","",_xlfn.TEXTJOIN(", ",TRUE,IF(ABR!$G107:$AK107="FL",ABR!$G$4:$AK$4,"")))</f>
        <v/>
      </c>
      <c r="V105" t="str">
        <f t="array" ref="V105">IF($Q105="","",_xlfn.TEXTJOIN(", ",TRUE,IF(MAI!$G107:$AK107="FL",MAI!$G$4:$AK$4,"")))</f>
        <v/>
      </c>
      <c r="W105" t="str">
        <f t="array" ref="W105">IF($Q105="","",_xlfn.TEXTJOIN(", ",TRUE,IF(JUN!$G107:$AK107="FL",JUN!$G$4:$AK$4,"")))</f>
        <v/>
      </c>
      <c r="X105" t="str">
        <f t="array" ref="X105">IF($Q105="","",_xlfn.TEXTJOIN(", ",TRUE,IF(JUL!$G107:$AK107="FL",JUL!$G$4:$AK$4,"")))</f>
        <v/>
      </c>
      <c r="Y105" t="str">
        <f t="array" ref="Y105">IF($Q105="","",_xlfn.TEXTJOIN(", ",TRUE,IF(AGO!$G107:$AK107="FL",AGO!$G$4:$AK$4,"")))</f>
        <v/>
      </c>
      <c r="Z105" t="str">
        <f t="array" ref="Z105">IF($Q105="","",_xlfn.TEXTJOIN(", ",TRUE,IF(SET!$G107:$AK107="FL",SET!$G$4:$AK$4,"")))</f>
        <v/>
      </c>
      <c r="AA105" t="str">
        <f t="array" ref="AA105">IF($Q105="","",_xlfn.TEXTJOIN(", ",TRUE,IF(OUT!$G107:$AK107="FL",OUT!$G$4:$AK$4,"")))</f>
        <v/>
      </c>
      <c r="AB105" t="str">
        <f t="array" ref="AB105">IF($Q105="","",_xlfn.TEXTJOIN(", ",TRUE,IF(NOV!$G107:$AK107="FL",NOV!$G$4:$AK$4,"")))</f>
        <v/>
      </c>
      <c r="AC105" t="str">
        <f t="array" ref="AC105">IF($Q105="","",_xlfn.TEXTJOIN(", ",TRUE,IF(DEZ!$G107:$AK107="FL",DEZ!$G$4:$AK$4,"")))</f>
        <v/>
      </c>
      <c r="AD105" t="str">
        <f>IF($Q105="","",COUNTIF(JAN!$G107:$AK107,"FL")+COUNTIF(FEV!$G107:$AK107,"FL")+COUNTIF(MAR!$G107:$AK107,"FL")+COUNTIF(ABR!$G107:$AK107,"FL")+COUNTIF(MAI!$G107:$AK107,"FL")+COUNTIF(JUN!$G107:$AK107,"FL")+COUNTIF(JUL!$G107:$AK107,"FL")+COUNTIF(AGO!$G107:$AK107,"FL")+COUNTIF(SET!$G107:$AK107,"FL")+COUNTIF(OUT!$G107:$AK107,"FL")+COUNTIF(NOV!$G107:$AK107,"FL")+COUNTIF(DEZ!$G107:$AK107,"FL"))</f>
        <v/>
      </c>
      <c r="AF105" t="str">
        <f>IF(AND($Q105&lt;&gt;"",N($AD105)&gt;0),COUNT($AF$3:AF104)+1,"")</f>
        <v/>
      </c>
    </row>
    <row r="106" spans="1:32" hidden="1" outlineLevel="1" x14ac:dyDescent="0.25">
      <c r="A106" s="36" t="str">
        <f>IFERROR(INDEX($Q$4:$Q$153,MATCH(ROWS($A$4:A106),$AF$4:$AF$153,0)),"")</f>
        <v/>
      </c>
      <c r="B106" s="35" t="str">
        <f>IFERROR(INDEX($R$4:$R$153,MATCH(ROWS($A$4:A106),$AF$4:$AF$153,0)),"")</f>
        <v/>
      </c>
      <c r="C106" s="35" t="str">
        <f>IFERROR(INDEX($S$4:$S$153,MATCH(ROWS($A$4:A106),$AF$4:$AF$153,0)),"")</f>
        <v/>
      </c>
      <c r="D106" s="35" t="str">
        <f>IFERROR(INDEX($T$4:$T$153,MATCH(ROWS($A$4:A106),$AF$4:$AF$153,0)),"")</f>
        <v/>
      </c>
      <c r="E106" s="35" t="str">
        <f>IFERROR(INDEX($U$4:$U$153,MATCH(ROWS($A$4:A106),$AF$4:$AF$153,0)),"")</f>
        <v/>
      </c>
      <c r="F106" s="35" t="str">
        <f>IFERROR(INDEX($V$4:$V$153,MATCH(ROWS($A$4:A106),$AF$4:$AF$153,0)),"")</f>
        <v/>
      </c>
      <c r="G106" s="35" t="str">
        <f>IFERROR(INDEX($W$4:$W$153,MATCH(ROWS($A$4:A106),$AF$4:$AF$153,0)),"")</f>
        <v/>
      </c>
      <c r="H106" s="35" t="str">
        <f>IFERROR(INDEX($X$4:$X$153,MATCH(ROWS($A$4:A106),$AF$4:$AF$153,0)),"")</f>
        <v/>
      </c>
      <c r="I106" s="72" t="str">
        <f>IFERROR(INDEX($Y$4:$Y$153,MATCH(ROWS($A$4:A106),$AF$4:$AF$153,0)),"")</f>
        <v/>
      </c>
      <c r="J106" s="35" t="str">
        <f>IFERROR(INDEX($Z$4:$Z$153,MATCH(ROWS($A$4:A106),$AF$4:$AF$153,0)),"")</f>
        <v/>
      </c>
      <c r="K106" s="35" t="str">
        <f>IFERROR(INDEX($AA$4:$AA$153,MATCH(ROWS($A$4:A106),$AF$4:$AF$153,0)),"")</f>
        <v/>
      </c>
      <c r="L106" s="35" t="str">
        <f>IFERROR(INDEX($AB$4:$AB$153,MATCH(ROWS($A$4:A106),$AF$4:$AF$153,0)),"")</f>
        <v/>
      </c>
      <c r="M106" s="35" t="str">
        <f>IFERROR(INDEX($AC$4:$AC$153,MATCH(ROWS($A$4:A106),$AF$4:$AF$153,0)),"")</f>
        <v/>
      </c>
      <c r="N106" s="35" t="str">
        <f>IFERROR(INDEX($AD$4:$AD$153,MATCH(ROWS($A$4:A106),$AF$4:$AF$153,0)),"")</f>
        <v/>
      </c>
      <c r="Q106" t="str">
        <f>T(JAN!B108)</f>
        <v/>
      </c>
      <c r="R106" t="str">
        <f t="array" ref="R106">IF($Q106="","",_xlfn.TEXTJOIN(", ",TRUE,IF(JAN!$G108:$AK108="FL",JAN!$G$4:$AK$4,"")))</f>
        <v/>
      </c>
      <c r="S106" t="str">
        <f t="array" ref="S106">IF($Q106="","",_xlfn.TEXTJOIN(", ",TRUE,IF(FEV!$G108:$AK108="FL",FEV!$G$4:$AK$4,"")))</f>
        <v/>
      </c>
      <c r="T106" t="str">
        <f t="array" ref="T106">IF($Q106="","",_xlfn.TEXTJOIN(", ",TRUE,IF(MAR!$G108:$AK108="FL",MAR!$G$4:$AK$4,"")))</f>
        <v/>
      </c>
      <c r="U106" t="str">
        <f t="array" ref="U106">IF($Q106="","",_xlfn.TEXTJOIN(", ",TRUE,IF(ABR!$G108:$AK108="FL",ABR!$G$4:$AK$4,"")))</f>
        <v/>
      </c>
      <c r="V106" t="str">
        <f t="array" ref="V106">IF($Q106="","",_xlfn.TEXTJOIN(", ",TRUE,IF(MAI!$G108:$AK108="FL",MAI!$G$4:$AK$4,"")))</f>
        <v/>
      </c>
      <c r="W106" t="str">
        <f t="array" ref="W106">IF($Q106="","",_xlfn.TEXTJOIN(", ",TRUE,IF(JUN!$G108:$AK108="FL",JUN!$G$4:$AK$4,"")))</f>
        <v/>
      </c>
      <c r="X106" t="str">
        <f t="array" ref="X106">IF($Q106="","",_xlfn.TEXTJOIN(", ",TRUE,IF(JUL!$G108:$AK108="FL",JUL!$G$4:$AK$4,"")))</f>
        <v/>
      </c>
      <c r="Y106" t="str">
        <f t="array" ref="Y106">IF($Q106="","",_xlfn.TEXTJOIN(", ",TRUE,IF(AGO!$G108:$AK108="FL",AGO!$G$4:$AK$4,"")))</f>
        <v/>
      </c>
      <c r="Z106" t="str">
        <f t="array" ref="Z106">IF($Q106="","",_xlfn.TEXTJOIN(", ",TRUE,IF(SET!$G108:$AK108="FL",SET!$G$4:$AK$4,"")))</f>
        <v/>
      </c>
      <c r="AA106" t="str">
        <f t="array" ref="AA106">IF($Q106="","",_xlfn.TEXTJOIN(", ",TRUE,IF(OUT!$G108:$AK108="FL",OUT!$G$4:$AK$4,"")))</f>
        <v/>
      </c>
      <c r="AB106" t="str">
        <f t="array" ref="AB106">IF($Q106="","",_xlfn.TEXTJOIN(", ",TRUE,IF(NOV!$G108:$AK108="FL",NOV!$G$4:$AK$4,"")))</f>
        <v/>
      </c>
      <c r="AC106" t="str">
        <f t="array" ref="AC106">IF($Q106="","",_xlfn.TEXTJOIN(", ",TRUE,IF(DEZ!$G108:$AK108="FL",DEZ!$G$4:$AK$4,"")))</f>
        <v/>
      </c>
      <c r="AD106" t="str">
        <f>IF($Q106="","",COUNTIF(JAN!$G108:$AK108,"FL")+COUNTIF(FEV!$G108:$AK108,"FL")+COUNTIF(MAR!$G108:$AK108,"FL")+COUNTIF(ABR!$G108:$AK108,"FL")+COUNTIF(MAI!$G108:$AK108,"FL")+COUNTIF(JUN!$G108:$AK108,"FL")+COUNTIF(JUL!$G108:$AK108,"FL")+COUNTIF(AGO!$G108:$AK108,"FL")+COUNTIF(SET!$G108:$AK108,"FL")+COUNTIF(OUT!$G108:$AK108,"FL")+COUNTIF(NOV!$G108:$AK108,"FL")+COUNTIF(DEZ!$G108:$AK108,"FL"))</f>
        <v/>
      </c>
      <c r="AF106" t="str">
        <f>IF(AND($Q106&lt;&gt;"",N($AD106)&gt;0),COUNT($AF$3:AF105)+1,"")</f>
        <v/>
      </c>
    </row>
    <row r="107" spans="1:32" hidden="1" outlineLevel="1" x14ac:dyDescent="0.25">
      <c r="A107" s="36" t="str">
        <f>IFERROR(INDEX($Q$4:$Q$153,MATCH(ROWS($A$4:A107),$AF$4:$AF$153,0)),"")</f>
        <v/>
      </c>
      <c r="B107" s="35" t="str">
        <f>IFERROR(INDEX($R$4:$R$153,MATCH(ROWS($A$4:A107),$AF$4:$AF$153,0)),"")</f>
        <v/>
      </c>
      <c r="C107" s="35" t="str">
        <f>IFERROR(INDEX($S$4:$S$153,MATCH(ROWS($A$4:A107),$AF$4:$AF$153,0)),"")</f>
        <v/>
      </c>
      <c r="D107" s="35" t="str">
        <f>IFERROR(INDEX($T$4:$T$153,MATCH(ROWS($A$4:A107),$AF$4:$AF$153,0)),"")</f>
        <v/>
      </c>
      <c r="E107" s="35" t="str">
        <f>IFERROR(INDEX($U$4:$U$153,MATCH(ROWS($A$4:A107),$AF$4:$AF$153,0)),"")</f>
        <v/>
      </c>
      <c r="F107" s="35" t="str">
        <f>IFERROR(INDEX($V$4:$V$153,MATCH(ROWS($A$4:A107),$AF$4:$AF$153,0)),"")</f>
        <v/>
      </c>
      <c r="G107" s="35" t="str">
        <f>IFERROR(INDEX($W$4:$W$153,MATCH(ROWS($A$4:A107),$AF$4:$AF$153,0)),"")</f>
        <v/>
      </c>
      <c r="H107" s="35" t="str">
        <f>IFERROR(INDEX($X$4:$X$153,MATCH(ROWS($A$4:A107),$AF$4:$AF$153,0)),"")</f>
        <v/>
      </c>
      <c r="I107" s="72" t="str">
        <f>IFERROR(INDEX($Y$4:$Y$153,MATCH(ROWS($A$4:A107),$AF$4:$AF$153,0)),"")</f>
        <v/>
      </c>
      <c r="J107" s="35" t="str">
        <f>IFERROR(INDEX($Z$4:$Z$153,MATCH(ROWS($A$4:A107),$AF$4:$AF$153,0)),"")</f>
        <v/>
      </c>
      <c r="K107" s="35" t="str">
        <f>IFERROR(INDEX($AA$4:$AA$153,MATCH(ROWS($A$4:A107),$AF$4:$AF$153,0)),"")</f>
        <v/>
      </c>
      <c r="L107" s="35" t="str">
        <f>IFERROR(INDEX($AB$4:$AB$153,MATCH(ROWS($A$4:A107),$AF$4:$AF$153,0)),"")</f>
        <v/>
      </c>
      <c r="M107" s="35" t="str">
        <f>IFERROR(INDEX($AC$4:$AC$153,MATCH(ROWS($A$4:A107),$AF$4:$AF$153,0)),"")</f>
        <v/>
      </c>
      <c r="N107" s="35" t="str">
        <f>IFERROR(INDEX($AD$4:$AD$153,MATCH(ROWS($A$4:A107),$AF$4:$AF$153,0)),"")</f>
        <v/>
      </c>
      <c r="Q107" t="str">
        <f>T(JAN!B109)</f>
        <v/>
      </c>
      <c r="R107" t="str">
        <f t="array" ref="R107">IF($Q107="","",_xlfn.TEXTJOIN(", ",TRUE,IF(JAN!$G109:$AK109="FL",JAN!$G$4:$AK$4,"")))</f>
        <v/>
      </c>
      <c r="S107" t="str">
        <f t="array" ref="S107">IF($Q107="","",_xlfn.TEXTJOIN(", ",TRUE,IF(FEV!$G109:$AK109="FL",FEV!$G$4:$AK$4,"")))</f>
        <v/>
      </c>
      <c r="T107" t="str">
        <f t="array" ref="T107">IF($Q107="","",_xlfn.TEXTJOIN(", ",TRUE,IF(MAR!$G109:$AK109="FL",MAR!$G$4:$AK$4,"")))</f>
        <v/>
      </c>
      <c r="U107" t="str">
        <f t="array" ref="U107">IF($Q107="","",_xlfn.TEXTJOIN(", ",TRUE,IF(ABR!$G109:$AK109="FL",ABR!$G$4:$AK$4,"")))</f>
        <v/>
      </c>
      <c r="V107" t="str">
        <f t="array" ref="V107">IF($Q107="","",_xlfn.TEXTJOIN(", ",TRUE,IF(MAI!$G109:$AK109="FL",MAI!$G$4:$AK$4,"")))</f>
        <v/>
      </c>
      <c r="W107" t="str">
        <f t="array" ref="W107">IF($Q107="","",_xlfn.TEXTJOIN(", ",TRUE,IF(JUN!$G109:$AK109="FL",JUN!$G$4:$AK$4,"")))</f>
        <v/>
      </c>
      <c r="X107" t="str">
        <f t="array" ref="X107">IF($Q107="","",_xlfn.TEXTJOIN(", ",TRUE,IF(JUL!$G109:$AK109="FL",JUL!$G$4:$AK$4,"")))</f>
        <v/>
      </c>
      <c r="Y107" t="str">
        <f t="array" ref="Y107">IF($Q107="","",_xlfn.TEXTJOIN(", ",TRUE,IF(AGO!$G109:$AK109="FL",AGO!$G$4:$AK$4,"")))</f>
        <v/>
      </c>
      <c r="Z107" t="str">
        <f t="array" ref="Z107">IF($Q107="","",_xlfn.TEXTJOIN(", ",TRUE,IF(SET!$G109:$AK109="FL",SET!$G$4:$AK$4,"")))</f>
        <v/>
      </c>
      <c r="AA107" t="str">
        <f t="array" ref="AA107">IF($Q107="","",_xlfn.TEXTJOIN(", ",TRUE,IF(OUT!$G109:$AK109="FL",OUT!$G$4:$AK$4,"")))</f>
        <v/>
      </c>
      <c r="AB107" t="str">
        <f t="array" ref="AB107">IF($Q107="","",_xlfn.TEXTJOIN(", ",TRUE,IF(NOV!$G109:$AK109="FL",NOV!$G$4:$AK$4,"")))</f>
        <v/>
      </c>
      <c r="AC107" t="str">
        <f t="array" ref="AC107">IF($Q107="","",_xlfn.TEXTJOIN(", ",TRUE,IF(DEZ!$G109:$AK109="FL",DEZ!$G$4:$AK$4,"")))</f>
        <v/>
      </c>
      <c r="AD107" t="str">
        <f>IF($Q107="","",COUNTIF(JAN!$G109:$AK109,"FL")+COUNTIF(FEV!$G109:$AK109,"FL")+COUNTIF(MAR!$G109:$AK109,"FL")+COUNTIF(ABR!$G109:$AK109,"FL")+COUNTIF(MAI!$G109:$AK109,"FL")+COUNTIF(JUN!$G109:$AK109,"FL")+COUNTIF(JUL!$G109:$AK109,"FL")+COUNTIF(AGO!$G109:$AK109,"FL")+COUNTIF(SET!$G109:$AK109,"FL")+COUNTIF(OUT!$G109:$AK109,"FL")+COUNTIF(NOV!$G109:$AK109,"FL")+COUNTIF(DEZ!$G109:$AK109,"FL"))</f>
        <v/>
      </c>
      <c r="AF107" t="str">
        <f>IF(AND($Q107&lt;&gt;"",N($AD107)&gt;0),COUNT($AF$3:AF106)+1,"")</f>
        <v/>
      </c>
    </row>
    <row r="108" spans="1:32" hidden="1" outlineLevel="1" x14ac:dyDescent="0.25">
      <c r="A108" s="36" t="str">
        <f>IFERROR(INDEX($Q$4:$Q$153,MATCH(ROWS($A$4:A108),$AF$4:$AF$153,0)),"")</f>
        <v/>
      </c>
      <c r="B108" s="35" t="str">
        <f>IFERROR(INDEX($R$4:$R$153,MATCH(ROWS($A$4:A108),$AF$4:$AF$153,0)),"")</f>
        <v/>
      </c>
      <c r="C108" s="35" t="str">
        <f>IFERROR(INDEX($S$4:$S$153,MATCH(ROWS($A$4:A108),$AF$4:$AF$153,0)),"")</f>
        <v/>
      </c>
      <c r="D108" s="35" t="str">
        <f>IFERROR(INDEX($T$4:$T$153,MATCH(ROWS($A$4:A108),$AF$4:$AF$153,0)),"")</f>
        <v/>
      </c>
      <c r="E108" s="35" t="str">
        <f>IFERROR(INDEX($U$4:$U$153,MATCH(ROWS($A$4:A108),$AF$4:$AF$153,0)),"")</f>
        <v/>
      </c>
      <c r="F108" s="35" t="str">
        <f>IFERROR(INDEX($V$4:$V$153,MATCH(ROWS($A$4:A108),$AF$4:$AF$153,0)),"")</f>
        <v/>
      </c>
      <c r="G108" s="35" t="str">
        <f>IFERROR(INDEX($W$4:$W$153,MATCH(ROWS($A$4:A108),$AF$4:$AF$153,0)),"")</f>
        <v/>
      </c>
      <c r="H108" s="35" t="str">
        <f>IFERROR(INDEX($X$4:$X$153,MATCH(ROWS($A$4:A108),$AF$4:$AF$153,0)),"")</f>
        <v/>
      </c>
      <c r="I108" s="72" t="str">
        <f>IFERROR(INDEX($Y$4:$Y$153,MATCH(ROWS($A$4:A108),$AF$4:$AF$153,0)),"")</f>
        <v/>
      </c>
      <c r="J108" s="35" t="str">
        <f>IFERROR(INDEX($Z$4:$Z$153,MATCH(ROWS($A$4:A108),$AF$4:$AF$153,0)),"")</f>
        <v/>
      </c>
      <c r="K108" s="35" t="str">
        <f>IFERROR(INDEX($AA$4:$AA$153,MATCH(ROWS($A$4:A108),$AF$4:$AF$153,0)),"")</f>
        <v/>
      </c>
      <c r="L108" s="35" t="str">
        <f>IFERROR(INDEX($AB$4:$AB$153,MATCH(ROWS($A$4:A108),$AF$4:$AF$153,0)),"")</f>
        <v/>
      </c>
      <c r="M108" s="35" t="str">
        <f>IFERROR(INDEX($AC$4:$AC$153,MATCH(ROWS($A$4:A108),$AF$4:$AF$153,0)),"")</f>
        <v/>
      </c>
      <c r="N108" s="35" t="str">
        <f>IFERROR(INDEX($AD$4:$AD$153,MATCH(ROWS($A$4:A108),$AF$4:$AF$153,0)),"")</f>
        <v/>
      </c>
      <c r="Q108" t="str">
        <f>T(JAN!B110)</f>
        <v/>
      </c>
      <c r="R108" t="str">
        <f t="array" ref="R108">IF($Q108="","",_xlfn.TEXTJOIN(", ",TRUE,IF(JAN!$G110:$AK110="FL",JAN!$G$4:$AK$4,"")))</f>
        <v/>
      </c>
      <c r="S108" t="str">
        <f t="array" ref="S108">IF($Q108="","",_xlfn.TEXTJOIN(", ",TRUE,IF(FEV!$G110:$AK110="FL",FEV!$G$4:$AK$4,"")))</f>
        <v/>
      </c>
      <c r="T108" t="str">
        <f t="array" ref="T108">IF($Q108="","",_xlfn.TEXTJOIN(", ",TRUE,IF(MAR!$G110:$AK110="FL",MAR!$G$4:$AK$4,"")))</f>
        <v/>
      </c>
      <c r="U108" t="str">
        <f t="array" ref="U108">IF($Q108="","",_xlfn.TEXTJOIN(", ",TRUE,IF(ABR!$G110:$AK110="FL",ABR!$G$4:$AK$4,"")))</f>
        <v/>
      </c>
      <c r="V108" t="str">
        <f t="array" ref="V108">IF($Q108="","",_xlfn.TEXTJOIN(", ",TRUE,IF(MAI!$G110:$AK110="FL",MAI!$G$4:$AK$4,"")))</f>
        <v/>
      </c>
      <c r="W108" t="str">
        <f t="array" ref="W108">IF($Q108="","",_xlfn.TEXTJOIN(", ",TRUE,IF(JUN!$G110:$AK110="FL",JUN!$G$4:$AK$4,"")))</f>
        <v/>
      </c>
      <c r="X108" t="str">
        <f t="array" ref="X108">IF($Q108="","",_xlfn.TEXTJOIN(", ",TRUE,IF(JUL!$G110:$AK110="FL",JUL!$G$4:$AK$4,"")))</f>
        <v/>
      </c>
      <c r="Y108" t="str">
        <f t="array" ref="Y108">IF($Q108="","",_xlfn.TEXTJOIN(", ",TRUE,IF(AGO!$G110:$AK110="FL",AGO!$G$4:$AK$4,"")))</f>
        <v/>
      </c>
      <c r="Z108" t="str">
        <f t="array" ref="Z108">IF($Q108="","",_xlfn.TEXTJOIN(", ",TRUE,IF(SET!$G110:$AK110="FL",SET!$G$4:$AK$4,"")))</f>
        <v/>
      </c>
      <c r="AA108" t="str">
        <f t="array" ref="AA108">IF($Q108="","",_xlfn.TEXTJOIN(", ",TRUE,IF(OUT!$G110:$AK110="FL",OUT!$G$4:$AK$4,"")))</f>
        <v/>
      </c>
      <c r="AB108" t="str">
        <f t="array" ref="AB108">IF($Q108="","",_xlfn.TEXTJOIN(", ",TRUE,IF(NOV!$G110:$AK110="FL",NOV!$G$4:$AK$4,"")))</f>
        <v/>
      </c>
      <c r="AC108" t="str">
        <f t="array" ref="AC108">IF($Q108="","",_xlfn.TEXTJOIN(", ",TRUE,IF(DEZ!$G110:$AK110="FL",DEZ!$G$4:$AK$4,"")))</f>
        <v/>
      </c>
      <c r="AD108" t="str">
        <f>IF($Q108="","",COUNTIF(JAN!$G110:$AK110,"FL")+COUNTIF(FEV!$G110:$AK110,"FL")+COUNTIF(MAR!$G110:$AK110,"FL")+COUNTIF(ABR!$G110:$AK110,"FL")+COUNTIF(MAI!$G110:$AK110,"FL")+COUNTIF(JUN!$G110:$AK110,"FL")+COUNTIF(JUL!$G110:$AK110,"FL")+COUNTIF(AGO!$G110:$AK110,"FL")+COUNTIF(SET!$G110:$AK110,"FL")+COUNTIF(OUT!$G110:$AK110,"FL")+COUNTIF(NOV!$G110:$AK110,"FL")+COUNTIF(DEZ!$G110:$AK110,"FL"))</f>
        <v/>
      </c>
      <c r="AF108" t="str">
        <f>IF(AND($Q108&lt;&gt;"",N($AD108)&gt;0),COUNT($AF$3:AF107)+1,"")</f>
        <v/>
      </c>
    </row>
    <row r="109" spans="1:32" hidden="1" outlineLevel="1" x14ac:dyDescent="0.25">
      <c r="A109" s="36" t="str">
        <f>IFERROR(INDEX($Q$4:$Q$153,MATCH(ROWS($A$4:A109),$AF$4:$AF$153,0)),"")</f>
        <v/>
      </c>
      <c r="B109" s="35" t="str">
        <f>IFERROR(INDEX($R$4:$R$153,MATCH(ROWS($A$4:A109),$AF$4:$AF$153,0)),"")</f>
        <v/>
      </c>
      <c r="C109" s="35" t="str">
        <f>IFERROR(INDEX($S$4:$S$153,MATCH(ROWS($A$4:A109),$AF$4:$AF$153,0)),"")</f>
        <v/>
      </c>
      <c r="D109" s="35" t="str">
        <f>IFERROR(INDEX($T$4:$T$153,MATCH(ROWS($A$4:A109),$AF$4:$AF$153,0)),"")</f>
        <v/>
      </c>
      <c r="E109" s="35" t="str">
        <f>IFERROR(INDEX($U$4:$U$153,MATCH(ROWS($A$4:A109),$AF$4:$AF$153,0)),"")</f>
        <v/>
      </c>
      <c r="F109" s="35" t="str">
        <f>IFERROR(INDEX($V$4:$V$153,MATCH(ROWS($A$4:A109),$AF$4:$AF$153,0)),"")</f>
        <v/>
      </c>
      <c r="G109" s="35" t="str">
        <f>IFERROR(INDEX($W$4:$W$153,MATCH(ROWS($A$4:A109),$AF$4:$AF$153,0)),"")</f>
        <v/>
      </c>
      <c r="H109" s="35" t="str">
        <f>IFERROR(INDEX($X$4:$X$153,MATCH(ROWS($A$4:A109),$AF$4:$AF$153,0)),"")</f>
        <v/>
      </c>
      <c r="I109" s="72" t="str">
        <f>IFERROR(INDEX($Y$4:$Y$153,MATCH(ROWS($A$4:A109),$AF$4:$AF$153,0)),"")</f>
        <v/>
      </c>
      <c r="J109" s="35" t="str">
        <f>IFERROR(INDEX($Z$4:$Z$153,MATCH(ROWS($A$4:A109),$AF$4:$AF$153,0)),"")</f>
        <v/>
      </c>
      <c r="K109" s="35" t="str">
        <f>IFERROR(INDEX($AA$4:$AA$153,MATCH(ROWS($A$4:A109),$AF$4:$AF$153,0)),"")</f>
        <v/>
      </c>
      <c r="L109" s="35" t="str">
        <f>IFERROR(INDEX($AB$4:$AB$153,MATCH(ROWS($A$4:A109),$AF$4:$AF$153,0)),"")</f>
        <v/>
      </c>
      <c r="M109" s="35" t="str">
        <f>IFERROR(INDEX($AC$4:$AC$153,MATCH(ROWS($A$4:A109),$AF$4:$AF$153,0)),"")</f>
        <v/>
      </c>
      <c r="N109" s="35" t="str">
        <f>IFERROR(INDEX($AD$4:$AD$153,MATCH(ROWS($A$4:A109),$AF$4:$AF$153,0)),"")</f>
        <v/>
      </c>
      <c r="Q109" t="str">
        <f>T(JAN!B111)</f>
        <v/>
      </c>
      <c r="R109" t="str">
        <f t="array" ref="R109">IF($Q109="","",_xlfn.TEXTJOIN(", ",TRUE,IF(JAN!$G111:$AK111="FL",JAN!$G$4:$AK$4,"")))</f>
        <v/>
      </c>
      <c r="S109" t="str">
        <f t="array" ref="S109">IF($Q109="","",_xlfn.TEXTJOIN(", ",TRUE,IF(FEV!$G111:$AK111="FL",FEV!$G$4:$AK$4,"")))</f>
        <v/>
      </c>
      <c r="T109" t="str">
        <f t="array" ref="T109">IF($Q109="","",_xlfn.TEXTJOIN(", ",TRUE,IF(MAR!$G111:$AK111="FL",MAR!$G$4:$AK$4,"")))</f>
        <v/>
      </c>
      <c r="U109" t="str">
        <f t="array" ref="U109">IF($Q109="","",_xlfn.TEXTJOIN(", ",TRUE,IF(ABR!$G111:$AK111="FL",ABR!$G$4:$AK$4,"")))</f>
        <v/>
      </c>
      <c r="V109" t="str">
        <f t="array" ref="V109">IF($Q109="","",_xlfn.TEXTJOIN(", ",TRUE,IF(MAI!$G111:$AK111="FL",MAI!$G$4:$AK$4,"")))</f>
        <v/>
      </c>
      <c r="W109" t="str">
        <f t="array" ref="W109">IF($Q109="","",_xlfn.TEXTJOIN(", ",TRUE,IF(JUN!$G111:$AK111="FL",JUN!$G$4:$AK$4,"")))</f>
        <v/>
      </c>
      <c r="X109" t="str">
        <f t="array" ref="X109">IF($Q109="","",_xlfn.TEXTJOIN(", ",TRUE,IF(JUL!$G111:$AK111="FL",JUL!$G$4:$AK$4,"")))</f>
        <v/>
      </c>
      <c r="Y109" t="str">
        <f t="array" ref="Y109">IF($Q109="","",_xlfn.TEXTJOIN(", ",TRUE,IF(AGO!$G111:$AK111="FL",AGO!$G$4:$AK$4,"")))</f>
        <v/>
      </c>
      <c r="Z109" t="str">
        <f t="array" ref="Z109">IF($Q109="","",_xlfn.TEXTJOIN(", ",TRUE,IF(SET!$G111:$AK111="FL",SET!$G$4:$AK$4,"")))</f>
        <v/>
      </c>
      <c r="AA109" t="str">
        <f t="array" ref="AA109">IF($Q109="","",_xlfn.TEXTJOIN(", ",TRUE,IF(OUT!$G111:$AK111="FL",OUT!$G$4:$AK$4,"")))</f>
        <v/>
      </c>
      <c r="AB109" t="str">
        <f t="array" ref="AB109">IF($Q109="","",_xlfn.TEXTJOIN(", ",TRUE,IF(NOV!$G111:$AK111="FL",NOV!$G$4:$AK$4,"")))</f>
        <v/>
      </c>
      <c r="AC109" t="str">
        <f t="array" ref="AC109">IF($Q109="","",_xlfn.TEXTJOIN(", ",TRUE,IF(DEZ!$G111:$AK111="FL",DEZ!$G$4:$AK$4,"")))</f>
        <v/>
      </c>
      <c r="AD109" t="str">
        <f>IF($Q109="","",COUNTIF(JAN!$G111:$AK111,"FL")+COUNTIF(FEV!$G111:$AK111,"FL")+COUNTIF(MAR!$G111:$AK111,"FL")+COUNTIF(ABR!$G111:$AK111,"FL")+COUNTIF(MAI!$G111:$AK111,"FL")+COUNTIF(JUN!$G111:$AK111,"FL")+COUNTIF(JUL!$G111:$AK111,"FL")+COUNTIF(AGO!$G111:$AK111,"FL")+COUNTIF(SET!$G111:$AK111,"FL")+COUNTIF(OUT!$G111:$AK111,"FL")+COUNTIF(NOV!$G111:$AK111,"FL")+COUNTIF(DEZ!$G111:$AK111,"FL"))</f>
        <v/>
      </c>
      <c r="AF109" t="str">
        <f>IF(AND($Q109&lt;&gt;"",N($AD109)&gt;0),COUNT($AF$3:AF108)+1,"")</f>
        <v/>
      </c>
    </row>
    <row r="110" spans="1:32" hidden="1" outlineLevel="1" x14ac:dyDescent="0.25">
      <c r="A110" s="36" t="str">
        <f>IFERROR(INDEX($Q$4:$Q$153,MATCH(ROWS($A$4:A110),$AF$4:$AF$153,0)),"")</f>
        <v/>
      </c>
      <c r="B110" s="35" t="str">
        <f>IFERROR(INDEX($R$4:$R$153,MATCH(ROWS($A$4:A110),$AF$4:$AF$153,0)),"")</f>
        <v/>
      </c>
      <c r="C110" s="35" t="str">
        <f>IFERROR(INDEX($S$4:$S$153,MATCH(ROWS($A$4:A110),$AF$4:$AF$153,0)),"")</f>
        <v/>
      </c>
      <c r="D110" s="35" t="str">
        <f>IFERROR(INDEX($T$4:$T$153,MATCH(ROWS($A$4:A110),$AF$4:$AF$153,0)),"")</f>
        <v/>
      </c>
      <c r="E110" s="35" t="str">
        <f>IFERROR(INDEX($U$4:$U$153,MATCH(ROWS($A$4:A110),$AF$4:$AF$153,0)),"")</f>
        <v/>
      </c>
      <c r="F110" s="35" t="str">
        <f>IFERROR(INDEX($V$4:$V$153,MATCH(ROWS($A$4:A110),$AF$4:$AF$153,0)),"")</f>
        <v/>
      </c>
      <c r="G110" s="35" t="str">
        <f>IFERROR(INDEX($W$4:$W$153,MATCH(ROWS($A$4:A110),$AF$4:$AF$153,0)),"")</f>
        <v/>
      </c>
      <c r="H110" s="35" t="str">
        <f>IFERROR(INDEX($X$4:$X$153,MATCH(ROWS($A$4:A110),$AF$4:$AF$153,0)),"")</f>
        <v/>
      </c>
      <c r="I110" s="72" t="str">
        <f>IFERROR(INDEX($Y$4:$Y$153,MATCH(ROWS($A$4:A110),$AF$4:$AF$153,0)),"")</f>
        <v/>
      </c>
      <c r="J110" s="35" t="str">
        <f>IFERROR(INDEX($Z$4:$Z$153,MATCH(ROWS($A$4:A110),$AF$4:$AF$153,0)),"")</f>
        <v/>
      </c>
      <c r="K110" s="35" t="str">
        <f>IFERROR(INDEX($AA$4:$AA$153,MATCH(ROWS($A$4:A110),$AF$4:$AF$153,0)),"")</f>
        <v/>
      </c>
      <c r="L110" s="35" t="str">
        <f>IFERROR(INDEX($AB$4:$AB$153,MATCH(ROWS($A$4:A110),$AF$4:$AF$153,0)),"")</f>
        <v/>
      </c>
      <c r="M110" s="35" t="str">
        <f>IFERROR(INDEX($AC$4:$AC$153,MATCH(ROWS($A$4:A110),$AF$4:$AF$153,0)),"")</f>
        <v/>
      </c>
      <c r="N110" s="35" t="str">
        <f>IFERROR(INDEX($AD$4:$AD$153,MATCH(ROWS($A$4:A110),$AF$4:$AF$153,0)),"")</f>
        <v/>
      </c>
      <c r="Q110" t="str">
        <f>T(JAN!B112)</f>
        <v/>
      </c>
      <c r="R110" t="str">
        <f t="array" ref="R110">IF($Q110="","",_xlfn.TEXTJOIN(", ",TRUE,IF(JAN!$G112:$AK112="FL",JAN!$G$4:$AK$4,"")))</f>
        <v/>
      </c>
      <c r="S110" t="str">
        <f t="array" ref="S110">IF($Q110="","",_xlfn.TEXTJOIN(", ",TRUE,IF(FEV!$G112:$AK112="FL",FEV!$G$4:$AK$4,"")))</f>
        <v/>
      </c>
      <c r="T110" t="str">
        <f t="array" ref="T110">IF($Q110="","",_xlfn.TEXTJOIN(", ",TRUE,IF(MAR!$G112:$AK112="FL",MAR!$G$4:$AK$4,"")))</f>
        <v/>
      </c>
      <c r="U110" t="str">
        <f t="array" ref="U110">IF($Q110="","",_xlfn.TEXTJOIN(", ",TRUE,IF(ABR!$G112:$AK112="FL",ABR!$G$4:$AK$4,"")))</f>
        <v/>
      </c>
      <c r="V110" t="str">
        <f t="array" ref="V110">IF($Q110="","",_xlfn.TEXTJOIN(", ",TRUE,IF(MAI!$G112:$AK112="FL",MAI!$G$4:$AK$4,"")))</f>
        <v/>
      </c>
      <c r="W110" t="str">
        <f t="array" ref="W110">IF($Q110="","",_xlfn.TEXTJOIN(", ",TRUE,IF(JUN!$G112:$AK112="FL",JUN!$G$4:$AK$4,"")))</f>
        <v/>
      </c>
      <c r="X110" t="str">
        <f t="array" ref="X110">IF($Q110="","",_xlfn.TEXTJOIN(", ",TRUE,IF(JUL!$G112:$AK112="FL",JUL!$G$4:$AK$4,"")))</f>
        <v/>
      </c>
      <c r="Y110" t="str">
        <f t="array" ref="Y110">IF($Q110="","",_xlfn.TEXTJOIN(", ",TRUE,IF(AGO!$G112:$AK112="FL",AGO!$G$4:$AK$4,"")))</f>
        <v/>
      </c>
      <c r="Z110" t="str">
        <f t="array" ref="Z110">IF($Q110="","",_xlfn.TEXTJOIN(", ",TRUE,IF(SET!$G112:$AK112="FL",SET!$G$4:$AK$4,"")))</f>
        <v/>
      </c>
      <c r="AA110" t="str">
        <f t="array" ref="AA110">IF($Q110="","",_xlfn.TEXTJOIN(", ",TRUE,IF(OUT!$G112:$AK112="FL",OUT!$G$4:$AK$4,"")))</f>
        <v/>
      </c>
      <c r="AB110" t="str">
        <f t="array" ref="AB110">IF($Q110="","",_xlfn.TEXTJOIN(", ",TRUE,IF(NOV!$G112:$AK112="FL",NOV!$G$4:$AK$4,"")))</f>
        <v/>
      </c>
      <c r="AC110" t="str">
        <f t="array" ref="AC110">IF($Q110="","",_xlfn.TEXTJOIN(", ",TRUE,IF(DEZ!$G112:$AK112="FL",DEZ!$G$4:$AK$4,"")))</f>
        <v/>
      </c>
      <c r="AD110" t="str">
        <f>IF($Q110="","",COUNTIF(JAN!$G112:$AK112,"FL")+COUNTIF(FEV!$G112:$AK112,"FL")+COUNTIF(MAR!$G112:$AK112,"FL")+COUNTIF(ABR!$G112:$AK112,"FL")+COUNTIF(MAI!$G112:$AK112,"FL")+COUNTIF(JUN!$G112:$AK112,"FL")+COUNTIF(JUL!$G112:$AK112,"FL")+COUNTIF(AGO!$G112:$AK112,"FL")+COUNTIF(SET!$G112:$AK112,"FL")+COUNTIF(OUT!$G112:$AK112,"FL")+COUNTIF(NOV!$G112:$AK112,"FL")+COUNTIF(DEZ!$G112:$AK112,"FL"))</f>
        <v/>
      </c>
      <c r="AF110" t="str">
        <f>IF(AND($Q110&lt;&gt;"",N($AD110)&gt;0),COUNT($AF$3:AF109)+1,"")</f>
        <v/>
      </c>
    </row>
    <row r="111" spans="1:32" hidden="1" outlineLevel="1" x14ac:dyDescent="0.25">
      <c r="A111" s="36" t="str">
        <f>IFERROR(INDEX($Q$4:$Q$153,MATCH(ROWS($A$4:A111),$AF$4:$AF$153,0)),"")</f>
        <v/>
      </c>
      <c r="B111" s="35" t="str">
        <f>IFERROR(INDEX($R$4:$R$153,MATCH(ROWS($A$4:A111),$AF$4:$AF$153,0)),"")</f>
        <v/>
      </c>
      <c r="C111" s="35" t="str">
        <f>IFERROR(INDEX($S$4:$S$153,MATCH(ROWS($A$4:A111),$AF$4:$AF$153,0)),"")</f>
        <v/>
      </c>
      <c r="D111" s="35" t="str">
        <f>IFERROR(INDEX($T$4:$T$153,MATCH(ROWS($A$4:A111),$AF$4:$AF$153,0)),"")</f>
        <v/>
      </c>
      <c r="E111" s="35" t="str">
        <f>IFERROR(INDEX($U$4:$U$153,MATCH(ROWS($A$4:A111),$AF$4:$AF$153,0)),"")</f>
        <v/>
      </c>
      <c r="F111" s="35" t="str">
        <f>IFERROR(INDEX($V$4:$V$153,MATCH(ROWS($A$4:A111),$AF$4:$AF$153,0)),"")</f>
        <v/>
      </c>
      <c r="G111" s="35" t="str">
        <f>IFERROR(INDEX($W$4:$W$153,MATCH(ROWS($A$4:A111),$AF$4:$AF$153,0)),"")</f>
        <v/>
      </c>
      <c r="H111" s="35" t="str">
        <f>IFERROR(INDEX($X$4:$X$153,MATCH(ROWS($A$4:A111),$AF$4:$AF$153,0)),"")</f>
        <v/>
      </c>
      <c r="I111" s="72" t="str">
        <f>IFERROR(INDEX($Y$4:$Y$153,MATCH(ROWS($A$4:A111),$AF$4:$AF$153,0)),"")</f>
        <v/>
      </c>
      <c r="J111" s="35" t="str">
        <f>IFERROR(INDEX($Z$4:$Z$153,MATCH(ROWS($A$4:A111),$AF$4:$AF$153,0)),"")</f>
        <v/>
      </c>
      <c r="K111" s="35" t="str">
        <f>IFERROR(INDEX($AA$4:$AA$153,MATCH(ROWS($A$4:A111),$AF$4:$AF$153,0)),"")</f>
        <v/>
      </c>
      <c r="L111" s="35" t="str">
        <f>IFERROR(INDEX($AB$4:$AB$153,MATCH(ROWS($A$4:A111),$AF$4:$AF$153,0)),"")</f>
        <v/>
      </c>
      <c r="M111" s="35" t="str">
        <f>IFERROR(INDEX($AC$4:$AC$153,MATCH(ROWS($A$4:A111),$AF$4:$AF$153,0)),"")</f>
        <v/>
      </c>
      <c r="N111" s="35" t="str">
        <f>IFERROR(INDEX($AD$4:$AD$153,MATCH(ROWS($A$4:A111),$AF$4:$AF$153,0)),"")</f>
        <v/>
      </c>
      <c r="Q111" t="str">
        <f>T(JAN!B113)</f>
        <v/>
      </c>
      <c r="R111" t="str">
        <f t="array" ref="R111">IF($Q111="","",_xlfn.TEXTJOIN(", ",TRUE,IF(JAN!$G113:$AK113="FL",JAN!$G$4:$AK$4,"")))</f>
        <v/>
      </c>
      <c r="S111" t="str">
        <f t="array" ref="S111">IF($Q111="","",_xlfn.TEXTJOIN(", ",TRUE,IF(FEV!$G113:$AK113="FL",FEV!$G$4:$AK$4,"")))</f>
        <v/>
      </c>
      <c r="T111" t="str">
        <f t="array" ref="T111">IF($Q111="","",_xlfn.TEXTJOIN(", ",TRUE,IF(MAR!$G113:$AK113="FL",MAR!$G$4:$AK$4,"")))</f>
        <v/>
      </c>
      <c r="U111" t="str">
        <f t="array" ref="U111">IF($Q111="","",_xlfn.TEXTJOIN(", ",TRUE,IF(ABR!$G113:$AK113="FL",ABR!$G$4:$AK$4,"")))</f>
        <v/>
      </c>
      <c r="V111" t="str">
        <f t="array" ref="V111">IF($Q111="","",_xlfn.TEXTJOIN(", ",TRUE,IF(MAI!$G113:$AK113="FL",MAI!$G$4:$AK$4,"")))</f>
        <v/>
      </c>
      <c r="W111" t="str">
        <f t="array" ref="W111">IF($Q111="","",_xlfn.TEXTJOIN(", ",TRUE,IF(JUN!$G113:$AK113="FL",JUN!$G$4:$AK$4,"")))</f>
        <v/>
      </c>
      <c r="X111" t="str">
        <f t="array" ref="X111">IF($Q111="","",_xlfn.TEXTJOIN(", ",TRUE,IF(JUL!$G113:$AK113="FL",JUL!$G$4:$AK$4,"")))</f>
        <v/>
      </c>
      <c r="Y111" t="str">
        <f t="array" ref="Y111">IF($Q111="","",_xlfn.TEXTJOIN(", ",TRUE,IF(AGO!$G113:$AK113="FL",AGO!$G$4:$AK$4,"")))</f>
        <v/>
      </c>
      <c r="Z111" t="str">
        <f t="array" ref="Z111">IF($Q111="","",_xlfn.TEXTJOIN(", ",TRUE,IF(SET!$G113:$AK113="FL",SET!$G$4:$AK$4,"")))</f>
        <v/>
      </c>
      <c r="AA111" t="str">
        <f t="array" ref="AA111">IF($Q111="","",_xlfn.TEXTJOIN(", ",TRUE,IF(OUT!$G113:$AK113="FL",OUT!$G$4:$AK$4,"")))</f>
        <v/>
      </c>
      <c r="AB111" t="str">
        <f t="array" ref="AB111">IF($Q111="","",_xlfn.TEXTJOIN(", ",TRUE,IF(NOV!$G113:$AK113="FL",NOV!$G$4:$AK$4,"")))</f>
        <v/>
      </c>
      <c r="AC111" t="str">
        <f t="array" ref="AC111">IF($Q111="","",_xlfn.TEXTJOIN(", ",TRUE,IF(DEZ!$G113:$AK113="FL",DEZ!$G$4:$AK$4,"")))</f>
        <v/>
      </c>
      <c r="AD111" t="str">
        <f>IF($Q111="","",COUNTIF(JAN!$G113:$AK113,"FL")+COUNTIF(FEV!$G113:$AK113,"FL")+COUNTIF(MAR!$G113:$AK113,"FL")+COUNTIF(ABR!$G113:$AK113,"FL")+COUNTIF(MAI!$G113:$AK113,"FL")+COUNTIF(JUN!$G113:$AK113,"FL")+COUNTIF(JUL!$G113:$AK113,"FL")+COUNTIF(AGO!$G113:$AK113,"FL")+COUNTIF(SET!$G113:$AK113,"FL")+COUNTIF(OUT!$G113:$AK113,"FL")+COUNTIF(NOV!$G113:$AK113,"FL")+COUNTIF(DEZ!$G113:$AK113,"FL"))</f>
        <v/>
      </c>
      <c r="AF111" t="str">
        <f>IF(AND($Q111&lt;&gt;"",N($AD111)&gt;0),COUNT($AF$3:AF110)+1,"")</f>
        <v/>
      </c>
    </row>
    <row r="112" spans="1:32" hidden="1" outlineLevel="1" x14ac:dyDescent="0.25">
      <c r="A112" s="36" t="str">
        <f>IFERROR(INDEX($Q$4:$Q$153,MATCH(ROWS($A$4:A112),$AF$4:$AF$153,0)),"")</f>
        <v/>
      </c>
      <c r="B112" s="35" t="str">
        <f>IFERROR(INDEX($R$4:$R$153,MATCH(ROWS($A$4:A112),$AF$4:$AF$153,0)),"")</f>
        <v/>
      </c>
      <c r="C112" s="35" t="str">
        <f>IFERROR(INDEX($S$4:$S$153,MATCH(ROWS($A$4:A112),$AF$4:$AF$153,0)),"")</f>
        <v/>
      </c>
      <c r="D112" s="35" t="str">
        <f>IFERROR(INDEX($T$4:$T$153,MATCH(ROWS($A$4:A112),$AF$4:$AF$153,0)),"")</f>
        <v/>
      </c>
      <c r="E112" s="35" t="str">
        <f>IFERROR(INDEX($U$4:$U$153,MATCH(ROWS($A$4:A112),$AF$4:$AF$153,0)),"")</f>
        <v/>
      </c>
      <c r="F112" s="35" t="str">
        <f>IFERROR(INDEX($V$4:$V$153,MATCH(ROWS($A$4:A112),$AF$4:$AF$153,0)),"")</f>
        <v/>
      </c>
      <c r="G112" s="35" t="str">
        <f>IFERROR(INDEX($W$4:$W$153,MATCH(ROWS($A$4:A112),$AF$4:$AF$153,0)),"")</f>
        <v/>
      </c>
      <c r="H112" s="35" t="str">
        <f>IFERROR(INDEX($X$4:$X$153,MATCH(ROWS($A$4:A112),$AF$4:$AF$153,0)),"")</f>
        <v/>
      </c>
      <c r="I112" s="72" t="str">
        <f>IFERROR(INDEX($Y$4:$Y$153,MATCH(ROWS($A$4:A112),$AF$4:$AF$153,0)),"")</f>
        <v/>
      </c>
      <c r="J112" s="35" t="str">
        <f>IFERROR(INDEX($Z$4:$Z$153,MATCH(ROWS($A$4:A112),$AF$4:$AF$153,0)),"")</f>
        <v/>
      </c>
      <c r="K112" s="35" t="str">
        <f>IFERROR(INDEX($AA$4:$AA$153,MATCH(ROWS($A$4:A112),$AF$4:$AF$153,0)),"")</f>
        <v/>
      </c>
      <c r="L112" s="35" t="str">
        <f>IFERROR(INDEX($AB$4:$AB$153,MATCH(ROWS($A$4:A112),$AF$4:$AF$153,0)),"")</f>
        <v/>
      </c>
      <c r="M112" s="35" t="str">
        <f>IFERROR(INDEX($AC$4:$AC$153,MATCH(ROWS($A$4:A112),$AF$4:$AF$153,0)),"")</f>
        <v/>
      </c>
      <c r="N112" s="35" t="str">
        <f>IFERROR(INDEX($AD$4:$AD$153,MATCH(ROWS($A$4:A112),$AF$4:$AF$153,0)),"")</f>
        <v/>
      </c>
      <c r="Q112" t="str">
        <f>T(JAN!B114)</f>
        <v/>
      </c>
      <c r="R112" t="str">
        <f t="array" ref="R112">IF($Q112="","",_xlfn.TEXTJOIN(", ",TRUE,IF(JAN!$G114:$AK114="FL",JAN!$G$4:$AK$4,"")))</f>
        <v/>
      </c>
      <c r="S112" t="str">
        <f t="array" ref="S112">IF($Q112="","",_xlfn.TEXTJOIN(", ",TRUE,IF(FEV!$G114:$AK114="FL",FEV!$G$4:$AK$4,"")))</f>
        <v/>
      </c>
      <c r="T112" t="str">
        <f t="array" ref="T112">IF($Q112="","",_xlfn.TEXTJOIN(", ",TRUE,IF(MAR!$G114:$AK114="FL",MAR!$G$4:$AK$4,"")))</f>
        <v/>
      </c>
      <c r="U112" t="str">
        <f t="array" ref="U112">IF($Q112="","",_xlfn.TEXTJOIN(", ",TRUE,IF(ABR!$G114:$AK114="FL",ABR!$G$4:$AK$4,"")))</f>
        <v/>
      </c>
      <c r="V112" t="str">
        <f t="array" ref="V112">IF($Q112="","",_xlfn.TEXTJOIN(", ",TRUE,IF(MAI!$G114:$AK114="FL",MAI!$G$4:$AK$4,"")))</f>
        <v/>
      </c>
      <c r="W112" t="str">
        <f t="array" ref="W112">IF($Q112="","",_xlfn.TEXTJOIN(", ",TRUE,IF(JUN!$G114:$AK114="FL",JUN!$G$4:$AK$4,"")))</f>
        <v/>
      </c>
      <c r="X112" t="str">
        <f t="array" ref="X112">IF($Q112="","",_xlfn.TEXTJOIN(", ",TRUE,IF(JUL!$G114:$AK114="FL",JUL!$G$4:$AK$4,"")))</f>
        <v/>
      </c>
      <c r="Y112" t="str">
        <f t="array" ref="Y112">IF($Q112="","",_xlfn.TEXTJOIN(", ",TRUE,IF(AGO!$G114:$AK114="FL",AGO!$G$4:$AK$4,"")))</f>
        <v/>
      </c>
      <c r="Z112" t="str">
        <f t="array" ref="Z112">IF($Q112="","",_xlfn.TEXTJOIN(", ",TRUE,IF(SET!$G114:$AK114="FL",SET!$G$4:$AK$4,"")))</f>
        <v/>
      </c>
      <c r="AA112" t="str">
        <f t="array" ref="AA112">IF($Q112="","",_xlfn.TEXTJOIN(", ",TRUE,IF(OUT!$G114:$AK114="FL",OUT!$G$4:$AK$4,"")))</f>
        <v/>
      </c>
      <c r="AB112" t="str">
        <f t="array" ref="AB112">IF($Q112="","",_xlfn.TEXTJOIN(", ",TRUE,IF(NOV!$G114:$AK114="FL",NOV!$G$4:$AK$4,"")))</f>
        <v/>
      </c>
      <c r="AC112" t="str">
        <f t="array" ref="AC112">IF($Q112="","",_xlfn.TEXTJOIN(", ",TRUE,IF(DEZ!$G114:$AK114="FL",DEZ!$G$4:$AK$4,"")))</f>
        <v/>
      </c>
      <c r="AD112" t="str">
        <f>IF($Q112="","",COUNTIF(JAN!$G114:$AK114,"FL")+COUNTIF(FEV!$G114:$AK114,"FL")+COUNTIF(MAR!$G114:$AK114,"FL")+COUNTIF(ABR!$G114:$AK114,"FL")+COUNTIF(MAI!$G114:$AK114,"FL")+COUNTIF(JUN!$G114:$AK114,"FL")+COUNTIF(JUL!$G114:$AK114,"FL")+COUNTIF(AGO!$G114:$AK114,"FL")+COUNTIF(SET!$G114:$AK114,"FL")+COUNTIF(OUT!$G114:$AK114,"FL")+COUNTIF(NOV!$G114:$AK114,"FL")+COUNTIF(DEZ!$G114:$AK114,"FL"))</f>
        <v/>
      </c>
      <c r="AF112" t="str">
        <f>IF(AND($Q112&lt;&gt;"",N($AD112)&gt;0),COUNT($AF$3:AF111)+1,"")</f>
        <v/>
      </c>
    </row>
    <row r="113" spans="1:32" hidden="1" outlineLevel="1" x14ac:dyDescent="0.25">
      <c r="A113" s="36" t="str">
        <f>IFERROR(INDEX($Q$4:$Q$153,MATCH(ROWS($A$4:A113),$AF$4:$AF$153,0)),"")</f>
        <v/>
      </c>
      <c r="B113" s="35" t="str">
        <f>IFERROR(INDEX($R$4:$R$153,MATCH(ROWS($A$4:A113),$AF$4:$AF$153,0)),"")</f>
        <v/>
      </c>
      <c r="C113" s="35" t="str">
        <f>IFERROR(INDEX($S$4:$S$153,MATCH(ROWS($A$4:A113),$AF$4:$AF$153,0)),"")</f>
        <v/>
      </c>
      <c r="D113" s="35" t="str">
        <f>IFERROR(INDEX($T$4:$T$153,MATCH(ROWS($A$4:A113),$AF$4:$AF$153,0)),"")</f>
        <v/>
      </c>
      <c r="E113" s="35" t="str">
        <f>IFERROR(INDEX($U$4:$U$153,MATCH(ROWS($A$4:A113),$AF$4:$AF$153,0)),"")</f>
        <v/>
      </c>
      <c r="F113" s="35" t="str">
        <f>IFERROR(INDEX($V$4:$V$153,MATCH(ROWS($A$4:A113),$AF$4:$AF$153,0)),"")</f>
        <v/>
      </c>
      <c r="G113" s="35" t="str">
        <f>IFERROR(INDEX($W$4:$W$153,MATCH(ROWS($A$4:A113),$AF$4:$AF$153,0)),"")</f>
        <v/>
      </c>
      <c r="H113" s="35" t="str">
        <f>IFERROR(INDEX($X$4:$X$153,MATCH(ROWS($A$4:A113),$AF$4:$AF$153,0)),"")</f>
        <v/>
      </c>
      <c r="I113" s="72" t="str">
        <f>IFERROR(INDEX($Y$4:$Y$153,MATCH(ROWS($A$4:A113),$AF$4:$AF$153,0)),"")</f>
        <v/>
      </c>
      <c r="J113" s="35" t="str">
        <f>IFERROR(INDEX($Z$4:$Z$153,MATCH(ROWS($A$4:A113),$AF$4:$AF$153,0)),"")</f>
        <v/>
      </c>
      <c r="K113" s="35" t="str">
        <f>IFERROR(INDEX($AA$4:$AA$153,MATCH(ROWS($A$4:A113),$AF$4:$AF$153,0)),"")</f>
        <v/>
      </c>
      <c r="L113" s="35" t="str">
        <f>IFERROR(INDEX($AB$4:$AB$153,MATCH(ROWS($A$4:A113),$AF$4:$AF$153,0)),"")</f>
        <v/>
      </c>
      <c r="M113" s="35" t="str">
        <f>IFERROR(INDEX($AC$4:$AC$153,MATCH(ROWS($A$4:A113),$AF$4:$AF$153,0)),"")</f>
        <v/>
      </c>
      <c r="N113" s="35" t="str">
        <f>IFERROR(INDEX($AD$4:$AD$153,MATCH(ROWS($A$4:A113),$AF$4:$AF$153,0)),"")</f>
        <v/>
      </c>
      <c r="Q113" t="str">
        <f>T(JAN!B115)</f>
        <v/>
      </c>
      <c r="R113" t="str">
        <f t="array" ref="R113">IF($Q113="","",_xlfn.TEXTJOIN(", ",TRUE,IF(JAN!$G115:$AK115="FL",JAN!$G$4:$AK$4,"")))</f>
        <v/>
      </c>
      <c r="S113" t="str">
        <f t="array" ref="S113">IF($Q113="","",_xlfn.TEXTJOIN(", ",TRUE,IF(FEV!$G115:$AK115="FL",FEV!$G$4:$AK$4,"")))</f>
        <v/>
      </c>
      <c r="T113" t="str">
        <f t="array" ref="T113">IF($Q113="","",_xlfn.TEXTJOIN(", ",TRUE,IF(MAR!$G115:$AK115="FL",MAR!$G$4:$AK$4,"")))</f>
        <v/>
      </c>
      <c r="U113" t="str">
        <f t="array" ref="U113">IF($Q113="","",_xlfn.TEXTJOIN(", ",TRUE,IF(ABR!$G115:$AK115="FL",ABR!$G$4:$AK$4,"")))</f>
        <v/>
      </c>
      <c r="V113" t="str">
        <f t="array" ref="V113">IF($Q113="","",_xlfn.TEXTJOIN(", ",TRUE,IF(MAI!$G115:$AK115="FL",MAI!$G$4:$AK$4,"")))</f>
        <v/>
      </c>
      <c r="W113" t="str">
        <f t="array" ref="W113">IF($Q113="","",_xlfn.TEXTJOIN(", ",TRUE,IF(JUN!$G115:$AK115="FL",JUN!$G$4:$AK$4,"")))</f>
        <v/>
      </c>
      <c r="X113" t="str">
        <f t="array" ref="X113">IF($Q113="","",_xlfn.TEXTJOIN(", ",TRUE,IF(JUL!$G115:$AK115="FL",JUL!$G$4:$AK$4,"")))</f>
        <v/>
      </c>
      <c r="Y113" t="str">
        <f t="array" ref="Y113">IF($Q113="","",_xlfn.TEXTJOIN(", ",TRUE,IF(AGO!$G115:$AK115="FL",AGO!$G$4:$AK$4,"")))</f>
        <v/>
      </c>
      <c r="Z113" t="str">
        <f t="array" ref="Z113">IF($Q113="","",_xlfn.TEXTJOIN(", ",TRUE,IF(SET!$G115:$AK115="FL",SET!$G$4:$AK$4,"")))</f>
        <v/>
      </c>
      <c r="AA113" t="str">
        <f t="array" ref="AA113">IF($Q113="","",_xlfn.TEXTJOIN(", ",TRUE,IF(OUT!$G115:$AK115="FL",OUT!$G$4:$AK$4,"")))</f>
        <v/>
      </c>
      <c r="AB113" t="str">
        <f t="array" ref="AB113">IF($Q113="","",_xlfn.TEXTJOIN(", ",TRUE,IF(NOV!$G115:$AK115="FL",NOV!$G$4:$AK$4,"")))</f>
        <v/>
      </c>
      <c r="AC113" t="str">
        <f t="array" ref="AC113">IF($Q113="","",_xlfn.TEXTJOIN(", ",TRUE,IF(DEZ!$G115:$AK115="FL",DEZ!$G$4:$AK$4,"")))</f>
        <v/>
      </c>
      <c r="AD113" t="str">
        <f>IF($Q113="","",COUNTIF(JAN!$G115:$AK115,"FL")+COUNTIF(FEV!$G115:$AK115,"FL")+COUNTIF(MAR!$G115:$AK115,"FL")+COUNTIF(ABR!$G115:$AK115,"FL")+COUNTIF(MAI!$G115:$AK115,"FL")+COUNTIF(JUN!$G115:$AK115,"FL")+COUNTIF(JUL!$G115:$AK115,"FL")+COUNTIF(AGO!$G115:$AK115,"FL")+COUNTIF(SET!$G115:$AK115,"FL")+COUNTIF(OUT!$G115:$AK115,"FL")+COUNTIF(NOV!$G115:$AK115,"FL")+COUNTIF(DEZ!$G115:$AK115,"FL"))</f>
        <v/>
      </c>
      <c r="AF113" t="str">
        <f>IF(AND($Q113&lt;&gt;"",N($AD113)&gt;0),COUNT($AF$3:AF112)+1,"")</f>
        <v/>
      </c>
    </row>
    <row r="114" spans="1:32" hidden="1" outlineLevel="1" x14ac:dyDescent="0.25">
      <c r="A114" s="36" t="str">
        <f>IFERROR(INDEX($Q$4:$Q$153,MATCH(ROWS($A$4:A114),$AF$4:$AF$153,0)),"")</f>
        <v/>
      </c>
      <c r="B114" s="35" t="str">
        <f>IFERROR(INDEX($R$4:$R$153,MATCH(ROWS($A$4:A114),$AF$4:$AF$153,0)),"")</f>
        <v/>
      </c>
      <c r="C114" s="35" t="str">
        <f>IFERROR(INDEX($S$4:$S$153,MATCH(ROWS($A$4:A114),$AF$4:$AF$153,0)),"")</f>
        <v/>
      </c>
      <c r="D114" s="35" t="str">
        <f>IFERROR(INDEX($T$4:$T$153,MATCH(ROWS($A$4:A114),$AF$4:$AF$153,0)),"")</f>
        <v/>
      </c>
      <c r="E114" s="35" t="str">
        <f>IFERROR(INDEX($U$4:$U$153,MATCH(ROWS($A$4:A114),$AF$4:$AF$153,0)),"")</f>
        <v/>
      </c>
      <c r="F114" s="35" t="str">
        <f>IFERROR(INDEX($V$4:$V$153,MATCH(ROWS($A$4:A114),$AF$4:$AF$153,0)),"")</f>
        <v/>
      </c>
      <c r="G114" s="35" t="str">
        <f>IFERROR(INDEX($W$4:$W$153,MATCH(ROWS($A$4:A114),$AF$4:$AF$153,0)),"")</f>
        <v/>
      </c>
      <c r="H114" s="35" t="str">
        <f>IFERROR(INDEX($X$4:$X$153,MATCH(ROWS($A$4:A114),$AF$4:$AF$153,0)),"")</f>
        <v/>
      </c>
      <c r="I114" s="72" t="str">
        <f>IFERROR(INDEX($Y$4:$Y$153,MATCH(ROWS($A$4:A114),$AF$4:$AF$153,0)),"")</f>
        <v/>
      </c>
      <c r="J114" s="35" t="str">
        <f>IFERROR(INDEX($Z$4:$Z$153,MATCH(ROWS($A$4:A114),$AF$4:$AF$153,0)),"")</f>
        <v/>
      </c>
      <c r="K114" s="35" t="str">
        <f>IFERROR(INDEX($AA$4:$AA$153,MATCH(ROWS($A$4:A114),$AF$4:$AF$153,0)),"")</f>
        <v/>
      </c>
      <c r="L114" s="35" t="str">
        <f>IFERROR(INDEX($AB$4:$AB$153,MATCH(ROWS($A$4:A114),$AF$4:$AF$153,0)),"")</f>
        <v/>
      </c>
      <c r="M114" s="35" t="str">
        <f>IFERROR(INDEX($AC$4:$AC$153,MATCH(ROWS($A$4:A114),$AF$4:$AF$153,0)),"")</f>
        <v/>
      </c>
      <c r="N114" s="35" t="str">
        <f>IFERROR(INDEX($AD$4:$AD$153,MATCH(ROWS($A$4:A114),$AF$4:$AF$153,0)),"")</f>
        <v/>
      </c>
      <c r="Q114" t="str">
        <f>T(JAN!B116)</f>
        <v/>
      </c>
      <c r="R114" t="str">
        <f t="array" ref="R114">IF($Q114="","",_xlfn.TEXTJOIN(", ",TRUE,IF(JAN!$G116:$AK116="FL",JAN!$G$4:$AK$4,"")))</f>
        <v/>
      </c>
      <c r="S114" t="str">
        <f t="array" ref="S114">IF($Q114="","",_xlfn.TEXTJOIN(", ",TRUE,IF(FEV!$G116:$AK116="FL",FEV!$G$4:$AK$4,"")))</f>
        <v/>
      </c>
      <c r="T114" t="str">
        <f t="array" ref="T114">IF($Q114="","",_xlfn.TEXTJOIN(", ",TRUE,IF(MAR!$G116:$AK116="FL",MAR!$G$4:$AK$4,"")))</f>
        <v/>
      </c>
      <c r="U114" t="str">
        <f t="array" ref="U114">IF($Q114="","",_xlfn.TEXTJOIN(", ",TRUE,IF(ABR!$G116:$AK116="FL",ABR!$G$4:$AK$4,"")))</f>
        <v/>
      </c>
      <c r="V114" t="str">
        <f t="array" ref="V114">IF($Q114="","",_xlfn.TEXTJOIN(", ",TRUE,IF(MAI!$G116:$AK116="FL",MAI!$G$4:$AK$4,"")))</f>
        <v/>
      </c>
      <c r="W114" t="str">
        <f t="array" ref="W114">IF($Q114="","",_xlfn.TEXTJOIN(", ",TRUE,IF(JUN!$G116:$AK116="FL",JUN!$G$4:$AK$4,"")))</f>
        <v/>
      </c>
      <c r="X114" t="str">
        <f t="array" ref="X114">IF($Q114="","",_xlfn.TEXTJOIN(", ",TRUE,IF(JUL!$G116:$AK116="FL",JUL!$G$4:$AK$4,"")))</f>
        <v/>
      </c>
      <c r="Y114" t="str">
        <f t="array" ref="Y114">IF($Q114="","",_xlfn.TEXTJOIN(", ",TRUE,IF(AGO!$G116:$AK116="FL",AGO!$G$4:$AK$4,"")))</f>
        <v/>
      </c>
      <c r="Z114" t="str">
        <f t="array" ref="Z114">IF($Q114="","",_xlfn.TEXTJOIN(", ",TRUE,IF(SET!$G116:$AK116="FL",SET!$G$4:$AK$4,"")))</f>
        <v/>
      </c>
      <c r="AA114" t="str">
        <f t="array" ref="AA114">IF($Q114="","",_xlfn.TEXTJOIN(", ",TRUE,IF(OUT!$G116:$AK116="FL",OUT!$G$4:$AK$4,"")))</f>
        <v/>
      </c>
      <c r="AB114" t="str">
        <f t="array" ref="AB114">IF($Q114="","",_xlfn.TEXTJOIN(", ",TRUE,IF(NOV!$G116:$AK116="FL",NOV!$G$4:$AK$4,"")))</f>
        <v/>
      </c>
      <c r="AC114" t="str">
        <f t="array" ref="AC114">IF($Q114="","",_xlfn.TEXTJOIN(", ",TRUE,IF(DEZ!$G116:$AK116="FL",DEZ!$G$4:$AK$4,"")))</f>
        <v/>
      </c>
      <c r="AD114" t="str">
        <f>IF($Q114="","",COUNTIF(JAN!$G116:$AK116,"FL")+COUNTIF(FEV!$G116:$AK116,"FL")+COUNTIF(MAR!$G116:$AK116,"FL")+COUNTIF(ABR!$G116:$AK116,"FL")+COUNTIF(MAI!$G116:$AK116,"FL")+COUNTIF(JUN!$G116:$AK116,"FL")+COUNTIF(JUL!$G116:$AK116,"FL")+COUNTIF(AGO!$G116:$AK116,"FL")+COUNTIF(SET!$G116:$AK116,"FL")+COUNTIF(OUT!$G116:$AK116,"FL")+COUNTIF(NOV!$G116:$AK116,"FL")+COUNTIF(DEZ!$G116:$AK116,"FL"))</f>
        <v/>
      </c>
      <c r="AF114" t="str">
        <f>IF(AND($Q114&lt;&gt;"",N($AD114)&gt;0),COUNT($AF$3:AF113)+1,"")</f>
        <v/>
      </c>
    </row>
    <row r="115" spans="1:32" hidden="1" outlineLevel="1" x14ac:dyDescent="0.25">
      <c r="A115" s="36" t="str">
        <f>IFERROR(INDEX($Q$4:$Q$153,MATCH(ROWS($A$4:A115),$AF$4:$AF$153,0)),"")</f>
        <v/>
      </c>
      <c r="B115" s="35" t="str">
        <f>IFERROR(INDEX($R$4:$R$153,MATCH(ROWS($A$4:A115),$AF$4:$AF$153,0)),"")</f>
        <v/>
      </c>
      <c r="C115" s="35" t="str">
        <f>IFERROR(INDEX($S$4:$S$153,MATCH(ROWS($A$4:A115),$AF$4:$AF$153,0)),"")</f>
        <v/>
      </c>
      <c r="D115" s="35" t="str">
        <f>IFERROR(INDEX($T$4:$T$153,MATCH(ROWS($A$4:A115),$AF$4:$AF$153,0)),"")</f>
        <v/>
      </c>
      <c r="E115" s="35" t="str">
        <f>IFERROR(INDEX($U$4:$U$153,MATCH(ROWS($A$4:A115),$AF$4:$AF$153,0)),"")</f>
        <v/>
      </c>
      <c r="F115" s="35" t="str">
        <f>IFERROR(INDEX($V$4:$V$153,MATCH(ROWS($A$4:A115),$AF$4:$AF$153,0)),"")</f>
        <v/>
      </c>
      <c r="G115" s="35" t="str">
        <f>IFERROR(INDEX($W$4:$W$153,MATCH(ROWS($A$4:A115),$AF$4:$AF$153,0)),"")</f>
        <v/>
      </c>
      <c r="H115" s="35" t="str">
        <f>IFERROR(INDEX($X$4:$X$153,MATCH(ROWS($A$4:A115),$AF$4:$AF$153,0)),"")</f>
        <v/>
      </c>
      <c r="I115" s="72" t="str">
        <f>IFERROR(INDEX($Y$4:$Y$153,MATCH(ROWS($A$4:A115),$AF$4:$AF$153,0)),"")</f>
        <v/>
      </c>
      <c r="J115" s="35" t="str">
        <f>IFERROR(INDEX($Z$4:$Z$153,MATCH(ROWS($A$4:A115),$AF$4:$AF$153,0)),"")</f>
        <v/>
      </c>
      <c r="K115" s="35" t="str">
        <f>IFERROR(INDEX($AA$4:$AA$153,MATCH(ROWS($A$4:A115),$AF$4:$AF$153,0)),"")</f>
        <v/>
      </c>
      <c r="L115" s="35" t="str">
        <f>IFERROR(INDEX($AB$4:$AB$153,MATCH(ROWS($A$4:A115),$AF$4:$AF$153,0)),"")</f>
        <v/>
      </c>
      <c r="M115" s="35" t="str">
        <f>IFERROR(INDEX($AC$4:$AC$153,MATCH(ROWS($A$4:A115),$AF$4:$AF$153,0)),"")</f>
        <v/>
      </c>
      <c r="N115" s="35" t="str">
        <f>IFERROR(INDEX($AD$4:$AD$153,MATCH(ROWS($A$4:A115),$AF$4:$AF$153,0)),"")</f>
        <v/>
      </c>
      <c r="Q115" t="str">
        <f>T(JAN!B117)</f>
        <v/>
      </c>
      <c r="R115" t="str">
        <f t="array" ref="R115">IF($Q115="","",_xlfn.TEXTJOIN(", ",TRUE,IF(JAN!$G117:$AK117="FL",JAN!$G$4:$AK$4,"")))</f>
        <v/>
      </c>
      <c r="S115" t="str">
        <f t="array" ref="S115">IF($Q115="","",_xlfn.TEXTJOIN(", ",TRUE,IF(FEV!$G117:$AK117="FL",FEV!$G$4:$AK$4,"")))</f>
        <v/>
      </c>
      <c r="T115" t="str">
        <f t="array" ref="T115">IF($Q115="","",_xlfn.TEXTJOIN(", ",TRUE,IF(MAR!$G117:$AK117="FL",MAR!$G$4:$AK$4,"")))</f>
        <v/>
      </c>
      <c r="U115" t="str">
        <f t="array" ref="U115">IF($Q115="","",_xlfn.TEXTJOIN(", ",TRUE,IF(ABR!$G117:$AK117="FL",ABR!$G$4:$AK$4,"")))</f>
        <v/>
      </c>
      <c r="V115" t="str">
        <f t="array" ref="V115">IF($Q115="","",_xlfn.TEXTJOIN(", ",TRUE,IF(MAI!$G117:$AK117="FL",MAI!$G$4:$AK$4,"")))</f>
        <v/>
      </c>
      <c r="W115" t="str">
        <f t="array" ref="W115">IF($Q115="","",_xlfn.TEXTJOIN(", ",TRUE,IF(JUN!$G117:$AK117="FL",JUN!$G$4:$AK$4,"")))</f>
        <v/>
      </c>
      <c r="X115" t="str">
        <f t="array" ref="X115">IF($Q115="","",_xlfn.TEXTJOIN(", ",TRUE,IF(JUL!$G117:$AK117="FL",JUL!$G$4:$AK$4,"")))</f>
        <v/>
      </c>
      <c r="Y115" t="str">
        <f t="array" ref="Y115">IF($Q115="","",_xlfn.TEXTJOIN(", ",TRUE,IF(AGO!$G117:$AK117="FL",AGO!$G$4:$AK$4,"")))</f>
        <v/>
      </c>
      <c r="Z115" t="str">
        <f t="array" ref="Z115">IF($Q115="","",_xlfn.TEXTJOIN(", ",TRUE,IF(SET!$G117:$AK117="FL",SET!$G$4:$AK$4,"")))</f>
        <v/>
      </c>
      <c r="AA115" t="str">
        <f t="array" ref="AA115">IF($Q115="","",_xlfn.TEXTJOIN(", ",TRUE,IF(OUT!$G117:$AK117="FL",OUT!$G$4:$AK$4,"")))</f>
        <v/>
      </c>
      <c r="AB115" t="str">
        <f t="array" ref="AB115">IF($Q115="","",_xlfn.TEXTJOIN(", ",TRUE,IF(NOV!$G117:$AK117="FL",NOV!$G$4:$AK$4,"")))</f>
        <v/>
      </c>
      <c r="AC115" t="str">
        <f t="array" ref="AC115">IF($Q115="","",_xlfn.TEXTJOIN(", ",TRUE,IF(DEZ!$G117:$AK117="FL",DEZ!$G$4:$AK$4,"")))</f>
        <v/>
      </c>
      <c r="AD115" t="str">
        <f>IF($Q115="","",COUNTIF(JAN!$G117:$AK117,"FL")+COUNTIF(FEV!$G117:$AK117,"FL")+COUNTIF(MAR!$G117:$AK117,"FL")+COUNTIF(ABR!$G117:$AK117,"FL")+COUNTIF(MAI!$G117:$AK117,"FL")+COUNTIF(JUN!$G117:$AK117,"FL")+COUNTIF(JUL!$G117:$AK117,"FL")+COUNTIF(AGO!$G117:$AK117,"FL")+COUNTIF(SET!$G117:$AK117,"FL")+COUNTIF(OUT!$G117:$AK117,"FL")+COUNTIF(NOV!$G117:$AK117,"FL")+COUNTIF(DEZ!$G117:$AK117,"FL"))</f>
        <v/>
      </c>
      <c r="AF115" t="str">
        <f>IF(AND($Q115&lt;&gt;"",N($AD115)&gt;0),COUNT($AF$3:AF114)+1,"")</f>
        <v/>
      </c>
    </row>
    <row r="116" spans="1:32" hidden="1" outlineLevel="1" x14ac:dyDescent="0.25">
      <c r="A116" s="36" t="str">
        <f>IFERROR(INDEX($Q$4:$Q$153,MATCH(ROWS($A$4:A116),$AF$4:$AF$153,0)),"")</f>
        <v/>
      </c>
      <c r="B116" s="35" t="str">
        <f>IFERROR(INDEX($R$4:$R$153,MATCH(ROWS($A$4:A116),$AF$4:$AF$153,0)),"")</f>
        <v/>
      </c>
      <c r="C116" s="35" t="str">
        <f>IFERROR(INDEX($S$4:$S$153,MATCH(ROWS($A$4:A116),$AF$4:$AF$153,0)),"")</f>
        <v/>
      </c>
      <c r="D116" s="35" t="str">
        <f>IFERROR(INDEX($T$4:$T$153,MATCH(ROWS($A$4:A116),$AF$4:$AF$153,0)),"")</f>
        <v/>
      </c>
      <c r="E116" s="35" t="str">
        <f>IFERROR(INDEX($U$4:$U$153,MATCH(ROWS($A$4:A116),$AF$4:$AF$153,0)),"")</f>
        <v/>
      </c>
      <c r="F116" s="35" t="str">
        <f>IFERROR(INDEX($V$4:$V$153,MATCH(ROWS($A$4:A116),$AF$4:$AF$153,0)),"")</f>
        <v/>
      </c>
      <c r="G116" s="35" t="str">
        <f>IFERROR(INDEX($W$4:$W$153,MATCH(ROWS($A$4:A116),$AF$4:$AF$153,0)),"")</f>
        <v/>
      </c>
      <c r="H116" s="35" t="str">
        <f>IFERROR(INDEX($X$4:$X$153,MATCH(ROWS($A$4:A116),$AF$4:$AF$153,0)),"")</f>
        <v/>
      </c>
      <c r="I116" s="72" t="str">
        <f>IFERROR(INDEX($Y$4:$Y$153,MATCH(ROWS($A$4:A116),$AF$4:$AF$153,0)),"")</f>
        <v/>
      </c>
      <c r="J116" s="35" t="str">
        <f>IFERROR(INDEX($Z$4:$Z$153,MATCH(ROWS($A$4:A116),$AF$4:$AF$153,0)),"")</f>
        <v/>
      </c>
      <c r="K116" s="35" t="str">
        <f>IFERROR(INDEX($AA$4:$AA$153,MATCH(ROWS($A$4:A116),$AF$4:$AF$153,0)),"")</f>
        <v/>
      </c>
      <c r="L116" s="35" t="str">
        <f>IFERROR(INDEX($AB$4:$AB$153,MATCH(ROWS($A$4:A116),$AF$4:$AF$153,0)),"")</f>
        <v/>
      </c>
      <c r="M116" s="35" t="str">
        <f>IFERROR(INDEX($AC$4:$AC$153,MATCH(ROWS($A$4:A116),$AF$4:$AF$153,0)),"")</f>
        <v/>
      </c>
      <c r="N116" s="35" t="str">
        <f>IFERROR(INDEX($AD$4:$AD$153,MATCH(ROWS($A$4:A116),$AF$4:$AF$153,0)),"")</f>
        <v/>
      </c>
      <c r="Q116" t="str">
        <f>T(JAN!B118)</f>
        <v/>
      </c>
      <c r="R116" t="str">
        <f t="array" ref="R116">IF($Q116="","",_xlfn.TEXTJOIN(", ",TRUE,IF(JAN!$G118:$AK118="FL",JAN!$G$4:$AK$4,"")))</f>
        <v/>
      </c>
      <c r="S116" t="str">
        <f t="array" ref="S116">IF($Q116="","",_xlfn.TEXTJOIN(", ",TRUE,IF(FEV!$G118:$AK118="FL",FEV!$G$4:$AK$4,"")))</f>
        <v/>
      </c>
      <c r="T116" t="str">
        <f t="array" ref="T116">IF($Q116="","",_xlfn.TEXTJOIN(", ",TRUE,IF(MAR!$G118:$AK118="FL",MAR!$G$4:$AK$4,"")))</f>
        <v/>
      </c>
      <c r="U116" t="str">
        <f t="array" ref="U116">IF($Q116="","",_xlfn.TEXTJOIN(", ",TRUE,IF(ABR!$G118:$AK118="FL",ABR!$G$4:$AK$4,"")))</f>
        <v/>
      </c>
      <c r="V116" t="str">
        <f t="array" ref="V116">IF($Q116="","",_xlfn.TEXTJOIN(", ",TRUE,IF(MAI!$G118:$AK118="FL",MAI!$G$4:$AK$4,"")))</f>
        <v/>
      </c>
      <c r="W116" t="str">
        <f t="array" ref="W116">IF($Q116="","",_xlfn.TEXTJOIN(", ",TRUE,IF(JUN!$G118:$AK118="FL",JUN!$G$4:$AK$4,"")))</f>
        <v/>
      </c>
      <c r="X116" t="str">
        <f t="array" ref="X116">IF($Q116="","",_xlfn.TEXTJOIN(", ",TRUE,IF(JUL!$G118:$AK118="FL",JUL!$G$4:$AK$4,"")))</f>
        <v/>
      </c>
      <c r="Y116" t="str">
        <f t="array" ref="Y116">IF($Q116="","",_xlfn.TEXTJOIN(", ",TRUE,IF(AGO!$G118:$AK118="FL",AGO!$G$4:$AK$4,"")))</f>
        <v/>
      </c>
      <c r="Z116" t="str">
        <f t="array" ref="Z116">IF($Q116="","",_xlfn.TEXTJOIN(", ",TRUE,IF(SET!$G118:$AK118="FL",SET!$G$4:$AK$4,"")))</f>
        <v/>
      </c>
      <c r="AA116" t="str">
        <f t="array" ref="AA116">IF($Q116="","",_xlfn.TEXTJOIN(", ",TRUE,IF(OUT!$G118:$AK118="FL",OUT!$G$4:$AK$4,"")))</f>
        <v/>
      </c>
      <c r="AB116" t="str">
        <f t="array" ref="AB116">IF($Q116="","",_xlfn.TEXTJOIN(", ",TRUE,IF(NOV!$G118:$AK118="FL",NOV!$G$4:$AK$4,"")))</f>
        <v/>
      </c>
      <c r="AC116" t="str">
        <f t="array" ref="AC116">IF($Q116="","",_xlfn.TEXTJOIN(", ",TRUE,IF(DEZ!$G118:$AK118="FL",DEZ!$G$4:$AK$4,"")))</f>
        <v/>
      </c>
      <c r="AD116" t="str">
        <f>IF($Q116="","",COUNTIF(JAN!$G118:$AK118,"FL")+COUNTIF(FEV!$G118:$AK118,"FL")+COUNTIF(MAR!$G118:$AK118,"FL")+COUNTIF(ABR!$G118:$AK118,"FL")+COUNTIF(MAI!$G118:$AK118,"FL")+COUNTIF(JUN!$G118:$AK118,"FL")+COUNTIF(JUL!$G118:$AK118,"FL")+COUNTIF(AGO!$G118:$AK118,"FL")+COUNTIF(SET!$G118:$AK118,"FL")+COUNTIF(OUT!$G118:$AK118,"FL")+COUNTIF(NOV!$G118:$AK118,"FL")+COUNTIF(DEZ!$G118:$AK118,"FL"))</f>
        <v/>
      </c>
      <c r="AF116" t="str">
        <f>IF(AND($Q116&lt;&gt;"",N($AD116)&gt;0),COUNT($AF$3:AF115)+1,"")</f>
        <v/>
      </c>
    </row>
    <row r="117" spans="1:32" hidden="1" outlineLevel="1" x14ac:dyDescent="0.25">
      <c r="A117" s="36" t="str">
        <f>IFERROR(INDEX($Q$4:$Q$153,MATCH(ROWS($A$4:A117),$AF$4:$AF$153,0)),"")</f>
        <v/>
      </c>
      <c r="B117" s="35" t="str">
        <f>IFERROR(INDEX($R$4:$R$153,MATCH(ROWS($A$4:A117),$AF$4:$AF$153,0)),"")</f>
        <v/>
      </c>
      <c r="C117" s="35" t="str">
        <f>IFERROR(INDEX($S$4:$S$153,MATCH(ROWS($A$4:A117),$AF$4:$AF$153,0)),"")</f>
        <v/>
      </c>
      <c r="D117" s="35" t="str">
        <f>IFERROR(INDEX($T$4:$T$153,MATCH(ROWS($A$4:A117),$AF$4:$AF$153,0)),"")</f>
        <v/>
      </c>
      <c r="E117" s="35" t="str">
        <f>IFERROR(INDEX($U$4:$U$153,MATCH(ROWS($A$4:A117),$AF$4:$AF$153,0)),"")</f>
        <v/>
      </c>
      <c r="F117" s="35" t="str">
        <f>IFERROR(INDEX($V$4:$V$153,MATCH(ROWS($A$4:A117),$AF$4:$AF$153,0)),"")</f>
        <v/>
      </c>
      <c r="G117" s="35" t="str">
        <f>IFERROR(INDEX($W$4:$W$153,MATCH(ROWS($A$4:A117),$AF$4:$AF$153,0)),"")</f>
        <v/>
      </c>
      <c r="H117" s="35" t="str">
        <f>IFERROR(INDEX($X$4:$X$153,MATCH(ROWS($A$4:A117),$AF$4:$AF$153,0)),"")</f>
        <v/>
      </c>
      <c r="I117" s="72" t="str">
        <f>IFERROR(INDEX($Y$4:$Y$153,MATCH(ROWS($A$4:A117),$AF$4:$AF$153,0)),"")</f>
        <v/>
      </c>
      <c r="J117" s="35" t="str">
        <f>IFERROR(INDEX($Z$4:$Z$153,MATCH(ROWS($A$4:A117),$AF$4:$AF$153,0)),"")</f>
        <v/>
      </c>
      <c r="K117" s="35" t="str">
        <f>IFERROR(INDEX($AA$4:$AA$153,MATCH(ROWS($A$4:A117),$AF$4:$AF$153,0)),"")</f>
        <v/>
      </c>
      <c r="L117" s="35" t="str">
        <f>IFERROR(INDEX($AB$4:$AB$153,MATCH(ROWS($A$4:A117),$AF$4:$AF$153,0)),"")</f>
        <v/>
      </c>
      <c r="M117" s="35" t="str">
        <f>IFERROR(INDEX($AC$4:$AC$153,MATCH(ROWS($A$4:A117),$AF$4:$AF$153,0)),"")</f>
        <v/>
      </c>
      <c r="N117" s="35" t="str">
        <f>IFERROR(INDEX($AD$4:$AD$153,MATCH(ROWS($A$4:A117),$AF$4:$AF$153,0)),"")</f>
        <v/>
      </c>
      <c r="Q117" t="str">
        <f>T(JAN!B119)</f>
        <v/>
      </c>
      <c r="R117" t="str">
        <f t="array" ref="R117">IF($Q117="","",_xlfn.TEXTJOIN(", ",TRUE,IF(JAN!$G119:$AK119="FL",JAN!$G$4:$AK$4,"")))</f>
        <v/>
      </c>
      <c r="S117" t="str">
        <f t="array" ref="S117">IF($Q117="","",_xlfn.TEXTJOIN(", ",TRUE,IF(FEV!$G119:$AK119="FL",FEV!$G$4:$AK$4,"")))</f>
        <v/>
      </c>
      <c r="T117" t="str">
        <f t="array" ref="T117">IF($Q117="","",_xlfn.TEXTJOIN(", ",TRUE,IF(MAR!$G119:$AK119="FL",MAR!$G$4:$AK$4,"")))</f>
        <v/>
      </c>
      <c r="U117" t="str">
        <f t="array" ref="U117">IF($Q117="","",_xlfn.TEXTJOIN(", ",TRUE,IF(ABR!$G119:$AK119="FL",ABR!$G$4:$AK$4,"")))</f>
        <v/>
      </c>
      <c r="V117" t="str">
        <f t="array" ref="V117">IF($Q117="","",_xlfn.TEXTJOIN(", ",TRUE,IF(MAI!$G119:$AK119="FL",MAI!$G$4:$AK$4,"")))</f>
        <v/>
      </c>
      <c r="W117" t="str">
        <f t="array" ref="W117">IF($Q117="","",_xlfn.TEXTJOIN(", ",TRUE,IF(JUN!$G119:$AK119="FL",JUN!$G$4:$AK$4,"")))</f>
        <v/>
      </c>
      <c r="X117" t="str">
        <f t="array" ref="X117">IF($Q117="","",_xlfn.TEXTJOIN(", ",TRUE,IF(JUL!$G119:$AK119="FL",JUL!$G$4:$AK$4,"")))</f>
        <v/>
      </c>
      <c r="Y117" t="str">
        <f t="array" ref="Y117">IF($Q117="","",_xlfn.TEXTJOIN(", ",TRUE,IF(AGO!$G119:$AK119="FL",AGO!$G$4:$AK$4,"")))</f>
        <v/>
      </c>
      <c r="Z117" t="str">
        <f t="array" ref="Z117">IF($Q117="","",_xlfn.TEXTJOIN(", ",TRUE,IF(SET!$G119:$AK119="FL",SET!$G$4:$AK$4,"")))</f>
        <v/>
      </c>
      <c r="AA117" t="str">
        <f t="array" ref="AA117">IF($Q117="","",_xlfn.TEXTJOIN(", ",TRUE,IF(OUT!$G119:$AK119="FL",OUT!$G$4:$AK$4,"")))</f>
        <v/>
      </c>
      <c r="AB117" t="str">
        <f t="array" ref="AB117">IF($Q117="","",_xlfn.TEXTJOIN(", ",TRUE,IF(NOV!$G119:$AK119="FL",NOV!$G$4:$AK$4,"")))</f>
        <v/>
      </c>
      <c r="AC117" t="str">
        <f t="array" ref="AC117">IF($Q117="","",_xlfn.TEXTJOIN(", ",TRUE,IF(DEZ!$G119:$AK119="FL",DEZ!$G$4:$AK$4,"")))</f>
        <v/>
      </c>
      <c r="AD117" t="str">
        <f>IF($Q117="","",COUNTIF(JAN!$G119:$AK119,"FL")+COUNTIF(FEV!$G119:$AK119,"FL")+COUNTIF(MAR!$G119:$AK119,"FL")+COUNTIF(ABR!$G119:$AK119,"FL")+COUNTIF(MAI!$G119:$AK119,"FL")+COUNTIF(JUN!$G119:$AK119,"FL")+COUNTIF(JUL!$G119:$AK119,"FL")+COUNTIF(AGO!$G119:$AK119,"FL")+COUNTIF(SET!$G119:$AK119,"FL")+COUNTIF(OUT!$G119:$AK119,"FL")+COUNTIF(NOV!$G119:$AK119,"FL")+COUNTIF(DEZ!$G119:$AK119,"FL"))</f>
        <v/>
      </c>
      <c r="AF117" t="str">
        <f>IF(AND($Q117&lt;&gt;"",N($AD117)&gt;0),COUNT($AF$3:AF116)+1,"")</f>
        <v/>
      </c>
    </row>
    <row r="118" spans="1:32" hidden="1" outlineLevel="1" x14ac:dyDescent="0.25">
      <c r="A118" s="36" t="str">
        <f>IFERROR(INDEX($Q$4:$Q$153,MATCH(ROWS($A$4:A118),$AF$4:$AF$153,0)),"")</f>
        <v/>
      </c>
      <c r="B118" s="35" t="str">
        <f>IFERROR(INDEX($R$4:$R$153,MATCH(ROWS($A$4:A118),$AF$4:$AF$153,0)),"")</f>
        <v/>
      </c>
      <c r="C118" s="35" t="str">
        <f>IFERROR(INDEX($S$4:$S$153,MATCH(ROWS($A$4:A118),$AF$4:$AF$153,0)),"")</f>
        <v/>
      </c>
      <c r="D118" s="35" t="str">
        <f>IFERROR(INDEX($T$4:$T$153,MATCH(ROWS($A$4:A118),$AF$4:$AF$153,0)),"")</f>
        <v/>
      </c>
      <c r="E118" s="35" t="str">
        <f>IFERROR(INDEX($U$4:$U$153,MATCH(ROWS($A$4:A118),$AF$4:$AF$153,0)),"")</f>
        <v/>
      </c>
      <c r="F118" s="35" t="str">
        <f>IFERROR(INDEX($V$4:$V$153,MATCH(ROWS($A$4:A118),$AF$4:$AF$153,0)),"")</f>
        <v/>
      </c>
      <c r="G118" s="35" t="str">
        <f>IFERROR(INDEX($W$4:$W$153,MATCH(ROWS($A$4:A118),$AF$4:$AF$153,0)),"")</f>
        <v/>
      </c>
      <c r="H118" s="35" t="str">
        <f>IFERROR(INDEX($X$4:$X$153,MATCH(ROWS($A$4:A118),$AF$4:$AF$153,0)),"")</f>
        <v/>
      </c>
      <c r="I118" s="72" t="str">
        <f>IFERROR(INDEX($Y$4:$Y$153,MATCH(ROWS($A$4:A118),$AF$4:$AF$153,0)),"")</f>
        <v/>
      </c>
      <c r="J118" s="35" t="str">
        <f>IFERROR(INDEX($Z$4:$Z$153,MATCH(ROWS($A$4:A118),$AF$4:$AF$153,0)),"")</f>
        <v/>
      </c>
      <c r="K118" s="35" t="str">
        <f>IFERROR(INDEX($AA$4:$AA$153,MATCH(ROWS($A$4:A118),$AF$4:$AF$153,0)),"")</f>
        <v/>
      </c>
      <c r="L118" s="35" t="str">
        <f>IFERROR(INDEX($AB$4:$AB$153,MATCH(ROWS($A$4:A118),$AF$4:$AF$153,0)),"")</f>
        <v/>
      </c>
      <c r="M118" s="35" t="str">
        <f>IFERROR(INDEX($AC$4:$AC$153,MATCH(ROWS($A$4:A118),$AF$4:$AF$153,0)),"")</f>
        <v/>
      </c>
      <c r="N118" s="35" t="str">
        <f>IFERROR(INDEX($AD$4:$AD$153,MATCH(ROWS($A$4:A118),$AF$4:$AF$153,0)),"")</f>
        <v/>
      </c>
      <c r="Q118" t="str">
        <f>T(JAN!B120)</f>
        <v/>
      </c>
      <c r="R118" t="str">
        <f t="array" ref="R118">IF($Q118="","",_xlfn.TEXTJOIN(", ",TRUE,IF(JAN!$G120:$AK120="FL",JAN!$G$4:$AK$4,"")))</f>
        <v/>
      </c>
      <c r="S118" t="str">
        <f t="array" ref="S118">IF($Q118="","",_xlfn.TEXTJOIN(", ",TRUE,IF(FEV!$G120:$AK120="FL",FEV!$G$4:$AK$4,"")))</f>
        <v/>
      </c>
      <c r="T118" t="str">
        <f t="array" ref="T118">IF($Q118="","",_xlfn.TEXTJOIN(", ",TRUE,IF(MAR!$G120:$AK120="FL",MAR!$G$4:$AK$4,"")))</f>
        <v/>
      </c>
      <c r="U118" t="str">
        <f t="array" ref="U118">IF($Q118="","",_xlfn.TEXTJOIN(", ",TRUE,IF(ABR!$G120:$AK120="FL",ABR!$G$4:$AK$4,"")))</f>
        <v/>
      </c>
      <c r="V118" t="str">
        <f t="array" ref="V118">IF($Q118="","",_xlfn.TEXTJOIN(", ",TRUE,IF(MAI!$G120:$AK120="FL",MAI!$G$4:$AK$4,"")))</f>
        <v/>
      </c>
      <c r="W118" t="str">
        <f t="array" ref="W118">IF($Q118="","",_xlfn.TEXTJOIN(", ",TRUE,IF(JUN!$G120:$AK120="FL",JUN!$G$4:$AK$4,"")))</f>
        <v/>
      </c>
      <c r="X118" t="str">
        <f t="array" ref="X118">IF($Q118="","",_xlfn.TEXTJOIN(", ",TRUE,IF(JUL!$G120:$AK120="FL",JUL!$G$4:$AK$4,"")))</f>
        <v/>
      </c>
      <c r="Y118" t="str">
        <f t="array" ref="Y118">IF($Q118="","",_xlfn.TEXTJOIN(", ",TRUE,IF(AGO!$G120:$AK120="FL",AGO!$G$4:$AK$4,"")))</f>
        <v/>
      </c>
      <c r="Z118" t="str">
        <f t="array" ref="Z118">IF($Q118="","",_xlfn.TEXTJOIN(", ",TRUE,IF(SET!$G120:$AK120="FL",SET!$G$4:$AK$4,"")))</f>
        <v/>
      </c>
      <c r="AA118" t="str">
        <f t="array" ref="AA118">IF($Q118="","",_xlfn.TEXTJOIN(", ",TRUE,IF(OUT!$G120:$AK120="FL",OUT!$G$4:$AK$4,"")))</f>
        <v/>
      </c>
      <c r="AB118" t="str">
        <f t="array" ref="AB118">IF($Q118="","",_xlfn.TEXTJOIN(", ",TRUE,IF(NOV!$G120:$AK120="FL",NOV!$G$4:$AK$4,"")))</f>
        <v/>
      </c>
      <c r="AC118" t="str">
        <f t="array" ref="AC118">IF($Q118="","",_xlfn.TEXTJOIN(", ",TRUE,IF(DEZ!$G120:$AK120="FL",DEZ!$G$4:$AK$4,"")))</f>
        <v/>
      </c>
      <c r="AD118" t="str">
        <f>IF($Q118="","",COUNTIF(JAN!$G120:$AK120,"FL")+COUNTIF(FEV!$G120:$AK120,"FL")+COUNTIF(MAR!$G120:$AK120,"FL")+COUNTIF(ABR!$G120:$AK120,"FL")+COUNTIF(MAI!$G120:$AK120,"FL")+COUNTIF(JUN!$G120:$AK120,"FL")+COUNTIF(JUL!$G120:$AK120,"FL")+COUNTIF(AGO!$G120:$AK120,"FL")+COUNTIF(SET!$G120:$AK120,"FL")+COUNTIF(OUT!$G120:$AK120,"FL")+COUNTIF(NOV!$G120:$AK120,"FL")+COUNTIF(DEZ!$G120:$AK120,"FL"))</f>
        <v/>
      </c>
      <c r="AF118" t="str">
        <f>IF(AND($Q118&lt;&gt;"",N($AD118)&gt;0),COUNT($AF$3:AF117)+1,"")</f>
        <v/>
      </c>
    </row>
    <row r="119" spans="1:32" hidden="1" outlineLevel="1" x14ac:dyDescent="0.25">
      <c r="A119" s="36" t="str">
        <f>IFERROR(INDEX($Q$4:$Q$153,MATCH(ROWS($A$4:A119),$AF$4:$AF$153,0)),"")</f>
        <v/>
      </c>
      <c r="B119" s="35" t="str">
        <f>IFERROR(INDEX($R$4:$R$153,MATCH(ROWS($A$4:A119),$AF$4:$AF$153,0)),"")</f>
        <v/>
      </c>
      <c r="C119" s="35" t="str">
        <f>IFERROR(INDEX($S$4:$S$153,MATCH(ROWS($A$4:A119),$AF$4:$AF$153,0)),"")</f>
        <v/>
      </c>
      <c r="D119" s="35" t="str">
        <f>IFERROR(INDEX($T$4:$T$153,MATCH(ROWS($A$4:A119),$AF$4:$AF$153,0)),"")</f>
        <v/>
      </c>
      <c r="E119" s="35" t="str">
        <f>IFERROR(INDEX($U$4:$U$153,MATCH(ROWS($A$4:A119),$AF$4:$AF$153,0)),"")</f>
        <v/>
      </c>
      <c r="F119" s="35" t="str">
        <f>IFERROR(INDEX($V$4:$V$153,MATCH(ROWS($A$4:A119),$AF$4:$AF$153,0)),"")</f>
        <v/>
      </c>
      <c r="G119" s="35" t="str">
        <f>IFERROR(INDEX($W$4:$W$153,MATCH(ROWS($A$4:A119),$AF$4:$AF$153,0)),"")</f>
        <v/>
      </c>
      <c r="H119" s="35" t="str">
        <f>IFERROR(INDEX($X$4:$X$153,MATCH(ROWS($A$4:A119),$AF$4:$AF$153,0)),"")</f>
        <v/>
      </c>
      <c r="I119" s="72" t="str">
        <f>IFERROR(INDEX($Y$4:$Y$153,MATCH(ROWS($A$4:A119),$AF$4:$AF$153,0)),"")</f>
        <v/>
      </c>
      <c r="J119" s="35" t="str">
        <f>IFERROR(INDEX($Z$4:$Z$153,MATCH(ROWS($A$4:A119),$AF$4:$AF$153,0)),"")</f>
        <v/>
      </c>
      <c r="K119" s="35" t="str">
        <f>IFERROR(INDEX($AA$4:$AA$153,MATCH(ROWS($A$4:A119),$AF$4:$AF$153,0)),"")</f>
        <v/>
      </c>
      <c r="L119" s="35" t="str">
        <f>IFERROR(INDEX($AB$4:$AB$153,MATCH(ROWS($A$4:A119),$AF$4:$AF$153,0)),"")</f>
        <v/>
      </c>
      <c r="M119" s="35" t="str">
        <f>IFERROR(INDEX($AC$4:$AC$153,MATCH(ROWS($A$4:A119),$AF$4:$AF$153,0)),"")</f>
        <v/>
      </c>
      <c r="N119" s="35" t="str">
        <f>IFERROR(INDEX($AD$4:$AD$153,MATCH(ROWS($A$4:A119),$AF$4:$AF$153,0)),"")</f>
        <v/>
      </c>
      <c r="Q119" t="str">
        <f>T(JAN!B121)</f>
        <v/>
      </c>
      <c r="R119" t="str">
        <f t="array" ref="R119">IF($Q119="","",_xlfn.TEXTJOIN(", ",TRUE,IF(JAN!$G121:$AK121="FL",JAN!$G$4:$AK$4,"")))</f>
        <v/>
      </c>
      <c r="S119" t="str">
        <f t="array" ref="S119">IF($Q119="","",_xlfn.TEXTJOIN(", ",TRUE,IF(FEV!$G121:$AK121="FL",FEV!$G$4:$AK$4,"")))</f>
        <v/>
      </c>
      <c r="T119" t="str">
        <f t="array" ref="T119">IF($Q119="","",_xlfn.TEXTJOIN(", ",TRUE,IF(MAR!$G121:$AK121="FL",MAR!$G$4:$AK$4,"")))</f>
        <v/>
      </c>
      <c r="U119" t="str">
        <f t="array" ref="U119">IF($Q119="","",_xlfn.TEXTJOIN(", ",TRUE,IF(ABR!$G121:$AK121="FL",ABR!$G$4:$AK$4,"")))</f>
        <v/>
      </c>
      <c r="V119" t="str">
        <f t="array" ref="V119">IF($Q119="","",_xlfn.TEXTJOIN(", ",TRUE,IF(MAI!$G121:$AK121="FL",MAI!$G$4:$AK$4,"")))</f>
        <v/>
      </c>
      <c r="W119" t="str">
        <f t="array" ref="W119">IF($Q119="","",_xlfn.TEXTJOIN(", ",TRUE,IF(JUN!$G121:$AK121="FL",JUN!$G$4:$AK$4,"")))</f>
        <v/>
      </c>
      <c r="X119" t="str">
        <f t="array" ref="X119">IF($Q119="","",_xlfn.TEXTJOIN(", ",TRUE,IF(JUL!$G121:$AK121="FL",JUL!$G$4:$AK$4,"")))</f>
        <v/>
      </c>
      <c r="Y119" t="str">
        <f t="array" ref="Y119">IF($Q119="","",_xlfn.TEXTJOIN(", ",TRUE,IF(AGO!$G121:$AK121="FL",AGO!$G$4:$AK$4,"")))</f>
        <v/>
      </c>
      <c r="Z119" t="str">
        <f t="array" ref="Z119">IF($Q119="","",_xlfn.TEXTJOIN(", ",TRUE,IF(SET!$G121:$AK121="FL",SET!$G$4:$AK$4,"")))</f>
        <v/>
      </c>
      <c r="AA119" t="str">
        <f t="array" ref="AA119">IF($Q119="","",_xlfn.TEXTJOIN(", ",TRUE,IF(OUT!$G121:$AK121="FL",OUT!$G$4:$AK$4,"")))</f>
        <v/>
      </c>
      <c r="AB119" t="str">
        <f t="array" ref="AB119">IF($Q119="","",_xlfn.TEXTJOIN(", ",TRUE,IF(NOV!$G121:$AK121="FL",NOV!$G$4:$AK$4,"")))</f>
        <v/>
      </c>
      <c r="AC119" t="str">
        <f t="array" ref="AC119">IF($Q119="","",_xlfn.TEXTJOIN(", ",TRUE,IF(DEZ!$G121:$AK121="FL",DEZ!$G$4:$AK$4,"")))</f>
        <v/>
      </c>
      <c r="AD119" t="str">
        <f>IF($Q119="","",COUNTIF(JAN!$G121:$AK121,"FL")+COUNTIF(FEV!$G121:$AK121,"FL")+COUNTIF(MAR!$G121:$AK121,"FL")+COUNTIF(ABR!$G121:$AK121,"FL")+COUNTIF(MAI!$G121:$AK121,"FL")+COUNTIF(JUN!$G121:$AK121,"FL")+COUNTIF(JUL!$G121:$AK121,"FL")+COUNTIF(AGO!$G121:$AK121,"FL")+COUNTIF(SET!$G121:$AK121,"FL")+COUNTIF(OUT!$G121:$AK121,"FL")+COUNTIF(NOV!$G121:$AK121,"FL")+COUNTIF(DEZ!$G121:$AK121,"FL"))</f>
        <v/>
      </c>
      <c r="AF119" t="str">
        <f>IF(AND($Q119&lt;&gt;"",N($AD119)&gt;0),COUNT($AF$3:AF118)+1,"")</f>
        <v/>
      </c>
    </row>
    <row r="120" spans="1:32" hidden="1" outlineLevel="1" x14ac:dyDescent="0.25">
      <c r="A120" s="36" t="str">
        <f>IFERROR(INDEX($Q$4:$Q$153,MATCH(ROWS($A$4:A120),$AF$4:$AF$153,0)),"")</f>
        <v/>
      </c>
      <c r="B120" s="35" t="str">
        <f>IFERROR(INDEX($R$4:$R$153,MATCH(ROWS($A$4:A120),$AF$4:$AF$153,0)),"")</f>
        <v/>
      </c>
      <c r="C120" s="35" t="str">
        <f>IFERROR(INDEX($S$4:$S$153,MATCH(ROWS($A$4:A120),$AF$4:$AF$153,0)),"")</f>
        <v/>
      </c>
      <c r="D120" s="35" t="str">
        <f>IFERROR(INDEX($T$4:$T$153,MATCH(ROWS($A$4:A120),$AF$4:$AF$153,0)),"")</f>
        <v/>
      </c>
      <c r="E120" s="35" t="str">
        <f>IFERROR(INDEX($U$4:$U$153,MATCH(ROWS($A$4:A120),$AF$4:$AF$153,0)),"")</f>
        <v/>
      </c>
      <c r="F120" s="35" t="str">
        <f>IFERROR(INDEX($V$4:$V$153,MATCH(ROWS($A$4:A120),$AF$4:$AF$153,0)),"")</f>
        <v/>
      </c>
      <c r="G120" s="35" t="str">
        <f>IFERROR(INDEX($W$4:$W$153,MATCH(ROWS($A$4:A120),$AF$4:$AF$153,0)),"")</f>
        <v/>
      </c>
      <c r="H120" s="35" t="str">
        <f>IFERROR(INDEX($X$4:$X$153,MATCH(ROWS($A$4:A120),$AF$4:$AF$153,0)),"")</f>
        <v/>
      </c>
      <c r="I120" s="72" t="str">
        <f>IFERROR(INDEX($Y$4:$Y$153,MATCH(ROWS($A$4:A120),$AF$4:$AF$153,0)),"")</f>
        <v/>
      </c>
      <c r="J120" s="35" t="str">
        <f>IFERROR(INDEX($Z$4:$Z$153,MATCH(ROWS($A$4:A120),$AF$4:$AF$153,0)),"")</f>
        <v/>
      </c>
      <c r="K120" s="35" t="str">
        <f>IFERROR(INDEX($AA$4:$AA$153,MATCH(ROWS($A$4:A120),$AF$4:$AF$153,0)),"")</f>
        <v/>
      </c>
      <c r="L120" s="35" t="str">
        <f>IFERROR(INDEX($AB$4:$AB$153,MATCH(ROWS($A$4:A120),$AF$4:$AF$153,0)),"")</f>
        <v/>
      </c>
      <c r="M120" s="35" t="str">
        <f>IFERROR(INDEX($AC$4:$AC$153,MATCH(ROWS($A$4:A120),$AF$4:$AF$153,0)),"")</f>
        <v/>
      </c>
      <c r="N120" s="35" t="str">
        <f>IFERROR(INDEX($AD$4:$AD$153,MATCH(ROWS($A$4:A120),$AF$4:$AF$153,0)),"")</f>
        <v/>
      </c>
      <c r="Q120" t="str">
        <f>T(JAN!B122)</f>
        <v/>
      </c>
      <c r="R120" t="str">
        <f t="array" ref="R120">IF($Q120="","",_xlfn.TEXTJOIN(", ",TRUE,IF(JAN!$G122:$AK122="FL",JAN!$G$4:$AK$4,"")))</f>
        <v/>
      </c>
      <c r="S120" t="str">
        <f t="array" ref="S120">IF($Q120="","",_xlfn.TEXTJOIN(", ",TRUE,IF(FEV!$G122:$AK122="FL",FEV!$G$4:$AK$4,"")))</f>
        <v/>
      </c>
      <c r="T120" t="str">
        <f t="array" ref="T120">IF($Q120="","",_xlfn.TEXTJOIN(", ",TRUE,IF(MAR!$G122:$AK122="FL",MAR!$G$4:$AK$4,"")))</f>
        <v/>
      </c>
      <c r="U120" t="str">
        <f t="array" ref="U120">IF($Q120="","",_xlfn.TEXTJOIN(", ",TRUE,IF(ABR!$G122:$AK122="FL",ABR!$G$4:$AK$4,"")))</f>
        <v/>
      </c>
      <c r="V120" t="str">
        <f t="array" ref="V120">IF($Q120="","",_xlfn.TEXTJOIN(", ",TRUE,IF(MAI!$G122:$AK122="FL",MAI!$G$4:$AK$4,"")))</f>
        <v/>
      </c>
      <c r="W120" t="str">
        <f t="array" ref="W120">IF($Q120="","",_xlfn.TEXTJOIN(", ",TRUE,IF(JUN!$G122:$AK122="FL",JUN!$G$4:$AK$4,"")))</f>
        <v/>
      </c>
      <c r="X120" t="str">
        <f t="array" ref="X120">IF($Q120="","",_xlfn.TEXTJOIN(", ",TRUE,IF(JUL!$G122:$AK122="FL",JUL!$G$4:$AK$4,"")))</f>
        <v/>
      </c>
      <c r="Y120" t="str">
        <f t="array" ref="Y120">IF($Q120="","",_xlfn.TEXTJOIN(", ",TRUE,IF(AGO!$G122:$AK122="FL",AGO!$G$4:$AK$4,"")))</f>
        <v/>
      </c>
      <c r="Z120" t="str">
        <f t="array" ref="Z120">IF($Q120="","",_xlfn.TEXTJOIN(", ",TRUE,IF(SET!$G122:$AK122="FL",SET!$G$4:$AK$4,"")))</f>
        <v/>
      </c>
      <c r="AA120" t="str">
        <f t="array" ref="AA120">IF($Q120="","",_xlfn.TEXTJOIN(", ",TRUE,IF(OUT!$G122:$AK122="FL",OUT!$G$4:$AK$4,"")))</f>
        <v/>
      </c>
      <c r="AB120" t="str">
        <f t="array" ref="AB120">IF($Q120="","",_xlfn.TEXTJOIN(", ",TRUE,IF(NOV!$G122:$AK122="FL",NOV!$G$4:$AK$4,"")))</f>
        <v/>
      </c>
      <c r="AC120" t="str">
        <f t="array" ref="AC120">IF($Q120="","",_xlfn.TEXTJOIN(", ",TRUE,IF(DEZ!$G122:$AK122="FL",DEZ!$G$4:$AK$4,"")))</f>
        <v/>
      </c>
      <c r="AD120" t="str">
        <f>IF($Q120="","",COUNTIF(JAN!$G122:$AK122,"FL")+COUNTIF(FEV!$G122:$AK122,"FL")+COUNTIF(MAR!$G122:$AK122,"FL")+COUNTIF(ABR!$G122:$AK122,"FL")+COUNTIF(MAI!$G122:$AK122,"FL")+COUNTIF(JUN!$G122:$AK122,"FL")+COUNTIF(JUL!$G122:$AK122,"FL")+COUNTIF(AGO!$G122:$AK122,"FL")+COUNTIF(SET!$G122:$AK122,"FL")+COUNTIF(OUT!$G122:$AK122,"FL")+COUNTIF(NOV!$G122:$AK122,"FL")+COUNTIF(DEZ!$G122:$AK122,"FL"))</f>
        <v/>
      </c>
      <c r="AF120" t="str">
        <f>IF(AND($Q120&lt;&gt;"",N($AD120)&gt;0),COUNT($AF$3:AF119)+1,"")</f>
        <v/>
      </c>
    </row>
    <row r="121" spans="1:32" hidden="1" outlineLevel="1" x14ac:dyDescent="0.25">
      <c r="A121" s="36" t="str">
        <f>IFERROR(INDEX($Q$4:$Q$153,MATCH(ROWS($A$4:A121),$AF$4:$AF$153,0)),"")</f>
        <v/>
      </c>
      <c r="B121" s="35" t="str">
        <f>IFERROR(INDEX($R$4:$R$153,MATCH(ROWS($A$4:A121),$AF$4:$AF$153,0)),"")</f>
        <v/>
      </c>
      <c r="C121" s="35" t="str">
        <f>IFERROR(INDEX($S$4:$S$153,MATCH(ROWS($A$4:A121),$AF$4:$AF$153,0)),"")</f>
        <v/>
      </c>
      <c r="D121" s="35" t="str">
        <f>IFERROR(INDEX($T$4:$T$153,MATCH(ROWS($A$4:A121),$AF$4:$AF$153,0)),"")</f>
        <v/>
      </c>
      <c r="E121" s="35" t="str">
        <f>IFERROR(INDEX($U$4:$U$153,MATCH(ROWS($A$4:A121),$AF$4:$AF$153,0)),"")</f>
        <v/>
      </c>
      <c r="F121" s="35" t="str">
        <f>IFERROR(INDEX($V$4:$V$153,MATCH(ROWS($A$4:A121),$AF$4:$AF$153,0)),"")</f>
        <v/>
      </c>
      <c r="G121" s="35" t="str">
        <f>IFERROR(INDEX($W$4:$W$153,MATCH(ROWS($A$4:A121),$AF$4:$AF$153,0)),"")</f>
        <v/>
      </c>
      <c r="H121" s="35" t="str">
        <f>IFERROR(INDEX($X$4:$X$153,MATCH(ROWS($A$4:A121),$AF$4:$AF$153,0)),"")</f>
        <v/>
      </c>
      <c r="I121" s="72" t="str">
        <f>IFERROR(INDEX($Y$4:$Y$153,MATCH(ROWS($A$4:A121),$AF$4:$AF$153,0)),"")</f>
        <v/>
      </c>
      <c r="J121" s="35" t="str">
        <f>IFERROR(INDEX($Z$4:$Z$153,MATCH(ROWS($A$4:A121),$AF$4:$AF$153,0)),"")</f>
        <v/>
      </c>
      <c r="K121" s="35" t="str">
        <f>IFERROR(INDEX($AA$4:$AA$153,MATCH(ROWS($A$4:A121),$AF$4:$AF$153,0)),"")</f>
        <v/>
      </c>
      <c r="L121" s="35" t="str">
        <f>IFERROR(INDEX($AB$4:$AB$153,MATCH(ROWS($A$4:A121),$AF$4:$AF$153,0)),"")</f>
        <v/>
      </c>
      <c r="M121" s="35" t="str">
        <f>IFERROR(INDEX($AC$4:$AC$153,MATCH(ROWS($A$4:A121),$AF$4:$AF$153,0)),"")</f>
        <v/>
      </c>
      <c r="N121" s="35" t="str">
        <f>IFERROR(INDEX($AD$4:$AD$153,MATCH(ROWS($A$4:A121),$AF$4:$AF$153,0)),"")</f>
        <v/>
      </c>
      <c r="Q121" t="str">
        <f>T(JAN!B123)</f>
        <v/>
      </c>
      <c r="R121" t="str">
        <f t="array" ref="R121">IF($Q121="","",_xlfn.TEXTJOIN(", ",TRUE,IF(JAN!$G123:$AK123="FL",JAN!$G$4:$AK$4,"")))</f>
        <v/>
      </c>
      <c r="S121" t="str">
        <f t="array" ref="S121">IF($Q121="","",_xlfn.TEXTJOIN(", ",TRUE,IF(FEV!$G123:$AK123="FL",FEV!$G$4:$AK$4,"")))</f>
        <v/>
      </c>
      <c r="T121" t="str">
        <f t="array" ref="T121">IF($Q121="","",_xlfn.TEXTJOIN(", ",TRUE,IF(MAR!$G123:$AK123="FL",MAR!$G$4:$AK$4,"")))</f>
        <v/>
      </c>
      <c r="U121" t="str">
        <f t="array" ref="U121">IF($Q121="","",_xlfn.TEXTJOIN(", ",TRUE,IF(ABR!$G123:$AK123="FL",ABR!$G$4:$AK$4,"")))</f>
        <v/>
      </c>
      <c r="V121" t="str">
        <f t="array" ref="V121">IF($Q121="","",_xlfn.TEXTJOIN(", ",TRUE,IF(MAI!$G123:$AK123="FL",MAI!$G$4:$AK$4,"")))</f>
        <v/>
      </c>
      <c r="W121" t="str">
        <f t="array" ref="W121">IF($Q121="","",_xlfn.TEXTJOIN(", ",TRUE,IF(JUN!$G123:$AK123="FL",JUN!$G$4:$AK$4,"")))</f>
        <v/>
      </c>
      <c r="X121" t="str">
        <f t="array" ref="X121">IF($Q121="","",_xlfn.TEXTJOIN(", ",TRUE,IF(JUL!$G123:$AK123="FL",JUL!$G$4:$AK$4,"")))</f>
        <v/>
      </c>
      <c r="Y121" t="str">
        <f t="array" ref="Y121">IF($Q121="","",_xlfn.TEXTJOIN(", ",TRUE,IF(AGO!$G123:$AK123="FL",AGO!$G$4:$AK$4,"")))</f>
        <v/>
      </c>
      <c r="Z121" t="str">
        <f t="array" ref="Z121">IF($Q121="","",_xlfn.TEXTJOIN(", ",TRUE,IF(SET!$G123:$AK123="FL",SET!$G$4:$AK$4,"")))</f>
        <v/>
      </c>
      <c r="AA121" t="str">
        <f t="array" ref="AA121">IF($Q121="","",_xlfn.TEXTJOIN(", ",TRUE,IF(OUT!$G123:$AK123="FL",OUT!$G$4:$AK$4,"")))</f>
        <v/>
      </c>
      <c r="AB121" t="str">
        <f t="array" ref="AB121">IF($Q121="","",_xlfn.TEXTJOIN(", ",TRUE,IF(NOV!$G123:$AK123="FL",NOV!$G$4:$AK$4,"")))</f>
        <v/>
      </c>
      <c r="AC121" t="str">
        <f t="array" ref="AC121">IF($Q121="","",_xlfn.TEXTJOIN(", ",TRUE,IF(DEZ!$G123:$AK123="FL",DEZ!$G$4:$AK$4,"")))</f>
        <v/>
      </c>
      <c r="AD121" t="str">
        <f>IF($Q121="","",COUNTIF(JAN!$G123:$AK123,"FL")+COUNTIF(FEV!$G123:$AK123,"FL")+COUNTIF(MAR!$G123:$AK123,"FL")+COUNTIF(ABR!$G123:$AK123,"FL")+COUNTIF(MAI!$G123:$AK123,"FL")+COUNTIF(JUN!$G123:$AK123,"FL")+COUNTIF(JUL!$G123:$AK123,"FL")+COUNTIF(AGO!$G123:$AK123,"FL")+COUNTIF(SET!$G123:$AK123,"FL")+COUNTIF(OUT!$G123:$AK123,"FL")+COUNTIF(NOV!$G123:$AK123,"FL")+COUNTIF(DEZ!$G123:$AK123,"FL"))</f>
        <v/>
      </c>
      <c r="AF121" t="str">
        <f>IF(AND($Q121&lt;&gt;"",N($AD121)&gt;0),COUNT($AF$3:AF120)+1,"")</f>
        <v/>
      </c>
    </row>
    <row r="122" spans="1:32" hidden="1" outlineLevel="1" x14ac:dyDescent="0.25">
      <c r="A122" s="36" t="str">
        <f>IFERROR(INDEX($Q$4:$Q$153,MATCH(ROWS($A$4:A122),$AF$4:$AF$153,0)),"")</f>
        <v/>
      </c>
      <c r="B122" s="35" t="str">
        <f>IFERROR(INDEX($R$4:$R$153,MATCH(ROWS($A$4:A122),$AF$4:$AF$153,0)),"")</f>
        <v/>
      </c>
      <c r="C122" s="35" t="str">
        <f>IFERROR(INDEX($S$4:$S$153,MATCH(ROWS($A$4:A122),$AF$4:$AF$153,0)),"")</f>
        <v/>
      </c>
      <c r="D122" s="35" t="str">
        <f>IFERROR(INDEX($T$4:$T$153,MATCH(ROWS($A$4:A122),$AF$4:$AF$153,0)),"")</f>
        <v/>
      </c>
      <c r="E122" s="35" t="str">
        <f>IFERROR(INDEX($U$4:$U$153,MATCH(ROWS($A$4:A122),$AF$4:$AF$153,0)),"")</f>
        <v/>
      </c>
      <c r="F122" s="35" t="str">
        <f>IFERROR(INDEX($V$4:$V$153,MATCH(ROWS($A$4:A122),$AF$4:$AF$153,0)),"")</f>
        <v/>
      </c>
      <c r="G122" s="35" t="str">
        <f>IFERROR(INDEX($W$4:$W$153,MATCH(ROWS($A$4:A122),$AF$4:$AF$153,0)),"")</f>
        <v/>
      </c>
      <c r="H122" s="35" t="str">
        <f>IFERROR(INDEX($X$4:$X$153,MATCH(ROWS($A$4:A122),$AF$4:$AF$153,0)),"")</f>
        <v/>
      </c>
      <c r="I122" s="72" t="str">
        <f>IFERROR(INDEX($Y$4:$Y$153,MATCH(ROWS($A$4:A122),$AF$4:$AF$153,0)),"")</f>
        <v/>
      </c>
      <c r="J122" s="35" t="str">
        <f>IFERROR(INDEX($Z$4:$Z$153,MATCH(ROWS($A$4:A122),$AF$4:$AF$153,0)),"")</f>
        <v/>
      </c>
      <c r="K122" s="35" t="str">
        <f>IFERROR(INDEX($AA$4:$AA$153,MATCH(ROWS($A$4:A122),$AF$4:$AF$153,0)),"")</f>
        <v/>
      </c>
      <c r="L122" s="35" t="str">
        <f>IFERROR(INDEX($AB$4:$AB$153,MATCH(ROWS($A$4:A122),$AF$4:$AF$153,0)),"")</f>
        <v/>
      </c>
      <c r="M122" s="35" t="str">
        <f>IFERROR(INDEX($AC$4:$AC$153,MATCH(ROWS($A$4:A122),$AF$4:$AF$153,0)),"")</f>
        <v/>
      </c>
      <c r="N122" s="35" t="str">
        <f>IFERROR(INDEX($AD$4:$AD$153,MATCH(ROWS($A$4:A122),$AF$4:$AF$153,0)),"")</f>
        <v/>
      </c>
      <c r="Q122" t="str">
        <f>T(JAN!B124)</f>
        <v/>
      </c>
      <c r="R122" t="str">
        <f t="array" ref="R122">IF($Q122="","",_xlfn.TEXTJOIN(", ",TRUE,IF(JAN!$G124:$AK124="FL",JAN!$G$4:$AK$4,"")))</f>
        <v/>
      </c>
      <c r="S122" t="str">
        <f t="array" ref="S122">IF($Q122="","",_xlfn.TEXTJOIN(", ",TRUE,IF(FEV!$G124:$AK124="FL",FEV!$G$4:$AK$4,"")))</f>
        <v/>
      </c>
      <c r="T122" t="str">
        <f t="array" ref="T122">IF($Q122="","",_xlfn.TEXTJOIN(", ",TRUE,IF(MAR!$G124:$AK124="FL",MAR!$G$4:$AK$4,"")))</f>
        <v/>
      </c>
      <c r="U122" t="str">
        <f t="array" ref="U122">IF($Q122="","",_xlfn.TEXTJOIN(", ",TRUE,IF(ABR!$G124:$AK124="FL",ABR!$G$4:$AK$4,"")))</f>
        <v/>
      </c>
      <c r="V122" t="str">
        <f t="array" ref="V122">IF($Q122="","",_xlfn.TEXTJOIN(", ",TRUE,IF(MAI!$G124:$AK124="FL",MAI!$G$4:$AK$4,"")))</f>
        <v/>
      </c>
      <c r="W122" t="str">
        <f t="array" ref="W122">IF($Q122="","",_xlfn.TEXTJOIN(", ",TRUE,IF(JUN!$G124:$AK124="FL",JUN!$G$4:$AK$4,"")))</f>
        <v/>
      </c>
      <c r="X122" t="str">
        <f t="array" ref="X122">IF($Q122="","",_xlfn.TEXTJOIN(", ",TRUE,IF(JUL!$G124:$AK124="FL",JUL!$G$4:$AK$4,"")))</f>
        <v/>
      </c>
      <c r="Y122" t="str">
        <f t="array" ref="Y122">IF($Q122="","",_xlfn.TEXTJOIN(", ",TRUE,IF(AGO!$G124:$AK124="FL",AGO!$G$4:$AK$4,"")))</f>
        <v/>
      </c>
      <c r="Z122" t="str">
        <f t="array" ref="Z122">IF($Q122="","",_xlfn.TEXTJOIN(", ",TRUE,IF(SET!$G124:$AK124="FL",SET!$G$4:$AK$4,"")))</f>
        <v/>
      </c>
      <c r="AA122" t="str">
        <f t="array" ref="AA122">IF($Q122="","",_xlfn.TEXTJOIN(", ",TRUE,IF(OUT!$G124:$AK124="FL",OUT!$G$4:$AK$4,"")))</f>
        <v/>
      </c>
      <c r="AB122" t="str">
        <f t="array" ref="AB122">IF($Q122="","",_xlfn.TEXTJOIN(", ",TRUE,IF(NOV!$G124:$AK124="FL",NOV!$G$4:$AK$4,"")))</f>
        <v/>
      </c>
      <c r="AC122" t="str">
        <f t="array" ref="AC122">IF($Q122="","",_xlfn.TEXTJOIN(", ",TRUE,IF(DEZ!$G124:$AK124="FL",DEZ!$G$4:$AK$4,"")))</f>
        <v/>
      </c>
      <c r="AD122" t="str">
        <f>IF($Q122="","",COUNTIF(JAN!$G124:$AK124,"FL")+COUNTIF(FEV!$G124:$AK124,"FL")+COUNTIF(MAR!$G124:$AK124,"FL")+COUNTIF(ABR!$G124:$AK124,"FL")+COUNTIF(MAI!$G124:$AK124,"FL")+COUNTIF(JUN!$G124:$AK124,"FL")+COUNTIF(JUL!$G124:$AK124,"FL")+COUNTIF(AGO!$G124:$AK124,"FL")+COUNTIF(SET!$G124:$AK124,"FL")+COUNTIF(OUT!$G124:$AK124,"FL")+COUNTIF(NOV!$G124:$AK124,"FL")+COUNTIF(DEZ!$G124:$AK124,"FL"))</f>
        <v/>
      </c>
      <c r="AF122" t="str">
        <f>IF(AND($Q122&lt;&gt;"",N($AD122)&gt;0),COUNT($AF$3:AF121)+1,"")</f>
        <v/>
      </c>
    </row>
    <row r="123" spans="1:32" hidden="1" outlineLevel="1" x14ac:dyDescent="0.25">
      <c r="A123" s="36" t="str">
        <f>IFERROR(INDEX($Q$4:$Q$153,MATCH(ROWS($A$4:A123),$AF$4:$AF$153,0)),"")</f>
        <v/>
      </c>
      <c r="B123" s="35" t="str">
        <f>IFERROR(INDEX($R$4:$R$153,MATCH(ROWS($A$4:A123),$AF$4:$AF$153,0)),"")</f>
        <v/>
      </c>
      <c r="C123" s="35" t="str">
        <f>IFERROR(INDEX($S$4:$S$153,MATCH(ROWS($A$4:A123),$AF$4:$AF$153,0)),"")</f>
        <v/>
      </c>
      <c r="D123" s="35" t="str">
        <f>IFERROR(INDEX($T$4:$T$153,MATCH(ROWS($A$4:A123),$AF$4:$AF$153,0)),"")</f>
        <v/>
      </c>
      <c r="E123" s="35" t="str">
        <f>IFERROR(INDEX($U$4:$U$153,MATCH(ROWS($A$4:A123),$AF$4:$AF$153,0)),"")</f>
        <v/>
      </c>
      <c r="F123" s="35" t="str">
        <f>IFERROR(INDEX($V$4:$V$153,MATCH(ROWS($A$4:A123),$AF$4:$AF$153,0)),"")</f>
        <v/>
      </c>
      <c r="G123" s="35" t="str">
        <f>IFERROR(INDEX($W$4:$W$153,MATCH(ROWS($A$4:A123),$AF$4:$AF$153,0)),"")</f>
        <v/>
      </c>
      <c r="H123" s="35" t="str">
        <f>IFERROR(INDEX($X$4:$X$153,MATCH(ROWS($A$4:A123),$AF$4:$AF$153,0)),"")</f>
        <v/>
      </c>
      <c r="I123" s="72" t="str">
        <f>IFERROR(INDEX($Y$4:$Y$153,MATCH(ROWS($A$4:A123),$AF$4:$AF$153,0)),"")</f>
        <v/>
      </c>
      <c r="J123" s="35" t="str">
        <f>IFERROR(INDEX($Z$4:$Z$153,MATCH(ROWS($A$4:A123),$AF$4:$AF$153,0)),"")</f>
        <v/>
      </c>
      <c r="K123" s="35" t="str">
        <f>IFERROR(INDEX($AA$4:$AA$153,MATCH(ROWS($A$4:A123),$AF$4:$AF$153,0)),"")</f>
        <v/>
      </c>
      <c r="L123" s="35" t="str">
        <f>IFERROR(INDEX($AB$4:$AB$153,MATCH(ROWS($A$4:A123),$AF$4:$AF$153,0)),"")</f>
        <v/>
      </c>
      <c r="M123" s="35" t="str">
        <f>IFERROR(INDEX($AC$4:$AC$153,MATCH(ROWS($A$4:A123),$AF$4:$AF$153,0)),"")</f>
        <v/>
      </c>
      <c r="N123" s="35" t="str">
        <f>IFERROR(INDEX($AD$4:$AD$153,MATCH(ROWS($A$4:A123),$AF$4:$AF$153,0)),"")</f>
        <v/>
      </c>
      <c r="Q123" t="str">
        <f>T(JAN!B125)</f>
        <v/>
      </c>
      <c r="R123" t="str">
        <f t="array" ref="R123">IF($Q123="","",_xlfn.TEXTJOIN(", ",TRUE,IF(JAN!$G125:$AK125="FL",JAN!$G$4:$AK$4,"")))</f>
        <v/>
      </c>
      <c r="S123" t="str">
        <f t="array" ref="S123">IF($Q123="","",_xlfn.TEXTJOIN(", ",TRUE,IF(FEV!$G125:$AK125="FL",FEV!$G$4:$AK$4,"")))</f>
        <v/>
      </c>
      <c r="T123" t="str">
        <f t="array" ref="T123">IF($Q123="","",_xlfn.TEXTJOIN(", ",TRUE,IF(MAR!$G125:$AK125="FL",MAR!$G$4:$AK$4,"")))</f>
        <v/>
      </c>
      <c r="U123" t="str">
        <f t="array" ref="U123">IF($Q123="","",_xlfn.TEXTJOIN(", ",TRUE,IF(ABR!$G125:$AK125="FL",ABR!$G$4:$AK$4,"")))</f>
        <v/>
      </c>
      <c r="V123" t="str">
        <f t="array" ref="V123">IF($Q123="","",_xlfn.TEXTJOIN(", ",TRUE,IF(MAI!$G125:$AK125="FL",MAI!$G$4:$AK$4,"")))</f>
        <v/>
      </c>
      <c r="W123" t="str">
        <f t="array" ref="W123">IF($Q123="","",_xlfn.TEXTJOIN(", ",TRUE,IF(JUN!$G125:$AK125="FL",JUN!$G$4:$AK$4,"")))</f>
        <v/>
      </c>
      <c r="X123" t="str">
        <f t="array" ref="X123">IF($Q123="","",_xlfn.TEXTJOIN(", ",TRUE,IF(JUL!$G125:$AK125="FL",JUL!$G$4:$AK$4,"")))</f>
        <v/>
      </c>
      <c r="Y123" t="str">
        <f t="array" ref="Y123">IF($Q123="","",_xlfn.TEXTJOIN(", ",TRUE,IF(AGO!$G125:$AK125="FL",AGO!$G$4:$AK$4,"")))</f>
        <v/>
      </c>
      <c r="Z123" t="str">
        <f t="array" ref="Z123">IF($Q123="","",_xlfn.TEXTJOIN(", ",TRUE,IF(SET!$G125:$AK125="FL",SET!$G$4:$AK$4,"")))</f>
        <v/>
      </c>
      <c r="AA123" t="str">
        <f t="array" ref="AA123">IF($Q123="","",_xlfn.TEXTJOIN(", ",TRUE,IF(OUT!$G125:$AK125="FL",OUT!$G$4:$AK$4,"")))</f>
        <v/>
      </c>
      <c r="AB123" t="str">
        <f t="array" ref="AB123">IF($Q123="","",_xlfn.TEXTJOIN(", ",TRUE,IF(NOV!$G125:$AK125="FL",NOV!$G$4:$AK$4,"")))</f>
        <v/>
      </c>
      <c r="AC123" t="str">
        <f t="array" ref="AC123">IF($Q123="","",_xlfn.TEXTJOIN(", ",TRUE,IF(DEZ!$G125:$AK125="FL",DEZ!$G$4:$AK$4,"")))</f>
        <v/>
      </c>
      <c r="AD123" t="str">
        <f>IF($Q123="","",COUNTIF(JAN!$G125:$AK125,"FL")+COUNTIF(FEV!$G125:$AK125,"FL")+COUNTIF(MAR!$G125:$AK125,"FL")+COUNTIF(ABR!$G125:$AK125,"FL")+COUNTIF(MAI!$G125:$AK125,"FL")+COUNTIF(JUN!$G125:$AK125,"FL")+COUNTIF(JUL!$G125:$AK125,"FL")+COUNTIF(AGO!$G125:$AK125,"FL")+COUNTIF(SET!$G125:$AK125,"FL")+COUNTIF(OUT!$G125:$AK125,"FL")+COUNTIF(NOV!$G125:$AK125,"FL")+COUNTIF(DEZ!$G125:$AK125,"FL"))</f>
        <v/>
      </c>
      <c r="AF123" t="str">
        <f>IF(AND($Q123&lt;&gt;"",N($AD123)&gt;0),COUNT($AF$3:AF122)+1,"")</f>
        <v/>
      </c>
    </row>
    <row r="124" spans="1:32" hidden="1" outlineLevel="1" x14ac:dyDescent="0.25">
      <c r="A124" s="36" t="str">
        <f>IFERROR(INDEX($Q$4:$Q$153,MATCH(ROWS($A$4:A124),$AF$4:$AF$153,0)),"")</f>
        <v/>
      </c>
      <c r="B124" s="35" t="str">
        <f>IFERROR(INDEX($R$4:$R$153,MATCH(ROWS($A$4:A124),$AF$4:$AF$153,0)),"")</f>
        <v/>
      </c>
      <c r="C124" s="35" t="str">
        <f>IFERROR(INDEX($S$4:$S$153,MATCH(ROWS($A$4:A124),$AF$4:$AF$153,0)),"")</f>
        <v/>
      </c>
      <c r="D124" s="35" t="str">
        <f>IFERROR(INDEX($T$4:$T$153,MATCH(ROWS($A$4:A124),$AF$4:$AF$153,0)),"")</f>
        <v/>
      </c>
      <c r="E124" s="35" t="str">
        <f>IFERROR(INDEX($U$4:$U$153,MATCH(ROWS($A$4:A124),$AF$4:$AF$153,0)),"")</f>
        <v/>
      </c>
      <c r="F124" s="35" t="str">
        <f>IFERROR(INDEX($V$4:$V$153,MATCH(ROWS($A$4:A124),$AF$4:$AF$153,0)),"")</f>
        <v/>
      </c>
      <c r="G124" s="35" t="str">
        <f>IFERROR(INDEX($W$4:$W$153,MATCH(ROWS($A$4:A124),$AF$4:$AF$153,0)),"")</f>
        <v/>
      </c>
      <c r="H124" s="35" t="str">
        <f>IFERROR(INDEX($X$4:$X$153,MATCH(ROWS($A$4:A124),$AF$4:$AF$153,0)),"")</f>
        <v/>
      </c>
      <c r="I124" s="72" t="str">
        <f>IFERROR(INDEX($Y$4:$Y$153,MATCH(ROWS($A$4:A124),$AF$4:$AF$153,0)),"")</f>
        <v/>
      </c>
      <c r="J124" s="35" t="str">
        <f>IFERROR(INDEX($Z$4:$Z$153,MATCH(ROWS($A$4:A124),$AF$4:$AF$153,0)),"")</f>
        <v/>
      </c>
      <c r="K124" s="35" t="str">
        <f>IFERROR(INDEX($AA$4:$AA$153,MATCH(ROWS($A$4:A124),$AF$4:$AF$153,0)),"")</f>
        <v/>
      </c>
      <c r="L124" s="35" t="str">
        <f>IFERROR(INDEX($AB$4:$AB$153,MATCH(ROWS($A$4:A124),$AF$4:$AF$153,0)),"")</f>
        <v/>
      </c>
      <c r="M124" s="35" t="str">
        <f>IFERROR(INDEX($AC$4:$AC$153,MATCH(ROWS($A$4:A124),$AF$4:$AF$153,0)),"")</f>
        <v/>
      </c>
      <c r="N124" s="35" t="str">
        <f>IFERROR(INDEX($AD$4:$AD$153,MATCH(ROWS($A$4:A124),$AF$4:$AF$153,0)),"")</f>
        <v/>
      </c>
      <c r="Q124" t="str">
        <f>T(JAN!B126)</f>
        <v/>
      </c>
      <c r="R124" t="str">
        <f t="array" ref="R124">IF($Q124="","",_xlfn.TEXTJOIN(", ",TRUE,IF(JAN!$G126:$AK126="FL",JAN!$G$4:$AK$4,"")))</f>
        <v/>
      </c>
      <c r="S124" t="str">
        <f t="array" ref="S124">IF($Q124="","",_xlfn.TEXTJOIN(", ",TRUE,IF(FEV!$G126:$AK126="FL",FEV!$G$4:$AK$4,"")))</f>
        <v/>
      </c>
      <c r="T124" t="str">
        <f t="array" ref="T124">IF($Q124="","",_xlfn.TEXTJOIN(", ",TRUE,IF(MAR!$G126:$AK126="FL",MAR!$G$4:$AK$4,"")))</f>
        <v/>
      </c>
      <c r="U124" t="str">
        <f t="array" ref="U124">IF($Q124="","",_xlfn.TEXTJOIN(", ",TRUE,IF(ABR!$G126:$AK126="FL",ABR!$G$4:$AK$4,"")))</f>
        <v/>
      </c>
      <c r="V124" t="str">
        <f t="array" ref="V124">IF($Q124="","",_xlfn.TEXTJOIN(", ",TRUE,IF(MAI!$G126:$AK126="FL",MAI!$G$4:$AK$4,"")))</f>
        <v/>
      </c>
      <c r="W124" t="str">
        <f t="array" ref="W124">IF($Q124="","",_xlfn.TEXTJOIN(", ",TRUE,IF(JUN!$G126:$AK126="FL",JUN!$G$4:$AK$4,"")))</f>
        <v/>
      </c>
      <c r="X124" t="str">
        <f t="array" ref="X124">IF($Q124="","",_xlfn.TEXTJOIN(", ",TRUE,IF(JUL!$G126:$AK126="FL",JUL!$G$4:$AK$4,"")))</f>
        <v/>
      </c>
      <c r="Y124" t="str">
        <f t="array" ref="Y124">IF($Q124="","",_xlfn.TEXTJOIN(", ",TRUE,IF(AGO!$G126:$AK126="FL",AGO!$G$4:$AK$4,"")))</f>
        <v/>
      </c>
      <c r="Z124" t="str">
        <f t="array" ref="Z124">IF($Q124="","",_xlfn.TEXTJOIN(", ",TRUE,IF(SET!$G126:$AK126="FL",SET!$G$4:$AK$4,"")))</f>
        <v/>
      </c>
      <c r="AA124" t="str">
        <f t="array" ref="AA124">IF($Q124="","",_xlfn.TEXTJOIN(", ",TRUE,IF(OUT!$G126:$AK126="FL",OUT!$G$4:$AK$4,"")))</f>
        <v/>
      </c>
      <c r="AB124" t="str">
        <f t="array" ref="AB124">IF($Q124="","",_xlfn.TEXTJOIN(", ",TRUE,IF(NOV!$G126:$AK126="FL",NOV!$G$4:$AK$4,"")))</f>
        <v/>
      </c>
      <c r="AC124" t="str">
        <f t="array" ref="AC124">IF($Q124="","",_xlfn.TEXTJOIN(", ",TRUE,IF(DEZ!$G126:$AK126="FL",DEZ!$G$4:$AK$4,"")))</f>
        <v/>
      </c>
      <c r="AD124" t="str">
        <f>IF($Q124="","",COUNTIF(JAN!$G126:$AK126,"FL")+COUNTIF(FEV!$G126:$AK126,"FL")+COUNTIF(MAR!$G126:$AK126,"FL")+COUNTIF(ABR!$G126:$AK126,"FL")+COUNTIF(MAI!$G126:$AK126,"FL")+COUNTIF(JUN!$G126:$AK126,"FL")+COUNTIF(JUL!$G126:$AK126,"FL")+COUNTIF(AGO!$G126:$AK126,"FL")+COUNTIF(SET!$G126:$AK126,"FL")+COUNTIF(OUT!$G126:$AK126,"FL")+COUNTIF(NOV!$G126:$AK126,"FL")+COUNTIF(DEZ!$G126:$AK126,"FL"))</f>
        <v/>
      </c>
      <c r="AF124" t="str">
        <f>IF(AND($Q124&lt;&gt;"",N($AD124)&gt;0),COUNT($AF$3:AF123)+1,"")</f>
        <v/>
      </c>
    </row>
    <row r="125" spans="1:32" hidden="1" outlineLevel="1" x14ac:dyDescent="0.25">
      <c r="A125" s="36" t="str">
        <f>IFERROR(INDEX($Q$4:$Q$153,MATCH(ROWS($A$4:A125),$AF$4:$AF$153,0)),"")</f>
        <v/>
      </c>
      <c r="B125" s="35" t="str">
        <f>IFERROR(INDEX($R$4:$R$153,MATCH(ROWS($A$4:A125),$AF$4:$AF$153,0)),"")</f>
        <v/>
      </c>
      <c r="C125" s="35" t="str">
        <f>IFERROR(INDEX($S$4:$S$153,MATCH(ROWS($A$4:A125),$AF$4:$AF$153,0)),"")</f>
        <v/>
      </c>
      <c r="D125" s="35" t="str">
        <f>IFERROR(INDEX($T$4:$T$153,MATCH(ROWS($A$4:A125),$AF$4:$AF$153,0)),"")</f>
        <v/>
      </c>
      <c r="E125" s="35" t="str">
        <f>IFERROR(INDEX($U$4:$U$153,MATCH(ROWS($A$4:A125),$AF$4:$AF$153,0)),"")</f>
        <v/>
      </c>
      <c r="F125" s="35" t="str">
        <f>IFERROR(INDEX($V$4:$V$153,MATCH(ROWS($A$4:A125),$AF$4:$AF$153,0)),"")</f>
        <v/>
      </c>
      <c r="G125" s="35" t="str">
        <f>IFERROR(INDEX($W$4:$W$153,MATCH(ROWS($A$4:A125),$AF$4:$AF$153,0)),"")</f>
        <v/>
      </c>
      <c r="H125" s="35" t="str">
        <f>IFERROR(INDEX($X$4:$X$153,MATCH(ROWS($A$4:A125),$AF$4:$AF$153,0)),"")</f>
        <v/>
      </c>
      <c r="I125" s="72" t="str">
        <f>IFERROR(INDEX($Y$4:$Y$153,MATCH(ROWS($A$4:A125),$AF$4:$AF$153,0)),"")</f>
        <v/>
      </c>
      <c r="J125" s="35" t="str">
        <f>IFERROR(INDEX($Z$4:$Z$153,MATCH(ROWS($A$4:A125),$AF$4:$AF$153,0)),"")</f>
        <v/>
      </c>
      <c r="K125" s="35" t="str">
        <f>IFERROR(INDEX($AA$4:$AA$153,MATCH(ROWS($A$4:A125),$AF$4:$AF$153,0)),"")</f>
        <v/>
      </c>
      <c r="L125" s="35" t="str">
        <f>IFERROR(INDEX($AB$4:$AB$153,MATCH(ROWS($A$4:A125),$AF$4:$AF$153,0)),"")</f>
        <v/>
      </c>
      <c r="M125" s="35" t="str">
        <f>IFERROR(INDEX($AC$4:$AC$153,MATCH(ROWS($A$4:A125),$AF$4:$AF$153,0)),"")</f>
        <v/>
      </c>
      <c r="N125" s="35" t="str">
        <f>IFERROR(INDEX($AD$4:$AD$153,MATCH(ROWS($A$4:A125),$AF$4:$AF$153,0)),"")</f>
        <v/>
      </c>
      <c r="Q125" t="str">
        <f>T(JAN!B127)</f>
        <v/>
      </c>
      <c r="R125" t="str">
        <f t="array" ref="R125">IF($Q125="","",_xlfn.TEXTJOIN(", ",TRUE,IF(JAN!$G127:$AK127="FL",JAN!$G$4:$AK$4,"")))</f>
        <v/>
      </c>
      <c r="S125" t="str">
        <f t="array" ref="S125">IF($Q125="","",_xlfn.TEXTJOIN(", ",TRUE,IF(FEV!$G127:$AK127="FL",FEV!$G$4:$AK$4,"")))</f>
        <v/>
      </c>
      <c r="T125" t="str">
        <f t="array" ref="T125">IF($Q125="","",_xlfn.TEXTJOIN(", ",TRUE,IF(MAR!$G127:$AK127="FL",MAR!$G$4:$AK$4,"")))</f>
        <v/>
      </c>
      <c r="U125" t="str">
        <f t="array" ref="U125">IF($Q125="","",_xlfn.TEXTJOIN(", ",TRUE,IF(ABR!$G127:$AK127="FL",ABR!$G$4:$AK$4,"")))</f>
        <v/>
      </c>
      <c r="V125" t="str">
        <f t="array" ref="V125">IF($Q125="","",_xlfn.TEXTJOIN(", ",TRUE,IF(MAI!$G127:$AK127="FL",MAI!$G$4:$AK$4,"")))</f>
        <v/>
      </c>
      <c r="W125" t="str">
        <f t="array" ref="W125">IF($Q125="","",_xlfn.TEXTJOIN(", ",TRUE,IF(JUN!$G127:$AK127="FL",JUN!$G$4:$AK$4,"")))</f>
        <v/>
      </c>
      <c r="X125" t="str">
        <f t="array" ref="X125">IF($Q125="","",_xlfn.TEXTJOIN(", ",TRUE,IF(JUL!$G127:$AK127="FL",JUL!$G$4:$AK$4,"")))</f>
        <v/>
      </c>
      <c r="Y125" t="str">
        <f t="array" ref="Y125">IF($Q125="","",_xlfn.TEXTJOIN(", ",TRUE,IF(AGO!$G127:$AK127="FL",AGO!$G$4:$AK$4,"")))</f>
        <v/>
      </c>
      <c r="Z125" t="str">
        <f t="array" ref="Z125">IF($Q125="","",_xlfn.TEXTJOIN(", ",TRUE,IF(SET!$G127:$AK127="FL",SET!$G$4:$AK$4,"")))</f>
        <v/>
      </c>
      <c r="AA125" t="str">
        <f t="array" ref="AA125">IF($Q125="","",_xlfn.TEXTJOIN(", ",TRUE,IF(OUT!$G127:$AK127="FL",OUT!$G$4:$AK$4,"")))</f>
        <v/>
      </c>
      <c r="AB125" t="str">
        <f t="array" ref="AB125">IF($Q125="","",_xlfn.TEXTJOIN(", ",TRUE,IF(NOV!$G127:$AK127="FL",NOV!$G$4:$AK$4,"")))</f>
        <v/>
      </c>
      <c r="AC125" t="str">
        <f t="array" ref="AC125">IF($Q125="","",_xlfn.TEXTJOIN(", ",TRUE,IF(DEZ!$G127:$AK127="FL",DEZ!$G$4:$AK$4,"")))</f>
        <v/>
      </c>
      <c r="AD125" t="str">
        <f>IF($Q125="","",COUNTIF(JAN!$G127:$AK127,"FL")+COUNTIF(FEV!$G127:$AK127,"FL")+COUNTIF(MAR!$G127:$AK127,"FL")+COUNTIF(ABR!$G127:$AK127,"FL")+COUNTIF(MAI!$G127:$AK127,"FL")+COUNTIF(JUN!$G127:$AK127,"FL")+COUNTIF(JUL!$G127:$AK127,"FL")+COUNTIF(AGO!$G127:$AK127,"FL")+COUNTIF(SET!$G127:$AK127,"FL")+COUNTIF(OUT!$G127:$AK127,"FL")+COUNTIF(NOV!$G127:$AK127,"FL")+COUNTIF(DEZ!$G127:$AK127,"FL"))</f>
        <v/>
      </c>
      <c r="AF125" t="str">
        <f>IF(AND($Q125&lt;&gt;"",N($AD125)&gt;0),COUNT($AF$3:AF124)+1,"")</f>
        <v/>
      </c>
    </row>
    <row r="126" spans="1:32" hidden="1" outlineLevel="1" x14ac:dyDescent="0.25">
      <c r="A126" s="36" t="str">
        <f>IFERROR(INDEX($Q$4:$Q$153,MATCH(ROWS($A$4:A126),$AF$4:$AF$153,0)),"")</f>
        <v/>
      </c>
      <c r="B126" s="35" t="str">
        <f>IFERROR(INDEX($R$4:$R$153,MATCH(ROWS($A$4:A126),$AF$4:$AF$153,0)),"")</f>
        <v/>
      </c>
      <c r="C126" s="35" t="str">
        <f>IFERROR(INDEX($S$4:$S$153,MATCH(ROWS($A$4:A126),$AF$4:$AF$153,0)),"")</f>
        <v/>
      </c>
      <c r="D126" s="35" t="str">
        <f>IFERROR(INDEX($T$4:$T$153,MATCH(ROWS($A$4:A126),$AF$4:$AF$153,0)),"")</f>
        <v/>
      </c>
      <c r="E126" s="35" t="str">
        <f>IFERROR(INDEX($U$4:$U$153,MATCH(ROWS($A$4:A126),$AF$4:$AF$153,0)),"")</f>
        <v/>
      </c>
      <c r="F126" s="35" t="str">
        <f>IFERROR(INDEX($V$4:$V$153,MATCH(ROWS($A$4:A126),$AF$4:$AF$153,0)),"")</f>
        <v/>
      </c>
      <c r="G126" s="35" t="str">
        <f>IFERROR(INDEX($W$4:$W$153,MATCH(ROWS($A$4:A126),$AF$4:$AF$153,0)),"")</f>
        <v/>
      </c>
      <c r="H126" s="35" t="str">
        <f>IFERROR(INDEX($X$4:$X$153,MATCH(ROWS($A$4:A126),$AF$4:$AF$153,0)),"")</f>
        <v/>
      </c>
      <c r="I126" s="72" t="str">
        <f>IFERROR(INDEX($Y$4:$Y$153,MATCH(ROWS($A$4:A126),$AF$4:$AF$153,0)),"")</f>
        <v/>
      </c>
      <c r="J126" s="35" t="str">
        <f>IFERROR(INDEX($Z$4:$Z$153,MATCH(ROWS($A$4:A126),$AF$4:$AF$153,0)),"")</f>
        <v/>
      </c>
      <c r="K126" s="35" t="str">
        <f>IFERROR(INDEX($AA$4:$AA$153,MATCH(ROWS($A$4:A126),$AF$4:$AF$153,0)),"")</f>
        <v/>
      </c>
      <c r="L126" s="35" t="str">
        <f>IFERROR(INDEX($AB$4:$AB$153,MATCH(ROWS($A$4:A126),$AF$4:$AF$153,0)),"")</f>
        <v/>
      </c>
      <c r="M126" s="35" t="str">
        <f>IFERROR(INDEX($AC$4:$AC$153,MATCH(ROWS($A$4:A126),$AF$4:$AF$153,0)),"")</f>
        <v/>
      </c>
      <c r="N126" s="35" t="str">
        <f>IFERROR(INDEX($AD$4:$AD$153,MATCH(ROWS($A$4:A126),$AF$4:$AF$153,0)),"")</f>
        <v/>
      </c>
      <c r="Q126" t="str">
        <f>T(JAN!B128)</f>
        <v/>
      </c>
      <c r="R126" t="str">
        <f t="array" ref="R126">IF($Q126="","",_xlfn.TEXTJOIN(", ",TRUE,IF(JAN!$G128:$AK128="FL",JAN!$G$4:$AK$4,"")))</f>
        <v/>
      </c>
      <c r="S126" t="str">
        <f t="array" ref="S126">IF($Q126="","",_xlfn.TEXTJOIN(", ",TRUE,IF(FEV!$G128:$AK128="FL",FEV!$G$4:$AK$4,"")))</f>
        <v/>
      </c>
      <c r="T126" t="str">
        <f t="array" ref="T126">IF($Q126="","",_xlfn.TEXTJOIN(", ",TRUE,IF(MAR!$G128:$AK128="FL",MAR!$G$4:$AK$4,"")))</f>
        <v/>
      </c>
      <c r="U126" t="str">
        <f t="array" ref="U126">IF($Q126="","",_xlfn.TEXTJOIN(", ",TRUE,IF(ABR!$G128:$AK128="FL",ABR!$G$4:$AK$4,"")))</f>
        <v/>
      </c>
      <c r="V126" t="str">
        <f t="array" ref="V126">IF($Q126="","",_xlfn.TEXTJOIN(", ",TRUE,IF(MAI!$G128:$AK128="FL",MAI!$G$4:$AK$4,"")))</f>
        <v/>
      </c>
      <c r="W126" t="str">
        <f t="array" ref="W126">IF($Q126="","",_xlfn.TEXTJOIN(", ",TRUE,IF(JUN!$G128:$AK128="FL",JUN!$G$4:$AK$4,"")))</f>
        <v/>
      </c>
      <c r="X126" t="str">
        <f t="array" ref="X126">IF($Q126="","",_xlfn.TEXTJOIN(", ",TRUE,IF(JUL!$G128:$AK128="FL",JUL!$G$4:$AK$4,"")))</f>
        <v/>
      </c>
      <c r="Y126" t="str">
        <f t="array" ref="Y126">IF($Q126="","",_xlfn.TEXTJOIN(", ",TRUE,IF(AGO!$G128:$AK128="FL",AGO!$G$4:$AK$4,"")))</f>
        <v/>
      </c>
      <c r="Z126" t="str">
        <f t="array" ref="Z126">IF($Q126="","",_xlfn.TEXTJOIN(", ",TRUE,IF(SET!$G128:$AK128="FL",SET!$G$4:$AK$4,"")))</f>
        <v/>
      </c>
      <c r="AA126" t="str">
        <f t="array" ref="AA126">IF($Q126="","",_xlfn.TEXTJOIN(", ",TRUE,IF(OUT!$G128:$AK128="FL",OUT!$G$4:$AK$4,"")))</f>
        <v/>
      </c>
      <c r="AB126" t="str">
        <f t="array" ref="AB126">IF($Q126="","",_xlfn.TEXTJOIN(", ",TRUE,IF(NOV!$G128:$AK128="FL",NOV!$G$4:$AK$4,"")))</f>
        <v/>
      </c>
      <c r="AC126" t="str">
        <f t="array" ref="AC126">IF($Q126="","",_xlfn.TEXTJOIN(", ",TRUE,IF(DEZ!$G128:$AK128="FL",DEZ!$G$4:$AK$4,"")))</f>
        <v/>
      </c>
      <c r="AD126" t="str">
        <f>IF($Q126="","",COUNTIF(JAN!$G128:$AK128,"FL")+COUNTIF(FEV!$G128:$AK128,"FL")+COUNTIF(MAR!$G128:$AK128,"FL")+COUNTIF(ABR!$G128:$AK128,"FL")+COUNTIF(MAI!$G128:$AK128,"FL")+COUNTIF(JUN!$G128:$AK128,"FL")+COUNTIF(JUL!$G128:$AK128,"FL")+COUNTIF(AGO!$G128:$AK128,"FL")+COUNTIF(SET!$G128:$AK128,"FL")+COUNTIF(OUT!$G128:$AK128,"FL")+COUNTIF(NOV!$G128:$AK128,"FL")+COUNTIF(DEZ!$G128:$AK128,"FL"))</f>
        <v/>
      </c>
      <c r="AF126" t="str">
        <f>IF(AND($Q126&lt;&gt;"",N($AD126)&gt;0),COUNT($AF$3:AF125)+1,"")</f>
        <v/>
      </c>
    </row>
    <row r="127" spans="1:32" hidden="1" outlineLevel="1" x14ac:dyDescent="0.25">
      <c r="A127" s="36" t="str">
        <f>IFERROR(INDEX($Q$4:$Q$153,MATCH(ROWS($A$4:A127),$AF$4:$AF$153,0)),"")</f>
        <v/>
      </c>
      <c r="B127" s="35" t="str">
        <f>IFERROR(INDEX($R$4:$R$153,MATCH(ROWS($A$4:A127),$AF$4:$AF$153,0)),"")</f>
        <v/>
      </c>
      <c r="C127" s="35" t="str">
        <f>IFERROR(INDEX($S$4:$S$153,MATCH(ROWS($A$4:A127),$AF$4:$AF$153,0)),"")</f>
        <v/>
      </c>
      <c r="D127" s="35" t="str">
        <f>IFERROR(INDEX($T$4:$T$153,MATCH(ROWS($A$4:A127),$AF$4:$AF$153,0)),"")</f>
        <v/>
      </c>
      <c r="E127" s="35" t="str">
        <f>IFERROR(INDEX($U$4:$U$153,MATCH(ROWS($A$4:A127),$AF$4:$AF$153,0)),"")</f>
        <v/>
      </c>
      <c r="F127" s="35" t="str">
        <f>IFERROR(INDEX($V$4:$V$153,MATCH(ROWS($A$4:A127),$AF$4:$AF$153,0)),"")</f>
        <v/>
      </c>
      <c r="G127" s="35" t="str">
        <f>IFERROR(INDEX($W$4:$W$153,MATCH(ROWS($A$4:A127),$AF$4:$AF$153,0)),"")</f>
        <v/>
      </c>
      <c r="H127" s="35" t="str">
        <f>IFERROR(INDEX($X$4:$X$153,MATCH(ROWS($A$4:A127),$AF$4:$AF$153,0)),"")</f>
        <v/>
      </c>
      <c r="I127" s="72" t="str">
        <f>IFERROR(INDEX($Y$4:$Y$153,MATCH(ROWS($A$4:A127),$AF$4:$AF$153,0)),"")</f>
        <v/>
      </c>
      <c r="J127" s="35" t="str">
        <f>IFERROR(INDEX($Z$4:$Z$153,MATCH(ROWS($A$4:A127),$AF$4:$AF$153,0)),"")</f>
        <v/>
      </c>
      <c r="K127" s="35" t="str">
        <f>IFERROR(INDEX($AA$4:$AA$153,MATCH(ROWS($A$4:A127),$AF$4:$AF$153,0)),"")</f>
        <v/>
      </c>
      <c r="L127" s="35" t="str">
        <f>IFERROR(INDEX($AB$4:$AB$153,MATCH(ROWS($A$4:A127),$AF$4:$AF$153,0)),"")</f>
        <v/>
      </c>
      <c r="M127" s="35" t="str">
        <f>IFERROR(INDEX($AC$4:$AC$153,MATCH(ROWS($A$4:A127),$AF$4:$AF$153,0)),"")</f>
        <v/>
      </c>
      <c r="N127" s="35" t="str">
        <f>IFERROR(INDEX($AD$4:$AD$153,MATCH(ROWS($A$4:A127),$AF$4:$AF$153,0)),"")</f>
        <v/>
      </c>
      <c r="Q127" t="str">
        <f>T(JAN!B129)</f>
        <v/>
      </c>
      <c r="R127" t="str">
        <f t="array" ref="R127">IF($Q127="","",_xlfn.TEXTJOIN(", ",TRUE,IF(JAN!$G129:$AK129="FL",JAN!$G$4:$AK$4,"")))</f>
        <v/>
      </c>
      <c r="S127" t="str">
        <f t="array" ref="S127">IF($Q127="","",_xlfn.TEXTJOIN(", ",TRUE,IF(FEV!$G129:$AK129="FL",FEV!$G$4:$AK$4,"")))</f>
        <v/>
      </c>
      <c r="T127" t="str">
        <f t="array" ref="T127">IF($Q127="","",_xlfn.TEXTJOIN(", ",TRUE,IF(MAR!$G129:$AK129="FL",MAR!$G$4:$AK$4,"")))</f>
        <v/>
      </c>
      <c r="U127" t="str">
        <f t="array" ref="U127">IF($Q127="","",_xlfn.TEXTJOIN(", ",TRUE,IF(ABR!$G129:$AK129="FL",ABR!$G$4:$AK$4,"")))</f>
        <v/>
      </c>
      <c r="V127" t="str">
        <f t="array" ref="V127">IF($Q127="","",_xlfn.TEXTJOIN(", ",TRUE,IF(MAI!$G129:$AK129="FL",MAI!$G$4:$AK$4,"")))</f>
        <v/>
      </c>
      <c r="W127" t="str">
        <f t="array" ref="W127">IF($Q127="","",_xlfn.TEXTJOIN(", ",TRUE,IF(JUN!$G129:$AK129="FL",JUN!$G$4:$AK$4,"")))</f>
        <v/>
      </c>
      <c r="X127" t="str">
        <f t="array" ref="X127">IF($Q127="","",_xlfn.TEXTJOIN(", ",TRUE,IF(JUL!$G129:$AK129="FL",JUL!$G$4:$AK$4,"")))</f>
        <v/>
      </c>
      <c r="Y127" t="str">
        <f t="array" ref="Y127">IF($Q127="","",_xlfn.TEXTJOIN(", ",TRUE,IF(AGO!$G129:$AK129="FL",AGO!$G$4:$AK$4,"")))</f>
        <v/>
      </c>
      <c r="Z127" t="str">
        <f t="array" ref="Z127">IF($Q127="","",_xlfn.TEXTJOIN(", ",TRUE,IF(SET!$G129:$AK129="FL",SET!$G$4:$AK$4,"")))</f>
        <v/>
      </c>
      <c r="AA127" t="str">
        <f t="array" ref="AA127">IF($Q127="","",_xlfn.TEXTJOIN(", ",TRUE,IF(OUT!$G129:$AK129="FL",OUT!$G$4:$AK$4,"")))</f>
        <v/>
      </c>
      <c r="AB127" t="str">
        <f t="array" ref="AB127">IF($Q127="","",_xlfn.TEXTJOIN(", ",TRUE,IF(NOV!$G129:$AK129="FL",NOV!$G$4:$AK$4,"")))</f>
        <v/>
      </c>
      <c r="AC127" t="str">
        <f t="array" ref="AC127">IF($Q127="","",_xlfn.TEXTJOIN(", ",TRUE,IF(DEZ!$G129:$AK129="FL",DEZ!$G$4:$AK$4,"")))</f>
        <v/>
      </c>
      <c r="AD127" t="str">
        <f>IF($Q127="","",COUNTIF(JAN!$G129:$AK129,"FL")+COUNTIF(FEV!$G129:$AK129,"FL")+COUNTIF(MAR!$G129:$AK129,"FL")+COUNTIF(ABR!$G129:$AK129,"FL")+COUNTIF(MAI!$G129:$AK129,"FL")+COUNTIF(JUN!$G129:$AK129,"FL")+COUNTIF(JUL!$G129:$AK129,"FL")+COUNTIF(AGO!$G129:$AK129,"FL")+COUNTIF(SET!$G129:$AK129,"FL")+COUNTIF(OUT!$G129:$AK129,"FL")+COUNTIF(NOV!$G129:$AK129,"FL")+COUNTIF(DEZ!$G129:$AK129,"FL"))</f>
        <v/>
      </c>
      <c r="AF127" t="str">
        <f>IF(AND($Q127&lt;&gt;"",N($AD127)&gt;0),COUNT($AF$3:AF126)+1,"")</f>
        <v/>
      </c>
    </row>
    <row r="128" spans="1:32" hidden="1" outlineLevel="1" x14ac:dyDescent="0.25">
      <c r="A128" s="36" t="str">
        <f>IFERROR(INDEX($Q$4:$Q$153,MATCH(ROWS($A$4:A128),$AF$4:$AF$153,0)),"")</f>
        <v/>
      </c>
      <c r="B128" s="35" t="str">
        <f>IFERROR(INDEX($R$4:$R$153,MATCH(ROWS($A$4:A128),$AF$4:$AF$153,0)),"")</f>
        <v/>
      </c>
      <c r="C128" s="35" t="str">
        <f>IFERROR(INDEX($S$4:$S$153,MATCH(ROWS($A$4:A128),$AF$4:$AF$153,0)),"")</f>
        <v/>
      </c>
      <c r="D128" s="35" t="str">
        <f>IFERROR(INDEX($T$4:$T$153,MATCH(ROWS($A$4:A128),$AF$4:$AF$153,0)),"")</f>
        <v/>
      </c>
      <c r="E128" s="35" t="str">
        <f>IFERROR(INDEX($U$4:$U$153,MATCH(ROWS($A$4:A128),$AF$4:$AF$153,0)),"")</f>
        <v/>
      </c>
      <c r="F128" s="35" t="str">
        <f>IFERROR(INDEX($V$4:$V$153,MATCH(ROWS($A$4:A128),$AF$4:$AF$153,0)),"")</f>
        <v/>
      </c>
      <c r="G128" s="35" t="str">
        <f>IFERROR(INDEX($W$4:$W$153,MATCH(ROWS($A$4:A128),$AF$4:$AF$153,0)),"")</f>
        <v/>
      </c>
      <c r="H128" s="35" t="str">
        <f>IFERROR(INDEX($X$4:$X$153,MATCH(ROWS($A$4:A128),$AF$4:$AF$153,0)),"")</f>
        <v/>
      </c>
      <c r="I128" s="72" t="str">
        <f>IFERROR(INDEX($Y$4:$Y$153,MATCH(ROWS($A$4:A128),$AF$4:$AF$153,0)),"")</f>
        <v/>
      </c>
      <c r="J128" s="35" t="str">
        <f>IFERROR(INDEX($Z$4:$Z$153,MATCH(ROWS($A$4:A128),$AF$4:$AF$153,0)),"")</f>
        <v/>
      </c>
      <c r="K128" s="35" t="str">
        <f>IFERROR(INDEX($AA$4:$AA$153,MATCH(ROWS($A$4:A128),$AF$4:$AF$153,0)),"")</f>
        <v/>
      </c>
      <c r="L128" s="35" t="str">
        <f>IFERROR(INDEX($AB$4:$AB$153,MATCH(ROWS($A$4:A128),$AF$4:$AF$153,0)),"")</f>
        <v/>
      </c>
      <c r="M128" s="35" t="str">
        <f>IFERROR(INDEX($AC$4:$AC$153,MATCH(ROWS($A$4:A128),$AF$4:$AF$153,0)),"")</f>
        <v/>
      </c>
      <c r="N128" s="35" t="str">
        <f>IFERROR(INDEX($AD$4:$AD$153,MATCH(ROWS($A$4:A128),$AF$4:$AF$153,0)),"")</f>
        <v/>
      </c>
      <c r="Q128" t="str">
        <f>T(JAN!B130)</f>
        <v/>
      </c>
      <c r="R128" t="str">
        <f t="array" ref="R128">IF($Q128="","",_xlfn.TEXTJOIN(", ",TRUE,IF(JAN!$G130:$AK130="FL",JAN!$G$4:$AK$4,"")))</f>
        <v/>
      </c>
      <c r="S128" t="str">
        <f t="array" ref="S128">IF($Q128="","",_xlfn.TEXTJOIN(", ",TRUE,IF(FEV!$G130:$AK130="FL",FEV!$G$4:$AK$4,"")))</f>
        <v/>
      </c>
      <c r="T128" t="str">
        <f t="array" ref="T128">IF($Q128="","",_xlfn.TEXTJOIN(", ",TRUE,IF(MAR!$G130:$AK130="FL",MAR!$G$4:$AK$4,"")))</f>
        <v/>
      </c>
      <c r="U128" t="str">
        <f t="array" ref="U128">IF($Q128="","",_xlfn.TEXTJOIN(", ",TRUE,IF(ABR!$G130:$AK130="FL",ABR!$G$4:$AK$4,"")))</f>
        <v/>
      </c>
      <c r="V128" t="str">
        <f t="array" ref="V128">IF($Q128="","",_xlfn.TEXTJOIN(", ",TRUE,IF(MAI!$G130:$AK130="FL",MAI!$G$4:$AK$4,"")))</f>
        <v/>
      </c>
      <c r="W128" t="str">
        <f t="array" ref="W128">IF($Q128="","",_xlfn.TEXTJOIN(", ",TRUE,IF(JUN!$G130:$AK130="FL",JUN!$G$4:$AK$4,"")))</f>
        <v/>
      </c>
      <c r="X128" t="str">
        <f t="array" ref="X128">IF($Q128="","",_xlfn.TEXTJOIN(", ",TRUE,IF(JUL!$G130:$AK130="FL",JUL!$G$4:$AK$4,"")))</f>
        <v/>
      </c>
      <c r="Y128" t="str">
        <f t="array" ref="Y128">IF($Q128="","",_xlfn.TEXTJOIN(", ",TRUE,IF(AGO!$G130:$AK130="FL",AGO!$G$4:$AK$4,"")))</f>
        <v/>
      </c>
      <c r="Z128" t="str">
        <f t="array" ref="Z128">IF($Q128="","",_xlfn.TEXTJOIN(", ",TRUE,IF(SET!$G130:$AK130="FL",SET!$G$4:$AK$4,"")))</f>
        <v/>
      </c>
      <c r="AA128" t="str">
        <f t="array" ref="AA128">IF($Q128="","",_xlfn.TEXTJOIN(", ",TRUE,IF(OUT!$G130:$AK130="FL",OUT!$G$4:$AK$4,"")))</f>
        <v/>
      </c>
      <c r="AB128" t="str">
        <f t="array" ref="AB128">IF($Q128="","",_xlfn.TEXTJOIN(", ",TRUE,IF(NOV!$G130:$AK130="FL",NOV!$G$4:$AK$4,"")))</f>
        <v/>
      </c>
      <c r="AC128" t="str">
        <f t="array" ref="AC128">IF($Q128="","",_xlfn.TEXTJOIN(", ",TRUE,IF(DEZ!$G130:$AK130="FL",DEZ!$G$4:$AK$4,"")))</f>
        <v/>
      </c>
      <c r="AD128" t="str">
        <f>IF($Q128="","",COUNTIF(JAN!$G130:$AK130,"FL")+COUNTIF(FEV!$G130:$AK130,"FL")+COUNTIF(MAR!$G130:$AK130,"FL")+COUNTIF(ABR!$G130:$AK130,"FL")+COUNTIF(MAI!$G130:$AK130,"FL")+COUNTIF(JUN!$G130:$AK130,"FL")+COUNTIF(JUL!$G130:$AK130,"FL")+COUNTIF(AGO!$G130:$AK130,"FL")+COUNTIF(SET!$G130:$AK130,"FL")+COUNTIF(OUT!$G130:$AK130,"FL")+COUNTIF(NOV!$G130:$AK130,"FL")+COUNTIF(DEZ!$G130:$AK130,"FL"))</f>
        <v/>
      </c>
      <c r="AF128" t="str">
        <f>IF(AND($Q128&lt;&gt;"",N($AD128)&gt;0),COUNT($AF$3:AF127)+1,"")</f>
        <v/>
      </c>
    </row>
    <row r="129" spans="1:32" hidden="1" outlineLevel="1" x14ac:dyDescent="0.25">
      <c r="A129" s="36" t="str">
        <f>IFERROR(INDEX($Q$4:$Q$153,MATCH(ROWS($A$4:A129),$AF$4:$AF$153,0)),"")</f>
        <v/>
      </c>
      <c r="B129" s="35" t="str">
        <f>IFERROR(INDEX($R$4:$R$153,MATCH(ROWS($A$4:A129),$AF$4:$AF$153,0)),"")</f>
        <v/>
      </c>
      <c r="C129" s="35" t="str">
        <f>IFERROR(INDEX($S$4:$S$153,MATCH(ROWS($A$4:A129),$AF$4:$AF$153,0)),"")</f>
        <v/>
      </c>
      <c r="D129" s="35" t="str">
        <f>IFERROR(INDEX($T$4:$T$153,MATCH(ROWS($A$4:A129),$AF$4:$AF$153,0)),"")</f>
        <v/>
      </c>
      <c r="E129" s="35" t="str">
        <f>IFERROR(INDEX($U$4:$U$153,MATCH(ROWS($A$4:A129),$AF$4:$AF$153,0)),"")</f>
        <v/>
      </c>
      <c r="F129" s="35" t="str">
        <f>IFERROR(INDEX($V$4:$V$153,MATCH(ROWS($A$4:A129),$AF$4:$AF$153,0)),"")</f>
        <v/>
      </c>
      <c r="G129" s="35" t="str">
        <f>IFERROR(INDEX($W$4:$W$153,MATCH(ROWS($A$4:A129),$AF$4:$AF$153,0)),"")</f>
        <v/>
      </c>
      <c r="H129" s="35" t="str">
        <f>IFERROR(INDEX($X$4:$X$153,MATCH(ROWS($A$4:A129),$AF$4:$AF$153,0)),"")</f>
        <v/>
      </c>
      <c r="I129" s="72" t="str">
        <f>IFERROR(INDEX($Y$4:$Y$153,MATCH(ROWS($A$4:A129),$AF$4:$AF$153,0)),"")</f>
        <v/>
      </c>
      <c r="J129" s="35" t="str">
        <f>IFERROR(INDEX($Z$4:$Z$153,MATCH(ROWS($A$4:A129),$AF$4:$AF$153,0)),"")</f>
        <v/>
      </c>
      <c r="K129" s="35" t="str">
        <f>IFERROR(INDEX($AA$4:$AA$153,MATCH(ROWS($A$4:A129),$AF$4:$AF$153,0)),"")</f>
        <v/>
      </c>
      <c r="L129" s="35" t="str">
        <f>IFERROR(INDEX($AB$4:$AB$153,MATCH(ROWS($A$4:A129),$AF$4:$AF$153,0)),"")</f>
        <v/>
      </c>
      <c r="M129" s="35" t="str">
        <f>IFERROR(INDEX($AC$4:$AC$153,MATCH(ROWS($A$4:A129),$AF$4:$AF$153,0)),"")</f>
        <v/>
      </c>
      <c r="N129" s="35" t="str">
        <f>IFERROR(INDEX($AD$4:$AD$153,MATCH(ROWS($A$4:A129),$AF$4:$AF$153,0)),"")</f>
        <v/>
      </c>
      <c r="Q129" t="str">
        <f>T(JAN!B131)</f>
        <v/>
      </c>
      <c r="R129" t="str">
        <f t="array" ref="R129">IF($Q129="","",_xlfn.TEXTJOIN(", ",TRUE,IF(JAN!$G131:$AK131="FL",JAN!$G$4:$AK$4,"")))</f>
        <v/>
      </c>
      <c r="S129" t="str">
        <f t="array" ref="S129">IF($Q129="","",_xlfn.TEXTJOIN(", ",TRUE,IF(FEV!$G131:$AK131="FL",FEV!$G$4:$AK$4,"")))</f>
        <v/>
      </c>
      <c r="T129" t="str">
        <f t="array" ref="T129">IF($Q129="","",_xlfn.TEXTJOIN(", ",TRUE,IF(MAR!$G131:$AK131="FL",MAR!$G$4:$AK$4,"")))</f>
        <v/>
      </c>
      <c r="U129" t="str">
        <f t="array" ref="U129">IF($Q129="","",_xlfn.TEXTJOIN(", ",TRUE,IF(ABR!$G131:$AK131="FL",ABR!$G$4:$AK$4,"")))</f>
        <v/>
      </c>
      <c r="V129" t="str">
        <f t="array" ref="V129">IF($Q129="","",_xlfn.TEXTJOIN(", ",TRUE,IF(MAI!$G131:$AK131="FL",MAI!$G$4:$AK$4,"")))</f>
        <v/>
      </c>
      <c r="W129" t="str">
        <f t="array" ref="W129">IF($Q129="","",_xlfn.TEXTJOIN(", ",TRUE,IF(JUN!$G131:$AK131="FL",JUN!$G$4:$AK$4,"")))</f>
        <v/>
      </c>
      <c r="X129" t="str">
        <f t="array" ref="X129">IF($Q129="","",_xlfn.TEXTJOIN(", ",TRUE,IF(JUL!$G131:$AK131="FL",JUL!$G$4:$AK$4,"")))</f>
        <v/>
      </c>
      <c r="Y129" t="str">
        <f t="array" ref="Y129">IF($Q129="","",_xlfn.TEXTJOIN(", ",TRUE,IF(AGO!$G131:$AK131="FL",AGO!$G$4:$AK$4,"")))</f>
        <v/>
      </c>
      <c r="Z129" t="str">
        <f t="array" ref="Z129">IF($Q129="","",_xlfn.TEXTJOIN(", ",TRUE,IF(SET!$G131:$AK131="FL",SET!$G$4:$AK$4,"")))</f>
        <v/>
      </c>
      <c r="AA129" t="str">
        <f t="array" ref="AA129">IF($Q129="","",_xlfn.TEXTJOIN(", ",TRUE,IF(OUT!$G131:$AK131="FL",OUT!$G$4:$AK$4,"")))</f>
        <v/>
      </c>
      <c r="AB129" t="str">
        <f t="array" ref="AB129">IF($Q129="","",_xlfn.TEXTJOIN(", ",TRUE,IF(NOV!$G131:$AK131="FL",NOV!$G$4:$AK$4,"")))</f>
        <v/>
      </c>
      <c r="AC129" t="str">
        <f t="array" ref="AC129">IF($Q129="","",_xlfn.TEXTJOIN(", ",TRUE,IF(DEZ!$G131:$AK131="FL",DEZ!$G$4:$AK$4,"")))</f>
        <v/>
      </c>
      <c r="AD129" t="str">
        <f>IF($Q129="","",COUNTIF(JAN!$G131:$AK131,"FL")+COUNTIF(FEV!$G131:$AK131,"FL")+COUNTIF(MAR!$G131:$AK131,"FL")+COUNTIF(ABR!$G131:$AK131,"FL")+COUNTIF(MAI!$G131:$AK131,"FL")+COUNTIF(JUN!$G131:$AK131,"FL")+COUNTIF(JUL!$G131:$AK131,"FL")+COUNTIF(AGO!$G131:$AK131,"FL")+COUNTIF(SET!$G131:$AK131,"FL")+COUNTIF(OUT!$G131:$AK131,"FL")+COUNTIF(NOV!$G131:$AK131,"FL")+COUNTIF(DEZ!$G131:$AK131,"FL"))</f>
        <v/>
      </c>
      <c r="AF129" t="str">
        <f>IF(AND($Q129&lt;&gt;"",N($AD129)&gt;0),COUNT($AF$3:AF128)+1,"")</f>
        <v/>
      </c>
    </row>
    <row r="130" spans="1:32" hidden="1" outlineLevel="1" x14ac:dyDescent="0.25">
      <c r="A130" s="36" t="str">
        <f>IFERROR(INDEX($Q$4:$Q$153,MATCH(ROWS($A$4:A130),$AF$4:$AF$153,0)),"")</f>
        <v/>
      </c>
      <c r="B130" s="35" t="str">
        <f>IFERROR(INDEX($R$4:$R$153,MATCH(ROWS($A$4:A130),$AF$4:$AF$153,0)),"")</f>
        <v/>
      </c>
      <c r="C130" s="35" t="str">
        <f>IFERROR(INDEX($S$4:$S$153,MATCH(ROWS($A$4:A130),$AF$4:$AF$153,0)),"")</f>
        <v/>
      </c>
      <c r="D130" s="35" t="str">
        <f>IFERROR(INDEX($T$4:$T$153,MATCH(ROWS($A$4:A130),$AF$4:$AF$153,0)),"")</f>
        <v/>
      </c>
      <c r="E130" s="35" t="str">
        <f>IFERROR(INDEX($U$4:$U$153,MATCH(ROWS($A$4:A130),$AF$4:$AF$153,0)),"")</f>
        <v/>
      </c>
      <c r="F130" s="35" t="str">
        <f>IFERROR(INDEX($V$4:$V$153,MATCH(ROWS($A$4:A130),$AF$4:$AF$153,0)),"")</f>
        <v/>
      </c>
      <c r="G130" s="35" t="str">
        <f>IFERROR(INDEX($W$4:$W$153,MATCH(ROWS($A$4:A130),$AF$4:$AF$153,0)),"")</f>
        <v/>
      </c>
      <c r="H130" s="35" t="str">
        <f>IFERROR(INDEX($X$4:$X$153,MATCH(ROWS($A$4:A130),$AF$4:$AF$153,0)),"")</f>
        <v/>
      </c>
      <c r="I130" s="72" t="str">
        <f>IFERROR(INDEX($Y$4:$Y$153,MATCH(ROWS($A$4:A130),$AF$4:$AF$153,0)),"")</f>
        <v/>
      </c>
      <c r="J130" s="35" t="str">
        <f>IFERROR(INDEX($Z$4:$Z$153,MATCH(ROWS($A$4:A130),$AF$4:$AF$153,0)),"")</f>
        <v/>
      </c>
      <c r="K130" s="35" t="str">
        <f>IFERROR(INDEX($AA$4:$AA$153,MATCH(ROWS($A$4:A130),$AF$4:$AF$153,0)),"")</f>
        <v/>
      </c>
      <c r="L130" s="35" t="str">
        <f>IFERROR(INDEX($AB$4:$AB$153,MATCH(ROWS($A$4:A130),$AF$4:$AF$153,0)),"")</f>
        <v/>
      </c>
      <c r="M130" s="35" t="str">
        <f>IFERROR(INDEX($AC$4:$AC$153,MATCH(ROWS($A$4:A130),$AF$4:$AF$153,0)),"")</f>
        <v/>
      </c>
      <c r="N130" s="35" t="str">
        <f>IFERROR(INDEX($AD$4:$AD$153,MATCH(ROWS($A$4:A130),$AF$4:$AF$153,0)),"")</f>
        <v/>
      </c>
      <c r="Q130" t="str">
        <f>T(JAN!B132)</f>
        <v/>
      </c>
      <c r="R130" t="str">
        <f t="array" ref="R130">IF($Q130="","",_xlfn.TEXTJOIN(", ",TRUE,IF(JAN!$G132:$AK132="FL",JAN!$G$4:$AK$4,"")))</f>
        <v/>
      </c>
      <c r="S130" t="str">
        <f t="array" ref="S130">IF($Q130="","",_xlfn.TEXTJOIN(", ",TRUE,IF(FEV!$G132:$AK132="FL",FEV!$G$4:$AK$4,"")))</f>
        <v/>
      </c>
      <c r="T130" t="str">
        <f t="array" ref="T130">IF($Q130="","",_xlfn.TEXTJOIN(", ",TRUE,IF(MAR!$G132:$AK132="FL",MAR!$G$4:$AK$4,"")))</f>
        <v/>
      </c>
      <c r="U130" t="str">
        <f t="array" ref="U130">IF($Q130="","",_xlfn.TEXTJOIN(", ",TRUE,IF(ABR!$G132:$AK132="FL",ABR!$G$4:$AK$4,"")))</f>
        <v/>
      </c>
      <c r="V130" t="str">
        <f t="array" ref="V130">IF($Q130="","",_xlfn.TEXTJOIN(", ",TRUE,IF(MAI!$G132:$AK132="FL",MAI!$G$4:$AK$4,"")))</f>
        <v/>
      </c>
      <c r="W130" t="str">
        <f t="array" ref="W130">IF($Q130="","",_xlfn.TEXTJOIN(", ",TRUE,IF(JUN!$G132:$AK132="FL",JUN!$G$4:$AK$4,"")))</f>
        <v/>
      </c>
      <c r="X130" t="str">
        <f t="array" ref="X130">IF($Q130="","",_xlfn.TEXTJOIN(", ",TRUE,IF(JUL!$G132:$AK132="FL",JUL!$G$4:$AK$4,"")))</f>
        <v/>
      </c>
      <c r="Y130" t="str">
        <f t="array" ref="Y130">IF($Q130="","",_xlfn.TEXTJOIN(", ",TRUE,IF(AGO!$G132:$AK132="FL",AGO!$G$4:$AK$4,"")))</f>
        <v/>
      </c>
      <c r="Z130" t="str">
        <f t="array" ref="Z130">IF($Q130="","",_xlfn.TEXTJOIN(", ",TRUE,IF(SET!$G132:$AK132="FL",SET!$G$4:$AK$4,"")))</f>
        <v/>
      </c>
      <c r="AA130" t="str">
        <f t="array" ref="AA130">IF($Q130="","",_xlfn.TEXTJOIN(", ",TRUE,IF(OUT!$G132:$AK132="FL",OUT!$G$4:$AK$4,"")))</f>
        <v/>
      </c>
      <c r="AB130" t="str">
        <f t="array" ref="AB130">IF($Q130="","",_xlfn.TEXTJOIN(", ",TRUE,IF(NOV!$G132:$AK132="FL",NOV!$G$4:$AK$4,"")))</f>
        <v/>
      </c>
      <c r="AC130" t="str">
        <f t="array" ref="AC130">IF($Q130="","",_xlfn.TEXTJOIN(", ",TRUE,IF(DEZ!$G132:$AK132="FL",DEZ!$G$4:$AK$4,"")))</f>
        <v/>
      </c>
      <c r="AD130" t="str">
        <f>IF($Q130="","",COUNTIF(JAN!$G132:$AK132,"FL")+COUNTIF(FEV!$G132:$AK132,"FL")+COUNTIF(MAR!$G132:$AK132,"FL")+COUNTIF(ABR!$G132:$AK132,"FL")+COUNTIF(MAI!$G132:$AK132,"FL")+COUNTIF(JUN!$G132:$AK132,"FL")+COUNTIF(JUL!$G132:$AK132,"FL")+COUNTIF(AGO!$G132:$AK132,"FL")+COUNTIF(SET!$G132:$AK132,"FL")+COUNTIF(OUT!$G132:$AK132,"FL")+COUNTIF(NOV!$G132:$AK132,"FL")+COUNTIF(DEZ!$G132:$AK132,"FL"))</f>
        <v/>
      </c>
      <c r="AF130" t="str">
        <f>IF(AND($Q130&lt;&gt;"",N($AD130)&gt;0),COUNT($AF$3:AF129)+1,"")</f>
        <v/>
      </c>
    </row>
    <row r="131" spans="1:32" hidden="1" outlineLevel="1" x14ac:dyDescent="0.25">
      <c r="A131" s="36" t="str">
        <f>IFERROR(INDEX($Q$4:$Q$153,MATCH(ROWS($A$4:A131),$AF$4:$AF$153,0)),"")</f>
        <v/>
      </c>
      <c r="B131" s="35" t="str">
        <f>IFERROR(INDEX($R$4:$R$153,MATCH(ROWS($A$4:A131),$AF$4:$AF$153,0)),"")</f>
        <v/>
      </c>
      <c r="C131" s="35" t="str">
        <f>IFERROR(INDEX($S$4:$S$153,MATCH(ROWS($A$4:A131),$AF$4:$AF$153,0)),"")</f>
        <v/>
      </c>
      <c r="D131" s="35" t="str">
        <f>IFERROR(INDEX($T$4:$T$153,MATCH(ROWS($A$4:A131),$AF$4:$AF$153,0)),"")</f>
        <v/>
      </c>
      <c r="E131" s="35" t="str">
        <f>IFERROR(INDEX($U$4:$U$153,MATCH(ROWS($A$4:A131),$AF$4:$AF$153,0)),"")</f>
        <v/>
      </c>
      <c r="F131" s="35" t="str">
        <f>IFERROR(INDEX($V$4:$V$153,MATCH(ROWS($A$4:A131),$AF$4:$AF$153,0)),"")</f>
        <v/>
      </c>
      <c r="G131" s="35" t="str">
        <f>IFERROR(INDEX($W$4:$W$153,MATCH(ROWS($A$4:A131),$AF$4:$AF$153,0)),"")</f>
        <v/>
      </c>
      <c r="H131" s="35" t="str">
        <f>IFERROR(INDEX($X$4:$X$153,MATCH(ROWS($A$4:A131),$AF$4:$AF$153,0)),"")</f>
        <v/>
      </c>
      <c r="I131" s="72" t="str">
        <f>IFERROR(INDEX($Y$4:$Y$153,MATCH(ROWS($A$4:A131),$AF$4:$AF$153,0)),"")</f>
        <v/>
      </c>
      <c r="J131" s="35" t="str">
        <f>IFERROR(INDEX($Z$4:$Z$153,MATCH(ROWS($A$4:A131),$AF$4:$AF$153,0)),"")</f>
        <v/>
      </c>
      <c r="K131" s="35" t="str">
        <f>IFERROR(INDEX($AA$4:$AA$153,MATCH(ROWS($A$4:A131),$AF$4:$AF$153,0)),"")</f>
        <v/>
      </c>
      <c r="L131" s="35" t="str">
        <f>IFERROR(INDEX($AB$4:$AB$153,MATCH(ROWS($A$4:A131),$AF$4:$AF$153,0)),"")</f>
        <v/>
      </c>
      <c r="M131" s="35" t="str">
        <f>IFERROR(INDEX($AC$4:$AC$153,MATCH(ROWS($A$4:A131),$AF$4:$AF$153,0)),"")</f>
        <v/>
      </c>
      <c r="N131" s="35" t="str">
        <f>IFERROR(INDEX($AD$4:$AD$153,MATCH(ROWS($A$4:A131),$AF$4:$AF$153,0)),"")</f>
        <v/>
      </c>
      <c r="Q131" t="str">
        <f>T(JAN!B133)</f>
        <v/>
      </c>
      <c r="R131" t="str">
        <f t="array" ref="R131">IF($Q131="","",_xlfn.TEXTJOIN(", ",TRUE,IF(JAN!$G133:$AK133="FL",JAN!$G$4:$AK$4,"")))</f>
        <v/>
      </c>
      <c r="S131" t="str">
        <f t="array" ref="S131">IF($Q131="","",_xlfn.TEXTJOIN(", ",TRUE,IF(FEV!$G133:$AK133="FL",FEV!$G$4:$AK$4,"")))</f>
        <v/>
      </c>
      <c r="T131" t="str">
        <f t="array" ref="T131">IF($Q131="","",_xlfn.TEXTJOIN(", ",TRUE,IF(MAR!$G133:$AK133="FL",MAR!$G$4:$AK$4,"")))</f>
        <v/>
      </c>
      <c r="U131" t="str">
        <f t="array" ref="U131">IF($Q131="","",_xlfn.TEXTJOIN(", ",TRUE,IF(ABR!$G133:$AK133="FL",ABR!$G$4:$AK$4,"")))</f>
        <v/>
      </c>
      <c r="V131" t="str">
        <f t="array" ref="V131">IF($Q131="","",_xlfn.TEXTJOIN(", ",TRUE,IF(MAI!$G133:$AK133="FL",MAI!$G$4:$AK$4,"")))</f>
        <v/>
      </c>
      <c r="W131" t="str">
        <f t="array" ref="W131">IF($Q131="","",_xlfn.TEXTJOIN(", ",TRUE,IF(JUN!$G133:$AK133="FL",JUN!$G$4:$AK$4,"")))</f>
        <v/>
      </c>
      <c r="X131" t="str">
        <f t="array" ref="X131">IF($Q131="","",_xlfn.TEXTJOIN(", ",TRUE,IF(JUL!$G133:$AK133="FL",JUL!$G$4:$AK$4,"")))</f>
        <v/>
      </c>
      <c r="Y131" t="str">
        <f t="array" ref="Y131">IF($Q131="","",_xlfn.TEXTJOIN(", ",TRUE,IF(AGO!$G133:$AK133="FL",AGO!$G$4:$AK$4,"")))</f>
        <v/>
      </c>
      <c r="Z131" t="str">
        <f t="array" ref="Z131">IF($Q131="","",_xlfn.TEXTJOIN(", ",TRUE,IF(SET!$G133:$AK133="FL",SET!$G$4:$AK$4,"")))</f>
        <v/>
      </c>
      <c r="AA131" t="str">
        <f t="array" ref="AA131">IF($Q131="","",_xlfn.TEXTJOIN(", ",TRUE,IF(OUT!$G133:$AK133="FL",OUT!$G$4:$AK$4,"")))</f>
        <v/>
      </c>
      <c r="AB131" t="str">
        <f t="array" ref="AB131">IF($Q131="","",_xlfn.TEXTJOIN(", ",TRUE,IF(NOV!$G133:$AK133="FL",NOV!$G$4:$AK$4,"")))</f>
        <v/>
      </c>
      <c r="AC131" t="str">
        <f t="array" ref="AC131">IF($Q131="","",_xlfn.TEXTJOIN(", ",TRUE,IF(DEZ!$G133:$AK133="FL",DEZ!$G$4:$AK$4,"")))</f>
        <v/>
      </c>
      <c r="AD131" t="str">
        <f>IF($Q131="","",COUNTIF(JAN!$G133:$AK133,"FL")+COUNTIF(FEV!$G133:$AK133,"FL")+COUNTIF(MAR!$G133:$AK133,"FL")+COUNTIF(ABR!$G133:$AK133,"FL")+COUNTIF(MAI!$G133:$AK133,"FL")+COUNTIF(JUN!$G133:$AK133,"FL")+COUNTIF(JUL!$G133:$AK133,"FL")+COUNTIF(AGO!$G133:$AK133,"FL")+COUNTIF(SET!$G133:$AK133,"FL")+COUNTIF(OUT!$G133:$AK133,"FL")+COUNTIF(NOV!$G133:$AK133,"FL")+COUNTIF(DEZ!$G133:$AK133,"FL"))</f>
        <v/>
      </c>
      <c r="AF131" t="str">
        <f>IF(AND($Q131&lt;&gt;"",N($AD131)&gt;0),COUNT($AF$3:AF130)+1,"")</f>
        <v/>
      </c>
    </row>
    <row r="132" spans="1:32" hidden="1" outlineLevel="1" x14ac:dyDescent="0.25">
      <c r="A132" s="36" t="str">
        <f>IFERROR(INDEX($Q$4:$Q$153,MATCH(ROWS($A$4:A132),$AF$4:$AF$153,0)),"")</f>
        <v/>
      </c>
      <c r="B132" s="35" t="str">
        <f>IFERROR(INDEX($R$4:$R$153,MATCH(ROWS($A$4:A132),$AF$4:$AF$153,0)),"")</f>
        <v/>
      </c>
      <c r="C132" s="35" t="str">
        <f>IFERROR(INDEX($S$4:$S$153,MATCH(ROWS($A$4:A132),$AF$4:$AF$153,0)),"")</f>
        <v/>
      </c>
      <c r="D132" s="35" t="str">
        <f>IFERROR(INDEX($T$4:$T$153,MATCH(ROWS($A$4:A132),$AF$4:$AF$153,0)),"")</f>
        <v/>
      </c>
      <c r="E132" s="35" t="str">
        <f>IFERROR(INDEX($U$4:$U$153,MATCH(ROWS($A$4:A132),$AF$4:$AF$153,0)),"")</f>
        <v/>
      </c>
      <c r="F132" s="35" t="str">
        <f>IFERROR(INDEX($V$4:$V$153,MATCH(ROWS($A$4:A132),$AF$4:$AF$153,0)),"")</f>
        <v/>
      </c>
      <c r="G132" s="35" t="str">
        <f>IFERROR(INDEX($W$4:$W$153,MATCH(ROWS($A$4:A132),$AF$4:$AF$153,0)),"")</f>
        <v/>
      </c>
      <c r="H132" s="35" t="str">
        <f>IFERROR(INDEX($X$4:$X$153,MATCH(ROWS($A$4:A132),$AF$4:$AF$153,0)),"")</f>
        <v/>
      </c>
      <c r="I132" s="72" t="str">
        <f>IFERROR(INDEX($Y$4:$Y$153,MATCH(ROWS($A$4:A132),$AF$4:$AF$153,0)),"")</f>
        <v/>
      </c>
      <c r="J132" s="35" t="str">
        <f>IFERROR(INDEX($Z$4:$Z$153,MATCH(ROWS($A$4:A132),$AF$4:$AF$153,0)),"")</f>
        <v/>
      </c>
      <c r="K132" s="35" t="str">
        <f>IFERROR(INDEX($AA$4:$AA$153,MATCH(ROWS($A$4:A132),$AF$4:$AF$153,0)),"")</f>
        <v/>
      </c>
      <c r="L132" s="35" t="str">
        <f>IFERROR(INDEX($AB$4:$AB$153,MATCH(ROWS($A$4:A132),$AF$4:$AF$153,0)),"")</f>
        <v/>
      </c>
      <c r="M132" s="35" t="str">
        <f>IFERROR(INDEX($AC$4:$AC$153,MATCH(ROWS($A$4:A132),$AF$4:$AF$153,0)),"")</f>
        <v/>
      </c>
      <c r="N132" s="35" t="str">
        <f>IFERROR(INDEX($AD$4:$AD$153,MATCH(ROWS($A$4:A132),$AF$4:$AF$153,0)),"")</f>
        <v/>
      </c>
      <c r="Q132" t="str">
        <f>T(JAN!B134)</f>
        <v/>
      </c>
      <c r="R132" t="str">
        <f t="array" ref="R132">IF($Q132="","",_xlfn.TEXTJOIN(", ",TRUE,IF(JAN!$G134:$AK134="FL",JAN!$G$4:$AK$4,"")))</f>
        <v/>
      </c>
      <c r="S132" t="str">
        <f t="array" ref="S132">IF($Q132="","",_xlfn.TEXTJOIN(", ",TRUE,IF(FEV!$G134:$AK134="FL",FEV!$G$4:$AK$4,"")))</f>
        <v/>
      </c>
      <c r="T132" t="str">
        <f t="array" ref="T132">IF($Q132="","",_xlfn.TEXTJOIN(", ",TRUE,IF(MAR!$G134:$AK134="FL",MAR!$G$4:$AK$4,"")))</f>
        <v/>
      </c>
      <c r="U132" t="str">
        <f t="array" ref="U132">IF($Q132="","",_xlfn.TEXTJOIN(", ",TRUE,IF(ABR!$G134:$AK134="FL",ABR!$G$4:$AK$4,"")))</f>
        <v/>
      </c>
      <c r="V132" t="str">
        <f t="array" ref="V132">IF($Q132="","",_xlfn.TEXTJOIN(", ",TRUE,IF(MAI!$G134:$AK134="FL",MAI!$G$4:$AK$4,"")))</f>
        <v/>
      </c>
      <c r="W132" t="str">
        <f t="array" ref="W132">IF($Q132="","",_xlfn.TEXTJOIN(", ",TRUE,IF(JUN!$G134:$AK134="FL",JUN!$G$4:$AK$4,"")))</f>
        <v/>
      </c>
      <c r="X132" t="str">
        <f t="array" ref="X132">IF($Q132="","",_xlfn.TEXTJOIN(", ",TRUE,IF(JUL!$G134:$AK134="FL",JUL!$G$4:$AK$4,"")))</f>
        <v/>
      </c>
      <c r="Y132" t="str">
        <f t="array" ref="Y132">IF($Q132="","",_xlfn.TEXTJOIN(", ",TRUE,IF(AGO!$G134:$AK134="FL",AGO!$G$4:$AK$4,"")))</f>
        <v/>
      </c>
      <c r="Z132" t="str">
        <f t="array" ref="Z132">IF($Q132="","",_xlfn.TEXTJOIN(", ",TRUE,IF(SET!$G134:$AK134="FL",SET!$G$4:$AK$4,"")))</f>
        <v/>
      </c>
      <c r="AA132" t="str">
        <f t="array" ref="AA132">IF($Q132="","",_xlfn.TEXTJOIN(", ",TRUE,IF(OUT!$G134:$AK134="FL",OUT!$G$4:$AK$4,"")))</f>
        <v/>
      </c>
      <c r="AB132" t="str">
        <f t="array" ref="AB132">IF($Q132="","",_xlfn.TEXTJOIN(", ",TRUE,IF(NOV!$G134:$AK134="FL",NOV!$G$4:$AK$4,"")))</f>
        <v/>
      </c>
      <c r="AC132" t="str">
        <f t="array" ref="AC132">IF($Q132="","",_xlfn.TEXTJOIN(", ",TRUE,IF(DEZ!$G134:$AK134="FL",DEZ!$G$4:$AK$4,"")))</f>
        <v/>
      </c>
      <c r="AD132" t="str">
        <f>IF($Q132="","",COUNTIF(JAN!$G134:$AK134,"FL")+COUNTIF(FEV!$G134:$AK134,"FL")+COUNTIF(MAR!$G134:$AK134,"FL")+COUNTIF(ABR!$G134:$AK134,"FL")+COUNTIF(MAI!$G134:$AK134,"FL")+COUNTIF(JUN!$G134:$AK134,"FL")+COUNTIF(JUL!$G134:$AK134,"FL")+COUNTIF(AGO!$G134:$AK134,"FL")+COUNTIF(SET!$G134:$AK134,"FL")+COUNTIF(OUT!$G134:$AK134,"FL")+COUNTIF(NOV!$G134:$AK134,"FL")+COUNTIF(DEZ!$G134:$AK134,"FL"))</f>
        <v/>
      </c>
      <c r="AF132" t="str">
        <f>IF(AND($Q132&lt;&gt;"",N($AD132)&gt;0),COUNT($AF$3:AF131)+1,"")</f>
        <v/>
      </c>
    </row>
    <row r="133" spans="1:32" hidden="1" outlineLevel="1" x14ac:dyDescent="0.25">
      <c r="A133" s="36" t="str">
        <f>IFERROR(INDEX($Q$4:$Q$153,MATCH(ROWS($A$4:A133),$AF$4:$AF$153,0)),"")</f>
        <v/>
      </c>
      <c r="B133" s="35" t="str">
        <f>IFERROR(INDEX($R$4:$R$153,MATCH(ROWS($A$4:A133),$AF$4:$AF$153,0)),"")</f>
        <v/>
      </c>
      <c r="C133" s="35" t="str">
        <f>IFERROR(INDEX($S$4:$S$153,MATCH(ROWS($A$4:A133),$AF$4:$AF$153,0)),"")</f>
        <v/>
      </c>
      <c r="D133" s="35" t="str">
        <f>IFERROR(INDEX($T$4:$T$153,MATCH(ROWS($A$4:A133),$AF$4:$AF$153,0)),"")</f>
        <v/>
      </c>
      <c r="E133" s="35" t="str">
        <f>IFERROR(INDEX($U$4:$U$153,MATCH(ROWS($A$4:A133),$AF$4:$AF$153,0)),"")</f>
        <v/>
      </c>
      <c r="F133" s="35" t="str">
        <f>IFERROR(INDEX($V$4:$V$153,MATCH(ROWS($A$4:A133),$AF$4:$AF$153,0)),"")</f>
        <v/>
      </c>
      <c r="G133" s="35" t="str">
        <f>IFERROR(INDEX($W$4:$W$153,MATCH(ROWS($A$4:A133),$AF$4:$AF$153,0)),"")</f>
        <v/>
      </c>
      <c r="H133" s="35" t="str">
        <f>IFERROR(INDEX($X$4:$X$153,MATCH(ROWS($A$4:A133),$AF$4:$AF$153,0)),"")</f>
        <v/>
      </c>
      <c r="I133" s="72" t="str">
        <f>IFERROR(INDEX($Y$4:$Y$153,MATCH(ROWS($A$4:A133),$AF$4:$AF$153,0)),"")</f>
        <v/>
      </c>
      <c r="J133" s="35" t="str">
        <f>IFERROR(INDEX($Z$4:$Z$153,MATCH(ROWS($A$4:A133),$AF$4:$AF$153,0)),"")</f>
        <v/>
      </c>
      <c r="K133" s="35" t="str">
        <f>IFERROR(INDEX($AA$4:$AA$153,MATCH(ROWS($A$4:A133),$AF$4:$AF$153,0)),"")</f>
        <v/>
      </c>
      <c r="L133" s="35" t="str">
        <f>IFERROR(INDEX($AB$4:$AB$153,MATCH(ROWS($A$4:A133),$AF$4:$AF$153,0)),"")</f>
        <v/>
      </c>
      <c r="M133" s="35" t="str">
        <f>IFERROR(INDEX($AC$4:$AC$153,MATCH(ROWS($A$4:A133),$AF$4:$AF$153,0)),"")</f>
        <v/>
      </c>
      <c r="N133" s="35" t="str">
        <f>IFERROR(INDEX($AD$4:$AD$153,MATCH(ROWS($A$4:A133),$AF$4:$AF$153,0)),"")</f>
        <v/>
      </c>
      <c r="Q133" t="str">
        <f>T(JAN!B135)</f>
        <v/>
      </c>
      <c r="R133" t="str">
        <f t="array" ref="R133">IF($Q133="","",_xlfn.TEXTJOIN(", ",TRUE,IF(JAN!$G135:$AK135="FL",JAN!$G$4:$AK$4,"")))</f>
        <v/>
      </c>
      <c r="S133" t="str">
        <f t="array" ref="S133">IF($Q133="","",_xlfn.TEXTJOIN(", ",TRUE,IF(FEV!$G135:$AK135="FL",FEV!$G$4:$AK$4,"")))</f>
        <v/>
      </c>
      <c r="T133" t="str">
        <f t="array" ref="T133">IF($Q133="","",_xlfn.TEXTJOIN(", ",TRUE,IF(MAR!$G135:$AK135="FL",MAR!$G$4:$AK$4,"")))</f>
        <v/>
      </c>
      <c r="U133" t="str">
        <f t="array" ref="U133">IF($Q133="","",_xlfn.TEXTJOIN(", ",TRUE,IF(ABR!$G135:$AK135="FL",ABR!$G$4:$AK$4,"")))</f>
        <v/>
      </c>
      <c r="V133" t="str">
        <f t="array" ref="V133">IF($Q133="","",_xlfn.TEXTJOIN(", ",TRUE,IF(MAI!$G135:$AK135="FL",MAI!$G$4:$AK$4,"")))</f>
        <v/>
      </c>
      <c r="W133" t="str">
        <f t="array" ref="W133">IF($Q133="","",_xlfn.TEXTJOIN(", ",TRUE,IF(JUN!$G135:$AK135="FL",JUN!$G$4:$AK$4,"")))</f>
        <v/>
      </c>
      <c r="X133" t="str">
        <f t="array" ref="X133">IF($Q133="","",_xlfn.TEXTJOIN(", ",TRUE,IF(JUL!$G135:$AK135="FL",JUL!$G$4:$AK$4,"")))</f>
        <v/>
      </c>
      <c r="Y133" t="str">
        <f t="array" ref="Y133">IF($Q133="","",_xlfn.TEXTJOIN(", ",TRUE,IF(AGO!$G135:$AK135="FL",AGO!$G$4:$AK$4,"")))</f>
        <v/>
      </c>
      <c r="Z133" t="str">
        <f t="array" ref="Z133">IF($Q133="","",_xlfn.TEXTJOIN(", ",TRUE,IF(SET!$G135:$AK135="FL",SET!$G$4:$AK$4,"")))</f>
        <v/>
      </c>
      <c r="AA133" t="str">
        <f t="array" ref="AA133">IF($Q133="","",_xlfn.TEXTJOIN(", ",TRUE,IF(OUT!$G135:$AK135="FL",OUT!$G$4:$AK$4,"")))</f>
        <v/>
      </c>
      <c r="AB133" t="str">
        <f t="array" ref="AB133">IF($Q133="","",_xlfn.TEXTJOIN(", ",TRUE,IF(NOV!$G135:$AK135="FL",NOV!$G$4:$AK$4,"")))</f>
        <v/>
      </c>
      <c r="AC133" t="str">
        <f t="array" ref="AC133">IF($Q133="","",_xlfn.TEXTJOIN(", ",TRUE,IF(DEZ!$G135:$AK135="FL",DEZ!$G$4:$AK$4,"")))</f>
        <v/>
      </c>
      <c r="AD133" t="str">
        <f>IF($Q133="","",COUNTIF(JAN!$G135:$AK135,"FL")+COUNTIF(FEV!$G135:$AK135,"FL")+COUNTIF(MAR!$G135:$AK135,"FL")+COUNTIF(ABR!$G135:$AK135,"FL")+COUNTIF(MAI!$G135:$AK135,"FL")+COUNTIF(JUN!$G135:$AK135,"FL")+COUNTIF(JUL!$G135:$AK135,"FL")+COUNTIF(AGO!$G135:$AK135,"FL")+COUNTIF(SET!$G135:$AK135,"FL")+COUNTIF(OUT!$G135:$AK135,"FL")+COUNTIF(NOV!$G135:$AK135,"FL")+COUNTIF(DEZ!$G135:$AK135,"FL"))</f>
        <v/>
      </c>
      <c r="AF133" t="str">
        <f>IF(AND($Q133&lt;&gt;"",N($AD133)&gt;0),COUNT($AF$3:AF132)+1,"")</f>
        <v/>
      </c>
    </row>
    <row r="134" spans="1:32" hidden="1" outlineLevel="1" x14ac:dyDescent="0.25">
      <c r="A134" s="36" t="str">
        <f>IFERROR(INDEX($Q$4:$Q$153,MATCH(ROWS($A$4:A134),$AF$4:$AF$153,0)),"")</f>
        <v/>
      </c>
      <c r="B134" s="35" t="str">
        <f>IFERROR(INDEX($R$4:$R$153,MATCH(ROWS($A$4:A134),$AF$4:$AF$153,0)),"")</f>
        <v/>
      </c>
      <c r="C134" s="35" t="str">
        <f>IFERROR(INDEX($S$4:$S$153,MATCH(ROWS($A$4:A134),$AF$4:$AF$153,0)),"")</f>
        <v/>
      </c>
      <c r="D134" s="35" t="str">
        <f>IFERROR(INDEX($T$4:$T$153,MATCH(ROWS($A$4:A134),$AF$4:$AF$153,0)),"")</f>
        <v/>
      </c>
      <c r="E134" s="35" t="str">
        <f>IFERROR(INDEX($U$4:$U$153,MATCH(ROWS($A$4:A134),$AF$4:$AF$153,0)),"")</f>
        <v/>
      </c>
      <c r="F134" s="35" t="str">
        <f>IFERROR(INDEX($V$4:$V$153,MATCH(ROWS($A$4:A134),$AF$4:$AF$153,0)),"")</f>
        <v/>
      </c>
      <c r="G134" s="35" t="str">
        <f>IFERROR(INDEX($W$4:$W$153,MATCH(ROWS($A$4:A134),$AF$4:$AF$153,0)),"")</f>
        <v/>
      </c>
      <c r="H134" s="35" t="str">
        <f>IFERROR(INDEX($X$4:$X$153,MATCH(ROWS($A$4:A134),$AF$4:$AF$153,0)),"")</f>
        <v/>
      </c>
      <c r="I134" s="72" t="str">
        <f>IFERROR(INDEX($Y$4:$Y$153,MATCH(ROWS($A$4:A134),$AF$4:$AF$153,0)),"")</f>
        <v/>
      </c>
      <c r="J134" s="35" t="str">
        <f>IFERROR(INDEX($Z$4:$Z$153,MATCH(ROWS($A$4:A134),$AF$4:$AF$153,0)),"")</f>
        <v/>
      </c>
      <c r="K134" s="35" t="str">
        <f>IFERROR(INDEX($AA$4:$AA$153,MATCH(ROWS($A$4:A134),$AF$4:$AF$153,0)),"")</f>
        <v/>
      </c>
      <c r="L134" s="35" t="str">
        <f>IFERROR(INDEX($AB$4:$AB$153,MATCH(ROWS($A$4:A134),$AF$4:$AF$153,0)),"")</f>
        <v/>
      </c>
      <c r="M134" s="35" t="str">
        <f>IFERROR(INDEX($AC$4:$AC$153,MATCH(ROWS($A$4:A134),$AF$4:$AF$153,0)),"")</f>
        <v/>
      </c>
      <c r="N134" s="35" t="str">
        <f>IFERROR(INDEX($AD$4:$AD$153,MATCH(ROWS($A$4:A134),$AF$4:$AF$153,0)),"")</f>
        <v/>
      </c>
      <c r="Q134" t="str">
        <f>T(JAN!B136)</f>
        <v/>
      </c>
      <c r="R134" t="str">
        <f t="array" ref="R134">IF($Q134="","",_xlfn.TEXTJOIN(", ",TRUE,IF(JAN!$G136:$AK136="FL",JAN!$G$4:$AK$4,"")))</f>
        <v/>
      </c>
      <c r="S134" t="str">
        <f t="array" ref="S134">IF($Q134="","",_xlfn.TEXTJOIN(", ",TRUE,IF(FEV!$G136:$AK136="FL",FEV!$G$4:$AK$4,"")))</f>
        <v/>
      </c>
      <c r="T134" t="str">
        <f t="array" ref="T134">IF($Q134="","",_xlfn.TEXTJOIN(", ",TRUE,IF(MAR!$G136:$AK136="FL",MAR!$G$4:$AK$4,"")))</f>
        <v/>
      </c>
      <c r="U134" t="str">
        <f t="array" ref="U134">IF($Q134="","",_xlfn.TEXTJOIN(", ",TRUE,IF(ABR!$G136:$AK136="FL",ABR!$G$4:$AK$4,"")))</f>
        <v/>
      </c>
      <c r="V134" t="str">
        <f t="array" ref="V134">IF($Q134="","",_xlfn.TEXTJOIN(", ",TRUE,IF(MAI!$G136:$AK136="FL",MAI!$G$4:$AK$4,"")))</f>
        <v/>
      </c>
      <c r="W134" t="str">
        <f t="array" ref="W134">IF($Q134="","",_xlfn.TEXTJOIN(", ",TRUE,IF(JUN!$G136:$AK136="FL",JUN!$G$4:$AK$4,"")))</f>
        <v/>
      </c>
      <c r="X134" t="str">
        <f t="array" ref="X134">IF($Q134="","",_xlfn.TEXTJOIN(", ",TRUE,IF(JUL!$G136:$AK136="FL",JUL!$G$4:$AK$4,"")))</f>
        <v/>
      </c>
      <c r="Y134" t="str">
        <f t="array" ref="Y134">IF($Q134="","",_xlfn.TEXTJOIN(", ",TRUE,IF(AGO!$G136:$AK136="FL",AGO!$G$4:$AK$4,"")))</f>
        <v/>
      </c>
      <c r="Z134" t="str">
        <f t="array" ref="Z134">IF($Q134="","",_xlfn.TEXTJOIN(", ",TRUE,IF(SET!$G136:$AK136="FL",SET!$G$4:$AK$4,"")))</f>
        <v/>
      </c>
      <c r="AA134" t="str">
        <f t="array" ref="AA134">IF($Q134="","",_xlfn.TEXTJOIN(", ",TRUE,IF(OUT!$G136:$AK136="FL",OUT!$G$4:$AK$4,"")))</f>
        <v/>
      </c>
      <c r="AB134" t="str">
        <f t="array" ref="AB134">IF($Q134="","",_xlfn.TEXTJOIN(", ",TRUE,IF(NOV!$G136:$AK136="FL",NOV!$G$4:$AK$4,"")))</f>
        <v/>
      </c>
      <c r="AC134" t="str">
        <f t="array" ref="AC134">IF($Q134="","",_xlfn.TEXTJOIN(", ",TRUE,IF(DEZ!$G136:$AK136="FL",DEZ!$G$4:$AK$4,"")))</f>
        <v/>
      </c>
      <c r="AD134" t="str">
        <f>IF($Q134="","",COUNTIF(JAN!$G136:$AK136,"FL")+COUNTIF(FEV!$G136:$AK136,"FL")+COUNTIF(MAR!$G136:$AK136,"FL")+COUNTIF(ABR!$G136:$AK136,"FL")+COUNTIF(MAI!$G136:$AK136,"FL")+COUNTIF(JUN!$G136:$AK136,"FL")+COUNTIF(JUL!$G136:$AK136,"FL")+COUNTIF(AGO!$G136:$AK136,"FL")+COUNTIF(SET!$G136:$AK136,"FL")+COUNTIF(OUT!$G136:$AK136,"FL")+COUNTIF(NOV!$G136:$AK136,"FL")+COUNTIF(DEZ!$G136:$AK136,"FL"))</f>
        <v/>
      </c>
      <c r="AF134" t="str">
        <f>IF(AND($Q134&lt;&gt;"",N($AD134)&gt;0),COUNT($AF$3:AF133)+1,"")</f>
        <v/>
      </c>
    </row>
    <row r="135" spans="1:32" hidden="1" outlineLevel="1" x14ac:dyDescent="0.25">
      <c r="A135" s="36" t="str">
        <f>IFERROR(INDEX($Q$4:$Q$153,MATCH(ROWS($A$4:A135),$AF$4:$AF$153,0)),"")</f>
        <v/>
      </c>
      <c r="B135" s="35" t="str">
        <f>IFERROR(INDEX($R$4:$R$153,MATCH(ROWS($A$4:A135),$AF$4:$AF$153,0)),"")</f>
        <v/>
      </c>
      <c r="C135" s="35" t="str">
        <f>IFERROR(INDEX($S$4:$S$153,MATCH(ROWS($A$4:A135),$AF$4:$AF$153,0)),"")</f>
        <v/>
      </c>
      <c r="D135" s="35" t="str">
        <f>IFERROR(INDEX($T$4:$T$153,MATCH(ROWS($A$4:A135),$AF$4:$AF$153,0)),"")</f>
        <v/>
      </c>
      <c r="E135" s="35" t="str">
        <f>IFERROR(INDEX($U$4:$U$153,MATCH(ROWS($A$4:A135),$AF$4:$AF$153,0)),"")</f>
        <v/>
      </c>
      <c r="F135" s="35" t="str">
        <f>IFERROR(INDEX($V$4:$V$153,MATCH(ROWS($A$4:A135),$AF$4:$AF$153,0)),"")</f>
        <v/>
      </c>
      <c r="G135" s="35" t="str">
        <f>IFERROR(INDEX($W$4:$W$153,MATCH(ROWS($A$4:A135),$AF$4:$AF$153,0)),"")</f>
        <v/>
      </c>
      <c r="H135" s="35" t="str">
        <f>IFERROR(INDEX($X$4:$X$153,MATCH(ROWS($A$4:A135),$AF$4:$AF$153,0)),"")</f>
        <v/>
      </c>
      <c r="I135" s="72" t="str">
        <f>IFERROR(INDEX($Y$4:$Y$153,MATCH(ROWS($A$4:A135),$AF$4:$AF$153,0)),"")</f>
        <v/>
      </c>
      <c r="J135" s="35" t="str">
        <f>IFERROR(INDEX($Z$4:$Z$153,MATCH(ROWS($A$4:A135),$AF$4:$AF$153,0)),"")</f>
        <v/>
      </c>
      <c r="K135" s="35" t="str">
        <f>IFERROR(INDEX($AA$4:$AA$153,MATCH(ROWS($A$4:A135),$AF$4:$AF$153,0)),"")</f>
        <v/>
      </c>
      <c r="L135" s="35" t="str">
        <f>IFERROR(INDEX($AB$4:$AB$153,MATCH(ROWS($A$4:A135),$AF$4:$AF$153,0)),"")</f>
        <v/>
      </c>
      <c r="M135" s="35" t="str">
        <f>IFERROR(INDEX($AC$4:$AC$153,MATCH(ROWS($A$4:A135),$AF$4:$AF$153,0)),"")</f>
        <v/>
      </c>
      <c r="N135" s="35" t="str">
        <f>IFERROR(INDEX($AD$4:$AD$153,MATCH(ROWS($A$4:A135),$AF$4:$AF$153,0)),"")</f>
        <v/>
      </c>
      <c r="Q135" t="str">
        <f>T(JAN!B137)</f>
        <v/>
      </c>
      <c r="R135" t="str">
        <f t="array" ref="R135">IF($Q135="","",_xlfn.TEXTJOIN(", ",TRUE,IF(JAN!$G137:$AK137="FL",JAN!$G$4:$AK$4,"")))</f>
        <v/>
      </c>
      <c r="S135" t="str">
        <f t="array" ref="S135">IF($Q135="","",_xlfn.TEXTJOIN(", ",TRUE,IF(FEV!$G137:$AK137="FL",FEV!$G$4:$AK$4,"")))</f>
        <v/>
      </c>
      <c r="T135" t="str">
        <f t="array" ref="T135">IF($Q135="","",_xlfn.TEXTJOIN(", ",TRUE,IF(MAR!$G137:$AK137="FL",MAR!$G$4:$AK$4,"")))</f>
        <v/>
      </c>
      <c r="U135" t="str">
        <f t="array" ref="U135">IF($Q135="","",_xlfn.TEXTJOIN(", ",TRUE,IF(ABR!$G137:$AK137="FL",ABR!$G$4:$AK$4,"")))</f>
        <v/>
      </c>
      <c r="V135" t="str">
        <f t="array" ref="V135">IF($Q135="","",_xlfn.TEXTJOIN(", ",TRUE,IF(MAI!$G137:$AK137="FL",MAI!$G$4:$AK$4,"")))</f>
        <v/>
      </c>
      <c r="W135" t="str">
        <f t="array" ref="W135">IF($Q135="","",_xlfn.TEXTJOIN(", ",TRUE,IF(JUN!$G137:$AK137="FL",JUN!$G$4:$AK$4,"")))</f>
        <v/>
      </c>
      <c r="X135" t="str">
        <f t="array" ref="X135">IF($Q135="","",_xlfn.TEXTJOIN(", ",TRUE,IF(JUL!$G137:$AK137="FL",JUL!$G$4:$AK$4,"")))</f>
        <v/>
      </c>
      <c r="Y135" t="str">
        <f t="array" ref="Y135">IF($Q135="","",_xlfn.TEXTJOIN(", ",TRUE,IF(AGO!$G137:$AK137="FL",AGO!$G$4:$AK$4,"")))</f>
        <v/>
      </c>
      <c r="Z135" t="str">
        <f t="array" ref="Z135">IF($Q135="","",_xlfn.TEXTJOIN(", ",TRUE,IF(SET!$G137:$AK137="FL",SET!$G$4:$AK$4,"")))</f>
        <v/>
      </c>
      <c r="AA135" t="str">
        <f t="array" ref="AA135">IF($Q135="","",_xlfn.TEXTJOIN(", ",TRUE,IF(OUT!$G137:$AK137="FL",OUT!$G$4:$AK$4,"")))</f>
        <v/>
      </c>
      <c r="AB135" t="str">
        <f t="array" ref="AB135">IF($Q135="","",_xlfn.TEXTJOIN(", ",TRUE,IF(NOV!$G137:$AK137="FL",NOV!$G$4:$AK$4,"")))</f>
        <v/>
      </c>
      <c r="AC135" t="str">
        <f t="array" ref="AC135">IF($Q135="","",_xlfn.TEXTJOIN(", ",TRUE,IF(DEZ!$G137:$AK137="FL",DEZ!$G$4:$AK$4,"")))</f>
        <v/>
      </c>
      <c r="AD135" t="str">
        <f>IF($Q135="","",COUNTIF(JAN!$G137:$AK137,"FL")+COUNTIF(FEV!$G137:$AK137,"FL")+COUNTIF(MAR!$G137:$AK137,"FL")+COUNTIF(ABR!$G137:$AK137,"FL")+COUNTIF(MAI!$G137:$AK137,"FL")+COUNTIF(JUN!$G137:$AK137,"FL")+COUNTIF(JUL!$G137:$AK137,"FL")+COUNTIF(AGO!$G137:$AK137,"FL")+COUNTIF(SET!$G137:$AK137,"FL")+COUNTIF(OUT!$G137:$AK137,"FL")+COUNTIF(NOV!$G137:$AK137,"FL")+COUNTIF(DEZ!$G137:$AK137,"FL"))</f>
        <v/>
      </c>
      <c r="AF135" t="str">
        <f>IF(AND($Q135&lt;&gt;"",N($AD135)&gt;0),COUNT($AF$3:AF134)+1,"")</f>
        <v/>
      </c>
    </row>
    <row r="136" spans="1:32" hidden="1" outlineLevel="1" x14ac:dyDescent="0.25">
      <c r="A136" s="36" t="str">
        <f>IFERROR(INDEX($Q$4:$Q$153,MATCH(ROWS($A$4:A136),$AF$4:$AF$153,0)),"")</f>
        <v/>
      </c>
      <c r="B136" s="35" t="str">
        <f>IFERROR(INDEX($R$4:$R$153,MATCH(ROWS($A$4:A136),$AF$4:$AF$153,0)),"")</f>
        <v/>
      </c>
      <c r="C136" s="35" t="str">
        <f>IFERROR(INDEX($S$4:$S$153,MATCH(ROWS($A$4:A136),$AF$4:$AF$153,0)),"")</f>
        <v/>
      </c>
      <c r="D136" s="35" t="str">
        <f>IFERROR(INDEX($T$4:$T$153,MATCH(ROWS($A$4:A136),$AF$4:$AF$153,0)),"")</f>
        <v/>
      </c>
      <c r="E136" s="35" t="str">
        <f>IFERROR(INDEX($U$4:$U$153,MATCH(ROWS($A$4:A136),$AF$4:$AF$153,0)),"")</f>
        <v/>
      </c>
      <c r="F136" s="35" t="str">
        <f>IFERROR(INDEX($V$4:$V$153,MATCH(ROWS($A$4:A136),$AF$4:$AF$153,0)),"")</f>
        <v/>
      </c>
      <c r="G136" s="35" t="str">
        <f>IFERROR(INDEX($W$4:$W$153,MATCH(ROWS($A$4:A136),$AF$4:$AF$153,0)),"")</f>
        <v/>
      </c>
      <c r="H136" s="35" t="str">
        <f>IFERROR(INDEX($X$4:$X$153,MATCH(ROWS($A$4:A136),$AF$4:$AF$153,0)),"")</f>
        <v/>
      </c>
      <c r="I136" s="72" t="str">
        <f>IFERROR(INDEX($Y$4:$Y$153,MATCH(ROWS($A$4:A136),$AF$4:$AF$153,0)),"")</f>
        <v/>
      </c>
      <c r="J136" s="35" t="str">
        <f>IFERROR(INDEX($Z$4:$Z$153,MATCH(ROWS($A$4:A136),$AF$4:$AF$153,0)),"")</f>
        <v/>
      </c>
      <c r="K136" s="35" t="str">
        <f>IFERROR(INDEX($AA$4:$AA$153,MATCH(ROWS($A$4:A136),$AF$4:$AF$153,0)),"")</f>
        <v/>
      </c>
      <c r="L136" s="35" t="str">
        <f>IFERROR(INDEX($AB$4:$AB$153,MATCH(ROWS($A$4:A136),$AF$4:$AF$153,0)),"")</f>
        <v/>
      </c>
      <c r="M136" s="35" t="str">
        <f>IFERROR(INDEX($AC$4:$AC$153,MATCH(ROWS($A$4:A136),$AF$4:$AF$153,0)),"")</f>
        <v/>
      </c>
      <c r="N136" s="35" t="str">
        <f>IFERROR(INDEX($AD$4:$AD$153,MATCH(ROWS($A$4:A136),$AF$4:$AF$153,0)),"")</f>
        <v/>
      </c>
      <c r="Q136" t="str">
        <f>T(JAN!B138)</f>
        <v/>
      </c>
      <c r="R136" t="str">
        <f t="array" ref="R136">IF($Q136="","",_xlfn.TEXTJOIN(", ",TRUE,IF(JAN!$G138:$AK138="FL",JAN!$G$4:$AK$4,"")))</f>
        <v/>
      </c>
      <c r="S136" t="str">
        <f t="array" ref="S136">IF($Q136="","",_xlfn.TEXTJOIN(", ",TRUE,IF(FEV!$G138:$AK138="FL",FEV!$G$4:$AK$4,"")))</f>
        <v/>
      </c>
      <c r="T136" t="str">
        <f t="array" ref="T136">IF($Q136="","",_xlfn.TEXTJOIN(", ",TRUE,IF(MAR!$G138:$AK138="FL",MAR!$G$4:$AK$4,"")))</f>
        <v/>
      </c>
      <c r="U136" t="str">
        <f t="array" ref="U136">IF($Q136="","",_xlfn.TEXTJOIN(", ",TRUE,IF(ABR!$G138:$AK138="FL",ABR!$G$4:$AK$4,"")))</f>
        <v/>
      </c>
      <c r="V136" t="str">
        <f t="array" ref="V136">IF($Q136="","",_xlfn.TEXTJOIN(", ",TRUE,IF(MAI!$G138:$AK138="FL",MAI!$G$4:$AK$4,"")))</f>
        <v/>
      </c>
      <c r="W136" t="str">
        <f t="array" ref="W136">IF($Q136="","",_xlfn.TEXTJOIN(", ",TRUE,IF(JUN!$G138:$AK138="FL",JUN!$G$4:$AK$4,"")))</f>
        <v/>
      </c>
      <c r="X136" t="str">
        <f t="array" ref="X136">IF($Q136="","",_xlfn.TEXTJOIN(", ",TRUE,IF(JUL!$G138:$AK138="FL",JUL!$G$4:$AK$4,"")))</f>
        <v/>
      </c>
      <c r="Y136" t="str">
        <f t="array" ref="Y136">IF($Q136="","",_xlfn.TEXTJOIN(", ",TRUE,IF(AGO!$G138:$AK138="FL",AGO!$G$4:$AK$4,"")))</f>
        <v/>
      </c>
      <c r="Z136" t="str">
        <f t="array" ref="Z136">IF($Q136="","",_xlfn.TEXTJOIN(", ",TRUE,IF(SET!$G138:$AK138="FL",SET!$G$4:$AK$4,"")))</f>
        <v/>
      </c>
      <c r="AA136" t="str">
        <f t="array" ref="AA136">IF($Q136="","",_xlfn.TEXTJOIN(", ",TRUE,IF(OUT!$G138:$AK138="FL",OUT!$G$4:$AK$4,"")))</f>
        <v/>
      </c>
      <c r="AB136" t="str">
        <f t="array" ref="AB136">IF($Q136="","",_xlfn.TEXTJOIN(", ",TRUE,IF(NOV!$G138:$AK138="FL",NOV!$G$4:$AK$4,"")))</f>
        <v/>
      </c>
      <c r="AC136" t="str">
        <f t="array" ref="AC136">IF($Q136="","",_xlfn.TEXTJOIN(", ",TRUE,IF(DEZ!$G138:$AK138="FL",DEZ!$G$4:$AK$4,"")))</f>
        <v/>
      </c>
      <c r="AD136" t="str">
        <f>IF($Q136="","",COUNTIF(JAN!$G138:$AK138,"FL")+COUNTIF(FEV!$G138:$AK138,"FL")+COUNTIF(MAR!$G138:$AK138,"FL")+COUNTIF(ABR!$G138:$AK138,"FL")+COUNTIF(MAI!$G138:$AK138,"FL")+COUNTIF(JUN!$G138:$AK138,"FL")+COUNTIF(JUL!$G138:$AK138,"FL")+COUNTIF(AGO!$G138:$AK138,"FL")+COUNTIF(SET!$G138:$AK138,"FL")+COUNTIF(OUT!$G138:$AK138,"FL")+COUNTIF(NOV!$G138:$AK138,"FL")+COUNTIF(DEZ!$G138:$AK138,"FL"))</f>
        <v/>
      </c>
      <c r="AF136" t="str">
        <f>IF(AND($Q136&lt;&gt;"",N($AD136)&gt;0),COUNT($AF$3:AF135)+1,"")</f>
        <v/>
      </c>
    </row>
    <row r="137" spans="1:32" hidden="1" outlineLevel="1" x14ac:dyDescent="0.25">
      <c r="A137" s="36" t="str">
        <f>IFERROR(INDEX($Q$4:$Q$153,MATCH(ROWS($A$4:A137),$AF$4:$AF$153,0)),"")</f>
        <v/>
      </c>
      <c r="B137" s="35" t="str">
        <f>IFERROR(INDEX($R$4:$R$153,MATCH(ROWS($A$4:A137),$AF$4:$AF$153,0)),"")</f>
        <v/>
      </c>
      <c r="C137" s="35" t="str">
        <f>IFERROR(INDEX($S$4:$S$153,MATCH(ROWS($A$4:A137),$AF$4:$AF$153,0)),"")</f>
        <v/>
      </c>
      <c r="D137" s="35" t="str">
        <f>IFERROR(INDEX($T$4:$T$153,MATCH(ROWS($A$4:A137),$AF$4:$AF$153,0)),"")</f>
        <v/>
      </c>
      <c r="E137" s="35" t="str">
        <f>IFERROR(INDEX($U$4:$U$153,MATCH(ROWS($A$4:A137),$AF$4:$AF$153,0)),"")</f>
        <v/>
      </c>
      <c r="F137" s="35" t="str">
        <f>IFERROR(INDEX($V$4:$V$153,MATCH(ROWS($A$4:A137),$AF$4:$AF$153,0)),"")</f>
        <v/>
      </c>
      <c r="G137" s="35" t="str">
        <f>IFERROR(INDEX($W$4:$W$153,MATCH(ROWS($A$4:A137),$AF$4:$AF$153,0)),"")</f>
        <v/>
      </c>
      <c r="H137" s="35" t="str">
        <f>IFERROR(INDEX($X$4:$X$153,MATCH(ROWS($A$4:A137),$AF$4:$AF$153,0)),"")</f>
        <v/>
      </c>
      <c r="I137" s="72" t="str">
        <f>IFERROR(INDEX($Y$4:$Y$153,MATCH(ROWS($A$4:A137),$AF$4:$AF$153,0)),"")</f>
        <v/>
      </c>
      <c r="J137" s="35" t="str">
        <f>IFERROR(INDEX($Z$4:$Z$153,MATCH(ROWS($A$4:A137),$AF$4:$AF$153,0)),"")</f>
        <v/>
      </c>
      <c r="K137" s="35" t="str">
        <f>IFERROR(INDEX($AA$4:$AA$153,MATCH(ROWS($A$4:A137),$AF$4:$AF$153,0)),"")</f>
        <v/>
      </c>
      <c r="L137" s="35" t="str">
        <f>IFERROR(INDEX($AB$4:$AB$153,MATCH(ROWS($A$4:A137),$AF$4:$AF$153,0)),"")</f>
        <v/>
      </c>
      <c r="M137" s="35" t="str">
        <f>IFERROR(INDEX($AC$4:$AC$153,MATCH(ROWS($A$4:A137),$AF$4:$AF$153,0)),"")</f>
        <v/>
      </c>
      <c r="N137" s="35" t="str">
        <f>IFERROR(INDEX($AD$4:$AD$153,MATCH(ROWS($A$4:A137),$AF$4:$AF$153,0)),"")</f>
        <v/>
      </c>
      <c r="Q137" t="str">
        <f>T(JAN!B139)</f>
        <v/>
      </c>
      <c r="R137" t="str">
        <f t="array" ref="R137">IF($Q137="","",_xlfn.TEXTJOIN(", ",TRUE,IF(JAN!$G139:$AK139="FL",JAN!$G$4:$AK$4,"")))</f>
        <v/>
      </c>
      <c r="S137" t="str">
        <f t="array" ref="S137">IF($Q137="","",_xlfn.TEXTJOIN(", ",TRUE,IF(FEV!$G139:$AK139="FL",FEV!$G$4:$AK$4,"")))</f>
        <v/>
      </c>
      <c r="T137" t="str">
        <f t="array" ref="T137">IF($Q137="","",_xlfn.TEXTJOIN(", ",TRUE,IF(MAR!$G139:$AK139="FL",MAR!$G$4:$AK$4,"")))</f>
        <v/>
      </c>
      <c r="U137" t="str">
        <f t="array" ref="U137">IF($Q137="","",_xlfn.TEXTJOIN(", ",TRUE,IF(ABR!$G139:$AK139="FL",ABR!$G$4:$AK$4,"")))</f>
        <v/>
      </c>
      <c r="V137" t="str">
        <f t="array" ref="V137">IF($Q137="","",_xlfn.TEXTJOIN(", ",TRUE,IF(MAI!$G139:$AK139="FL",MAI!$G$4:$AK$4,"")))</f>
        <v/>
      </c>
      <c r="W137" t="str">
        <f t="array" ref="W137">IF($Q137="","",_xlfn.TEXTJOIN(", ",TRUE,IF(JUN!$G139:$AK139="FL",JUN!$G$4:$AK$4,"")))</f>
        <v/>
      </c>
      <c r="X137" t="str">
        <f t="array" ref="X137">IF($Q137="","",_xlfn.TEXTJOIN(", ",TRUE,IF(JUL!$G139:$AK139="FL",JUL!$G$4:$AK$4,"")))</f>
        <v/>
      </c>
      <c r="Y137" t="str">
        <f t="array" ref="Y137">IF($Q137="","",_xlfn.TEXTJOIN(", ",TRUE,IF(AGO!$G139:$AK139="FL",AGO!$G$4:$AK$4,"")))</f>
        <v/>
      </c>
      <c r="Z137" t="str">
        <f t="array" ref="Z137">IF($Q137="","",_xlfn.TEXTJOIN(", ",TRUE,IF(SET!$G139:$AK139="FL",SET!$G$4:$AK$4,"")))</f>
        <v/>
      </c>
      <c r="AA137" t="str">
        <f t="array" ref="AA137">IF($Q137="","",_xlfn.TEXTJOIN(", ",TRUE,IF(OUT!$G139:$AK139="FL",OUT!$G$4:$AK$4,"")))</f>
        <v/>
      </c>
      <c r="AB137" t="str">
        <f t="array" ref="AB137">IF($Q137="","",_xlfn.TEXTJOIN(", ",TRUE,IF(NOV!$G139:$AK139="FL",NOV!$G$4:$AK$4,"")))</f>
        <v/>
      </c>
      <c r="AC137" t="str">
        <f t="array" ref="AC137">IF($Q137="","",_xlfn.TEXTJOIN(", ",TRUE,IF(DEZ!$G139:$AK139="FL",DEZ!$G$4:$AK$4,"")))</f>
        <v/>
      </c>
      <c r="AD137" t="str">
        <f>IF($Q137="","",COUNTIF(JAN!$G139:$AK139,"FL")+COUNTIF(FEV!$G139:$AK139,"FL")+COUNTIF(MAR!$G139:$AK139,"FL")+COUNTIF(ABR!$G139:$AK139,"FL")+COUNTIF(MAI!$G139:$AK139,"FL")+COUNTIF(JUN!$G139:$AK139,"FL")+COUNTIF(JUL!$G139:$AK139,"FL")+COUNTIF(AGO!$G139:$AK139,"FL")+COUNTIF(SET!$G139:$AK139,"FL")+COUNTIF(OUT!$G139:$AK139,"FL")+COUNTIF(NOV!$G139:$AK139,"FL")+COUNTIF(DEZ!$G139:$AK139,"FL"))</f>
        <v/>
      </c>
      <c r="AF137" t="str">
        <f>IF(AND($Q137&lt;&gt;"",N($AD137)&gt;0),COUNT($AF$3:AF136)+1,"")</f>
        <v/>
      </c>
    </row>
    <row r="138" spans="1:32" hidden="1" outlineLevel="1" x14ac:dyDescent="0.25">
      <c r="A138" s="36" t="str">
        <f>IFERROR(INDEX($Q$4:$Q$153,MATCH(ROWS($A$4:A138),$AF$4:$AF$153,0)),"")</f>
        <v/>
      </c>
      <c r="B138" s="35" t="str">
        <f>IFERROR(INDEX($R$4:$R$153,MATCH(ROWS($A$4:A138),$AF$4:$AF$153,0)),"")</f>
        <v/>
      </c>
      <c r="C138" s="35" t="str">
        <f>IFERROR(INDEX($S$4:$S$153,MATCH(ROWS($A$4:A138),$AF$4:$AF$153,0)),"")</f>
        <v/>
      </c>
      <c r="D138" s="35" t="str">
        <f>IFERROR(INDEX($T$4:$T$153,MATCH(ROWS($A$4:A138),$AF$4:$AF$153,0)),"")</f>
        <v/>
      </c>
      <c r="E138" s="35" t="str">
        <f>IFERROR(INDEX($U$4:$U$153,MATCH(ROWS($A$4:A138),$AF$4:$AF$153,0)),"")</f>
        <v/>
      </c>
      <c r="F138" s="35" t="str">
        <f>IFERROR(INDEX($V$4:$V$153,MATCH(ROWS($A$4:A138),$AF$4:$AF$153,0)),"")</f>
        <v/>
      </c>
      <c r="G138" s="35" t="str">
        <f>IFERROR(INDEX($W$4:$W$153,MATCH(ROWS($A$4:A138),$AF$4:$AF$153,0)),"")</f>
        <v/>
      </c>
      <c r="H138" s="35" t="str">
        <f>IFERROR(INDEX($X$4:$X$153,MATCH(ROWS($A$4:A138),$AF$4:$AF$153,0)),"")</f>
        <v/>
      </c>
      <c r="I138" s="72" t="str">
        <f>IFERROR(INDEX($Y$4:$Y$153,MATCH(ROWS($A$4:A138),$AF$4:$AF$153,0)),"")</f>
        <v/>
      </c>
      <c r="J138" s="35" t="str">
        <f>IFERROR(INDEX($Z$4:$Z$153,MATCH(ROWS($A$4:A138),$AF$4:$AF$153,0)),"")</f>
        <v/>
      </c>
      <c r="K138" s="35" t="str">
        <f>IFERROR(INDEX($AA$4:$AA$153,MATCH(ROWS($A$4:A138),$AF$4:$AF$153,0)),"")</f>
        <v/>
      </c>
      <c r="L138" s="35" t="str">
        <f>IFERROR(INDEX($AB$4:$AB$153,MATCH(ROWS($A$4:A138),$AF$4:$AF$153,0)),"")</f>
        <v/>
      </c>
      <c r="M138" s="35" t="str">
        <f>IFERROR(INDEX($AC$4:$AC$153,MATCH(ROWS($A$4:A138),$AF$4:$AF$153,0)),"")</f>
        <v/>
      </c>
      <c r="N138" s="35" t="str">
        <f>IFERROR(INDEX($AD$4:$AD$153,MATCH(ROWS($A$4:A138),$AF$4:$AF$153,0)),"")</f>
        <v/>
      </c>
      <c r="Q138" t="str">
        <f>T(JAN!B140)</f>
        <v/>
      </c>
      <c r="R138" t="str">
        <f t="array" ref="R138">IF($Q138="","",_xlfn.TEXTJOIN(", ",TRUE,IF(JAN!$G140:$AK140="FL",JAN!$G$4:$AK$4,"")))</f>
        <v/>
      </c>
      <c r="S138" t="str">
        <f t="array" ref="S138">IF($Q138="","",_xlfn.TEXTJOIN(", ",TRUE,IF(FEV!$G140:$AK140="FL",FEV!$G$4:$AK$4,"")))</f>
        <v/>
      </c>
      <c r="T138" t="str">
        <f t="array" ref="T138">IF($Q138="","",_xlfn.TEXTJOIN(", ",TRUE,IF(MAR!$G140:$AK140="FL",MAR!$G$4:$AK$4,"")))</f>
        <v/>
      </c>
      <c r="U138" t="str">
        <f t="array" ref="U138">IF($Q138="","",_xlfn.TEXTJOIN(", ",TRUE,IF(ABR!$G140:$AK140="FL",ABR!$G$4:$AK$4,"")))</f>
        <v/>
      </c>
      <c r="V138" t="str">
        <f t="array" ref="V138">IF($Q138="","",_xlfn.TEXTJOIN(", ",TRUE,IF(MAI!$G140:$AK140="FL",MAI!$G$4:$AK$4,"")))</f>
        <v/>
      </c>
      <c r="W138" t="str">
        <f t="array" ref="W138">IF($Q138="","",_xlfn.TEXTJOIN(", ",TRUE,IF(JUN!$G140:$AK140="FL",JUN!$G$4:$AK$4,"")))</f>
        <v/>
      </c>
      <c r="X138" t="str">
        <f t="array" ref="X138">IF($Q138="","",_xlfn.TEXTJOIN(", ",TRUE,IF(JUL!$G140:$AK140="FL",JUL!$G$4:$AK$4,"")))</f>
        <v/>
      </c>
      <c r="Y138" t="str">
        <f t="array" ref="Y138">IF($Q138="","",_xlfn.TEXTJOIN(", ",TRUE,IF(AGO!$G140:$AK140="FL",AGO!$G$4:$AK$4,"")))</f>
        <v/>
      </c>
      <c r="Z138" t="str">
        <f t="array" ref="Z138">IF($Q138="","",_xlfn.TEXTJOIN(", ",TRUE,IF(SET!$G140:$AK140="FL",SET!$G$4:$AK$4,"")))</f>
        <v/>
      </c>
      <c r="AA138" t="str">
        <f t="array" ref="AA138">IF($Q138="","",_xlfn.TEXTJOIN(", ",TRUE,IF(OUT!$G140:$AK140="FL",OUT!$G$4:$AK$4,"")))</f>
        <v/>
      </c>
      <c r="AB138" t="str">
        <f t="array" ref="AB138">IF($Q138="","",_xlfn.TEXTJOIN(", ",TRUE,IF(NOV!$G140:$AK140="FL",NOV!$G$4:$AK$4,"")))</f>
        <v/>
      </c>
      <c r="AC138" t="str">
        <f t="array" ref="AC138">IF($Q138="","",_xlfn.TEXTJOIN(", ",TRUE,IF(DEZ!$G140:$AK140="FL",DEZ!$G$4:$AK$4,"")))</f>
        <v/>
      </c>
      <c r="AD138" t="str">
        <f>IF($Q138="","",COUNTIF(JAN!$G140:$AK140,"FL")+COUNTIF(FEV!$G140:$AK140,"FL")+COUNTIF(MAR!$G140:$AK140,"FL")+COUNTIF(ABR!$G140:$AK140,"FL")+COUNTIF(MAI!$G140:$AK140,"FL")+COUNTIF(JUN!$G140:$AK140,"FL")+COUNTIF(JUL!$G140:$AK140,"FL")+COUNTIF(AGO!$G140:$AK140,"FL")+COUNTIF(SET!$G140:$AK140,"FL")+COUNTIF(OUT!$G140:$AK140,"FL")+COUNTIF(NOV!$G140:$AK140,"FL")+COUNTIF(DEZ!$G140:$AK140,"FL"))</f>
        <v/>
      </c>
      <c r="AF138" t="str">
        <f>IF(AND($Q138&lt;&gt;"",N($AD138)&gt;0),COUNT($AF$3:AF137)+1,"")</f>
        <v/>
      </c>
    </row>
    <row r="139" spans="1:32" hidden="1" outlineLevel="1" x14ac:dyDescent="0.25">
      <c r="A139" s="36" t="str">
        <f>IFERROR(INDEX($Q$4:$Q$153,MATCH(ROWS($A$4:A139),$AF$4:$AF$153,0)),"")</f>
        <v/>
      </c>
      <c r="B139" s="35" t="str">
        <f>IFERROR(INDEX($R$4:$R$153,MATCH(ROWS($A$4:A139),$AF$4:$AF$153,0)),"")</f>
        <v/>
      </c>
      <c r="C139" s="35" t="str">
        <f>IFERROR(INDEX($S$4:$S$153,MATCH(ROWS($A$4:A139),$AF$4:$AF$153,0)),"")</f>
        <v/>
      </c>
      <c r="D139" s="35" t="str">
        <f>IFERROR(INDEX($T$4:$T$153,MATCH(ROWS($A$4:A139),$AF$4:$AF$153,0)),"")</f>
        <v/>
      </c>
      <c r="E139" s="35" t="str">
        <f>IFERROR(INDEX($U$4:$U$153,MATCH(ROWS($A$4:A139),$AF$4:$AF$153,0)),"")</f>
        <v/>
      </c>
      <c r="F139" s="35" t="str">
        <f>IFERROR(INDEX($V$4:$V$153,MATCH(ROWS($A$4:A139),$AF$4:$AF$153,0)),"")</f>
        <v/>
      </c>
      <c r="G139" s="35" t="str">
        <f>IFERROR(INDEX($W$4:$W$153,MATCH(ROWS($A$4:A139),$AF$4:$AF$153,0)),"")</f>
        <v/>
      </c>
      <c r="H139" s="35" t="str">
        <f>IFERROR(INDEX($X$4:$X$153,MATCH(ROWS($A$4:A139),$AF$4:$AF$153,0)),"")</f>
        <v/>
      </c>
      <c r="I139" s="72" t="str">
        <f>IFERROR(INDEX($Y$4:$Y$153,MATCH(ROWS($A$4:A139),$AF$4:$AF$153,0)),"")</f>
        <v/>
      </c>
      <c r="J139" s="35" t="str">
        <f>IFERROR(INDEX($Z$4:$Z$153,MATCH(ROWS($A$4:A139),$AF$4:$AF$153,0)),"")</f>
        <v/>
      </c>
      <c r="K139" s="35" t="str">
        <f>IFERROR(INDEX($AA$4:$AA$153,MATCH(ROWS($A$4:A139),$AF$4:$AF$153,0)),"")</f>
        <v/>
      </c>
      <c r="L139" s="35" t="str">
        <f>IFERROR(INDEX($AB$4:$AB$153,MATCH(ROWS($A$4:A139),$AF$4:$AF$153,0)),"")</f>
        <v/>
      </c>
      <c r="M139" s="35" t="str">
        <f>IFERROR(INDEX($AC$4:$AC$153,MATCH(ROWS($A$4:A139),$AF$4:$AF$153,0)),"")</f>
        <v/>
      </c>
      <c r="N139" s="35" t="str">
        <f>IFERROR(INDEX($AD$4:$AD$153,MATCH(ROWS($A$4:A139),$AF$4:$AF$153,0)),"")</f>
        <v/>
      </c>
      <c r="Q139" t="str">
        <f>T(JAN!B141)</f>
        <v/>
      </c>
      <c r="R139" t="str">
        <f t="array" ref="R139">IF($Q139="","",_xlfn.TEXTJOIN(", ",TRUE,IF(JAN!$G141:$AK141="FL",JAN!$G$4:$AK$4,"")))</f>
        <v/>
      </c>
      <c r="S139" t="str">
        <f t="array" ref="S139">IF($Q139="","",_xlfn.TEXTJOIN(", ",TRUE,IF(FEV!$G141:$AK141="FL",FEV!$G$4:$AK$4,"")))</f>
        <v/>
      </c>
      <c r="T139" t="str">
        <f t="array" ref="T139">IF($Q139="","",_xlfn.TEXTJOIN(", ",TRUE,IF(MAR!$G141:$AK141="FL",MAR!$G$4:$AK$4,"")))</f>
        <v/>
      </c>
      <c r="U139" t="str">
        <f t="array" ref="U139">IF($Q139="","",_xlfn.TEXTJOIN(", ",TRUE,IF(ABR!$G141:$AK141="FL",ABR!$G$4:$AK$4,"")))</f>
        <v/>
      </c>
      <c r="V139" t="str">
        <f t="array" ref="V139">IF($Q139="","",_xlfn.TEXTJOIN(", ",TRUE,IF(MAI!$G141:$AK141="FL",MAI!$G$4:$AK$4,"")))</f>
        <v/>
      </c>
      <c r="W139" t="str">
        <f t="array" ref="W139">IF($Q139="","",_xlfn.TEXTJOIN(", ",TRUE,IF(JUN!$G141:$AK141="FL",JUN!$G$4:$AK$4,"")))</f>
        <v/>
      </c>
      <c r="X139" t="str">
        <f t="array" ref="X139">IF($Q139="","",_xlfn.TEXTJOIN(", ",TRUE,IF(JUL!$G141:$AK141="FL",JUL!$G$4:$AK$4,"")))</f>
        <v/>
      </c>
      <c r="Y139" t="str">
        <f t="array" ref="Y139">IF($Q139="","",_xlfn.TEXTJOIN(", ",TRUE,IF(AGO!$G141:$AK141="FL",AGO!$G$4:$AK$4,"")))</f>
        <v/>
      </c>
      <c r="Z139" t="str">
        <f t="array" ref="Z139">IF($Q139="","",_xlfn.TEXTJOIN(", ",TRUE,IF(SET!$G141:$AK141="FL",SET!$G$4:$AK$4,"")))</f>
        <v/>
      </c>
      <c r="AA139" t="str">
        <f t="array" ref="AA139">IF($Q139="","",_xlfn.TEXTJOIN(", ",TRUE,IF(OUT!$G141:$AK141="FL",OUT!$G$4:$AK$4,"")))</f>
        <v/>
      </c>
      <c r="AB139" t="str">
        <f t="array" ref="AB139">IF($Q139="","",_xlfn.TEXTJOIN(", ",TRUE,IF(NOV!$G141:$AK141="FL",NOV!$G$4:$AK$4,"")))</f>
        <v/>
      </c>
      <c r="AC139" t="str">
        <f t="array" ref="AC139">IF($Q139="","",_xlfn.TEXTJOIN(", ",TRUE,IF(DEZ!$G141:$AK141="FL",DEZ!$G$4:$AK$4,"")))</f>
        <v/>
      </c>
      <c r="AD139" t="str">
        <f>IF($Q139="","",COUNTIF(JAN!$G141:$AK141,"FL")+COUNTIF(FEV!$G141:$AK141,"FL")+COUNTIF(MAR!$G141:$AK141,"FL")+COUNTIF(ABR!$G141:$AK141,"FL")+COUNTIF(MAI!$G141:$AK141,"FL")+COUNTIF(JUN!$G141:$AK141,"FL")+COUNTIF(JUL!$G141:$AK141,"FL")+COUNTIF(AGO!$G141:$AK141,"FL")+COUNTIF(SET!$G141:$AK141,"FL")+COUNTIF(OUT!$G141:$AK141,"FL")+COUNTIF(NOV!$G141:$AK141,"FL")+COUNTIF(DEZ!$G141:$AK141,"FL"))</f>
        <v/>
      </c>
      <c r="AF139" t="str">
        <f>IF(AND($Q139&lt;&gt;"",N($AD139)&gt;0),COUNT($AF$3:AF138)+1,"")</f>
        <v/>
      </c>
    </row>
    <row r="140" spans="1:32" hidden="1" outlineLevel="1" x14ac:dyDescent="0.25">
      <c r="A140" s="36" t="str">
        <f>IFERROR(INDEX($Q$4:$Q$153,MATCH(ROWS($A$4:A140),$AF$4:$AF$153,0)),"")</f>
        <v/>
      </c>
      <c r="B140" s="35" t="str">
        <f>IFERROR(INDEX($R$4:$R$153,MATCH(ROWS($A$4:A140),$AF$4:$AF$153,0)),"")</f>
        <v/>
      </c>
      <c r="C140" s="35" t="str">
        <f>IFERROR(INDEX($S$4:$S$153,MATCH(ROWS($A$4:A140),$AF$4:$AF$153,0)),"")</f>
        <v/>
      </c>
      <c r="D140" s="35" t="str">
        <f>IFERROR(INDEX($T$4:$T$153,MATCH(ROWS($A$4:A140),$AF$4:$AF$153,0)),"")</f>
        <v/>
      </c>
      <c r="E140" s="35" t="str">
        <f>IFERROR(INDEX($U$4:$U$153,MATCH(ROWS($A$4:A140),$AF$4:$AF$153,0)),"")</f>
        <v/>
      </c>
      <c r="F140" s="35" t="str">
        <f>IFERROR(INDEX($V$4:$V$153,MATCH(ROWS($A$4:A140),$AF$4:$AF$153,0)),"")</f>
        <v/>
      </c>
      <c r="G140" s="35" t="str">
        <f>IFERROR(INDEX($W$4:$W$153,MATCH(ROWS($A$4:A140),$AF$4:$AF$153,0)),"")</f>
        <v/>
      </c>
      <c r="H140" s="35" t="str">
        <f>IFERROR(INDEX($X$4:$X$153,MATCH(ROWS($A$4:A140),$AF$4:$AF$153,0)),"")</f>
        <v/>
      </c>
      <c r="I140" s="72" t="str">
        <f>IFERROR(INDEX($Y$4:$Y$153,MATCH(ROWS($A$4:A140),$AF$4:$AF$153,0)),"")</f>
        <v/>
      </c>
      <c r="J140" s="35" t="str">
        <f>IFERROR(INDEX($Z$4:$Z$153,MATCH(ROWS($A$4:A140),$AF$4:$AF$153,0)),"")</f>
        <v/>
      </c>
      <c r="K140" s="35" t="str">
        <f>IFERROR(INDEX($AA$4:$AA$153,MATCH(ROWS($A$4:A140),$AF$4:$AF$153,0)),"")</f>
        <v/>
      </c>
      <c r="L140" s="35" t="str">
        <f>IFERROR(INDEX($AB$4:$AB$153,MATCH(ROWS($A$4:A140),$AF$4:$AF$153,0)),"")</f>
        <v/>
      </c>
      <c r="M140" s="35" t="str">
        <f>IFERROR(INDEX($AC$4:$AC$153,MATCH(ROWS($A$4:A140),$AF$4:$AF$153,0)),"")</f>
        <v/>
      </c>
      <c r="N140" s="35" t="str">
        <f>IFERROR(INDEX($AD$4:$AD$153,MATCH(ROWS($A$4:A140),$AF$4:$AF$153,0)),"")</f>
        <v/>
      </c>
      <c r="Q140" t="str">
        <f>T(JAN!B142)</f>
        <v/>
      </c>
      <c r="R140" t="str">
        <f t="array" ref="R140">IF($Q140="","",_xlfn.TEXTJOIN(", ",TRUE,IF(JAN!$G142:$AK142="FL",JAN!$G$4:$AK$4,"")))</f>
        <v/>
      </c>
      <c r="S140" t="str">
        <f t="array" ref="S140">IF($Q140="","",_xlfn.TEXTJOIN(", ",TRUE,IF(FEV!$G142:$AK142="FL",FEV!$G$4:$AK$4,"")))</f>
        <v/>
      </c>
      <c r="T140" t="str">
        <f t="array" ref="T140">IF($Q140="","",_xlfn.TEXTJOIN(", ",TRUE,IF(MAR!$G142:$AK142="FL",MAR!$G$4:$AK$4,"")))</f>
        <v/>
      </c>
      <c r="U140" t="str">
        <f t="array" ref="U140">IF($Q140="","",_xlfn.TEXTJOIN(", ",TRUE,IF(ABR!$G142:$AK142="FL",ABR!$G$4:$AK$4,"")))</f>
        <v/>
      </c>
      <c r="V140" t="str">
        <f t="array" ref="V140">IF($Q140="","",_xlfn.TEXTJOIN(", ",TRUE,IF(MAI!$G142:$AK142="FL",MAI!$G$4:$AK$4,"")))</f>
        <v/>
      </c>
      <c r="W140" t="str">
        <f t="array" ref="W140">IF($Q140="","",_xlfn.TEXTJOIN(", ",TRUE,IF(JUN!$G142:$AK142="FL",JUN!$G$4:$AK$4,"")))</f>
        <v/>
      </c>
      <c r="X140" t="str">
        <f t="array" ref="X140">IF($Q140="","",_xlfn.TEXTJOIN(", ",TRUE,IF(JUL!$G142:$AK142="FL",JUL!$G$4:$AK$4,"")))</f>
        <v/>
      </c>
      <c r="Y140" t="str">
        <f t="array" ref="Y140">IF($Q140="","",_xlfn.TEXTJOIN(", ",TRUE,IF(AGO!$G142:$AK142="FL",AGO!$G$4:$AK$4,"")))</f>
        <v/>
      </c>
      <c r="Z140" t="str">
        <f t="array" ref="Z140">IF($Q140="","",_xlfn.TEXTJOIN(", ",TRUE,IF(SET!$G142:$AK142="FL",SET!$G$4:$AK$4,"")))</f>
        <v/>
      </c>
      <c r="AA140" t="str">
        <f t="array" ref="AA140">IF($Q140="","",_xlfn.TEXTJOIN(", ",TRUE,IF(OUT!$G142:$AK142="FL",OUT!$G$4:$AK$4,"")))</f>
        <v/>
      </c>
      <c r="AB140" t="str">
        <f t="array" ref="AB140">IF($Q140="","",_xlfn.TEXTJOIN(", ",TRUE,IF(NOV!$G142:$AK142="FL",NOV!$G$4:$AK$4,"")))</f>
        <v/>
      </c>
      <c r="AC140" t="str">
        <f t="array" ref="AC140">IF($Q140="","",_xlfn.TEXTJOIN(", ",TRUE,IF(DEZ!$G142:$AK142="FL",DEZ!$G$4:$AK$4,"")))</f>
        <v/>
      </c>
      <c r="AD140" t="str">
        <f>IF($Q140="","",COUNTIF(JAN!$G142:$AK142,"FL")+COUNTIF(FEV!$G142:$AK142,"FL")+COUNTIF(MAR!$G142:$AK142,"FL")+COUNTIF(ABR!$G142:$AK142,"FL")+COUNTIF(MAI!$G142:$AK142,"FL")+COUNTIF(JUN!$G142:$AK142,"FL")+COUNTIF(JUL!$G142:$AK142,"FL")+COUNTIF(AGO!$G142:$AK142,"FL")+COUNTIF(SET!$G142:$AK142,"FL")+COUNTIF(OUT!$G142:$AK142,"FL")+COUNTIF(NOV!$G142:$AK142,"FL")+COUNTIF(DEZ!$G142:$AK142,"FL"))</f>
        <v/>
      </c>
      <c r="AF140" t="str">
        <f>IF(AND($Q140&lt;&gt;"",N($AD140)&gt;0),COUNT($AF$3:AF139)+1,"")</f>
        <v/>
      </c>
    </row>
    <row r="141" spans="1:32" hidden="1" outlineLevel="1" x14ac:dyDescent="0.25">
      <c r="A141" s="36" t="str">
        <f>IFERROR(INDEX($Q$4:$Q$153,MATCH(ROWS($A$4:A141),$AF$4:$AF$153,0)),"")</f>
        <v/>
      </c>
      <c r="B141" s="35" t="str">
        <f>IFERROR(INDEX($R$4:$R$153,MATCH(ROWS($A$4:A141),$AF$4:$AF$153,0)),"")</f>
        <v/>
      </c>
      <c r="C141" s="35" t="str">
        <f>IFERROR(INDEX($S$4:$S$153,MATCH(ROWS($A$4:A141),$AF$4:$AF$153,0)),"")</f>
        <v/>
      </c>
      <c r="D141" s="35" t="str">
        <f>IFERROR(INDEX($T$4:$T$153,MATCH(ROWS($A$4:A141),$AF$4:$AF$153,0)),"")</f>
        <v/>
      </c>
      <c r="E141" s="35" t="str">
        <f>IFERROR(INDEX($U$4:$U$153,MATCH(ROWS($A$4:A141),$AF$4:$AF$153,0)),"")</f>
        <v/>
      </c>
      <c r="F141" s="35" t="str">
        <f>IFERROR(INDEX($V$4:$V$153,MATCH(ROWS($A$4:A141),$AF$4:$AF$153,0)),"")</f>
        <v/>
      </c>
      <c r="G141" s="35" t="str">
        <f>IFERROR(INDEX($W$4:$W$153,MATCH(ROWS($A$4:A141),$AF$4:$AF$153,0)),"")</f>
        <v/>
      </c>
      <c r="H141" s="35" t="str">
        <f>IFERROR(INDEX($X$4:$X$153,MATCH(ROWS($A$4:A141),$AF$4:$AF$153,0)),"")</f>
        <v/>
      </c>
      <c r="I141" s="72" t="str">
        <f>IFERROR(INDEX($Y$4:$Y$153,MATCH(ROWS($A$4:A141),$AF$4:$AF$153,0)),"")</f>
        <v/>
      </c>
      <c r="J141" s="35" t="str">
        <f>IFERROR(INDEX($Z$4:$Z$153,MATCH(ROWS($A$4:A141),$AF$4:$AF$153,0)),"")</f>
        <v/>
      </c>
      <c r="K141" s="35" t="str">
        <f>IFERROR(INDEX($AA$4:$AA$153,MATCH(ROWS($A$4:A141),$AF$4:$AF$153,0)),"")</f>
        <v/>
      </c>
      <c r="L141" s="35" t="str">
        <f>IFERROR(INDEX($AB$4:$AB$153,MATCH(ROWS($A$4:A141),$AF$4:$AF$153,0)),"")</f>
        <v/>
      </c>
      <c r="M141" s="35" t="str">
        <f>IFERROR(INDEX($AC$4:$AC$153,MATCH(ROWS($A$4:A141),$AF$4:$AF$153,0)),"")</f>
        <v/>
      </c>
      <c r="N141" s="35" t="str">
        <f>IFERROR(INDEX($AD$4:$AD$153,MATCH(ROWS($A$4:A141),$AF$4:$AF$153,0)),"")</f>
        <v/>
      </c>
      <c r="Q141" t="str">
        <f>T(JAN!B143)</f>
        <v/>
      </c>
      <c r="R141" t="str">
        <f t="array" ref="R141">IF($Q141="","",_xlfn.TEXTJOIN(", ",TRUE,IF(JAN!$G143:$AK143="FL",JAN!$G$4:$AK$4,"")))</f>
        <v/>
      </c>
      <c r="S141" t="str">
        <f t="array" ref="S141">IF($Q141="","",_xlfn.TEXTJOIN(", ",TRUE,IF(FEV!$G143:$AK143="FL",FEV!$G$4:$AK$4,"")))</f>
        <v/>
      </c>
      <c r="T141" t="str">
        <f t="array" ref="T141">IF($Q141="","",_xlfn.TEXTJOIN(", ",TRUE,IF(MAR!$G143:$AK143="FL",MAR!$G$4:$AK$4,"")))</f>
        <v/>
      </c>
      <c r="U141" t="str">
        <f t="array" ref="U141">IF($Q141="","",_xlfn.TEXTJOIN(", ",TRUE,IF(ABR!$G143:$AK143="FL",ABR!$G$4:$AK$4,"")))</f>
        <v/>
      </c>
      <c r="V141" t="str">
        <f t="array" ref="V141">IF($Q141="","",_xlfn.TEXTJOIN(", ",TRUE,IF(MAI!$G143:$AK143="FL",MAI!$G$4:$AK$4,"")))</f>
        <v/>
      </c>
      <c r="W141" t="str">
        <f t="array" ref="W141">IF($Q141="","",_xlfn.TEXTJOIN(", ",TRUE,IF(JUN!$G143:$AK143="FL",JUN!$G$4:$AK$4,"")))</f>
        <v/>
      </c>
      <c r="X141" t="str">
        <f t="array" ref="X141">IF($Q141="","",_xlfn.TEXTJOIN(", ",TRUE,IF(JUL!$G143:$AK143="FL",JUL!$G$4:$AK$4,"")))</f>
        <v/>
      </c>
      <c r="Y141" t="str">
        <f t="array" ref="Y141">IF($Q141="","",_xlfn.TEXTJOIN(", ",TRUE,IF(AGO!$G143:$AK143="FL",AGO!$G$4:$AK$4,"")))</f>
        <v/>
      </c>
      <c r="Z141" t="str">
        <f t="array" ref="Z141">IF($Q141="","",_xlfn.TEXTJOIN(", ",TRUE,IF(SET!$G143:$AK143="FL",SET!$G$4:$AK$4,"")))</f>
        <v/>
      </c>
      <c r="AA141" t="str">
        <f t="array" ref="AA141">IF($Q141="","",_xlfn.TEXTJOIN(", ",TRUE,IF(OUT!$G143:$AK143="FL",OUT!$G$4:$AK$4,"")))</f>
        <v/>
      </c>
      <c r="AB141" t="str">
        <f t="array" ref="AB141">IF($Q141="","",_xlfn.TEXTJOIN(", ",TRUE,IF(NOV!$G143:$AK143="FL",NOV!$G$4:$AK$4,"")))</f>
        <v/>
      </c>
      <c r="AC141" t="str">
        <f t="array" ref="AC141">IF($Q141="","",_xlfn.TEXTJOIN(", ",TRUE,IF(DEZ!$G143:$AK143="FL",DEZ!$G$4:$AK$4,"")))</f>
        <v/>
      </c>
      <c r="AD141" t="str">
        <f>IF($Q141="","",COUNTIF(JAN!$G143:$AK143,"FL")+COUNTIF(FEV!$G143:$AK143,"FL")+COUNTIF(MAR!$G143:$AK143,"FL")+COUNTIF(ABR!$G143:$AK143,"FL")+COUNTIF(MAI!$G143:$AK143,"FL")+COUNTIF(JUN!$G143:$AK143,"FL")+COUNTIF(JUL!$G143:$AK143,"FL")+COUNTIF(AGO!$G143:$AK143,"FL")+COUNTIF(SET!$G143:$AK143,"FL")+COUNTIF(OUT!$G143:$AK143,"FL")+COUNTIF(NOV!$G143:$AK143,"FL")+COUNTIF(DEZ!$G143:$AK143,"FL"))</f>
        <v/>
      </c>
      <c r="AF141" t="str">
        <f>IF(AND($Q141&lt;&gt;"",N($AD141)&gt;0),COUNT($AF$3:AF140)+1,"")</f>
        <v/>
      </c>
    </row>
    <row r="142" spans="1:32" hidden="1" outlineLevel="1" x14ac:dyDescent="0.25">
      <c r="A142" s="36" t="str">
        <f>IFERROR(INDEX($Q$4:$Q$153,MATCH(ROWS($A$4:A142),$AF$4:$AF$153,0)),"")</f>
        <v/>
      </c>
      <c r="B142" s="35" t="str">
        <f>IFERROR(INDEX($R$4:$R$153,MATCH(ROWS($A$4:A142),$AF$4:$AF$153,0)),"")</f>
        <v/>
      </c>
      <c r="C142" s="35" t="str">
        <f>IFERROR(INDEX($S$4:$S$153,MATCH(ROWS($A$4:A142),$AF$4:$AF$153,0)),"")</f>
        <v/>
      </c>
      <c r="D142" s="35" t="str">
        <f>IFERROR(INDEX($T$4:$T$153,MATCH(ROWS($A$4:A142),$AF$4:$AF$153,0)),"")</f>
        <v/>
      </c>
      <c r="E142" s="35" t="str">
        <f>IFERROR(INDEX($U$4:$U$153,MATCH(ROWS($A$4:A142),$AF$4:$AF$153,0)),"")</f>
        <v/>
      </c>
      <c r="F142" s="35" t="str">
        <f>IFERROR(INDEX($V$4:$V$153,MATCH(ROWS($A$4:A142),$AF$4:$AF$153,0)),"")</f>
        <v/>
      </c>
      <c r="G142" s="35" t="str">
        <f>IFERROR(INDEX($W$4:$W$153,MATCH(ROWS($A$4:A142),$AF$4:$AF$153,0)),"")</f>
        <v/>
      </c>
      <c r="H142" s="35" t="str">
        <f>IFERROR(INDEX($X$4:$X$153,MATCH(ROWS($A$4:A142),$AF$4:$AF$153,0)),"")</f>
        <v/>
      </c>
      <c r="I142" s="72" t="str">
        <f>IFERROR(INDEX($Y$4:$Y$153,MATCH(ROWS($A$4:A142),$AF$4:$AF$153,0)),"")</f>
        <v/>
      </c>
      <c r="J142" s="35" t="str">
        <f>IFERROR(INDEX($Z$4:$Z$153,MATCH(ROWS($A$4:A142),$AF$4:$AF$153,0)),"")</f>
        <v/>
      </c>
      <c r="K142" s="35" t="str">
        <f>IFERROR(INDEX($AA$4:$AA$153,MATCH(ROWS($A$4:A142),$AF$4:$AF$153,0)),"")</f>
        <v/>
      </c>
      <c r="L142" s="35" t="str">
        <f>IFERROR(INDEX($AB$4:$AB$153,MATCH(ROWS($A$4:A142),$AF$4:$AF$153,0)),"")</f>
        <v/>
      </c>
      <c r="M142" s="35" t="str">
        <f>IFERROR(INDEX($AC$4:$AC$153,MATCH(ROWS($A$4:A142),$AF$4:$AF$153,0)),"")</f>
        <v/>
      </c>
      <c r="N142" s="35" t="str">
        <f>IFERROR(INDEX($AD$4:$AD$153,MATCH(ROWS($A$4:A142),$AF$4:$AF$153,0)),"")</f>
        <v/>
      </c>
      <c r="Q142" t="str">
        <f>T(JAN!B144)</f>
        <v/>
      </c>
      <c r="R142" t="str">
        <f t="array" ref="R142">IF($Q142="","",_xlfn.TEXTJOIN(", ",TRUE,IF(JAN!$G144:$AK144="FL",JAN!$G$4:$AK$4,"")))</f>
        <v/>
      </c>
      <c r="S142" t="str">
        <f t="array" ref="S142">IF($Q142="","",_xlfn.TEXTJOIN(", ",TRUE,IF(FEV!$G144:$AK144="FL",FEV!$G$4:$AK$4,"")))</f>
        <v/>
      </c>
      <c r="T142" t="str">
        <f t="array" ref="T142">IF($Q142="","",_xlfn.TEXTJOIN(", ",TRUE,IF(MAR!$G144:$AK144="FL",MAR!$G$4:$AK$4,"")))</f>
        <v/>
      </c>
      <c r="U142" t="str">
        <f t="array" ref="U142">IF($Q142="","",_xlfn.TEXTJOIN(", ",TRUE,IF(ABR!$G144:$AK144="FL",ABR!$G$4:$AK$4,"")))</f>
        <v/>
      </c>
      <c r="V142" t="str">
        <f t="array" ref="V142">IF($Q142="","",_xlfn.TEXTJOIN(", ",TRUE,IF(MAI!$G144:$AK144="FL",MAI!$G$4:$AK$4,"")))</f>
        <v/>
      </c>
      <c r="W142" t="str">
        <f t="array" ref="W142">IF($Q142="","",_xlfn.TEXTJOIN(", ",TRUE,IF(JUN!$G144:$AK144="FL",JUN!$G$4:$AK$4,"")))</f>
        <v/>
      </c>
      <c r="X142" t="str">
        <f t="array" ref="X142">IF($Q142="","",_xlfn.TEXTJOIN(", ",TRUE,IF(JUL!$G144:$AK144="FL",JUL!$G$4:$AK$4,"")))</f>
        <v/>
      </c>
      <c r="Y142" t="str">
        <f t="array" ref="Y142">IF($Q142="","",_xlfn.TEXTJOIN(", ",TRUE,IF(AGO!$G144:$AK144="FL",AGO!$G$4:$AK$4,"")))</f>
        <v/>
      </c>
      <c r="Z142" t="str">
        <f t="array" ref="Z142">IF($Q142="","",_xlfn.TEXTJOIN(", ",TRUE,IF(SET!$G144:$AK144="FL",SET!$G$4:$AK$4,"")))</f>
        <v/>
      </c>
      <c r="AA142" t="str">
        <f t="array" ref="AA142">IF($Q142="","",_xlfn.TEXTJOIN(", ",TRUE,IF(OUT!$G144:$AK144="FL",OUT!$G$4:$AK$4,"")))</f>
        <v/>
      </c>
      <c r="AB142" t="str">
        <f t="array" ref="AB142">IF($Q142="","",_xlfn.TEXTJOIN(", ",TRUE,IF(NOV!$G144:$AK144="FL",NOV!$G$4:$AK$4,"")))</f>
        <v/>
      </c>
      <c r="AC142" t="str">
        <f t="array" ref="AC142">IF($Q142="","",_xlfn.TEXTJOIN(", ",TRUE,IF(DEZ!$G144:$AK144="FL",DEZ!$G$4:$AK$4,"")))</f>
        <v/>
      </c>
      <c r="AD142" t="str">
        <f>IF($Q142="","",COUNTIF(JAN!$G144:$AK144,"FL")+COUNTIF(FEV!$G144:$AK144,"FL")+COUNTIF(MAR!$G144:$AK144,"FL")+COUNTIF(ABR!$G144:$AK144,"FL")+COUNTIF(MAI!$G144:$AK144,"FL")+COUNTIF(JUN!$G144:$AK144,"FL")+COUNTIF(JUL!$G144:$AK144,"FL")+COUNTIF(AGO!$G144:$AK144,"FL")+COUNTIF(SET!$G144:$AK144,"FL")+COUNTIF(OUT!$G144:$AK144,"FL")+COUNTIF(NOV!$G144:$AK144,"FL")+COUNTIF(DEZ!$G144:$AK144,"FL"))</f>
        <v/>
      </c>
      <c r="AF142" t="str">
        <f>IF(AND($Q142&lt;&gt;"",N($AD142)&gt;0),COUNT($AF$3:AF141)+1,"")</f>
        <v/>
      </c>
    </row>
    <row r="143" spans="1:32" hidden="1" outlineLevel="1" x14ac:dyDescent="0.25">
      <c r="A143" s="36" t="str">
        <f>IFERROR(INDEX($Q$4:$Q$153,MATCH(ROWS($A$4:A143),$AF$4:$AF$153,0)),"")</f>
        <v/>
      </c>
      <c r="B143" s="35" t="str">
        <f>IFERROR(INDEX($R$4:$R$153,MATCH(ROWS($A$4:A143),$AF$4:$AF$153,0)),"")</f>
        <v/>
      </c>
      <c r="C143" s="35" t="str">
        <f>IFERROR(INDEX($S$4:$S$153,MATCH(ROWS($A$4:A143),$AF$4:$AF$153,0)),"")</f>
        <v/>
      </c>
      <c r="D143" s="35" t="str">
        <f>IFERROR(INDEX($T$4:$T$153,MATCH(ROWS($A$4:A143),$AF$4:$AF$153,0)),"")</f>
        <v/>
      </c>
      <c r="E143" s="35" t="str">
        <f>IFERROR(INDEX($U$4:$U$153,MATCH(ROWS($A$4:A143),$AF$4:$AF$153,0)),"")</f>
        <v/>
      </c>
      <c r="F143" s="35" t="str">
        <f>IFERROR(INDEX($V$4:$V$153,MATCH(ROWS($A$4:A143),$AF$4:$AF$153,0)),"")</f>
        <v/>
      </c>
      <c r="G143" s="35" t="str">
        <f>IFERROR(INDEX($W$4:$W$153,MATCH(ROWS($A$4:A143),$AF$4:$AF$153,0)),"")</f>
        <v/>
      </c>
      <c r="H143" s="35" t="str">
        <f>IFERROR(INDEX($X$4:$X$153,MATCH(ROWS($A$4:A143),$AF$4:$AF$153,0)),"")</f>
        <v/>
      </c>
      <c r="I143" s="72" t="str">
        <f>IFERROR(INDEX($Y$4:$Y$153,MATCH(ROWS($A$4:A143),$AF$4:$AF$153,0)),"")</f>
        <v/>
      </c>
      <c r="J143" s="35" t="str">
        <f>IFERROR(INDEX($Z$4:$Z$153,MATCH(ROWS($A$4:A143),$AF$4:$AF$153,0)),"")</f>
        <v/>
      </c>
      <c r="K143" s="35" t="str">
        <f>IFERROR(INDEX($AA$4:$AA$153,MATCH(ROWS($A$4:A143),$AF$4:$AF$153,0)),"")</f>
        <v/>
      </c>
      <c r="L143" s="35" t="str">
        <f>IFERROR(INDEX($AB$4:$AB$153,MATCH(ROWS($A$4:A143),$AF$4:$AF$153,0)),"")</f>
        <v/>
      </c>
      <c r="M143" s="35" t="str">
        <f>IFERROR(INDEX($AC$4:$AC$153,MATCH(ROWS($A$4:A143),$AF$4:$AF$153,0)),"")</f>
        <v/>
      </c>
      <c r="N143" s="35" t="str">
        <f>IFERROR(INDEX($AD$4:$AD$153,MATCH(ROWS($A$4:A143),$AF$4:$AF$153,0)),"")</f>
        <v/>
      </c>
      <c r="Q143" t="str">
        <f>T(JAN!B145)</f>
        <v/>
      </c>
      <c r="R143" t="str">
        <f t="array" ref="R143">IF($Q143="","",_xlfn.TEXTJOIN(", ",TRUE,IF(JAN!$G145:$AK145="FL",JAN!$G$4:$AK$4,"")))</f>
        <v/>
      </c>
      <c r="S143" t="str">
        <f t="array" ref="S143">IF($Q143="","",_xlfn.TEXTJOIN(", ",TRUE,IF(FEV!$G145:$AK145="FL",FEV!$G$4:$AK$4,"")))</f>
        <v/>
      </c>
      <c r="T143" t="str">
        <f t="array" ref="T143">IF($Q143="","",_xlfn.TEXTJOIN(", ",TRUE,IF(MAR!$G145:$AK145="FL",MAR!$G$4:$AK$4,"")))</f>
        <v/>
      </c>
      <c r="U143" t="str">
        <f t="array" ref="U143">IF($Q143="","",_xlfn.TEXTJOIN(", ",TRUE,IF(ABR!$G145:$AK145="FL",ABR!$G$4:$AK$4,"")))</f>
        <v/>
      </c>
      <c r="V143" t="str">
        <f t="array" ref="V143">IF($Q143="","",_xlfn.TEXTJOIN(", ",TRUE,IF(MAI!$G145:$AK145="FL",MAI!$G$4:$AK$4,"")))</f>
        <v/>
      </c>
      <c r="W143" t="str">
        <f t="array" ref="W143">IF($Q143="","",_xlfn.TEXTJOIN(", ",TRUE,IF(JUN!$G145:$AK145="FL",JUN!$G$4:$AK$4,"")))</f>
        <v/>
      </c>
      <c r="X143" t="str">
        <f t="array" ref="X143">IF($Q143="","",_xlfn.TEXTJOIN(", ",TRUE,IF(JUL!$G145:$AK145="FL",JUL!$G$4:$AK$4,"")))</f>
        <v/>
      </c>
      <c r="Y143" t="str">
        <f t="array" ref="Y143">IF($Q143="","",_xlfn.TEXTJOIN(", ",TRUE,IF(AGO!$G145:$AK145="FL",AGO!$G$4:$AK$4,"")))</f>
        <v/>
      </c>
      <c r="Z143" t="str">
        <f t="array" ref="Z143">IF($Q143="","",_xlfn.TEXTJOIN(", ",TRUE,IF(SET!$G145:$AK145="FL",SET!$G$4:$AK$4,"")))</f>
        <v/>
      </c>
      <c r="AA143" t="str">
        <f t="array" ref="AA143">IF($Q143="","",_xlfn.TEXTJOIN(", ",TRUE,IF(OUT!$G145:$AK145="FL",OUT!$G$4:$AK$4,"")))</f>
        <v/>
      </c>
      <c r="AB143" t="str">
        <f t="array" ref="AB143">IF($Q143="","",_xlfn.TEXTJOIN(", ",TRUE,IF(NOV!$G145:$AK145="FL",NOV!$G$4:$AK$4,"")))</f>
        <v/>
      </c>
      <c r="AC143" t="str">
        <f t="array" ref="AC143">IF($Q143="","",_xlfn.TEXTJOIN(", ",TRUE,IF(DEZ!$G145:$AK145="FL",DEZ!$G$4:$AK$4,"")))</f>
        <v/>
      </c>
      <c r="AD143" t="str">
        <f>IF($Q143="","",COUNTIF(JAN!$G145:$AK145,"FL")+COUNTIF(FEV!$G145:$AK145,"FL")+COUNTIF(MAR!$G145:$AK145,"FL")+COUNTIF(ABR!$G145:$AK145,"FL")+COUNTIF(MAI!$G145:$AK145,"FL")+COUNTIF(JUN!$G145:$AK145,"FL")+COUNTIF(JUL!$G145:$AK145,"FL")+COUNTIF(AGO!$G145:$AK145,"FL")+COUNTIF(SET!$G145:$AK145,"FL")+COUNTIF(OUT!$G145:$AK145,"FL")+COUNTIF(NOV!$G145:$AK145,"FL")+COUNTIF(DEZ!$G145:$AK145,"FL"))</f>
        <v/>
      </c>
      <c r="AF143" t="str">
        <f>IF(AND($Q143&lt;&gt;"",N($AD143)&gt;0),COUNT($AF$3:AF142)+1,"")</f>
        <v/>
      </c>
    </row>
    <row r="144" spans="1:32" hidden="1" outlineLevel="1" x14ac:dyDescent="0.25">
      <c r="A144" s="36" t="str">
        <f>IFERROR(INDEX($Q$4:$Q$153,MATCH(ROWS($A$4:A144),$AF$4:$AF$153,0)),"")</f>
        <v/>
      </c>
      <c r="B144" s="35" t="str">
        <f>IFERROR(INDEX($R$4:$R$153,MATCH(ROWS($A$4:A144),$AF$4:$AF$153,0)),"")</f>
        <v/>
      </c>
      <c r="C144" s="35" t="str">
        <f>IFERROR(INDEX($S$4:$S$153,MATCH(ROWS($A$4:A144),$AF$4:$AF$153,0)),"")</f>
        <v/>
      </c>
      <c r="D144" s="35" t="str">
        <f>IFERROR(INDEX($T$4:$T$153,MATCH(ROWS($A$4:A144),$AF$4:$AF$153,0)),"")</f>
        <v/>
      </c>
      <c r="E144" s="35" t="str">
        <f>IFERROR(INDEX($U$4:$U$153,MATCH(ROWS($A$4:A144),$AF$4:$AF$153,0)),"")</f>
        <v/>
      </c>
      <c r="F144" s="35" t="str">
        <f>IFERROR(INDEX($V$4:$V$153,MATCH(ROWS($A$4:A144),$AF$4:$AF$153,0)),"")</f>
        <v/>
      </c>
      <c r="G144" s="35" t="str">
        <f>IFERROR(INDEX($W$4:$W$153,MATCH(ROWS($A$4:A144),$AF$4:$AF$153,0)),"")</f>
        <v/>
      </c>
      <c r="H144" s="35" t="str">
        <f>IFERROR(INDEX($X$4:$X$153,MATCH(ROWS($A$4:A144),$AF$4:$AF$153,0)),"")</f>
        <v/>
      </c>
      <c r="I144" s="72" t="str">
        <f>IFERROR(INDEX($Y$4:$Y$153,MATCH(ROWS($A$4:A144),$AF$4:$AF$153,0)),"")</f>
        <v/>
      </c>
      <c r="J144" s="35" t="str">
        <f>IFERROR(INDEX($Z$4:$Z$153,MATCH(ROWS($A$4:A144),$AF$4:$AF$153,0)),"")</f>
        <v/>
      </c>
      <c r="K144" s="35" t="str">
        <f>IFERROR(INDEX($AA$4:$AA$153,MATCH(ROWS($A$4:A144),$AF$4:$AF$153,0)),"")</f>
        <v/>
      </c>
      <c r="L144" s="35" t="str">
        <f>IFERROR(INDEX($AB$4:$AB$153,MATCH(ROWS($A$4:A144),$AF$4:$AF$153,0)),"")</f>
        <v/>
      </c>
      <c r="M144" s="35" t="str">
        <f>IFERROR(INDEX($AC$4:$AC$153,MATCH(ROWS($A$4:A144),$AF$4:$AF$153,0)),"")</f>
        <v/>
      </c>
      <c r="N144" s="35" t="str">
        <f>IFERROR(INDEX($AD$4:$AD$153,MATCH(ROWS($A$4:A144),$AF$4:$AF$153,0)),"")</f>
        <v/>
      </c>
      <c r="Q144" t="str">
        <f>T(JAN!B146)</f>
        <v/>
      </c>
      <c r="R144" t="str">
        <f t="array" ref="R144">IF($Q144="","",_xlfn.TEXTJOIN(", ",TRUE,IF(JAN!$G146:$AK146="FL",JAN!$G$4:$AK$4,"")))</f>
        <v/>
      </c>
      <c r="S144" t="str">
        <f t="array" ref="S144">IF($Q144="","",_xlfn.TEXTJOIN(", ",TRUE,IF(FEV!$G146:$AK146="FL",FEV!$G$4:$AK$4,"")))</f>
        <v/>
      </c>
      <c r="T144" t="str">
        <f t="array" ref="T144">IF($Q144="","",_xlfn.TEXTJOIN(", ",TRUE,IF(MAR!$G146:$AK146="FL",MAR!$G$4:$AK$4,"")))</f>
        <v/>
      </c>
      <c r="U144" t="str">
        <f t="array" ref="U144">IF($Q144="","",_xlfn.TEXTJOIN(", ",TRUE,IF(ABR!$G146:$AK146="FL",ABR!$G$4:$AK$4,"")))</f>
        <v/>
      </c>
      <c r="V144" t="str">
        <f t="array" ref="V144">IF($Q144="","",_xlfn.TEXTJOIN(", ",TRUE,IF(MAI!$G146:$AK146="FL",MAI!$G$4:$AK$4,"")))</f>
        <v/>
      </c>
      <c r="W144" t="str">
        <f t="array" ref="W144">IF($Q144="","",_xlfn.TEXTJOIN(", ",TRUE,IF(JUN!$G146:$AK146="FL",JUN!$G$4:$AK$4,"")))</f>
        <v/>
      </c>
      <c r="X144" t="str">
        <f t="array" ref="X144">IF($Q144="","",_xlfn.TEXTJOIN(", ",TRUE,IF(JUL!$G146:$AK146="FL",JUL!$G$4:$AK$4,"")))</f>
        <v/>
      </c>
      <c r="Y144" t="str">
        <f t="array" ref="Y144">IF($Q144="","",_xlfn.TEXTJOIN(", ",TRUE,IF(AGO!$G146:$AK146="FL",AGO!$G$4:$AK$4,"")))</f>
        <v/>
      </c>
      <c r="Z144" t="str">
        <f t="array" ref="Z144">IF($Q144="","",_xlfn.TEXTJOIN(", ",TRUE,IF(SET!$G146:$AK146="FL",SET!$G$4:$AK$4,"")))</f>
        <v/>
      </c>
      <c r="AA144" t="str">
        <f t="array" ref="AA144">IF($Q144="","",_xlfn.TEXTJOIN(", ",TRUE,IF(OUT!$G146:$AK146="FL",OUT!$G$4:$AK$4,"")))</f>
        <v/>
      </c>
      <c r="AB144" t="str">
        <f t="array" ref="AB144">IF($Q144="","",_xlfn.TEXTJOIN(", ",TRUE,IF(NOV!$G146:$AK146="FL",NOV!$G$4:$AK$4,"")))</f>
        <v/>
      </c>
      <c r="AC144" t="str">
        <f t="array" ref="AC144">IF($Q144="","",_xlfn.TEXTJOIN(", ",TRUE,IF(DEZ!$G146:$AK146="FL",DEZ!$G$4:$AK$4,"")))</f>
        <v/>
      </c>
      <c r="AD144" t="str">
        <f>IF($Q144="","",COUNTIF(JAN!$G146:$AK146,"FL")+COUNTIF(FEV!$G146:$AK146,"FL")+COUNTIF(MAR!$G146:$AK146,"FL")+COUNTIF(ABR!$G146:$AK146,"FL")+COUNTIF(MAI!$G146:$AK146,"FL")+COUNTIF(JUN!$G146:$AK146,"FL")+COUNTIF(JUL!$G146:$AK146,"FL")+COUNTIF(AGO!$G146:$AK146,"FL")+COUNTIF(SET!$G146:$AK146,"FL")+COUNTIF(OUT!$G146:$AK146,"FL")+COUNTIF(NOV!$G146:$AK146,"FL")+COUNTIF(DEZ!$G146:$AK146,"FL"))</f>
        <v/>
      </c>
      <c r="AF144" t="str">
        <f>IF(AND($Q144&lt;&gt;"",N($AD144)&gt;0),COUNT($AF$3:AF143)+1,"")</f>
        <v/>
      </c>
    </row>
    <row r="145" spans="1:32" hidden="1" outlineLevel="1" x14ac:dyDescent="0.25">
      <c r="A145" s="36" t="str">
        <f>IFERROR(INDEX($Q$4:$Q$153,MATCH(ROWS($A$4:A145),$AF$4:$AF$153,0)),"")</f>
        <v/>
      </c>
      <c r="B145" s="35" t="str">
        <f>IFERROR(INDEX($R$4:$R$153,MATCH(ROWS($A$4:A145),$AF$4:$AF$153,0)),"")</f>
        <v/>
      </c>
      <c r="C145" s="35" t="str">
        <f>IFERROR(INDEX($S$4:$S$153,MATCH(ROWS($A$4:A145),$AF$4:$AF$153,0)),"")</f>
        <v/>
      </c>
      <c r="D145" s="35" t="str">
        <f>IFERROR(INDEX($T$4:$T$153,MATCH(ROWS($A$4:A145),$AF$4:$AF$153,0)),"")</f>
        <v/>
      </c>
      <c r="E145" s="35" t="str">
        <f>IFERROR(INDEX($U$4:$U$153,MATCH(ROWS($A$4:A145),$AF$4:$AF$153,0)),"")</f>
        <v/>
      </c>
      <c r="F145" s="35" t="str">
        <f>IFERROR(INDEX($V$4:$V$153,MATCH(ROWS($A$4:A145),$AF$4:$AF$153,0)),"")</f>
        <v/>
      </c>
      <c r="G145" s="35" t="str">
        <f>IFERROR(INDEX($W$4:$W$153,MATCH(ROWS($A$4:A145),$AF$4:$AF$153,0)),"")</f>
        <v/>
      </c>
      <c r="H145" s="35" t="str">
        <f>IFERROR(INDEX($X$4:$X$153,MATCH(ROWS($A$4:A145),$AF$4:$AF$153,0)),"")</f>
        <v/>
      </c>
      <c r="I145" s="72" t="str">
        <f>IFERROR(INDEX($Y$4:$Y$153,MATCH(ROWS($A$4:A145),$AF$4:$AF$153,0)),"")</f>
        <v/>
      </c>
      <c r="J145" s="35" t="str">
        <f>IFERROR(INDEX($Z$4:$Z$153,MATCH(ROWS($A$4:A145),$AF$4:$AF$153,0)),"")</f>
        <v/>
      </c>
      <c r="K145" s="35" t="str">
        <f>IFERROR(INDEX($AA$4:$AA$153,MATCH(ROWS($A$4:A145),$AF$4:$AF$153,0)),"")</f>
        <v/>
      </c>
      <c r="L145" s="35" t="str">
        <f>IFERROR(INDEX($AB$4:$AB$153,MATCH(ROWS($A$4:A145),$AF$4:$AF$153,0)),"")</f>
        <v/>
      </c>
      <c r="M145" s="35" t="str">
        <f>IFERROR(INDEX($AC$4:$AC$153,MATCH(ROWS($A$4:A145),$AF$4:$AF$153,0)),"")</f>
        <v/>
      </c>
      <c r="N145" s="35" t="str">
        <f>IFERROR(INDEX($AD$4:$AD$153,MATCH(ROWS($A$4:A145),$AF$4:$AF$153,0)),"")</f>
        <v/>
      </c>
      <c r="Q145" t="str">
        <f>T(JAN!B147)</f>
        <v/>
      </c>
      <c r="R145" t="str">
        <f t="array" ref="R145">IF($Q145="","",_xlfn.TEXTJOIN(", ",TRUE,IF(JAN!$G147:$AK147="FL",JAN!$G$4:$AK$4,"")))</f>
        <v/>
      </c>
      <c r="S145" t="str">
        <f t="array" ref="S145">IF($Q145="","",_xlfn.TEXTJOIN(", ",TRUE,IF(FEV!$G147:$AK147="FL",FEV!$G$4:$AK$4,"")))</f>
        <v/>
      </c>
      <c r="T145" t="str">
        <f t="array" ref="T145">IF($Q145="","",_xlfn.TEXTJOIN(", ",TRUE,IF(MAR!$G147:$AK147="FL",MAR!$G$4:$AK$4,"")))</f>
        <v/>
      </c>
      <c r="U145" t="str">
        <f t="array" ref="U145">IF($Q145="","",_xlfn.TEXTJOIN(", ",TRUE,IF(ABR!$G147:$AK147="FL",ABR!$G$4:$AK$4,"")))</f>
        <v/>
      </c>
      <c r="V145" t="str">
        <f t="array" ref="V145">IF($Q145="","",_xlfn.TEXTJOIN(", ",TRUE,IF(MAI!$G147:$AK147="FL",MAI!$G$4:$AK$4,"")))</f>
        <v/>
      </c>
      <c r="W145" t="str">
        <f t="array" ref="W145">IF($Q145="","",_xlfn.TEXTJOIN(", ",TRUE,IF(JUN!$G147:$AK147="FL",JUN!$G$4:$AK$4,"")))</f>
        <v/>
      </c>
      <c r="X145" t="str">
        <f t="array" ref="X145">IF($Q145="","",_xlfn.TEXTJOIN(", ",TRUE,IF(JUL!$G147:$AK147="FL",JUL!$G$4:$AK$4,"")))</f>
        <v/>
      </c>
      <c r="Y145" t="str">
        <f t="array" ref="Y145">IF($Q145="","",_xlfn.TEXTJOIN(", ",TRUE,IF(AGO!$G147:$AK147="FL",AGO!$G$4:$AK$4,"")))</f>
        <v/>
      </c>
      <c r="Z145" t="str">
        <f t="array" ref="Z145">IF($Q145="","",_xlfn.TEXTJOIN(", ",TRUE,IF(SET!$G147:$AK147="FL",SET!$G$4:$AK$4,"")))</f>
        <v/>
      </c>
      <c r="AA145" t="str">
        <f t="array" ref="AA145">IF($Q145="","",_xlfn.TEXTJOIN(", ",TRUE,IF(OUT!$G147:$AK147="FL",OUT!$G$4:$AK$4,"")))</f>
        <v/>
      </c>
      <c r="AB145" t="str">
        <f t="array" ref="AB145">IF($Q145="","",_xlfn.TEXTJOIN(", ",TRUE,IF(NOV!$G147:$AK147="FL",NOV!$G$4:$AK$4,"")))</f>
        <v/>
      </c>
      <c r="AC145" t="str">
        <f t="array" ref="AC145">IF($Q145="","",_xlfn.TEXTJOIN(", ",TRUE,IF(DEZ!$G147:$AK147="FL",DEZ!$G$4:$AK$4,"")))</f>
        <v/>
      </c>
      <c r="AD145" t="str">
        <f>IF($Q145="","",COUNTIF(JAN!$G147:$AK147,"FL")+COUNTIF(FEV!$G147:$AK147,"FL")+COUNTIF(MAR!$G147:$AK147,"FL")+COUNTIF(ABR!$G147:$AK147,"FL")+COUNTIF(MAI!$G147:$AK147,"FL")+COUNTIF(JUN!$G147:$AK147,"FL")+COUNTIF(JUL!$G147:$AK147,"FL")+COUNTIF(AGO!$G147:$AK147,"FL")+COUNTIF(SET!$G147:$AK147,"FL")+COUNTIF(OUT!$G147:$AK147,"FL")+COUNTIF(NOV!$G147:$AK147,"FL")+COUNTIF(DEZ!$G147:$AK147,"FL"))</f>
        <v/>
      </c>
      <c r="AF145" t="str">
        <f>IF(AND($Q145&lt;&gt;"",N($AD145)&gt;0),COUNT($AF$3:AF144)+1,"")</f>
        <v/>
      </c>
    </row>
    <row r="146" spans="1:32" hidden="1" outlineLevel="1" x14ac:dyDescent="0.25">
      <c r="A146" s="36" t="str">
        <f>IFERROR(INDEX($Q$4:$Q$153,MATCH(ROWS($A$4:A146),$AF$4:$AF$153,0)),"")</f>
        <v/>
      </c>
      <c r="B146" s="35" t="str">
        <f>IFERROR(INDEX($R$4:$R$153,MATCH(ROWS($A$4:A146),$AF$4:$AF$153,0)),"")</f>
        <v/>
      </c>
      <c r="C146" s="35" t="str">
        <f>IFERROR(INDEX($S$4:$S$153,MATCH(ROWS($A$4:A146),$AF$4:$AF$153,0)),"")</f>
        <v/>
      </c>
      <c r="D146" s="35" t="str">
        <f>IFERROR(INDEX($T$4:$T$153,MATCH(ROWS($A$4:A146),$AF$4:$AF$153,0)),"")</f>
        <v/>
      </c>
      <c r="E146" s="35" t="str">
        <f>IFERROR(INDEX($U$4:$U$153,MATCH(ROWS($A$4:A146),$AF$4:$AF$153,0)),"")</f>
        <v/>
      </c>
      <c r="F146" s="35" t="str">
        <f>IFERROR(INDEX($V$4:$V$153,MATCH(ROWS($A$4:A146),$AF$4:$AF$153,0)),"")</f>
        <v/>
      </c>
      <c r="G146" s="35" t="str">
        <f>IFERROR(INDEX($W$4:$W$153,MATCH(ROWS($A$4:A146),$AF$4:$AF$153,0)),"")</f>
        <v/>
      </c>
      <c r="H146" s="35" t="str">
        <f>IFERROR(INDEX($X$4:$X$153,MATCH(ROWS($A$4:A146),$AF$4:$AF$153,0)),"")</f>
        <v/>
      </c>
      <c r="I146" s="72" t="str">
        <f>IFERROR(INDEX($Y$4:$Y$153,MATCH(ROWS($A$4:A146),$AF$4:$AF$153,0)),"")</f>
        <v/>
      </c>
      <c r="J146" s="35" t="str">
        <f>IFERROR(INDEX($Z$4:$Z$153,MATCH(ROWS($A$4:A146),$AF$4:$AF$153,0)),"")</f>
        <v/>
      </c>
      <c r="K146" s="35" t="str">
        <f>IFERROR(INDEX($AA$4:$AA$153,MATCH(ROWS($A$4:A146),$AF$4:$AF$153,0)),"")</f>
        <v/>
      </c>
      <c r="L146" s="35" t="str">
        <f>IFERROR(INDEX($AB$4:$AB$153,MATCH(ROWS($A$4:A146),$AF$4:$AF$153,0)),"")</f>
        <v/>
      </c>
      <c r="M146" s="35" t="str">
        <f>IFERROR(INDEX($AC$4:$AC$153,MATCH(ROWS($A$4:A146),$AF$4:$AF$153,0)),"")</f>
        <v/>
      </c>
      <c r="N146" s="35" t="str">
        <f>IFERROR(INDEX($AD$4:$AD$153,MATCH(ROWS($A$4:A146),$AF$4:$AF$153,0)),"")</f>
        <v/>
      </c>
      <c r="Q146" t="str">
        <f>T(JAN!B148)</f>
        <v/>
      </c>
      <c r="R146" t="str">
        <f t="array" ref="R146">IF($Q146="","",_xlfn.TEXTJOIN(", ",TRUE,IF(JAN!$G148:$AK148="FL",JAN!$G$4:$AK$4,"")))</f>
        <v/>
      </c>
      <c r="S146" t="str">
        <f t="array" ref="S146">IF($Q146="","",_xlfn.TEXTJOIN(", ",TRUE,IF(FEV!$G148:$AK148="FL",FEV!$G$4:$AK$4,"")))</f>
        <v/>
      </c>
      <c r="T146" t="str">
        <f t="array" ref="T146">IF($Q146="","",_xlfn.TEXTJOIN(", ",TRUE,IF(MAR!$G148:$AK148="FL",MAR!$G$4:$AK$4,"")))</f>
        <v/>
      </c>
      <c r="U146" t="str">
        <f t="array" ref="U146">IF($Q146="","",_xlfn.TEXTJOIN(", ",TRUE,IF(ABR!$G148:$AK148="FL",ABR!$G$4:$AK$4,"")))</f>
        <v/>
      </c>
      <c r="V146" t="str">
        <f t="array" ref="V146">IF($Q146="","",_xlfn.TEXTJOIN(", ",TRUE,IF(MAI!$G148:$AK148="FL",MAI!$G$4:$AK$4,"")))</f>
        <v/>
      </c>
      <c r="W146" t="str">
        <f t="array" ref="W146">IF($Q146="","",_xlfn.TEXTJOIN(", ",TRUE,IF(JUN!$G148:$AK148="FL",JUN!$G$4:$AK$4,"")))</f>
        <v/>
      </c>
      <c r="X146" t="str">
        <f t="array" ref="X146">IF($Q146="","",_xlfn.TEXTJOIN(", ",TRUE,IF(JUL!$G148:$AK148="FL",JUL!$G$4:$AK$4,"")))</f>
        <v/>
      </c>
      <c r="Y146" t="str">
        <f t="array" ref="Y146">IF($Q146="","",_xlfn.TEXTJOIN(", ",TRUE,IF(AGO!$G148:$AK148="FL",AGO!$G$4:$AK$4,"")))</f>
        <v/>
      </c>
      <c r="Z146" t="str">
        <f t="array" ref="Z146">IF($Q146="","",_xlfn.TEXTJOIN(", ",TRUE,IF(SET!$G148:$AK148="FL",SET!$G$4:$AK$4,"")))</f>
        <v/>
      </c>
      <c r="AA146" t="str">
        <f t="array" ref="AA146">IF($Q146="","",_xlfn.TEXTJOIN(", ",TRUE,IF(OUT!$G148:$AK148="FL",OUT!$G$4:$AK$4,"")))</f>
        <v/>
      </c>
      <c r="AB146" t="str">
        <f t="array" ref="AB146">IF($Q146="","",_xlfn.TEXTJOIN(", ",TRUE,IF(NOV!$G148:$AK148="FL",NOV!$G$4:$AK$4,"")))</f>
        <v/>
      </c>
      <c r="AC146" t="str">
        <f t="array" ref="AC146">IF($Q146="","",_xlfn.TEXTJOIN(", ",TRUE,IF(DEZ!$G148:$AK148="FL",DEZ!$G$4:$AK$4,"")))</f>
        <v/>
      </c>
      <c r="AD146" t="str">
        <f>IF($Q146="","",COUNTIF(JAN!$G148:$AK148,"FL")+COUNTIF(FEV!$G148:$AK148,"FL")+COUNTIF(MAR!$G148:$AK148,"FL")+COUNTIF(ABR!$G148:$AK148,"FL")+COUNTIF(MAI!$G148:$AK148,"FL")+COUNTIF(JUN!$G148:$AK148,"FL")+COUNTIF(JUL!$G148:$AK148,"FL")+COUNTIF(AGO!$G148:$AK148,"FL")+COUNTIF(SET!$G148:$AK148,"FL")+COUNTIF(OUT!$G148:$AK148,"FL")+COUNTIF(NOV!$G148:$AK148,"FL")+COUNTIF(DEZ!$G148:$AK148,"FL"))</f>
        <v/>
      </c>
      <c r="AF146" t="str">
        <f>IF(AND($Q146&lt;&gt;"",N($AD146)&gt;0),COUNT($AF$3:AF145)+1,"")</f>
        <v/>
      </c>
    </row>
    <row r="147" spans="1:32" hidden="1" outlineLevel="1" x14ac:dyDescent="0.25">
      <c r="A147" s="36" t="str">
        <f>IFERROR(INDEX($Q$4:$Q$153,MATCH(ROWS($A$4:A147),$AF$4:$AF$153,0)),"")</f>
        <v/>
      </c>
      <c r="B147" s="35" t="str">
        <f>IFERROR(INDEX($R$4:$R$153,MATCH(ROWS($A$4:A147),$AF$4:$AF$153,0)),"")</f>
        <v/>
      </c>
      <c r="C147" s="35" t="str">
        <f>IFERROR(INDEX($S$4:$S$153,MATCH(ROWS($A$4:A147),$AF$4:$AF$153,0)),"")</f>
        <v/>
      </c>
      <c r="D147" s="35" t="str">
        <f>IFERROR(INDEX($T$4:$T$153,MATCH(ROWS($A$4:A147),$AF$4:$AF$153,0)),"")</f>
        <v/>
      </c>
      <c r="E147" s="35" t="str">
        <f>IFERROR(INDEX($U$4:$U$153,MATCH(ROWS($A$4:A147),$AF$4:$AF$153,0)),"")</f>
        <v/>
      </c>
      <c r="F147" s="35" t="str">
        <f>IFERROR(INDEX($V$4:$V$153,MATCH(ROWS($A$4:A147),$AF$4:$AF$153,0)),"")</f>
        <v/>
      </c>
      <c r="G147" s="35" t="str">
        <f>IFERROR(INDEX($W$4:$W$153,MATCH(ROWS($A$4:A147),$AF$4:$AF$153,0)),"")</f>
        <v/>
      </c>
      <c r="H147" s="35" t="str">
        <f>IFERROR(INDEX($X$4:$X$153,MATCH(ROWS($A$4:A147),$AF$4:$AF$153,0)),"")</f>
        <v/>
      </c>
      <c r="I147" s="72" t="str">
        <f>IFERROR(INDEX($Y$4:$Y$153,MATCH(ROWS($A$4:A147),$AF$4:$AF$153,0)),"")</f>
        <v/>
      </c>
      <c r="J147" s="35" t="str">
        <f>IFERROR(INDEX($Z$4:$Z$153,MATCH(ROWS($A$4:A147),$AF$4:$AF$153,0)),"")</f>
        <v/>
      </c>
      <c r="K147" s="35" t="str">
        <f>IFERROR(INDEX($AA$4:$AA$153,MATCH(ROWS($A$4:A147),$AF$4:$AF$153,0)),"")</f>
        <v/>
      </c>
      <c r="L147" s="35" t="str">
        <f>IFERROR(INDEX($AB$4:$AB$153,MATCH(ROWS($A$4:A147),$AF$4:$AF$153,0)),"")</f>
        <v/>
      </c>
      <c r="M147" s="35" t="str">
        <f>IFERROR(INDEX($AC$4:$AC$153,MATCH(ROWS($A$4:A147),$AF$4:$AF$153,0)),"")</f>
        <v/>
      </c>
      <c r="N147" s="35" t="str">
        <f>IFERROR(INDEX($AD$4:$AD$153,MATCH(ROWS($A$4:A147),$AF$4:$AF$153,0)),"")</f>
        <v/>
      </c>
      <c r="Q147" t="str">
        <f>T(JAN!B149)</f>
        <v/>
      </c>
      <c r="R147" t="str">
        <f t="array" ref="R147">IF($Q147="","",_xlfn.TEXTJOIN(", ",TRUE,IF(JAN!$G149:$AK149="FL",JAN!$G$4:$AK$4,"")))</f>
        <v/>
      </c>
      <c r="S147" t="str">
        <f t="array" ref="S147">IF($Q147="","",_xlfn.TEXTJOIN(", ",TRUE,IF(FEV!$G149:$AK149="FL",FEV!$G$4:$AK$4,"")))</f>
        <v/>
      </c>
      <c r="T147" t="str">
        <f t="array" ref="T147">IF($Q147="","",_xlfn.TEXTJOIN(", ",TRUE,IF(MAR!$G149:$AK149="FL",MAR!$G$4:$AK$4,"")))</f>
        <v/>
      </c>
      <c r="U147" t="str">
        <f t="array" ref="U147">IF($Q147="","",_xlfn.TEXTJOIN(", ",TRUE,IF(ABR!$G149:$AK149="FL",ABR!$G$4:$AK$4,"")))</f>
        <v/>
      </c>
      <c r="V147" t="str">
        <f t="array" ref="V147">IF($Q147="","",_xlfn.TEXTJOIN(", ",TRUE,IF(MAI!$G149:$AK149="FL",MAI!$G$4:$AK$4,"")))</f>
        <v/>
      </c>
      <c r="W147" t="str">
        <f t="array" ref="W147">IF($Q147="","",_xlfn.TEXTJOIN(", ",TRUE,IF(JUN!$G149:$AK149="FL",JUN!$G$4:$AK$4,"")))</f>
        <v/>
      </c>
      <c r="X147" t="str">
        <f t="array" ref="X147">IF($Q147="","",_xlfn.TEXTJOIN(", ",TRUE,IF(JUL!$G149:$AK149="FL",JUL!$G$4:$AK$4,"")))</f>
        <v/>
      </c>
      <c r="Y147" t="str">
        <f t="array" ref="Y147">IF($Q147="","",_xlfn.TEXTJOIN(", ",TRUE,IF(AGO!$G149:$AK149="FL",AGO!$G$4:$AK$4,"")))</f>
        <v/>
      </c>
      <c r="Z147" t="str">
        <f t="array" ref="Z147">IF($Q147="","",_xlfn.TEXTJOIN(", ",TRUE,IF(SET!$G149:$AK149="FL",SET!$G$4:$AK$4,"")))</f>
        <v/>
      </c>
      <c r="AA147" t="str">
        <f t="array" ref="AA147">IF($Q147="","",_xlfn.TEXTJOIN(", ",TRUE,IF(OUT!$G149:$AK149="FL",OUT!$G$4:$AK$4,"")))</f>
        <v/>
      </c>
      <c r="AB147" t="str">
        <f t="array" ref="AB147">IF($Q147="","",_xlfn.TEXTJOIN(", ",TRUE,IF(NOV!$G149:$AK149="FL",NOV!$G$4:$AK$4,"")))</f>
        <v/>
      </c>
      <c r="AC147" t="str">
        <f t="array" ref="AC147">IF($Q147="","",_xlfn.TEXTJOIN(", ",TRUE,IF(DEZ!$G149:$AK149="FL",DEZ!$G$4:$AK$4,"")))</f>
        <v/>
      </c>
      <c r="AD147" t="str">
        <f>IF($Q147="","",COUNTIF(JAN!$G149:$AK149,"FL")+COUNTIF(FEV!$G149:$AK149,"FL")+COUNTIF(MAR!$G149:$AK149,"FL")+COUNTIF(ABR!$G149:$AK149,"FL")+COUNTIF(MAI!$G149:$AK149,"FL")+COUNTIF(JUN!$G149:$AK149,"FL")+COUNTIF(JUL!$G149:$AK149,"FL")+COUNTIF(AGO!$G149:$AK149,"FL")+COUNTIF(SET!$G149:$AK149,"FL")+COUNTIF(OUT!$G149:$AK149,"FL")+COUNTIF(NOV!$G149:$AK149,"FL")+COUNTIF(DEZ!$G149:$AK149,"FL"))</f>
        <v/>
      </c>
      <c r="AF147" t="str">
        <f>IF(AND($Q147&lt;&gt;"",N($AD147)&gt;0),COUNT($AF$3:AF146)+1,"")</f>
        <v/>
      </c>
    </row>
    <row r="148" spans="1:32" hidden="1" outlineLevel="1" x14ac:dyDescent="0.25">
      <c r="A148" s="36" t="str">
        <f>IFERROR(INDEX($Q$4:$Q$153,MATCH(ROWS($A$4:A148),$AF$4:$AF$153,0)),"")</f>
        <v/>
      </c>
      <c r="B148" s="35" t="str">
        <f>IFERROR(INDEX($R$4:$R$153,MATCH(ROWS($A$4:A148),$AF$4:$AF$153,0)),"")</f>
        <v/>
      </c>
      <c r="C148" s="35" t="str">
        <f>IFERROR(INDEX($S$4:$S$153,MATCH(ROWS($A$4:A148),$AF$4:$AF$153,0)),"")</f>
        <v/>
      </c>
      <c r="D148" s="35" t="str">
        <f>IFERROR(INDEX($T$4:$T$153,MATCH(ROWS($A$4:A148),$AF$4:$AF$153,0)),"")</f>
        <v/>
      </c>
      <c r="E148" s="35" t="str">
        <f>IFERROR(INDEX($U$4:$U$153,MATCH(ROWS($A$4:A148),$AF$4:$AF$153,0)),"")</f>
        <v/>
      </c>
      <c r="F148" s="35" t="str">
        <f>IFERROR(INDEX($V$4:$V$153,MATCH(ROWS($A$4:A148),$AF$4:$AF$153,0)),"")</f>
        <v/>
      </c>
      <c r="G148" s="35" t="str">
        <f>IFERROR(INDEX($W$4:$W$153,MATCH(ROWS($A$4:A148),$AF$4:$AF$153,0)),"")</f>
        <v/>
      </c>
      <c r="H148" s="35" t="str">
        <f>IFERROR(INDEX($X$4:$X$153,MATCH(ROWS($A$4:A148),$AF$4:$AF$153,0)),"")</f>
        <v/>
      </c>
      <c r="I148" s="72" t="str">
        <f>IFERROR(INDEX($Y$4:$Y$153,MATCH(ROWS($A$4:A148),$AF$4:$AF$153,0)),"")</f>
        <v/>
      </c>
      <c r="J148" s="35" t="str">
        <f>IFERROR(INDEX($Z$4:$Z$153,MATCH(ROWS($A$4:A148),$AF$4:$AF$153,0)),"")</f>
        <v/>
      </c>
      <c r="K148" s="35" t="str">
        <f>IFERROR(INDEX($AA$4:$AA$153,MATCH(ROWS($A$4:A148),$AF$4:$AF$153,0)),"")</f>
        <v/>
      </c>
      <c r="L148" s="35" t="str">
        <f>IFERROR(INDEX($AB$4:$AB$153,MATCH(ROWS($A$4:A148),$AF$4:$AF$153,0)),"")</f>
        <v/>
      </c>
      <c r="M148" s="35" t="str">
        <f>IFERROR(INDEX($AC$4:$AC$153,MATCH(ROWS($A$4:A148),$AF$4:$AF$153,0)),"")</f>
        <v/>
      </c>
      <c r="N148" s="35" t="str">
        <f>IFERROR(INDEX($AD$4:$AD$153,MATCH(ROWS($A$4:A148),$AF$4:$AF$153,0)),"")</f>
        <v/>
      </c>
      <c r="Q148" t="str">
        <f>T(JAN!B150)</f>
        <v/>
      </c>
      <c r="R148" t="str">
        <f t="array" ref="R148">IF($Q148="","",_xlfn.TEXTJOIN(", ",TRUE,IF(JAN!$G150:$AK150="FL",JAN!$G$4:$AK$4,"")))</f>
        <v/>
      </c>
      <c r="S148" t="str">
        <f t="array" ref="S148">IF($Q148="","",_xlfn.TEXTJOIN(", ",TRUE,IF(FEV!$G150:$AK150="FL",FEV!$G$4:$AK$4,"")))</f>
        <v/>
      </c>
      <c r="T148" t="str">
        <f t="array" ref="T148">IF($Q148="","",_xlfn.TEXTJOIN(", ",TRUE,IF(MAR!$G150:$AK150="FL",MAR!$G$4:$AK$4,"")))</f>
        <v/>
      </c>
      <c r="U148" t="str">
        <f t="array" ref="U148">IF($Q148="","",_xlfn.TEXTJOIN(", ",TRUE,IF(ABR!$G150:$AK150="FL",ABR!$G$4:$AK$4,"")))</f>
        <v/>
      </c>
      <c r="V148" t="str">
        <f t="array" ref="V148">IF($Q148="","",_xlfn.TEXTJOIN(", ",TRUE,IF(MAI!$G150:$AK150="FL",MAI!$G$4:$AK$4,"")))</f>
        <v/>
      </c>
      <c r="W148" t="str">
        <f t="array" ref="W148">IF($Q148="","",_xlfn.TEXTJOIN(", ",TRUE,IF(JUN!$G150:$AK150="FL",JUN!$G$4:$AK$4,"")))</f>
        <v/>
      </c>
      <c r="X148" t="str">
        <f t="array" ref="X148">IF($Q148="","",_xlfn.TEXTJOIN(", ",TRUE,IF(JUL!$G150:$AK150="FL",JUL!$G$4:$AK$4,"")))</f>
        <v/>
      </c>
      <c r="Y148" t="str">
        <f t="array" ref="Y148">IF($Q148="","",_xlfn.TEXTJOIN(", ",TRUE,IF(AGO!$G150:$AK150="FL",AGO!$G$4:$AK$4,"")))</f>
        <v/>
      </c>
      <c r="Z148" t="str">
        <f t="array" ref="Z148">IF($Q148="","",_xlfn.TEXTJOIN(", ",TRUE,IF(SET!$G150:$AK150="FL",SET!$G$4:$AK$4,"")))</f>
        <v/>
      </c>
      <c r="AA148" t="str">
        <f t="array" ref="AA148">IF($Q148="","",_xlfn.TEXTJOIN(", ",TRUE,IF(OUT!$G150:$AK150="FL",OUT!$G$4:$AK$4,"")))</f>
        <v/>
      </c>
      <c r="AB148" t="str">
        <f t="array" ref="AB148">IF($Q148="","",_xlfn.TEXTJOIN(", ",TRUE,IF(NOV!$G150:$AK150="FL",NOV!$G$4:$AK$4,"")))</f>
        <v/>
      </c>
      <c r="AC148" t="str">
        <f t="array" ref="AC148">IF($Q148="","",_xlfn.TEXTJOIN(", ",TRUE,IF(DEZ!$G150:$AK150="FL",DEZ!$G$4:$AK$4,"")))</f>
        <v/>
      </c>
      <c r="AD148" t="str">
        <f>IF($Q148="","",COUNTIF(JAN!$G150:$AK150,"FL")+COUNTIF(FEV!$G150:$AK150,"FL")+COUNTIF(MAR!$G150:$AK150,"FL")+COUNTIF(ABR!$G150:$AK150,"FL")+COUNTIF(MAI!$G150:$AK150,"FL")+COUNTIF(JUN!$G150:$AK150,"FL")+COUNTIF(JUL!$G150:$AK150,"FL")+COUNTIF(AGO!$G150:$AK150,"FL")+COUNTIF(SET!$G150:$AK150,"FL")+COUNTIF(OUT!$G150:$AK150,"FL")+COUNTIF(NOV!$G150:$AK150,"FL")+COUNTIF(DEZ!$G150:$AK150,"FL"))</f>
        <v/>
      </c>
      <c r="AF148" t="str">
        <f>IF(AND($Q148&lt;&gt;"",N($AD148)&gt;0),COUNT($AF$3:AF147)+1,"")</f>
        <v/>
      </c>
    </row>
    <row r="149" spans="1:32" hidden="1" outlineLevel="1" x14ac:dyDescent="0.25">
      <c r="A149" s="36" t="str">
        <f>IFERROR(INDEX($Q$4:$Q$153,MATCH(ROWS($A$4:A149),$AF$4:$AF$153,0)),"")</f>
        <v/>
      </c>
      <c r="B149" s="35" t="str">
        <f>IFERROR(INDEX($R$4:$R$153,MATCH(ROWS($A$4:A149),$AF$4:$AF$153,0)),"")</f>
        <v/>
      </c>
      <c r="C149" s="35" t="str">
        <f>IFERROR(INDEX($S$4:$S$153,MATCH(ROWS($A$4:A149),$AF$4:$AF$153,0)),"")</f>
        <v/>
      </c>
      <c r="D149" s="35" t="str">
        <f>IFERROR(INDEX($T$4:$T$153,MATCH(ROWS($A$4:A149),$AF$4:$AF$153,0)),"")</f>
        <v/>
      </c>
      <c r="E149" s="35" t="str">
        <f>IFERROR(INDEX($U$4:$U$153,MATCH(ROWS($A$4:A149),$AF$4:$AF$153,0)),"")</f>
        <v/>
      </c>
      <c r="F149" s="35" t="str">
        <f>IFERROR(INDEX($V$4:$V$153,MATCH(ROWS($A$4:A149),$AF$4:$AF$153,0)),"")</f>
        <v/>
      </c>
      <c r="G149" s="35" t="str">
        <f>IFERROR(INDEX($W$4:$W$153,MATCH(ROWS($A$4:A149),$AF$4:$AF$153,0)),"")</f>
        <v/>
      </c>
      <c r="H149" s="35" t="str">
        <f>IFERROR(INDEX($X$4:$X$153,MATCH(ROWS($A$4:A149),$AF$4:$AF$153,0)),"")</f>
        <v/>
      </c>
      <c r="I149" s="72" t="str">
        <f>IFERROR(INDEX($Y$4:$Y$153,MATCH(ROWS($A$4:A149),$AF$4:$AF$153,0)),"")</f>
        <v/>
      </c>
      <c r="J149" s="35" t="str">
        <f>IFERROR(INDEX($Z$4:$Z$153,MATCH(ROWS($A$4:A149),$AF$4:$AF$153,0)),"")</f>
        <v/>
      </c>
      <c r="K149" s="35" t="str">
        <f>IFERROR(INDEX($AA$4:$AA$153,MATCH(ROWS($A$4:A149),$AF$4:$AF$153,0)),"")</f>
        <v/>
      </c>
      <c r="L149" s="35" t="str">
        <f>IFERROR(INDEX($AB$4:$AB$153,MATCH(ROWS($A$4:A149),$AF$4:$AF$153,0)),"")</f>
        <v/>
      </c>
      <c r="M149" s="35" t="str">
        <f>IFERROR(INDEX($AC$4:$AC$153,MATCH(ROWS($A$4:A149),$AF$4:$AF$153,0)),"")</f>
        <v/>
      </c>
      <c r="N149" s="35" t="str">
        <f>IFERROR(INDEX($AD$4:$AD$153,MATCH(ROWS($A$4:A149),$AF$4:$AF$153,0)),"")</f>
        <v/>
      </c>
      <c r="Q149" t="str">
        <f>T(JAN!B151)</f>
        <v/>
      </c>
      <c r="R149" t="str">
        <f t="array" ref="R149">IF($Q149="","",_xlfn.TEXTJOIN(", ",TRUE,IF(JAN!$G151:$AK151="FL",JAN!$G$4:$AK$4,"")))</f>
        <v/>
      </c>
      <c r="S149" t="str">
        <f t="array" ref="S149">IF($Q149="","",_xlfn.TEXTJOIN(", ",TRUE,IF(FEV!$G151:$AK151="FL",FEV!$G$4:$AK$4,"")))</f>
        <v/>
      </c>
      <c r="T149" t="str">
        <f t="array" ref="T149">IF($Q149="","",_xlfn.TEXTJOIN(", ",TRUE,IF(MAR!$G151:$AK151="FL",MAR!$G$4:$AK$4,"")))</f>
        <v/>
      </c>
      <c r="U149" t="str">
        <f t="array" ref="U149">IF($Q149="","",_xlfn.TEXTJOIN(", ",TRUE,IF(ABR!$G151:$AK151="FL",ABR!$G$4:$AK$4,"")))</f>
        <v/>
      </c>
      <c r="V149" t="str">
        <f t="array" ref="V149">IF($Q149="","",_xlfn.TEXTJOIN(", ",TRUE,IF(MAI!$G151:$AK151="FL",MAI!$G$4:$AK$4,"")))</f>
        <v/>
      </c>
      <c r="W149" t="str">
        <f t="array" ref="W149">IF($Q149="","",_xlfn.TEXTJOIN(", ",TRUE,IF(JUN!$G151:$AK151="FL",JUN!$G$4:$AK$4,"")))</f>
        <v/>
      </c>
      <c r="X149" t="str">
        <f t="array" ref="X149">IF($Q149="","",_xlfn.TEXTJOIN(", ",TRUE,IF(JUL!$G151:$AK151="FL",JUL!$G$4:$AK$4,"")))</f>
        <v/>
      </c>
      <c r="Y149" t="str">
        <f t="array" ref="Y149">IF($Q149="","",_xlfn.TEXTJOIN(", ",TRUE,IF(AGO!$G151:$AK151="FL",AGO!$G$4:$AK$4,"")))</f>
        <v/>
      </c>
      <c r="Z149" t="str">
        <f t="array" ref="Z149">IF($Q149="","",_xlfn.TEXTJOIN(", ",TRUE,IF(SET!$G151:$AK151="FL",SET!$G$4:$AK$4,"")))</f>
        <v/>
      </c>
      <c r="AA149" t="str">
        <f t="array" ref="AA149">IF($Q149="","",_xlfn.TEXTJOIN(", ",TRUE,IF(OUT!$G151:$AK151="FL",OUT!$G$4:$AK$4,"")))</f>
        <v/>
      </c>
      <c r="AB149" t="str">
        <f t="array" ref="AB149">IF($Q149="","",_xlfn.TEXTJOIN(", ",TRUE,IF(NOV!$G151:$AK151="FL",NOV!$G$4:$AK$4,"")))</f>
        <v/>
      </c>
      <c r="AC149" t="str">
        <f t="array" ref="AC149">IF($Q149="","",_xlfn.TEXTJOIN(", ",TRUE,IF(DEZ!$G151:$AK151="FL",DEZ!$G$4:$AK$4,"")))</f>
        <v/>
      </c>
      <c r="AD149" t="str">
        <f>IF($Q149="","",COUNTIF(JAN!$G151:$AK151,"FL")+COUNTIF(FEV!$G151:$AK151,"FL")+COUNTIF(MAR!$G151:$AK151,"FL")+COUNTIF(ABR!$G151:$AK151,"FL")+COUNTIF(MAI!$G151:$AK151,"FL")+COUNTIF(JUN!$G151:$AK151,"FL")+COUNTIF(JUL!$G151:$AK151,"FL")+COUNTIF(AGO!$G151:$AK151,"FL")+COUNTIF(SET!$G151:$AK151,"FL")+COUNTIF(OUT!$G151:$AK151,"FL")+COUNTIF(NOV!$G151:$AK151,"FL")+COUNTIF(DEZ!$G151:$AK151,"FL"))</f>
        <v/>
      </c>
      <c r="AF149" t="str">
        <f>IF(AND($Q149&lt;&gt;"",N($AD149)&gt;0),COUNT($AF$3:AF148)+1,"")</f>
        <v/>
      </c>
    </row>
    <row r="150" spans="1:32" hidden="1" outlineLevel="1" x14ac:dyDescent="0.25">
      <c r="A150" s="36" t="str">
        <f>IFERROR(INDEX($Q$4:$Q$153,MATCH(ROWS($A$4:A150),$AF$4:$AF$153,0)),"")</f>
        <v/>
      </c>
      <c r="B150" s="35" t="str">
        <f>IFERROR(INDEX($R$4:$R$153,MATCH(ROWS($A$4:A150),$AF$4:$AF$153,0)),"")</f>
        <v/>
      </c>
      <c r="C150" s="35" t="str">
        <f>IFERROR(INDEX($S$4:$S$153,MATCH(ROWS($A$4:A150),$AF$4:$AF$153,0)),"")</f>
        <v/>
      </c>
      <c r="D150" s="35" t="str">
        <f>IFERROR(INDEX($T$4:$T$153,MATCH(ROWS($A$4:A150),$AF$4:$AF$153,0)),"")</f>
        <v/>
      </c>
      <c r="E150" s="35" t="str">
        <f>IFERROR(INDEX($U$4:$U$153,MATCH(ROWS($A$4:A150),$AF$4:$AF$153,0)),"")</f>
        <v/>
      </c>
      <c r="F150" s="35" t="str">
        <f>IFERROR(INDEX($V$4:$V$153,MATCH(ROWS($A$4:A150),$AF$4:$AF$153,0)),"")</f>
        <v/>
      </c>
      <c r="G150" s="35" t="str">
        <f>IFERROR(INDEX($W$4:$W$153,MATCH(ROWS($A$4:A150),$AF$4:$AF$153,0)),"")</f>
        <v/>
      </c>
      <c r="H150" s="35" t="str">
        <f>IFERROR(INDEX($X$4:$X$153,MATCH(ROWS($A$4:A150),$AF$4:$AF$153,0)),"")</f>
        <v/>
      </c>
      <c r="I150" s="72" t="str">
        <f>IFERROR(INDEX($Y$4:$Y$153,MATCH(ROWS($A$4:A150),$AF$4:$AF$153,0)),"")</f>
        <v/>
      </c>
      <c r="J150" s="35" t="str">
        <f>IFERROR(INDEX($Z$4:$Z$153,MATCH(ROWS($A$4:A150),$AF$4:$AF$153,0)),"")</f>
        <v/>
      </c>
      <c r="K150" s="35" t="str">
        <f>IFERROR(INDEX($AA$4:$AA$153,MATCH(ROWS($A$4:A150),$AF$4:$AF$153,0)),"")</f>
        <v/>
      </c>
      <c r="L150" s="35" t="str">
        <f>IFERROR(INDEX($AB$4:$AB$153,MATCH(ROWS($A$4:A150),$AF$4:$AF$153,0)),"")</f>
        <v/>
      </c>
      <c r="M150" s="35" t="str">
        <f>IFERROR(INDEX($AC$4:$AC$153,MATCH(ROWS($A$4:A150),$AF$4:$AF$153,0)),"")</f>
        <v/>
      </c>
      <c r="N150" s="35" t="str">
        <f>IFERROR(INDEX($AD$4:$AD$153,MATCH(ROWS($A$4:A150),$AF$4:$AF$153,0)),"")</f>
        <v/>
      </c>
      <c r="Q150" t="str">
        <f>T(JAN!B152)</f>
        <v/>
      </c>
      <c r="R150" t="str">
        <f t="array" ref="R150">IF($Q150="","",_xlfn.TEXTJOIN(", ",TRUE,IF(JAN!$G152:$AK152="FL",JAN!$G$4:$AK$4,"")))</f>
        <v/>
      </c>
      <c r="S150" t="str">
        <f t="array" ref="S150">IF($Q150="","",_xlfn.TEXTJOIN(", ",TRUE,IF(FEV!$G152:$AK152="FL",FEV!$G$4:$AK$4,"")))</f>
        <v/>
      </c>
      <c r="T150" t="str">
        <f t="array" ref="T150">IF($Q150="","",_xlfn.TEXTJOIN(", ",TRUE,IF(MAR!$G152:$AK152="FL",MAR!$G$4:$AK$4,"")))</f>
        <v/>
      </c>
      <c r="U150" t="str">
        <f t="array" ref="U150">IF($Q150="","",_xlfn.TEXTJOIN(", ",TRUE,IF(ABR!$G152:$AK152="FL",ABR!$G$4:$AK$4,"")))</f>
        <v/>
      </c>
      <c r="V150" t="str">
        <f t="array" ref="V150">IF($Q150="","",_xlfn.TEXTJOIN(", ",TRUE,IF(MAI!$G152:$AK152="FL",MAI!$G$4:$AK$4,"")))</f>
        <v/>
      </c>
      <c r="W150" t="str">
        <f t="array" ref="W150">IF($Q150="","",_xlfn.TEXTJOIN(", ",TRUE,IF(JUN!$G152:$AK152="FL",JUN!$G$4:$AK$4,"")))</f>
        <v/>
      </c>
      <c r="X150" t="str">
        <f t="array" ref="X150">IF($Q150="","",_xlfn.TEXTJOIN(", ",TRUE,IF(JUL!$G152:$AK152="FL",JUL!$G$4:$AK$4,"")))</f>
        <v/>
      </c>
      <c r="Y150" t="str">
        <f t="array" ref="Y150">IF($Q150="","",_xlfn.TEXTJOIN(", ",TRUE,IF(AGO!$G152:$AK152="FL",AGO!$G$4:$AK$4,"")))</f>
        <v/>
      </c>
      <c r="Z150" t="str">
        <f t="array" ref="Z150">IF($Q150="","",_xlfn.TEXTJOIN(", ",TRUE,IF(SET!$G152:$AK152="FL",SET!$G$4:$AK$4,"")))</f>
        <v/>
      </c>
      <c r="AA150" t="str">
        <f t="array" ref="AA150">IF($Q150="","",_xlfn.TEXTJOIN(", ",TRUE,IF(OUT!$G152:$AK152="FL",OUT!$G$4:$AK$4,"")))</f>
        <v/>
      </c>
      <c r="AB150" t="str">
        <f t="array" ref="AB150">IF($Q150="","",_xlfn.TEXTJOIN(", ",TRUE,IF(NOV!$G152:$AK152="FL",NOV!$G$4:$AK$4,"")))</f>
        <v/>
      </c>
      <c r="AC150" t="str">
        <f t="array" ref="AC150">IF($Q150="","",_xlfn.TEXTJOIN(", ",TRUE,IF(DEZ!$G152:$AK152="FL",DEZ!$G$4:$AK$4,"")))</f>
        <v/>
      </c>
      <c r="AD150" t="str">
        <f>IF($Q150="","",COUNTIF(JAN!$G152:$AK152,"FL")+COUNTIF(FEV!$G152:$AK152,"FL")+COUNTIF(MAR!$G152:$AK152,"FL")+COUNTIF(ABR!$G152:$AK152,"FL")+COUNTIF(MAI!$G152:$AK152,"FL")+COUNTIF(JUN!$G152:$AK152,"FL")+COUNTIF(JUL!$G152:$AK152,"FL")+COUNTIF(AGO!$G152:$AK152,"FL")+COUNTIF(SET!$G152:$AK152,"FL")+COUNTIF(OUT!$G152:$AK152,"FL")+COUNTIF(NOV!$G152:$AK152,"FL")+COUNTIF(DEZ!$G152:$AK152,"FL"))</f>
        <v/>
      </c>
      <c r="AF150" t="str">
        <f>IF(AND($Q150&lt;&gt;"",N($AD150)&gt;0),COUNT($AF$3:AF149)+1,"")</f>
        <v/>
      </c>
    </row>
    <row r="151" spans="1:32" hidden="1" outlineLevel="1" x14ac:dyDescent="0.25">
      <c r="A151" s="36" t="str">
        <f>IFERROR(INDEX($Q$4:$Q$153,MATCH(ROWS($A$4:A151),$AF$4:$AF$153,0)),"")</f>
        <v/>
      </c>
      <c r="B151" s="35" t="str">
        <f>IFERROR(INDEX($R$4:$R$153,MATCH(ROWS($A$4:A151),$AF$4:$AF$153,0)),"")</f>
        <v/>
      </c>
      <c r="C151" s="35" t="str">
        <f>IFERROR(INDEX($S$4:$S$153,MATCH(ROWS($A$4:A151),$AF$4:$AF$153,0)),"")</f>
        <v/>
      </c>
      <c r="D151" s="35" t="str">
        <f>IFERROR(INDEX($T$4:$T$153,MATCH(ROWS($A$4:A151),$AF$4:$AF$153,0)),"")</f>
        <v/>
      </c>
      <c r="E151" s="35" t="str">
        <f>IFERROR(INDEX($U$4:$U$153,MATCH(ROWS($A$4:A151),$AF$4:$AF$153,0)),"")</f>
        <v/>
      </c>
      <c r="F151" s="35" t="str">
        <f>IFERROR(INDEX($V$4:$V$153,MATCH(ROWS($A$4:A151),$AF$4:$AF$153,0)),"")</f>
        <v/>
      </c>
      <c r="G151" s="35" t="str">
        <f>IFERROR(INDEX($W$4:$W$153,MATCH(ROWS($A$4:A151),$AF$4:$AF$153,0)),"")</f>
        <v/>
      </c>
      <c r="H151" s="35" t="str">
        <f>IFERROR(INDEX($X$4:$X$153,MATCH(ROWS($A$4:A151),$AF$4:$AF$153,0)),"")</f>
        <v/>
      </c>
      <c r="I151" s="72" t="str">
        <f>IFERROR(INDEX($Y$4:$Y$153,MATCH(ROWS($A$4:A151),$AF$4:$AF$153,0)),"")</f>
        <v/>
      </c>
      <c r="J151" s="35" t="str">
        <f>IFERROR(INDEX($Z$4:$Z$153,MATCH(ROWS($A$4:A151),$AF$4:$AF$153,0)),"")</f>
        <v/>
      </c>
      <c r="K151" s="35" t="str">
        <f>IFERROR(INDEX($AA$4:$AA$153,MATCH(ROWS($A$4:A151),$AF$4:$AF$153,0)),"")</f>
        <v/>
      </c>
      <c r="L151" s="35" t="str">
        <f>IFERROR(INDEX($AB$4:$AB$153,MATCH(ROWS($A$4:A151),$AF$4:$AF$153,0)),"")</f>
        <v/>
      </c>
      <c r="M151" s="35" t="str">
        <f>IFERROR(INDEX($AC$4:$AC$153,MATCH(ROWS($A$4:A151),$AF$4:$AF$153,0)),"")</f>
        <v/>
      </c>
      <c r="N151" s="35" t="str">
        <f>IFERROR(INDEX($AD$4:$AD$153,MATCH(ROWS($A$4:A151),$AF$4:$AF$153,0)),"")</f>
        <v/>
      </c>
      <c r="Q151" t="str">
        <f>T(JAN!B153)</f>
        <v/>
      </c>
      <c r="R151" t="str">
        <f t="array" ref="R151">IF($Q151="","",_xlfn.TEXTJOIN(", ",TRUE,IF(JAN!$G153:$AK153="FL",JAN!$G$4:$AK$4,"")))</f>
        <v/>
      </c>
      <c r="S151" t="str">
        <f t="array" ref="S151">IF($Q151="","",_xlfn.TEXTJOIN(", ",TRUE,IF(FEV!$G153:$AK153="FL",FEV!$G$4:$AK$4,"")))</f>
        <v/>
      </c>
      <c r="T151" t="str">
        <f t="array" ref="T151">IF($Q151="","",_xlfn.TEXTJOIN(", ",TRUE,IF(MAR!$G153:$AK153="FL",MAR!$G$4:$AK$4,"")))</f>
        <v/>
      </c>
      <c r="U151" t="str">
        <f t="array" ref="U151">IF($Q151="","",_xlfn.TEXTJOIN(", ",TRUE,IF(ABR!$G153:$AK153="FL",ABR!$G$4:$AK$4,"")))</f>
        <v/>
      </c>
      <c r="V151" t="str">
        <f t="array" ref="V151">IF($Q151="","",_xlfn.TEXTJOIN(", ",TRUE,IF(MAI!$G153:$AK153="FL",MAI!$G$4:$AK$4,"")))</f>
        <v/>
      </c>
      <c r="W151" t="str">
        <f t="array" ref="W151">IF($Q151="","",_xlfn.TEXTJOIN(", ",TRUE,IF(JUN!$G153:$AK153="FL",JUN!$G$4:$AK$4,"")))</f>
        <v/>
      </c>
      <c r="X151" t="str">
        <f t="array" ref="X151">IF($Q151="","",_xlfn.TEXTJOIN(", ",TRUE,IF(JUL!$G153:$AK153="FL",JUL!$G$4:$AK$4,"")))</f>
        <v/>
      </c>
      <c r="Y151" t="str">
        <f t="array" ref="Y151">IF($Q151="","",_xlfn.TEXTJOIN(", ",TRUE,IF(AGO!$G153:$AK153="FL",AGO!$G$4:$AK$4,"")))</f>
        <v/>
      </c>
      <c r="Z151" t="str">
        <f t="array" ref="Z151">IF($Q151="","",_xlfn.TEXTJOIN(", ",TRUE,IF(SET!$G153:$AK153="FL",SET!$G$4:$AK$4,"")))</f>
        <v/>
      </c>
      <c r="AA151" t="str">
        <f t="array" ref="AA151">IF($Q151="","",_xlfn.TEXTJOIN(", ",TRUE,IF(OUT!$G153:$AK153="FL",OUT!$G$4:$AK$4,"")))</f>
        <v/>
      </c>
      <c r="AB151" t="str">
        <f t="array" ref="AB151">IF($Q151="","",_xlfn.TEXTJOIN(", ",TRUE,IF(NOV!$G153:$AK153="FL",NOV!$G$4:$AK$4,"")))</f>
        <v/>
      </c>
      <c r="AC151" t="str">
        <f t="array" ref="AC151">IF($Q151="","",_xlfn.TEXTJOIN(", ",TRUE,IF(DEZ!$G153:$AK153="FL",DEZ!$G$4:$AK$4,"")))</f>
        <v/>
      </c>
      <c r="AD151" t="str">
        <f>IF($Q151="","",COUNTIF(JAN!$G153:$AK153,"FL")+COUNTIF(FEV!$G153:$AK153,"FL")+COUNTIF(MAR!$G153:$AK153,"FL")+COUNTIF(ABR!$G153:$AK153,"FL")+COUNTIF(MAI!$G153:$AK153,"FL")+COUNTIF(JUN!$G153:$AK153,"FL")+COUNTIF(JUL!$G153:$AK153,"FL")+COUNTIF(AGO!$G153:$AK153,"FL")+COUNTIF(SET!$G153:$AK153,"FL")+COUNTIF(OUT!$G153:$AK153,"FL")+COUNTIF(NOV!$G153:$AK153,"FL")+COUNTIF(DEZ!$G153:$AK153,"FL"))</f>
        <v/>
      </c>
      <c r="AF151" t="str">
        <f>IF(AND($Q151&lt;&gt;"",N($AD151)&gt;0),COUNT($AF$3:AF150)+1,"")</f>
        <v/>
      </c>
    </row>
    <row r="152" spans="1:32" hidden="1" outlineLevel="1" x14ac:dyDescent="0.25">
      <c r="A152" s="36" t="str">
        <f>IFERROR(INDEX($Q$4:$Q$153,MATCH(ROWS($A$4:A152),$AF$4:$AF$153,0)),"")</f>
        <v/>
      </c>
      <c r="B152" s="35" t="str">
        <f>IFERROR(INDEX($R$4:$R$153,MATCH(ROWS($A$4:A152),$AF$4:$AF$153,0)),"")</f>
        <v/>
      </c>
      <c r="C152" s="35" t="str">
        <f>IFERROR(INDEX($S$4:$S$153,MATCH(ROWS($A$4:A152),$AF$4:$AF$153,0)),"")</f>
        <v/>
      </c>
      <c r="D152" s="35" t="str">
        <f>IFERROR(INDEX($T$4:$T$153,MATCH(ROWS($A$4:A152),$AF$4:$AF$153,0)),"")</f>
        <v/>
      </c>
      <c r="E152" s="35" t="str">
        <f>IFERROR(INDEX($U$4:$U$153,MATCH(ROWS($A$4:A152),$AF$4:$AF$153,0)),"")</f>
        <v/>
      </c>
      <c r="F152" s="35" t="str">
        <f>IFERROR(INDEX($V$4:$V$153,MATCH(ROWS($A$4:A152),$AF$4:$AF$153,0)),"")</f>
        <v/>
      </c>
      <c r="G152" s="35" t="str">
        <f>IFERROR(INDEX($W$4:$W$153,MATCH(ROWS($A$4:A152),$AF$4:$AF$153,0)),"")</f>
        <v/>
      </c>
      <c r="H152" s="35" t="str">
        <f>IFERROR(INDEX($X$4:$X$153,MATCH(ROWS($A$4:A152),$AF$4:$AF$153,0)),"")</f>
        <v/>
      </c>
      <c r="I152" s="72" t="str">
        <f>IFERROR(INDEX($Y$4:$Y$153,MATCH(ROWS($A$4:A152),$AF$4:$AF$153,0)),"")</f>
        <v/>
      </c>
      <c r="J152" s="35" t="str">
        <f>IFERROR(INDEX($Z$4:$Z$153,MATCH(ROWS($A$4:A152),$AF$4:$AF$153,0)),"")</f>
        <v/>
      </c>
      <c r="K152" s="35" t="str">
        <f>IFERROR(INDEX($AA$4:$AA$153,MATCH(ROWS($A$4:A152),$AF$4:$AF$153,0)),"")</f>
        <v/>
      </c>
      <c r="L152" s="35" t="str">
        <f>IFERROR(INDEX($AB$4:$AB$153,MATCH(ROWS($A$4:A152),$AF$4:$AF$153,0)),"")</f>
        <v/>
      </c>
      <c r="M152" s="35" t="str">
        <f>IFERROR(INDEX($AC$4:$AC$153,MATCH(ROWS($A$4:A152),$AF$4:$AF$153,0)),"")</f>
        <v/>
      </c>
      <c r="N152" s="35" t="str">
        <f>IFERROR(INDEX($AD$4:$AD$153,MATCH(ROWS($A$4:A152),$AF$4:$AF$153,0)),"")</f>
        <v/>
      </c>
      <c r="Q152" t="str">
        <f>T(JAN!B154)</f>
        <v/>
      </c>
      <c r="R152" t="str">
        <f t="array" ref="R152">IF($Q152="","",_xlfn.TEXTJOIN(", ",TRUE,IF(JAN!$G154:$AK154="FL",JAN!$G$4:$AK$4,"")))</f>
        <v/>
      </c>
      <c r="S152" t="str">
        <f t="array" ref="S152">IF($Q152="","",_xlfn.TEXTJOIN(", ",TRUE,IF(FEV!$G154:$AK154="FL",FEV!$G$4:$AK$4,"")))</f>
        <v/>
      </c>
      <c r="T152" t="str">
        <f t="array" ref="T152">IF($Q152="","",_xlfn.TEXTJOIN(", ",TRUE,IF(MAR!$G154:$AK154="FL",MAR!$G$4:$AK$4,"")))</f>
        <v/>
      </c>
      <c r="U152" t="str">
        <f t="array" ref="U152">IF($Q152="","",_xlfn.TEXTJOIN(", ",TRUE,IF(ABR!$G154:$AK154="FL",ABR!$G$4:$AK$4,"")))</f>
        <v/>
      </c>
      <c r="V152" t="str">
        <f t="array" ref="V152">IF($Q152="","",_xlfn.TEXTJOIN(", ",TRUE,IF(MAI!$G154:$AK154="FL",MAI!$G$4:$AK$4,"")))</f>
        <v/>
      </c>
      <c r="W152" t="str">
        <f t="array" ref="W152">IF($Q152="","",_xlfn.TEXTJOIN(", ",TRUE,IF(JUN!$G154:$AK154="FL",JUN!$G$4:$AK$4,"")))</f>
        <v/>
      </c>
      <c r="X152" t="str">
        <f t="array" ref="X152">IF($Q152="","",_xlfn.TEXTJOIN(", ",TRUE,IF(JUL!$G154:$AK154="FL",JUL!$G$4:$AK$4,"")))</f>
        <v/>
      </c>
      <c r="Y152" t="str">
        <f t="array" ref="Y152">IF($Q152="","",_xlfn.TEXTJOIN(", ",TRUE,IF(AGO!$G154:$AK154="FL",AGO!$G$4:$AK$4,"")))</f>
        <v/>
      </c>
      <c r="Z152" t="str">
        <f t="array" ref="Z152">IF($Q152="","",_xlfn.TEXTJOIN(", ",TRUE,IF(SET!$G154:$AK154="FL",SET!$G$4:$AK$4,"")))</f>
        <v/>
      </c>
      <c r="AA152" t="str">
        <f t="array" ref="AA152">IF($Q152="","",_xlfn.TEXTJOIN(", ",TRUE,IF(OUT!$G154:$AK154="FL",OUT!$G$4:$AK$4,"")))</f>
        <v/>
      </c>
      <c r="AB152" t="str">
        <f t="array" ref="AB152">IF($Q152="","",_xlfn.TEXTJOIN(", ",TRUE,IF(NOV!$G154:$AK154="FL",NOV!$G$4:$AK$4,"")))</f>
        <v/>
      </c>
      <c r="AC152" t="str">
        <f t="array" ref="AC152">IF($Q152="","",_xlfn.TEXTJOIN(", ",TRUE,IF(DEZ!$G154:$AK154="FL",DEZ!$G$4:$AK$4,"")))</f>
        <v/>
      </c>
      <c r="AD152" t="str">
        <f>IF($Q152="","",COUNTIF(JAN!$G154:$AK154,"FL")+COUNTIF(FEV!$G154:$AK154,"FL")+COUNTIF(MAR!$G154:$AK154,"FL")+COUNTIF(ABR!$G154:$AK154,"FL")+COUNTIF(MAI!$G154:$AK154,"FL")+COUNTIF(JUN!$G154:$AK154,"FL")+COUNTIF(JUL!$G154:$AK154,"FL")+COUNTIF(AGO!$G154:$AK154,"FL")+COUNTIF(SET!$G154:$AK154,"FL")+COUNTIF(OUT!$G154:$AK154,"FL")+COUNTIF(NOV!$G154:$AK154,"FL")+COUNTIF(DEZ!$G154:$AK154,"FL"))</f>
        <v/>
      </c>
      <c r="AF152" t="str">
        <f>IF(AND($Q152&lt;&gt;"",N($AD152)&gt;0),COUNT($AF$3:AF151)+1,"")</f>
        <v/>
      </c>
    </row>
    <row r="153" spans="1:32" hidden="1" outlineLevel="1" x14ac:dyDescent="0.25">
      <c r="A153" s="36" t="str">
        <f>IFERROR(INDEX($Q$4:$Q$153,MATCH(ROWS($A$4:A153),$AF$4:$AF$153,0)),"")</f>
        <v/>
      </c>
      <c r="B153" s="35" t="str">
        <f>IFERROR(INDEX($R$4:$R$153,MATCH(ROWS($A$4:A153),$AF$4:$AF$153,0)),"")</f>
        <v/>
      </c>
      <c r="C153" s="35" t="str">
        <f>IFERROR(INDEX($S$4:$S$153,MATCH(ROWS($A$4:A153),$AF$4:$AF$153,0)),"")</f>
        <v/>
      </c>
      <c r="D153" s="35" t="str">
        <f>IFERROR(INDEX($T$4:$T$153,MATCH(ROWS($A$4:A153),$AF$4:$AF$153,0)),"")</f>
        <v/>
      </c>
      <c r="E153" s="35" t="str">
        <f>IFERROR(INDEX($U$4:$U$153,MATCH(ROWS($A$4:A153),$AF$4:$AF$153,0)),"")</f>
        <v/>
      </c>
      <c r="F153" s="35" t="str">
        <f>IFERROR(INDEX($V$4:$V$153,MATCH(ROWS($A$4:A153),$AF$4:$AF$153,0)),"")</f>
        <v/>
      </c>
      <c r="G153" s="35" t="str">
        <f>IFERROR(INDEX($W$4:$W$153,MATCH(ROWS($A$4:A153),$AF$4:$AF$153,0)),"")</f>
        <v/>
      </c>
      <c r="H153" s="35" t="str">
        <f>IFERROR(INDEX($X$4:$X$153,MATCH(ROWS($A$4:A153),$AF$4:$AF$153,0)),"")</f>
        <v/>
      </c>
      <c r="I153" s="72" t="str">
        <f>IFERROR(INDEX($Y$4:$Y$153,MATCH(ROWS($A$4:A153),$AF$4:$AF$153,0)),"")</f>
        <v/>
      </c>
      <c r="J153" s="35" t="str">
        <f>IFERROR(INDEX($Z$4:$Z$153,MATCH(ROWS($A$4:A153),$AF$4:$AF$153,0)),"")</f>
        <v/>
      </c>
      <c r="K153" s="35" t="str">
        <f>IFERROR(INDEX($AA$4:$AA$153,MATCH(ROWS($A$4:A153),$AF$4:$AF$153,0)),"")</f>
        <v/>
      </c>
      <c r="L153" s="35" t="str">
        <f>IFERROR(INDEX($AB$4:$AB$153,MATCH(ROWS($A$4:A153),$AF$4:$AF$153,0)),"")</f>
        <v/>
      </c>
      <c r="M153" s="35" t="str">
        <f>IFERROR(INDEX($AC$4:$AC$153,MATCH(ROWS($A$4:A153),$AF$4:$AF$153,0)),"")</f>
        <v/>
      </c>
      <c r="N153" s="35" t="str">
        <f>IFERROR(INDEX($AD$4:$AD$153,MATCH(ROWS($A$4:A153),$AF$4:$AF$153,0)),"")</f>
        <v/>
      </c>
      <c r="Q153" t="str">
        <f>T(JAN!B155)</f>
        <v/>
      </c>
      <c r="R153" t="str">
        <f t="array" ref="R153">IF($Q153="","",_xlfn.TEXTJOIN(", ",TRUE,IF(JAN!$G155:$AK155="FL",JAN!$G$4:$AK$4,"")))</f>
        <v/>
      </c>
      <c r="S153" t="str">
        <f t="array" ref="S153">IF($Q153="","",_xlfn.TEXTJOIN(", ",TRUE,IF(FEV!$G155:$AK155="FL",FEV!$G$4:$AK$4,"")))</f>
        <v/>
      </c>
      <c r="T153" t="str">
        <f t="array" ref="T153">IF($Q153="","",_xlfn.TEXTJOIN(", ",TRUE,IF(MAR!$G155:$AK155="FL",MAR!$G$4:$AK$4,"")))</f>
        <v/>
      </c>
      <c r="U153" t="str">
        <f t="array" ref="U153">IF($Q153="","",_xlfn.TEXTJOIN(", ",TRUE,IF(ABR!$G155:$AK155="FL",ABR!$G$4:$AK$4,"")))</f>
        <v/>
      </c>
      <c r="V153" t="str">
        <f t="array" ref="V153">IF($Q153="","",_xlfn.TEXTJOIN(", ",TRUE,IF(MAI!$G155:$AK155="FL",MAI!$G$4:$AK$4,"")))</f>
        <v/>
      </c>
      <c r="W153" t="str">
        <f t="array" ref="W153">IF($Q153="","",_xlfn.TEXTJOIN(", ",TRUE,IF(JUN!$G155:$AK155="FL",JUN!$G$4:$AK$4,"")))</f>
        <v/>
      </c>
      <c r="X153" t="str">
        <f t="array" ref="X153">IF($Q153="","",_xlfn.TEXTJOIN(", ",TRUE,IF(JUL!$G155:$AK155="FL",JUL!$G$4:$AK$4,"")))</f>
        <v/>
      </c>
      <c r="Y153" t="str">
        <f t="array" ref="Y153">IF($Q153="","",_xlfn.TEXTJOIN(", ",TRUE,IF(AGO!$G155:$AK155="FL",AGO!$G$4:$AK$4,"")))</f>
        <v/>
      </c>
      <c r="Z153" t="str">
        <f t="array" ref="Z153">IF($Q153="","",_xlfn.TEXTJOIN(", ",TRUE,IF(SET!$G155:$AK155="FL",SET!$G$4:$AK$4,"")))</f>
        <v/>
      </c>
      <c r="AA153" t="str">
        <f t="array" ref="AA153">IF($Q153="","",_xlfn.TEXTJOIN(", ",TRUE,IF(OUT!$G155:$AK155="FL",OUT!$G$4:$AK$4,"")))</f>
        <v/>
      </c>
      <c r="AB153" t="str">
        <f t="array" ref="AB153">IF($Q153="","",_xlfn.TEXTJOIN(", ",TRUE,IF(NOV!$G155:$AK155="FL",NOV!$G$4:$AK$4,"")))</f>
        <v/>
      </c>
      <c r="AC153" t="str">
        <f t="array" ref="AC153">IF($Q153="","",_xlfn.TEXTJOIN(", ",TRUE,IF(DEZ!$G155:$AK155="FL",DEZ!$G$4:$AK$4,"")))</f>
        <v/>
      </c>
      <c r="AD153" t="str">
        <f>IF($Q153="","",COUNTIF(JAN!$G155:$AK155,"FL")+COUNTIF(FEV!$G155:$AK155,"FL")+COUNTIF(MAR!$G155:$AK155,"FL")+COUNTIF(ABR!$G155:$AK155,"FL")+COUNTIF(MAI!$G155:$AK155,"FL")+COUNTIF(JUN!$G155:$AK155,"FL")+COUNTIF(JUL!$G155:$AK155,"FL")+COUNTIF(AGO!$G155:$AK155,"FL")+COUNTIF(SET!$G155:$AK155,"FL")+COUNTIF(OUT!$G155:$AK155,"FL")+COUNTIF(NOV!$G155:$AK155,"FL")+COUNTIF(DEZ!$G155:$AK155,"FL"))</f>
        <v/>
      </c>
      <c r="AF153" t="str">
        <f>IF(AND($Q153&lt;&gt;"",N($AD153)&gt;0),COUNT($AF$3:AF152)+1,"")</f>
        <v/>
      </c>
    </row>
    <row r="154" spans="1:32" hidden="1" outlineLevel="1" x14ac:dyDescent="0.25">
      <c r="I154" s="76"/>
    </row>
    <row r="155" spans="1:32" collapsed="1" x14ac:dyDescent="0.25">
      <c r="A155" s="49" t="s">
        <v>149</v>
      </c>
      <c r="I155" s="76"/>
    </row>
    <row r="156" spans="1:32" x14ac:dyDescent="0.25">
      <c r="A156" s="34" t="s">
        <v>27</v>
      </c>
      <c r="B156" s="34" t="s">
        <v>134</v>
      </c>
      <c r="C156" s="34" t="s">
        <v>135</v>
      </c>
      <c r="D156" s="34" t="s">
        <v>136</v>
      </c>
      <c r="E156" s="34" t="s">
        <v>137</v>
      </c>
      <c r="F156" s="34" t="s">
        <v>138</v>
      </c>
      <c r="G156" s="34" t="s">
        <v>139</v>
      </c>
      <c r="H156" s="34" t="s">
        <v>140</v>
      </c>
      <c r="I156" s="34" t="s">
        <v>141</v>
      </c>
      <c r="J156" s="34" t="s">
        <v>6</v>
      </c>
      <c r="K156" s="34" t="s">
        <v>142</v>
      </c>
      <c r="L156" s="34" t="s">
        <v>143</v>
      </c>
      <c r="M156" s="34" t="s">
        <v>144</v>
      </c>
      <c r="N156" s="34" t="s">
        <v>150</v>
      </c>
    </row>
    <row r="157" spans="1:32" ht="20.100000000000001" customHeight="1" x14ac:dyDescent="0.25">
      <c r="A157" s="71" t="str">
        <f>IFERROR(INDEX($Q$157:$Q$306,MATCH(ROWS($A$157:A157),$AF$157:$AF$306,0)),"")</f>
        <v>ROGÉRIO OLIVEIRA 75001</v>
      </c>
      <c r="B157" s="72" t="str">
        <f>IFERROR(INDEX($R$157:$R$306,MATCH(ROWS($A$157:A157),$AF$157:$AF$306,0)),"")</f>
        <v/>
      </c>
      <c r="C157" s="72" t="str">
        <f>IFERROR(INDEX($S$157:$S$306,MATCH(ROWS($A$157:A157),$AF$157:$AF$306,0)),"")</f>
        <v/>
      </c>
      <c r="D157" s="72" t="str">
        <f>IFERROR(INDEX($T$157:$T$306,MATCH(ROWS($A$157:A157),$AF$157:$AF$306,0)),"")</f>
        <v/>
      </c>
      <c r="E157" s="72" t="str">
        <f>IFERROR(INDEX($U$157:$U$306,MATCH(ROWS($A$157:A157),$AF$157:$AF$306,0)),"")</f>
        <v/>
      </c>
      <c r="F157" s="72" t="str">
        <f>IFERROR(INDEX($V$157:$V$306,MATCH(ROWS($A$157:A157),$AF$157:$AF$306,0)),"")</f>
        <v/>
      </c>
      <c r="G157" s="72" t="str">
        <f>IFERROR(INDEX($W$157:$W$306,MATCH(ROWS($A$157:A157),$AF$157:$AF$306,0)),"")</f>
        <v/>
      </c>
      <c r="H157" s="74" t="str">
        <f>IFERROR(INDEX($X$157:$X$306,MATCH(ROWS($A$157:A157),$AF$157:$AF$306,0)),"")</f>
        <v>21, 22</v>
      </c>
      <c r="I157" s="72" t="str">
        <f>IFERROR(INDEX($Y$157:$Y$306,MATCH(ROWS($A$157:A157),$AF$157:$AF$306,0)),"")</f>
        <v>7, 8, 10, 11</v>
      </c>
      <c r="J157" s="72" t="str">
        <f>IFERROR(INDEX($Z$157:$Z$306,MATCH(ROWS($A$157:A157),$AF$157:$AF$306,0)),"")</f>
        <v>8, 9, 10, 11, 12</v>
      </c>
      <c r="K157" s="72" t="str">
        <f>IFERROR(INDEX($AA$157:$AA$306,MATCH(ROWS($A$157:A157),$AF$157:$AF$306,0)),"")</f>
        <v/>
      </c>
      <c r="L157" s="72" t="str">
        <f>IFERROR(INDEX($AB$157:$AB$306,MATCH(ROWS($A$157:A157),$AF$157:$AF$306,0)),"")</f>
        <v/>
      </c>
      <c r="M157" s="72" t="str">
        <f>IFERROR(INDEX($AC$157:$AC$306,MATCH(ROWS($A$157:A157),$AF$157:$AF$306,0)),"")</f>
        <v/>
      </c>
      <c r="N157" s="71">
        <f>IFERROR(INDEX($AD$157:$AD$306,MATCH(ROWS($A$157:A157),$AF$157:$AF$306,0)),"")</f>
        <v>11</v>
      </c>
      <c r="Q157" t="str">
        <f>T(JAN!B6)</f>
        <v>ROGÉRIO OLIVEIRA 75001</v>
      </c>
      <c r="R157" t="str">
        <f t="array" ref="R157">IF($Q157="","",_xlfn.TEXTJOIN(", ",TRUE,IF(JAN!$G6:$AK6="AT",JAN!$G$4:$AK$4,"")))</f>
        <v/>
      </c>
      <c r="S157" t="str">
        <f t="array" ref="S157">IF($Q157="","",_xlfn.TEXTJOIN(", ",TRUE,IF(FEV!$G6:$AK6="AT",FEV!$G$4:$AK$4,"")))</f>
        <v/>
      </c>
      <c r="T157" t="str">
        <f t="array" ref="T157">IF($Q157="","",_xlfn.TEXTJOIN(", ",TRUE,IF(MAR!$G6:$AK6="AT",MAR!$G$4:$AK$4,"")))</f>
        <v/>
      </c>
      <c r="U157" t="str">
        <f t="array" ref="U157">IF($Q157="","",_xlfn.TEXTJOIN(", ",TRUE,IF(ABR!$G6:$AK6="AT",ABR!$G$4:$AK$4,"")))</f>
        <v/>
      </c>
      <c r="V157" t="str">
        <f t="array" ref="V157">IF($Q157="","",_xlfn.TEXTJOIN(", ",TRUE,IF(MAI!$G6:$AK6="AT",MAI!$G$4:$AK$4,"")))</f>
        <v/>
      </c>
      <c r="W157" t="str">
        <f t="array" ref="W157">IF($Q157="","",_xlfn.TEXTJOIN(", ",TRUE,IF(JUN!$G6:$AK6="AT",JUN!$G$4:$AK$4,"")))</f>
        <v/>
      </c>
      <c r="X157" t="str">
        <f t="array" ref="X157">IF($Q157="","",_xlfn.TEXTJOIN(", ",TRUE,IF(JUL!$G6:$AK6="AT",JUL!$G$4:$AK$4,"")))</f>
        <v>21, 22</v>
      </c>
      <c r="Y157" t="str">
        <f t="array" ref="Y157">IF($Q157="","",_xlfn.TEXTJOIN(", ",TRUE,IF(AGO!$G6:$AK6="AT",AGO!$G$4:$AK$4,"")))</f>
        <v>7, 8, 10, 11</v>
      </c>
      <c r="Z157" t="str">
        <f t="array" ref="Z157">IF($Q157="","",_xlfn.TEXTJOIN(", ",TRUE,IF(SET!$G6:$AK6="AT",SET!$G$4:$AK$4,"")))</f>
        <v>8, 9, 10, 11, 12</v>
      </c>
      <c r="AA157" t="str">
        <f t="array" ref="AA157">IF($Q157="","",_xlfn.TEXTJOIN(", ",TRUE,IF(OUT!$G6:$AK6="AT",OUT!$G$4:$AK$4,"")))</f>
        <v/>
      </c>
      <c r="AB157" t="str">
        <f t="array" ref="AB157">IF($Q157="","",_xlfn.TEXTJOIN(", ",TRUE,IF(NOV!$G6:$AK6="AT",NOV!$G$4:$AK$4,"")))</f>
        <v/>
      </c>
      <c r="AC157" t="str">
        <f t="array" ref="AC157">IF($Q157="","",_xlfn.TEXTJOIN(", ",TRUE,IF(DEZ!$G6:$AK6="AT",DEZ!$G$4:$AK$4,"")))</f>
        <v/>
      </c>
      <c r="AD157">
        <f>IF($Q157="","",COUNTIF(JAN!$G6:$AK6,"AT")+COUNTIF(FEV!$G6:$AK6,"AT")+COUNTIF(MAR!$G6:$AK6,"AT")+COUNTIF(ABR!$G6:$AK6,"AT")+COUNTIF(MAI!$G6:$AK6,"AT")+COUNTIF(JUN!$G6:$AK6,"AT")+COUNTIF(JUL!$G6:$AK6,"AT")+COUNTIF(AGO!$G6:$AK6,"AT")+COUNTIF(SET!$G6:$AK6,"AT")+COUNTIF(OUT!$G6:$AK6,"AT")+COUNTIF(NOV!$G6:$AK6,"AT")+COUNTIF(DEZ!$G6:$AK6,"AT"))</f>
        <v>11</v>
      </c>
      <c r="AF157">
        <f>IF(AND($Q157&lt;&gt;"",N($AD157)&gt;0),COUNT($AF$156:AF156)+1,"")</f>
        <v>1</v>
      </c>
    </row>
    <row r="158" spans="1:32" ht="20.100000000000001" customHeight="1" x14ac:dyDescent="0.25">
      <c r="A158" s="71" t="str">
        <f>IFERROR(INDEX($Q$157:$Q$306,MATCH(ROWS($A$157:A158),$AF$157:$AF$306,0)),"")</f>
        <v>IVÃ DE PAULA 393701</v>
      </c>
      <c r="B158" s="72" t="str">
        <f>IFERROR(INDEX($R$157:$R$306,MATCH(ROWS($A$157:A158),$AF$157:$AF$306,0)),"")</f>
        <v/>
      </c>
      <c r="C158" s="72" t="str">
        <f>IFERROR(INDEX($S$157:$S$306,MATCH(ROWS($A$157:A158),$AF$157:$AF$306,0)),"")</f>
        <v/>
      </c>
      <c r="D158" s="72" t="str">
        <f>IFERROR(INDEX($T$157:$T$306,MATCH(ROWS($A$157:A158),$AF$157:$AF$306,0)),"")</f>
        <v/>
      </c>
      <c r="E158" s="72" t="str">
        <f>IFERROR(INDEX($U$157:$U$306,MATCH(ROWS($A$157:A158),$AF$157:$AF$306,0)),"")</f>
        <v/>
      </c>
      <c r="F158" s="72" t="str">
        <f>IFERROR(INDEX($V$157:$V$306,MATCH(ROWS($A$157:A158),$AF$157:$AF$306,0)),"")</f>
        <v/>
      </c>
      <c r="G158" s="72" t="str">
        <f>IFERROR(INDEX($W$157:$W$306,MATCH(ROWS($A$157:A158),$AF$157:$AF$306,0)),"")</f>
        <v/>
      </c>
      <c r="H158" s="75" t="str">
        <f>IFERROR(INDEX($X$157:$X$306,MATCH(ROWS($A$157:A158),$AF$157:$AF$306,0)),"")</f>
        <v/>
      </c>
      <c r="I158" s="72" t="str">
        <f>IFERROR(INDEX($Y$157:$Y$306,MATCH(ROWS($A$157:A158),$AF$157:$AF$306,0)),"")</f>
        <v>18</v>
      </c>
      <c r="J158" s="72" t="str">
        <f>IFERROR(INDEX($Z$157:$Z$306,MATCH(ROWS($A$157:A158),$AF$157:$AF$306,0)),"")</f>
        <v/>
      </c>
      <c r="K158" s="72" t="str">
        <f>IFERROR(INDEX($AA$157:$AA$306,MATCH(ROWS($A$157:A158),$AF$157:$AF$306,0)),"")</f>
        <v/>
      </c>
      <c r="L158" s="72" t="str">
        <f>IFERROR(INDEX($AB$157:$AB$306,MATCH(ROWS($A$157:A158),$AF$157:$AF$306,0)),"")</f>
        <v/>
      </c>
      <c r="M158" s="72" t="str">
        <f>IFERROR(INDEX($AC$157:$AC$306,MATCH(ROWS($A$157:A158),$AF$157:$AF$306,0)),"")</f>
        <v/>
      </c>
      <c r="N158" s="71">
        <f>IFERROR(INDEX($AD$157:$AD$306,MATCH(ROWS($A$157:A158),$AF$157:$AF$306,0)),"")</f>
        <v>1</v>
      </c>
      <c r="Q158" t="str">
        <f>T(JAN!B7)</f>
        <v>IVÃ DE PAULA 393701</v>
      </c>
      <c r="R158" t="str">
        <f t="array" ref="R158">IF($Q158="","",_xlfn.TEXTJOIN(", ",TRUE,IF(JAN!$G7:$AK7="AT",JAN!$G$4:$AK$4,"")))</f>
        <v/>
      </c>
      <c r="S158" t="str">
        <f t="array" ref="S158">IF($Q158="","",_xlfn.TEXTJOIN(", ",TRUE,IF(FEV!$G7:$AK7="AT",FEV!$G$4:$AK$4,"")))</f>
        <v/>
      </c>
      <c r="T158" t="str">
        <f t="array" ref="T158">IF($Q158="","",_xlfn.TEXTJOIN(", ",TRUE,IF(MAR!$G7:$AK7="AT",MAR!$G$4:$AK$4,"")))</f>
        <v/>
      </c>
      <c r="U158" t="str">
        <f t="array" ref="U158">IF($Q158="","",_xlfn.TEXTJOIN(", ",TRUE,IF(ABR!$G7:$AK7="AT",ABR!$G$4:$AK$4,"")))</f>
        <v/>
      </c>
      <c r="V158" t="str">
        <f t="array" ref="V158">IF($Q158="","",_xlfn.TEXTJOIN(", ",TRUE,IF(MAI!$G7:$AK7="AT",MAI!$G$4:$AK$4,"")))</f>
        <v/>
      </c>
      <c r="W158" t="str">
        <f t="array" ref="W158">IF($Q158="","",_xlfn.TEXTJOIN(", ",TRUE,IF(JUN!$G7:$AK7="AT",JUN!$G$4:$AK$4,"")))</f>
        <v/>
      </c>
      <c r="X158" t="str">
        <f t="array" ref="X158">IF($Q158="","",_xlfn.TEXTJOIN(", ",TRUE,IF(JUL!$G7:$AK7="AT",JUL!$G$4:$AK$4,"")))</f>
        <v/>
      </c>
      <c r="Y158" t="str">
        <f t="array" ref="Y158">IF($Q158="","",_xlfn.TEXTJOIN(", ",TRUE,IF(AGO!$G7:$AK7="AT",AGO!$G$4:$AK$4,"")))</f>
        <v>18</v>
      </c>
      <c r="Z158" t="str">
        <f t="array" ref="Z158">IF($Q158="","",_xlfn.TEXTJOIN(", ",TRUE,IF(SET!$G7:$AK7="AT",SET!$G$4:$AK$4,"")))</f>
        <v/>
      </c>
      <c r="AA158" t="str">
        <f t="array" ref="AA158">IF($Q158="","",_xlfn.TEXTJOIN(", ",TRUE,IF(OUT!$G7:$AK7="AT",OUT!$G$4:$AK$4,"")))</f>
        <v/>
      </c>
      <c r="AB158" t="str">
        <f t="array" ref="AB158">IF($Q158="","",_xlfn.TEXTJOIN(", ",TRUE,IF(NOV!$G7:$AK7="AT",NOV!$G$4:$AK$4,"")))</f>
        <v/>
      </c>
      <c r="AC158" t="str">
        <f t="array" ref="AC158">IF($Q158="","",_xlfn.TEXTJOIN(", ",TRUE,IF(DEZ!$G7:$AK7="AT",DEZ!$G$4:$AK$4,"")))</f>
        <v/>
      </c>
      <c r="AD158">
        <f>IF($Q158="","",COUNTIF(JAN!$G7:$AK7,"AT")+COUNTIF(FEV!$G7:$AK7,"AT")+COUNTIF(MAR!$G7:$AK7,"AT")+COUNTIF(ABR!$G7:$AK7,"AT")+COUNTIF(MAI!$G7:$AK7,"AT")+COUNTIF(JUN!$G7:$AK7,"AT")+COUNTIF(JUL!$G7:$AK7,"AT")+COUNTIF(AGO!$G7:$AK7,"AT")+COUNTIF(SET!$G7:$AK7,"AT")+COUNTIF(OUT!$G7:$AK7,"AT")+COUNTIF(NOV!$G7:$AK7,"AT")+COUNTIF(DEZ!$G7:$AK7,"AT"))</f>
        <v>1</v>
      </c>
      <c r="AF158">
        <f>IF(AND($Q158&lt;&gt;"",N($AD158)&gt;0),COUNT($AF$156:AF157)+1,"")</f>
        <v>2</v>
      </c>
    </row>
    <row r="159" spans="1:32" ht="20.100000000000001" customHeight="1" x14ac:dyDescent="0.25">
      <c r="A159" s="71" t="str">
        <f>IFERROR(INDEX($Q$157:$Q$306,MATCH(ROWS($A$157:A159),$AF$157:$AF$306,0)),"")</f>
        <v>MISAEL SANTOS 37002097</v>
      </c>
      <c r="B159" s="72" t="str">
        <f>IFERROR(INDEX($R$157:$R$306,MATCH(ROWS($A$157:A159),$AF$157:$AF$306,0)),"")</f>
        <v/>
      </c>
      <c r="C159" s="72" t="str">
        <f>IFERROR(INDEX($S$157:$S$306,MATCH(ROWS($A$157:A159),$AF$157:$AF$306,0)),"")</f>
        <v/>
      </c>
      <c r="D159" s="72" t="str">
        <f>IFERROR(INDEX($T$157:$T$306,MATCH(ROWS($A$157:A159),$AF$157:$AF$306,0)),"")</f>
        <v/>
      </c>
      <c r="E159" s="72" t="str">
        <f>IFERROR(INDEX($U$157:$U$306,MATCH(ROWS($A$157:A159),$AF$157:$AF$306,0)),"")</f>
        <v/>
      </c>
      <c r="F159" s="72" t="str">
        <f>IFERROR(INDEX($V$157:$V$306,MATCH(ROWS($A$157:A159),$AF$157:$AF$306,0)),"")</f>
        <v/>
      </c>
      <c r="G159" s="72" t="str">
        <f>IFERROR(INDEX($W$157:$W$306,MATCH(ROWS($A$157:A159),$AF$157:$AF$306,0)),"")</f>
        <v/>
      </c>
      <c r="H159" s="74" t="str">
        <f>IFERROR(INDEX($X$157:$X$306,MATCH(ROWS($A$157:A159),$AF$157:$AF$306,0)),"")</f>
        <v/>
      </c>
      <c r="I159" s="72" t="str">
        <f>IFERROR(INDEX($Y$157:$Y$306,MATCH(ROWS($A$157:A159),$AF$157:$AF$306,0)),"")</f>
        <v>10</v>
      </c>
      <c r="J159" s="72" t="str">
        <f>IFERROR(INDEX($Z$157:$Z$306,MATCH(ROWS($A$157:A159),$AF$157:$AF$306,0)),"")</f>
        <v/>
      </c>
      <c r="K159" s="72" t="str">
        <f>IFERROR(INDEX($AA$157:$AA$306,MATCH(ROWS($A$157:A159),$AF$157:$AF$306,0)),"")</f>
        <v/>
      </c>
      <c r="L159" s="72" t="str">
        <f>IFERROR(INDEX($AB$157:$AB$306,MATCH(ROWS($A$157:A159),$AF$157:$AF$306,0)),"")</f>
        <v/>
      </c>
      <c r="M159" s="72" t="str">
        <f>IFERROR(INDEX($AC$157:$AC$306,MATCH(ROWS($A$157:A159),$AF$157:$AF$306,0)),"")</f>
        <v/>
      </c>
      <c r="N159" s="71">
        <f>IFERROR(INDEX($AD$157:$AD$306,MATCH(ROWS($A$157:A159),$AF$157:$AF$306,0)),"")</f>
        <v>1</v>
      </c>
      <c r="Q159" t="str">
        <f>T(JAN!B8)</f>
        <v>CARLOS ALMEIDA 343901</v>
      </c>
      <c r="R159" t="str">
        <f t="array" ref="R159">IF($Q159="","",_xlfn.TEXTJOIN(", ",TRUE,IF(JAN!$G8:$AK8="AT",JAN!$G$4:$AK$4,"")))</f>
        <v/>
      </c>
      <c r="S159" t="str">
        <f t="array" ref="S159">IF($Q159="","",_xlfn.TEXTJOIN(", ",TRUE,IF(FEV!$G8:$AK8="AT",FEV!$G$4:$AK$4,"")))</f>
        <v/>
      </c>
      <c r="T159" t="str">
        <f t="array" ref="T159">IF($Q159="","",_xlfn.TEXTJOIN(", ",TRUE,IF(MAR!$G8:$AK8="AT",MAR!$G$4:$AK$4,"")))</f>
        <v/>
      </c>
      <c r="U159" t="str">
        <f t="array" ref="U159">IF($Q159="","",_xlfn.TEXTJOIN(", ",TRUE,IF(ABR!$G8:$AK8="AT",ABR!$G$4:$AK$4,"")))</f>
        <v/>
      </c>
      <c r="V159" t="str">
        <f t="array" ref="V159">IF($Q159="","",_xlfn.TEXTJOIN(", ",TRUE,IF(MAI!$G8:$AK8="AT",MAI!$G$4:$AK$4,"")))</f>
        <v/>
      </c>
      <c r="W159" t="str">
        <f t="array" ref="W159">IF($Q159="","",_xlfn.TEXTJOIN(", ",TRUE,IF(JUN!$G8:$AK8="AT",JUN!$G$4:$AK$4,"")))</f>
        <v/>
      </c>
      <c r="X159" t="str">
        <f t="array" ref="X159">IF($Q159="","",_xlfn.TEXTJOIN(", ",TRUE,IF(JUL!$G8:$AK8="AT",JUL!$G$4:$AK$4,"")))</f>
        <v/>
      </c>
      <c r="Y159" t="str">
        <f t="array" ref="Y159">IF($Q159="","",_xlfn.TEXTJOIN(", ",TRUE,IF(AGO!$G8:$AK8="AT",AGO!$G$4:$AK$4,"")))</f>
        <v/>
      </c>
      <c r="Z159" t="str">
        <f t="array" ref="Z159">IF($Q159="","",_xlfn.TEXTJOIN(", ",TRUE,IF(SET!$G8:$AK8="AT",SET!$G$4:$AK$4,"")))</f>
        <v/>
      </c>
      <c r="AA159" t="str">
        <f t="array" ref="AA159">IF($Q159="","",_xlfn.TEXTJOIN(", ",TRUE,IF(OUT!$G8:$AK8="AT",OUT!$G$4:$AK$4,"")))</f>
        <v/>
      </c>
      <c r="AB159" t="str">
        <f t="array" ref="AB159">IF($Q159="","",_xlfn.TEXTJOIN(", ",TRUE,IF(NOV!$G8:$AK8="AT",NOV!$G$4:$AK$4,"")))</f>
        <v/>
      </c>
      <c r="AC159" t="str">
        <f t="array" ref="AC159">IF($Q159="","",_xlfn.TEXTJOIN(", ",TRUE,IF(DEZ!$G8:$AK8="AT",DEZ!$G$4:$AK$4,"")))</f>
        <v/>
      </c>
      <c r="AD159">
        <f>IF($Q159="","",COUNTIF(JAN!$G8:$AK8,"AT")+COUNTIF(FEV!$G8:$AK8,"AT")+COUNTIF(MAR!$G8:$AK8,"AT")+COUNTIF(ABR!$G8:$AK8,"AT")+COUNTIF(MAI!$G8:$AK8,"AT")+COUNTIF(JUN!$G8:$AK8,"AT")+COUNTIF(JUL!$G8:$AK8,"AT")+COUNTIF(AGO!$G8:$AK8,"AT")+COUNTIF(SET!$G8:$AK8,"AT")+COUNTIF(OUT!$G8:$AK8,"AT")+COUNTIF(NOV!$G8:$AK8,"AT")+COUNTIF(DEZ!$G8:$AK8,"AT"))</f>
        <v>0</v>
      </c>
      <c r="AF159" t="str">
        <f>IF(AND($Q159&lt;&gt;"",N($AD159)&gt;0),COUNT($AF$156:AF158)+1,"")</f>
        <v/>
      </c>
    </row>
    <row r="160" spans="1:32" ht="20.100000000000001" customHeight="1" x14ac:dyDescent="0.25">
      <c r="A160" s="71" t="str">
        <f>IFERROR(INDEX($Q$157:$Q$306,MATCH(ROWS($A$157:A160),$AF$157:$AF$306,0)),"")</f>
        <v>ALEXANDRE SELAU 145401</v>
      </c>
      <c r="B160" s="72" t="str">
        <f>IFERROR(INDEX($R$157:$R$306,MATCH(ROWS($A$157:A160),$AF$157:$AF$306,0)),"")</f>
        <v/>
      </c>
      <c r="C160" s="72" t="str">
        <f>IFERROR(INDEX($S$157:$S$306,MATCH(ROWS($A$157:A160),$AF$157:$AF$306,0)),"")</f>
        <v/>
      </c>
      <c r="D160" s="72" t="str">
        <f>IFERROR(INDEX($T$157:$T$306,MATCH(ROWS($A$157:A160),$AF$157:$AF$306,0)),"")</f>
        <v/>
      </c>
      <c r="E160" s="72" t="str">
        <f>IFERROR(INDEX($U$157:$U$306,MATCH(ROWS($A$157:A160),$AF$157:$AF$306,0)),"")</f>
        <v/>
      </c>
      <c r="F160" s="72" t="str">
        <f>IFERROR(INDEX($V$157:$V$306,MATCH(ROWS($A$157:A160),$AF$157:$AF$306,0)),"")</f>
        <v/>
      </c>
      <c r="G160" s="72" t="str">
        <f>IFERROR(INDEX($W$157:$W$306,MATCH(ROWS($A$157:A160),$AF$157:$AF$306,0)),"")</f>
        <v/>
      </c>
      <c r="H160" s="74" t="str">
        <f>IFERROR(INDEX($X$157:$X$306,MATCH(ROWS($A$157:A160),$AF$157:$AF$306,0)),"")</f>
        <v/>
      </c>
      <c r="I160" s="72" t="str">
        <f>IFERROR(INDEX($Y$157:$Y$306,MATCH(ROWS($A$157:A160),$AF$157:$AF$306,0)),"")</f>
        <v/>
      </c>
      <c r="J160" s="72" t="str">
        <f>IFERROR(INDEX($Z$157:$Z$306,MATCH(ROWS($A$157:A160),$AF$157:$AF$306,0)),"")</f>
        <v/>
      </c>
      <c r="K160" s="72" t="str">
        <f>IFERROR(INDEX($AA$157:$AA$306,MATCH(ROWS($A$157:A160),$AF$157:$AF$306,0)),"")</f>
        <v>2</v>
      </c>
      <c r="L160" s="72" t="str">
        <f>IFERROR(INDEX($AB$157:$AB$306,MATCH(ROWS($A$157:A160),$AF$157:$AF$306,0)),"")</f>
        <v/>
      </c>
      <c r="M160" s="72" t="str">
        <f>IFERROR(INDEX($AC$157:$AC$306,MATCH(ROWS($A$157:A160),$AF$157:$AF$306,0)),"")</f>
        <v/>
      </c>
      <c r="N160" s="71">
        <f>IFERROR(INDEX($AD$157:$AD$306,MATCH(ROWS($A$157:A160),$AF$157:$AF$306,0)),"")</f>
        <v>1</v>
      </c>
      <c r="Q160" t="str">
        <f>T(JAN!B9)</f>
        <v>MISAEL SANTOS 37002097</v>
      </c>
      <c r="R160" t="str">
        <f t="array" ref="R160">IF($Q160="","",_xlfn.TEXTJOIN(", ",TRUE,IF(JAN!$G9:$AK9="AT",JAN!$G$4:$AK$4,"")))</f>
        <v/>
      </c>
      <c r="S160" t="str">
        <f t="array" ref="S160">IF($Q160="","",_xlfn.TEXTJOIN(", ",TRUE,IF(FEV!$G9:$AK9="AT",FEV!$G$4:$AK$4,"")))</f>
        <v/>
      </c>
      <c r="T160" t="str">
        <f t="array" ref="T160">IF($Q160="","",_xlfn.TEXTJOIN(", ",TRUE,IF(MAR!$G9:$AK9="AT",MAR!$G$4:$AK$4,"")))</f>
        <v/>
      </c>
      <c r="U160" t="str">
        <f t="array" ref="U160">IF($Q160="","",_xlfn.TEXTJOIN(", ",TRUE,IF(ABR!$G9:$AK9="AT",ABR!$G$4:$AK$4,"")))</f>
        <v/>
      </c>
      <c r="V160" t="str">
        <f t="array" ref="V160">IF($Q160="","",_xlfn.TEXTJOIN(", ",TRUE,IF(MAI!$G9:$AK9="AT",MAI!$G$4:$AK$4,"")))</f>
        <v/>
      </c>
      <c r="W160" t="str">
        <f t="array" ref="W160">IF($Q160="","",_xlfn.TEXTJOIN(", ",TRUE,IF(JUN!$G9:$AK9="AT",JUN!$G$4:$AK$4,"")))</f>
        <v/>
      </c>
      <c r="X160" t="str">
        <f t="array" ref="X160">IF($Q160="","",_xlfn.TEXTJOIN(", ",TRUE,IF(JUL!$G9:$AK9="AT",JUL!$G$4:$AK$4,"")))</f>
        <v/>
      </c>
      <c r="Y160" t="str">
        <f t="array" ref="Y160">IF($Q160="","",_xlfn.TEXTJOIN(", ",TRUE,IF(AGO!$G9:$AK9="AT",AGO!$G$4:$AK$4,"")))</f>
        <v>10</v>
      </c>
      <c r="Z160" t="str">
        <f t="array" ref="Z160">IF($Q160="","",_xlfn.TEXTJOIN(", ",TRUE,IF(SET!$G9:$AK9="AT",SET!$G$4:$AK$4,"")))</f>
        <v/>
      </c>
      <c r="AA160" t="str">
        <f t="array" ref="AA160">IF($Q160="","",_xlfn.TEXTJOIN(", ",TRUE,IF(OUT!$G9:$AK9="AT",OUT!$G$4:$AK$4,"")))</f>
        <v/>
      </c>
      <c r="AB160" t="str">
        <f t="array" ref="AB160">IF($Q160="","",_xlfn.TEXTJOIN(", ",TRUE,IF(NOV!$G9:$AK9="AT",NOV!$G$4:$AK$4,"")))</f>
        <v/>
      </c>
      <c r="AC160" t="str">
        <f t="array" ref="AC160">IF($Q160="","",_xlfn.TEXTJOIN(", ",TRUE,IF(DEZ!$G9:$AK9="AT",DEZ!$G$4:$AK$4,"")))</f>
        <v/>
      </c>
      <c r="AD160">
        <f>IF($Q160="","",COUNTIF(JAN!$G9:$AK9,"AT")+COUNTIF(FEV!$G9:$AK9,"AT")+COUNTIF(MAR!$G9:$AK9,"AT")+COUNTIF(ABR!$G9:$AK9,"AT")+COUNTIF(MAI!$G9:$AK9,"AT")+COUNTIF(JUN!$G9:$AK9,"AT")+COUNTIF(JUL!$G9:$AK9,"AT")+COUNTIF(AGO!$G9:$AK9,"AT")+COUNTIF(SET!$G9:$AK9,"AT")+COUNTIF(OUT!$G9:$AK9,"AT")+COUNTIF(NOV!$G9:$AK9,"AT")+COUNTIF(DEZ!$G9:$AK9,"AT"))</f>
        <v>1</v>
      </c>
      <c r="AF160">
        <f>IF(AND($Q160&lt;&gt;"",N($AD160)&gt;0),COUNT($AF$156:AF159)+1,"")</f>
        <v>3</v>
      </c>
    </row>
    <row r="161" spans="1:32" ht="20.100000000000001" customHeight="1" x14ac:dyDescent="0.25">
      <c r="A161" s="71" t="str">
        <f>IFERROR(INDEX($Q$157:$Q$306,MATCH(ROWS($A$157:A161),$AF$157:$AF$306,0)),"")</f>
        <v>FREDERICO SILVA 416501</v>
      </c>
      <c r="B161" s="72" t="str">
        <f>IFERROR(INDEX($R$157:$R$306,MATCH(ROWS($A$157:A161),$AF$157:$AF$306,0)),"")</f>
        <v/>
      </c>
      <c r="C161" s="72" t="str">
        <f>IFERROR(INDEX($S$157:$S$306,MATCH(ROWS($A$157:A161),$AF$157:$AF$306,0)),"")</f>
        <v/>
      </c>
      <c r="D161" s="72" t="str">
        <f>IFERROR(INDEX($T$157:$T$306,MATCH(ROWS($A$157:A161),$AF$157:$AF$306,0)),"")</f>
        <v/>
      </c>
      <c r="E161" s="72" t="str">
        <f>IFERROR(INDEX($U$157:$U$306,MATCH(ROWS($A$157:A161),$AF$157:$AF$306,0)),"")</f>
        <v/>
      </c>
      <c r="F161" s="72" t="str">
        <f>IFERROR(INDEX($V$157:$V$306,MATCH(ROWS($A$157:A161),$AF$157:$AF$306,0)),"")</f>
        <v/>
      </c>
      <c r="G161" s="72" t="str">
        <f>IFERROR(INDEX($W$157:$W$306,MATCH(ROWS($A$157:A161),$AF$157:$AF$306,0)),"")</f>
        <v/>
      </c>
      <c r="H161" s="75" t="str">
        <f>IFERROR(INDEX($X$157:$X$306,MATCH(ROWS($A$157:A161),$AF$157:$AF$306,0)),"")</f>
        <v/>
      </c>
      <c r="I161" s="72" t="str">
        <f>IFERROR(INDEX($Y$157:$Y$306,MATCH(ROWS($A$157:A161),$AF$157:$AF$306,0)),"")</f>
        <v>8, 10</v>
      </c>
      <c r="J161" s="72" t="str">
        <f>IFERROR(INDEX($Z$157:$Z$306,MATCH(ROWS($A$157:A161),$AF$157:$AF$306,0)),"")</f>
        <v/>
      </c>
      <c r="K161" s="72" t="str">
        <f>IFERROR(INDEX($AA$157:$AA$306,MATCH(ROWS($A$157:A161),$AF$157:$AF$306,0)),"")</f>
        <v/>
      </c>
      <c r="L161" s="72" t="str">
        <f>IFERROR(INDEX($AB$157:$AB$306,MATCH(ROWS($A$157:A161),$AF$157:$AF$306,0)),"")</f>
        <v/>
      </c>
      <c r="M161" s="72" t="str">
        <f>IFERROR(INDEX($AC$157:$AC$306,MATCH(ROWS($A$157:A161),$AF$157:$AF$306,0)),"")</f>
        <v/>
      </c>
      <c r="N161" s="71">
        <f>IFERROR(INDEX($AD$157:$AD$306,MATCH(ROWS($A$157:A161),$AF$157:$AF$306,0)),"")</f>
        <v>2</v>
      </c>
      <c r="Q161" t="str">
        <f>T(JAN!B10)</f>
        <v>ALEXANDRE SELAU 145401</v>
      </c>
      <c r="R161" t="str">
        <f t="array" ref="R161">IF($Q161="","",_xlfn.TEXTJOIN(", ",TRUE,IF(JAN!$G10:$AK10="AT",JAN!$G$4:$AK$4,"")))</f>
        <v/>
      </c>
      <c r="S161" t="str">
        <f t="array" ref="S161">IF($Q161="","",_xlfn.TEXTJOIN(", ",TRUE,IF(FEV!$G10:$AK10="AT",FEV!$G$4:$AK$4,"")))</f>
        <v/>
      </c>
      <c r="T161" t="str">
        <f t="array" ref="T161">IF($Q161="","",_xlfn.TEXTJOIN(", ",TRUE,IF(MAR!$G10:$AK10="AT",MAR!$G$4:$AK$4,"")))</f>
        <v/>
      </c>
      <c r="U161" t="str">
        <f t="array" ref="U161">IF($Q161="","",_xlfn.TEXTJOIN(", ",TRUE,IF(ABR!$G10:$AK10="AT",ABR!$G$4:$AK$4,"")))</f>
        <v/>
      </c>
      <c r="V161" t="str">
        <f t="array" ref="V161">IF($Q161="","",_xlfn.TEXTJOIN(", ",TRUE,IF(MAI!$G10:$AK10="AT",MAI!$G$4:$AK$4,"")))</f>
        <v/>
      </c>
      <c r="W161" t="str">
        <f t="array" ref="W161">IF($Q161="","",_xlfn.TEXTJOIN(", ",TRUE,IF(JUN!$G10:$AK10="AT",JUN!$G$4:$AK$4,"")))</f>
        <v/>
      </c>
      <c r="X161" t="str">
        <f t="array" ref="X161">IF($Q161="","",_xlfn.TEXTJOIN(", ",TRUE,IF(JUL!$G10:$AK10="AT",JUL!$G$4:$AK$4,"")))</f>
        <v/>
      </c>
      <c r="Y161" t="str">
        <f t="array" ref="Y161">IF($Q161="","",_xlfn.TEXTJOIN(", ",TRUE,IF(AGO!$G10:$AK10="AT",AGO!$G$4:$AK$4,"")))</f>
        <v/>
      </c>
      <c r="Z161" t="str">
        <f t="array" ref="Z161">IF($Q161="","",_xlfn.TEXTJOIN(", ",TRUE,IF(SET!$G10:$AK10="AT",SET!$G$4:$AK$4,"")))</f>
        <v/>
      </c>
      <c r="AA161" t="str">
        <f t="array" ref="AA161">IF($Q161="","",_xlfn.TEXTJOIN(", ",TRUE,IF(OUT!$G10:$AK10="AT",OUT!$G$4:$AK$4,"")))</f>
        <v>2</v>
      </c>
      <c r="AB161" t="str">
        <f t="array" ref="AB161">IF($Q161="","",_xlfn.TEXTJOIN(", ",TRUE,IF(NOV!$G10:$AK10="AT",NOV!$G$4:$AK$4,"")))</f>
        <v/>
      </c>
      <c r="AC161" t="str">
        <f t="array" ref="AC161">IF($Q161="","",_xlfn.TEXTJOIN(", ",TRUE,IF(DEZ!$G10:$AK10="AT",DEZ!$G$4:$AK$4,"")))</f>
        <v/>
      </c>
      <c r="AD161">
        <f>IF($Q161="","",COUNTIF(JAN!$G10:$AK10,"AT")+COUNTIF(FEV!$G10:$AK10,"AT")+COUNTIF(MAR!$G10:$AK10,"AT")+COUNTIF(ABR!$G10:$AK10,"AT")+COUNTIF(MAI!$G10:$AK10,"AT")+COUNTIF(JUN!$G10:$AK10,"AT")+COUNTIF(JUL!$G10:$AK10,"AT")+COUNTIF(AGO!$G10:$AK10,"AT")+COUNTIF(SET!$G10:$AK10,"AT")+COUNTIF(OUT!$G10:$AK10,"AT")+COUNTIF(NOV!$G10:$AK10,"AT")+COUNTIF(DEZ!$G10:$AK10,"AT"))</f>
        <v>1</v>
      </c>
      <c r="AF161">
        <f>IF(AND($Q161&lt;&gt;"",N($AD161)&gt;0),COUNT($AF$156:AF160)+1,"")</f>
        <v>4</v>
      </c>
    </row>
    <row r="162" spans="1:32" ht="20.100000000000001" customHeight="1" x14ac:dyDescent="0.25">
      <c r="A162" s="71" t="str">
        <f>IFERROR(INDEX($Q$157:$Q$306,MATCH(ROWS($A$157:A162),$AF$157:$AF$306,0)),"")</f>
        <v>RAFAEL SANTOS 355101</v>
      </c>
      <c r="B162" s="72" t="str">
        <f>IFERROR(INDEX($R$157:$R$306,MATCH(ROWS($A$157:A162),$AF$157:$AF$306,0)),"")</f>
        <v/>
      </c>
      <c r="C162" s="72" t="str">
        <f>IFERROR(INDEX($S$157:$S$306,MATCH(ROWS($A$157:A162),$AF$157:$AF$306,0)),"")</f>
        <v/>
      </c>
      <c r="D162" s="72" t="str">
        <f>IFERROR(INDEX($T$157:$T$306,MATCH(ROWS($A$157:A162),$AF$157:$AF$306,0)),"")</f>
        <v/>
      </c>
      <c r="E162" s="72" t="str">
        <f>IFERROR(INDEX($U$157:$U$306,MATCH(ROWS($A$157:A162),$AF$157:$AF$306,0)),"")</f>
        <v/>
      </c>
      <c r="F162" s="72" t="str">
        <f>IFERROR(INDEX($V$157:$V$306,MATCH(ROWS($A$157:A162),$AF$157:$AF$306,0)),"")</f>
        <v/>
      </c>
      <c r="G162" s="72" t="str">
        <f>IFERROR(INDEX($W$157:$W$306,MATCH(ROWS($A$157:A162),$AF$157:$AF$306,0)),"")</f>
        <v/>
      </c>
      <c r="H162" s="72" t="str">
        <f>IFERROR(INDEX($X$157:$X$306,MATCH(ROWS($A$157:A162),$AF$157:$AF$306,0)),"")</f>
        <v>10, 11, 13, 14, 15, 16, 17, 18, 21, 22, 23, 24</v>
      </c>
      <c r="I162" s="72" t="str">
        <f>IFERROR(INDEX($Y$157:$Y$306,MATCH(ROWS($A$157:A162),$AF$157:$AF$306,0)),"")</f>
        <v/>
      </c>
      <c r="J162" s="72" t="str">
        <f>IFERROR(INDEX($Z$157:$Z$306,MATCH(ROWS($A$157:A162),$AF$157:$AF$306,0)),"")</f>
        <v/>
      </c>
      <c r="K162" s="72" t="str">
        <f>IFERROR(INDEX($AA$157:$AA$306,MATCH(ROWS($A$157:A162),$AF$157:$AF$306,0)),"")</f>
        <v/>
      </c>
      <c r="L162" s="72" t="str">
        <f>IFERROR(INDEX($AB$157:$AB$306,MATCH(ROWS($A$157:A162),$AF$157:$AF$306,0)),"")</f>
        <v/>
      </c>
      <c r="M162" s="72" t="str">
        <f>IFERROR(INDEX($AC$157:$AC$306,MATCH(ROWS($A$157:A162),$AF$157:$AF$306,0)),"")</f>
        <v/>
      </c>
      <c r="N162" s="35">
        <f>IFERROR(INDEX($AD$157:$AD$306,MATCH(ROWS($A$157:A162),$AF$157:$AF$306,0)),"")</f>
        <v>12</v>
      </c>
      <c r="Q162" t="str">
        <f>T(JAN!B11)</f>
        <v>FABIANO FORTES 57401</v>
      </c>
      <c r="R162" t="str">
        <f t="array" ref="R162">IF($Q162="","",_xlfn.TEXTJOIN(", ",TRUE,IF(JAN!$G11:$AK11="AT",JAN!$G$4:$AK$4,"")))</f>
        <v/>
      </c>
      <c r="S162" t="str">
        <f t="array" ref="S162">IF($Q162="","",_xlfn.TEXTJOIN(", ",TRUE,IF(FEV!$G11:$AK11="AT",FEV!$G$4:$AK$4,"")))</f>
        <v/>
      </c>
      <c r="T162" t="str">
        <f t="array" ref="T162">IF($Q162="","",_xlfn.TEXTJOIN(", ",TRUE,IF(MAR!$G11:$AK11="AT",MAR!$G$4:$AK$4,"")))</f>
        <v/>
      </c>
      <c r="U162" t="str">
        <f t="array" ref="U162">IF($Q162="","",_xlfn.TEXTJOIN(", ",TRUE,IF(ABR!$G11:$AK11="AT",ABR!$G$4:$AK$4,"")))</f>
        <v/>
      </c>
      <c r="V162" t="str">
        <f t="array" ref="V162">IF($Q162="","",_xlfn.TEXTJOIN(", ",TRUE,IF(MAI!$G11:$AK11="AT",MAI!$G$4:$AK$4,"")))</f>
        <v/>
      </c>
      <c r="W162" t="str">
        <f t="array" ref="W162">IF($Q162="","",_xlfn.TEXTJOIN(", ",TRUE,IF(JUN!$G11:$AK11="AT",JUN!$G$4:$AK$4,"")))</f>
        <v/>
      </c>
      <c r="X162" t="str">
        <f t="array" ref="X162">IF($Q162="","",_xlfn.TEXTJOIN(", ",TRUE,IF(JUL!$G11:$AK11="AT",JUL!$G$4:$AK$4,"")))</f>
        <v/>
      </c>
      <c r="Y162" t="str">
        <f t="array" ref="Y162">IF($Q162="","",_xlfn.TEXTJOIN(", ",TRUE,IF(AGO!$G11:$AK11="AT",AGO!$G$4:$AK$4,"")))</f>
        <v/>
      </c>
      <c r="Z162" t="str">
        <f t="array" ref="Z162">IF($Q162="","",_xlfn.TEXTJOIN(", ",TRUE,IF(SET!$G11:$AK11="AT",SET!$G$4:$AK$4,"")))</f>
        <v/>
      </c>
      <c r="AA162" t="str">
        <f t="array" ref="AA162">IF($Q162="","",_xlfn.TEXTJOIN(", ",TRUE,IF(OUT!$G11:$AK11="AT",OUT!$G$4:$AK$4,"")))</f>
        <v/>
      </c>
      <c r="AB162" t="str">
        <f t="array" ref="AB162">IF($Q162="","",_xlfn.TEXTJOIN(", ",TRUE,IF(NOV!$G11:$AK11="AT",NOV!$G$4:$AK$4,"")))</f>
        <v/>
      </c>
      <c r="AC162" t="str">
        <f t="array" ref="AC162">IF($Q162="","",_xlfn.TEXTJOIN(", ",TRUE,IF(DEZ!$G11:$AK11="AT",DEZ!$G$4:$AK$4,"")))</f>
        <v/>
      </c>
      <c r="AD162">
        <f>IF($Q162="","",COUNTIF(JAN!$G11:$AK11,"AT")+COUNTIF(FEV!$G11:$AK11,"AT")+COUNTIF(MAR!$G11:$AK11,"AT")+COUNTIF(ABR!$G11:$AK11,"AT")+COUNTIF(MAI!$G11:$AK11,"AT")+COUNTIF(JUN!$G11:$AK11,"AT")+COUNTIF(JUL!$G11:$AK11,"AT")+COUNTIF(AGO!$G11:$AK11,"AT")+COUNTIF(SET!$G11:$AK11,"AT")+COUNTIF(OUT!$G11:$AK11,"AT")+COUNTIF(NOV!$G11:$AK11,"AT")+COUNTIF(DEZ!$G11:$AK11,"AT"))</f>
        <v>0</v>
      </c>
      <c r="AF162" t="str">
        <f>IF(AND($Q162&lt;&gt;"",N($AD162)&gt;0),COUNT($AF$156:AF161)+1,"")</f>
        <v/>
      </c>
    </row>
    <row r="163" spans="1:32" ht="20.100000000000001" customHeight="1" x14ac:dyDescent="0.25">
      <c r="A163" s="71" t="str">
        <f>IFERROR(INDEX($Q$157:$Q$306,MATCH(ROWS($A$157:A163),$AF$157:$AF$306,0)),"")</f>
        <v>JOSE HERTE 109801</v>
      </c>
      <c r="B163" s="72" t="str">
        <f>IFERROR(INDEX($R$157:$R$306,MATCH(ROWS($A$157:A163),$AF$157:$AF$306,0)),"")</f>
        <v/>
      </c>
      <c r="C163" s="72" t="str">
        <f>IFERROR(INDEX($S$157:$S$306,MATCH(ROWS($A$157:A163),$AF$157:$AF$306,0)),"")</f>
        <v/>
      </c>
      <c r="D163" s="72" t="str">
        <f>IFERROR(INDEX($T$157:$T$306,MATCH(ROWS($A$157:A163),$AF$157:$AF$306,0)),"")</f>
        <v/>
      </c>
      <c r="E163" s="72" t="str">
        <f>IFERROR(INDEX($U$157:$U$306,MATCH(ROWS($A$157:A163),$AF$157:$AF$306,0)),"")</f>
        <v/>
      </c>
      <c r="F163" s="72" t="str">
        <f>IFERROR(INDEX($V$157:$V$306,MATCH(ROWS($A$157:A163),$AF$157:$AF$306,0)),"")</f>
        <v/>
      </c>
      <c r="G163" s="72" t="str">
        <f>IFERROR(INDEX($W$157:$W$306,MATCH(ROWS($A$157:A163),$AF$157:$AF$306,0)),"")</f>
        <v/>
      </c>
      <c r="H163" s="72" t="str">
        <f>IFERROR(INDEX($X$157:$X$306,MATCH(ROWS($A$157:A163),$AF$157:$AF$306,0)),"")</f>
        <v>23, 24</v>
      </c>
      <c r="I163" s="72" t="str">
        <f>IFERROR(INDEX($Y$157:$Y$306,MATCH(ROWS($A$157:A163),$AF$157:$AF$306,0)),"")</f>
        <v/>
      </c>
      <c r="J163" s="72" t="str">
        <f>IFERROR(INDEX($Z$157:$Z$306,MATCH(ROWS($A$157:A163),$AF$157:$AF$306,0)),"")</f>
        <v/>
      </c>
      <c r="K163" s="72" t="str">
        <f>IFERROR(INDEX($AA$157:$AA$306,MATCH(ROWS($A$157:A163),$AF$157:$AF$306,0)),"")</f>
        <v/>
      </c>
      <c r="L163" s="72" t="str">
        <f>IFERROR(INDEX($AB$157:$AB$306,MATCH(ROWS($A$157:A163),$AF$157:$AF$306,0)),"")</f>
        <v/>
      </c>
      <c r="M163" s="72" t="str">
        <f>IFERROR(INDEX($AC$157:$AC$306,MATCH(ROWS($A$157:A163),$AF$157:$AF$306,0)),"")</f>
        <v/>
      </c>
      <c r="N163" s="35">
        <f>IFERROR(INDEX($AD$157:$AD$306,MATCH(ROWS($A$157:A163),$AF$157:$AF$306,0)),"")</f>
        <v>2</v>
      </c>
      <c r="Q163" t="str">
        <f>T(JAN!B12)</f>
        <v>DOUGLAS MILANI 398501</v>
      </c>
      <c r="R163" t="str">
        <f t="array" ref="R163">IF($Q163="","",_xlfn.TEXTJOIN(", ",TRUE,IF(JAN!$G12:$AK12="AT",JAN!$G$4:$AK$4,"")))</f>
        <v/>
      </c>
      <c r="S163" t="str">
        <f t="array" ref="S163">IF($Q163="","",_xlfn.TEXTJOIN(", ",TRUE,IF(FEV!$G12:$AK12="AT",FEV!$G$4:$AK$4,"")))</f>
        <v/>
      </c>
      <c r="T163" t="str">
        <f t="array" ref="T163">IF($Q163="","",_xlfn.TEXTJOIN(", ",TRUE,IF(MAR!$G12:$AK12="AT",MAR!$G$4:$AK$4,"")))</f>
        <v/>
      </c>
      <c r="U163" t="str">
        <f t="array" ref="U163">IF($Q163="","",_xlfn.TEXTJOIN(", ",TRUE,IF(ABR!$G12:$AK12="AT",ABR!$G$4:$AK$4,"")))</f>
        <v/>
      </c>
      <c r="V163" t="str">
        <f t="array" ref="V163">IF($Q163="","",_xlfn.TEXTJOIN(", ",TRUE,IF(MAI!$G12:$AK12="AT",MAI!$G$4:$AK$4,"")))</f>
        <v/>
      </c>
      <c r="W163" t="str">
        <f t="array" ref="W163">IF($Q163="","",_xlfn.TEXTJOIN(", ",TRUE,IF(JUN!$G12:$AK12="AT",JUN!$G$4:$AK$4,"")))</f>
        <v/>
      </c>
      <c r="X163" t="str">
        <f t="array" ref="X163">IF($Q163="","",_xlfn.TEXTJOIN(", ",TRUE,IF(JUL!$G12:$AK12="AT",JUL!$G$4:$AK$4,"")))</f>
        <v/>
      </c>
      <c r="Y163" t="str">
        <f t="array" ref="Y163">IF($Q163="","",_xlfn.TEXTJOIN(", ",TRUE,IF(AGO!$G12:$AK12="AT",AGO!$G$4:$AK$4,"")))</f>
        <v/>
      </c>
      <c r="Z163" t="str">
        <f t="array" ref="Z163">IF($Q163="","",_xlfn.TEXTJOIN(", ",TRUE,IF(SET!$G12:$AK12="AT",SET!$G$4:$AK$4,"")))</f>
        <v/>
      </c>
      <c r="AA163" t="str">
        <f t="array" ref="AA163">IF($Q163="","",_xlfn.TEXTJOIN(", ",TRUE,IF(OUT!$G12:$AK12="AT",OUT!$G$4:$AK$4,"")))</f>
        <v/>
      </c>
      <c r="AB163" t="str">
        <f t="array" ref="AB163">IF($Q163="","",_xlfn.TEXTJOIN(", ",TRUE,IF(NOV!$G12:$AK12="AT",NOV!$G$4:$AK$4,"")))</f>
        <v/>
      </c>
      <c r="AC163" t="str">
        <f t="array" ref="AC163">IF($Q163="","",_xlfn.TEXTJOIN(", ",TRUE,IF(DEZ!$G12:$AK12="AT",DEZ!$G$4:$AK$4,"")))</f>
        <v/>
      </c>
      <c r="AD163">
        <f>IF($Q163="","",COUNTIF(JAN!$G12:$AK12,"AT")+COUNTIF(FEV!$G12:$AK12,"AT")+COUNTIF(MAR!$G12:$AK12,"AT")+COUNTIF(ABR!$G12:$AK12,"AT")+COUNTIF(MAI!$G12:$AK12,"AT")+COUNTIF(JUN!$G12:$AK12,"AT")+COUNTIF(JUL!$G12:$AK12,"AT")+COUNTIF(AGO!$G12:$AK12,"AT")+COUNTIF(SET!$G12:$AK12,"AT")+COUNTIF(OUT!$G12:$AK12,"AT")+COUNTIF(NOV!$G12:$AK12,"AT")+COUNTIF(DEZ!$G12:$AK12,"AT"))</f>
        <v>0</v>
      </c>
      <c r="AF163" t="str">
        <f>IF(AND($Q163&lt;&gt;"",N($AD163)&gt;0),COUNT($AF$156:AF162)+1,"")</f>
        <v/>
      </c>
    </row>
    <row r="164" spans="1:32" ht="20.100000000000001" customHeight="1" x14ac:dyDescent="0.25">
      <c r="A164" s="71" t="str">
        <f>IFERROR(INDEX($Q$157:$Q$306,MATCH(ROWS($A$157:A164),$AF$157:$AF$306,0)),"")</f>
        <v>ANILTON MORAES 327401</v>
      </c>
      <c r="B164" s="72" t="str">
        <f>IFERROR(INDEX($R$157:$R$306,MATCH(ROWS($A$157:A164),$AF$157:$AF$306,0)),"")</f>
        <v/>
      </c>
      <c r="C164" s="72" t="str">
        <f>IFERROR(INDEX($S$157:$S$306,MATCH(ROWS($A$157:A164),$AF$157:$AF$306,0)),"")</f>
        <v/>
      </c>
      <c r="D164" s="72" t="str">
        <f>IFERROR(INDEX($T$157:$T$306,MATCH(ROWS($A$157:A164),$AF$157:$AF$306,0)),"")</f>
        <v/>
      </c>
      <c r="E164" s="72" t="str">
        <f>IFERROR(INDEX($U$157:$U$306,MATCH(ROWS($A$157:A164),$AF$157:$AF$306,0)),"")</f>
        <v/>
      </c>
      <c r="F164" s="72" t="str">
        <f>IFERROR(INDEX($V$157:$V$306,MATCH(ROWS($A$157:A164),$AF$157:$AF$306,0)),"")</f>
        <v/>
      </c>
      <c r="G164" s="72" t="str">
        <f>IFERROR(INDEX($W$157:$W$306,MATCH(ROWS($A$157:A164),$AF$157:$AF$306,0)),"")</f>
        <v/>
      </c>
      <c r="H164" s="72" t="str">
        <f>IFERROR(INDEX($X$157:$X$306,MATCH(ROWS($A$157:A164),$AF$157:$AF$306,0)),"")</f>
        <v/>
      </c>
      <c r="I164" s="72" t="str">
        <f>IFERROR(INDEX($Y$157:$Y$306,MATCH(ROWS($A$157:A164),$AF$157:$AF$306,0)),"")</f>
        <v/>
      </c>
      <c r="J164" s="72" t="str">
        <f>IFERROR(INDEX($Z$157:$Z$306,MATCH(ROWS($A$157:A164),$AF$157:$AF$306,0)),"")</f>
        <v>18</v>
      </c>
      <c r="K164" s="72" t="str">
        <f>IFERROR(INDEX($AA$157:$AA$306,MATCH(ROWS($A$157:A164),$AF$157:$AF$306,0)),"")</f>
        <v/>
      </c>
      <c r="L164" s="72" t="str">
        <f>IFERROR(INDEX($AB$157:$AB$306,MATCH(ROWS($A$157:A164),$AF$157:$AF$306,0)),"")</f>
        <v/>
      </c>
      <c r="M164" s="72" t="str">
        <f>IFERROR(INDEX($AC$157:$AC$306,MATCH(ROWS($A$157:A164),$AF$157:$AF$306,0)),"")</f>
        <v/>
      </c>
      <c r="N164" s="35">
        <f>IFERROR(INDEX($AD$157:$AD$306,MATCH(ROWS($A$157:A164),$AF$157:$AF$306,0)),"")</f>
        <v>1</v>
      </c>
      <c r="Q164" t="str">
        <f>T(JAN!B13)</f>
        <v>ROQUE DARLAN 464801</v>
      </c>
      <c r="R164" t="str">
        <f t="array" ref="R164">IF($Q164="","",_xlfn.TEXTJOIN(", ",TRUE,IF(JAN!$G13:$AK13="AT",JAN!$G$4:$AK$4,"")))</f>
        <v/>
      </c>
      <c r="S164" t="str">
        <f t="array" ref="S164">IF($Q164="","",_xlfn.TEXTJOIN(", ",TRUE,IF(FEV!$G13:$AK13="AT",FEV!$G$4:$AK$4,"")))</f>
        <v/>
      </c>
      <c r="T164" t="str">
        <f t="array" ref="T164">IF($Q164="","",_xlfn.TEXTJOIN(", ",TRUE,IF(MAR!$G13:$AK13="AT",MAR!$G$4:$AK$4,"")))</f>
        <v/>
      </c>
      <c r="U164" t="str">
        <f t="array" ref="U164">IF($Q164="","",_xlfn.TEXTJOIN(", ",TRUE,IF(ABR!$G13:$AK13="AT",ABR!$G$4:$AK$4,"")))</f>
        <v/>
      </c>
      <c r="V164" t="str">
        <f t="array" ref="V164">IF($Q164="","",_xlfn.TEXTJOIN(", ",TRUE,IF(MAI!$G13:$AK13="AT",MAI!$G$4:$AK$4,"")))</f>
        <v/>
      </c>
      <c r="W164" t="str">
        <f t="array" ref="W164">IF($Q164="","",_xlfn.TEXTJOIN(", ",TRUE,IF(JUN!$G13:$AK13="AT",JUN!$G$4:$AK$4,"")))</f>
        <v/>
      </c>
      <c r="X164" t="str">
        <f t="array" ref="X164">IF($Q164="","",_xlfn.TEXTJOIN(", ",TRUE,IF(JUL!$G13:$AK13="AT",JUL!$G$4:$AK$4,"")))</f>
        <v/>
      </c>
      <c r="Y164" t="str">
        <f t="array" ref="Y164">IF($Q164="","",_xlfn.TEXTJOIN(", ",TRUE,IF(AGO!$G13:$AK13="AT",AGO!$G$4:$AK$4,"")))</f>
        <v/>
      </c>
      <c r="Z164" t="str">
        <f t="array" ref="Z164">IF($Q164="","",_xlfn.TEXTJOIN(", ",TRUE,IF(SET!$G13:$AK13="AT",SET!$G$4:$AK$4,"")))</f>
        <v/>
      </c>
      <c r="AA164" t="str">
        <f t="array" ref="AA164">IF($Q164="","",_xlfn.TEXTJOIN(", ",TRUE,IF(OUT!$G13:$AK13="AT",OUT!$G$4:$AK$4,"")))</f>
        <v/>
      </c>
      <c r="AB164" t="str">
        <f t="array" ref="AB164">IF($Q164="","",_xlfn.TEXTJOIN(", ",TRUE,IF(NOV!$G13:$AK13="AT",NOV!$G$4:$AK$4,"")))</f>
        <v/>
      </c>
      <c r="AC164" t="str">
        <f t="array" ref="AC164">IF($Q164="","",_xlfn.TEXTJOIN(", ",TRUE,IF(DEZ!$G13:$AK13="AT",DEZ!$G$4:$AK$4,"")))</f>
        <v/>
      </c>
      <c r="AD164">
        <f>IF($Q164="","",COUNTIF(JAN!$G13:$AK13,"AT")+COUNTIF(FEV!$G13:$AK13,"AT")+COUNTIF(MAR!$G13:$AK13,"AT")+COUNTIF(ABR!$G13:$AK13,"AT")+COUNTIF(MAI!$G13:$AK13,"AT")+COUNTIF(JUN!$G13:$AK13,"AT")+COUNTIF(JUL!$G13:$AK13,"AT")+COUNTIF(AGO!$G13:$AK13,"AT")+COUNTIF(SET!$G13:$AK13,"AT")+COUNTIF(OUT!$G13:$AK13,"AT")+COUNTIF(NOV!$G13:$AK13,"AT")+COUNTIF(DEZ!$G13:$AK13,"AT"))</f>
        <v>0</v>
      </c>
      <c r="AF164" t="str">
        <f>IF(AND($Q164&lt;&gt;"",N($AD164)&gt;0),COUNT($AF$156:AF163)+1,"")</f>
        <v/>
      </c>
    </row>
    <row r="165" spans="1:32" ht="20.100000000000001" customHeight="1" x14ac:dyDescent="0.25">
      <c r="A165" s="71" t="str">
        <f>IFERROR(INDEX($Q$157:$Q$306,MATCH(ROWS($A$157:A165),$AF$157:$AF$306,0)),"")</f>
        <v>REGIS CERETA 384101</v>
      </c>
      <c r="B165" s="72" t="str">
        <f>IFERROR(INDEX($R$157:$R$306,MATCH(ROWS($A$157:A165),$AF$157:$AF$306,0)),"")</f>
        <v/>
      </c>
      <c r="C165" s="72" t="str">
        <f>IFERROR(INDEX($S$157:$S$306,MATCH(ROWS($A$157:A165),$AF$157:$AF$306,0)),"")</f>
        <v/>
      </c>
      <c r="D165" s="72" t="str">
        <f>IFERROR(INDEX($T$157:$T$306,MATCH(ROWS($A$157:A165),$AF$157:$AF$306,0)),"")</f>
        <v/>
      </c>
      <c r="E165" s="72" t="str">
        <f>IFERROR(INDEX($U$157:$U$306,MATCH(ROWS($A$157:A165),$AF$157:$AF$306,0)),"")</f>
        <v/>
      </c>
      <c r="F165" s="72" t="str">
        <f>IFERROR(INDEX($V$157:$V$306,MATCH(ROWS($A$157:A165),$AF$157:$AF$306,0)),"")</f>
        <v/>
      </c>
      <c r="G165" s="72" t="str">
        <f>IFERROR(INDEX($W$157:$W$306,MATCH(ROWS($A$157:A165),$AF$157:$AF$306,0)),"")</f>
        <v/>
      </c>
      <c r="H165" s="72" t="str">
        <f>IFERROR(INDEX($X$157:$X$306,MATCH(ROWS($A$157:A165),$AF$157:$AF$306,0)),"")</f>
        <v>31</v>
      </c>
      <c r="I165" s="72" t="str">
        <f>IFERROR(INDEX($Y$157:$Y$306,MATCH(ROWS($A$157:A165),$AF$157:$AF$306,0)),"")</f>
        <v>1, 3</v>
      </c>
      <c r="J165" s="72" t="str">
        <f>IFERROR(INDEX($Z$157:$Z$306,MATCH(ROWS($A$157:A165),$AF$157:$AF$306,0)),"")</f>
        <v/>
      </c>
      <c r="K165" s="72" t="str">
        <f>IFERROR(INDEX($AA$157:$AA$306,MATCH(ROWS($A$157:A165),$AF$157:$AF$306,0)),"")</f>
        <v/>
      </c>
      <c r="L165" s="72" t="str">
        <f>IFERROR(INDEX($AB$157:$AB$306,MATCH(ROWS($A$157:A165),$AF$157:$AF$306,0)),"")</f>
        <v/>
      </c>
      <c r="M165" s="72" t="str">
        <f>IFERROR(INDEX($AC$157:$AC$306,MATCH(ROWS($A$157:A165),$AF$157:$AF$306,0)),"")</f>
        <v/>
      </c>
      <c r="N165" s="35">
        <f>IFERROR(INDEX($AD$157:$AD$306,MATCH(ROWS($A$157:A165),$AF$157:$AF$306,0)),"")</f>
        <v>3</v>
      </c>
      <c r="Q165" t="str">
        <f>T(JAN!B14)</f>
        <v>FREDERICO SILVA 416501</v>
      </c>
      <c r="R165" t="str">
        <f t="array" ref="R165">IF($Q165="","",_xlfn.TEXTJOIN(", ",TRUE,IF(JAN!$G14:$AK14="AT",JAN!$G$4:$AK$4,"")))</f>
        <v/>
      </c>
      <c r="S165" t="str">
        <f t="array" ref="S165">IF($Q165="","",_xlfn.TEXTJOIN(", ",TRUE,IF(FEV!$G14:$AK14="AT",FEV!$G$4:$AK$4,"")))</f>
        <v/>
      </c>
      <c r="T165" t="str">
        <f t="array" ref="T165">IF($Q165="","",_xlfn.TEXTJOIN(", ",TRUE,IF(MAR!$G14:$AK14="AT",MAR!$G$4:$AK$4,"")))</f>
        <v/>
      </c>
      <c r="U165" t="str">
        <f t="array" ref="U165">IF($Q165="","",_xlfn.TEXTJOIN(", ",TRUE,IF(ABR!$G14:$AK14="AT",ABR!$G$4:$AK$4,"")))</f>
        <v/>
      </c>
      <c r="V165" t="str">
        <f t="array" ref="V165">IF($Q165="","",_xlfn.TEXTJOIN(", ",TRUE,IF(MAI!$G14:$AK14="AT",MAI!$G$4:$AK$4,"")))</f>
        <v/>
      </c>
      <c r="W165" t="str">
        <f t="array" ref="W165">IF($Q165="","",_xlfn.TEXTJOIN(", ",TRUE,IF(JUN!$G14:$AK14="AT",JUN!$G$4:$AK$4,"")))</f>
        <v/>
      </c>
      <c r="X165" t="str">
        <f t="array" ref="X165">IF($Q165="","",_xlfn.TEXTJOIN(", ",TRUE,IF(JUL!$G14:$AK14="AT",JUL!$G$4:$AK$4,"")))</f>
        <v/>
      </c>
      <c r="Y165" t="str">
        <f t="array" ref="Y165">IF($Q165="","",_xlfn.TEXTJOIN(", ",TRUE,IF(AGO!$G14:$AK14="AT",AGO!$G$4:$AK$4,"")))</f>
        <v>8, 10</v>
      </c>
      <c r="Z165" t="str">
        <f t="array" ref="Z165">IF($Q165="","",_xlfn.TEXTJOIN(", ",TRUE,IF(SET!$G14:$AK14="AT",SET!$G$4:$AK$4,"")))</f>
        <v/>
      </c>
      <c r="AA165" t="str">
        <f t="array" ref="AA165">IF($Q165="","",_xlfn.TEXTJOIN(", ",TRUE,IF(OUT!$G14:$AK14="AT",OUT!$G$4:$AK$4,"")))</f>
        <v/>
      </c>
      <c r="AB165" t="str">
        <f t="array" ref="AB165">IF($Q165="","",_xlfn.TEXTJOIN(", ",TRUE,IF(NOV!$G14:$AK14="AT",NOV!$G$4:$AK$4,"")))</f>
        <v/>
      </c>
      <c r="AC165" t="str">
        <f t="array" ref="AC165">IF($Q165="","",_xlfn.TEXTJOIN(", ",TRUE,IF(DEZ!$G14:$AK14="AT",DEZ!$G$4:$AK$4,"")))</f>
        <v/>
      </c>
      <c r="AD165">
        <f>IF($Q165="","",COUNTIF(JAN!$G14:$AK14,"AT")+COUNTIF(FEV!$G14:$AK14,"AT")+COUNTIF(MAR!$G14:$AK14,"AT")+COUNTIF(ABR!$G14:$AK14,"AT")+COUNTIF(MAI!$G14:$AK14,"AT")+COUNTIF(JUN!$G14:$AK14,"AT")+COUNTIF(JUL!$G14:$AK14,"AT")+COUNTIF(AGO!$G14:$AK14,"AT")+COUNTIF(SET!$G14:$AK14,"AT")+COUNTIF(OUT!$G14:$AK14,"AT")+COUNTIF(NOV!$G14:$AK14,"AT")+COUNTIF(DEZ!$G14:$AK14,"AT"))</f>
        <v>2</v>
      </c>
      <c r="AF165">
        <f>IF(AND($Q165&lt;&gt;"",N($AD165)&gt;0),COUNT($AF$156:AF164)+1,"")</f>
        <v>5</v>
      </c>
    </row>
    <row r="166" spans="1:32" ht="20.100000000000001" customHeight="1" x14ac:dyDescent="0.25">
      <c r="A166" s="71" t="str">
        <f>IFERROR(INDEX($Q$157:$Q$306,MATCH(ROWS($A$157:A166),$AF$157:$AF$306,0)),"")</f>
        <v>ALEXANDRE NUNES 461301</v>
      </c>
      <c r="B166" s="72" t="str">
        <f>IFERROR(INDEX($R$157:$R$306,MATCH(ROWS($A$157:A166),$AF$157:$AF$306,0)),"")</f>
        <v/>
      </c>
      <c r="C166" s="72" t="str">
        <f>IFERROR(INDEX($S$157:$S$306,MATCH(ROWS($A$157:A166),$AF$157:$AF$306,0)),"")</f>
        <v/>
      </c>
      <c r="D166" s="72" t="str">
        <f>IFERROR(INDEX($T$157:$T$306,MATCH(ROWS($A$157:A166),$AF$157:$AF$306,0)),"")</f>
        <v/>
      </c>
      <c r="E166" s="72" t="str">
        <f>IFERROR(INDEX($U$157:$U$306,MATCH(ROWS($A$157:A166),$AF$157:$AF$306,0)),"")</f>
        <v/>
      </c>
      <c r="F166" s="72" t="str">
        <f>IFERROR(INDEX($V$157:$V$306,MATCH(ROWS($A$157:A166),$AF$157:$AF$306,0)),"")</f>
        <v/>
      </c>
      <c r="G166" s="72" t="str">
        <f>IFERROR(INDEX($W$157:$W$306,MATCH(ROWS($A$157:A166),$AF$157:$AF$306,0)),"")</f>
        <v/>
      </c>
      <c r="H166" s="72" t="str">
        <f>IFERROR(INDEX($X$157:$X$306,MATCH(ROWS($A$157:A166),$AF$157:$AF$306,0)),"")</f>
        <v>30</v>
      </c>
      <c r="I166" s="72" t="str">
        <f>IFERROR(INDEX($Y$157:$Y$306,MATCH(ROWS($A$157:A166),$AF$157:$AF$306,0)),"")</f>
        <v/>
      </c>
      <c r="J166" s="72" t="str">
        <f>IFERROR(INDEX($Z$157:$Z$306,MATCH(ROWS($A$157:A166),$AF$157:$AF$306,0)),"")</f>
        <v/>
      </c>
      <c r="K166" s="72" t="str">
        <f>IFERROR(INDEX($AA$157:$AA$306,MATCH(ROWS($A$157:A166),$AF$157:$AF$306,0)),"")</f>
        <v/>
      </c>
      <c r="L166" s="72" t="str">
        <f>IFERROR(INDEX($AB$157:$AB$306,MATCH(ROWS($A$157:A166),$AF$157:$AF$306,0)),"")</f>
        <v/>
      </c>
      <c r="M166" s="72" t="str">
        <f>IFERROR(INDEX($AC$157:$AC$306,MATCH(ROWS($A$157:A166),$AF$157:$AF$306,0)),"")</f>
        <v/>
      </c>
      <c r="N166" s="35">
        <f>IFERROR(INDEX($AD$157:$AD$306,MATCH(ROWS($A$157:A166),$AF$157:$AF$306,0)),"")</f>
        <v>1</v>
      </c>
      <c r="Q166" t="str">
        <f>T(JAN!B15)</f>
        <v>RAFAEL SANTOS 355101</v>
      </c>
      <c r="R166" t="str">
        <f t="array" ref="R166">IF($Q166="","",_xlfn.TEXTJOIN(", ",TRUE,IF(JAN!$G15:$AK15="AT",JAN!$G$4:$AK$4,"")))</f>
        <v/>
      </c>
      <c r="S166" t="str">
        <f t="array" ref="S166">IF($Q166="","",_xlfn.TEXTJOIN(", ",TRUE,IF(FEV!$G15:$AK15="AT",FEV!$G$4:$AK$4,"")))</f>
        <v/>
      </c>
      <c r="T166" t="str">
        <f t="array" ref="T166">IF($Q166="","",_xlfn.TEXTJOIN(", ",TRUE,IF(MAR!$G15:$AK15="AT",MAR!$G$4:$AK$4,"")))</f>
        <v/>
      </c>
      <c r="U166" t="str">
        <f t="array" ref="U166">IF($Q166="","",_xlfn.TEXTJOIN(", ",TRUE,IF(ABR!$G15:$AK15="AT",ABR!$G$4:$AK$4,"")))</f>
        <v/>
      </c>
      <c r="V166" t="str">
        <f t="array" ref="V166">IF($Q166="","",_xlfn.TEXTJOIN(", ",TRUE,IF(MAI!$G15:$AK15="AT",MAI!$G$4:$AK$4,"")))</f>
        <v/>
      </c>
      <c r="W166" t="str">
        <f t="array" ref="W166">IF($Q166="","",_xlfn.TEXTJOIN(", ",TRUE,IF(JUN!$G15:$AK15="AT",JUN!$G$4:$AK$4,"")))</f>
        <v/>
      </c>
      <c r="X166" t="str">
        <f t="array" ref="X166">IF($Q166="","",_xlfn.TEXTJOIN(", ",TRUE,IF(JUL!$G15:$AK15="AT",JUL!$G$4:$AK$4,"")))</f>
        <v>10, 11, 13, 14, 15, 16, 17, 18, 21, 22, 23, 24</v>
      </c>
      <c r="Y166" t="str">
        <f t="array" ref="Y166">IF($Q166="","",_xlfn.TEXTJOIN(", ",TRUE,IF(AGO!$G15:$AK15="AT",AGO!$G$4:$AK$4,"")))</f>
        <v/>
      </c>
      <c r="Z166" t="str">
        <f t="array" ref="Z166">IF($Q166="","",_xlfn.TEXTJOIN(", ",TRUE,IF(SET!$G15:$AK15="AT",SET!$G$4:$AK$4,"")))</f>
        <v/>
      </c>
      <c r="AA166" t="str">
        <f t="array" ref="AA166">IF($Q166="","",_xlfn.TEXTJOIN(", ",TRUE,IF(OUT!$G15:$AK15="AT",OUT!$G$4:$AK$4,"")))</f>
        <v/>
      </c>
      <c r="AB166" t="str">
        <f t="array" ref="AB166">IF($Q166="","",_xlfn.TEXTJOIN(", ",TRUE,IF(NOV!$G15:$AK15="AT",NOV!$G$4:$AK$4,"")))</f>
        <v/>
      </c>
      <c r="AC166" t="str">
        <f t="array" ref="AC166">IF($Q166="","",_xlfn.TEXTJOIN(", ",TRUE,IF(DEZ!$G15:$AK15="AT",DEZ!$G$4:$AK$4,"")))</f>
        <v/>
      </c>
      <c r="AD166">
        <f>IF($Q166="","",COUNTIF(JAN!$G15:$AK15,"AT")+COUNTIF(FEV!$G15:$AK15,"AT")+COUNTIF(MAR!$G15:$AK15,"AT")+COUNTIF(ABR!$G15:$AK15,"AT")+COUNTIF(MAI!$G15:$AK15,"AT")+COUNTIF(JUN!$G15:$AK15,"AT")+COUNTIF(JUL!$G15:$AK15,"AT")+COUNTIF(AGO!$G15:$AK15,"AT")+COUNTIF(SET!$G15:$AK15,"AT")+COUNTIF(OUT!$G15:$AK15,"AT")+COUNTIF(NOV!$G15:$AK15,"AT")+COUNTIF(DEZ!$G15:$AK15,"AT"))</f>
        <v>12</v>
      </c>
      <c r="AF166">
        <f>IF(AND($Q166&lt;&gt;"",N($AD166)&gt;0),COUNT($AF$156:AF165)+1,"")</f>
        <v>6</v>
      </c>
    </row>
    <row r="167" spans="1:32" ht="20.100000000000001" customHeight="1" x14ac:dyDescent="0.25">
      <c r="A167" s="71" t="str">
        <f>IFERROR(INDEX($Q$157:$Q$306,MATCH(ROWS($A$157:A167),$AF$157:$AF$306,0)),"")</f>
        <v>DIGO GRAZCKI 37002136</v>
      </c>
      <c r="B167" s="72" t="str">
        <f>IFERROR(INDEX($R$157:$R$306,MATCH(ROWS($A$157:A167),$AF$157:$AF$306,0)),"")</f>
        <v/>
      </c>
      <c r="C167" s="72" t="str">
        <f>IFERROR(INDEX($S$157:$S$306,MATCH(ROWS($A$157:A167),$AF$157:$AF$306,0)),"")</f>
        <v/>
      </c>
      <c r="D167" s="72" t="str">
        <f>IFERROR(INDEX($T$157:$T$306,MATCH(ROWS($A$157:A167),$AF$157:$AF$306,0)),"")</f>
        <v/>
      </c>
      <c r="E167" s="72" t="str">
        <f>IFERROR(INDEX($U$157:$U$306,MATCH(ROWS($A$157:A167),$AF$157:$AF$306,0)),"")</f>
        <v/>
      </c>
      <c r="F167" s="72" t="str">
        <f>IFERROR(INDEX($V$157:$V$306,MATCH(ROWS($A$157:A167),$AF$157:$AF$306,0)),"")</f>
        <v/>
      </c>
      <c r="G167" s="72" t="str">
        <f>IFERROR(INDEX($W$157:$W$306,MATCH(ROWS($A$157:A167),$AF$157:$AF$306,0)),"")</f>
        <v/>
      </c>
      <c r="H167" s="72" t="str">
        <f>IFERROR(INDEX($X$157:$X$306,MATCH(ROWS($A$157:A167),$AF$157:$AF$306,0)),"")</f>
        <v/>
      </c>
      <c r="I167" s="72" t="str">
        <f>IFERROR(INDEX($Y$157:$Y$306,MATCH(ROWS($A$157:A167),$AF$157:$AF$306,0)),"")</f>
        <v>22</v>
      </c>
      <c r="J167" s="72" t="str">
        <f>IFERROR(INDEX($Z$157:$Z$306,MATCH(ROWS($A$157:A167),$AF$157:$AF$306,0)),"")</f>
        <v/>
      </c>
      <c r="K167" s="72" t="str">
        <f>IFERROR(INDEX($AA$157:$AA$306,MATCH(ROWS($A$157:A167),$AF$157:$AF$306,0)),"")</f>
        <v/>
      </c>
      <c r="L167" s="72" t="str">
        <f>IFERROR(INDEX($AB$157:$AB$306,MATCH(ROWS($A$157:A167),$AF$157:$AF$306,0)),"")</f>
        <v/>
      </c>
      <c r="M167" s="72" t="str">
        <f>IFERROR(INDEX($AC$157:$AC$306,MATCH(ROWS($A$157:A167),$AF$157:$AF$306,0)),"")</f>
        <v/>
      </c>
      <c r="N167" s="35">
        <f>IFERROR(INDEX($AD$157:$AD$306,MATCH(ROWS($A$157:A167),$AF$157:$AF$306,0)),"")</f>
        <v>1</v>
      </c>
      <c r="Q167" t="str">
        <f>T(JAN!B16)</f>
        <v>DANIEL MACHADO 112601</v>
      </c>
      <c r="R167" t="str">
        <f t="array" ref="R167">IF($Q167="","",_xlfn.TEXTJOIN(", ",TRUE,IF(JAN!$G16:$AK16="AT",JAN!$G$4:$AK$4,"")))</f>
        <v/>
      </c>
      <c r="S167" t="str">
        <f t="array" ref="S167">IF($Q167="","",_xlfn.TEXTJOIN(", ",TRUE,IF(FEV!$G16:$AK16="AT",FEV!$G$4:$AK$4,"")))</f>
        <v/>
      </c>
      <c r="T167" t="str">
        <f t="array" ref="T167">IF($Q167="","",_xlfn.TEXTJOIN(", ",TRUE,IF(MAR!$G16:$AK16="AT",MAR!$G$4:$AK$4,"")))</f>
        <v/>
      </c>
      <c r="U167" t="str">
        <f t="array" ref="U167">IF($Q167="","",_xlfn.TEXTJOIN(", ",TRUE,IF(ABR!$G16:$AK16="AT",ABR!$G$4:$AK$4,"")))</f>
        <v/>
      </c>
      <c r="V167" t="str">
        <f t="array" ref="V167">IF($Q167="","",_xlfn.TEXTJOIN(", ",TRUE,IF(MAI!$G16:$AK16="AT",MAI!$G$4:$AK$4,"")))</f>
        <v/>
      </c>
      <c r="W167" t="str">
        <f t="array" ref="W167">IF($Q167="","",_xlfn.TEXTJOIN(", ",TRUE,IF(JUN!$G16:$AK16="AT",JUN!$G$4:$AK$4,"")))</f>
        <v/>
      </c>
      <c r="X167" t="str">
        <f t="array" ref="X167">IF($Q167="","",_xlfn.TEXTJOIN(", ",TRUE,IF(JUL!$G16:$AK16="AT",JUL!$G$4:$AK$4,"")))</f>
        <v/>
      </c>
      <c r="Y167" t="str">
        <f t="array" ref="Y167">IF($Q167="","",_xlfn.TEXTJOIN(", ",TRUE,IF(AGO!$G16:$AK16="AT",AGO!$G$4:$AK$4,"")))</f>
        <v/>
      </c>
      <c r="Z167" t="str">
        <f t="array" ref="Z167">IF($Q167="","",_xlfn.TEXTJOIN(", ",TRUE,IF(SET!$G16:$AK16="AT",SET!$G$4:$AK$4,"")))</f>
        <v/>
      </c>
      <c r="AA167" t="str">
        <f t="array" ref="AA167">IF($Q167="","",_xlfn.TEXTJOIN(", ",TRUE,IF(OUT!$G16:$AK16="AT",OUT!$G$4:$AK$4,"")))</f>
        <v/>
      </c>
      <c r="AB167" t="str">
        <f t="array" ref="AB167">IF($Q167="","",_xlfn.TEXTJOIN(", ",TRUE,IF(NOV!$G16:$AK16="AT",NOV!$G$4:$AK$4,"")))</f>
        <v/>
      </c>
      <c r="AC167" t="str">
        <f t="array" ref="AC167">IF($Q167="","",_xlfn.TEXTJOIN(", ",TRUE,IF(DEZ!$G16:$AK16="AT",DEZ!$G$4:$AK$4,"")))</f>
        <v/>
      </c>
      <c r="AD167">
        <f>IF($Q167="","",COUNTIF(JAN!$G16:$AK16,"AT")+COUNTIF(FEV!$G16:$AK16,"AT")+COUNTIF(MAR!$G16:$AK16,"AT")+COUNTIF(ABR!$G16:$AK16,"AT")+COUNTIF(MAI!$G16:$AK16,"AT")+COUNTIF(JUN!$G16:$AK16,"AT")+COUNTIF(JUL!$G16:$AK16,"AT")+COUNTIF(AGO!$G16:$AK16,"AT")+COUNTIF(SET!$G16:$AK16,"AT")+COUNTIF(OUT!$G16:$AK16,"AT")+COUNTIF(NOV!$G16:$AK16,"AT")+COUNTIF(DEZ!$G16:$AK16,"AT"))</f>
        <v>0</v>
      </c>
      <c r="AF167" t="str">
        <f>IF(AND($Q167&lt;&gt;"",N($AD167)&gt;0),COUNT($AF$156:AF166)+1,"")</f>
        <v/>
      </c>
    </row>
    <row r="168" spans="1:32" ht="20.100000000000001" customHeight="1" x14ac:dyDescent="0.25">
      <c r="A168" s="71" t="str">
        <f>IFERROR(INDEX($Q$157:$Q$306,MATCH(ROWS($A$157:A168),$AF$157:$AF$306,0)),"")</f>
        <v>CHARLES SCOT 310301</v>
      </c>
      <c r="B168" s="72" t="str">
        <f>IFERROR(INDEX($R$157:$R$306,MATCH(ROWS($A$157:A168),$AF$157:$AF$306,0)),"")</f>
        <v/>
      </c>
      <c r="C168" s="72" t="str">
        <f>IFERROR(INDEX($S$157:$S$306,MATCH(ROWS($A$157:A168),$AF$157:$AF$306,0)),"")</f>
        <v/>
      </c>
      <c r="D168" s="72" t="str">
        <f>IFERROR(INDEX($T$157:$T$306,MATCH(ROWS($A$157:A168),$AF$157:$AF$306,0)),"")</f>
        <v/>
      </c>
      <c r="E168" s="72" t="str">
        <f>IFERROR(INDEX($U$157:$U$306,MATCH(ROWS($A$157:A168),$AF$157:$AF$306,0)),"")</f>
        <v/>
      </c>
      <c r="F168" s="72" t="str">
        <f>IFERROR(INDEX($V$157:$V$306,MATCH(ROWS($A$157:A168),$AF$157:$AF$306,0)),"")</f>
        <v/>
      </c>
      <c r="G168" s="72" t="str">
        <f>IFERROR(INDEX($W$157:$W$306,MATCH(ROWS($A$157:A168),$AF$157:$AF$306,0)),"")</f>
        <v/>
      </c>
      <c r="H168" s="72" t="str">
        <f>IFERROR(INDEX($X$157:$X$306,MATCH(ROWS($A$157:A168),$AF$157:$AF$306,0)),"")</f>
        <v/>
      </c>
      <c r="I168" s="72" t="str">
        <f>IFERROR(INDEX($Y$157:$Y$306,MATCH(ROWS($A$157:A168),$AF$157:$AF$306,0)),"")</f>
        <v>1, 8, 10, 11, 12, 13, 14, 15, 18, 19, 20</v>
      </c>
      <c r="J168" s="72" t="str">
        <f>IFERROR(INDEX($Z$157:$Z$306,MATCH(ROWS($A$157:A168),$AF$157:$AF$306,0)),"")</f>
        <v/>
      </c>
      <c r="K168" s="72" t="str">
        <f>IFERROR(INDEX($AA$157:$AA$306,MATCH(ROWS($A$157:A168),$AF$157:$AF$306,0)),"")</f>
        <v/>
      </c>
      <c r="L168" s="72" t="str">
        <f>IFERROR(INDEX($AB$157:$AB$306,MATCH(ROWS($A$157:A168),$AF$157:$AF$306,0)),"")</f>
        <v/>
      </c>
      <c r="M168" s="72" t="str">
        <f>IFERROR(INDEX($AC$157:$AC$306,MATCH(ROWS($A$157:A168),$AF$157:$AF$306,0)),"")</f>
        <v/>
      </c>
      <c r="N168" s="35">
        <f>IFERROR(INDEX($AD$157:$AD$306,MATCH(ROWS($A$157:A168),$AF$157:$AF$306,0)),"")</f>
        <v>11</v>
      </c>
      <c r="Q168" t="str">
        <f>T(JAN!B17)</f>
        <v>JOSE HERTE 109801</v>
      </c>
      <c r="R168" t="str">
        <f t="array" ref="R168">IF($Q168="","",_xlfn.TEXTJOIN(", ",TRUE,IF(JAN!$G17:$AK17="AT",JAN!$G$4:$AK$4,"")))</f>
        <v/>
      </c>
      <c r="S168" t="str">
        <f t="array" ref="S168">IF($Q168="","",_xlfn.TEXTJOIN(", ",TRUE,IF(FEV!$G17:$AK17="AT",FEV!$G$4:$AK$4,"")))</f>
        <v/>
      </c>
      <c r="T168" t="str">
        <f t="array" ref="T168">IF($Q168="","",_xlfn.TEXTJOIN(", ",TRUE,IF(MAR!$G17:$AK17="AT",MAR!$G$4:$AK$4,"")))</f>
        <v/>
      </c>
      <c r="U168" t="str">
        <f t="array" ref="U168">IF($Q168="","",_xlfn.TEXTJOIN(", ",TRUE,IF(ABR!$G17:$AK17="AT",ABR!$G$4:$AK$4,"")))</f>
        <v/>
      </c>
      <c r="V168" t="str">
        <f t="array" ref="V168">IF($Q168="","",_xlfn.TEXTJOIN(", ",TRUE,IF(MAI!$G17:$AK17="AT",MAI!$G$4:$AK$4,"")))</f>
        <v/>
      </c>
      <c r="W168" t="str">
        <f t="array" ref="W168">IF($Q168="","",_xlfn.TEXTJOIN(", ",TRUE,IF(JUN!$G17:$AK17="AT",JUN!$G$4:$AK$4,"")))</f>
        <v/>
      </c>
      <c r="X168" t="str">
        <f t="array" ref="X168">IF($Q168="","",_xlfn.TEXTJOIN(", ",TRUE,IF(JUL!$G17:$AK17="AT",JUL!$G$4:$AK$4,"")))</f>
        <v>23, 24</v>
      </c>
      <c r="Y168" t="str">
        <f t="array" ref="Y168">IF($Q168="","",_xlfn.TEXTJOIN(", ",TRUE,IF(AGO!$G17:$AK17="AT",AGO!$G$4:$AK$4,"")))</f>
        <v/>
      </c>
      <c r="Z168" t="str">
        <f t="array" ref="Z168">IF($Q168="","",_xlfn.TEXTJOIN(", ",TRUE,IF(SET!$G17:$AK17="AT",SET!$G$4:$AK$4,"")))</f>
        <v/>
      </c>
      <c r="AA168" t="str">
        <f t="array" ref="AA168">IF($Q168="","",_xlfn.TEXTJOIN(", ",TRUE,IF(OUT!$G17:$AK17="AT",OUT!$G$4:$AK$4,"")))</f>
        <v/>
      </c>
      <c r="AB168" t="str">
        <f t="array" ref="AB168">IF($Q168="","",_xlfn.TEXTJOIN(", ",TRUE,IF(NOV!$G17:$AK17="AT",NOV!$G$4:$AK$4,"")))</f>
        <v/>
      </c>
      <c r="AC168" t="str">
        <f t="array" ref="AC168">IF($Q168="","",_xlfn.TEXTJOIN(", ",TRUE,IF(DEZ!$G17:$AK17="AT",DEZ!$G$4:$AK$4,"")))</f>
        <v/>
      </c>
      <c r="AD168">
        <f>IF($Q168="","",COUNTIF(JAN!$G17:$AK17,"AT")+COUNTIF(FEV!$G17:$AK17,"AT")+COUNTIF(MAR!$G17:$AK17,"AT")+COUNTIF(ABR!$G17:$AK17,"AT")+COUNTIF(MAI!$G17:$AK17,"AT")+COUNTIF(JUN!$G17:$AK17,"AT")+COUNTIF(JUL!$G17:$AK17,"AT")+COUNTIF(AGO!$G17:$AK17,"AT")+COUNTIF(SET!$G17:$AK17,"AT")+COUNTIF(OUT!$G17:$AK17,"AT")+COUNTIF(NOV!$G17:$AK17,"AT")+COUNTIF(DEZ!$G17:$AK17,"AT"))</f>
        <v>2</v>
      </c>
      <c r="AF168">
        <f>IF(AND($Q168&lt;&gt;"",N($AD168)&gt;0),COUNT($AF$156:AF167)+1,"")</f>
        <v>7</v>
      </c>
    </row>
    <row r="169" spans="1:32" ht="20.100000000000001" customHeight="1" x14ac:dyDescent="0.25">
      <c r="A169" s="71" t="str">
        <f>IFERROR(INDEX($Q$157:$Q$306,MATCH(ROWS($A$157:A169),$AF$157:$AF$306,0)),"")</f>
        <v>ALEXANDRE MARINHO 37002252</v>
      </c>
      <c r="B169" s="72" t="str">
        <f>IFERROR(INDEX($R$157:$R$306,MATCH(ROWS($A$157:A169),$AF$157:$AF$306,0)),"")</f>
        <v/>
      </c>
      <c r="C169" s="72" t="str">
        <f>IFERROR(INDEX($S$157:$S$306,MATCH(ROWS($A$157:A169),$AF$157:$AF$306,0)),"")</f>
        <v/>
      </c>
      <c r="D169" s="72" t="str">
        <f>IFERROR(INDEX($T$157:$T$306,MATCH(ROWS($A$157:A169),$AF$157:$AF$306,0)),"")</f>
        <v/>
      </c>
      <c r="E169" s="72" t="str">
        <f>IFERROR(INDEX($U$157:$U$306,MATCH(ROWS($A$157:A169),$AF$157:$AF$306,0)),"")</f>
        <v/>
      </c>
      <c r="F169" s="72" t="str">
        <f>IFERROR(INDEX($V$157:$V$306,MATCH(ROWS($A$157:A169),$AF$157:$AF$306,0)),"")</f>
        <v/>
      </c>
      <c r="G169" s="72" t="str">
        <f>IFERROR(INDEX($W$157:$W$306,MATCH(ROWS($A$157:A169),$AF$157:$AF$306,0)),"")</f>
        <v/>
      </c>
      <c r="H169" s="72" t="str">
        <f>IFERROR(INDEX($X$157:$X$306,MATCH(ROWS($A$157:A169),$AF$157:$AF$306,0)),"")</f>
        <v/>
      </c>
      <c r="I169" s="72" t="str">
        <f>IFERROR(INDEX($Y$157:$Y$306,MATCH(ROWS($A$157:A169),$AF$157:$AF$306,0)),"")</f>
        <v/>
      </c>
      <c r="J169" s="72" t="str">
        <f>IFERROR(INDEX($Z$157:$Z$306,MATCH(ROWS($A$157:A169),$AF$157:$AF$306,0)),"")</f>
        <v>1, 10</v>
      </c>
      <c r="K169" s="72" t="str">
        <f>IFERROR(INDEX($AA$157:$AA$306,MATCH(ROWS($A$157:A169),$AF$157:$AF$306,0)),"")</f>
        <v/>
      </c>
      <c r="L169" s="72" t="str">
        <f>IFERROR(INDEX($AB$157:$AB$306,MATCH(ROWS($A$157:A169),$AF$157:$AF$306,0)),"")</f>
        <v/>
      </c>
      <c r="M169" s="72" t="str">
        <f>IFERROR(INDEX($AC$157:$AC$306,MATCH(ROWS($A$157:A169),$AF$157:$AF$306,0)),"")</f>
        <v/>
      </c>
      <c r="N169" s="35">
        <f>IFERROR(INDEX($AD$157:$AD$306,MATCH(ROWS($A$157:A169),$AF$157:$AF$306,0)),"")</f>
        <v>2</v>
      </c>
      <c r="Q169" t="str">
        <f>T(JAN!B18)</f>
        <v>EVERTON SILVA 37001892</v>
      </c>
      <c r="R169" t="str">
        <f t="array" ref="R169">IF($Q169="","",_xlfn.TEXTJOIN(", ",TRUE,IF(JAN!$G18:$AK18="AT",JAN!$G$4:$AK$4,"")))</f>
        <v/>
      </c>
      <c r="S169" t="str">
        <f t="array" ref="S169">IF($Q169="","",_xlfn.TEXTJOIN(", ",TRUE,IF(FEV!$G18:$AK18="AT",FEV!$G$4:$AK$4,"")))</f>
        <v/>
      </c>
      <c r="T169" t="str">
        <f t="array" ref="T169">IF($Q169="","",_xlfn.TEXTJOIN(", ",TRUE,IF(MAR!$G18:$AK18="AT",MAR!$G$4:$AK$4,"")))</f>
        <v/>
      </c>
      <c r="U169" t="str">
        <f t="array" ref="U169">IF($Q169="","",_xlfn.TEXTJOIN(", ",TRUE,IF(ABR!$G18:$AK18="AT",ABR!$G$4:$AK$4,"")))</f>
        <v/>
      </c>
      <c r="V169" t="str">
        <f t="array" ref="V169">IF($Q169="","",_xlfn.TEXTJOIN(", ",TRUE,IF(MAI!$G18:$AK18="AT",MAI!$G$4:$AK$4,"")))</f>
        <v/>
      </c>
      <c r="W169" t="str">
        <f t="array" ref="W169">IF($Q169="","",_xlfn.TEXTJOIN(", ",TRUE,IF(JUN!$G18:$AK18="AT",JUN!$G$4:$AK$4,"")))</f>
        <v/>
      </c>
      <c r="X169" t="str">
        <f t="array" ref="X169">IF($Q169="","",_xlfn.TEXTJOIN(", ",TRUE,IF(JUL!$G18:$AK18="AT",JUL!$G$4:$AK$4,"")))</f>
        <v/>
      </c>
      <c r="Y169" t="str">
        <f t="array" ref="Y169">IF($Q169="","",_xlfn.TEXTJOIN(", ",TRUE,IF(AGO!$G18:$AK18="AT",AGO!$G$4:$AK$4,"")))</f>
        <v/>
      </c>
      <c r="Z169" t="str">
        <f t="array" ref="Z169">IF($Q169="","",_xlfn.TEXTJOIN(", ",TRUE,IF(SET!$G18:$AK18="AT",SET!$G$4:$AK$4,"")))</f>
        <v/>
      </c>
      <c r="AA169" t="str">
        <f t="array" ref="AA169">IF($Q169="","",_xlfn.TEXTJOIN(", ",TRUE,IF(OUT!$G18:$AK18="AT",OUT!$G$4:$AK$4,"")))</f>
        <v/>
      </c>
      <c r="AB169" t="str">
        <f t="array" ref="AB169">IF($Q169="","",_xlfn.TEXTJOIN(", ",TRUE,IF(NOV!$G18:$AK18="AT",NOV!$G$4:$AK$4,"")))</f>
        <v/>
      </c>
      <c r="AC169" t="str">
        <f t="array" ref="AC169">IF($Q169="","",_xlfn.TEXTJOIN(", ",TRUE,IF(DEZ!$G18:$AK18="AT",DEZ!$G$4:$AK$4,"")))</f>
        <v/>
      </c>
      <c r="AD169">
        <f>IF($Q169="","",COUNTIF(JAN!$G18:$AK18,"AT")+COUNTIF(FEV!$G18:$AK18,"AT")+COUNTIF(MAR!$G18:$AK18,"AT")+COUNTIF(ABR!$G18:$AK18,"AT")+COUNTIF(MAI!$G18:$AK18,"AT")+COUNTIF(JUN!$G18:$AK18,"AT")+COUNTIF(JUL!$G18:$AK18,"AT")+COUNTIF(AGO!$G18:$AK18,"AT")+COUNTIF(SET!$G18:$AK18,"AT")+COUNTIF(OUT!$G18:$AK18,"AT")+COUNTIF(NOV!$G18:$AK18,"AT")+COUNTIF(DEZ!$G18:$AK18,"AT"))</f>
        <v>0</v>
      </c>
      <c r="AF169" t="str">
        <f>IF(AND($Q169&lt;&gt;"",N($AD169)&gt;0),COUNT($AF$156:AF168)+1,"")</f>
        <v/>
      </c>
    </row>
    <row r="170" spans="1:32" ht="20.100000000000001" customHeight="1" x14ac:dyDescent="0.25">
      <c r="A170" s="71" t="str">
        <f>IFERROR(INDEX($Q$157:$Q$306,MATCH(ROWS($A$157:A170),$AF$157:$AF$306,0)),"")</f>
        <v>JOSIMAR ROCHA 390801</v>
      </c>
      <c r="B170" s="72" t="str">
        <f>IFERROR(INDEX($R$157:$R$306,MATCH(ROWS($A$157:A170),$AF$157:$AF$306,0)),"")</f>
        <v/>
      </c>
      <c r="C170" s="72" t="str">
        <f>IFERROR(INDEX($S$157:$S$306,MATCH(ROWS($A$157:A170),$AF$157:$AF$306,0)),"")</f>
        <v/>
      </c>
      <c r="D170" s="72" t="str">
        <f>IFERROR(INDEX($T$157:$T$306,MATCH(ROWS($A$157:A170),$AF$157:$AF$306,0)),"")</f>
        <v/>
      </c>
      <c r="E170" s="72" t="str">
        <f>IFERROR(INDEX($U$157:$U$306,MATCH(ROWS($A$157:A170),$AF$157:$AF$306,0)),"")</f>
        <v/>
      </c>
      <c r="F170" s="72" t="str">
        <f>IFERROR(INDEX($V$157:$V$306,MATCH(ROWS($A$157:A170),$AF$157:$AF$306,0)),"")</f>
        <v/>
      </c>
      <c r="G170" s="72" t="str">
        <f>IFERROR(INDEX($W$157:$W$306,MATCH(ROWS($A$157:A170),$AF$157:$AF$306,0)),"")</f>
        <v/>
      </c>
      <c r="H170" s="72" t="str">
        <f>IFERROR(INDEX($X$157:$X$306,MATCH(ROWS($A$157:A170),$AF$157:$AF$306,0)),"")</f>
        <v>31</v>
      </c>
      <c r="I170" s="72" t="str">
        <f>IFERROR(INDEX($Y$157:$Y$306,MATCH(ROWS($A$157:A170),$AF$157:$AF$306,0)),"")</f>
        <v>1</v>
      </c>
      <c r="J170" s="72" t="str">
        <f>IFERROR(INDEX($Z$157:$Z$306,MATCH(ROWS($A$157:A170),$AF$157:$AF$306,0)),"")</f>
        <v/>
      </c>
      <c r="K170" s="72" t="str">
        <f>IFERROR(INDEX($AA$157:$AA$306,MATCH(ROWS($A$157:A170),$AF$157:$AF$306,0)),"")</f>
        <v/>
      </c>
      <c r="L170" s="72" t="str">
        <f>IFERROR(INDEX($AB$157:$AB$306,MATCH(ROWS($A$157:A170),$AF$157:$AF$306,0)),"")</f>
        <v/>
      </c>
      <c r="M170" s="72" t="str">
        <f>IFERROR(INDEX($AC$157:$AC$306,MATCH(ROWS($A$157:A170),$AF$157:$AF$306,0)),"")</f>
        <v/>
      </c>
      <c r="N170" s="35">
        <f>IFERROR(INDEX($AD$157:$AD$306,MATCH(ROWS($A$157:A170),$AF$157:$AF$306,0)),"")</f>
        <v>2</v>
      </c>
      <c r="Q170" t="str">
        <f>T(JAN!B19)</f>
        <v>ANILTON MORAES 327401</v>
      </c>
      <c r="R170" t="str">
        <f t="array" ref="R170">IF($Q170="","",_xlfn.TEXTJOIN(", ",TRUE,IF(JAN!$G19:$AK19="AT",JAN!$G$4:$AK$4,"")))</f>
        <v/>
      </c>
      <c r="S170" t="str">
        <f t="array" ref="S170">IF($Q170="","",_xlfn.TEXTJOIN(", ",TRUE,IF(FEV!$G19:$AK19="AT",FEV!$G$4:$AK$4,"")))</f>
        <v/>
      </c>
      <c r="T170" t="str">
        <f t="array" ref="T170">IF($Q170="","",_xlfn.TEXTJOIN(", ",TRUE,IF(MAR!$G19:$AK19="AT",MAR!$G$4:$AK$4,"")))</f>
        <v/>
      </c>
      <c r="U170" t="str">
        <f t="array" ref="U170">IF($Q170="","",_xlfn.TEXTJOIN(", ",TRUE,IF(ABR!$G19:$AK19="AT",ABR!$G$4:$AK$4,"")))</f>
        <v/>
      </c>
      <c r="V170" t="str">
        <f t="array" ref="V170">IF($Q170="","",_xlfn.TEXTJOIN(", ",TRUE,IF(MAI!$G19:$AK19="AT",MAI!$G$4:$AK$4,"")))</f>
        <v/>
      </c>
      <c r="W170" t="str">
        <f t="array" ref="W170">IF($Q170="","",_xlfn.TEXTJOIN(", ",TRUE,IF(JUN!$G19:$AK19="AT",JUN!$G$4:$AK$4,"")))</f>
        <v/>
      </c>
      <c r="X170" t="str">
        <f t="array" ref="X170">IF($Q170="","",_xlfn.TEXTJOIN(", ",TRUE,IF(JUL!$G19:$AK19="AT",JUL!$G$4:$AK$4,"")))</f>
        <v/>
      </c>
      <c r="Y170" t="str">
        <f t="array" ref="Y170">IF($Q170="","",_xlfn.TEXTJOIN(", ",TRUE,IF(AGO!$G19:$AK19="AT",AGO!$G$4:$AK$4,"")))</f>
        <v/>
      </c>
      <c r="Z170" t="str">
        <f t="array" ref="Z170">IF($Q170="","",_xlfn.TEXTJOIN(", ",TRUE,IF(SET!$G19:$AK19="AT",SET!$G$4:$AK$4,"")))</f>
        <v>18</v>
      </c>
      <c r="AA170" t="str">
        <f t="array" ref="AA170">IF($Q170="","",_xlfn.TEXTJOIN(", ",TRUE,IF(OUT!$G19:$AK19="AT",OUT!$G$4:$AK$4,"")))</f>
        <v/>
      </c>
      <c r="AB170" t="str">
        <f t="array" ref="AB170">IF($Q170="","",_xlfn.TEXTJOIN(", ",TRUE,IF(NOV!$G19:$AK19="AT",NOV!$G$4:$AK$4,"")))</f>
        <v/>
      </c>
      <c r="AC170" t="str">
        <f t="array" ref="AC170">IF($Q170="","",_xlfn.TEXTJOIN(", ",TRUE,IF(DEZ!$G19:$AK19="AT",DEZ!$G$4:$AK$4,"")))</f>
        <v/>
      </c>
      <c r="AD170">
        <f>IF($Q170="","",COUNTIF(JAN!$G19:$AK19,"AT")+COUNTIF(FEV!$G19:$AK19,"AT")+COUNTIF(MAR!$G19:$AK19,"AT")+COUNTIF(ABR!$G19:$AK19,"AT")+COUNTIF(MAI!$G19:$AK19,"AT")+COUNTIF(JUN!$G19:$AK19,"AT")+COUNTIF(JUL!$G19:$AK19,"AT")+COUNTIF(AGO!$G19:$AK19,"AT")+COUNTIF(SET!$G19:$AK19,"AT")+COUNTIF(OUT!$G19:$AK19,"AT")+COUNTIF(NOV!$G19:$AK19,"AT")+COUNTIF(DEZ!$G19:$AK19,"AT"))</f>
        <v>1</v>
      </c>
      <c r="AF170">
        <f>IF(AND($Q170&lt;&gt;"",N($AD170)&gt;0),COUNT($AF$156:AF169)+1,"")</f>
        <v>8</v>
      </c>
    </row>
    <row r="171" spans="1:32" ht="20.100000000000001" customHeight="1" x14ac:dyDescent="0.25">
      <c r="A171" s="71" t="str">
        <f>IFERROR(INDEX($Q$157:$Q$306,MATCH(ROWS($A$157:A171),$AF$157:$AF$306,0)),"")</f>
        <v>LUCAS PEREIRA 37002099</v>
      </c>
      <c r="B171" s="72" t="str">
        <f>IFERROR(INDEX($R$157:$R$306,MATCH(ROWS($A$157:A171),$AF$157:$AF$306,0)),"")</f>
        <v/>
      </c>
      <c r="C171" s="72" t="str">
        <f>IFERROR(INDEX($S$157:$S$306,MATCH(ROWS($A$157:A171),$AF$157:$AF$306,0)),"")</f>
        <v/>
      </c>
      <c r="D171" s="72" t="str">
        <f>IFERROR(INDEX($T$157:$T$306,MATCH(ROWS($A$157:A171),$AF$157:$AF$306,0)),"")</f>
        <v/>
      </c>
      <c r="E171" s="72" t="str">
        <f>IFERROR(INDEX($U$157:$U$306,MATCH(ROWS($A$157:A171),$AF$157:$AF$306,0)),"")</f>
        <v/>
      </c>
      <c r="F171" s="72" t="str">
        <f>IFERROR(INDEX($V$157:$V$306,MATCH(ROWS($A$157:A171),$AF$157:$AF$306,0)),"")</f>
        <v/>
      </c>
      <c r="G171" s="72" t="str">
        <f>IFERROR(INDEX($W$157:$W$306,MATCH(ROWS($A$157:A171),$AF$157:$AF$306,0)),"")</f>
        <v/>
      </c>
      <c r="H171" s="72" t="str">
        <f>IFERROR(INDEX($X$157:$X$306,MATCH(ROWS($A$157:A171),$AF$157:$AF$306,0)),"")</f>
        <v/>
      </c>
      <c r="I171" s="72" t="str">
        <f>IFERROR(INDEX($Y$157:$Y$306,MATCH(ROWS($A$157:A171),$AF$157:$AF$306,0)),"")</f>
        <v>10</v>
      </c>
      <c r="J171" s="72" t="str">
        <f>IFERROR(INDEX($Z$157:$Z$306,MATCH(ROWS($A$157:A171),$AF$157:$AF$306,0)),"")</f>
        <v/>
      </c>
      <c r="K171" s="72" t="str">
        <f>IFERROR(INDEX($AA$157:$AA$306,MATCH(ROWS($A$157:A171),$AF$157:$AF$306,0)),"")</f>
        <v/>
      </c>
      <c r="L171" s="72" t="str">
        <f>IFERROR(INDEX($AB$157:$AB$306,MATCH(ROWS($A$157:A171),$AF$157:$AF$306,0)),"")</f>
        <v/>
      </c>
      <c r="M171" s="72" t="str">
        <f>IFERROR(INDEX($AC$157:$AC$306,MATCH(ROWS($A$157:A171),$AF$157:$AF$306,0)),"")</f>
        <v/>
      </c>
      <c r="N171" s="35">
        <f>IFERROR(INDEX($AD$157:$AD$306,MATCH(ROWS($A$157:A171),$AF$157:$AF$306,0)),"")</f>
        <v>1</v>
      </c>
      <c r="Q171" t="str">
        <f>T(JAN!B20)</f>
        <v>MARCOS SOUZA 453701</v>
      </c>
      <c r="R171" t="str">
        <f t="array" ref="R171">IF($Q171="","",_xlfn.TEXTJOIN(", ",TRUE,IF(JAN!$G20:$AK20="AT",JAN!$G$4:$AK$4,"")))</f>
        <v/>
      </c>
      <c r="S171" t="str">
        <f t="array" ref="S171">IF($Q171="","",_xlfn.TEXTJOIN(", ",TRUE,IF(FEV!$G20:$AK20="AT",FEV!$G$4:$AK$4,"")))</f>
        <v/>
      </c>
      <c r="T171" t="str">
        <f t="array" ref="T171">IF($Q171="","",_xlfn.TEXTJOIN(", ",TRUE,IF(MAR!$G20:$AK20="AT",MAR!$G$4:$AK$4,"")))</f>
        <v/>
      </c>
      <c r="U171" t="str">
        <f t="array" ref="U171">IF($Q171="","",_xlfn.TEXTJOIN(", ",TRUE,IF(ABR!$G20:$AK20="AT",ABR!$G$4:$AK$4,"")))</f>
        <v/>
      </c>
      <c r="V171" t="str">
        <f t="array" ref="V171">IF($Q171="","",_xlfn.TEXTJOIN(", ",TRUE,IF(MAI!$G20:$AK20="AT",MAI!$G$4:$AK$4,"")))</f>
        <v/>
      </c>
      <c r="W171" t="str">
        <f t="array" ref="W171">IF($Q171="","",_xlfn.TEXTJOIN(", ",TRUE,IF(JUN!$G20:$AK20="AT",JUN!$G$4:$AK$4,"")))</f>
        <v/>
      </c>
      <c r="X171" t="str">
        <f t="array" ref="X171">IF($Q171="","",_xlfn.TEXTJOIN(", ",TRUE,IF(JUL!$G20:$AK20="AT",JUL!$G$4:$AK$4,"")))</f>
        <v/>
      </c>
      <c r="Y171" t="str">
        <f t="array" ref="Y171">IF($Q171="","",_xlfn.TEXTJOIN(", ",TRUE,IF(AGO!$G20:$AK20="AT",AGO!$G$4:$AK$4,"")))</f>
        <v/>
      </c>
      <c r="Z171" t="str">
        <f t="array" ref="Z171">IF($Q171="","",_xlfn.TEXTJOIN(", ",TRUE,IF(SET!$G20:$AK20="AT",SET!$G$4:$AK$4,"")))</f>
        <v/>
      </c>
      <c r="AA171" t="str">
        <f t="array" ref="AA171">IF($Q171="","",_xlfn.TEXTJOIN(", ",TRUE,IF(OUT!$G20:$AK20="AT",OUT!$G$4:$AK$4,"")))</f>
        <v/>
      </c>
      <c r="AB171" t="str">
        <f t="array" ref="AB171">IF($Q171="","",_xlfn.TEXTJOIN(", ",TRUE,IF(NOV!$G20:$AK20="AT",NOV!$G$4:$AK$4,"")))</f>
        <v/>
      </c>
      <c r="AC171" t="str">
        <f t="array" ref="AC171">IF($Q171="","",_xlfn.TEXTJOIN(", ",TRUE,IF(DEZ!$G20:$AK20="AT",DEZ!$G$4:$AK$4,"")))</f>
        <v/>
      </c>
      <c r="AD171">
        <f>IF($Q171="","",COUNTIF(JAN!$G20:$AK20,"AT")+COUNTIF(FEV!$G20:$AK20,"AT")+COUNTIF(MAR!$G20:$AK20,"AT")+COUNTIF(ABR!$G20:$AK20,"AT")+COUNTIF(MAI!$G20:$AK20,"AT")+COUNTIF(JUN!$G20:$AK20,"AT")+COUNTIF(JUL!$G20:$AK20,"AT")+COUNTIF(AGO!$G20:$AK20,"AT")+COUNTIF(SET!$G20:$AK20,"AT")+COUNTIF(OUT!$G20:$AK20,"AT")+COUNTIF(NOV!$G20:$AK20,"AT")+COUNTIF(DEZ!$G20:$AK20,"AT"))</f>
        <v>0</v>
      </c>
      <c r="AF171" t="str">
        <f>IF(AND($Q171&lt;&gt;"",N($AD171)&gt;0),COUNT($AF$156:AF170)+1,"")</f>
        <v/>
      </c>
    </row>
    <row r="172" spans="1:32" ht="20.100000000000001" customHeight="1" x14ac:dyDescent="0.25">
      <c r="A172" s="71" t="str">
        <f>IFERROR(INDEX($Q$157:$Q$306,MATCH(ROWS($A$157:A172),$AF$157:$AF$306,0)),"")</f>
        <v>LUCIANO GROSS 37002144</v>
      </c>
      <c r="B172" s="72" t="str">
        <f>IFERROR(INDEX($R$157:$R$306,MATCH(ROWS($A$157:A172),$AF$157:$AF$306,0)),"")</f>
        <v/>
      </c>
      <c r="C172" s="72" t="str">
        <f>IFERROR(INDEX($S$157:$S$306,MATCH(ROWS($A$157:A172),$AF$157:$AF$306,0)),"")</f>
        <v/>
      </c>
      <c r="D172" s="72" t="str">
        <f>IFERROR(INDEX($T$157:$T$306,MATCH(ROWS($A$157:A172),$AF$157:$AF$306,0)),"")</f>
        <v/>
      </c>
      <c r="E172" s="72" t="str">
        <f>IFERROR(INDEX($U$157:$U$306,MATCH(ROWS($A$157:A172),$AF$157:$AF$306,0)),"")</f>
        <v/>
      </c>
      <c r="F172" s="72" t="str">
        <f>IFERROR(INDEX($V$157:$V$306,MATCH(ROWS($A$157:A172),$AF$157:$AF$306,0)),"")</f>
        <v/>
      </c>
      <c r="G172" s="72" t="str">
        <f>IFERROR(INDEX($W$157:$W$306,MATCH(ROWS($A$157:A172),$AF$157:$AF$306,0)),"")</f>
        <v>26, 27</v>
      </c>
      <c r="H172" s="72" t="str">
        <f>IFERROR(INDEX($X$157:$X$306,MATCH(ROWS($A$157:A172),$AF$157:$AF$306,0)),"")</f>
        <v>7</v>
      </c>
      <c r="I172" s="72" t="str">
        <f>IFERROR(INDEX($Y$157:$Y$306,MATCH(ROWS($A$157:A172),$AF$157:$AF$306,0)),"")</f>
        <v>10, 12, 13, 26</v>
      </c>
      <c r="J172" s="72" t="str">
        <f>IFERROR(INDEX($Z$157:$Z$306,MATCH(ROWS($A$157:A172),$AF$157:$AF$306,0)),"")</f>
        <v/>
      </c>
      <c r="K172" s="72" t="str">
        <f>IFERROR(INDEX($AA$157:$AA$306,MATCH(ROWS($A$157:A172),$AF$157:$AF$306,0)),"")</f>
        <v/>
      </c>
      <c r="L172" s="72" t="str">
        <f>IFERROR(INDEX($AB$157:$AB$306,MATCH(ROWS($A$157:A172),$AF$157:$AF$306,0)),"")</f>
        <v/>
      </c>
      <c r="M172" s="72" t="str">
        <f>IFERROR(INDEX($AC$157:$AC$306,MATCH(ROWS($A$157:A172),$AF$157:$AF$306,0)),"")</f>
        <v/>
      </c>
      <c r="N172" s="35">
        <f>IFERROR(INDEX($AD$157:$AD$306,MATCH(ROWS($A$157:A172),$AF$157:$AF$306,0)),"")</f>
        <v>7</v>
      </c>
      <c r="Q172" t="str">
        <f>T(JAN!B21)</f>
        <v>MARCOS EBERTZ 356601</v>
      </c>
      <c r="R172" t="str">
        <f t="array" ref="R172">IF($Q172="","",_xlfn.TEXTJOIN(", ",TRUE,IF(JAN!$G21:$AK21="AT",JAN!$G$4:$AK$4,"")))</f>
        <v/>
      </c>
      <c r="S172" t="str">
        <f t="array" ref="S172">IF($Q172="","",_xlfn.TEXTJOIN(", ",TRUE,IF(FEV!$G21:$AK21="AT",FEV!$G$4:$AK$4,"")))</f>
        <v/>
      </c>
      <c r="T172" t="str">
        <f t="array" ref="T172">IF($Q172="","",_xlfn.TEXTJOIN(", ",TRUE,IF(MAR!$G21:$AK21="AT",MAR!$G$4:$AK$4,"")))</f>
        <v/>
      </c>
      <c r="U172" t="str">
        <f t="array" ref="U172">IF($Q172="","",_xlfn.TEXTJOIN(", ",TRUE,IF(ABR!$G21:$AK21="AT",ABR!$G$4:$AK$4,"")))</f>
        <v/>
      </c>
      <c r="V172" t="str">
        <f t="array" ref="V172">IF($Q172="","",_xlfn.TEXTJOIN(", ",TRUE,IF(MAI!$G21:$AK21="AT",MAI!$G$4:$AK$4,"")))</f>
        <v/>
      </c>
      <c r="W172" t="str">
        <f t="array" ref="W172">IF($Q172="","",_xlfn.TEXTJOIN(", ",TRUE,IF(JUN!$G21:$AK21="AT",JUN!$G$4:$AK$4,"")))</f>
        <v/>
      </c>
      <c r="X172" t="str">
        <f t="array" ref="X172">IF($Q172="","",_xlfn.TEXTJOIN(", ",TRUE,IF(JUL!$G21:$AK21="AT",JUL!$G$4:$AK$4,"")))</f>
        <v/>
      </c>
      <c r="Y172" t="str">
        <f t="array" ref="Y172">IF($Q172="","",_xlfn.TEXTJOIN(", ",TRUE,IF(AGO!$G21:$AK21="AT",AGO!$G$4:$AK$4,"")))</f>
        <v/>
      </c>
      <c r="Z172" t="str">
        <f t="array" ref="Z172">IF($Q172="","",_xlfn.TEXTJOIN(", ",TRUE,IF(SET!$G21:$AK21="AT",SET!$G$4:$AK$4,"")))</f>
        <v/>
      </c>
      <c r="AA172" t="str">
        <f t="array" ref="AA172">IF($Q172="","",_xlfn.TEXTJOIN(", ",TRUE,IF(OUT!$G21:$AK21="AT",OUT!$G$4:$AK$4,"")))</f>
        <v/>
      </c>
      <c r="AB172" t="str">
        <f t="array" ref="AB172">IF($Q172="","",_xlfn.TEXTJOIN(", ",TRUE,IF(NOV!$G21:$AK21="AT",NOV!$G$4:$AK$4,"")))</f>
        <v/>
      </c>
      <c r="AC172" t="str">
        <f t="array" ref="AC172">IF($Q172="","",_xlfn.TEXTJOIN(", ",TRUE,IF(DEZ!$G21:$AK21="AT",DEZ!$G$4:$AK$4,"")))</f>
        <v/>
      </c>
      <c r="AD172">
        <f>IF($Q172="","",COUNTIF(JAN!$G21:$AK21,"AT")+COUNTIF(FEV!$G21:$AK21,"AT")+COUNTIF(MAR!$G21:$AK21,"AT")+COUNTIF(ABR!$G21:$AK21,"AT")+COUNTIF(MAI!$G21:$AK21,"AT")+COUNTIF(JUN!$G21:$AK21,"AT")+COUNTIF(JUL!$G21:$AK21,"AT")+COUNTIF(AGO!$G21:$AK21,"AT")+COUNTIF(SET!$G21:$AK21,"AT")+COUNTIF(OUT!$G21:$AK21,"AT")+COUNTIF(NOV!$G21:$AK21,"AT")+COUNTIF(DEZ!$G21:$AK21,"AT"))</f>
        <v>0</v>
      </c>
      <c r="AF172" t="str">
        <f>IF(AND($Q172&lt;&gt;"",N($AD172)&gt;0),COUNT($AF$156:AF171)+1,"")</f>
        <v/>
      </c>
    </row>
    <row r="173" spans="1:32" ht="20.100000000000001" customHeight="1" x14ac:dyDescent="0.25">
      <c r="A173" s="71" t="str">
        <f>IFERROR(INDEX($Q$157:$Q$306,MATCH(ROWS($A$157:A173),$AF$157:$AF$306,0)),"")</f>
        <v>DIEGO BOEIRA 125801</v>
      </c>
      <c r="B173" s="72" t="str">
        <f>IFERROR(INDEX($R$157:$R$306,MATCH(ROWS($A$157:A173),$AF$157:$AF$306,0)),"")</f>
        <v/>
      </c>
      <c r="C173" s="72" t="str">
        <f>IFERROR(INDEX($S$157:$S$306,MATCH(ROWS($A$157:A173),$AF$157:$AF$306,0)),"")</f>
        <v/>
      </c>
      <c r="D173" s="72" t="str">
        <f>IFERROR(INDEX($T$157:$T$306,MATCH(ROWS($A$157:A173),$AF$157:$AF$306,0)),"")</f>
        <v/>
      </c>
      <c r="E173" s="72" t="str">
        <f>IFERROR(INDEX($U$157:$U$306,MATCH(ROWS($A$157:A173),$AF$157:$AF$306,0)),"")</f>
        <v/>
      </c>
      <c r="F173" s="72" t="str">
        <f>IFERROR(INDEX($V$157:$V$306,MATCH(ROWS($A$157:A173),$AF$157:$AF$306,0)),"")</f>
        <v/>
      </c>
      <c r="G173" s="72" t="str">
        <f>IFERROR(INDEX($W$157:$W$306,MATCH(ROWS($A$157:A173),$AF$157:$AF$306,0)),"")</f>
        <v/>
      </c>
      <c r="H173" s="72" t="str">
        <f>IFERROR(INDEX($X$157:$X$306,MATCH(ROWS($A$157:A173),$AF$157:$AF$306,0)),"")</f>
        <v/>
      </c>
      <c r="I173" s="72" t="str">
        <f>IFERROR(INDEX($Y$157:$Y$306,MATCH(ROWS($A$157:A173),$AF$157:$AF$306,0)),"")</f>
        <v/>
      </c>
      <c r="J173" s="72" t="str">
        <f>IFERROR(INDEX($Z$157:$Z$306,MATCH(ROWS($A$157:A173),$AF$157:$AF$306,0)),"")</f>
        <v>15</v>
      </c>
      <c r="K173" s="72" t="str">
        <f>IFERROR(INDEX($AA$157:$AA$306,MATCH(ROWS($A$157:A173),$AF$157:$AF$306,0)),"")</f>
        <v/>
      </c>
      <c r="L173" s="72" t="str">
        <f>IFERROR(INDEX($AB$157:$AB$306,MATCH(ROWS($A$157:A173),$AF$157:$AF$306,0)),"")</f>
        <v/>
      </c>
      <c r="M173" s="72" t="str">
        <f>IFERROR(INDEX($AC$157:$AC$306,MATCH(ROWS($A$157:A173),$AF$157:$AF$306,0)),"")</f>
        <v/>
      </c>
      <c r="N173" s="35">
        <f>IFERROR(INDEX($AD$157:$AD$306,MATCH(ROWS($A$157:A173),$AF$157:$AF$306,0)),"")</f>
        <v>1</v>
      </c>
      <c r="Q173" t="str">
        <f>T(JAN!B22)</f>
        <v>REGIS CERETA 384101</v>
      </c>
      <c r="R173" t="str">
        <f t="array" ref="R173">IF($Q173="","",_xlfn.TEXTJOIN(", ",TRUE,IF(JAN!$G22:$AK22="AT",JAN!$G$4:$AK$4,"")))</f>
        <v/>
      </c>
      <c r="S173" t="str">
        <f t="array" ref="S173">IF($Q173="","",_xlfn.TEXTJOIN(", ",TRUE,IF(FEV!$G22:$AK22="AT",FEV!$G$4:$AK$4,"")))</f>
        <v/>
      </c>
      <c r="T173" t="str">
        <f t="array" ref="T173">IF($Q173="","",_xlfn.TEXTJOIN(", ",TRUE,IF(MAR!$G22:$AK22="AT",MAR!$G$4:$AK$4,"")))</f>
        <v/>
      </c>
      <c r="U173" t="str">
        <f t="array" ref="U173">IF($Q173="","",_xlfn.TEXTJOIN(", ",TRUE,IF(ABR!$G22:$AK22="AT",ABR!$G$4:$AK$4,"")))</f>
        <v/>
      </c>
      <c r="V173" t="str">
        <f t="array" ref="V173">IF($Q173="","",_xlfn.TEXTJOIN(", ",TRUE,IF(MAI!$G22:$AK22="AT",MAI!$G$4:$AK$4,"")))</f>
        <v/>
      </c>
      <c r="W173" t="str">
        <f t="array" ref="W173">IF($Q173="","",_xlfn.TEXTJOIN(", ",TRUE,IF(JUN!$G22:$AK22="AT",JUN!$G$4:$AK$4,"")))</f>
        <v/>
      </c>
      <c r="X173" t="str">
        <f t="array" ref="X173">IF($Q173="","",_xlfn.TEXTJOIN(", ",TRUE,IF(JUL!$G22:$AK22="AT",JUL!$G$4:$AK$4,"")))</f>
        <v>31</v>
      </c>
      <c r="Y173" t="str">
        <f t="array" ref="Y173">IF($Q173="","",_xlfn.TEXTJOIN(", ",TRUE,IF(AGO!$G22:$AK22="AT",AGO!$G$4:$AK$4,"")))</f>
        <v>1, 3</v>
      </c>
      <c r="Z173" t="str">
        <f t="array" ref="Z173">IF($Q173="","",_xlfn.TEXTJOIN(", ",TRUE,IF(SET!$G22:$AK22="AT",SET!$G$4:$AK$4,"")))</f>
        <v/>
      </c>
      <c r="AA173" t="str">
        <f t="array" ref="AA173">IF($Q173="","",_xlfn.TEXTJOIN(", ",TRUE,IF(OUT!$G22:$AK22="AT",OUT!$G$4:$AK$4,"")))</f>
        <v/>
      </c>
      <c r="AB173" t="str">
        <f t="array" ref="AB173">IF($Q173="","",_xlfn.TEXTJOIN(", ",TRUE,IF(NOV!$G22:$AK22="AT",NOV!$G$4:$AK$4,"")))</f>
        <v/>
      </c>
      <c r="AC173" t="str">
        <f t="array" ref="AC173">IF($Q173="","",_xlfn.TEXTJOIN(", ",TRUE,IF(DEZ!$G22:$AK22="AT",DEZ!$G$4:$AK$4,"")))</f>
        <v/>
      </c>
      <c r="AD173">
        <f>IF($Q173="","",COUNTIF(JAN!$G22:$AK22,"AT")+COUNTIF(FEV!$G22:$AK22,"AT")+COUNTIF(MAR!$G22:$AK22,"AT")+COUNTIF(ABR!$G22:$AK22,"AT")+COUNTIF(MAI!$G22:$AK22,"AT")+COUNTIF(JUN!$G22:$AK22,"AT")+COUNTIF(JUL!$G22:$AK22,"AT")+COUNTIF(AGO!$G22:$AK22,"AT")+COUNTIF(SET!$G22:$AK22,"AT")+COUNTIF(OUT!$G22:$AK22,"AT")+COUNTIF(NOV!$G22:$AK22,"AT")+COUNTIF(DEZ!$G22:$AK22,"AT"))</f>
        <v>3</v>
      </c>
      <c r="AF173">
        <f>IF(AND($Q173&lt;&gt;"",N($AD173)&gt;0),COUNT($AF$156:AF172)+1,"")</f>
        <v>9</v>
      </c>
    </row>
    <row r="174" spans="1:32" ht="20.100000000000001" customHeight="1" x14ac:dyDescent="0.25">
      <c r="A174" s="71" t="str">
        <f>IFERROR(INDEX($Q$157:$Q$306,MATCH(ROWS($A$157:A174),$AF$157:$AF$306,0)),"")</f>
        <v>STEFAN KOVALICK 310001</v>
      </c>
      <c r="B174" s="72" t="str">
        <f>IFERROR(INDEX($R$157:$R$306,MATCH(ROWS($A$157:A174),$AF$157:$AF$306,0)),"")</f>
        <v/>
      </c>
      <c r="C174" s="72" t="str">
        <f>IFERROR(INDEX($S$157:$S$306,MATCH(ROWS($A$157:A174),$AF$157:$AF$306,0)),"")</f>
        <v/>
      </c>
      <c r="D174" s="72" t="str">
        <f>IFERROR(INDEX($T$157:$T$306,MATCH(ROWS($A$157:A174),$AF$157:$AF$306,0)),"")</f>
        <v/>
      </c>
      <c r="E174" s="72" t="str">
        <f>IFERROR(INDEX($U$157:$U$306,MATCH(ROWS($A$157:A174),$AF$157:$AF$306,0)),"")</f>
        <v/>
      </c>
      <c r="F174" s="72" t="str">
        <f>IFERROR(INDEX($V$157:$V$306,MATCH(ROWS($A$157:A174),$AF$157:$AF$306,0)),"")</f>
        <v/>
      </c>
      <c r="G174" s="72" t="str">
        <f>IFERROR(INDEX($W$157:$W$306,MATCH(ROWS($A$157:A174),$AF$157:$AF$306,0)),"")</f>
        <v/>
      </c>
      <c r="H174" s="72" t="str">
        <f>IFERROR(INDEX($X$157:$X$306,MATCH(ROWS($A$157:A174),$AF$157:$AF$306,0)),"")</f>
        <v/>
      </c>
      <c r="I174" s="72" t="str">
        <f>IFERROR(INDEX($Y$157:$Y$306,MATCH(ROWS($A$157:A174),$AF$157:$AF$306,0)),"")</f>
        <v/>
      </c>
      <c r="J174" s="72" t="str">
        <f>IFERROR(INDEX($Z$157:$Z$306,MATCH(ROWS($A$157:A174),$AF$157:$AF$306,0)),"")</f>
        <v>25</v>
      </c>
      <c r="K174" s="72" t="str">
        <f>IFERROR(INDEX($AA$157:$AA$306,MATCH(ROWS($A$157:A174),$AF$157:$AF$306,0)),"")</f>
        <v/>
      </c>
      <c r="L174" s="72" t="str">
        <f>IFERROR(INDEX($AB$157:$AB$306,MATCH(ROWS($A$157:A174),$AF$157:$AF$306,0)),"")</f>
        <v/>
      </c>
      <c r="M174" s="72" t="str">
        <f>IFERROR(INDEX($AC$157:$AC$306,MATCH(ROWS($A$157:A174),$AF$157:$AF$306,0)),"")</f>
        <v/>
      </c>
      <c r="N174" s="35">
        <f>IFERROR(INDEX($AD$157:$AD$306,MATCH(ROWS($A$157:A174),$AF$157:$AF$306,0)),"")</f>
        <v>1</v>
      </c>
      <c r="Q174" t="str">
        <f>T(JAN!B23)</f>
        <v>ANDERSON SANTOS 434801</v>
      </c>
      <c r="R174" t="str">
        <f t="array" ref="R174">IF($Q174="","",_xlfn.TEXTJOIN(", ",TRUE,IF(JAN!$G23:$AK23="AT",JAN!$G$4:$AK$4,"")))</f>
        <v/>
      </c>
      <c r="S174" t="str">
        <f t="array" ref="S174">IF($Q174="","",_xlfn.TEXTJOIN(", ",TRUE,IF(FEV!$G23:$AK23="AT",FEV!$G$4:$AK$4,"")))</f>
        <v/>
      </c>
      <c r="T174" t="str">
        <f t="array" ref="T174">IF($Q174="","",_xlfn.TEXTJOIN(", ",TRUE,IF(MAR!$G23:$AK23="AT",MAR!$G$4:$AK$4,"")))</f>
        <v/>
      </c>
      <c r="U174" t="str">
        <f t="array" ref="U174">IF($Q174="","",_xlfn.TEXTJOIN(", ",TRUE,IF(ABR!$G23:$AK23="AT",ABR!$G$4:$AK$4,"")))</f>
        <v/>
      </c>
      <c r="V174" t="str">
        <f t="array" ref="V174">IF($Q174="","",_xlfn.TEXTJOIN(", ",TRUE,IF(MAI!$G23:$AK23="AT",MAI!$G$4:$AK$4,"")))</f>
        <v/>
      </c>
      <c r="W174" t="str">
        <f t="array" ref="W174">IF($Q174="","",_xlfn.TEXTJOIN(", ",TRUE,IF(JUN!$G23:$AK23="AT",JUN!$G$4:$AK$4,"")))</f>
        <v/>
      </c>
      <c r="X174" t="str">
        <f t="array" ref="X174">IF($Q174="","",_xlfn.TEXTJOIN(", ",TRUE,IF(JUL!$G23:$AK23="AT",JUL!$G$4:$AK$4,"")))</f>
        <v/>
      </c>
      <c r="Y174" t="str">
        <f t="array" ref="Y174">IF($Q174="","",_xlfn.TEXTJOIN(", ",TRUE,IF(AGO!$G23:$AK23="AT",AGO!$G$4:$AK$4,"")))</f>
        <v/>
      </c>
      <c r="Z174" t="str">
        <f t="array" ref="Z174">IF($Q174="","",_xlfn.TEXTJOIN(", ",TRUE,IF(SET!$G23:$AK23="AT",SET!$G$4:$AK$4,"")))</f>
        <v/>
      </c>
      <c r="AA174" t="str">
        <f t="array" ref="AA174">IF($Q174="","",_xlfn.TEXTJOIN(", ",TRUE,IF(OUT!$G23:$AK23="AT",OUT!$G$4:$AK$4,"")))</f>
        <v/>
      </c>
      <c r="AB174" t="str">
        <f t="array" ref="AB174">IF($Q174="","",_xlfn.TEXTJOIN(", ",TRUE,IF(NOV!$G23:$AK23="AT",NOV!$G$4:$AK$4,"")))</f>
        <v/>
      </c>
      <c r="AC174" t="str">
        <f t="array" ref="AC174">IF($Q174="","",_xlfn.TEXTJOIN(", ",TRUE,IF(DEZ!$G23:$AK23="AT",DEZ!$G$4:$AK$4,"")))</f>
        <v/>
      </c>
      <c r="AD174">
        <f>IF($Q174="","",COUNTIF(JAN!$G23:$AK23,"AT")+COUNTIF(FEV!$G23:$AK23,"AT")+COUNTIF(MAR!$G23:$AK23,"AT")+COUNTIF(ABR!$G23:$AK23,"AT")+COUNTIF(MAI!$G23:$AK23,"AT")+COUNTIF(JUN!$G23:$AK23,"AT")+COUNTIF(JUL!$G23:$AK23,"AT")+COUNTIF(AGO!$G23:$AK23,"AT")+COUNTIF(SET!$G23:$AK23,"AT")+COUNTIF(OUT!$G23:$AK23,"AT")+COUNTIF(NOV!$G23:$AK23,"AT")+COUNTIF(DEZ!$G23:$AK23,"AT"))</f>
        <v>0</v>
      </c>
      <c r="AF174" t="str">
        <f>IF(AND($Q174&lt;&gt;"",N($AD174)&gt;0),COUNT($AF$156:AF173)+1,"")</f>
        <v/>
      </c>
    </row>
    <row r="175" spans="1:32" ht="20.100000000000001" customHeight="1" x14ac:dyDescent="0.25">
      <c r="A175" s="71" t="str">
        <f>IFERROR(INDEX($Q$157:$Q$306,MATCH(ROWS($A$157:A175),$AF$157:$AF$306,0)),"")</f>
        <v>EDER MONTICELLI 318101</v>
      </c>
      <c r="B175" s="72" t="str">
        <f>IFERROR(INDEX($R$157:$R$306,MATCH(ROWS($A$157:A175),$AF$157:$AF$306,0)),"")</f>
        <v/>
      </c>
      <c r="C175" s="72" t="str">
        <f>IFERROR(INDEX($S$157:$S$306,MATCH(ROWS($A$157:A175),$AF$157:$AF$306,0)),"")</f>
        <v/>
      </c>
      <c r="D175" s="72" t="str">
        <f>IFERROR(INDEX($T$157:$T$306,MATCH(ROWS($A$157:A175),$AF$157:$AF$306,0)),"")</f>
        <v/>
      </c>
      <c r="E175" s="72" t="str">
        <f>IFERROR(INDEX($U$157:$U$306,MATCH(ROWS($A$157:A175),$AF$157:$AF$306,0)),"")</f>
        <v/>
      </c>
      <c r="F175" s="72" t="str">
        <f>IFERROR(INDEX($V$157:$V$306,MATCH(ROWS($A$157:A175),$AF$157:$AF$306,0)),"")</f>
        <v/>
      </c>
      <c r="G175" s="72" t="str">
        <f>IFERROR(INDEX($W$157:$W$306,MATCH(ROWS($A$157:A175),$AF$157:$AF$306,0)),"")</f>
        <v/>
      </c>
      <c r="H175" s="72" t="str">
        <f>IFERROR(INDEX($X$157:$X$306,MATCH(ROWS($A$157:A175),$AF$157:$AF$306,0)),"")</f>
        <v>31</v>
      </c>
      <c r="I175" s="72" t="str">
        <f>IFERROR(INDEX($Y$157:$Y$306,MATCH(ROWS($A$157:A175),$AF$157:$AF$306,0)),"")</f>
        <v/>
      </c>
      <c r="J175" s="72" t="str">
        <f>IFERROR(INDEX($Z$157:$Z$306,MATCH(ROWS($A$157:A175),$AF$157:$AF$306,0)),"")</f>
        <v/>
      </c>
      <c r="K175" s="72" t="str">
        <f>IFERROR(INDEX($AA$157:$AA$306,MATCH(ROWS($A$157:A175),$AF$157:$AF$306,0)),"")</f>
        <v/>
      </c>
      <c r="L175" s="72" t="str">
        <f>IFERROR(INDEX($AB$157:$AB$306,MATCH(ROWS($A$157:A175),$AF$157:$AF$306,0)),"")</f>
        <v/>
      </c>
      <c r="M175" s="72" t="str">
        <f>IFERROR(INDEX($AC$157:$AC$306,MATCH(ROWS($A$157:A175),$AF$157:$AF$306,0)),"")</f>
        <v/>
      </c>
      <c r="N175" s="35">
        <f>IFERROR(INDEX($AD$157:$AD$306,MATCH(ROWS($A$157:A175),$AF$157:$AF$306,0)),"")</f>
        <v>1</v>
      </c>
      <c r="Q175" t="str">
        <f>T(JAN!B24)</f>
        <v>ALEX GABRIEL 37002111</v>
      </c>
      <c r="R175" t="str">
        <f t="array" ref="R175">IF($Q175="","",_xlfn.TEXTJOIN(", ",TRUE,IF(JAN!$G24:$AK24="AT",JAN!$G$4:$AK$4,"")))</f>
        <v/>
      </c>
      <c r="S175" t="str">
        <f t="array" ref="S175">IF($Q175="","",_xlfn.TEXTJOIN(", ",TRUE,IF(FEV!$G24:$AK24="AT",FEV!$G$4:$AK$4,"")))</f>
        <v/>
      </c>
      <c r="T175" t="str">
        <f t="array" ref="T175">IF($Q175="","",_xlfn.TEXTJOIN(", ",TRUE,IF(MAR!$G24:$AK24="AT",MAR!$G$4:$AK$4,"")))</f>
        <v/>
      </c>
      <c r="U175" t="str">
        <f t="array" ref="U175">IF($Q175="","",_xlfn.TEXTJOIN(", ",TRUE,IF(ABR!$G24:$AK24="AT",ABR!$G$4:$AK$4,"")))</f>
        <v/>
      </c>
      <c r="V175" t="str">
        <f t="array" ref="V175">IF($Q175="","",_xlfn.TEXTJOIN(", ",TRUE,IF(MAI!$G24:$AK24="AT",MAI!$G$4:$AK$4,"")))</f>
        <v/>
      </c>
      <c r="W175" t="str">
        <f t="array" ref="W175">IF($Q175="","",_xlfn.TEXTJOIN(", ",TRUE,IF(JUN!$G24:$AK24="AT",JUN!$G$4:$AK$4,"")))</f>
        <v/>
      </c>
      <c r="X175" t="str">
        <f t="array" ref="X175">IF($Q175="","",_xlfn.TEXTJOIN(", ",TRUE,IF(JUL!$G24:$AK24="AT",JUL!$G$4:$AK$4,"")))</f>
        <v/>
      </c>
      <c r="Y175" t="str">
        <f t="array" ref="Y175">IF($Q175="","",_xlfn.TEXTJOIN(", ",TRUE,IF(AGO!$G24:$AK24="AT",AGO!$G$4:$AK$4,"")))</f>
        <v/>
      </c>
      <c r="Z175" t="str">
        <f t="array" ref="Z175">IF($Q175="","",_xlfn.TEXTJOIN(", ",TRUE,IF(SET!$G24:$AK24="AT",SET!$G$4:$AK$4,"")))</f>
        <v/>
      </c>
      <c r="AA175" t="str">
        <f t="array" ref="AA175">IF($Q175="","",_xlfn.TEXTJOIN(", ",TRUE,IF(OUT!$G24:$AK24="AT",OUT!$G$4:$AK$4,"")))</f>
        <v/>
      </c>
      <c r="AB175" t="str">
        <f t="array" ref="AB175">IF($Q175="","",_xlfn.TEXTJOIN(", ",TRUE,IF(NOV!$G24:$AK24="AT",NOV!$G$4:$AK$4,"")))</f>
        <v/>
      </c>
      <c r="AC175" t="str">
        <f t="array" ref="AC175">IF($Q175="","",_xlfn.TEXTJOIN(", ",TRUE,IF(DEZ!$G24:$AK24="AT",DEZ!$G$4:$AK$4,"")))</f>
        <v/>
      </c>
      <c r="AD175">
        <f>IF($Q175="","",COUNTIF(JAN!$G24:$AK24,"AT")+COUNTIF(FEV!$G24:$AK24,"AT")+COUNTIF(MAR!$G24:$AK24,"AT")+COUNTIF(ABR!$G24:$AK24,"AT")+COUNTIF(MAI!$G24:$AK24,"AT")+COUNTIF(JUN!$G24:$AK24,"AT")+COUNTIF(JUL!$G24:$AK24,"AT")+COUNTIF(AGO!$G24:$AK24,"AT")+COUNTIF(SET!$G24:$AK24,"AT")+COUNTIF(OUT!$G24:$AK24,"AT")+COUNTIF(NOV!$G24:$AK24,"AT")+COUNTIF(DEZ!$G24:$AK24,"AT"))</f>
        <v>0</v>
      </c>
      <c r="AF175" t="str">
        <f>IF(AND($Q175&lt;&gt;"",N($AD175)&gt;0),COUNT($AF$156:AF174)+1,"")</f>
        <v/>
      </c>
    </row>
    <row r="176" spans="1:32" ht="20.100000000000001" customHeight="1" x14ac:dyDescent="0.25">
      <c r="A176" s="71" t="str">
        <f>IFERROR(INDEX($Q$157:$Q$306,MATCH(ROWS($A$157:A176),$AF$157:$AF$306,0)),"")</f>
        <v>JULIANO LENHARD 446901</v>
      </c>
      <c r="B176" s="72" t="str">
        <f>IFERROR(INDEX($R$157:$R$306,MATCH(ROWS($A$157:A176),$AF$157:$AF$306,0)),"")</f>
        <v/>
      </c>
      <c r="C176" s="72" t="str">
        <f>IFERROR(INDEX($S$157:$S$306,MATCH(ROWS($A$157:A176),$AF$157:$AF$306,0)),"")</f>
        <v/>
      </c>
      <c r="D176" s="72" t="str">
        <f>IFERROR(INDEX($T$157:$T$306,MATCH(ROWS($A$157:A176),$AF$157:$AF$306,0)),"")</f>
        <v/>
      </c>
      <c r="E176" s="72" t="str">
        <f>IFERROR(INDEX($U$157:$U$306,MATCH(ROWS($A$157:A176),$AF$157:$AF$306,0)),"")</f>
        <v/>
      </c>
      <c r="F176" s="72" t="str">
        <f>IFERROR(INDEX($V$157:$V$306,MATCH(ROWS($A$157:A176),$AF$157:$AF$306,0)),"")</f>
        <v/>
      </c>
      <c r="G176" s="72" t="str">
        <f>IFERROR(INDEX($W$157:$W$306,MATCH(ROWS($A$157:A176),$AF$157:$AF$306,0)),"")</f>
        <v/>
      </c>
      <c r="H176" s="72" t="str">
        <f>IFERROR(INDEX($X$157:$X$306,MATCH(ROWS($A$157:A176),$AF$157:$AF$306,0)),"")</f>
        <v>12, 13, 14, 17, 18, 19, 20, 21, 22, 23</v>
      </c>
      <c r="I176" s="72" t="str">
        <f>IFERROR(INDEX($Y$157:$Y$306,MATCH(ROWS($A$157:A176),$AF$157:$AF$306,0)),"")</f>
        <v/>
      </c>
      <c r="J176" s="72" t="str">
        <f>IFERROR(INDEX($Z$157:$Z$306,MATCH(ROWS($A$157:A176),$AF$157:$AF$306,0)),"")</f>
        <v/>
      </c>
      <c r="K176" s="72" t="str">
        <f>IFERROR(INDEX($AA$157:$AA$306,MATCH(ROWS($A$157:A176),$AF$157:$AF$306,0)),"")</f>
        <v/>
      </c>
      <c r="L176" s="72" t="str">
        <f>IFERROR(INDEX($AB$157:$AB$306,MATCH(ROWS($A$157:A176),$AF$157:$AF$306,0)),"")</f>
        <v/>
      </c>
      <c r="M176" s="72" t="str">
        <f>IFERROR(INDEX($AC$157:$AC$306,MATCH(ROWS($A$157:A176),$AF$157:$AF$306,0)),"")</f>
        <v/>
      </c>
      <c r="N176" s="35">
        <f>IFERROR(INDEX($AD$157:$AD$306,MATCH(ROWS($A$157:A176),$AF$157:$AF$306,0)),"")</f>
        <v>10</v>
      </c>
      <c r="Q176" t="str">
        <f>T(JAN!B25)</f>
        <v>RENATO GUEDES 381901</v>
      </c>
      <c r="R176" t="str">
        <f t="array" ref="R176">IF($Q176="","",_xlfn.TEXTJOIN(", ",TRUE,IF(JAN!$G25:$AK25="AT",JAN!$G$4:$AK$4,"")))</f>
        <v/>
      </c>
      <c r="S176" t="str">
        <f t="array" ref="S176">IF($Q176="","",_xlfn.TEXTJOIN(", ",TRUE,IF(FEV!$G25:$AK25="AT",FEV!$G$4:$AK$4,"")))</f>
        <v/>
      </c>
      <c r="T176" t="str">
        <f t="array" ref="T176">IF($Q176="","",_xlfn.TEXTJOIN(", ",TRUE,IF(MAR!$G25:$AK25="AT",MAR!$G$4:$AK$4,"")))</f>
        <v/>
      </c>
      <c r="U176" t="str">
        <f t="array" ref="U176">IF($Q176="","",_xlfn.TEXTJOIN(", ",TRUE,IF(ABR!$G25:$AK25="AT",ABR!$G$4:$AK$4,"")))</f>
        <v/>
      </c>
      <c r="V176" t="str">
        <f t="array" ref="V176">IF($Q176="","",_xlfn.TEXTJOIN(", ",TRUE,IF(MAI!$G25:$AK25="AT",MAI!$G$4:$AK$4,"")))</f>
        <v/>
      </c>
      <c r="W176" t="str">
        <f t="array" ref="W176">IF($Q176="","",_xlfn.TEXTJOIN(", ",TRUE,IF(JUN!$G25:$AK25="AT",JUN!$G$4:$AK$4,"")))</f>
        <v/>
      </c>
      <c r="X176" t="str">
        <f t="array" ref="X176">IF($Q176="","",_xlfn.TEXTJOIN(", ",TRUE,IF(JUL!$G25:$AK25="AT",JUL!$G$4:$AK$4,"")))</f>
        <v/>
      </c>
      <c r="Y176" t="str">
        <f t="array" ref="Y176">IF($Q176="","",_xlfn.TEXTJOIN(", ",TRUE,IF(AGO!$G25:$AK25="AT",AGO!$G$4:$AK$4,"")))</f>
        <v/>
      </c>
      <c r="Z176" t="str">
        <f t="array" ref="Z176">IF($Q176="","",_xlfn.TEXTJOIN(", ",TRUE,IF(SET!$G25:$AK25="AT",SET!$G$4:$AK$4,"")))</f>
        <v/>
      </c>
      <c r="AA176" t="str">
        <f t="array" ref="AA176">IF($Q176="","",_xlfn.TEXTJOIN(", ",TRUE,IF(OUT!$G25:$AK25="AT",OUT!$G$4:$AK$4,"")))</f>
        <v/>
      </c>
      <c r="AB176" t="str">
        <f t="array" ref="AB176">IF($Q176="","",_xlfn.TEXTJOIN(", ",TRUE,IF(NOV!$G25:$AK25="AT",NOV!$G$4:$AK$4,"")))</f>
        <v/>
      </c>
      <c r="AC176" t="str">
        <f t="array" ref="AC176">IF($Q176="","",_xlfn.TEXTJOIN(", ",TRUE,IF(DEZ!$G25:$AK25="AT",DEZ!$G$4:$AK$4,"")))</f>
        <v/>
      </c>
      <c r="AD176">
        <f>IF($Q176="","",COUNTIF(JAN!$G25:$AK25,"AT")+COUNTIF(FEV!$G25:$AK25,"AT")+COUNTIF(MAR!$G25:$AK25,"AT")+COUNTIF(ABR!$G25:$AK25,"AT")+COUNTIF(MAI!$G25:$AK25,"AT")+COUNTIF(JUN!$G25:$AK25,"AT")+COUNTIF(JUL!$G25:$AK25,"AT")+COUNTIF(AGO!$G25:$AK25,"AT")+COUNTIF(SET!$G25:$AK25,"AT")+COUNTIF(OUT!$G25:$AK25,"AT")+COUNTIF(NOV!$G25:$AK25,"AT")+COUNTIF(DEZ!$G25:$AK25,"AT"))</f>
        <v>0</v>
      </c>
      <c r="AF176" t="str">
        <f>IF(AND($Q176&lt;&gt;"",N($AD176)&gt;0),COUNT($AF$156:AF175)+1,"")</f>
        <v/>
      </c>
    </row>
    <row r="177" spans="1:32" ht="20.100000000000001" customHeight="1" x14ac:dyDescent="0.25">
      <c r="A177" s="71" t="str">
        <f>IFERROR(INDEX($Q$157:$Q$306,MATCH(ROWS($A$157:A177),$AF$157:$AF$306,0)),"")</f>
        <v>RODRIGO FREITAS 283001</v>
      </c>
      <c r="B177" s="72" t="str">
        <f>IFERROR(INDEX($R$157:$R$306,MATCH(ROWS($A$157:A177),$AF$157:$AF$306,0)),"")</f>
        <v/>
      </c>
      <c r="C177" s="72" t="str">
        <f>IFERROR(INDEX($S$157:$S$306,MATCH(ROWS($A$157:A177),$AF$157:$AF$306,0)),"")</f>
        <v/>
      </c>
      <c r="D177" s="72" t="str">
        <f>IFERROR(INDEX($T$157:$T$306,MATCH(ROWS($A$157:A177),$AF$157:$AF$306,0)),"")</f>
        <v/>
      </c>
      <c r="E177" s="72" t="str">
        <f>IFERROR(INDEX($U$157:$U$306,MATCH(ROWS($A$157:A177),$AF$157:$AF$306,0)),"")</f>
        <v/>
      </c>
      <c r="F177" s="72" t="str">
        <f>IFERROR(INDEX($V$157:$V$306,MATCH(ROWS($A$157:A177),$AF$157:$AF$306,0)),"")</f>
        <v/>
      </c>
      <c r="G177" s="72" t="str">
        <f>IFERROR(INDEX($W$157:$W$306,MATCH(ROWS($A$157:A177),$AF$157:$AF$306,0)),"")</f>
        <v/>
      </c>
      <c r="H177" s="72" t="str">
        <f>IFERROR(INDEX($X$157:$X$306,MATCH(ROWS($A$157:A177),$AF$157:$AF$306,0)),"")</f>
        <v/>
      </c>
      <c r="I177" s="72" t="str">
        <f>IFERROR(INDEX($Y$157:$Y$306,MATCH(ROWS($A$157:A177),$AF$157:$AF$306,0)),"")</f>
        <v/>
      </c>
      <c r="J177" s="72" t="str">
        <f>IFERROR(INDEX($Z$157:$Z$306,MATCH(ROWS($A$157:A177),$AF$157:$AF$306,0)),"")</f>
        <v/>
      </c>
      <c r="K177" s="72" t="str">
        <f>IFERROR(INDEX($AA$157:$AA$306,MATCH(ROWS($A$157:A177),$AF$157:$AF$306,0)),"")</f>
        <v>3</v>
      </c>
      <c r="L177" s="72" t="str">
        <f>IFERROR(INDEX($AB$157:$AB$306,MATCH(ROWS($A$157:A177),$AF$157:$AF$306,0)),"")</f>
        <v/>
      </c>
      <c r="M177" s="72" t="str">
        <f>IFERROR(INDEX($AC$157:$AC$306,MATCH(ROWS($A$157:A177),$AF$157:$AF$306,0)),"")</f>
        <v/>
      </c>
      <c r="N177" s="35">
        <f>IFERROR(INDEX($AD$157:$AD$306,MATCH(ROWS($A$157:A177),$AF$157:$AF$306,0)),"")</f>
        <v>1</v>
      </c>
      <c r="Q177" t="str">
        <f>T(JAN!B26)</f>
        <v>EDUARDO SCHNEIDER 37002143</v>
      </c>
      <c r="R177" t="str">
        <f t="array" ref="R177">IF($Q177="","",_xlfn.TEXTJOIN(", ",TRUE,IF(JAN!$G26:$AK26="AT",JAN!$G$4:$AK$4,"")))</f>
        <v/>
      </c>
      <c r="S177" t="str">
        <f t="array" ref="S177">IF($Q177="","",_xlfn.TEXTJOIN(", ",TRUE,IF(FEV!$G26:$AK26="AT",FEV!$G$4:$AK$4,"")))</f>
        <v/>
      </c>
      <c r="T177" t="str">
        <f t="array" ref="T177">IF($Q177="","",_xlfn.TEXTJOIN(", ",TRUE,IF(MAR!$G26:$AK26="AT",MAR!$G$4:$AK$4,"")))</f>
        <v/>
      </c>
      <c r="U177" t="str">
        <f t="array" ref="U177">IF($Q177="","",_xlfn.TEXTJOIN(", ",TRUE,IF(ABR!$G26:$AK26="AT",ABR!$G$4:$AK$4,"")))</f>
        <v/>
      </c>
      <c r="V177" t="str">
        <f t="array" ref="V177">IF($Q177="","",_xlfn.TEXTJOIN(", ",TRUE,IF(MAI!$G26:$AK26="AT",MAI!$G$4:$AK$4,"")))</f>
        <v/>
      </c>
      <c r="W177" t="str">
        <f t="array" ref="W177">IF($Q177="","",_xlfn.TEXTJOIN(", ",TRUE,IF(JUN!$G26:$AK26="AT",JUN!$G$4:$AK$4,"")))</f>
        <v/>
      </c>
      <c r="X177" t="str">
        <f t="array" ref="X177">IF($Q177="","",_xlfn.TEXTJOIN(", ",TRUE,IF(JUL!$G26:$AK26="AT",JUL!$G$4:$AK$4,"")))</f>
        <v/>
      </c>
      <c r="Y177" t="str">
        <f t="array" ref="Y177">IF($Q177="","",_xlfn.TEXTJOIN(", ",TRUE,IF(AGO!$G26:$AK26="AT",AGO!$G$4:$AK$4,"")))</f>
        <v/>
      </c>
      <c r="Z177" t="str">
        <f t="array" ref="Z177">IF($Q177="","",_xlfn.TEXTJOIN(", ",TRUE,IF(SET!$G26:$AK26="AT",SET!$G$4:$AK$4,"")))</f>
        <v/>
      </c>
      <c r="AA177" t="str">
        <f t="array" ref="AA177">IF($Q177="","",_xlfn.TEXTJOIN(", ",TRUE,IF(OUT!$G26:$AK26="AT",OUT!$G$4:$AK$4,"")))</f>
        <v/>
      </c>
      <c r="AB177" t="str">
        <f t="array" ref="AB177">IF($Q177="","",_xlfn.TEXTJOIN(", ",TRUE,IF(NOV!$G26:$AK26="AT",NOV!$G$4:$AK$4,"")))</f>
        <v/>
      </c>
      <c r="AC177" t="str">
        <f t="array" ref="AC177">IF($Q177="","",_xlfn.TEXTJOIN(", ",TRUE,IF(DEZ!$G26:$AK26="AT",DEZ!$G$4:$AK$4,"")))</f>
        <v/>
      </c>
      <c r="AD177">
        <f>IF($Q177="","",COUNTIF(JAN!$G26:$AK26,"AT")+COUNTIF(FEV!$G26:$AK26,"AT")+COUNTIF(MAR!$G26:$AK26,"AT")+COUNTIF(ABR!$G26:$AK26,"AT")+COUNTIF(MAI!$G26:$AK26,"AT")+COUNTIF(JUN!$G26:$AK26,"AT")+COUNTIF(JUL!$G26:$AK26,"AT")+COUNTIF(AGO!$G26:$AK26,"AT")+COUNTIF(SET!$G26:$AK26,"AT")+COUNTIF(OUT!$G26:$AK26,"AT")+COUNTIF(NOV!$G26:$AK26,"AT")+COUNTIF(DEZ!$G26:$AK26,"AT"))</f>
        <v>0</v>
      </c>
      <c r="AF177" t="str">
        <f>IF(AND($Q177&lt;&gt;"",N($AD177)&gt;0),COUNT($AF$156:AF176)+1,"")</f>
        <v/>
      </c>
    </row>
    <row r="178" spans="1:32" ht="20.100000000000001" customHeight="1" x14ac:dyDescent="0.25">
      <c r="A178" s="71" t="str">
        <f>IFERROR(INDEX($Q$157:$Q$306,MATCH(ROWS($A$157:A178),$AF$157:$AF$306,0)),"")</f>
        <v>ANTONIO LUCIANO 454801</v>
      </c>
      <c r="B178" s="72" t="str">
        <f>IFERROR(INDEX($R$157:$R$306,MATCH(ROWS($A$157:A178),$AF$157:$AF$306,0)),"")</f>
        <v/>
      </c>
      <c r="C178" s="72" t="str">
        <f>IFERROR(INDEX($S$157:$S$306,MATCH(ROWS($A$157:A178),$AF$157:$AF$306,0)),"")</f>
        <v/>
      </c>
      <c r="D178" s="72" t="str">
        <f>IFERROR(INDEX($T$157:$T$306,MATCH(ROWS($A$157:A178),$AF$157:$AF$306,0)),"")</f>
        <v/>
      </c>
      <c r="E178" s="72" t="str">
        <f>IFERROR(INDEX($U$157:$U$306,MATCH(ROWS($A$157:A178),$AF$157:$AF$306,0)),"")</f>
        <v/>
      </c>
      <c r="F178" s="72" t="str">
        <f>IFERROR(INDEX($V$157:$V$306,MATCH(ROWS($A$157:A178),$AF$157:$AF$306,0)),"")</f>
        <v/>
      </c>
      <c r="G178" s="72" t="str">
        <f>IFERROR(INDEX($W$157:$W$306,MATCH(ROWS($A$157:A178),$AF$157:$AF$306,0)),"")</f>
        <v/>
      </c>
      <c r="H178" s="72" t="str">
        <f>IFERROR(INDEX($X$157:$X$306,MATCH(ROWS($A$157:A178),$AF$157:$AF$306,0)),"")</f>
        <v>30, 31</v>
      </c>
      <c r="I178" s="72" t="str">
        <f>IFERROR(INDEX($Y$157:$Y$306,MATCH(ROWS($A$157:A178),$AF$157:$AF$306,0)),"")</f>
        <v>1, 3</v>
      </c>
      <c r="J178" s="72" t="str">
        <f>IFERROR(INDEX($Z$157:$Z$306,MATCH(ROWS($A$157:A178),$AF$157:$AF$306,0)),"")</f>
        <v>12</v>
      </c>
      <c r="K178" s="72" t="str">
        <f>IFERROR(INDEX($AA$157:$AA$306,MATCH(ROWS($A$157:A178),$AF$157:$AF$306,0)),"")</f>
        <v/>
      </c>
      <c r="L178" s="72" t="str">
        <f>IFERROR(INDEX($AB$157:$AB$306,MATCH(ROWS($A$157:A178),$AF$157:$AF$306,0)),"")</f>
        <v/>
      </c>
      <c r="M178" s="72" t="str">
        <f>IFERROR(INDEX($AC$157:$AC$306,MATCH(ROWS($A$157:A178),$AF$157:$AF$306,0)),"")</f>
        <v/>
      </c>
      <c r="N178" s="35">
        <f>IFERROR(INDEX($AD$157:$AD$306,MATCH(ROWS($A$157:A178),$AF$157:$AF$306,0)),"")</f>
        <v>5</v>
      </c>
      <c r="Q178" t="str">
        <f>T(JAN!B27)</f>
        <v>VANDERLEI BUSSA 309601</v>
      </c>
      <c r="R178" t="str">
        <f t="array" ref="R178">IF($Q178="","",_xlfn.TEXTJOIN(", ",TRUE,IF(JAN!$G27:$AK27="AT",JAN!$G$4:$AK$4,"")))</f>
        <v/>
      </c>
      <c r="S178" t="str">
        <f t="array" ref="S178">IF($Q178="","",_xlfn.TEXTJOIN(", ",TRUE,IF(FEV!$G27:$AK27="AT",FEV!$G$4:$AK$4,"")))</f>
        <v/>
      </c>
      <c r="T178" t="str">
        <f t="array" ref="T178">IF($Q178="","",_xlfn.TEXTJOIN(", ",TRUE,IF(MAR!$G27:$AK27="AT",MAR!$G$4:$AK$4,"")))</f>
        <v/>
      </c>
      <c r="U178" t="str">
        <f t="array" ref="U178">IF($Q178="","",_xlfn.TEXTJOIN(", ",TRUE,IF(ABR!$G27:$AK27="AT",ABR!$G$4:$AK$4,"")))</f>
        <v/>
      </c>
      <c r="V178" t="str">
        <f t="array" ref="V178">IF($Q178="","",_xlfn.TEXTJOIN(", ",TRUE,IF(MAI!$G27:$AK27="AT",MAI!$G$4:$AK$4,"")))</f>
        <v/>
      </c>
      <c r="W178" t="str">
        <f t="array" ref="W178">IF($Q178="","",_xlfn.TEXTJOIN(", ",TRUE,IF(JUN!$G27:$AK27="AT",JUN!$G$4:$AK$4,"")))</f>
        <v/>
      </c>
      <c r="X178" t="str">
        <f t="array" ref="X178">IF($Q178="","",_xlfn.TEXTJOIN(", ",TRUE,IF(JUL!$G27:$AK27="AT",JUL!$G$4:$AK$4,"")))</f>
        <v/>
      </c>
      <c r="Y178" t="str">
        <f t="array" ref="Y178">IF($Q178="","",_xlfn.TEXTJOIN(", ",TRUE,IF(AGO!$G27:$AK27="AT",AGO!$G$4:$AK$4,"")))</f>
        <v/>
      </c>
      <c r="Z178" t="str">
        <f t="array" ref="Z178">IF($Q178="","",_xlfn.TEXTJOIN(", ",TRUE,IF(SET!$G27:$AK27="AT",SET!$G$4:$AK$4,"")))</f>
        <v/>
      </c>
      <c r="AA178" t="str">
        <f t="array" ref="AA178">IF($Q178="","",_xlfn.TEXTJOIN(", ",TRUE,IF(OUT!$G27:$AK27="AT",OUT!$G$4:$AK$4,"")))</f>
        <v/>
      </c>
      <c r="AB178" t="str">
        <f t="array" ref="AB178">IF($Q178="","",_xlfn.TEXTJOIN(", ",TRUE,IF(NOV!$G27:$AK27="AT",NOV!$G$4:$AK$4,"")))</f>
        <v/>
      </c>
      <c r="AC178" t="str">
        <f t="array" ref="AC178">IF($Q178="","",_xlfn.TEXTJOIN(", ",TRUE,IF(DEZ!$G27:$AK27="AT",DEZ!$G$4:$AK$4,"")))</f>
        <v/>
      </c>
      <c r="AD178">
        <f>IF($Q178="","",COUNTIF(JAN!$G27:$AK27,"AT")+COUNTIF(FEV!$G27:$AK27,"AT")+COUNTIF(MAR!$G27:$AK27,"AT")+COUNTIF(ABR!$G27:$AK27,"AT")+COUNTIF(MAI!$G27:$AK27,"AT")+COUNTIF(JUN!$G27:$AK27,"AT")+COUNTIF(JUL!$G27:$AK27,"AT")+COUNTIF(AGO!$G27:$AK27,"AT")+COUNTIF(SET!$G27:$AK27,"AT")+COUNTIF(OUT!$G27:$AK27,"AT")+COUNTIF(NOV!$G27:$AK27,"AT")+COUNTIF(DEZ!$G27:$AK27,"AT"))</f>
        <v>0</v>
      </c>
      <c r="AF178" t="str">
        <f>IF(AND($Q178&lt;&gt;"",N($AD178)&gt;0),COUNT($AF$156:AF177)+1,"")</f>
        <v/>
      </c>
    </row>
    <row r="179" spans="1:32" ht="20.100000000000001" customHeight="1" x14ac:dyDescent="0.25">
      <c r="A179" s="71" t="str">
        <f>IFERROR(INDEX($Q$157:$Q$306,MATCH(ROWS($A$157:A179),$AF$157:$AF$306,0)),"")</f>
        <v>JONATHAM CORREA 447001</v>
      </c>
      <c r="B179" s="72" t="str">
        <f>IFERROR(INDEX($R$157:$R$306,MATCH(ROWS($A$157:A179),$AF$157:$AF$306,0)),"")</f>
        <v/>
      </c>
      <c r="C179" s="72" t="str">
        <f>IFERROR(INDEX($S$157:$S$306,MATCH(ROWS($A$157:A179),$AF$157:$AF$306,0)),"")</f>
        <v/>
      </c>
      <c r="D179" s="72" t="str">
        <f>IFERROR(INDEX($T$157:$T$306,MATCH(ROWS($A$157:A179),$AF$157:$AF$306,0)),"")</f>
        <v/>
      </c>
      <c r="E179" s="72" t="str">
        <f>IFERROR(INDEX($U$157:$U$306,MATCH(ROWS($A$157:A179),$AF$157:$AF$306,0)),"")</f>
        <v/>
      </c>
      <c r="F179" s="72" t="str">
        <f>IFERROR(INDEX($V$157:$V$306,MATCH(ROWS($A$157:A179),$AF$157:$AF$306,0)),"")</f>
        <v/>
      </c>
      <c r="G179" s="72" t="str">
        <f>IFERROR(INDEX($W$157:$W$306,MATCH(ROWS($A$157:A179),$AF$157:$AF$306,0)),"")</f>
        <v/>
      </c>
      <c r="H179" s="72" t="str">
        <f>IFERROR(INDEX($X$157:$X$306,MATCH(ROWS($A$157:A179),$AF$157:$AF$306,0)),"")</f>
        <v/>
      </c>
      <c r="I179" s="72" t="str">
        <f>IFERROR(INDEX($Y$157:$Y$306,MATCH(ROWS($A$157:A179),$AF$157:$AF$306,0)),"")</f>
        <v>1, 22</v>
      </c>
      <c r="J179" s="72" t="str">
        <f>IFERROR(INDEX($Z$157:$Z$306,MATCH(ROWS($A$157:A179),$AF$157:$AF$306,0)),"")</f>
        <v/>
      </c>
      <c r="K179" s="72" t="str">
        <f>IFERROR(INDEX($AA$157:$AA$306,MATCH(ROWS($A$157:A179),$AF$157:$AF$306,0)),"")</f>
        <v/>
      </c>
      <c r="L179" s="72" t="str">
        <f>IFERROR(INDEX($AB$157:$AB$306,MATCH(ROWS($A$157:A179),$AF$157:$AF$306,0)),"")</f>
        <v/>
      </c>
      <c r="M179" s="72" t="str">
        <f>IFERROR(INDEX($AC$157:$AC$306,MATCH(ROWS($A$157:A179),$AF$157:$AF$306,0)),"")</f>
        <v/>
      </c>
      <c r="N179" s="35">
        <f>IFERROR(INDEX($AD$157:$AD$306,MATCH(ROWS($A$157:A179),$AF$157:$AF$306,0)),"")</f>
        <v>2</v>
      </c>
      <c r="Q179" t="str">
        <f>T(JAN!B28)</f>
        <v>DENIS GABRIEL 37002145</v>
      </c>
      <c r="R179" t="str">
        <f t="array" ref="R179">IF($Q179="","",_xlfn.TEXTJOIN(", ",TRUE,IF(JAN!$G28:$AK28="AT",JAN!$G$4:$AK$4,"")))</f>
        <v/>
      </c>
      <c r="S179" t="str">
        <f t="array" ref="S179">IF($Q179="","",_xlfn.TEXTJOIN(", ",TRUE,IF(FEV!$G28:$AK28="AT",FEV!$G$4:$AK$4,"")))</f>
        <v/>
      </c>
      <c r="T179" t="str">
        <f t="array" ref="T179">IF($Q179="","",_xlfn.TEXTJOIN(", ",TRUE,IF(MAR!$G28:$AK28="AT",MAR!$G$4:$AK$4,"")))</f>
        <v/>
      </c>
      <c r="U179" t="str">
        <f t="array" ref="U179">IF($Q179="","",_xlfn.TEXTJOIN(", ",TRUE,IF(ABR!$G28:$AK28="AT",ABR!$G$4:$AK$4,"")))</f>
        <v/>
      </c>
      <c r="V179" t="str">
        <f t="array" ref="V179">IF($Q179="","",_xlfn.TEXTJOIN(", ",TRUE,IF(MAI!$G28:$AK28="AT",MAI!$G$4:$AK$4,"")))</f>
        <v/>
      </c>
      <c r="W179" t="str">
        <f t="array" ref="W179">IF($Q179="","",_xlfn.TEXTJOIN(", ",TRUE,IF(JUN!$G28:$AK28="AT",JUN!$G$4:$AK$4,"")))</f>
        <v/>
      </c>
      <c r="X179" t="str">
        <f t="array" ref="X179">IF($Q179="","",_xlfn.TEXTJOIN(", ",TRUE,IF(JUL!$G28:$AK28="AT",JUL!$G$4:$AK$4,"")))</f>
        <v/>
      </c>
      <c r="Y179" t="str">
        <f t="array" ref="Y179">IF($Q179="","",_xlfn.TEXTJOIN(", ",TRUE,IF(AGO!$G28:$AK28="AT",AGO!$G$4:$AK$4,"")))</f>
        <v/>
      </c>
      <c r="Z179" t="str">
        <f t="array" ref="Z179">IF($Q179="","",_xlfn.TEXTJOIN(", ",TRUE,IF(SET!$G28:$AK28="AT",SET!$G$4:$AK$4,"")))</f>
        <v/>
      </c>
      <c r="AA179" t="str">
        <f t="array" ref="AA179">IF($Q179="","",_xlfn.TEXTJOIN(", ",TRUE,IF(OUT!$G28:$AK28="AT",OUT!$G$4:$AK$4,"")))</f>
        <v/>
      </c>
      <c r="AB179" t="str">
        <f t="array" ref="AB179">IF($Q179="","",_xlfn.TEXTJOIN(", ",TRUE,IF(NOV!$G28:$AK28="AT",NOV!$G$4:$AK$4,"")))</f>
        <v/>
      </c>
      <c r="AC179" t="str">
        <f t="array" ref="AC179">IF($Q179="","",_xlfn.TEXTJOIN(", ",TRUE,IF(DEZ!$G28:$AK28="AT",DEZ!$G$4:$AK$4,"")))</f>
        <v/>
      </c>
      <c r="AD179">
        <f>IF($Q179="","",COUNTIF(JAN!$G28:$AK28,"AT")+COUNTIF(FEV!$G28:$AK28,"AT")+COUNTIF(MAR!$G28:$AK28,"AT")+COUNTIF(ABR!$G28:$AK28,"AT")+COUNTIF(MAI!$G28:$AK28,"AT")+COUNTIF(JUN!$G28:$AK28,"AT")+COUNTIF(JUL!$G28:$AK28,"AT")+COUNTIF(AGO!$G28:$AK28,"AT")+COUNTIF(SET!$G28:$AK28,"AT")+COUNTIF(OUT!$G28:$AK28,"AT")+COUNTIF(NOV!$G28:$AK28,"AT")+COUNTIF(DEZ!$G28:$AK28,"AT"))</f>
        <v>0</v>
      </c>
      <c r="AF179" t="str">
        <f>IF(AND($Q179&lt;&gt;"",N($AD179)&gt;0),COUNT($AF$156:AF178)+1,"")</f>
        <v/>
      </c>
    </row>
    <row r="180" spans="1:32" ht="20.100000000000001" customHeight="1" x14ac:dyDescent="0.25">
      <c r="A180" s="71" t="str">
        <f>IFERROR(INDEX($Q$157:$Q$306,MATCH(ROWS($A$157:A180),$AF$157:$AF$306,0)),"")</f>
        <v>GUILHERME MELCHIOR 37002309</v>
      </c>
      <c r="B180" s="72" t="str">
        <f>IFERROR(INDEX($R$157:$R$306,MATCH(ROWS($A$157:A180),$AF$157:$AF$306,0)),"")</f>
        <v/>
      </c>
      <c r="C180" s="72" t="str">
        <f>IFERROR(INDEX($S$157:$S$306,MATCH(ROWS($A$157:A180),$AF$157:$AF$306,0)),"")</f>
        <v/>
      </c>
      <c r="D180" s="72" t="str">
        <f>IFERROR(INDEX($T$157:$T$306,MATCH(ROWS($A$157:A180),$AF$157:$AF$306,0)),"")</f>
        <v/>
      </c>
      <c r="E180" s="72" t="str">
        <f>IFERROR(INDEX($U$157:$U$306,MATCH(ROWS($A$157:A180),$AF$157:$AF$306,0)),"")</f>
        <v/>
      </c>
      <c r="F180" s="72" t="str">
        <f>IFERROR(INDEX($V$157:$V$306,MATCH(ROWS($A$157:A180),$AF$157:$AF$306,0)),"")</f>
        <v/>
      </c>
      <c r="G180" s="72" t="str">
        <f>IFERROR(INDEX($W$157:$W$306,MATCH(ROWS($A$157:A180),$AF$157:$AF$306,0)),"")</f>
        <v/>
      </c>
      <c r="H180" s="72" t="str">
        <f>IFERROR(INDEX($X$157:$X$306,MATCH(ROWS($A$157:A180),$AF$157:$AF$306,0)),"")</f>
        <v/>
      </c>
      <c r="I180" s="72" t="str">
        <f>IFERROR(INDEX($Y$157:$Y$306,MATCH(ROWS($A$157:A180),$AF$157:$AF$306,0)),"")</f>
        <v/>
      </c>
      <c r="J180" s="72" t="str">
        <f>IFERROR(INDEX($Z$157:$Z$306,MATCH(ROWS($A$157:A180),$AF$157:$AF$306,0)),"")</f>
        <v>10, 11</v>
      </c>
      <c r="K180" s="72" t="str">
        <f>IFERROR(INDEX($AA$157:$AA$306,MATCH(ROWS($A$157:A180),$AF$157:$AF$306,0)),"")</f>
        <v/>
      </c>
      <c r="L180" s="72" t="str">
        <f>IFERROR(INDEX($AB$157:$AB$306,MATCH(ROWS($A$157:A180),$AF$157:$AF$306,0)),"")</f>
        <v/>
      </c>
      <c r="M180" s="72" t="str">
        <f>IFERROR(INDEX($AC$157:$AC$306,MATCH(ROWS($A$157:A180),$AF$157:$AF$306,0)),"")</f>
        <v/>
      </c>
      <c r="N180" s="35">
        <f>IFERROR(INDEX($AD$157:$AD$306,MATCH(ROWS($A$157:A180),$AF$157:$AF$306,0)),"")</f>
        <v>2</v>
      </c>
      <c r="Q180" t="str">
        <f>T(JAN!B29)</f>
        <v>DIEGO DIETRICH 352801</v>
      </c>
      <c r="R180" t="str">
        <f t="array" ref="R180">IF($Q180="","",_xlfn.TEXTJOIN(", ",TRUE,IF(JAN!$G29:$AK29="AT",JAN!$G$4:$AK$4,"")))</f>
        <v/>
      </c>
      <c r="S180" t="str">
        <f t="array" ref="S180">IF($Q180="","",_xlfn.TEXTJOIN(", ",TRUE,IF(FEV!$G29:$AK29="AT",FEV!$G$4:$AK$4,"")))</f>
        <v/>
      </c>
      <c r="T180" t="str">
        <f t="array" ref="T180">IF($Q180="","",_xlfn.TEXTJOIN(", ",TRUE,IF(MAR!$G29:$AK29="AT",MAR!$G$4:$AK$4,"")))</f>
        <v/>
      </c>
      <c r="U180" t="str">
        <f t="array" ref="U180">IF($Q180="","",_xlfn.TEXTJOIN(", ",TRUE,IF(ABR!$G29:$AK29="AT",ABR!$G$4:$AK$4,"")))</f>
        <v/>
      </c>
      <c r="V180" t="str">
        <f t="array" ref="V180">IF($Q180="","",_xlfn.TEXTJOIN(", ",TRUE,IF(MAI!$G29:$AK29="AT",MAI!$G$4:$AK$4,"")))</f>
        <v/>
      </c>
      <c r="W180" t="str">
        <f t="array" ref="W180">IF($Q180="","",_xlfn.TEXTJOIN(", ",TRUE,IF(JUN!$G29:$AK29="AT",JUN!$G$4:$AK$4,"")))</f>
        <v/>
      </c>
      <c r="X180" t="str">
        <f t="array" ref="X180">IF($Q180="","",_xlfn.TEXTJOIN(", ",TRUE,IF(JUL!$G29:$AK29="AT",JUL!$G$4:$AK$4,"")))</f>
        <v/>
      </c>
      <c r="Y180" t="str">
        <f t="array" ref="Y180">IF($Q180="","",_xlfn.TEXTJOIN(", ",TRUE,IF(AGO!$G29:$AK29="AT",AGO!$G$4:$AK$4,"")))</f>
        <v/>
      </c>
      <c r="Z180" t="str">
        <f t="array" ref="Z180">IF($Q180="","",_xlfn.TEXTJOIN(", ",TRUE,IF(SET!$G29:$AK29="AT",SET!$G$4:$AK$4,"")))</f>
        <v/>
      </c>
      <c r="AA180" t="str">
        <f t="array" ref="AA180">IF($Q180="","",_xlfn.TEXTJOIN(", ",TRUE,IF(OUT!$G29:$AK29="AT",OUT!$G$4:$AK$4,"")))</f>
        <v/>
      </c>
      <c r="AB180" t="str">
        <f t="array" ref="AB180">IF($Q180="","",_xlfn.TEXTJOIN(", ",TRUE,IF(NOV!$G29:$AK29="AT",NOV!$G$4:$AK$4,"")))</f>
        <v/>
      </c>
      <c r="AC180" t="str">
        <f t="array" ref="AC180">IF($Q180="","",_xlfn.TEXTJOIN(", ",TRUE,IF(DEZ!$G29:$AK29="AT",DEZ!$G$4:$AK$4,"")))</f>
        <v/>
      </c>
      <c r="AD180">
        <f>IF($Q180="","",COUNTIF(JAN!$G29:$AK29,"AT")+COUNTIF(FEV!$G29:$AK29,"AT")+COUNTIF(MAR!$G29:$AK29,"AT")+COUNTIF(ABR!$G29:$AK29,"AT")+COUNTIF(MAI!$G29:$AK29,"AT")+COUNTIF(JUN!$G29:$AK29,"AT")+COUNTIF(JUL!$G29:$AK29,"AT")+COUNTIF(AGO!$G29:$AK29,"AT")+COUNTIF(SET!$G29:$AK29,"AT")+COUNTIF(OUT!$G29:$AK29,"AT")+COUNTIF(NOV!$G29:$AK29,"AT")+COUNTIF(DEZ!$G29:$AK29,"AT"))</f>
        <v>0</v>
      </c>
      <c r="AF180" t="str">
        <f>IF(AND($Q180&lt;&gt;"",N($AD180)&gt;0),COUNT($AF$156:AF179)+1,"")</f>
        <v/>
      </c>
    </row>
    <row r="181" spans="1:32" ht="20.100000000000001" customHeight="1" x14ac:dyDescent="0.25">
      <c r="A181" s="71" t="str">
        <f>IFERROR(INDEX($Q$157:$Q$306,MATCH(ROWS($A$157:A181),$AF$157:$AF$306,0)),"")</f>
        <v/>
      </c>
      <c r="B181" s="72" t="str">
        <f>IFERROR(INDEX($R$157:$R$306,MATCH(ROWS($A$157:A181),$AF$157:$AF$306,0)),"")</f>
        <v/>
      </c>
      <c r="C181" s="72" t="str">
        <f>IFERROR(INDEX($S$157:$S$306,MATCH(ROWS($A$157:A181),$AF$157:$AF$306,0)),"")</f>
        <v/>
      </c>
      <c r="D181" s="72" t="str">
        <f>IFERROR(INDEX($T$157:$T$306,MATCH(ROWS($A$157:A181),$AF$157:$AF$306,0)),"")</f>
        <v/>
      </c>
      <c r="E181" s="72" t="str">
        <f>IFERROR(INDEX($U$157:$U$306,MATCH(ROWS($A$157:A181),$AF$157:$AF$306,0)),"")</f>
        <v/>
      </c>
      <c r="F181" s="72" t="str">
        <f>IFERROR(INDEX($V$157:$V$306,MATCH(ROWS($A$157:A181),$AF$157:$AF$306,0)),"")</f>
        <v/>
      </c>
      <c r="G181" s="72" t="str">
        <f>IFERROR(INDEX($W$157:$W$306,MATCH(ROWS($A$157:A181),$AF$157:$AF$306,0)),"")</f>
        <v/>
      </c>
      <c r="H181" s="72" t="str">
        <f>IFERROR(INDEX($X$157:$X$306,MATCH(ROWS($A$157:A181),$AF$157:$AF$306,0)),"")</f>
        <v/>
      </c>
      <c r="I181" s="72" t="str">
        <f>IFERROR(INDEX($Y$157:$Y$306,MATCH(ROWS($A$157:A181),$AF$157:$AF$306,0)),"")</f>
        <v/>
      </c>
      <c r="J181" s="72" t="str">
        <f>IFERROR(INDEX($Z$157:$Z$306,MATCH(ROWS($A$157:A181),$AF$157:$AF$306,0)),"")</f>
        <v/>
      </c>
      <c r="K181" s="72" t="str">
        <f>IFERROR(INDEX($AA$157:$AA$306,MATCH(ROWS($A$157:A181),$AF$157:$AF$306,0)),"")</f>
        <v/>
      </c>
      <c r="L181" s="72" t="str">
        <f>IFERROR(INDEX($AB$157:$AB$306,MATCH(ROWS($A$157:A181),$AF$157:$AF$306,0)),"")</f>
        <v/>
      </c>
      <c r="M181" s="72" t="str">
        <f>IFERROR(INDEX($AC$157:$AC$306,MATCH(ROWS($A$157:A181),$AF$157:$AF$306,0)),"")</f>
        <v/>
      </c>
      <c r="N181" s="35" t="str">
        <f>IFERROR(INDEX($AD$157:$AD$306,MATCH(ROWS($A$157:A181),$AF$157:$AF$306,0)),"")</f>
        <v/>
      </c>
      <c r="Q181" t="str">
        <f>T(JAN!B30)</f>
        <v>MARCELOS DORNELLES 37002274</v>
      </c>
      <c r="R181" t="str">
        <f t="array" ref="R181">IF($Q181="","",_xlfn.TEXTJOIN(", ",TRUE,IF(JAN!$G30:$AK30="AT",JAN!$G$4:$AK$4,"")))</f>
        <v/>
      </c>
      <c r="S181" t="str">
        <f t="array" ref="S181">IF($Q181="","",_xlfn.TEXTJOIN(", ",TRUE,IF(FEV!$G30:$AK30="AT",FEV!$G$4:$AK$4,"")))</f>
        <v/>
      </c>
      <c r="T181" t="str">
        <f t="array" ref="T181">IF($Q181="","",_xlfn.TEXTJOIN(", ",TRUE,IF(MAR!$G30:$AK30="AT",MAR!$G$4:$AK$4,"")))</f>
        <v/>
      </c>
      <c r="U181" t="str">
        <f t="array" ref="U181">IF($Q181="","",_xlfn.TEXTJOIN(", ",TRUE,IF(ABR!$G30:$AK30="AT",ABR!$G$4:$AK$4,"")))</f>
        <v/>
      </c>
      <c r="V181" t="str">
        <f t="array" ref="V181">IF($Q181="","",_xlfn.TEXTJOIN(", ",TRUE,IF(MAI!$G30:$AK30="AT",MAI!$G$4:$AK$4,"")))</f>
        <v/>
      </c>
      <c r="W181" t="str">
        <f t="array" ref="W181">IF($Q181="","",_xlfn.TEXTJOIN(", ",TRUE,IF(JUN!$G30:$AK30="AT",JUN!$G$4:$AK$4,"")))</f>
        <v/>
      </c>
      <c r="X181" t="str">
        <f t="array" ref="X181">IF($Q181="","",_xlfn.TEXTJOIN(", ",TRUE,IF(JUL!$G30:$AK30="AT",JUL!$G$4:$AK$4,"")))</f>
        <v/>
      </c>
      <c r="Y181" t="str">
        <f t="array" ref="Y181">IF($Q181="","",_xlfn.TEXTJOIN(", ",TRUE,IF(AGO!$G30:$AK30="AT",AGO!$G$4:$AK$4,"")))</f>
        <v/>
      </c>
      <c r="Z181" t="str">
        <f t="array" ref="Z181">IF($Q181="","",_xlfn.TEXTJOIN(", ",TRUE,IF(SET!$G30:$AK30="AT",SET!$G$4:$AK$4,"")))</f>
        <v/>
      </c>
      <c r="AA181" t="str">
        <f t="array" ref="AA181">IF($Q181="","",_xlfn.TEXTJOIN(", ",TRUE,IF(OUT!$G30:$AK30="AT",OUT!$G$4:$AK$4,"")))</f>
        <v/>
      </c>
      <c r="AB181" t="str">
        <f t="array" ref="AB181">IF($Q181="","",_xlfn.TEXTJOIN(", ",TRUE,IF(NOV!$G30:$AK30="AT",NOV!$G$4:$AK$4,"")))</f>
        <v/>
      </c>
      <c r="AC181" t="str">
        <f t="array" ref="AC181">IF($Q181="","",_xlfn.TEXTJOIN(", ",TRUE,IF(DEZ!$G30:$AK30="AT",DEZ!$G$4:$AK$4,"")))</f>
        <v/>
      </c>
      <c r="AD181">
        <f>IF($Q181="","",COUNTIF(JAN!$G30:$AK30,"AT")+COUNTIF(FEV!$G30:$AK30,"AT")+COUNTIF(MAR!$G30:$AK30,"AT")+COUNTIF(ABR!$G30:$AK30,"AT")+COUNTIF(MAI!$G30:$AK30,"AT")+COUNTIF(JUN!$G30:$AK30,"AT")+COUNTIF(JUL!$G30:$AK30,"AT")+COUNTIF(AGO!$G30:$AK30,"AT")+COUNTIF(SET!$G30:$AK30,"AT")+COUNTIF(OUT!$G30:$AK30,"AT")+COUNTIF(NOV!$G30:$AK30,"AT")+COUNTIF(DEZ!$G30:$AK30,"AT"))</f>
        <v>0</v>
      </c>
      <c r="AF181" t="str">
        <f>IF(AND($Q181&lt;&gt;"",N($AD181)&gt;0),COUNT($AF$156:AF180)+1,"")</f>
        <v/>
      </c>
    </row>
    <row r="182" spans="1:32" ht="20.100000000000001" customHeight="1" x14ac:dyDescent="0.25">
      <c r="A182" s="71" t="str">
        <f>IFERROR(INDEX($Q$157:$Q$306,MATCH(ROWS($A$157:A182),$AF$157:$AF$306,0)),"")</f>
        <v/>
      </c>
      <c r="B182" s="72" t="str">
        <f>IFERROR(INDEX($R$157:$R$306,MATCH(ROWS($A$157:A182),$AF$157:$AF$306,0)),"")</f>
        <v/>
      </c>
      <c r="C182" s="72" t="str">
        <f>IFERROR(INDEX($S$157:$S$306,MATCH(ROWS($A$157:A182),$AF$157:$AF$306,0)),"")</f>
        <v/>
      </c>
      <c r="D182" s="72" t="str">
        <f>IFERROR(INDEX($T$157:$T$306,MATCH(ROWS($A$157:A182),$AF$157:$AF$306,0)),"")</f>
        <v/>
      </c>
      <c r="E182" s="72" t="str">
        <f>IFERROR(INDEX($U$157:$U$306,MATCH(ROWS($A$157:A182),$AF$157:$AF$306,0)),"")</f>
        <v/>
      </c>
      <c r="F182" s="72" t="str">
        <f>IFERROR(INDEX($V$157:$V$306,MATCH(ROWS($A$157:A182),$AF$157:$AF$306,0)),"")</f>
        <v/>
      </c>
      <c r="G182" s="72" t="str">
        <f>IFERROR(INDEX($W$157:$W$306,MATCH(ROWS($A$157:A182),$AF$157:$AF$306,0)),"")</f>
        <v/>
      </c>
      <c r="H182" s="72" t="str">
        <f>IFERROR(INDEX($X$157:$X$306,MATCH(ROWS($A$157:A182),$AF$157:$AF$306,0)),"")</f>
        <v/>
      </c>
      <c r="I182" s="72" t="str">
        <f>IFERROR(INDEX($Y$157:$Y$306,MATCH(ROWS($A$157:A182),$AF$157:$AF$306,0)),"")</f>
        <v/>
      </c>
      <c r="J182" s="72" t="str">
        <f>IFERROR(INDEX($Z$157:$Z$306,MATCH(ROWS($A$157:A182),$AF$157:$AF$306,0)),"")</f>
        <v/>
      </c>
      <c r="K182" s="72" t="str">
        <f>IFERROR(INDEX($AA$157:$AA$306,MATCH(ROWS($A$157:A182),$AF$157:$AF$306,0)),"")</f>
        <v/>
      </c>
      <c r="L182" s="72" t="str">
        <f>IFERROR(INDEX($AB$157:$AB$306,MATCH(ROWS($A$157:A182),$AF$157:$AF$306,0)),"")</f>
        <v/>
      </c>
      <c r="M182" s="72" t="str">
        <f>IFERROR(INDEX($AC$157:$AC$306,MATCH(ROWS($A$157:A182),$AF$157:$AF$306,0)),"")</f>
        <v/>
      </c>
      <c r="N182" s="35" t="str">
        <f>IFERROR(INDEX($AD$157:$AD$306,MATCH(ROWS($A$157:A182),$AF$157:$AF$306,0)),"")</f>
        <v/>
      </c>
      <c r="Q182" t="str">
        <f>T(JAN!B31)</f>
        <v>ALEXANDRE NUNES 461301</v>
      </c>
      <c r="R182" t="str">
        <f t="array" ref="R182">IF($Q182="","",_xlfn.TEXTJOIN(", ",TRUE,IF(JAN!$G31:$AK31="AT",JAN!$G$4:$AK$4,"")))</f>
        <v/>
      </c>
      <c r="S182" t="str">
        <f t="array" ref="S182">IF($Q182="","",_xlfn.TEXTJOIN(", ",TRUE,IF(FEV!$G31:$AK31="AT",FEV!$G$4:$AK$4,"")))</f>
        <v/>
      </c>
      <c r="T182" t="str">
        <f t="array" ref="T182">IF($Q182="","",_xlfn.TEXTJOIN(", ",TRUE,IF(MAR!$G31:$AK31="AT",MAR!$G$4:$AK$4,"")))</f>
        <v/>
      </c>
      <c r="U182" t="str">
        <f t="array" ref="U182">IF($Q182="","",_xlfn.TEXTJOIN(", ",TRUE,IF(ABR!$G31:$AK31="AT",ABR!$G$4:$AK$4,"")))</f>
        <v/>
      </c>
      <c r="V182" t="str">
        <f t="array" ref="V182">IF($Q182="","",_xlfn.TEXTJOIN(", ",TRUE,IF(MAI!$G31:$AK31="AT",MAI!$G$4:$AK$4,"")))</f>
        <v/>
      </c>
      <c r="W182" t="str">
        <f t="array" ref="W182">IF($Q182="","",_xlfn.TEXTJOIN(", ",TRUE,IF(JUN!$G31:$AK31="AT",JUN!$G$4:$AK$4,"")))</f>
        <v/>
      </c>
      <c r="X182" t="str">
        <f t="array" ref="X182">IF($Q182="","",_xlfn.TEXTJOIN(", ",TRUE,IF(JUL!$G31:$AK31="AT",JUL!$G$4:$AK$4,"")))</f>
        <v>30</v>
      </c>
      <c r="Y182" t="str">
        <f t="array" ref="Y182">IF($Q182="","",_xlfn.TEXTJOIN(", ",TRUE,IF(AGO!$G31:$AK31="AT",AGO!$G$4:$AK$4,"")))</f>
        <v/>
      </c>
      <c r="Z182" t="str">
        <f t="array" ref="Z182">IF($Q182="","",_xlfn.TEXTJOIN(", ",TRUE,IF(SET!$G31:$AK31="AT",SET!$G$4:$AK$4,"")))</f>
        <v/>
      </c>
      <c r="AA182" t="str">
        <f t="array" ref="AA182">IF($Q182="","",_xlfn.TEXTJOIN(", ",TRUE,IF(OUT!$G31:$AK31="AT",OUT!$G$4:$AK$4,"")))</f>
        <v/>
      </c>
      <c r="AB182" t="str">
        <f t="array" ref="AB182">IF($Q182="","",_xlfn.TEXTJOIN(", ",TRUE,IF(NOV!$G31:$AK31="AT",NOV!$G$4:$AK$4,"")))</f>
        <v/>
      </c>
      <c r="AC182" t="str">
        <f t="array" ref="AC182">IF($Q182="","",_xlfn.TEXTJOIN(", ",TRUE,IF(DEZ!$G31:$AK31="AT",DEZ!$G$4:$AK$4,"")))</f>
        <v/>
      </c>
      <c r="AD182">
        <f>IF($Q182="","",COUNTIF(JAN!$G31:$AK31,"AT")+COUNTIF(FEV!$G31:$AK31,"AT")+COUNTIF(MAR!$G31:$AK31,"AT")+COUNTIF(ABR!$G31:$AK31,"AT")+COUNTIF(MAI!$G31:$AK31,"AT")+COUNTIF(JUN!$G31:$AK31,"AT")+COUNTIF(JUL!$G31:$AK31,"AT")+COUNTIF(AGO!$G31:$AK31,"AT")+COUNTIF(SET!$G31:$AK31,"AT")+COUNTIF(OUT!$G31:$AK31,"AT")+COUNTIF(NOV!$G31:$AK31,"AT")+COUNTIF(DEZ!$G31:$AK31,"AT"))</f>
        <v>1</v>
      </c>
      <c r="AF182">
        <f>IF(AND($Q182&lt;&gt;"",N($AD182)&gt;0),COUNT($AF$156:AF181)+1,"")</f>
        <v>10</v>
      </c>
    </row>
    <row r="183" spans="1:32" ht="20.100000000000001" customHeight="1" x14ac:dyDescent="0.25">
      <c r="A183" s="71" t="str">
        <f>IFERROR(INDEX($Q$157:$Q$306,MATCH(ROWS($A$157:A183),$AF$157:$AF$306,0)),"")</f>
        <v/>
      </c>
      <c r="B183" s="72" t="str">
        <f>IFERROR(INDEX($R$157:$R$306,MATCH(ROWS($A$157:A183),$AF$157:$AF$306,0)),"")</f>
        <v/>
      </c>
      <c r="C183" s="72" t="str">
        <f>IFERROR(INDEX($S$157:$S$306,MATCH(ROWS($A$157:A183),$AF$157:$AF$306,0)),"")</f>
        <v/>
      </c>
      <c r="D183" s="72" t="str">
        <f>IFERROR(INDEX($T$157:$T$306,MATCH(ROWS($A$157:A183),$AF$157:$AF$306,0)),"")</f>
        <v/>
      </c>
      <c r="E183" s="72" t="str">
        <f>IFERROR(INDEX($U$157:$U$306,MATCH(ROWS($A$157:A183),$AF$157:$AF$306,0)),"")</f>
        <v/>
      </c>
      <c r="F183" s="72" t="str">
        <f>IFERROR(INDEX($V$157:$V$306,MATCH(ROWS($A$157:A183),$AF$157:$AF$306,0)),"")</f>
        <v/>
      </c>
      <c r="G183" s="72" t="str">
        <f>IFERROR(INDEX($W$157:$W$306,MATCH(ROWS($A$157:A183),$AF$157:$AF$306,0)),"")</f>
        <v/>
      </c>
      <c r="H183" s="72" t="str">
        <f>IFERROR(INDEX($X$157:$X$306,MATCH(ROWS($A$157:A183),$AF$157:$AF$306,0)),"")</f>
        <v/>
      </c>
      <c r="I183" s="72" t="str">
        <f>IFERROR(INDEX($Y$157:$Y$306,MATCH(ROWS($A$157:A183),$AF$157:$AF$306,0)),"")</f>
        <v/>
      </c>
      <c r="J183" s="72" t="str">
        <f>IFERROR(INDEX($Z$157:$Z$306,MATCH(ROWS($A$157:A183),$AF$157:$AF$306,0)),"")</f>
        <v/>
      </c>
      <c r="K183" s="72" t="str">
        <f>IFERROR(INDEX($AA$157:$AA$306,MATCH(ROWS($A$157:A183),$AF$157:$AF$306,0)),"")</f>
        <v/>
      </c>
      <c r="L183" s="72" t="str">
        <f>IFERROR(INDEX($AB$157:$AB$306,MATCH(ROWS($A$157:A183),$AF$157:$AF$306,0)),"")</f>
        <v/>
      </c>
      <c r="M183" s="72" t="str">
        <f>IFERROR(INDEX($AC$157:$AC$306,MATCH(ROWS($A$157:A183),$AF$157:$AF$306,0)),"")</f>
        <v/>
      </c>
      <c r="N183" s="35" t="str">
        <f>IFERROR(INDEX($AD$157:$AD$306,MATCH(ROWS($A$157:A183),$AF$157:$AF$306,0)),"")</f>
        <v/>
      </c>
      <c r="Q183" t="str">
        <f>T(JAN!B32)</f>
        <v>DIGO GRAZCKI 37002136</v>
      </c>
      <c r="R183" t="str">
        <f t="array" ref="R183">IF($Q183="","",_xlfn.TEXTJOIN(", ",TRUE,IF(JAN!$G32:$AK32="AT",JAN!$G$4:$AK$4,"")))</f>
        <v/>
      </c>
      <c r="S183" t="str">
        <f t="array" ref="S183">IF($Q183="","",_xlfn.TEXTJOIN(", ",TRUE,IF(FEV!$G32:$AK32="AT",FEV!$G$4:$AK$4,"")))</f>
        <v/>
      </c>
      <c r="T183" t="str">
        <f t="array" ref="T183">IF($Q183="","",_xlfn.TEXTJOIN(", ",TRUE,IF(MAR!$G32:$AK32="AT",MAR!$G$4:$AK$4,"")))</f>
        <v/>
      </c>
      <c r="U183" t="str">
        <f t="array" ref="U183">IF($Q183="","",_xlfn.TEXTJOIN(", ",TRUE,IF(ABR!$G32:$AK32="AT",ABR!$G$4:$AK$4,"")))</f>
        <v/>
      </c>
      <c r="V183" t="str">
        <f t="array" ref="V183">IF($Q183="","",_xlfn.TEXTJOIN(", ",TRUE,IF(MAI!$G32:$AK32="AT",MAI!$G$4:$AK$4,"")))</f>
        <v/>
      </c>
      <c r="W183" t="str">
        <f t="array" ref="W183">IF($Q183="","",_xlfn.TEXTJOIN(", ",TRUE,IF(JUN!$G32:$AK32="AT",JUN!$G$4:$AK$4,"")))</f>
        <v/>
      </c>
      <c r="X183" t="str">
        <f t="array" ref="X183">IF($Q183="","",_xlfn.TEXTJOIN(", ",TRUE,IF(JUL!$G32:$AK32="AT",JUL!$G$4:$AK$4,"")))</f>
        <v/>
      </c>
      <c r="Y183" t="str">
        <f t="array" ref="Y183">IF($Q183="","",_xlfn.TEXTJOIN(", ",TRUE,IF(AGO!$G32:$AK32="AT",AGO!$G$4:$AK$4,"")))</f>
        <v>22</v>
      </c>
      <c r="Z183" t="str">
        <f t="array" ref="Z183">IF($Q183="","",_xlfn.TEXTJOIN(", ",TRUE,IF(SET!$G32:$AK32="AT",SET!$G$4:$AK$4,"")))</f>
        <v/>
      </c>
      <c r="AA183" t="str">
        <f t="array" ref="AA183">IF($Q183="","",_xlfn.TEXTJOIN(", ",TRUE,IF(OUT!$G32:$AK32="AT",OUT!$G$4:$AK$4,"")))</f>
        <v/>
      </c>
      <c r="AB183" t="str">
        <f t="array" ref="AB183">IF($Q183="","",_xlfn.TEXTJOIN(", ",TRUE,IF(NOV!$G32:$AK32="AT",NOV!$G$4:$AK$4,"")))</f>
        <v/>
      </c>
      <c r="AC183" t="str">
        <f t="array" ref="AC183">IF($Q183="","",_xlfn.TEXTJOIN(", ",TRUE,IF(DEZ!$G32:$AK32="AT",DEZ!$G$4:$AK$4,"")))</f>
        <v/>
      </c>
      <c r="AD183">
        <f>IF($Q183="","",COUNTIF(JAN!$G32:$AK32,"AT")+COUNTIF(FEV!$G32:$AK32,"AT")+COUNTIF(MAR!$G32:$AK32,"AT")+COUNTIF(ABR!$G32:$AK32,"AT")+COUNTIF(MAI!$G32:$AK32,"AT")+COUNTIF(JUN!$G32:$AK32,"AT")+COUNTIF(JUL!$G32:$AK32,"AT")+COUNTIF(AGO!$G32:$AK32,"AT")+COUNTIF(SET!$G32:$AK32,"AT")+COUNTIF(OUT!$G32:$AK32,"AT")+COUNTIF(NOV!$G32:$AK32,"AT")+COUNTIF(DEZ!$G32:$AK32,"AT"))</f>
        <v>1</v>
      </c>
      <c r="AF183">
        <f>IF(AND($Q183&lt;&gt;"",N($AD183)&gt;0),COUNT($AF$156:AF182)+1,"")</f>
        <v>11</v>
      </c>
    </row>
    <row r="184" spans="1:32" ht="20.100000000000001" customHeight="1" x14ac:dyDescent="0.25">
      <c r="A184" s="36" t="str">
        <f>IFERROR(INDEX($Q$157:$Q$306,MATCH(ROWS($A$157:A184),$AF$157:$AF$306,0)),"")</f>
        <v/>
      </c>
      <c r="B184" s="72" t="str">
        <f>IFERROR(INDEX($R$157:$R$306,MATCH(ROWS($A$157:A184),$AF$157:$AF$306,0)),"")</f>
        <v/>
      </c>
      <c r="C184" s="72" t="str">
        <f>IFERROR(INDEX($S$157:$S$306,MATCH(ROWS($A$157:A184),$AF$157:$AF$306,0)),"")</f>
        <v/>
      </c>
      <c r="D184" s="72" t="str">
        <f>IFERROR(INDEX($T$157:$T$306,MATCH(ROWS($A$157:A184),$AF$157:$AF$306,0)),"")</f>
        <v/>
      </c>
      <c r="E184" s="72" t="str">
        <f>IFERROR(INDEX($U$157:$U$306,MATCH(ROWS($A$157:A184),$AF$157:$AF$306,0)),"")</f>
        <v/>
      </c>
      <c r="F184" s="72" t="str">
        <f>IFERROR(INDEX($V$157:$V$306,MATCH(ROWS($A$157:A184),$AF$157:$AF$306,0)),"")</f>
        <v/>
      </c>
      <c r="G184" s="72" t="str">
        <f>IFERROR(INDEX($W$157:$W$306,MATCH(ROWS($A$157:A184),$AF$157:$AF$306,0)),"")</f>
        <v/>
      </c>
      <c r="H184" s="72" t="str">
        <f>IFERROR(INDEX($X$157:$X$306,MATCH(ROWS($A$157:A184),$AF$157:$AF$306,0)),"")</f>
        <v/>
      </c>
      <c r="I184" s="72" t="str">
        <f>IFERROR(INDEX($Y$157:$Y$306,MATCH(ROWS($A$157:A184),$AF$157:$AF$306,0)),"")</f>
        <v/>
      </c>
      <c r="J184" s="72" t="str">
        <f>IFERROR(INDEX($Z$157:$Z$306,MATCH(ROWS($A$157:A184),$AF$157:$AF$306,0)),"")</f>
        <v/>
      </c>
      <c r="K184" s="72" t="str">
        <f>IFERROR(INDEX($AA$157:$AA$306,MATCH(ROWS($A$157:A184),$AF$157:$AF$306,0)),"")</f>
        <v/>
      </c>
      <c r="L184" s="72" t="str">
        <f>IFERROR(INDEX($AB$157:$AB$306,MATCH(ROWS($A$157:A184),$AF$157:$AF$306,0)),"")</f>
        <v/>
      </c>
      <c r="M184" s="72" t="str">
        <f>IFERROR(INDEX($AC$157:$AC$306,MATCH(ROWS($A$157:A184),$AF$157:$AF$306,0)),"")</f>
        <v/>
      </c>
      <c r="N184" s="35" t="str">
        <f>IFERROR(INDEX($AD$157:$AD$306,MATCH(ROWS($A$157:A184),$AF$157:$AF$306,0)),"")</f>
        <v/>
      </c>
      <c r="Q184" t="str">
        <f>T(JAN!B33)</f>
        <v>CHARLES SCOT 310301</v>
      </c>
      <c r="R184" t="str">
        <f t="array" ref="R184">IF($Q184="","",_xlfn.TEXTJOIN(", ",TRUE,IF(JAN!$G33:$AK33="AT",JAN!$G$4:$AK$4,"")))</f>
        <v/>
      </c>
      <c r="S184" t="str">
        <f t="array" ref="S184">IF($Q184="","",_xlfn.TEXTJOIN(", ",TRUE,IF(FEV!$G33:$AK33="AT",FEV!$G$4:$AK$4,"")))</f>
        <v/>
      </c>
      <c r="T184" t="str">
        <f t="array" ref="T184">IF($Q184="","",_xlfn.TEXTJOIN(", ",TRUE,IF(MAR!$G33:$AK33="AT",MAR!$G$4:$AK$4,"")))</f>
        <v/>
      </c>
      <c r="U184" t="str">
        <f t="array" ref="U184">IF($Q184="","",_xlfn.TEXTJOIN(", ",TRUE,IF(ABR!$G33:$AK33="AT",ABR!$G$4:$AK$4,"")))</f>
        <v/>
      </c>
      <c r="V184" t="str">
        <f t="array" ref="V184">IF($Q184="","",_xlfn.TEXTJOIN(", ",TRUE,IF(MAI!$G33:$AK33="AT",MAI!$G$4:$AK$4,"")))</f>
        <v/>
      </c>
      <c r="W184" t="str">
        <f t="array" ref="W184">IF($Q184="","",_xlfn.TEXTJOIN(", ",TRUE,IF(JUN!$G33:$AK33="AT",JUN!$G$4:$AK$4,"")))</f>
        <v/>
      </c>
      <c r="X184" t="str">
        <f t="array" ref="X184">IF($Q184="","",_xlfn.TEXTJOIN(", ",TRUE,IF(JUL!$G33:$AK33="AT",JUL!$G$4:$AK$4,"")))</f>
        <v/>
      </c>
      <c r="Y184" t="str">
        <f t="array" ref="Y184">IF($Q184="","",_xlfn.TEXTJOIN(", ",TRUE,IF(AGO!$G33:$AK33="AT",AGO!$G$4:$AK$4,"")))</f>
        <v>1, 8, 10, 11, 12, 13, 14, 15, 18, 19, 20</v>
      </c>
      <c r="Z184" t="str">
        <f t="array" ref="Z184">IF($Q184="","",_xlfn.TEXTJOIN(", ",TRUE,IF(SET!$G33:$AK33="AT",SET!$G$4:$AK$4,"")))</f>
        <v/>
      </c>
      <c r="AA184" t="str">
        <f t="array" ref="AA184">IF($Q184="","",_xlfn.TEXTJOIN(", ",TRUE,IF(OUT!$G33:$AK33="AT",OUT!$G$4:$AK$4,"")))</f>
        <v/>
      </c>
      <c r="AB184" t="str">
        <f t="array" ref="AB184">IF($Q184="","",_xlfn.TEXTJOIN(", ",TRUE,IF(NOV!$G33:$AK33="AT",NOV!$G$4:$AK$4,"")))</f>
        <v/>
      </c>
      <c r="AC184" t="str">
        <f t="array" ref="AC184">IF($Q184="","",_xlfn.TEXTJOIN(", ",TRUE,IF(DEZ!$G33:$AK33="AT",DEZ!$G$4:$AK$4,"")))</f>
        <v/>
      </c>
      <c r="AD184">
        <f>IF($Q184="","",COUNTIF(JAN!$G33:$AK33,"AT")+COUNTIF(FEV!$G33:$AK33,"AT")+COUNTIF(MAR!$G33:$AK33,"AT")+COUNTIF(ABR!$G33:$AK33,"AT")+COUNTIF(MAI!$G33:$AK33,"AT")+COUNTIF(JUN!$G33:$AK33,"AT")+COUNTIF(JUL!$G33:$AK33,"AT")+COUNTIF(AGO!$G33:$AK33,"AT")+COUNTIF(SET!$G33:$AK33,"AT")+COUNTIF(OUT!$G33:$AK33,"AT")+COUNTIF(NOV!$G33:$AK33,"AT")+COUNTIF(DEZ!$G33:$AK33,"AT"))</f>
        <v>11</v>
      </c>
      <c r="AF184">
        <f>IF(AND($Q184&lt;&gt;"",N($AD184)&gt;0),COUNT($AF$156:AF183)+1,"")</f>
        <v>12</v>
      </c>
    </row>
    <row r="185" spans="1:32" ht="20.100000000000001" customHeight="1" x14ac:dyDescent="0.25">
      <c r="A185" s="36" t="str">
        <f>IFERROR(INDEX($Q$157:$Q$306,MATCH(ROWS($A$157:A185),$AF$157:$AF$306,0)),"")</f>
        <v/>
      </c>
      <c r="B185" s="72" t="str">
        <f>IFERROR(INDEX($R$157:$R$306,MATCH(ROWS($A$157:A185),$AF$157:$AF$306,0)),"")</f>
        <v/>
      </c>
      <c r="C185" s="72" t="str">
        <f>IFERROR(INDEX($S$157:$S$306,MATCH(ROWS($A$157:A185),$AF$157:$AF$306,0)),"")</f>
        <v/>
      </c>
      <c r="D185" s="72" t="str">
        <f>IFERROR(INDEX($T$157:$T$306,MATCH(ROWS($A$157:A185),$AF$157:$AF$306,0)),"")</f>
        <v/>
      </c>
      <c r="E185" s="72" t="str">
        <f>IFERROR(INDEX($U$157:$U$306,MATCH(ROWS($A$157:A185),$AF$157:$AF$306,0)),"")</f>
        <v/>
      </c>
      <c r="F185" s="72" t="str">
        <f>IFERROR(INDEX($V$157:$V$306,MATCH(ROWS($A$157:A185),$AF$157:$AF$306,0)),"")</f>
        <v/>
      </c>
      <c r="G185" s="72" t="str">
        <f>IFERROR(INDEX($W$157:$W$306,MATCH(ROWS($A$157:A185),$AF$157:$AF$306,0)),"")</f>
        <v/>
      </c>
      <c r="H185" s="72" t="str">
        <f>IFERROR(INDEX($X$157:$X$306,MATCH(ROWS($A$157:A185),$AF$157:$AF$306,0)),"")</f>
        <v/>
      </c>
      <c r="I185" s="72" t="str">
        <f>IFERROR(INDEX($Y$157:$Y$306,MATCH(ROWS($A$157:A185),$AF$157:$AF$306,0)),"")</f>
        <v/>
      </c>
      <c r="J185" s="72" t="str">
        <f>IFERROR(INDEX($Z$157:$Z$306,MATCH(ROWS($A$157:A185),$AF$157:$AF$306,0)),"")</f>
        <v/>
      </c>
      <c r="K185" s="72" t="str">
        <f>IFERROR(INDEX($AA$157:$AA$306,MATCH(ROWS($A$157:A185),$AF$157:$AF$306,0)),"")</f>
        <v/>
      </c>
      <c r="L185" s="72" t="str">
        <f>IFERROR(INDEX($AB$157:$AB$306,MATCH(ROWS($A$157:A185),$AF$157:$AF$306,0)),"")</f>
        <v/>
      </c>
      <c r="M185" s="72" t="str">
        <f>IFERROR(INDEX($AC$157:$AC$306,MATCH(ROWS($A$157:A185),$AF$157:$AF$306,0)),"")</f>
        <v/>
      </c>
      <c r="N185" s="35" t="str">
        <f>IFERROR(INDEX($AD$157:$AD$306,MATCH(ROWS($A$157:A185),$AF$157:$AF$306,0)),"")</f>
        <v/>
      </c>
      <c r="Q185" t="str">
        <f>T(JAN!B34)</f>
        <v>EDUARDO RIBEIRO 484301</v>
      </c>
      <c r="R185" t="str">
        <f t="array" ref="R185">IF($Q185="","",_xlfn.TEXTJOIN(", ",TRUE,IF(JAN!$G34:$AK34="AT",JAN!$G$4:$AK$4,"")))</f>
        <v/>
      </c>
      <c r="S185" t="str">
        <f t="array" ref="S185">IF($Q185="","",_xlfn.TEXTJOIN(", ",TRUE,IF(FEV!$G34:$AK34="AT",FEV!$G$4:$AK$4,"")))</f>
        <v/>
      </c>
      <c r="T185" t="str">
        <f t="array" ref="T185">IF($Q185="","",_xlfn.TEXTJOIN(", ",TRUE,IF(MAR!$G34:$AK34="AT",MAR!$G$4:$AK$4,"")))</f>
        <v/>
      </c>
      <c r="U185" t="str">
        <f t="array" ref="U185">IF($Q185="","",_xlfn.TEXTJOIN(", ",TRUE,IF(ABR!$G34:$AK34="AT",ABR!$G$4:$AK$4,"")))</f>
        <v/>
      </c>
      <c r="V185" t="str">
        <f t="array" ref="V185">IF($Q185="","",_xlfn.TEXTJOIN(", ",TRUE,IF(MAI!$G34:$AK34="AT",MAI!$G$4:$AK$4,"")))</f>
        <v/>
      </c>
      <c r="W185" t="str">
        <f t="array" ref="W185">IF($Q185="","",_xlfn.TEXTJOIN(", ",TRUE,IF(JUN!$G34:$AK34="AT",JUN!$G$4:$AK$4,"")))</f>
        <v/>
      </c>
      <c r="X185" t="str">
        <f t="array" ref="X185">IF($Q185="","",_xlfn.TEXTJOIN(", ",TRUE,IF(JUL!$G34:$AK34="AT",JUL!$G$4:$AK$4,"")))</f>
        <v/>
      </c>
      <c r="Y185" t="str">
        <f t="array" ref="Y185">IF($Q185="","",_xlfn.TEXTJOIN(", ",TRUE,IF(AGO!$G34:$AK34="AT",AGO!$G$4:$AK$4,"")))</f>
        <v/>
      </c>
      <c r="Z185" t="str">
        <f t="array" ref="Z185">IF($Q185="","",_xlfn.TEXTJOIN(", ",TRUE,IF(SET!$G34:$AK34="AT",SET!$G$4:$AK$4,"")))</f>
        <v/>
      </c>
      <c r="AA185" t="str">
        <f t="array" ref="AA185">IF($Q185="","",_xlfn.TEXTJOIN(", ",TRUE,IF(OUT!$G34:$AK34="AT",OUT!$G$4:$AK$4,"")))</f>
        <v/>
      </c>
      <c r="AB185" t="str">
        <f t="array" ref="AB185">IF($Q185="","",_xlfn.TEXTJOIN(", ",TRUE,IF(NOV!$G34:$AK34="AT",NOV!$G$4:$AK$4,"")))</f>
        <v/>
      </c>
      <c r="AC185" t="str">
        <f t="array" ref="AC185">IF($Q185="","",_xlfn.TEXTJOIN(", ",TRUE,IF(DEZ!$G34:$AK34="AT",DEZ!$G$4:$AK$4,"")))</f>
        <v/>
      </c>
      <c r="AD185">
        <f>IF($Q185="","",COUNTIF(JAN!$G34:$AK34,"AT")+COUNTIF(FEV!$G34:$AK34,"AT")+COUNTIF(MAR!$G34:$AK34,"AT")+COUNTIF(ABR!$G34:$AK34,"AT")+COUNTIF(MAI!$G34:$AK34,"AT")+COUNTIF(JUN!$G34:$AK34,"AT")+COUNTIF(JUL!$G34:$AK34,"AT")+COUNTIF(AGO!$G34:$AK34,"AT")+COUNTIF(SET!$G34:$AK34,"AT")+COUNTIF(OUT!$G34:$AK34,"AT")+COUNTIF(NOV!$G34:$AK34,"AT")+COUNTIF(DEZ!$G34:$AK34,"AT"))</f>
        <v>0</v>
      </c>
      <c r="AF185" t="str">
        <f>IF(AND($Q185&lt;&gt;"",N($AD185)&gt;0),COUNT($AF$156:AF184)+1,"")</f>
        <v/>
      </c>
    </row>
    <row r="186" spans="1:32" ht="20.100000000000001" customHeight="1" x14ac:dyDescent="0.25">
      <c r="A186" s="36" t="str">
        <f>IFERROR(INDEX($Q$157:$Q$306,MATCH(ROWS($A$157:A186),$AF$157:$AF$306,0)),"")</f>
        <v/>
      </c>
      <c r="B186" s="72" t="str">
        <f>IFERROR(INDEX($R$157:$R$306,MATCH(ROWS($A$157:A186),$AF$157:$AF$306,0)),"")</f>
        <v/>
      </c>
      <c r="C186" s="72" t="str">
        <f>IFERROR(INDEX($S$157:$S$306,MATCH(ROWS($A$157:A186),$AF$157:$AF$306,0)),"")</f>
        <v/>
      </c>
      <c r="D186" s="72" t="str">
        <f>IFERROR(INDEX($T$157:$T$306,MATCH(ROWS($A$157:A186),$AF$157:$AF$306,0)),"")</f>
        <v/>
      </c>
      <c r="E186" s="72" t="str">
        <f>IFERROR(INDEX($U$157:$U$306,MATCH(ROWS($A$157:A186),$AF$157:$AF$306,0)),"")</f>
        <v/>
      </c>
      <c r="F186" s="72" t="str">
        <f>IFERROR(INDEX($V$157:$V$306,MATCH(ROWS($A$157:A186),$AF$157:$AF$306,0)),"")</f>
        <v/>
      </c>
      <c r="G186" s="72" t="str">
        <f>IFERROR(INDEX($W$157:$W$306,MATCH(ROWS($A$157:A186),$AF$157:$AF$306,0)),"")</f>
        <v/>
      </c>
      <c r="H186" s="72" t="str">
        <f>IFERROR(INDEX($X$157:$X$306,MATCH(ROWS($A$157:A186),$AF$157:$AF$306,0)),"")</f>
        <v/>
      </c>
      <c r="I186" s="72" t="str">
        <f>IFERROR(INDEX($Y$157:$Y$306,MATCH(ROWS($A$157:A186),$AF$157:$AF$306,0)),"")</f>
        <v/>
      </c>
      <c r="J186" s="72" t="str">
        <f>IFERROR(INDEX($Z$157:$Z$306,MATCH(ROWS($A$157:A186),$AF$157:$AF$306,0)),"")</f>
        <v/>
      </c>
      <c r="K186" s="72" t="str">
        <f>IFERROR(INDEX($AA$157:$AA$306,MATCH(ROWS($A$157:A186),$AF$157:$AF$306,0)),"")</f>
        <v/>
      </c>
      <c r="L186" s="72" t="str">
        <f>IFERROR(INDEX($AB$157:$AB$306,MATCH(ROWS($A$157:A186),$AF$157:$AF$306,0)),"")</f>
        <v/>
      </c>
      <c r="M186" s="72" t="str">
        <f>IFERROR(INDEX($AC$157:$AC$306,MATCH(ROWS($A$157:A186),$AF$157:$AF$306,0)),"")</f>
        <v/>
      </c>
      <c r="N186" s="35" t="str">
        <f>IFERROR(INDEX($AD$157:$AD$306,MATCH(ROWS($A$157:A186),$AF$157:$AF$306,0)),"")</f>
        <v/>
      </c>
      <c r="Q186" t="str">
        <f>T(JAN!B35)</f>
        <v>RODRIGO BRAZEIRO 281401</v>
      </c>
      <c r="R186" t="str">
        <f t="array" ref="R186">IF($Q186="","",_xlfn.TEXTJOIN(", ",TRUE,IF(JAN!$G35:$AK35="AT",JAN!$G$4:$AK$4,"")))</f>
        <v/>
      </c>
      <c r="S186" t="str">
        <f t="array" ref="S186">IF($Q186="","",_xlfn.TEXTJOIN(", ",TRUE,IF(FEV!$G35:$AK35="AT",FEV!$G$4:$AK$4,"")))</f>
        <v/>
      </c>
      <c r="T186" t="str">
        <f t="array" ref="T186">IF($Q186="","",_xlfn.TEXTJOIN(", ",TRUE,IF(MAR!$G35:$AK35="AT",MAR!$G$4:$AK$4,"")))</f>
        <v/>
      </c>
      <c r="U186" t="str">
        <f t="array" ref="U186">IF($Q186="","",_xlfn.TEXTJOIN(", ",TRUE,IF(ABR!$G35:$AK35="AT",ABR!$G$4:$AK$4,"")))</f>
        <v/>
      </c>
      <c r="V186" t="str">
        <f t="array" ref="V186">IF($Q186="","",_xlfn.TEXTJOIN(", ",TRUE,IF(MAI!$G35:$AK35="AT",MAI!$G$4:$AK$4,"")))</f>
        <v/>
      </c>
      <c r="W186" t="str">
        <f t="array" ref="W186">IF($Q186="","",_xlfn.TEXTJOIN(", ",TRUE,IF(JUN!$G35:$AK35="AT",JUN!$G$4:$AK$4,"")))</f>
        <v/>
      </c>
      <c r="X186" t="str">
        <f t="array" ref="X186">IF($Q186="","",_xlfn.TEXTJOIN(", ",TRUE,IF(JUL!$G35:$AK35="AT",JUL!$G$4:$AK$4,"")))</f>
        <v/>
      </c>
      <c r="Y186" t="str">
        <f t="array" ref="Y186">IF($Q186="","",_xlfn.TEXTJOIN(", ",TRUE,IF(AGO!$G35:$AK35="AT",AGO!$G$4:$AK$4,"")))</f>
        <v/>
      </c>
      <c r="Z186" t="str">
        <f t="array" ref="Z186">IF($Q186="","",_xlfn.TEXTJOIN(", ",TRUE,IF(SET!$G35:$AK35="AT",SET!$G$4:$AK$4,"")))</f>
        <v/>
      </c>
      <c r="AA186" t="str">
        <f t="array" ref="AA186">IF($Q186="","",_xlfn.TEXTJOIN(", ",TRUE,IF(OUT!$G35:$AK35="AT",OUT!$G$4:$AK$4,"")))</f>
        <v/>
      </c>
      <c r="AB186" t="str">
        <f t="array" ref="AB186">IF($Q186="","",_xlfn.TEXTJOIN(", ",TRUE,IF(NOV!$G35:$AK35="AT",NOV!$G$4:$AK$4,"")))</f>
        <v/>
      </c>
      <c r="AC186" t="str">
        <f t="array" ref="AC186">IF($Q186="","",_xlfn.TEXTJOIN(", ",TRUE,IF(DEZ!$G35:$AK35="AT",DEZ!$G$4:$AK$4,"")))</f>
        <v/>
      </c>
      <c r="AD186">
        <f>IF($Q186="","",COUNTIF(JAN!$G35:$AK35,"AT")+COUNTIF(FEV!$G35:$AK35,"AT")+COUNTIF(MAR!$G35:$AK35,"AT")+COUNTIF(ABR!$G35:$AK35,"AT")+COUNTIF(MAI!$G35:$AK35,"AT")+COUNTIF(JUN!$G35:$AK35,"AT")+COUNTIF(JUL!$G35:$AK35,"AT")+COUNTIF(AGO!$G35:$AK35,"AT")+COUNTIF(SET!$G35:$AK35,"AT")+COUNTIF(OUT!$G35:$AK35,"AT")+COUNTIF(NOV!$G35:$AK35,"AT")+COUNTIF(DEZ!$G35:$AK35,"AT"))</f>
        <v>0</v>
      </c>
      <c r="AF186" t="str">
        <f>IF(AND($Q186&lt;&gt;"",N($AD186)&gt;0),COUNT($AF$156:AF185)+1,"")</f>
        <v/>
      </c>
    </row>
    <row r="187" spans="1:32" hidden="1" outlineLevel="1" x14ac:dyDescent="0.25">
      <c r="A187" s="36" t="str">
        <f>IFERROR(INDEX($Q$157:$Q$306,MATCH(ROWS($A$157:A187),$AF$157:$AF$306,0)),"")</f>
        <v/>
      </c>
      <c r="B187" s="72" t="str">
        <f>IFERROR(INDEX($R$157:$R$306,MATCH(ROWS($A$157:A187),$AF$157:$AF$306,0)),"")</f>
        <v/>
      </c>
      <c r="C187" s="72" t="str">
        <f>IFERROR(INDEX($S$157:$S$306,MATCH(ROWS($A$157:A187),$AF$157:$AF$306,0)),"")</f>
        <v/>
      </c>
      <c r="D187" s="72" t="str">
        <f>IFERROR(INDEX($T$157:$T$306,MATCH(ROWS($A$157:A187),$AF$157:$AF$306,0)),"")</f>
        <v/>
      </c>
      <c r="E187" s="72" t="str">
        <f>IFERROR(INDEX($U$157:$U$306,MATCH(ROWS($A$157:A187),$AF$157:$AF$306,0)),"")</f>
        <v/>
      </c>
      <c r="F187" s="72" t="str">
        <f>IFERROR(INDEX($V$157:$V$306,MATCH(ROWS($A$157:A187),$AF$157:$AF$306,0)),"")</f>
        <v/>
      </c>
      <c r="G187" s="72" t="str">
        <f>IFERROR(INDEX($W$157:$W$306,MATCH(ROWS($A$157:A187),$AF$157:$AF$306,0)),"")</f>
        <v/>
      </c>
      <c r="H187" s="72" t="str">
        <f>IFERROR(INDEX($X$157:$X$306,MATCH(ROWS($A$157:A187),$AF$157:$AF$306,0)),"")</f>
        <v/>
      </c>
      <c r="I187" s="72" t="str">
        <f>IFERROR(INDEX($Y$157:$Y$306,MATCH(ROWS($A$157:A187),$AF$157:$AF$306,0)),"")</f>
        <v/>
      </c>
      <c r="J187" s="72" t="str">
        <f>IFERROR(INDEX($Z$157:$Z$306,MATCH(ROWS($A$157:A187),$AF$157:$AF$306,0)),"")</f>
        <v/>
      </c>
      <c r="K187" s="72" t="str">
        <f>IFERROR(INDEX($AA$157:$AA$306,MATCH(ROWS($A$157:A187),$AF$157:$AF$306,0)),"")</f>
        <v/>
      </c>
      <c r="L187" s="72" t="str">
        <f>IFERROR(INDEX($AB$157:$AB$306,MATCH(ROWS($A$157:A187),$AF$157:$AF$306,0)),"")</f>
        <v/>
      </c>
      <c r="M187" s="72" t="str">
        <f>IFERROR(INDEX($AC$157:$AC$306,MATCH(ROWS($A$157:A187),$AF$157:$AF$306,0)),"")</f>
        <v/>
      </c>
      <c r="N187" s="35" t="str">
        <f>IFERROR(INDEX($AD$157:$AD$306,MATCH(ROWS($A$157:A187),$AF$157:$AF$306,0)),"")</f>
        <v/>
      </c>
      <c r="Q187" t="str">
        <f>T(JAN!B36)</f>
        <v>ALEXANDRE MARINHO 37002252</v>
      </c>
      <c r="R187" t="str">
        <f t="array" ref="R187">IF($Q187="","",_xlfn.TEXTJOIN(", ",TRUE,IF(JAN!$G36:$AK36="AT",JAN!$G$4:$AK$4,"")))</f>
        <v/>
      </c>
      <c r="S187" t="str">
        <f t="array" ref="S187">IF($Q187="","",_xlfn.TEXTJOIN(", ",TRUE,IF(FEV!$G36:$AK36="AT",FEV!$G$4:$AK$4,"")))</f>
        <v/>
      </c>
      <c r="T187" t="str">
        <f t="array" ref="T187">IF($Q187="","",_xlfn.TEXTJOIN(", ",TRUE,IF(MAR!$G36:$AK36="AT",MAR!$G$4:$AK$4,"")))</f>
        <v/>
      </c>
      <c r="U187" t="str">
        <f t="array" ref="U187">IF($Q187="","",_xlfn.TEXTJOIN(", ",TRUE,IF(ABR!$G36:$AK36="AT",ABR!$G$4:$AK$4,"")))</f>
        <v/>
      </c>
      <c r="V187" t="str">
        <f t="array" ref="V187">IF($Q187="","",_xlfn.TEXTJOIN(", ",TRUE,IF(MAI!$G36:$AK36="AT",MAI!$G$4:$AK$4,"")))</f>
        <v/>
      </c>
      <c r="W187" t="str">
        <f t="array" ref="W187">IF($Q187="","",_xlfn.TEXTJOIN(", ",TRUE,IF(JUN!$G36:$AK36="AT",JUN!$G$4:$AK$4,"")))</f>
        <v/>
      </c>
      <c r="X187" t="str">
        <f t="array" ref="X187">IF($Q187="","",_xlfn.TEXTJOIN(", ",TRUE,IF(JUL!$G36:$AK36="AT",JUL!$G$4:$AK$4,"")))</f>
        <v/>
      </c>
      <c r="Y187" t="str">
        <f t="array" ref="Y187">IF($Q187="","",_xlfn.TEXTJOIN(", ",TRUE,IF(AGO!$G36:$AK36="AT",AGO!$G$4:$AK$4,"")))</f>
        <v/>
      </c>
      <c r="Z187" t="str">
        <f t="array" ref="Z187">IF($Q187="","",_xlfn.TEXTJOIN(", ",TRUE,IF(SET!$G36:$AK36="AT",SET!$G$4:$AK$4,"")))</f>
        <v>1, 10</v>
      </c>
      <c r="AA187" t="str">
        <f t="array" ref="AA187">IF($Q187="","",_xlfn.TEXTJOIN(", ",TRUE,IF(OUT!$G36:$AK36="AT",OUT!$G$4:$AK$4,"")))</f>
        <v/>
      </c>
      <c r="AB187" t="str">
        <f t="array" ref="AB187">IF($Q187="","",_xlfn.TEXTJOIN(", ",TRUE,IF(NOV!$G36:$AK36="AT",NOV!$G$4:$AK$4,"")))</f>
        <v/>
      </c>
      <c r="AC187" t="str">
        <f t="array" ref="AC187">IF($Q187="","",_xlfn.TEXTJOIN(", ",TRUE,IF(DEZ!$G36:$AK36="AT",DEZ!$G$4:$AK$4,"")))</f>
        <v/>
      </c>
      <c r="AD187">
        <f>IF($Q187="","",COUNTIF(JAN!$G36:$AK36,"AT")+COUNTIF(FEV!$G36:$AK36,"AT")+COUNTIF(MAR!$G36:$AK36,"AT")+COUNTIF(ABR!$G36:$AK36,"AT")+COUNTIF(MAI!$G36:$AK36,"AT")+COUNTIF(JUN!$G36:$AK36,"AT")+COUNTIF(JUL!$G36:$AK36,"AT")+COUNTIF(AGO!$G36:$AK36,"AT")+COUNTIF(SET!$G36:$AK36,"AT")+COUNTIF(OUT!$G36:$AK36,"AT")+COUNTIF(NOV!$G36:$AK36,"AT")+COUNTIF(DEZ!$G36:$AK36,"AT"))</f>
        <v>2</v>
      </c>
      <c r="AF187">
        <f>IF(AND($Q187&lt;&gt;"",N($AD187)&gt;0),COUNT($AF$156:AF186)+1,"")</f>
        <v>13</v>
      </c>
    </row>
    <row r="188" spans="1:32" hidden="1" outlineLevel="1" x14ac:dyDescent="0.25">
      <c r="A188" s="36" t="str">
        <f>IFERROR(INDEX($Q$157:$Q$306,MATCH(ROWS($A$157:A188),$AF$157:$AF$306,0)),"")</f>
        <v/>
      </c>
      <c r="B188" s="72" t="str">
        <f>IFERROR(INDEX($R$157:$R$306,MATCH(ROWS($A$157:A188),$AF$157:$AF$306,0)),"")</f>
        <v/>
      </c>
      <c r="C188" s="72" t="str">
        <f>IFERROR(INDEX($S$157:$S$306,MATCH(ROWS($A$157:A188),$AF$157:$AF$306,0)),"")</f>
        <v/>
      </c>
      <c r="D188" s="72" t="str">
        <f>IFERROR(INDEX($T$157:$T$306,MATCH(ROWS($A$157:A188),$AF$157:$AF$306,0)),"")</f>
        <v/>
      </c>
      <c r="E188" s="72" t="str">
        <f>IFERROR(INDEX($U$157:$U$306,MATCH(ROWS($A$157:A188),$AF$157:$AF$306,0)),"")</f>
        <v/>
      </c>
      <c r="F188" s="72" t="str">
        <f>IFERROR(INDEX($V$157:$V$306,MATCH(ROWS($A$157:A188),$AF$157:$AF$306,0)),"")</f>
        <v/>
      </c>
      <c r="G188" s="72" t="str">
        <f>IFERROR(INDEX($W$157:$W$306,MATCH(ROWS($A$157:A188),$AF$157:$AF$306,0)),"")</f>
        <v/>
      </c>
      <c r="H188" s="72" t="str">
        <f>IFERROR(INDEX($X$157:$X$306,MATCH(ROWS($A$157:A188),$AF$157:$AF$306,0)),"")</f>
        <v/>
      </c>
      <c r="I188" s="72" t="str">
        <f>IFERROR(INDEX($Y$157:$Y$306,MATCH(ROWS($A$157:A188),$AF$157:$AF$306,0)),"")</f>
        <v/>
      </c>
      <c r="J188" s="72" t="str">
        <f>IFERROR(INDEX($Z$157:$Z$306,MATCH(ROWS($A$157:A188),$AF$157:$AF$306,0)),"")</f>
        <v/>
      </c>
      <c r="K188" s="72" t="str">
        <f>IFERROR(INDEX($AA$157:$AA$306,MATCH(ROWS($A$157:A188),$AF$157:$AF$306,0)),"")</f>
        <v/>
      </c>
      <c r="L188" s="72" t="str">
        <f>IFERROR(INDEX($AB$157:$AB$306,MATCH(ROWS($A$157:A188),$AF$157:$AF$306,0)),"")</f>
        <v/>
      </c>
      <c r="M188" s="72" t="str">
        <f>IFERROR(INDEX($AC$157:$AC$306,MATCH(ROWS($A$157:A188),$AF$157:$AF$306,0)),"")</f>
        <v/>
      </c>
      <c r="N188" s="35" t="str">
        <f>IFERROR(INDEX($AD$157:$AD$306,MATCH(ROWS($A$157:A188),$AF$157:$AF$306,0)),"")</f>
        <v/>
      </c>
      <c r="Q188" t="str">
        <f>T(JAN!B37)</f>
        <v>DIERRI SOUZA 166901</v>
      </c>
      <c r="R188" t="str">
        <f t="array" ref="R188">IF($Q188="","",_xlfn.TEXTJOIN(", ",TRUE,IF(JAN!$G37:$AK37="AT",JAN!$G$4:$AK$4,"")))</f>
        <v/>
      </c>
      <c r="S188" t="str">
        <f t="array" ref="S188">IF($Q188="","",_xlfn.TEXTJOIN(", ",TRUE,IF(FEV!$G37:$AK37="AT",FEV!$G$4:$AK$4,"")))</f>
        <v/>
      </c>
      <c r="T188" t="str">
        <f t="array" ref="T188">IF($Q188="","",_xlfn.TEXTJOIN(", ",TRUE,IF(MAR!$G37:$AK37="AT",MAR!$G$4:$AK$4,"")))</f>
        <v/>
      </c>
      <c r="U188" t="str">
        <f t="array" ref="U188">IF($Q188="","",_xlfn.TEXTJOIN(", ",TRUE,IF(ABR!$G37:$AK37="AT",ABR!$G$4:$AK$4,"")))</f>
        <v/>
      </c>
      <c r="V188" t="str">
        <f t="array" ref="V188">IF($Q188="","",_xlfn.TEXTJOIN(", ",TRUE,IF(MAI!$G37:$AK37="AT",MAI!$G$4:$AK$4,"")))</f>
        <v/>
      </c>
      <c r="W188" t="str">
        <f t="array" ref="W188">IF($Q188="","",_xlfn.TEXTJOIN(", ",TRUE,IF(JUN!$G37:$AK37="AT",JUN!$G$4:$AK$4,"")))</f>
        <v/>
      </c>
      <c r="X188" t="str">
        <f t="array" ref="X188">IF($Q188="","",_xlfn.TEXTJOIN(", ",TRUE,IF(JUL!$G37:$AK37="AT",JUL!$G$4:$AK$4,"")))</f>
        <v/>
      </c>
      <c r="Y188" t="str">
        <f t="array" ref="Y188">IF($Q188="","",_xlfn.TEXTJOIN(", ",TRUE,IF(AGO!$G37:$AK37="AT",AGO!$G$4:$AK$4,"")))</f>
        <v/>
      </c>
      <c r="Z188" t="str">
        <f t="array" ref="Z188">IF($Q188="","",_xlfn.TEXTJOIN(", ",TRUE,IF(SET!$G37:$AK37="AT",SET!$G$4:$AK$4,"")))</f>
        <v/>
      </c>
      <c r="AA188" t="str">
        <f t="array" ref="AA188">IF($Q188="","",_xlfn.TEXTJOIN(", ",TRUE,IF(OUT!$G37:$AK37="AT",OUT!$G$4:$AK$4,"")))</f>
        <v/>
      </c>
      <c r="AB188" t="str">
        <f t="array" ref="AB188">IF($Q188="","",_xlfn.TEXTJOIN(", ",TRUE,IF(NOV!$G37:$AK37="AT",NOV!$G$4:$AK$4,"")))</f>
        <v/>
      </c>
      <c r="AC188" t="str">
        <f t="array" ref="AC188">IF($Q188="","",_xlfn.TEXTJOIN(", ",TRUE,IF(DEZ!$G37:$AK37="AT",DEZ!$G$4:$AK$4,"")))</f>
        <v/>
      </c>
      <c r="AD188">
        <f>IF($Q188="","",COUNTIF(JAN!$G37:$AK37,"AT")+COUNTIF(FEV!$G37:$AK37,"AT")+COUNTIF(MAR!$G37:$AK37,"AT")+COUNTIF(ABR!$G37:$AK37,"AT")+COUNTIF(MAI!$G37:$AK37,"AT")+COUNTIF(JUN!$G37:$AK37,"AT")+COUNTIF(JUL!$G37:$AK37,"AT")+COUNTIF(AGO!$G37:$AK37,"AT")+COUNTIF(SET!$G37:$AK37,"AT")+COUNTIF(OUT!$G37:$AK37,"AT")+COUNTIF(NOV!$G37:$AK37,"AT")+COUNTIF(DEZ!$G37:$AK37,"AT"))</f>
        <v>0</v>
      </c>
      <c r="AF188" t="str">
        <f>IF(AND($Q188&lt;&gt;"",N($AD188)&gt;0),COUNT($AF$156:AF187)+1,"")</f>
        <v/>
      </c>
    </row>
    <row r="189" spans="1:32" hidden="1" outlineLevel="1" x14ac:dyDescent="0.25">
      <c r="A189" s="36" t="str">
        <f>IFERROR(INDEX($Q$157:$Q$306,MATCH(ROWS($A$157:A189),$AF$157:$AF$306,0)),"")</f>
        <v/>
      </c>
      <c r="B189" s="72" t="str">
        <f>IFERROR(INDEX($R$157:$R$306,MATCH(ROWS($A$157:A189),$AF$157:$AF$306,0)),"")</f>
        <v/>
      </c>
      <c r="C189" s="72" t="str">
        <f>IFERROR(INDEX($S$157:$S$306,MATCH(ROWS($A$157:A189),$AF$157:$AF$306,0)),"")</f>
        <v/>
      </c>
      <c r="D189" s="72" t="str">
        <f>IFERROR(INDEX($T$157:$T$306,MATCH(ROWS($A$157:A189),$AF$157:$AF$306,0)),"")</f>
        <v/>
      </c>
      <c r="E189" s="72" t="str">
        <f>IFERROR(INDEX($U$157:$U$306,MATCH(ROWS($A$157:A189),$AF$157:$AF$306,0)),"")</f>
        <v/>
      </c>
      <c r="F189" s="72" t="str">
        <f>IFERROR(INDEX($V$157:$V$306,MATCH(ROWS($A$157:A189),$AF$157:$AF$306,0)),"")</f>
        <v/>
      </c>
      <c r="G189" s="72" t="str">
        <f>IFERROR(INDEX($W$157:$W$306,MATCH(ROWS($A$157:A189),$AF$157:$AF$306,0)),"")</f>
        <v/>
      </c>
      <c r="H189" s="72" t="str">
        <f>IFERROR(INDEX($X$157:$X$306,MATCH(ROWS($A$157:A189),$AF$157:$AF$306,0)),"")</f>
        <v/>
      </c>
      <c r="I189" s="72" t="str">
        <f>IFERROR(INDEX($Y$157:$Y$306,MATCH(ROWS($A$157:A189),$AF$157:$AF$306,0)),"")</f>
        <v/>
      </c>
      <c r="J189" s="72" t="str">
        <f>IFERROR(INDEX($Z$157:$Z$306,MATCH(ROWS($A$157:A189),$AF$157:$AF$306,0)),"")</f>
        <v/>
      </c>
      <c r="K189" s="72" t="str">
        <f>IFERROR(INDEX($AA$157:$AA$306,MATCH(ROWS($A$157:A189),$AF$157:$AF$306,0)),"")</f>
        <v/>
      </c>
      <c r="L189" s="72" t="str">
        <f>IFERROR(INDEX($AB$157:$AB$306,MATCH(ROWS($A$157:A189),$AF$157:$AF$306,0)),"")</f>
        <v/>
      </c>
      <c r="M189" s="72" t="str">
        <f>IFERROR(INDEX($AC$157:$AC$306,MATCH(ROWS($A$157:A189),$AF$157:$AF$306,0)),"")</f>
        <v/>
      </c>
      <c r="N189" s="35" t="str">
        <f>IFERROR(INDEX($AD$157:$AD$306,MATCH(ROWS($A$157:A189),$AF$157:$AF$306,0)),"")</f>
        <v/>
      </c>
      <c r="Q189" t="str">
        <f>T(JAN!B38)</f>
        <v>JOSIMAR ROCHA 390801</v>
      </c>
      <c r="R189" t="str">
        <f t="array" ref="R189">IF($Q189="","",_xlfn.TEXTJOIN(", ",TRUE,IF(JAN!$G38:$AK38="AT",JAN!$G$4:$AK$4,"")))</f>
        <v/>
      </c>
      <c r="S189" t="str">
        <f t="array" ref="S189">IF($Q189="","",_xlfn.TEXTJOIN(", ",TRUE,IF(FEV!$G38:$AK38="AT",FEV!$G$4:$AK$4,"")))</f>
        <v/>
      </c>
      <c r="T189" t="str">
        <f t="array" ref="T189">IF($Q189="","",_xlfn.TEXTJOIN(", ",TRUE,IF(MAR!$G38:$AK38="AT",MAR!$G$4:$AK$4,"")))</f>
        <v/>
      </c>
      <c r="U189" t="str">
        <f t="array" ref="U189">IF($Q189="","",_xlfn.TEXTJOIN(", ",TRUE,IF(ABR!$G38:$AK38="AT",ABR!$G$4:$AK$4,"")))</f>
        <v/>
      </c>
      <c r="V189" t="str">
        <f t="array" ref="V189">IF($Q189="","",_xlfn.TEXTJOIN(", ",TRUE,IF(MAI!$G38:$AK38="AT",MAI!$G$4:$AK$4,"")))</f>
        <v/>
      </c>
      <c r="W189" t="str">
        <f t="array" ref="W189">IF($Q189="","",_xlfn.TEXTJOIN(", ",TRUE,IF(JUN!$G38:$AK38="AT",JUN!$G$4:$AK$4,"")))</f>
        <v/>
      </c>
      <c r="X189" t="str">
        <f t="array" ref="X189">IF($Q189="","",_xlfn.TEXTJOIN(", ",TRUE,IF(JUL!$G38:$AK38="AT",JUL!$G$4:$AK$4,"")))</f>
        <v>31</v>
      </c>
      <c r="Y189" t="str">
        <f t="array" ref="Y189">IF($Q189="","",_xlfn.TEXTJOIN(", ",TRUE,IF(AGO!$G38:$AK38="AT",AGO!$G$4:$AK$4,"")))</f>
        <v>1</v>
      </c>
      <c r="Z189" t="str">
        <f t="array" ref="Z189">IF($Q189="","",_xlfn.TEXTJOIN(", ",TRUE,IF(SET!$G38:$AK38="AT",SET!$G$4:$AK$4,"")))</f>
        <v/>
      </c>
      <c r="AA189" t="str">
        <f t="array" ref="AA189">IF($Q189="","",_xlfn.TEXTJOIN(", ",TRUE,IF(OUT!$G38:$AK38="AT",OUT!$G$4:$AK$4,"")))</f>
        <v/>
      </c>
      <c r="AB189" t="str">
        <f t="array" ref="AB189">IF($Q189="","",_xlfn.TEXTJOIN(", ",TRUE,IF(NOV!$G38:$AK38="AT",NOV!$G$4:$AK$4,"")))</f>
        <v/>
      </c>
      <c r="AC189" t="str">
        <f t="array" ref="AC189">IF($Q189="","",_xlfn.TEXTJOIN(", ",TRUE,IF(DEZ!$G38:$AK38="AT",DEZ!$G$4:$AK$4,"")))</f>
        <v/>
      </c>
      <c r="AD189">
        <f>IF($Q189="","",COUNTIF(JAN!$G38:$AK38,"AT")+COUNTIF(FEV!$G38:$AK38,"AT")+COUNTIF(MAR!$G38:$AK38,"AT")+COUNTIF(ABR!$G38:$AK38,"AT")+COUNTIF(MAI!$G38:$AK38,"AT")+COUNTIF(JUN!$G38:$AK38,"AT")+COUNTIF(JUL!$G38:$AK38,"AT")+COUNTIF(AGO!$G38:$AK38,"AT")+COUNTIF(SET!$G38:$AK38,"AT")+COUNTIF(OUT!$G38:$AK38,"AT")+COUNTIF(NOV!$G38:$AK38,"AT")+COUNTIF(DEZ!$G38:$AK38,"AT"))</f>
        <v>2</v>
      </c>
      <c r="AF189">
        <f>IF(AND($Q189&lt;&gt;"",N($AD189)&gt;0),COUNT($AF$156:AF188)+1,"")</f>
        <v>14</v>
      </c>
    </row>
    <row r="190" spans="1:32" hidden="1" outlineLevel="1" x14ac:dyDescent="0.25">
      <c r="A190" s="36" t="str">
        <f>IFERROR(INDEX($Q$157:$Q$306,MATCH(ROWS($A$157:A190),$AF$157:$AF$306,0)),"")</f>
        <v/>
      </c>
      <c r="B190" s="72" t="str">
        <f>IFERROR(INDEX($R$157:$R$306,MATCH(ROWS($A$157:A190),$AF$157:$AF$306,0)),"")</f>
        <v/>
      </c>
      <c r="C190" s="72" t="str">
        <f>IFERROR(INDEX($S$157:$S$306,MATCH(ROWS($A$157:A190),$AF$157:$AF$306,0)),"")</f>
        <v/>
      </c>
      <c r="D190" s="72" t="str">
        <f>IFERROR(INDEX($T$157:$T$306,MATCH(ROWS($A$157:A190),$AF$157:$AF$306,0)),"")</f>
        <v/>
      </c>
      <c r="E190" s="72" t="str">
        <f>IFERROR(INDEX($U$157:$U$306,MATCH(ROWS($A$157:A190),$AF$157:$AF$306,0)),"")</f>
        <v/>
      </c>
      <c r="F190" s="72" t="str">
        <f>IFERROR(INDEX($V$157:$V$306,MATCH(ROWS($A$157:A190),$AF$157:$AF$306,0)),"")</f>
        <v/>
      </c>
      <c r="G190" s="72" t="str">
        <f>IFERROR(INDEX($W$157:$W$306,MATCH(ROWS($A$157:A190),$AF$157:$AF$306,0)),"")</f>
        <v/>
      </c>
      <c r="H190" s="72" t="str">
        <f>IFERROR(INDEX($X$157:$X$306,MATCH(ROWS($A$157:A190),$AF$157:$AF$306,0)),"")</f>
        <v/>
      </c>
      <c r="I190" s="72" t="str">
        <f>IFERROR(INDEX($Y$157:$Y$306,MATCH(ROWS($A$157:A190),$AF$157:$AF$306,0)),"")</f>
        <v/>
      </c>
      <c r="J190" s="72" t="str">
        <f>IFERROR(INDEX($Z$157:$Z$306,MATCH(ROWS($A$157:A190),$AF$157:$AF$306,0)),"")</f>
        <v/>
      </c>
      <c r="K190" s="72" t="str">
        <f>IFERROR(INDEX($AA$157:$AA$306,MATCH(ROWS($A$157:A190),$AF$157:$AF$306,0)),"")</f>
        <v/>
      </c>
      <c r="L190" s="72" t="str">
        <f>IFERROR(INDEX($AB$157:$AB$306,MATCH(ROWS($A$157:A190),$AF$157:$AF$306,0)),"")</f>
        <v/>
      </c>
      <c r="M190" s="72" t="str">
        <f>IFERROR(INDEX($AC$157:$AC$306,MATCH(ROWS($A$157:A190),$AF$157:$AF$306,0)),"")</f>
        <v/>
      </c>
      <c r="N190" s="35" t="str">
        <f>IFERROR(INDEX($AD$157:$AD$306,MATCH(ROWS($A$157:A190),$AF$157:$AF$306,0)),"")</f>
        <v/>
      </c>
      <c r="Q190" t="str">
        <f>T(JAN!B39)</f>
        <v>JONATHAM DALAZEM 517501</v>
      </c>
      <c r="R190" t="str">
        <f t="array" ref="R190">IF($Q190="","",_xlfn.TEXTJOIN(", ",TRUE,IF(JAN!$G39:$AK39="AT",JAN!$G$4:$AK$4,"")))</f>
        <v/>
      </c>
      <c r="S190" t="str">
        <f t="array" ref="S190">IF($Q190="","",_xlfn.TEXTJOIN(", ",TRUE,IF(FEV!$G39:$AK39="AT",FEV!$G$4:$AK$4,"")))</f>
        <v/>
      </c>
      <c r="T190" t="str">
        <f t="array" ref="T190">IF($Q190="","",_xlfn.TEXTJOIN(", ",TRUE,IF(MAR!$G39:$AK39="AT",MAR!$G$4:$AK$4,"")))</f>
        <v/>
      </c>
      <c r="U190" t="str">
        <f t="array" ref="U190">IF($Q190="","",_xlfn.TEXTJOIN(", ",TRUE,IF(ABR!$G39:$AK39="AT",ABR!$G$4:$AK$4,"")))</f>
        <v/>
      </c>
      <c r="V190" t="str">
        <f t="array" ref="V190">IF($Q190="","",_xlfn.TEXTJOIN(", ",TRUE,IF(MAI!$G39:$AK39="AT",MAI!$G$4:$AK$4,"")))</f>
        <v/>
      </c>
      <c r="W190" t="str">
        <f t="array" ref="W190">IF($Q190="","",_xlfn.TEXTJOIN(", ",TRUE,IF(JUN!$G39:$AK39="AT",JUN!$G$4:$AK$4,"")))</f>
        <v/>
      </c>
      <c r="X190" t="str">
        <f t="array" ref="X190">IF($Q190="","",_xlfn.TEXTJOIN(", ",TRUE,IF(JUL!$G39:$AK39="AT",JUL!$G$4:$AK$4,"")))</f>
        <v/>
      </c>
      <c r="Y190" t="str">
        <f t="array" ref="Y190">IF($Q190="","",_xlfn.TEXTJOIN(", ",TRUE,IF(AGO!$G39:$AK39="AT",AGO!$G$4:$AK$4,"")))</f>
        <v/>
      </c>
      <c r="Z190" t="str">
        <f t="array" ref="Z190">IF($Q190="","",_xlfn.TEXTJOIN(", ",TRUE,IF(SET!$G39:$AK39="AT",SET!$G$4:$AK$4,"")))</f>
        <v/>
      </c>
      <c r="AA190" t="str">
        <f t="array" ref="AA190">IF($Q190="","",_xlfn.TEXTJOIN(", ",TRUE,IF(OUT!$G39:$AK39="AT",OUT!$G$4:$AK$4,"")))</f>
        <v/>
      </c>
      <c r="AB190" t="str">
        <f t="array" ref="AB190">IF($Q190="","",_xlfn.TEXTJOIN(", ",TRUE,IF(NOV!$G39:$AK39="AT",NOV!$G$4:$AK$4,"")))</f>
        <v/>
      </c>
      <c r="AC190" t="str">
        <f t="array" ref="AC190">IF($Q190="","",_xlfn.TEXTJOIN(", ",TRUE,IF(DEZ!$G39:$AK39="AT",DEZ!$G$4:$AK$4,"")))</f>
        <v/>
      </c>
      <c r="AD190">
        <f>IF($Q190="","",COUNTIF(JAN!$G39:$AK39,"AT")+COUNTIF(FEV!$G39:$AK39,"AT")+COUNTIF(MAR!$G39:$AK39,"AT")+COUNTIF(ABR!$G39:$AK39,"AT")+COUNTIF(MAI!$G39:$AK39,"AT")+COUNTIF(JUN!$G39:$AK39,"AT")+COUNTIF(JUL!$G39:$AK39,"AT")+COUNTIF(AGO!$G39:$AK39,"AT")+COUNTIF(SET!$G39:$AK39,"AT")+COUNTIF(OUT!$G39:$AK39,"AT")+COUNTIF(NOV!$G39:$AK39,"AT")+COUNTIF(DEZ!$G39:$AK39,"AT"))</f>
        <v>0</v>
      </c>
      <c r="AF190" t="str">
        <f>IF(AND($Q190&lt;&gt;"",N($AD190)&gt;0),COUNT($AF$156:AF189)+1,"")</f>
        <v/>
      </c>
    </row>
    <row r="191" spans="1:32" hidden="1" outlineLevel="1" x14ac:dyDescent="0.25">
      <c r="A191" s="36" t="str">
        <f>IFERROR(INDEX($Q$157:$Q$306,MATCH(ROWS($A$157:A191),$AF$157:$AF$306,0)),"")</f>
        <v/>
      </c>
      <c r="B191" s="72" t="str">
        <f>IFERROR(INDEX($R$157:$R$306,MATCH(ROWS($A$157:A191),$AF$157:$AF$306,0)),"")</f>
        <v/>
      </c>
      <c r="C191" s="72" t="str">
        <f>IFERROR(INDEX($S$157:$S$306,MATCH(ROWS($A$157:A191),$AF$157:$AF$306,0)),"")</f>
        <v/>
      </c>
      <c r="D191" s="72" t="str">
        <f>IFERROR(INDEX($T$157:$T$306,MATCH(ROWS($A$157:A191),$AF$157:$AF$306,0)),"")</f>
        <v/>
      </c>
      <c r="E191" s="72" t="str">
        <f>IFERROR(INDEX($U$157:$U$306,MATCH(ROWS($A$157:A191),$AF$157:$AF$306,0)),"")</f>
        <v/>
      </c>
      <c r="F191" s="72" t="str">
        <f>IFERROR(INDEX($V$157:$V$306,MATCH(ROWS($A$157:A191),$AF$157:$AF$306,0)),"")</f>
        <v/>
      </c>
      <c r="G191" s="72" t="str">
        <f>IFERROR(INDEX($W$157:$W$306,MATCH(ROWS($A$157:A191),$AF$157:$AF$306,0)),"")</f>
        <v/>
      </c>
      <c r="H191" s="72" t="str">
        <f>IFERROR(INDEX($X$157:$X$306,MATCH(ROWS($A$157:A191),$AF$157:$AF$306,0)),"")</f>
        <v/>
      </c>
      <c r="I191" s="72" t="str">
        <f>IFERROR(INDEX($Y$157:$Y$306,MATCH(ROWS($A$157:A191),$AF$157:$AF$306,0)),"")</f>
        <v/>
      </c>
      <c r="J191" s="72" t="str">
        <f>IFERROR(INDEX($Z$157:$Z$306,MATCH(ROWS($A$157:A191),$AF$157:$AF$306,0)),"")</f>
        <v/>
      </c>
      <c r="K191" s="72" t="str">
        <f>IFERROR(INDEX($AA$157:$AA$306,MATCH(ROWS($A$157:A191),$AF$157:$AF$306,0)),"")</f>
        <v/>
      </c>
      <c r="L191" s="72" t="str">
        <f>IFERROR(INDEX($AB$157:$AB$306,MATCH(ROWS($A$157:A191),$AF$157:$AF$306,0)),"")</f>
        <v/>
      </c>
      <c r="M191" s="72" t="str">
        <f>IFERROR(INDEX($AC$157:$AC$306,MATCH(ROWS($A$157:A191),$AF$157:$AF$306,0)),"")</f>
        <v/>
      </c>
      <c r="N191" s="35" t="str">
        <f>IFERROR(INDEX($AD$157:$AD$306,MATCH(ROWS($A$157:A191),$AF$157:$AF$306,0)),"")</f>
        <v/>
      </c>
      <c r="Q191" t="str">
        <f>T(JAN!B40)</f>
        <v>LUCAS PEREIRA 37002099</v>
      </c>
      <c r="R191" t="str">
        <f t="array" ref="R191">IF($Q191="","",_xlfn.TEXTJOIN(", ",TRUE,IF(JAN!$G40:$AK40="AT",JAN!$G$4:$AK$4,"")))</f>
        <v/>
      </c>
      <c r="S191" t="str">
        <f t="array" ref="S191">IF($Q191="","",_xlfn.TEXTJOIN(", ",TRUE,IF(FEV!$G40:$AK40="AT",FEV!$G$4:$AK$4,"")))</f>
        <v/>
      </c>
      <c r="T191" t="str">
        <f t="array" ref="T191">IF($Q191="","",_xlfn.TEXTJOIN(", ",TRUE,IF(MAR!$G40:$AK40="AT",MAR!$G$4:$AK$4,"")))</f>
        <v/>
      </c>
      <c r="U191" t="str">
        <f t="array" ref="U191">IF($Q191="","",_xlfn.TEXTJOIN(", ",TRUE,IF(ABR!$G40:$AK40="AT",ABR!$G$4:$AK$4,"")))</f>
        <v/>
      </c>
      <c r="V191" t="str">
        <f t="array" ref="V191">IF($Q191="","",_xlfn.TEXTJOIN(", ",TRUE,IF(MAI!$G40:$AK40="AT",MAI!$G$4:$AK$4,"")))</f>
        <v/>
      </c>
      <c r="W191" t="str">
        <f t="array" ref="W191">IF($Q191="","",_xlfn.TEXTJOIN(", ",TRUE,IF(JUN!$G40:$AK40="AT",JUN!$G$4:$AK$4,"")))</f>
        <v/>
      </c>
      <c r="X191" t="str">
        <f t="array" ref="X191">IF($Q191="","",_xlfn.TEXTJOIN(", ",TRUE,IF(JUL!$G40:$AK40="AT",JUL!$G$4:$AK$4,"")))</f>
        <v/>
      </c>
      <c r="Y191" t="str">
        <f t="array" ref="Y191">IF($Q191="","",_xlfn.TEXTJOIN(", ",TRUE,IF(AGO!$G40:$AK40="AT",AGO!$G$4:$AK$4,"")))</f>
        <v>10</v>
      </c>
      <c r="Z191" t="str">
        <f t="array" ref="Z191">IF($Q191="","",_xlfn.TEXTJOIN(", ",TRUE,IF(SET!$G40:$AK40="AT",SET!$G$4:$AK$4,"")))</f>
        <v/>
      </c>
      <c r="AA191" t="str">
        <f t="array" ref="AA191">IF($Q191="","",_xlfn.TEXTJOIN(", ",TRUE,IF(OUT!$G40:$AK40="AT",OUT!$G$4:$AK$4,"")))</f>
        <v/>
      </c>
      <c r="AB191" t="str">
        <f t="array" ref="AB191">IF($Q191="","",_xlfn.TEXTJOIN(", ",TRUE,IF(NOV!$G40:$AK40="AT",NOV!$G$4:$AK$4,"")))</f>
        <v/>
      </c>
      <c r="AC191" t="str">
        <f t="array" ref="AC191">IF($Q191="","",_xlfn.TEXTJOIN(", ",TRUE,IF(DEZ!$G40:$AK40="AT",DEZ!$G$4:$AK$4,"")))</f>
        <v/>
      </c>
      <c r="AD191">
        <f>IF($Q191="","",COUNTIF(JAN!$G40:$AK40,"AT")+COUNTIF(FEV!$G40:$AK40,"AT")+COUNTIF(MAR!$G40:$AK40,"AT")+COUNTIF(ABR!$G40:$AK40,"AT")+COUNTIF(MAI!$G40:$AK40,"AT")+COUNTIF(JUN!$G40:$AK40,"AT")+COUNTIF(JUL!$G40:$AK40,"AT")+COUNTIF(AGO!$G40:$AK40,"AT")+COUNTIF(SET!$G40:$AK40,"AT")+COUNTIF(OUT!$G40:$AK40,"AT")+COUNTIF(NOV!$G40:$AK40,"AT")+COUNTIF(DEZ!$G40:$AK40,"AT"))</f>
        <v>1</v>
      </c>
      <c r="AF191">
        <f>IF(AND($Q191&lt;&gt;"",N($AD191)&gt;0),COUNT($AF$156:AF190)+1,"")</f>
        <v>15</v>
      </c>
    </row>
    <row r="192" spans="1:32" hidden="1" outlineLevel="1" x14ac:dyDescent="0.25">
      <c r="A192" s="36" t="str">
        <f>IFERROR(INDEX($Q$157:$Q$306,MATCH(ROWS($A$157:A192),$AF$157:$AF$306,0)),"")</f>
        <v/>
      </c>
      <c r="B192" s="72" t="str">
        <f>IFERROR(INDEX($R$157:$R$306,MATCH(ROWS($A$157:A192),$AF$157:$AF$306,0)),"")</f>
        <v/>
      </c>
      <c r="C192" s="72" t="str">
        <f>IFERROR(INDEX($S$157:$S$306,MATCH(ROWS($A$157:A192),$AF$157:$AF$306,0)),"")</f>
        <v/>
      </c>
      <c r="D192" s="72" t="str">
        <f>IFERROR(INDEX($T$157:$T$306,MATCH(ROWS($A$157:A192),$AF$157:$AF$306,0)),"")</f>
        <v/>
      </c>
      <c r="E192" s="72" t="str">
        <f>IFERROR(INDEX($U$157:$U$306,MATCH(ROWS($A$157:A192),$AF$157:$AF$306,0)),"")</f>
        <v/>
      </c>
      <c r="F192" s="72" t="str">
        <f>IFERROR(INDEX($V$157:$V$306,MATCH(ROWS($A$157:A192),$AF$157:$AF$306,0)),"")</f>
        <v/>
      </c>
      <c r="G192" s="72" t="str">
        <f>IFERROR(INDEX($W$157:$W$306,MATCH(ROWS($A$157:A192),$AF$157:$AF$306,0)),"")</f>
        <v/>
      </c>
      <c r="H192" s="72" t="str">
        <f>IFERROR(INDEX($X$157:$X$306,MATCH(ROWS($A$157:A192),$AF$157:$AF$306,0)),"")</f>
        <v/>
      </c>
      <c r="I192" s="72" t="str">
        <f>IFERROR(INDEX($Y$157:$Y$306,MATCH(ROWS($A$157:A192),$AF$157:$AF$306,0)),"")</f>
        <v/>
      </c>
      <c r="J192" s="72" t="str">
        <f>IFERROR(INDEX($Z$157:$Z$306,MATCH(ROWS($A$157:A192),$AF$157:$AF$306,0)),"")</f>
        <v/>
      </c>
      <c r="K192" s="72" t="str">
        <f>IFERROR(INDEX($AA$157:$AA$306,MATCH(ROWS($A$157:A192),$AF$157:$AF$306,0)),"")</f>
        <v/>
      </c>
      <c r="L192" s="72" t="str">
        <f>IFERROR(INDEX($AB$157:$AB$306,MATCH(ROWS($A$157:A192),$AF$157:$AF$306,0)),"")</f>
        <v/>
      </c>
      <c r="M192" s="72" t="str">
        <f>IFERROR(INDEX($AC$157:$AC$306,MATCH(ROWS($A$157:A192),$AF$157:$AF$306,0)),"")</f>
        <v/>
      </c>
      <c r="N192" s="35" t="str">
        <f>IFERROR(INDEX($AD$157:$AD$306,MATCH(ROWS($A$157:A192),$AF$157:$AF$306,0)),"")</f>
        <v/>
      </c>
      <c r="Q192" t="str">
        <f>T(JAN!B41)</f>
        <v>LUCIANO GROSS 37002144</v>
      </c>
      <c r="R192" t="str">
        <f t="array" ref="R192">IF($Q192="","",_xlfn.TEXTJOIN(", ",TRUE,IF(JAN!$G41:$AK41="AT",JAN!$G$4:$AK$4,"")))</f>
        <v/>
      </c>
      <c r="S192" t="str">
        <f t="array" ref="S192">IF($Q192="","",_xlfn.TEXTJOIN(", ",TRUE,IF(FEV!$G41:$AK41="AT",FEV!$G$4:$AK$4,"")))</f>
        <v/>
      </c>
      <c r="T192" t="str">
        <f t="array" ref="T192">IF($Q192="","",_xlfn.TEXTJOIN(", ",TRUE,IF(MAR!$G41:$AK41="AT",MAR!$G$4:$AK$4,"")))</f>
        <v/>
      </c>
      <c r="U192" t="str">
        <f t="array" ref="U192">IF($Q192="","",_xlfn.TEXTJOIN(", ",TRUE,IF(ABR!$G41:$AK41="AT",ABR!$G$4:$AK$4,"")))</f>
        <v/>
      </c>
      <c r="V192" t="str">
        <f t="array" ref="V192">IF($Q192="","",_xlfn.TEXTJOIN(", ",TRUE,IF(MAI!$G41:$AK41="AT",MAI!$G$4:$AK$4,"")))</f>
        <v/>
      </c>
      <c r="W192" t="str">
        <f t="array" ref="W192">IF($Q192="","",_xlfn.TEXTJOIN(", ",TRUE,IF(JUN!$G41:$AK41="AT",JUN!$G$4:$AK$4,"")))</f>
        <v>26, 27</v>
      </c>
      <c r="X192" t="str">
        <f t="array" ref="X192">IF($Q192="","",_xlfn.TEXTJOIN(", ",TRUE,IF(JUL!$G41:$AK41="AT",JUL!$G$4:$AK$4,"")))</f>
        <v>7</v>
      </c>
      <c r="Y192" t="str">
        <f t="array" ref="Y192">IF($Q192="","",_xlfn.TEXTJOIN(", ",TRUE,IF(AGO!$G41:$AK41="AT",AGO!$G$4:$AK$4,"")))</f>
        <v>10, 12, 13, 26</v>
      </c>
      <c r="Z192" t="str">
        <f t="array" ref="Z192">IF($Q192="","",_xlfn.TEXTJOIN(", ",TRUE,IF(SET!$G41:$AK41="AT",SET!$G$4:$AK$4,"")))</f>
        <v/>
      </c>
      <c r="AA192" t="str">
        <f t="array" ref="AA192">IF($Q192="","",_xlfn.TEXTJOIN(", ",TRUE,IF(OUT!$G41:$AK41="AT",OUT!$G$4:$AK$4,"")))</f>
        <v/>
      </c>
      <c r="AB192" t="str">
        <f t="array" ref="AB192">IF($Q192="","",_xlfn.TEXTJOIN(", ",TRUE,IF(NOV!$G41:$AK41="AT",NOV!$G$4:$AK$4,"")))</f>
        <v/>
      </c>
      <c r="AC192" t="str">
        <f t="array" ref="AC192">IF($Q192="","",_xlfn.TEXTJOIN(", ",TRUE,IF(DEZ!$G41:$AK41="AT",DEZ!$G$4:$AK$4,"")))</f>
        <v/>
      </c>
      <c r="AD192">
        <f>IF($Q192="","",COUNTIF(JAN!$G41:$AK41,"AT")+COUNTIF(FEV!$G41:$AK41,"AT")+COUNTIF(MAR!$G41:$AK41,"AT")+COUNTIF(ABR!$G41:$AK41,"AT")+COUNTIF(MAI!$G41:$AK41,"AT")+COUNTIF(JUN!$G41:$AK41,"AT")+COUNTIF(JUL!$G41:$AK41,"AT")+COUNTIF(AGO!$G41:$AK41,"AT")+COUNTIF(SET!$G41:$AK41,"AT")+COUNTIF(OUT!$G41:$AK41,"AT")+COUNTIF(NOV!$G41:$AK41,"AT")+COUNTIF(DEZ!$G41:$AK41,"AT"))</f>
        <v>7</v>
      </c>
      <c r="AF192">
        <f>IF(AND($Q192&lt;&gt;"",N($AD192)&gt;0),COUNT($AF$156:AF191)+1,"")</f>
        <v>16</v>
      </c>
    </row>
    <row r="193" spans="1:32" hidden="1" outlineLevel="1" x14ac:dyDescent="0.25">
      <c r="A193" s="36" t="str">
        <f>IFERROR(INDEX($Q$157:$Q$306,MATCH(ROWS($A$157:A193),$AF$157:$AF$306,0)),"")</f>
        <v/>
      </c>
      <c r="B193" s="72" t="str">
        <f>IFERROR(INDEX($R$157:$R$306,MATCH(ROWS($A$157:A193),$AF$157:$AF$306,0)),"")</f>
        <v/>
      </c>
      <c r="C193" s="72" t="str">
        <f>IFERROR(INDEX($S$157:$S$306,MATCH(ROWS($A$157:A193),$AF$157:$AF$306,0)),"")</f>
        <v/>
      </c>
      <c r="D193" s="72" t="str">
        <f>IFERROR(INDEX($T$157:$T$306,MATCH(ROWS($A$157:A193),$AF$157:$AF$306,0)),"")</f>
        <v/>
      </c>
      <c r="E193" s="72" t="str">
        <f>IFERROR(INDEX($U$157:$U$306,MATCH(ROWS($A$157:A193),$AF$157:$AF$306,0)),"")</f>
        <v/>
      </c>
      <c r="F193" s="72" t="str">
        <f>IFERROR(INDEX($V$157:$V$306,MATCH(ROWS($A$157:A193),$AF$157:$AF$306,0)),"")</f>
        <v/>
      </c>
      <c r="G193" s="72" t="str">
        <f>IFERROR(INDEX($W$157:$W$306,MATCH(ROWS($A$157:A193),$AF$157:$AF$306,0)),"")</f>
        <v/>
      </c>
      <c r="H193" s="72" t="str">
        <f>IFERROR(INDEX($X$157:$X$306,MATCH(ROWS($A$157:A193),$AF$157:$AF$306,0)),"")</f>
        <v/>
      </c>
      <c r="I193" s="72" t="str">
        <f>IFERROR(INDEX($Y$157:$Y$306,MATCH(ROWS($A$157:A193),$AF$157:$AF$306,0)),"")</f>
        <v/>
      </c>
      <c r="J193" s="72" t="str">
        <f>IFERROR(INDEX($Z$157:$Z$306,MATCH(ROWS($A$157:A193),$AF$157:$AF$306,0)),"")</f>
        <v/>
      </c>
      <c r="K193" s="72" t="str">
        <f>IFERROR(INDEX($AA$157:$AA$306,MATCH(ROWS($A$157:A193),$AF$157:$AF$306,0)),"")</f>
        <v/>
      </c>
      <c r="L193" s="72" t="str">
        <f>IFERROR(INDEX($AB$157:$AB$306,MATCH(ROWS($A$157:A193),$AF$157:$AF$306,0)),"")</f>
        <v/>
      </c>
      <c r="M193" s="72" t="str">
        <f>IFERROR(INDEX($AC$157:$AC$306,MATCH(ROWS($A$157:A193),$AF$157:$AF$306,0)),"")</f>
        <v/>
      </c>
      <c r="N193" s="35" t="str">
        <f>IFERROR(INDEX($AD$157:$AD$306,MATCH(ROWS($A$157:A193),$AF$157:$AF$306,0)),"")</f>
        <v/>
      </c>
      <c r="Q193" t="str">
        <f>T(JAN!B42)</f>
        <v>UILIAN NOGUEIRA 483101</v>
      </c>
      <c r="R193" t="str">
        <f t="array" ref="R193">IF($Q193="","",_xlfn.TEXTJOIN(", ",TRUE,IF(JAN!$G42:$AK42="AT",JAN!$G$4:$AK$4,"")))</f>
        <v/>
      </c>
      <c r="S193" t="str">
        <f t="array" ref="S193">IF($Q193="","",_xlfn.TEXTJOIN(", ",TRUE,IF(FEV!$G42:$AK42="AT",FEV!$G$4:$AK$4,"")))</f>
        <v/>
      </c>
      <c r="T193" t="str">
        <f t="array" ref="T193">IF($Q193="","",_xlfn.TEXTJOIN(", ",TRUE,IF(MAR!$G42:$AK42="AT",MAR!$G$4:$AK$4,"")))</f>
        <v/>
      </c>
      <c r="U193" t="str">
        <f t="array" ref="U193">IF($Q193="","",_xlfn.TEXTJOIN(", ",TRUE,IF(ABR!$G42:$AK42="AT",ABR!$G$4:$AK$4,"")))</f>
        <v/>
      </c>
      <c r="V193" t="str">
        <f t="array" ref="V193">IF($Q193="","",_xlfn.TEXTJOIN(", ",TRUE,IF(MAI!$G42:$AK42="AT",MAI!$G$4:$AK$4,"")))</f>
        <v/>
      </c>
      <c r="W193" t="str">
        <f t="array" ref="W193">IF($Q193="","",_xlfn.TEXTJOIN(", ",TRUE,IF(JUN!$G42:$AK42="AT",JUN!$G$4:$AK$4,"")))</f>
        <v/>
      </c>
      <c r="X193" t="str">
        <f t="array" ref="X193">IF($Q193="","",_xlfn.TEXTJOIN(", ",TRUE,IF(JUL!$G42:$AK42="AT",JUL!$G$4:$AK$4,"")))</f>
        <v/>
      </c>
      <c r="Y193" t="str">
        <f t="array" ref="Y193">IF($Q193="","",_xlfn.TEXTJOIN(", ",TRUE,IF(AGO!$G42:$AK42="AT",AGO!$G$4:$AK$4,"")))</f>
        <v/>
      </c>
      <c r="Z193" t="str">
        <f t="array" ref="Z193">IF($Q193="","",_xlfn.TEXTJOIN(", ",TRUE,IF(SET!$G42:$AK42="AT",SET!$G$4:$AK$4,"")))</f>
        <v/>
      </c>
      <c r="AA193" t="str">
        <f t="array" ref="AA193">IF($Q193="","",_xlfn.TEXTJOIN(", ",TRUE,IF(OUT!$G42:$AK42="AT",OUT!$G$4:$AK$4,"")))</f>
        <v/>
      </c>
      <c r="AB193" t="str">
        <f t="array" ref="AB193">IF($Q193="","",_xlfn.TEXTJOIN(", ",TRUE,IF(NOV!$G42:$AK42="AT",NOV!$G$4:$AK$4,"")))</f>
        <v/>
      </c>
      <c r="AC193" t="str">
        <f t="array" ref="AC193">IF($Q193="","",_xlfn.TEXTJOIN(", ",TRUE,IF(DEZ!$G42:$AK42="AT",DEZ!$G$4:$AK$4,"")))</f>
        <v/>
      </c>
      <c r="AD193">
        <f>IF($Q193="","",COUNTIF(JAN!$G42:$AK42,"AT")+COUNTIF(FEV!$G42:$AK42,"AT")+COUNTIF(MAR!$G42:$AK42,"AT")+COUNTIF(ABR!$G42:$AK42,"AT")+COUNTIF(MAI!$G42:$AK42,"AT")+COUNTIF(JUN!$G42:$AK42,"AT")+COUNTIF(JUL!$G42:$AK42,"AT")+COUNTIF(AGO!$G42:$AK42,"AT")+COUNTIF(SET!$G42:$AK42,"AT")+COUNTIF(OUT!$G42:$AK42,"AT")+COUNTIF(NOV!$G42:$AK42,"AT")+COUNTIF(DEZ!$G42:$AK42,"AT"))</f>
        <v>0</v>
      </c>
      <c r="AF193" t="str">
        <f>IF(AND($Q193&lt;&gt;"",N($AD193)&gt;0),COUNT($AF$156:AF192)+1,"")</f>
        <v/>
      </c>
    </row>
    <row r="194" spans="1:32" hidden="1" outlineLevel="1" x14ac:dyDescent="0.25">
      <c r="A194" s="36" t="str">
        <f>IFERROR(INDEX($Q$157:$Q$306,MATCH(ROWS($A$157:A194),$AF$157:$AF$306,0)),"")</f>
        <v/>
      </c>
      <c r="B194" s="72" t="str">
        <f>IFERROR(INDEX($R$157:$R$306,MATCH(ROWS($A$157:A194),$AF$157:$AF$306,0)),"")</f>
        <v/>
      </c>
      <c r="C194" s="72" t="str">
        <f>IFERROR(INDEX($S$157:$S$306,MATCH(ROWS($A$157:A194),$AF$157:$AF$306,0)),"")</f>
        <v/>
      </c>
      <c r="D194" s="72" t="str">
        <f>IFERROR(INDEX($T$157:$T$306,MATCH(ROWS($A$157:A194),$AF$157:$AF$306,0)),"")</f>
        <v/>
      </c>
      <c r="E194" s="72" t="str">
        <f>IFERROR(INDEX($U$157:$U$306,MATCH(ROWS($A$157:A194),$AF$157:$AF$306,0)),"")</f>
        <v/>
      </c>
      <c r="F194" s="72" t="str">
        <f>IFERROR(INDEX($V$157:$V$306,MATCH(ROWS($A$157:A194),$AF$157:$AF$306,0)),"")</f>
        <v/>
      </c>
      <c r="G194" s="72" t="str">
        <f>IFERROR(INDEX($W$157:$W$306,MATCH(ROWS($A$157:A194),$AF$157:$AF$306,0)),"")</f>
        <v/>
      </c>
      <c r="H194" s="72" t="str">
        <f>IFERROR(INDEX($X$157:$X$306,MATCH(ROWS($A$157:A194),$AF$157:$AF$306,0)),"")</f>
        <v/>
      </c>
      <c r="I194" s="72" t="str">
        <f>IFERROR(INDEX($Y$157:$Y$306,MATCH(ROWS($A$157:A194),$AF$157:$AF$306,0)),"")</f>
        <v/>
      </c>
      <c r="J194" s="72" t="str">
        <f>IFERROR(INDEX($Z$157:$Z$306,MATCH(ROWS($A$157:A194),$AF$157:$AF$306,0)),"")</f>
        <v/>
      </c>
      <c r="K194" s="72" t="str">
        <f>IFERROR(INDEX($AA$157:$AA$306,MATCH(ROWS($A$157:A194),$AF$157:$AF$306,0)),"")</f>
        <v/>
      </c>
      <c r="L194" s="72" t="str">
        <f>IFERROR(INDEX($AB$157:$AB$306,MATCH(ROWS($A$157:A194),$AF$157:$AF$306,0)),"")</f>
        <v/>
      </c>
      <c r="M194" s="72" t="str">
        <f>IFERROR(INDEX($AC$157:$AC$306,MATCH(ROWS($A$157:A194),$AF$157:$AF$306,0)),"")</f>
        <v/>
      </c>
      <c r="N194" s="35" t="str">
        <f>IFERROR(INDEX($AD$157:$AD$306,MATCH(ROWS($A$157:A194),$AF$157:$AF$306,0)),"")</f>
        <v/>
      </c>
      <c r="Q194" t="str">
        <f>T(JAN!B43)</f>
        <v>PATRICK OLIVEIRA 361601</v>
      </c>
      <c r="R194" t="str">
        <f t="array" ref="R194">IF($Q194="","",_xlfn.TEXTJOIN(", ",TRUE,IF(JAN!$G43:$AK43="AT",JAN!$G$4:$AK$4,"")))</f>
        <v/>
      </c>
      <c r="S194" t="str">
        <f t="array" ref="S194">IF($Q194="","",_xlfn.TEXTJOIN(", ",TRUE,IF(FEV!$G43:$AK43="AT",FEV!$G$4:$AK$4,"")))</f>
        <v/>
      </c>
      <c r="T194" t="str">
        <f t="array" ref="T194">IF($Q194="","",_xlfn.TEXTJOIN(", ",TRUE,IF(MAR!$G43:$AK43="AT",MAR!$G$4:$AK$4,"")))</f>
        <v/>
      </c>
      <c r="U194" t="str">
        <f t="array" ref="U194">IF($Q194="","",_xlfn.TEXTJOIN(", ",TRUE,IF(ABR!$G43:$AK43="AT",ABR!$G$4:$AK$4,"")))</f>
        <v/>
      </c>
      <c r="V194" t="str">
        <f t="array" ref="V194">IF($Q194="","",_xlfn.TEXTJOIN(", ",TRUE,IF(MAI!$G43:$AK43="AT",MAI!$G$4:$AK$4,"")))</f>
        <v/>
      </c>
      <c r="W194" t="str">
        <f t="array" ref="W194">IF($Q194="","",_xlfn.TEXTJOIN(", ",TRUE,IF(JUN!$G43:$AK43="AT",JUN!$G$4:$AK$4,"")))</f>
        <v/>
      </c>
      <c r="X194" t="str">
        <f t="array" ref="X194">IF($Q194="","",_xlfn.TEXTJOIN(", ",TRUE,IF(JUL!$G43:$AK43="AT",JUL!$G$4:$AK$4,"")))</f>
        <v/>
      </c>
      <c r="Y194" t="str">
        <f t="array" ref="Y194">IF($Q194="","",_xlfn.TEXTJOIN(", ",TRUE,IF(AGO!$G43:$AK43="AT",AGO!$G$4:$AK$4,"")))</f>
        <v/>
      </c>
      <c r="Z194" t="str">
        <f t="array" ref="Z194">IF($Q194="","",_xlfn.TEXTJOIN(", ",TRUE,IF(SET!$G43:$AK43="AT",SET!$G$4:$AK$4,"")))</f>
        <v/>
      </c>
      <c r="AA194" t="str">
        <f t="array" ref="AA194">IF($Q194="","",_xlfn.TEXTJOIN(", ",TRUE,IF(OUT!$G43:$AK43="AT",OUT!$G$4:$AK$4,"")))</f>
        <v/>
      </c>
      <c r="AB194" t="str">
        <f t="array" ref="AB194">IF($Q194="","",_xlfn.TEXTJOIN(", ",TRUE,IF(NOV!$G43:$AK43="AT",NOV!$G$4:$AK$4,"")))</f>
        <v/>
      </c>
      <c r="AC194" t="str">
        <f t="array" ref="AC194">IF($Q194="","",_xlfn.TEXTJOIN(", ",TRUE,IF(DEZ!$G43:$AK43="AT",DEZ!$G$4:$AK$4,"")))</f>
        <v/>
      </c>
      <c r="AD194">
        <f>IF($Q194="","",COUNTIF(JAN!$G43:$AK43,"AT")+COUNTIF(FEV!$G43:$AK43,"AT")+COUNTIF(MAR!$G43:$AK43,"AT")+COUNTIF(ABR!$G43:$AK43,"AT")+COUNTIF(MAI!$G43:$AK43,"AT")+COUNTIF(JUN!$G43:$AK43,"AT")+COUNTIF(JUL!$G43:$AK43,"AT")+COUNTIF(AGO!$G43:$AK43,"AT")+COUNTIF(SET!$G43:$AK43,"AT")+COUNTIF(OUT!$G43:$AK43,"AT")+COUNTIF(NOV!$G43:$AK43,"AT")+COUNTIF(DEZ!$G43:$AK43,"AT"))</f>
        <v>0</v>
      </c>
      <c r="AF194" t="str">
        <f>IF(AND($Q194&lt;&gt;"",N($AD194)&gt;0),COUNT($AF$156:AF193)+1,"")</f>
        <v/>
      </c>
    </row>
    <row r="195" spans="1:32" hidden="1" outlineLevel="1" x14ac:dyDescent="0.25">
      <c r="A195" s="36" t="str">
        <f>IFERROR(INDEX($Q$157:$Q$306,MATCH(ROWS($A$157:A195),$AF$157:$AF$306,0)),"")</f>
        <v/>
      </c>
      <c r="B195" s="72" t="str">
        <f>IFERROR(INDEX($R$157:$R$306,MATCH(ROWS($A$157:A195),$AF$157:$AF$306,0)),"")</f>
        <v/>
      </c>
      <c r="C195" s="72" t="str">
        <f>IFERROR(INDEX($S$157:$S$306,MATCH(ROWS($A$157:A195),$AF$157:$AF$306,0)),"")</f>
        <v/>
      </c>
      <c r="D195" s="72" t="str">
        <f>IFERROR(INDEX($T$157:$T$306,MATCH(ROWS($A$157:A195),$AF$157:$AF$306,0)),"")</f>
        <v/>
      </c>
      <c r="E195" s="72" t="str">
        <f>IFERROR(INDEX($U$157:$U$306,MATCH(ROWS($A$157:A195),$AF$157:$AF$306,0)),"")</f>
        <v/>
      </c>
      <c r="F195" s="72" t="str">
        <f>IFERROR(INDEX($V$157:$V$306,MATCH(ROWS($A$157:A195),$AF$157:$AF$306,0)),"")</f>
        <v/>
      </c>
      <c r="G195" s="72" t="str">
        <f>IFERROR(INDEX($W$157:$W$306,MATCH(ROWS($A$157:A195),$AF$157:$AF$306,0)),"")</f>
        <v/>
      </c>
      <c r="H195" s="72" t="str">
        <f>IFERROR(INDEX($X$157:$X$306,MATCH(ROWS($A$157:A195),$AF$157:$AF$306,0)),"")</f>
        <v/>
      </c>
      <c r="I195" s="72" t="str">
        <f>IFERROR(INDEX($Y$157:$Y$306,MATCH(ROWS($A$157:A195),$AF$157:$AF$306,0)),"")</f>
        <v/>
      </c>
      <c r="J195" s="72" t="str">
        <f>IFERROR(INDEX($Z$157:$Z$306,MATCH(ROWS($A$157:A195),$AF$157:$AF$306,0)),"")</f>
        <v/>
      </c>
      <c r="K195" s="72" t="str">
        <f>IFERROR(INDEX($AA$157:$AA$306,MATCH(ROWS($A$157:A195),$AF$157:$AF$306,0)),"")</f>
        <v/>
      </c>
      <c r="L195" s="72" t="str">
        <f>IFERROR(INDEX($AB$157:$AB$306,MATCH(ROWS($A$157:A195),$AF$157:$AF$306,0)),"")</f>
        <v/>
      </c>
      <c r="M195" s="72" t="str">
        <f>IFERROR(INDEX($AC$157:$AC$306,MATCH(ROWS($A$157:A195),$AF$157:$AF$306,0)),"")</f>
        <v/>
      </c>
      <c r="N195" s="35" t="str">
        <f>IFERROR(INDEX($AD$157:$AD$306,MATCH(ROWS($A$157:A195),$AF$157:$AF$306,0)),"")</f>
        <v/>
      </c>
      <c r="Q195" t="str">
        <f>T(JAN!B44)</f>
        <v>DAVI FARIAS 141501</v>
      </c>
      <c r="R195" t="str">
        <f t="array" ref="R195">IF($Q195="","",_xlfn.TEXTJOIN(", ",TRUE,IF(JAN!$G44:$AK44="AT",JAN!$G$4:$AK$4,"")))</f>
        <v/>
      </c>
      <c r="S195" t="str">
        <f t="array" ref="S195">IF($Q195="","",_xlfn.TEXTJOIN(", ",TRUE,IF(FEV!$G44:$AK44="AT",FEV!$G$4:$AK$4,"")))</f>
        <v/>
      </c>
      <c r="T195" t="str">
        <f t="array" ref="T195">IF($Q195="","",_xlfn.TEXTJOIN(", ",TRUE,IF(MAR!$G44:$AK44="AT",MAR!$G$4:$AK$4,"")))</f>
        <v/>
      </c>
      <c r="U195" t="str">
        <f t="array" ref="U195">IF($Q195="","",_xlfn.TEXTJOIN(", ",TRUE,IF(ABR!$G44:$AK44="AT",ABR!$G$4:$AK$4,"")))</f>
        <v/>
      </c>
      <c r="V195" t="str">
        <f t="array" ref="V195">IF($Q195="","",_xlfn.TEXTJOIN(", ",TRUE,IF(MAI!$G44:$AK44="AT",MAI!$G$4:$AK$4,"")))</f>
        <v/>
      </c>
      <c r="W195" t="str">
        <f t="array" ref="W195">IF($Q195="","",_xlfn.TEXTJOIN(", ",TRUE,IF(JUN!$G44:$AK44="AT",JUN!$G$4:$AK$4,"")))</f>
        <v/>
      </c>
      <c r="X195" t="str">
        <f t="array" ref="X195">IF($Q195="","",_xlfn.TEXTJOIN(", ",TRUE,IF(JUL!$G44:$AK44="AT",JUL!$G$4:$AK$4,"")))</f>
        <v/>
      </c>
      <c r="Y195" t="str">
        <f t="array" ref="Y195">IF($Q195="","",_xlfn.TEXTJOIN(", ",TRUE,IF(AGO!$G44:$AK44="AT",AGO!$G$4:$AK$4,"")))</f>
        <v/>
      </c>
      <c r="Z195" t="str">
        <f t="array" ref="Z195">IF($Q195="","",_xlfn.TEXTJOIN(", ",TRUE,IF(SET!$G44:$AK44="AT",SET!$G$4:$AK$4,"")))</f>
        <v/>
      </c>
      <c r="AA195" t="str">
        <f t="array" ref="AA195">IF($Q195="","",_xlfn.TEXTJOIN(", ",TRUE,IF(OUT!$G44:$AK44="AT",OUT!$G$4:$AK$4,"")))</f>
        <v/>
      </c>
      <c r="AB195" t="str">
        <f t="array" ref="AB195">IF($Q195="","",_xlfn.TEXTJOIN(", ",TRUE,IF(NOV!$G44:$AK44="AT",NOV!$G$4:$AK$4,"")))</f>
        <v/>
      </c>
      <c r="AC195" t="str">
        <f t="array" ref="AC195">IF($Q195="","",_xlfn.TEXTJOIN(", ",TRUE,IF(DEZ!$G44:$AK44="AT",DEZ!$G$4:$AK$4,"")))</f>
        <v/>
      </c>
      <c r="AD195">
        <f>IF($Q195="","",COUNTIF(JAN!$G44:$AK44,"AT")+COUNTIF(FEV!$G44:$AK44,"AT")+COUNTIF(MAR!$G44:$AK44,"AT")+COUNTIF(ABR!$G44:$AK44,"AT")+COUNTIF(MAI!$G44:$AK44,"AT")+COUNTIF(JUN!$G44:$AK44,"AT")+COUNTIF(JUL!$G44:$AK44,"AT")+COUNTIF(AGO!$G44:$AK44,"AT")+COUNTIF(SET!$G44:$AK44,"AT")+COUNTIF(OUT!$G44:$AK44,"AT")+COUNTIF(NOV!$G44:$AK44,"AT")+COUNTIF(DEZ!$G44:$AK44,"AT"))</f>
        <v>0</v>
      </c>
      <c r="AF195" t="str">
        <f>IF(AND($Q195&lt;&gt;"",N($AD195)&gt;0),COUNT($AF$156:AF194)+1,"")</f>
        <v/>
      </c>
    </row>
    <row r="196" spans="1:32" hidden="1" outlineLevel="1" x14ac:dyDescent="0.25">
      <c r="A196" s="36" t="str">
        <f>IFERROR(INDEX($Q$157:$Q$306,MATCH(ROWS($A$157:A196),$AF$157:$AF$306,0)),"")</f>
        <v/>
      </c>
      <c r="B196" s="72" t="str">
        <f>IFERROR(INDEX($R$157:$R$306,MATCH(ROWS($A$157:A196),$AF$157:$AF$306,0)),"")</f>
        <v/>
      </c>
      <c r="C196" s="72" t="str">
        <f>IFERROR(INDEX($S$157:$S$306,MATCH(ROWS($A$157:A196),$AF$157:$AF$306,0)),"")</f>
        <v/>
      </c>
      <c r="D196" s="72" t="str">
        <f>IFERROR(INDEX($T$157:$T$306,MATCH(ROWS($A$157:A196),$AF$157:$AF$306,0)),"")</f>
        <v/>
      </c>
      <c r="E196" s="72" t="str">
        <f>IFERROR(INDEX($U$157:$U$306,MATCH(ROWS($A$157:A196),$AF$157:$AF$306,0)),"")</f>
        <v/>
      </c>
      <c r="F196" s="72" t="str">
        <f>IFERROR(INDEX($V$157:$V$306,MATCH(ROWS($A$157:A196),$AF$157:$AF$306,0)),"")</f>
        <v/>
      </c>
      <c r="G196" s="72" t="str">
        <f>IFERROR(INDEX($W$157:$W$306,MATCH(ROWS($A$157:A196),$AF$157:$AF$306,0)),"")</f>
        <v/>
      </c>
      <c r="H196" s="72" t="str">
        <f>IFERROR(INDEX($X$157:$X$306,MATCH(ROWS($A$157:A196),$AF$157:$AF$306,0)),"")</f>
        <v/>
      </c>
      <c r="I196" s="72" t="str">
        <f>IFERROR(INDEX($Y$157:$Y$306,MATCH(ROWS($A$157:A196),$AF$157:$AF$306,0)),"")</f>
        <v/>
      </c>
      <c r="J196" s="72" t="str">
        <f>IFERROR(INDEX($Z$157:$Z$306,MATCH(ROWS($A$157:A196),$AF$157:$AF$306,0)),"")</f>
        <v/>
      </c>
      <c r="K196" s="72" t="str">
        <f>IFERROR(INDEX($AA$157:$AA$306,MATCH(ROWS($A$157:A196),$AF$157:$AF$306,0)),"")</f>
        <v/>
      </c>
      <c r="L196" s="72" t="str">
        <f>IFERROR(INDEX($AB$157:$AB$306,MATCH(ROWS($A$157:A196),$AF$157:$AF$306,0)),"")</f>
        <v/>
      </c>
      <c r="M196" s="72" t="str">
        <f>IFERROR(INDEX($AC$157:$AC$306,MATCH(ROWS($A$157:A196),$AF$157:$AF$306,0)),"")</f>
        <v/>
      </c>
      <c r="N196" s="35" t="str">
        <f>IFERROR(INDEX($AD$157:$AD$306,MATCH(ROWS($A$157:A196),$AF$157:$AF$306,0)),"")</f>
        <v/>
      </c>
      <c r="Q196" t="str">
        <f>T(JAN!B45)</f>
        <v>JEAN MARTINS 37002258</v>
      </c>
      <c r="R196" t="str">
        <f t="array" ref="R196">IF($Q196="","",_xlfn.TEXTJOIN(", ",TRUE,IF(JAN!$G45:$AK45="AT",JAN!$G$4:$AK$4,"")))</f>
        <v/>
      </c>
      <c r="S196" t="str">
        <f t="array" ref="S196">IF($Q196="","",_xlfn.TEXTJOIN(", ",TRUE,IF(FEV!$G45:$AK45="AT",FEV!$G$4:$AK$4,"")))</f>
        <v/>
      </c>
      <c r="T196" t="str">
        <f t="array" ref="T196">IF($Q196="","",_xlfn.TEXTJOIN(", ",TRUE,IF(MAR!$G45:$AK45="AT",MAR!$G$4:$AK$4,"")))</f>
        <v/>
      </c>
      <c r="U196" t="str">
        <f t="array" ref="U196">IF($Q196="","",_xlfn.TEXTJOIN(", ",TRUE,IF(ABR!$G45:$AK45="AT",ABR!$G$4:$AK$4,"")))</f>
        <v/>
      </c>
      <c r="V196" t="str">
        <f t="array" ref="V196">IF($Q196="","",_xlfn.TEXTJOIN(", ",TRUE,IF(MAI!$G45:$AK45="AT",MAI!$G$4:$AK$4,"")))</f>
        <v/>
      </c>
      <c r="W196" t="str">
        <f t="array" ref="W196">IF($Q196="","",_xlfn.TEXTJOIN(", ",TRUE,IF(JUN!$G45:$AK45="AT",JUN!$G$4:$AK$4,"")))</f>
        <v/>
      </c>
      <c r="X196" t="str">
        <f t="array" ref="X196">IF($Q196="","",_xlfn.TEXTJOIN(", ",TRUE,IF(JUL!$G45:$AK45="AT",JUL!$G$4:$AK$4,"")))</f>
        <v/>
      </c>
      <c r="Y196" t="str">
        <f t="array" ref="Y196">IF($Q196="","",_xlfn.TEXTJOIN(", ",TRUE,IF(AGO!$G45:$AK45="AT",AGO!$G$4:$AK$4,"")))</f>
        <v/>
      </c>
      <c r="Z196" t="str">
        <f t="array" ref="Z196">IF($Q196="","",_xlfn.TEXTJOIN(", ",TRUE,IF(SET!$G45:$AK45="AT",SET!$G$4:$AK$4,"")))</f>
        <v/>
      </c>
      <c r="AA196" t="str">
        <f t="array" ref="AA196">IF($Q196="","",_xlfn.TEXTJOIN(", ",TRUE,IF(OUT!$G45:$AK45="AT",OUT!$G$4:$AK$4,"")))</f>
        <v/>
      </c>
      <c r="AB196" t="str">
        <f t="array" ref="AB196">IF($Q196="","",_xlfn.TEXTJOIN(", ",TRUE,IF(NOV!$G45:$AK45="AT",NOV!$G$4:$AK$4,"")))</f>
        <v/>
      </c>
      <c r="AC196" t="str">
        <f t="array" ref="AC196">IF($Q196="","",_xlfn.TEXTJOIN(", ",TRUE,IF(DEZ!$G45:$AK45="AT",DEZ!$G$4:$AK$4,"")))</f>
        <v/>
      </c>
      <c r="AD196">
        <f>IF($Q196="","",COUNTIF(JAN!$G45:$AK45,"AT")+COUNTIF(FEV!$G45:$AK45,"AT")+COUNTIF(MAR!$G45:$AK45,"AT")+COUNTIF(ABR!$G45:$AK45,"AT")+COUNTIF(MAI!$G45:$AK45,"AT")+COUNTIF(JUN!$G45:$AK45,"AT")+COUNTIF(JUL!$G45:$AK45,"AT")+COUNTIF(AGO!$G45:$AK45,"AT")+COUNTIF(SET!$G45:$AK45,"AT")+COUNTIF(OUT!$G45:$AK45,"AT")+COUNTIF(NOV!$G45:$AK45,"AT")+COUNTIF(DEZ!$G45:$AK45,"AT"))</f>
        <v>0</v>
      </c>
      <c r="AF196" t="str">
        <f>IF(AND($Q196&lt;&gt;"",N($AD196)&gt;0),COUNT($AF$156:AF195)+1,"")</f>
        <v/>
      </c>
    </row>
    <row r="197" spans="1:32" hidden="1" outlineLevel="1" x14ac:dyDescent="0.25">
      <c r="A197" s="36" t="str">
        <f>IFERROR(INDEX($Q$157:$Q$306,MATCH(ROWS($A$157:A197),$AF$157:$AF$306,0)),"")</f>
        <v/>
      </c>
      <c r="B197" s="72" t="str">
        <f>IFERROR(INDEX($R$157:$R$306,MATCH(ROWS($A$157:A197),$AF$157:$AF$306,0)),"")</f>
        <v/>
      </c>
      <c r="C197" s="72" t="str">
        <f>IFERROR(INDEX($S$157:$S$306,MATCH(ROWS($A$157:A197),$AF$157:$AF$306,0)),"")</f>
        <v/>
      </c>
      <c r="D197" s="72" t="str">
        <f>IFERROR(INDEX($T$157:$T$306,MATCH(ROWS($A$157:A197),$AF$157:$AF$306,0)),"")</f>
        <v/>
      </c>
      <c r="E197" s="72" t="str">
        <f>IFERROR(INDEX($U$157:$U$306,MATCH(ROWS($A$157:A197),$AF$157:$AF$306,0)),"")</f>
        <v/>
      </c>
      <c r="F197" s="72" t="str">
        <f>IFERROR(INDEX($V$157:$V$306,MATCH(ROWS($A$157:A197),$AF$157:$AF$306,0)),"")</f>
        <v/>
      </c>
      <c r="G197" s="72" t="str">
        <f>IFERROR(INDEX($W$157:$W$306,MATCH(ROWS($A$157:A197),$AF$157:$AF$306,0)),"")</f>
        <v/>
      </c>
      <c r="H197" s="72" t="str">
        <f>IFERROR(INDEX($X$157:$X$306,MATCH(ROWS($A$157:A197),$AF$157:$AF$306,0)),"")</f>
        <v/>
      </c>
      <c r="I197" s="72" t="str">
        <f>IFERROR(INDEX($Y$157:$Y$306,MATCH(ROWS($A$157:A197),$AF$157:$AF$306,0)),"")</f>
        <v/>
      </c>
      <c r="J197" s="72" t="str">
        <f>IFERROR(INDEX($Z$157:$Z$306,MATCH(ROWS($A$157:A197),$AF$157:$AF$306,0)),"")</f>
        <v/>
      </c>
      <c r="K197" s="72" t="str">
        <f>IFERROR(INDEX($AA$157:$AA$306,MATCH(ROWS($A$157:A197),$AF$157:$AF$306,0)),"")</f>
        <v/>
      </c>
      <c r="L197" s="72" t="str">
        <f>IFERROR(INDEX($AB$157:$AB$306,MATCH(ROWS($A$157:A197),$AF$157:$AF$306,0)),"")</f>
        <v/>
      </c>
      <c r="M197" s="72" t="str">
        <f>IFERROR(INDEX($AC$157:$AC$306,MATCH(ROWS($A$157:A197),$AF$157:$AF$306,0)),"")</f>
        <v/>
      </c>
      <c r="N197" s="35" t="str">
        <f>IFERROR(INDEX($AD$157:$AD$306,MATCH(ROWS($A$157:A197),$AF$157:$AF$306,0)),"")</f>
        <v/>
      </c>
      <c r="Q197" t="str">
        <f>T(JAN!B46)</f>
        <v>LORENZO LOPES 246601</v>
      </c>
      <c r="R197" t="str">
        <f t="array" ref="R197">IF($Q197="","",_xlfn.TEXTJOIN(", ",TRUE,IF(JAN!$G46:$AK46="AT",JAN!$G$4:$AK$4,"")))</f>
        <v/>
      </c>
      <c r="S197" t="str">
        <f t="array" ref="S197">IF($Q197="","",_xlfn.TEXTJOIN(", ",TRUE,IF(FEV!$G46:$AK46="AT",FEV!$G$4:$AK$4,"")))</f>
        <v/>
      </c>
      <c r="T197" t="str">
        <f t="array" ref="T197">IF($Q197="","",_xlfn.TEXTJOIN(", ",TRUE,IF(MAR!$G46:$AK46="AT",MAR!$G$4:$AK$4,"")))</f>
        <v/>
      </c>
      <c r="U197" t="str">
        <f t="array" ref="U197">IF($Q197="","",_xlfn.TEXTJOIN(", ",TRUE,IF(ABR!$G46:$AK46="AT",ABR!$G$4:$AK$4,"")))</f>
        <v/>
      </c>
      <c r="V197" t="str">
        <f t="array" ref="V197">IF($Q197="","",_xlfn.TEXTJOIN(", ",TRUE,IF(MAI!$G46:$AK46="AT",MAI!$G$4:$AK$4,"")))</f>
        <v/>
      </c>
      <c r="W197" t="str">
        <f t="array" ref="W197">IF($Q197="","",_xlfn.TEXTJOIN(", ",TRUE,IF(JUN!$G46:$AK46="AT",JUN!$G$4:$AK$4,"")))</f>
        <v/>
      </c>
      <c r="X197" t="str">
        <f t="array" ref="X197">IF($Q197="","",_xlfn.TEXTJOIN(", ",TRUE,IF(JUL!$G46:$AK46="AT",JUL!$G$4:$AK$4,"")))</f>
        <v/>
      </c>
      <c r="Y197" t="str">
        <f t="array" ref="Y197">IF($Q197="","",_xlfn.TEXTJOIN(", ",TRUE,IF(AGO!$G46:$AK46="AT",AGO!$G$4:$AK$4,"")))</f>
        <v/>
      </c>
      <c r="Z197" t="str">
        <f t="array" ref="Z197">IF($Q197="","",_xlfn.TEXTJOIN(", ",TRUE,IF(SET!$G46:$AK46="AT",SET!$G$4:$AK$4,"")))</f>
        <v/>
      </c>
      <c r="AA197" t="str">
        <f t="array" ref="AA197">IF($Q197="","",_xlfn.TEXTJOIN(", ",TRUE,IF(OUT!$G46:$AK46="AT",OUT!$G$4:$AK$4,"")))</f>
        <v/>
      </c>
      <c r="AB197" t="str">
        <f t="array" ref="AB197">IF($Q197="","",_xlfn.TEXTJOIN(", ",TRUE,IF(NOV!$G46:$AK46="AT",NOV!$G$4:$AK$4,"")))</f>
        <v/>
      </c>
      <c r="AC197" t="str">
        <f t="array" ref="AC197">IF($Q197="","",_xlfn.TEXTJOIN(", ",TRUE,IF(DEZ!$G46:$AK46="AT",DEZ!$G$4:$AK$4,"")))</f>
        <v/>
      </c>
      <c r="AD197">
        <f>IF($Q197="","",COUNTIF(JAN!$G46:$AK46,"AT")+COUNTIF(FEV!$G46:$AK46,"AT")+COUNTIF(MAR!$G46:$AK46,"AT")+COUNTIF(ABR!$G46:$AK46,"AT")+COUNTIF(MAI!$G46:$AK46,"AT")+COUNTIF(JUN!$G46:$AK46,"AT")+COUNTIF(JUL!$G46:$AK46,"AT")+COUNTIF(AGO!$G46:$AK46,"AT")+COUNTIF(SET!$G46:$AK46,"AT")+COUNTIF(OUT!$G46:$AK46,"AT")+COUNTIF(NOV!$G46:$AK46,"AT")+COUNTIF(DEZ!$G46:$AK46,"AT"))</f>
        <v>0</v>
      </c>
      <c r="AF197" t="str">
        <f>IF(AND($Q197&lt;&gt;"",N($AD197)&gt;0),COUNT($AF$156:AF196)+1,"")</f>
        <v/>
      </c>
    </row>
    <row r="198" spans="1:32" hidden="1" outlineLevel="1" x14ac:dyDescent="0.25">
      <c r="A198" s="36" t="str">
        <f>IFERROR(INDEX($Q$157:$Q$306,MATCH(ROWS($A$157:A198),$AF$157:$AF$306,0)),"")</f>
        <v/>
      </c>
      <c r="B198" s="72" t="str">
        <f>IFERROR(INDEX($R$157:$R$306,MATCH(ROWS($A$157:A198),$AF$157:$AF$306,0)),"")</f>
        <v/>
      </c>
      <c r="C198" s="72" t="str">
        <f>IFERROR(INDEX($S$157:$S$306,MATCH(ROWS($A$157:A198),$AF$157:$AF$306,0)),"")</f>
        <v/>
      </c>
      <c r="D198" s="72" t="str">
        <f>IFERROR(INDEX($T$157:$T$306,MATCH(ROWS($A$157:A198),$AF$157:$AF$306,0)),"")</f>
        <v/>
      </c>
      <c r="E198" s="72" t="str">
        <f>IFERROR(INDEX($U$157:$U$306,MATCH(ROWS($A$157:A198),$AF$157:$AF$306,0)),"")</f>
        <v/>
      </c>
      <c r="F198" s="72" t="str">
        <f>IFERROR(INDEX($V$157:$V$306,MATCH(ROWS($A$157:A198),$AF$157:$AF$306,0)),"")</f>
        <v/>
      </c>
      <c r="G198" s="72" t="str">
        <f>IFERROR(INDEX($W$157:$W$306,MATCH(ROWS($A$157:A198),$AF$157:$AF$306,0)),"")</f>
        <v/>
      </c>
      <c r="H198" s="72" t="str">
        <f>IFERROR(INDEX($X$157:$X$306,MATCH(ROWS($A$157:A198),$AF$157:$AF$306,0)),"")</f>
        <v/>
      </c>
      <c r="I198" s="72" t="str">
        <f>IFERROR(INDEX($Y$157:$Y$306,MATCH(ROWS($A$157:A198),$AF$157:$AF$306,0)),"")</f>
        <v/>
      </c>
      <c r="J198" s="72" t="str">
        <f>IFERROR(INDEX($Z$157:$Z$306,MATCH(ROWS($A$157:A198),$AF$157:$AF$306,0)),"")</f>
        <v/>
      </c>
      <c r="K198" s="72" t="str">
        <f>IFERROR(INDEX($AA$157:$AA$306,MATCH(ROWS($A$157:A198),$AF$157:$AF$306,0)),"")</f>
        <v/>
      </c>
      <c r="L198" s="72" t="str">
        <f>IFERROR(INDEX($AB$157:$AB$306,MATCH(ROWS($A$157:A198),$AF$157:$AF$306,0)),"")</f>
        <v/>
      </c>
      <c r="M198" s="72" t="str">
        <f>IFERROR(INDEX($AC$157:$AC$306,MATCH(ROWS($A$157:A198),$AF$157:$AF$306,0)),"")</f>
        <v/>
      </c>
      <c r="N198" s="35" t="str">
        <f>IFERROR(INDEX($AD$157:$AD$306,MATCH(ROWS($A$157:A198),$AF$157:$AF$306,0)),"")</f>
        <v/>
      </c>
      <c r="Q198" t="str">
        <f>T(JAN!B47)</f>
        <v>GERSON FALEIRO 317801</v>
      </c>
      <c r="R198" t="str">
        <f t="array" ref="R198">IF($Q198="","",_xlfn.TEXTJOIN(", ",TRUE,IF(JAN!$G47:$AK47="AT",JAN!$G$4:$AK$4,"")))</f>
        <v/>
      </c>
      <c r="S198" t="str">
        <f t="array" ref="S198">IF($Q198="","",_xlfn.TEXTJOIN(", ",TRUE,IF(FEV!$G47:$AK47="AT",FEV!$G$4:$AK$4,"")))</f>
        <v/>
      </c>
      <c r="T198" t="str">
        <f t="array" ref="T198">IF($Q198="","",_xlfn.TEXTJOIN(", ",TRUE,IF(MAR!$G47:$AK47="AT",MAR!$G$4:$AK$4,"")))</f>
        <v/>
      </c>
      <c r="U198" t="str">
        <f t="array" ref="U198">IF($Q198="","",_xlfn.TEXTJOIN(", ",TRUE,IF(ABR!$G47:$AK47="AT",ABR!$G$4:$AK$4,"")))</f>
        <v/>
      </c>
      <c r="V198" t="str">
        <f t="array" ref="V198">IF($Q198="","",_xlfn.TEXTJOIN(", ",TRUE,IF(MAI!$G47:$AK47="AT",MAI!$G$4:$AK$4,"")))</f>
        <v/>
      </c>
      <c r="W198" t="str">
        <f t="array" ref="W198">IF($Q198="","",_xlfn.TEXTJOIN(", ",TRUE,IF(JUN!$G47:$AK47="AT",JUN!$G$4:$AK$4,"")))</f>
        <v/>
      </c>
      <c r="X198" t="str">
        <f t="array" ref="X198">IF($Q198="","",_xlfn.TEXTJOIN(", ",TRUE,IF(JUL!$G47:$AK47="AT",JUL!$G$4:$AK$4,"")))</f>
        <v/>
      </c>
      <c r="Y198" t="str">
        <f t="array" ref="Y198">IF($Q198="","",_xlfn.TEXTJOIN(", ",TRUE,IF(AGO!$G47:$AK47="AT",AGO!$G$4:$AK$4,"")))</f>
        <v/>
      </c>
      <c r="Z198" t="str">
        <f t="array" ref="Z198">IF($Q198="","",_xlfn.TEXTJOIN(", ",TRUE,IF(SET!$G47:$AK47="AT",SET!$G$4:$AK$4,"")))</f>
        <v/>
      </c>
      <c r="AA198" t="str">
        <f t="array" ref="AA198">IF($Q198="","",_xlfn.TEXTJOIN(", ",TRUE,IF(OUT!$G47:$AK47="AT",OUT!$G$4:$AK$4,"")))</f>
        <v/>
      </c>
      <c r="AB198" t="str">
        <f t="array" ref="AB198">IF($Q198="","",_xlfn.TEXTJOIN(", ",TRUE,IF(NOV!$G47:$AK47="AT",NOV!$G$4:$AK$4,"")))</f>
        <v/>
      </c>
      <c r="AC198" t="str">
        <f t="array" ref="AC198">IF($Q198="","",_xlfn.TEXTJOIN(", ",TRUE,IF(DEZ!$G47:$AK47="AT",DEZ!$G$4:$AK$4,"")))</f>
        <v/>
      </c>
      <c r="AD198">
        <f>IF($Q198="","",COUNTIF(JAN!$G47:$AK47,"AT")+COUNTIF(FEV!$G47:$AK47,"AT")+COUNTIF(MAR!$G47:$AK47,"AT")+COUNTIF(ABR!$G47:$AK47,"AT")+COUNTIF(MAI!$G47:$AK47,"AT")+COUNTIF(JUN!$G47:$AK47,"AT")+COUNTIF(JUL!$G47:$AK47,"AT")+COUNTIF(AGO!$G47:$AK47,"AT")+COUNTIF(SET!$G47:$AK47,"AT")+COUNTIF(OUT!$G47:$AK47,"AT")+COUNTIF(NOV!$G47:$AK47,"AT")+COUNTIF(DEZ!$G47:$AK47,"AT"))</f>
        <v>0</v>
      </c>
      <c r="AF198" t="str">
        <f>IF(AND($Q198&lt;&gt;"",N($AD198)&gt;0),COUNT($AF$156:AF197)+1,"")</f>
        <v/>
      </c>
    </row>
    <row r="199" spans="1:32" hidden="1" outlineLevel="1" x14ac:dyDescent="0.25">
      <c r="A199" s="36" t="str">
        <f>IFERROR(INDEX($Q$157:$Q$306,MATCH(ROWS($A$157:A199),$AF$157:$AF$306,0)),"")</f>
        <v/>
      </c>
      <c r="B199" s="72" t="str">
        <f>IFERROR(INDEX($R$157:$R$306,MATCH(ROWS($A$157:A199),$AF$157:$AF$306,0)),"")</f>
        <v/>
      </c>
      <c r="C199" s="72" t="str">
        <f>IFERROR(INDEX($S$157:$S$306,MATCH(ROWS($A$157:A199),$AF$157:$AF$306,0)),"")</f>
        <v/>
      </c>
      <c r="D199" s="72" t="str">
        <f>IFERROR(INDEX($T$157:$T$306,MATCH(ROWS($A$157:A199),$AF$157:$AF$306,0)),"")</f>
        <v/>
      </c>
      <c r="E199" s="72" t="str">
        <f>IFERROR(INDEX($U$157:$U$306,MATCH(ROWS($A$157:A199),$AF$157:$AF$306,0)),"")</f>
        <v/>
      </c>
      <c r="F199" s="72" t="str">
        <f>IFERROR(INDEX($V$157:$V$306,MATCH(ROWS($A$157:A199),$AF$157:$AF$306,0)),"")</f>
        <v/>
      </c>
      <c r="G199" s="72" t="str">
        <f>IFERROR(INDEX($W$157:$W$306,MATCH(ROWS($A$157:A199),$AF$157:$AF$306,0)),"")</f>
        <v/>
      </c>
      <c r="H199" s="72" t="str">
        <f>IFERROR(INDEX($X$157:$X$306,MATCH(ROWS($A$157:A199),$AF$157:$AF$306,0)),"")</f>
        <v/>
      </c>
      <c r="I199" s="72" t="str">
        <f>IFERROR(INDEX($Y$157:$Y$306,MATCH(ROWS($A$157:A199),$AF$157:$AF$306,0)),"")</f>
        <v/>
      </c>
      <c r="J199" s="72" t="str">
        <f>IFERROR(INDEX($Z$157:$Z$306,MATCH(ROWS($A$157:A199),$AF$157:$AF$306,0)),"")</f>
        <v/>
      </c>
      <c r="K199" s="72" t="str">
        <f>IFERROR(INDEX($AA$157:$AA$306,MATCH(ROWS($A$157:A199),$AF$157:$AF$306,0)),"")</f>
        <v/>
      </c>
      <c r="L199" s="72" t="str">
        <f>IFERROR(INDEX($AB$157:$AB$306,MATCH(ROWS($A$157:A199),$AF$157:$AF$306,0)),"")</f>
        <v/>
      </c>
      <c r="M199" s="72" t="str">
        <f>IFERROR(INDEX($AC$157:$AC$306,MATCH(ROWS($A$157:A199),$AF$157:$AF$306,0)),"")</f>
        <v/>
      </c>
      <c r="N199" s="35" t="str">
        <f>IFERROR(INDEX($AD$157:$AD$306,MATCH(ROWS($A$157:A199),$AF$157:$AF$306,0)),"")</f>
        <v/>
      </c>
      <c r="Q199" t="str">
        <f>T(JAN!B48)</f>
        <v>EDENIR TRINDADE 389401</v>
      </c>
      <c r="R199" t="str">
        <f t="array" ref="R199">IF($Q199="","",_xlfn.TEXTJOIN(", ",TRUE,IF(JAN!$G48:$AK48="AT",JAN!$G$4:$AK$4,"")))</f>
        <v/>
      </c>
      <c r="S199" t="str">
        <f t="array" ref="S199">IF($Q199="","",_xlfn.TEXTJOIN(", ",TRUE,IF(FEV!$G48:$AK48="AT",FEV!$G$4:$AK$4,"")))</f>
        <v/>
      </c>
      <c r="T199" t="str">
        <f t="array" ref="T199">IF($Q199="","",_xlfn.TEXTJOIN(", ",TRUE,IF(MAR!$G48:$AK48="AT",MAR!$G$4:$AK$4,"")))</f>
        <v/>
      </c>
      <c r="U199" t="str">
        <f t="array" ref="U199">IF($Q199="","",_xlfn.TEXTJOIN(", ",TRUE,IF(ABR!$G48:$AK48="AT",ABR!$G$4:$AK$4,"")))</f>
        <v/>
      </c>
      <c r="V199" t="str">
        <f t="array" ref="V199">IF($Q199="","",_xlfn.TEXTJOIN(", ",TRUE,IF(MAI!$G48:$AK48="AT",MAI!$G$4:$AK$4,"")))</f>
        <v/>
      </c>
      <c r="W199" t="str">
        <f t="array" ref="W199">IF($Q199="","",_xlfn.TEXTJOIN(", ",TRUE,IF(JUN!$G48:$AK48="AT",JUN!$G$4:$AK$4,"")))</f>
        <v/>
      </c>
      <c r="X199" t="str">
        <f t="array" ref="X199">IF($Q199="","",_xlfn.TEXTJOIN(", ",TRUE,IF(JUL!$G48:$AK48="AT",JUL!$G$4:$AK$4,"")))</f>
        <v/>
      </c>
      <c r="Y199" t="str">
        <f t="array" ref="Y199">IF($Q199="","",_xlfn.TEXTJOIN(", ",TRUE,IF(AGO!$G48:$AK48="AT",AGO!$G$4:$AK$4,"")))</f>
        <v/>
      </c>
      <c r="Z199" t="str">
        <f t="array" ref="Z199">IF($Q199="","",_xlfn.TEXTJOIN(", ",TRUE,IF(SET!$G48:$AK48="AT",SET!$G$4:$AK$4,"")))</f>
        <v/>
      </c>
      <c r="AA199" t="str">
        <f t="array" ref="AA199">IF($Q199="","",_xlfn.TEXTJOIN(", ",TRUE,IF(OUT!$G48:$AK48="AT",OUT!$G$4:$AK$4,"")))</f>
        <v/>
      </c>
      <c r="AB199" t="str">
        <f t="array" ref="AB199">IF($Q199="","",_xlfn.TEXTJOIN(", ",TRUE,IF(NOV!$G48:$AK48="AT",NOV!$G$4:$AK$4,"")))</f>
        <v/>
      </c>
      <c r="AC199" t="str">
        <f t="array" ref="AC199">IF($Q199="","",_xlfn.TEXTJOIN(", ",TRUE,IF(DEZ!$G48:$AK48="AT",DEZ!$G$4:$AK$4,"")))</f>
        <v/>
      </c>
      <c r="AD199">
        <f>IF($Q199="","",COUNTIF(JAN!$G48:$AK48,"AT")+COUNTIF(FEV!$G48:$AK48,"AT")+COUNTIF(MAR!$G48:$AK48,"AT")+COUNTIF(ABR!$G48:$AK48,"AT")+COUNTIF(MAI!$G48:$AK48,"AT")+COUNTIF(JUN!$G48:$AK48,"AT")+COUNTIF(JUL!$G48:$AK48,"AT")+COUNTIF(AGO!$G48:$AK48,"AT")+COUNTIF(SET!$G48:$AK48,"AT")+COUNTIF(OUT!$G48:$AK48,"AT")+COUNTIF(NOV!$G48:$AK48,"AT")+COUNTIF(DEZ!$G48:$AK48,"AT"))</f>
        <v>0</v>
      </c>
      <c r="AF199" t="str">
        <f>IF(AND($Q199&lt;&gt;"",N($AD199)&gt;0),COUNT($AF$156:AF198)+1,"")</f>
        <v/>
      </c>
    </row>
    <row r="200" spans="1:32" hidden="1" outlineLevel="1" x14ac:dyDescent="0.25">
      <c r="A200" s="36" t="str">
        <f>IFERROR(INDEX($Q$157:$Q$306,MATCH(ROWS($A$157:A200),$AF$157:$AF$306,0)),"")</f>
        <v/>
      </c>
      <c r="B200" s="72" t="str">
        <f>IFERROR(INDEX($R$157:$R$306,MATCH(ROWS($A$157:A200),$AF$157:$AF$306,0)),"")</f>
        <v/>
      </c>
      <c r="C200" s="72" t="str">
        <f>IFERROR(INDEX($S$157:$S$306,MATCH(ROWS($A$157:A200),$AF$157:$AF$306,0)),"")</f>
        <v/>
      </c>
      <c r="D200" s="72" t="str">
        <f>IFERROR(INDEX($T$157:$T$306,MATCH(ROWS($A$157:A200),$AF$157:$AF$306,0)),"")</f>
        <v/>
      </c>
      <c r="E200" s="72" t="str">
        <f>IFERROR(INDEX($U$157:$U$306,MATCH(ROWS($A$157:A200),$AF$157:$AF$306,0)),"")</f>
        <v/>
      </c>
      <c r="F200" s="72" t="str">
        <f>IFERROR(INDEX($V$157:$V$306,MATCH(ROWS($A$157:A200),$AF$157:$AF$306,0)),"")</f>
        <v/>
      </c>
      <c r="G200" s="72" t="str">
        <f>IFERROR(INDEX($W$157:$W$306,MATCH(ROWS($A$157:A200),$AF$157:$AF$306,0)),"")</f>
        <v/>
      </c>
      <c r="H200" s="72" t="str">
        <f>IFERROR(INDEX($X$157:$X$306,MATCH(ROWS($A$157:A200),$AF$157:$AF$306,0)),"")</f>
        <v/>
      </c>
      <c r="I200" s="72" t="str">
        <f>IFERROR(INDEX($Y$157:$Y$306,MATCH(ROWS($A$157:A200),$AF$157:$AF$306,0)),"")</f>
        <v/>
      </c>
      <c r="J200" s="72" t="str">
        <f>IFERROR(INDEX($Z$157:$Z$306,MATCH(ROWS($A$157:A200),$AF$157:$AF$306,0)),"")</f>
        <v/>
      </c>
      <c r="K200" s="72" t="str">
        <f>IFERROR(INDEX($AA$157:$AA$306,MATCH(ROWS($A$157:A200),$AF$157:$AF$306,0)),"")</f>
        <v/>
      </c>
      <c r="L200" s="72" t="str">
        <f>IFERROR(INDEX($AB$157:$AB$306,MATCH(ROWS($A$157:A200),$AF$157:$AF$306,0)),"")</f>
        <v/>
      </c>
      <c r="M200" s="72" t="str">
        <f>IFERROR(INDEX($AC$157:$AC$306,MATCH(ROWS($A$157:A200),$AF$157:$AF$306,0)),"")</f>
        <v/>
      </c>
      <c r="N200" s="35" t="str">
        <f>IFERROR(INDEX($AD$157:$AD$306,MATCH(ROWS($A$157:A200),$AF$157:$AF$306,0)),"")</f>
        <v/>
      </c>
      <c r="Q200" t="str">
        <f>T(JAN!B49)</f>
        <v>VACIR PINTO 185201</v>
      </c>
      <c r="R200" t="str">
        <f t="array" ref="R200">IF($Q200="","",_xlfn.TEXTJOIN(", ",TRUE,IF(JAN!$G49:$AK49="AT",JAN!$G$4:$AK$4,"")))</f>
        <v/>
      </c>
      <c r="S200" t="str">
        <f t="array" ref="S200">IF($Q200="","",_xlfn.TEXTJOIN(", ",TRUE,IF(FEV!$G49:$AK49="AT",FEV!$G$4:$AK$4,"")))</f>
        <v/>
      </c>
      <c r="T200" t="str">
        <f t="array" ref="T200">IF($Q200="","",_xlfn.TEXTJOIN(", ",TRUE,IF(MAR!$G49:$AK49="AT",MAR!$G$4:$AK$4,"")))</f>
        <v/>
      </c>
      <c r="U200" t="str">
        <f t="array" ref="U200">IF($Q200="","",_xlfn.TEXTJOIN(", ",TRUE,IF(ABR!$G49:$AK49="AT",ABR!$G$4:$AK$4,"")))</f>
        <v/>
      </c>
      <c r="V200" t="str">
        <f t="array" ref="V200">IF($Q200="","",_xlfn.TEXTJOIN(", ",TRUE,IF(MAI!$G49:$AK49="AT",MAI!$G$4:$AK$4,"")))</f>
        <v/>
      </c>
      <c r="W200" t="str">
        <f t="array" ref="W200">IF($Q200="","",_xlfn.TEXTJOIN(", ",TRUE,IF(JUN!$G49:$AK49="AT",JUN!$G$4:$AK$4,"")))</f>
        <v/>
      </c>
      <c r="X200" t="str">
        <f t="array" ref="X200">IF($Q200="","",_xlfn.TEXTJOIN(", ",TRUE,IF(JUL!$G49:$AK49="AT",JUL!$G$4:$AK$4,"")))</f>
        <v/>
      </c>
      <c r="Y200" t="str">
        <f t="array" ref="Y200">IF($Q200="","",_xlfn.TEXTJOIN(", ",TRUE,IF(AGO!$G49:$AK49="AT",AGO!$G$4:$AK$4,"")))</f>
        <v/>
      </c>
      <c r="Z200" t="str">
        <f t="array" ref="Z200">IF($Q200="","",_xlfn.TEXTJOIN(", ",TRUE,IF(SET!$G49:$AK49="AT",SET!$G$4:$AK$4,"")))</f>
        <v/>
      </c>
      <c r="AA200" t="str">
        <f t="array" ref="AA200">IF($Q200="","",_xlfn.TEXTJOIN(", ",TRUE,IF(OUT!$G49:$AK49="AT",OUT!$G$4:$AK$4,"")))</f>
        <v/>
      </c>
      <c r="AB200" t="str">
        <f t="array" ref="AB200">IF($Q200="","",_xlfn.TEXTJOIN(", ",TRUE,IF(NOV!$G49:$AK49="AT",NOV!$G$4:$AK$4,"")))</f>
        <v/>
      </c>
      <c r="AC200" t="str">
        <f t="array" ref="AC200">IF($Q200="","",_xlfn.TEXTJOIN(", ",TRUE,IF(DEZ!$G49:$AK49="AT",DEZ!$G$4:$AK$4,"")))</f>
        <v/>
      </c>
      <c r="AD200">
        <f>IF($Q200="","",COUNTIF(JAN!$G49:$AK49,"AT")+COUNTIF(FEV!$G49:$AK49,"AT")+COUNTIF(MAR!$G49:$AK49,"AT")+COUNTIF(ABR!$G49:$AK49,"AT")+COUNTIF(MAI!$G49:$AK49,"AT")+COUNTIF(JUN!$G49:$AK49,"AT")+COUNTIF(JUL!$G49:$AK49,"AT")+COUNTIF(AGO!$G49:$AK49,"AT")+COUNTIF(SET!$G49:$AK49,"AT")+COUNTIF(OUT!$G49:$AK49,"AT")+COUNTIF(NOV!$G49:$AK49,"AT")+COUNTIF(DEZ!$G49:$AK49,"AT"))</f>
        <v>0</v>
      </c>
      <c r="AF200" t="str">
        <f>IF(AND($Q200&lt;&gt;"",N($AD200)&gt;0),COUNT($AF$156:AF199)+1,"")</f>
        <v/>
      </c>
    </row>
    <row r="201" spans="1:32" hidden="1" outlineLevel="1" x14ac:dyDescent="0.25">
      <c r="A201" s="36" t="str">
        <f>IFERROR(INDEX($Q$157:$Q$306,MATCH(ROWS($A$157:A201),$AF$157:$AF$306,0)),"")</f>
        <v/>
      </c>
      <c r="B201" s="72" t="str">
        <f>IFERROR(INDEX($R$157:$R$306,MATCH(ROWS($A$157:A201),$AF$157:$AF$306,0)),"")</f>
        <v/>
      </c>
      <c r="C201" s="72" t="str">
        <f>IFERROR(INDEX($S$157:$S$306,MATCH(ROWS($A$157:A201),$AF$157:$AF$306,0)),"")</f>
        <v/>
      </c>
      <c r="D201" s="72" t="str">
        <f>IFERROR(INDEX($T$157:$T$306,MATCH(ROWS($A$157:A201),$AF$157:$AF$306,0)),"")</f>
        <v/>
      </c>
      <c r="E201" s="72" t="str">
        <f>IFERROR(INDEX($U$157:$U$306,MATCH(ROWS($A$157:A201),$AF$157:$AF$306,0)),"")</f>
        <v/>
      </c>
      <c r="F201" s="72" t="str">
        <f>IFERROR(INDEX($V$157:$V$306,MATCH(ROWS($A$157:A201),$AF$157:$AF$306,0)),"")</f>
        <v/>
      </c>
      <c r="G201" s="72" t="str">
        <f>IFERROR(INDEX($W$157:$W$306,MATCH(ROWS($A$157:A201),$AF$157:$AF$306,0)),"")</f>
        <v/>
      </c>
      <c r="H201" s="72" t="str">
        <f>IFERROR(INDEX($X$157:$X$306,MATCH(ROWS($A$157:A201),$AF$157:$AF$306,0)),"")</f>
        <v/>
      </c>
      <c r="I201" s="72" t="str">
        <f>IFERROR(INDEX($Y$157:$Y$306,MATCH(ROWS($A$157:A201),$AF$157:$AF$306,0)),"")</f>
        <v/>
      </c>
      <c r="J201" s="72" t="str">
        <f>IFERROR(INDEX($Z$157:$Z$306,MATCH(ROWS($A$157:A201),$AF$157:$AF$306,0)),"")</f>
        <v/>
      </c>
      <c r="K201" s="72" t="str">
        <f>IFERROR(INDEX($AA$157:$AA$306,MATCH(ROWS($A$157:A201),$AF$157:$AF$306,0)),"")</f>
        <v/>
      </c>
      <c r="L201" s="72" t="str">
        <f>IFERROR(INDEX($AB$157:$AB$306,MATCH(ROWS($A$157:A201),$AF$157:$AF$306,0)),"")</f>
        <v/>
      </c>
      <c r="M201" s="72" t="str">
        <f>IFERROR(INDEX($AC$157:$AC$306,MATCH(ROWS($A$157:A201),$AF$157:$AF$306,0)),"")</f>
        <v/>
      </c>
      <c r="N201" s="35" t="str">
        <f>IFERROR(INDEX($AD$157:$AD$306,MATCH(ROWS($A$157:A201),$AF$157:$AF$306,0)),"")</f>
        <v/>
      </c>
      <c r="Q201" t="str">
        <f>T(JAN!B50)</f>
        <v>DIEGO BOEIRA 125801</v>
      </c>
      <c r="R201" t="str">
        <f t="array" ref="R201">IF($Q201="","",_xlfn.TEXTJOIN(", ",TRUE,IF(JAN!$G50:$AK50="AT",JAN!$G$4:$AK$4,"")))</f>
        <v/>
      </c>
      <c r="S201" t="str">
        <f t="array" ref="S201">IF($Q201="","",_xlfn.TEXTJOIN(", ",TRUE,IF(FEV!$G50:$AK50="AT",FEV!$G$4:$AK$4,"")))</f>
        <v/>
      </c>
      <c r="T201" t="str">
        <f t="array" ref="T201">IF($Q201="","",_xlfn.TEXTJOIN(", ",TRUE,IF(MAR!$G50:$AK50="AT",MAR!$G$4:$AK$4,"")))</f>
        <v/>
      </c>
      <c r="U201" t="str">
        <f t="array" ref="U201">IF($Q201="","",_xlfn.TEXTJOIN(", ",TRUE,IF(ABR!$G50:$AK50="AT",ABR!$G$4:$AK$4,"")))</f>
        <v/>
      </c>
      <c r="V201" t="str">
        <f t="array" ref="V201">IF($Q201="","",_xlfn.TEXTJOIN(", ",TRUE,IF(MAI!$G50:$AK50="AT",MAI!$G$4:$AK$4,"")))</f>
        <v/>
      </c>
      <c r="W201" t="str">
        <f t="array" ref="W201">IF($Q201="","",_xlfn.TEXTJOIN(", ",TRUE,IF(JUN!$G50:$AK50="AT",JUN!$G$4:$AK$4,"")))</f>
        <v/>
      </c>
      <c r="X201" t="str">
        <f t="array" ref="X201">IF($Q201="","",_xlfn.TEXTJOIN(", ",TRUE,IF(JUL!$G50:$AK50="AT",JUL!$G$4:$AK$4,"")))</f>
        <v/>
      </c>
      <c r="Y201" t="str">
        <f t="array" ref="Y201">IF($Q201="","",_xlfn.TEXTJOIN(", ",TRUE,IF(AGO!$G50:$AK50="AT",AGO!$G$4:$AK$4,"")))</f>
        <v/>
      </c>
      <c r="Z201" t="str">
        <f t="array" ref="Z201">IF($Q201="","",_xlfn.TEXTJOIN(", ",TRUE,IF(SET!$G50:$AK50="AT",SET!$G$4:$AK$4,"")))</f>
        <v>15</v>
      </c>
      <c r="AA201" t="str">
        <f t="array" ref="AA201">IF($Q201="","",_xlfn.TEXTJOIN(", ",TRUE,IF(OUT!$G50:$AK50="AT",OUT!$G$4:$AK$4,"")))</f>
        <v/>
      </c>
      <c r="AB201" t="str">
        <f t="array" ref="AB201">IF($Q201="","",_xlfn.TEXTJOIN(", ",TRUE,IF(NOV!$G50:$AK50="AT",NOV!$G$4:$AK$4,"")))</f>
        <v/>
      </c>
      <c r="AC201" t="str">
        <f t="array" ref="AC201">IF($Q201="","",_xlfn.TEXTJOIN(", ",TRUE,IF(DEZ!$G50:$AK50="AT",DEZ!$G$4:$AK$4,"")))</f>
        <v/>
      </c>
      <c r="AD201">
        <f>IF($Q201="","",COUNTIF(JAN!$G50:$AK50,"AT")+COUNTIF(FEV!$G50:$AK50,"AT")+COUNTIF(MAR!$G50:$AK50,"AT")+COUNTIF(ABR!$G50:$AK50,"AT")+COUNTIF(MAI!$G50:$AK50,"AT")+COUNTIF(JUN!$G50:$AK50,"AT")+COUNTIF(JUL!$G50:$AK50,"AT")+COUNTIF(AGO!$G50:$AK50,"AT")+COUNTIF(SET!$G50:$AK50,"AT")+COUNTIF(OUT!$G50:$AK50,"AT")+COUNTIF(NOV!$G50:$AK50,"AT")+COUNTIF(DEZ!$G50:$AK50,"AT"))</f>
        <v>1</v>
      </c>
      <c r="AF201">
        <f>IF(AND($Q201&lt;&gt;"",N($AD201)&gt;0),COUNT($AF$156:AF200)+1,"")</f>
        <v>17</v>
      </c>
    </row>
    <row r="202" spans="1:32" hidden="1" outlineLevel="1" x14ac:dyDescent="0.25">
      <c r="A202" s="36" t="str">
        <f>IFERROR(INDEX($Q$157:$Q$306,MATCH(ROWS($A$157:A202),$AF$157:$AF$306,0)),"")</f>
        <v/>
      </c>
      <c r="B202" s="72" t="str">
        <f>IFERROR(INDEX($R$157:$R$306,MATCH(ROWS($A$157:A202),$AF$157:$AF$306,0)),"")</f>
        <v/>
      </c>
      <c r="C202" s="72" t="str">
        <f>IFERROR(INDEX($S$157:$S$306,MATCH(ROWS($A$157:A202),$AF$157:$AF$306,0)),"")</f>
        <v/>
      </c>
      <c r="D202" s="72" t="str">
        <f>IFERROR(INDEX($T$157:$T$306,MATCH(ROWS($A$157:A202),$AF$157:$AF$306,0)),"")</f>
        <v/>
      </c>
      <c r="E202" s="72" t="str">
        <f>IFERROR(INDEX($U$157:$U$306,MATCH(ROWS($A$157:A202),$AF$157:$AF$306,0)),"")</f>
        <v/>
      </c>
      <c r="F202" s="72" t="str">
        <f>IFERROR(INDEX($V$157:$V$306,MATCH(ROWS($A$157:A202),$AF$157:$AF$306,0)),"")</f>
        <v/>
      </c>
      <c r="G202" s="72" t="str">
        <f>IFERROR(INDEX($W$157:$W$306,MATCH(ROWS($A$157:A202),$AF$157:$AF$306,0)),"")</f>
        <v/>
      </c>
      <c r="H202" s="72" t="str">
        <f>IFERROR(INDEX($X$157:$X$306,MATCH(ROWS($A$157:A202),$AF$157:$AF$306,0)),"")</f>
        <v/>
      </c>
      <c r="I202" s="72" t="str">
        <f>IFERROR(INDEX($Y$157:$Y$306,MATCH(ROWS($A$157:A202),$AF$157:$AF$306,0)),"")</f>
        <v/>
      </c>
      <c r="J202" s="72" t="str">
        <f>IFERROR(INDEX($Z$157:$Z$306,MATCH(ROWS($A$157:A202),$AF$157:$AF$306,0)),"")</f>
        <v/>
      </c>
      <c r="K202" s="72" t="str">
        <f>IFERROR(INDEX($AA$157:$AA$306,MATCH(ROWS($A$157:A202),$AF$157:$AF$306,0)),"")</f>
        <v/>
      </c>
      <c r="L202" s="72" t="str">
        <f>IFERROR(INDEX($AB$157:$AB$306,MATCH(ROWS($A$157:A202),$AF$157:$AF$306,0)),"")</f>
        <v/>
      </c>
      <c r="M202" s="72" t="str">
        <f>IFERROR(INDEX($AC$157:$AC$306,MATCH(ROWS($A$157:A202),$AF$157:$AF$306,0)),"")</f>
        <v/>
      </c>
      <c r="N202" s="35" t="str">
        <f>IFERROR(INDEX($AD$157:$AD$306,MATCH(ROWS($A$157:A202),$AF$157:$AF$306,0)),"")</f>
        <v/>
      </c>
      <c r="Q202" t="str">
        <f>T(JAN!B51)</f>
        <v>STEFAN KOVALICK 310001</v>
      </c>
      <c r="R202" t="str">
        <f t="array" ref="R202">IF($Q202="","",_xlfn.TEXTJOIN(", ",TRUE,IF(JAN!$G51:$AK51="AT",JAN!$G$4:$AK$4,"")))</f>
        <v/>
      </c>
      <c r="S202" t="str">
        <f t="array" ref="S202">IF($Q202="","",_xlfn.TEXTJOIN(", ",TRUE,IF(FEV!$G51:$AK51="AT",FEV!$G$4:$AK$4,"")))</f>
        <v/>
      </c>
      <c r="T202" t="str">
        <f t="array" ref="T202">IF($Q202="","",_xlfn.TEXTJOIN(", ",TRUE,IF(MAR!$G51:$AK51="AT",MAR!$G$4:$AK$4,"")))</f>
        <v/>
      </c>
      <c r="U202" t="str">
        <f t="array" ref="U202">IF($Q202="","",_xlfn.TEXTJOIN(", ",TRUE,IF(ABR!$G51:$AK51="AT",ABR!$G$4:$AK$4,"")))</f>
        <v/>
      </c>
      <c r="V202" t="str">
        <f t="array" ref="V202">IF($Q202="","",_xlfn.TEXTJOIN(", ",TRUE,IF(MAI!$G51:$AK51="AT",MAI!$G$4:$AK$4,"")))</f>
        <v/>
      </c>
      <c r="W202" t="str">
        <f t="array" ref="W202">IF($Q202="","",_xlfn.TEXTJOIN(", ",TRUE,IF(JUN!$G51:$AK51="AT",JUN!$G$4:$AK$4,"")))</f>
        <v/>
      </c>
      <c r="X202" t="str">
        <f t="array" ref="X202">IF($Q202="","",_xlfn.TEXTJOIN(", ",TRUE,IF(JUL!$G51:$AK51="AT",JUL!$G$4:$AK$4,"")))</f>
        <v/>
      </c>
      <c r="Y202" t="str">
        <f t="array" ref="Y202">IF($Q202="","",_xlfn.TEXTJOIN(", ",TRUE,IF(AGO!$G51:$AK51="AT",AGO!$G$4:$AK$4,"")))</f>
        <v/>
      </c>
      <c r="Z202" t="str">
        <f t="array" ref="Z202">IF($Q202="","",_xlfn.TEXTJOIN(", ",TRUE,IF(SET!$G51:$AK51="AT",SET!$G$4:$AK$4,"")))</f>
        <v>25</v>
      </c>
      <c r="AA202" t="str">
        <f t="array" ref="AA202">IF($Q202="","",_xlfn.TEXTJOIN(", ",TRUE,IF(OUT!$G51:$AK51="AT",OUT!$G$4:$AK$4,"")))</f>
        <v/>
      </c>
      <c r="AB202" t="str">
        <f t="array" ref="AB202">IF($Q202="","",_xlfn.TEXTJOIN(", ",TRUE,IF(NOV!$G51:$AK51="AT",NOV!$G$4:$AK$4,"")))</f>
        <v/>
      </c>
      <c r="AC202" t="str">
        <f t="array" ref="AC202">IF($Q202="","",_xlfn.TEXTJOIN(", ",TRUE,IF(DEZ!$G51:$AK51="AT",DEZ!$G$4:$AK$4,"")))</f>
        <v/>
      </c>
      <c r="AD202">
        <f>IF($Q202="","",COUNTIF(JAN!$G51:$AK51,"AT")+COUNTIF(FEV!$G51:$AK51,"AT")+COUNTIF(MAR!$G51:$AK51,"AT")+COUNTIF(ABR!$G51:$AK51,"AT")+COUNTIF(MAI!$G51:$AK51,"AT")+COUNTIF(JUN!$G51:$AK51,"AT")+COUNTIF(JUL!$G51:$AK51,"AT")+COUNTIF(AGO!$G51:$AK51,"AT")+COUNTIF(SET!$G51:$AK51,"AT")+COUNTIF(OUT!$G51:$AK51,"AT")+COUNTIF(NOV!$G51:$AK51,"AT")+COUNTIF(DEZ!$G51:$AK51,"AT"))</f>
        <v>1</v>
      </c>
      <c r="AF202">
        <f>IF(AND($Q202&lt;&gt;"",N($AD202)&gt;0),COUNT($AF$156:AF201)+1,"")</f>
        <v>18</v>
      </c>
    </row>
    <row r="203" spans="1:32" hidden="1" outlineLevel="1" x14ac:dyDescent="0.25">
      <c r="A203" s="36" t="str">
        <f>IFERROR(INDEX($Q$157:$Q$306,MATCH(ROWS($A$157:A203),$AF$157:$AF$306,0)),"")</f>
        <v/>
      </c>
      <c r="B203" s="35" t="str">
        <f>IFERROR(INDEX($R$157:$R$306,MATCH(ROWS($A$157:A203),$AF$157:$AF$306,0)),"")</f>
        <v/>
      </c>
      <c r="C203" s="35" t="str">
        <f>IFERROR(INDEX($S$157:$S$306,MATCH(ROWS($A$157:A203),$AF$157:$AF$306,0)),"")</f>
        <v/>
      </c>
      <c r="D203" s="35" t="str">
        <f>IFERROR(INDEX($T$157:$T$306,MATCH(ROWS($A$157:A203),$AF$157:$AF$306,0)),"")</f>
        <v/>
      </c>
      <c r="E203" s="35" t="str">
        <f>IFERROR(INDEX($U$157:$U$306,MATCH(ROWS($A$157:A203),$AF$157:$AF$306,0)),"")</f>
        <v/>
      </c>
      <c r="F203" s="35" t="str">
        <f>IFERROR(INDEX($V$157:$V$306,MATCH(ROWS($A$157:A203),$AF$157:$AF$306,0)),"")</f>
        <v/>
      </c>
      <c r="G203" s="35" t="str">
        <f>IFERROR(INDEX($W$157:$W$306,MATCH(ROWS($A$157:A203),$AF$157:$AF$306,0)),"")</f>
        <v/>
      </c>
      <c r="H203" s="35" t="str">
        <f>IFERROR(INDEX($X$157:$X$306,MATCH(ROWS($A$157:A203),$AF$157:$AF$306,0)),"")</f>
        <v/>
      </c>
      <c r="I203" s="35" t="str">
        <f>IFERROR(INDEX($Y$157:$Y$306,MATCH(ROWS($A$157:A203),$AF$157:$AF$306,0)),"")</f>
        <v/>
      </c>
      <c r="J203" s="35" t="str">
        <f>IFERROR(INDEX($Z$157:$Z$306,MATCH(ROWS($A$157:A203),$AF$157:$AF$306,0)),"")</f>
        <v/>
      </c>
      <c r="K203" s="35" t="str">
        <f>IFERROR(INDEX($AA$157:$AA$306,MATCH(ROWS($A$157:A203),$AF$157:$AF$306,0)),"")</f>
        <v/>
      </c>
      <c r="L203" s="35" t="str">
        <f>IFERROR(INDEX($AB$157:$AB$306,MATCH(ROWS($A$157:A203),$AF$157:$AF$306,0)),"")</f>
        <v/>
      </c>
      <c r="M203" s="35" t="str">
        <f>IFERROR(INDEX($AC$157:$AC$306,MATCH(ROWS($A$157:A203),$AF$157:$AF$306,0)),"")</f>
        <v/>
      </c>
      <c r="N203" s="35" t="str">
        <f>IFERROR(INDEX($AD$157:$AD$306,MATCH(ROWS($A$157:A203),$AF$157:$AF$306,0)),"")</f>
        <v/>
      </c>
      <c r="Q203" t="str">
        <f>T(JAN!B52)</f>
        <v>JEFERSON SCHENA 309901</v>
      </c>
      <c r="R203" t="str">
        <f t="array" ref="R203">IF($Q203="","",_xlfn.TEXTJOIN(", ",TRUE,IF(JAN!$G52:$AK52="AT",JAN!$G$4:$AK$4,"")))</f>
        <v/>
      </c>
      <c r="S203" t="str">
        <f t="array" ref="S203">IF($Q203="","",_xlfn.TEXTJOIN(", ",TRUE,IF(FEV!$G52:$AK52="AT",FEV!$G$4:$AK$4,"")))</f>
        <v/>
      </c>
      <c r="T203" t="str">
        <f t="array" ref="T203">IF($Q203="","",_xlfn.TEXTJOIN(", ",TRUE,IF(MAR!$G52:$AK52="AT",MAR!$G$4:$AK$4,"")))</f>
        <v/>
      </c>
      <c r="U203" t="str">
        <f t="array" ref="U203">IF($Q203="","",_xlfn.TEXTJOIN(", ",TRUE,IF(ABR!$G52:$AK52="AT",ABR!$G$4:$AK$4,"")))</f>
        <v/>
      </c>
      <c r="V203" t="str">
        <f t="array" ref="V203">IF($Q203="","",_xlfn.TEXTJOIN(", ",TRUE,IF(MAI!$G52:$AK52="AT",MAI!$G$4:$AK$4,"")))</f>
        <v/>
      </c>
      <c r="W203" t="str">
        <f t="array" ref="W203">IF($Q203="","",_xlfn.TEXTJOIN(", ",TRUE,IF(JUN!$G52:$AK52="AT",JUN!$G$4:$AK$4,"")))</f>
        <v/>
      </c>
      <c r="X203" t="str">
        <f t="array" ref="X203">IF($Q203="","",_xlfn.TEXTJOIN(", ",TRUE,IF(JUL!$G52:$AK52="AT",JUL!$G$4:$AK$4,"")))</f>
        <v/>
      </c>
      <c r="Y203" t="str">
        <f t="array" ref="Y203">IF($Q203="","",_xlfn.TEXTJOIN(", ",TRUE,IF(AGO!$G52:$AK52="AT",AGO!$G$4:$AK$4,"")))</f>
        <v/>
      </c>
      <c r="Z203" t="str">
        <f t="array" ref="Z203">IF($Q203="","",_xlfn.TEXTJOIN(", ",TRUE,IF(SET!$G52:$AK52="AT",SET!$G$4:$AK$4,"")))</f>
        <v/>
      </c>
      <c r="AA203" t="str">
        <f t="array" ref="AA203">IF($Q203="","",_xlfn.TEXTJOIN(", ",TRUE,IF(OUT!$G52:$AK52="AT",OUT!$G$4:$AK$4,"")))</f>
        <v/>
      </c>
      <c r="AB203" t="str">
        <f t="array" ref="AB203">IF($Q203="","",_xlfn.TEXTJOIN(", ",TRUE,IF(NOV!$G52:$AK52="AT",NOV!$G$4:$AK$4,"")))</f>
        <v/>
      </c>
      <c r="AC203" t="str">
        <f t="array" ref="AC203">IF($Q203="","",_xlfn.TEXTJOIN(", ",TRUE,IF(DEZ!$G52:$AK52="AT",DEZ!$G$4:$AK$4,"")))</f>
        <v/>
      </c>
      <c r="AD203">
        <f>IF($Q203="","",COUNTIF(JAN!$G52:$AK52,"AT")+COUNTIF(FEV!$G52:$AK52,"AT")+COUNTIF(MAR!$G52:$AK52,"AT")+COUNTIF(ABR!$G52:$AK52,"AT")+COUNTIF(MAI!$G52:$AK52,"AT")+COUNTIF(JUN!$G52:$AK52,"AT")+COUNTIF(JUL!$G52:$AK52,"AT")+COUNTIF(AGO!$G52:$AK52,"AT")+COUNTIF(SET!$G52:$AK52,"AT")+COUNTIF(OUT!$G52:$AK52,"AT")+COUNTIF(NOV!$G52:$AK52,"AT")+COUNTIF(DEZ!$G52:$AK52,"AT"))</f>
        <v>0</v>
      </c>
      <c r="AF203" t="str">
        <f>IF(AND($Q203&lt;&gt;"",N($AD203)&gt;0),COUNT($AF$156:AF202)+1,"")</f>
        <v/>
      </c>
    </row>
    <row r="204" spans="1:32" hidden="1" outlineLevel="1" x14ac:dyDescent="0.25">
      <c r="A204" s="36" t="str">
        <f>IFERROR(INDEX($Q$157:$Q$306,MATCH(ROWS($A$157:A204),$AF$157:$AF$306,0)),"")</f>
        <v/>
      </c>
      <c r="B204" s="35" t="str">
        <f>IFERROR(INDEX($R$157:$R$306,MATCH(ROWS($A$157:A204),$AF$157:$AF$306,0)),"")</f>
        <v/>
      </c>
      <c r="C204" s="35" t="str">
        <f>IFERROR(INDEX($S$157:$S$306,MATCH(ROWS($A$157:A204),$AF$157:$AF$306,0)),"")</f>
        <v/>
      </c>
      <c r="D204" s="35" t="str">
        <f>IFERROR(INDEX($T$157:$T$306,MATCH(ROWS($A$157:A204),$AF$157:$AF$306,0)),"")</f>
        <v/>
      </c>
      <c r="E204" s="35" t="str">
        <f>IFERROR(INDEX($U$157:$U$306,MATCH(ROWS($A$157:A204),$AF$157:$AF$306,0)),"")</f>
        <v/>
      </c>
      <c r="F204" s="35" t="str">
        <f>IFERROR(INDEX($V$157:$V$306,MATCH(ROWS($A$157:A204),$AF$157:$AF$306,0)),"")</f>
        <v/>
      </c>
      <c r="G204" s="35" t="str">
        <f>IFERROR(INDEX($W$157:$W$306,MATCH(ROWS($A$157:A204),$AF$157:$AF$306,0)),"")</f>
        <v/>
      </c>
      <c r="H204" s="35" t="str">
        <f>IFERROR(INDEX($X$157:$X$306,MATCH(ROWS($A$157:A204),$AF$157:$AF$306,0)),"")</f>
        <v/>
      </c>
      <c r="I204" s="35" t="str">
        <f>IFERROR(INDEX($Y$157:$Y$306,MATCH(ROWS($A$157:A204),$AF$157:$AF$306,0)),"")</f>
        <v/>
      </c>
      <c r="J204" s="35" t="str">
        <f>IFERROR(INDEX($Z$157:$Z$306,MATCH(ROWS($A$157:A204),$AF$157:$AF$306,0)),"")</f>
        <v/>
      </c>
      <c r="K204" s="35" t="str">
        <f>IFERROR(INDEX($AA$157:$AA$306,MATCH(ROWS($A$157:A204),$AF$157:$AF$306,0)),"")</f>
        <v/>
      </c>
      <c r="L204" s="35" t="str">
        <f>IFERROR(INDEX($AB$157:$AB$306,MATCH(ROWS($A$157:A204),$AF$157:$AF$306,0)),"")</f>
        <v/>
      </c>
      <c r="M204" s="35" t="str">
        <f>IFERROR(INDEX($AC$157:$AC$306,MATCH(ROWS($A$157:A204),$AF$157:$AF$306,0)),"")</f>
        <v/>
      </c>
      <c r="N204" s="35" t="str">
        <f>IFERROR(INDEX($AD$157:$AD$306,MATCH(ROWS($A$157:A204),$AF$157:$AF$306,0)),"")</f>
        <v/>
      </c>
      <c r="Q204" t="str">
        <f>T(JAN!B53)</f>
        <v>ALEXANDRE ARAUJO 346001</v>
      </c>
      <c r="R204" t="str">
        <f t="array" ref="R204">IF($Q204="","",_xlfn.TEXTJOIN(", ",TRUE,IF(JAN!$G53:$AK53="AT",JAN!$G$4:$AK$4,"")))</f>
        <v/>
      </c>
      <c r="S204" t="str">
        <f t="array" ref="S204">IF($Q204="","",_xlfn.TEXTJOIN(", ",TRUE,IF(FEV!$G53:$AK53="AT",FEV!$G$4:$AK$4,"")))</f>
        <v/>
      </c>
      <c r="T204" t="str">
        <f t="array" ref="T204">IF($Q204="","",_xlfn.TEXTJOIN(", ",TRUE,IF(MAR!$G53:$AK53="AT",MAR!$G$4:$AK$4,"")))</f>
        <v/>
      </c>
      <c r="U204" t="str">
        <f t="array" ref="U204">IF($Q204="","",_xlfn.TEXTJOIN(", ",TRUE,IF(ABR!$G53:$AK53="AT",ABR!$G$4:$AK$4,"")))</f>
        <v/>
      </c>
      <c r="V204" t="str">
        <f t="array" ref="V204">IF($Q204="","",_xlfn.TEXTJOIN(", ",TRUE,IF(MAI!$G53:$AK53="AT",MAI!$G$4:$AK$4,"")))</f>
        <v/>
      </c>
      <c r="W204" t="str">
        <f t="array" ref="W204">IF($Q204="","",_xlfn.TEXTJOIN(", ",TRUE,IF(JUN!$G53:$AK53="AT",JUN!$G$4:$AK$4,"")))</f>
        <v/>
      </c>
      <c r="X204" t="str">
        <f t="array" ref="X204">IF($Q204="","",_xlfn.TEXTJOIN(", ",TRUE,IF(JUL!$G53:$AK53="AT",JUL!$G$4:$AK$4,"")))</f>
        <v/>
      </c>
      <c r="Y204" t="str">
        <f t="array" ref="Y204">IF($Q204="","",_xlfn.TEXTJOIN(", ",TRUE,IF(AGO!$G53:$AK53="AT",AGO!$G$4:$AK$4,"")))</f>
        <v/>
      </c>
      <c r="Z204" t="str">
        <f t="array" ref="Z204">IF($Q204="","",_xlfn.TEXTJOIN(", ",TRUE,IF(SET!$G53:$AK53="AT",SET!$G$4:$AK$4,"")))</f>
        <v/>
      </c>
      <c r="AA204" t="str">
        <f t="array" ref="AA204">IF($Q204="","",_xlfn.TEXTJOIN(", ",TRUE,IF(OUT!$G53:$AK53="AT",OUT!$G$4:$AK$4,"")))</f>
        <v/>
      </c>
      <c r="AB204" t="str">
        <f t="array" ref="AB204">IF($Q204="","",_xlfn.TEXTJOIN(", ",TRUE,IF(NOV!$G53:$AK53="AT",NOV!$G$4:$AK$4,"")))</f>
        <v/>
      </c>
      <c r="AC204" t="str">
        <f t="array" ref="AC204">IF($Q204="","",_xlfn.TEXTJOIN(", ",TRUE,IF(DEZ!$G53:$AK53="AT",DEZ!$G$4:$AK$4,"")))</f>
        <v/>
      </c>
      <c r="AD204">
        <f>IF($Q204="","",COUNTIF(JAN!$G53:$AK53,"AT")+COUNTIF(FEV!$G53:$AK53,"AT")+COUNTIF(MAR!$G53:$AK53,"AT")+COUNTIF(ABR!$G53:$AK53,"AT")+COUNTIF(MAI!$G53:$AK53,"AT")+COUNTIF(JUN!$G53:$AK53,"AT")+COUNTIF(JUL!$G53:$AK53,"AT")+COUNTIF(AGO!$G53:$AK53,"AT")+COUNTIF(SET!$G53:$AK53,"AT")+COUNTIF(OUT!$G53:$AK53,"AT")+COUNTIF(NOV!$G53:$AK53,"AT")+COUNTIF(DEZ!$G53:$AK53,"AT"))</f>
        <v>0</v>
      </c>
      <c r="AF204" t="str">
        <f>IF(AND($Q204&lt;&gt;"",N($AD204)&gt;0),COUNT($AF$156:AF203)+1,"")</f>
        <v/>
      </c>
    </row>
    <row r="205" spans="1:32" hidden="1" outlineLevel="1" x14ac:dyDescent="0.25">
      <c r="A205" s="36" t="str">
        <f>IFERROR(INDEX($Q$157:$Q$306,MATCH(ROWS($A$157:A205),$AF$157:$AF$306,0)),"")</f>
        <v/>
      </c>
      <c r="B205" s="35" t="str">
        <f>IFERROR(INDEX($R$157:$R$306,MATCH(ROWS($A$157:A205),$AF$157:$AF$306,0)),"")</f>
        <v/>
      </c>
      <c r="C205" s="35" t="str">
        <f>IFERROR(INDEX($S$157:$S$306,MATCH(ROWS($A$157:A205),$AF$157:$AF$306,0)),"")</f>
        <v/>
      </c>
      <c r="D205" s="35" t="str">
        <f>IFERROR(INDEX($T$157:$T$306,MATCH(ROWS($A$157:A205),$AF$157:$AF$306,0)),"")</f>
        <v/>
      </c>
      <c r="E205" s="35" t="str">
        <f>IFERROR(INDEX($U$157:$U$306,MATCH(ROWS($A$157:A205),$AF$157:$AF$306,0)),"")</f>
        <v/>
      </c>
      <c r="F205" s="35" t="str">
        <f>IFERROR(INDEX($V$157:$V$306,MATCH(ROWS($A$157:A205),$AF$157:$AF$306,0)),"")</f>
        <v/>
      </c>
      <c r="G205" s="35" t="str">
        <f>IFERROR(INDEX($W$157:$W$306,MATCH(ROWS($A$157:A205),$AF$157:$AF$306,0)),"")</f>
        <v/>
      </c>
      <c r="H205" s="35" t="str">
        <f>IFERROR(INDEX($X$157:$X$306,MATCH(ROWS($A$157:A205),$AF$157:$AF$306,0)),"")</f>
        <v/>
      </c>
      <c r="I205" s="35" t="str">
        <f>IFERROR(INDEX($Y$157:$Y$306,MATCH(ROWS($A$157:A205),$AF$157:$AF$306,0)),"")</f>
        <v/>
      </c>
      <c r="J205" s="35" t="str">
        <f>IFERROR(INDEX($Z$157:$Z$306,MATCH(ROWS($A$157:A205),$AF$157:$AF$306,0)),"")</f>
        <v/>
      </c>
      <c r="K205" s="35" t="str">
        <f>IFERROR(INDEX($AA$157:$AA$306,MATCH(ROWS($A$157:A205),$AF$157:$AF$306,0)),"")</f>
        <v/>
      </c>
      <c r="L205" s="35" t="str">
        <f>IFERROR(INDEX($AB$157:$AB$306,MATCH(ROWS($A$157:A205),$AF$157:$AF$306,0)),"")</f>
        <v/>
      </c>
      <c r="M205" s="35" t="str">
        <f>IFERROR(INDEX($AC$157:$AC$306,MATCH(ROWS($A$157:A205),$AF$157:$AF$306,0)),"")</f>
        <v/>
      </c>
      <c r="N205" s="35" t="str">
        <f>IFERROR(INDEX($AD$157:$AD$306,MATCH(ROWS($A$157:A205),$AF$157:$AF$306,0)),"")</f>
        <v/>
      </c>
      <c r="Q205" t="str">
        <f>T(JAN!B54)</f>
        <v>FABIANO BORGES 128901</v>
      </c>
      <c r="R205" t="str">
        <f t="array" ref="R205">IF($Q205="","",_xlfn.TEXTJOIN(", ",TRUE,IF(JAN!$G54:$AK54="AT",JAN!$G$4:$AK$4,"")))</f>
        <v/>
      </c>
      <c r="S205" t="str">
        <f t="array" ref="S205">IF($Q205="","",_xlfn.TEXTJOIN(", ",TRUE,IF(FEV!$G54:$AK54="AT",FEV!$G$4:$AK$4,"")))</f>
        <v/>
      </c>
      <c r="T205" t="str">
        <f t="array" ref="T205">IF($Q205="","",_xlfn.TEXTJOIN(", ",TRUE,IF(MAR!$G54:$AK54="AT",MAR!$G$4:$AK$4,"")))</f>
        <v/>
      </c>
      <c r="U205" t="str">
        <f t="array" ref="U205">IF($Q205="","",_xlfn.TEXTJOIN(", ",TRUE,IF(ABR!$G54:$AK54="AT",ABR!$G$4:$AK$4,"")))</f>
        <v/>
      </c>
      <c r="V205" t="str">
        <f t="array" ref="V205">IF($Q205="","",_xlfn.TEXTJOIN(", ",TRUE,IF(MAI!$G54:$AK54="AT",MAI!$G$4:$AK$4,"")))</f>
        <v/>
      </c>
      <c r="W205" t="str">
        <f t="array" ref="W205">IF($Q205="","",_xlfn.TEXTJOIN(", ",TRUE,IF(JUN!$G54:$AK54="AT",JUN!$G$4:$AK$4,"")))</f>
        <v/>
      </c>
      <c r="X205" t="str">
        <f t="array" ref="X205">IF($Q205="","",_xlfn.TEXTJOIN(", ",TRUE,IF(JUL!$G54:$AK54="AT",JUL!$G$4:$AK$4,"")))</f>
        <v/>
      </c>
      <c r="Y205" t="str">
        <f t="array" ref="Y205">IF($Q205="","",_xlfn.TEXTJOIN(", ",TRUE,IF(AGO!$G54:$AK54="AT",AGO!$G$4:$AK$4,"")))</f>
        <v/>
      </c>
      <c r="Z205" t="str">
        <f t="array" ref="Z205">IF($Q205="","",_xlfn.TEXTJOIN(", ",TRUE,IF(SET!$G54:$AK54="AT",SET!$G$4:$AK$4,"")))</f>
        <v/>
      </c>
      <c r="AA205" t="str">
        <f t="array" ref="AA205">IF($Q205="","",_xlfn.TEXTJOIN(", ",TRUE,IF(OUT!$G54:$AK54="AT",OUT!$G$4:$AK$4,"")))</f>
        <v/>
      </c>
      <c r="AB205" t="str">
        <f t="array" ref="AB205">IF($Q205="","",_xlfn.TEXTJOIN(", ",TRUE,IF(NOV!$G54:$AK54="AT",NOV!$G$4:$AK$4,"")))</f>
        <v/>
      </c>
      <c r="AC205" t="str">
        <f t="array" ref="AC205">IF($Q205="","",_xlfn.TEXTJOIN(", ",TRUE,IF(DEZ!$G54:$AK54="AT",DEZ!$G$4:$AK$4,"")))</f>
        <v/>
      </c>
      <c r="AD205">
        <f>IF($Q205="","",COUNTIF(JAN!$G54:$AK54,"AT")+COUNTIF(FEV!$G54:$AK54,"AT")+COUNTIF(MAR!$G54:$AK54,"AT")+COUNTIF(ABR!$G54:$AK54,"AT")+COUNTIF(MAI!$G54:$AK54,"AT")+COUNTIF(JUN!$G54:$AK54,"AT")+COUNTIF(JUL!$G54:$AK54,"AT")+COUNTIF(AGO!$G54:$AK54,"AT")+COUNTIF(SET!$G54:$AK54,"AT")+COUNTIF(OUT!$G54:$AK54,"AT")+COUNTIF(NOV!$G54:$AK54,"AT")+COUNTIF(DEZ!$G54:$AK54,"AT"))</f>
        <v>0</v>
      </c>
      <c r="AF205" t="str">
        <f>IF(AND($Q205&lt;&gt;"",N($AD205)&gt;0),COUNT($AF$156:AF204)+1,"")</f>
        <v/>
      </c>
    </row>
    <row r="206" spans="1:32" hidden="1" outlineLevel="1" x14ac:dyDescent="0.25">
      <c r="A206" s="36" t="str">
        <f>IFERROR(INDEX($Q$157:$Q$306,MATCH(ROWS($A$157:A206),$AF$157:$AF$306,0)),"")</f>
        <v/>
      </c>
      <c r="B206" s="35" t="str">
        <f>IFERROR(INDEX($R$157:$R$306,MATCH(ROWS($A$157:A206),$AF$157:$AF$306,0)),"")</f>
        <v/>
      </c>
      <c r="C206" s="35" t="str">
        <f>IFERROR(INDEX($S$157:$S$306,MATCH(ROWS($A$157:A206),$AF$157:$AF$306,0)),"")</f>
        <v/>
      </c>
      <c r="D206" s="35" t="str">
        <f>IFERROR(INDEX($T$157:$T$306,MATCH(ROWS($A$157:A206),$AF$157:$AF$306,0)),"")</f>
        <v/>
      </c>
      <c r="E206" s="35" t="str">
        <f>IFERROR(INDEX($U$157:$U$306,MATCH(ROWS($A$157:A206),$AF$157:$AF$306,0)),"")</f>
        <v/>
      </c>
      <c r="F206" s="35" t="str">
        <f>IFERROR(INDEX($V$157:$V$306,MATCH(ROWS($A$157:A206),$AF$157:$AF$306,0)),"")</f>
        <v/>
      </c>
      <c r="G206" s="35" t="str">
        <f>IFERROR(INDEX($W$157:$W$306,MATCH(ROWS($A$157:A206),$AF$157:$AF$306,0)),"")</f>
        <v/>
      </c>
      <c r="H206" s="35" t="str">
        <f>IFERROR(INDEX($X$157:$X$306,MATCH(ROWS($A$157:A206),$AF$157:$AF$306,0)),"")</f>
        <v/>
      </c>
      <c r="I206" s="35" t="str">
        <f>IFERROR(INDEX($Y$157:$Y$306,MATCH(ROWS($A$157:A206),$AF$157:$AF$306,0)),"")</f>
        <v/>
      </c>
      <c r="J206" s="35" t="str">
        <f>IFERROR(INDEX($Z$157:$Z$306,MATCH(ROWS($A$157:A206),$AF$157:$AF$306,0)),"")</f>
        <v/>
      </c>
      <c r="K206" s="35" t="str">
        <f>IFERROR(INDEX($AA$157:$AA$306,MATCH(ROWS($A$157:A206),$AF$157:$AF$306,0)),"")</f>
        <v/>
      </c>
      <c r="L206" s="35" t="str">
        <f>IFERROR(INDEX($AB$157:$AB$306,MATCH(ROWS($A$157:A206),$AF$157:$AF$306,0)),"")</f>
        <v/>
      </c>
      <c r="M206" s="35" t="str">
        <f>IFERROR(INDEX($AC$157:$AC$306,MATCH(ROWS($A$157:A206),$AF$157:$AF$306,0)),"")</f>
        <v/>
      </c>
      <c r="N206" s="35" t="str">
        <f>IFERROR(INDEX($AD$157:$AD$306,MATCH(ROWS($A$157:A206),$AF$157:$AF$306,0)),"")</f>
        <v/>
      </c>
      <c r="Q206" t="str">
        <f>T(JAN!B55)</f>
        <v>LAUTIER ALMEIDA 317501</v>
      </c>
      <c r="R206" t="str">
        <f t="array" ref="R206">IF($Q206="","",_xlfn.TEXTJOIN(", ",TRUE,IF(JAN!$G55:$AK55="AT",JAN!$G$4:$AK$4,"")))</f>
        <v/>
      </c>
      <c r="S206" t="str">
        <f t="array" ref="S206">IF($Q206="","",_xlfn.TEXTJOIN(", ",TRUE,IF(FEV!$G55:$AK55="AT",FEV!$G$4:$AK$4,"")))</f>
        <v/>
      </c>
      <c r="T206" t="str">
        <f t="array" ref="T206">IF($Q206="","",_xlfn.TEXTJOIN(", ",TRUE,IF(MAR!$G55:$AK55="AT",MAR!$G$4:$AK$4,"")))</f>
        <v/>
      </c>
      <c r="U206" t="str">
        <f t="array" ref="U206">IF($Q206="","",_xlfn.TEXTJOIN(", ",TRUE,IF(ABR!$G55:$AK55="AT",ABR!$G$4:$AK$4,"")))</f>
        <v/>
      </c>
      <c r="V206" t="str">
        <f t="array" ref="V206">IF($Q206="","",_xlfn.TEXTJOIN(", ",TRUE,IF(MAI!$G55:$AK55="AT",MAI!$G$4:$AK$4,"")))</f>
        <v/>
      </c>
      <c r="W206" t="str">
        <f t="array" ref="W206">IF($Q206="","",_xlfn.TEXTJOIN(", ",TRUE,IF(JUN!$G55:$AK55="AT",JUN!$G$4:$AK$4,"")))</f>
        <v/>
      </c>
      <c r="X206" t="str">
        <f t="array" ref="X206">IF($Q206="","",_xlfn.TEXTJOIN(", ",TRUE,IF(JUL!$G55:$AK55="AT",JUL!$G$4:$AK$4,"")))</f>
        <v/>
      </c>
      <c r="Y206" t="str">
        <f t="array" ref="Y206">IF($Q206="","",_xlfn.TEXTJOIN(", ",TRUE,IF(AGO!$G55:$AK55="AT",AGO!$G$4:$AK$4,"")))</f>
        <v/>
      </c>
      <c r="Z206" t="str">
        <f t="array" ref="Z206">IF($Q206="","",_xlfn.TEXTJOIN(", ",TRUE,IF(SET!$G55:$AK55="AT",SET!$G$4:$AK$4,"")))</f>
        <v/>
      </c>
      <c r="AA206" t="str">
        <f t="array" ref="AA206">IF($Q206="","",_xlfn.TEXTJOIN(", ",TRUE,IF(OUT!$G55:$AK55="AT",OUT!$G$4:$AK$4,"")))</f>
        <v/>
      </c>
      <c r="AB206" t="str">
        <f t="array" ref="AB206">IF($Q206="","",_xlfn.TEXTJOIN(", ",TRUE,IF(NOV!$G55:$AK55="AT",NOV!$G$4:$AK$4,"")))</f>
        <v/>
      </c>
      <c r="AC206" t="str">
        <f t="array" ref="AC206">IF($Q206="","",_xlfn.TEXTJOIN(", ",TRUE,IF(DEZ!$G55:$AK55="AT",DEZ!$G$4:$AK$4,"")))</f>
        <v/>
      </c>
      <c r="AD206">
        <f>IF($Q206="","",COUNTIF(JAN!$G55:$AK55,"AT")+COUNTIF(FEV!$G55:$AK55,"AT")+COUNTIF(MAR!$G55:$AK55,"AT")+COUNTIF(ABR!$G55:$AK55,"AT")+COUNTIF(MAI!$G55:$AK55,"AT")+COUNTIF(JUN!$G55:$AK55,"AT")+COUNTIF(JUL!$G55:$AK55,"AT")+COUNTIF(AGO!$G55:$AK55,"AT")+COUNTIF(SET!$G55:$AK55,"AT")+COUNTIF(OUT!$G55:$AK55,"AT")+COUNTIF(NOV!$G55:$AK55,"AT")+COUNTIF(DEZ!$G55:$AK55,"AT"))</f>
        <v>0</v>
      </c>
      <c r="AF206" t="str">
        <f>IF(AND($Q206&lt;&gt;"",N($AD206)&gt;0),COUNT($AF$156:AF205)+1,"")</f>
        <v/>
      </c>
    </row>
    <row r="207" spans="1:32" hidden="1" outlineLevel="1" x14ac:dyDescent="0.25">
      <c r="A207" s="36" t="str">
        <f>IFERROR(INDEX($Q$157:$Q$306,MATCH(ROWS($A$157:A207),$AF$157:$AF$306,0)),"")</f>
        <v/>
      </c>
      <c r="B207" s="35" t="str">
        <f>IFERROR(INDEX($R$157:$R$306,MATCH(ROWS($A$157:A207),$AF$157:$AF$306,0)),"")</f>
        <v/>
      </c>
      <c r="C207" s="35" t="str">
        <f>IFERROR(INDEX($S$157:$S$306,MATCH(ROWS($A$157:A207),$AF$157:$AF$306,0)),"")</f>
        <v/>
      </c>
      <c r="D207" s="35" t="str">
        <f>IFERROR(INDEX($T$157:$T$306,MATCH(ROWS($A$157:A207),$AF$157:$AF$306,0)),"")</f>
        <v/>
      </c>
      <c r="E207" s="35" t="str">
        <f>IFERROR(INDEX($U$157:$U$306,MATCH(ROWS($A$157:A207),$AF$157:$AF$306,0)),"")</f>
        <v/>
      </c>
      <c r="F207" s="35" t="str">
        <f>IFERROR(INDEX($V$157:$V$306,MATCH(ROWS($A$157:A207),$AF$157:$AF$306,0)),"")</f>
        <v/>
      </c>
      <c r="G207" s="35" t="str">
        <f>IFERROR(INDEX($W$157:$W$306,MATCH(ROWS($A$157:A207),$AF$157:$AF$306,0)),"")</f>
        <v/>
      </c>
      <c r="H207" s="35" t="str">
        <f>IFERROR(INDEX($X$157:$X$306,MATCH(ROWS($A$157:A207),$AF$157:$AF$306,0)),"")</f>
        <v/>
      </c>
      <c r="I207" s="35" t="str">
        <f>IFERROR(INDEX($Y$157:$Y$306,MATCH(ROWS($A$157:A207),$AF$157:$AF$306,0)),"")</f>
        <v/>
      </c>
      <c r="J207" s="35" t="str">
        <f>IFERROR(INDEX($Z$157:$Z$306,MATCH(ROWS($A$157:A207),$AF$157:$AF$306,0)),"")</f>
        <v/>
      </c>
      <c r="K207" s="35" t="str">
        <f>IFERROR(INDEX($AA$157:$AA$306,MATCH(ROWS($A$157:A207),$AF$157:$AF$306,0)),"")</f>
        <v/>
      </c>
      <c r="L207" s="35" t="str">
        <f>IFERROR(INDEX($AB$157:$AB$306,MATCH(ROWS($A$157:A207),$AF$157:$AF$306,0)),"")</f>
        <v/>
      </c>
      <c r="M207" s="35" t="str">
        <f>IFERROR(INDEX($AC$157:$AC$306,MATCH(ROWS($A$157:A207),$AF$157:$AF$306,0)),"")</f>
        <v/>
      </c>
      <c r="N207" s="35" t="str">
        <f>IFERROR(INDEX($AD$157:$AD$306,MATCH(ROWS($A$157:A207),$AF$157:$AF$306,0)),"")</f>
        <v/>
      </c>
      <c r="Q207" t="str">
        <f>T(JAN!B56)</f>
        <v>RENAN RAMBO 327701</v>
      </c>
      <c r="R207" t="str">
        <f t="array" ref="R207">IF($Q207="","",_xlfn.TEXTJOIN(", ",TRUE,IF(JAN!$G56:$AK56="AT",JAN!$G$4:$AK$4,"")))</f>
        <v/>
      </c>
      <c r="S207" t="str">
        <f t="array" ref="S207">IF($Q207="","",_xlfn.TEXTJOIN(", ",TRUE,IF(FEV!$G56:$AK56="AT",FEV!$G$4:$AK$4,"")))</f>
        <v/>
      </c>
      <c r="T207" t="str">
        <f t="array" ref="T207">IF($Q207="","",_xlfn.TEXTJOIN(", ",TRUE,IF(MAR!$G56:$AK56="AT",MAR!$G$4:$AK$4,"")))</f>
        <v/>
      </c>
      <c r="U207" t="str">
        <f t="array" ref="U207">IF($Q207="","",_xlfn.TEXTJOIN(", ",TRUE,IF(ABR!$G56:$AK56="AT",ABR!$G$4:$AK$4,"")))</f>
        <v/>
      </c>
      <c r="V207" t="str">
        <f t="array" ref="V207">IF($Q207="","",_xlfn.TEXTJOIN(", ",TRUE,IF(MAI!$G56:$AK56="AT",MAI!$G$4:$AK$4,"")))</f>
        <v/>
      </c>
      <c r="W207" t="str">
        <f t="array" ref="W207">IF($Q207="","",_xlfn.TEXTJOIN(", ",TRUE,IF(JUN!$G56:$AK56="AT",JUN!$G$4:$AK$4,"")))</f>
        <v/>
      </c>
      <c r="X207" t="str">
        <f t="array" ref="X207">IF($Q207="","",_xlfn.TEXTJOIN(", ",TRUE,IF(JUL!$G56:$AK56="AT",JUL!$G$4:$AK$4,"")))</f>
        <v/>
      </c>
      <c r="Y207" t="str">
        <f t="array" ref="Y207">IF($Q207="","",_xlfn.TEXTJOIN(", ",TRUE,IF(AGO!$G56:$AK56="AT",AGO!$G$4:$AK$4,"")))</f>
        <v/>
      </c>
      <c r="Z207" t="str">
        <f t="array" ref="Z207">IF($Q207="","",_xlfn.TEXTJOIN(", ",TRUE,IF(SET!$G56:$AK56="AT",SET!$G$4:$AK$4,"")))</f>
        <v/>
      </c>
      <c r="AA207" t="str">
        <f t="array" ref="AA207">IF($Q207="","",_xlfn.TEXTJOIN(", ",TRUE,IF(OUT!$G56:$AK56="AT",OUT!$G$4:$AK$4,"")))</f>
        <v/>
      </c>
      <c r="AB207" t="str">
        <f t="array" ref="AB207">IF($Q207="","",_xlfn.TEXTJOIN(", ",TRUE,IF(NOV!$G56:$AK56="AT",NOV!$G$4:$AK$4,"")))</f>
        <v/>
      </c>
      <c r="AC207" t="str">
        <f t="array" ref="AC207">IF($Q207="","",_xlfn.TEXTJOIN(", ",TRUE,IF(DEZ!$G56:$AK56="AT",DEZ!$G$4:$AK$4,"")))</f>
        <v/>
      </c>
      <c r="AD207">
        <f>IF($Q207="","",COUNTIF(JAN!$G56:$AK56,"AT")+COUNTIF(FEV!$G56:$AK56,"AT")+COUNTIF(MAR!$G56:$AK56,"AT")+COUNTIF(ABR!$G56:$AK56,"AT")+COUNTIF(MAI!$G56:$AK56,"AT")+COUNTIF(JUN!$G56:$AK56,"AT")+COUNTIF(JUL!$G56:$AK56,"AT")+COUNTIF(AGO!$G56:$AK56,"AT")+COUNTIF(SET!$G56:$AK56,"AT")+COUNTIF(OUT!$G56:$AK56,"AT")+COUNTIF(NOV!$G56:$AK56,"AT")+COUNTIF(DEZ!$G56:$AK56,"AT"))</f>
        <v>0</v>
      </c>
      <c r="AF207" t="str">
        <f>IF(AND($Q207&lt;&gt;"",N($AD207)&gt;0),COUNT($AF$156:AF206)+1,"")</f>
        <v/>
      </c>
    </row>
    <row r="208" spans="1:32" hidden="1" outlineLevel="1" x14ac:dyDescent="0.25">
      <c r="A208" s="36" t="str">
        <f>IFERROR(INDEX($Q$157:$Q$306,MATCH(ROWS($A$157:A208),$AF$157:$AF$306,0)),"")</f>
        <v/>
      </c>
      <c r="B208" s="35" t="str">
        <f>IFERROR(INDEX($R$157:$R$306,MATCH(ROWS($A$157:A208),$AF$157:$AF$306,0)),"")</f>
        <v/>
      </c>
      <c r="C208" s="35" t="str">
        <f>IFERROR(INDEX($S$157:$S$306,MATCH(ROWS($A$157:A208),$AF$157:$AF$306,0)),"")</f>
        <v/>
      </c>
      <c r="D208" s="35" t="str">
        <f>IFERROR(INDEX($T$157:$T$306,MATCH(ROWS($A$157:A208),$AF$157:$AF$306,0)),"")</f>
        <v/>
      </c>
      <c r="E208" s="35" t="str">
        <f>IFERROR(INDEX($U$157:$U$306,MATCH(ROWS($A$157:A208),$AF$157:$AF$306,0)),"")</f>
        <v/>
      </c>
      <c r="F208" s="35" t="str">
        <f>IFERROR(INDEX($V$157:$V$306,MATCH(ROWS($A$157:A208),$AF$157:$AF$306,0)),"")</f>
        <v/>
      </c>
      <c r="G208" s="35" t="str">
        <f>IFERROR(INDEX($W$157:$W$306,MATCH(ROWS($A$157:A208),$AF$157:$AF$306,0)),"")</f>
        <v/>
      </c>
      <c r="H208" s="35" t="str">
        <f>IFERROR(INDEX($X$157:$X$306,MATCH(ROWS($A$157:A208),$AF$157:$AF$306,0)),"")</f>
        <v/>
      </c>
      <c r="I208" s="35" t="str">
        <f>IFERROR(INDEX($Y$157:$Y$306,MATCH(ROWS($A$157:A208),$AF$157:$AF$306,0)),"")</f>
        <v/>
      </c>
      <c r="J208" s="35" t="str">
        <f>IFERROR(INDEX($Z$157:$Z$306,MATCH(ROWS($A$157:A208),$AF$157:$AF$306,0)),"")</f>
        <v/>
      </c>
      <c r="K208" s="35" t="str">
        <f>IFERROR(INDEX($AA$157:$AA$306,MATCH(ROWS($A$157:A208),$AF$157:$AF$306,0)),"")</f>
        <v/>
      </c>
      <c r="L208" s="35" t="str">
        <f>IFERROR(INDEX($AB$157:$AB$306,MATCH(ROWS($A$157:A208),$AF$157:$AF$306,0)),"")</f>
        <v/>
      </c>
      <c r="M208" s="35" t="str">
        <f>IFERROR(INDEX($AC$157:$AC$306,MATCH(ROWS($A$157:A208),$AF$157:$AF$306,0)),"")</f>
        <v/>
      </c>
      <c r="N208" s="35" t="str">
        <f>IFERROR(INDEX($AD$157:$AD$306,MATCH(ROWS($A$157:A208),$AF$157:$AF$306,0)),"")</f>
        <v/>
      </c>
      <c r="Q208" t="str">
        <f>T(JAN!B57)</f>
        <v>LUCAS SEVERO 471301</v>
      </c>
      <c r="R208" t="str">
        <f t="array" ref="R208">IF($Q208="","",_xlfn.TEXTJOIN(", ",TRUE,IF(JAN!$G57:$AK57="AT",JAN!$G$4:$AK$4,"")))</f>
        <v/>
      </c>
      <c r="S208" t="str">
        <f t="array" ref="S208">IF($Q208="","",_xlfn.TEXTJOIN(", ",TRUE,IF(FEV!$G57:$AK57="AT",FEV!$G$4:$AK$4,"")))</f>
        <v/>
      </c>
      <c r="T208" t="str">
        <f t="array" ref="T208">IF($Q208="","",_xlfn.TEXTJOIN(", ",TRUE,IF(MAR!$G57:$AK57="AT",MAR!$G$4:$AK$4,"")))</f>
        <v/>
      </c>
      <c r="U208" t="str">
        <f t="array" ref="U208">IF($Q208="","",_xlfn.TEXTJOIN(", ",TRUE,IF(ABR!$G57:$AK57="AT",ABR!$G$4:$AK$4,"")))</f>
        <v/>
      </c>
      <c r="V208" t="str">
        <f t="array" ref="V208">IF($Q208="","",_xlfn.TEXTJOIN(", ",TRUE,IF(MAI!$G57:$AK57="AT",MAI!$G$4:$AK$4,"")))</f>
        <v/>
      </c>
      <c r="W208" t="str">
        <f t="array" ref="W208">IF($Q208="","",_xlfn.TEXTJOIN(", ",TRUE,IF(JUN!$G57:$AK57="AT",JUN!$G$4:$AK$4,"")))</f>
        <v/>
      </c>
      <c r="X208" t="str">
        <f t="array" ref="X208">IF($Q208="","",_xlfn.TEXTJOIN(", ",TRUE,IF(JUL!$G57:$AK57="AT",JUL!$G$4:$AK$4,"")))</f>
        <v/>
      </c>
      <c r="Y208" t="str">
        <f t="array" ref="Y208">IF($Q208="","",_xlfn.TEXTJOIN(", ",TRUE,IF(AGO!$G57:$AK57="AT",AGO!$G$4:$AK$4,"")))</f>
        <v/>
      </c>
      <c r="Z208" t="str">
        <f t="array" ref="Z208">IF($Q208="","",_xlfn.TEXTJOIN(", ",TRUE,IF(SET!$G57:$AK57="AT",SET!$G$4:$AK$4,"")))</f>
        <v/>
      </c>
      <c r="AA208" t="str">
        <f t="array" ref="AA208">IF($Q208="","",_xlfn.TEXTJOIN(", ",TRUE,IF(OUT!$G57:$AK57="AT",OUT!$G$4:$AK$4,"")))</f>
        <v/>
      </c>
      <c r="AB208" t="str">
        <f t="array" ref="AB208">IF($Q208="","",_xlfn.TEXTJOIN(", ",TRUE,IF(NOV!$G57:$AK57="AT",NOV!$G$4:$AK$4,"")))</f>
        <v/>
      </c>
      <c r="AC208" t="str">
        <f t="array" ref="AC208">IF($Q208="","",_xlfn.TEXTJOIN(", ",TRUE,IF(DEZ!$G57:$AK57="AT",DEZ!$G$4:$AK$4,"")))</f>
        <v/>
      </c>
      <c r="AD208">
        <f>IF($Q208="","",COUNTIF(JAN!$G57:$AK57,"AT")+COUNTIF(FEV!$G57:$AK57,"AT")+COUNTIF(MAR!$G57:$AK57,"AT")+COUNTIF(ABR!$G57:$AK57,"AT")+COUNTIF(MAI!$G57:$AK57,"AT")+COUNTIF(JUN!$G57:$AK57,"AT")+COUNTIF(JUL!$G57:$AK57,"AT")+COUNTIF(AGO!$G57:$AK57,"AT")+COUNTIF(SET!$G57:$AK57,"AT")+COUNTIF(OUT!$G57:$AK57,"AT")+COUNTIF(NOV!$G57:$AK57,"AT")+COUNTIF(DEZ!$G57:$AK57,"AT"))</f>
        <v>0</v>
      </c>
      <c r="AF208" t="str">
        <f>IF(AND($Q208&lt;&gt;"",N($AD208)&gt;0),COUNT($AF$156:AF207)+1,"")</f>
        <v/>
      </c>
    </row>
    <row r="209" spans="1:32" hidden="1" outlineLevel="1" x14ac:dyDescent="0.25">
      <c r="A209" s="36" t="str">
        <f>IFERROR(INDEX($Q$157:$Q$306,MATCH(ROWS($A$157:A209),$AF$157:$AF$306,0)),"")</f>
        <v/>
      </c>
      <c r="B209" s="35" t="str">
        <f>IFERROR(INDEX($R$157:$R$306,MATCH(ROWS($A$157:A209),$AF$157:$AF$306,0)),"")</f>
        <v/>
      </c>
      <c r="C209" s="35" t="str">
        <f>IFERROR(INDEX($S$157:$S$306,MATCH(ROWS($A$157:A209),$AF$157:$AF$306,0)),"")</f>
        <v/>
      </c>
      <c r="D209" s="35" t="str">
        <f>IFERROR(INDEX($T$157:$T$306,MATCH(ROWS($A$157:A209),$AF$157:$AF$306,0)),"")</f>
        <v/>
      </c>
      <c r="E209" s="35" t="str">
        <f>IFERROR(INDEX($U$157:$U$306,MATCH(ROWS($A$157:A209),$AF$157:$AF$306,0)),"")</f>
        <v/>
      </c>
      <c r="F209" s="35" t="str">
        <f>IFERROR(INDEX($V$157:$V$306,MATCH(ROWS($A$157:A209),$AF$157:$AF$306,0)),"")</f>
        <v/>
      </c>
      <c r="G209" s="35" t="str">
        <f>IFERROR(INDEX($W$157:$W$306,MATCH(ROWS($A$157:A209),$AF$157:$AF$306,0)),"")</f>
        <v/>
      </c>
      <c r="H209" s="35" t="str">
        <f>IFERROR(INDEX($X$157:$X$306,MATCH(ROWS($A$157:A209),$AF$157:$AF$306,0)),"")</f>
        <v/>
      </c>
      <c r="I209" s="35" t="str">
        <f>IFERROR(INDEX($Y$157:$Y$306,MATCH(ROWS($A$157:A209),$AF$157:$AF$306,0)),"")</f>
        <v/>
      </c>
      <c r="J209" s="35" t="str">
        <f>IFERROR(INDEX($Z$157:$Z$306,MATCH(ROWS($A$157:A209),$AF$157:$AF$306,0)),"")</f>
        <v/>
      </c>
      <c r="K209" s="35" t="str">
        <f>IFERROR(INDEX($AA$157:$AA$306,MATCH(ROWS($A$157:A209),$AF$157:$AF$306,0)),"")</f>
        <v/>
      </c>
      <c r="L209" s="35" t="str">
        <f>IFERROR(INDEX($AB$157:$AB$306,MATCH(ROWS($A$157:A209),$AF$157:$AF$306,0)),"")</f>
        <v/>
      </c>
      <c r="M209" s="35" t="str">
        <f>IFERROR(INDEX($AC$157:$AC$306,MATCH(ROWS($A$157:A209),$AF$157:$AF$306,0)),"")</f>
        <v/>
      </c>
      <c r="N209" s="35" t="str">
        <f>IFERROR(INDEX($AD$157:$AD$306,MATCH(ROWS($A$157:A209),$AF$157:$AF$306,0)),"")</f>
        <v/>
      </c>
      <c r="Q209" t="str">
        <f>T(JAN!B58)</f>
        <v>EDER MONTICELLI 318101</v>
      </c>
      <c r="R209" t="str">
        <f t="array" ref="R209">IF($Q209="","",_xlfn.TEXTJOIN(", ",TRUE,IF(JAN!$G58:$AK58="AT",JAN!$G$4:$AK$4,"")))</f>
        <v/>
      </c>
      <c r="S209" t="str">
        <f t="array" ref="S209">IF($Q209="","",_xlfn.TEXTJOIN(", ",TRUE,IF(FEV!$G58:$AK58="AT",FEV!$G$4:$AK$4,"")))</f>
        <v/>
      </c>
      <c r="T209" t="str">
        <f t="array" ref="T209">IF($Q209="","",_xlfn.TEXTJOIN(", ",TRUE,IF(MAR!$G58:$AK58="AT",MAR!$G$4:$AK$4,"")))</f>
        <v/>
      </c>
      <c r="U209" t="str">
        <f t="array" ref="U209">IF($Q209="","",_xlfn.TEXTJOIN(", ",TRUE,IF(ABR!$G58:$AK58="AT",ABR!$G$4:$AK$4,"")))</f>
        <v/>
      </c>
      <c r="V209" t="str">
        <f t="array" ref="V209">IF($Q209="","",_xlfn.TEXTJOIN(", ",TRUE,IF(MAI!$G58:$AK58="AT",MAI!$G$4:$AK$4,"")))</f>
        <v/>
      </c>
      <c r="W209" t="str">
        <f t="array" ref="W209">IF($Q209="","",_xlfn.TEXTJOIN(", ",TRUE,IF(JUN!$G58:$AK58="AT",JUN!$G$4:$AK$4,"")))</f>
        <v/>
      </c>
      <c r="X209" t="str">
        <f t="array" ref="X209">IF($Q209="","",_xlfn.TEXTJOIN(", ",TRUE,IF(JUL!$G58:$AK58="AT",JUL!$G$4:$AK$4,"")))</f>
        <v>31</v>
      </c>
      <c r="Y209" t="str">
        <f t="array" ref="Y209">IF($Q209="","",_xlfn.TEXTJOIN(", ",TRUE,IF(AGO!$G58:$AK58="AT",AGO!$G$4:$AK$4,"")))</f>
        <v/>
      </c>
      <c r="Z209" t="str">
        <f t="array" ref="Z209">IF($Q209="","",_xlfn.TEXTJOIN(", ",TRUE,IF(SET!$G58:$AK58="AT",SET!$G$4:$AK$4,"")))</f>
        <v/>
      </c>
      <c r="AA209" t="str">
        <f t="array" ref="AA209">IF($Q209="","",_xlfn.TEXTJOIN(", ",TRUE,IF(OUT!$G58:$AK58="AT",OUT!$G$4:$AK$4,"")))</f>
        <v/>
      </c>
      <c r="AB209" t="str">
        <f t="array" ref="AB209">IF($Q209="","",_xlfn.TEXTJOIN(", ",TRUE,IF(NOV!$G58:$AK58="AT",NOV!$G$4:$AK$4,"")))</f>
        <v/>
      </c>
      <c r="AC209" t="str">
        <f t="array" ref="AC209">IF($Q209="","",_xlfn.TEXTJOIN(", ",TRUE,IF(DEZ!$G58:$AK58="AT",DEZ!$G$4:$AK$4,"")))</f>
        <v/>
      </c>
      <c r="AD209">
        <f>IF($Q209="","",COUNTIF(JAN!$G58:$AK58,"AT")+COUNTIF(FEV!$G58:$AK58,"AT")+COUNTIF(MAR!$G58:$AK58,"AT")+COUNTIF(ABR!$G58:$AK58,"AT")+COUNTIF(MAI!$G58:$AK58,"AT")+COUNTIF(JUN!$G58:$AK58,"AT")+COUNTIF(JUL!$G58:$AK58,"AT")+COUNTIF(AGO!$G58:$AK58,"AT")+COUNTIF(SET!$G58:$AK58,"AT")+COUNTIF(OUT!$G58:$AK58,"AT")+COUNTIF(NOV!$G58:$AK58,"AT")+COUNTIF(DEZ!$G58:$AK58,"AT"))</f>
        <v>1</v>
      </c>
      <c r="AF209">
        <f>IF(AND($Q209&lt;&gt;"",N($AD209)&gt;0),COUNT($AF$156:AF208)+1,"")</f>
        <v>19</v>
      </c>
    </row>
    <row r="210" spans="1:32" hidden="1" outlineLevel="1" x14ac:dyDescent="0.25">
      <c r="A210" s="36" t="str">
        <f>IFERROR(INDEX($Q$157:$Q$306,MATCH(ROWS($A$157:A210),$AF$157:$AF$306,0)),"")</f>
        <v/>
      </c>
      <c r="B210" s="35" t="str">
        <f>IFERROR(INDEX($R$157:$R$306,MATCH(ROWS($A$157:A210),$AF$157:$AF$306,0)),"")</f>
        <v/>
      </c>
      <c r="C210" s="35" t="str">
        <f>IFERROR(INDEX($S$157:$S$306,MATCH(ROWS($A$157:A210),$AF$157:$AF$306,0)),"")</f>
        <v/>
      </c>
      <c r="D210" s="35" t="str">
        <f>IFERROR(INDEX($T$157:$T$306,MATCH(ROWS($A$157:A210),$AF$157:$AF$306,0)),"")</f>
        <v/>
      </c>
      <c r="E210" s="35" t="str">
        <f>IFERROR(INDEX($U$157:$U$306,MATCH(ROWS($A$157:A210),$AF$157:$AF$306,0)),"")</f>
        <v/>
      </c>
      <c r="F210" s="35" t="str">
        <f>IFERROR(INDEX($V$157:$V$306,MATCH(ROWS($A$157:A210),$AF$157:$AF$306,0)),"")</f>
        <v/>
      </c>
      <c r="G210" s="35" t="str">
        <f>IFERROR(INDEX($W$157:$W$306,MATCH(ROWS($A$157:A210),$AF$157:$AF$306,0)),"")</f>
        <v/>
      </c>
      <c r="H210" s="35" t="str">
        <f>IFERROR(INDEX($X$157:$X$306,MATCH(ROWS($A$157:A210),$AF$157:$AF$306,0)),"")</f>
        <v/>
      </c>
      <c r="I210" s="35" t="str">
        <f>IFERROR(INDEX($Y$157:$Y$306,MATCH(ROWS($A$157:A210),$AF$157:$AF$306,0)),"")</f>
        <v/>
      </c>
      <c r="J210" s="35" t="str">
        <f>IFERROR(INDEX($Z$157:$Z$306,MATCH(ROWS($A$157:A210),$AF$157:$AF$306,0)),"")</f>
        <v/>
      </c>
      <c r="K210" s="35" t="str">
        <f>IFERROR(INDEX($AA$157:$AA$306,MATCH(ROWS($A$157:A210),$AF$157:$AF$306,0)),"")</f>
        <v/>
      </c>
      <c r="L210" s="35" t="str">
        <f>IFERROR(INDEX($AB$157:$AB$306,MATCH(ROWS($A$157:A210),$AF$157:$AF$306,0)),"")</f>
        <v/>
      </c>
      <c r="M210" s="35" t="str">
        <f>IFERROR(INDEX($AC$157:$AC$306,MATCH(ROWS($A$157:A210),$AF$157:$AF$306,0)),"")</f>
        <v/>
      </c>
      <c r="N210" s="35" t="str">
        <f>IFERROR(INDEX($AD$157:$AD$306,MATCH(ROWS($A$157:A210),$AF$157:$AF$306,0)),"")</f>
        <v/>
      </c>
      <c r="Q210" t="str">
        <f>T(JAN!B59)</f>
        <v>JULIANO LENHARD 446901</v>
      </c>
      <c r="R210" t="str">
        <f t="array" ref="R210">IF($Q210="","",_xlfn.TEXTJOIN(", ",TRUE,IF(JAN!$G59:$AK59="AT",JAN!$G$4:$AK$4,"")))</f>
        <v/>
      </c>
      <c r="S210" t="str">
        <f t="array" ref="S210">IF($Q210="","",_xlfn.TEXTJOIN(", ",TRUE,IF(FEV!$G59:$AK59="AT",FEV!$G$4:$AK$4,"")))</f>
        <v/>
      </c>
      <c r="T210" t="str">
        <f t="array" ref="T210">IF($Q210="","",_xlfn.TEXTJOIN(", ",TRUE,IF(MAR!$G59:$AK59="AT",MAR!$G$4:$AK$4,"")))</f>
        <v/>
      </c>
      <c r="U210" t="str">
        <f t="array" ref="U210">IF($Q210="","",_xlfn.TEXTJOIN(", ",TRUE,IF(ABR!$G59:$AK59="AT",ABR!$G$4:$AK$4,"")))</f>
        <v/>
      </c>
      <c r="V210" t="str">
        <f t="array" ref="V210">IF($Q210="","",_xlfn.TEXTJOIN(", ",TRUE,IF(MAI!$G59:$AK59="AT",MAI!$G$4:$AK$4,"")))</f>
        <v/>
      </c>
      <c r="W210" t="str">
        <f t="array" ref="W210">IF($Q210="","",_xlfn.TEXTJOIN(", ",TRUE,IF(JUN!$G59:$AK59="AT",JUN!$G$4:$AK$4,"")))</f>
        <v/>
      </c>
      <c r="X210" t="str">
        <f t="array" ref="X210">IF($Q210="","",_xlfn.TEXTJOIN(", ",TRUE,IF(JUL!$G59:$AK59="AT",JUL!$G$4:$AK$4,"")))</f>
        <v>12, 13, 14, 17, 18, 19, 20, 21, 22, 23</v>
      </c>
      <c r="Y210" t="str">
        <f t="array" ref="Y210">IF($Q210="","",_xlfn.TEXTJOIN(", ",TRUE,IF(AGO!$G59:$AK59="AT",AGO!$G$4:$AK$4,"")))</f>
        <v/>
      </c>
      <c r="Z210" t="str">
        <f t="array" ref="Z210">IF($Q210="","",_xlfn.TEXTJOIN(", ",TRUE,IF(SET!$G59:$AK59="AT",SET!$G$4:$AK$4,"")))</f>
        <v/>
      </c>
      <c r="AA210" t="str">
        <f t="array" ref="AA210">IF($Q210="","",_xlfn.TEXTJOIN(", ",TRUE,IF(OUT!$G59:$AK59="AT",OUT!$G$4:$AK$4,"")))</f>
        <v/>
      </c>
      <c r="AB210" t="str">
        <f t="array" ref="AB210">IF($Q210="","",_xlfn.TEXTJOIN(", ",TRUE,IF(NOV!$G59:$AK59="AT",NOV!$G$4:$AK$4,"")))</f>
        <v/>
      </c>
      <c r="AC210" t="str">
        <f t="array" ref="AC210">IF($Q210="","",_xlfn.TEXTJOIN(", ",TRUE,IF(DEZ!$G59:$AK59="AT",DEZ!$G$4:$AK$4,"")))</f>
        <v/>
      </c>
      <c r="AD210">
        <f>IF($Q210="","",COUNTIF(JAN!$G59:$AK59,"AT")+COUNTIF(FEV!$G59:$AK59,"AT")+COUNTIF(MAR!$G59:$AK59,"AT")+COUNTIF(ABR!$G59:$AK59,"AT")+COUNTIF(MAI!$G59:$AK59,"AT")+COUNTIF(JUN!$G59:$AK59,"AT")+COUNTIF(JUL!$G59:$AK59,"AT")+COUNTIF(AGO!$G59:$AK59,"AT")+COUNTIF(SET!$G59:$AK59,"AT")+COUNTIF(OUT!$G59:$AK59,"AT")+COUNTIF(NOV!$G59:$AK59,"AT")+COUNTIF(DEZ!$G59:$AK59,"AT"))</f>
        <v>10</v>
      </c>
      <c r="AF210">
        <f>IF(AND($Q210&lt;&gt;"",N($AD210)&gt;0),COUNT($AF$156:AF209)+1,"")</f>
        <v>20</v>
      </c>
    </row>
    <row r="211" spans="1:32" hidden="1" outlineLevel="1" x14ac:dyDescent="0.25">
      <c r="A211" s="36" t="str">
        <f>IFERROR(INDEX($Q$157:$Q$306,MATCH(ROWS($A$157:A211),$AF$157:$AF$306,0)),"")</f>
        <v/>
      </c>
      <c r="B211" s="35" t="str">
        <f>IFERROR(INDEX($R$157:$R$306,MATCH(ROWS($A$157:A211),$AF$157:$AF$306,0)),"")</f>
        <v/>
      </c>
      <c r="C211" s="35" t="str">
        <f>IFERROR(INDEX($S$157:$S$306,MATCH(ROWS($A$157:A211),$AF$157:$AF$306,0)),"")</f>
        <v/>
      </c>
      <c r="D211" s="35" t="str">
        <f>IFERROR(INDEX($T$157:$T$306,MATCH(ROWS($A$157:A211),$AF$157:$AF$306,0)),"")</f>
        <v/>
      </c>
      <c r="E211" s="35" t="str">
        <f>IFERROR(INDEX($U$157:$U$306,MATCH(ROWS($A$157:A211),$AF$157:$AF$306,0)),"")</f>
        <v/>
      </c>
      <c r="F211" s="35" t="str">
        <f>IFERROR(INDEX($V$157:$V$306,MATCH(ROWS($A$157:A211),$AF$157:$AF$306,0)),"")</f>
        <v/>
      </c>
      <c r="G211" s="35" t="str">
        <f>IFERROR(INDEX($W$157:$W$306,MATCH(ROWS($A$157:A211),$AF$157:$AF$306,0)),"")</f>
        <v/>
      </c>
      <c r="H211" s="35" t="str">
        <f>IFERROR(INDEX($X$157:$X$306,MATCH(ROWS($A$157:A211),$AF$157:$AF$306,0)),"")</f>
        <v/>
      </c>
      <c r="I211" s="35" t="str">
        <f>IFERROR(INDEX($Y$157:$Y$306,MATCH(ROWS($A$157:A211),$AF$157:$AF$306,0)),"")</f>
        <v/>
      </c>
      <c r="J211" s="35" t="str">
        <f>IFERROR(INDEX($Z$157:$Z$306,MATCH(ROWS($A$157:A211),$AF$157:$AF$306,0)),"")</f>
        <v/>
      </c>
      <c r="K211" s="35" t="str">
        <f>IFERROR(INDEX($AA$157:$AA$306,MATCH(ROWS($A$157:A211),$AF$157:$AF$306,0)),"")</f>
        <v/>
      </c>
      <c r="L211" s="35" t="str">
        <f>IFERROR(INDEX($AB$157:$AB$306,MATCH(ROWS($A$157:A211),$AF$157:$AF$306,0)),"")</f>
        <v/>
      </c>
      <c r="M211" s="35" t="str">
        <f>IFERROR(INDEX($AC$157:$AC$306,MATCH(ROWS($A$157:A211),$AF$157:$AF$306,0)),"")</f>
        <v/>
      </c>
      <c r="N211" s="35" t="str">
        <f>IFERROR(INDEX($AD$157:$AD$306,MATCH(ROWS($A$157:A211),$AF$157:$AF$306,0)),"")</f>
        <v/>
      </c>
      <c r="Q211" t="str">
        <f>T(JAN!B60)</f>
        <v>CARLOS CONCEIÇÃO 509201</v>
      </c>
      <c r="R211" t="str">
        <f t="array" ref="R211">IF($Q211="","",_xlfn.TEXTJOIN(", ",TRUE,IF(JAN!$G60:$AK60="AT",JAN!$G$4:$AK$4,"")))</f>
        <v/>
      </c>
      <c r="S211" t="str">
        <f t="array" ref="S211">IF($Q211="","",_xlfn.TEXTJOIN(", ",TRUE,IF(FEV!$G60:$AK60="AT",FEV!$G$4:$AK$4,"")))</f>
        <v/>
      </c>
      <c r="T211" t="str">
        <f t="array" ref="T211">IF($Q211="","",_xlfn.TEXTJOIN(", ",TRUE,IF(MAR!$G60:$AK60="AT",MAR!$G$4:$AK$4,"")))</f>
        <v/>
      </c>
      <c r="U211" t="str">
        <f t="array" ref="U211">IF($Q211="","",_xlfn.TEXTJOIN(", ",TRUE,IF(ABR!$G60:$AK60="AT",ABR!$G$4:$AK$4,"")))</f>
        <v/>
      </c>
      <c r="V211" t="str">
        <f t="array" ref="V211">IF($Q211="","",_xlfn.TEXTJOIN(", ",TRUE,IF(MAI!$G60:$AK60="AT",MAI!$G$4:$AK$4,"")))</f>
        <v/>
      </c>
      <c r="W211" t="str">
        <f t="array" ref="W211">IF($Q211="","",_xlfn.TEXTJOIN(", ",TRUE,IF(JUN!$G60:$AK60="AT",JUN!$G$4:$AK$4,"")))</f>
        <v/>
      </c>
      <c r="X211" t="str">
        <f t="array" ref="X211">IF($Q211="","",_xlfn.TEXTJOIN(", ",TRUE,IF(JUL!$G60:$AK60="AT",JUL!$G$4:$AK$4,"")))</f>
        <v/>
      </c>
      <c r="Y211" t="str">
        <f t="array" ref="Y211">IF($Q211="","",_xlfn.TEXTJOIN(", ",TRUE,IF(AGO!$G60:$AK60="AT",AGO!$G$4:$AK$4,"")))</f>
        <v/>
      </c>
      <c r="Z211" t="str">
        <f t="array" ref="Z211">IF($Q211="","",_xlfn.TEXTJOIN(", ",TRUE,IF(SET!$G60:$AK60="AT",SET!$G$4:$AK$4,"")))</f>
        <v/>
      </c>
      <c r="AA211" t="str">
        <f t="array" ref="AA211">IF($Q211="","",_xlfn.TEXTJOIN(", ",TRUE,IF(OUT!$G60:$AK60="AT",OUT!$G$4:$AK$4,"")))</f>
        <v/>
      </c>
      <c r="AB211" t="str">
        <f t="array" ref="AB211">IF($Q211="","",_xlfn.TEXTJOIN(", ",TRUE,IF(NOV!$G60:$AK60="AT",NOV!$G$4:$AK$4,"")))</f>
        <v/>
      </c>
      <c r="AC211" t="str">
        <f t="array" ref="AC211">IF($Q211="","",_xlfn.TEXTJOIN(", ",TRUE,IF(DEZ!$G60:$AK60="AT",DEZ!$G$4:$AK$4,"")))</f>
        <v/>
      </c>
      <c r="AD211">
        <f>IF($Q211="","",COUNTIF(JAN!$G60:$AK60,"AT")+COUNTIF(FEV!$G60:$AK60,"AT")+COUNTIF(MAR!$G60:$AK60,"AT")+COUNTIF(ABR!$G60:$AK60,"AT")+COUNTIF(MAI!$G60:$AK60,"AT")+COUNTIF(JUN!$G60:$AK60,"AT")+COUNTIF(JUL!$G60:$AK60,"AT")+COUNTIF(AGO!$G60:$AK60,"AT")+COUNTIF(SET!$G60:$AK60,"AT")+COUNTIF(OUT!$G60:$AK60,"AT")+COUNTIF(NOV!$G60:$AK60,"AT")+COUNTIF(DEZ!$G60:$AK60,"AT"))</f>
        <v>0</v>
      </c>
      <c r="AF211" t="str">
        <f>IF(AND($Q211&lt;&gt;"",N($AD211)&gt;0),COUNT($AF$156:AF210)+1,"")</f>
        <v/>
      </c>
    </row>
    <row r="212" spans="1:32" hidden="1" outlineLevel="1" x14ac:dyDescent="0.25">
      <c r="A212" s="36" t="str">
        <f>IFERROR(INDEX($Q$157:$Q$306,MATCH(ROWS($A$157:A212),$AF$157:$AF$306,0)),"")</f>
        <v/>
      </c>
      <c r="B212" s="35" t="str">
        <f>IFERROR(INDEX($R$157:$R$306,MATCH(ROWS($A$157:A212),$AF$157:$AF$306,0)),"")</f>
        <v/>
      </c>
      <c r="C212" s="35" t="str">
        <f>IFERROR(INDEX($S$157:$S$306,MATCH(ROWS($A$157:A212),$AF$157:$AF$306,0)),"")</f>
        <v/>
      </c>
      <c r="D212" s="35" t="str">
        <f>IFERROR(INDEX($T$157:$T$306,MATCH(ROWS($A$157:A212),$AF$157:$AF$306,0)),"")</f>
        <v/>
      </c>
      <c r="E212" s="35" t="str">
        <f>IFERROR(INDEX($U$157:$U$306,MATCH(ROWS($A$157:A212),$AF$157:$AF$306,0)),"")</f>
        <v/>
      </c>
      <c r="F212" s="35" t="str">
        <f>IFERROR(INDEX($V$157:$V$306,MATCH(ROWS($A$157:A212),$AF$157:$AF$306,0)),"")</f>
        <v/>
      </c>
      <c r="G212" s="35" t="str">
        <f>IFERROR(INDEX($W$157:$W$306,MATCH(ROWS($A$157:A212),$AF$157:$AF$306,0)),"")</f>
        <v/>
      </c>
      <c r="H212" s="35" t="str">
        <f>IFERROR(INDEX($X$157:$X$306,MATCH(ROWS($A$157:A212),$AF$157:$AF$306,0)),"")</f>
        <v/>
      </c>
      <c r="I212" s="35" t="str">
        <f>IFERROR(INDEX($Y$157:$Y$306,MATCH(ROWS($A$157:A212),$AF$157:$AF$306,0)),"")</f>
        <v/>
      </c>
      <c r="J212" s="35" t="str">
        <f>IFERROR(INDEX($Z$157:$Z$306,MATCH(ROWS($A$157:A212),$AF$157:$AF$306,0)),"")</f>
        <v/>
      </c>
      <c r="K212" s="35" t="str">
        <f>IFERROR(INDEX($AA$157:$AA$306,MATCH(ROWS($A$157:A212),$AF$157:$AF$306,0)),"")</f>
        <v/>
      </c>
      <c r="L212" s="35" t="str">
        <f>IFERROR(INDEX($AB$157:$AB$306,MATCH(ROWS($A$157:A212),$AF$157:$AF$306,0)),"")</f>
        <v/>
      </c>
      <c r="M212" s="35" t="str">
        <f>IFERROR(INDEX($AC$157:$AC$306,MATCH(ROWS($A$157:A212),$AF$157:$AF$306,0)),"")</f>
        <v/>
      </c>
      <c r="N212" s="35" t="str">
        <f>IFERROR(INDEX($AD$157:$AD$306,MATCH(ROWS($A$157:A212),$AF$157:$AF$306,0)),"")</f>
        <v/>
      </c>
      <c r="Q212" t="str">
        <f>T(JAN!B61)</f>
        <v>FABIO BARBOSA 444601</v>
      </c>
      <c r="R212" t="str">
        <f t="array" ref="R212">IF($Q212="","",_xlfn.TEXTJOIN(", ",TRUE,IF(JAN!$G61:$AK61="AT",JAN!$G$4:$AK$4,"")))</f>
        <v/>
      </c>
      <c r="S212" t="str">
        <f t="array" ref="S212">IF($Q212="","",_xlfn.TEXTJOIN(", ",TRUE,IF(FEV!$G61:$AK61="AT",FEV!$G$4:$AK$4,"")))</f>
        <v/>
      </c>
      <c r="T212" t="str">
        <f t="array" ref="T212">IF($Q212="","",_xlfn.TEXTJOIN(", ",TRUE,IF(MAR!$G61:$AK61="AT",MAR!$G$4:$AK$4,"")))</f>
        <v/>
      </c>
      <c r="U212" t="str">
        <f t="array" ref="U212">IF($Q212="","",_xlfn.TEXTJOIN(", ",TRUE,IF(ABR!$G61:$AK61="AT",ABR!$G$4:$AK$4,"")))</f>
        <v/>
      </c>
      <c r="V212" t="str">
        <f t="array" ref="V212">IF($Q212="","",_xlfn.TEXTJOIN(", ",TRUE,IF(MAI!$G61:$AK61="AT",MAI!$G$4:$AK$4,"")))</f>
        <v/>
      </c>
      <c r="W212" t="str">
        <f t="array" ref="W212">IF($Q212="","",_xlfn.TEXTJOIN(", ",TRUE,IF(JUN!$G61:$AK61="AT",JUN!$G$4:$AK$4,"")))</f>
        <v/>
      </c>
      <c r="X212" t="str">
        <f t="array" ref="X212">IF($Q212="","",_xlfn.TEXTJOIN(", ",TRUE,IF(JUL!$G61:$AK61="AT",JUL!$G$4:$AK$4,"")))</f>
        <v/>
      </c>
      <c r="Y212" t="str">
        <f t="array" ref="Y212">IF($Q212="","",_xlfn.TEXTJOIN(", ",TRUE,IF(AGO!$G61:$AK61="AT",AGO!$G$4:$AK$4,"")))</f>
        <v/>
      </c>
      <c r="Z212" t="str">
        <f t="array" ref="Z212">IF($Q212="","",_xlfn.TEXTJOIN(", ",TRUE,IF(SET!$G61:$AK61="AT",SET!$G$4:$AK$4,"")))</f>
        <v/>
      </c>
      <c r="AA212" t="str">
        <f t="array" ref="AA212">IF($Q212="","",_xlfn.TEXTJOIN(", ",TRUE,IF(OUT!$G61:$AK61="AT",OUT!$G$4:$AK$4,"")))</f>
        <v/>
      </c>
      <c r="AB212" t="str">
        <f t="array" ref="AB212">IF($Q212="","",_xlfn.TEXTJOIN(", ",TRUE,IF(NOV!$G61:$AK61="AT",NOV!$G$4:$AK$4,"")))</f>
        <v/>
      </c>
      <c r="AC212" t="str">
        <f t="array" ref="AC212">IF($Q212="","",_xlfn.TEXTJOIN(", ",TRUE,IF(DEZ!$G61:$AK61="AT",DEZ!$G$4:$AK$4,"")))</f>
        <v/>
      </c>
      <c r="AD212">
        <f>IF($Q212="","",COUNTIF(JAN!$G61:$AK61,"AT")+COUNTIF(FEV!$G61:$AK61,"AT")+COUNTIF(MAR!$G61:$AK61,"AT")+COUNTIF(ABR!$G61:$AK61,"AT")+COUNTIF(MAI!$G61:$AK61,"AT")+COUNTIF(JUN!$G61:$AK61,"AT")+COUNTIF(JUL!$G61:$AK61,"AT")+COUNTIF(AGO!$G61:$AK61,"AT")+COUNTIF(SET!$G61:$AK61,"AT")+COUNTIF(OUT!$G61:$AK61,"AT")+COUNTIF(NOV!$G61:$AK61,"AT")+COUNTIF(DEZ!$G61:$AK61,"AT"))</f>
        <v>0</v>
      </c>
      <c r="AF212" t="str">
        <f>IF(AND($Q212&lt;&gt;"",N($AD212)&gt;0),COUNT($AF$156:AF211)+1,"")</f>
        <v/>
      </c>
    </row>
    <row r="213" spans="1:32" hidden="1" outlineLevel="1" x14ac:dyDescent="0.25">
      <c r="A213" s="36" t="str">
        <f>IFERROR(INDEX($Q$157:$Q$306,MATCH(ROWS($A$157:A213),$AF$157:$AF$306,0)),"")</f>
        <v/>
      </c>
      <c r="B213" s="35" t="str">
        <f>IFERROR(INDEX($R$157:$R$306,MATCH(ROWS($A$157:A213),$AF$157:$AF$306,0)),"")</f>
        <v/>
      </c>
      <c r="C213" s="35" t="str">
        <f>IFERROR(INDEX($S$157:$S$306,MATCH(ROWS($A$157:A213),$AF$157:$AF$306,0)),"")</f>
        <v/>
      </c>
      <c r="D213" s="35" t="str">
        <f>IFERROR(INDEX($T$157:$T$306,MATCH(ROWS($A$157:A213),$AF$157:$AF$306,0)),"")</f>
        <v/>
      </c>
      <c r="E213" s="35" t="str">
        <f>IFERROR(INDEX($U$157:$U$306,MATCH(ROWS($A$157:A213),$AF$157:$AF$306,0)),"")</f>
        <v/>
      </c>
      <c r="F213" s="35" t="str">
        <f>IFERROR(INDEX($V$157:$V$306,MATCH(ROWS($A$157:A213),$AF$157:$AF$306,0)),"")</f>
        <v/>
      </c>
      <c r="G213" s="35" t="str">
        <f>IFERROR(INDEX($W$157:$W$306,MATCH(ROWS($A$157:A213),$AF$157:$AF$306,0)),"")</f>
        <v/>
      </c>
      <c r="H213" s="35" t="str">
        <f>IFERROR(INDEX($X$157:$X$306,MATCH(ROWS($A$157:A213),$AF$157:$AF$306,0)),"")</f>
        <v/>
      </c>
      <c r="I213" s="35" t="str">
        <f>IFERROR(INDEX($Y$157:$Y$306,MATCH(ROWS($A$157:A213),$AF$157:$AF$306,0)),"")</f>
        <v/>
      </c>
      <c r="J213" s="35" t="str">
        <f>IFERROR(INDEX($Z$157:$Z$306,MATCH(ROWS($A$157:A213),$AF$157:$AF$306,0)),"")</f>
        <v/>
      </c>
      <c r="K213" s="35" t="str">
        <f>IFERROR(INDEX($AA$157:$AA$306,MATCH(ROWS($A$157:A213),$AF$157:$AF$306,0)),"")</f>
        <v/>
      </c>
      <c r="L213" s="35" t="str">
        <f>IFERROR(INDEX($AB$157:$AB$306,MATCH(ROWS($A$157:A213),$AF$157:$AF$306,0)),"")</f>
        <v/>
      </c>
      <c r="M213" s="35" t="str">
        <f>IFERROR(INDEX($AC$157:$AC$306,MATCH(ROWS($A$157:A213),$AF$157:$AF$306,0)),"")</f>
        <v/>
      </c>
      <c r="N213" s="35" t="str">
        <f>IFERROR(INDEX($AD$157:$AD$306,MATCH(ROWS($A$157:A213),$AF$157:$AF$306,0)),"")</f>
        <v/>
      </c>
      <c r="Q213" t="str">
        <f>T(JAN!B62)</f>
        <v>CLAUDIOMIR DE SOUZA 415401</v>
      </c>
      <c r="R213" t="str">
        <f t="array" ref="R213">IF($Q213="","",_xlfn.TEXTJOIN(", ",TRUE,IF(JAN!$G62:$AK62="AT",JAN!$G$4:$AK$4,"")))</f>
        <v/>
      </c>
      <c r="S213" t="str">
        <f t="array" ref="S213">IF($Q213="","",_xlfn.TEXTJOIN(", ",TRUE,IF(FEV!$G62:$AK62="AT",FEV!$G$4:$AK$4,"")))</f>
        <v/>
      </c>
      <c r="T213" t="str">
        <f t="array" ref="T213">IF($Q213="","",_xlfn.TEXTJOIN(", ",TRUE,IF(MAR!$G62:$AK62="AT",MAR!$G$4:$AK$4,"")))</f>
        <v/>
      </c>
      <c r="U213" t="str">
        <f t="array" ref="U213">IF($Q213="","",_xlfn.TEXTJOIN(", ",TRUE,IF(ABR!$G62:$AK62="AT",ABR!$G$4:$AK$4,"")))</f>
        <v/>
      </c>
      <c r="V213" t="str">
        <f t="array" ref="V213">IF($Q213="","",_xlfn.TEXTJOIN(", ",TRUE,IF(MAI!$G62:$AK62="AT",MAI!$G$4:$AK$4,"")))</f>
        <v/>
      </c>
      <c r="W213" t="str">
        <f t="array" ref="W213">IF($Q213="","",_xlfn.TEXTJOIN(", ",TRUE,IF(JUN!$G62:$AK62="AT",JUN!$G$4:$AK$4,"")))</f>
        <v/>
      </c>
      <c r="X213" t="str">
        <f t="array" ref="X213">IF($Q213="","",_xlfn.TEXTJOIN(", ",TRUE,IF(JUL!$G62:$AK62="AT",JUL!$G$4:$AK$4,"")))</f>
        <v/>
      </c>
      <c r="Y213" t="str">
        <f t="array" ref="Y213">IF($Q213="","",_xlfn.TEXTJOIN(", ",TRUE,IF(AGO!$G62:$AK62="AT",AGO!$G$4:$AK$4,"")))</f>
        <v/>
      </c>
      <c r="Z213" t="str">
        <f t="array" ref="Z213">IF($Q213="","",_xlfn.TEXTJOIN(", ",TRUE,IF(SET!$G62:$AK62="AT",SET!$G$4:$AK$4,"")))</f>
        <v/>
      </c>
      <c r="AA213" t="str">
        <f t="array" ref="AA213">IF($Q213="","",_xlfn.TEXTJOIN(", ",TRUE,IF(OUT!$G62:$AK62="AT",OUT!$G$4:$AK$4,"")))</f>
        <v/>
      </c>
      <c r="AB213" t="str">
        <f t="array" ref="AB213">IF($Q213="","",_xlfn.TEXTJOIN(", ",TRUE,IF(NOV!$G62:$AK62="AT",NOV!$G$4:$AK$4,"")))</f>
        <v/>
      </c>
      <c r="AC213" t="str">
        <f t="array" ref="AC213">IF($Q213="","",_xlfn.TEXTJOIN(", ",TRUE,IF(DEZ!$G62:$AK62="AT",DEZ!$G$4:$AK$4,"")))</f>
        <v/>
      </c>
      <c r="AD213">
        <f>IF($Q213="","",COUNTIF(JAN!$G62:$AK62,"AT")+COUNTIF(FEV!$G62:$AK62,"AT")+COUNTIF(MAR!$G62:$AK62,"AT")+COUNTIF(ABR!$G62:$AK62,"AT")+COUNTIF(MAI!$G62:$AK62,"AT")+COUNTIF(JUN!$G62:$AK62,"AT")+COUNTIF(JUL!$G62:$AK62,"AT")+COUNTIF(AGO!$G62:$AK62,"AT")+COUNTIF(SET!$G62:$AK62,"AT")+COUNTIF(OUT!$G62:$AK62,"AT")+COUNTIF(NOV!$G62:$AK62,"AT")+COUNTIF(DEZ!$G62:$AK62,"AT"))</f>
        <v>0</v>
      </c>
      <c r="AF213" t="str">
        <f>IF(AND($Q213&lt;&gt;"",N($AD213)&gt;0),COUNT($AF$156:AF212)+1,"")</f>
        <v/>
      </c>
    </row>
    <row r="214" spans="1:32" hidden="1" outlineLevel="1" x14ac:dyDescent="0.25">
      <c r="A214" s="36" t="str">
        <f>IFERROR(INDEX($Q$157:$Q$306,MATCH(ROWS($A$157:A214),$AF$157:$AF$306,0)),"")</f>
        <v/>
      </c>
      <c r="B214" s="35" t="str">
        <f>IFERROR(INDEX($R$157:$R$306,MATCH(ROWS($A$157:A214),$AF$157:$AF$306,0)),"")</f>
        <v/>
      </c>
      <c r="C214" s="35" t="str">
        <f>IFERROR(INDEX($S$157:$S$306,MATCH(ROWS($A$157:A214),$AF$157:$AF$306,0)),"")</f>
        <v/>
      </c>
      <c r="D214" s="35" t="str">
        <f>IFERROR(INDEX($T$157:$T$306,MATCH(ROWS($A$157:A214),$AF$157:$AF$306,0)),"")</f>
        <v/>
      </c>
      <c r="E214" s="35" t="str">
        <f>IFERROR(INDEX($U$157:$U$306,MATCH(ROWS($A$157:A214),$AF$157:$AF$306,0)),"")</f>
        <v/>
      </c>
      <c r="F214" s="35" t="str">
        <f>IFERROR(INDEX($V$157:$V$306,MATCH(ROWS($A$157:A214),$AF$157:$AF$306,0)),"")</f>
        <v/>
      </c>
      <c r="G214" s="35" t="str">
        <f>IFERROR(INDEX($W$157:$W$306,MATCH(ROWS($A$157:A214),$AF$157:$AF$306,0)),"")</f>
        <v/>
      </c>
      <c r="H214" s="35" t="str">
        <f>IFERROR(INDEX($X$157:$X$306,MATCH(ROWS($A$157:A214),$AF$157:$AF$306,0)),"")</f>
        <v/>
      </c>
      <c r="I214" s="35" t="str">
        <f>IFERROR(INDEX($Y$157:$Y$306,MATCH(ROWS($A$157:A214),$AF$157:$AF$306,0)),"")</f>
        <v/>
      </c>
      <c r="J214" s="35" t="str">
        <f>IFERROR(INDEX($Z$157:$Z$306,MATCH(ROWS($A$157:A214),$AF$157:$AF$306,0)),"")</f>
        <v/>
      </c>
      <c r="K214" s="35" t="str">
        <f>IFERROR(INDEX($AA$157:$AA$306,MATCH(ROWS($A$157:A214),$AF$157:$AF$306,0)),"")</f>
        <v/>
      </c>
      <c r="L214" s="35" t="str">
        <f>IFERROR(INDEX($AB$157:$AB$306,MATCH(ROWS($A$157:A214),$AF$157:$AF$306,0)),"")</f>
        <v/>
      </c>
      <c r="M214" s="35" t="str">
        <f>IFERROR(INDEX($AC$157:$AC$306,MATCH(ROWS($A$157:A214),$AF$157:$AF$306,0)),"")</f>
        <v/>
      </c>
      <c r="N214" s="35" t="str">
        <f>IFERROR(INDEX($AD$157:$AD$306,MATCH(ROWS($A$157:A214),$AF$157:$AF$306,0)),"")</f>
        <v/>
      </c>
      <c r="Q214" t="str">
        <f>T(JAN!B63)</f>
        <v>VAGNER LEMOS 360301</v>
      </c>
      <c r="R214" t="str">
        <f t="array" ref="R214">IF($Q214="","",_xlfn.TEXTJOIN(", ",TRUE,IF(JAN!$G63:$AK63="AT",JAN!$G$4:$AK$4,"")))</f>
        <v/>
      </c>
      <c r="S214" t="str">
        <f t="array" ref="S214">IF($Q214="","",_xlfn.TEXTJOIN(", ",TRUE,IF(FEV!$G63:$AK63="AT",FEV!$G$4:$AK$4,"")))</f>
        <v/>
      </c>
      <c r="T214" t="str">
        <f t="array" ref="T214">IF($Q214="","",_xlfn.TEXTJOIN(", ",TRUE,IF(MAR!$G63:$AK63="AT",MAR!$G$4:$AK$4,"")))</f>
        <v/>
      </c>
      <c r="U214" t="str">
        <f t="array" ref="U214">IF($Q214="","",_xlfn.TEXTJOIN(", ",TRUE,IF(ABR!$G63:$AK63="AT",ABR!$G$4:$AK$4,"")))</f>
        <v/>
      </c>
      <c r="V214" t="str">
        <f t="array" ref="V214">IF($Q214="","",_xlfn.TEXTJOIN(", ",TRUE,IF(MAI!$G63:$AK63="AT",MAI!$G$4:$AK$4,"")))</f>
        <v/>
      </c>
      <c r="W214" t="str">
        <f t="array" ref="W214">IF($Q214="","",_xlfn.TEXTJOIN(", ",TRUE,IF(JUN!$G63:$AK63="AT",JUN!$G$4:$AK$4,"")))</f>
        <v/>
      </c>
      <c r="X214" t="str">
        <f t="array" ref="X214">IF($Q214="","",_xlfn.TEXTJOIN(", ",TRUE,IF(JUL!$G63:$AK63="AT",JUL!$G$4:$AK$4,"")))</f>
        <v/>
      </c>
      <c r="Y214" t="str">
        <f t="array" ref="Y214">IF($Q214="","",_xlfn.TEXTJOIN(", ",TRUE,IF(AGO!$G63:$AK63="AT",AGO!$G$4:$AK$4,"")))</f>
        <v/>
      </c>
      <c r="Z214" t="str">
        <f t="array" ref="Z214">IF($Q214="","",_xlfn.TEXTJOIN(", ",TRUE,IF(SET!$G63:$AK63="AT",SET!$G$4:$AK$4,"")))</f>
        <v/>
      </c>
      <c r="AA214" t="str">
        <f t="array" ref="AA214">IF($Q214="","",_xlfn.TEXTJOIN(", ",TRUE,IF(OUT!$G63:$AK63="AT",OUT!$G$4:$AK$4,"")))</f>
        <v/>
      </c>
      <c r="AB214" t="str">
        <f t="array" ref="AB214">IF($Q214="","",_xlfn.TEXTJOIN(", ",TRUE,IF(NOV!$G63:$AK63="AT",NOV!$G$4:$AK$4,"")))</f>
        <v/>
      </c>
      <c r="AC214" t="str">
        <f t="array" ref="AC214">IF($Q214="","",_xlfn.TEXTJOIN(", ",TRUE,IF(DEZ!$G63:$AK63="AT",DEZ!$G$4:$AK$4,"")))</f>
        <v/>
      </c>
      <c r="AD214">
        <f>IF($Q214="","",COUNTIF(JAN!$G63:$AK63,"AT")+COUNTIF(FEV!$G63:$AK63,"AT")+COUNTIF(MAR!$G63:$AK63,"AT")+COUNTIF(ABR!$G63:$AK63,"AT")+COUNTIF(MAI!$G63:$AK63,"AT")+COUNTIF(JUN!$G63:$AK63,"AT")+COUNTIF(JUL!$G63:$AK63,"AT")+COUNTIF(AGO!$G63:$AK63,"AT")+COUNTIF(SET!$G63:$AK63,"AT")+COUNTIF(OUT!$G63:$AK63,"AT")+COUNTIF(NOV!$G63:$AK63,"AT")+COUNTIF(DEZ!$G63:$AK63,"AT"))</f>
        <v>0</v>
      </c>
      <c r="AF214" t="str">
        <f>IF(AND($Q214&lt;&gt;"",N($AD214)&gt;0),COUNT($AF$156:AF213)+1,"")</f>
        <v/>
      </c>
    </row>
    <row r="215" spans="1:32" hidden="1" outlineLevel="1" x14ac:dyDescent="0.25">
      <c r="A215" s="36" t="str">
        <f>IFERROR(INDEX($Q$157:$Q$306,MATCH(ROWS($A$157:A215),$AF$157:$AF$306,0)),"")</f>
        <v/>
      </c>
      <c r="B215" s="35" t="str">
        <f>IFERROR(INDEX($R$157:$R$306,MATCH(ROWS($A$157:A215),$AF$157:$AF$306,0)),"")</f>
        <v/>
      </c>
      <c r="C215" s="35" t="str">
        <f>IFERROR(INDEX($S$157:$S$306,MATCH(ROWS($A$157:A215),$AF$157:$AF$306,0)),"")</f>
        <v/>
      </c>
      <c r="D215" s="35" t="str">
        <f>IFERROR(INDEX($T$157:$T$306,MATCH(ROWS($A$157:A215),$AF$157:$AF$306,0)),"")</f>
        <v/>
      </c>
      <c r="E215" s="35" t="str">
        <f>IFERROR(INDEX($U$157:$U$306,MATCH(ROWS($A$157:A215),$AF$157:$AF$306,0)),"")</f>
        <v/>
      </c>
      <c r="F215" s="35" t="str">
        <f>IFERROR(INDEX($V$157:$V$306,MATCH(ROWS($A$157:A215),$AF$157:$AF$306,0)),"")</f>
        <v/>
      </c>
      <c r="G215" s="35" t="str">
        <f>IFERROR(INDEX($W$157:$W$306,MATCH(ROWS($A$157:A215),$AF$157:$AF$306,0)),"")</f>
        <v/>
      </c>
      <c r="H215" s="35" t="str">
        <f>IFERROR(INDEX($X$157:$X$306,MATCH(ROWS($A$157:A215),$AF$157:$AF$306,0)),"")</f>
        <v/>
      </c>
      <c r="I215" s="35" t="str">
        <f>IFERROR(INDEX($Y$157:$Y$306,MATCH(ROWS($A$157:A215),$AF$157:$AF$306,0)),"")</f>
        <v/>
      </c>
      <c r="J215" s="35" t="str">
        <f>IFERROR(INDEX($Z$157:$Z$306,MATCH(ROWS($A$157:A215),$AF$157:$AF$306,0)),"")</f>
        <v/>
      </c>
      <c r="K215" s="35" t="str">
        <f>IFERROR(INDEX($AA$157:$AA$306,MATCH(ROWS($A$157:A215),$AF$157:$AF$306,0)),"")</f>
        <v/>
      </c>
      <c r="L215" s="35" t="str">
        <f>IFERROR(INDEX($AB$157:$AB$306,MATCH(ROWS($A$157:A215),$AF$157:$AF$306,0)),"")</f>
        <v/>
      </c>
      <c r="M215" s="35" t="str">
        <f>IFERROR(INDEX($AC$157:$AC$306,MATCH(ROWS($A$157:A215),$AF$157:$AF$306,0)),"")</f>
        <v/>
      </c>
      <c r="N215" s="35" t="str">
        <f>IFERROR(INDEX($AD$157:$AD$306,MATCH(ROWS($A$157:A215),$AF$157:$AF$306,0)),"")</f>
        <v/>
      </c>
      <c r="Q215" t="str">
        <f>T(JAN!B64)</f>
        <v>RODRIGO FREITAS 283001</v>
      </c>
      <c r="R215" t="str">
        <f t="array" ref="R215">IF($Q215="","",_xlfn.TEXTJOIN(", ",TRUE,IF(JAN!$G64:$AK64="AT",JAN!$G$4:$AK$4,"")))</f>
        <v/>
      </c>
      <c r="S215" t="str">
        <f t="array" ref="S215">IF($Q215="","",_xlfn.TEXTJOIN(", ",TRUE,IF(FEV!$G64:$AK64="AT",FEV!$G$4:$AK$4,"")))</f>
        <v/>
      </c>
      <c r="T215" t="str">
        <f t="array" ref="T215">IF($Q215="","",_xlfn.TEXTJOIN(", ",TRUE,IF(MAR!$G64:$AK64="AT",MAR!$G$4:$AK$4,"")))</f>
        <v/>
      </c>
      <c r="U215" t="str">
        <f t="array" ref="U215">IF($Q215="","",_xlfn.TEXTJOIN(", ",TRUE,IF(ABR!$G64:$AK64="AT",ABR!$G$4:$AK$4,"")))</f>
        <v/>
      </c>
      <c r="V215" t="str">
        <f t="array" ref="V215">IF($Q215="","",_xlfn.TEXTJOIN(", ",TRUE,IF(MAI!$G64:$AK64="AT",MAI!$G$4:$AK$4,"")))</f>
        <v/>
      </c>
      <c r="W215" t="str">
        <f t="array" ref="W215">IF($Q215="","",_xlfn.TEXTJOIN(", ",TRUE,IF(JUN!$G64:$AK64="AT",JUN!$G$4:$AK$4,"")))</f>
        <v/>
      </c>
      <c r="X215" t="str">
        <f t="array" ref="X215">IF($Q215="","",_xlfn.TEXTJOIN(", ",TRUE,IF(JUL!$G64:$AK64="AT",JUL!$G$4:$AK$4,"")))</f>
        <v/>
      </c>
      <c r="Y215" t="str">
        <f t="array" ref="Y215">IF($Q215="","",_xlfn.TEXTJOIN(", ",TRUE,IF(AGO!$G64:$AK64="AT",AGO!$G$4:$AK$4,"")))</f>
        <v/>
      </c>
      <c r="Z215" t="str">
        <f t="array" ref="Z215">IF($Q215="","",_xlfn.TEXTJOIN(", ",TRUE,IF(SET!$G64:$AK64="AT",SET!$G$4:$AK$4,"")))</f>
        <v/>
      </c>
      <c r="AA215" t="str">
        <f t="array" ref="AA215">IF($Q215="","",_xlfn.TEXTJOIN(", ",TRUE,IF(OUT!$G64:$AK64="AT",OUT!$G$4:$AK$4,"")))</f>
        <v>3</v>
      </c>
      <c r="AB215" t="str">
        <f t="array" ref="AB215">IF($Q215="","",_xlfn.TEXTJOIN(", ",TRUE,IF(NOV!$G64:$AK64="AT",NOV!$G$4:$AK$4,"")))</f>
        <v/>
      </c>
      <c r="AC215" t="str">
        <f t="array" ref="AC215">IF($Q215="","",_xlfn.TEXTJOIN(", ",TRUE,IF(DEZ!$G64:$AK64="AT",DEZ!$G$4:$AK$4,"")))</f>
        <v/>
      </c>
      <c r="AD215">
        <f>IF($Q215="","",COUNTIF(JAN!$G64:$AK64,"AT")+COUNTIF(FEV!$G64:$AK64,"AT")+COUNTIF(MAR!$G64:$AK64,"AT")+COUNTIF(ABR!$G64:$AK64,"AT")+COUNTIF(MAI!$G64:$AK64,"AT")+COUNTIF(JUN!$G64:$AK64,"AT")+COUNTIF(JUL!$G64:$AK64,"AT")+COUNTIF(AGO!$G64:$AK64,"AT")+COUNTIF(SET!$G64:$AK64,"AT")+COUNTIF(OUT!$G64:$AK64,"AT")+COUNTIF(NOV!$G64:$AK64,"AT")+COUNTIF(DEZ!$G64:$AK64,"AT"))</f>
        <v>1</v>
      </c>
      <c r="AF215">
        <f>IF(AND($Q215&lt;&gt;"",N($AD215)&gt;0),COUNT($AF$156:AF214)+1,"")</f>
        <v>21</v>
      </c>
    </row>
    <row r="216" spans="1:32" hidden="1" outlineLevel="1" x14ac:dyDescent="0.25">
      <c r="A216" s="36" t="str">
        <f>IFERROR(INDEX($Q$157:$Q$306,MATCH(ROWS($A$157:A216),$AF$157:$AF$306,0)),"")</f>
        <v/>
      </c>
      <c r="B216" s="35" t="str">
        <f>IFERROR(INDEX($R$157:$R$306,MATCH(ROWS($A$157:A216),$AF$157:$AF$306,0)),"")</f>
        <v/>
      </c>
      <c r="C216" s="35" t="str">
        <f>IFERROR(INDEX($S$157:$S$306,MATCH(ROWS($A$157:A216),$AF$157:$AF$306,0)),"")</f>
        <v/>
      </c>
      <c r="D216" s="35" t="str">
        <f>IFERROR(INDEX($T$157:$T$306,MATCH(ROWS($A$157:A216),$AF$157:$AF$306,0)),"")</f>
        <v/>
      </c>
      <c r="E216" s="35" t="str">
        <f>IFERROR(INDEX($U$157:$U$306,MATCH(ROWS($A$157:A216),$AF$157:$AF$306,0)),"")</f>
        <v/>
      </c>
      <c r="F216" s="35" t="str">
        <f>IFERROR(INDEX($V$157:$V$306,MATCH(ROWS($A$157:A216),$AF$157:$AF$306,0)),"")</f>
        <v/>
      </c>
      <c r="G216" s="35" t="str">
        <f>IFERROR(INDEX($W$157:$W$306,MATCH(ROWS($A$157:A216),$AF$157:$AF$306,0)),"")</f>
        <v/>
      </c>
      <c r="H216" s="35" t="str">
        <f>IFERROR(INDEX($X$157:$X$306,MATCH(ROWS($A$157:A216),$AF$157:$AF$306,0)),"")</f>
        <v/>
      </c>
      <c r="I216" s="35" t="str">
        <f>IFERROR(INDEX($Y$157:$Y$306,MATCH(ROWS($A$157:A216),$AF$157:$AF$306,0)),"")</f>
        <v/>
      </c>
      <c r="J216" s="35" t="str">
        <f>IFERROR(INDEX($Z$157:$Z$306,MATCH(ROWS($A$157:A216),$AF$157:$AF$306,0)),"")</f>
        <v/>
      </c>
      <c r="K216" s="35" t="str">
        <f>IFERROR(INDEX($AA$157:$AA$306,MATCH(ROWS($A$157:A216),$AF$157:$AF$306,0)),"")</f>
        <v/>
      </c>
      <c r="L216" s="35" t="str">
        <f>IFERROR(INDEX($AB$157:$AB$306,MATCH(ROWS($A$157:A216),$AF$157:$AF$306,0)),"")</f>
        <v/>
      </c>
      <c r="M216" s="35" t="str">
        <f>IFERROR(INDEX($AC$157:$AC$306,MATCH(ROWS($A$157:A216),$AF$157:$AF$306,0)),"")</f>
        <v/>
      </c>
      <c r="N216" s="35" t="str">
        <f>IFERROR(INDEX($AD$157:$AD$306,MATCH(ROWS($A$157:A216),$AF$157:$AF$306,0)),"")</f>
        <v/>
      </c>
      <c r="Q216" t="str">
        <f>T(JAN!B65)</f>
        <v>ANTONIO LUCIANO 454801</v>
      </c>
      <c r="R216" t="str">
        <f t="array" ref="R216">IF($Q216="","",_xlfn.TEXTJOIN(", ",TRUE,IF(JAN!$G65:$AK65="AT",JAN!$G$4:$AK$4,"")))</f>
        <v/>
      </c>
      <c r="S216" t="str">
        <f t="array" ref="S216">IF($Q216="","",_xlfn.TEXTJOIN(", ",TRUE,IF(FEV!$G65:$AK65="AT",FEV!$G$4:$AK$4,"")))</f>
        <v/>
      </c>
      <c r="T216" t="str">
        <f t="array" ref="T216">IF($Q216="","",_xlfn.TEXTJOIN(", ",TRUE,IF(MAR!$G65:$AK65="AT",MAR!$G$4:$AK$4,"")))</f>
        <v/>
      </c>
      <c r="U216" t="str">
        <f t="array" ref="U216">IF($Q216="","",_xlfn.TEXTJOIN(", ",TRUE,IF(ABR!$G65:$AK65="AT",ABR!$G$4:$AK$4,"")))</f>
        <v/>
      </c>
      <c r="V216" t="str">
        <f t="array" ref="V216">IF($Q216="","",_xlfn.TEXTJOIN(", ",TRUE,IF(MAI!$G65:$AK65="AT",MAI!$G$4:$AK$4,"")))</f>
        <v/>
      </c>
      <c r="W216" t="str">
        <f t="array" ref="W216">IF($Q216="","",_xlfn.TEXTJOIN(", ",TRUE,IF(JUN!$G65:$AK65="AT",JUN!$G$4:$AK$4,"")))</f>
        <v/>
      </c>
      <c r="X216" t="str">
        <f t="array" ref="X216">IF($Q216="","",_xlfn.TEXTJOIN(", ",TRUE,IF(JUL!$G65:$AK65="AT",JUL!$G$4:$AK$4,"")))</f>
        <v>30, 31</v>
      </c>
      <c r="Y216" t="str">
        <f t="array" ref="Y216">IF($Q216="","",_xlfn.TEXTJOIN(", ",TRUE,IF(AGO!$G65:$AK65="AT",AGO!$G$4:$AK$4,"")))</f>
        <v>1, 3</v>
      </c>
      <c r="Z216" t="str">
        <f t="array" ref="Z216">IF($Q216="","",_xlfn.TEXTJOIN(", ",TRUE,IF(SET!$G65:$AK65="AT",SET!$G$4:$AK$4,"")))</f>
        <v>12</v>
      </c>
      <c r="AA216" t="str">
        <f t="array" ref="AA216">IF($Q216="","",_xlfn.TEXTJOIN(", ",TRUE,IF(OUT!$G65:$AK65="AT",OUT!$G$4:$AK$4,"")))</f>
        <v/>
      </c>
      <c r="AB216" t="str">
        <f t="array" ref="AB216">IF($Q216="","",_xlfn.TEXTJOIN(", ",TRUE,IF(NOV!$G65:$AK65="AT",NOV!$G$4:$AK$4,"")))</f>
        <v/>
      </c>
      <c r="AC216" t="str">
        <f t="array" ref="AC216">IF($Q216="","",_xlfn.TEXTJOIN(", ",TRUE,IF(DEZ!$G65:$AK65="AT",DEZ!$G$4:$AK$4,"")))</f>
        <v/>
      </c>
      <c r="AD216">
        <f>IF($Q216="","",COUNTIF(JAN!$G65:$AK65,"AT")+COUNTIF(FEV!$G65:$AK65,"AT")+COUNTIF(MAR!$G65:$AK65,"AT")+COUNTIF(ABR!$G65:$AK65,"AT")+COUNTIF(MAI!$G65:$AK65,"AT")+COUNTIF(JUN!$G65:$AK65,"AT")+COUNTIF(JUL!$G65:$AK65,"AT")+COUNTIF(AGO!$G65:$AK65,"AT")+COUNTIF(SET!$G65:$AK65,"AT")+COUNTIF(OUT!$G65:$AK65,"AT")+COUNTIF(NOV!$G65:$AK65,"AT")+COUNTIF(DEZ!$G65:$AK65,"AT"))</f>
        <v>5</v>
      </c>
      <c r="AF216">
        <f>IF(AND($Q216&lt;&gt;"",N($AD216)&gt;0),COUNT($AF$156:AF215)+1,"")</f>
        <v>22</v>
      </c>
    </row>
    <row r="217" spans="1:32" hidden="1" outlineLevel="1" x14ac:dyDescent="0.25">
      <c r="A217" s="36" t="str">
        <f>IFERROR(INDEX($Q$157:$Q$306,MATCH(ROWS($A$157:A217),$AF$157:$AF$306,0)),"")</f>
        <v/>
      </c>
      <c r="B217" s="35" t="str">
        <f>IFERROR(INDEX($R$157:$R$306,MATCH(ROWS($A$157:A217),$AF$157:$AF$306,0)),"")</f>
        <v/>
      </c>
      <c r="C217" s="35" t="str">
        <f>IFERROR(INDEX($S$157:$S$306,MATCH(ROWS($A$157:A217),$AF$157:$AF$306,0)),"")</f>
        <v/>
      </c>
      <c r="D217" s="35" t="str">
        <f>IFERROR(INDEX($T$157:$T$306,MATCH(ROWS($A$157:A217),$AF$157:$AF$306,0)),"")</f>
        <v/>
      </c>
      <c r="E217" s="35" t="str">
        <f>IFERROR(INDEX($U$157:$U$306,MATCH(ROWS($A$157:A217),$AF$157:$AF$306,0)),"")</f>
        <v/>
      </c>
      <c r="F217" s="35" t="str">
        <f>IFERROR(INDEX($V$157:$V$306,MATCH(ROWS($A$157:A217),$AF$157:$AF$306,0)),"")</f>
        <v/>
      </c>
      <c r="G217" s="35" t="str">
        <f>IFERROR(INDEX($W$157:$W$306,MATCH(ROWS($A$157:A217),$AF$157:$AF$306,0)),"")</f>
        <v/>
      </c>
      <c r="H217" s="35" t="str">
        <f>IFERROR(INDEX($X$157:$X$306,MATCH(ROWS($A$157:A217),$AF$157:$AF$306,0)),"")</f>
        <v/>
      </c>
      <c r="I217" s="35" t="str">
        <f>IFERROR(INDEX($Y$157:$Y$306,MATCH(ROWS($A$157:A217),$AF$157:$AF$306,0)),"")</f>
        <v/>
      </c>
      <c r="J217" s="35" t="str">
        <f>IFERROR(INDEX($Z$157:$Z$306,MATCH(ROWS($A$157:A217),$AF$157:$AF$306,0)),"")</f>
        <v/>
      </c>
      <c r="K217" s="35" t="str">
        <f>IFERROR(INDEX($AA$157:$AA$306,MATCH(ROWS($A$157:A217),$AF$157:$AF$306,0)),"")</f>
        <v/>
      </c>
      <c r="L217" s="35" t="str">
        <f>IFERROR(INDEX($AB$157:$AB$306,MATCH(ROWS($A$157:A217),$AF$157:$AF$306,0)),"")</f>
        <v/>
      </c>
      <c r="M217" s="35" t="str">
        <f>IFERROR(INDEX($AC$157:$AC$306,MATCH(ROWS($A$157:A217),$AF$157:$AF$306,0)),"")</f>
        <v/>
      </c>
      <c r="N217" s="35" t="str">
        <f>IFERROR(INDEX($AD$157:$AD$306,MATCH(ROWS($A$157:A217),$AF$157:$AF$306,0)),"")</f>
        <v/>
      </c>
      <c r="Q217" t="str">
        <f>T(JAN!B66)</f>
        <v>JONATHAM CORREA 447001</v>
      </c>
      <c r="R217" t="str">
        <f t="array" ref="R217">IF($Q217="","",_xlfn.TEXTJOIN(", ",TRUE,IF(JAN!$G66:$AK66="AT",JAN!$G$4:$AK$4,"")))</f>
        <v/>
      </c>
      <c r="S217" t="str">
        <f t="array" ref="S217">IF($Q217="","",_xlfn.TEXTJOIN(", ",TRUE,IF(FEV!$G66:$AK66="AT",FEV!$G$4:$AK$4,"")))</f>
        <v/>
      </c>
      <c r="T217" t="str">
        <f t="array" ref="T217">IF($Q217="","",_xlfn.TEXTJOIN(", ",TRUE,IF(MAR!$G66:$AK66="AT",MAR!$G$4:$AK$4,"")))</f>
        <v/>
      </c>
      <c r="U217" t="str">
        <f t="array" ref="U217">IF($Q217="","",_xlfn.TEXTJOIN(", ",TRUE,IF(ABR!$G66:$AK66="AT",ABR!$G$4:$AK$4,"")))</f>
        <v/>
      </c>
      <c r="V217" t="str">
        <f t="array" ref="V217">IF($Q217="","",_xlfn.TEXTJOIN(", ",TRUE,IF(MAI!$G66:$AK66="AT",MAI!$G$4:$AK$4,"")))</f>
        <v/>
      </c>
      <c r="W217" t="str">
        <f t="array" ref="W217">IF($Q217="","",_xlfn.TEXTJOIN(", ",TRUE,IF(JUN!$G66:$AK66="AT",JUN!$G$4:$AK$4,"")))</f>
        <v/>
      </c>
      <c r="X217" t="str">
        <f t="array" ref="X217">IF($Q217="","",_xlfn.TEXTJOIN(", ",TRUE,IF(JUL!$G66:$AK66="AT",JUL!$G$4:$AK$4,"")))</f>
        <v/>
      </c>
      <c r="Y217" t="str">
        <f t="array" ref="Y217">IF($Q217="","",_xlfn.TEXTJOIN(", ",TRUE,IF(AGO!$G66:$AK66="AT",AGO!$G$4:$AK$4,"")))</f>
        <v>1, 22</v>
      </c>
      <c r="Z217" t="str">
        <f t="array" ref="Z217">IF($Q217="","",_xlfn.TEXTJOIN(", ",TRUE,IF(SET!$G66:$AK66="AT",SET!$G$4:$AK$4,"")))</f>
        <v/>
      </c>
      <c r="AA217" t="str">
        <f t="array" ref="AA217">IF($Q217="","",_xlfn.TEXTJOIN(", ",TRUE,IF(OUT!$G66:$AK66="AT",OUT!$G$4:$AK$4,"")))</f>
        <v/>
      </c>
      <c r="AB217" t="str">
        <f t="array" ref="AB217">IF($Q217="","",_xlfn.TEXTJOIN(", ",TRUE,IF(NOV!$G66:$AK66="AT",NOV!$G$4:$AK$4,"")))</f>
        <v/>
      </c>
      <c r="AC217" t="str">
        <f t="array" ref="AC217">IF($Q217="","",_xlfn.TEXTJOIN(", ",TRUE,IF(DEZ!$G66:$AK66="AT",DEZ!$G$4:$AK$4,"")))</f>
        <v/>
      </c>
      <c r="AD217">
        <f>IF($Q217="","",COUNTIF(JAN!$G66:$AK66,"AT")+COUNTIF(FEV!$G66:$AK66,"AT")+COUNTIF(MAR!$G66:$AK66,"AT")+COUNTIF(ABR!$G66:$AK66,"AT")+COUNTIF(MAI!$G66:$AK66,"AT")+COUNTIF(JUN!$G66:$AK66,"AT")+COUNTIF(JUL!$G66:$AK66,"AT")+COUNTIF(AGO!$G66:$AK66,"AT")+COUNTIF(SET!$G66:$AK66,"AT")+COUNTIF(OUT!$G66:$AK66,"AT")+COUNTIF(NOV!$G66:$AK66,"AT")+COUNTIF(DEZ!$G66:$AK66,"AT"))</f>
        <v>2</v>
      </c>
      <c r="AF217">
        <f>IF(AND($Q217&lt;&gt;"",N($AD217)&gt;0),COUNT($AF$156:AF216)+1,"")</f>
        <v>23</v>
      </c>
    </row>
    <row r="218" spans="1:32" hidden="1" outlineLevel="1" x14ac:dyDescent="0.25">
      <c r="A218" s="36" t="str">
        <f>IFERROR(INDEX($Q$157:$Q$306,MATCH(ROWS($A$157:A218),$AF$157:$AF$306,0)),"")</f>
        <v/>
      </c>
      <c r="B218" s="35" t="str">
        <f>IFERROR(INDEX($R$157:$R$306,MATCH(ROWS($A$157:A218),$AF$157:$AF$306,0)),"")</f>
        <v/>
      </c>
      <c r="C218" s="35" t="str">
        <f>IFERROR(INDEX($S$157:$S$306,MATCH(ROWS($A$157:A218),$AF$157:$AF$306,0)),"")</f>
        <v/>
      </c>
      <c r="D218" s="35" t="str">
        <f>IFERROR(INDEX($T$157:$T$306,MATCH(ROWS($A$157:A218),$AF$157:$AF$306,0)),"")</f>
        <v/>
      </c>
      <c r="E218" s="35" t="str">
        <f>IFERROR(INDEX($U$157:$U$306,MATCH(ROWS($A$157:A218),$AF$157:$AF$306,0)),"")</f>
        <v/>
      </c>
      <c r="F218" s="35" t="str">
        <f>IFERROR(INDEX($V$157:$V$306,MATCH(ROWS($A$157:A218),$AF$157:$AF$306,0)),"")</f>
        <v/>
      </c>
      <c r="G218" s="35" t="str">
        <f>IFERROR(INDEX($W$157:$W$306,MATCH(ROWS($A$157:A218),$AF$157:$AF$306,0)),"")</f>
        <v/>
      </c>
      <c r="H218" s="35" t="str">
        <f>IFERROR(INDEX($X$157:$X$306,MATCH(ROWS($A$157:A218),$AF$157:$AF$306,0)),"")</f>
        <v/>
      </c>
      <c r="I218" s="35" t="str">
        <f>IFERROR(INDEX($Y$157:$Y$306,MATCH(ROWS($A$157:A218),$AF$157:$AF$306,0)),"")</f>
        <v/>
      </c>
      <c r="J218" s="35" t="str">
        <f>IFERROR(INDEX($Z$157:$Z$306,MATCH(ROWS($A$157:A218),$AF$157:$AF$306,0)),"")</f>
        <v/>
      </c>
      <c r="K218" s="35" t="str">
        <f>IFERROR(INDEX($AA$157:$AA$306,MATCH(ROWS($A$157:A218),$AF$157:$AF$306,0)),"")</f>
        <v/>
      </c>
      <c r="L218" s="35" t="str">
        <f>IFERROR(INDEX($AB$157:$AB$306,MATCH(ROWS($A$157:A218),$AF$157:$AF$306,0)),"")</f>
        <v/>
      </c>
      <c r="M218" s="35" t="str">
        <f>IFERROR(INDEX($AC$157:$AC$306,MATCH(ROWS($A$157:A218),$AF$157:$AF$306,0)),"")</f>
        <v/>
      </c>
      <c r="N218" s="35" t="str">
        <f>IFERROR(INDEX($AD$157:$AD$306,MATCH(ROWS($A$157:A218),$AF$157:$AF$306,0)),"")</f>
        <v/>
      </c>
      <c r="Q218" t="str">
        <f>T(JAN!B67)</f>
        <v>GUILHERME MELCHIOR 37002309</v>
      </c>
      <c r="R218" t="str">
        <f t="array" ref="R218">IF($Q218="","",_xlfn.TEXTJOIN(", ",TRUE,IF(JAN!$G67:$AK67="AT",JAN!$G$4:$AK$4,"")))</f>
        <v/>
      </c>
      <c r="S218" t="str">
        <f t="array" ref="S218">IF($Q218="","",_xlfn.TEXTJOIN(", ",TRUE,IF(FEV!$G67:$AK67="AT",FEV!$G$4:$AK$4,"")))</f>
        <v/>
      </c>
      <c r="T218" t="str">
        <f t="array" ref="T218">IF($Q218="","",_xlfn.TEXTJOIN(", ",TRUE,IF(MAR!$G67:$AK67="AT",MAR!$G$4:$AK$4,"")))</f>
        <v/>
      </c>
      <c r="U218" t="str">
        <f t="array" ref="U218">IF($Q218="","",_xlfn.TEXTJOIN(", ",TRUE,IF(ABR!$G67:$AK67="AT",ABR!$G$4:$AK$4,"")))</f>
        <v/>
      </c>
      <c r="V218" t="str">
        <f t="array" ref="V218">IF($Q218="","",_xlfn.TEXTJOIN(", ",TRUE,IF(MAI!$G67:$AK67="AT",MAI!$G$4:$AK$4,"")))</f>
        <v/>
      </c>
      <c r="W218" t="str">
        <f t="array" ref="W218">IF($Q218="","",_xlfn.TEXTJOIN(", ",TRUE,IF(JUN!$G67:$AK67="AT",JUN!$G$4:$AK$4,"")))</f>
        <v/>
      </c>
      <c r="X218" t="str">
        <f t="array" ref="X218">IF($Q218="","",_xlfn.TEXTJOIN(", ",TRUE,IF(JUL!$G67:$AK67="AT",JUL!$G$4:$AK$4,"")))</f>
        <v/>
      </c>
      <c r="Y218" t="str">
        <f t="array" ref="Y218">IF($Q218="","",_xlfn.TEXTJOIN(", ",TRUE,IF(AGO!$G67:$AK67="AT",AGO!$G$4:$AK$4,"")))</f>
        <v/>
      </c>
      <c r="Z218" t="str">
        <f t="array" ref="Z218">IF($Q218="","",_xlfn.TEXTJOIN(", ",TRUE,IF(SET!$G67:$AK67="AT",SET!$G$4:$AK$4,"")))</f>
        <v>10, 11</v>
      </c>
      <c r="AA218" t="str">
        <f t="array" ref="AA218">IF($Q218="","",_xlfn.TEXTJOIN(", ",TRUE,IF(OUT!$G67:$AK67="AT",OUT!$G$4:$AK$4,"")))</f>
        <v/>
      </c>
      <c r="AB218" t="str">
        <f t="array" ref="AB218">IF($Q218="","",_xlfn.TEXTJOIN(", ",TRUE,IF(NOV!$G67:$AK67="AT",NOV!$G$4:$AK$4,"")))</f>
        <v/>
      </c>
      <c r="AC218" t="str">
        <f t="array" ref="AC218">IF($Q218="","",_xlfn.TEXTJOIN(", ",TRUE,IF(DEZ!$G67:$AK67="AT",DEZ!$G$4:$AK$4,"")))</f>
        <v/>
      </c>
      <c r="AD218">
        <f>IF($Q218="","",COUNTIF(JAN!$G67:$AK67,"AT")+COUNTIF(FEV!$G67:$AK67,"AT")+COUNTIF(MAR!$G67:$AK67,"AT")+COUNTIF(ABR!$G67:$AK67,"AT")+COUNTIF(MAI!$G67:$AK67,"AT")+COUNTIF(JUN!$G67:$AK67,"AT")+COUNTIF(JUL!$G67:$AK67,"AT")+COUNTIF(AGO!$G67:$AK67,"AT")+COUNTIF(SET!$G67:$AK67,"AT")+COUNTIF(OUT!$G67:$AK67,"AT")+COUNTIF(NOV!$G67:$AK67,"AT")+COUNTIF(DEZ!$G67:$AK67,"AT"))</f>
        <v>2</v>
      </c>
      <c r="AF218">
        <f>IF(AND($Q218&lt;&gt;"",N($AD218)&gt;0),COUNT($AF$156:AF217)+1,"")</f>
        <v>24</v>
      </c>
    </row>
    <row r="219" spans="1:32" hidden="1" outlineLevel="1" x14ac:dyDescent="0.25">
      <c r="A219" s="36" t="str">
        <f>IFERROR(INDEX($Q$157:$Q$306,MATCH(ROWS($A$157:A219),$AF$157:$AF$306,0)),"")</f>
        <v/>
      </c>
      <c r="B219" s="35" t="str">
        <f>IFERROR(INDEX($R$157:$R$306,MATCH(ROWS($A$157:A219),$AF$157:$AF$306,0)),"")</f>
        <v/>
      </c>
      <c r="C219" s="35" t="str">
        <f>IFERROR(INDEX($S$157:$S$306,MATCH(ROWS($A$157:A219),$AF$157:$AF$306,0)),"")</f>
        <v/>
      </c>
      <c r="D219" s="35" t="str">
        <f>IFERROR(INDEX($T$157:$T$306,MATCH(ROWS($A$157:A219),$AF$157:$AF$306,0)),"")</f>
        <v/>
      </c>
      <c r="E219" s="35" t="str">
        <f>IFERROR(INDEX($U$157:$U$306,MATCH(ROWS($A$157:A219),$AF$157:$AF$306,0)),"")</f>
        <v/>
      </c>
      <c r="F219" s="35" t="str">
        <f>IFERROR(INDEX($V$157:$V$306,MATCH(ROWS($A$157:A219),$AF$157:$AF$306,0)),"")</f>
        <v/>
      </c>
      <c r="G219" s="35" t="str">
        <f>IFERROR(INDEX($W$157:$W$306,MATCH(ROWS($A$157:A219),$AF$157:$AF$306,0)),"")</f>
        <v/>
      </c>
      <c r="H219" s="35" t="str">
        <f>IFERROR(INDEX($X$157:$X$306,MATCH(ROWS($A$157:A219),$AF$157:$AF$306,0)),"")</f>
        <v/>
      </c>
      <c r="I219" s="35" t="str">
        <f>IFERROR(INDEX($Y$157:$Y$306,MATCH(ROWS($A$157:A219),$AF$157:$AF$306,0)),"")</f>
        <v/>
      </c>
      <c r="J219" s="35" t="str">
        <f>IFERROR(INDEX($Z$157:$Z$306,MATCH(ROWS($A$157:A219),$AF$157:$AF$306,0)),"")</f>
        <v/>
      </c>
      <c r="K219" s="35" t="str">
        <f>IFERROR(INDEX($AA$157:$AA$306,MATCH(ROWS($A$157:A219),$AF$157:$AF$306,0)),"")</f>
        <v/>
      </c>
      <c r="L219" s="35" t="str">
        <f>IFERROR(INDEX($AB$157:$AB$306,MATCH(ROWS($A$157:A219),$AF$157:$AF$306,0)),"")</f>
        <v/>
      </c>
      <c r="M219" s="35" t="str">
        <f>IFERROR(INDEX($AC$157:$AC$306,MATCH(ROWS($A$157:A219),$AF$157:$AF$306,0)),"")</f>
        <v/>
      </c>
      <c r="N219" s="35" t="str">
        <f>IFERROR(INDEX($AD$157:$AD$306,MATCH(ROWS($A$157:A219),$AF$157:$AF$306,0)),"")</f>
        <v/>
      </c>
      <c r="Q219" t="str">
        <f>T(JAN!B68)</f>
        <v>CLODOALDO TEMPORARIO</v>
      </c>
      <c r="R219" t="str">
        <f t="array" ref="R219">IF($Q219="","",_xlfn.TEXTJOIN(", ",TRUE,IF(JAN!$G68:$AK68="AT",JAN!$G$4:$AK$4,"")))</f>
        <v/>
      </c>
      <c r="S219" t="str">
        <f t="array" ref="S219">IF($Q219="","",_xlfn.TEXTJOIN(", ",TRUE,IF(FEV!$G68:$AK68="AT",FEV!$G$4:$AK$4,"")))</f>
        <v/>
      </c>
      <c r="T219" t="str">
        <f t="array" ref="T219">IF($Q219="","",_xlfn.TEXTJOIN(", ",TRUE,IF(MAR!$G68:$AK68="AT",MAR!$G$4:$AK$4,"")))</f>
        <v/>
      </c>
      <c r="U219" t="str">
        <f t="array" ref="U219">IF($Q219="","",_xlfn.TEXTJOIN(", ",TRUE,IF(ABR!$G68:$AK68="AT",ABR!$G$4:$AK$4,"")))</f>
        <v/>
      </c>
      <c r="V219" t="str">
        <f t="array" ref="V219">IF($Q219="","",_xlfn.TEXTJOIN(", ",TRUE,IF(MAI!$G68:$AK68="AT",MAI!$G$4:$AK$4,"")))</f>
        <v/>
      </c>
      <c r="W219" t="str">
        <f t="array" ref="W219">IF($Q219="","",_xlfn.TEXTJOIN(", ",TRUE,IF(JUN!$G68:$AK68="AT",JUN!$G$4:$AK$4,"")))</f>
        <v/>
      </c>
      <c r="X219" t="str">
        <f t="array" ref="X219">IF($Q219="","",_xlfn.TEXTJOIN(", ",TRUE,IF(JUL!$G68:$AK68="AT",JUL!$G$4:$AK$4,"")))</f>
        <v/>
      </c>
      <c r="Y219" t="str">
        <f t="array" ref="Y219">IF($Q219="","",_xlfn.TEXTJOIN(", ",TRUE,IF(AGO!$G68:$AK68="AT",AGO!$G$4:$AK$4,"")))</f>
        <v/>
      </c>
      <c r="Z219" t="str">
        <f t="array" ref="Z219">IF($Q219="","",_xlfn.TEXTJOIN(", ",TRUE,IF(SET!$G68:$AK68="AT",SET!$G$4:$AK$4,"")))</f>
        <v/>
      </c>
      <c r="AA219" t="str">
        <f t="array" ref="AA219">IF($Q219="","",_xlfn.TEXTJOIN(", ",TRUE,IF(OUT!$G68:$AK68="AT",OUT!$G$4:$AK$4,"")))</f>
        <v/>
      </c>
      <c r="AB219" t="str">
        <f t="array" ref="AB219">IF($Q219="","",_xlfn.TEXTJOIN(", ",TRUE,IF(NOV!$G68:$AK68="AT",NOV!$G$4:$AK$4,"")))</f>
        <v/>
      </c>
      <c r="AC219" t="str">
        <f t="array" ref="AC219">IF($Q219="","",_xlfn.TEXTJOIN(", ",TRUE,IF(DEZ!$G68:$AK68="AT",DEZ!$G$4:$AK$4,"")))</f>
        <v/>
      </c>
      <c r="AD219">
        <f>IF($Q219="","",COUNTIF(JAN!$G68:$AK68,"AT")+COUNTIF(FEV!$G68:$AK68,"AT")+COUNTIF(MAR!$G68:$AK68,"AT")+COUNTIF(ABR!$G68:$AK68,"AT")+COUNTIF(MAI!$G68:$AK68,"AT")+COUNTIF(JUN!$G68:$AK68,"AT")+COUNTIF(JUL!$G68:$AK68,"AT")+COUNTIF(AGO!$G68:$AK68,"AT")+COUNTIF(SET!$G68:$AK68,"AT")+COUNTIF(OUT!$G68:$AK68,"AT")+COUNTIF(NOV!$G68:$AK68,"AT")+COUNTIF(DEZ!$G68:$AK68,"AT"))</f>
        <v>0</v>
      </c>
      <c r="AF219" t="str">
        <f>IF(AND($Q219&lt;&gt;"",N($AD219)&gt;0),COUNT($AF$156:AF218)+1,"")</f>
        <v/>
      </c>
    </row>
    <row r="220" spans="1:32" hidden="1" outlineLevel="1" x14ac:dyDescent="0.25">
      <c r="A220" s="36" t="str">
        <f>IFERROR(INDEX($Q$157:$Q$306,MATCH(ROWS($A$157:A220),$AF$157:$AF$306,0)),"")</f>
        <v/>
      </c>
      <c r="B220" s="35" t="str">
        <f>IFERROR(INDEX($R$157:$R$306,MATCH(ROWS($A$157:A220),$AF$157:$AF$306,0)),"")</f>
        <v/>
      </c>
      <c r="C220" s="35" t="str">
        <f>IFERROR(INDEX($S$157:$S$306,MATCH(ROWS($A$157:A220),$AF$157:$AF$306,0)),"")</f>
        <v/>
      </c>
      <c r="D220" s="35" t="str">
        <f>IFERROR(INDEX($T$157:$T$306,MATCH(ROWS($A$157:A220),$AF$157:$AF$306,0)),"")</f>
        <v/>
      </c>
      <c r="E220" s="35" t="str">
        <f>IFERROR(INDEX($U$157:$U$306,MATCH(ROWS($A$157:A220),$AF$157:$AF$306,0)),"")</f>
        <v/>
      </c>
      <c r="F220" s="35" t="str">
        <f>IFERROR(INDEX($V$157:$V$306,MATCH(ROWS($A$157:A220),$AF$157:$AF$306,0)),"")</f>
        <v/>
      </c>
      <c r="G220" s="35" t="str">
        <f>IFERROR(INDEX($W$157:$W$306,MATCH(ROWS($A$157:A220),$AF$157:$AF$306,0)),"")</f>
        <v/>
      </c>
      <c r="H220" s="35" t="str">
        <f>IFERROR(INDEX($X$157:$X$306,MATCH(ROWS($A$157:A220),$AF$157:$AF$306,0)),"")</f>
        <v/>
      </c>
      <c r="I220" s="35" t="str">
        <f>IFERROR(INDEX($Y$157:$Y$306,MATCH(ROWS($A$157:A220),$AF$157:$AF$306,0)),"")</f>
        <v/>
      </c>
      <c r="J220" s="35" t="str">
        <f>IFERROR(INDEX($Z$157:$Z$306,MATCH(ROWS($A$157:A220),$AF$157:$AF$306,0)),"")</f>
        <v/>
      </c>
      <c r="K220" s="35" t="str">
        <f>IFERROR(INDEX($AA$157:$AA$306,MATCH(ROWS($A$157:A220),$AF$157:$AF$306,0)),"")</f>
        <v/>
      </c>
      <c r="L220" s="35" t="str">
        <f>IFERROR(INDEX($AB$157:$AB$306,MATCH(ROWS($A$157:A220),$AF$157:$AF$306,0)),"")</f>
        <v/>
      </c>
      <c r="M220" s="35" t="str">
        <f>IFERROR(INDEX($AC$157:$AC$306,MATCH(ROWS($A$157:A220),$AF$157:$AF$306,0)),"")</f>
        <v/>
      </c>
      <c r="N220" s="35" t="str">
        <f>IFERROR(INDEX($AD$157:$AD$306,MATCH(ROWS($A$157:A220),$AF$157:$AF$306,0)),"")</f>
        <v/>
      </c>
      <c r="Q220" t="str">
        <f>T(JAN!B69)</f>
        <v>TAYLER TEMPORARIO</v>
      </c>
      <c r="R220" t="str">
        <f t="array" ref="R220">IF($Q220="","",_xlfn.TEXTJOIN(", ",TRUE,IF(JAN!$G69:$AK69="AT",JAN!$G$4:$AK$4,"")))</f>
        <v/>
      </c>
      <c r="S220" t="str">
        <f t="array" ref="S220">IF($Q220="","",_xlfn.TEXTJOIN(", ",TRUE,IF(FEV!$G69:$AK69="AT",FEV!$G$4:$AK$4,"")))</f>
        <v/>
      </c>
      <c r="T220" t="str">
        <f t="array" ref="T220">IF($Q220="","",_xlfn.TEXTJOIN(", ",TRUE,IF(MAR!$G69:$AK69="AT",MAR!$G$4:$AK$4,"")))</f>
        <v/>
      </c>
      <c r="U220" t="str">
        <f t="array" ref="U220">IF($Q220="","",_xlfn.TEXTJOIN(", ",TRUE,IF(ABR!$G69:$AK69="AT",ABR!$G$4:$AK$4,"")))</f>
        <v/>
      </c>
      <c r="V220" t="str">
        <f t="array" ref="V220">IF($Q220="","",_xlfn.TEXTJOIN(", ",TRUE,IF(MAI!$G69:$AK69="AT",MAI!$G$4:$AK$4,"")))</f>
        <v/>
      </c>
      <c r="W220" t="str">
        <f t="array" ref="W220">IF($Q220="","",_xlfn.TEXTJOIN(", ",TRUE,IF(JUN!$G69:$AK69="AT",JUN!$G$4:$AK$4,"")))</f>
        <v/>
      </c>
      <c r="X220" t="str">
        <f t="array" ref="X220">IF($Q220="","",_xlfn.TEXTJOIN(", ",TRUE,IF(JUL!$G69:$AK69="AT",JUL!$G$4:$AK$4,"")))</f>
        <v/>
      </c>
      <c r="Y220" t="str">
        <f t="array" ref="Y220">IF($Q220="","",_xlfn.TEXTJOIN(", ",TRUE,IF(AGO!$G69:$AK69="AT",AGO!$G$4:$AK$4,"")))</f>
        <v/>
      </c>
      <c r="Z220" t="str">
        <f t="array" ref="Z220">IF($Q220="","",_xlfn.TEXTJOIN(", ",TRUE,IF(SET!$G69:$AK69="AT",SET!$G$4:$AK$4,"")))</f>
        <v/>
      </c>
      <c r="AA220" t="str">
        <f t="array" ref="AA220">IF($Q220="","",_xlfn.TEXTJOIN(", ",TRUE,IF(OUT!$G69:$AK69="AT",OUT!$G$4:$AK$4,"")))</f>
        <v/>
      </c>
      <c r="AB220" t="str">
        <f t="array" ref="AB220">IF($Q220="","",_xlfn.TEXTJOIN(", ",TRUE,IF(NOV!$G69:$AK69="AT",NOV!$G$4:$AK$4,"")))</f>
        <v/>
      </c>
      <c r="AC220" t="str">
        <f t="array" ref="AC220">IF($Q220="","",_xlfn.TEXTJOIN(", ",TRUE,IF(DEZ!$G69:$AK69="AT",DEZ!$G$4:$AK$4,"")))</f>
        <v/>
      </c>
      <c r="AD220">
        <f>IF($Q220="","",COUNTIF(JAN!$G69:$AK69,"AT")+COUNTIF(FEV!$G69:$AK69,"AT")+COUNTIF(MAR!$G69:$AK69,"AT")+COUNTIF(ABR!$G69:$AK69,"AT")+COUNTIF(MAI!$G69:$AK69,"AT")+COUNTIF(JUN!$G69:$AK69,"AT")+COUNTIF(JUL!$G69:$AK69,"AT")+COUNTIF(AGO!$G69:$AK69,"AT")+COUNTIF(SET!$G69:$AK69,"AT")+COUNTIF(OUT!$G69:$AK69,"AT")+COUNTIF(NOV!$G69:$AK69,"AT")+COUNTIF(DEZ!$G69:$AK69,"AT"))</f>
        <v>0</v>
      </c>
      <c r="AF220" t="str">
        <f>IF(AND($Q220&lt;&gt;"",N($AD220)&gt;0),COUNT($AF$156:AF219)+1,"")</f>
        <v/>
      </c>
    </row>
    <row r="221" spans="1:32" hidden="1" outlineLevel="1" x14ac:dyDescent="0.25">
      <c r="A221" s="36" t="str">
        <f>IFERROR(INDEX($Q$157:$Q$306,MATCH(ROWS($A$157:A221),$AF$157:$AF$306,0)),"")</f>
        <v/>
      </c>
      <c r="B221" s="35" t="str">
        <f>IFERROR(INDEX($R$157:$R$306,MATCH(ROWS($A$157:A221),$AF$157:$AF$306,0)),"")</f>
        <v/>
      </c>
      <c r="C221" s="35" t="str">
        <f>IFERROR(INDEX($S$157:$S$306,MATCH(ROWS($A$157:A221),$AF$157:$AF$306,0)),"")</f>
        <v/>
      </c>
      <c r="D221" s="35" t="str">
        <f>IFERROR(INDEX($T$157:$T$306,MATCH(ROWS($A$157:A221),$AF$157:$AF$306,0)),"")</f>
        <v/>
      </c>
      <c r="E221" s="35" t="str">
        <f>IFERROR(INDEX($U$157:$U$306,MATCH(ROWS($A$157:A221),$AF$157:$AF$306,0)),"")</f>
        <v/>
      </c>
      <c r="F221" s="35" t="str">
        <f>IFERROR(INDEX($V$157:$V$306,MATCH(ROWS($A$157:A221),$AF$157:$AF$306,0)),"")</f>
        <v/>
      </c>
      <c r="G221" s="35" t="str">
        <f>IFERROR(INDEX($W$157:$W$306,MATCH(ROWS($A$157:A221),$AF$157:$AF$306,0)),"")</f>
        <v/>
      </c>
      <c r="H221" s="35" t="str">
        <f>IFERROR(INDEX($X$157:$X$306,MATCH(ROWS($A$157:A221),$AF$157:$AF$306,0)),"")</f>
        <v/>
      </c>
      <c r="I221" s="35" t="str">
        <f>IFERROR(INDEX($Y$157:$Y$306,MATCH(ROWS($A$157:A221),$AF$157:$AF$306,0)),"")</f>
        <v/>
      </c>
      <c r="J221" s="35" t="str">
        <f>IFERROR(INDEX($Z$157:$Z$306,MATCH(ROWS($A$157:A221),$AF$157:$AF$306,0)),"")</f>
        <v/>
      </c>
      <c r="K221" s="35" t="str">
        <f>IFERROR(INDEX($AA$157:$AA$306,MATCH(ROWS($A$157:A221),$AF$157:$AF$306,0)),"")</f>
        <v/>
      </c>
      <c r="L221" s="35" t="str">
        <f>IFERROR(INDEX($AB$157:$AB$306,MATCH(ROWS($A$157:A221),$AF$157:$AF$306,0)),"")</f>
        <v/>
      </c>
      <c r="M221" s="35" t="str">
        <f>IFERROR(INDEX($AC$157:$AC$306,MATCH(ROWS($A$157:A221),$AF$157:$AF$306,0)),"")</f>
        <v/>
      </c>
      <c r="N221" s="35" t="str">
        <f>IFERROR(INDEX($AD$157:$AD$306,MATCH(ROWS($A$157:A221),$AF$157:$AF$306,0)),"")</f>
        <v/>
      </c>
      <c r="Q221" t="str">
        <f>T(JAN!B70)</f>
        <v>MARCOS VINICIUS TEMPORARIO</v>
      </c>
      <c r="R221" t="str">
        <f t="array" ref="R221">IF($Q221="","",_xlfn.TEXTJOIN(", ",TRUE,IF(JAN!$G70:$AK70="AT",JAN!$G$4:$AK$4,"")))</f>
        <v/>
      </c>
      <c r="S221" t="str">
        <f t="array" ref="S221">IF($Q221="","",_xlfn.TEXTJOIN(", ",TRUE,IF(FEV!$G70:$AK70="AT",FEV!$G$4:$AK$4,"")))</f>
        <v/>
      </c>
      <c r="T221" t="str">
        <f t="array" ref="T221">IF($Q221="","",_xlfn.TEXTJOIN(", ",TRUE,IF(MAR!$G70:$AK70="AT",MAR!$G$4:$AK$4,"")))</f>
        <v/>
      </c>
      <c r="U221" t="str">
        <f t="array" ref="U221">IF($Q221="","",_xlfn.TEXTJOIN(", ",TRUE,IF(ABR!$G70:$AK70="AT",ABR!$G$4:$AK$4,"")))</f>
        <v/>
      </c>
      <c r="V221" t="str">
        <f t="array" ref="V221">IF($Q221="","",_xlfn.TEXTJOIN(", ",TRUE,IF(MAI!$G70:$AK70="AT",MAI!$G$4:$AK$4,"")))</f>
        <v/>
      </c>
      <c r="W221" t="str">
        <f t="array" ref="W221">IF($Q221="","",_xlfn.TEXTJOIN(", ",TRUE,IF(JUN!$G70:$AK70="AT",JUN!$G$4:$AK$4,"")))</f>
        <v/>
      </c>
      <c r="X221" t="str">
        <f t="array" ref="X221">IF($Q221="","",_xlfn.TEXTJOIN(", ",TRUE,IF(JUL!$G70:$AK70="AT",JUL!$G$4:$AK$4,"")))</f>
        <v/>
      </c>
      <c r="Y221" t="str">
        <f t="array" ref="Y221">IF($Q221="","",_xlfn.TEXTJOIN(", ",TRUE,IF(AGO!$G70:$AK70="AT",AGO!$G$4:$AK$4,"")))</f>
        <v/>
      </c>
      <c r="Z221" t="str">
        <f t="array" ref="Z221">IF($Q221="","",_xlfn.TEXTJOIN(", ",TRUE,IF(SET!$G70:$AK70="AT",SET!$G$4:$AK$4,"")))</f>
        <v/>
      </c>
      <c r="AA221" t="str">
        <f t="array" ref="AA221">IF($Q221="","",_xlfn.TEXTJOIN(", ",TRUE,IF(OUT!$G70:$AK70="AT",OUT!$G$4:$AK$4,"")))</f>
        <v/>
      </c>
      <c r="AB221" t="str">
        <f t="array" ref="AB221">IF($Q221="","",_xlfn.TEXTJOIN(", ",TRUE,IF(NOV!$G70:$AK70="AT",NOV!$G$4:$AK$4,"")))</f>
        <v/>
      </c>
      <c r="AC221" t="str">
        <f t="array" ref="AC221">IF($Q221="","",_xlfn.TEXTJOIN(", ",TRUE,IF(DEZ!$G70:$AK70="AT",DEZ!$G$4:$AK$4,"")))</f>
        <v/>
      </c>
      <c r="AD221">
        <f>IF($Q221="","",COUNTIF(JAN!$G70:$AK70,"AT")+COUNTIF(FEV!$G70:$AK70,"AT")+COUNTIF(MAR!$G70:$AK70,"AT")+COUNTIF(ABR!$G70:$AK70,"AT")+COUNTIF(MAI!$G70:$AK70,"AT")+COUNTIF(JUN!$G70:$AK70,"AT")+COUNTIF(JUL!$G70:$AK70,"AT")+COUNTIF(AGO!$G70:$AK70,"AT")+COUNTIF(SET!$G70:$AK70,"AT")+COUNTIF(OUT!$G70:$AK70,"AT")+COUNTIF(NOV!$G70:$AK70,"AT")+COUNTIF(DEZ!$G70:$AK70,"AT"))</f>
        <v>0</v>
      </c>
      <c r="AF221" t="str">
        <f>IF(AND($Q221&lt;&gt;"",N($AD221)&gt;0),COUNT($AF$156:AF220)+1,"")</f>
        <v/>
      </c>
    </row>
    <row r="222" spans="1:32" hidden="1" outlineLevel="1" x14ac:dyDescent="0.25">
      <c r="A222" s="36" t="str">
        <f>IFERROR(INDEX($Q$157:$Q$306,MATCH(ROWS($A$157:A222),$AF$157:$AF$306,0)),"")</f>
        <v/>
      </c>
      <c r="B222" s="35" t="str">
        <f>IFERROR(INDEX($R$157:$R$306,MATCH(ROWS($A$157:A222),$AF$157:$AF$306,0)),"")</f>
        <v/>
      </c>
      <c r="C222" s="35" t="str">
        <f>IFERROR(INDEX($S$157:$S$306,MATCH(ROWS($A$157:A222),$AF$157:$AF$306,0)),"")</f>
        <v/>
      </c>
      <c r="D222" s="35" t="str">
        <f>IFERROR(INDEX($T$157:$T$306,MATCH(ROWS($A$157:A222),$AF$157:$AF$306,0)),"")</f>
        <v/>
      </c>
      <c r="E222" s="35" t="str">
        <f>IFERROR(INDEX($U$157:$U$306,MATCH(ROWS($A$157:A222),$AF$157:$AF$306,0)),"")</f>
        <v/>
      </c>
      <c r="F222" s="35" t="str">
        <f>IFERROR(INDEX($V$157:$V$306,MATCH(ROWS($A$157:A222),$AF$157:$AF$306,0)),"")</f>
        <v/>
      </c>
      <c r="G222" s="35" t="str">
        <f>IFERROR(INDEX($W$157:$W$306,MATCH(ROWS($A$157:A222),$AF$157:$AF$306,0)),"")</f>
        <v/>
      </c>
      <c r="H222" s="35" t="str">
        <f>IFERROR(INDEX($X$157:$X$306,MATCH(ROWS($A$157:A222),$AF$157:$AF$306,0)),"")</f>
        <v/>
      </c>
      <c r="I222" s="35" t="str">
        <f>IFERROR(INDEX($Y$157:$Y$306,MATCH(ROWS($A$157:A222),$AF$157:$AF$306,0)),"")</f>
        <v/>
      </c>
      <c r="J222" s="35" t="str">
        <f>IFERROR(INDEX($Z$157:$Z$306,MATCH(ROWS($A$157:A222),$AF$157:$AF$306,0)),"")</f>
        <v/>
      </c>
      <c r="K222" s="35" t="str">
        <f>IFERROR(INDEX($AA$157:$AA$306,MATCH(ROWS($A$157:A222),$AF$157:$AF$306,0)),"")</f>
        <v/>
      </c>
      <c r="L222" s="35" t="str">
        <f>IFERROR(INDEX($AB$157:$AB$306,MATCH(ROWS($A$157:A222),$AF$157:$AF$306,0)),"")</f>
        <v/>
      </c>
      <c r="M222" s="35" t="str">
        <f>IFERROR(INDEX($AC$157:$AC$306,MATCH(ROWS($A$157:A222),$AF$157:$AF$306,0)),"")</f>
        <v/>
      </c>
      <c r="N222" s="35" t="str">
        <f>IFERROR(INDEX($AD$157:$AD$306,MATCH(ROWS($A$157:A222),$AF$157:$AF$306,0)),"")</f>
        <v/>
      </c>
      <c r="Q222" t="str">
        <f>T(JAN!B71)</f>
        <v>MARCOS TEMPORARIO</v>
      </c>
      <c r="R222" t="str">
        <f t="array" ref="R222">IF($Q222="","",_xlfn.TEXTJOIN(", ",TRUE,IF(JAN!$G71:$AK71="AT",JAN!$G$4:$AK$4,"")))</f>
        <v/>
      </c>
      <c r="S222" t="str">
        <f t="array" ref="S222">IF($Q222="","",_xlfn.TEXTJOIN(", ",TRUE,IF(FEV!$G71:$AK71="AT",FEV!$G$4:$AK$4,"")))</f>
        <v/>
      </c>
      <c r="T222" t="str">
        <f t="array" ref="T222">IF($Q222="","",_xlfn.TEXTJOIN(", ",TRUE,IF(MAR!$G71:$AK71="AT",MAR!$G$4:$AK$4,"")))</f>
        <v/>
      </c>
      <c r="U222" t="str">
        <f t="array" ref="U222">IF($Q222="","",_xlfn.TEXTJOIN(", ",TRUE,IF(ABR!$G71:$AK71="AT",ABR!$G$4:$AK$4,"")))</f>
        <v/>
      </c>
      <c r="V222" t="str">
        <f t="array" ref="V222">IF($Q222="","",_xlfn.TEXTJOIN(", ",TRUE,IF(MAI!$G71:$AK71="AT",MAI!$G$4:$AK$4,"")))</f>
        <v/>
      </c>
      <c r="W222" t="str">
        <f t="array" ref="W222">IF($Q222="","",_xlfn.TEXTJOIN(", ",TRUE,IF(JUN!$G71:$AK71="AT",JUN!$G$4:$AK$4,"")))</f>
        <v/>
      </c>
      <c r="X222" t="str">
        <f t="array" ref="X222">IF($Q222="","",_xlfn.TEXTJOIN(", ",TRUE,IF(JUL!$G71:$AK71="AT",JUL!$G$4:$AK$4,"")))</f>
        <v/>
      </c>
      <c r="Y222" t="str">
        <f t="array" ref="Y222">IF($Q222="","",_xlfn.TEXTJOIN(", ",TRUE,IF(AGO!$G71:$AK71="AT",AGO!$G$4:$AK$4,"")))</f>
        <v/>
      </c>
      <c r="Z222" t="str">
        <f t="array" ref="Z222">IF($Q222="","",_xlfn.TEXTJOIN(", ",TRUE,IF(SET!$G71:$AK71="AT",SET!$G$4:$AK$4,"")))</f>
        <v/>
      </c>
      <c r="AA222" t="str">
        <f t="array" ref="AA222">IF($Q222="","",_xlfn.TEXTJOIN(", ",TRUE,IF(OUT!$G71:$AK71="AT",OUT!$G$4:$AK$4,"")))</f>
        <v/>
      </c>
      <c r="AB222" t="str">
        <f t="array" ref="AB222">IF($Q222="","",_xlfn.TEXTJOIN(", ",TRUE,IF(NOV!$G71:$AK71="AT",NOV!$G$4:$AK$4,"")))</f>
        <v/>
      </c>
      <c r="AC222" t="str">
        <f t="array" ref="AC222">IF($Q222="","",_xlfn.TEXTJOIN(", ",TRUE,IF(DEZ!$G71:$AK71="AT",DEZ!$G$4:$AK$4,"")))</f>
        <v/>
      </c>
      <c r="AD222">
        <f>IF($Q222="","",COUNTIF(JAN!$G71:$AK71,"AT")+COUNTIF(FEV!$G71:$AK71,"AT")+COUNTIF(MAR!$G71:$AK71,"AT")+COUNTIF(ABR!$G71:$AK71,"AT")+COUNTIF(MAI!$G71:$AK71,"AT")+COUNTIF(JUN!$G71:$AK71,"AT")+COUNTIF(JUL!$G71:$AK71,"AT")+COUNTIF(AGO!$G71:$AK71,"AT")+COUNTIF(SET!$G71:$AK71,"AT")+COUNTIF(OUT!$G71:$AK71,"AT")+COUNTIF(NOV!$G71:$AK71,"AT")+COUNTIF(DEZ!$G71:$AK71,"AT"))</f>
        <v>0</v>
      </c>
      <c r="AF222" t="str">
        <f>IF(AND($Q222&lt;&gt;"",N($AD222)&gt;0),COUNT($AF$156:AF221)+1,"")</f>
        <v/>
      </c>
    </row>
    <row r="223" spans="1:32" hidden="1" outlineLevel="1" x14ac:dyDescent="0.25">
      <c r="A223" s="36" t="str">
        <f>IFERROR(INDEX($Q$157:$Q$306,MATCH(ROWS($A$157:A223),$AF$157:$AF$306,0)),"")</f>
        <v/>
      </c>
      <c r="B223" s="35" t="str">
        <f>IFERROR(INDEX($R$157:$R$306,MATCH(ROWS($A$157:A223),$AF$157:$AF$306,0)),"")</f>
        <v/>
      </c>
      <c r="C223" s="35" t="str">
        <f>IFERROR(INDEX($S$157:$S$306,MATCH(ROWS($A$157:A223),$AF$157:$AF$306,0)),"")</f>
        <v/>
      </c>
      <c r="D223" s="35" t="str">
        <f>IFERROR(INDEX($T$157:$T$306,MATCH(ROWS($A$157:A223),$AF$157:$AF$306,0)),"")</f>
        <v/>
      </c>
      <c r="E223" s="35" t="str">
        <f>IFERROR(INDEX($U$157:$U$306,MATCH(ROWS($A$157:A223),$AF$157:$AF$306,0)),"")</f>
        <v/>
      </c>
      <c r="F223" s="35" t="str">
        <f>IFERROR(INDEX($V$157:$V$306,MATCH(ROWS($A$157:A223),$AF$157:$AF$306,0)),"")</f>
        <v/>
      </c>
      <c r="G223" s="35" t="str">
        <f>IFERROR(INDEX($W$157:$W$306,MATCH(ROWS($A$157:A223),$AF$157:$AF$306,0)),"")</f>
        <v/>
      </c>
      <c r="H223" s="35" t="str">
        <f>IFERROR(INDEX($X$157:$X$306,MATCH(ROWS($A$157:A223),$AF$157:$AF$306,0)),"")</f>
        <v/>
      </c>
      <c r="I223" s="35" t="str">
        <f>IFERROR(INDEX($Y$157:$Y$306,MATCH(ROWS($A$157:A223),$AF$157:$AF$306,0)),"")</f>
        <v/>
      </c>
      <c r="J223" s="35" t="str">
        <f>IFERROR(INDEX($Z$157:$Z$306,MATCH(ROWS($A$157:A223),$AF$157:$AF$306,0)),"")</f>
        <v/>
      </c>
      <c r="K223" s="35" t="str">
        <f>IFERROR(INDEX($AA$157:$AA$306,MATCH(ROWS($A$157:A223),$AF$157:$AF$306,0)),"")</f>
        <v/>
      </c>
      <c r="L223" s="35" t="str">
        <f>IFERROR(INDEX($AB$157:$AB$306,MATCH(ROWS($A$157:A223),$AF$157:$AF$306,0)),"")</f>
        <v/>
      </c>
      <c r="M223" s="35" t="str">
        <f>IFERROR(INDEX($AC$157:$AC$306,MATCH(ROWS($A$157:A223),$AF$157:$AF$306,0)),"")</f>
        <v/>
      </c>
      <c r="N223" s="35" t="str">
        <f>IFERROR(INDEX($AD$157:$AD$306,MATCH(ROWS($A$157:A223),$AF$157:$AF$306,0)),"")</f>
        <v/>
      </c>
      <c r="Q223" t="str">
        <f>T(JAN!B72)</f>
        <v>FLAVIO TEMPORARIO</v>
      </c>
      <c r="R223" t="str">
        <f t="array" ref="R223">IF($Q223="","",_xlfn.TEXTJOIN(", ",TRUE,IF(JAN!$G72:$AK72="AT",JAN!$G$4:$AK$4,"")))</f>
        <v/>
      </c>
      <c r="S223" t="str">
        <f t="array" ref="S223">IF($Q223="","",_xlfn.TEXTJOIN(", ",TRUE,IF(FEV!$G72:$AK72="AT",FEV!$G$4:$AK$4,"")))</f>
        <v/>
      </c>
      <c r="T223" t="str">
        <f t="array" ref="T223">IF($Q223="","",_xlfn.TEXTJOIN(", ",TRUE,IF(MAR!$G72:$AK72="AT",MAR!$G$4:$AK$4,"")))</f>
        <v/>
      </c>
      <c r="U223" t="str">
        <f t="array" ref="U223">IF($Q223="","",_xlfn.TEXTJOIN(", ",TRUE,IF(ABR!$G72:$AK72="AT",ABR!$G$4:$AK$4,"")))</f>
        <v/>
      </c>
      <c r="V223" t="str">
        <f t="array" ref="V223">IF($Q223="","",_xlfn.TEXTJOIN(", ",TRUE,IF(MAI!$G72:$AK72="AT",MAI!$G$4:$AK$4,"")))</f>
        <v/>
      </c>
      <c r="W223" t="str">
        <f t="array" ref="W223">IF($Q223="","",_xlfn.TEXTJOIN(", ",TRUE,IF(JUN!$G72:$AK72="AT",JUN!$G$4:$AK$4,"")))</f>
        <v/>
      </c>
      <c r="X223" t="str">
        <f t="array" ref="X223">IF($Q223="","",_xlfn.TEXTJOIN(", ",TRUE,IF(JUL!$G72:$AK72="AT",JUL!$G$4:$AK$4,"")))</f>
        <v/>
      </c>
      <c r="Y223" t="str">
        <f t="array" ref="Y223">IF($Q223="","",_xlfn.TEXTJOIN(", ",TRUE,IF(AGO!$G72:$AK72="AT",AGO!$G$4:$AK$4,"")))</f>
        <v/>
      </c>
      <c r="Z223" t="str">
        <f t="array" ref="Z223">IF($Q223="","",_xlfn.TEXTJOIN(", ",TRUE,IF(SET!$G72:$AK72="AT",SET!$G$4:$AK$4,"")))</f>
        <v/>
      </c>
      <c r="AA223" t="str">
        <f t="array" ref="AA223">IF($Q223="","",_xlfn.TEXTJOIN(", ",TRUE,IF(OUT!$G72:$AK72="AT",OUT!$G$4:$AK$4,"")))</f>
        <v/>
      </c>
      <c r="AB223" t="str">
        <f t="array" ref="AB223">IF($Q223="","",_xlfn.TEXTJOIN(", ",TRUE,IF(NOV!$G72:$AK72="AT",NOV!$G$4:$AK$4,"")))</f>
        <v/>
      </c>
      <c r="AC223" t="str">
        <f t="array" ref="AC223">IF($Q223="","",_xlfn.TEXTJOIN(", ",TRUE,IF(DEZ!$G72:$AK72="AT",DEZ!$G$4:$AK$4,"")))</f>
        <v/>
      </c>
      <c r="AD223">
        <f>IF($Q223="","",COUNTIF(JAN!$G72:$AK72,"AT")+COUNTIF(FEV!$G72:$AK72,"AT")+COUNTIF(MAR!$G72:$AK72,"AT")+COUNTIF(ABR!$G72:$AK72,"AT")+COUNTIF(MAI!$G72:$AK72,"AT")+COUNTIF(JUN!$G72:$AK72,"AT")+COUNTIF(JUL!$G72:$AK72,"AT")+COUNTIF(AGO!$G72:$AK72,"AT")+COUNTIF(SET!$G72:$AK72,"AT")+COUNTIF(OUT!$G72:$AK72,"AT")+COUNTIF(NOV!$G72:$AK72,"AT")+COUNTIF(DEZ!$G72:$AK72,"AT"))</f>
        <v>0</v>
      </c>
      <c r="AF223" t="str">
        <f>IF(AND($Q223&lt;&gt;"",N($AD223)&gt;0),COUNT($AF$156:AF222)+1,"")</f>
        <v/>
      </c>
    </row>
    <row r="224" spans="1:32" hidden="1" outlineLevel="1" x14ac:dyDescent="0.25">
      <c r="A224" s="36" t="str">
        <f>IFERROR(INDEX($Q$157:$Q$306,MATCH(ROWS($A$157:A224),$AF$157:$AF$306,0)),"")</f>
        <v/>
      </c>
      <c r="B224" s="35" t="str">
        <f>IFERROR(INDEX($R$157:$R$306,MATCH(ROWS($A$157:A224),$AF$157:$AF$306,0)),"")</f>
        <v/>
      </c>
      <c r="C224" s="35" t="str">
        <f>IFERROR(INDEX($S$157:$S$306,MATCH(ROWS($A$157:A224),$AF$157:$AF$306,0)),"")</f>
        <v/>
      </c>
      <c r="D224" s="35" t="str">
        <f>IFERROR(INDEX($T$157:$T$306,MATCH(ROWS($A$157:A224),$AF$157:$AF$306,0)),"")</f>
        <v/>
      </c>
      <c r="E224" s="35" t="str">
        <f>IFERROR(INDEX($U$157:$U$306,MATCH(ROWS($A$157:A224),$AF$157:$AF$306,0)),"")</f>
        <v/>
      </c>
      <c r="F224" s="35" t="str">
        <f>IFERROR(INDEX($V$157:$V$306,MATCH(ROWS($A$157:A224),$AF$157:$AF$306,0)),"")</f>
        <v/>
      </c>
      <c r="G224" s="35" t="str">
        <f>IFERROR(INDEX($W$157:$W$306,MATCH(ROWS($A$157:A224),$AF$157:$AF$306,0)),"")</f>
        <v/>
      </c>
      <c r="H224" s="35" t="str">
        <f>IFERROR(INDEX($X$157:$X$306,MATCH(ROWS($A$157:A224),$AF$157:$AF$306,0)),"")</f>
        <v/>
      </c>
      <c r="I224" s="35" t="str">
        <f>IFERROR(INDEX($Y$157:$Y$306,MATCH(ROWS($A$157:A224),$AF$157:$AF$306,0)),"")</f>
        <v/>
      </c>
      <c r="J224" s="35" t="str">
        <f>IFERROR(INDEX($Z$157:$Z$306,MATCH(ROWS($A$157:A224),$AF$157:$AF$306,0)),"")</f>
        <v/>
      </c>
      <c r="K224" s="35" t="str">
        <f>IFERROR(INDEX($AA$157:$AA$306,MATCH(ROWS($A$157:A224),$AF$157:$AF$306,0)),"")</f>
        <v/>
      </c>
      <c r="L224" s="35" t="str">
        <f>IFERROR(INDEX($AB$157:$AB$306,MATCH(ROWS($A$157:A224),$AF$157:$AF$306,0)),"")</f>
        <v/>
      </c>
      <c r="M224" s="35" t="str">
        <f>IFERROR(INDEX($AC$157:$AC$306,MATCH(ROWS($A$157:A224),$AF$157:$AF$306,0)),"")</f>
        <v/>
      </c>
      <c r="N224" s="35" t="str">
        <f>IFERROR(INDEX($AD$157:$AD$306,MATCH(ROWS($A$157:A224),$AF$157:$AF$306,0)),"")</f>
        <v/>
      </c>
      <c r="Q224" t="str">
        <f>T(JAN!B73)</f>
        <v>MARCIO DUARTE 434601</v>
      </c>
      <c r="R224" t="str">
        <f t="array" ref="R224">IF($Q224="","",_xlfn.TEXTJOIN(", ",TRUE,IF(JAN!$G73:$AK73="AT",JAN!$G$4:$AK$4,"")))</f>
        <v/>
      </c>
      <c r="S224" t="str">
        <f t="array" ref="S224">IF($Q224="","",_xlfn.TEXTJOIN(", ",TRUE,IF(FEV!$G73:$AK73="AT",FEV!$G$4:$AK$4,"")))</f>
        <v/>
      </c>
      <c r="T224" t="str">
        <f t="array" ref="T224">IF($Q224="","",_xlfn.TEXTJOIN(", ",TRUE,IF(MAR!$G73:$AK73="AT",MAR!$G$4:$AK$4,"")))</f>
        <v/>
      </c>
      <c r="U224" t="str">
        <f t="array" ref="U224">IF($Q224="","",_xlfn.TEXTJOIN(", ",TRUE,IF(ABR!$G73:$AK73="AT",ABR!$G$4:$AK$4,"")))</f>
        <v/>
      </c>
      <c r="V224" t="str">
        <f t="array" ref="V224">IF($Q224="","",_xlfn.TEXTJOIN(", ",TRUE,IF(MAI!$G73:$AK73="AT",MAI!$G$4:$AK$4,"")))</f>
        <v/>
      </c>
      <c r="W224" t="str">
        <f t="array" ref="W224">IF($Q224="","",_xlfn.TEXTJOIN(", ",TRUE,IF(JUN!$G73:$AK73="AT",JUN!$G$4:$AK$4,"")))</f>
        <v/>
      </c>
      <c r="X224" t="str">
        <f t="array" ref="X224">IF($Q224="","",_xlfn.TEXTJOIN(", ",TRUE,IF(JUL!$G73:$AK73="AT",JUL!$G$4:$AK$4,"")))</f>
        <v/>
      </c>
      <c r="Y224" t="str">
        <f t="array" ref="Y224">IF($Q224="","",_xlfn.TEXTJOIN(", ",TRUE,IF(AGO!$G73:$AK73="AT",AGO!$G$4:$AK$4,"")))</f>
        <v/>
      </c>
      <c r="Z224" t="str">
        <f t="array" ref="Z224">IF($Q224="","",_xlfn.TEXTJOIN(", ",TRUE,IF(SET!$G73:$AK73="AT",SET!$G$4:$AK$4,"")))</f>
        <v/>
      </c>
      <c r="AA224" t="str">
        <f t="array" ref="AA224">IF($Q224="","",_xlfn.TEXTJOIN(", ",TRUE,IF(OUT!$G73:$AK73="AT",OUT!$G$4:$AK$4,"")))</f>
        <v/>
      </c>
      <c r="AB224" t="str">
        <f t="array" ref="AB224">IF($Q224="","",_xlfn.TEXTJOIN(", ",TRUE,IF(NOV!$G73:$AK73="AT",NOV!$G$4:$AK$4,"")))</f>
        <v/>
      </c>
      <c r="AC224" t="str">
        <f t="array" ref="AC224">IF($Q224="","",_xlfn.TEXTJOIN(", ",TRUE,IF(DEZ!$G73:$AK73="AT",DEZ!$G$4:$AK$4,"")))</f>
        <v/>
      </c>
      <c r="AD224">
        <f>IF($Q224="","",COUNTIF(JAN!$G73:$AK73,"AT")+COUNTIF(FEV!$G73:$AK73,"AT")+COUNTIF(MAR!$G73:$AK73,"AT")+COUNTIF(ABR!$G73:$AK73,"AT")+COUNTIF(MAI!$G73:$AK73,"AT")+COUNTIF(JUN!$G73:$AK73,"AT")+COUNTIF(JUL!$G73:$AK73,"AT")+COUNTIF(AGO!$G73:$AK73,"AT")+COUNTIF(SET!$G73:$AK73,"AT")+COUNTIF(OUT!$G73:$AK73,"AT")+COUNTIF(NOV!$G73:$AK73,"AT")+COUNTIF(DEZ!$G73:$AK73,"AT"))</f>
        <v>0</v>
      </c>
      <c r="AF224" t="str">
        <f>IF(AND($Q224&lt;&gt;"",N($AD224)&gt;0),COUNT($AF$156:AF223)+1,"")</f>
        <v/>
      </c>
    </row>
    <row r="225" spans="1:32" hidden="1" outlineLevel="1" x14ac:dyDescent="0.25">
      <c r="A225" s="36" t="str">
        <f>IFERROR(INDEX($Q$157:$Q$306,MATCH(ROWS($A$157:A225),$AF$157:$AF$306,0)),"")</f>
        <v/>
      </c>
      <c r="B225" s="35" t="str">
        <f>IFERROR(INDEX($R$157:$R$306,MATCH(ROWS($A$157:A225),$AF$157:$AF$306,0)),"")</f>
        <v/>
      </c>
      <c r="C225" s="35" t="str">
        <f>IFERROR(INDEX($S$157:$S$306,MATCH(ROWS($A$157:A225),$AF$157:$AF$306,0)),"")</f>
        <v/>
      </c>
      <c r="D225" s="35" t="str">
        <f>IFERROR(INDEX($T$157:$T$306,MATCH(ROWS($A$157:A225),$AF$157:$AF$306,0)),"")</f>
        <v/>
      </c>
      <c r="E225" s="35" t="str">
        <f>IFERROR(INDEX($U$157:$U$306,MATCH(ROWS($A$157:A225),$AF$157:$AF$306,0)),"")</f>
        <v/>
      </c>
      <c r="F225" s="35" t="str">
        <f>IFERROR(INDEX($V$157:$V$306,MATCH(ROWS($A$157:A225),$AF$157:$AF$306,0)),"")</f>
        <v/>
      </c>
      <c r="G225" s="35" t="str">
        <f>IFERROR(INDEX($W$157:$W$306,MATCH(ROWS($A$157:A225),$AF$157:$AF$306,0)),"")</f>
        <v/>
      </c>
      <c r="H225" s="35" t="str">
        <f>IFERROR(INDEX($X$157:$X$306,MATCH(ROWS($A$157:A225),$AF$157:$AF$306,0)),"")</f>
        <v/>
      </c>
      <c r="I225" s="35" t="str">
        <f>IFERROR(INDEX($Y$157:$Y$306,MATCH(ROWS($A$157:A225),$AF$157:$AF$306,0)),"")</f>
        <v/>
      </c>
      <c r="J225" s="35" t="str">
        <f>IFERROR(INDEX($Z$157:$Z$306,MATCH(ROWS($A$157:A225),$AF$157:$AF$306,0)),"")</f>
        <v/>
      </c>
      <c r="K225" s="35" t="str">
        <f>IFERROR(INDEX($AA$157:$AA$306,MATCH(ROWS($A$157:A225),$AF$157:$AF$306,0)),"")</f>
        <v/>
      </c>
      <c r="L225" s="35" t="str">
        <f>IFERROR(INDEX($AB$157:$AB$306,MATCH(ROWS($A$157:A225),$AF$157:$AF$306,0)),"")</f>
        <v/>
      </c>
      <c r="M225" s="35" t="str">
        <f>IFERROR(INDEX($AC$157:$AC$306,MATCH(ROWS($A$157:A225),$AF$157:$AF$306,0)),"")</f>
        <v/>
      </c>
      <c r="N225" s="35" t="str">
        <f>IFERROR(INDEX($AD$157:$AD$306,MATCH(ROWS($A$157:A225),$AF$157:$AF$306,0)),"")</f>
        <v/>
      </c>
      <c r="Q225" t="str">
        <f>T(JAN!B74)</f>
        <v>DEIVIDE TEMPORARIO</v>
      </c>
      <c r="R225" t="str">
        <f t="array" ref="R225">IF($Q225="","",_xlfn.TEXTJOIN(", ",TRUE,IF(JAN!$G74:$AK74="AT",JAN!$G$4:$AK$4,"")))</f>
        <v/>
      </c>
      <c r="S225" t="str">
        <f t="array" ref="S225">IF($Q225="","",_xlfn.TEXTJOIN(", ",TRUE,IF(FEV!$G74:$AK74="AT",FEV!$G$4:$AK$4,"")))</f>
        <v/>
      </c>
      <c r="T225" t="str">
        <f t="array" ref="T225">IF($Q225="","",_xlfn.TEXTJOIN(", ",TRUE,IF(MAR!$G74:$AK74="AT",MAR!$G$4:$AK$4,"")))</f>
        <v/>
      </c>
      <c r="U225" t="str">
        <f t="array" ref="U225">IF($Q225="","",_xlfn.TEXTJOIN(", ",TRUE,IF(ABR!$G74:$AK74="AT",ABR!$G$4:$AK$4,"")))</f>
        <v/>
      </c>
      <c r="V225" t="str">
        <f t="array" ref="V225">IF($Q225="","",_xlfn.TEXTJOIN(", ",TRUE,IF(MAI!$G74:$AK74="AT",MAI!$G$4:$AK$4,"")))</f>
        <v/>
      </c>
      <c r="W225" t="str">
        <f t="array" ref="W225">IF($Q225="","",_xlfn.TEXTJOIN(", ",TRUE,IF(JUN!$G74:$AK74="AT",JUN!$G$4:$AK$4,"")))</f>
        <v/>
      </c>
      <c r="X225" t="str">
        <f t="array" ref="X225">IF($Q225="","",_xlfn.TEXTJOIN(", ",TRUE,IF(JUL!$G74:$AK74="AT",JUL!$G$4:$AK$4,"")))</f>
        <v/>
      </c>
      <c r="Y225" t="str">
        <f t="array" ref="Y225">IF($Q225="","",_xlfn.TEXTJOIN(", ",TRUE,IF(AGO!$G74:$AK74="AT",AGO!$G$4:$AK$4,"")))</f>
        <v/>
      </c>
      <c r="Z225" t="str">
        <f t="array" ref="Z225">IF($Q225="","",_xlfn.TEXTJOIN(", ",TRUE,IF(SET!$G74:$AK74="AT",SET!$G$4:$AK$4,"")))</f>
        <v/>
      </c>
      <c r="AA225" t="str">
        <f t="array" ref="AA225">IF($Q225="","",_xlfn.TEXTJOIN(", ",TRUE,IF(OUT!$G74:$AK74="AT",OUT!$G$4:$AK$4,"")))</f>
        <v/>
      </c>
      <c r="AB225" t="str">
        <f t="array" ref="AB225">IF($Q225="","",_xlfn.TEXTJOIN(", ",TRUE,IF(NOV!$G74:$AK74="AT",NOV!$G$4:$AK$4,"")))</f>
        <v/>
      </c>
      <c r="AC225" t="str">
        <f t="array" ref="AC225">IF($Q225="","",_xlfn.TEXTJOIN(", ",TRUE,IF(DEZ!$G74:$AK74="AT",DEZ!$G$4:$AK$4,"")))</f>
        <v/>
      </c>
      <c r="AD225">
        <f>IF($Q225="","",COUNTIF(JAN!$G74:$AK74,"AT")+COUNTIF(FEV!$G74:$AK74,"AT")+COUNTIF(MAR!$G74:$AK74,"AT")+COUNTIF(ABR!$G74:$AK74,"AT")+COUNTIF(MAI!$G74:$AK74,"AT")+COUNTIF(JUN!$G74:$AK74,"AT")+COUNTIF(JUL!$G74:$AK74,"AT")+COUNTIF(AGO!$G74:$AK74,"AT")+COUNTIF(SET!$G74:$AK74,"AT")+COUNTIF(OUT!$G74:$AK74,"AT")+COUNTIF(NOV!$G74:$AK74,"AT")+COUNTIF(DEZ!$G74:$AK74,"AT"))</f>
        <v>0</v>
      </c>
      <c r="AF225" t="str">
        <f>IF(AND($Q225&lt;&gt;"",N($AD225)&gt;0),COUNT($AF$156:AF224)+1,"")</f>
        <v/>
      </c>
    </row>
    <row r="226" spans="1:32" hidden="1" outlineLevel="1" x14ac:dyDescent="0.25">
      <c r="A226" s="36" t="str">
        <f>IFERROR(INDEX($Q$157:$Q$306,MATCH(ROWS($A$157:A226),$AF$157:$AF$306,0)),"")</f>
        <v/>
      </c>
      <c r="B226" s="35" t="str">
        <f>IFERROR(INDEX($R$157:$R$306,MATCH(ROWS($A$157:A226),$AF$157:$AF$306,0)),"")</f>
        <v/>
      </c>
      <c r="C226" s="35" t="str">
        <f>IFERROR(INDEX($S$157:$S$306,MATCH(ROWS($A$157:A226),$AF$157:$AF$306,0)),"")</f>
        <v/>
      </c>
      <c r="D226" s="35" t="str">
        <f>IFERROR(INDEX($T$157:$T$306,MATCH(ROWS($A$157:A226),$AF$157:$AF$306,0)),"")</f>
        <v/>
      </c>
      <c r="E226" s="35" t="str">
        <f>IFERROR(INDEX($U$157:$U$306,MATCH(ROWS($A$157:A226),$AF$157:$AF$306,0)),"")</f>
        <v/>
      </c>
      <c r="F226" s="35" t="str">
        <f>IFERROR(INDEX($V$157:$V$306,MATCH(ROWS($A$157:A226),$AF$157:$AF$306,0)),"")</f>
        <v/>
      </c>
      <c r="G226" s="35" t="str">
        <f>IFERROR(INDEX($W$157:$W$306,MATCH(ROWS($A$157:A226),$AF$157:$AF$306,0)),"")</f>
        <v/>
      </c>
      <c r="H226" s="35" t="str">
        <f>IFERROR(INDEX($X$157:$X$306,MATCH(ROWS($A$157:A226),$AF$157:$AF$306,0)),"")</f>
        <v/>
      </c>
      <c r="I226" s="35" t="str">
        <f>IFERROR(INDEX($Y$157:$Y$306,MATCH(ROWS($A$157:A226),$AF$157:$AF$306,0)),"")</f>
        <v/>
      </c>
      <c r="J226" s="35" t="str">
        <f>IFERROR(INDEX($Z$157:$Z$306,MATCH(ROWS($A$157:A226),$AF$157:$AF$306,0)),"")</f>
        <v/>
      </c>
      <c r="K226" s="35" t="str">
        <f>IFERROR(INDEX($AA$157:$AA$306,MATCH(ROWS($A$157:A226),$AF$157:$AF$306,0)),"")</f>
        <v/>
      </c>
      <c r="L226" s="35" t="str">
        <f>IFERROR(INDEX($AB$157:$AB$306,MATCH(ROWS($A$157:A226),$AF$157:$AF$306,0)),"")</f>
        <v/>
      </c>
      <c r="M226" s="35" t="str">
        <f>IFERROR(INDEX($AC$157:$AC$306,MATCH(ROWS($A$157:A226),$AF$157:$AF$306,0)),"")</f>
        <v/>
      </c>
      <c r="N226" s="35" t="str">
        <f>IFERROR(INDEX($AD$157:$AD$306,MATCH(ROWS($A$157:A226),$AF$157:$AF$306,0)),"")</f>
        <v/>
      </c>
      <c r="Q226" t="str">
        <f>T(JAN!B75)</f>
        <v>MARLON TEMPORÁRIO</v>
      </c>
      <c r="R226" t="str">
        <f t="array" ref="R226">IF($Q226="","",_xlfn.TEXTJOIN(", ",TRUE,IF(JAN!$G75:$AK75="AT",JAN!$G$4:$AK$4,"")))</f>
        <v/>
      </c>
      <c r="S226" t="str">
        <f t="array" ref="S226">IF($Q226="","",_xlfn.TEXTJOIN(", ",TRUE,IF(FEV!$G75:$AK75="AT",FEV!$G$4:$AK$4,"")))</f>
        <v/>
      </c>
      <c r="T226" t="str">
        <f t="array" ref="T226">IF($Q226="","",_xlfn.TEXTJOIN(", ",TRUE,IF(MAR!$G75:$AK75="AT",MAR!$G$4:$AK$4,"")))</f>
        <v/>
      </c>
      <c r="U226" t="str">
        <f t="array" ref="U226">IF($Q226="","",_xlfn.TEXTJOIN(", ",TRUE,IF(ABR!$G75:$AK75="AT",ABR!$G$4:$AK$4,"")))</f>
        <v/>
      </c>
      <c r="V226" t="str">
        <f t="array" ref="V226">IF($Q226="","",_xlfn.TEXTJOIN(", ",TRUE,IF(MAI!$G75:$AK75="AT",MAI!$G$4:$AK$4,"")))</f>
        <v/>
      </c>
      <c r="W226" t="str">
        <f t="array" ref="W226">IF($Q226="","",_xlfn.TEXTJOIN(", ",TRUE,IF(JUN!$G75:$AK75="AT",JUN!$G$4:$AK$4,"")))</f>
        <v/>
      </c>
      <c r="X226" t="str">
        <f t="array" ref="X226">IF($Q226="","",_xlfn.TEXTJOIN(", ",TRUE,IF(JUL!$G75:$AK75="AT",JUL!$G$4:$AK$4,"")))</f>
        <v/>
      </c>
      <c r="Y226" t="str">
        <f t="array" ref="Y226">IF($Q226="","",_xlfn.TEXTJOIN(", ",TRUE,IF(AGO!$G75:$AK75="AT",AGO!$G$4:$AK$4,"")))</f>
        <v/>
      </c>
      <c r="Z226" t="str">
        <f t="array" ref="Z226">IF($Q226="","",_xlfn.TEXTJOIN(", ",TRUE,IF(SET!$G75:$AK75="AT",SET!$G$4:$AK$4,"")))</f>
        <v/>
      </c>
      <c r="AA226" t="str">
        <f t="array" ref="AA226">IF($Q226="","",_xlfn.TEXTJOIN(", ",TRUE,IF(OUT!$G75:$AK75="AT",OUT!$G$4:$AK$4,"")))</f>
        <v/>
      </c>
      <c r="AB226" t="str">
        <f t="array" ref="AB226">IF($Q226="","",_xlfn.TEXTJOIN(", ",TRUE,IF(NOV!$G75:$AK75="AT",NOV!$G$4:$AK$4,"")))</f>
        <v/>
      </c>
      <c r="AC226" t="str">
        <f t="array" ref="AC226">IF($Q226="","",_xlfn.TEXTJOIN(", ",TRUE,IF(DEZ!$G75:$AK75="AT",DEZ!$G$4:$AK$4,"")))</f>
        <v/>
      </c>
      <c r="AD226">
        <f>IF($Q226="","",COUNTIF(JAN!$G75:$AK75,"AT")+COUNTIF(FEV!$G75:$AK75,"AT")+COUNTIF(MAR!$G75:$AK75,"AT")+COUNTIF(ABR!$G75:$AK75,"AT")+COUNTIF(MAI!$G75:$AK75,"AT")+COUNTIF(JUN!$G75:$AK75,"AT")+COUNTIF(JUL!$G75:$AK75,"AT")+COUNTIF(AGO!$G75:$AK75,"AT")+COUNTIF(SET!$G75:$AK75,"AT")+COUNTIF(OUT!$G75:$AK75,"AT")+COUNTIF(NOV!$G75:$AK75,"AT")+COUNTIF(DEZ!$G75:$AK75,"AT"))</f>
        <v>0</v>
      </c>
      <c r="AF226" t="str">
        <f>IF(AND($Q226&lt;&gt;"",N($AD226)&gt;0),COUNT($AF$156:AF225)+1,"")</f>
        <v/>
      </c>
    </row>
    <row r="227" spans="1:32" hidden="1" outlineLevel="1" x14ac:dyDescent="0.25">
      <c r="A227" s="36" t="str">
        <f>IFERROR(INDEX($Q$157:$Q$306,MATCH(ROWS($A$157:A227),$AF$157:$AF$306,0)),"")</f>
        <v/>
      </c>
      <c r="B227" s="35" t="str">
        <f>IFERROR(INDEX($R$157:$R$306,MATCH(ROWS($A$157:A227),$AF$157:$AF$306,0)),"")</f>
        <v/>
      </c>
      <c r="C227" s="35" t="str">
        <f>IFERROR(INDEX($S$157:$S$306,MATCH(ROWS($A$157:A227),$AF$157:$AF$306,0)),"")</f>
        <v/>
      </c>
      <c r="D227" s="35" t="str">
        <f>IFERROR(INDEX($T$157:$T$306,MATCH(ROWS($A$157:A227),$AF$157:$AF$306,0)),"")</f>
        <v/>
      </c>
      <c r="E227" s="35" t="str">
        <f>IFERROR(INDEX($U$157:$U$306,MATCH(ROWS($A$157:A227),$AF$157:$AF$306,0)),"")</f>
        <v/>
      </c>
      <c r="F227" s="35" t="str">
        <f>IFERROR(INDEX($V$157:$V$306,MATCH(ROWS($A$157:A227),$AF$157:$AF$306,0)),"")</f>
        <v/>
      </c>
      <c r="G227" s="35" t="str">
        <f>IFERROR(INDEX($W$157:$W$306,MATCH(ROWS($A$157:A227),$AF$157:$AF$306,0)),"")</f>
        <v/>
      </c>
      <c r="H227" s="35" t="str">
        <f>IFERROR(INDEX($X$157:$X$306,MATCH(ROWS($A$157:A227),$AF$157:$AF$306,0)),"")</f>
        <v/>
      </c>
      <c r="I227" s="35" t="str">
        <f>IFERROR(INDEX($Y$157:$Y$306,MATCH(ROWS($A$157:A227),$AF$157:$AF$306,0)),"")</f>
        <v/>
      </c>
      <c r="J227" s="35" t="str">
        <f>IFERROR(INDEX($Z$157:$Z$306,MATCH(ROWS($A$157:A227),$AF$157:$AF$306,0)),"")</f>
        <v/>
      </c>
      <c r="K227" s="35" t="str">
        <f>IFERROR(INDEX($AA$157:$AA$306,MATCH(ROWS($A$157:A227),$AF$157:$AF$306,0)),"")</f>
        <v/>
      </c>
      <c r="L227" s="35" t="str">
        <f>IFERROR(INDEX($AB$157:$AB$306,MATCH(ROWS($A$157:A227),$AF$157:$AF$306,0)),"")</f>
        <v/>
      </c>
      <c r="M227" s="35" t="str">
        <f>IFERROR(INDEX($AC$157:$AC$306,MATCH(ROWS($A$157:A227),$AF$157:$AF$306,0)),"")</f>
        <v/>
      </c>
      <c r="N227" s="35" t="str">
        <f>IFERROR(INDEX($AD$157:$AD$306,MATCH(ROWS($A$157:A227),$AF$157:$AF$306,0)),"")</f>
        <v/>
      </c>
      <c r="Q227" t="str">
        <f>T(JAN!B76)</f>
        <v>GUILHERME CARMARGO TEMPORARIO</v>
      </c>
      <c r="R227" t="str">
        <f t="array" ref="R227">IF($Q227="","",_xlfn.TEXTJOIN(", ",TRUE,IF(JAN!$G76:$AK76="AT",JAN!$G$4:$AK$4,"")))</f>
        <v/>
      </c>
      <c r="S227" t="str">
        <f t="array" ref="S227">IF($Q227="","",_xlfn.TEXTJOIN(", ",TRUE,IF(FEV!$G76:$AK76="AT",FEV!$G$4:$AK$4,"")))</f>
        <v/>
      </c>
      <c r="T227" t="str">
        <f t="array" ref="T227">IF($Q227="","",_xlfn.TEXTJOIN(", ",TRUE,IF(MAR!$G76:$AK76="AT",MAR!$G$4:$AK$4,"")))</f>
        <v/>
      </c>
      <c r="U227" t="str">
        <f t="array" ref="U227">IF($Q227="","",_xlfn.TEXTJOIN(", ",TRUE,IF(ABR!$G76:$AK76="AT",ABR!$G$4:$AK$4,"")))</f>
        <v/>
      </c>
      <c r="V227" t="str">
        <f t="array" ref="V227">IF($Q227="","",_xlfn.TEXTJOIN(", ",TRUE,IF(MAI!$G76:$AK76="AT",MAI!$G$4:$AK$4,"")))</f>
        <v/>
      </c>
      <c r="W227" t="str">
        <f t="array" ref="W227">IF($Q227="","",_xlfn.TEXTJOIN(", ",TRUE,IF(JUN!$G76:$AK76="AT",JUN!$G$4:$AK$4,"")))</f>
        <v/>
      </c>
      <c r="X227" t="str">
        <f t="array" ref="X227">IF($Q227="","",_xlfn.TEXTJOIN(", ",TRUE,IF(JUL!$G76:$AK76="AT",JUL!$G$4:$AK$4,"")))</f>
        <v/>
      </c>
      <c r="Y227" t="str">
        <f t="array" ref="Y227">IF($Q227="","",_xlfn.TEXTJOIN(", ",TRUE,IF(AGO!$G76:$AK76="AT",AGO!$G$4:$AK$4,"")))</f>
        <v/>
      </c>
      <c r="Z227" t="str">
        <f t="array" ref="Z227">IF($Q227="","",_xlfn.TEXTJOIN(", ",TRUE,IF(SET!$G76:$AK76="AT",SET!$G$4:$AK$4,"")))</f>
        <v/>
      </c>
      <c r="AA227" t="str">
        <f t="array" ref="AA227">IF($Q227="","",_xlfn.TEXTJOIN(", ",TRUE,IF(OUT!$G76:$AK76="AT",OUT!$G$4:$AK$4,"")))</f>
        <v/>
      </c>
      <c r="AB227" t="str">
        <f t="array" ref="AB227">IF($Q227="","",_xlfn.TEXTJOIN(", ",TRUE,IF(NOV!$G76:$AK76="AT",NOV!$G$4:$AK$4,"")))</f>
        <v/>
      </c>
      <c r="AC227" t="str">
        <f t="array" ref="AC227">IF($Q227="","",_xlfn.TEXTJOIN(", ",TRUE,IF(DEZ!$G76:$AK76="AT",DEZ!$G$4:$AK$4,"")))</f>
        <v/>
      </c>
      <c r="AD227">
        <f>IF($Q227="","",COUNTIF(JAN!$G76:$AK76,"AT")+COUNTIF(FEV!$G76:$AK76,"AT")+COUNTIF(MAR!$G76:$AK76,"AT")+COUNTIF(ABR!$G76:$AK76,"AT")+COUNTIF(MAI!$G76:$AK76,"AT")+COUNTIF(JUN!$G76:$AK76,"AT")+COUNTIF(JUL!$G76:$AK76,"AT")+COUNTIF(AGO!$G76:$AK76,"AT")+COUNTIF(SET!$G76:$AK76,"AT")+COUNTIF(OUT!$G76:$AK76,"AT")+COUNTIF(NOV!$G76:$AK76,"AT")+COUNTIF(DEZ!$G76:$AK76,"AT"))</f>
        <v>0</v>
      </c>
      <c r="AF227" t="str">
        <f>IF(AND($Q227&lt;&gt;"",N($AD227)&gt;0),COUNT($AF$156:AF226)+1,"")</f>
        <v/>
      </c>
    </row>
    <row r="228" spans="1:32" hidden="1" outlineLevel="1" x14ac:dyDescent="0.25">
      <c r="A228" s="36" t="str">
        <f>IFERROR(INDEX($Q$157:$Q$306,MATCH(ROWS($A$157:A228),$AF$157:$AF$306,0)),"")</f>
        <v/>
      </c>
      <c r="B228" s="35" t="str">
        <f>IFERROR(INDEX($R$157:$R$306,MATCH(ROWS($A$157:A228),$AF$157:$AF$306,0)),"")</f>
        <v/>
      </c>
      <c r="C228" s="35" t="str">
        <f>IFERROR(INDEX($S$157:$S$306,MATCH(ROWS($A$157:A228),$AF$157:$AF$306,0)),"")</f>
        <v/>
      </c>
      <c r="D228" s="35" t="str">
        <f>IFERROR(INDEX($T$157:$T$306,MATCH(ROWS($A$157:A228),$AF$157:$AF$306,0)),"")</f>
        <v/>
      </c>
      <c r="E228" s="35" t="str">
        <f>IFERROR(INDEX($U$157:$U$306,MATCH(ROWS($A$157:A228),$AF$157:$AF$306,0)),"")</f>
        <v/>
      </c>
      <c r="F228" s="35" t="str">
        <f>IFERROR(INDEX($V$157:$V$306,MATCH(ROWS($A$157:A228),$AF$157:$AF$306,0)),"")</f>
        <v/>
      </c>
      <c r="G228" s="35" t="str">
        <f>IFERROR(INDEX($W$157:$W$306,MATCH(ROWS($A$157:A228),$AF$157:$AF$306,0)),"")</f>
        <v/>
      </c>
      <c r="H228" s="35" t="str">
        <f>IFERROR(INDEX($X$157:$X$306,MATCH(ROWS($A$157:A228),$AF$157:$AF$306,0)),"")</f>
        <v/>
      </c>
      <c r="I228" s="35" t="str">
        <f>IFERROR(INDEX($Y$157:$Y$306,MATCH(ROWS($A$157:A228),$AF$157:$AF$306,0)),"")</f>
        <v/>
      </c>
      <c r="J228" s="35" t="str">
        <f>IFERROR(INDEX($Z$157:$Z$306,MATCH(ROWS($A$157:A228),$AF$157:$AF$306,0)),"")</f>
        <v/>
      </c>
      <c r="K228" s="35" t="str">
        <f>IFERROR(INDEX($AA$157:$AA$306,MATCH(ROWS($A$157:A228),$AF$157:$AF$306,0)),"")</f>
        <v/>
      </c>
      <c r="L228" s="35" t="str">
        <f>IFERROR(INDEX($AB$157:$AB$306,MATCH(ROWS($A$157:A228),$AF$157:$AF$306,0)),"")</f>
        <v/>
      </c>
      <c r="M228" s="35" t="str">
        <f>IFERROR(INDEX($AC$157:$AC$306,MATCH(ROWS($A$157:A228),$AF$157:$AF$306,0)),"")</f>
        <v/>
      </c>
      <c r="N228" s="35" t="str">
        <f>IFERROR(INDEX($AD$157:$AD$306,MATCH(ROWS($A$157:A228),$AF$157:$AF$306,0)),"")</f>
        <v/>
      </c>
      <c r="Q228" t="str">
        <f>T(JAN!B77)</f>
        <v>BRYAN TEMPORARIO</v>
      </c>
      <c r="R228" t="str">
        <f t="array" ref="R228">IF($Q228="","",_xlfn.TEXTJOIN(", ",TRUE,IF(JAN!$G77:$AK77="AT",JAN!$G$4:$AK$4,"")))</f>
        <v/>
      </c>
      <c r="S228" t="str">
        <f t="array" ref="S228">IF($Q228="","",_xlfn.TEXTJOIN(", ",TRUE,IF(FEV!$G77:$AK77="AT",FEV!$G$4:$AK$4,"")))</f>
        <v/>
      </c>
      <c r="T228" t="str">
        <f t="array" ref="T228">IF($Q228="","",_xlfn.TEXTJOIN(", ",TRUE,IF(MAR!$G77:$AK77="AT",MAR!$G$4:$AK$4,"")))</f>
        <v/>
      </c>
      <c r="U228" t="str">
        <f t="array" ref="U228">IF($Q228="","",_xlfn.TEXTJOIN(", ",TRUE,IF(ABR!$G77:$AK77="AT",ABR!$G$4:$AK$4,"")))</f>
        <v/>
      </c>
      <c r="V228" t="str">
        <f t="array" ref="V228">IF($Q228="","",_xlfn.TEXTJOIN(", ",TRUE,IF(MAI!$G77:$AK77="AT",MAI!$G$4:$AK$4,"")))</f>
        <v/>
      </c>
      <c r="W228" t="str">
        <f t="array" ref="W228">IF($Q228="","",_xlfn.TEXTJOIN(", ",TRUE,IF(JUN!$G77:$AK77="AT",JUN!$G$4:$AK$4,"")))</f>
        <v/>
      </c>
      <c r="X228" t="str">
        <f t="array" ref="X228">IF($Q228="","",_xlfn.TEXTJOIN(", ",TRUE,IF(JUL!$G77:$AK77="AT",JUL!$G$4:$AK$4,"")))</f>
        <v/>
      </c>
      <c r="Y228" t="str">
        <f t="array" ref="Y228">IF($Q228="","",_xlfn.TEXTJOIN(", ",TRUE,IF(AGO!$G77:$AK77="AT",AGO!$G$4:$AK$4,"")))</f>
        <v/>
      </c>
      <c r="Z228" t="str">
        <f t="array" ref="Z228">IF($Q228="","",_xlfn.TEXTJOIN(", ",TRUE,IF(SET!$G77:$AK77="AT",SET!$G$4:$AK$4,"")))</f>
        <v/>
      </c>
      <c r="AA228" t="str">
        <f t="array" ref="AA228">IF($Q228="","",_xlfn.TEXTJOIN(", ",TRUE,IF(OUT!$G77:$AK77="AT",OUT!$G$4:$AK$4,"")))</f>
        <v/>
      </c>
      <c r="AB228" t="str">
        <f t="array" ref="AB228">IF($Q228="","",_xlfn.TEXTJOIN(", ",TRUE,IF(NOV!$G77:$AK77="AT",NOV!$G$4:$AK$4,"")))</f>
        <v/>
      </c>
      <c r="AC228" t="str">
        <f t="array" ref="AC228">IF($Q228="","",_xlfn.TEXTJOIN(", ",TRUE,IF(DEZ!$G77:$AK77="AT",DEZ!$G$4:$AK$4,"")))</f>
        <v/>
      </c>
      <c r="AD228">
        <f>IF($Q228="","",COUNTIF(JAN!$G77:$AK77,"AT")+COUNTIF(FEV!$G77:$AK77,"AT")+COUNTIF(MAR!$G77:$AK77,"AT")+COUNTIF(ABR!$G77:$AK77,"AT")+COUNTIF(MAI!$G77:$AK77,"AT")+COUNTIF(JUN!$G77:$AK77,"AT")+COUNTIF(JUL!$G77:$AK77,"AT")+COUNTIF(AGO!$G77:$AK77,"AT")+COUNTIF(SET!$G77:$AK77,"AT")+COUNTIF(OUT!$G77:$AK77,"AT")+COUNTIF(NOV!$G77:$AK77,"AT")+COUNTIF(DEZ!$G77:$AK77,"AT"))</f>
        <v>0</v>
      </c>
      <c r="AF228" t="str">
        <f>IF(AND($Q228&lt;&gt;"",N($AD228)&gt;0),COUNT($AF$156:AF227)+1,"")</f>
        <v/>
      </c>
    </row>
    <row r="229" spans="1:32" hidden="1" outlineLevel="1" x14ac:dyDescent="0.25">
      <c r="A229" s="36" t="str">
        <f>IFERROR(INDEX($Q$157:$Q$306,MATCH(ROWS($A$157:A229),$AF$157:$AF$306,0)),"")</f>
        <v/>
      </c>
      <c r="B229" s="35" t="str">
        <f>IFERROR(INDEX($R$157:$R$306,MATCH(ROWS($A$157:A229),$AF$157:$AF$306,0)),"")</f>
        <v/>
      </c>
      <c r="C229" s="35" t="str">
        <f>IFERROR(INDEX($S$157:$S$306,MATCH(ROWS($A$157:A229),$AF$157:$AF$306,0)),"")</f>
        <v/>
      </c>
      <c r="D229" s="35" t="str">
        <f>IFERROR(INDEX($T$157:$T$306,MATCH(ROWS($A$157:A229),$AF$157:$AF$306,0)),"")</f>
        <v/>
      </c>
      <c r="E229" s="35" t="str">
        <f>IFERROR(INDEX($U$157:$U$306,MATCH(ROWS($A$157:A229),$AF$157:$AF$306,0)),"")</f>
        <v/>
      </c>
      <c r="F229" s="35" t="str">
        <f>IFERROR(INDEX($V$157:$V$306,MATCH(ROWS($A$157:A229),$AF$157:$AF$306,0)),"")</f>
        <v/>
      </c>
      <c r="G229" s="35" t="str">
        <f>IFERROR(INDEX($W$157:$W$306,MATCH(ROWS($A$157:A229),$AF$157:$AF$306,0)),"")</f>
        <v/>
      </c>
      <c r="H229" s="35" t="str">
        <f>IFERROR(INDEX($X$157:$X$306,MATCH(ROWS($A$157:A229),$AF$157:$AF$306,0)),"")</f>
        <v/>
      </c>
      <c r="I229" s="35" t="str">
        <f>IFERROR(INDEX($Y$157:$Y$306,MATCH(ROWS($A$157:A229),$AF$157:$AF$306,0)),"")</f>
        <v/>
      </c>
      <c r="J229" s="35" t="str">
        <f>IFERROR(INDEX($Z$157:$Z$306,MATCH(ROWS($A$157:A229),$AF$157:$AF$306,0)),"")</f>
        <v/>
      </c>
      <c r="K229" s="35" t="str">
        <f>IFERROR(INDEX($AA$157:$AA$306,MATCH(ROWS($A$157:A229),$AF$157:$AF$306,0)),"")</f>
        <v/>
      </c>
      <c r="L229" s="35" t="str">
        <f>IFERROR(INDEX($AB$157:$AB$306,MATCH(ROWS($A$157:A229),$AF$157:$AF$306,0)),"")</f>
        <v/>
      </c>
      <c r="M229" s="35" t="str">
        <f>IFERROR(INDEX($AC$157:$AC$306,MATCH(ROWS($A$157:A229),$AF$157:$AF$306,0)),"")</f>
        <v/>
      </c>
      <c r="N229" s="35" t="str">
        <f>IFERROR(INDEX($AD$157:$AD$306,MATCH(ROWS($A$157:A229),$AF$157:$AF$306,0)),"")</f>
        <v/>
      </c>
      <c r="Q229" t="str">
        <f>T(JAN!B78)</f>
        <v>PABLO TEMPORARIO</v>
      </c>
      <c r="R229" t="str">
        <f t="array" ref="R229">IF($Q229="","",_xlfn.TEXTJOIN(", ",TRUE,IF(JAN!$G78:$AK78="AT",JAN!$G$4:$AK$4,"")))</f>
        <v/>
      </c>
      <c r="S229" t="str">
        <f t="array" ref="S229">IF($Q229="","",_xlfn.TEXTJOIN(", ",TRUE,IF(FEV!$G78:$AK78="AT",FEV!$G$4:$AK$4,"")))</f>
        <v/>
      </c>
      <c r="T229" t="str">
        <f t="array" ref="T229">IF($Q229="","",_xlfn.TEXTJOIN(", ",TRUE,IF(MAR!$G78:$AK78="AT",MAR!$G$4:$AK$4,"")))</f>
        <v/>
      </c>
      <c r="U229" t="str">
        <f t="array" ref="U229">IF($Q229="","",_xlfn.TEXTJOIN(", ",TRUE,IF(ABR!$G78:$AK78="AT",ABR!$G$4:$AK$4,"")))</f>
        <v/>
      </c>
      <c r="V229" t="str">
        <f t="array" ref="V229">IF($Q229="","",_xlfn.TEXTJOIN(", ",TRUE,IF(MAI!$G78:$AK78="AT",MAI!$G$4:$AK$4,"")))</f>
        <v/>
      </c>
      <c r="W229" t="str">
        <f t="array" ref="W229">IF($Q229="","",_xlfn.TEXTJOIN(", ",TRUE,IF(JUN!$G78:$AK78="AT",JUN!$G$4:$AK$4,"")))</f>
        <v/>
      </c>
      <c r="X229" t="str">
        <f t="array" ref="X229">IF($Q229="","",_xlfn.TEXTJOIN(", ",TRUE,IF(JUL!$G78:$AK78="AT",JUL!$G$4:$AK$4,"")))</f>
        <v/>
      </c>
      <c r="Y229" t="str">
        <f t="array" ref="Y229">IF($Q229="","",_xlfn.TEXTJOIN(", ",TRUE,IF(AGO!$G78:$AK78="AT",AGO!$G$4:$AK$4,"")))</f>
        <v/>
      </c>
      <c r="Z229" t="str">
        <f t="array" ref="Z229">IF($Q229="","",_xlfn.TEXTJOIN(", ",TRUE,IF(SET!$G78:$AK78="AT",SET!$G$4:$AK$4,"")))</f>
        <v/>
      </c>
      <c r="AA229" t="str">
        <f t="array" ref="AA229">IF($Q229="","",_xlfn.TEXTJOIN(", ",TRUE,IF(OUT!$G78:$AK78="AT",OUT!$G$4:$AK$4,"")))</f>
        <v/>
      </c>
      <c r="AB229" t="str">
        <f t="array" ref="AB229">IF($Q229="","",_xlfn.TEXTJOIN(", ",TRUE,IF(NOV!$G78:$AK78="AT",NOV!$G$4:$AK$4,"")))</f>
        <v/>
      </c>
      <c r="AC229" t="str">
        <f t="array" ref="AC229">IF($Q229="","",_xlfn.TEXTJOIN(", ",TRUE,IF(DEZ!$G78:$AK78="AT",DEZ!$G$4:$AK$4,"")))</f>
        <v/>
      </c>
      <c r="AD229">
        <f>IF($Q229="","",COUNTIF(JAN!$G78:$AK78,"AT")+COUNTIF(FEV!$G78:$AK78,"AT")+COUNTIF(MAR!$G78:$AK78,"AT")+COUNTIF(ABR!$G78:$AK78,"AT")+COUNTIF(MAI!$G78:$AK78,"AT")+COUNTIF(JUN!$G78:$AK78,"AT")+COUNTIF(JUL!$G78:$AK78,"AT")+COUNTIF(AGO!$G78:$AK78,"AT")+COUNTIF(SET!$G78:$AK78,"AT")+COUNTIF(OUT!$G78:$AK78,"AT")+COUNTIF(NOV!$G78:$AK78,"AT")+COUNTIF(DEZ!$G78:$AK78,"AT"))</f>
        <v>0</v>
      </c>
      <c r="AF229" t="str">
        <f>IF(AND($Q229&lt;&gt;"",N($AD229)&gt;0),COUNT($AF$156:AF228)+1,"")</f>
        <v/>
      </c>
    </row>
    <row r="230" spans="1:32" hidden="1" outlineLevel="1" x14ac:dyDescent="0.25">
      <c r="A230" s="36" t="str">
        <f>IFERROR(INDEX($Q$157:$Q$306,MATCH(ROWS($A$157:A230),$AF$157:$AF$306,0)),"")</f>
        <v/>
      </c>
      <c r="B230" s="35" t="str">
        <f>IFERROR(INDEX($R$157:$R$306,MATCH(ROWS($A$157:A230),$AF$157:$AF$306,0)),"")</f>
        <v/>
      </c>
      <c r="C230" s="35" t="str">
        <f>IFERROR(INDEX($S$157:$S$306,MATCH(ROWS($A$157:A230),$AF$157:$AF$306,0)),"")</f>
        <v/>
      </c>
      <c r="D230" s="35" t="str">
        <f>IFERROR(INDEX($T$157:$T$306,MATCH(ROWS($A$157:A230),$AF$157:$AF$306,0)),"")</f>
        <v/>
      </c>
      <c r="E230" s="35" t="str">
        <f>IFERROR(INDEX($U$157:$U$306,MATCH(ROWS($A$157:A230),$AF$157:$AF$306,0)),"")</f>
        <v/>
      </c>
      <c r="F230" s="35" t="str">
        <f>IFERROR(INDEX($V$157:$V$306,MATCH(ROWS($A$157:A230),$AF$157:$AF$306,0)),"")</f>
        <v/>
      </c>
      <c r="G230" s="35" t="str">
        <f>IFERROR(INDEX($W$157:$W$306,MATCH(ROWS($A$157:A230),$AF$157:$AF$306,0)),"")</f>
        <v/>
      </c>
      <c r="H230" s="35" t="str">
        <f>IFERROR(INDEX($X$157:$X$306,MATCH(ROWS($A$157:A230),$AF$157:$AF$306,0)),"")</f>
        <v/>
      </c>
      <c r="I230" s="35" t="str">
        <f>IFERROR(INDEX($Y$157:$Y$306,MATCH(ROWS($A$157:A230),$AF$157:$AF$306,0)),"")</f>
        <v/>
      </c>
      <c r="J230" s="35" t="str">
        <f>IFERROR(INDEX($Z$157:$Z$306,MATCH(ROWS($A$157:A230),$AF$157:$AF$306,0)),"")</f>
        <v/>
      </c>
      <c r="K230" s="35" t="str">
        <f>IFERROR(INDEX($AA$157:$AA$306,MATCH(ROWS($A$157:A230),$AF$157:$AF$306,0)),"")</f>
        <v/>
      </c>
      <c r="L230" s="35" t="str">
        <f>IFERROR(INDEX($AB$157:$AB$306,MATCH(ROWS($A$157:A230),$AF$157:$AF$306,0)),"")</f>
        <v/>
      </c>
      <c r="M230" s="35" t="str">
        <f>IFERROR(INDEX($AC$157:$AC$306,MATCH(ROWS($A$157:A230),$AF$157:$AF$306,0)),"")</f>
        <v/>
      </c>
      <c r="N230" s="35" t="str">
        <f>IFERROR(INDEX($AD$157:$AD$306,MATCH(ROWS($A$157:A230),$AF$157:$AF$306,0)),"")</f>
        <v/>
      </c>
      <c r="Q230" t="str">
        <f>T(JAN!B79)</f>
        <v>JOAQUIM TEMPORARIO</v>
      </c>
      <c r="R230" t="str">
        <f t="array" ref="R230">IF($Q230="","",_xlfn.TEXTJOIN(", ",TRUE,IF(JAN!$G79:$AK79="AT",JAN!$G$4:$AK$4,"")))</f>
        <v/>
      </c>
      <c r="S230" t="str">
        <f t="array" ref="S230">IF($Q230="","",_xlfn.TEXTJOIN(", ",TRUE,IF(FEV!$G79:$AK79="AT",FEV!$G$4:$AK$4,"")))</f>
        <v/>
      </c>
      <c r="T230" t="str">
        <f t="array" ref="T230">IF($Q230="","",_xlfn.TEXTJOIN(", ",TRUE,IF(MAR!$G79:$AK79="AT",MAR!$G$4:$AK$4,"")))</f>
        <v/>
      </c>
      <c r="U230" t="str">
        <f t="array" ref="U230">IF($Q230="","",_xlfn.TEXTJOIN(", ",TRUE,IF(ABR!$G79:$AK79="AT",ABR!$G$4:$AK$4,"")))</f>
        <v/>
      </c>
      <c r="V230" t="str">
        <f t="array" ref="V230">IF($Q230="","",_xlfn.TEXTJOIN(", ",TRUE,IF(MAI!$G79:$AK79="AT",MAI!$G$4:$AK$4,"")))</f>
        <v/>
      </c>
      <c r="W230" t="str">
        <f t="array" ref="W230">IF($Q230="","",_xlfn.TEXTJOIN(", ",TRUE,IF(JUN!$G79:$AK79="AT",JUN!$G$4:$AK$4,"")))</f>
        <v/>
      </c>
      <c r="X230" t="str">
        <f t="array" ref="X230">IF($Q230="","",_xlfn.TEXTJOIN(", ",TRUE,IF(JUL!$G79:$AK79="AT",JUL!$G$4:$AK$4,"")))</f>
        <v/>
      </c>
      <c r="Y230" t="str">
        <f t="array" ref="Y230">IF($Q230="","",_xlfn.TEXTJOIN(", ",TRUE,IF(AGO!$G79:$AK79="AT",AGO!$G$4:$AK$4,"")))</f>
        <v/>
      </c>
      <c r="Z230" t="str">
        <f t="array" ref="Z230">IF($Q230="","",_xlfn.TEXTJOIN(", ",TRUE,IF(SET!$G79:$AK79="AT",SET!$G$4:$AK$4,"")))</f>
        <v/>
      </c>
      <c r="AA230" t="str">
        <f t="array" ref="AA230">IF($Q230="","",_xlfn.TEXTJOIN(", ",TRUE,IF(OUT!$G79:$AK79="AT",OUT!$G$4:$AK$4,"")))</f>
        <v/>
      </c>
      <c r="AB230" t="str">
        <f t="array" ref="AB230">IF($Q230="","",_xlfn.TEXTJOIN(", ",TRUE,IF(NOV!$G79:$AK79="AT",NOV!$G$4:$AK$4,"")))</f>
        <v/>
      </c>
      <c r="AC230" t="str">
        <f t="array" ref="AC230">IF($Q230="","",_xlfn.TEXTJOIN(", ",TRUE,IF(DEZ!$G79:$AK79="AT",DEZ!$G$4:$AK$4,"")))</f>
        <v/>
      </c>
      <c r="AD230">
        <f>IF($Q230="","",COUNTIF(JAN!$G79:$AK79,"AT")+COUNTIF(FEV!$G79:$AK79,"AT")+COUNTIF(MAR!$G79:$AK79,"AT")+COUNTIF(ABR!$G79:$AK79,"AT")+COUNTIF(MAI!$G79:$AK79,"AT")+COUNTIF(JUN!$G79:$AK79,"AT")+COUNTIF(JUL!$G79:$AK79,"AT")+COUNTIF(AGO!$G79:$AK79,"AT")+COUNTIF(SET!$G79:$AK79,"AT")+COUNTIF(OUT!$G79:$AK79,"AT")+COUNTIF(NOV!$G79:$AK79,"AT")+COUNTIF(DEZ!$G79:$AK79,"AT"))</f>
        <v>0</v>
      </c>
      <c r="AF230" t="str">
        <f>IF(AND($Q230&lt;&gt;"",N($AD230)&gt;0),COUNT($AF$156:AF229)+1,"")</f>
        <v/>
      </c>
    </row>
    <row r="231" spans="1:32" hidden="1" outlineLevel="1" x14ac:dyDescent="0.25">
      <c r="A231" s="36" t="str">
        <f>IFERROR(INDEX($Q$157:$Q$306,MATCH(ROWS($A$157:A231),$AF$157:$AF$306,0)),"")</f>
        <v/>
      </c>
      <c r="B231" s="35" t="str">
        <f>IFERROR(INDEX($R$157:$R$306,MATCH(ROWS($A$157:A231),$AF$157:$AF$306,0)),"")</f>
        <v/>
      </c>
      <c r="C231" s="35" t="str">
        <f>IFERROR(INDEX($S$157:$S$306,MATCH(ROWS($A$157:A231),$AF$157:$AF$306,0)),"")</f>
        <v/>
      </c>
      <c r="D231" s="35" t="str">
        <f>IFERROR(INDEX($T$157:$T$306,MATCH(ROWS($A$157:A231),$AF$157:$AF$306,0)),"")</f>
        <v/>
      </c>
      <c r="E231" s="35" t="str">
        <f>IFERROR(INDEX($U$157:$U$306,MATCH(ROWS($A$157:A231),$AF$157:$AF$306,0)),"")</f>
        <v/>
      </c>
      <c r="F231" s="35" t="str">
        <f>IFERROR(INDEX($V$157:$V$306,MATCH(ROWS($A$157:A231),$AF$157:$AF$306,0)),"")</f>
        <v/>
      </c>
      <c r="G231" s="35" t="str">
        <f>IFERROR(INDEX($W$157:$W$306,MATCH(ROWS($A$157:A231),$AF$157:$AF$306,0)),"")</f>
        <v/>
      </c>
      <c r="H231" s="35" t="str">
        <f>IFERROR(INDEX($X$157:$X$306,MATCH(ROWS($A$157:A231),$AF$157:$AF$306,0)),"")</f>
        <v/>
      </c>
      <c r="I231" s="35" t="str">
        <f>IFERROR(INDEX($Y$157:$Y$306,MATCH(ROWS($A$157:A231),$AF$157:$AF$306,0)),"")</f>
        <v/>
      </c>
      <c r="J231" s="35" t="str">
        <f>IFERROR(INDEX($Z$157:$Z$306,MATCH(ROWS($A$157:A231),$AF$157:$AF$306,0)),"")</f>
        <v/>
      </c>
      <c r="K231" s="35" t="str">
        <f>IFERROR(INDEX($AA$157:$AA$306,MATCH(ROWS($A$157:A231),$AF$157:$AF$306,0)),"")</f>
        <v/>
      </c>
      <c r="L231" s="35" t="str">
        <f>IFERROR(INDEX($AB$157:$AB$306,MATCH(ROWS($A$157:A231),$AF$157:$AF$306,0)),"")</f>
        <v/>
      </c>
      <c r="M231" s="35" t="str">
        <f>IFERROR(INDEX($AC$157:$AC$306,MATCH(ROWS($A$157:A231),$AF$157:$AF$306,0)),"")</f>
        <v/>
      </c>
      <c r="N231" s="35" t="str">
        <f>IFERROR(INDEX($AD$157:$AD$306,MATCH(ROWS($A$157:A231),$AF$157:$AF$306,0)),"")</f>
        <v/>
      </c>
      <c r="Q231" t="str">
        <f>T(JAN!B80)</f>
        <v>RAFAEL TEMPORARIO</v>
      </c>
      <c r="R231" t="str">
        <f t="array" ref="R231">IF($Q231="","",_xlfn.TEXTJOIN(", ",TRUE,IF(JAN!$G80:$AK80="AT",JAN!$G$4:$AK$4,"")))</f>
        <v/>
      </c>
      <c r="S231" t="str">
        <f t="array" ref="S231">IF($Q231="","",_xlfn.TEXTJOIN(", ",TRUE,IF(FEV!$G80:$AK80="AT",FEV!$G$4:$AK$4,"")))</f>
        <v/>
      </c>
      <c r="T231" t="str">
        <f t="array" ref="T231">IF($Q231="","",_xlfn.TEXTJOIN(", ",TRUE,IF(MAR!$G80:$AK80="AT",MAR!$G$4:$AK$4,"")))</f>
        <v/>
      </c>
      <c r="U231" t="str">
        <f t="array" ref="U231">IF($Q231="","",_xlfn.TEXTJOIN(", ",TRUE,IF(ABR!$G80:$AK80="AT",ABR!$G$4:$AK$4,"")))</f>
        <v/>
      </c>
      <c r="V231" t="str">
        <f t="array" ref="V231">IF($Q231="","",_xlfn.TEXTJOIN(", ",TRUE,IF(MAI!$G80:$AK80="AT",MAI!$G$4:$AK$4,"")))</f>
        <v/>
      </c>
      <c r="W231" t="str">
        <f t="array" ref="W231">IF($Q231="","",_xlfn.TEXTJOIN(", ",TRUE,IF(JUN!$G80:$AK80="AT",JUN!$G$4:$AK$4,"")))</f>
        <v/>
      </c>
      <c r="X231" t="str">
        <f t="array" ref="X231">IF($Q231="","",_xlfn.TEXTJOIN(", ",TRUE,IF(JUL!$G80:$AK80="AT",JUL!$G$4:$AK$4,"")))</f>
        <v/>
      </c>
      <c r="Y231" t="str">
        <f t="array" ref="Y231">IF($Q231="","",_xlfn.TEXTJOIN(", ",TRUE,IF(AGO!$G80:$AK80="AT",AGO!$G$4:$AK$4,"")))</f>
        <v/>
      </c>
      <c r="Z231" t="str">
        <f t="array" ref="Z231">IF($Q231="","",_xlfn.TEXTJOIN(", ",TRUE,IF(SET!$G80:$AK80="AT",SET!$G$4:$AK$4,"")))</f>
        <v/>
      </c>
      <c r="AA231" t="str">
        <f t="array" ref="AA231">IF($Q231="","",_xlfn.TEXTJOIN(", ",TRUE,IF(OUT!$G80:$AK80="AT",OUT!$G$4:$AK$4,"")))</f>
        <v/>
      </c>
      <c r="AB231" t="str">
        <f t="array" ref="AB231">IF($Q231="","",_xlfn.TEXTJOIN(", ",TRUE,IF(NOV!$G80:$AK80="AT",NOV!$G$4:$AK$4,"")))</f>
        <v/>
      </c>
      <c r="AC231" t="str">
        <f t="array" ref="AC231">IF($Q231="","",_xlfn.TEXTJOIN(", ",TRUE,IF(DEZ!$G80:$AK80="AT",DEZ!$G$4:$AK$4,"")))</f>
        <v/>
      </c>
      <c r="AD231">
        <f>IF($Q231="","",COUNTIF(JAN!$G80:$AK80,"AT")+COUNTIF(FEV!$G80:$AK80,"AT")+COUNTIF(MAR!$G80:$AK80,"AT")+COUNTIF(ABR!$G80:$AK80,"AT")+COUNTIF(MAI!$G80:$AK80,"AT")+COUNTIF(JUN!$G80:$AK80,"AT")+COUNTIF(JUL!$G80:$AK80,"AT")+COUNTIF(AGO!$G80:$AK80,"AT")+COUNTIF(SET!$G80:$AK80,"AT")+COUNTIF(OUT!$G80:$AK80,"AT")+COUNTIF(NOV!$G80:$AK80,"AT")+COUNTIF(DEZ!$G80:$AK80,"AT"))</f>
        <v>0</v>
      </c>
      <c r="AF231" t="str">
        <f>IF(AND($Q231&lt;&gt;"",N($AD231)&gt;0),COUNT($AF$156:AF230)+1,"")</f>
        <v/>
      </c>
    </row>
    <row r="232" spans="1:32" hidden="1" outlineLevel="1" x14ac:dyDescent="0.25">
      <c r="A232" s="36" t="str">
        <f>IFERROR(INDEX($Q$157:$Q$306,MATCH(ROWS($A$157:A232),$AF$157:$AF$306,0)),"")</f>
        <v/>
      </c>
      <c r="B232" s="35" t="str">
        <f>IFERROR(INDEX($R$157:$R$306,MATCH(ROWS($A$157:A232),$AF$157:$AF$306,0)),"")</f>
        <v/>
      </c>
      <c r="C232" s="35" t="str">
        <f>IFERROR(INDEX($S$157:$S$306,MATCH(ROWS($A$157:A232),$AF$157:$AF$306,0)),"")</f>
        <v/>
      </c>
      <c r="D232" s="35" t="str">
        <f>IFERROR(INDEX($T$157:$T$306,MATCH(ROWS($A$157:A232),$AF$157:$AF$306,0)),"")</f>
        <v/>
      </c>
      <c r="E232" s="35" t="str">
        <f>IFERROR(INDEX($U$157:$U$306,MATCH(ROWS($A$157:A232),$AF$157:$AF$306,0)),"")</f>
        <v/>
      </c>
      <c r="F232" s="35" t="str">
        <f>IFERROR(INDEX($V$157:$V$306,MATCH(ROWS($A$157:A232),$AF$157:$AF$306,0)),"")</f>
        <v/>
      </c>
      <c r="G232" s="35" t="str">
        <f>IFERROR(INDEX($W$157:$W$306,MATCH(ROWS($A$157:A232),$AF$157:$AF$306,0)),"")</f>
        <v/>
      </c>
      <c r="H232" s="35" t="str">
        <f>IFERROR(INDEX($X$157:$X$306,MATCH(ROWS($A$157:A232),$AF$157:$AF$306,0)),"")</f>
        <v/>
      </c>
      <c r="I232" s="35" t="str">
        <f>IFERROR(INDEX($Y$157:$Y$306,MATCH(ROWS($A$157:A232),$AF$157:$AF$306,0)),"")</f>
        <v/>
      </c>
      <c r="J232" s="35" t="str">
        <f>IFERROR(INDEX($Z$157:$Z$306,MATCH(ROWS($A$157:A232),$AF$157:$AF$306,0)),"")</f>
        <v/>
      </c>
      <c r="K232" s="35" t="str">
        <f>IFERROR(INDEX($AA$157:$AA$306,MATCH(ROWS($A$157:A232),$AF$157:$AF$306,0)),"")</f>
        <v/>
      </c>
      <c r="L232" s="35" t="str">
        <f>IFERROR(INDEX($AB$157:$AB$306,MATCH(ROWS($A$157:A232),$AF$157:$AF$306,0)),"")</f>
        <v/>
      </c>
      <c r="M232" s="35" t="str">
        <f>IFERROR(INDEX($AC$157:$AC$306,MATCH(ROWS($A$157:A232),$AF$157:$AF$306,0)),"")</f>
        <v/>
      </c>
      <c r="N232" s="35" t="str">
        <f>IFERROR(INDEX($AD$157:$AD$306,MATCH(ROWS($A$157:A232),$AF$157:$AF$306,0)),"")</f>
        <v/>
      </c>
      <c r="Q232" t="str">
        <f>T(JAN!B81)</f>
        <v>FELIPE TEMPÓRARIO</v>
      </c>
      <c r="R232" t="str">
        <f t="array" ref="R232">IF($Q232="","",_xlfn.TEXTJOIN(", ",TRUE,IF(JAN!$G81:$AK81="AT",JAN!$G$4:$AK$4,"")))</f>
        <v/>
      </c>
      <c r="S232" t="str">
        <f t="array" ref="S232">IF($Q232="","",_xlfn.TEXTJOIN(", ",TRUE,IF(FEV!$G81:$AK81="AT",FEV!$G$4:$AK$4,"")))</f>
        <v/>
      </c>
      <c r="T232" t="str">
        <f t="array" ref="T232">IF($Q232="","",_xlfn.TEXTJOIN(", ",TRUE,IF(MAR!$G81:$AK81="AT",MAR!$G$4:$AK$4,"")))</f>
        <v/>
      </c>
      <c r="U232" t="str">
        <f t="array" ref="U232">IF($Q232="","",_xlfn.TEXTJOIN(", ",TRUE,IF(ABR!$G81:$AK81="AT",ABR!$G$4:$AK$4,"")))</f>
        <v/>
      </c>
      <c r="V232" t="str">
        <f t="array" ref="V232">IF($Q232="","",_xlfn.TEXTJOIN(", ",TRUE,IF(MAI!$G81:$AK81="AT",MAI!$G$4:$AK$4,"")))</f>
        <v/>
      </c>
      <c r="W232" t="str">
        <f t="array" ref="W232">IF($Q232="","",_xlfn.TEXTJOIN(", ",TRUE,IF(JUN!$G81:$AK81="AT",JUN!$G$4:$AK$4,"")))</f>
        <v/>
      </c>
      <c r="X232" t="str">
        <f t="array" ref="X232">IF($Q232="","",_xlfn.TEXTJOIN(", ",TRUE,IF(JUL!$G81:$AK81="AT",JUL!$G$4:$AK$4,"")))</f>
        <v/>
      </c>
      <c r="Y232" t="str">
        <f t="array" ref="Y232">IF($Q232="","",_xlfn.TEXTJOIN(", ",TRUE,IF(AGO!$G81:$AK81="AT",AGO!$G$4:$AK$4,"")))</f>
        <v/>
      </c>
      <c r="Z232" t="str">
        <f t="array" ref="Z232">IF($Q232="","",_xlfn.TEXTJOIN(", ",TRUE,IF(SET!$G81:$AK81="AT",SET!$G$4:$AK$4,"")))</f>
        <v/>
      </c>
      <c r="AA232" t="str">
        <f t="array" ref="AA232">IF($Q232="","",_xlfn.TEXTJOIN(", ",TRUE,IF(OUT!$G81:$AK81="AT",OUT!$G$4:$AK$4,"")))</f>
        <v/>
      </c>
      <c r="AB232" t="str">
        <f t="array" ref="AB232">IF($Q232="","",_xlfn.TEXTJOIN(", ",TRUE,IF(NOV!$G81:$AK81="AT",NOV!$G$4:$AK$4,"")))</f>
        <v/>
      </c>
      <c r="AC232" t="str">
        <f t="array" ref="AC232">IF($Q232="","",_xlfn.TEXTJOIN(", ",TRUE,IF(DEZ!$G81:$AK81="AT",DEZ!$G$4:$AK$4,"")))</f>
        <v/>
      </c>
      <c r="AD232">
        <f>IF($Q232="","",COUNTIF(JAN!$G81:$AK81,"AT")+COUNTIF(FEV!$G81:$AK81,"AT")+COUNTIF(MAR!$G81:$AK81,"AT")+COUNTIF(ABR!$G81:$AK81,"AT")+COUNTIF(MAI!$G81:$AK81,"AT")+COUNTIF(JUN!$G81:$AK81,"AT")+COUNTIF(JUL!$G81:$AK81,"AT")+COUNTIF(AGO!$G81:$AK81,"AT")+COUNTIF(SET!$G81:$AK81,"AT")+COUNTIF(OUT!$G81:$AK81,"AT")+COUNTIF(NOV!$G81:$AK81,"AT")+COUNTIF(DEZ!$G81:$AK81,"AT"))</f>
        <v>0</v>
      </c>
      <c r="AF232" t="str">
        <f>IF(AND($Q232&lt;&gt;"",N($AD232)&gt;0),COUNT($AF$156:AF231)+1,"")</f>
        <v/>
      </c>
    </row>
    <row r="233" spans="1:32" hidden="1" outlineLevel="1" x14ac:dyDescent="0.25">
      <c r="A233" s="36" t="str">
        <f>IFERROR(INDEX($Q$157:$Q$306,MATCH(ROWS($A$157:A233),$AF$157:$AF$306,0)),"")</f>
        <v/>
      </c>
      <c r="B233" s="35" t="str">
        <f>IFERROR(INDEX($R$157:$R$306,MATCH(ROWS($A$157:A233),$AF$157:$AF$306,0)),"")</f>
        <v/>
      </c>
      <c r="C233" s="35" t="str">
        <f>IFERROR(INDEX($S$157:$S$306,MATCH(ROWS($A$157:A233),$AF$157:$AF$306,0)),"")</f>
        <v/>
      </c>
      <c r="D233" s="35" t="str">
        <f>IFERROR(INDEX($T$157:$T$306,MATCH(ROWS($A$157:A233),$AF$157:$AF$306,0)),"")</f>
        <v/>
      </c>
      <c r="E233" s="35" t="str">
        <f>IFERROR(INDEX($U$157:$U$306,MATCH(ROWS($A$157:A233),$AF$157:$AF$306,0)),"")</f>
        <v/>
      </c>
      <c r="F233" s="35" t="str">
        <f>IFERROR(INDEX($V$157:$V$306,MATCH(ROWS($A$157:A233),$AF$157:$AF$306,0)),"")</f>
        <v/>
      </c>
      <c r="G233" s="35" t="str">
        <f>IFERROR(INDEX($W$157:$W$306,MATCH(ROWS($A$157:A233),$AF$157:$AF$306,0)),"")</f>
        <v/>
      </c>
      <c r="H233" s="35" t="str">
        <f>IFERROR(INDEX($X$157:$X$306,MATCH(ROWS($A$157:A233),$AF$157:$AF$306,0)),"")</f>
        <v/>
      </c>
      <c r="I233" s="35" t="str">
        <f>IFERROR(INDEX($Y$157:$Y$306,MATCH(ROWS($A$157:A233),$AF$157:$AF$306,0)),"")</f>
        <v/>
      </c>
      <c r="J233" s="35" t="str">
        <f>IFERROR(INDEX($Z$157:$Z$306,MATCH(ROWS($A$157:A233),$AF$157:$AF$306,0)),"")</f>
        <v/>
      </c>
      <c r="K233" s="35" t="str">
        <f>IFERROR(INDEX($AA$157:$AA$306,MATCH(ROWS($A$157:A233),$AF$157:$AF$306,0)),"")</f>
        <v/>
      </c>
      <c r="L233" s="35" t="str">
        <f>IFERROR(INDEX($AB$157:$AB$306,MATCH(ROWS($A$157:A233),$AF$157:$AF$306,0)),"")</f>
        <v/>
      </c>
      <c r="M233" s="35" t="str">
        <f>IFERROR(INDEX($AC$157:$AC$306,MATCH(ROWS($A$157:A233),$AF$157:$AF$306,0)),"")</f>
        <v/>
      </c>
      <c r="N233" s="35" t="str">
        <f>IFERROR(INDEX($AD$157:$AD$306,MATCH(ROWS($A$157:A233),$AF$157:$AF$306,0)),"")</f>
        <v/>
      </c>
      <c r="Q233" t="str">
        <f>T(JAN!B82)</f>
        <v>RENAN TEMPORARIO</v>
      </c>
      <c r="R233" t="str">
        <f t="array" ref="R233">IF($Q233="","",_xlfn.TEXTJOIN(", ",TRUE,IF(JAN!$G82:$AK82="AT",JAN!$G$4:$AK$4,"")))</f>
        <v/>
      </c>
      <c r="S233" t="str">
        <f t="array" ref="S233">IF($Q233="","",_xlfn.TEXTJOIN(", ",TRUE,IF(FEV!$G82:$AK82="AT",FEV!$G$4:$AK$4,"")))</f>
        <v/>
      </c>
      <c r="T233" t="str">
        <f t="array" ref="T233">IF($Q233="","",_xlfn.TEXTJOIN(", ",TRUE,IF(MAR!$G82:$AK82="AT",MAR!$G$4:$AK$4,"")))</f>
        <v/>
      </c>
      <c r="U233" t="str">
        <f t="array" ref="U233">IF($Q233="","",_xlfn.TEXTJOIN(", ",TRUE,IF(ABR!$G82:$AK82="AT",ABR!$G$4:$AK$4,"")))</f>
        <v/>
      </c>
      <c r="V233" t="str">
        <f t="array" ref="V233">IF($Q233="","",_xlfn.TEXTJOIN(", ",TRUE,IF(MAI!$G82:$AK82="AT",MAI!$G$4:$AK$4,"")))</f>
        <v/>
      </c>
      <c r="W233" t="str">
        <f t="array" ref="W233">IF($Q233="","",_xlfn.TEXTJOIN(", ",TRUE,IF(JUN!$G82:$AK82="AT",JUN!$G$4:$AK$4,"")))</f>
        <v/>
      </c>
      <c r="X233" t="str">
        <f t="array" ref="X233">IF($Q233="","",_xlfn.TEXTJOIN(", ",TRUE,IF(JUL!$G82:$AK82="AT",JUL!$G$4:$AK$4,"")))</f>
        <v/>
      </c>
      <c r="Y233" t="str">
        <f t="array" ref="Y233">IF($Q233="","",_xlfn.TEXTJOIN(", ",TRUE,IF(AGO!$G82:$AK82="AT",AGO!$G$4:$AK$4,"")))</f>
        <v/>
      </c>
      <c r="Z233" t="str">
        <f t="array" ref="Z233">IF($Q233="","",_xlfn.TEXTJOIN(", ",TRUE,IF(SET!$G82:$AK82="AT",SET!$G$4:$AK$4,"")))</f>
        <v/>
      </c>
      <c r="AA233" t="str">
        <f t="array" ref="AA233">IF($Q233="","",_xlfn.TEXTJOIN(", ",TRUE,IF(OUT!$G82:$AK82="AT",OUT!$G$4:$AK$4,"")))</f>
        <v/>
      </c>
      <c r="AB233" t="str">
        <f t="array" ref="AB233">IF($Q233="","",_xlfn.TEXTJOIN(", ",TRUE,IF(NOV!$G82:$AK82="AT",NOV!$G$4:$AK$4,"")))</f>
        <v/>
      </c>
      <c r="AC233" t="str">
        <f t="array" ref="AC233">IF($Q233="","",_xlfn.TEXTJOIN(", ",TRUE,IF(DEZ!$G82:$AK82="AT",DEZ!$G$4:$AK$4,"")))</f>
        <v/>
      </c>
      <c r="AD233">
        <f>IF($Q233="","",COUNTIF(JAN!$G82:$AK82,"AT")+COUNTIF(FEV!$G82:$AK82,"AT")+COUNTIF(MAR!$G82:$AK82,"AT")+COUNTIF(ABR!$G82:$AK82,"AT")+COUNTIF(MAI!$G82:$AK82,"AT")+COUNTIF(JUN!$G82:$AK82,"AT")+COUNTIF(JUL!$G82:$AK82,"AT")+COUNTIF(AGO!$G82:$AK82,"AT")+COUNTIF(SET!$G82:$AK82,"AT")+COUNTIF(OUT!$G82:$AK82,"AT")+COUNTIF(NOV!$G82:$AK82,"AT")+COUNTIF(DEZ!$G82:$AK82,"AT"))</f>
        <v>0</v>
      </c>
      <c r="AF233" t="str">
        <f>IF(AND($Q233&lt;&gt;"",N($AD233)&gt;0),COUNT($AF$156:AF232)+1,"")</f>
        <v/>
      </c>
    </row>
    <row r="234" spans="1:32" hidden="1" outlineLevel="1" x14ac:dyDescent="0.25">
      <c r="A234" s="36" t="str">
        <f>IFERROR(INDEX($Q$157:$Q$306,MATCH(ROWS($A$157:A234),$AF$157:$AF$306,0)),"")</f>
        <v/>
      </c>
      <c r="B234" s="35" t="str">
        <f>IFERROR(INDEX($R$157:$R$306,MATCH(ROWS($A$157:A234),$AF$157:$AF$306,0)),"")</f>
        <v/>
      </c>
      <c r="C234" s="35" t="str">
        <f>IFERROR(INDEX($S$157:$S$306,MATCH(ROWS($A$157:A234),$AF$157:$AF$306,0)),"")</f>
        <v/>
      </c>
      <c r="D234" s="35" t="str">
        <f>IFERROR(INDEX($T$157:$T$306,MATCH(ROWS($A$157:A234),$AF$157:$AF$306,0)),"")</f>
        <v/>
      </c>
      <c r="E234" s="35" t="str">
        <f>IFERROR(INDEX($U$157:$U$306,MATCH(ROWS($A$157:A234),$AF$157:$AF$306,0)),"")</f>
        <v/>
      </c>
      <c r="F234" s="35" t="str">
        <f>IFERROR(INDEX($V$157:$V$306,MATCH(ROWS($A$157:A234),$AF$157:$AF$306,0)),"")</f>
        <v/>
      </c>
      <c r="G234" s="35" t="str">
        <f>IFERROR(INDEX($W$157:$W$306,MATCH(ROWS($A$157:A234),$AF$157:$AF$306,0)),"")</f>
        <v/>
      </c>
      <c r="H234" s="35" t="str">
        <f>IFERROR(INDEX($X$157:$X$306,MATCH(ROWS($A$157:A234),$AF$157:$AF$306,0)),"")</f>
        <v/>
      </c>
      <c r="I234" s="35" t="str">
        <f>IFERROR(INDEX($Y$157:$Y$306,MATCH(ROWS($A$157:A234),$AF$157:$AF$306,0)),"")</f>
        <v/>
      </c>
      <c r="J234" s="35" t="str">
        <f>IFERROR(INDEX($Z$157:$Z$306,MATCH(ROWS($A$157:A234),$AF$157:$AF$306,0)),"")</f>
        <v/>
      </c>
      <c r="K234" s="35" t="str">
        <f>IFERROR(INDEX($AA$157:$AA$306,MATCH(ROWS($A$157:A234),$AF$157:$AF$306,0)),"")</f>
        <v/>
      </c>
      <c r="L234" s="35" t="str">
        <f>IFERROR(INDEX($AB$157:$AB$306,MATCH(ROWS($A$157:A234),$AF$157:$AF$306,0)),"")</f>
        <v/>
      </c>
      <c r="M234" s="35" t="str">
        <f>IFERROR(INDEX($AC$157:$AC$306,MATCH(ROWS($A$157:A234),$AF$157:$AF$306,0)),"")</f>
        <v/>
      </c>
      <c r="N234" s="35" t="str">
        <f>IFERROR(INDEX($AD$157:$AD$306,MATCH(ROWS($A$157:A234),$AF$157:$AF$306,0)),"")</f>
        <v/>
      </c>
      <c r="Q234" t="str">
        <f>T(JAN!B83)</f>
        <v>VILSON TEMPORARIO</v>
      </c>
      <c r="R234" t="str">
        <f t="array" ref="R234">IF($Q234="","",_xlfn.TEXTJOIN(", ",TRUE,IF(JAN!$G83:$AK83="AT",JAN!$G$4:$AK$4,"")))</f>
        <v/>
      </c>
      <c r="S234" t="str">
        <f t="array" ref="S234">IF($Q234="","",_xlfn.TEXTJOIN(", ",TRUE,IF(FEV!$G83:$AK83="AT",FEV!$G$4:$AK$4,"")))</f>
        <v/>
      </c>
      <c r="T234" t="str">
        <f t="array" ref="T234">IF($Q234="","",_xlfn.TEXTJOIN(", ",TRUE,IF(MAR!$G83:$AK83="AT",MAR!$G$4:$AK$4,"")))</f>
        <v/>
      </c>
      <c r="U234" t="str">
        <f t="array" ref="U234">IF($Q234="","",_xlfn.TEXTJOIN(", ",TRUE,IF(ABR!$G83:$AK83="AT",ABR!$G$4:$AK$4,"")))</f>
        <v/>
      </c>
      <c r="V234" t="str">
        <f t="array" ref="V234">IF($Q234="","",_xlfn.TEXTJOIN(", ",TRUE,IF(MAI!$G83:$AK83="AT",MAI!$G$4:$AK$4,"")))</f>
        <v/>
      </c>
      <c r="W234" t="str">
        <f t="array" ref="W234">IF($Q234="","",_xlfn.TEXTJOIN(", ",TRUE,IF(JUN!$G83:$AK83="AT",JUN!$G$4:$AK$4,"")))</f>
        <v/>
      </c>
      <c r="X234" t="str">
        <f t="array" ref="X234">IF($Q234="","",_xlfn.TEXTJOIN(", ",TRUE,IF(JUL!$G83:$AK83="AT",JUL!$G$4:$AK$4,"")))</f>
        <v/>
      </c>
      <c r="Y234" t="str">
        <f t="array" ref="Y234">IF($Q234="","",_xlfn.TEXTJOIN(", ",TRUE,IF(AGO!$G83:$AK83="AT",AGO!$G$4:$AK$4,"")))</f>
        <v/>
      </c>
      <c r="Z234" t="str">
        <f t="array" ref="Z234">IF($Q234="","",_xlfn.TEXTJOIN(", ",TRUE,IF(SET!$G83:$AK83="AT",SET!$G$4:$AK$4,"")))</f>
        <v/>
      </c>
      <c r="AA234" t="str">
        <f t="array" ref="AA234">IF($Q234="","",_xlfn.TEXTJOIN(", ",TRUE,IF(OUT!$G83:$AK83="AT",OUT!$G$4:$AK$4,"")))</f>
        <v/>
      </c>
      <c r="AB234" t="str">
        <f t="array" ref="AB234">IF($Q234="","",_xlfn.TEXTJOIN(", ",TRUE,IF(NOV!$G83:$AK83="AT",NOV!$G$4:$AK$4,"")))</f>
        <v/>
      </c>
      <c r="AC234" t="str">
        <f t="array" ref="AC234">IF($Q234="","",_xlfn.TEXTJOIN(", ",TRUE,IF(DEZ!$G83:$AK83="AT",DEZ!$G$4:$AK$4,"")))</f>
        <v/>
      </c>
      <c r="AD234">
        <f>IF($Q234="","",COUNTIF(JAN!$G83:$AK83,"AT")+COUNTIF(FEV!$G83:$AK83,"AT")+COUNTIF(MAR!$G83:$AK83,"AT")+COUNTIF(ABR!$G83:$AK83,"AT")+COUNTIF(MAI!$G83:$AK83,"AT")+COUNTIF(JUN!$G83:$AK83,"AT")+COUNTIF(JUL!$G83:$AK83,"AT")+COUNTIF(AGO!$G83:$AK83,"AT")+COUNTIF(SET!$G83:$AK83,"AT")+COUNTIF(OUT!$G83:$AK83,"AT")+COUNTIF(NOV!$G83:$AK83,"AT")+COUNTIF(DEZ!$G83:$AK83,"AT"))</f>
        <v>0</v>
      </c>
      <c r="AF234" t="str">
        <f>IF(AND($Q234&lt;&gt;"",N($AD234)&gt;0),COUNT($AF$156:AF233)+1,"")</f>
        <v/>
      </c>
    </row>
    <row r="235" spans="1:32" hidden="1" outlineLevel="1" x14ac:dyDescent="0.25">
      <c r="A235" s="36" t="str">
        <f>IFERROR(INDEX($Q$157:$Q$306,MATCH(ROWS($A$157:A235),$AF$157:$AF$306,0)),"")</f>
        <v/>
      </c>
      <c r="B235" s="35" t="str">
        <f>IFERROR(INDEX($R$157:$R$306,MATCH(ROWS($A$157:A235),$AF$157:$AF$306,0)),"")</f>
        <v/>
      </c>
      <c r="C235" s="35" t="str">
        <f>IFERROR(INDEX($S$157:$S$306,MATCH(ROWS($A$157:A235),$AF$157:$AF$306,0)),"")</f>
        <v/>
      </c>
      <c r="D235" s="35" t="str">
        <f>IFERROR(INDEX($T$157:$T$306,MATCH(ROWS($A$157:A235),$AF$157:$AF$306,0)),"")</f>
        <v/>
      </c>
      <c r="E235" s="35" t="str">
        <f>IFERROR(INDEX($U$157:$U$306,MATCH(ROWS($A$157:A235),$AF$157:$AF$306,0)),"")</f>
        <v/>
      </c>
      <c r="F235" s="35" t="str">
        <f>IFERROR(INDEX($V$157:$V$306,MATCH(ROWS($A$157:A235),$AF$157:$AF$306,0)),"")</f>
        <v/>
      </c>
      <c r="G235" s="35" t="str">
        <f>IFERROR(INDEX($W$157:$W$306,MATCH(ROWS($A$157:A235),$AF$157:$AF$306,0)),"")</f>
        <v/>
      </c>
      <c r="H235" s="35" t="str">
        <f>IFERROR(INDEX($X$157:$X$306,MATCH(ROWS($A$157:A235),$AF$157:$AF$306,0)),"")</f>
        <v/>
      </c>
      <c r="I235" s="35" t="str">
        <f>IFERROR(INDEX($Y$157:$Y$306,MATCH(ROWS($A$157:A235),$AF$157:$AF$306,0)),"")</f>
        <v/>
      </c>
      <c r="J235" s="35" t="str">
        <f>IFERROR(INDEX($Z$157:$Z$306,MATCH(ROWS($A$157:A235),$AF$157:$AF$306,0)),"")</f>
        <v/>
      </c>
      <c r="K235" s="35" t="str">
        <f>IFERROR(INDEX($AA$157:$AA$306,MATCH(ROWS($A$157:A235),$AF$157:$AF$306,0)),"")</f>
        <v/>
      </c>
      <c r="L235" s="35" t="str">
        <f>IFERROR(INDEX($AB$157:$AB$306,MATCH(ROWS($A$157:A235),$AF$157:$AF$306,0)),"")</f>
        <v/>
      </c>
      <c r="M235" s="35" t="str">
        <f>IFERROR(INDEX($AC$157:$AC$306,MATCH(ROWS($A$157:A235),$AF$157:$AF$306,0)),"")</f>
        <v/>
      </c>
      <c r="N235" s="35" t="str">
        <f>IFERROR(INDEX($AD$157:$AD$306,MATCH(ROWS($A$157:A235),$AF$157:$AF$306,0)),"")</f>
        <v/>
      </c>
      <c r="Q235" t="str">
        <f>T(JAN!B84)</f>
        <v>MARCO TEMPORARIO</v>
      </c>
      <c r="R235" t="str">
        <f t="array" ref="R235">IF($Q235="","",_xlfn.TEXTJOIN(", ",TRUE,IF(JAN!$G84:$AK84="AT",JAN!$G$4:$AK$4,"")))</f>
        <v/>
      </c>
      <c r="S235" t="str">
        <f t="array" ref="S235">IF($Q235="","",_xlfn.TEXTJOIN(", ",TRUE,IF(FEV!$G84:$AK84="AT",FEV!$G$4:$AK$4,"")))</f>
        <v/>
      </c>
      <c r="T235" t="str">
        <f t="array" ref="T235">IF($Q235="","",_xlfn.TEXTJOIN(", ",TRUE,IF(MAR!$G84:$AK84="AT",MAR!$G$4:$AK$4,"")))</f>
        <v/>
      </c>
      <c r="U235" t="str">
        <f t="array" ref="U235">IF($Q235="","",_xlfn.TEXTJOIN(", ",TRUE,IF(ABR!$G84:$AK84="AT",ABR!$G$4:$AK$4,"")))</f>
        <v/>
      </c>
      <c r="V235" t="str">
        <f t="array" ref="V235">IF($Q235="","",_xlfn.TEXTJOIN(", ",TRUE,IF(MAI!$G84:$AK84="AT",MAI!$G$4:$AK$4,"")))</f>
        <v/>
      </c>
      <c r="W235" t="str">
        <f t="array" ref="W235">IF($Q235="","",_xlfn.TEXTJOIN(", ",TRUE,IF(JUN!$G84:$AK84="AT",JUN!$G$4:$AK$4,"")))</f>
        <v/>
      </c>
      <c r="X235" t="str">
        <f t="array" ref="X235">IF($Q235="","",_xlfn.TEXTJOIN(", ",TRUE,IF(JUL!$G84:$AK84="AT",JUL!$G$4:$AK$4,"")))</f>
        <v/>
      </c>
      <c r="Y235" t="str">
        <f t="array" ref="Y235">IF($Q235="","",_xlfn.TEXTJOIN(", ",TRUE,IF(AGO!$G84:$AK84="AT",AGO!$G$4:$AK$4,"")))</f>
        <v/>
      </c>
      <c r="Z235" t="str">
        <f t="array" ref="Z235">IF($Q235="","",_xlfn.TEXTJOIN(", ",TRUE,IF(SET!$G84:$AK84="AT",SET!$G$4:$AK$4,"")))</f>
        <v/>
      </c>
      <c r="AA235" t="str">
        <f t="array" ref="AA235">IF($Q235="","",_xlfn.TEXTJOIN(", ",TRUE,IF(OUT!$G84:$AK84="AT",OUT!$G$4:$AK$4,"")))</f>
        <v/>
      </c>
      <c r="AB235" t="str">
        <f t="array" ref="AB235">IF($Q235="","",_xlfn.TEXTJOIN(", ",TRUE,IF(NOV!$G84:$AK84="AT",NOV!$G$4:$AK$4,"")))</f>
        <v/>
      </c>
      <c r="AC235" t="str">
        <f t="array" ref="AC235">IF($Q235="","",_xlfn.TEXTJOIN(", ",TRUE,IF(DEZ!$G84:$AK84="AT",DEZ!$G$4:$AK$4,"")))</f>
        <v/>
      </c>
      <c r="AD235">
        <f>IF($Q235="","",COUNTIF(JAN!$G84:$AK84,"AT")+COUNTIF(FEV!$G84:$AK84,"AT")+COUNTIF(MAR!$G84:$AK84,"AT")+COUNTIF(ABR!$G84:$AK84,"AT")+COUNTIF(MAI!$G84:$AK84,"AT")+COUNTIF(JUN!$G84:$AK84,"AT")+COUNTIF(JUL!$G84:$AK84,"AT")+COUNTIF(AGO!$G84:$AK84,"AT")+COUNTIF(SET!$G84:$AK84,"AT")+COUNTIF(OUT!$G84:$AK84,"AT")+COUNTIF(NOV!$G84:$AK84,"AT")+COUNTIF(DEZ!$G84:$AK84,"AT"))</f>
        <v>0</v>
      </c>
      <c r="AF235" t="str">
        <f>IF(AND($Q235&lt;&gt;"",N($AD235)&gt;0),COUNT($AF$156:AF234)+1,"")</f>
        <v/>
      </c>
    </row>
    <row r="236" spans="1:32" hidden="1" outlineLevel="1" x14ac:dyDescent="0.25">
      <c r="A236" s="36" t="str">
        <f>IFERROR(INDEX($Q$157:$Q$306,MATCH(ROWS($A$157:A236),$AF$157:$AF$306,0)),"")</f>
        <v/>
      </c>
      <c r="B236" s="35" t="str">
        <f>IFERROR(INDEX($R$157:$R$306,MATCH(ROWS($A$157:A236),$AF$157:$AF$306,0)),"")</f>
        <v/>
      </c>
      <c r="C236" s="35" t="str">
        <f>IFERROR(INDEX($S$157:$S$306,MATCH(ROWS($A$157:A236),$AF$157:$AF$306,0)),"")</f>
        <v/>
      </c>
      <c r="D236" s="35" t="str">
        <f>IFERROR(INDEX($T$157:$T$306,MATCH(ROWS($A$157:A236),$AF$157:$AF$306,0)),"")</f>
        <v/>
      </c>
      <c r="E236" s="35" t="str">
        <f>IFERROR(INDEX($U$157:$U$306,MATCH(ROWS($A$157:A236),$AF$157:$AF$306,0)),"")</f>
        <v/>
      </c>
      <c r="F236" s="35" t="str">
        <f>IFERROR(INDEX($V$157:$V$306,MATCH(ROWS($A$157:A236),$AF$157:$AF$306,0)),"")</f>
        <v/>
      </c>
      <c r="G236" s="35" t="str">
        <f>IFERROR(INDEX($W$157:$W$306,MATCH(ROWS($A$157:A236),$AF$157:$AF$306,0)),"")</f>
        <v/>
      </c>
      <c r="H236" s="35" t="str">
        <f>IFERROR(INDEX($X$157:$X$306,MATCH(ROWS($A$157:A236),$AF$157:$AF$306,0)),"")</f>
        <v/>
      </c>
      <c r="I236" s="35" t="str">
        <f>IFERROR(INDEX($Y$157:$Y$306,MATCH(ROWS($A$157:A236),$AF$157:$AF$306,0)),"")</f>
        <v/>
      </c>
      <c r="J236" s="35" t="str">
        <f>IFERROR(INDEX($Z$157:$Z$306,MATCH(ROWS($A$157:A236),$AF$157:$AF$306,0)),"")</f>
        <v/>
      </c>
      <c r="K236" s="35" t="str">
        <f>IFERROR(INDEX($AA$157:$AA$306,MATCH(ROWS($A$157:A236),$AF$157:$AF$306,0)),"")</f>
        <v/>
      </c>
      <c r="L236" s="35" t="str">
        <f>IFERROR(INDEX($AB$157:$AB$306,MATCH(ROWS($A$157:A236),$AF$157:$AF$306,0)),"")</f>
        <v/>
      </c>
      <c r="M236" s="35" t="str">
        <f>IFERROR(INDEX($AC$157:$AC$306,MATCH(ROWS($A$157:A236),$AF$157:$AF$306,0)),"")</f>
        <v/>
      </c>
      <c r="N236" s="35" t="str">
        <f>IFERROR(INDEX($AD$157:$AD$306,MATCH(ROWS($A$157:A236),$AF$157:$AF$306,0)),"")</f>
        <v/>
      </c>
      <c r="Q236" t="str">
        <f>T(JAN!B85)</f>
        <v>MARCELO CUSTORIO 313401</v>
      </c>
      <c r="R236" t="str">
        <f t="array" ref="R236">IF($Q236="","",_xlfn.TEXTJOIN(", ",TRUE,IF(JAN!$G85:$AK85="AT",JAN!$G$4:$AK$4,"")))</f>
        <v/>
      </c>
      <c r="S236" t="str">
        <f t="array" ref="S236">IF($Q236="","",_xlfn.TEXTJOIN(", ",TRUE,IF(FEV!$G85:$AK85="AT",FEV!$G$4:$AK$4,"")))</f>
        <v/>
      </c>
      <c r="T236" t="str">
        <f t="array" ref="T236">IF($Q236="","",_xlfn.TEXTJOIN(", ",TRUE,IF(MAR!$G85:$AK85="AT",MAR!$G$4:$AK$4,"")))</f>
        <v/>
      </c>
      <c r="U236" t="str">
        <f t="array" ref="U236">IF($Q236="","",_xlfn.TEXTJOIN(", ",TRUE,IF(ABR!$G85:$AK85="AT",ABR!$G$4:$AK$4,"")))</f>
        <v/>
      </c>
      <c r="V236" t="str">
        <f t="array" ref="V236">IF($Q236="","",_xlfn.TEXTJOIN(", ",TRUE,IF(MAI!$G85:$AK85="AT",MAI!$G$4:$AK$4,"")))</f>
        <v/>
      </c>
      <c r="W236" t="str">
        <f t="array" ref="W236">IF($Q236="","",_xlfn.TEXTJOIN(", ",TRUE,IF(JUN!$G85:$AK85="AT",JUN!$G$4:$AK$4,"")))</f>
        <v/>
      </c>
      <c r="X236" t="str">
        <f t="array" ref="X236">IF($Q236="","",_xlfn.TEXTJOIN(", ",TRUE,IF(JUL!$G85:$AK85="AT",JUL!$G$4:$AK$4,"")))</f>
        <v/>
      </c>
      <c r="Y236" t="str">
        <f t="array" ref="Y236">IF($Q236="","",_xlfn.TEXTJOIN(", ",TRUE,IF(AGO!$G85:$AK85="AT",AGO!$G$4:$AK$4,"")))</f>
        <v/>
      </c>
      <c r="Z236" t="str">
        <f t="array" ref="Z236">IF($Q236="","",_xlfn.TEXTJOIN(", ",TRUE,IF(SET!$G85:$AK85="AT",SET!$G$4:$AK$4,"")))</f>
        <v/>
      </c>
      <c r="AA236" t="str">
        <f t="array" ref="AA236">IF($Q236="","",_xlfn.TEXTJOIN(", ",TRUE,IF(OUT!$G85:$AK85="AT",OUT!$G$4:$AK$4,"")))</f>
        <v/>
      </c>
      <c r="AB236" t="str">
        <f t="array" ref="AB236">IF($Q236="","",_xlfn.TEXTJOIN(", ",TRUE,IF(NOV!$G85:$AK85="AT",NOV!$G$4:$AK$4,"")))</f>
        <v/>
      </c>
      <c r="AC236" t="str">
        <f t="array" ref="AC236">IF($Q236="","",_xlfn.TEXTJOIN(", ",TRUE,IF(DEZ!$G85:$AK85="AT",DEZ!$G$4:$AK$4,"")))</f>
        <v/>
      </c>
      <c r="AD236">
        <f>IF($Q236="","",COUNTIF(JAN!$G85:$AK85,"AT")+COUNTIF(FEV!$G85:$AK85,"AT")+COUNTIF(MAR!$G85:$AK85,"AT")+COUNTIF(ABR!$G85:$AK85,"AT")+COUNTIF(MAI!$G85:$AK85,"AT")+COUNTIF(JUN!$G85:$AK85,"AT")+COUNTIF(JUL!$G85:$AK85,"AT")+COUNTIF(AGO!$G85:$AK85,"AT")+COUNTIF(SET!$G85:$AK85,"AT")+COUNTIF(OUT!$G85:$AK85,"AT")+COUNTIF(NOV!$G85:$AK85,"AT")+COUNTIF(DEZ!$G85:$AK85,"AT"))</f>
        <v>0</v>
      </c>
      <c r="AF236" t="str">
        <f>IF(AND($Q236&lt;&gt;"",N($AD236)&gt;0),COUNT($AF$156:AF235)+1,"")</f>
        <v/>
      </c>
    </row>
    <row r="237" spans="1:32" hidden="1" outlineLevel="1" x14ac:dyDescent="0.25">
      <c r="A237" s="36" t="str">
        <f>IFERROR(INDEX($Q$157:$Q$306,MATCH(ROWS($A$157:A237),$AF$157:$AF$306,0)),"")</f>
        <v/>
      </c>
      <c r="B237" s="35" t="str">
        <f>IFERROR(INDEX($R$157:$R$306,MATCH(ROWS($A$157:A237),$AF$157:$AF$306,0)),"")</f>
        <v/>
      </c>
      <c r="C237" s="35" t="str">
        <f>IFERROR(INDEX($S$157:$S$306,MATCH(ROWS($A$157:A237),$AF$157:$AF$306,0)),"")</f>
        <v/>
      </c>
      <c r="D237" s="35" t="str">
        <f>IFERROR(INDEX($T$157:$T$306,MATCH(ROWS($A$157:A237),$AF$157:$AF$306,0)),"")</f>
        <v/>
      </c>
      <c r="E237" s="35" t="str">
        <f>IFERROR(INDEX($U$157:$U$306,MATCH(ROWS($A$157:A237),$AF$157:$AF$306,0)),"")</f>
        <v/>
      </c>
      <c r="F237" s="35" t="str">
        <f>IFERROR(INDEX($V$157:$V$306,MATCH(ROWS($A$157:A237),$AF$157:$AF$306,0)),"")</f>
        <v/>
      </c>
      <c r="G237" s="35" t="str">
        <f>IFERROR(INDEX($W$157:$W$306,MATCH(ROWS($A$157:A237),$AF$157:$AF$306,0)),"")</f>
        <v/>
      </c>
      <c r="H237" s="35" t="str">
        <f>IFERROR(INDEX($X$157:$X$306,MATCH(ROWS($A$157:A237),$AF$157:$AF$306,0)),"")</f>
        <v/>
      </c>
      <c r="I237" s="35" t="str">
        <f>IFERROR(INDEX($Y$157:$Y$306,MATCH(ROWS($A$157:A237),$AF$157:$AF$306,0)),"")</f>
        <v/>
      </c>
      <c r="J237" s="35" t="str">
        <f>IFERROR(INDEX($Z$157:$Z$306,MATCH(ROWS($A$157:A237),$AF$157:$AF$306,0)),"")</f>
        <v/>
      </c>
      <c r="K237" s="35" t="str">
        <f>IFERROR(INDEX($AA$157:$AA$306,MATCH(ROWS($A$157:A237),$AF$157:$AF$306,0)),"")</f>
        <v/>
      </c>
      <c r="L237" s="35" t="str">
        <f>IFERROR(INDEX($AB$157:$AB$306,MATCH(ROWS($A$157:A237),$AF$157:$AF$306,0)),"")</f>
        <v/>
      </c>
      <c r="M237" s="35" t="str">
        <f>IFERROR(INDEX($AC$157:$AC$306,MATCH(ROWS($A$157:A237),$AF$157:$AF$306,0)),"")</f>
        <v/>
      </c>
      <c r="N237" s="35" t="str">
        <f>IFERROR(INDEX($AD$157:$AD$306,MATCH(ROWS($A$157:A237),$AF$157:$AF$306,0)),"")</f>
        <v/>
      </c>
      <c r="Q237" t="str">
        <f>T(JAN!B86)</f>
        <v>TAYLOR TEMPORÁRIO</v>
      </c>
      <c r="R237" t="str">
        <f t="array" ref="R237">IF($Q237="","",_xlfn.TEXTJOIN(", ",TRUE,IF(JAN!$G86:$AK86="AT",JAN!$G$4:$AK$4,"")))</f>
        <v/>
      </c>
      <c r="S237" t="str">
        <f t="array" ref="S237">IF($Q237="","",_xlfn.TEXTJOIN(", ",TRUE,IF(FEV!$G86:$AK86="AT",FEV!$G$4:$AK$4,"")))</f>
        <v/>
      </c>
      <c r="T237" t="str">
        <f t="array" ref="T237">IF($Q237="","",_xlfn.TEXTJOIN(", ",TRUE,IF(MAR!$G86:$AK86="AT",MAR!$G$4:$AK$4,"")))</f>
        <v/>
      </c>
      <c r="U237" t="str">
        <f t="array" ref="U237">IF($Q237="","",_xlfn.TEXTJOIN(", ",TRUE,IF(ABR!$G86:$AK86="AT",ABR!$G$4:$AK$4,"")))</f>
        <v/>
      </c>
      <c r="V237" t="str">
        <f t="array" ref="V237">IF($Q237="","",_xlfn.TEXTJOIN(", ",TRUE,IF(MAI!$G86:$AK86="AT",MAI!$G$4:$AK$4,"")))</f>
        <v/>
      </c>
      <c r="W237" t="str">
        <f t="array" ref="W237">IF($Q237="","",_xlfn.TEXTJOIN(", ",TRUE,IF(JUN!$G86:$AK86="AT",JUN!$G$4:$AK$4,"")))</f>
        <v/>
      </c>
      <c r="X237" t="str">
        <f t="array" ref="X237">IF($Q237="","",_xlfn.TEXTJOIN(", ",TRUE,IF(JUL!$G86:$AK86="AT",JUL!$G$4:$AK$4,"")))</f>
        <v/>
      </c>
      <c r="Y237" t="str">
        <f t="array" ref="Y237">IF($Q237="","",_xlfn.TEXTJOIN(", ",TRUE,IF(AGO!$G86:$AK86="AT",AGO!$G$4:$AK$4,"")))</f>
        <v/>
      </c>
      <c r="Z237" t="str">
        <f t="array" ref="Z237">IF($Q237="","",_xlfn.TEXTJOIN(", ",TRUE,IF(SET!$G86:$AK86="AT",SET!$G$4:$AK$4,"")))</f>
        <v/>
      </c>
      <c r="AA237" t="str">
        <f t="array" ref="AA237">IF($Q237="","",_xlfn.TEXTJOIN(", ",TRUE,IF(OUT!$G86:$AK86="AT",OUT!$G$4:$AK$4,"")))</f>
        <v/>
      </c>
      <c r="AB237" t="str">
        <f t="array" ref="AB237">IF($Q237="","",_xlfn.TEXTJOIN(", ",TRUE,IF(NOV!$G86:$AK86="AT",NOV!$G$4:$AK$4,"")))</f>
        <v/>
      </c>
      <c r="AC237" t="str">
        <f t="array" ref="AC237">IF($Q237="","",_xlfn.TEXTJOIN(", ",TRUE,IF(DEZ!$G86:$AK86="AT",DEZ!$G$4:$AK$4,"")))</f>
        <v/>
      </c>
      <c r="AD237">
        <f>IF($Q237="","",COUNTIF(JAN!$G86:$AK86,"AT")+COUNTIF(FEV!$G86:$AK86,"AT")+COUNTIF(MAR!$G86:$AK86,"AT")+COUNTIF(ABR!$G86:$AK86,"AT")+COUNTIF(MAI!$G86:$AK86,"AT")+COUNTIF(JUN!$G86:$AK86,"AT")+COUNTIF(JUL!$G86:$AK86,"AT")+COUNTIF(AGO!$G86:$AK86,"AT")+COUNTIF(SET!$G86:$AK86,"AT")+COUNTIF(OUT!$G86:$AK86,"AT")+COUNTIF(NOV!$G86:$AK86,"AT")+COUNTIF(DEZ!$G86:$AK86,"AT"))</f>
        <v>0</v>
      </c>
      <c r="AF237" t="str">
        <f>IF(AND($Q237&lt;&gt;"",N($AD237)&gt;0),COUNT($AF$156:AF236)+1,"")</f>
        <v/>
      </c>
    </row>
    <row r="238" spans="1:32" hidden="1" outlineLevel="1" x14ac:dyDescent="0.25">
      <c r="A238" s="36" t="str">
        <f>IFERROR(INDEX($Q$157:$Q$306,MATCH(ROWS($A$157:A238),$AF$157:$AF$306,0)),"")</f>
        <v/>
      </c>
      <c r="B238" s="35" t="str">
        <f>IFERROR(INDEX($R$157:$R$306,MATCH(ROWS($A$157:A238),$AF$157:$AF$306,0)),"")</f>
        <v/>
      </c>
      <c r="C238" s="35" t="str">
        <f>IFERROR(INDEX($S$157:$S$306,MATCH(ROWS($A$157:A238),$AF$157:$AF$306,0)),"")</f>
        <v/>
      </c>
      <c r="D238" s="35" t="str">
        <f>IFERROR(INDEX($T$157:$T$306,MATCH(ROWS($A$157:A238),$AF$157:$AF$306,0)),"")</f>
        <v/>
      </c>
      <c r="E238" s="35" t="str">
        <f>IFERROR(INDEX($U$157:$U$306,MATCH(ROWS($A$157:A238),$AF$157:$AF$306,0)),"")</f>
        <v/>
      </c>
      <c r="F238" s="35" t="str">
        <f>IFERROR(INDEX($V$157:$V$306,MATCH(ROWS($A$157:A238),$AF$157:$AF$306,0)),"")</f>
        <v/>
      </c>
      <c r="G238" s="35" t="str">
        <f>IFERROR(INDEX($W$157:$W$306,MATCH(ROWS($A$157:A238),$AF$157:$AF$306,0)),"")</f>
        <v/>
      </c>
      <c r="H238" s="35" t="str">
        <f>IFERROR(INDEX($X$157:$X$306,MATCH(ROWS($A$157:A238),$AF$157:$AF$306,0)),"")</f>
        <v/>
      </c>
      <c r="I238" s="35" t="str">
        <f>IFERROR(INDEX($Y$157:$Y$306,MATCH(ROWS($A$157:A238),$AF$157:$AF$306,0)),"")</f>
        <v/>
      </c>
      <c r="J238" s="35" t="str">
        <f>IFERROR(INDEX($Z$157:$Z$306,MATCH(ROWS($A$157:A238),$AF$157:$AF$306,0)),"")</f>
        <v/>
      </c>
      <c r="K238" s="35" t="str">
        <f>IFERROR(INDEX($AA$157:$AA$306,MATCH(ROWS($A$157:A238),$AF$157:$AF$306,0)),"")</f>
        <v/>
      </c>
      <c r="L238" s="35" t="str">
        <f>IFERROR(INDEX($AB$157:$AB$306,MATCH(ROWS($A$157:A238),$AF$157:$AF$306,0)),"")</f>
        <v/>
      </c>
      <c r="M238" s="35" t="str">
        <f>IFERROR(INDEX($AC$157:$AC$306,MATCH(ROWS($A$157:A238),$AF$157:$AF$306,0)),"")</f>
        <v/>
      </c>
      <c r="N238" s="35" t="str">
        <f>IFERROR(INDEX($AD$157:$AD$306,MATCH(ROWS($A$157:A238),$AF$157:$AF$306,0)),"")</f>
        <v/>
      </c>
      <c r="Q238" t="str">
        <f>T(JAN!B87)</f>
        <v>ÉRICK TEMPORÁRIO</v>
      </c>
      <c r="R238" t="str">
        <f t="array" ref="R238">IF($Q238="","",_xlfn.TEXTJOIN(", ",TRUE,IF(JAN!$G87:$AK87="AT",JAN!$G$4:$AK$4,"")))</f>
        <v/>
      </c>
      <c r="S238" t="str">
        <f t="array" ref="S238">IF($Q238="","",_xlfn.TEXTJOIN(", ",TRUE,IF(FEV!$G87:$AK87="AT",FEV!$G$4:$AK$4,"")))</f>
        <v/>
      </c>
      <c r="T238" t="str">
        <f t="array" ref="T238">IF($Q238="","",_xlfn.TEXTJOIN(", ",TRUE,IF(MAR!$G87:$AK87="AT",MAR!$G$4:$AK$4,"")))</f>
        <v/>
      </c>
      <c r="U238" t="str">
        <f t="array" ref="U238">IF($Q238="","",_xlfn.TEXTJOIN(", ",TRUE,IF(ABR!$G87:$AK87="AT",ABR!$G$4:$AK$4,"")))</f>
        <v/>
      </c>
      <c r="V238" t="str">
        <f t="array" ref="V238">IF($Q238="","",_xlfn.TEXTJOIN(", ",TRUE,IF(MAI!$G87:$AK87="AT",MAI!$G$4:$AK$4,"")))</f>
        <v/>
      </c>
      <c r="W238" t="str">
        <f t="array" ref="W238">IF($Q238="","",_xlfn.TEXTJOIN(", ",TRUE,IF(JUN!$G87:$AK87="AT",JUN!$G$4:$AK$4,"")))</f>
        <v/>
      </c>
      <c r="X238" t="str">
        <f t="array" ref="X238">IF($Q238="","",_xlfn.TEXTJOIN(", ",TRUE,IF(JUL!$G87:$AK87="AT",JUL!$G$4:$AK$4,"")))</f>
        <v/>
      </c>
      <c r="Y238" t="str">
        <f t="array" ref="Y238">IF($Q238="","",_xlfn.TEXTJOIN(", ",TRUE,IF(AGO!$G87:$AK87="AT",AGO!$G$4:$AK$4,"")))</f>
        <v/>
      </c>
      <c r="Z238" t="str">
        <f t="array" ref="Z238">IF($Q238="","",_xlfn.TEXTJOIN(", ",TRUE,IF(SET!$G87:$AK87="AT",SET!$G$4:$AK$4,"")))</f>
        <v/>
      </c>
      <c r="AA238" t="str">
        <f t="array" ref="AA238">IF($Q238="","",_xlfn.TEXTJOIN(", ",TRUE,IF(OUT!$G87:$AK87="AT",OUT!$G$4:$AK$4,"")))</f>
        <v/>
      </c>
      <c r="AB238" t="str">
        <f t="array" ref="AB238">IF($Q238="","",_xlfn.TEXTJOIN(", ",TRUE,IF(NOV!$G87:$AK87="AT",NOV!$G$4:$AK$4,"")))</f>
        <v/>
      </c>
      <c r="AC238" t="str">
        <f t="array" ref="AC238">IF($Q238="","",_xlfn.TEXTJOIN(", ",TRUE,IF(DEZ!$G87:$AK87="AT",DEZ!$G$4:$AK$4,"")))</f>
        <v/>
      </c>
      <c r="AD238">
        <f>IF($Q238="","",COUNTIF(JAN!$G87:$AK87,"AT")+COUNTIF(FEV!$G87:$AK87,"AT")+COUNTIF(MAR!$G87:$AK87,"AT")+COUNTIF(ABR!$G87:$AK87,"AT")+COUNTIF(MAI!$G87:$AK87,"AT")+COUNTIF(JUN!$G87:$AK87,"AT")+COUNTIF(JUL!$G87:$AK87,"AT")+COUNTIF(AGO!$G87:$AK87,"AT")+COUNTIF(SET!$G87:$AK87,"AT")+COUNTIF(OUT!$G87:$AK87,"AT")+COUNTIF(NOV!$G87:$AK87,"AT")+COUNTIF(DEZ!$G87:$AK87,"AT"))</f>
        <v>0</v>
      </c>
      <c r="AF238" t="str">
        <f>IF(AND($Q238&lt;&gt;"",N($AD238)&gt;0),COUNT($AF$156:AF237)+1,"")</f>
        <v/>
      </c>
    </row>
    <row r="239" spans="1:32" hidden="1" outlineLevel="1" x14ac:dyDescent="0.25">
      <c r="A239" s="36" t="str">
        <f>IFERROR(INDEX($Q$157:$Q$306,MATCH(ROWS($A$157:A239),$AF$157:$AF$306,0)),"")</f>
        <v/>
      </c>
      <c r="B239" s="35" t="str">
        <f>IFERROR(INDEX($R$157:$R$306,MATCH(ROWS($A$157:A239),$AF$157:$AF$306,0)),"")</f>
        <v/>
      </c>
      <c r="C239" s="35" t="str">
        <f>IFERROR(INDEX($S$157:$S$306,MATCH(ROWS($A$157:A239),$AF$157:$AF$306,0)),"")</f>
        <v/>
      </c>
      <c r="D239" s="35" t="str">
        <f>IFERROR(INDEX($T$157:$T$306,MATCH(ROWS($A$157:A239),$AF$157:$AF$306,0)),"")</f>
        <v/>
      </c>
      <c r="E239" s="35" t="str">
        <f>IFERROR(INDEX($U$157:$U$306,MATCH(ROWS($A$157:A239),$AF$157:$AF$306,0)),"")</f>
        <v/>
      </c>
      <c r="F239" s="35" t="str">
        <f>IFERROR(INDEX($V$157:$V$306,MATCH(ROWS($A$157:A239),$AF$157:$AF$306,0)),"")</f>
        <v/>
      </c>
      <c r="G239" s="35" t="str">
        <f>IFERROR(INDEX($W$157:$W$306,MATCH(ROWS($A$157:A239),$AF$157:$AF$306,0)),"")</f>
        <v/>
      </c>
      <c r="H239" s="35" t="str">
        <f>IFERROR(INDEX($X$157:$X$306,MATCH(ROWS($A$157:A239),$AF$157:$AF$306,0)),"")</f>
        <v/>
      </c>
      <c r="I239" s="35" t="str">
        <f>IFERROR(INDEX($Y$157:$Y$306,MATCH(ROWS($A$157:A239),$AF$157:$AF$306,0)),"")</f>
        <v/>
      </c>
      <c r="J239" s="35" t="str">
        <f>IFERROR(INDEX($Z$157:$Z$306,MATCH(ROWS($A$157:A239),$AF$157:$AF$306,0)),"")</f>
        <v/>
      </c>
      <c r="K239" s="35" t="str">
        <f>IFERROR(INDEX($AA$157:$AA$306,MATCH(ROWS($A$157:A239),$AF$157:$AF$306,0)),"")</f>
        <v/>
      </c>
      <c r="L239" s="35" t="str">
        <f>IFERROR(INDEX($AB$157:$AB$306,MATCH(ROWS($A$157:A239),$AF$157:$AF$306,0)),"")</f>
        <v/>
      </c>
      <c r="M239" s="35" t="str">
        <f>IFERROR(INDEX($AC$157:$AC$306,MATCH(ROWS($A$157:A239),$AF$157:$AF$306,0)),"")</f>
        <v/>
      </c>
      <c r="N239" s="35" t="str">
        <f>IFERROR(INDEX($AD$157:$AD$306,MATCH(ROWS($A$157:A239),$AF$157:$AF$306,0)),"")</f>
        <v/>
      </c>
      <c r="Q239" t="str">
        <f>T(JAN!B88)</f>
        <v/>
      </c>
      <c r="R239" t="str">
        <f t="array" ref="R239">IF($Q239="","",_xlfn.TEXTJOIN(", ",TRUE,IF(JAN!$G88:$AK88="AT",JAN!$G$4:$AK$4,"")))</f>
        <v/>
      </c>
      <c r="S239" t="str">
        <f t="array" ref="S239">IF($Q239="","",_xlfn.TEXTJOIN(", ",TRUE,IF(FEV!$G88:$AK88="AT",FEV!$G$4:$AK$4,"")))</f>
        <v/>
      </c>
      <c r="T239" t="str">
        <f t="array" ref="T239">IF($Q239="","",_xlfn.TEXTJOIN(", ",TRUE,IF(MAR!$G88:$AK88="AT",MAR!$G$4:$AK$4,"")))</f>
        <v/>
      </c>
      <c r="U239" t="str">
        <f t="array" ref="U239">IF($Q239="","",_xlfn.TEXTJOIN(", ",TRUE,IF(ABR!$G88:$AK88="AT",ABR!$G$4:$AK$4,"")))</f>
        <v/>
      </c>
      <c r="V239" t="str">
        <f t="array" ref="V239">IF($Q239="","",_xlfn.TEXTJOIN(", ",TRUE,IF(MAI!$G88:$AK88="AT",MAI!$G$4:$AK$4,"")))</f>
        <v/>
      </c>
      <c r="W239" t="str">
        <f t="array" ref="W239">IF($Q239="","",_xlfn.TEXTJOIN(", ",TRUE,IF(JUN!$G88:$AK88="AT",JUN!$G$4:$AK$4,"")))</f>
        <v/>
      </c>
      <c r="X239" t="str">
        <f t="array" ref="X239">IF($Q239="","",_xlfn.TEXTJOIN(", ",TRUE,IF(JUL!$G88:$AK88="AT",JUL!$G$4:$AK$4,"")))</f>
        <v/>
      </c>
      <c r="Y239" t="str">
        <f t="array" ref="Y239">IF($Q239="","",_xlfn.TEXTJOIN(", ",TRUE,IF(AGO!$G88:$AK88="AT",AGO!$G$4:$AK$4,"")))</f>
        <v/>
      </c>
      <c r="Z239" t="str">
        <f t="array" ref="Z239">IF($Q239="","",_xlfn.TEXTJOIN(", ",TRUE,IF(SET!$G88:$AK88="AT",SET!$G$4:$AK$4,"")))</f>
        <v/>
      </c>
      <c r="AA239" t="str">
        <f t="array" ref="AA239">IF($Q239="","",_xlfn.TEXTJOIN(", ",TRUE,IF(OUT!$G88:$AK88="AT",OUT!$G$4:$AK$4,"")))</f>
        <v/>
      </c>
      <c r="AB239" t="str">
        <f t="array" ref="AB239">IF($Q239="","",_xlfn.TEXTJOIN(", ",TRUE,IF(NOV!$G88:$AK88="AT",NOV!$G$4:$AK$4,"")))</f>
        <v/>
      </c>
      <c r="AC239" t="str">
        <f t="array" ref="AC239">IF($Q239="","",_xlfn.TEXTJOIN(", ",TRUE,IF(DEZ!$G88:$AK88="AT",DEZ!$G$4:$AK$4,"")))</f>
        <v/>
      </c>
      <c r="AD239" t="str">
        <f>IF($Q239="","",COUNTIF(JAN!$G88:$AK88,"AT")+COUNTIF(FEV!$G88:$AK88,"AT")+COUNTIF(MAR!$G88:$AK88,"AT")+COUNTIF(ABR!$G88:$AK88,"AT")+COUNTIF(MAI!$G88:$AK88,"AT")+COUNTIF(JUN!$G88:$AK88,"AT")+COUNTIF(JUL!$G88:$AK88,"AT")+COUNTIF(AGO!$G88:$AK88,"AT")+COUNTIF(SET!$G88:$AK88,"AT")+COUNTIF(OUT!$G88:$AK88,"AT")+COUNTIF(NOV!$G88:$AK88,"AT")+COUNTIF(DEZ!$G88:$AK88,"AT"))</f>
        <v/>
      </c>
      <c r="AF239" t="str">
        <f>IF(AND($Q239&lt;&gt;"",N($AD239)&gt;0),COUNT($AF$156:AF238)+1,"")</f>
        <v/>
      </c>
    </row>
    <row r="240" spans="1:32" hidden="1" outlineLevel="1" x14ac:dyDescent="0.25">
      <c r="A240" s="36" t="str">
        <f>IFERROR(INDEX($Q$157:$Q$306,MATCH(ROWS($A$157:A240),$AF$157:$AF$306,0)),"")</f>
        <v/>
      </c>
      <c r="B240" s="35" t="str">
        <f>IFERROR(INDEX($R$157:$R$306,MATCH(ROWS($A$157:A240),$AF$157:$AF$306,0)),"")</f>
        <v/>
      </c>
      <c r="C240" s="35" t="str">
        <f>IFERROR(INDEX($S$157:$S$306,MATCH(ROWS($A$157:A240),$AF$157:$AF$306,0)),"")</f>
        <v/>
      </c>
      <c r="D240" s="35" t="str">
        <f>IFERROR(INDEX($T$157:$T$306,MATCH(ROWS($A$157:A240),$AF$157:$AF$306,0)),"")</f>
        <v/>
      </c>
      <c r="E240" s="35" t="str">
        <f>IFERROR(INDEX($U$157:$U$306,MATCH(ROWS($A$157:A240),$AF$157:$AF$306,0)),"")</f>
        <v/>
      </c>
      <c r="F240" s="35" t="str">
        <f>IFERROR(INDEX($V$157:$V$306,MATCH(ROWS($A$157:A240),$AF$157:$AF$306,0)),"")</f>
        <v/>
      </c>
      <c r="G240" s="35" t="str">
        <f>IFERROR(INDEX($W$157:$W$306,MATCH(ROWS($A$157:A240),$AF$157:$AF$306,0)),"")</f>
        <v/>
      </c>
      <c r="H240" s="35" t="str">
        <f>IFERROR(INDEX($X$157:$X$306,MATCH(ROWS($A$157:A240),$AF$157:$AF$306,0)),"")</f>
        <v/>
      </c>
      <c r="I240" s="35" t="str">
        <f>IFERROR(INDEX($Y$157:$Y$306,MATCH(ROWS($A$157:A240),$AF$157:$AF$306,0)),"")</f>
        <v/>
      </c>
      <c r="J240" s="35" t="str">
        <f>IFERROR(INDEX($Z$157:$Z$306,MATCH(ROWS($A$157:A240),$AF$157:$AF$306,0)),"")</f>
        <v/>
      </c>
      <c r="K240" s="35" t="str">
        <f>IFERROR(INDEX($AA$157:$AA$306,MATCH(ROWS($A$157:A240),$AF$157:$AF$306,0)),"")</f>
        <v/>
      </c>
      <c r="L240" s="35" t="str">
        <f>IFERROR(INDEX($AB$157:$AB$306,MATCH(ROWS($A$157:A240),$AF$157:$AF$306,0)),"")</f>
        <v/>
      </c>
      <c r="M240" s="35" t="str">
        <f>IFERROR(INDEX($AC$157:$AC$306,MATCH(ROWS($A$157:A240),$AF$157:$AF$306,0)),"")</f>
        <v/>
      </c>
      <c r="N240" s="35" t="str">
        <f>IFERROR(INDEX($AD$157:$AD$306,MATCH(ROWS($A$157:A240),$AF$157:$AF$306,0)),"")</f>
        <v/>
      </c>
      <c r="Q240" t="str">
        <f>T(JAN!B89)</f>
        <v/>
      </c>
      <c r="R240" t="str">
        <f t="array" ref="R240">IF($Q240="","",_xlfn.TEXTJOIN(", ",TRUE,IF(JAN!$G89:$AK89="AT",JAN!$G$4:$AK$4,"")))</f>
        <v/>
      </c>
      <c r="S240" t="str">
        <f t="array" ref="S240">IF($Q240="","",_xlfn.TEXTJOIN(", ",TRUE,IF(FEV!$G89:$AK89="AT",FEV!$G$4:$AK$4,"")))</f>
        <v/>
      </c>
      <c r="T240" t="str">
        <f t="array" ref="T240">IF($Q240="","",_xlfn.TEXTJOIN(", ",TRUE,IF(MAR!$G89:$AK89="AT",MAR!$G$4:$AK$4,"")))</f>
        <v/>
      </c>
      <c r="U240" t="str">
        <f t="array" ref="U240">IF($Q240="","",_xlfn.TEXTJOIN(", ",TRUE,IF(ABR!$G89:$AK89="AT",ABR!$G$4:$AK$4,"")))</f>
        <v/>
      </c>
      <c r="V240" t="str">
        <f t="array" ref="V240">IF($Q240="","",_xlfn.TEXTJOIN(", ",TRUE,IF(MAI!$G89:$AK89="AT",MAI!$G$4:$AK$4,"")))</f>
        <v/>
      </c>
      <c r="W240" t="str">
        <f t="array" ref="W240">IF($Q240="","",_xlfn.TEXTJOIN(", ",TRUE,IF(JUN!$G89:$AK89="AT",JUN!$G$4:$AK$4,"")))</f>
        <v/>
      </c>
      <c r="X240" t="str">
        <f t="array" ref="X240">IF($Q240="","",_xlfn.TEXTJOIN(", ",TRUE,IF(JUL!$G89:$AK89="AT",JUL!$G$4:$AK$4,"")))</f>
        <v/>
      </c>
      <c r="Y240" t="str">
        <f t="array" ref="Y240">IF($Q240="","",_xlfn.TEXTJOIN(", ",TRUE,IF(AGO!$G89:$AK89="AT",AGO!$G$4:$AK$4,"")))</f>
        <v/>
      </c>
      <c r="Z240" t="str">
        <f t="array" ref="Z240">IF($Q240="","",_xlfn.TEXTJOIN(", ",TRUE,IF(SET!$G89:$AK89="AT",SET!$G$4:$AK$4,"")))</f>
        <v/>
      </c>
      <c r="AA240" t="str">
        <f t="array" ref="AA240">IF($Q240="","",_xlfn.TEXTJOIN(", ",TRUE,IF(OUT!$G89:$AK89="AT",OUT!$G$4:$AK$4,"")))</f>
        <v/>
      </c>
      <c r="AB240" t="str">
        <f t="array" ref="AB240">IF($Q240="","",_xlfn.TEXTJOIN(", ",TRUE,IF(NOV!$G89:$AK89="AT",NOV!$G$4:$AK$4,"")))</f>
        <v/>
      </c>
      <c r="AC240" t="str">
        <f t="array" ref="AC240">IF($Q240="","",_xlfn.TEXTJOIN(", ",TRUE,IF(DEZ!$G89:$AK89="AT",DEZ!$G$4:$AK$4,"")))</f>
        <v/>
      </c>
      <c r="AD240" t="str">
        <f>IF($Q240="","",COUNTIF(JAN!$G89:$AK89,"AT")+COUNTIF(FEV!$G89:$AK89,"AT")+COUNTIF(MAR!$G89:$AK89,"AT")+COUNTIF(ABR!$G89:$AK89,"AT")+COUNTIF(MAI!$G89:$AK89,"AT")+COUNTIF(JUN!$G89:$AK89,"AT")+COUNTIF(JUL!$G89:$AK89,"AT")+COUNTIF(AGO!$G89:$AK89,"AT")+COUNTIF(SET!$G89:$AK89,"AT")+COUNTIF(OUT!$G89:$AK89,"AT")+COUNTIF(NOV!$G89:$AK89,"AT")+COUNTIF(DEZ!$G89:$AK89,"AT"))</f>
        <v/>
      </c>
      <c r="AF240" t="str">
        <f>IF(AND($Q240&lt;&gt;"",N($AD240)&gt;0),COUNT($AF$156:AF239)+1,"")</f>
        <v/>
      </c>
    </row>
    <row r="241" spans="1:32" hidden="1" outlineLevel="1" x14ac:dyDescent="0.25">
      <c r="A241" s="36" t="str">
        <f>IFERROR(INDEX($Q$157:$Q$306,MATCH(ROWS($A$157:A241),$AF$157:$AF$306,0)),"")</f>
        <v/>
      </c>
      <c r="B241" s="35" t="str">
        <f>IFERROR(INDEX($R$157:$R$306,MATCH(ROWS($A$157:A241),$AF$157:$AF$306,0)),"")</f>
        <v/>
      </c>
      <c r="C241" s="35" t="str">
        <f>IFERROR(INDEX($S$157:$S$306,MATCH(ROWS($A$157:A241),$AF$157:$AF$306,0)),"")</f>
        <v/>
      </c>
      <c r="D241" s="35" t="str">
        <f>IFERROR(INDEX($T$157:$T$306,MATCH(ROWS($A$157:A241),$AF$157:$AF$306,0)),"")</f>
        <v/>
      </c>
      <c r="E241" s="35" t="str">
        <f>IFERROR(INDEX($U$157:$U$306,MATCH(ROWS($A$157:A241),$AF$157:$AF$306,0)),"")</f>
        <v/>
      </c>
      <c r="F241" s="35" t="str">
        <f>IFERROR(INDEX($V$157:$V$306,MATCH(ROWS($A$157:A241),$AF$157:$AF$306,0)),"")</f>
        <v/>
      </c>
      <c r="G241" s="35" t="str">
        <f>IFERROR(INDEX($W$157:$W$306,MATCH(ROWS($A$157:A241),$AF$157:$AF$306,0)),"")</f>
        <v/>
      </c>
      <c r="H241" s="35" t="str">
        <f>IFERROR(INDEX($X$157:$X$306,MATCH(ROWS($A$157:A241),$AF$157:$AF$306,0)),"")</f>
        <v/>
      </c>
      <c r="I241" s="35" t="str">
        <f>IFERROR(INDEX($Y$157:$Y$306,MATCH(ROWS($A$157:A241),$AF$157:$AF$306,0)),"")</f>
        <v/>
      </c>
      <c r="J241" s="35" t="str">
        <f>IFERROR(INDEX($Z$157:$Z$306,MATCH(ROWS($A$157:A241),$AF$157:$AF$306,0)),"")</f>
        <v/>
      </c>
      <c r="K241" s="35" t="str">
        <f>IFERROR(INDEX($AA$157:$AA$306,MATCH(ROWS($A$157:A241),$AF$157:$AF$306,0)),"")</f>
        <v/>
      </c>
      <c r="L241" s="35" t="str">
        <f>IFERROR(INDEX($AB$157:$AB$306,MATCH(ROWS($A$157:A241),$AF$157:$AF$306,0)),"")</f>
        <v/>
      </c>
      <c r="M241" s="35" t="str">
        <f>IFERROR(INDEX($AC$157:$AC$306,MATCH(ROWS($A$157:A241),$AF$157:$AF$306,0)),"")</f>
        <v/>
      </c>
      <c r="N241" s="35" t="str">
        <f>IFERROR(INDEX($AD$157:$AD$306,MATCH(ROWS($A$157:A241),$AF$157:$AF$306,0)),"")</f>
        <v/>
      </c>
      <c r="Q241" t="str">
        <f>T(JAN!B90)</f>
        <v/>
      </c>
      <c r="R241" t="str">
        <f t="array" ref="R241">IF($Q241="","",_xlfn.TEXTJOIN(", ",TRUE,IF(JAN!$G90:$AK90="AT",JAN!$G$4:$AK$4,"")))</f>
        <v/>
      </c>
      <c r="S241" t="str">
        <f t="array" ref="S241">IF($Q241="","",_xlfn.TEXTJOIN(", ",TRUE,IF(FEV!$G90:$AK90="AT",FEV!$G$4:$AK$4,"")))</f>
        <v/>
      </c>
      <c r="T241" t="str">
        <f t="array" ref="T241">IF($Q241="","",_xlfn.TEXTJOIN(", ",TRUE,IF(MAR!$G90:$AK90="AT",MAR!$G$4:$AK$4,"")))</f>
        <v/>
      </c>
      <c r="U241" t="str">
        <f t="array" ref="U241">IF($Q241="","",_xlfn.TEXTJOIN(", ",TRUE,IF(ABR!$G90:$AK90="AT",ABR!$G$4:$AK$4,"")))</f>
        <v/>
      </c>
      <c r="V241" t="str">
        <f t="array" ref="V241">IF($Q241="","",_xlfn.TEXTJOIN(", ",TRUE,IF(MAI!$G90:$AK90="AT",MAI!$G$4:$AK$4,"")))</f>
        <v/>
      </c>
      <c r="W241" t="str">
        <f t="array" ref="W241">IF($Q241="","",_xlfn.TEXTJOIN(", ",TRUE,IF(JUN!$G90:$AK90="AT",JUN!$G$4:$AK$4,"")))</f>
        <v/>
      </c>
      <c r="X241" t="str">
        <f t="array" ref="X241">IF($Q241="","",_xlfn.TEXTJOIN(", ",TRUE,IF(JUL!$G90:$AK90="AT",JUL!$G$4:$AK$4,"")))</f>
        <v/>
      </c>
      <c r="Y241" t="str">
        <f t="array" ref="Y241">IF($Q241="","",_xlfn.TEXTJOIN(", ",TRUE,IF(AGO!$G90:$AK90="AT",AGO!$G$4:$AK$4,"")))</f>
        <v/>
      </c>
      <c r="Z241" t="str">
        <f t="array" ref="Z241">IF($Q241="","",_xlfn.TEXTJOIN(", ",TRUE,IF(SET!$G90:$AK90="AT",SET!$G$4:$AK$4,"")))</f>
        <v/>
      </c>
      <c r="AA241" t="str">
        <f t="array" ref="AA241">IF($Q241="","",_xlfn.TEXTJOIN(", ",TRUE,IF(OUT!$G90:$AK90="AT",OUT!$G$4:$AK$4,"")))</f>
        <v/>
      </c>
      <c r="AB241" t="str">
        <f t="array" ref="AB241">IF($Q241="","",_xlfn.TEXTJOIN(", ",TRUE,IF(NOV!$G90:$AK90="AT",NOV!$G$4:$AK$4,"")))</f>
        <v/>
      </c>
      <c r="AC241" t="str">
        <f t="array" ref="AC241">IF($Q241="","",_xlfn.TEXTJOIN(", ",TRUE,IF(DEZ!$G90:$AK90="AT",DEZ!$G$4:$AK$4,"")))</f>
        <v/>
      </c>
      <c r="AD241" t="str">
        <f>IF($Q241="","",COUNTIF(JAN!$G90:$AK90,"AT")+COUNTIF(FEV!$G90:$AK90,"AT")+COUNTIF(MAR!$G90:$AK90,"AT")+COUNTIF(ABR!$G90:$AK90,"AT")+COUNTIF(MAI!$G90:$AK90,"AT")+COUNTIF(JUN!$G90:$AK90,"AT")+COUNTIF(JUL!$G90:$AK90,"AT")+COUNTIF(AGO!$G90:$AK90,"AT")+COUNTIF(SET!$G90:$AK90,"AT")+COUNTIF(OUT!$G90:$AK90,"AT")+COUNTIF(NOV!$G90:$AK90,"AT")+COUNTIF(DEZ!$G90:$AK90,"AT"))</f>
        <v/>
      </c>
      <c r="AF241" t="str">
        <f>IF(AND($Q241&lt;&gt;"",N($AD241)&gt;0),COUNT($AF$156:AF240)+1,"")</f>
        <v/>
      </c>
    </row>
    <row r="242" spans="1:32" hidden="1" outlineLevel="1" x14ac:dyDescent="0.25">
      <c r="A242" s="36" t="str">
        <f>IFERROR(INDEX($Q$157:$Q$306,MATCH(ROWS($A$157:A242),$AF$157:$AF$306,0)),"")</f>
        <v/>
      </c>
      <c r="B242" s="35" t="str">
        <f>IFERROR(INDEX($R$157:$R$306,MATCH(ROWS($A$157:A242),$AF$157:$AF$306,0)),"")</f>
        <v/>
      </c>
      <c r="C242" s="35" t="str">
        <f>IFERROR(INDEX($S$157:$S$306,MATCH(ROWS($A$157:A242),$AF$157:$AF$306,0)),"")</f>
        <v/>
      </c>
      <c r="D242" s="35" t="str">
        <f>IFERROR(INDEX($T$157:$T$306,MATCH(ROWS($A$157:A242),$AF$157:$AF$306,0)),"")</f>
        <v/>
      </c>
      <c r="E242" s="35" t="str">
        <f>IFERROR(INDEX($U$157:$U$306,MATCH(ROWS($A$157:A242),$AF$157:$AF$306,0)),"")</f>
        <v/>
      </c>
      <c r="F242" s="35" t="str">
        <f>IFERROR(INDEX($V$157:$V$306,MATCH(ROWS($A$157:A242),$AF$157:$AF$306,0)),"")</f>
        <v/>
      </c>
      <c r="G242" s="35" t="str">
        <f>IFERROR(INDEX($W$157:$W$306,MATCH(ROWS($A$157:A242),$AF$157:$AF$306,0)),"")</f>
        <v/>
      </c>
      <c r="H242" s="35" t="str">
        <f>IFERROR(INDEX($X$157:$X$306,MATCH(ROWS($A$157:A242),$AF$157:$AF$306,0)),"")</f>
        <v/>
      </c>
      <c r="I242" s="35" t="str">
        <f>IFERROR(INDEX($Y$157:$Y$306,MATCH(ROWS($A$157:A242),$AF$157:$AF$306,0)),"")</f>
        <v/>
      </c>
      <c r="J242" s="35" t="str">
        <f>IFERROR(INDEX($Z$157:$Z$306,MATCH(ROWS($A$157:A242),$AF$157:$AF$306,0)),"")</f>
        <v/>
      </c>
      <c r="K242" s="35" t="str">
        <f>IFERROR(INDEX($AA$157:$AA$306,MATCH(ROWS($A$157:A242),$AF$157:$AF$306,0)),"")</f>
        <v/>
      </c>
      <c r="L242" s="35" t="str">
        <f>IFERROR(INDEX($AB$157:$AB$306,MATCH(ROWS($A$157:A242),$AF$157:$AF$306,0)),"")</f>
        <v/>
      </c>
      <c r="M242" s="35" t="str">
        <f>IFERROR(INDEX($AC$157:$AC$306,MATCH(ROWS($A$157:A242),$AF$157:$AF$306,0)),"")</f>
        <v/>
      </c>
      <c r="N242" s="35" t="str">
        <f>IFERROR(INDEX($AD$157:$AD$306,MATCH(ROWS($A$157:A242),$AF$157:$AF$306,0)),"")</f>
        <v/>
      </c>
      <c r="Q242" t="str">
        <f>T(JAN!B91)</f>
        <v/>
      </c>
      <c r="R242" t="str">
        <f t="array" ref="R242">IF($Q242="","",_xlfn.TEXTJOIN(", ",TRUE,IF(JAN!$G91:$AK91="AT",JAN!$G$4:$AK$4,"")))</f>
        <v/>
      </c>
      <c r="S242" t="str">
        <f t="array" ref="S242">IF($Q242="","",_xlfn.TEXTJOIN(", ",TRUE,IF(FEV!$G91:$AK91="AT",FEV!$G$4:$AK$4,"")))</f>
        <v/>
      </c>
      <c r="T242" t="str">
        <f t="array" ref="T242">IF($Q242="","",_xlfn.TEXTJOIN(", ",TRUE,IF(MAR!$G91:$AK91="AT",MAR!$G$4:$AK$4,"")))</f>
        <v/>
      </c>
      <c r="U242" t="str">
        <f t="array" ref="U242">IF($Q242="","",_xlfn.TEXTJOIN(", ",TRUE,IF(ABR!$G91:$AK91="AT",ABR!$G$4:$AK$4,"")))</f>
        <v/>
      </c>
      <c r="V242" t="str">
        <f t="array" ref="V242">IF($Q242="","",_xlfn.TEXTJOIN(", ",TRUE,IF(MAI!$G91:$AK91="AT",MAI!$G$4:$AK$4,"")))</f>
        <v/>
      </c>
      <c r="W242" t="str">
        <f t="array" ref="W242">IF($Q242="","",_xlfn.TEXTJOIN(", ",TRUE,IF(JUN!$G91:$AK91="AT",JUN!$G$4:$AK$4,"")))</f>
        <v/>
      </c>
      <c r="X242" t="str">
        <f t="array" ref="X242">IF($Q242="","",_xlfn.TEXTJOIN(", ",TRUE,IF(JUL!$G91:$AK91="AT",JUL!$G$4:$AK$4,"")))</f>
        <v/>
      </c>
      <c r="Y242" t="str">
        <f t="array" ref="Y242">IF($Q242="","",_xlfn.TEXTJOIN(", ",TRUE,IF(AGO!$G91:$AK91="AT",AGO!$G$4:$AK$4,"")))</f>
        <v/>
      </c>
      <c r="Z242" t="str">
        <f t="array" ref="Z242">IF($Q242="","",_xlfn.TEXTJOIN(", ",TRUE,IF(SET!$G91:$AK91="AT",SET!$G$4:$AK$4,"")))</f>
        <v/>
      </c>
      <c r="AA242" t="str">
        <f t="array" ref="AA242">IF($Q242="","",_xlfn.TEXTJOIN(", ",TRUE,IF(OUT!$G91:$AK91="AT",OUT!$G$4:$AK$4,"")))</f>
        <v/>
      </c>
      <c r="AB242" t="str">
        <f t="array" ref="AB242">IF($Q242="","",_xlfn.TEXTJOIN(", ",TRUE,IF(NOV!$G91:$AK91="AT",NOV!$G$4:$AK$4,"")))</f>
        <v/>
      </c>
      <c r="AC242" t="str">
        <f t="array" ref="AC242">IF($Q242="","",_xlfn.TEXTJOIN(", ",TRUE,IF(DEZ!$G91:$AK91="AT",DEZ!$G$4:$AK$4,"")))</f>
        <v/>
      </c>
      <c r="AD242" t="str">
        <f>IF($Q242="","",COUNTIF(JAN!$G91:$AK91,"AT")+COUNTIF(FEV!$G91:$AK91,"AT")+COUNTIF(MAR!$G91:$AK91,"AT")+COUNTIF(ABR!$G91:$AK91,"AT")+COUNTIF(MAI!$G91:$AK91,"AT")+COUNTIF(JUN!$G91:$AK91,"AT")+COUNTIF(JUL!$G91:$AK91,"AT")+COUNTIF(AGO!$G91:$AK91,"AT")+COUNTIF(SET!$G91:$AK91,"AT")+COUNTIF(OUT!$G91:$AK91,"AT")+COUNTIF(NOV!$G91:$AK91,"AT")+COUNTIF(DEZ!$G91:$AK91,"AT"))</f>
        <v/>
      </c>
      <c r="AF242" t="str">
        <f>IF(AND($Q242&lt;&gt;"",N($AD242)&gt;0),COUNT($AF$156:AF241)+1,"")</f>
        <v/>
      </c>
    </row>
    <row r="243" spans="1:32" hidden="1" outlineLevel="1" x14ac:dyDescent="0.25">
      <c r="A243" s="36" t="str">
        <f>IFERROR(INDEX($Q$157:$Q$306,MATCH(ROWS($A$157:A243),$AF$157:$AF$306,0)),"")</f>
        <v/>
      </c>
      <c r="B243" s="35" t="str">
        <f>IFERROR(INDEX($R$157:$R$306,MATCH(ROWS($A$157:A243),$AF$157:$AF$306,0)),"")</f>
        <v/>
      </c>
      <c r="C243" s="35" t="str">
        <f>IFERROR(INDEX($S$157:$S$306,MATCH(ROWS($A$157:A243),$AF$157:$AF$306,0)),"")</f>
        <v/>
      </c>
      <c r="D243" s="35" t="str">
        <f>IFERROR(INDEX($T$157:$T$306,MATCH(ROWS($A$157:A243),$AF$157:$AF$306,0)),"")</f>
        <v/>
      </c>
      <c r="E243" s="35" t="str">
        <f>IFERROR(INDEX($U$157:$U$306,MATCH(ROWS($A$157:A243),$AF$157:$AF$306,0)),"")</f>
        <v/>
      </c>
      <c r="F243" s="35" t="str">
        <f>IFERROR(INDEX($V$157:$V$306,MATCH(ROWS($A$157:A243),$AF$157:$AF$306,0)),"")</f>
        <v/>
      </c>
      <c r="G243" s="35" t="str">
        <f>IFERROR(INDEX($W$157:$W$306,MATCH(ROWS($A$157:A243),$AF$157:$AF$306,0)),"")</f>
        <v/>
      </c>
      <c r="H243" s="35" t="str">
        <f>IFERROR(INDEX($X$157:$X$306,MATCH(ROWS($A$157:A243),$AF$157:$AF$306,0)),"")</f>
        <v/>
      </c>
      <c r="I243" s="35" t="str">
        <f>IFERROR(INDEX($Y$157:$Y$306,MATCH(ROWS($A$157:A243),$AF$157:$AF$306,0)),"")</f>
        <v/>
      </c>
      <c r="J243" s="35" t="str">
        <f>IFERROR(INDEX($Z$157:$Z$306,MATCH(ROWS($A$157:A243),$AF$157:$AF$306,0)),"")</f>
        <v/>
      </c>
      <c r="K243" s="35" t="str">
        <f>IFERROR(INDEX($AA$157:$AA$306,MATCH(ROWS($A$157:A243),$AF$157:$AF$306,0)),"")</f>
        <v/>
      </c>
      <c r="L243" s="35" t="str">
        <f>IFERROR(INDEX($AB$157:$AB$306,MATCH(ROWS($A$157:A243),$AF$157:$AF$306,0)),"")</f>
        <v/>
      </c>
      <c r="M243" s="35" t="str">
        <f>IFERROR(INDEX($AC$157:$AC$306,MATCH(ROWS($A$157:A243),$AF$157:$AF$306,0)),"")</f>
        <v/>
      </c>
      <c r="N243" s="35" t="str">
        <f>IFERROR(INDEX($AD$157:$AD$306,MATCH(ROWS($A$157:A243),$AF$157:$AF$306,0)),"")</f>
        <v/>
      </c>
      <c r="Q243" t="str">
        <f>T(JAN!B92)</f>
        <v/>
      </c>
      <c r="R243" t="str">
        <f t="array" ref="R243">IF($Q243="","",_xlfn.TEXTJOIN(", ",TRUE,IF(JAN!$G92:$AK92="AT",JAN!$G$4:$AK$4,"")))</f>
        <v/>
      </c>
      <c r="S243" t="str">
        <f t="array" ref="S243">IF($Q243="","",_xlfn.TEXTJOIN(", ",TRUE,IF(FEV!$G92:$AK92="AT",FEV!$G$4:$AK$4,"")))</f>
        <v/>
      </c>
      <c r="T243" t="str">
        <f t="array" ref="T243">IF($Q243="","",_xlfn.TEXTJOIN(", ",TRUE,IF(MAR!$G92:$AK92="AT",MAR!$G$4:$AK$4,"")))</f>
        <v/>
      </c>
      <c r="U243" t="str">
        <f t="array" ref="U243">IF($Q243="","",_xlfn.TEXTJOIN(", ",TRUE,IF(ABR!$G92:$AK92="AT",ABR!$G$4:$AK$4,"")))</f>
        <v/>
      </c>
      <c r="V243" t="str">
        <f t="array" ref="V243">IF($Q243="","",_xlfn.TEXTJOIN(", ",TRUE,IF(MAI!$G92:$AK92="AT",MAI!$G$4:$AK$4,"")))</f>
        <v/>
      </c>
      <c r="W243" t="str">
        <f t="array" ref="W243">IF($Q243="","",_xlfn.TEXTJOIN(", ",TRUE,IF(JUN!$G92:$AK92="AT",JUN!$G$4:$AK$4,"")))</f>
        <v/>
      </c>
      <c r="X243" t="str">
        <f t="array" ref="X243">IF($Q243="","",_xlfn.TEXTJOIN(", ",TRUE,IF(JUL!$G92:$AK92="AT",JUL!$G$4:$AK$4,"")))</f>
        <v/>
      </c>
      <c r="Y243" t="str">
        <f t="array" ref="Y243">IF($Q243="","",_xlfn.TEXTJOIN(", ",TRUE,IF(AGO!$G92:$AK92="AT",AGO!$G$4:$AK$4,"")))</f>
        <v/>
      </c>
      <c r="Z243" t="str">
        <f t="array" ref="Z243">IF($Q243="","",_xlfn.TEXTJOIN(", ",TRUE,IF(SET!$G92:$AK92="AT",SET!$G$4:$AK$4,"")))</f>
        <v/>
      </c>
      <c r="AA243" t="str">
        <f t="array" ref="AA243">IF($Q243="","",_xlfn.TEXTJOIN(", ",TRUE,IF(OUT!$G92:$AK92="AT",OUT!$G$4:$AK$4,"")))</f>
        <v/>
      </c>
      <c r="AB243" t="str">
        <f t="array" ref="AB243">IF($Q243="","",_xlfn.TEXTJOIN(", ",TRUE,IF(NOV!$G92:$AK92="AT",NOV!$G$4:$AK$4,"")))</f>
        <v/>
      </c>
      <c r="AC243" t="str">
        <f t="array" ref="AC243">IF($Q243="","",_xlfn.TEXTJOIN(", ",TRUE,IF(DEZ!$G92:$AK92="AT",DEZ!$G$4:$AK$4,"")))</f>
        <v/>
      </c>
      <c r="AD243" t="str">
        <f>IF($Q243="","",COUNTIF(JAN!$G92:$AK92,"AT")+COUNTIF(FEV!$G92:$AK92,"AT")+COUNTIF(MAR!$G92:$AK92,"AT")+COUNTIF(ABR!$G92:$AK92,"AT")+COUNTIF(MAI!$G92:$AK92,"AT")+COUNTIF(JUN!$G92:$AK92,"AT")+COUNTIF(JUL!$G92:$AK92,"AT")+COUNTIF(AGO!$G92:$AK92,"AT")+COUNTIF(SET!$G92:$AK92,"AT")+COUNTIF(OUT!$G92:$AK92,"AT")+COUNTIF(NOV!$G92:$AK92,"AT")+COUNTIF(DEZ!$G92:$AK92,"AT"))</f>
        <v/>
      </c>
      <c r="AF243" t="str">
        <f>IF(AND($Q243&lt;&gt;"",N($AD243)&gt;0),COUNT($AF$156:AF242)+1,"")</f>
        <v/>
      </c>
    </row>
    <row r="244" spans="1:32" hidden="1" outlineLevel="1" x14ac:dyDescent="0.25">
      <c r="A244" s="36" t="str">
        <f>IFERROR(INDEX($Q$157:$Q$306,MATCH(ROWS($A$157:A244),$AF$157:$AF$306,0)),"")</f>
        <v/>
      </c>
      <c r="B244" s="35" t="str">
        <f>IFERROR(INDEX($R$157:$R$306,MATCH(ROWS($A$157:A244),$AF$157:$AF$306,0)),"")</f>
        <v/>
      </c>
      <c r="C244" s="35" t="str">
        <f>IFERROR(INDEX($S$157:$S$306,MATCH(ROWS($A$157:A244),$AF$157:$AF$306,0)),"")</f>
        <v/>
      </c>
      <c r="D244" s="35" t="str">
        <f>IFERROR(INDEX($T$157:$T$306,MATCH(ROWS($A$157:A244),$AF$157:$AF$306,0)),"")</f>
        <v/>
      </c>
      <c r="E244" s="35" t="str">
        <f>IFERROR(INDEX($U$157:$U$306,MATCH(ROWS($A$157:A244),$AF$157:$AF$306,0)),"")</f>
        <v/>
      </c>
      <c r="F244" s="35" t="str">
        <f>IFERROR(INDEX($V$157:$V$306,MATCH(ROWS($A$157:A244),$AF$157:$AF$306,0)),"")</f>
        <v/>
      </c>
      <c r="G244" s="35" t="str">
        <f>IFERROR(INDEX($W$157:$W$306,MATCH(ROWS($A$157:A244),$AF$157:$AF$306,0)),"")</f>
        <v/>
      </c>
      <c r="H244" s="35" t="str">
        <f>IFERROR(INDEX($X$157:$X$306,MATCH(ROWS($A$157:A244),$AF$157:$AF$306,0)),"")</f>
        <v/>
      </c>
      <c r="I244" s="35" t="str">
        <f>IFERROR(INDEX($Y$157:$Y$306,MATCH(ROWS($A$157:A244),$AF$157:$AF$306,0)),"")</f>
        <v/>
      </c>
      <c r="J244" s="35" t="str">
        <f>IFERROR(INDEX($Z$157:$Z$306,MATCH(ROWS($A$157:A244),$AF$157:$AF$306,0)),"")</f>
        <v/>
      </c>
      <c r="K244" s="35" t="str">
        <f>IFERROR(INDEX($AA$157:$AA$306,MATCH(ROWS($A$157:A244),$AF$157:$AF$306,0)),"")</f>
        <v/>
      </c>
      <c r="L244" s="35" t="str">
        <f>IFERROR(INDEX($AB$157:$AB$306,MATCH(ROWS($A$157:A244),$AF$157:$AF$306,0)),"")</f>
        <v/>
      </c>
      <c r="M244" s="35" t="str">
        <f>IFERROR(INDEX($AC$157:$AC$306,MATCH(ROWS($A$157:A244),$AF$157:$AF$306,0)),"")</f>
        <v/>
      </c>
      <c r="N244" s="35" t="str">
        <f>IFERROR(INDEX($AD$157:$AD$306,MATCH(ROWS($A$157:A244),$AF$157:$AF$306,0)),"")</f>
        <v/>
      </c>
      <c r="Q244" t="str">
        <f>T(JAN!B93)</f>
        <v/>
      </c>
      <c r="R244" t="str">
        <f t="array" ref="R244">IF($Q244="","",_xlfn.TEXTJOIN(", ",TRUE,IF(JAN!$G93:$AK93="AT",JAN!$G$4:$AK$4,"")))</f>
        <v/>
      </c>
      <c r="S244" t="str">
        <f t="array" ref="S244">IF($Q244="","",_xlfn.TEXTJOIN(", ",TRUE,IF(FEV!$G93:$AK93="AT",FEV!$G$4:$AK$4,"")))</f>
        <v/>
      </c>
      <c r="T244" t="str">
        <f t="array" ref="T244">IF($Q244="","",_xlfn.TEXTJOIN(", ",TRUE,IF(MAR!$G93:$AK93="AT",MAR!$G$4:$AK$4,"")))</f>
        <v/>
      </c>
      <c r="U244" t="str">
        <f t="array" ref="U244">IF($Q244="","",_xlfn.TEXTJOIN(", ",TRUE,IF(ABR!$G93:$AK93="AT",ABR!$G$4:$AK$4,"")))</f>
        <v/>
      </c>
      <c r="V244" t="str">
        <f t="array" ref="V244">IF($Q244="","",_xlfn.TEXTJOIN(", ",TRUE,IF(MAI!$G93:$AK93="AT",MAI!$G$4:$AK$4,"")))</f>
        <v/>
      </c>
      <c r="W244" t="str">
        <f t="array" ref="W244">IF($Q244="","",_xlfn.TEXTJOIN(", ",TRUE,IF(JUN!$G93:$AK93="AT",JUN!$G$4:$AK$4,"")))</f>
        <v/>
      </c>
      <c r="X244" t="str">
        <f t="array" ref="X244">IF($Q244="","",_xlfn.TEXTJOIN(", ",TRUE,IF(JUL!$G93:$AK93="AT",JUL!$G$4:$AK$4,"")))</f>
        <v/>
      </c>
      <c r="Y244" t="str">
        <f t="array" ref="Y244">IF($Q244="","",_xlfn.TEXTJOIN(", ",TRUE,IF(AGO!$G93:$AK93="AT",AGO!$G$4:$AK$4,"")))</f>
        <v/>
      </c>
      <c r="Z244" t="str">
        <f t="array" ref="Z244">IF($Q244="","",_xlfn.TEXTJOIN(", ",TRUE,IF(SET!$G93:$AK93="AT",SET!$G$4:$AK$4,"")))</f>
        <v/>
      </c>
      <c r="AA244" t="str">
        <f t="array" ref="AA244">IF($Q244="","",_xlfn.TEXTJOIN(", ",TRUE,IF(OUT!$G93:$AK93="AT",OUT!$G$4:$AK$4,"")))</f>
        <v/>
      </c>
      <c r="AB244" t="str">
        <f t="array" ref="AB244">IF($Q244="","",_xlfn.TEXTJOIN(", ",TRUE,IF(NOV!$G93:$AK93="AT",NOV!$G$4:$AK$4,"")))</f>
        <v/>
      </c>
      <c r="AC244" t="str">
        <f t="array" ref="AC244">IF($Q244="","",_xlfn.TEXTJOIN(", ",TRUE,IF(DEZ!$G93:$AK93="AT",DEZ!$G$4:$AK$4,"")))</f>
        <v/>
      </c>
      <c r="AD244" t="str">
        <f>IF($Q244="","",COUNTIF(JAN!$G93:$AK93,"AT")+COUNTIF(FEV!$G93:$AK93,"AT")+COUNTIF(MAR!$G93:$AK93,"AT")+COUNTIF(ABR!$G93:$AK93,"AT")+COUNTIF(MAI!$G93:$AK93,"AT")+COUNTIF(JUN!$G93:$AK93,"AT")+COUNTIF(JUL!$G93:$AK93,"AT")+COUNTIF(AGO!$G93:$AK93,"AT")+COUNTIF(SET!$G93:$AK93,"AT")+COUNTIF(OUT!$G93:$AK93,"AT")+COUNTIF(NOV!$G93:$AK93,"AT")+COUNTIF(DEZ!$G93:$AK93,"AT"))</f>
        <v/>
      </c>
      <c r="AF244" t="str">
        <f>IF(AND($Q244&lt;&gt;"",N($AD244)&gt;0),COUNT($AF$156:AF243)+1,"")</f>
        <v/>
      </c>
    </row>
    <row r="245" spans="1:32" hidden="1" outlineLevel="1" x14ac:dyDescent="0.25">
      <c r="A245" s="36" t="str">
        <f>IFERROR(INDEX($Q$157:$Q$306,MATCH(ROWS($A$157:A245),$AF$157:$AF$306,0)),"")</f>
        <v/>
      </c>
      <c r="B245" s="35" t="str">
        <f>IFERROR(INDEX($R$157:$R$306,MATCH(ROWS($A$157:A245),$AF$157:$AF$306,0)),"")</f>
        <v/>
      </c>
      <c r="C245" s="35" t="str">
        <f>IFERROR(INDEX($S$157:$S$306,MATCH(ROWS($A$157:A245),$AF$157:$AF$306,0)),"")</f>
        <v/>
      </c>
      <c r="D245" s="35" t="str">
        <f>IFERROR(INDEX($T$157:$T$306,MATCH(ROWS($A$157:A245),$AF$157:$AF$306,0)),"")</f>
        <v/>
      </c>
      <c r="E245" s="35" t="str">
        <f>IFERROR(INDEX($U$157:$U$306,MATCH(ROWS($A$157:A245),$AF$157:$AF$306,0)),"")</f>
        <v/>
      </c>
      <c r="F245" s="35" t="str">
        <f>IFERROR(INDEX($V$157:$V$306,MATCH(ROWS($A$157:A245),$AF$157:$AF$306,0)),"")</f>
        <v/>
      </c>
      <c r="G245" s="35" t="str">
        <f>IFERROR(INDEX($W$157:$W$306,MATCH(ROWS($A$157:A245),$AF$157:$AF$306,0)),"")</f>
        <v/>
      </c>
      <c r="H245" s="35" t="str">
        <f>IFERROR(INDEX($X$157:$X$306,MATCH(ROWS($A$157:A245),$AF$157:$AF$306,0)),"")</f>
        <v/>
      </c>
      <c r="I245" s="35" t="str">
        <f>IFERROR(INDEX($Y$157:$Y$306,MATCH(ROWS($A$157:A245),$AF$157:$AF$306,0)),"")</f>
        <v/>
      </c>
      <c r="J245" s="35" t="str">
        <f>IFERROR(INDEX($Z$157:$Z$306,MATCH(ROWS($A$157:A245),$AF$157:$AF$306,0)),"")</f>
        <v/>
      </c>
      <c r="K245" s="35" t="str">
        <f>IFERROR(INDEX($AA$157:$AA$306,MATCH(ROWS($A$157:A245),$AF$157:$AF$306,0)),"")</f>
        <v/>
      </c>
      <c r="L245" s="35" t="str">
        <f>IFERROR(INDEX($AB$157:$AB$306,MATCH(ROWS($A$157:A245),$AF$157:$AF$306,0)),"")</f>
        <v/>
      </c>
      <c r="M245" s="35" t="str">
        <f>IFERROR(INDEX($AC$157:$AC$306,MATCH(ROWS($A$157:A245),$AF$157:$AF$306,0)),"")</f>
        <v/>
      </c>
      <c r="N245" s="35" t="str">
        <f>IFERROR(INDEX($AD$157:$AD$306,MATCH(ROWS($A$157:A245),$AF$157:$AF$306,0)),"")</f>
        <v/>
      </c>
      <c r="Q245" t="str">
        <f>T(JAN!B94)</f>
        <v/>
      </c>
      <c r="R245" t="str">
        <f t="array" ref="R245">IF($Q245="","",_xlfn.TEXTJOIN(", ",TRUE,IF(JAN!$G94:$AK94="AT",JAN!$G$4:$AK$4,"")))</f>
        <v/>
      </c>
      <c r="S245" t="str">
        <f t="array" ref="S245">IF($Q245="","",_xlfn.TEXTJOIN(", ",TRUE,IF(FEV!$G94:$AK94="AT",FEV!$G$4:$AK$4,"")))</f>
        <v/>
      </c>
      <c r="T245" t="str">
        <f t="array" ref="T245">IF($Q245="","",_xlfn.TEXTJOIN(", ",TRUE,IF(MAR!$G94:$AK94="AT",MAR!$G$4:$AK$4,"")))</f>
        <v/>
      </c>
      <c r="U245" t="str">
        <f t="array" ref="U245">IF($Q245="","",_xlfn.TEXTJOIN(", ",TRUE,IF(ABR!$G94:$AK94="AT",ABR!$G$4:$AK$4,"")))</f>
        <v/>
      </c>
      <c r="V245" t="str">
        <f t="array" ref="V245">IF($Q245="","",_xlfn.TEXTJOIN(", ",TRUE,IF(MAI!$G94:$AK94="AT",MAI!$G$4:$AK$4,"")))</f>
        <v/>
      </c>
      <c r="W245" t="str">
        <f t="array" ref="W245">IF($Q245="","",_xlfn.TEXTJOIN(", ",TRUE,IF(JUN!$G94:$AK94="AT",JUN!$G$4:$AK$4,"")))</f>
        <v/>
      </c>
      <c r="X245" t="str">
        <f t="array" ref="X245">IF($Q245="","",_xlfn.TEXTJOIN(", ",TRUE,IF(JUL!$G94:$AK94="AT",JUL!$G$4:$AK$4,"")))</f>
        <v/>
      </c>
      <c r="Y245" t="str">
        <f t="array" ref="Y245">IF($Q245="","",_xlfn.TEXTJOIN(", ",TRUE,IF(AGO!$G94:$AK94="AT",AGO!$G$4:$AK$4,"")))</f>
        <v/>
      </c>
      <c r="Z245" t="str">
        <f t="array" ref="Z245">IF($Q245="","",_xlfn.TEXTJOIN(", ",TRUE,IF(SET!$G94:$AK94="AT",SET!$G$4:$AK$4,"")))</f>
        <v/>
      </c>
      <c r="AA245" t="str">
        <f t="array" ref="AA245">IF($Q245="","",_xlfn.TEXTJOIN(", ",TRUE,IF(OUT!$G94:$AK94="AT",OUT!$G$4:$AK$4,"")))</f>
        <v/>
      </c>
      <c r="AB245" t="str">
        <f t="array" ref="AB245">IF($Q245="","",_xlfn.TEXTJOIN(", ",TRUE,IF(NOV!$G94:$AK94="AT",NOV!$G$4:$AK$4,"")))</f>
        <v/>
      </c>
      <c r="AC245" t="str">
        <f t="array" ref="AC245">IF($Q245="","",_xlfn.TEXTJOIN(", ",TRUE,IF(DEZ!$G94:$AK94="AT",DEZ!$G$4:$AK$4,"")))</f>
        <v/>
      </c>
      <c r="AD245" t="str">
        <f>IF($Q245="","",COUNTIF(JAN!$G94:$AK94,"AT")+COUNTIF(FEV!$G94:$AK94,"AT")+COUNTIF(MAR!$G94:$AK94,"AT")+COUNTIF(ABR!$G94:$AK94,"AT")+COUNTIF(MAI!$G94:$AK94,"AT")+COUNTIF(JUN!$G94:$AK94,"AT")+COUNTIF(JUL!$G94:$AK94,"AT")+COUNTIF(AGO!$G94:$AK94,"AT")+COUNTIF(SET!$G94:$AK94,"AT")+COUNTIF(OUT!$G94:$AK94,"AT")+COUNTIF(NOV!$G94:$AK94,"AT")+COUNTIF(DEZ!$G94:$AK94,"AT"))</f>
        <v/>
      </c>
      <c r="AF245" t="str">
        <f>IF(AND($Q245&lt;&gt;"",N($AD245)&gt;0),COUNT($AF$156:AF244)+1,"")</f>
        <v/>
      </c>
    </row>
    <row r="246" spans="1:32" hidden="1" outlineLevel="1" x14ac:dyDescent="0.25">
      <c r="A246" s="36" t="str">
        <f>IFERROR(INDEX($Q$157:$Q$306,MATCH(ROWS($A$157:A246),$AF$157:$AF$306,0)),"")</f>
        <v/>
      </c>
      <c r="B246" s="35" t="str">
        <f>IFERROR(INDEX($R$157:$R$306,MATCH(ROWS($A$157:A246),$AF$157:$AF$306,0)),"")</f>
        <v/>
      </c>
      <c r="C246" s="35" t="str">
        <f>IFERROR(INDEX($S$157:$S$306,MATCH(ROWS($A$157:A246),$AF$157:$AF$306,0)),"")</f>
        <v/>
      </c>
      <c r="D246" s="35" t="str">
        <f>IFERROR(INDEX($T$157:$T$306,MATCH(ROWS($A$157:A246),$AF$157:$AF$306,0)),"")</f>
        <v/>
      </c>
      <c r="E246" s="35" t="str">
        <f>IFERROR(INDEX($U$157:$U$306,MATCH(ROWS($A$157:A246),$AF$157:$AF$306,0)),"")</f>
        <v/>
      </c>
      <c r="F246" s="35" t="str">
        <f>IFERROR(INDEX($V$157:$V$306,MATCH(ROWS($A$157:A246),$AF$157:$AF$306,0)),"")</f>
        <v/>
      </c>
      <c r="G246" s="35" t="str">
        <f>IFERROR(INDEX($W$157:$W$306,MATCH(ROWS($A$157:A246),$AF$157:$AF$306,0)),"")</f>
        <v/>
      </c>
      <c r="H246" s="35" t="str">
        <f>IFERROR(INDEX($X$157:$X$306,MATCH(ROWS($A$157:A246),$AF$157:$AF$306,0)),"")</f>
        <v/>
      </c>
      <c r="I246" s="35" t="str">
        <f>IFERROR(INDEX($Y$157:$Y$306,MATCH(ROWS($A$157:A246),$AF$157:$AF$306,0)),"")</f>
        <v/>
      </c>
      <c r="J246" s="35" t="str">
        <f>IFERROR(INDEX($Z$157:$Z$306,MATCH(ROWS($A$157:A246),$AF$157:$AF$306,0)),"")</f>
        <v/>
      </c>
      <c r="K246" s="35" t="str">
        <f>IFERROR(INDEX($AA$157:$AA$306,MATCH(ROWS($A$157:A246),$AF$157:$AF$306,0)),"")</f>
        <v/>
      </c>
      <c r="L246" s="35" t="str">
        <f>IFERROR(INDEX($AB$157:$AB$306,MATCH(ROWS($A$157:A246),$AF$157:$AF$306,0)),"")</f>
        <v/>
      </c>
      <c r="M246" s="35" t="str">
        <f>IFERROR(INDEX($AC$157:$AC$306,MATCH(ROWS($A$157:A246),$AF$157:$AF$306,0)),"")</f>
        <v/>
      </c>
      <c r="N246" s="35" t="str">
        <f>IFERROR(INDEX($AD$157:$AD$306,MATCH(ROWS($A$157:A246),$AF$157:$AF$306,0)),"")</f>
        <v/>
      </c>
      <c r="Q246" t="str">
        <f>T(JAN!B95)</f>
        <v/>
      </c>
      <c r="R246" t="str">
        <f t="array" ref="R246">IF($Q246="","",_xlfn.TEXTJOIN(", ",TRUE,IF(JAN!$G95:$AK95="AT",JAN!$G$4:$AK$4,"")))</f>
        <v/>
      </c>
      <c r="S246" t="str">
        <f t="array" ref="S246">IF($Q246="","",_xlfn.TEXTJOIN(", ",TRUE,IF(FEV!$G95:$AK95="AT",FEV!$G$4:$AK$4,"")))</f>
        <v/>
      </c>
      <c r="T246" t="str">
        <f t="array" ref="T246">IF($Q246="","",_xlfn.TEXTJOIN(", ",TRUE,IF(MAR!$G95:$AK95="AT",MAR!$G$4:$AK$4,"")))</f>
        <v/>
      </c>
      <c r="U246" t="str">
        <f t="array" ref="U246">IF($Q246="","",_xlfn.TEXTJOIN(", ",TRUE,IF(ABR!$G95:$AK95="AT",ABR!$G$4:$AK$4,"")))</f>
        <v/>
      </c>
      <c r="V246" t="str">
        <f t="array" ref="V246">IF($Q246="","",_xlfn.TEXTJOIN(", ",TRUE,IF(MAI!$G95:$AK95="AT",MAI!$G$4:$AK$4,"")))</f>
        <v/>
      </c>
      <c r="W246" t="str">
        <f t="array" ref="W246">IF($Q246="","",_xlfn.TEXTJOIN(", ",TRUE,IF(JUN!$G95:$AK95="AT",JUN!$G$4:$AK$4,"")))</f>
        <v/>
      </c>
      <c r="X246" t="str">
        <f t="array" ref="X246">IF($Q246="","",_xlfn.TEXTJOIN(", ",TRUE,IF(JUL!$G95:$AK95="AT",JUL!$G$4:$AK$4,"")))</f>
        <v/>
      </c>
      <c r="Y246" t="str">
        <f t="array" ref="Y246">IF($Q246="","",_xlfn.TEXTJOIN(", ",TRUE,IF(AGO!$G95:$AK95="AT",AGO!$G$4:$AK$4,"")))</f>
        <v/>
      </c>
      <c r="Z246" t="str">
        <f t="array" ref="Z246">IF($Q246="","",_xlfn.TEXTJOIN(", ",TRUE,IF(SET!$G95:$AK95="AT",SET!$G$4:$AK$4,"")))</f>
        <v/>
      </c>
      <c r="AA246" t="str">
        <f t="array" ref="AA246">IF($Q246="","",_xlfn.TEXTJOIN(", ",TRUE,IF(OUT!$G95:$AK95="AT",OUT!$G$4:$AK$4,"")))</f>
        <v/>
      </c>
      <c r="AB246" t="str">
        <f t="array" ref="AB246">IF($Q246="","",_xlfn.TEXTJOIN(", ",TRUE,IF(NOV!$G95:$AK95="AT",NOV!$G$4:$AK$4,"")))</f>
        <v/>
      </c>
      <c r="AC246" t="str">
        <f t="array" ref="AC246">IF($Q246="","",_xlfn.TEXTJOIN(", ",TRUE,IF(DEZ!$G95:$AK95="AT",DEZ!$G$4:$AK$4,"")))</f>
        <v/>
      </c>
      <c r="AD246" t="str">
        <f>IF($Q246="","",COUNTIF(JAN!$G95:$AK95,"AT")+COUNTIF(FEV!$G95:$AK95,"AT")+COUNTIF(MAR!$G95:$AK95,"AT")+COUNTIF(ABR!$G95:$AK95,"AT")+COUNTIF(MAI!$G95:$AK95,"AT")+COUNTIF(JUN!$G95:$AK95,"AT")+COUNTIF(JUL!$G95:$AK95,"AT")+COUNTIF(AGO!$G95:$AK95,"AT")+COUNTIF(SET!$G95:$AK95,"AT")+COUNTIF(OUT!$G95:$AK95,"AT")+COUNTIF(NOV!$G95:$AK95,"AT")+COUNTIF(DEZ!$G95:$AK95,"AT"))</f>
        <v/>
      </c>
      <c r="AF246" t="str">
        <f>IF(AND($Q246&lt;&gt;"",N($AD246)&gt;0),COUNT($AF$156:AF245)+1,"")</f>
        <v/>
      </c>
    </row>
    <row r="247" spans="1:32" hidden="1" outlineLevel="1" x14ac:dyDescent="0.25">
      <c r="A247" s="36" t="str">
        <f>IFERROR(INDEX($Q$157:$Q$306,MATCH(ROWS($A$157:A247),$AF$157:$AF$306,0)),"")</f>
        <v/>
      </c>
      <c r="B247" s="35" t="str">
        <f>IFERROR(INDEX($R$157:$R$306,MATCH(ROWS($A$157:A247),$AF$157:$AF$306,0)),"")</f>
        <v/>
      </c>
      <c r="C247" s="35" t="str">
        <f>IFERROR(INDEX($S$157:$S$306,MATCH(ROWS($A$157:A247),$AF$157:$AF$306,0)),"")</f>
        <v/>
      </c>
      <c r="D247" s="35" t="str">
        <f>IFERROR(INDEX($T$157:$T$306,MATCH(ROWS($A$157:A247),$AF$157:$AF$306,0)),"")</f>
        <v/>
      </c>
      <c r="E247" s="35" t="str">
        <f>IFERROR(INDEX($U$157:$U$306,MATCH(ROWS($A$157:A247),$AF$157:$AF$306,0)),"")</f>
        <v/>
      </c>
      <c r="F247" s="35" t="str">
        <f>IFERROR(INDEX($V$157:$V$306,MATCH(ROWS($A$157:A247),$AF$157:$AF$306,0)),"")</f>
        <v/>
      </c>
      <c r="G247" s="35" t="str">
        <f>IFERROR(INDEX($W$157:$W$306,MATCH(ROWS($A$157:A247),$AF$157:$AF$306,0)),"")</f>
        <v/>
      </c>
      <c r="H247" s="35" t="str">
        <f>IFERROR(INDEX($X$157:$X$306,MATCH(ROWS($A$157:A247),$AF$157:$AF$306,0)),"")</f>
        <v/>
      </c>
      <c r="I247" s="35" t="str">
        <f>IFERROR(INDEX($Y$157:$Y$306,MATCH(ROWS($A$157:A247),$AF$157:$AF$306,0)),"")</f>
        <v/>
      </c>
      <c r="J247" s="35" t="str">
        <f>IFERROR(INDEX($Z$157:$Z$306,MATCH(ROWS($A$157:A247),$AF$157:$AF$306,0)),"")</f>
        <v/>
      </c>
      <c r="K247" s="35" t="str">
        <f>IFERROR(INDEX($AA$157:$AA$306,MATCH(ROWS($A$157:A247),$AF$157:$AF$306,0)),"")</f>
        <v/>
      </c>
      <c r="L247" s="35" t="str">
        <f>IFERROR(INDEX($AB$157:$AB$306,MATCH(ROWS($A$157:A247),$AF$157:$AF$306,0)),"")</f>
        <v/>
      </c>
      <c r="M247" s="35" t="str">
        <f>IFERROR(INDEX($AC$157:$AC$306,MATCH(ROWS($A$157:A247),$AF$157:$AF$306,0)),"")</f>
        <v/>
      </c>
      <c r="N247" s="35" t="str">
        <f>IFERROR(INDEX($AD$157:$AD$306,MATCH(ROWS($A$157:A247),$AF$157:$AF$306,0)),"")</f>
        <v/>
      </c>
      <c r="Q247" t="str">
        <f>T(JAN!B96)</f>
        <v/>
      </c>
      <c r="R247" t="str">
        <f t="array" ref="R247">IF($Q247="","",_xlfn.TEXTJOIN(", ",TRUE,IF(JAN!$G96:$AK96="AT",JAN!$G$4:$AK$4,"")))</f>
        <v/>
      </c>
      <c r="S247" t="str">
        <f t="array" ref="S247">IF($Q247="","",_xlfn.TEXTJOIN(", ",TRUE,IF(FEV!$G96:$AK96="AT",FEV!$G$4:$AK$4,"")))</f>
        <v/>
      </c>
      <c r="T247" t="str">
        <f t="array" ref="T247">IF($Q247="","",_xlfn.TEXTJOIN(", ",TRUE,IF(MAR!$G96:$AK96="AT",MAR!$G$4:$AK$4,"")))</f>
        <v/>
      </c>
      <c r="U247" t="str">
        <f t="array" ref="U247">IF($Q247="","",_xlfn.TEXTJOIN(", ",TRUE,IF(ABR!$G96:$AK96="AT",ABR!$G$4:$AK$4,"")))</f>
        <v/>
      </c>
      <c r="V247" t="str">
        <f t="array" ref="V247">IF($Q247="","",_xlfn.TEXTJOIN(", ",TRUE,IF(MAI!$G96:$AK96="AT",MAI!$G$4:$AK$4,"")))</f>
        <v/>
      </c>
      <c r="W247" t="str">
        <f t="array" ref="W247">IF($Q247="","",_xlfn.TEXTJOIN(", ",TRUE,IF(JUN!$G96:$AK96="AT",JUN!$G$4:$AK$4,"")))</f>
        <v/>
      </c>
      <c r="X247" t="str">
        <f t="array" ref="X247">IF($Q247="","",_xlfn.TEXTJOIN(", ",TRUE,IF(JUL!$G96:$AK96="AT",JUL!$G$4:$AK$4,"")))</f>
        <v/>
      </c>
      <c r="Y247" t="str">
        <f t="array" ref="Y247">IF($Q247="","",_xlfn.TEXTJOIN(", ",TRUE,IF(AGO!$G96:$AK96="AT",AGO!$G$4:$AK$4,"")))</f>
        <v/>
      </c>
      <c r="Z247" t="str">
        <f t="array" ref="Z247">IF($Q247="","",_xlfn.TEXTJOIN(", ",TRUE,IF(SET!$G96:$AK96="AT",SET!$G$4:$AK$4,"")))</f>
        <v/>
      </c>
      <c r="AA247" t="str">
        <f t="array" ref="AA247">IF($Q247="","",_xlfn.TEXTJOIN(", ",TRUE,IF(OUT!$G96:$AK96="AT",OUT!$G$4:$AK$4,"")))</f>
        <v/>
      </c>
      <c r="AB247" t="str">
        <f t="array" ref="AB247">IF($Q247="","",_xlfn.TEXTJOIN(", ",TRUE,IF(NOV!$G96:$AK96="AT",NOV!$G$4:$AK$4,"")))</f>
        <v/>
      </c>
      <c r="AC247" t="str">
        <f t="array" ref="AC247">IF($Q247="","",_xlfn.TEXTJOIN(", ",TRUE,IF(DEZ!$G96:$AK96="AT",DEZ!$G$4:$AK$4,"")))</f>
        <v/>
      </c>
      <c r="AD247" t="str">
        <f>IF($Q247="","",COUNTIF(JAN!$G96:$AK96,"AT")+COUNTIF(FEV!$G96:$AK96,"AT")+COUNTIF(MAR!$G96:$AK96,"AT")+COUNTIF(ABR!$G96:$AK96,"AT")+COUNTIF(MAI!$G96:$AK96,"AT")+COUNTIF(JUN!$G96:$AK96,"AT")+COUNTIF(JUL!$G96:$AK96,"AT")+COUNTIF(AGO!$G96:$AK96,"AT")+COUNTIF(SET!$G96:$AK96,"AT")+COUNTIF(OUT!$G96:$AK96,"AT")+COUNTIF(NOV!$G96:$AK96,"AT")+COUNTIF(DEZ!$G96:$AK96,"AT"))</f>
        <v/>
      </c>
      <c r="AF247" t="str">
        <f>IF(AND($Q247&lt;&gt;"",N($AD247)&gt;0),COUNT($AF$156:AF246)+1,"")</f>
        <v/>
      </c>
    </row>
    <row r="248" spans="1:32" hidden="1" outlineLevel="1" x14ac:dyDescent="0.25">
      <c r="A248" s="36" t="str">
        <f>IFERROR(INDEX($Q$157:$Q$306,MATCH(ROWS($A$157:A248),$AF$157:$AF$306,0)),"")</f>
        <v/>
      </c>
      <c r="B248" s="35" t="str">
        <f>IFERROR(INDEX($R$157:$R$306,MATCH(ROWS($A$157:A248),$AF$157:$AF$306,0)),"")</f>
        <v/>
      </c>
      <c r="C248" s="35" t="str">
        <f>IFERROR(INDEX($S$157:$S$306,MATCH(ROWS($A$157:A248),$AF$157:$AF$306,0)),"")</f>
        <v/>
      </c>
      <c r="D248" s="35" t="str">
        <f>IFERROR(INDEX($T$157:$T$306,MATCH(ROWS($A$157:A248),$AF$157:$AF$306,0)),"")</f>
        <v/>
      </c>
      <c r="E248" s="35" t="str">
        <f>IFERROR(INDEX($U$157:$U$306,MATCH(ROWS($A$157:A248),$AF$157:$AF$306,0)),"")</f>
        <v/>
      </c>
      <c r="F248" s="35" t="str">
        <f>IFERROR(INDEX($V$157:$V$306,MATCH(ROWS($A$157:A248),$AF$157:$AF$306,0)),"")</f>
        <v/>
      </c>
      <c r="G248" s="35" t="str">
        <f>IFERROR(INDEX($W$157:$W$306,MATCH(ROWS($A$157:A248),$AF$157:$AF$306,0)),"")</f>
        <v/>
      </c>
      <c r="H248" s="35" t="str">
        <f>IFERROR(INDEX($X$157:$X$306,MATCH(ROWS($A$157:A248),$AF$157:$AF$306,0)),"")</f>
        <v/>
      </c>
      <c r="I248" s="35" t="str">
        <f>IFERROR(INDEX($Y$157:$Y$306,MATCH(ROWS($A$157:A248),$AF$157:$AF$306,0)),"")</f>
        <v/>
      </c>
      <c r="J248" s="35" t="str">
        <f>IFERROR(INDEX($Z$157:$Z$306,MATCH(ROWS($A$157:A248),$AF$157:$AF$306,0)),"")</f>
        <v/>
      </c>
      <c r="K248" s="35" t="str">
        <f>IFERROR(INDEX($AA$157:$AA$306,MATCH(ROWS($A$157:A248),$AF$157:$AF$306,0)),"")</f>
        <v/>
      </c>
      <c r="L248" s="35" t="str">
        <f>IFERROR(INDEX($AB$157:$AB$306,MATCH(ROWS($A$157:A248),$AF$157:$AF$306,0)),"")</f>
        <v/>
      </c>
      <c r="M248" s="35" t="str">
        <f>IFERROR(INDEX($AC$157:$AC$306,MATCH(ROWS($A$157:A248),$AF$157:$AF$306,0)),"")</f>
        <v/>
      </c>
      <c r="N248" s="35" t="str">
        <f>IFERROR(INDEX($AD$157:$AD$306,MATCH(ROWS($A$157:A248),$AF$157:$AF$306,0)),"")</f>
        <v/>
      </c>
      <c r="Q248" t="str">
        <f>T(JAN!B97)</f>
        <v/>
      </c>
      <c r="R248" t="str">
        <f t="array" ref="R248">IF($Q248="","",_xlfn.TEXTJOIN(", ",TRUE,IF(JAN!$G97:$AK97="AT",JAN!$G$4:$AK$4,"")))</f>
        <v/>
      </c>
      <c r="S248" t="str">
        <f t="array" ref="S248">IF($Q248="","",_xlfn.TEXTJOIN(", ",TRUE,IF(FEV!$G97:$AK97="AT",FEV!$G$4:$AK$4,"")))</f>
        <v/>
      </c>
      <c r="T248" t="str">
        <f t="array" ref="T248">IF($Q248="","",_xlfn.TEXTJOIN(", ",TRUE,IF(MAR!$G97:$AK97="AT",MAR!$G$4:$AK$4,"")))</f>
        <v/>
      </c>
      <c r="U248" t="str">
        <f t="array" ref="U248">IF($Q248="","",_xlfn.TEXTJOIN(", ",TRUE,IF(ABR!$G97:$AK97="AT",ABR!$G$4:$AK$4,"")))</f>
        <v/>
      </c>
      <c r="V248" t="str">
        <f t="array" ref="V248">IF($Q248="","",_xlfn.TEXTJOIN(", ",TRUE,IF(MAI!$G97:$AK97="AT",MAI!$G$4:$AK$4,"")))</f>
        <v/>
      </c>
      <c r="W248" t="str">
        <f t="array" ref="W248">IF($Q248="","",_xlfn.TEXTJOIN(", ",TRUE,IF(JUN!$G97:$AK97="AT",JUN!$G$4:$AK$4,"")))</f>
        <v/>
      </c>
      <c r="X248" t="str">
        <f t="array" ref="X248">IF($Q248="","",_xlfn.TEXTJOIN(", ",TRUE,IF(JUL!$G97:$AK97="AT",JUL!$G$4:$AK$4,"")))</f>
        <v/>
      </c>
      <c r="Y248" t="str">
        <f t="array" ref="Y248">IF($Q248="","",_xlfn.TEXTJOIN(", ",TRUE,IF(AGO!$G97:$AK97="AT",AGO!$G$4:$AK$4,"")))</f>
        <v/>
      </c>
      <c r="Z248" t="str">
        <f t="array" ref="Z248">IF($Q248="","",_xlfn.TEXTJOIN(", ",TRUE,IF(SET!$G97:$AK97="AT",SET!$G$4:$AK$4,"")))</f>
        <v/>
      </c>
      <c r="AA248" t="str">
        <f t="array" ref="AA248">IF($Q248="","",_xlfn.TEXTJOIN(", ",TRUE,IF(OUT!$G97:$AK97="AT",OUT!$G$4:$AK$4,"")))</f>
        <v/>
      </c>
      <c r="AB248" t="str">
        <f t="array" ref="AB248">IF($Q248="","",_xlfn.TEXTJOIN(", ",TRUE,IF(NOV!$G97:$AK97="AT",NOV!$G$4:$AK$4,"")))</f>
        <v/>
      </c>
      <c r="AC248" t="str">
        <f t="array" ref="AC248">IF($Q248="","",_xlfn.TEXTJOIN(", ",TRUE,IF(DEZ!$G97:$AK97="AT",DEZ!$G$4:$AK$4,"")))</f>
        <v/>
      </c>
      <c r="AD248" t="str">
        <f>IF($Q248="","",COUNTIF(JAN!$G97:$AK97,"AT")+COUNTIF(FEV!$G97:$AK97,"AT")+COUNTIF(MAR!$G97:$AK97,"AT")+COUNTIF(ABR!$G97:$AK97,"AT")+COUNTIF(MAI!$G97:$AK97,"AT")+COUNTIF(JUN!$G97:$AK97,"AT")+COUNTIF(JUL!$G97:$AK97,"AT")+COUNTIF(AGO!$G97:$AK97,"AT")+COUNTIF(SET!$G97:$AK97,"AT")+COUNTIF(OUT!$G97:$AK97,"AT")+COUNTIF(NOV!$G97:$AK97,"AT")+COUNTIF(DEZ!$G97:$AK97,"AT"))</f>
        <v/>
      </c>
      <c r="AF248" t="str">
        <f>IF(AND($Q248&lt;&gt;"",N($AD248)&gt;0),COUNT($AF$156:AF247)+1,"")</f>
        <v/>
      </c>
    </row>
    <row r="249" spans="1:32" hidden="1" outlineLevel="1" x14ac:dyDescent="0.25">
      <c r="A249" s="36" t="str">
        <f>IFERROR(INDEX($Q$157:$Q$306,MATCH(ROWS($A$157:A249),$AF$157:$AF$306,0)),"")</f>
        <v/>
      </c>
      <c r="B249" s="35" t="str">
        <f>IFERROR(INDEX($R$157:$R$306,MATCH(ROWS($A$157:A249),$AF$157:$AF$306,0)),"")</f>
        <v/>
      </c>
      <c r="C249" s="35" t="str">
        <f>IFERROR(INDEX($S$157:$S$306,MATCH(ROWS($A$157:A249),$AF$157:$AF$306,0)),"")</f>
        <v/>
      </c>
      <c r="D249" s="35" t="str">
        <f>IFERROR(INDEX($T$157:$T$306,MATCH(ROWS($A$157:A249),$AF$157:$AF$306,0)),"")</f>
        <v/>
      </c>
      <c r="E249" s="35" t="str">
        <f>IFERROR(INDEX($U$157:$U$306,MATCH(ROWS($A$157:A249),$AF$157:$AF$306,0)),"")</f>
        <v/>
      </c>
      <c r="F249" s="35" t="str">
        <f>IFERROR(INDEX($V$157:$V$306,MATCH(ROWS($A$157:A249),$AF$157:$AF$306,0)),"")</f>
        <v/>
      </c>
      <c r="G249" s="35" t="str">
        <f>IFERROR(INDEX($W$157:$W$306,MATCH(ROWS($A$157:A249),$AF$157:$AF$306,0)),"")</f>
        <v/>
      </c>
      <c r="H249" s="35" t="str">
        <f>IFERROR(INDEX($X$157:$X$306,MATCH(ROWS($A$157:A249),$AF$157:$AF$306,0)),"")</f>
        <v/>
      </c>
      <c r="I249" s="35" t="str">
        <f>IFERROR(INDEX($Y$157:$Y$306,MATCH(ROWS($A$157:A249),$AF$157:$AF$306,0)),"")</f>
        <v/>
      </c>
      <c r="J249" s="35" t="str">
        <f>IFERROR(INDEX($Z$157:$Z$306,MATCH(ROWS($A$157:A249),$AF$157:$AF$306,0)),"")</f>
        <v/>
      </c>
      <c r="K249" s="35" t="str">
        <f>IFERROR(INDEX($AA$157:$AA$306,MATCH(ROWS($A$157:A249),$AF$157:$AF$306,0)),"")</f>
        <v/>
      </c>
      <c r="L249" s="35" t="str">
        <f>IFERROR(INDEX($AB$157:$AB$306,MATCH(ROWS($A$157:A249),$AF$157:$AF$306,0)),"")</f>
        <v/>
      </c>
      <c r="M249" s="35" t="str">
        <f>IFERROR(INDEX($AC$157:$AC$306,MATCH(ROWS($A$157:A249),$AF$157:$AF$306,0)),"")</f>
        <v/>
      </c>
      <c r="N249" s="35" t="str">
        <f>IFERROR(INDEX($AD$157:$AD$306,MATCH(ROWS($A$157:A249),$AF$157:$AF$306,0)),"")</f>
        <v/>
      </c>
      <c r="Q249" t="str">
        <f>T(JAN!B98)</f>
        <v/>
      </c>
      <c r="R249" t="str">
        <f t="array" ref="R249">IF($Q249="","",_xlfn.TEXTJOIN(", ",TRUE,IF(JAN!$G98:$AK98="AT",JAN!$G$4:$AK$4,"")))</f>
        <v/>
      </c>
      <c r="S249" t="str">
        <f t="array" ref="S249">IF($Q249="","",_xlfn.TEXTJOIN(", ",TRUE,IF(FEV!$G98:$AK98="AT",FEV!$G$4:$AK$4,"")))</f>
        <v/>
      </c>
      <c r="T249" t="str">
        <f t="array" ref="T249">IF($Q249="","",_xlfn.TEXTJOIN(", ",TRUE,IF(MAR!$G98:$AK98="AT",MAR!$G$4:$AK$4,"")))</f>
        <v/>
      </c>
      <c r="U249" t="str">
        <f t="array" ref="U249">IF($Q249="","",_xlfn.TEXTJOIN(", ",TRUE,IF(ABR!$G98:$AK98="AT",ABR!$G$4:$AK$4,"")))</f>
        <v/>
      </c>
      <c r="V249" t="str">
        <f t="array" ref="V249">IF($Q249="","",_xlfn.TEXTJOIN(", ",TRUE,IF(MAI!$G98:$AK98="AT",MAI!$G$4:$AK$4,"")))</f>
        <v/>
      </c>
      <c r="W249" t="str">
        <f t="array" ref="W249">IF($Q249="","",_xlfn.TEXTJOIN(", ",TRUE,IF(JUN!$G98:$AK98="AT",JUN!$G$4:$AK$4,"")))</f>
        <v/>
      </c>
      <c r="X249" t="str">
        <f t="array" ref="X249">IF($Q249="","",_xlfn.TEXTJOIN(", ",TRUE,IF(JUL!$G98:$AK98="AT",JUL!$G$4:$AK$4,"")))</f>
        <v/>
      </c>
      <c r="Y249" t="str">
        <f t="array" ref="Y249">IF($Q249="","",_xlfn.TEXTJOIN(", ",TRUE,IF(AGO!$G98:$AK98="AT",AGO!$G$4:$AK$4,"")))</f>
        <v/>
      </c>
      <c r="Z249" t="str">
        <f t="array" ref="Z249">IF($Q249="","",_xlfn.TEXTJOIN(", ",TRUE,IF(SET!$G98:$AK98="AT",SET!$G$4:$AK$4,"")))</f>
        <v/>
      </c>
      <c r="AA249" t="str">
        <f t="array" ref="AA249">IF($Q249="","",_xlfn.TEXTJOIN(", ",TRUE,IF(OUT!$G98:$AK98="AT",OUT!$G$4:$AK$4,"")))</f>
        <v/>
      </c>
      <c r="AB249" t="str">
        <f t="array" ref="AB249">IF($Q249="","",_xlfn.TEXTJOIN(", ",TRUE,IF(NOV!$G98:$AK98="AT",NOV!$G$4:$AK$4,"")))</f>
        <v/>
      </c>
      <c r="AC249" t="str">
        <f t="array" ref="AC249">IF($Q249="","",_xlfn.TEXTJOIN(", ",TRUE,IF(DEZ!$G98:$AK98="AT",DEZ!$G$4:$AK$4,"")))</f>
        <v/>
      </c>
      <c r="AD249" t="str">
        <f>IF($Q249="","",COUNTIF(JAN!$G98:$AK98,"AT")+COUNTIF(FEV!$G98:$AK98,"AT")+COUNTIF(MAR!$G98:$AK98,"AT")+COUNTIF(ABR!$G98:$AK98,"AT")+COUNTIF(MAI!$G98:$AK98,"AT")+COUNTIF(JUN!$G98:$AK98,"AT")+COUNTIF(JUL!$G98:$AK98,"AT")+COUNTIF(AGO!$G98:$AK98,"AT")+COUNTIF(SET!$G98:$AK98,"AT")+COUNTIF(OUT!$G98:$AK98,"AT")+COUNTIF(NOV!$G98:$AK98,"AT")+COUNTIF(DEZ!$G98:$AK98,"AT"))</f>
        <v/>
      </c>
      <c r="AF249" t="str">
        <f>IF(AND($Q249&lt;&gt;"",N($AD249)&gt;0),COUNT($AF$156:AF248)+1,"")</f>
        <v/>
      </c>
    </row>
    <row r="250" spans="1:32" hidden="1" outlineLevel="1" x14ac:dyDescent="0.25">
      <c r="A250" s="36" t="str">
        <f>IFERROR(INDEX($Q$157:$Q$306,MATCH(ROWS($A$157:A250),$AF$157:$AF$306,0)),"")</f>
        <v/>
      </c>
      <c r="B250" s="35" t="str">
        <f>IFERROR(INDEX($R$157:$R$306,MATCH(ROWS($A$157:A250),$AF$157:$AF$306,0)),"")</f>
        <v/>
      </c>
      <c r="C250" s="35" t="str">
        <f>IFERROR(INDEX($S$157:$S$306,MATCH(ROWS($A$157:A250),$AF$157:$AF$306,0)),"")</f>
        <v/>
      </c>
      <c r="D250" s="35" t="str">
        <f>IFERROR(INDEX($T$157:$T$306,MATCH(ROWS($A$157:A250),$AF$157:$AF$306,0)),"")</f>
        <v/>
      </c>
      <c r="E250" s="35" t="str">
        <f>IFERROR(INDEX($U$157:$U$306,MATCH(ROWS($A$157:A250),$AF$157:$AF$306,0)),"")</f>
        <v/>
      </c>
      <c r="F250" s="35" t="str">
        <f>IFERROR(INDEX($V$157:$V$306,MATCH(ROWS($A$157:A250),$AF$157:$AF$306,0)),"")</f>
        <v/>
      </c>
      <c r="G250" s="35" t="str">
        <f>IFERROR(INDEX($W$157:$W$306,MATCH(ROWS($A$157:A250),$AF$157:$AF$306,0)),"")</f>
        <v/>
      </c>
      <c r="H250" s="35" t="str">
        <f>IFERROR(INDEX($X$157:$X$306,MATCH(ROWS($A$157:A250),$AF$157:$AF$306,0)),"")</f>
        <v/>
      </c>
      <c r="I250" s="35" t="str">
        <f>IFERROR(INDEX($Y$157:$Y$306,MATCH(ROWS($A$157:A250),$AF$157:$AF$306,0)),"")</f>
        <v/>
      </c>
      <c r="J250" s="35" t="str">
        <f>IFERROR(INDEX($Z$157:$Z$306,MATCH(ROWS($A$157:A250),$AF$157:$AF$306,0)),"")</f>
        <v/>
      </c>
      <c r="K250" s="35" t="str">
        <f>IFERROR(INDEX($AA$157:$AA$306,MATCH(ROWS($A$157:A250),$AF$157:$AF$306,0)),"")</f>
        <v/>
      </c>
      <c r="L250" s="35" t="str">
        <f>IFERROR(INDEX($AB$157:$AB$306,MATCH(ROWS($A$157:A250),$AF$157:$AF$306,0)),"")</f>
        <v/>
      </c>
      <c r="M250" s="35" t="str">
        <f>IFERROR(INDEX($AC$157:$AC$306,MATCH(ROWS($A$157:A250),$AF$157:$AF$306,0)),"")</f>
        <v/>
      </c>
      <c r="N250" s="35" t="str">
        <f>IFERROR(INDEX($AD$157:$AD$306,MATCH(ROWS($A$157:A250),$AF$157:$AF$306,0)),"")</f>
        <v/>
      </c>
      <c r="Q250" t="str">
        <f>T(JAN!B99)</f>
        <v/>
      </c>
      <c r="R250" t="str">
        <f t="array" ref="R250">IF($Q250="","",_xlfn.TEXTJOIN(", ",TRUE,IF(JAN!$G99:$AK99="AT",JAN!$G$4:$AK$4,"")))</f>
        <v/>
      </c>
      <c r="S250" t="str">
        <f t="array" ref="S250">IF($Q250="","",_xlfn.TEXTJOIN(", ",TRUE,IF(FEV!$G99:$AK99="AT",FEV!$G$4:$AK$4,"")))</f>
        <v/>
      </c>
      <c r="T250" t="str">
        <f t="array" ref="T250">IF($Q250="","",_xlfn.TEXTJOIN(", ",TRUE,IF(MAR!$G99:$AK99="AT",MAR!$G$4:$AK$4,"")))</f>
        <v/>
      </c>
      <c r="U250" t="str">
        <f t="array" ref="U250">IF($Q250="","",_xlfn.TEXTJOIN(", ",TRUE,IF(ABR!$G99:$AK99="AT",ABR!$G$4:$AK$4,"")))</f>
        <v/>
      </c>
      <c r="V250" t="str">
        <f t="array" ref="V250">IF($Q250="","",_xlfn.TEXTJOIN(", ",TRUE,IF(MAI!$G99:$AK99="AT",MAI!$G$4:$AK$4,"")))</f>
        <v/>
      </c>
      <c r="W250" t="str">
        <f t="array" ref="W250">IF($Q250="","",_xlfn.TEXTJOIN(", ",TRUE,IF(JUN!$G99:$AK99="AT",JUN!$G$4:$AK$4,"")))</f>
        <v/>
      </c>
      <c r="X250" t="str">
        <f t="array" ref="X250">IF($Q250="","",_xlfn.TEXTJOIN(", ",TRUE,IF(JUL!$G99:$AK99="AT",JUL!$G$4:$AK$4,"")))</f>
        <v/>
      </c>
      <c r="Y250" t="str">
        <f t="array" ref="Y250">IF($Q250="","",_xlfn.TEXTJOIN(", ",TRUE,IF(AGO!$G99:$AK99="AT",AGO!$G$4:$AK$4,"")))</f>
        <v/>
      </c>
      <c r="Z250" t="str">
        <f t="array" ref="Z250">IF($Q250="","",_xlfn.TEXTJOIN(", ",TRUE,IF(SET!$G99:$AK99="AT",SET!$G$4:$AK$4,"")))</f>
        <v/>
      </c>
      <c r="AA250" t="str">
        <f t="array" ref="AA250">IF($Q250="","",_xlfn.TEXTJOIN(", ",TRUE,IF(OUT!$G99:$AK99="AT",OUT!$G$4:$AK$4,"")))</f>
        <v/>
      </c>
      <c r="AB250" t="str">
        <f t="array" ref="AB250">IF($Q250="","",_xlfn.TEXTJOIN(", ",TRUE,IF(NOV!$G99:$AK99="AT",NOV!$G$4:$AK$4,"")))</f>
        <v/>
      </c>
      <c r="AC250" t="str">
        <f t="array" ref="AC250">IF($Q250="","",_xlfn.TEXTJOIN(", ",TRUE,IF(DEZ!$G99:$AK99="AT",DEZ!$G$4:$AK$4,"")))</f>
        <v/>
      </c>
      <c r="AD250" t="str">
        <f>IF($Q250="","",COUNTIF(JAN!$G99:$AK99,"AT")+COUNTIF(FEV!$G99:$AK99,"AT")+COUNTIF(MAR!$G99:$AK99,"AT")+COUNTIF(ABR!$G99:$AK99,"AT")+COUNTIF(MAI!$G99:$AK99,"AT")+COUNTIF(JUN!$G99:$AK99,"AT")+COUNTIF(JUL!$G99:$AK99,"AT")+COUNTIF(AGO!$G99:$AK99,"AT")+COUNTIF(SET!$G99:$AK99,"AT")+COUNTIF(OUT!$G99:$AK99,"AT")+COUNTIF(NOV!$G99:$AK99,"AT")+COUNTIF(DEZ!$G99:$AK99,"AT"))</f>
        <v/>
      </c>
      <c r="AF250" t="str">
        <f>IF(AND($Q250&lt;&gt;"",N($AD250)&gt;0),COUNT($AF$156:AF249)+1,"")</f>
        <v/>
      </c>
    </row>
    <row r="251" spans="1:32" hidden="1" outlineLevel="1" x14ac:dyDescent="0.25">
      <c r="A251" s="36" t="str">
        <f>IFERROR(INDEX($Q$157:$Q$306,MATCH(ROWS($A$157:A251),$AF$157:$AF$306,0)),"")</f>
        <v/>
      </c>
      <c r="B251" s="35" t="str">
        <f>IFERROR(INDEX($R$157:$R$306,MATCH(ROWS($A$157:A251),$AF$157:$AF$306,0)),"")</f>
        <v/>
      </c>
      <c r="C251" s="35" t="str">
        <f>IFERROR(INDEX($S$157:$S$306,MATCH(ROWS($A$157:A251),$AF$157:$AF$306,0)),"")</f>
        <v/>
      </c>
      <c r="D251" s="35" t="str">
        <f>IFERROR(INDEX($T$157:$T$306,MATCH(ROWS($A$157:A251),$AF$157:$AF$306,0)),"")</f>
        <v/>
      </c>
      <c r="E251" s="35" t="str">
        <f>IFERROR(INDEX($U$157:$U$306,MATCH(ROWS($A$157:A251),$AF$157:$AF$306,0)),"")</f>
        <v/>
      </c>
      <c r="F251" s="35" t="str">
        <f>IFERROR(INDEX($V$157:$V$306,MATCH(ROWS($A$157:A251),$AF$157:$AF$306,0)),"")</f>
        <v/>
      </c>
      <c r="G251" s="35" t="str">
        <f>IFERROR(INDEX($W$157:$W$306,MATCH(ROWS($A$157:A251),$AF$157:$AF$306,0)),"")</f>
        <v/>
      </c>
      <c r="H251" s="35" t="str">
        <f>IFERROR(INDEX($X$157:$X$306,MATCH(ROWS($A$157:A251),$AF$157:$AF$306,0)),"")</f>
        <v/>
      </c>
      <c r="I251" s="35" t="str">
        <f>IFERROR(INDEX($Y$157:$Y$306,MATCH(ROWS($A$157:A251),$AF$157:$AF$306,0)),"")</f>
        <v/>
      </c>
      <c r="J251" s="35" t="str">
        <f>IFERROR(INDEX($Z$157:$Z$306,MATCH(ROWS($A$157:A251),$AF$157:$AF$306,0)),"")</f>
        <v/>
      </c>
      <c r="K251" s="35" t="str">
        <f>IFERROR(INDEX($AA$157:$AA$306,MATCH(ROWS($A$157:A251),$AF$157:$AF$306,0)),"")</f>
        <v/>
      </c>
      <c r="L251" s="35" t="str">
        <f>IFERROR(INDEX($AB$157:$AB$306,MATCH(ROWS($A$157:A251),$AF$157:$AF$306,0)),"")</f>
        <v/>
      </c>
      <c r="M251" s="35" t="str">
        <f>IFERROR(INDEX($AC$157:$AC$306,MATCH(ROWS($A$157:A251),$AF$157:$AF$306,0)),"")</f>
        <v/>
      </c>
      <c r="N251" s="35" t="str">
        <f>IFERROR(INDEX($AD$157:$AD$306,MATCH(ROWS($A$157:A251),$AF$157:$AF$306,0)),"")</f>
        <v/>
      </c>
      <c r="Q251" t="str">
        <f>T(JAN!B100)</f>
        <v/>
      </c>
      <c r="R251" t="str">
        <f t="array" ref="R251">IF($Q251="","",_xlfn.TEXTJOIN(", ",TRUE,IF(JAN!$G100:$AK100="AT",JAN!$G$4:$AK$4,"")))</f>
        <v/>
      </c>
      <c r="S251" t="str">
        <f t="array" ref="S251">IF($Q251="","",_xlfn.TEXTJOIN(", ",TRUE,IF(FEV!$G100:$AK100="AT",FEV!$G$4:$AK$4,"")))</f>
        <v/>
      </c>
      <c r="T251" t="str">
        <f t="array" ref="T251">IF($Q251="","",_xlfn.TEXTJOIN(", ",TRUE,IF(MAR!$G100:$AK100="AT",MAR!$G$4:$AK$4,"")))</f>
        <v/>
      </c>
      <c r="U251" t="str">
        <f t="array" ref="U251">IF($Q251="","",_xlfn.TEXTJOIN(", ",TRUE,IF(ABR!$G100:$AK100="AT",ABR!$G$4:$AK$4,"")))</f>
        <v/>
      </c>
      <c r="V251" t="str">
        <f t="array" ref="V251">IF($Q251="","",_xlfn.TEXTJOIN(", ",TRUE,IF(MAI!$G100:$AK100="AT",MAI!$G$4:$AK$4,"")))</f>
        <v/>
      </c>
      <c r="W251" t="str">
        <f t="array" ref="W251">IF($Q251="","",_xlfn.TEXTJOIN(", ",TRUE,IF(JUN!$G100:$AK100="AT",JUN!$G$4:$AK$4,"")))</f>
        <v/>
      </c>
      <c r="X251" t="str">
        <f t="array" ref="X251">IF($Q251="","",_xlfn.TEXTJOIN(", ",TRUE,IF(JUL!$G100:$AK100="AT",JUL!$G$4:$AK$4,"")))</f>
        <v/>
      </c>
      <c r="Y251" t="str">
        <f t="array" ref="Y251">IF($Q251="","",_xlfn.TEXTJOIN(", ",TRUE,IF(AGO!$G100:$AK100="AT",AGO!$G$4:$AK$4,"")))</f>
        <v/>
      </c>
      <c r="Z251" t="str">
        <f t="array" ref="Z251">IF($Q251="","",_xlfn.TEXTJOIN(", ",TRUE,IF(SET!$G100:$AK100="AT",SET!$G$4:$AK$4,"")))</f>
        <v/>
      </c>
      <c r="AA251" t="str">
        <f t="array" ref="AA251">IF($Q251="","",_xlfn.TEXTJOIN(", ",TRUE,IF(OUT!$G100:$AK100="AT",OUT!$G$4:$AK$4,"")))</f>
        <v/>
      </c>
      <c r="AB251" t="str">
        <f t="array" ref="AB251">IF($Q251="","",_xlfn.TEXTJOIN(", ",TRUE,IF(NOV!$G100:$AK100="AT",NOV!$G$4:$AK$4,"")))</f>
        <v/>
      </c>
      <c r="AC251" t="str">
        <f t="array" ref="AC251">IF($Q251="","",_xlfn.TEXTJOIN(", ",TRUE,IF(DEZ!$G100:$AK100="AT",DEZ!$G$4:$AK$4,"")))</f>
        <v/>
      </c>
      <c r="AD251" t="str">
        <f>IF($Q251="","",COUNTIF(JAN!$G100:$AK100,"AT")+COUNTIF(FEV!$G100:$AK100,"AT")+COUNTIF(MAR!$G100:$AK100,"AT")+COUNTIF(ABR!$G100:$AK100,"AT")+COUNTIF(MAI!$G100:$AK100,"AT")+COUNTIF(JUN!$G100:$AK100,"AT")+COUNTIF(JUL!$G100:$AK100,"AT")+COUNTIF(AGO!$G100:$AK100,"AT")+COUNTIF(SET!$G100:$AK100,"AT")+COUNTIF(OUT!$G100:$AK100,"AT")+COUNTIF(NOV!$G100:$AK100,"AT")+COUNTIF(DEZ!$G100:$AK100,"AT"))</f>
        <v/>
      </c>
      <c r="AF251" t="str">
        <f>IF(AND($Q251&lt;&gt;"",N($AD251)&gt;0),COUNT($AF$156:AF250)+1,"")</f>
        <v/>
      </c>
    </row>
    <row r="252" spans="1:32" hidden="1" outlineLevel="1" x14ac:dyDescent="0.25">
      <c r="A252" s="36" t="str">
        <f>IFERROR(INDEX($Q$157:$Q$306,MATCH(ROWS($A$157:A252),$AF$157:$AF$306,0)),"")</f>
        <v/>
      </c>
      <c r="B252" s="35" t="str">
        <f>IFERROR(INDEX($R$157:$R$306,MATCH(ROWS($A$157:A252),$AF$157:$AF$306,0)),"")</f>
        <v/>
      </c>
      <c r="C252" s="35" t="str">
        <f>IFERROR(INDEX($S$157:$S$306,MATCH(ROWS($A$157:A252),$AF$157:$AF$306,0)),"")</f>
        <v/>
      </c>
      <c r="D252" s="35" t="str">
        <f>IFERROR(INDEX($T$157:$T$306,MATCH(ROWS($A$157:A252),$AF$157:$AF$306,0)),"")</f>
        <v/>
      </c>
      <c r="E252" s="35" t="str">
        <f>IFERROR(INDEX($U$157:$U$306,MATCH(ROWS($A$157:A252),$AF$157:$AF$306,0)),"")</f>
        <v/>
      </c>
      <c r="F252" s="35" t="str">
        <f>IFERROR(INDEX($V$157:$V$306,MATCH(ROWS($A$157:A252),$AF$157:$AF$306,0)),"")</f>
        <v/>
      </c>
      <c r="G252" s="35" t="str">
        <f>IFERROR(INDEX($W$157:$W$306,MATCH(ROWS($A$157:A252),$AF$157:$AF$306,0)),"")</f>
        <v/>
      </c>
      <c r="H252" s="35" t="str">
        <f>IFERROR(INDEX($X$157:$X$306,MATCH(ROWS($A$157:A252),$AF$157:$AF$306,0)),"")</f>
        <v/>
      </c>
      <c r="I252" s="35" t="str">
        <f>IFERROR(INDEX($Y$157:$Y$306,MATCH(ROWS($A$157:A252),$AF$157:$AF$306,0)),"")</f>
        <v/>
      </c>
      <c r="J252" s="35" t="str">
        <f>IFERROR(INDEX($Z$157:$Z$306,MATCH(ROWS($A$157:A252),$AF$157:$AF$306,0)),"")</f>
        <v/>
      </c>
      <c r="K252" s="35" t="str">
        <f>IFERROR(INDEX($AA$157:$AA$306,MATCH(ROWS($A$157:A252),$AF$157:$AF$306,0)),"")</f>
        <v/>
      </c>
      <c r="L252" s="35" t="str">
        <f>IFERROR(INDEX($AB$157:$AB$306,MATCH(ROWS($A$157:A252),$AF$157:$AF$306,0)),"")</f>
        <v/>
      </c>
      <c r="M252" s="35" t="str">
        <f>IFERROR(INDEX($AC$157:$AC$306,MATCH(ROWS($A$157:A252),$AF$157:$AF$306,0)),"")</f>
        <v/>
      </c>
      <c r="N252" s="35" t="str">
        <f>IFERROR(INDEX($AD$157:$AD$306,MATCH(ROWS($A$157:A252),$AF$157:$AF$306,0)),"")</f>
        <v/>
      </c>
      <c r="Q252" t="str">
        <f>T(JAN!B101)</f>
        <v/>
      </c>
      <c r="R252" t="str">
        <f t="array" ref="R252">IF($Q252="","",_xlfn.TEXTJOIN(", ",TRUE,IF(JAN!$G101:$AK101="AT",JAN!$G$4:$AK$4,"")))</f>
        <v/>
      </c>
      <c r="S252" t="str">
        <f t="array" ref="S252">IF($Q252="","",_xlfn.TEXTJOIN(", ",TRUE,IF(FEV!$G101:$AK101="AT",FEV!$G$4:$AK$4,"")))</f>
        <v/>
      </c>
      <c r="T252" t="str">
        <f t="array" ref="T252">IF($Q252="","",_xlfn.TEXTJOIN(", ",TRUE,IF(MAR!$G101:$AK101="AT",MAR!$G$4:$AK$4,"")))</f>
        <v/>
      </c>
      <c r="U252" t="str">
        <f t="array" ref="U252">IF($Q252="","",_xlfn.TEXTJOIN(", ",TRUE,IF(ABR!$G101:$AK101="AT",ABR!$G$4:$AK$4,"")))</f>
        <v/>
      </c>
      <c r="V252" t="str">
        <f t="array" ref="V252">IF($Q252="","",_xlfn.TEXTJOIN(", ",TRUE,IF(MAI!$G101:$AK101="AT",MAI!$G$4:$AK$4,"")))</f>
        <v/>
      </c>
      <c r="W252" t="str">
        <f t="array" ref="W252">IF($Q252="","",_xlfn.TEXTJOIN(", ",TRUE,IF(JUN!$G101:$AK101="AT",JUN!$G$4:$AK$4,"")))</f>
        <v/>
      </c>
      <c r="X252" t="str">
        <f t="array" ref="X252">IF($Q252="","",_xlfn.TEXTJOIN(", ",TRUE,IF(JUL!$G101:$AK101="AT",JUL!$G$4:$AK$4,"")))</f>
        <v/>
      </c>
      <c r="Y252" t="str">
        <f t="array" ref="Y252">IF($Q252="","",_xlfn.TEXTJOIN(", ",TRUE,IF(AGO!$G101:$AK101="AT",AGO!$G$4:$AK$4,"")))</f>
        <v/>
      </c>
      <c r="Z252" t="str">
        <f t="array" ref="Z252">IF($Q252="","",_xlfn.TEXTJOIN(", ",TRUE,IF(SET!$G101:$AK101="AT",SET!$G$4:$AK$4,"")))</f>
        <v/>
      </c>
      <c r="AA252" t="str">
        <f t="array" ref="AA252">IF($Q252="","",_xlfn.TEXTJOIN(", ",TRUE,IF(OUT!$G101:$AK101="AT",OUT!$G$4:$AK$4,"")))</f>
        <v/>
      </c>
      <c r="AB252" t="str">
        <f t="array" ref="AB252">IF($Q252="","",_xlfn.TEXTJOIN(", ",TRUE,IF(NOV!$G101:$AK101="AT",NOV!$G$4:$AK$4,"")))</f>
        <v/>
      </c>
      <c r="AC252" t="str">
        <f t="array" ref="AC252">IF($Q252="","",_xlfn.TEXTJOIN(", ",TRUE,IF(DEZ!$G101:$AK101="AT",DEZ!$G$4:$AK$4,"")))</f>
        <v/>
      </c>
      <c r="AD252" t="str">
        <f>IF($Q252="","",COUNTIF(JAN!$G101:$AK101,"AT")+COUNTIF(FEV!$G101:$AK101,"AT")+COUNTIF(MAR!$G101:$AK101,"AT")+COUNTIF(ABR!$G101:$AK101,"AT")+COUNTIF(MAI!$G101:$AK101,"AT")+COUNTIF(JUN!$G101:$AK101,"AT")+COUNTIF(JUL!$G101:$AK101,"AT")+COUNTIF(AGO!$G101:$AK101,"AT")+COUNTIF(SET!$G101:$AK101,"AT")+COUNTIF(OUT!$G101:$AK101,"AT")+COUNTIF(NOV!$G101:$AK101,"AT")+COUNTIF(DEZ!$G101:$AK101,"AT"))</f>
        <v/>
      </c>
      <c r="AF252" t="str">
        <f>IF(AND($Q252&lt;&gt;"",N($AD252)&gt;0),COUNT($AF$156:AF251)+1,"")</f>
        <v/>
      </c>
    </row>
    <row r="253" spans="1:32" hidden="1" outlineLevel="1" x14ac:dyDescent="0.25">
      <c r="A253" s="36" t="str">
        <f>IFERROR(INDEX($Q$157:$Q$306,MATCH(ROWS($A$157:A253),$AF$157:$AF$306,0)),"")</f>
        <v/>
      </c>
      <c r="B253" s="35" t="str">
        <f>IFERROR(INDEX($R$157:$R$306,MATCH(ROWS($A$157:A253),$AF$157:$AF$306,0)),"")</f>
        <v/>
      </c>
      <c r="C253" s="35" t="str">
        <f>IFERROR(INDEX($S$157:$S$306,MATCH(ROWS($A$157:A253),$AF$157:$AF$306,0)),"")</f>
        <v/>
      </c>
      <c r="D253" s="35" t="str">
        <f>IFERROR(INDEX($T$157:$T$306,MATCH(ROWS($A$157:A253),$AF$157:$AF$306,0)),"")</f>
        <v/>
      </c>
      <c r="E253" s="35" t="str">
        <f>IFERROR(INDEX($U$157:$U$306,MATCH(ROWS($A$157:A253),$AF$157:$AF$306,0)),"")</f>
        <v/>
      </c>
      <c r="F253" s="35" t="str">
        <f>IFERROR(INDEX($V$157:$V$306,MATCH(ROWS($A$157:A253),$AF$157:$AF$306,0)),"")</f>
        <v/>
      </c>
      <c r="G253" s="35" t="str">
        <f>IFERROR(INDEX($W$157:$W$306,MATCH(ROWS($A$157:A253),$AF$157:$AF$306,0)),"")</f>
        <v/>
      </c>
      <c r="H253" s="35" t="str">
        <f>IFERROR(INDEX($X$157:$X$306,MATCH(ROWS($A$157:A253),$AF$157:$AF$306,0)),"")</f>
        <v/>
      </c>
      <c r="I253" s="35" t="str">
        <f>IFERROR(INDEX($Y$157:$Y$306,MATCH(ROWS($A$157:A253),$AF$157:$AF$306,0)),"")</f>
        <v/>
      </c>
      <c r="J253" s="35" t="str">
        <f>IFERROR(INDEX($Z$157:$Z$306,MATCH(ROWS($A$157:A253),$AF$157:$AF$306,0)),"")</f>
        <v/>
      </c>
      <c r="K253" s="35" t="str">
        <f>IFERROR(INDEX($AA$157:$AA$306,MATCH(ROWS($A$157:A253),$AF$157:$AF$306,0)),"")</f>
        <v/>
      </c>
      <c r="L253" s="35" t="str">
        <f>IFERROR(INDEX($AB$157:$AB$306,MATCH(ROWS($A$157:A253),$AF$157:$AF$306,0)),"")</f>
        <v/>
      </c>
      <c r="M253" s="35" t="str">
        <f>IFERROR(INDEX($AC$157:$AC$306,MATCH(ROWS($A$157:A253),$AF$157:$AF$306,0)),"")</f>
        <v/>
      </c>
      <c r="N253" s="35" t="str">
        <f>IFERROR(INDEX($AD$157:$AD$306,MATCH(ROWS($A$157:A253),$AF$157:$AF$306,0)),"")</f>
        <v/>
      </c>
      <c r="Q253" t="str">
        <f>T(JAN!B102)</f>
        <v/>
      </c>
      <c r="R253" t="str">
        <f t="array" ref="R253">IF($Q253="","",_xlfn.TEXTJOIN(", ",TRUE,IF(JAN!$G102:$AK102="AT",JAN!$G$4:$AK$4,"")))</f>
        <v/>
      </c>
      <c r="S253" t="str">
        <f t="array" ref="S253">IF($Q253="","",_xlfn.TEXTJOIN(", ",TRUE,IF(FEV!$G102:$AK102="AT",FEV!$G$4:$AK$4,"")))</f>
        <v/>
      </c>
      <c r="T253" t="str">
        <f t="array" ref="T253">IF($Q253="","",_xlfn.TEXTJOIN(", ",TRUE,IF(MAR!$G102:$AK102="AT",MAR!$G$4:$AK$4,"")))</f>
        <v/>
      </c>
      <c r="U253" t="str">
        <f t="array" ref="U253">IF($Q253="","",_xlfn.TEXTJOIN(", ",TRUE,IF(ABR!$G102:$AK102="AT",ABR!$G$4:$AK$4,"")))</f>
        <v/>
      </c>
      <c r="V253" t="str">
        <f t="array" ref="V253">IF($Q253="","",_xlfn.TEXTJOIN(", ",TRUE,IF(MAI!$G102:$AK102="AT",MAI!$G$4:$AK$4,"")))</f>
        <v/>
      </c>
      <c r="W253" t="str">
        <f t="array" ref="W253">IF($Q253="","",_xlfn.TEXTJOIN(", ",TRUE,IF(JUN!$G102:$AK102="AT",JUN!$G$4:$AK$4,"")))</f>
        <v/>
      </c>
      <c r="X253" t="str">
        <f t="array" ref="X253">IF($Q253="","",_xlfn.TEXTJOIN(", ",TRUE,IF(JUL!$G102:$AK102="AT",JUL!$G$4:$AK$4,"")))</f>
        <v/>
      </c>
      <c r="Y253" t="str">
        <f t="array" ref="Y253">IF($Q253="","",_xlfn.TEXTJOIN(", ",TRUE,IF(AGO!$G102:$AK102="AT",AGO!$G$4:$AK$4,"")))</f>
        <v/>
      </c>
      <c r="Z253" t="str">
        <f t="array" ref="Z253">IF($Q253="","",_xlfn.TEXTJOIN(", ",TRUE,IF(SET!$G102:$AK102="AT",SET!$G$4:$AK$4,"")))</f>
        <v/>
      </c>
      <c r="AA253" t="str">
        <f t="array" ref="AA253">IF($Q253="","",_xlfn.TEXTJOIN(", ",TRUE,IF(OUT!$G102:$AK102="AT",OUT!$G$4:$AK$4,"")))</f>
        <v/>
      </c>
      <c r="AB253" t="str">
        <f t="array" ref="AB253">IF($Q253="","",_xlfn.TEXTJOIN(", ",TRUE,IF(NOV!$G102:$AK102="AT",NOV!$G$4:$AK$4,"")))</f>
        <v/>
      </c>
      <c r="AC253" t="str">
        <f t="array" ref="AC253">IF($Q253="","",_xlfn.TEXTJOIN(", ",TRUE,IF(DEZ!$G102:$AK102="AT",DEZ!$G$4:$AK$4,"")))</f>
        <v/>
      </c>
      <c r="AD253" t="str">
        <f>IF($Q253="","",COUNTIF(JAN!$G102:$AK102,"AT")+COUNTIF(FEV!$G102:$AK102,"AT")+COUNTIF(MAR!$G102:$AK102,"AT")+COUNTIF(ABR!$G102:$AK102,"AT")+COUNTIF(MAI!$G102:$AK102,"AT")+COUNTIF(JUN!$G102:$AK102,"AT")+COUNTIF(JUL!$G102:$AK102,"AT")+COUNTIF(AGO!$G102:$AK102,"AT")+COUNTIF(SET!$G102:$AK102,"AT")+COUNTIF(OUT!$G102:$AK102,"AT")+COUNTIF(NOV!$G102:$AK102,"AT")+COUNTIF(DEZ!$G102:$AK102,"AT"))</f>
        <v/>
      </c>
      <c r="AF253" t="str">
        <f>IF(AND($Q253&lt;&gt;"",N($AD253)&gt;0),COUNT($AF$156:AF252)+1,"")</f>
        <v/>
      </c>
    </row>
    <row r="254" spans="1:32" hidden="1" outlineLevel="1" x14ac:dyDescent="0.25">
      <c r="A254" s="36" t="str">
        <f>IFERROR(INDEX($Q$157:$Q$306,MATCH(ROWS($A$157:A254),$AF$157:$AF$306,0)),"")</f>
        <v/>
      </c>
      <c r="B254" s="35" t="str">
        <f>IFERROR(INDEX($R$157:$R$306,MATCH(ROWS($A$157:A254),$AF$157:$AF$306,0)),"")</f>
        <v/>
      </c>
      <c r="C254" s="35" t="str">
        <f>IFERROR(INDEX($S$157:$S$306,MATCH(ROWS($A$157:A254),$AF$157:$AF$306,0)),"")</f>
        <v/>
      </c>
      <c r="D254" s="35" t="str">
        <f>IFERROR(INDEX($T$157:$T$306,MATCH(ROWS($A$157:A254),$AF$157:$AF$306,0)),"")</f>
        <v/>
      </c>
      <c r="E254" s="35" t="str">
        <f>IFERROR(INDEX($U$157:$U$306,MATCH(ROWS($A$157:A254),$AF$157:$AF$306,0)),"")</f>
        <v/>
      </c>
      <c r="F254" s="35" t="str">
        <f>IFERROR(INDEX($V$157:$V$306,MATCH(ROWS($A$157:A254),$AF$157:$AF$306,0)),"")</f>
        <v/>
      </c>
      <c r="G254" s="35" t="str">
        <f>IFERROR(INDEX($W$157:$W$306,MATCH(ROWS($A$157:A254),$AF$157:$AF$306,0)),"")</f>
        <v/>
      </c>
      <c r="H254" s="35" t="str">
        <f>IFERROR(INDEX($X$157:$X$306,MATCH(ROWS($A$157:A254),$AF$157:$AF$306,0)),"")</f>
        <v/>
      </c>
      <c r="I254" s="35" t="str">
        <f>IFERROR(INDEX($Y$157:$Y$306,MATCH(ROWS($A$157:A254),$AF$157:$AF$306,0)),"")</f>
        <v/>
      </c>
      <c r="J254" s="35" t="str">
        <f>IFERROR(INDEX($Z$157:$Z$306,MATCH(ROWS($A$157:A254),$AF$157:$AF$306,0)),"")</f>
        <v/>
      </c>
      <c r="K254" s="35" t="str">
        <f>IFERROR(INDEX($AA$157:$AA$306,MATCH(ROWS($A$157:A254),$AF$157:$AF$306,0)),"")</f>
        <v/>
      </c>
      <c r="L254" s="35" t="str">
        <f>IFERROR(INDEX($AB$157:$AB$306,MATCH(ROWS($A$157:A254),$AF$157:$AF$306,0)),"")</f>
        <v/>
      </c>
      <c r="M254" s="35" t="str">
        <f>IFERROR(INDEX($AC$157:$AC$306,MATCH(ROWS($A$157:A254),$AF$157:$AF$306,0)),"")</f>
        <v/>
      </c>
      <c r="N254" s="35" t="str">
        <f>IFERROR(INDEX($AD$157:$AD$306,MATCH(ROWS($A$157:A254),$AF$157:$AF$306,0)),"")</f>
        <v/>
      </c>
      <c r="Q254" t="str">
        <f>T(JAN!B103)</f>
        <v/>
      </c>
      <c r="R254" t="str">
        <f t="array" ref="R254">IF($Q254="","",_xlfn.TEXTJOIN(", ",TRUE,IF(JAN!$G103:$AK103="AT",JAN!$G$4:$AK$4,"")))</f>
        <v/>
      </c>
      <c r="S254" t="str">
        <f t="array" ref="S254">IF($Q254="","",_xlfn.TEXTJOIN(", ",TRUE,IF(FEV!$G103:$AK103="AT",FEV!$G$4:$AK$4,"")))</f>
        <v/>
      </c>
      <c r="T254" t="str">
        <f t="array" ref="T254">IF($Q254="","",_xlfn.TEXTJOIN(", ",TRUE,IF(MAR!$G103:$AK103="AT",MAR!$G$4:$AK$4,"")))</f>
        <v/>
      </c>
      <c r="U254" t="str">
        <f t="array" ref="U254">IF($Q254="","",_xlfn.TEXTJOIN(", ",TRUE,IF(ABR!$G103:$AK103="AT",ABR!$G$4:$AK$4,"")))</f>
        <v/>
      </c>
      <c r="V254" t="str">
        <f t="array" ref="V254">IF($Q254="","",_xlfn.TEXTJOIN(", ",TRUE,IF(MAI!$G103:$AK103="AT",MAI!$G$4:$AK$4,"")))</f>
        <v/>
      </c>
      <c r="W254" t="str">
        <f t="array" ref="W254">IF($Q254="","",_xlfn.TEXTJOIN(", ",TRUE,IF(JUN!$G103:$AK103="AT",JUN!$G$4:$AK$4,"")))</f>
        <v/>
      </c>
      <c r="X254" t="str">
        <f t="array" ref="X254">IF($Q254="","",_xlfn.TEXTJOIN(", ",TRUE,IF(JUL!$G103:$AK103="AT",JUL!$G$4:$AK$4,"")))</f>
        <v/>
      </c>
      <c r="Y254" t="str">
        <f t="array" ref="Y254">IF($Q254="","",_xlfn.TEXTJOIN(", ",TRUE,IF(AGO!$G103:$AK103="AT",AGO!$G$4:$AK$4,"")))</f>
        <v/>
      </c>
      <c r="Z254" t="str">
        <f t="array" ref="Z254">IF($Q254="","",_xlfn.TEXTJOIN(", ",TRUE,IF(SET!$G103:$AK103="AT",SET!$G$4:$AK$4,"")))</f>
        <v/>
      </c>
      <c r="AA254" t="str">
        <f t="array" ref="AA254">IF($Q254="","",_xlfn.TEXTJOIN(", ",TRUE,IF(OUT!$G103:$AK103="AT",OUT!$G$4:$AK$4,"")))</f>
        <v/>
      </c>
      <c r="AB254" t="str">
        <f t="array" ref="AB254">IF($Q254="","",_xlfn.TEXTJOIN(", ",TRUE,IF(NOV!$G103:$AK103="AT",NOV!$G$4:$AK$4,"")))</f>
        <v/>
      </c>
      <c r="AC254" t="str">
        <f t="array" ref="AC254">IF($Q254="","",_xlfn.TEXTJOIN(", ",TRUE,IF(DEZ!$G103:$AK103="AT",DEZ!$G$4:$AK$4,"")))</f>
        <v/>
      </c>
      <c r="AD254" t="str">
        <f>IF($Q254="","",COUNTIF(JAN!$G103:$AK103,"AT")+COUNTIF(FEV!$G103:$AK103,"AT")+COUNTIF(MAR!$G103:$AK103,"AT")+COUNTIF(ABR!$G103:$AK103,"AT")+COUNTIF(MAI!$G103:$AK103,"AT")+COUNTIF(JUN!$G103:$AK103,"AT")+COUNTIF(JUL!$G103:$AK103,"AT")+COUNTIF(AGO!$G103:$AK103,"AT")+COUNTIF(SET!$G103:$AK103,"AT")+COUNTIF(OUT!$G103:$AK103,"AT")+COUNTIF(NOV!$G103:$AK103,"AT")+COUNTIF(DEZ!$G103:$AK103,"AT"))</f>
        <v/>
      </c>
      <c r="AF254" t="str">
        <f>IF(AND($Q254&lt;&gt;"",N($AD254)&gt;0),COUNT($AF$156:AF253)+1,"")</f>
        <v/>
      </c>
    </row>
    <row r="255" spans="1:32" hidden="1" outlineLevel="1" x14ac:dyDescent="0.25">
      <c r="A255" s="36" t="str">
        <f>IFERROR(INDEX($Q$157:$Q$306,MATCH(ROWS($A$157:A255),$AF$157:$AF$306,0)),"")</f>
        <v/>
      </c>
      <c r="B255" s="35" t="str">
        <f>IFERROR(INDEX($R$157:$R$306,MATCH(ROWS($A$157:A255),$AF$157:$AF$306,0)),"")</f>
        <v/>
      </c>
      <c r="C255" s="35" t="str">
        <f>IFERROR(INDEX($S$157:$S$306,MATCH(ROWS($A$157:A255),$AF$157:$AF$306,0)),"")</f>
        <v/>
      </c>
      <c r="D255" s="35" t="str">
        <f>IFERROR(INDEX($T$157:$T$306,MATCH(ROWS($A$157:A255),$AF$157:$AF$306,0)),"")</f>
        <v/>
      </c>
      <c r="E255" s="35" t="str">
        <f>IFERROR(INDEX($U$157:$U$306,MATCH(ROWS($A$157:A255),$AF$157:$AF$306,0)),"")</f>
        <v/>
      </c>
      <c r="F255" s="35" t="str">
        <f>IFERROR(INDEX($V$157:$V$306,MATCH(ROWS($A$157:A255),$AF$157:$AF$306,0)),"")</f>
        <v/>
      </c>
      <c r="G255" s="35" t="str">
        <f>IFERROR(INDEX($W$157:$W$306,MATCH(ROWS($A$157:A255),$AF$157:$AF$306,0)),"")</f>
        <v/>
      </c>
      <c r="H255" s="35" t="str">
        <f>IFERROR(INDEX($X$157:$X$306,MATCH(ROWS($A$157:A255),$AF$157:$AF$306,0)),"")</f>
        <v/>
      </c>
      <c r="I255" s="35" t="str">
        <f>IFERROR(INDEX($Y$157:$Y$306,MATCH(ROWS($A$157:A255),$AF$157:$AF$306,0)),"")</f>
        <v/>
      </c>
      <c r="J255" s="35" t="str">
        <f>IFERROR(INDEX($Z$157:$Z$306,MATCH(ROWS($A$157:A255),$AF$157:$AF$306,0)),"")</f>
        <v/>
      </c>
      <c r="K255" s="35" t="str">
        <f>IFERROR(INDEX($AA$157:$AA$306,MATCH(ROWS($A$157:A255),$AF$157:$AF$306,0)),"")</f>
        <v/>
      </c>
      <c r="L255" s="35" t="str">
        <f>IFERROR(INDEX($AB$157:$AB$306,MATCH(ROWS($A$157:A255),$AF$157:$AF$306,0)),"")</f>
        <v/>
      </c>
      <c r="M255" s="35" t="str">
        <f>IFERROR(INDEX($AC$157:$AC$306,MATCH(ROWS($A$157:A255),$AF$157:$AF$306,0)),"")</f>
        <v/>
      </c>
      <c r="N255" s="35" t="str">
        <f>IFERROR(INDEX($AD$157:$AD$306,MATCH(ROWS($A$157:A255),$AF$157:$AF$306,0)),"")</f>
        <v/>
      </c>
      <c r="Q255" t="str">
        <f>T(JAN!B104)</f>
        <v/>
      </c>
      <c r="R255" t="str">
        <f t="array" ref="R255">IF($Q255="","",_xlfn.TEXTJOIN(", ",TRUE,IF(JAN!$G104:$AK104="AT",JAN!$G$4:$AK$4,"")))</f>
        <v/>
      </c>
      <c r="S255" t="str">
        <f t="array" ref="S255">IF($Q255="","",_xlfn.TEXTJOIN(", ",TRUE,IF(FEV!$G104:$AK104="AT",FEV!$G$4:$AK$4,"")))</f>
        <v/>
      </c>
      <c r="T255" t="str">
        <f t="array" ref="T255">IF($Q255="","",_xlfn.TEXTJOIN(", ",TRUE,IF(MAR!$G104:$AK104="AT",MAR!$G$4:$AK$4,"")))</f>
        <v/>
      </c>
      <c r="U255" t="str">
        <f t="array" ref="U255">IF($Q255="","",_xlfn.TEXTJOIN(", ",TRUE,IF(ABR!$G104:$AK104="AT",ABR!$G$4:$AK$4,"")))</f>
        <v/>
      </c>
      <c r="V255" t="str">
        <f t="array" ref="V255">IF($Q255="","",_xlfn.TEXTJOIN(", ",TRUE,IF(MAI!$G104:$AK104="AT",MAI!$G$4:$AK$4,"")))</f>
        <v/>
      </c>
      <c r="W255" t="str">
        <f t="array" ref="W255">IF($Q255="","",_xlfn.TEXTJOIN(", ",TRUE,IF(JUN!$G104:$AK104="AT",JUN!$G$4:$AK$4,"")))</f>
        <v/>
      </c>
      <c r="X255" t="str">
        <f t="array" ref="X255">IF($Q255="","",_xlfn.TEXTJOIN(", ",TRUE,IF(JUL!$G104:$AK104="AT",JUL!$G$4:$AK$4,"")))</f>
        <v/>
      </c>
      <c r="Y255" t="str">
        <f t="array" ref="Y255">IF($Q255="","",_xlfn.TEXTJOIN(", ",TRUE,IF(AGO!$G104:$AK104="AT",AGO!$G$4:$AK$4,"")))</f>
        <v/>
      </c>
      <c r="Z255" t="str">
        <f t="array" ref="Z255">IF($Q255="","",_xlfn.TEXTJOIN(", ",TRUE,IF(SET!$G104:$AK104="AT",SET!$G$4:$AK$4,"")))</f>
        <v/>
      </c>
      <c r="AA255" t="str">
        <f t="array" ref="AA255">IF($Q255="","",_xlfn.TEXTJOIN(", ",TRUE,IF(OUT!$G104:$AK104="AT",OUT!$G$4:$AK$4,"")))</f>
        <v/>
      </c>
      <c r="AB255" t="str">
        <f t="array" ref="AB255">IF($Q255="","",_xlfn.TEXTJOIN(", ",TRUE,IF(NOV!$G104:$AK104="AT",NOV!$G$4:$AK$4,"")))</f>
        <v/>
      </c>
      <c r="AC255" t="str">
        <f t="array" ref="AC255">IF($Q255="","",_xlfn.TEXTJOIN(", ",TRUE,IF(DEZ!$G104:$AK104="AT",DEZ!$G$4:$AK$4,"")))</f>
        <v/>
      </c>
      <c r="AD255" t="str">
        <f>IF($Q255="","",COUNTIF(JAN!$G104:$AK104,"AT")+COUNTIF(FEV!$G104:$AK104,"AT")+COUNTIF(MAR!$G104:$AK104,"AT")+COUNTIF(ABR!$G104:$AK104,"AT")+COUNTIF(MAI!$G104:$AK104,"AT")+COUNTIF(JUN!$G104:$AK104,"AT")+COUNTIF(JUL!$G104:$AK104,"AT")+COUNTIF(AGO!$G104:$AK104,"AT")+COUNTIF(SET!$G104:$AK104,"AT")+COUNTIF(OUT!$G104:$AK104,"AT")+COUNTIF(NOV!$G104:$AK104,"AT")+COUNTIF(DEZ!$G104:$AK104,"AT"))</f>
        <v/>
      </c>
      <c r="AF255" t="str">
        <f>IF(AND($Q255&lt;&gt;"",N($AD255)&gt;0),COUNT($AF$156:AF254)+1,"")</f>
        <v/>
      </c>
    </row>
    <row r="256" spans="1:32" hidden="1" outlineLevel="1" x14ac:dyDescent="0.25">
      <c r="A256" s="36" t="str">
        <f>IFERROR(INDEX($Q$157:$Q$306,MATCH(ROWS($A$157:A256),$AF$157:$AF$306,0)),"")</f>
        <v/>
      </c>
      <c r="B256" s="35" t="str">
        <f>IFERROR(INDEX($R$157:$R$306,MATCH(ROWS($A$157:A256),$AF$157:$AF$306,0)),"")</f>
        <v/>
      </c>
      <c r="C256" s="35" t="str">
        <f>IFERROR(INDEX($S$157:$S$306,MATCH(ROWS($A$157:A256),$AF$157:$AF$306,0)),"")</f>
        <v/>
      </c>
      <c r="D256" s="35" t="str">
        <f>IFERROR(INDEX($T$157:$T$306,MATCH(ROWS($A$157:A256),$AF$157:$AF$306,0)),"")</f>
        <v/>
      </c>
      <c r="E256" s="35" t="str">
        <f>IFERROR(INDEX($U$157:$U$306,MATCH(ROWS($A$157:A256),$AF$157:$AF$306,0)),"")</f>
        <v/>
      </c>
      <c r="F256" s="35" t="str">
        <f>IFERROR(INDEX($V$157:$V$306,MATCH(ROWS($A$157:A256),$AF$157:$AF$306,0)),"")</f>
        <v/>
      </c>
      <c r="G256" s="35" t="str">
        <f>IFERROR(INDEX($W$157:$W$306,MATCH(ROWS($A$157:A256),$AF$157:$AF$306,0)),"")</f>
        <v/>
      </c>
      <c r="H256" s="35" t="str">
        <f>IFERROR(INDEX($X$157:$X$306,MATCH(ROWS($A$157:A256),$AF$157:$AF$306,0)),"")</f>
        <v/>
      </c>
      <c r="I256" s="35" t="str">
        <f>IFERROR(INDEX($Y$157:$Y$306,MATCH(ROWS($A$157:A256),$AF$157:$AF$306,0)),"")</f>
        <v/>
      </c>
      <c r="J256" s="35" t="str">
        <f>IFERROR(INDEX($Z$157:$Z$306,MATCH(ROWS($A$157:A256),$AF$157:$AF$306,0)),"")</f>
        <v/>
      </c>
      <c r="K256" s="35" t="str">
        <f>IFERROR(INDEX($AA$157:$AA$306,MATCH(ROWS($A$157:A256),$AF$157:$AF$306,0)),"")</f>
        <v/>
      </c>
      <c r="L256" s="35" t="str">
        <f>IFERROR(INDEX($AB$157:$AB$306,MATCH(ROWS($A$157:A256),$AF$157:$AF$306,0)),"")</f>
        <v/>
      </c>
      <c r="M256" s="35" t="str">
        <f>IFERROR(INDEX($AC$157:$AC$306,MATCH(ROWS($A$157:A256),$AF$157:$AF$306,0)),"")</f>
        <v/>
      </c>
      <c r="N256" s="35" t="str">
        <f>IFERROR(INDEX($AD$157:$AD$306,MATCH(ROWS($A$157:A256),$AF$157:$AF$306,0)),"")</f>
        <v/>
      </c>
      <c r="Q256" t="str">
        <f>T(JAN!B105)</f>
        <v/>
      </c>
      <c r="R256" t="str">
        <f t="array" ref="R256">IF($Q256="","",_xlfn.TEXTJOIN(", ",TRUE,IF(JAN!$G105:$AK105="AT",JAN!$G$4:$AK$4,"")))</f>
        <v/>
      </c>
      <c r="S256" t="str">
        <f t="array" ref="S256">IF($Q256="","",_xlfn.TEXTJOIN(", ",TRUE,IF(FEV!$G105:$AK105="AT",FEV!$G$4:$AK$4,"")))</f>
        <v/>
      </c>
      <c r="T256" t="str">
        <f t="array" ref="T256">IF($Q256="","",_xlfn.TEXTJOIN(", ",TRUE,IF(MAR!$G105:$AK105="AT",MAR!$G$4:$AK$4,"")))</f>
        <v/>
      </c>
      <c r="U256" t="str">
        <f t="array" ref="U256">IF($Q256="","",_xlfn.TEXTJOIN(", ",TRUE,IF(ABR!$G105:$AK105="AT",ABR!$G$4:$AK$4,"")))</f>
        <v/>
      </c>
      <c r="V256" t="str">
        <f t="array" ref="V256">IF($Q256="","",_xlfn.TEXTJOIN(", ",TRUE,IF(MAI!$G105:$AK105="AT",MAI!$G$4:$AK$4,"")))</f>
        <v/>
      </c>
      <c r="W256" t="str">
        <f t="array" ref="W256">IF($Q256="","",_xlfn.TEXTJOIN(", ",TRUE,IF(JUN!$G105:$AK105="AT",JUN!$G$4:$AK$4,"")))</f>
        <v/>
      </c>
      <c r="X256" t="str">
        <f t="array" ref="X256">IF($Q256="","",_xlfn.TEXTJOIN(", ",TRUE,IF(JUL!$G105:$AK105="AT",JUL!$G$4:$AK$4,"")))</f>
        <v/>
      </c>
      <c r="Y256" t="str">
        <f t="array" ref="Y256">IF($Q256="","",_xlfn.TEXTJOIN(", ",TRUE,IF(AGO!$G105:$AK105="AT",AGO!$G$4:$AK$4,"")))</f>
        <v/>
      </c>
      <c r="Z256" t="str">
        <f t="array" ref="Z256">IF($Q256="","",_xlfn.TEXTJOIN(", ",TRUE,IF(SET!$G105:$AK105="AT",SET!$G$4:$AK$4,"")))</f>
        <v/>
      </c>
      <c r="AA256" t="str">
        <f t="array" ref="AA256">IF($Q256="","",_xlfn.TEXTJOIN(", ",TRUE,IF(OUT!$G105:$AK105="AT",OUT!$G$4:$AK$4,"")))</f>
        <v/>
      </c>
      <c r="AB256" t="str">
        <f t="array" ref="AB256">IF($Q256="","",_xlfn.TEXTJOIN(", ",TRUE,IF(NOV!$G105:$AK105="AT",NOV!$G$4:$AK$4,"")))</f>
        <v/>
      </c>
      <c r="AC256" t="str">
        <f t="array" ref="AC256">IF($Q256="","",_xlfn.TEXTJOIN(", ",TRUE,IF(DEZ!$G105:$AK105="AT",DEZ!$G$4:$AK$4,"")))</f>
        <v/>
      </c>
      <c r="AD256" t="str">
        <f>IF($Q256="","",COUNTIF(JAN!$G105:$AK105,"AT")+COUNTIF(FEV!$G105:$AK105,"AT")+COUNTIF(MAR!$G105:$AK105,"AT")+COUNTIF(ABR!$G105:$AK105,"AT")+COUNTIF(MAI!$G105:$AK105,"AT")+COUNTIF(JUN!$G105:$AK105,"AT")+COUNTIF(JUL!$G105:$AK105,"AT")+COUNTIF(AGO!$G105:$AK105,"AT")+COUNTIF(SET!$G105:$AK105,"AT")+COUNTIF(OUT!$G105:$AK105,"AT")+COUNTIF(NOV!$G105:$AK105,"AT")+COUNTIF(DEZ!$G105:$AK105,"AT"))</f>
        <v/>
      </c>
      <c r="AF256" t="str">
        <f>IF(AND($Q256&lt;&gt;"",N($AD256)&gt;0),COUNT($AF$156:AF255)+1,"")</f>
        <v/>
      </c>
    </row>
    <row r="257" spans="1:32" hidden="1" outlineLevel="1" x14ac:dyDescent="0.25">
      <c r="A257" s="36" t="str">
        <f>IFERROR(INDEX($Q$157:$Q$306,MATCH(ROWS($A$157:A257),$AF$157:$AF$306,0)),"")</f>
        <v/>
      </c>
      <c r="B257" s="35" t="str">
        <f>IFERROR(INDEX($R$157:$R$306,MATCH(ROWS($A$157:A257),$AF$157:$AF$306,0)),"")</f>
        <v/>
      </c>
      <c r="C257" s="35" t="str">
        <f>IFERROR(INDEX($S$157:$S$306,MATCH(ROWS($A$157:A257),$AF$157:$AF$306,0)),"")</f>
        <v/>
      </c>
      <c r="D257" s="35" t="str">
        <f>IFERROR(INDEX($T$157:$T$306,MATCH(ROWS($A$157:A257),$AF$157:$AF$306,0)),"")</f>
        <v/>
      </c>
      <c r="E257" s="35" t="str">
        <f>IFERROR(INDEX($U$157:$U$306,MATCH(ROWS($A$157:A257),$AF$157:$AF$306,0)),"")</f>
        <v/>
      </c>
      <c r="F257" s="35" t="str">
        <f>IFERROR(INDEX($V$157:$V$306,MATCH(ROWS($A$157:A257),$AF$157:$AF$306,0)),"")</f>
        <v/>
      </c>
      <c r="G257" s="35" t="str">
        <f>IFERROR(INDEX($W$157:$W$306,MATCH(ROWS($A$157:A257),$AF$157:$AF$306,0)),"")</f>
        <v/>
      </c>
      <c r="H257" s="35" t="str">
        <f>IFERROR(INDEX($X$157:$X$306,MATCH(ROWS($A$157:A257),$AF$157:$AF$306,0)),"")</f>
        <v/>
      </c>
      <c r="I257" s="35" t="str">
        <f>IFERROR(INDEX($Y$157:$Y$306,MATCH(ROWS($A$157:A257),$AF$157:$AF$306,0)),"")</f>
        <v/>
      </c>
      <c r="J257" s="35" t="str">
        <f>IFERROR(INDEX($Z$157:$Z$306,MATCH(ROWS($A$157:A257),$AF$157:$AF$306,0)),"")</f>
        <v/>
      </c>
      <c r="K257" s="35" t="str">
        <f>IFERROR(INDEX($AA$157:$AA$306,MATCH(ROWS($A$157:A257),$AF$157:$AF$306,0)),"")</f>
        <v/>
      </c>
      <c r="L257" s="35" t="str">
        <f>IFERROR(INDEX($AB$157:$AB$306,MATCH(ROWS($A$157:A257),$AF$157:$AF$306,0)),"")</f>
        <v/>
      </c>
      <c r="M257" s="35" t="str">
        <f>IFERROR(INDEX($AC$157:$AC$306,MATCH(ROWS($A$157:A257),$AF$157:$AF$306,0)),"")</f>
        <v/>
      </c>
      <c r="N257" s="35" t="str">
        <f>IFERROR(INDEX($AD$157:$AD$306,MATCH(ROWS($A$157:A257),$AF$157:$AF$306,0)),"")</f>
        <v/>
      </c>
      <c r="Q257" t="str">
        <f>T(JAN!B106)</f>
        <v/>
      </c>
      <c r="R257" t="str">
        <f t="array" ref="R257">IF($Q257="","",_xlfn.TEXTJOIN(", ",TRUE,IF(JAN!$G106:$AK106="AT",JAN!$G$4:$AK$4,"")))</f>
        <v/>
      </c>
      <c r="S257" t="str">
        <f t="array" ref="S257">IF($Q257="","",_xlfn.TEXTJOIN(", ",TRUE,IF(FEV!$G106:$AK106="AT",FEV!$G$4:$AK$4,"")))</f>
        <v/>
      </c>
      <c r="T257" t="str">
        <f t="array" ref="T257">IF($Q257="","",_xlfn.TEXTJOIN(", ",TRUE,IF(MAR!$G106:$AK106="AT",MAR!$G$4:$AK$4,"")))</f>
        <v/>
      </c>
      <c r="U257" t="str">
        <f t="array" ref="U257">IF($Q257="","",_xlfn.TEXTJOIN(", ",TRUE,IF(ABR!$G106:$AK106="AT",ABR!$G$4:$AK$4,"")))</f>
        <v/>
      </c>
      <c r="V257" t="str">
        <f t="array" ref="V257">IF($Q257="","",_xlfn.TEXTJOIN(", ",TRUE,IF(MAI!$G106:$AK106="AT",MAI!$G$4:$AK$4,"")))</f>
        <v/>
      </c>
      <c r="W257" t="str">
        <f t="array" ref="W257">IF($Q257="","",_xlfn.TEXTJOIN(", ",TRUE,IF(JUN!$G106:$AK106="AT",JUN!$G$4:$AK$4,"")))</f>
        <v/>
      </c>
      <c r="X257" t="str">
        <f t="array" ref="X257">IF($Q257="","",_xlfn.TEXTJOIN(", ",TRUE,IF(JUL!$G106:$AK106="AT",JUL!$G$4:$AK$4,"")))</f>
        <v/>
      </c>
      <c r="Y257" t="str">
        <f t="array" ref="Y257">IF($Q257="","",_xlfn.TEXTJOIN(", ",TRUE,IF(AGO!$G106:$AK106="AT",AGO!$G$4:$AK$4,"")))</f>
        <v/>
      </c>
      <c r="Z257" t="str">
        <f t="array" ref="Z257">IF($Q257="","",_xlfn.TEXTJOIN(", ",TRUE,IF(SET!$G106:$AK106="AT",SET!$G$4:$AK$4,"")))</f>
        <v/>
      </c>
      <c r="AA257" t="str">
        <f t="array" ref="AA257">IF($Q257="","",_xlfn.TEXTJOIN(", ",TRUE,IF(OUT!$G106:$AK106="AT",OUT!$G$4:$AK$4,"")))</f>
        <v/>
      </c>
      <c r="AB257" t="str">
        <f t="array" ref="AB257">IF($Q257="","",_xlfn.TEXTJOIN(", ",TRUE,IF(NOV!$G106:$AK106="AT",NOV!$G$4:$AK$4,"")))</f>
        <v/>
      </c>
      <c r="AC257" t="str">
        <f t="array" ref="AC257">IF($Q257="","",_xlfn.TEXTJOIN(", ",TRUE,IF(DEZ!$G106:$AK106="AT",DEZ!$G$4:$AK$4,"")))</f>
        <v/>
      </c>
      <c r="AD257" t="str">
        <f>IF($Q257="","",COUNTIF(JAN!$G106:$AK106,"AT")+COUNTIF(FEV!$G106:$AK106,"AT")+COUNTIF(MAR!$G106:$AK106,"AT")+COUNTIF(ABR!$G106:$AK106,"AT")+COUNTIF(MAI!$G106:$AK106,"AT")+COUNTIF(JUN!$G106:$AK106,"AT")+COUNTIF(JUL!$G106:$AK106,"AT")+COUNTIF(AGO!$G106:$AK106,"AT")+COUNTIF(SET!$G106:$AK106,"AT")+COUNTIF(OUT!$G106:$AK106,"AT")+COUNTIF(NOV!$G106:$AK106,"AT")+COUNTIF(DEZ!$G106:$AK106,"AT"))</f>
        <v/>
      </c>
      <c r="AF257" t="str">
        <f>IF(AND($Q257&lt;&gt;"",N($AD257)&gt;0),COUNT($AF$156:AF256)+1,"")</f>
        <v/>
      </c>
    </row>
    <row r="258" spans="1:32" hidden="1" outlineLevel="1" x14ac:dyDescent="0.25">
      <c r="A258" s="36" t="str">
        <f>IFERROR(INDEX($Q$157:$Q$306,MATCH(ROWS($A$157:A258),$AF$157:$AF$306,0)),"")</f>
        <v/>
      </c>
      <c r="B258" s="35" t="str">
        <f>IFERROR(INDEX($R$157:$R$306,MATCH(ROWS($A$157:A258),$AF$157:$AF$306,0)),"")</f>
        <v/>
      </c>
      <c r="C258" s="35" t="str">
        <f>IFERROR(INDEX($S$157:$S$306,MATCH(ROWS($A$157:A258),$AF$157:$AF$306,0)),"")</f>
        <v/>
      </c>
      <c r="D258" s="35" t="str">
        <f>IFERROR(INDEX($T$157:$T$306,MATCH(ROWS($A$157:A258),$AF$157:$AF$306,0)),"")</f>
        <v/>
      </c>
      <c r="E258" s="35" t="str">
        <f>IFERROR(INDEX($U$157:$U$306,MATCH(ROWS($A$157:A258),$AF$157:$AF$306,0)),"")</f>
        <v/>
      </c>
      <c r="F258" s="35" t="str">
        <f>IFERROR(INDEX($V$157:$V$306,MATCH(ROWS($A$157:A258),$AF$157:$AF$306,0)),"")</f>
        <v/>
      </c>
      <c r="G258" s="35" t="str">
        <f>IFERROR(INDEX($W$157:$W$306,MATCH(ROWS($A$157:A258),$AF$157:$AF$306,0)),"")</f>
        <v/>
      </c>
      <c r="H258" s="35" t="str">
        <f>IFERROR(INDEX($X$157:$X$306,MATCH(ROWS($A$157:A258),$AF$157:$AF$306,0)),"")</f>
        <v/>
      </c>
      <c r="I258" s="35" t="str">
        <f>IFERROR(INDEX($Y$157:$Y$306,MATCH(ROWS($A$157:A258),$AF$157:$AF$306,0)),"")</f>
        <v/>
      </c>
      <c r="J258" s="35" t="str">
        <f>IFERROR(INDEX($Z$157:$Z$306,MATCH(ROWS($A$157:A258),$AF$157:$AF$306,0)),"")</f>
        <v/>
      </c>
      <c r="K258" s="35" t="str">
        <f>IFERROR(INDEX($AA$157:$AA$306,MATCH(ROWS($A$157:A258),$AF$157:$AF$306,0)),"")</f>
        <v/>
      </c>
      <c r="L258" s="35" t="str">
        <f>IFERROR(INDEX($AB$157:$AB$306,MATCH(ROWS($A$157:A258),$AF$157:$AF$306,0)),"")</f>
        <v/>
      </c>
      <c r="M258" s="35" t="str">
        <f>IFERROR(INDEX($AC$157:$AC$306,MATCH(ROWS($A$157:A258),$AF$157:$AF$306,0)),"")</f>
        <v/>
      </c>
      <c r="N258" s="35" t="str">
        <f>IFERROR(INDEX($AD$157:$AD$306,MATCH(ROWS($A$157:A258),$AF$157:$AF$306,0)),"")</f>
        <v/>
      </c>
      <c r="Q258" t="str">
        <f>T(JAN!B107)</f>
        <v/>
      </c>
      <c r="R258" t="str">
        <f t="array" ref="R258">IF($Q258="","",_xlfn.TEXTJOIN(", ",TRUE,IF(JAN!$G107:$AK107="AT",JAN!$G$4:$AK$4,"")))</f>
        <v/>
      </c>
      <c r="S258" t="str">
        <f t="array" ref="S258">IF($Q258="","",_xlfn.TEXTJOIN(", ",TRUE,IF(FEV!$G107:$AK107="AT",FEV!$G$4:$AK$4,"")))</f>
        <v/>
      </c>
      <c r="T258" t="str">
        <f t="array" ref="T258">IF($Q258="","",_xlfn.TEXTJOIN(", ",TRUE,IF(MAR!$G107:$AK107="AT",MAR!$G$4:$AK$4,"")))</f>
        <v/>
      </c>
      <c r="U258" t="str">
        <f t="array" ref="U258">IF($Q258="","",_xlfn.TEXTJOIN(", ",TRUE,IF(ABR!$G107:$AK107="AT",ABR!$G$4:$AK$4,"")))</f>
        <v/>
      </c>
      <c r="V258" t="str">
        <f t="array" ref="V258">IF($Q258="","",_xlfn.TEXTJOIN(", ",TRUE,IF(MAI!$G107:$AK107="AT",MAI!$G$4:$AK$4,"")))</f>
        <v/>
      </c>
      <c r="W258" t="str">
        <f t="array" ref="W258">IF($Q258="","",_xlfn.TEXTJOIN(", ",TRUE,IF(JUN!$G107:$AK107="AT",JUN!$G$4:$AK$4,"")))</f>
        <v/>
      </c>
      <c r="X258" t="str">
        <f t="array" ref="X258">IF($Q258="","",_xlfn.TEXTJOIN(", ",TRUE,IF(JUL!$G107:$AK107="AT",JUL!$G$4:$AK$4,"")))</f>
        <v/>
      </c>
      <c r="Y258" t="str">
        <f t="array" ref="Y258">IF($Q258="","",_xlfn.TEXTJOIN(", ",TRUE,IF(AGO!$G107:$AK107="AT",AGO!$G$4:$AK$4,"")))</f>
        <v/>
      </c>
      <c r="Z258" t="str">
        <f t="array" ref="Z258">IF($Q258="","",_xlfn.TEXTJOIN(", ",TRUE,IF(SET!$G107:$AK107="AT",SET!$G$4:$AK$4,"")))</f>
        <v/>
      </c>
      <c r="AA258" t="str">
        <f t="array" ref="AA258">IF($Q258="","",_xlfn.TEXTJOIN(", ",TRUE,IF(OUT!$G107:$AK107="AT",OUT!$G$4:$AK$4,"")))</f>
        <v/>
      </c>
      <c r="AB258" t="str">
        <f t="array" ref="AB258">IF($Q258="","",_xlfn.TEXTJOIN(", ",TRUE,IF(NOV!$G107:$AK107="AT",NOV!$G$4:$AK$4,"")))</f>
        <v/>
      </c>
      <c r="AC258" t="str">
        <f t="array" ref="AC258">IF($Q258="","",_xlfn.TEXTJOIN(", ",TRUE,IF(DEZ!$G107:$AK107="AT",DEZ!$G$4:$AK$4,"")))</f>
        <v/>
      </c>
      <c r="AD258" t="str">
        <f>IF($Q258="","",COUNTIF(JAN!$G107:$AK107,"AT")+COUNTIF(FEV!$G107:$AK107,"AT")+COUNTIF(MAR!$G107:$AK107,"AT")+COUNTIF(ABR!$G107:$AK107,"AT")+COUNTIF(MAI!$G107:$AK107,"AT")+COUNTIF(JUN!$G107:$AK107,"AT")+COUNTIF(JUL!$G107:$AK107,"AT")+COUNTIF(AGO!$G107:$AK107,"AT")+COUNTIF(SET!$G107:$AK107,"AT")+COUNTIF(OUT!$G107:$AK107,"AT")+COUNTIF(NOV!$G107:$AK107,"AT")+COUNTIF(DEZ!$G107:$AK107,"AT"))</f>
        <v/>
      </c>
      <c r="AF258" t="str">
        <f>IF(AND($Q258&lt;&gt;"",N($AD258)&gt;0),COUNT($AF$156:AF257)+1,"")</f>
        <v/>
      </c>
    </row>
    <row r="259" spans="1:32" hidden="1" outlineLevel="1" x14ac:dyDescent="0.25">
      <c r="A259" s="36" t="str">
        <f>IFERROR(INDEX($Q$157:$Q$306,MATCH(ROWS($A$157:A259),$AF$157:$AF$306,0)),"")</f>
        <v/>
      </c>
      <c r="B259" s="35" t="str">
        <f>IFERROR(INDEX($R$157:$R$306,MATCH(ROWS($A$157:A259),$AF$157:$AF$306,0)),"")</f>
        <v/>
      </c>
      <c r="C259" s="35" t="str">
        <f>IFERROR(INDEX($S$157:$S$306,MATCH(ROWS($A$157:A259),$AF$157:$AF$306,0)),"")</f>
        <v/>
      </c>
      <c r="D259" s="35" t="str">
        <f>IFERROR(INDEX($T$157:$T$306,MATCH(ROWS($A$157:A259),$AF$157:$AF$306,0)),"")</f>
        <v/>
      </c>
      <c r="E259" s="35" t="str">
        <f>IFERROR(INDEX($U$157:$U$306,MATCH(ROWS($A$157:A259),$AF$157:$AF$306,0)),"")</f>
        <v/>
      </c>
      <c r="F259" s="35" t="str">
        <f>IFERROR(INDEX($V$157:$V$306,MATCH(ROWS($A$157:A259),$AF$157:$AF$306,0)),"")</f>
        <v/>
      </c>
      <c r="G259" s="35" t="str">
        <f>IFERROR(INDEX($W$157:$W$306,MATCH(ROWS($A$157:A259),$AF$157:$AF$306,0)),"")</f>
        <v/>
      </c>
      <c r="H259" s="35" t="str">
        <f>IFERROR(INDEX($X$157:$X$306,MATCH(ROWS($A$157:A259),$AF$157:$AF$306,0)),"")</f>
        <v/>
      </c>
      <c r="I259" s="35" t="str">
        <f>IFERROR(INDEX($Y$157:$Y$306,MATCH(ROWS($A$157:A259),$AF$157:$AF$306,0)),"")</f>
        <v/>
      </c>
      <c r="J259" s="35" t="str">
        <f>IFERROR(INDEX($Z$157:$Z$306,MATCH(ROWS($A$157:A259),$AF$157:$AF$306,0)),"")</f>
        <v/>
      </c>
      <c r="K259" s="35" t="str">
        <f>IFERROR(INDEX($AA$157:$AA$306,MATCH(ROWS($A$157:A259),$AF$157:$AF$306,0)),"")</f>
        <v/>
      </c>
      <c r="L259" s="35" t="str">
        <f>IFERROR(INDEX($AB$157:$AB$306,MATCH(ROWS($A$157:A259),$AF$157:$AF$306,0)),"")</f>
        <v/>
      </c>
      <c r="M259" s="35" t="str">
        <f>IFERROR(INDEX($AC$157:$AC$306,MATCH(ROWS($A$157:A259),$AF$157:$AF$306,0)),"")</f>
        <v/>
      </c>
      <c r="N259" s="35" t="str">
        <f>IFERROR(INDEX($AD$157:$AD$306,MATCH(ROWS($A$157:A259),$AF$157:$AF$306,0)),"")</f>
        <v/>
      </c>
      <c r="Q259" t="str">
        <f>T(JAN!B108)</f>
        <v/>
      </c>
      <c r="R259" t="str">
        <f t="array" ref="R259">IF($Q259="","",_xlfn.TEXTJOIN(", ",TRUE,IF(JAN!$G108:$AK108="AT",JAN!$G$4:$AK$4,"")))</f>
        <v/>
      </c>
      <c r="S259" t="str">
        <f t="array" ref="S259">IF($Q259="","",_xlfn.TEXTJOIN(", ",TRUE,IF(FEV!$G108:$AK108="AT",FEV!$G$4:$AK$4,"")))</f>
        <v/>
      </c>
      <c r="T259" t="str">
        <f t="array" ref="T259">IF($Q259="","",_xlfn.TEXTJOIN(", ",TRUE,IF(MAR!$G108:$AK108="AT",MAR!$G$4:$AK$4,"")))</f>
        <v/>
      </c>
      <c r="U259" t="str">
        <f t="array" ref="U259">IF($Q259="","",_xlfn.TEXTJOIN(", ",TRUE,IF(ABR!$G108:$AK108="AT",ABR!$G$4:$AK$4,"")))</f>
        <v/>
      </c>
      <c r="V259" t="str">
        <f t="array" ref="V259">IF($Q259="","",_xlfn.TEXTJOIN(", ",TRUE,IF(MAI!$G108:$AK108="AT",MAI!$G$4:$AK$4,"")))</f>
        <v/>
      </c>
      <c r="W259" t="str">
        <f t="array" ref="W259">IF($Q259="","",_xlfn.TEXTJOIN(", ",TRUE,IF(JUN!$G108:$AK108="AT",JUN!$G$4:$AK$4,"")))</f>
        <v/>
      </c>
      <c r="X259" t="str">
        <f t="array" ref="X259">IF($Q259="","",_xlfn.TEXTJOIN(", ",TRUE,IF(JUL!$G108:$AK108="AT",JUL!$G$4:$AK$4,"")))</f>
        <v/>
      </c>
      <c r="Y259" t="str">
        <f t="array" ref="Y259">IF($Q259="","",_xlfn.TEXTJOIN(", ",TRUE,IF(AGO!$G108:$AK108="AT",AGO!$G$4:$AK$4,"")))</f>
        <v/>
      </c>
      <c r="Z259" t="str">
        <f t="array" ref="Z259">IF($Q259="","",_xlfn.TEXTJOIN(", ",TRUE,IF(SET!$G108:$AK108="AT",SET!$G$4:$AK$4,"")))</f>
        <v/>
      </c>
      <c r="AA259" t="str">
        <f t="array" ref="AA259">IF($Q259="","",_xlfn.TEXTJOIN(", ",TRUE,IF(OUT!$G108:$AK108="AT",OUT!$G$4:$AK$4,"")))</f>
        <v/>
      </c>
      <c r="AB259" t="str">
        <f t="array" ref="AB259">IF($Q259="","",_xlfn.TEXTJOIN(", ",TRUE,IF(NOV!$G108:$AK108="AT",NOV!$G$4:$AK$4,"")))</f>
        <v/>
      </c>
      <c r="AC259" t="str">
        <f t="array" ref="AC259">IF($Q259="","",_xlfn.TEXTJOIN(", ",TRUE,IF(DEZ!$G108:$AK108="AT",DEZ!$G$4:$AK$4,"")))</f>
        <v/>
      </c>
      <c r="AD259" t="str">
        <f>IF($Q259="","",COUNTIF(JAN!$G108:$AK108,"AT")+COUNTIF(FEV!$G108:$AK108,"AT")+COUNTIF(MAR!$G108:$AK108,"AT")+COUNTIF(ABR!$G108:$AK108,"AT")+COUNTIF(MAI!$G108:$AK108,"AT")+COUNTIF(JUN!$G108:$AK108,"AT")+COUNTIF(JUL!$G108:$AK108,"AT")+COUNTIF(AGO!$G108:$AK108,"AT")+COUNTIF(SET!$G108:$AK108,"AT")+COUNTIF(OUT!$G108:$AK108,"AT")+COUNTIF(NOV!$G108:$AK108,"AT")+COUNTIF(DEZ!$G108:$AK108,"AT"))</f>
        <v/>
      </c>
      <c r="AF259" t="str">
        <f>IF(AND($Q259&lt;&gt;"",N($AD259)&gt;0),COUNT($AF$156:AF258)+1,"")</f>
        <v/>
      </c>
    </row>
    <row r="260" spans="1:32" hidden="1" outlineLevel="1" x14ac:dyDescent="0.25">
      <c r="A260" s="36" t="str">
        <f>IFERROR(INDEX($Q$157:$Q$306,MATCH(ROWS($A$157:A260),$AF$157:$AF$306,0)),"")</f>
        <v/>
      </c>
      <c r="B260" s="35" t="str">
        <f>IFERROR(INDEX($R$157:$R$306,MATCH(ROWS($A$157:A260),$AF$157:$AF$306,0)),"")</f>
        <v/>
      </c>
      <c r="C260" s="35" t="str">
        <f>IFERROR(INDEX($S$157:$S$306,MATCH(ROWS($A$157:A260),$AF$157:$AF$306,0)),"")</f>
        <v/>
      </c>
      <c r="D260" s="35" t="str">
        <f>IFERROR(INDEX($T$157:$T$306,MATCH(ROWS($A$157:A260),$AF$157:$AF$306,0)),"")</f>
        <v/>
      </c>
      <c r="E260" s="35" t="str">
        <f>IFERROR(INDEX($U$157:$U$306,MATCH(ROWS($A$157:A260),$AF$157:$AF$306,0)),"")</f>
        <v/>
      </c>
      <c r="F260" s="35" t="str">
        <f>IFERROR(INDEX($V$157:$V$306,MATCH(ROWS($A$157:A260),$AF$157:$AF$306,0)),"")</f>
        <v/>
      </c>
      <c r="G260" s="35" t="str">
        <f>IFERROR(INDEX($W$157:$W$306,MATCH(ROWS($A$157:A260),$AF$157:$AF$306,0)),"")</f>
        <v/>
      </c>
      <c r="H260" s="35" t="str">
        <f>IFERROR(INDEX($X$157:$X$306,MATCH(ROWS($A$157:A260),$AF$157:$AF$306,0)),"")</f>
        <v/>
      </c>
      <c r="I260" s="35" t="str">
        <f>IFERROR(INDEX($Y$157:$Y$306,MATCH(ROWS($A$157:A260),$AF$157:$AF$306,0)),"")</f>
        <v/>
      </c>
      <c r="J260" s="35" t="str">
        <f>IFERROR(INDEX($Z$157:$Z$306,MATCH(ROWS($A$157:A260),$AF$157:$AF$306,0)),"")</f>
        <v/>
      </c>
      <c r="K260" s="35" t="str">
        <f>IFERROR(INDEX($AA$157:$AA$306,MATCH(ROWS($A$157:A260),$AF$157:$AF$306,0)),"")</f>
        <v/>
      </c>
      <c r="L260" s="35" t="str">
        <f>IFERROR(INDEX($AB$157:$AB$306,MATCH(ROWS($A$157:A260),$AF$157:$AF$306,0)),"")</f>
        <v/>
      </c>
      <c r="M260" s="35" t="str">
        <f>IFERROR(INDEX($AC$157:$AC$306,MATCH(ROWS($A$157:A260),$AF$157:$AF$306,0)),"")</f>
        <v/>
      </c>
      <c r="N260" s="35" t="str">
        <f>IFERROR(INDEX($AD$157:$AD$306,MATCH(ROWS($A$157:A260),$AF$157:$AF$306,0)),"")</f>
        <v/>
      </c>
      <c r="Q260" t="str">
        <f>T(JAN!B109)</f>
        <v/>
      </c>
      <c r="R260" t="str">
        <f t="array" ref="R260">IF($Q260="","",_xlfn.TEXTJOIN(", ",TRUE,IF(JAN!$G109:$AK109="AT",JAN!$G$4:$AK$4,"")))</f>
        <v/>
      </c>
      <c r="S260" t="str">
        <f t="array" ref="S260">IF($Q260="","",_xlfn.TEXTJOIN(", ",TRUE,IF(FEV!$G109:$AK109="AT",FEV!$G$4:$AK$4,"")))</f>
        <v/>
      </c>
      <c r="T260" t="str">
        <f t="array" ref="T260">IF($Q260="","",_xlfn.TEXTJOIN(", ",TRUE,IF(MAR!$G109:$AK109="AT",MAR!$G$4:$AK$4,"")))</f>
        <v/>
      </c>
      <c r="U260" t="str">
        <f t="array" ref="U260">IF($Q260="","",_xlfn.TEXTJOIN(", ",TRUE,IF(ABR!$G109:$AK109="AT",ABR!$G$4:$AK$4,"")))</f>
        <v/>
      </c>
      <c r="V260" t="str">
        <f t="array" ref="V260">IF($Q260="","",_xlfn.TEXTJOIN(", ",TRUE,IF(MAI!$G109:$AK109="AT",MAI!$G$4:$AK$4,"")))</f>
        <v/>
      </c>
      <c r="W260" t="str">
        <f t="array" ref="W260">IF($Q260="","",_xlfn.TEXTJOIN(", ",TRUE,IF(JUN!$G109:$AK109="AT",JUN!$G$4:$AK$4,"")))</f>
        <v/>
      </c>
      <c r="X260" t="str">
        <f t="array" ref="X260">IF($Q260="","",_xlfn.TEXTJOIN(", ",TRUE,IF(JUL!$G109:$AK109="AT",JUL!$G$4:$AK$4,"")))</f>
        <v/>
      </c>
      <c r="Y260" t="str">
        <f t="array" ref="Y260">IF($Q260="","",_xlfn.TEXTJOIN(", ",TRUE,IF(AGO!$G109:$AK109="AT",AGO!$G$4:$AK$4,"")))</f>
        <v/>
      </c>
      <c r="Z260" t="str">
        <f t="array" ref="Z260">IF($Q260="","",_xlfn.TEXTJOIN(", ",TRUE,IF(SET!$G109:$AK109="AT",SET!$G$4:$AK$4,"")))</f>
        <v/>
      </c>
      <c r="AA260" t="str">
        <f t="array" ref="AA260">IF($Q260="","",_xlfn.TEXTJOIN(", ",TRUE,IF(OUT!$G109:$AK109="AT",OUT!$G$4:$AK$4,"")))</f>
        <v/>
      </c>
      <c r="AB260" t="str">
        <f t="array" ref="AB260">IF($Q260="","",_xlfn.TEXTJOIN(", ",TRUE,IF(NOV!$G109:$AK109="AT",NOV!$G$4:$AK$4,"")))</f>
        <v/>
      </c>
      <c r="AC260" t="str">
        <f t="array" ref="AC260">IF($Q260="","",_xlfn.TEXTJOIN(", ",TRUE,IF(DEZ!$G109:$AK109="AT",DEZ!$G$4:$AK$4,"")))</f>
        <v/>
      </c>
      <c r="AD260" t="str">
        <f>IF($Q260="","",COUNTIF(JAN!$G109:$AK109,"AT")+COUNTIF(FEV!$G109:$AK109,"AT")+COUNTIF(MAR!$G109:$AK109,"AT")+COUNTIF(ABR!$G109:$AK109,"AT")+COUNTIF(MAI!$G109:$AK109,"AT")+COUNTIF(JUN!$G109:$AK109,"AT")+COUNTIF(JUL!$G109:$AK109,"AT")+COUNTIF(AGO!$G109:$AK109,"AT")+COUNTIF(SET!$G109:$AK109,"AT")+COUNTIF(OUT!$G109:$AK109,"AT")+COUNTIF(NOV!$G109:$AK109,"AT")+COUNTIF(DEZ!$G109:$AK109,"AT"))</f>
        <v/>
      </c>
      <c r="AF260" t="str">
        <f>IF(AND($Q260&lt;&gt;"",N($AD260)&gt;0),COUNT($AF$156:AF259)+1,"")</f>
        <v/>
      </c>
    </row>
    <row r="261" spans="1:32" hidden="1" outlineLevel="1" x14ac:dyDescent="0.25">
      <c r="A261" s="36" t="str">
        <f>IFERROR(INDEX($Q$157:$Q$306,MATCH(ROWS($A$157:A261),$AF$157:$AF$306,0)),"")</f>
        <v/>
      </c>
      <c r="B261" s="35" t="str">
        <f>IFERROR(INDEX($R$157:$R$306,MATCH(ROWS($A$157:A261),$AF$157:$AF$306,0)),"")</f>
        <v/>
      </c>
      <c r="C261" s="35" t="str">
        <f>IFERROR(INDEX($S$157:$S$306,MATCH(ROWS($A$157:A261),$AF$157:$AF$306,0)),"")</f>
        <v/>
      </c>
      <c r="D261" s="35" t="str">
        <f>IFERROR(INDEX($T$157:$T$306,MATCH(ROWS($A$157:A261),$AF$157:$AF$306,0)),"")</f>
        <v/>
      </c>
      <c r="E261" s="35" t="str">
        <f>IFERROR(INDEX($U$157:$U$306,MATCH(ROWS($A$157:A261),$AF$157:$AF$306,0)),"")</f>
        <v/>
      </c>
      <c r="F261" s="35" t="str">
        <f>IFERROR(INDEX($V$157:$V$306,MATCH(ROWS($A$157:A261),$AF$157:$AF$306,0)),"")</f>
        <v/>
      </c>
      <c r="G261" s="35" t="str">
        <f>IFERROR(INDEX($W$157:$W$306,MATCH(ROWS($A$157:A261),$AF$157:$AF$306,0)),"")</f>
        <v/>
      </c>
      <c r="H261" s="35" t="str">
        <f>IFERROR(INDEX($X$157:$X$306,MATCH(ROWS($A$157:A261),$AF$157:$AF$306,0)),"")</f>
        <v/>
      </c>
      <c r="I261" s="35" t="str">
        <f>IFERROR(INDEX($Y$157:$Y$306,MATCH(ROWS($A$157:A261),$AF$157:$AF$306,0)),"")</f>
        <v/>
      </c>
      <c r="J261" s="35" t="str">
        <f>IFERROR(INDEX($Z$157:$Z$306,MATCH(ROWS($A$157:A261),$AF$157:$AF$306,0)),"")</f>
        <v/>
      </c>
      <c r="K261" s="35" t="str">
        <f>IFERROR(INDEX($AA$157:$AA$306,MATCH(ROWS($A$157:A261),$AF$157:$AF$306,0)),"")</f>
        <v/>
      </c>
      <c r="L261" s="35" t="str">
        <f>IFERROR(INDEX($AB$157:$AB$306,MATCH(ROWS($A$157:A261),$AF$157:$AF$306,0)),"")</f>
        <v/>
      </c>
      <c r="M261" s="35" t="str">
        <f>IFERROR(INDEX($AC$157:$AC$306,MATCH(ROWS($A$157:A261),$AF$157:$AF$306,0)),"")</f>
        <v/>
      </c>
      <c r="N261" s="35" t="str">
        <f>IFERROR(INDEX($AD$157:$AD$306,MATCH(ROWS($A$157:A261),$AF$157:$AF$306,0)),"")</f>
        <v/>
      </c>
      <c r="Q261" t="str">
        <f>T(JAN!B110)</f>
        <v/>
      </c>
      <c r="R261" t="str">
        <f t="array" ref="R261">IF($Q261="","",_xlfn.TEXTJOIN(", ",TRUE,IF(JAN!$G110:$AK110="AT",JAN!$G$4:$AK$4,"")))</f>
        <v/>
      </c>
      <c r="S261" t="str">
        <f t="array" ref="S261">IF($Q261="","",_xlfn.TEXTJOIN(", ",TRUE,IF(FEV!$G110:$AK110="AT",FEV!$G$4:$AK$4,"")))</f>
        <v/>
      </c>
      <c r="T261" t="str">
        <f t="array" ref="T261">IF($Q261="","",_xlfn.TEXTJOIN(", ",TRUE,IF(MAR!$G110:$AK110="AT",MAR!$G$4:$AK$4,"")))</f>
        <v/>
      </c>
      <c r="U261" t="str">
        <f t="array" ref="U261">IF($Q261="","",_xlfn.TEXTJOIN(", ",TRUE,IF(ABR!$G110:$AK110="AT",ABR!$G$4:$AK$4,"")))</f>
        <v/>
      </c>
      <c r="V261" t="str">
        <f t="array" ref="V261">IF($Q261="","",_xlfn.TEXTJOIN(", ",TRUE,IF(MAI!$G110:$AK110="AT",MAI!$G$4:$AK$4,"")))</f>
        <v/>
      </c>
      <c r="W261" t="str">
        <f t="array" ref="W261">IF($Q261="","",_xlfn.TEXTJOIN(", ",TRUE,IF(JUN!$G110:$AK110="AT",JUN!$G$4:$AK$4,"")))</f>
        <v/>
      </c>
      <c r="X261" t="str">
        <f t="array" ref="X261">IF($Q261="","",_xlfn.TEXTJOIN(", ",TRUE,IF(JUL!$G110:$AK110="AT",JUL!$G$4:$AK$4,"")))</f>
        <v/>
      </c>
      <c r="Y261" t="str">
        <f t="array" ref="Y261">IF($Q261="","",_xlfn.TEXTJOIN(", ",TRUE,IF(AGO!$G110:$AK110="AT",AGO!$G$4:$AK$4,"")))</f>
        <v/>
      </c>
      <c r="Z261" t="str">
        <f t="array" ref="Z261">IF($Q261="","",_xlfn.TEXTJOIN(", ",TRUE,IF(SET!$G110:$AK110="AT",SET!$G$4:$AK$4,"")))</f>
        <v/>
      </c>
      <c r="AA261" t="str">
        <f t="array" ref="AA261">IF($Q261="","",_xlfn.TEXTJOIN(", ",TRUE,IF(OUT!$G110:$AK110="AT",OUT!$G$4:$AK$4,"")))</f>
        <v/>
      </c>
      <c r="AB261" t="str">
        <f t="array" ref="AB261">IF($Q261="","",_xlfn.TEXTJOIN(", ",TRUE,IF(NOV!$G110:$AK110="AT",NOV!$G$4:$AK$4,"")))</f>
        <v/>
      </c>
      <c r="AC261" t="str">
        <f t="array" ref="AC261">IF($Q261="","",_xlfn.TEXTJOIN(", ",TRUE,IF(DEZ!$G110:$AK110="AT",DEZ!$G$4:$AK$4,"")))</f>
        <v/>
      </c>
      <c r="AD261" t="str">
        <f>IF($Q261="","",COUNTIF(JAN!$G110:$AK110,"AT")+COUNTIF(FEV!$G110:$AK110,"AT")+COUNTIF(MAR!$G110:$AK110,"AT")+COUNTIF(ABR!$G110:$AK110,"AT")+COUNTIF(MAI!$G110:$AK110,"AT")+COUNTIF(JUN!$G110:$AK110,"AT")+COUNTIF(JUL!$G110:$AK110,"AT")+COUNTIF(AGO!$G110:$AK110,"AT")+COUNTIF(SET!$G110:$AK110,"AT")+COUNTIF(OUT!$G110:$AK110,"AT")+COUNTIF(NOV!$G110:$AK110,"AT")+COUNTIF(DEZ!$G110:$AK110,"AT"))</f>
        <v/>
      </c>
      <c r="AF261" t="str">
        <f>IF(AND($Q261&lt;&gt;"",N($AD261)&gt;0),COUNT($AF$156:AF260)+1,"")</f>
        <v/>
      </c>
    </row>
    <row r="262" spans="1:32" hidden="1" outlineLevel="1" x14ac:dyDescent="0.25">
      <c r="A262" s="36" t="str">
        <f>IFERROR(INDEX($Q$157:$Q$306,MATCH(ROWS($A$157:A262),$AF$157:$AF$306,0)),"")</f>
        <v/>
      </c>
      <c r="B262" s="35" t="str">
        <f>IFERROR(INDEX($R$157:$R$306,MATCH(ROWS($A$157:A262),$AF$157:$AF$306,0)),"")</f>
        <v/>
      </c>
      <c r="C262" s="35" t="str">
        <f>IFERROR(INDEX($S$157:$S$306,MATCH(ROWS($A$157:A262),$AF$157:$AF$306,0)),"")</f>
        <v/>
      </c>
      <c r="D262" s="35" t="str">
        <f>IFERROR(INDEX($T$157:$T$306,MATCH(ROWS($A$157:A262),$AF$157:$AF$306,0)),"")</f>
        <v/>
      </c>
      <c r="E262" s="35" t="str">
        <f>IFERROR(INDEX($U$157:$U$306,MATCH(ROWS($A$157:A262),$AF$157:$AF$306,0)),"")</f>
        <v/>
      </c>
      <c r="F262" s="35" t="str">
        <f>IFERROR(INDEX($V$157:$V$306,MATCH(ROWS($A$157:A262),$AF$157:$AF$306,0)),"")</f>
        <v/>
      </c>
      <c r="G262" s="35" t="str">
        <f>IFERROR(INDEX($W$157:$W$306,MATCH(ROWS($A$157:A262),$AF$157:$AF$306,0)),"")</f>
        <v/>
      </c>
      <c r="H262" s="35" t="str">
        <f>IFERROR(INDEX($X$157:$X$306,MATCH(ROWS($A$157:A262),$AF$157:$AF$306,0)),"")</f>
        <v/>
      </c>
      <c r="I262" s="35" t="str">
        <f>IFERROR(INDEX($Y$157:$Y$306,MATCH(ROWS($A$157:A262),$AF$157:$AF$306,0)),"")</f>
        <v/>
      </c>
      <c r="J262" s="35" t="str">
        <f>IFERROR(INDEX($Z$157:$Z$306,MATCH(ROWS($A$157:A262),$AF$157:$AF$306,0)),"")</f>
        <v/>
      </c>
      <c r="K262" s="35" t="str">
        <f>IFERROR(INDEX($AA$157:$AA$306,MATCH(ROWS($A$157:A262),$AF$157:$AF$306,0)),"")</f>
        <v/>
      </c>
      <c r="L262" s="35" t="str">
        <f>IFERROR(INDEX($AB$157:$AB$306,MATCH(ROWS($A$157:A262),$AF$157:$AF$306,0)),"")</f>
        <v/>
      </c>
      <c r="M262" s="35" t="str">
        <f>IFERROR(INDEX($AC$157:$AC$306,MATCH(ROWS($A$157:A262),$AF$157:$AF$306,0)),"")</f>
        <v/>
      </c>
      <c r="N262" s="35" t="str">
        <f>IFERROR(INDEX($AD$157:$AD$306,MATCH(ROWS($A$157:A262),$AF$157:$AF$306,0)),"")</f>
        <v/>
      </c>
      <c r="Q262" t="str">
        <f>T(JAN!B111)</f>
        <v/>
      </c>
      <c r="R262" t="str">
        <f t="array" ref="R262">IF($Q262="","",_xlfn.TEXTJOIN(", ",TRUE,IF(JAN!$G111:$AK111="AT",JAN!$G$4:$AK$4,"")))</f>
        <v/>
      </c>
      <c r="S262" t="str">
        <f t="array" ref="S262">IF($Q262="","",_xlfn.TEXTJOIN(", ",TRUE,IF(FEV!$G111:$AK111="AT",FEV!$G$4:$AK$4,"")))</f>
        <v/>
      </c>
      <c r="T262" t="str">
        <f t="array" ref="T262">IF($Q262="","",_xlfn.TEXTJOIN(", ",TRUE,IF(MAR!$G111:$AK111="AT",MAR!$G$4:$AK$4,"")))</f>
        <v/>
      </c>
      <c r="U262" t="str">
        <f t="array" ref="U262">IF($Q262="","",_xlfn.TEXTJOIN(", ",TRUE,IF(ABR!$G111:$AK111="AT",ABR!$G$4:$AK$4,"")))</f>
        <v/>
      </c>
      <c r="V262" t="str">
        <f t="array" ref="V262">IF($Q262="","",_xlfn.TEXTJOIN(", ",TRUE,IF(MAI!$G111:$AK111="AT",MAI!$G$4:$AK$4,"")))</f>
        <v/>
      </c>
      <c r="W262" t="str">
        <f t="array" ref="W262">IF($Q262="","",_xlfn.TEXTJOIN(", ",TRUE,IF(JUN!$G111:$AK111="AT",JUN!$G$4:$AK$4,"")))</f>
        <v/>
      </c>
      <c r="X262" t="str">
        <f t="array" ref="X262">IF($Q262="","",_xlfn.TEXTJOIN(", ",TRUE,IF(JUL!$G111:$AK111="AT",JUL!$G$4:$AK$4,"")))</f>
        <v/>
      </c>
      <c r="Y262" t="str">
        <f t="array" ref="Y262">IF($Q262="","",_xlfn.TEXTJOIN(", ",TRUE,IF(AGO!$G111:$AK111="AT",AGO!$G$4:$AK$4,"")))</f>
        <v/>
      </c>
      <c r="Z262" t="str">
        <f t="array" ref="Z262">IF($Q262="","",_xlfn.TEXTJOIN(", ",TRUE,IF(SET!$G111:$AK111="AT",SET!$G$4:$AK$4,"")))</f>
        <v/>
      </c>
      <c r="AA262" t="str">
        <f t="array" ref="AA262">IF($Q262="","",_xlfn.TEXTJOIN(", ",TRUE,IF(OUT!$G111:$AK111="AT",OUT!$G$4:$AK$4,"")))</f>
        <v/>
      </c>
      <c r="AB262" t="str">
        <f t="array" ref="AB262">IF($Q262="","",_xlfn.TEXTJOIN(", ",TRUE,IF(NOV!$G111:$AK111="AT",NOV!$G$4:$AK$4,"")))</f>
        <v/>
      </c>
      <c r="AC262" t="str">
        <f t="array" ref="AC262">IF($Q262="","",_xlfn.TEXTJOIN(", ",TRUE,IF(DEZ!$G111:$AK111="AT",DEZ!$G$4:$AK$4,"")))</f>
        <v/>
      </c>
      <c r="AD262" t="str">
        <f>IF($Q262="","",COUNTIF(JAN!$G111:$AK111,"AT")+COUNTIF(FEV!$G111:$AK111,"AT")+COUNTIF(MAR!$G111:$AK111,"AT")+COUNTIF(ABR!$G111:$AK111,"AT")+COUNTIF(MAI!$G111:$AK111,"AT")+COUNTIF(JUN!$G111:$AK111,"AT")+COUNTIF(JUL!$G111:$AK111,"AT")+COUNTIF(AGO!$G111:$AK111,"AT")+COUNTIF(SET!$G111:$AK111,"AT")+COUNTIF(OUT!$G111:$AK111,"AT")+COUNTIF(NOV!$G111:$AK111,"AT")+COUNTIF(DEZ!$G111:$AK111,"AT"))</f>
        <v/>
      </c>
      <c r="AF262" t="str">
        <f>IF(AND($Q262&lt;&gt;"",N($AD262)&gt;0),COUNT($AF$156:AF261)+1,"")</f>
        <v/>
      </c>
    </row>
    <row r="263" spans="1:32" hidden="1" outlineLevel="1" x14ac:dyDescent="0.25">
      <c r="A263" s="36" t="str">
        <f>IFERROR(INDEX($Q$157:$Q$306,MATCH(ROWS($A$157:A263),$AF$157:$AF$306,0)),"")</f>
        <v/>
      </c>
      <c r="B263" s="35" t="str">
        <f>IFERROR(INDEX($R$157:$R$306,MATCH(ROWS($A$157:A263),$AF$157:$AF$306,0)),"")</f>
        <v/>
      </c>
      <c r="C263" s="35" t="str">
        <f>IFERROR(INDEX($S$157:$S$306,MATCH(ROWS($A$157:A263),$AF$157:$AF$306,0)),"")</f>
        <v/>
      </c>
      <c r="D263" s="35" t="str">
        <f>IFERROR(INDEX($T$157:$T$306,MATCH(ROWS($A$157:A263),$AF$157:$AF$306,0)),"")</f>
        <v/>
      </c>
      <c r="E263" s="35" t="str">
        <f>IFERROR(INDEX($U$157:$U$306,MATCH(ROWS($A$157:A263),$AF$157:$AF$306,0)),"")</f>
        <v/>
      </c>
      <c r="F263" s="35" t="str">
        <f>IFERROR(INDEX($V$157:$V$306,MATCH(ROWS($A$157:A263),$AF$157:$AF$306,0)),"")</f>
        <v/>
      </c>
      <c r="G263" s="35" t="str">
        <f>IFERROR(INDEX($W$157:$W$306,MATCH(ROWS($A$157:A263),$AF$157:$AF$306,0)),"")</f>
        <v/>
      </c>
      <c r="H263" s="35" t="str">
        <f>IFERROR(INDEX($X$157:$X$306,MATCH(ROWS($A$157:A263),$AF$157:$AF$306,0)),"")</f>
        <v/>
      </c>
      <c r="I263" s="35" t="str">
        <f>IFERROR(INDEX($Y$157:$Y$306,MATCH(ROWS($A$157:A263),$AF$157:$AF$306,0)),"")</f>
        <v/>
      </c>
      <c r="J263" s="35" t="str">
        <f>IFERROR(INDEX($Z$157:$Z$306,MATCH(ROWS($A$157:A263),$AF$157:$AF$306,0)),"")</f>
        <v/>
      </c>
      <c r="K263" s="35" t="str">
        <f>IFERROR(INDEX($AA$157:$AA$306,MATCH(ROWS($A$157:A263),$AF$157:$AF$306,0)),"")</f>
        <v/>
      </c>
      <c r="L263" s="35" t="str">
        <f>IFERROR(INDEX($AB$157:$AB$306,MATCH(ROWS($A$157:A263),$AF$157:$AF$306,0)),"")</f>
        <v/>
      </c>
      <c r="M263" s="35" t="str">
        <f>IFERROR(INDEX($AC$157:$AC$306,MATCH(ROWS($A$157:A263),$AF$157:$AF$306,0)),"")</f>
        <v/>
      </c>
      <c r="N263" s="35" t="str">
        <f>IFERROR(INDEX($AD$157:$AD$306,MATCH(ROWS($A$157:A263),$AF$157:$AF$306,0)),"")</f>
        <v/>
      </c>
      <c r="Q263" t="str">
        <f>T(JAN!B112)</f>
        <v/>
      </c>
      <c r="R263" t="str">
        <f t="array" ref="R263">IF($Q263="","",_xlfn.TEXTJOIN(", ",TRUE,IF(JAN!$G112:$AK112="AT",JAN!$G$4:$AK$4,"")))</f>
        <v/>
      </c>
      <c r="S263" t="str">
        <f t="array" ref="S263">IF($Q263="","",_xlfn.TEXTJOIN(", ",TRUE,IF(FEV!$G112:$AK112="AT",FEV!$G$4:$AK$4,"")))</f>
        <v/>
      </c>
      <c r="T263" t="str">
        <f t="array" ref="T263">IF($Q263="","",_xlfn.TEXTJOIN(", ",TRUE,IF(MAR!$G112:$AK112="AT",MAR!$G$4:$AK$4,"")))</f>
        <v/>
      </c>
      <c r="U263" t="str">
        <f t="array" ref="U263">IF($Q263="","",_xlfn.TEXTJOIN(", ",TRUE,IF(ABR!$G112:$AK112="AT",ABR!$G$4:$AK$4,"")))</f>
        <v/>
      </c>
      <c r="V263" t="str">
        <f t="array" ref="V263">IF($Q263="","",_xlfn.TEXTJOIN(", ",TRUE,IF(MAI!$G112:$AK112="AT",MAI!$G$4:$AK$4,"")))</f>
        <v/>
      </c>
      <c r="W263" t="str">
        <f t="array" ref="W263">IF($Q263="","",_xlfn.TEXTJOIN(", ",TRUE,IF(JUN!$G112:$AK112="AT",JUN!$G$4:$AK$4,"")))</f>
        <v/>
      </c>
      <c r="X263" t="str">
        <f t="array" ref="X263">IF($Q263="","",_xlfn.TEXTJOIN(", ",TRUE,IF(JUL!$G112:$AK112="AT",JUL!$G$4:$AK$4,"")))</f>
        <v/>
      </c>
      <c r="Y263" t="str">
        <f t="array" ref="Y263">IF($Q263="","",_xlfn.TEXTJOIN(", ",TRUE,IF(AGO!$G112:$AK112="AT",AGO!$G$4:$AK$4,"")))</f>
        <v/>
      </c>
      <c r="Z263" t="str">
        <f t="array" ref="Z263">IF($Q263="","",_xlfn.TEXTJOIN(", ",TRUE,IF(SET!$G112:$AK112="AT",SET!$G$4:$AK$4,"")))</f>
        <v/>
      </c>
      <c r="AA263" t="str">
        <f t="array" ref="AA263">IF($Q263="","",_xlfn.TEXTJOIN(", ",TRUE,IF(OUT!$G112:$AK112="AT",OUT!$G$4:$AK$4,"")))</f>
        <v/>
      </c>
      <c r="AB263" t="str">
        <f t="array" ref="AB263">IF($Q263="","",_xlfn.TEXTJOIN(", ",TRUE,IF(NOV!$G112:$AK112="AT",NOV!$G$4:$AK$4,"")))</f>
        <v/>
      </c>
      <c r="AC263" t="str">
        <f t="array" ref="AC263">IF($Q263="","",_xlfn.TEXTJOIN(", ",TRUE,IF(DEZ!$G112:$AK112="AT",DEZ!$G$4:$AK$4,"")))</f>
        <v/>
      </c>
      <c r="AD263" t="str">
        <f>IF($Q263="","",COUNTIF(JAN!$G112:$AK112,"AT")+COUNTIF(FEV!$G112:$AK112,"AT")+COUNTIF(MAR!$G112:$AK112,"AT")+COUNTIF(ABR!$G112:$AK112,"AT")+COUNTIF(MAI!$G112:$AK112,"AT")+COUNTIF(JUN!$G112:$AK112,"AT")+COUNTIF(JUL!$G112:$AK112,"AT")+COUNTIF(AGO!$G112:$AK112,"AT")+COUNTIF(SET!$G112:$AK112,"AT")+COUNTIF(OUT!$G112:$AK112,"AT")+COUNTIF(NOV!$G112:$AK112,"AT")+COUNTIF(DEZ!$G112:$AK112,"AT"))</f>
        <v/>
      </c>
      <c r="AF263" t="str">
        <f>IF(AND($Q263&lt;&gt;"",N($AD263)&gt;0),COUNT($AF$156:AF262)+1,"")</f>
        <v/>
      </c>
    </row>
    <row r="264" spans="1:32" hidden="1" outlineLevel="1" x14ac:dyDescent="0.25">
      <c r="A264" s="36" t="str">
        <f>IFERROR(INDEX($Q$157:$Q$306,MATCH(ROWS($A$157:A264),$AF$157:$AF$306,0)),"")</f>
        <v/>
      </c>
      <c r="B264" s="35" t="str">
        <f>IFERROR(INDEX($R$157:$R$306,MATCH(ROWS($A$157:A264),$AF$157:$AF$306,0)),"")</f>
        <v/>
      </c>
      <c r="C264" s="35" t="str">
        <f>IFERROR(INDEX($S$157:$S$306,MATCH(ROWS($A$157:A264),$AF$157:$AF$306,0)),"")</f>
        <v/>
      </c>
      <c r="D264" s="35" t="str">
        <f>IFERROR(INDEX($T$157:$T$306,MATCH(ROWS($A$157:A264),$AF$157:$AF$306,0)),"")</f>
        <v/>
      </c>
      <c r="E264" s="35" t="str">
        <f>IFERROR(INDEX($U$157:$U$306,MATCH(ROWS($A$157:A264),$AF$157:$AF$306,0)),"")</f>
        <v/>
      </c>
      <c r="F264" s="35" t="str">
        <f>IFERROR(INDEX($V$157:$V$306,MATCH(ROWS($A$157:A264),$AF$157:$AF$306,0)),"")</f>
        <v/>
      </c>
      <c r="G264" s="35" t="str">
        <f>IFERROR(INDEX($W$157:$W$306,MATCH(ROWS($A$157:A264),$AF$157:$AF$306,0)),"")</f>
        <v/>
      </c>
      <c r="H264" s="35" t="str">
        <f>IFERROR(INDEX($X$157:$X$306,MATCH(ROWS($A$157:A264),$AF$157:$AF$306,0)),"")</f>
        <v/>
      </c>
      <c r="I264" s="35" t="str">
        <f>IFERROR(INDEX($Y$157:$Y$306,MATCH(ROWS($A$157:A264),$AF$157:$AF$306,0)),"")</f>
        <v/>
      </c>
      <c r="J264" s="35" t="str">
        <f>IFERROR(INDEX($Z$157:$Z$306,MATCH(ROWS($A$157:A264),$AF$157:$AF$306,0)),"")</f>
        <v/>
      </c>
      <c r="K264" s="35" t="str">
        <f>IFERROR(INDEX($AA$157:$AA$306,MATCH(ROWS($A$157:A264),$AF$157:$AF$306,0)),"")</f>
        <v/>
      </c>
      <c r="L264" s="35" t="str">
        <f>IFERROR(INDEX($AB$157:$AB$306,MATCH(ROWS($A$157:A264),$AF$157:$AF$306,0)),"")</f>
        <v/>
      </c>
      <c r="M264" s="35" t="str">
        <f>IFERROR(INDEX($AC$157:$AC$306,MATCH(ROWS($A$157:A264),$AF$157:$AF$306,0)),"")</f>
        <v/>
      </c>
      <c r="N264" s="35" t="str">
        <f>IFERROR(INDEX($AD$157:$AD$306,MATCH(ROWS($A$157:A264),$AF$157:$AF$306,0)),"")</f>
        <v/>
      </c>
      <c r="Q264" t="str">
        <f>T(JAN!B113)</f>
        <v/>
      </c>
      <c r="R264" t="str">
        <f t="array" ref="R264">IF($Q264="","",_xlfn.TEXTJOIN(", ",TRUE,IF(JAN!$G113:$AK113="AT",JAN!$G$4:$AK$4,"")))</f>
        <v/>
      </c>
      <c r="S264" t="str">
        <f t="array" ref="S264">IF($Q264="","",_xlfn.TEXTJOIN(", ",TRUE,IF(FEV!$G113:$AK113="AT",FEV!$G$4:$AK$4,"")))</f>
        <v/>
      </c>
      <c r="T264" t="str">
        <f t="array" ref="T264">IF($Q264="","",_xlfn.TEXTJOIN(", ",TRUE,IF(MAR!$G113:$AK113="AT",MAR!$G$4:$AK$4,"")))</f>
        <v/>
      </c>
      <c r="U264" t="str">
        <f t="array" ref="U264">IF($Q264="","",_xlfn.TEXTJOIN(", ",TRUE,IF(ABR!$G113:$AK113="AT",ABR!$G$4:$AK$4,"")))</f>
        <v/>
      </c>
      <c r="V264" t="str">
        <f t="array" ref="V264">IF($Q264="","",_xlfn.TEXTJOIN(", ",TRUE,IF(MAI!$G113:$AK113="AT",MAI!$G$4:$AK$4,"")))</f>
        <v/>
      </c>
      <c r="W264" t="str">
        <f t="array" ref="W264">IF($Q264="","",_xlfn.TEXTJOIN(", ",TRUE,IF(JUN!$G113:$AK113="AT",JUN!$G$4:$AK$4,"")))</f>
        <v/>
      </c>
      <c r="X264" t="str">
        <f t="array" ref="X264">IF($Q264="","",_xlfn.TEXTJOIN(", ",TRUE,IF(JUL!$G113:$AK113="AT",JUL!$G$4:$AK$4,"")))</f>
        <v/>
      </c>
      <c r="Y264" t="str">
        <f t="array" ref="Y264">IF($Q264="","",_xlfn.TEXTJOIN(", ",TRUE,IF(AGO!$G113:$AK113="AT",AGO!$G$4:$AK$4,"")))</f>
        <v/>
      </c>
      <c r="Z264" t="str">
        <f t="array" ref="Z264">IF($Q264="","",_xlfn.TEXTJOIN(", ",TRUE,IF(SET!$G113:$AK113="AT",SET!$G$4:$AK$4,"")))</f>
        <v/>
      </c>
      <c r="AA264" t="str">
        <f t="array" ref="AA264">IF($Q264="","",_xlfn.TEXTJOIN(", ",TRUE,IF(OUT!$G113:$AK113="AT",OUT!$G$4:$AK$4,"")))</f>
        <v/>
      </c>
      <c r="AB264" t="str">
        <f t="array" ref="AB264">IF($Q264="","",_xlfn.TEXTJOIN(", ",TRUE,IF(NOV!$G113:$AK113="AT",NOV!$G$4:$AK$4,"")))</f>
        <v/>
      </c>
      <c r="AC264" t="str">
        <f t="array" ref="AC264">IF($Q264="","",_xlfn.TEXTJOIN(", ",TRUE,IF(DEZ!$G113:$AK113="AT",DEZ!$G$4:$AK$4,"")))</f>
        <v/>
      </c>
      <c r="AD264" t="str">
        <f>IF($Q264="","",COUNTIF(JAN!$G113:$AK113,"AT")+COUNTIF(FEV!$G113:$AK113,"AT")+COUNTIF(MAR!$G113:$AK113,"AT")+COUNTIF(ABR!$G113:$AK113,"AT")+COUNTIF(MAI!$G113:$AK113,"AT")+COUNTIF(JUN!$G113:$AK113,"AT")+COUNTIF(JUL!$G113:$AK113,"AT")+COUNTIF(AGO!$G113:$AK113,"AT")+COUNTIF(SET!$G113:$AK113,"AT")+COUNTIF(OUT!$G113:$AK113,"AT")+COUNTIF(NOV!$G113:$AK113,"AT")+COUNTIF(DEZ!$G113:$AK113,"AT"))</f>
        <v/>
      </c>
      <c r="AF264" t="str">
        <f>IF(AND($Q264&lt;&gt;"",N($AD264)&gt;0),COUNT($AF$156:AF263)+1,"")</f>
        <v/>
      </c>
    </row>
    <row r="265" spans="1:32" hidden="1" outlineLevel="1" x14ac:dyDescent="0.25">
      <c r="A265" s="36" t="str">
        <f>IFERROR(INDEX($Q$157:$Q$306,MATCH(ROWS($A$157:A265),$AF$157:$AF$306,0)),"")</f>
        <v/>
      </c>
      <c r="B265" s="35" t="str">
        <f>IFERROR(INDEX($R$157:$R$306,MATCH(ROWS($A$157:A265),$AF$157:$AF$306,0)),"")</f>
        <v/>
      </c>
      <c r="C265" s="35" t="str">
        <f>IFERROR(INDEX($S$157:$S$306,MATCH(ROWS($A$157:A265),$AF$157:$AF$306,0)),"")</f>
        <v/>
      </c>
      <c r="D265" s="35" t="str">
        <f>IFERROR(INDEX($T$157:$T$306,MATCH(ROWS($A$157:A265),$AF$157:$AF$306,0)),"")</f>
        <v/>
      </c>
      <c r="E265" s="35" t="str">
        <f>IFERROR(INDEX($U$157:$U$306,MATCH(ROWS($A$157:A265),$AF$157:$AF$306,0)),"")</f>
        <v/>
      </c>
      <c r="F265" s="35" t="str">
        <f>IFERROR(INDEX($V$157:$V$306,MATCH(ROWS($A$157:A265),$AF$157:$AF$306,0)),"")</f>
        <v/>
      </c>
      <c r="G265" s="35" t="str">
        <f>IFERROR(INDEX($W$157:$W$306,MATCH(ROWS($A$157:A265),$AF$157:$AF$306,0)),"")</f>
        <v/>
      </c>
      <c r="H265" s="35" t="str">
        <f>IFERROR(INDEX($X$157:$X$306,MATCH(ROWS($A$157:A265),$AF$157:$AF$306,0)),"")</f>
        <v/>
      </c>
      <c r="I265" s="35" t="str">
        <f>IFERROR(INDEX($Y$157:$Y$306,MATCH(ROWS($A$157:A265),$AF$157:$AF$306,0)),"")</f>
        <v/>
      </c>
      <c r="J265" s="35" t="str">
        <f>IFERROR(INDEX($Z$157:$Z$306,MATCH(ROWS($A$157:A265),$AF$157:$AF$306,0)),"")</f>
        <v/>
      </c>
      <c r="K265" s="35" t="str">
        <f>IFERROR(INDEX($AA$157:$AA$306,MATCH(ROWS($A$157:A265),$AF$157:$AF$306,0)),"")</f>
        <v/>
      </c>
      <c r="L265" s="35" t="str">
        <f>IFERROR(INDEX($AB$157:$AB$306,MATCH(ROWS($A$157:A265),$AF$157:$AF$306,0)),"")</f>
        <v/>
      </c>
      <c r="M265" s="35" t="str">
        <f>IFERROR(INDEX($AC$157:$AC$306,MATCH(ROWS($A$157:A265),$AF$157:$AF$306,0)),"")</f>
        <v/>
      </c>
      <c r="N265" s="35" t="str">
        <f>IFERROR(INDEX($AD$157:$AD$306,MATCH(ROWS($A$157:A265),$AF$157:$AF$306,0)),"")</f>
        <v/>
      </c>
      <c r="Q265" t="str">
        <f>T(JAN!B114)</f>
        <v/>
      </c>
      <c r="R265" t="str">
        <f t="array" ref="R265">IF($Q265="","",_xlfn.TEXTJOIN(", ",TRUE,IF(JAN!$G114:$AK114="AT",JAN!$G$4:$AK$4,"")))</f>
        <v/>
      </c>
      <c r="S265" t="str">
        <f t="array" ref="S265">IF($Q265="","",_xlfn.TEXTJOIN(", ",TRUE,IF(FEV!$G114:$AK114="AT",FEV!$G$4:$AK$4,"")))</f>
        <v/>
      </c>
      <c r="T265" t="str">
        <f t="array" ref="T265">IF($Q265="","",_xlfn.TEXTJOIN(", ",TRUE,IF(MAR!$G114:$AK114="AT",MAR!$G$4:$AK$4,"")))</f>
        <v/>
      </c>
      <c r="U265" t="str">
        <f t="array" ref="U265">IF($Q265="","",_xlfn.TEXTJOIN(", ",TRUE,IF(ABR!$G114:$AK114="AT",ABR!$G$4:$AK$4,"")))</f>
        <v/>
      </c>
      <c r="V265" t="str">
        <f t="array" ref="V265">IF($Q265="","",_xlfn.TEXTJOIN(", ",TRUE,IF(MAI!$G114:$AK114="AT",MAI!$G$4:$AK$4,"")))</f>
        <v/>
      </c>
      <c r="W265" t="str">
        <f t="array" ref="W265">IF($Q265="","",_xlfn.TEXTJOIN(", ",TRUE,IF(JUN!$G114:$AK114="AT",JUN!$G$4:$AK$4,"")))</f>
        <v/>
      </c>
      <c r="X265" t="str">
        <f t="array" ref="X265">IF($Q265="","",_xlfn.TEXTJOIN(", ",TRUE,IF(JUL!$G114:$AK114="AT",JUL!$G$4:$AK$4,"")))</f>
        <v/>
      </c>
      <c r="Y265" t="str">
        <f t="array" ref="Y265">IF($Q265="","",_xlfn.TEXTJOIN(", ",TRUE,IF(AGO!$G114:$AK114="AT",AGO!$G$4:$AK$4,"")))</f>
        <v/>
      </c>
      <c r="Z265" t="str">
        <f t="array" ref="Z265">IF($Q265="","",_xlfn.TEXTJOIN(", ",TRUE,IF(SET!$G114:$AK114="AT",SET!$G$4:$AK$4,"")))</f>
        <v/>
      </c>
      <c r="AA265" t="str">
        <f t="array" ref="AA265">IF($Q265="","",_xlfn.TEXTJOIN(", ",TRUE,IF(OUT!$G114:$AK114="AT",OUT!$G$4:$AK$4,"")))</f>
        <v/>
      </c>
      <c r="AB265" t="str">
        <f t="array" ref="AB265">IF($Q265="","",_xlfn.TEXTJOIN(", ",TRUE,IF(NOV!$G114:$AK114="AT",NOV!$G$4:$AK$4,"")))</f>
        <v/>
      </c>
      <c r="AC265" t="str">
        <f t="array" ref="AC265">IF($Q265="","",_xlfn.TEXTJOIN(", ",TRUE,IF(DEZ!$G114:$AK114="AT",DEZ!$G$4:$AK$4,"")))</f>
        <v/>
      </c>
      <c r="AD265" t="str">
        <f>IF($Q265="","",COUNTIF(JAN!$G114:$AK114,"AT")+COUNTIF(FEV!$G114:$AK114,"AT")+COUNTIF(MAR!$G114:$AK114,"AT")+COUNTIF(ABR!$G114:$AK114,"AT")+COUNTIF(MAI!$G114:$AK114,"AT")+COUNTIF(JUN!$G114:$AK114,"AT")+COUNTIF(JUL!$G114:$AK114,"AT")+COUNTIF(AGO!$G114:$AK114,"AT")+COUNTIF(SET!$G114:$AK114,"AT")+COUNTIF(OUT!$G114:$AK114,"AT")+COUNTIF(NOV!$G114:$AK114,"AT")+COUNTIF(DEZ!$G114:$AK114,"AT"))</f>
        <v/>
      </c>
      <c r="AF265" t="str">
        <f>IF(AND($Q265&lt;&gt;"",N($AD265)&gt;0),COUNT($AF$156:AF264)+1,"")</f>
        <v/>
      </c>
    </row>
    <row r="266" spans="1:32" hidden="1" outlineLevel="1" x14ac:dyDescent="0.25">
      <c r="A266" s="36" t="str">
        <f>IFERROR(INDEX($Q$157:$Q$306,MATCH(ROWS($A$157:A266),$AF$157:$AF$306,0)),"")</f>
        <v/>
      </c>
      <c r="B266" s="35" t="str">
        <f>IFERROR(INDEX($R$157:$R$306,MATCH(ROWS($A$157:A266),$AF$157:$AF$306,0)),"")</f>
        <v/>
      </c>
      <c r="C266" s="35" t="str">
        <f>IFERROR(INDEX($S$157:$S$306,MATCH(ROWS($A$157:A266),$AF$157:$AF$306,0)),"")</f>
        <v/>
      </c>
      <c r="D266" s="35" t="str">
        <f>IFERROR(INDEX($T$157:$T$306,MATCH(ROWS($A$157:A266),$AF$157:$AF$306,0)),"")</f>
        <v/>
      </c>
      <c r="E266" s="35" t="str">
        <f>IFERROR(INDEX($U$157:$U$306,MATCH(ROWS($A$157:A266),$AF$157:$AF$306,0)),"")</f>
        <v/>
      </c>
      <c r="F266" s="35" t="str">
        <f>IFERROR(INDEX($V$157:$V$306,MATCH(ROWS($A$157:A266),$AF$157:$AF$306,0)),"")</f>
        <v/>
      </c>
      <c r="G266" s="35" t="str">
        <f>IFERROR(INDEX($W$157:$W$306,MATCH(ROWS($A$157:A266),$AF$157:$AF$306,0)),"")</f>
        <v/>
      </c>
      <c r="H266" s="35" t="str">
        <f>IFERROR(INDEX($X$157:$X$306,MATCH(ROWS($A$157:A266),$AF$157:$AF$306,0)),"")</f>
        <v/>
      </c>
      <c r="I266" s="35" t="str">
        <f>IFERROR(INDEX($Y$157:$Y$306,MATCH(ROWS($A$157:A266),$AF$157:$AF$306,0)),"")</f>
        <v/>
      </c>
      <c r="J266" s="35" t="str">
        <f>IFERROR(INDEX($Z$157:$Z$306,MATCH(ROWS($A$157:A266),$AF$157:$AF$306,0)),"")</f>
        <v/>
      </c>
      <c r="K266" s="35" t="str">
        <f>IFERROR(INDEX($AA$157:$AA$306,MATCH(ROWS($A$157:A266),$AF$157:$AF$306,0)),"")</f>
        <v/>
      </c>
      <c r="L266" s="35" t="str">
        <f>IFERROR(INDEX($AB$157:$AB$306,MATCH(ROWS($A$157:A266),$AF$157:$AF$306,0)),"")</f>
        <v/>
      </c>
      <c r="M266" s="35" t="str">
        <f>IFERROR(INDEX($AC$157:$AC$306,MATCH(ROWS($A$157:A266),$AF$157:$AF$306,0)),"")</f>
        <v/>
      </c>
      <c r="N266" s="35" t="str">
        <f>IFERROR(INDEX($AD$157:$AD$306,MATCH(ROWS($A$157:A266),$AF$157:$AF$306,0)),"")</f>
        <v/>
      </c>
      <c r="Q266" t="str">
        <f>T(JAN!B115)</f>
        <v/>
      </c>
      <c r="R266" t="str">
        <f t="array" ref="R266">IF($Q266="","",_xlfn.TEXTJOIN(", ",TRUE,IF(JAN!$G115:$AK115="AT",JAN!$G$4:$AK$4,"")))</f>
        <v/>
      </c>
      <c r="S266" t="str">
        <f t="array" ref="S266">IF($Q266="","",_xlfn.TEXTJOIN(", ",TRUE,IF(FEV!$G115:$AK115="AT",FEV!$G$4:$AK$4,"")))</f>
        <v/>
      </c>
      <c r="T266" t="str">
        <f t="array" ref="T266">IF($Q266="","",_xlfn.TEXTJOIN(", ",TRUE,IF(MAR!$G115:$AK115="AT",MAR!$G$4:$AK$4,"")))</f>
        <v/>
      </c>
      <c r="U266" t="str">
        <f t="array" ref="U266">IF($Q266="","",_xlfn.TEXTJOIN(", ",TRUE,IF(ABR!$G115:$AK115="AT",ABR!$G$4:$AK$4,"")))</f>
        <v/>
      </c>
      <c r="V266" t="str">
        <f t="array" ref="V266">IF($Q266="","",_xlfn.TEXTJOIN(", ",TRUE,IF(MAI!$G115:$AK115="AT",MAI!$G$4:$AK$4,"")))</f>
        <v/>
      </c>
      <c r="W266" t="str">
        <f t="array" ref="W266">IF($Q266="","",_xlfn.TEXTJOIN(", ",TRUE,IF(JUN!$G115:$AK115="AT",JUN!$G$4:$AK$4,"")))</f>
        <v/>
      </c>
      <c r="X266" t="str">
        <f t="array" ref="X266">IF($Q266="","",_xlfn.TEXTJOIN(", ",TRUE,IF(JUL!$G115:$AK115="AT",JUL!$G$4:$AK$4,"")))</f>
        <v/>
      </c>
      <c r="Y266" t="str">
        <f t="array" ref="Y266">IF($Q266="","",_xlfn.TEXTJOIN(", ",TRUE,IF(AGO!$G115:$AK115="AT",AGO!$G$4:$AK$4,"")))</f>
        <v/>
      </c>
      <c r="Z266" t="str">
        <f t="array" ref="Z266">IF($Q266="","",_xlfn.TEXTJOIN(", ",TRUE,IF(SET!$G115:$AK115="AT",SET!$G$4:$AK$4,"")))</f>
        <v/>
      </c>
      <c r="AA266" t="str">
        <f t="array" ref="AA266">IF($Q266="","",_xlfn.TEXTJOIN(", ",TRUE,IF(OUT!$G115:$AK115="AT",OUT!$G$4:$AK$4,"")))</f>
        <v/>
      </c>
      <c r="AB266" t="str">
        <f t="array" ref="AB266">IF($Q266="","",_xlfn.TEXTJOIN(", ",TRUE,IF(NOV!$G115:$AK115="AT",NOV!$G$4:$AK$4,"")))</f>
        <v/>
      </c>
      <c r="AC266" t="str">
        <f t="array" ref="AC266">IF($Q266="","",_xlfn.TEXTJOIN(", ",TRUE,IF(DEZ!$G115:$AK115="AT",DEZ!$G$4:$AK$4,"")))</f>
        <v/>
      </c>
      <c r="AD266" t="str">
        <f>IF($Q266="","",COUNTIF(JAN!$G115:$AK115,"AT")+COUNTIF(FEV!$G115:$AK115,"AT")+COUNTIF(MAR!$G115:$AK115,"AT")+COUNTIF(ABR!$G115:$AK115,"AT")+COUNTIF(MAI!$G115:$AK115,"AT")+COUNTIF(JUN!$G115:$AK115,"AT")+COUNTIF(JUL!$G115:$AK115,"AT")+COUNTIF(AGO!$G115:$AK115,"AT")+COUNTIF(SET!$G115:$AK115,"AT")+COUNTIF(OUT!$G115:$AK115,"AT")+COUNTIF(NOV!$G115:$AK115,"AT")+COUNTIF(DEZ!$G115:$AK115,"AT"))</f>
        <v/>
      </c>
      <c r="AF266" t="str">
        <f>IF(AND($Q266&lt;&gt;"",N($AD266)&gt;0),COUNT($AF$156:AF265)+1,"")</f>
        <v/>
      </c>
    </row>
    <row r="267" spans="1:32" hidden="1" outlineLevel="1" x14ac:dyDescent="0.25">
      <c r="A267" s="36" t="str">
        <f>IFERROR(INDEX($Q$157:$Q$306,MATCH(ROWS($A$157:A267),$AF$157:$AF$306,0)),"")</f>
        <v/>
      </c>
      <c r="B267" s="35" t="str">
        <f>IFERROR(INDEX($R$157:$R$306,MATCH(ROWS($A$157:A267),$AF$157:$AF$306,0)),"")</f>
        <v/>
      </c>
      <c r="C267" s="35" t="str">
        <f>IFERROR(INDEX($S$157:$S$306,MATCH(ROWS($A$157:A267),$AF$157:$AF$306,0)),"")</f>
        <v/>
      </c>
      <c r="D267" s="35" t="str">
        <f>IFERROR(INDEX($T$157:$T$306,MATCH(ROWS($A$157:A267),$AF$157:$AF$306,0)),"")</f>
        <v/>
      </c>
      <c r="E267" s="35" t="str">
        <f>IFERROR(INDEX($U$157:$U$306,MATCH(ROWS($A$157:A267),$AF$157:$AF$306,0)),"")</f>
        <v/>
      </c>
      <c r="F267" s="35" t="str">
        <f>IFERROR(INDEX($V$157:$V$306,MATCH(ROWS($A$157:A267),$AF$157:$AF$306,0)),"")</f>
        <v/>
      </c>
      <c r="G267" s="35" t="str">
        <f>IFERROR(INDEX($W$157:$W$306,MATCH(ROWS($A$157:A267),$AF$157:$AF$306,0)),"")</f>
        <v/>
      </c>
      <c r="H267" s="35" t="str">
        <f>IFERROR(INDEX($X$157:$X$306,MATCH(ROWS($A$157:A267),$AF$157:$AF$306,0)),"")</f>
        <v/>
      </c>
      <c r="I267" s="35" t="str">
        <f>IFERROR(INDEX($Y$157:$Y$306,MATCH(ROWS($A$157:A267),$AF$157:$AF$306,0)),"")</f>
        <v/>
      </c>
      <c r="J267" s="35" t="str">
        <f>IFERROR(INDEX($Z$157:$Z$306,MATCH(ROWS($A$157:A267),$AF$157:$AF$306,0)),"")</f>
        <v/>
      </c>
      <c r="K267" s="35" t="str">
        <f>IFERROR(INDEX($AA$157:$AA$306,MATCH(ROWS($A$157:A267),$AF$157:$AF$306,0)),"")</f>
        <v/>
      </c>
      <c r="L267" s="35" t="str">
        <f>IFERROR(INDEX($AB$157:$AB$306,MATCH(ROWS($A$157:A267),$AF$157:$AF$306,0)),"")</f>
        <v/>
      </c>
      <c r="M267" s="35" t="str">
        <f>IFERROR(INDEX($AC$157:$AC$306,MATCH(ROWS($A$157:A267),$AF$157:$AF$306,0)),"")</f>
        <v/>
      </c>
      <c r="N267" s="35" t="str">
        <f>IFERROR(INDEX($AD$157:$AD$306,MATCH(ROWS($A$157:A267),$AF$157:$AF$306,0)),"")</f>
        <v/>
      </c>
      <c r="Q267" t="str">
        <f>T(JAN!B116)</f>
        <v/>
      </c>
      <c r="R267" t="str">
        <f t="array" ref="R267">IF($Q267="","",_xlfn.TEXTJOIN(", ",TRUE,IF(JAN!$G116:$AK116="AT",JAN!$G$4:$AK$4,"")))</f>
        <v/>
      </c>
      <c r="S267" t="str">
        <f t="array" ref="S267">IF($Q267="","",_xlfn.TEXTJOIN(", ",TRUE,IF(FEV!$G116:$AK116="AT",FEV!$G$4:$AK$4,"")))</f>
        <v/>
      </c>
      <c r="T267" t="str">
        <f t="array" ref="T267">IF($Q267="","",_xlfn.TEXTJOIN(", ",TRUE,IF(MAR!$G116:$AK116="AT",MAR!$G$4:$AK$4,"")))</f>
        <v/>
      </c>
      <c r="U267" t="str">
        <f t="array" ref="U267">IF($Q267="","",_xlfn.TEXTJOIN(", ",TRUE,IF(ABR!$G116:$AK116="AT",ABR!$G$4:$AK$4,"")))</f>
        <v/>
      </c>
      <c r="V267" t="str">
        <f t="array" ref="V267">IF($Q267="","",_xlfn.TEXTJOIN(", ",TRUE,IF(MAI!$G116:$AK116="AT",MAI!$G$4:$AK$4,"")))</f>
        <v/>
      </c>
      <c r="W267" t="str">
        <f t="array" ref="W267">IF($Q267="","",_xlfn.TEXTJOIN(", ",TRUE,IF(JUN!$G116:$AK116="AT",JUN!$G$4:$AK$4,"")))</f>
        <v/>
      </c>
      <c r="X267" t="str">
        <f t="array" ref="X267">IF($Q267="","",_xlfn.TEXTJOIN(", ",TRUE,IF(JUL!$G116:$AK116="AT",JUL!$G$4:$AK$4,"")))</f>
        <v/>
      </c>
      <c r="Y267" t="str">
        <f t="array" ref="Y267">IF($Q267="","",_xlfn.TEXTJOIN(", ",TRUE,IF(AGO!$G116:$AK116="AT",AGO!$G$4:$AK$4,"")))</f>
        <v/>
      </c>
      <c r="Z267" t="str">
        <f t="array" ref="Z267">IF($Q267="","",_xlfn.TEXTJOIN(", ",TRUE,IF(SET!$G116:$AK116="AT",SET!$G$4:$AK$4,"")))</f>
        <v/>
      </c>
      <c r="AA267" t="str">
        <f t="array" ref="AA267">IF($Q267="","",_xlfn.TEXTJOIN(", ",TRUE,IF(OUT!$G116:$AK116="AT",OUT!$G$4:$AK$4,"")))</f>
        <v/>
      </c>
      <c r="AB267" t="str">
        <f t="array" ref="AB267">IF($Q267="","",_xlfn.TEXTJOIN(", ",TRUE,IF(NOV!$G116:$AK116="AT",NOV!$G$4:$AK$4,"")))</f>
        <v/>
      </c>
      <c r="AC267" t="str">
        <f t="array" ref="AC267">IF($Q267="","",_xlfn.TEXTJOIN(", ",TRUE,IF(DEZ!$G116:$AK116="AT",DEZ!$G$4:$AK$4,"")))</f>
        <v/>
      </c>
      <c r="AD267" t="str">
        <f>IF($Q267="","",COUNTIF(JAN!$G116:$AK116,"AT")+COUNTIF(FEV!$G116:$AK116,"AT")+COUNTIF(MAR!$G116:$AK116,"AT")+COUNTIF(ABR!$G116:$AK116,"AT")+COUNTIF(MAI!$G116:$AK116,"AT")+COUNTIF(JUN!$G116:$AK116,"AT")+COUNTIF(JUL!$G116:$AK116,"AT")+COUNTIF(AGO!$G116:$AK116,"AT")+COUNTIF(SET!$G116:$AK116,"AT")+COUNTIF(OUT!$G116:$AK116,"AT")+COUNTIF(NOV!$G116:$AK116,"AT")+COUNTIF(DEZ!$G116:$AK116,"AT"))</f>
        <v/>
      </c>
      <c r="AF267" t="str">
        <f>IF(AND($Q267&lt;&gt;"",N($AD267)&gt;0),COUNT($AF$156:AF266)+1,"")</f>
        <v/>
      </c>
    </row>
    <row r="268" spans="1:32" hidden="1" outlineLevel="1" x14ac:dyDescent="0.25">
      <c r="A268" s="36" t="str">
        <f>IFERROR(INDEX($Q$157:$Q$306,MATCH(ROWS($A$157:A268),$AF$157:$AF$306,0)),"")</f>
        <v/>
      </c>
      <c r="B268" s="35" t="str">
        <f>IFERROR(INDEX($R$157:$R$306,MATCH(ROWS($A$157:A268),$AF$157:$AF$306,0)),"")</f>
        <v/>
      </c>
      <c r="C268" s="35" t="str">
        <f>IFERROR(INDEX($S$157:$S$306,MATCH(ROWS($A$157:A268),$AF$157:$AF$306,0)),"")</f>
        <v/>
      </c>
      <c r="D268" s="35" t="str">
        <f>IFERROR(INDEX($T$157:$T$306,MATCH(ROWS($A$157:A268),$AF$157:$AF$306,0)),"")</f>
        <v/>
      </c>
      <c r="E268" s="35" t="str">
        <f>IFERROR(INDEX($U$157:$U$306,MATCH(ROWS($A$157:A268),$AF$157:$AF$306,0)),"")</f>
        <v/>
      </c>
      <c r="F268" s="35" t="str">
        <f>IFERROR(INDEX($V$157:$V$306,MATCH(ROWS($A$157:A268),$AF$157:$AF$306,0)),"")</f>
        <v/>
      </c>
      <c r="G268" s="35" t="str">
        <f>IFERROR(INDEX($W$157:$W$306,MATCH(ROWS($A$157:A268),$AF$157:$AF$306,0)),"")</f>
        <v/>
      </c>
      <c r="H268" s="35" t="str">
        <f>IFERROR(INDEX($X$157:$X$306,MATCH(ROWS($A$157:A268),$AF$157:$AF$306,0)),"")</f>
        <v/>
      </c>
      <c r="I268" s="35" t="str">
        <f>IFERROR(INDEX($Y$157:$Y$306,MATCH(ROWS($A$157:A268),$AF$157:$AF$306,0)),"")</f>
        <v/>
      </c>
      <c r="J268" s="35" t="str">
        <f>IFERROR(INDEX($Z$157:$Z$306,MATCH(ROWS($A$157:A268),$AF$157:$AF$306,0)),"")</f>
        <v/>
      </c>
      <c r="K268" s="35" t="str">
        <f>IFERROR(INDEX($AA$157:$AA$306,MATCH(ROWS($A$157:A268),$AF$157:$AF$306,0)),"")</f>
        <v/>
      </c>
      <c r="L268" s="35" t="str">
        <f>IFERROR(INDEX($AB$157:$AB$306,MATCH(ROWS($A$157:A268),$AF$157:$AF$306,0)),"")</f>
        <v/>
      </c>
      <c r="M268" s="35" t="str">
        <f>IFERROR(INDEX($AC$157:$AC$306,MATCH(ROWS($A$157:A268),$AF$157:$AF$306,0)),"")</f>
        <v/>
      </c>
      <c r="N268" s="35" t="str">
        <f>IFERROR(INDEX($AD$157:$AD$306,MATCH(ROWS($A$157:A268),$AF$157:$AF$306,0)),"")</f>
        <v/>
      </c>
      <c r="Q268" t="str">
        <f>T(JAN!B117)</f>
        <v/>
      </c>
      <c r="R268" t="str">
        <f t="array" ref="R268">IF($Q268="","",_xlfn.TEXTJOIN(", ",TRUE,IF(JAN!$G117:$AK117="AT",JAN!$G$4:$AK$4,"")))</f>
        <v/>
      </c>
      <c r="S268" t="str">
        <f t="array" ref="S268">IF($Q268="","",_xlfn.TEXTJOIN(", ",TRUE,IF(FEV!$G117:$AK117="AT",FEV!$G$4:$AK$4,"")))</f>
        <v/>
      </c>
      <c r="T268" t="str">
        <f t="array" ref="T268">IF($Q268="","",_xlfn.TEXTJOIN(", ",TRUE,IF(MAR!$G117:$AK117="AT",MAR!$G$4:$AK$4,"")))</f>
        <v/>
      </c>
      <c r="U268" t="str">
        <f t="array" ref="U268">IF($Q268="","",_xlfn.TEXTJOIN(", ",TRUE,IF(ABR!$G117:$AK117="AT",ABR!$G$4:$AK$4,"")))</f>
        <v/>
      </c>
      <c r="V268" t="str">
        <f t="array" ref="V268">IF($Q268="","",_xlfn.TEXTJOIN(", ",TRUE,IF(MAI!$G117:$AK117="AT",MAI!$G$4:$AK$4,"")))</f>
        <v/>
      </c>
      <c r="W268" t="str">
        <f t="array" ref="W268">IF($Q268="","",_xlfn.TEXTJOIN(", ",TRUE,IF(JUN!$G117:$AK117="AT",JUN!$G$4:$AK$4,"")))</f>
        <v/>
      </c>
      <c r="X268" t="str">
        <f t="array" ref="X268">IF($Q268="","",_xlfn.TEXTJOIN(", ",TRUE,IF(JUL!$G117:$AK117="AT",JUL!$G$4:$AK$4,"")))</f>
        <v/>
      </c>
      <c r="Y268" t="str">
        <f t="array" ref="Y268">IF($Q268="","",_xlfn.TEXTJOIN(", ",TRUE,IF(AGO!$G117:$AK117="AT",AGO!$G$4:$AK$4,"")))</f>
        <v/>
      </c>
      <c r="Z268" t="str">
        <f t="array" ref="Z268">IF($Q268="","",_xlfn.TEXTJOIN(", ",TRUE,IF(SET!$G117:$AK117="AT",SET!$G$4:$AK$4,"")))</f>
        <v/>
      </c>
      <c r="AA268" t="str">
        <f t="array" ref="AA268">IF($Q268="","",_xlfn.TEXTJOIN(", ",TRUE,IF(OUT!$G117:$AK117="AT",OUT!$G$4:$AK$4,"")))</f>
        <v/>
      </c>
      <c r="AB268" t="str">
        <f t="array" ref="AB268">IF($Q268="","",_xlfn.TEXTJOIN(", ",TRUE,IF(NOV!$G117:$AK117="AT",NOV!$G$4:$AK$4,"")))</f>
        <v/>
      </c>
      <c r="AC268" t="str">
        <f t="array" ref="AC268">IF($Q268="","",_xlfn.TEXTJOIN(", ",TRUE,IF(DEZ!$G117:$AK117="AT",DEZ!$G$4:$AK$4,"")))</f>
        <v/>
      </c>
      <c r="AD268" t="str">
        <f>IF($Q268="","",COUNTIF(JAN!$G117:$AK117,"AT")+COUNTIF(FEV!$G117:$AK117,"AT")+COUNTIF(MAR!$G117:$AK117,"AT")+COUNTIF(ABR!$G117:$AK117,"AT")+COUNTIF(MAI!$G117:$AK117,"AT")+COUNTIF(JUN!$G117:$AK117,"AT")+COUNTIF(JUL!$G117:$AK117,"AT")+COUNTIF(AGO!$G117:$AK117,"AT")+COUNTIF(SET!$G117:$AK117,"AT")+COUNTIF(OUT!$G117:$AK117,"AT")+COUNTIF(NOV!$G117:$AK117,"AT")+COUNTIF(DEZ!$G117:$AK117,"AT"))</f>
        <v/>
      </c>
      <c r="AF268" t="str">
        <f>IF(AND($Q268&lt;&gt;"",N($AD268)&gt;0),COUNT($AF$156:AF267)+1,"")</f>
        <v/>
      </c>
    </row>
    <row r="269" spans="1:32" hidden="1" outlineLevel="1" x14ac:dyDescent="0.25">
      <c r="A269" s="36" t="str">
        <f>IFERROR(INDEX($Q$157:$Q$306,MATCH(ROWS($A$157:A269),$AF$157:$AF$306,0)),"")</f>
        <v/>
      </c>
      <c r="B269" s="35" t="str">
        <f>IFERROR(INDEX($R$157:$R$306,MATCH(ROWS($A$157:A269),$AF$157:$AF$306,0)),"")</f>
        <v/>
      </c>
      <c r="C269" s="35" t="str">
        <f>IFERROR(INDEX($S$157:$S$306,MATCH(ROWS($A$157:A269),$AF$157:$AF$306,0)),"")</f>
        <v/>
      </c>
      <c r="D269" s="35" t="str">
        <f>IFERROR(INDEX($T$157:$T$306,MATCH(ROWS($A$157:A269),$AF$157:$AF$306,0)),"")</f>
        <v/>
      </c>
      <c r="E269" s="35" t="str">
        <f>IFERROR(INDEX($U$157:$U$306,MATCH(ROWS($A$157:A269),$AF$157:$AF$306,0)),"")</f>
        <v/>
      </c>
      <c r="F269" s="35" t="str">
        <f>IFERROR(INDEX($V$157:$V$306,MATCH(ROWS($A$157:A269),$AF$157:$AF$306,0)),"")</f>
        <v/>
      </c>
      <c r="G269" s="35" t="str">
        <f>IFERROR(INDEX($W$157:$W$306,MATCH(ROWS($A$157:A269),$AF$157:$AF$306,0)),"")</f>
        <v/>
      </c>
      <c r="H269" s="35" t="str">
        <f>IFERROR(INDEX($X$157:$X$306,MATCH(ROWS($A$157:A269),$AF$157:$AF$306,0)),"")</f>
        <v/>
      </c>
      <c r="I269" s="35" t="str">
        <f>IFERROR(INDEX($Y$157:$Y$306,MATCH(ROWS($A$157:A269),$AF$157:$AF$306,0)),"")</f>
        <v/>
      </c>
      <c r="J269" s="35" t="str">
        <f>IFERROR(INDEX($Z$157:$Z$306,MATCH(ROWS($A$157:A269),$AF$157:$AF$306,0)),"")</f>
        <v/>
      </c>
      <c r="K269" s="35" t="str">
        <f>IFERROR(INDEX($AA$157:$AA$306,MATCH(ROWS($A$157:A269),$AF$157:$AF$306,0)),"")</f>
        <v/>
      </c>
      <c r="L269" s="35" t="str">
        <f>IFERROR(INDEX($AB$157:$AB$306,MATCH(ROWS($A$157:A269),$AF$157:$AF$306,0)),"")</f>
        <v/>
      </c>
      <c r="M269" s="35" t="str">
        <f>IFERROR(INDEX($AC$157:$AC$306,MATCH(ROWS($A$157:A269),$AF$157:$AF$306,0)),"")</f>
        <v/>
      </c>
      <c r="N269" s="35" t="str">
        <f>IFERROR(INDEX($AD$157:$AD$306,MATCH(ROWS($A$157:A269),$AF$157:$AF$306,0)),"")</f>
        <v/>
      </c>
      <c r="Q269" t="str">
        <f>T(JAN!B118)</f>
        <v/>
      </c>
      <c r="R269" t="str">
        <f t="array" ref="R269">IF($Q269="","",_xlfn.TEXTJOIN(", ",TRUE,IF(JAN!$G118:$AK118="AT",JAN!$G$4:$AK$4,"")))</f>
        <v/>
      </c>
      <c r="S269" t="str">
        <f t="array" ref="S269">IF($Q269="","",_xlfn.TEXTJOIN(", ",TRUE,IF(FEV!$G118:$AK118="AT",FEV!$G$4:$AK$4,"")))</f>
        <v/>
      </c>
      <c r="T269" t="str">
        <f t="array" ref="T269">IF($Q269="","",_xlfn.TEXTJOIN(", ",TRUE,IF(MAR!$G118:$AK118="AT",MAR!$G$4:$AK$4,"")))</f>
        <v/>
      </c>
      <c r="U269" t="str">
        <f t="array" ref="U269">IF($Q269="","",_xlfn.TEXTJOIN(", ",TRUE,IF(ABR!$G118:$AK118="AT",ABR!$G$4:$AK$4,"")))</f>
        <v/>
      </c>
      <c r="V269" t="str">
        <f t="array" ref="V269">IF($Q269="","",_xlfn.TEXTJOIN(", ",TRUE,IF(MAI!$G118:$AK118="AT",MAI!$G$4:$AK$4,"")))</f>
        <v/>
      </c>
      <c r="W269" t="str">
        <f t="array" ref="W269">IF($Q269="","",_xlfn.TEXTJOIN(", ",TRUE,IF(JUN!$G118:$AK118="AT",JUN!$G$4:$AK$4,"")))</f>
        <v/>
      </c>
      <c r="X269" t="str">
        <f t="array" ref="X269">IF($Q269="","",_xlfn.TEXTJOIN(", ",TRUE,IF(JUL!$G118:$AK118="AT",JUL!$G$4:$AK$4,"")))</f>
        <v/>
      </c>
      <c r="Y269" t="str">
        <f t="array" ref="Y269">IF($Q269="","",_xlfn.TEXTJOIN(", ",TRUE,IF(AGO!$G118:$AK118="AT",AGO!$G$4:$AK$4,"")))</f>
        <v/>
      </c>
      <c r="Z269" t="str">
        <f t="array" ref="Z269">IF($Q269="","",_xlfn.TEXTJOIN(", ",TRUE,IF(SET!$G118:$AK118="AT",SET!$G$4:$AK$4,"")))</f>
        <v/>
      </c>
      <c r="AA269" t="str">
        <f t="array" ref="AA269">IF($Q269="","",_xlfn.TEXTJOIN(", ",TRUE,IF(OUT!$G118:$AK118="AT",OUT!$G$4:$AK$4,"")))</f>
        <v/>
      </c>
      <c r="AB269" t="str">
        <f t="array" ref="AB269">IF($Q269="","",_xlfn.TEXTJOIN(", ",TRUE,IF(NOV!$G118:$AK118="AT",NOV!$G$4:$AK$4,"")))</f>
        <v/>
      </c>
      <c r="AC269" t="str">
        <f t="array" ref="AC269">IF($Q269="","",_xlfn.TEXTJOIN(", ",TRUE,IF(DEZ!$G118:$AK118="AT",DEZ!$G$4:$AK$4,"")))</f>
        <v/>
      </c>
      <c r="AD269" t="str">
        <f>IF($Q269="","",COUNTIF(JAN!$G118:$AK118,"AT")+COUNTIF(FEV!$G118:$AK118,"AT")+COUNTIF(MAR!$G118:$AK118,"AT")+COUNTIF(ABR!$G118:$AK118,"AT")+COUNTIF(MAI!$G118:$AK118,"AT")+COUNTIF(JUN!$G118:$AK118,"AT")+COUNTIF(JUL!$G118:$AK118,"AT")+COUNTIF(AGO!$G118:$AK118,"AT")+COUNTIF(SET!$G118:$AK118,"AT")+COUNTIF(OUT!$G118:$AK118,"AT")+COUNTIF(NOV!$G118:$AK118,"AT")+COUNTIF(DEZ!$G118:$AK118,"AT"))</f>
        <v/>
      </c>
      <c r="AF269" t="str">
        <f>IF(AND($Q269&lt;&gt;"",N($AD269)&gt;0),COUNT($AF$156:AF268)+1,"")</f>
        <v/>
      </c>
    </row>
    <row r="270" spans="1:32" hidden="1" outlineLevel="1" x14ac:dyDescent="0.25">
      <c r="A270" s="36" t="str">
        <f>IFERROR(INDEX($Q$157:$Q$306,MATCH(ROWS($A$157:A270),$AF$157:$AF$306,0)),"")</f>
        <v/>
      </c>
      <c r="B270" s="35" t="str">
        <f>IFERROR(INDEX($R$157:$R$306,MATCH(ROWS($A$157:A270),$AF$157:$AF$306,0)),"")</f>
        <v/>
      </c>
      <c r="C270" s="35" t="str">
        <f>IFERROR(INDEX($S$157:$S$306,MATCH(ROWS($A$157:A270),$AF$157:$AF$306,0)),"")</f>
        <v/>
      </c>
      <c r="D270" s="35" t="str">
        <f>IFERROR(INDEX($T$157:$T$306,MATCH(ROWS($A$157:A270),$AF$157:$AF$306,0)),"")</f>
        <v/>
      </c>
      <c r="E270" s="35" t="str">
        <f>IFERROR(INDEX($U$157:$U$306,MATCH(ROWS($A$157:A270),$AF$157:$AF$306,0)),"")</f>
        <v/>
      </c>
      <c r="F270" s="35" t="str">
        <f>IFERROR(INDEX($V$157:$V$306,MATCH(ROWS($A$157:A270),$AF$157:$AF$306,0)),"")</f>
        <v/>
      </c>
      <c r="G270" s="35" t="str">
        <f>IFERROR(INDEX($W$157:$W$306,MATCH(ROWS($A$157:A270),$AF$157:$AF$306,0)),"")</f>
        <v/>
      </c>
      <c r="H270" s="35" t="str">
        <f>IFERROR(INDEX($X$157:$X$306,MATCH(ROWS($A$157:A270),$AF$157:$AF$306,0)),"")</f>
        <v/>
      </c>
      <c r="I270" s="35" t="str">
        <f>IFERROR(INDEX($Y$157:$Y$306,MATCH(ROWS($A$157:A270),$AF$157:$AF$306,0)),"")</f>
        <v/>
      </c>
      <c r="J270" s="35" t="str">
        <f>IFERROR(INDEX($Z$157:$Z$306,MATCH(ROWS($A$157:A270),$AF$157:$AF$306,0)),"")</f>
        <v/>
      </c>
      <c r="K270" s="35" t="str">
        <f>IFERROR(INDEX($AA$157:$AA$306,MATCH(ROWS($A$157:A270),$AF$157:$AF$306,0)),"")</f>
        <v/>
      </c>
      <c r="L270" s="35" t="str">
        <f>IFERROR(INDEX($AB$157:$AB$306,MATCH(ROWS($A$157:A270),$AF$157:$AF$306,0)),"")</f>
        <v/>
      </c>
      <c r="M270" s="35" t="str">
        <f>IFERROR(INDEX($AC$157:$AC$306,MATCH(ROWS($A$157:A270),$AF$157:$AF$306,0)),"")</f>
        <v/>
      </c>
      <c r="N270" s="35" t="str">
        <f>IFERROR(INDEX($AD$157:$AD$306,MATCH(ROWS($A$157:A270),$AF$157:$AF$306,0)),"")</f>
        <v/>
      </c>
      <c r="Q270" t="str">
        <f>T(JAN!B119)</f>
        <v/>
      </c>
      <c r="R270" t="str">
        <f t="array" ref="R270">IF($Q270="","",_xlfn.TEXTJOIN(", ",TRUE,IF(JAN!$G119:$AK119="AT",JAN!$G$4:$AK$4,"")))</f>
        <v/>
      </c>
      <c r="S270" t="str">
        <f t="array" ref="S270">IF($Q270="","",_xlfn.TEXTJOIN(", ",TRUE,IF(FEV!$G119:$AK119="AT",FEV!$G$4:$AK$4,"")))</f>
        <v/>
      </c>
      <c r="T270" t="str">
        <f t="array" ref="T270">IF($Q270="","",_xlfn.TEXTJOIN(", ",TRUE,IF(MAR!$G119:$AK119="AT",MAR!$G$4:$AK$4,"")))</f>
        <v/>
      </c>
      <c r="U270" t="str">
        <f t="array" ref="U270">IF($Q270="","",_xlfn.TEXTJOIN(", ",TRUE,IF(ABR!$G119:$AK119="AT",ABR!$G$4:$AK$4,"")))</f>
        <v/>
      </c>
      <c r="V270" t="str">
        <f t="array" ref="V270">IF($Q270="","",_xlfn.TEXTJOIN(", ",TRUE,IF(MAI!$G119:$AK119="AT",MAI!$G$4:$AK$4,"")))</f>
        <v/>
      </c>
      <c r="W270" t="str">
        <f t="array" ref="W270">IF($Q270="","",_xlfn.TEXTJOIN(", ",TRUE,IF(JUN!$G119:$AK119="AT",JUN!$G$4:$AK$4,"")))</f>
        <v/>
      </c>
      <c r="X270" t="str">
        <f t="array" ref="X270">IF($Q270="","",_xlfn.TEXTJOIN(", ",TRUE,IF(JUL!$G119:$AK119="AT",JUL!$G$4:$AK$4,"")))</f>
        <v/>
      </c>
      <c r="Y270" t="str">
        <f t="array" ref="Y270">IF($Q270="","",_xlfn.TEXTJOIN(", ",TRUE,IF(AGO!$G119:$AK119="AT",AGO!$G$4:$AK$4,"")))</f>
        <v/>
      </c>
      <c r="Z270" t="str">
        <f t="array" ref="Z270">IF($Q270="","",_xlfn.TEXTJOIN(", ",TRUE,IF(SET!$G119:$AK119="AT",SET!$G$4:$AK$4,"")))</f>
        <v/>
      </c>
      <c r="AA270" t="str">
        <f t="array" ref="AA270">IF($Q270="","",_xlfn.TEXTJOIN(", ",TRUE,IF(OUT!$G119:$AK119="AT",OUT!$G$4:$AK$4,"")))</f>
        <v/>
      </c>
      <c r="AB270" t="str">
        <f t="array" ref="AB270">IF($Q270="","",_xlfn.TEXTJOIN(", ",TRUE,IF(NOV!$G119:$AK119="AT",NOV!$G$4:$AK$4,"")))</f>
        <v/>
      </c>
      <c r="AC270" t="str">
        <f t="array" ref="AC270">IF($Q270="","",_xlfn.TEXTJOIN(", ",TRUE,IF(DEZ!$G119:$AK119="AT",DEZ!$G$4:$AK$4,"")))</f>
        <v/>
      </c>
      <c r="AD270" t="str">
        <f>IF($Q270="","",COUNTIF(JAN!$G119:$AK119,"AT")+COUNTIF(FEV!$G119:$AK119,"AT")+COUNTIF(MAR!$G119:$AK119,"AT")+COUNTIF(ABR!$G119:$AK119,"AT")+COUNTIF(MAI!$G119:$AK119,"AT")+COUNTIF(JUN!$G119:$AK119,"AT")+COUNTIF(JUL!$G119:$AK119,"AT")+COUNTIF(AGO!$G119:$AK119,"AT")+COUNTIF(SET!$G119:$AK119,"AT")+COUNTIF(OUT!$G119:$AK119,"AT")+COUNTIF(NOV!$G119:$AK119,"AT")+COUNTIF(DEZ!$G119:$AK119,"AT"))</f>
        <v/>
      </c>
      <c r="AF270" t="str">
        <f>IF(AND($Q270&lt;&gt;"",N($AD270)&gt;0),COUNT($AF$156:AF269)+1,"")</f>
        <v/>
      </c>
    </row>
    <row r="271" spans="1:32" hidden="1" outlineLevel="1" x14ac:dyDescent="0.25">
      <c r="A271" s="36" t="str">
        <f>IFERROR(INDEX($Q$157:$Q$306,MATCH(ROWS($A$157:A271),$AF$157:$AF$306,0)),"")</f>
        <v/>
      </c>
      <c r="B271" s="35" t="str">
        <f>IFERROR(INDEX($R$157:$R$306,MATCH(ROWS($A$157:A271),$AF$157:$AF$306,0)),"")</f>
        <v/>
      </c>
      <c r="C271" s="35" t="str">
        <f>IFERROR(INDEX($S$157:$S$306,MATCH(ROWS($A$157:A271),$AF$157:$AF$306,0)),"")</f>
        <v/>
      </c>
      <c r="D271" s="35" t="str">
        <f>IFERROR(INDEX($T$157:$T$306,MATCH(ROWS($A$157:A271),$AF$157:$AF$306,0)),"")</f>
        <v/>
      </c>
      <c r="E271" s="35" t="str">
        <f>IFERROR(INDEX($U$157:$U$306,MATCH(ROWS($A$157:A271),$AF$157:$AF$306,0)),"")</f>
        <v/>
      </c>
      <c r="F271" s="35" t="str">
        <f>IFERROR(INDEX($V$157:$V$306,MATCH(ROWS($A$157:A271),$AF$157:$AF$306,0)),"")</f>
        <v/>
      </c>
      <c r="G271" s="35" t="str">
        <f>IFERROR(INDEX($W$157:$W$306,MATCH(ROWS($A$157:A271),$AF$157:$AF$306,0)),"")</f>
        <v/>
      </c>
      <c r="H271" s="35" t="str">
        <f>IFERROR(INDEX($X$157:$X$306,MATCH(ROWS($A$157:A271),$AF$157:$AF$306,0)),"")</f>
        <v/>
      </c>
      <c r="I271" s="35" t="str">
        <f>IFERROR(INDEX($Y$157:$Y$306,MATCH(ROWS($A$157:A271),$AF$157:$AF$306,0)),"")</f>
        <v/>
      </c>
      <c r="J271" s="35" t="str">
        <f>IFERROR(INDEX($Z$157:$Z$306,MATCH(ROWS($A$157:A271),$AF$157:$AF$306,0)),"")</f>
        <v/>
      </c>
      <c r="K271" s="35" t="str">
        <f>IFERROR(INDEX($AA$157:$AA$306,MATCH(ROWS($A$157:A271),$AF$157:$AF$306,0)),"")</f>
        <v/>
      </c>
      <c r="L271" s="35" t="str">
        <f>IFERROR(INDEX($AB$157:$AB$306,MATCH(ROWS($A$157:A271),$AF$157:$AF$306,0)),"")</f>
        <v/>
      </c>
      <c r="M271" s="35" t="str">
        <f>IFERROR(INDEX($AC$157:$AC$306,MATCH(ROWS($A$157:A271),$AF$157:$AF$306,0)),"")</f>
        <v/>
      </c>
      <c r="N271" s="35" t="str">
        <f>IFERROR(INDEX($AD$157:$AD$306,MATCH(ROWS($A$157:A271),$AF$157:$AF$306,0)),"")</f>
        <v/>
      </c>
      <c r="Q271" t="str">
        <f>T(JAN!B120)</f>
        <v/>
      </c>
      <c r="R271" t="str">
        <f t="array" ref="R271">IF($Q271="","",_xlfn.TEXTJOIN(", ",TRUE,IF(JAN!$G120:$AK120="AT",JAN!$G$4:$AK$4,"")))</f>
        <v/>
      </c>
      <c r="S271" t="str">
        <f t="array" ref="S271">IF($Q271="","",_xlfn.TEXTJOIN(", ",TRUE,IF(FEV!$G120:$AK120="AT",FEV!$G$4:$AK$4,"")))</f>
        <v/>
      </c>
      <c r="T271" t="str">
        <f t="array" ref="T271">IF($Q271="","",_xlfn.TEXTJOIN(", ",TRUE,IF(MAR!$G120:$AK120="AT",MAR!$G$4:$AK$4,"")))</f>
        <v/>
      </c>
      <c r="U271" t="str">
        <f t="array" ref="U271">IF($Q271="","",_xlfn.TEXTJOIN(", ",TRUE,IF(ABR!$G120:$AK120="AT",ABR!$G$4:$AK$4,"")))</f>
        <v/>
      </c>
      <c r="V271" t="str">
        <f t="array" ref="V271">IF($Q271="","",_xlfn.TEXTJOIN(", ",TRUE,IF(MAI!$G120:$AK120="AT",MAI!$G$4:$AK$4,"")))</f>
        <v/>
      </c>
      <c r="W271" t="str">
        <f t="array" ref="W271">IF($Q271="","",_xlfn.TEXTJOIN(", ",TRUE,IF(JUN!$G120:$AK120="AT",JUN!$G$4:$AK$4,"")))</f>
        <v/>
      </c>
      <c r="X271" t="str">
        <f t="array" ref="X271">IF($Q271="","",_xlfn.TEXTJOIN(", ",TRUE,IF(JUL!$G120:$AK120="AT",JUL!$G$4:$AK$4,"")))</f>
        <v/>
      </c>
      <c r="Y271" t="str">
        <f t="array" ref="Y271">IF($Q271="","",_xlfn.TEXTJOIN(", ",TRUE,IF(AGO!$G120:$AK120="AT",AGO!$G$4:$AK$4,"")))</f>
        <v/>
      </c>
      <c r="Z271" t="str">
        <f t="array" ref="Z271">IF($Q271="","",_xlfn.TEXTJOIN(", ",TRUE,IF(SET!$G120:$AK120="AT",SET!$G$4:$AK$4,"")))</f>
        <v/>
      </c>
      <c r="AA271" t="str">
        <f t="array" ref="AA271">IF($Q271="","",_xlfn.TEXTJOIN(", ",TRUE,IF(OUT!$G120:$AK120="AT",OUT!$G$4:$AK$4,"")))</f>
        <v/>
      </c>
      <c r="AB271" t="str">
        <f t="array" ref="AB271">IF($Q271="","",_xlfn.TEXTJOIN(", ",TRUE,IF(NOV!$G120:$AK120="AT",NOV!$G$4:$AK$4,"")))</f>
        <v/>
      </c>
      <c r="AC271" t="str">
        <f t="array" ref="AC271">IF($Q271="","",_xlfn.TEXTJOIN(", ",TRUE,IF(DEZ!$G120:$AK120="AT",DEZ!$G$4:$AK$4,"")))</f>
        <v/>
      </c>
      <c r="AD271" t="str">
        <f>IF($Q271="","",COUNTIF(JAN!$G120:$AK120,"AT")+COUNTIF(FEV!$G120:$AK120,"AT")+COUNTIF(MAR!$G120:$AK120,"AT")+COUNTIF(ABR!$G120:$AK120,"AT")+COUNTIF(MAI!$G120:$AK120,"AT")+COUNTIF(JUN!$G120:$AK120,"AT")+COUNTIF(JUL!$G120:$AK120,"AT")+COUNTIF(AGO!$G120:$AK120,"AT")+COUNTIF(SET!$G120:$AK120,"AT")+COUNTIF(OUT!$G120:$AK120,"AT")+COUNTIF(NOV!$G120:$AK120,"AT")+COUNTIF(DEZ!$G120:$AK120,"AT"))</f>
        <v/>
      </c>
      <c r="AF271" t="str">
        <f>IF(AND($Q271&lt;&gt;"",N($AD271)&gt;0),COUNT($AF$156:AF270)+1,"")</f>
        <v/>
      </c>
    </row>
    <row r="272" spans="1:32" hidden="1" outlineLevel="1" x14ac:dyDescent="0.25">
      <c r="A272" s="36" t="str">
        <f>IFERROR(INDEX($Q$157:$Q$306,MATCH(ROWS($A$157:A272),$AF$157:$AF$306,0)),"")</f>
        <v/>
      </c>
      <c r="B272" s="35" t="str">
        <f>IFERROR(INDEX($R$157:$R$306,MATCH(ROWS($A$157:A272),$AF$157:$AF$306,0)),"")</f>
        <v/>
      </c>
      <c r="C272" s="35" t="str">
        <f>IFERROR(INDEX($S$157:$S$306,MATCH(ROWS($A$157:A272),$AF$157:$AF$306,0)),"")</f>
        <v/>
      </c>
      <c r="D272" s="35" t="str">
        <f>IFERROR(INDEX($T$157:$T$306,MATCH(ROWS($A$157:A272),$AF$157:$AF$306,0)),"")</f>
        <v/>
      </c>
      <c r="E272" s="35" t="str">
        <f>IFERROR(INDEX($U$157:$U$306,MATCH(ROWS($A$157:A272),$AF$157:$AF$306,0)),"")</f>
        <v/>
      </c>
      <c r="F272" s="35" t="str">
        <f>IFERROR(INDEX($V$157:$V$306,MATCH(ROWS($A$157:A272),$AF$157:$AF$306,0)),"")</f>
        <v/>
      </c>
      <c r="G272" s="35" t="str">
        <f>IFERROR(INDEX($W$157:$W$306,MATCH(ROWS($A$157:A272),$AF$157:$AF$306,0)),"")</f>
        <v/>
      </c>
      <c r="H272" s="35" t="str">
        <f>IFERROR(INDEX($X$157:$X$306,MATCH(ROWS($A$157:A272),$AF$157:$AF$306,0)),"")</f>
        <v/>
      </c>
      <c r="I272" s="35" t="str">
        <f>IFERROR(INDEX($Y$157:$Y$306,MATCH(ROWS($A$157:A272),$AF$157:$AF$306,0)),"")</f>
        <v/>
      </c>
      <c r="J272" s="35" t="str">
        <f>IFERROR(INDEX($Z$157:$Z$306,MATCH(ROWS($A$157:A272),$AF$157:$AF$306,0)),"")</f>
        <v/>
      </c>
      <c r="K272" s="35" t="str">
        <f>IFERROR(INDEX($AA$157:$AA$306,MATCH(ROWS($A$157:A272),$AF$157:$AF$306,0)),"")</f>
        <v/>
      </c>
      <c r="L272" s="35" t="str">
        <f>IFERROR(INDEX($AB$157:$AB$306,MATCH(ROWS($A$157:A272),$AF$157:$AF$306,0)),"")</f>
        <v/>
      </c>
      <c r="M272" s="35" t="str">
        <f>IFERROR(INDEX($AC$157:$AC$306,MATCH(ROWS($A$157:A272),$AF$157:$AF$306,0)),"")</f>
        <v/>
      </c>
      <c r="N272" s="35" t="str">
        <f>IFERROR(INDEX($AD$157:$AD$306,MATCH(ROWS($A$157:A272),$AF$157:$AF$306,0)),"")</f>
        <v/>
      </c>
      <c r="Q272" t="str">
        <f>T(JAN!B121)</f>
        <v/>
      </c>
      <c r="R272" t="str">
        <f t="array" ref="R272">IF($Q272="","",_xlfn.TEXTJOIN(", ",TRUE,IF(JAN!$G121:$AK121="AT",JAN!$G$4:$AK$4,"")))</f>
        <v/>
      </c>
      <c r="S272" t="str">
        <f t="array" ref="S272">IF($Q272="","",_xlfn.TEXTJOIN(", ",TRUE,IF(FEV!$G121:$AK121="AT",FEV!$G$4:$AK$4,"")))</f>
        <v/>
      </c>
      <c r="T272" t="str">
        <f t="array" ref="T272">IF($Q272="","",_xlfn.TEXTJOIN(", ",TRUE,IF(MAR!$G121:$AK121="AT",MAR!$G$4:$AK$4,"")))</f>
        <v/>
      </c>
      <c r="U272" t="str">
        <f t="array" ref="U272">IF($Q272="","",_xlfn.TEXTJOIN(", ",TRUE,IF(ABR!$G121:$AK121="AT",ABR!$G$4:$AK$4,"")))</f>
        <v/>
      </c>
      <c r="V272" t="str">
        <f t="array" ref="V272">IF($Q272="","",_xlfn.TEXTJOIN(", ",TRUE,IF(MAI!$G121:$AK121="AT",MAI!$G$4:$AK$4,"")))</f>
        <v/>
      </c>
      <c r="W272" t="str">
        <f t="array" ref="W272">IF($Q272="","",_xlfn.TEXTJOIN(", ",TRUE,IF(JUN!$G121:$AK121="AT",JUN!$G$4:$AK$4,"")))</f>
        <v/>
      </c>
      <c r="X272" t="str">
        <f t="array" ref="X272">IF($Q272="","",_xlfn.TEXTJOIN(", ",TRUE,IF(JUL!$G121:$AK121="AT",JUL!$G$4:$AK$4,"")))</f>
        <v/>
      </c>
      <c r="Y272" t="str">
        <f t="array" ref="Y272">IF($Q272="","",_xlfn.TEXTJOIN(", ",TRUE,IF(AGO!$G121:$AK121="AT",AGO!$G$4:$AK$4,"")))</f>
        <v/>
      </c>
      <c r="Z272" t="str">
        <f t="array" ref="Z272">IF($Q272="","",_xlfn.TEXTJOIN(", ",TRUE,IF(SET!$G121:$AK121="AT",SET!$G$4:$AK$4,"")))</f>
        <v/>
      </c>
      <c r="AA272" t="str">
        <f t="array" ref="AA272">IF($Q272="","",_xlfn.TEXTJOIN(", ",TRUE,IF(OUT!$G121:$AK121="AT",OUT!$G$4:$AK$4,"")))</f>
        <v/>
      </c>
      <c r="AB272" t="str">
        <f t="array" ref="AB272">IF($Q272="","",_xlfn.TEXTJOIN(", ",TRUE,IF(NOV!$G121:$AK121="AT",NOV!$G$4:$AK$4,"")))</f>
        <v/>
      </c>
      <c r="AC272" t="str">
        <f t="array" ref="AC272">IF($Q272="","",_xlfn.TEXTJOIN(", ",TRUE,IF(DEZ!$G121:$AK121="AT",DEZ!$G$4:$AK$4,"")))</f>
        <v/>
      </c>
      <c r="AD272" t="str">
        <f>IF($Q272="","",COUNTIF(JAN!$G121:$AK121,"AT")+COUNTIF(FEV!$G121:$AK121,"AT")+COUNTIF(MAR!$G121:$AK121,"AT")+COUNTIF(ABR!$G121:$AK121,"AT")+COUNTIF(MAI!$G121:$AK121,"AT")+COUNTIF(JUN!$G121:$AK121,"AT")+COUNTIF(JUL!$G121:$AK121,"AT")+COUNTIF(AGO!$G121:$AK121,"AT")+COUNTIF(SET!$G121:$AK121,"AT")+COUNTIF(OUT!$G121:$AK121,"AT")+COUNTIF(NOV!$G121:$AK121,"AT")+COUNTIF(DEZ!$G121:$AK121,"AT"))</f>
        <v/>
      </c>
      <c r="AF272" t="str">
        <f>IF(AND($Q272&lt;&gt;"",N($AD272)&gt;0),COUNT($AF$156:AF271)+1,"")</f>
        <v/>
      </c>
    </row>
    <row r="273" spans="1:32" hidden="1" outlineLevel="1" x14ac:dyDescent="0.25">
      <c r="A273" s="36" t="str">
        <f>IFERROR(INDEX($Q$157:$Q$306,MATCH(ROWS($A$157:A273),$AF$157:$AF$306,0)),"")</f>
        <v/>
      </c>
      <c r="B273" s="35" t="str">
        <f>IFERROR(INDEX($R$157:$R$306,MATCH(ROWS($A$157:A273),$AF$157:$AF$306,0)),"")</f>
        <v/>
      </c>
      <c r="C273" s="35" t="str">
        <f>IFERROR(INDEX($S$157:$S$306,MATCH(ROWS($A$157:A273),$AF$157:$AF$306,0)),"")</f>
        <v/>
      </c>
      <c r="D273" s="35" t="str">
        <f>IFERROR(INDEX($T$157:$T$306,MATCH(ROWS($A$157:A273),$AF$157:$AF$306,0)),"")</f>
        <v/>
      </c>
      <c r="E273" s="35" t="str">
        <f>IFERROR(INDEX($U$157:$U$306,MATCH(ROWS($A$157:A273),$AF$157:$AF$306,0)),"")</f>
        <v/>
      </c>
      <c r="F273" s="35" t="str">
        <f>IFERROR(INDEX($V$157:$V$306,MATCH(ROWS($A$157:A273),$AF$157:$AF$306,0)),"")</f>
        <v/>
      </c>
      <c r="G273" s="35" t="str">
        <f>IFERROR(INDEX($W$157:$W$306,MATCH(ROWS($A$157:A273),$AF$157:$AF$306,0)),"")</f>
        <v/>
      </c>
      <c r="H273" s="35" t="str">
        <f>IFERROR(INDEX($X$157:$X$306,MATCH(ROWS($A$157:A273),$AF$157:$AF$306,0)),"")</f>
        <v/>
      </c>
      <c r="I273" s="35" t="str">
        <f>IFERROR(INDEX($Y$157:$Y$306,MATCH(ROWS($A$157:A273),$AF$157:$AF$306,0)),"")</f>
        <v/>
      </c>
      <c r="J273" s="35" t="str">
        <f>IFERROR(INDEX($Z$157:$Z$306,MATCH(ROWS($A$157:A273),$AF$157:$AF$306,0)),"")</f>
        <v/>
      </c>
      <c r="K273" s="35" t="str">
        <f>IFERROR(INDEX($AA$157:$AA$306,MATCH(ROWS($A$157:A273),$AF$157:$AF$306,0)),"")</f>
        <v/>
      </c>
      <c r="L273" s="35" t="str">
        <f>IFERROR(INDEX($AB$157:$AB$306,MATCH(ROWS($A$157:A273),$AF$157:$AF$306,0)),"")</f>
        <v/>
      </c>
      <c r="M273" s="35" t="str">
        <f>IFERROR(INDEX($AC$157:$AC$306,MATCH(ROWS($A$157:A273),$AF$157:$AF$306,0)),"")</f>
        <v/>
      </c>
      <c r="N273" s="35" t="str">
        <f>IFERROR(INDEX($AD$157:$AD$306,MATCH(ROWS($A$157:A273),$AF$157:$AF$306,0)),"")</f>
        <v/>
      </c>
      <c r="Q273" t="str">
        <f>T(JAN!B122)</f>
        <v/>
      </c>
      <c r="R273" t="str">
        <f t="array" ref="R273">IF($Q273="","",_xlfn.TEXTJOIN(", ",TRUE,IF(JAN!$G122:$AK122="AT",JAN!$G$4:$AK$4,"")))</f>
        <v/>
      </c>
      <c r="S273" t="str">
        <f t="array" ref="S273">IF($Q273="","",_xlfn.TEXTJOIN(", ",TRUE,IF(FEV!$G122:$AK122="AT",FEV!$G$4:$AK$4,"")))</f>
        <v/>
      </c>
      <c r="T273" t="str">
        <f t="array" ref="T273">IF($Q273="","",_xlfn.TEXTJOIN(", ",TRUE,IF(MAR!$G122:$AK122="AT",MAR!$G$4:$AK$4,"")))</f>
        <v/>
      </c>
      <c r="U273" t="str">
        <f t="array" ref="U273">IF($Q273="","",_xlfn.TEXTJOIN(", ",TRUE,IF(ABR!$G122:$AK122="AT",ABR!$G$4:$AK$4,"")))</f>
        <v/>
      </c>
      <c r="V273" t="str">
        <f t="array" ref="V273">IF($Q273="","",_xlfn.TEXTJOIN(", ",TRUE,IF(MAI!$G122:$AK122="AT",MAI!$G$4:$AK$4,"")))</f>
        <v/>
      </c>
      <c r="W273" t="str">
        <f t="array" ref="W273">IF($Q273="","",_xlfn.TEXTJOIN(", ",TRUE,IF(JUN!$G122:$AK122="AT",JUN!$G$4:$AK$4,"")))</f>
        <v/>
      </c>
      <c r="X273" t="str">
        <f t="array" ref="X273">IF($Q273="","",_xlfn.TEXTJOIN(", ",TRUE,IF(JUL!$G122:$AK122="AT",JUL!$G$4:$AK$4,"")))</f>
        <v/>
      </c>
      <c r="Y273" t="str">
        <f t="array" ref="Y273">IF($Q273="","",_xlfn.TEXTJOIN(", ",TRUE,IF(AGO!$G122:$AK122="AT",AGO!$G$4:$AK$4,"")))</f>
        <v/>
      </c>
      <c r="Z273" t="str">
        <f t="array" ref="Z273">IF($Q273="","",_xlfn.TEXTJOIN(", ",TRUE,IF(SET!$G122:$AK122="AT",SET!$G$4:$AK$4,"")))</f>
        <v/>
      </c>
      <c r="AA273" t="str">
        <f t="array" ref="AA273">IF($Q273="","",_xlfn.TEXTJOIN(", ",TRUE,IF(OUT!$G122:$AK122="AT",OUT!$G$4:$AK$4,"")))</f>
        <v/>
      </c>
      <c r="AB273" t="str">
        <f t="array" ref="AB273">IF($Q273="","",_xlfn.TEXTJOIN(", ",TRUE,IF(NOV!$G122:$AK122="AT",NOV!$G$4:$AK$4,"")))</f>
        <v/>
      </c>
      <c r="AC273" t="str">
        <f t="array" ref="AC273">IF($Q273="","",_xlfn.TEXTJOIN(", ",TRUE,IF(DEZ!$G122:$AK122="AT",DEZ!$G$4:$AK$4,"")))</f>
        <v/>
      </c>
      <c r="AD273" t="str">
        <f>IF($Q273="","",COUNTIF(JAN!$G122:$AK122,"AT")+COUNTIF(FEV!$G122:$AK122,"AT")+COUNTIF(MAR!$G122:$AK122,"AT")+COUNTIF(ABR!$G122:$AK122,"AT")+COUNTIF(MAI!$G122:$AK122,"AT")+COUNTIF(JUN!$G122:$AK122,"AT")+COUNTIF(JUL!$G122:$AK122,"AT")+COUNTIF(AGO!$G122:$AK122,"AT")+COUNTIF(SET!$G122:$AK122,"AT")+COUNTIF(OUT!$G122:$AK122,"AT")+COUNTIF(NOV!$G122:$AK122,"AT")+COUNTIF(DEZ!$G122:$AK122,"AT"))</f>
        <v/>
      </c>
      <c r="AF273" t="str">
        <f>IF(AND($Q273&lt;&gt;"",N($AD273)&gt;0),COUNT($AF$156:AF272)+1,"")</f>
        <v/>
      </c>
    </row>
    <row r="274" spans="1:32" hidden="1" outlineLevel="1" x14ac:dyDescent="0.25">
      <c r="A274" s="36" t="str">
        <f>IFERROR(INDEX($Q$157:$Q$306,MATCH(ROWS($A$157:A274),$AF$157:$AF$306,0)),"")</f>
        <v/>
      </c>
      <c r="B274" s="35" t="str">
        <f>IFERROR(INDEX($R$157:$R$306,MATCH(ROWS($A$157:A274),$AF$157:$AF$306,0)),"")</f>
        <v/>
      </c>
      <c r="C274" s="35" t="str">
        <f>IFERROR(INDEX($S$157:$S$306,MATCH(ROWS($A$157:A274),$AF$157:$AF$306,0)),"")</f>
        <v/>
      </c>
      <c r="D274" s="35" t="str">
        <f>IFERROR(INDEX($T$157:$T$306,MATCH(ROWS($A$157:A274),$AF$157:$AF$306,0)),"")</f>
        <v/>
      </c>
      <c r="E274" s="35" t="str">
        <f>IFERROR(INDEX($U$157:$U$306,MATCH(ROWS($A$157:A274),$AF$157:$AF$306,0)),"")</f>
        <v/>
      </c>
      <c r="F274" s="35" t="str">
        <f>IFERROR(INDEX($V$157:$V$306,MATCH(ROWS($A$157:A274),$AF$157:$AF$306,0)),"")</f>
        <v/>
      </c>
      <c r="G274" s="35" t="str">
        <f>IFERROR(INDEX($W$157:$W$306,MATCH(ROWS($A$157:A274),$AF$157:$AF$306,0)),"")</f>
        <v/>
      </c>
      <c r="H274" s="35" t="str">
        <f>IFERROR(INDEX($X$157:$X$306,MATCH(ROWS($A$157:A274),$AF$157:$AF$306,0)),"")</f>
        <v/>
      </c>
      <c r="I274" s="35" t="str">
        <f>IFERROR(INDEX($Y$157:$Y$306,MATCH(ROWS($A$157:A274),$AF$157:$AF$306,0)),"")</f>
        <v/>
      </c>
      <c r="J274" s="35" t="str">
        <f>IFERROR(INDEX($Z$157:$Z$306,MATCH(ROWS($A$157:A274),$AF$157:$AF$306,0)),"")</f>
        <v/>
      </c>
      <c r="K274" s="35" t="str">
        <f>IFERROR(INDEX($AA$157:$AA$306,MATCH(ROWS($A$157:A274),$AF$157:$AF$306,0)),"")</f>
        <v/>
      </c>
      <c r="L274" s="35" t="str">
        <f>IFERROR(INDEX($AB$157:$AB$306,MATCH(ROWS($A$157:A274),$AF$157:$AF$306,0)),"")</f>
        <v/>
      </c>
      <c r="M274" s="35" t="str">
        <f>IFERROR(INDEX($AC$157:$AC$306,MATCH(ROWS($A$157:A274),$AF$157:$AF$306,0)),"")</f>
        <v/>
      </c>
      <c r="N274" s="35" t="str">
        <f>IFERROR(INDEX($AD$157:$AD$306,MATCH(ROWS($A$157:A274),$AF$157:$AF$306,0)),"")</f>
        <v/>
      </c>
      <c r="Q274" t="str">
        <f>T(JAN!B123)</f>
        <v/>
      </c>
      <c r="R274" t="str">
        <f t="array" ref="R274">IF($Q274="","",_xlfn.TEXTJOIN(", ",TRUE,IF(JAN!$G123:$AK123="AT",JAN!$G$4:$AK$4,"")))</f>
        <v/>
      </c>
      <c r="S274" t="str">
        <f t="array" ref="S274">IF($Q274="","",_xlfn.TEXTJOIN(", ",TRUE,IF(FEV!$G123:$AK123="AT",FEV!$G$4:$AK$4,"")))</f>
        <v/>
      </c>
      <c r="T274" t="str">
        <f t="array" ref="T274">IF($Q274="","",_xlfn.TEXTJOIN(", ",TRUE,IF(MAR!$G123:$AK123="AT",MAR!$G$4:$AK$4,"")))</f>
        <v/>
      </c>
      <c r="U274" t="str">
        <f t="array" ref="U274">IF($Q274="","",_xlfn.TEXTJOIN(", ",TRUE,IF(ABR!$G123:$AK123="AT",ABR!$G$4:$AK$4,"")))</f>
        <v/>
      </c>
      <c r="V274" t="str">
        <f t="array" ref="V274">IF($Q274="","",_xlfn.TEXTJOIN(", ",TRUE,IF(MAI!$G123:$AK123="AT",MAI!$G$4:$AK$4,"")))</f>
        <v/>
      </c>
      <c r="W274" t="str">
        <f t="array" ref="W274">IF($Q274="","",_xlfn.TEXTJOIN(", ",TRUE,IF(JUN!$G123:$AK123="AT",JUN!$G$4:$AK$4,"")))</f>
        <v/>
      </c>
      <c r="X274" t="str">
        <f t="array" ref="X274">IF($Q274="","",_xlfn.TEXTJOIN(", ",TRUE,IF(JUL!$G123:$AK123="AT",JUL!$G$4:$AK$4,"")))</f>
        <v/>
      </c>
      <c r="Y274" t="str">
        <f t="array" ref="Y274">IF($Q274="","",_xlfn.TEXTJOIN(", ",TRUE,IF(AGO!$G123:$AK123="AT",AGO!$G$4:$AK$4,"")))</f>
        <v/>
      </c>
      <c r="Z274" t="str">
        <f t="array" ref="Z274">IF($Q274="","",_xlfn.TEXTJOIN(", ",TRUE,IF(SET!$G123:$AK123="AT",SET!$G$4:$AK$4,"")))</f>
        <v/>
      </c>
      <c r="AA274" t="str">
        <f t="array" ref="AA274">IF($Q274="","",_xlfn.TEXTJOIN(", ",TRUE,IF(OUT!$G123:$AK123="AT",OUT!$G$4:$AK$4,"")))</f>
        <v/>
      </c>
      <c r="AB274" t="str">
        <f t="array" ref="AB274">IF($Q274="","",_xlfn.TEXTJOIN(", ",TRUE,IF(NOV!$G123:$AK123="AT",NOV!$G$4:$AK$4,"")))</f>
        <v/>
      </c>
      <c r="AC274" t="str">
        <f t="array" ref="AC274">IF($Q274="","",_xlfn.TEXTJOIN(", ",TRUE,IF(DEZ!$G123:$AK123="AT",DEZ!$G$4:$AK$4,"")))</f>
        <v/>
      </c>
      <c r="AD274" t="str">
        <f>IF($Q274="","",COUNTIF(JAN!$G123:$AK123,"AT")+COUNTIF(FEV!$G123:$AK123,"AT")+COUNTIF(MAR!$G123:$AK123,"AT")+COUNTIF(ABR!$G123:$AK123,"AT")+COUNTIF(MAI!$G123:$AK123,"AT")+COUNTIF(JUN!$G123:$AK123,"AT")+COUNTIF(JUL!$G123:$AK123,"AT")+COUNTIF(AGO!$G123:$AK123,"AT")+COUNTIF(SET!$G123:$AK123,"AT")+COUNTIF(OUT!$G123:$AK123,"AT")+COUNTIF(NOV!$G123:$AK123,"AT")+COUNTIF(DEZ!$G123:$AK123,"AT"))</f>
        <v/>
      </c>
      <c r="AF274" t="str">
        <f>IF(AND($Q274&lt;&gt;"",N($AD274)&gt;0),COUNT($AF$156:AF273)+1,"")</f>
        <v/>
      </c>
    </row>
    <row r="275" spans="1:32" hidden="1" outlineLevel="1" x14ac:dyDescent="0.25">
      <c r="A275" s="36" t="str">
        <f>IFERROR(INDEX($Q$157:$Q$306,MATCH(ROWS($A$157:A275),$AF$157:$AF$306,0)),"")</f>
        <v/>
      </c>
      <c r="B275" s="35" t="str">
        <f>IFERROR(INDEX($R$157:$R$306,MATCH(ROWS($A$157:A275),$AF$157:$AF$306,0)),"")</f>
        <v/>
      </c>
      <c r="C275" s="35" t="str">
        <f>IFERROR(INDEX($S$157:$S$306,MATCH(ROWS($A$157:A275),$AF$157:$AF$306,0)),"")</f>
        <v/>
      </c>
      <c r="D275" s="35" t="str">
        <f>IFERROR(INDEX($T$157:$T$306,MATCH(ROWS($A$157:A275),$AF$157:$AF$306,0)),"")</f>
        <v/>
      </c>
      <c r="E275" s="35" t="str">
        <f>IFERROR(INDEX($U$157:$U$306,MATCH(ROWS($A$157:A275),$AF$157:$AF$306,0)),"")</f>
        <v/>
      </c>
      <c r="F275" s="35" t="str">
        <f>IFERROR(INDEX($V$157:$V$306,MATCH(ROWS($A$157:A275),$AF$157:$AF$306,0)),"")</f>
        <v/>
      </c>
      <c r="G275" s="35" t="str">
        <f>IFERROR(INDEX($W$157:$W$306,MATCH(ROWS($A$157:A275),$AF$157:$AF$306,0)),"")</f>
        <v/>
      </c>
      <c r="H275" s="35" t="str">
        <f>IFERROR(INDEX($X$157:$X$306,MATCH(ROWS($A$157:A275),$AF$157:$AF$306,0)),"")</f>
        <v/>
      </c>
      <c r="I275" s="35" t="str">
        <f>IFERROR(INDEX($Y$157:$Y$306,MATCH(ROWS($A$157:A275),$AF$157:$AF$306,0)),"")</f>
        <v/>
      </c>
      <c r="J275" s="35" t="str">
        <f>IFERROR(INDEX($Z$157:$Z$306,MATCH(ROWS($A$157:A275),$AF$157:$AF$306,0)),"")</f>
        <v/>
      </c>
      <c r="K275" s="35" t="str">
        <f>IFERROR(INDEX($AA$157:$AA$306,MATCH(ROWS($A$157:A275),$AF$157:$AF$306,0)),"")</f>
        <v/>
      </c>
      <c r="L275" s="35" t="str">
        <f>IFERROR(INDEX($AB$157:$AB$306,MATCH(ROWS($A$157:A275),$AF$157:$AF$306,0)),"")</f>
        <v/>
      </c>
      <c r="M275" s="35" t="str">
        <f>IFERROR(INDEX($AC$157:$AC$306,MATCH(ROWS($A$157:A275),$AF$157:$AF$306,0)),"")</f>
        <v/>
      </c>
      <c r="N275" s="35" t="str">
        <f>IFERROR(INDEX($AD$157:$AD$306,MATCH(ROWS($A$157:A275),$AF$157:$AF$306,0)),"")</f>
        <v/>
      </c>
      <c r="Q275" t="str">
        <f>T(JAN!B124)</f>
        <v/>
      </c>
      <c r="R275" t="str">
        <f t="array" ref="R275">IF($Q275="","",_xlfn.TEXTJOIN(", ",TRUE,IF(JAN!$G124:$AK124="AT",JAN!$G$4:$AK$4,"")))</f>
        <v/>
      </c>
      <c r="S275" t="str">
        <f t="array" ref="S275">IF($Q275="","",_xlfn.TEXTJOIN(", ",TRUE,IF(FEV!$G124:$AK124="AT",FEV!$G$4:$AK$4,"")))</f>
        <v/>
      </c>
      <c r="T275" t="str">
        <f t="array" ref="T275">IF($Q275="","",_xlfn.TEXTJOIN(", ",TRUE,IF(MAR!$G124:$AK124="AT",MAR!$G$4:$AK$4,"")))</f>
        <v/>
      </c>
      <c r="U275" t="str">
        <f t="array" ref="U275">IF($Q275="","",_xlfn.TEXTJOIN(", ",TRUE,IF(ABR!$G124:$AK124="AT",ABR!$G$4:$AK$4,"")))</f>
        <v/>
      </c>
      <c r="V275" t="str">
        <f t="array" ref="V275">IF($Q275="","",_xlfn.TEXTJOIN(", ",TRUE,IF(MAI!$G124:$AK124="AT",MAI!$G$4:$AK$4,"")))</f>
        <v/>
      </c>
      <c r="W275" t="str">
        <f t="array" ref="W275">IF($Q275="","",_xlfn.TEXTJOIN(", ",TRUE,IF(JUN!$G124:$AK124="AT",JUN!$G$4:$AK$4,"")))</f>
        <v/>
      </c>
      <c r="X275" t="str">
        <f t="array" ref="X275">IF($Q275="","",_xlfn.TEXTJOIN(", ",TRUE,IF(JUL!$G124:$AK124="AT",JUL!$G$4:$AK$4,"")))</f>
        <v/>
      </c>
      <c r="Y275" t="str">
        <f t="array" ref="Y275">IF($Q275="","",_xlfn.TEXTJOIN(", ",TRUE,IF(AGO!$G124:$AK124="AT",AGO!$G$4:$AK$4,"")))</f>
        <v/>
      </c>
      <c r="Z275" t="str">
        <f t="array" ref="Z275">IF($Q275="","",_xlfn.TEXTJOIN(", ",TRUE,IF(SET!$G124:$AK124="AT",SET!$G$4:$AK$4,"")))</f>
        <v/>
      </c>
      <c r="AA275" t="str">
        <f t="array" ref="AA275">IF($Q275="","",_xlfn.TEXTJOIN(", ",TRUE,IF(OUT!$G124:$AK124="AT",OUT!$G$4:$AK$4,"")))</f>
        <v/>
      </c>
      <c r="AB275" t="str">
        <f t="array" ref="AB275">IF($Q275="","",_xlfn.TEXTJOIN(", ",TRUE,IF(NOV!$G124:$AK124="AT",NOV!$G$4:$AK$4,"")))</f>
        <v/>
      </c>
      <c r="AC275" t="str">
        <f t="array" ref="AC275">IF($Q275="","",_xlfn.TEXTJOIN(", ",TRUE,IF(DEZ!$G124:$AK124="AT",DEZ!$G$4:$AK$4,"")))</f>
        <v/>
      </c>
      <c r="AD275" t="str">
        <f>IF($Q275="","",COUNTIF(JAN!$G124:$AK124,"AT")+COUNTIF(FEV!$G124:$AK124,"AT")+COUNTIF(MAR!$G124:$AK124,"AT")+COUNTIF(ABR!$G124:$AK124,"AT")+COUNTIF(MAI!$G124:$AK124,"AT")+COUNTIF(JUN!$G124:$AK124,"AT")+COUNTIF(JUL!$G124:$AK124,"AT")+COUNTIF(AGO!$G124:$AK124,"AT")+COUNTIF(SET!$G124:$AK124,"AT")+COUNTIF(OUT!$G124:$AK124,"AT")+COUNTIF(NOV!$G124:$AK124,"AT")+COUNTIF(DEZ!$G124:$AK124,"AT"))</f>
        <v/>
      </c>
      <c r="AF275" t="str">
        <f>IF(AND($Q275&lt;&gt;"",N($AD275)&gt;0),COUNT($AF$156:AF274)+1,"")</f>
        <v/>
      </c>
    </row>
    <row r="276" spans="1:32" hidden="1" outlineLevel="1" x14ac:dyDescent="0.25">
      <c r="A276" s="36" t="str">
        <f>IFERROR(INDEX($Q$157:$Q$306,MATCH(ROWS($A$157:A276),$AF$157:$AF$306,0)),"")</f>
        <v/>
      </c>
      <c r="B276" s="35" t="str">
        <f>IFERROR(INDEX($R$157:$R$306,MATCH(ROWS($A$157:A276),$AF$157:$AF$306,0)),"")</f>
        <v/>
      </c>
      <c r="C276" s="35" t="str">
        <f>IFERROR(INDEX($S$157:$S$306,MATCH(ROWS($A$157:A276),$AF$157:$AF$306,0)),"")</f>
        <v/>
      </c>
      <c r="D276" s="35" t="str">
        <f>IFERROR(INDEX($T$157:$T$306,MATCH(ROWS($A$157:A276),$AF$157:$AF$306,0)),"")</f>
        <v/>
      </c>
      <c r="E276" s="35" t="str">
        <f>IFERROR(INDEX($U$157:$U$306,MATCH(ROWS($A$157:A276),$AF$157:$AF$306,0)),"")</f>
        <v/>
      </c>
      <c r="F276" s="35" t="str">
        <f>IFERROR(INDEX($V$157:$V$306,MATCH(ROWS($A$157:A276),$AF$157:$AF$306,0)),"")</f>
        <v/>
      </c>
      <c r="G276" s="35" t="str">
        <f>IFERROR(INDEX($W$157:$W$306,MATCH(ROWS($A$157:A276),$AF$157:$AF$306,0)),"")</f>
        <v/>
      </c>
      <c r="H276" s="35" t="str">
        <f>IFERROR(INDEX($X$157:$X$306,MATCH(ROWS($A$157:A276),$AF$157:$AF$306,0)),"")</f>
        <v/>
      </c>
      <c r="I276" s="35" t="str">
        <f>IFERROR(INDEX($Y$157:$Y$306,MATCH(ROWS($A$157:A276),$AF$157:$AF$306,0)),"")</f>
        <v/>
      </c>
      <c r="J276" s="35" t="str">
        <f>IFERROR(INDEX($Z$157:$Z$306,MATCH(ROWS($A$157:A276),$AF$157:$AF$306,0)),"")</f>
        <v/>
      </c>
      <c r="K276" s="35" t="str">
        <f>IFERROR(INDEX($AA$157:$AA$306,MATCH(ROWS($A$157:A276),$AF$157:$AF$306,0)),"")</f>
        <v/>
      </c>
      <c r="L276" s="35" t="str">
        <f>IFERROR(INDEX($AB$157:$AB$306,MATCH(ROWS($A$157:A276),$AF$157:$AF$306,0)),"")</f>
        <v/>
      </c>
      <c r="M276" s="35" t="str">
        <f>IFERROR(INDEX($AC$157:$AC$306,MATCH(ROWS($A$157:A276),$AF$157:$AF$306,0)),"")</f>
        <v/>
      </c>
      <c r="N276" s="35" t="str">
        <f>IFERROR(INDEX($AD$157:$AD$306,MATCH(ROWS($A$157:A276),$AF$157:$AF$306,0)),"")</f>
        <v/>
      </c>
      <c r="Q276" t="str">
        <f>T(JAN!B125)</f>
        <v/>
      </c>
      <c r="R276" t="str">
        <f t="array" ref="R276">IF($Q276="","",_xlfn.TEXTJOIN(", ",TRUE,IF(JAN!$G125:$AK125="AT",JAN!$G$4:$AK$4,"")))</f>
        <v/>
      </c>
      <c r="S276" t="str">
        <f t="array" ref="S276">IF($Q276="","",_xlfn.TEXTJOIN(", ",TRUE,IF(FEV!$G125:$AK125="AT",FEV!$G$4:$AK$4,"")))</f>
        <v/>
      </c>
      <c r="T276" t="str">
        <f t="array" ref="T276">IF($Q276="","",_xlfn.TEXTJOIN(", ",TRUE,IF(MAR!$G125:$AK125="AT",MAR!$G$4:$AK$4,"")))</f>
        <v/>
      </c>
      <c r="U276" t="str">
        <f t="array" ref="U276">IF($Q276="","",_xlfn.TEXTJOIN(", ",TRUE,IF(ABR!$G125:$AK125="AT",ABR!$G$4:$AK$4,"")))</f>
        <v/>
      </c>
      <c r="V276" t="str">
        <f t="array" ref="V276">IF($Q276="","",_xlfn.TEXTJOIN(", ",TRUE,IF(MAI!$G125:$AK125="AT",MAI!$G$4:$AK$4,"")))</f>
        <v/>
      </c>
      <c r="W276" t="str">
        <f t="array" ref="W276">IF($Q276="","",_xlfn.TEXTJOIN(", ",TRUE,IF(JUN!$G125:$AK125="AT",JUN!$G$4:$AK$4,"")))</f>
        <v/>
      </c>
      <c r="X276" t="str">
        <f t="array" ref="X276">IF($Q276="","",_xlfn.TEXTJOIN(", ",TRUE,IF(JUL!$G125:$AK125="AT",JUL!$G$4:$AK$4,"")))</f>
        <v/>
      </c>
      <c r="Y276" t="str">
        <f t="array" ref="Y276">IF($Q276="","",_xlfn.TEXTJOIN(", ",TRUE,IF(AGO!$G125:$AK125="AT",AGO!$G$4:$AK$4,"")))</f>
        <v/>
      </c>
      <c r="Z276" t="str">
        <f t="array" ref="Z276">IF($Q276="","",_xlfn.TEXTJOIN(", ",TRUE,IF(SET!$G125:$AK125="AT",SET!$G$4:$AK$4,"")))</f>
        <v/>
      </c>
      <c r="AA276" t="str">
        <f t="array" ref="AA276">IF($Q276="","",_xlfn.TEXTJOIN(", ",TRUE,IF(OUT!$G125:$AK125="AT",OUT!$G$4:$AK$4,"")))</f>
        <v/>
      </c>
      <c r="AB276" t="str">
        <f t="array" ref="AB276">IF($Q276="","",_xlfn.TEXTJOIN(", ",TRUE,IF(NOV!$G125:$AK125="AT",NOV!$G$4:$AK$4,"")))</f>
        <v/>
      </c>
      <c r="AC276" t="str">
        <f t="array" ref="AC276">IF($Q276="","",_xlfn.TEXTJOIN(", ",TRUE,IF(DEZ!$G125:$AK125="AT",DEZ!$G$4:$AK$4,"")))</f>
        <v/>
      </c>
      <c r="AD276" t="str">
        <f>IF($Q276="","",COUNTIF(JAN!$G125:$AK125,"AT")+COUNTIF(FEV!$G125:$AK125,"AT")+COUNTIF(MAR!$G125:$AK125,"AT")+COUNTIF(ABR!$G125:$AK125,"AT")+COUNTIF(MAI!$G125:$AK125,"AT")+COUNTIF(JUN!$G125:$AK125,"AT")+COUNTIF(JUL!$G125:$AK125,"AT")+COUNTIF(AGO!$G125:$AK125,"AT")+COUNTIF(SET!$G125:$AK125,"AT")+COUNTIF(OUT!$G125:$AK125,"AT")+COUNTIF(NOV!$G125:$AK125,"AT")+COUNTIF(DEZ!$G125:$AK125,"AT"))</f>
        <v/>
      </c>
      <c r="AF276" t="str">
        <f>IF(AND($Q276&lt;&gt;"",N($AD276)&gt;0),COUNT($AF$156:AF275)+1,"")</f>
        <v/>
      </c>
    </row>
    <row r="277" spans="1:32" hidden="1" outlineLevel="1" x14ac:dyDescent="0.25">
      <c r="A277" s="36" t="str">
        <f>IFERROR(INDEX($Q$157:$Q$306,MATCH(ROWS($A$157:A277),$AF$157:$AF$306,0)),"")</f>
        <v/>
      </c>
      <c r="B277" s="35" t="str">
        <f>IFERROR(INDEX($R$157:$R$306,MATCH(ROWS($A$157:A277),$AF$157:$AF$306,0)),"")</f>
        <v/>
      </c>
      <c r="C277" s="35" t="str">
        <f>IFERROR(INDEX($S$157:$S$306,MATCH(ROWS($A$157:A277),$AF$157:$AF$306,0)),"")</f>
        <v/>
      </c>
      <c r="D277" s="35" t="str">
        <f>IFERROR(INDEX($T$157:$T$306,MATCH(ROWS($A$157:A277),$AF$157:$AF$306,0)),"")</f>
        <v/>
      </c>
      <c r="E277" s="35" t="str">
        <f>IFERROR(INDEX($U$157:$U$306,MATCH(ROWS($A$157:A277),$AF$157:$AF$306,0)),"")</f>
        <v/>
      </c>
      <c r="F277" s="35" t="str">
        <f>IFERROR(INDEX($V$157:$V$306,MATCH(ROWS($A$157:A277),$AF$157:$AF$306,0)),"")</f>
        <v/>
      </c>
      <c r="G277" s="35" t="str">
        <f>IFERROR(INDEX($W$157:$W$306,MATCH(ROWS($A$157:A277),$AF$157:$AF$306,0)),"")</f>
        <v/>
      </c>
      <c r="H277" s="35" t="str">
        <f>IFERROR(INDEX($X$157:$X$306,MATCH(ROWS($A$157:A277),$AF$157:$AF$306,0)),"")</f>
        <v/>
      </c>
      <c r="I277" s="35" t="str">
        <f>IFERROR(INDEX($Y$157:$Y$306,MATCH(ROWS($A$157:A277),$AF$157:$AF$306,0)),"")</f>
        <v/>
      </c>
      <c r="J277" s="35" t="str">
        <f>IFERROR(INDEX($Z$157:$Z$306,MATCH(ROWS($A$157:A277),$AF$157:$AF$306,0)),"")</f>
        <v/>
      </c>
      <c r="K277" s="35" t="str">
        <f>IFERROR(INDEX($AA$157:$AA$306,MATCH(ROWS($A$157:A277),$AF$157:$AF$306,0)),"")</f>
        <v/>
      </c>
      <c r="L277" s="35" t="str">
        <f>IFERROR(INDEX($AB$157:$AB$306,MATCH(ROWS($A$157:A277),$AF$157:$AF$306,0)),"")</f>
        <v/>
      </c>
      <c r="M277" s="35" t="str">
        <f>IFERROR(INDEX($AC$157:$AC$306,MATCH(ROWS($A$157:A277),$AF$157:$AF$306,0)),"")</f>
        <v/>
      </c>
      <c r="N277" s="35" t="str">
        <f>IFERROR(INDEX($AD$157:$AD$306,MATCH(ROWS($A$157:A277),$AF$157:$AF$306,0)),"")</f>
        <v/>
      </c>
      <c r="Q277" t="str">
        <f>T(JAN!B126)</f>
        <v/>
      </c>
      <c r="R277" t="str">
        <f t="array" ref="R277">IF($Q277="","",_xlfn.TEXTJOIN(", ",TRUE,IF(JAN!$G126:$AK126="AT",JAN!$G$4:$AK$4,"")))</f>
        <v/>
      </c>
      <c r="S277" t="str">
        <f t="array" ref="S277">IF($Q277="","",_xlfn.TEXTJOIN(", ",TRUE,IF(FEV!$G126:$AK126="AT",FEV!$G$4:$AK$4,"")))</f>
        <v/>
      </c>
      <c r="T277" t="str">
        <f t="array" ref="T277">IF($Q277="","",_xlfn.TEXTJOIN(", ",TRUE,IF(MAR!$G126:$AK126="AT",MAR!$G$4:$AK$4,"")))</f>
        <v/>
      </c>
      <c r="U277" t="str">
        <f t="array" ref="U277">IF($Q277="","",_xlfn.TEXTJOIN(", ",TRUE,IF(ABR!$G126:$AK126="AT",ABR!$G$4:$AK$4,"")))</f>
        <v/>
      </c>
      <c r="V277" t="str">
        <f t="array" ref="V277">IF($Q277="","",_xlfn.TEXTJOIN(", ",TRUE,IF(MAI!$G126:$AK126="AT",MAI!$G$4:$AK$4,"")))</f>
        <v/>
      </c>
      <c r="W277" t="str">
        <f t="array" ref="W277">IF($Q277="","",_xlfn.TEXTJOIN(", ",TRUE,IF(JUN!$G126:$AK126="AT",JUN!$G$4:$AK$4,"")))</f>
        <v/>
      </c>
      <c r="X277" t="str">
        <f t="array" ref="X277">IF($Q277="","",_xlfn.TEXTJOIN(", ",TRUE,IF(JUL!$G126:$AK126="AT",JUL!$G$4:$AK$4,"")))</f>
        <v/>
      </c>
      <c r="Y277" t="str">
        <f t="array" ref="Y277">IF($Q277="","",_xlfn.TEXTJOIN(", ",TRUE,IF(AGO!$G126:$AK126="AT",AGO!$G$4:$AK$4,"")))</f>
        <v/>
      </c>
      <c r="Z277" t="str">
        <f t="array" ref="Z277">IF($Q277="","",_xlfn.TEXTJOIN(", ",TRUE,IF(SET!$G126:$AK126="AT",SET!$G$4:$AK$4,"")))</f>
        <v/>
      </c>
      <c r="AA277" t="str">
        <f t="array" ref="AA277">IF($Q277="","",_xlfn.TEXTJOIN(", ",TRUE,IF(OUT!$G126:$AK126="AT",OUT!$G$4:$AK$4,"")))</f>
        <v/>
      </c>
      <c r="AB277" t="str">
        <f t="array" ref="AB277">IF($Q277="","",_xlfn.TEXTJOIN(", ",TRUE,IF(NOV!$G126:$AK126="AT",NOV!$G$4:$AK$4,"")))</f>
        <v/>
      </c>
      <c r="AC277" t="str">
        <f t="array" ref="AC277">IF($Q277="","",_xlfn.TEXTJOIN(", ",TRUE,IF(DEZ!$G126:$AK126="AT",DEZ!$G$4:$AK$4,"")))</f>
        <v/>
      </c>
      <c r="AD277" t="str">
        <f>IF($Q277="","",COUNTIF(JAN!$G126:$AK126,"AT")+COUNTIF(FEV!$G126:$AK126,"AT")+COUNTIF(MAR!$G126:$AK126,"AT")+COUNTIF(ABR!$G126:$AK126,"AT")+COUNTIF(MAI!$G126:$AK126,"AT")+COUNTIF(JUN!$G126:$AK126,"AT")+COUNTIF(JUL!$G126:$AK126,"AT")+COUNTIF(AGO!$G126:$AK126,"AT")+COUNTIF(SET!$G126:$AK126,"AT")+COUNTIF(OUT!$G126:$AK126,"AT")+COUNTIF(NOV!$G126:$AK126,"AT")+COUNTIF(DEZ!$G126:$AK126,"AT"))</f>
        <v/>
      </c>
      <c r="AF277" t="str">
        <f>IF(AND($Q277&lt;&gt;"",N($AD277)&gt;0),COUNT($AF$156:AF276)+1,"")</f>
        <v/>
      </c>
    </row>
    <row r="278" spans="1:32" hidden="1" outlineLevel="1" x14ac:dyDescent="0.25">
      <c r="A278" s="36" t="str">
        <f>IFERROR(INDEX($Q$157:$Q$306,MATCH(ROWS($A$157:A278),$AF$157:$AF$306,0)),"")</f>
        <v/>
      </c>
      <c r="B278" s="35" t="str">
        <f>IFERROR(INDEX($R$157:$R$306,MATCH(ROWS($A$157:A278),$AF$157:$AF$306,0)),"")</f>
        <v/>
      </c>
      <c r="C278" s="35" t="str">
        <f>IFERROR(INDEX($S$157:$S$306,MATCH(ROWS($A$157:A278),$AF$157:$AF$306,0)),"")</f>
        <v/>
      </c>
      <c r="D278" s="35" t="str">
        <f>IFERROR(INDEX($T$157:$T$306,MATCH(ROWS($A$157:A278),$AF$157:$AF$306,0)),"")</f>
        <v/>
      </c>
      <c r="E278" s="35" t="str">
        <f>IFERROR(INDEX($U$157:$U$306,MATCH(ROWS($A$157:A278),$AF$157:$AF$306,0)),"")</f>
        <v/>
      </c>
      <c r="F278" s="35" t="str">
        <f>IFERROR(INDEX($V$157:$V$306,MATCH(ROWS($A$157:A278),$AF$157:$AF$306,0)),"")</f>
        <v/>
      </c>
      <c r="G278" s="35" t="str">
        <f>IFERROR(INDEX($W$157:$W$306,MATCH(ROWS($A$157:A278),$AF$157:$AF$306,0)),"")</f>
        <v/>
      </c>
      <c r="H278" s="35" t="str">
        <f>IFERROR(INDEX($X$157:$X$306,MATCH(ROWS($A$157:A278),$AF$157:$AF$306,0)),"")</f>
        <v/>
      </c>
      <c r="I278" s="35" t="str">
        <f>IFERROR(INDEX($Y$157:$Y$306,MATCH(ROWS($A$157:A278),$AF$157:$AF$306,0)),"")</f>
        <v/>
      </c>
      <c r="J278" s="35" t="str">
        <f>IFERROR(INDEX($Z$157:$Z$306,MATCH(ROWS($A$157:A278),$AF$157:$AF$306,0)),"")</f>
        <v/>
      </c>
      <c r="K278" s="35" t="str">
        <f>IFERROR(INDEX($AA$157:$AA$306,MATCH(ROWS($A$157:A278),$AF$157:$AF$306,0)),"")</f>
        <v/>
      </c>
      <c r="L278" s="35" t="str">
        <f>IFERROR(INDEX($AB$157:$AB$306,MATCH(ROWS($A$157:A278),$AF$157:$AF$306,0)),"")</f>
        <v/>
      </c>
      <c r="M278" s="35" t="str">
        <f>IFERROR(INDEX($AC$157:$AC$306,MATCH(ROWS($A$157:A278),$AF$157:$AF$306,0)),"")</f>
        <v/>
      </c>
      <c r="N278" s="35" t="str">
        <f>IFERROR(INDEX($AD$157:$AD$306,MATCH(ROWS($A$157:A278),$AF$157:$AF$306,0)),"")</f>
        <v/>
      </c>
      <c r="Q278" t="str">
        <f>T(JAN!B127)</f>
        <v/>
      </c>
      <c r="R278" t="str">
        <f t="array" ref="R278">IF($Q278="","",_xlfn.TEXTJOIN(", ",TRUE,IF(JAN!$G127:$AK127="AT",JAN!$G$4:$AK$4,"")))</f>
        <v/>
      </c>
      <c r="S278" t="str">
        <f t="array" ref="S278">IF($Q278="","",_xlfn.TEXTJOIN(", ",TRUE,IF(FEV!$G127:$AK127="AT",FEV!$G$4:$AK$4,"")))</f>
        <v/>
      </c>
      <c r="T278" t="str">
        <f t="array" ref="T278">IF($Q278="","",_xlfn.TEXTJOIN(", ",TRUE,IF(MAR!$G127:$AK127="AT",MAR!$G$4:$AK$4,"")))</f>
        <v/>
      </c>
      <c r="U278" t="str">
        <f t="array" ref="U278">IF($Q278="","",_xlfn.TEXTJOIN(", ",TRUE,IF(ABR!$G127:$AK127="AT",ABR!$G$4:$AK$4,"")))</f>
        <v/>
      </c>
      <c r="V278" t="str">
        <f t="array" ref="V278">IF($Q278="","",_xlfn.TEXTJOIN(", ",TRUE,IF(MAI!$G127:$AK127="AT",MAI!$G$4:$AK$4,"")))</f>
        <v/>
      </c>
      <c r="W278" t="str">
        <f t="array" ref="W278">IF($Q278="","",_xlfn.TEXTJOIN(", ",TRUE,IF(JUN!$G127:$AK127="AT",JUN!$G$4:$AK$4,"")))</f>
        <v/>
      </c>
      <c r="X278" t="str">
        <f t="array" ref="X278">IF($Q278="","",_xlfn.TEXTJOIN(", ",TRUE,IF(JUL!$G127:$AK127="AT",JUL!$G$4:$AK$4,"")))</f>
        <v/>
      </c>
      <c r="Y278" t="str">
        <f t="array" ref="Y278">IF($Q278="","",_xlfn.TEXTJOIN(", ",TRUE,IF(AGO!$G127:$AK127="AT",AGO!$G$4:$AK$4,"")))</f>
        <v/>
      </c>
      <c r="Z278" t="str">
        <f t="array" ref="Z278">IF($Q278="","",_xlfn.TEXTJOIN(", ",TRUE,IF(SET!$G127:$AK127="AT",SET!$G$4:$AK$4,"")))</f>
        <v/>
      </c>
      <c r="AA278" t="str">
        <f t="array" ref="AA278">IF($Q278="","",_xlfn.TEXTJOIN(", ",TRUE,IF(OUT!$G127:$AK127="AT",OUT!$G$4:$AK$4,"")))</f>
        <v/>
      </c>
      <c r="AB278" t="str">
        <f t="array" ref="AB278">IF($Q278="","",_xlfn.TEXTJOIN(", ",TRUE,IF(NOV!$G127:$AK127="AT",NOV!$G$4:$AK$4,"")))</f>
        <v/>
      </c>
      <c r="AC278" t="str">
        <f t="array" ref="AC278">IF($Q278="","",_xlfn.TEXTJOIN(", ",TRUE,IF(DEZ!$G127:$AK127="AT",DEZ!$G$4:$AK$4,"")))</f>
        <v/>
      </c>
      <c r="AD278" t="str">
        <f>IF($Q278="","",COUNTIF(JAN!$G127:$AK127,"AT")+COUNTIF(FEV!$G127:$AK127,"AT")+COUNTIF(MAR!$G127:$AK127,"AT")+COUNTIF(ABR!$G127:$AK127,"AT")+COUNTIF(MAI!$G127:$AK127,"AT")+COUNTIF(JUN!$G127:$AK127,"AT")+COUNTIF(JUL!$G127:$AK127,"AT")+COUNTIF(AGO!$G127:$AK127,"AT")+COUNTIF(SET!$G127:$AK127,"AT")+COUNTIF(OUT!$G127:$AK127,"AT")+COUNTIF(NOV!$G127:$AK127,"AT")+COUNTIF(DEZ!$G127:$AK127,"AT"))</f>
        <v/>
      </c>
      <c r="AF278" t="str">
        <f>IF(AND($Q278&lt;&gt;"",N($AD278)&gt;0),COUNT($AF$156:AF277)+1,"")</f>
        <v/>
      </c>
    </row>
    <row r="279" spans="1:32" hidden="1" outlineLevel="1" x14ac:dyDescent="0.25">
      <c r="A279" s="36" t="str">
        <f>IFERROR(INDEX($Q$157:$Q$306,MATCH(ROWS($A$157:A279),$AF$157:$AF$306,0)),"")</f>
        <v/>
      </c>
      <c r="B279" s="35" t="str">
        <f>IFERROR(INDEX($R$157:$R$306,MATCH(ROWS($A$157:A279),$AF$157:$AF$306,0)),"")</f>
        <v/>
      </c>
      <c r="C279" s="35" t="str">
        <f>IFERROR(INDEX($S$157:$S$306,MATCH(ROWS($A$157:A279),$AF$157:$AF$306,0)),"")</f>
        <v/>
      </c>
      <c r="D279" s="35" t="str">
        <f>IFERROR(INDEX($T$157:$T$306,MATCH(ROWS($A$157:A279),$AF$157:$AF$306,0)),"")</f>
        <v/>
      </c>
      <c r="E279" s="35" t="str">
        <f>IFERROR(INDEX($U$157:$U$306,MATCH(ROWS($A$157:A279),$AF$157:$AF$306,0)),"")</f>
        <v/>
      </c>
      <c r="F279" s="35" t="str">
        <f>IFERROR(INDEX($V$157:$V$306,MATCH(ROWS($A$157:A279),$AF$157:$AF$306,0)),"")</f>
        <v/>
      </c>
      <c r="G279" s="35" t="str">
        <f>IFERROR(INDEX($W$157:$W$306,MATCH(ROWS($A$157:A279),$AF$157:$AF$306,0)),"")</f>
        <v/>
      </c>
      <c r="H279" s="35" t="str">
        <f>IFERROR(INDEX($X$157:$X$306,MATCH(ROWS($A$157:A279),$AF$157:$AF$306,0)),"")</f>
        <v/>
      </c>
      <c r="I279" s="35" t="str">
        <f>IFERROR(INDEX($Y$157:$Y$306,MATCH(ROWS($A$157:A279),$AF$157:$AF$306,0)),"")</f>
        <v/>
      </c>
      <c r="J279" s="35" t="str">
        <f>IFERROR(INDEX($Z$157:$Z$306,MATCH(ROWS($A$157:A279),$AF$157:$AF$306,0)),"")</f>
        <v/>
      </c>
      <c r="K279" s="35" t="str">
        <f>IFERROR(INDEX($AA$157:$AA$306,MATCH(ROWS($A$157:A279),$AF$157:$AF$306,0)),"")</f>
        <v/>
      </c>
      <c r="L279" s="35" t="str">
        <f>IFERROR(INDEX($AB$157:$AB$306,MATCH(ROWS($A$157:A279),$AF$157:$AF$306,0)),"")</f>
        <v/>
      </c>
      <c r="M279" s="35" t="str">
        <f>IFERROR(INDEX($AC$157:$AC$306,MATCH(ROWS($A$157:A279),$AF$157:$AF$306,0)),"")</f>
        <v/>
      </c>
      <c r="N279" s="35" t="str">
        <f>IFERROR(INDEX($AD$157:$AD$306,MATCH(ROWS($A$157:A279),$AF$157:$AF$306,0)),"")</f>
        <v/>
      </c>
      <c r="Q279" t="str">
        <f>T(JAN!B128)</f>
        <v/>
      </c>
      <c r="R279" t="str">
        <f t="array" ref="R279">IF($Q279="","",_xlfn.TEXTJOIN(", ",TRUE,IF(JAN!$G128:$AK128="AT",JAN!$G$4:$AK$4,"")))</f>
        <v/>
      </c>
      <c r="S279" t="str">
        <f t="array" ref="S279">IF($Q279="","",_xlfn.TEXTJOIN(", ",TRUE,IF(FEV!$G128:$AK128="AT",FEV!$G$4:$AK$4,"")))</f>
        <v/>
      </c>
      <c r="T279" t="str">
        <f t="array" ref="T279">IF($Q279="","",_xlfn.TEXTJOIN(", ",TRUE,IF(MAR!$G128:$AK128="AT",MAR!$G$4:$AK$4,"")))</f>
        <v/>
      </c>
      <c r="U279" t="str">
        <f t="array" ref="U279">IF($Q279="","",_xlfn.TEXTJOIN(", ",TRUE,IF(ABR!$G128:$AK128="AT",ABR!$G$4:$AK$4,"")))</f>
        <v/>
      </c>
      <c r="V279" t="str">
        <f t="array" ref="V279">IF($Q279="","",_xlfn.TEXTJOIN(", ",TRUE,IF(MAI!$G128:$AK128="AT",MAI!$G$4:$AK$4,"")))</f>
        <v/>
      </c>
      <c r="W279" t="str">
        <f t="array" ref="W279">IF($Q279="","",_xlfn.TEXTJOIN(", ",TRUE,IF(JUN!$G128:$AK128="AT",JUN!$G$4:$AK$4,"")))</f>
        <v/>
      </c>
      <c r="X279" t="str">
        <f t="array" ref="X279">IF($Q279="","",_xlfn.TEXTJOIN(", ",TRUE,IF(JUL!$G128:$AK128="AT",JUL!$G$4:$AK$4,"")))</f>
        <v/>
      </c>
      <c r="Y279" t="str">
        <f t="array" ref="Y279">IF($Q279="","",_xlfn.TEXTJOIN(", ",TRUE,IF(AGO!$G128:$AK128="AT",AGO!$G$4:$AK$4,"")))</f>
        <v/>
      </c>
      <c r="Z279" t="str">
        <f t="array" ref="Z279">IF($Q279="","",_xlfn.TEXTJOIN(", ",TRUE,IF(SET!$G128:$AK128="AT",SET!$G$4:$AK$4,"")))</f>
        <v/>
      </c>
      <c r="AA279" t="str">
        <f t="array" ref="AA279">IF($Q279="","",_xlfn.TEXTJOIN(", ",TRUE,IF(OUT!$G128:$AK128="AT",OUT!$G$4:$AK$4,"")))</f>
        <v/>
      </c>
      <c r="AB279" t="str">
        <f t="array" ref="AB279">IF($Q279="","",_xlfn.TEXTJOIN(", ",TRUE,IF(NOV!$G128:$AK128="AT",NOV!$G$4:$AK$4,"")))</f>
        <v/>
      </c>
      <c r="AC279" t="str">
        <f t="array" ref="AC279">IF($Q279="","",_xlfn.TEXTJOIN(", ",TRUE,IF(DEZ!$G128:$AK128="AT",DEZ!$G$4:$AK$4,"")))</f>
        <v/>
      </c>
      <c r="AD279" t="str">
        <f>IF($Q279="","",COUNTIF(JAN!$G128:$AK128,"AT")+COUNTIF(FEV!$G128:$AK128,"AT")+COUNTIF(MAR!$G128:$AK128,"AT")+COUNTIF(ABR!$G128:$AK128,"AT")+COUNTIF(MAI!$G128:$AK128,"AT")+COUNTIF(JUN!$G128:$AK128,"AT")+COUNTIF(JUL!$G128:$AK128,"AT")+COUNTIF(AGO!$G128:$AK128,"AT")+COUNTIF(SET!$G128:$AK128,"AT")+COUNTIF(OUT!$G128:$AK128,"AT")+COUNTIF(NOV!$G128:$AK128,"AT")+COUNTIF(DEZ!$G128:$AK128,"AT"))</f>
        <v/>
      </c>
      <c r="AF279" t="str">
        <f>IF(AND($Q279&lt;&gt;"",N($AD279)&gt;0),COUNT($AF$156:AF278)+1,"")</f>
        <v/>
      </c>
    </row>
    <row r="280" spans="1:32" hidden="1" outlineLevel="1" x14ac:dyDescent="0.25">
      <c r="A280" s="36" t="str">
        <f>IFERROR(INDEX($Q$157:$Q$306,MATCH(ROWS($A$157:A280),$AF$157:$AF$306,0)),"")</f>
        <v/>
      </c>
      <c r="B280" s="35" t="str">
        <f>IFERROR(INDEX($R$157:$R$306,MATCH(ROWS($A$157:A280),$AF$157:$AF$306,0)),"")</f>
        <v/>
      </c>
      <c r="C280" s="35" t="str">
        <f>IFERROR(INDEX($S$157:$S$306,MATCH(ROWS($A$157:A280),$AF$157:$AF$306,0)),"")</f>
        <v/>
      </c>
      <c r="D280" s="35" t="str">
        <f>IFERROR(INDEX($T$157:$T$306,MATCH(ROWS($A$157:A280),$AF$157:$AF$306,0)),"")</f>
        <v/>
      </c>
      <c r="E280" s="35" t="str">
        <f>IFERROR(INDEX($U$157:$U$306,MATCH(ROWS($A$157:A280),$AF$157:$AF$306,0)),"")</f>
        <v/>
      </c>
      <c r="F280" s="35" t="str">
        <f>IFERROR(INDEX($V$157:$V$306,MATCH(ROWS($A$157:A280),$AF$157:$AF$306,0)),"")</f>
        <v/>
      </c>
      <c r="G280" s="35" t="str">
        <f>IFERROR(INDEX($W$157:$W$306,MATCH(ROWS($A$157:A280),$AF$157:$AF$306,0)),"")</f>
        <v/>
      </c>
      <c r="H280" s="35" t="str">
        <f>IFERROR(INDEX($X$157:$X$306,MATCH(ROWS($A$157:A280),$AF$157:$AF$306,0)),"")</f>
        <v/>
      </c>
      <c r="I280" s="35" t="str">
        <f>IFERROR(INDEX($Y$157:$Y$306,MATCH(ROWS($A$157:A280),$AF$157:$AF$306,0)),"")</f>
        <v/>
      </c>
      <c r="J280" s="35" t="str">
        <f>IFERROR(INDEX($Z$157:$Z$306,MATCH(ROWS($A$157:A280),$AF$157:$AF$306,0)),"")</f>
        <v/>
      </c>
      <c r="K280" s="35" t="str">
        <f>IFERROR(INDEX($AA$157:$AA$306,MATCH(ROWS($A$157:A280),$AF$157:$AF$306,0)),"")</f>
        <v/>
      </c>
      <c r="L280" s="35" t="str">
        <f>IFERROR(INDEX($AB$157:$AB$306,MATCH(ROWS($A$157:A280),$AF$157:$AF$306,0)),"")</f>
        <v/>
      </c>
      <c r="M280" s="35" t="str">
        <f>IFERROR(INDEX($AC$157:$AC$306,MATCH(ROWS($A$157:A280),$AF$157:$AF$306,0)),"")</f>
        <v/>
      </c>
      <c r="N280" s="35" t="str">
        <f>IFERROR(INDEX($AD$157:$AD$306,MATCH(ROWS($A$157:A280),$AF$157:$AF$306,0)),"")</f>
        <v/>
      </c>
      <c r="Q280" t="str">
        <f>T(JAN!B129)</f>
        <v/>
      </c>
      <c r="R280" t="str">
        <f t="array" ref="R280">IF($Q280="","",_xlfn.TEXTJOIN(", ",TRUE,IF(JAN!$G129:$AK129="AT",JAN!$G$4:$AK$4,"")))</f>
        <v/>
      </c>
      <c r="S280" t="str">
        <f t="array" ref="S280">IF($Q280="","",_xlfn.TEXTJOIN(", ",TRUE,IF(FEV!$G129:$AK129="AT",FEV!$G$4:$AK$4,"")))</f>
        <v/>
      </c>
      <c r="T280" t="str">
        <f t="array" ref="T280">IF($Q280="","",_xlfn.TEXTJOIN(", ",TRUE,IF(MAR!$G129:$AK129="AT",MAR!$G$4:$AK$4,"")))</f>
        <v/>
      </c>
      <c r="U280" t="str">
        <f t="array" ref="U280">IF($Q280="","",_xlfn.TEXTJOIN(", ",TRUE,IF(ABR!$G129:$AK129="AT",ABR!$G$4:$AK$4,"")))</f>
        <v/>
      </c>
      <c r="V280" t="str">
        <f t="array" ref="V280">IF($Q280="","",_xlfn.TEXTJOIN(", ",TRUE,IF(MAI!$G129:$AK129="AT",MAI!$G$4:$AK$4,"")))</f>
        <v/>
      </c>
      <c r="W280" t="str">
        <f t="array" ref="W280">IF($Q280="","",_xlfn.TEXTJOIN(", ",TRUE,IF(JUN!$G129:$AK129="AT",JUN!$G$4:$AK$4,"")))</f>
        <v/>
      </c>
      <c r="X280" t="str">
        <f t="array" ref="X280">IF($Q280="","",_xlfn.TEXTJOIN(", ",TRUE,IF(JUL!$G129:$AK129="AT",JUL!$G$4:$AK$4,"")))</f>
        <v/>
      </c>
      <c r="Y280" t="str">
        <f t="array" ref="Y280">IF($Q280="","",_xlfn.TEXTJOIN(", ",TRUE,IF(AGO!$G129:$AK129="AT",AGO!$G$4:$AK$4,"")))</f>
        <v/>
      </c>
      <c r="Z280" t="str">
        <f t="array" ref="Z280">IF($Q280="","",_xlfn.TEXTJOIN(", ",TRUE,IF(SET!$G129:$AK129="AT",SET!$G$4:$AK$4,"")))</f>
        <v/>
      </c>
      <c r="AA280" t="str">
        <f t="array" ref="AA280">IF($Q280="","",_xlfn.TEXTJOIN(", ",TRUE,IF(OUT!$G129:$AK129="AT",OUT!$G$4:$AK$4,"")))</f>
        <v/>
      </c>
      <c r="AB280" t="str">
        <f t="array" ref="AB280">IF($Q280="","",_xlfn.TEXTJOIN(", ",TRUE,IF(NOV!$G129:$AK129="AT",NOV!$G$4:$AK$4,"")))</f>
        <v/>
      </c>
      <c r="AC280" t="str">
        <f t="array" ref="AC280">IF($Q280="","",_xlfn.TEXTJOIN(", ",TRUE,IF(DEZ!$G129:$AK129="AT",DEZ!$G$4:$AK$4,"")))</f>
        <v/>
      </c>
      <c r="AD280" t="str">
        <f>IF($Q280="","",COUNTIF(JAN!$G129:$AK129,"AT")+COUNTIF(FEV!$G129:$AK129,"AT")+COUNTIF(MAR!$G129:$AK129,"AT")+COUNTIF(ABR!$G129:$AK129,"AT")+COUNTIF(MAI!$G129:$AK129,"AT")+COUNTIF(JUN!$G129:$AK129,"AT")+COUNTIF(JUL!$G129:$AK129,"AT")+COUNTIF(AGO!$G129:$AK129,"AT")+COUNTIF(SET!$G129:$AK129,"AT")+COUNTIF(OUT!$G129:$AK129,"AT")+COUNTIF(NOV!$G129:$AK129,"AT")+COUNTIF(DEZ!$G129:$AK129,"AT"))</f>
        <v/>
      </c>
      <c r="AF280" t="str">
        <f>IF(AND($Q280&lt;&gt;"",N($AD280)&gt;0),COUNT($AF$156:AF279)+1,"")</f>
        <v/>
      </c>
    </row>
    <row r="281" spans="1:32" hidden="1" outlineLevel="1" x14ac:dyDescent="0.25">
      <c r="A281" s="36" t="str">
        <f>IFERROR(INDEX($Q$157:$Q$306,MATCH(ROWS($A$157:A281),$AF$157:$AF$306,0)),"")</f>
        <v/>
      </c>
      <c r="B281" s="35" t="str">
        <f>IFERROR(INDEX($R$157:$R$306,MATCH(ROWS($A$157:A281),$AF$157:$AF$306,0)),"")</f>
        <v/>
      </c>
      <c r="C281" s="35" t="str">
        <f>IFERROR(INDEX($S$157:$S$306,MATCH(ROWS($A$157:A281),$AF$157:$AF$306,0)),"")</f>
        <v/>
      </c>
      <c r="D281" s="35" t="str">
        <f>IFERROR(INDEX($T$157:$T$306,MATCH(ROWS($A$157:A281),$AF$157:$AF$306,0)),"")</f>
        <v/>
      </c>
      <c r="E281" s="35" t="str">
        <f>IFERROR(INDEX($U$157:$U$306,MATCH(ROWS($A$157:A281),$AF$157:$AF$306,0)),"")</f>
        <v/>
      </c>
      <c r="F281" s="35" t="str">
        <f>IFERROR(INDEX($V$157:$V$306,MATCH(ROWS($A$157:A281),$AF$157:$AF$306,0)),"")</f>
        <v/>
      </c>
      <c r="G281" s="35" t="str">
        <f>IFERROR(INDEX($W$157:$W$306,MATCH(ROWS($A$157:A281),$AF$157:$AF$306,0)),"")</f>
        <v/>
      </c>
      <c r="H281" s="35" t="str">
        <f>IFERROR(INDEX($X$157:$X$306,MATCH(ROWS($A$157:A281),$AF$157:$AF$306,0)),"")</f>
        <v/>
      </c>
      <c r="I281" s="35" t="str">
        <f>IFERROR(INDEX($Y$157:$Y$306,MATCH(ROWS($A$157:A281),$AF$157:$AF$306,0)),"")</f>
        <v/>
      </c>
      <c r="J281" s="35" t="str">
        <f>IFERROR(INDEX($Z$157:$Z$306,MATCH(ROWS($A$157:A281),$AF$157:$AF$306,0)),"")</f>
        <v/>
      </c>
      <c r="K281" s="35" t="str">
        <f>IFERROR(INDEX($AA$157:$AA$306,MATCH(ROWS($A$157:A281),$AF$157:$AF$306,0)),"")</f>
        <v/>
      </c>
      <c r="L281" s="35" t="str">
        <f>IFERROR(INDEX($AB$157:$AB$306,MATCH(ROWS($A$157:A281),$AF$157:$AF$306,0)),"")</f>
        <v/>
      </c>
      <c r="M281" s="35" t="str">
        <f>IFERROR(INDEX($AC$157:$AC$306,MATCH(ROWS($A$157:A281),$AF$157:$AF$306,0)),"")</f>
        <v/>
      </c>
      <c r="N281" s="35" t="str">
        <f>IFERROR(INDEX($AD$157:$AD$306,MATCH(ROWS($A$157:A281),$AF$157:$AF$306,0)),"")</f>
        <v/>
      </c>
      <c r="Q281" t="str">
        <f>T(JAN!B130)</f>
        <v/>
      </c>
      <c r="R281" t="str">
        <f t="array" ref="R281">IF($Q281="","",_xlfn.TEXTJOIN(", ",TRUE,IF(JAN!$G130:$AK130="AT",JAN!$G$4:$AK$4,"")))</f>
        <v/>
      </c>
      <c r="S281" t="str">
        <f t="array" ref="S281">IF($Q281="","",_xlfn.TEXTJOIN(", ",TRUE,IF(FEV!$G130:$AK130="AT",FEV!$G$4:$AK$4,"")))</f>
        <v/>
      </c>
      <c r="T281" t="str">
        <f t="array" ref="T281">IF($Q281="","",_xlfn.TEXTJOIN(", ",TRUE,IF(MAR!$G130:$AK130="AT",MAR!$G$4:$AK$4,"")))</f>
        <v/>
      </c>
      <c r="U281" t="str">
        <f t="array" ref="U281">IF($Q281="","",_xlfn.TEXTJOIN(", ",TRUE,IF(ABR!$G130:$AK130="AT",ABR!$G$4:$AK$4,"")))</f>
        <v/>
      </c>
      <c r="V281" t="str">
        <f t="array" ref="V281">IF($Q281="","",_xlfn.TEXTJOIN(", ",TRUE,IF(MAI!$G130:$AK130="AT",MAI!$G$4:$AK$4,"")))</f>
        <v/>
      </c>
      <c r="W281" t="str">
        <f t="array" ref="W281">IF($Q281="","",_xlfn.TEXTJOIN(", ",TRUE,IF(JUN!$G130:$AK130="AT",JUN!$G$4:$AK$4,"")))</f>
        <v/>
      </c>
      <c r="X281" t="str">
        <f t="array" ref="X281">IF($Q281="","",_xlfn.TEXTJOIN(", ",TRUE,IF(JUL!$G130:$AK130="AT",JUL!$G$4:$AK$4,"")))</f>
        <v/>
      </c>
      <c r="Y281" t="str">
        <f t="array" ref="Y281">IF($Q281="","",_xlfn.TEXTJOIN(", ",TRUE,IF(AGO!$G130:$AK130="AT",AGO!$G$4:$AK$4,"")))</f>
        <v/>
      </c>
      <c r="Z281" t="str">
        <f t="array" ref="Z281">IF($Q281="","",_xlfn.TEXTJOIN(", ",TRUE,IF(SET!$G130:$AK130="AT",SET!$G$4:$AK$4,"")))</f>
        <v/>
      </c>
      <c r="AA281" t="str">
        <f t="array" ref="AA281">IF($Q281="","",_xlfn.TEXTJOIN(", ",TRUE,IF(OUT!$G130:$AK130="AT",OUT!$G$4:$AK$4,"")))</f>
        <v/>
      </c>
      <c r="AB281" t="str">
        <f t="array" ref="AB281">IF($Q281="","",_xlfn.TEXTJOIN(", ",TRUE,IF(NOV!$G130:$AK130="AT",NOV!$G$4:$AK$4,"")))</f>
        <v/>
      </c>
      <c r="AC281" t="str">
        <f t="array" ref="AC281">IF($Q281="","",_xlfn.TEXTJOIN(", ",TRUE,IF(DEZ!$G130:$AK130="AT",DEZ!$G$4:$AK$4,"")))</f>
        <v/>
      </c>
      <c r="AD281" t="str">
        <f>IF($Q281="","",COUNTIF(JAN!$G130:$AK130,"AT")+COUNTIF(FEV!$G130:$AK130,"AT")+COUNTIF(MAR!$G130:$AK130,"AT")+COUNTIF(ABR!$G130:$AK130,"AT")+COUNTIF(MAI!$G130:$AK130,"AT")+COUNTIF(JUN!$G130:$AK130,"AT")+COUNTIF(JUL!$G130:$AK130,"AT")+COUNTIF(AGO!$G130:$AK130,"AT")+COUNTIF(SET!$G130:$AK130,"AT")+COUNTIF(OUT!$G130:$AK130,"AT")+COUNTIF(NOV!$G130:$AK130,"AT")+COUNTIF(DEZ!$G130:$AK130,"AT"))</f>
        <v/>
      </c>
      <c r="AF281" t="str">
        <f>IF(AND($Q281&lt;&gt;"",N($AD281)&gt;0),COUNT($AF$156:AF280)+1,"")</f>
        <v/>
      </c>
    </row>
    <row r="282" spans="1:32" hidden="1" outlineLevel="1" x14ac:dyDescent="0.25">
      <c r="A282" s="36" t="str">
        <f>IFERROR(INDEX($Q$157:$Q$306,MATCH(ROWS($A$157:A282),$AF$157:$AF$306,0)),"")</f>
        <v/>
      </c>
      <c r="B282" s="35" t="str">
        <f>IFERROR(INDEX($R$157:$R$306,MATCH(ROWS($A$157:A282),$AF$157:$AF$306,0)),"")</f>
        <v/>
      </c>
      <c r="C282" s="35" t="str">
        <f>IFERROR(INDEX($S$157:$S$306,MATCH(ROWS($A$157:A282),$AF$157:$AF$306,0)),"")</f>
        <v/>
      </c>
      <c r="D282" s="35" t="str">
        <f>IFERROR(INDEX($T$157:$T$306,MATCH(ROWS($A$157:A282),$AF$157:$AF$306,0)),"")</f>
        <v/>
      </c>
      <c r="E282" s="35" t="str">
        <f>IFERROR(INDEX($U$157:$U$306,MATCH(ROWS($A$157:A282),$AF$157:$AF$306,0)),"")</f>
        <v/>
      </c>
      <c r="F282" s="35" t="str">
        <f>IFERROR(INDEX($V$157:$V$306,MATCH(ROWS($A$157:A282),$AF$157:$AF$306,0)),"")</f>
        <v/>
      </c>
      <c r="G282" s="35" t="str">
        <f>IFERROR(INDEX($W$157:$W$306,MATCH(ROWS($A$157:A282),$AF$157:$AF$306,0)),"")</f>
        <v/>
      </c>
      <c r="H282" s="35" t="str">
        <f>IFERROR(INDEX($X$157:$X$306,MATCH(ROWS($A$157:A282),$AF$157:$AF$306,0)),"")</f>
        <v/>
      </c>
      <c r="I282" s="35" t="str">
        <f>IFERROR(INDEX($Y$157:$Y$306,MATCH(ROWS($A$157:A282),$AF$157:$AF$306,0)),"")</f>
        <v/>
      </c>
      <c r="J282" s="35" t="str">
        <f>IFERROR(INDEX($Z$157:$Z$306,MATCH(ROWS($A$157:A282),$AF$157:$AF$306,0)),"")</f>
        <v/>
      </c>
      <c r="K282" s="35" t="str">
        <f>IFERROR(INDEX($AA$157:$AA$306,MATCH(ROWS($A$157:A282),$AF$157:$AF$306,0)),"")</f>
        <v/>
      </c>
      <c r="L282" s="35" t="str">
        <f>IFERROR(INDEX($AB$157:$AB$306,MATCH(ROWS($A$157:A282),$AF$157:$AF$306,0)),"")</f>
        <v/>
      </c>
      <c r="M282" s="35" t="str">
        <f>IFERROR(INDEX($AC$157:$AC$306,MATCH(ROWS($A$157:A282),$AF$157:$AF$306,0)),"")</f>
        <v/>
      </c>
      <c r="N282" s="35" t="str">
        <f>IFERROR(INDEX($AD$157:$AD$306,MATCH(ROWS($A$157:A282),$AF$157:$AF$306,0)),"")</f>
        <v/>
      </c>
      <c r="Q282" t="str">
        <f>T(JAN!B131)</f>
        <v/>
      </c>
      <c r="R282" t="str">
        <f t="array" ref="R282">IF($Q282="","",_xlfn.TEXTJOIN(", ",TRUE,IF(JAN!$G131:$AK131="AT",JAN!$G$4:$AK$4,"")))</f>
        <v/>
      </c>
      <c r="S282" t="str">
        <f t="array" ref="S282">IF($Q282="","",_xlfn.TEXTJOIN(", ",TRUE,IF(FEV!$G131:$AK131="AT",FEV!$G$4:$AK$4,"")))</f>
        <v/>
      </c>
      <c r="T282" t="str">
        <f t="array" ref="T282">IF($Q282="","",_xlfn.TEXTJOIN(", ",TRUE,IF(MAR!$G131:$AK131="AT",MAR!$G$4:$AK$4,"")))</f>
        <v/>
      </c>
      <c r="U282" t="str">
        <f t="array" ref="U282">IF($Q282="","",_xlfn.TEXTJOIN(", ",TRUE,IF(ABR!$G131:$AK131="AT",ABR!$G$4:$AK$4,"")))</f>
        <v/>
      </c>
      <c r="V282" t="str">
        <f t="array" ref="V282">IF($Q282="","",_xlfn.TEXTJOIN(", ",TRUE,IF(MAI!$G131:$AK131="AT",MAI!$G$4:$AK$4,"")))</f>
        <v/>
      </c>
      <c r="W282" t="str">
        <f t="array" ref="W282">IF($Q282="","",_xlfn.TEXTJOIN(", ",TRUE,IF(JUN!$G131:$AK131="AT",JUN!$G$4:$AK$4,"")))</f>
        <v/>
      </c>
      <c r="X282" t="str">
        <f t="array" ref="X282">IF($Q282="","",_xlfn.TEXTJOIN(", ",TRUE,IF(JUL!$G131:$AK131="AT",JUL!$G$4:$AK$4,"")))</f>
        <v/>
      </c>
      <c r="Y282" t="str">
        <f t="array" ref="Y282">IF($Q282="","",_xlfn.TEXTJOIN(", ",TRUE,IF(AGO!$G131:$AK131="AT",AGO!$G$4:$AK$4,"")))</f>
        <v/>
      </c>
      <c r="Z282" t="str">
        <f t="array" ref="Z282">IF($Q282="","",_xlfn.TEXTJOIN(", ",TRUE,IF(SET!$G131:$AK131="AT",SET!$G$4:$AK$4,"")))</f>
        <v/>
      </c>
      <c r="AA282" t="str">
        <f t="array" ref="AA282">IF($Q282="","",_xlfn.TEXTJOIN(", ",TRUE,IF(OUT!$G131:$AK131="AT",OUT!$G$4:$AK$4,"")))</f>
        <v/>
      </c>
      <c r="AB282" t="str">
        <f t="array" ref="AB282">IF($Q282="","",_xlfn.TEXTJOIN(", ",TRUE,IF(NOV!$G131:$AK131="AT",NOV!$G$4:$AK$4,"")))</f>
        <v/>
      </c>
      <c r="AC282" t="str">
        <f t="array" ref="AC282">IF($Q282="","",_xlfn.TEXTJOIN(", ",TRUE,IF(DEZ!$G131:$AK131="AT",DEZ!$G$4:$AK$4,"")))</f>
        <v/>
      </c>
      <c r="AD282" t="str">
        <f>IF($Q282="","",COUNTIF(JAN!$G131:$AK131,"AT")+COUNTIF(FEV!$G131:$AK131,"AT")+COUNTIF(MAR!$G131:$AK131,"AT")+COUNTIF(ABR!$G131:$AK131,"AT")+COUNTIF(MAI!$G131:$AK131,"AT")+COUNTIF(JUN!$G131:$AK131,"AT")+COUNTIF(JUL!$G131:$AK131,"AT")+COUNTIF(AGO!$G131:$AK131,"AT")+COUNTIF(SET!$G131:$AK131,"AT")+COUNTIF(OUT!$G131:$AK131,"AT")+COUNTIF(NOV!$G131:$AK131,"AT")+COUNTIF(DEZ!$G131:$AK131,"AT"))</f>
        <v/>
      </c>
      <c r="AF282" t="str">
        <f>IF(AND($Q282&lt;&gt;"",N($AD282)&gt;0),COUNT($AF$156:AF281)+1,"")</f>
        <v/>
      </c>
    </row>
    <row r="283" spans="1:32" hidden="1" outlineLevel="1" x14ac:dyDescent="0.25">
      <c r="A283" s="36" t="str">
        <f>IFERROR(INDEX($Q$157:$Q$306,MATCH(ROWS($A$157:A283),$AF$157:$AF$306,0)),"")</f>
        <v/>
      </c>
      <c r="B283" s="35" t="str">
        <f>IFERROR(INDEX($R$157:$R$306,MATCH(ROWS($A$157:A283),$AF$157:$AF$306,0)),"")</f>
        <v/>
      </c>
      <c r="C283" s="35" t="str">
        <f>IFERROR(INDEX($S$157:$S$306,MATCH(ROWS($A$157:A283),$AF$157:$AF$306,0)),"")</f>
        <v/>
      </c>
      <c r="D283" s="35" t="str">
        <f>IFERROR(INDEX($T$157:$T$306,MATCH(ROWS($A$157:A283),$AF$157:$AF$306,0)),"")</f>
        <v/>
      </c>
      <c r="E283" s="35" t="str">
        <f>IFERROR(INDEX($U$157:$U$306,MATCH(ROWS($A$157:A283),$AF$157:$AF$306,0)),"")</f>
        <v/>
      </c>
      <c r="F283" s="35" t="str">
        <f>IFERROR(INDEX($V$157:$V$306,MATCH(ROWS($A$157:A283),$AF$157:$AF$306,0)),"")</f>
        <v/>
      </c>
      <c r="G283" s="35" t="str">
        <f>IFERROR(INDEX($W$157:$W$306,MATCH(ROWS($A$157:A283),$AF$157:$AF$306,0)),"")</f>
        <v/>
      </c>
      <c r="H283" s="35" t="str">
        <f>IFERROR(INDEX($X$157:$X$306,MATCH(ROWS($A$157:A283),$AF$157:$AF$306,0)),"")</f>
        <v/>
      </c>
      <c r="I283" s="35" t="str">
        <f>IFERROR(INDEX($Y$157:$Y$306,MATCH(ROWS($A$157:A283),$AF$157:$AF$306,0)),"")</f>
        <v/>
      </c>
      <c r="J283" s="35" t="str">
        <f>IFERROR(INDEX($Z$157:$Z$306,MATCH(ROWS($A$157:A283),$AF$157:$AF$306,0)),"")</f>
        <v/>
      </c>
      <c r="K283" s="35" t="str">
        <f>IFERROR(INDEX($AA$157:$AA$306,MATCH(ROWS($A$157:A283),$AF$157:$AF$306,0)),"")</f>
        <v/>
      </c>
      <c r="L283" s="35" t="str">
        <f>IFERROR(INDEX($AB$157:$AB$306,MATCH(ROWS($A$157:A283),$AF$157:$AF$306,0)),"")</f>
        <v/>
      </c>
      <c r="M283" s="35" t="str">
        <f>IFERROR(INDEX($AC$157:$AC$306,MATCH(ROWS($A$157:A283),$AF$157:$AF$306,0)),"")</f>
        <v/>
      </c>
      <c r="N283" s="35" t="str">
        <f>IFERROR(INDEX($AD$157:$AD$306,MATCH(ROWS($A$157:A283),$AF$157:$AF$306,0)),"")</f>
        <v/>
      </c>
      <c r="Q283" t="str">
        <f>T(JAN!B132)</f>
        <v/>
      </c>
      <c r="R283" t="str">
        <f t="array" ref="R283">IF($Q283="","",_xlfn.TEXTJOIN(", ",TRUE,IF(JAN!$G132:$AK132="AT",JAN!$G$4:$AK$4,"")))</f>
        <v/>
      </c>
      <c r="S283" t="str">
        <f t="array" ref="S283">IF($Q283="","",_xlfn.TEXTJOIN(", ",TRUE,IF(FEV!$G132:$AK132="AT",FEV!$G$4:$AK$4,"")))</f>
        <v/>
      </c>
      <c r="T283" t="str">
        <f t="array" ref="T283">IF($Q283="","",_xlfn.TEXTJOIN(", ",TRUE,IF(MAR!$G132:$AK132="AT",MAR!$G$4:$AK$4,"")))</f>
        <v/>
      </c>
      <c r="U283" t="str">
        <f t="array" ref="U283">IF($Q283="","",_xlfn.TEXTJOIN(", ",TRUE,IF(ABR!$G132:$AK132="AT",ABR!$G$4:$AK$4,"")))</f>
        <v/>
      </c>
      <c r="V283" t="str">
        <f t="array" ref="V283">IF($Q283="","",_xlfn.TEXTJOIN(", ",TRUE,IF(MAI!$G132:$AK132="AT",MAI!$G$4:$AK$4,"")))</f>
        <v/>
      </c>
      <c r="W283" t="str">
        <f t="array" ref="W283">IF($Q283="","",_xlfn.TEXTJOIN(", ",TRUE,IF(JUN!$G132:$AK132="AT",JUN!$G$4:$AK$4,"")))</f>
        <v/>
      </c>
      <c r="X283" t="str">
        <f t="array" ref="X283">IF($Q283="","",_xlfn.TEXTJOIN(", ",TRUE,IF(JUL!$G132:$AK132="AT",JUL!$G$4:$AK$4,"")))</f>
        <v/>
      </c>
      <c r="Y283" t="str">
        <f t="array" ref="Y283">IF($Q283="","",_xlfn.TEXTJOIN(", ",TRUE,IF(AGO!$G132:$AK132="AT",AGO!$G$4:$AK$4,"")))</f>
        <v/>
      </c>
      <c r="Z283" t="str">
        <f t="array" ref="Z283">IF($Q283="","",_xlfn.TEXTJOIN(", ",TRUE,IF(SET!$G132:$AK132="AT",SET!$G$4:$AK$4,"")))</f>
        <v/>
      </c>
      <c r="AA283" t="str">
        <f t="array" ref="AA283">IF($Q283="","",_xlfn.TEXTJOIN(", ",TRUE,IF(OUT!$G132:$AK132="AT",OUT!$G$4:$AK$4,"")))</f>
        <v/>
      </c>
      <c r="AB283" t="str">
        <f t="array" ref="AB283">IF($Q283="","",_xlfn.TEXTJOIN(", ",TRUE,IF(NOV!$G132:$AK132="AT",NOV!$G$4:$AK$4,"")))</f>
        <v/>
      </c>
      <c r="AC283" t="str">
        <f t="array" ref="AC283">IF($Q283="","",_xlfn.TEXTJOIN(", ",TRUE,IF(DEZ!$G132:$AK132="AT",DEZ!$G$4:$AK$4,"")))</f>
        <v/>
      </c>
      <c r="AD283" t="str">
        <f>IF($Q283="","",COUNTIF(JAN!$G132:$AK132,"AT")+COUNTIF(FEV!$G132:$AK132,"AT")+COUNTIF(MAR!$G132:$AK132,"AT")+COUNTIF(ABR!$G132:$AK132,"AT")+COUNTIF(MAI!$G132:$AK132,"AT")+COUNTIF(JUN!$G132:$AK132,"AT")+COUNTIF(JUL!$G132:$AK132,"AT")+COUNTIF(AGO!$G132:$AK132,"AT")+COUNTIF(SET!$G132:$AK132,"AT")+COUNTIF(OUT!$G132:$AK132,"AT")+COUNTIF(NOV!$G132:$AK132,"AT")+COUNTIF(DEZ!$G132:$AK132,"AT"))</f>
        <v/>
      </c>
      <c r="AF283" t="str">
        <f>IF(AND($Q283&lt;&gt;"",N($AD283)&gt;0),COUNT($AF$156:AF282)+1,"")</f>
        <v/>
      </c>
    </row>
    <row r="284" spans="1:32" hidden="1" outlineLevel="1" x14ac:dyDescent="0.25">
      <c r="A284" s="36" t="str">
        <f>IFERROR(INDEX($Q$157:$Q$306,MATCH(ROWS($A$157:A284),$AF$157:$AF$306,0)),"")</f>
        <v/>
      </c>
      <c r="B284" s="35" t="str">
        <f>IFERROR(INDEX($R$157:$R$306,MATCH(ROWS($A$157:A284),$AF$157:$AF$306,0)),"")</f>
        <v/>
      </c>
      <c r="C284" s="35" t="str">
        <f>IFERROR(INDEX($S$157:$S$306,MATCH(ROWS($A$157:A284),$AF$157:$AF$306,0)),"")</f>
        <v/>
      </c>
      <c r="D284" s="35" t="str">
        <f>IFERROR(INDEX($T$157:$T$306,MATCH(ROWS($A$157:A284),$AF$157:$AF$306,0)),"")</f>
        <v/>
      </c>
      <c r="E284" s="35" t="str">
        <f>IFERROR(INDEX($U$157:$U$306,MATCH(ROWS($A$157:A284),$AF$157:$AF$306,0)),"")</f>
        <v/>
      </c>
      <c r="F284" s="35" t="str">
        <f>IFERROR(INDEX($V$157:$V$306,MATCH(ROWS($A$157:A284),$AF$157:$AF$306,0)),"")</f>
        <v/>
      </c>
      <c r="G284" s="35" t="str">
        <f>IFERROR(INDEX($W$157:$W$306,MATCH(ROWS($A$157:A284),$AF$157:$AF$306,0)),"")</f>
        <v/>
      </c>
      <c r="H284" s="35" t="str">
        <f>IFERROR(INDEX($X$157:$X$306,MATCH(ROWS($A$157:A284),$AF$157:$AF$306,0)),"")</f>
        <v/>
      </c>
      <c r="I284" s="35" t="str">
        <f>IFERROR(INDEX($Y$157:$Y$306,MATCH(ROWS($A$157:A284),$AF$157:$AF$306,0)),"")</f>
        <v/>
      </c>
      <c r="J284" s="35" t="str">
        <f>IFERROR(INDEX($Z$157:$Z$306,MATCH(ROWS($A$157:A284),$AF$157:$AF$306,0)),"")</f>
        <v/>
      </c>
      <c r="K284" s="35" t="str">
        <f>IFERROR(INDEX($AA$157:$AA$306,MATCH(ROWS($A$157:A284),$AF$157:$AF$306,0)),"")</f>
        <v/>
      </c>
      <c r="L284" s="35" t="str">
        <f>IFERROR(INDEX($AB$157:$AB$306,MATCH(ROWS($A$157:A284),$AF$157:$AF$306,0)),"")</f>
        <v/>
      </c>
      <c r="M284" s="35" t="str">
        <f>IFERROR(INDEX($AC$157:$AC$306,MATCH(ROWS($A$157:A284),$AF$157:$AF$306,0)),"")</f>
        <v/>
      </c>
      <c r="N284" s="35" t="str">
        <f>IFERROR(INDEX($AD$157:$AD$306,MATCH(ROWS($A$157:A284),$AF$157:$AF$306,0)),"")</f>
        <v/>
      </c>
      <c r="Q284" t="str">
        <f>T(JAN!B133)</f>
        <v/>
      </c>
      <c r="R284" t="str">
        <f t="array" ref="R284">IF($Q284="","",_xlfn.TEXTJOIN(", ",TRUE,IF(JAN!$G133:$AK133="AT",JAN!$G$4:$AK$4,"")))</f>
        <v/>
      </c>
      <c r="S284" t="str">
        <f t="array" ref="S284">IF($Q284="","",_xlfn.TEXTJOIN(", ",TRUE,IF(FEV!$G133:$AK133="AT",FEV!$G$4:$AK$4,"")))</f>
        <v/>
      </c>
      <c r="T284" t="str">
        <f t="array" ref="T284">IF($Q284="","",_xlfn.TEXTJOIN(", ",TRUE,IF(MAR!$G133:$AK133="AT",MAR!$G$4:$AK$4,"")))</f>
        <v/>
      </c>
      <c r="U284" t="str">
        <f t="array" ref="U284">IF($Q284="","",_xlfn.TEXTJOIN(", ",TRUE,IF(ABR!$G133:$AK133="AT",ABR!$G$4:$AK$4,"")))</f>
        <v/>
      </c>
      <c r="V284" t="str">
        <f t="array" ref="V284">IF($Q284="","",_xlfn.TEXTJOIN(", ",TRUE,IF(MAI!$G133:$AK133="AT",MAI!$G$4:$AK$4,"")))</f>
        <v/>
      </c>
      <c r="W284" t="str">
        <f t="array" ref="W284">IF($Q284="","",_xlfn.TEXTJOIN(", ",TRUE,IF(JUN!$G133:$AK133="AT",JUN!$G$4:$AK$4,"")))</f>
        <v/>
      </c>
      <c r="X284" t="str">
        <f t="array" ref="X284">IF($Q284="","",_xlfn.TEXTJOIN(", ",TRUE,IF(JUL!$G133:$AK133="AT",JUL!$G$4:$AK$4,"")))</f>
        <v/>
      </c>
      <c r="Y284" t="str">
        <f t="array" ref="Y284">IF($Q284="","",_xlfn.TEXTJOIN(", ",TRUE,IF(AGO!$G133:$AK133="AT",AGO!$G$4:$AK$4,"")))</f>
        <v/>
      </c>
      <c r="Z284" t="str">
        <f t="array" ref="Z284">IF($Q284="","",_xlfn.TEXTJOIN(", ",TRUE,IF(SET!$G133:$AK133="AT",SET!$G$4:$AK$4,"")))</f>
        <v/>
      </c>
      <c r="AA284" t="str">
        <f t="array" ref="AA284">IF($Q284="","",_xlfn.TEXTJOIN(", ",TRUE,IF(OUT!$G133:$AK133="AT",OUT!$G$4:$AK$4,"")))</f>
        <v/>
      </c>
      <c r="AB284" t="str">
        <f t="array" ref="AB284">IF($Q284="","",_xlfn.TEXTJOIN(", ",TRUE,IF(NOV!$G133:$AK133="AT",NOV!$G$4:$AK$4,"")))</f>
        <v/>
      </c>
      <c r="AC284" t="str">
        <f t="array" ref="AC284">IF($Q284="","",_xlfn.TEXTJOIN(", ",TRUE,IF(DEZ!$G133:$AK133="AT",DEZ!$G$4:$AK$4,"")))</f>
        <v/>
      </c>
      <c r="AD284" t="str">
        <f>IF($Q284="","",COUNTIF(JAN!$G133:$AK133,"AT")+COUNTIF(FEV!$G133:$AK133,"AT")+COUNTIF(MAR!$G133:$AK133,"AT")+COUNTIF(ABR!$G133:$AK133,"AT")+COUNTIF(MAI!$G133:$AK133,"AT")+COUNTIF(JUN!$G133:$AK133,"AT")+COUNTIF(JUL!$G133:$AK133,"AT")+COUNTIF(AGO!$G133:$AK133,"AT")+COUNTIF(SET!$G133:$AK133,"AT")+COUNTIF(OUT!$G133:$AK133,"AT")+COUNTIF(NOV!$G133:$AK133,"AT")+COUNTIF(DEZ!$G133:$AK133,"AT"))</f>
        <v/>
      </c>
      <c r="AF284" t="str">
        <f>IF(AND($Q284&lt;&gt;"",N($AD284)&gt;0),COUNT($AF$156:AF283)+1,"")</f>
        <v/>
      </c>
    </row>
    <row r="285" spans="1:32" hidden="1" outlineLevel="1" x14ac:dyDescent="0.25">
      <c r="A285" s="36" t="str">
        <f>IFERROR(INDEX($Q$157:$Q$306,MATCH(ROWS($A$157:A285),$AF$157:$AF$306,0)),"")</f>
        <v/>
      </c>
      <c r="B285" s="35" t="str">
        <f>IFERROR(INDEX($R$157:$R$306,MATCH(ROWS($A$157:A285),$AF$157:$AF$306,0)),"")</f>
        <v/>
      </c>
      <c r="C285" s="35" t="str">
        <f>IFERROR(INDEX($S$157:$S$306,MATCH(ROWS($A$157:A285),$AF$157:$AF$306,0)),"")</f>
        <v/>
      </c>
      <c r="D285" s="35" t="str">
        <f>IFERROR(INDEX($T$157:$T$306,MATCH(ROWS($A$157:A285),$AF$157:$AF$306,0)),"")</f>
        <v/>
      </c>
      <c r="E285" s="35" t="str">
        <f>IFERROR(INDEX($U$157:$U$306,MATCH(ROWS($A$157:A285),$AF$157:$AF$306,0)),"")</f>
        <v/>
      </c>
      <c r="F285" s="35" t="str">
        <f>IFERROR(INDEX($V$157:$V$306,MATCH(ROWS($A$157:A285),$AF$157:$AF$306,0)),"")</f>
        <v/>
      </c>
      <c r="G285" s="35" t="str">
        <f>IFERROR(INDEX($W$157:$W$306,MATCH(ROWS($A$157:A285),$AF$157:$AF$306,0)),"")</f>
        <v/>
      </c>
      <c r="H285" s="35" t="str">
        <f>IFERROR(INDEX($X$157:$X$306,MATCH(ROWS($A$157:A285),$AF$157:$AF$306,0)),"")</f>
        <v/>
      </c>
      <c r="I285" s="35" t="str">
        <f>IFERROR(INDEX($Y$157:$Y$306,MATCH(ROWS($A$157:A285),$AF$157:$AF$306,0)),"")</f>
        <v/>
      </c>
      <c r="J285" s="35" t="str">
        <f>IFERROR(INDEX($Z$157:$Z$306,MATCH(ROWS($A$157:A285),$AF$157:$AF$306,0)),"")</f>
        <v/>
      </c>
      <c r="K285" s="35" t="str">
        <f>IFERROR(INDEX($AA$157:$AA$306,MATCH(ROWS($A$157:A285),$AF$157:$AF$306,0)),"")</f>
        <v/>
      </c>
      <c r="L285" s="35" t="str">
        <f>IFERROR(INDEX($AB$157:$AB$306,MATCH(ROWS($A$157:A285),$AF$157:$AF$306,0)),"")</f>
        <v/>
      </c>
      <c r="M285" s="35" t="str">
        <f>IFERROR(INDEX($AC$157:$AC$306,MATCH(ROWS($A$157:A285),$AF$157:$AF$306,0)),"")</f>
        <v/>
      </c>
      <c r="N285" s="35" t="str">
        <f>IFERROR(INDEX($AD$157:$AD$306,MATCH(ROWS($A$157:A285),$AF$157:$AF$306,0)),"")</f>
        <v/>
      </c>
      <c r="Q285" t="str">
        <f>T(JAN!B134)</f>
        <v/>
      </c>
      <c r="R285" t="str">
        <f t="array" ref="R285">IF($Q285="","",_xlfn.TEXTJOIN(", ",TRUE,IF(JAN!$G134:$AK134="AT",JAN!$G$4:$AK$4,"")))</f>
        <v/>
      </c>
      <c r="S285" t="str">
        <f t="array" ref="S285">IF($Q285="","",_xlfn.TEXTJOIN(", ",TRUE,IF(FEV!$G134:$AK134="AT",FEV!$G$4:$AK$4,"")))</f>
        <v/>
      </c>
      <c r="T285" t="str">
        <f t="array" ref="T285">IF($Q285="","",_xlfn.TEXTJOIN(", ",TRUE,IF(MAR!$G134:$AK134="AT",MAR!$G$4:$AK$4,"")))</f>
        <v/>
      </c>
      <c r="U285" t="str">
        <f t="array" ref="U285">IF($Q285="","",_xlfn.TEXTJOIN(", ",TRUE,IF(ABR!$G134:$AK134="AT",ABR!$G$4:$AK$4,"")))</f>
        <v/>
      </c>
      <c r="V285" t="str">
        <f t="array" ref="V285">IF($Q285="","",_xlfn.TEXTJOIN(", ",TRUE,IF(MAI!$G134:$AK134="AT",MAI!$G$4:$AK$4,"")))</f>
        <v/>
      </c>
      <c r="W285" t="str">
        <f t="array" ref="W285">IF($Q285="","",_xlfn.TEXTJOIN(", ",TRUE,IF(JUN!$G134:$AK134="AT",JUN!$G$4:$AK$4,"")))</f>
        <v/>
      </c>
      <c r="X285" t="str">
        <f t="array" ref="X285">IF($Q285="","",_xlfn.TEXTJOIN(", ",TRUE,IF(JUL!$G134:$AK134="AT",JUL!$G$4:$AK$4,"")))</f>
        <v/>
      </c>
      <c r="Y285" t="str">
        <f t="array" ref="Y285">IF($Q285="","",_xlfn.TEXTJOIN(", ",TRUE,IF(AGO!$G134:$AK134="AT",AGO!$G$4:$AK$4,"")))</f>
        <v/>
      </c>
      <c r="Z285" t="str">
        <f t="array" ref="Z285">IF($Q285="","",_xlfn.TEXTJOIN(", ",TRUE,IF(SET!$G134:$AK134="AT",SET!$G$4:$AK$4,"")))</f>
        <v/>
      </c>
      <c r="AA285" t="str">
        <f t="array" ref="AA285">IF($Q285="","",_xlfn.TEXTJOIN(", ",TRUE,IF(OUT!$G134:$AK134="AT",OUT!$G$4:$AK$4,"")))</f>
        <v/>
      </c>
      <c r="AB285" t="str">
        <f t="array" ref="AB285">IF($Q285="","",_xlfn.TEXTJOIN(", ",TRUE,IF(NOV!$G134:$AK134="AT",NOV!$G$4:$AK$4,"")))</f>
        <v/>
      </c>
      <c r="AC285" t="str">
        <f t="array" ref="AC285">IF($Q285="","",_xlfn.TEXTJOIN(", ",TRUE,IF(DEZ!$G134:$AK134="AT",DEZ!$G$4:$AK$4,"")))</f>
        <v/>
      </c>
      <c r="AD285" t="str">
        <f>IF($Q285="","",COUNTIF(JAN!$G134:$AK134,"AT")+COUNTIF(FEV!$G134:$AK134,"AT")+COUNTIF(MAR!$G134:$AK134,"AT")+COUNTIF(ABR!$G134:$AK134,"AT")+COUNTIF(MAI!$G134:$AK134,"AT")+COUNTIF(JUN!$G134:$AK134,"AT")+COUNTIF(JUL!$G134:$AK134,"AT")+COUNTIF(AGO!$G134:$AK134,"AT")+COUNTIF(SET!$G134:$AK134,"AT")+COUNTIF(OUT!$G134:$AK134,"AT")+COUNTIF(NOV!$G134:$AK134,"AT")+COUNTIF(DEZ!$G134:$AK134,"AT"))</f>
        <v/>
      </c>
      <c r="AF285" t="str">
        <f>IF(AND($Q285&lt;&gt;"",N($AD285)&gt;0),COUNT($AF$156:AF284)+1,"")</f>
        <v/>
      </c>
    </row>
    <row r="286" spans="1:32" hidden="1" outlineLevel="1" x14ac:dyDescent="0.25">
      <c r="A286" s="36" t="str">
        <f>IFERROR(INDEX($Q$157:$Q$306,MATCH(ROWS($A$157:A286),$AF$157:$AF$306,0)),"")</f>
        <v/>
      </c>
      <c r="B286" s="35" t="str">
        <f>IFERROR(INDEX($R$157:$R$306,MATCH(ROWS($A$157:A286),$AF$157:$AF$306,0)),"")</f>
        <v/>
      </c>
      <c r="C286" s="35" t="str">
        <f>IFERROR(INDEX($S$157:$S$306,MATCH(ROWS($A$157:A286),$AF$157:$AF$306,0)),"")</f>
        <v/>
      </c>
      <c r="D286" s="35" t="str">
        <f>IFERROR(INDEX($T$157:$T$306,MATCH(ROWS($A$157:A286),$AF$157:$AF$306,0)),"")</f>
        <v/>
      </c>
      <c r="E286" s="35" t="str">
        <f>IFERROR(INDEX($U$157:$U$306,MATCH(ROWS($A$157:A286),$AF$157:$AF$306,0)),"")</f>
        <v/>
      </c>
      <c r="F286" s="35" t="str">
        <f>IFERROR(INDEX($V$157:$V$306,MATCH(ROWS($A$157:A286),$AF$157:$AF$306,0)),"")</f>
        <v/>
      </c>
      <c r="G286" s="35" t="str">
        <f>IFERROR(INDEX($W$157:$W$306,MATCH(ROWS($A$157:A286),$AF$157:$AF$306,0)),"")</f>
        <v/>
      </c>
      <c r="H286" s="35" t="str">
        <f>IFERROR(INDEX($X$157:$X$306,MATCH(ROWS($A$157:A286),$AF$157:$AF$306,0)),"")</f>
        <v/>
      </c>
      <c r="I286" s="35" t="str">
        <f>IFERROR(INDEX($Y$157:$Y$306,MATCH(ROWS($A$157:A286),$AF$157:$AF$306,0)),"")</f>
        <v/>
      </c>
      <c r="J286" s="35" t="str">
        <f>IFERROR(INDEX($Z$157:$Z$306,MATCH(ROWS($A$157:A286),$AF$157:$AF$306,0)),"")</f>
        <v/>
      </c>
      <c r="K286" s="35" t="str">
        <f>IFERROR(INDEX($AA$157:$AA$306,MATCH(ROWS($A$157:A286),$AF$157:$AF$306,0)),"")</f>
        <v/>
      </c>
      <c r="L286" s="35" t="str">
        <f>IFERROR(INDEX($AB$157:$AB$306,MATCH(ROWS($A$157:A286),$AF$157:$AF$306,0)),"")</f>
        <v/>
      </c>
      <c r="M286" s="35" t="str">
        <f>IFERROR(INDEX($AC$157:$AC$306,MATCH(ROWS($A$157:A286),$AF$157:$AF$306,0)),"")</f>
        <v/>
      </c>
      <c r="N286" s="35" t="str">
        <f>IFERROR(INDEX($AD$157:$AD$306,MATCH(ROWS($A$157:A286),$AF$157:$AF$306,0)),"")</f>
        <v/>
      </c>
      <c r="Q286" t="str">
        <f>T(JAN!B135)</f>
        <v/>
      </c>
      <c r="R286" t="str">
        <f t="array" ref="R286">IF($Q286="","",_xlfn.TEXTJOIN(", ",TRUE,IF(JAN!$G135:$AK135="AT",JAN!$G$4:$AK$4,"")))</f>
        <v/>
      </c>
      <c r="S286" t="str">
        <f t="array" ref="S286">IF($Q286="","",_xlfn.TEXTJOIN(", ",TRUE,IF(FEV!$G135:$AK135="AT",FEV!$G$4:$AK$4,"")))</f>
        <v/>
      </c>
      <c r="T286" t="str">
        <f t="array" ref="T286">IF($Q286="","",_xlfn.TEXTJOIN(", ",TRUE,IF(MAR!$G135:$AK135="AT",MAR!$G$4:$AK$4,"")))</f>
        <v/>
      </c>
      <c r="U286" t="str">
        <f t="array" ref="U286">IF($Q286="","",_xlfn.TEXTJOIN(", ",TRUE,IF(ABR!$G135:$AK135="AT",ABR!$G$4:$AK$4,"")))</f>
        <v/>
      </c>
      <c r="V286" t="str">
        <f t="array" ref="V286">IF($Q286="","",_xlfn.TEXTJOIN(", ",TRUE,IF(MAI!$G135:$AK135="AT",MAI!$G$4:$AK$4,"")))</f>
        <v/>
      </c>
      <c r="W286" t="str">
        <f t="array" ref="W286">IF($Q286="","",_xlfn.TEXTJOIN(", ",TRUE,IF(JUN!$G135:$AK135="AT",JUN!$G$4:$AK$4,"")))</f>
        <v/>
      </c>
      <c r="X286" t="str">
        <f t="array" ref="X286">IF($Q286="","",_xlfn.TEXTJOIN(", ",TRUE,IF(JUL!$G135:$AK135="AT",JUL!$G$4:$AK$4,"")))</f>
        <v/>
      </c>
      <c r="Y286" t="str">
        <f t="array" ref="Y286">IF($Q286="","",_xlfn.TEXTJOIN(", ",TRUE,IF(AGO!$G135:$AK135="AT",AGO!$G$4:$AK$4,"")))</f>
        <v/>
      </c>
      <c r="Z286" t="str">
        <f t="array" ref="Z286">IF($Q286="","",_xlfn.TEXTJOIN(", ",TRUE,IF(SET!$G135:$AK135="AT",SET!$G$4:$AK$4,"")))</f>
        <v/>
      </c>
      <c r="AA286" t="str">
        <f t="array" ref="AA286">IF($Q286="","",_xlfn.TEXTJOIN(", ",TRUE,IF(OUT!$G135:$AK135="AT",OUT!$G$4:$AK$4,"")))</f>
        <v/>
      </c>
      <c r="AB286" t="str">
        <f t="array" ref="AB286">IF($Q286="","",_xlfn.TEXTJOIN(", ",TRUE,IF(NOV!$G135:$AK135="AT",NOV!$G$4:$AK$4,"")))</f>
        <v/>
      </c>
      <c r="AC286" t="str">
        <f t="array" ref="AC286">IF($Q286="","",_xlfn.TEXTJOIN(", ",TRUE,IF(DEZ!$G135:$AK135="AT",DEZ!$G$4:$AK$4,"")))</f>
        <v/>
      </c>
      <c r="AD286" t="str">
        <f>IF($Q286="","",COUNTIF(JAN!$G135:$AK135,"AT")+COUNTIF(FEV!$G135:$AK135,"AT")+COUNTIF(MAR!$G135:$AK135,"AT")+COUNTIF(ABR!$G135:$AK135,"AT")+COUNTIF(MAI!$G135:$AK135,"AT")+COUNTIF(JUN!$G135:$AK135,"AT")+COUNTIF(JUL!$G135:$AK135,"AT")+COUNTIF(AGO!$G135:$AK135,"AT")+COUNTIF(SET!$G135:$AK135,"AT")+COUNTIF(OUT!$G135:$AK135,"AT")+COUNTIF(NOV!$G135:$AK135,"AT")+COUNTIF(DEZ!$G135:$AK135,"AT"))</f>
        <v/>
      </c>
      <c r="AF286" t="str">
        <f>IF(AND($Q286&lt;&gt;"",N($AD286)&gt;0),COUNT($AF$156:AF285)+1,"")</f>
        <v/>
      </c>
    </row>
    <row r="287" spans="1:32" hidden="1" outlineLevel="1" x14ac:dyDescent="0.25">
      <c r="A287" s="36" t="str">
        <f>IFERROR(INDEX($Q$157:$Q$306,MATCH(ROWS($A$157:A287),$AF$157:$AF$306,0)),"")</f>
        <v/>
      </c>
      <c r="B287" s="35" t="str">
        <f>IFERROR(INDEX($R$157:$R$306,MATCH(ROWS($A$157:A287),$AF$157:$AF$306,0)),"")</f>
        <v/>
      </c>
      <c r="C287" s="35" t="str">
        <f>IFERROR(INDEX($S$157:$S$306,MATCH(ROWS($A$157:A287),$AF$157:$AF$306,0)),"")</f>
        <v/>
      </c>
      <c r="D287" s="35" t="str">
        <f>IFERROR(INDEX($T$157:$T$306,MATCH(ROWS($A$157:A287),$AF$157:$AF$306,0)),"")</f>
        <v/>
      </c>
      <c r="E287" s="35" t="str">
        <f>IFERROR(INDEX($U$157:$U$306,MATCH(ROWS($A$157:A287),$AF$157:$AF$306,0)),"")</f>
        <v/>
      </c>
      <c r="F287" s="35" t="str">
        <f>IFERROR(INDEX($V$157:$V$306,MATCH(ROWS($A$157:A287),$AF$157:$AF$306,0)),"")</f>
        <v/>
      </c>
      <c r="G287" s="35" t="str">
        <f>IFERROR(INDEX($W$157:$W$306,MATCH(ROWS($A$157:A287),$AF$157:$AF$306,0)),"")</f>
        <v/>
      </c>
      <c r="H287" s="35" t="str">
        <f>IFERROR(INDEX($X$157:$X$306,MATCH(ROWS($A$157:A287),$AF$157:$AF$306,0)),"")</f>
        <v/>
      </c>
      <c r="I287" s="35" t="str">
        <f>IFERROR(INDEX($Y$157:$Y$306,MATCH(ROWS($A$157:A287),$AF$157:$AF$306,0)),"")</f>
        <v/>
      </c>
      <c r="J287" s="35" t="str">
        <f>IFERROR(INDEX($Z$157:$Z$306,MATCH(ROWS($A$157:A287),$AF$157:$AF$306,0)),"")</f>
        <v/>
      </c>
      <c r="K287" s="35" t="str">
        <f>IFERROR(INDEX($AA$157:$AA$306,MATCH(ROWS($A$157:A287),$AF$157:$AF$306,0)),"")</f>
        <v/>
      </c>
      <c r="L287" s="35" t="str">
        <f>IFERROR(INDEX($AB$157:$AB$306,MATCH(ROWS($A$157:A287),$AF$157:$AF$306,0)),"")</f>
        <v/>
      </c>
      <c r="M287" s="35" t="str">
        <f>IFERROR(INDEX($AC$157:$AC$306,MATCH(ROWS($A$157:A287),$AF$157:$AF$306,0)),"")</f>
        <v/>
      </c>
      <c r="N287" s="35" t="str">
        <f>IFERROR(INDEX($AD$157:$AD$306,MATCH(ROWS($A$157:A287),$AF$157:$AF$306,0)),"")</f>
        <v/>
      </c>
      <c r="Q287" t="str">
        <f>T(JAN!B136)</f>
        <v/>
      </c>
      <c r="R287" t="str">
        <f t="array" ref="R287">IF($Q287="","",_xlfn.TEXTJOIN(", ",TRUE,IF(JAN!$G136:$AK136="AT",JAN!$G$4:$AK$4,"")))</f>
        <v/>
      </c>
      <c r="S287" t="str">
        <f t="array" ref="S287">IF($Q287="","",_xlfn.TEXTJOIN(", ",TRUE,IF(FEV!$G136:$AK136="AT",FEV!$G$4:$AK$4,"")))</f>
        <v/>
      </c>
      <c r="T287" t="str">
        <f t="array" ref="T287">IF($Q287="","",_xlfn.TEXTJOIN(", ",TRUE,IF(MAR!$G136:$AK136="AT",MAR!$G$4:$AK$4,"")))</f>
        <v/>
      </c>
      <c r="U287" t="str">
        <f t="array" ref="U287">IF($Q287="","",_xlfn.TEXTJOIN(", ",TRUE,IF(ABR!$G136:$AK136="AT",ABR!$G$4:$AK$4,"")))</f>
        <v/>
      </c>
      <c r="V287" t="str">
        <f t="array" ref="V287">IF($Q287="","",_xlfn.TEXTJOIN(", ",TRUE,IF(MAI!$G136:$AK136="AT",MAI!$G$4:$AK$4,"")))</f>
        <v/>
      </c>
      <c r="W287" t="str">
        <f t="array" ref="W287">IF($Q287="","",_xlfn.TEXTJOIN(", ",TRUE,IF(JUN!$G136:$AK136="AT",JUN!$G$4:$AK$4,"")))</f>
        <v/>
      </c>
      <c r="X287" t="str">
        <f t="array" ref="X287">IF($Q287="","",_xlfn.TEXTJOIN(", ",TRUE,IF(JUL!$G136:$AK136="AT",JUL!$G$4:$AK$4,"")))</f>
        <v/>
      </c>
      <c r="Y287" t="str">
        <f t="array" ref="Y287">IF($Q287="","",_xlfn.TEXTJOIN(", ",TRUE,IF(AGO!$G136:$AK136="AT",AGO!$G$4:$AK$4,"")))</f>
        <v/>
      </c>
      <c r="Z287" t="str">
        <f t="array" ref="Z287">IF($Q287="","",_xlfn.TEXTJOIN(", ",TRUE,IF(SET!$G136:$AK136="AT",SET!$G$4:$AK$4,"")))</f>
        <v/>
      </c>
      <c r="AA287" t="str">
        <f t="array" ref="AA287">IF($Q287="","",_xlfn.TEXTJOIN(", ",TRUE,IF(OUT!$G136:$AK136="AT",OUT!$G$4:$AK$4,"")))</f>
        <v/>
      </c>
      <c r="AB287" t="str">
        <f t="array" ref="AB287">IF($Q287="","",_xlfn.TEXTJOIN(", ",TRUE,IF(NOV!$G136:$AK136="AT",NOV!$G$4:$AK$4,"")))</f>
        <v/>
      </c>
      <c r="AC287" t="str">
        <f t="array" ref="AC287">IF($Q287="","",_xlfn.TEXTJOIN(", ",TRUE,IF(DEZ!$G136:$AK136="AT",DEZ!$G$4:$AK$4,"")))</f>
        <v/>
      </c>
      <c r="AD287" t="str">
        <f>IF($Q287="","",COUNTIF(JAN!$G136:$AK136,"AT")+COUNTIF(FEV!$G136:$AK136,"AT")+COUNTIF(MAR!$G136:$AK136,"AT")+COUNTIF(ABR!$G136:$AK136,"AT")+COUNTIF(MAI!$G136:$AK136,"AT")+COUNTIF(JUN!$G136:$AK136,"AT")+COUNTIF(JUL!$G136:$AK136,"AT")+COUNTIF(AGO!$G136:$AK136,"AT")+COUNTIF(SET!$G136:$AK136,"AT")+COUNTIF(OUT!$G136:$AK136,"AT")+COUNTIF(NOV!$G136:$AK136,"AT")+COUNTIF(DEZ!$G136:$AK136,"AT"))</f>
        <v/>
      </c>
      <c r="AF287" t="str">
        <f>IF(AND($Q287&lt;&gt;"",N($AD287)&gt;0),COUNT($AF$156:AF286)+1,"")</f>
        <v/>
      </c>
    </row>
    <row r="288" spans="1:32" hidden="1" outlineLevel="1" x14ac:dyDescent="0.25">
      <c r="A288" s="36" t="str">
        <f>IFERROR(INDEX($Q$157:$Q$306,MATCH(ROWS($A$157:A288),$AF$157:$AF$306,0)),"")</f>
        <v/>
      </c>
      <c r="B288" s="35" t="str">
        <f>IFERROR(INDEX($R$157:$R$306,MATCH(ROWS($A$157:A288),$AF$157:$AF$306,0)),"")</f>
        <v/>
      </c>
      <c r="C288" s="35" t="str">
        <f>IFERROR(INDEX($S$157:$S$306,MATCH(ROWS($A$157:A288),$AF$157:$AF$306,0)),"")</f>
        <v/>
      </c>
      <c r="D288" s="35" t="str">
        <f>IFERROR(INDEX($T$157:$T$306,MATCH(ROWS($A$157:A288),$AF$157:$AF$306,0)),"")</f>
        <v/>
      </c>
      <c r="E288" s="35" t="str">
        <f>IFERROR(INDEX($U$157:$U$306,MATCH(ROWS($A$157:A288),$AF$157:$AF$306,0)),"")</f>
        <v/>
      </c>
      <c r="F288" s="35" t="str">
        <f>IFERROR(INDEX($V$157:$V$306,MATCH(ROWS($A$157:A288),$AF$157:$AF$306,0)),"")</f>
        <v/>
      </c>
      <c r="G288" s="35" t="str">
        <f>IFERROR(INDEX($W$157:$W$306,MATCH(ROWS($A$157:A288),$AF$157:$AF$306,0)),"")</f>
        <v/>
      </c>
      <c r="H288" s="35" t="str">
        <f>IFERROR(INDEX($X$157:$X$306,MATCH(ROWS($A$157:A288),$AF$157:$AF$306,0)),"")</f>
        <v/>
      </c>
      <c r="I288" s="35" t="str">
        <f>IFERROR(INDEX($Y$157:$Y$306,MATCH(ROWS($A$157:A288),$AF$157:$AF$306,0)),"")</f>
        <v/>
      </c>
      <c r="J288" s="35" t="str">
        <f>IFERROR(INDEX($Z$157:$Z$306,MATCH(ROWS($A$157:A288),$AF$157:$AF$306,0)),"")</f>
        <v/>
      </c>
      <c r="K288" s="35" t="str">
        <f>IFERROR(INDEX($AA$157:$AA$306,MATCH(ROWS($A$157:A288),$AF$157:$AF$306,0)),"")</f>
        <v/>
      </c>
      <c r="L288" s="35" t="str">
        <f>IFERROR(INDEX($AB$157:$AB$306,MATCH(ROWS($A$157:A288),$AF$157:$AF$306,0)),"")</f>
        <v/>
      </c>
      <c r="M288" s="35" t="str">
        <f>IFERROR(INDEX($AC$157:$AC$306,MATCH(ROWS($A$157:A288),$AF$157:$AF$306,0)),"")</f>
        <v/>
      </c>
      <c r="N288" s="35" t="str">
        <f>IFERROR(INDEX($AD$157:$AD$306,MATCH(ROWS($A$157:A288),$AF$157:$AF$306,0)),"")</f>
        <v/>
      </c>
      <c r="Q288" t="str">
        <f>T(JAN!B137)</f>
        <v/>
      </c>
      <c r="R288" t="str">
        <f t="array" ref="R288">IF($Q288="","",_xlfn.TEXTJOIN(", ",TRUE,IF(JAN!$G137:$AK137="AT",JAN!$G$4:$AK$4,"")))</f>
        <v/>
      </c>
      <c r="S288" t="str">
        <f t="array" ref="S288">IF($Q288="","",_xlfn.TEXTJOIN(", ",TRUE,IF(FEV!$G137:$AK137="AT",FEV!$G$4:$AK$4,"")))</f>
        <v/>
      </c>
      <c r="T288" t="str">
        <f t="array" ref="T288">IF($Q288="","",_xlfn.TEXTJOIN(", ",TRUE,IF(MAR!$G137:$AK137="AT",MAR!$G$4:$AK$4,"")))</f>
        <v/>
      </c>
      <c r="U288" t="str">
        <f t="array" ref="U288">IF($Q288="","",_xlfn.TEXTJOIN(", ",TRUE,IF(ABR!$G137:$AK137="AT",ABR!$G$4:$AK$4,"")))</f>
        <v/>
      </c>
      <c r="V288" t="str">
        <f t="array" ref="V288">IF($Q288="","",_xlfn.TEXTJOIN(", ",TRUE,IF(MAI!$G137:$AK137="AT",MAI!$G$4:$AK$4,"")))</f>
        <v/>
      </c>
      <c r="W288" t="str">
        <f t="array" ref="W288">IF($Q288="","",_xlfn.TEXTJOIN(", ",TRUE,IF(JUN!$G137:$AK137="AT",JUN!$G$4:$AK$4,"")))</f>
        <v/>
      </c>
      <c r="X288" t="str">
        <f t="array" ref="X288">IF($Q288="","",_xlfn.TEXTJOIN(", ",TRUE,IF(JUL!$G137:$AK137="AT",JUL!$G$4:$AK$4,"")))</f>
        <v/>
      </c>
      <c r="Y288" t="str">
        <f t="array" ref="Y288">IF($Q288="","",_xlfn.TEXTJOIN(", ",TRUE,IF(AGO!$G137:$AK137="AT",AGO!$G$4:$AK$4,"")))</f>
        <v/>
      </c>
      <c r="Z288" t="str">
        <f t="array" ref="Z288">IF($Q288="","",_xlfn.TEXTJOIN(", ",TRUE,IF(SET!$G137:$AK137="AT",SET!$G$4:$AK$4,"")))</f>
        <v/>
      </c>
      <c r="AA288" t="str">
        <f t="array" ref="AA288">IF($Q288="","",_xlfn.TEXTJOIN(", ",TRUE,IF(OUT!$G137:$AK137="AT",OUT!$G$4:$AK$4,"")))</f>
        <v/>
      </c>
      <c r="AB288" t="str">
        <f t="array" ref="AB288">IF($Q288="","",_xlfn.TEXTJOIN(", ",TRUE,IF(NOV!$G137:$AK137="AT",NOV!$G$4:$AK$4,"")))</f>
        <v/>
      </c>
      <c r="AC288" t="str">
        <f t="array" ref="AC288">IF($Q288="","",_xlfn.TEXTJOIN(", ",TRUE,IF(DEZ!$G137:$AK137="AT",DEZ!$G$4:$AK$4,"")))</f>
        <v/>
      </c>
      <c r="AD288" t="str">
        <f>IF($Q288="","",COUNTIF(JAN!$G137:$AK137,"AT")+COUNTIF(FEV!$G137:$AK137,"AT")+COUNTIF(MAR!$G137:$AK137,"AT")+COUNTIF(ABR!$G137:$AK137,"AT")+COUNTIF(MAI!$G137:$AK137,"AT")+COUNTIF(JUN!$G137:$AK137,"AT")+COUNTIF(JUL!$G137:$AK137,"AT")+COUNTIF(AGO!$G137:$AK137,"AT")+COUNTIF(SET!$G137:$AK137,"AT")+COUNTIF(OUT!$G137:$AK137,"AT")+COUNTIF(NOV!$G137:$AK137,"AT")+COUNTIF(DEZ!$G137:$AK137,"AT"))</f>
        <v/>
      </c>
      <c r="AF288" t="str">
        <f>IF(AND($Q288&lt;&gt;"",N($AD288)&gt;0),COUNT($AF$156:AF287)+1,"")</f>
        <v/>
      </c>
    </row>
    <row r="289" spans="1:32" hidden="1" outlineLevel="1" x14ac:dyDescent="0.25">
      <c r="A289" s="36" t="str">
        <f>IFERROR(INDEX($Q$157:$Q$306,MATCH(ROWS($A$157:A289),$AF$157:$AF$306,0)),"")</f>
        <v/>
      </c>
      <c r="B289" s="35" t="str">
        <f>IFERROR(INDEX($R$157:$R$306,MATCH(ROWS($A$157:A289),$AF$157:$AF$306,0)),"")</f>
        <v/>
      </c>
      <c r="C289" s="35" t="str">
        <f>IFERROR(INDEX($S$157:$S$306,MATCH(ROWS($A$157:A289),$AF$157:$AF$306,0)),"")</f>
        <v/>
      </c>
      <c r="D289" s="35" t="str">
        <f>IFERROR(INDEX($T$157:$T$306,MATCH(ROWS($A$157:A289),$AF$157:$AF$306,0)),"")</f>
        <v/>
      </c>
      <c r="E289" s="35" t="str">
        <f>IFERROR(INDEX($U$157:$U$306,MATCH(ROWS($A$157:A289),$AF$157:$AF$306,0)),"")</f>
        <v/>
      </c>
      <c r="F289" s="35" t="str">
        <f>IFERROR(INDEX($V$157:$V$306,MATCH(ROWS($A$157:A289),$AF$157:$AF$306,0)),"")</f>
        <v/>
      </c>
      <c r="G289" s="35" t="str">
        <f>IFERROR(INDEX($W$157:$W$306,MATCH(ROWS($A$157:A289),$AF$157:$AF$306,0)),"")</f>
        <v/>
      </c>
      <c r="H289" s="35" t="str">
        <f>IFERROR(INDEX($X$157:$X$306,MATCH(ROWS($A$157:A289),$AF$157:$AF$306,0)),"")</f>
        <v/>
      </c>
      <c r="I289" s="35" t="str">
        <f>IFERROR(INDEX($Y$157:$Y$306,MATCH(ROWS($A$157:A289),$AF$157:$AF$306,0)),"")</f>
        <v/>
      </c>
      <c r="J289" s="35" t="str">
        <f>IFERROR(INDEX($Z$157:$Z$306,MATCH(ROWS($A$157:A289),$AF$157:$AF$306,0)),"")</f>
        <v/>
      </c>
      <c r="K289" s="35" t="str">
        <f>IFERROR(INDEX($AA$157:$AA$306,MATCH(ROWS($A$157:A289),$AF$157:$AF$306,0)),"")</f>
        <v/>
      </c>
      <c r="L289" s="35" t="str">
        <f>IFERROR(INDEX($AB$157:$AB$306,MATCH(ROWS($A$157:A289),$AF$157:$AF$306,0)),"")</f>
        <v/>
      </c>
      <c r="M289" s="35" t="str">
        <f>IFERROR(INDEX($AC$157:$AC$306,MATCH(ROWS($A$157:A289),$AF$157:$AF$306,0)),"")</f>
        <v/>
      </c>
      <c r="N289" s="35" t="str">
        <f>IFERROR(INDEX($AD$157:$AD$306,MATCH(ROWS($A$157:A289),$AF$157:$AF$306,0)),"")</f>
        <v/>
      </c>
      <c r="Q289" t="str">
        <f>T(JAN!B138)</f>
        <v/>
      </c>
      <c r="R289" t="str">
        <f t="array" ref="R289">IF($Q289="","",_xlfn.TEXTJOIN(", ",TRUE,IF(JAN!$G138:$AK138="AT",JAN!$G$4:$AK$4,"")))</f>
        <v/>
      </c>
      <c r="S289" t="str">
        <f t="array" ref="S289">IF($Q289="","",_xlfn.TEXTJOIN(", ",TRUE,IF(FEV!$G138:$AK138="AT",FEV!$G$4:$AK$4,"")))</f>
        <v/>
      </c>
      <c r="T289" t="str">
        <f t="array" ref="T289">IF($Q289="","",_xlfn.TEXTJOIN(", ",TRUE,IF(MAR!$G138:$AK138="AT",MAR!$G$4:$AK$4,"")))</f>
        <v/>
      </c>
      <c r="U289" t="str">
        <f t="array" ref="U289">IF($Q289="","",_xlfn.TEXTJOIN(", ",TRUE,IF(ABR!$G138:$AK138="AT",ABR!$G$4:$AK$4,"")))</f>
        <v/>
      </c>
      <c r="V289" t="str">
        <f t="array" ref="V289">IF($Q289="","",_xlfn.TEXTJOIN(", ",TRUE,IF(MAI!$G138:$AK138="AT",MAI!$G$4:$AK$4,"")))</f>
        <v/>
      </c>
      <c r="W289" t="str">
        <f t="array" ref="W289">IF($Q289="","",_xlfn.TEXTJOIN(", ",TRUE,IF(JUN!$G138:$AK138="AT",JUN!$G$4:$AK$4,"")))</f>
        <v/>
      </c>
      <c r="X289" t="str">
        <f t="array" ref="X289">IF($Q289="","",_xlfn.TEXTJOIN(", ",TRUE,IF(JUL!$G138:$AK138="AT",JUL!$G$4:$AK$4,"")))</f>
        <v/>
      </c>
      <c r="Y289" t="str">
        <f t="array" ref="Y289">IF($Q289="","",_xlfn.TEXTJOIN(", ",TRUE,IF(AGO!$G138:$AK138="AT",AGO!$G$4:$AK$4,"")))</f>
        <v/>
      </c>
      <c r="Z289" t="str">
        <f t="array" ref="Z289">IF($Q289="","",_xlfn.TEXTJOIN(", ",TRUE,IF(SET!$G138:$AK138="AT",SET!$G$4:$AK$4,"")))</f>
        <v/>
      </c>
      <c r="AA289" t="str">
        <f t="array" ref="AA289">IF($Q289="","",_xlfn.TEXTJOIN(", ",TRUE,IF(OUT!$G138:$AK138="AT",OUT!$G$4:$AK$4,"")))</f>
        <v/>
      </c>
      <c r="AB289" t="str">
        <f t="array" ref="AB289">IF($Q289="","",_xlfn.TEXTJOIN(", ",TRUE,IF(NOV!$G138:$AK138="AT",NOV!$G$4:$AK$4,"")))</f>
        <v/>
      </c>
      <c r="AC289" t="str">
        <f t="array" ref="AC289">IF($Q289="","",_xlfn.TEXTJOIN(", ",TRUE,IF(DEZ!$G138:$AK138="AT",DEZ!$G$4:$AK$4,"")))</f>
        <v/>
      </c>
      <c r="AD289" t="str">
        <f>IF($Q289="","",COUNTIF(JAN!$G138:$AK138,"AT")+COUNTIF(FEV!$G138:$AK138,"AT")+COUNTIF(MAR!$G138:$AK138,"AT")+COUNTIF(ABR!$G138:$AK138,"AT")+COUNTIF(MAI!$G138:$AK138,"AT")+COUNTIF(JUN!$G138:$AK138,"AT")+COUNTIF(JUL!$G138:$AK138,"AT")+COUNTIF(AGO!$G138:$AK138,"AT")+COUNTIF(SET!$G138:$AK138,"AT")+COUNTIF(OUT!$G138:$AK138,"AT")+COUNTIF(NOV!$G138:$AK138,"AT")+COUNTIF(DEZ!$G138:$AK138,"AT"))</f>
        <v/>
      </c>
      <c r="AF289" t="str">
        <f>IF(AND($Q289&lt;&gt;"",N($AD289)&gt;0),COUNT($AF$156:AF288)+1,"")</f>
        <v/>
      </c>
    </row>
    <row r="290" spans="1:32" hidden="1" outlineLevel="1" x14ac:dyDescent="0.25">
      <c r="A290" s="36" t="str">
        <f>IFERROR(INDEX($Q$157:$Q$306,MATCH(ROWS($A$157:A290),$AF$157:$AF$306,0)),"")</f>
        <v/>
      </c>
      <c r="B290" s="35" t="str">
        <f>IFERROR(INDEX($R$157:$R$306,MATCH(ROWS($A$157:A290),$AF$157:$AF$306,0)),"")</f>
        <v/>
      </c>
      <c r="C290" s="35" t="str">
        <f>IFERROR(INDEX($S$157:$S$306,MATCH(ROWS($A$157:A290),$AF$157:$AF$306,0)),"")</f>
        <v/>
      </c>
      <c r="D290" s="35" t="str">
        <f>IFERROR(INDEX($T$157:$T$306,MATCH(ROWS($A$157:A290),$AF$157:$AF$306,0)),"")</f>
        <v/>
      </c>
      <c r="E290" s="35" t="str">
        <f>IFERROR(INDEX($U$157:$U$306,MATCH(ROWS($A$157:A290),$AF$157:$AF$306,0)),"")</f>
        <v/>
      </c>
      <c r="F290" s="35" t="str">
        <f>IFERROR(INDEX($V$157:$V$306,MATCH(ROWS($A$157:A290),$AF$157:$AF$306,0)),"")</f>
        <v/>
      </c>
      <c r="G290" s="35" t="str">
        <f>IFERROR(INDEX($W$157:$W$306,MATCH(ROWS($A$157:A290),$AF$157:$AF$306,0)),"")</f>
        <v/>
      </c>
      <c r="H290" s="35" t="str">
        <f>IFERROR(INDEX($X$157:$X$306,MATCH(ROWS($A$157:A290),$AF$157:$AF$306,0)),"")</f>
        <v/>
      </c>
      <c r="I290" s="35" t="str">
        <f>IFERROR(INDEX($Y$157:$Y$306,MATCH(ROWS($A$157:A290),$AF$157:$AF$306,0)),"")</f>
        <v/>
      </c>
      <c r="J290" s="35" t="str">
        <f>IFERROR(INDEX($Z$157:$Z$306,MATCH(ROWS($A$157:A290),$AF$157:$AF$306,0)),"")</f>
        <v/>
      </c>
      <c r="K290" s="35" t="str">
        <f>IFERROR(INDEX($AA$157:$AA$306,MATCH(ROWS($A$157:A290),$AF$157:$AF$306,0)),"")</f>
        <v/>
      </c>
      <c r="L290" s="35" t="str">
        <f>IFERROR(INDEX($AB$157:$AB$306,MATCH(ROWS($A$157:A290),$AF$157:$AF$306,0)),"")</f>
        <v/>
      </c>
      <c r="M290" s="35" t="str">
        <f>IFERROR(INDEX($AC$157:$AC$306,MATCH(ROWS($A$157:A290),$AF$157:$AF$306,0)),"")</f>
        <v/>
      </c>
      <c r="N290" s="35" t="str">
        <f>IFERROR(INDEX($AD$157:$AD$306,MATCH(ROWS($A$157:A290),$AF$157:$AF$306,0)),"")</f>
        <v/>
      </c>
      <c r="Q290" t="str">
        <f>T(JAN!B139)</f>
        <v/>
      </c>
      <c r="R290" t="str">
        <f t="array" ref="R290">IF($Q290="","",_xlfn.TEXTJOIN(", ",TRUE,IF(JAN!$G139:$AK139="AT",JAN!$G$4:$AK$4,"")))</f>
        <v/>
      </c>
      <c r="S290" t="str">
        <f t="array" ref="S290">IF($Q290="","",_xlfn.TEXTJOIN(", ",TRUE,IF(FEV!$G139:$AK139="AT",FEV!$G$4:$AK$4,"")))</f>
        <v/>
      </c>
      <c r="T290" t="str">
        <f t="array" ref="T290">IF($Q290="","",_xlfn.TEXTJOIN(", ",TRUE,IF(MAR!$G139:$AK139="AT",MAR!$G$4:$AK$4,"")))</f>
        <v/>
      </c>
      <c r="U290" t="str">
        <f t="array" ref="U290">IF($Q290="","",_xlfn.TEXTJOIN(", ",TRUE,IF(ABR!$G139:$AK139="AT",ABR!$G$4:$AK$4,"")))</f>
        <v/>
      </c>
      <c r="V290" t="str">
        <f t="array" ref="V290">IF($Q290="","",_xlfn.TEXTJOIN(", ",TRUE,IF(MAI!$G139:$AK139="AT",MAI!$G$4:$AK$4,"")))</f>
        <v/>
      </c>
      <c r="W290" t="str">
        <f t="array" ref="W290">IF($Q290="","",_xlfn.TEXTJOIN(", ",TRUE,IF(JUN!$G139:$AK139="AT",JUN!$G$4:$AK$4,"")))</f>
        <v/>
      </c>
      <c r="X290" t="str">
        <f t="array" ref="X290">IF($Q290="","",_xlfn.TEXTJOIN(", ",TRUE,IF(JUL!$G139:$AK139="AT",JUL!$G$4:$AK$4,"")))</f>
        <v/>
      </c>
      <c r="Y290" t="str">
        <f t="array" ref="Y290">IF($Q290="","",_xlfn.TEXTJOIN(", ",TRUE,IF(AGO!$G139:$AK139="AT",AGO!$G$4:$AK$4,"")))</f>
        <v/>
      </c>
      <c r="Z290" t="str">
        <f t="array" ref="Z290">IF($Q290="","",_xlfn.TEXTJOIN(", ",TRUE,IF(SET!$G139:$AK139="AT",SET!$G$4:$AK$4,"")))</f>
        <v/>
      </c>
      <c r="AA290" t="str">
        <f t="array" ref="AA290">IF($Q290="","",_xlfn.TEXTJOIN(", ",TRUE,IF(OUT!$G139:$AK139="AT",OUT!$G$4:$AK$4,"")))</f>
        <v/>
      </c>
      <c r="AB290" t="str">
        <f t="array" ref="AB290">IF($Q290="","",_xlfn.TEXTJOIN(", ",TRUE,IF(NOV!$G139:$AK139="AT",NOV!$G$4:$AK$4,"")))</f>
        <v/>
      </c>
      <c r="AC290" t="str">
        <f t="array" ref="AC290">IF($Q290="","",_xlfn.TEXTJOIN(", ",TRUE,IF(DEZ!$G139:$AK139="AT",DEZ!$G$4:$AK$4,"")))</f>
        <v/>
      </c>
      <c r="AD290" t="str">
        <f>IF($Q290="","",COUNTIF(JAN!$G139:$AK139,"AT")+COUNTIF(FEV!$G139:$AK139,"AT")+COUNTIF(MAR!$G139:$AK139,"AT")+COUNTIF(ABR!$G139:$AK139,"AT")+COUNTIF(MAI!$G139:$AK139,"AT")+COUNTIF(JUN!$G139:$AK139,"AT")+COUNTIF(JUL!$G139:$AK139,"AT")+COUNTIF(AGO!$G139:$AK139,"AT")+COUNTIF(SET!$G139:$AK139,"AT")+COUNTIF(OUT!$G139:$AK139,"AT")+COUNTIF(NOV!$G139:$AK139,"AT")+COUNTIF(DEZ!$G139:$AK139,"AT"))</f>
        <v/>
      </c>
      <c r="AF290" t="str">
        <f>IF(AND($Q290&lt;&gt;"",N($AD290)&gt;0),COUNT($AF$156:AF289)+1,"")</f>
        <v/>
      </c>
    </row>
    <row r="291" spans="1:32" hidden="1" outlineLevel="1" x14ac:dyDescent="0.25">
      <c r="A291" s="36" t="str">
        <f>IFERROR(INDEX($Q$157:$Q$306,MATCH(ROWS($A$157:A291),$AF$157:$AF$306,0)),"")</f>
        <v/>
      </c>
      <c r="B291" s="35" t="str">
        <f>IFERROR(INDEX($R$157:$R$306,MATCH(ROWS($A$157:A291),$AF$157:$AF$306,0)),"")</f>
        <v/>
      </c>
      <c r="C291" s="35" t="str">
        <f>IFERROR(INDEX($S$157:$S$306,MATCH(ROWS($A$157:A291),$AF$157:$AF$306,0)),"")</f>
        <v/>
      </c>
      <c r="D291" s="35" t="str">
        <f>IFERROR(INDEX($T$157:$T$306,MATCH(ROWS($A$157:A291),$AF$157:$AF$306,0)),"")</f>
        <v/>
      </c>
      <c r="E291" s="35" t="str">
        <f>IFERROR(INDEX($U$157:$U$306,MATCH(ROWS($A$157:A291),$AF$157:$AF$306,0)),"")</f>
        <v/>
      </c>
      <c r="F291" s="35" t="str">
        <f>IFERROR(INDEX($V$157:$V$306,MATCH(ROWS($A$157:A291),$AF$157:$AF$306,0)),"")</f>
        <v/>
      </c>
      <c r="G291" s="35" t="str">
        <f>IFERROR(INDEX($W$157:$W$306,MATCH(ROWS($A$157:A291),$AF$157:$AF$306,0)),"")</f>
        <v/>
      </c>
      <c r="H291" s="35" t="str">
        <f>IFERROR(INDEX($X$157:$X$306,MATCH(ROWS($A$157:A291),$AF$157:$AF$306,0)),"")</f>
        <v/>
      </c>
      <c r="I291" s="35" t="str">
        <f>IFERROR(INDEX($Y$157:$Y$306,MATCH(ROWS($A$157:A291),$AF$157:$AF$306,0)),"")</f>
        <v/>
      </c>
      <c r="J291" s="35" t="str">
        <f>IFERROR(INDEX($Z$157:$Z$306,MATCH(ROWS($A$157:A291),$AF$157:$AF$306,0)),"")</f>
        <v/>
      </c>
      <c r="K291" s="35" t="str">
        <f>IFERROR(INDEX($AA$157:$AA$306,MATCH(ROWS($A$157:A291),$AF$157:$AF$306,0)),"")</f>
        <v/>
      </c>
      <c r="L291" s="35" t="str">
        <f>IFERROR(INDEX($AB$157:$AB$306,MATCH(ROWS($A$157:A291),$AF$157:$AF$306,0)),"")</f>
        <v/>
      </c>
      <c r="M291" s="35" t="str">
        <f>IFERROR(INDEX($AC$157:$AC$306,MATCH(ROWS($A$157:A291),$AF$157:$AF$306,0)),"")</f>
        <v/>
      </c>
      <c r="N291" s="35" t="str">
        <f>IFERROR(INDEX($AD$157:$AD$306,MATCH(ROWS($A$157:A291),$AF$157:$AF$306,0)),"")</f>
        <v/>
      </c>
      <c r="Q291" t="str">
        <f>T(JAN!B140)</f>
        <v/>
      </c>
      <c r="R291" t="str">
        <f t="array" ref="R291">IF($Q291="","",_xlfn.TEXTJOIN(", ",TRUE,IF(JAN!$G140:$AK140="AT",JAN!$G$4:$AK$4,"")))</f>
        <v/>
      </c>
      <c r="S291" t="str">
        <f t="array" ref="S291">IF($Q291="","",_xlfn.TEXTJOIN(", ",TRUE,IF(FEV!$G140:$AK140="AT",FEV!$G$4:$AK$4,"")))</f>
        <v/>
      </c>
      <c r="T291" t="str">
        <f t="array" ref="T291">IF($Q291="","",_xlfn.TEXTJOIN(", ",TRUE,IF(MAR!$G140:$AK140="AT",MAR!$G$4:$AK$4,"")))</f>
        <v/>
      </c>
      <c r="U291" t="str">
        <f t="array" ref="U291">IF($Q291="","",_xlfn.TEXTJOIN(", ",TRUE,IF(ABR!$G140:$AK140="AT",ABR!$G$4:$AK$4,"")))</f>
        <v/>
      </c>
      <c r="V291" t="str">
        <f t="array" ref="V291">IF($Q291="","",_xlfn.TEXTJOIN(", ",TRUE,IF(MAI!$G140:$AK140="AT",MAI!$G$4:$AK$4,"")))</f>
        <v/>
      </c>
      <c r="W291" t="str">
        <f t="array" ref="W291">IF($Q291="","",_xlfn.TEXTJOIN(", ",TRUE,IF(JUN!$G140:$AK140="AT",JUN!$G$4:$AK$4,"")))</f>
        <v/>
      </c>
      <c r="X291" t="str">
        <f t="array" ref="X291">IF($Q291="","",_xlfn.TEXTJOIN(", ",TRUE,IF(JUL!$G140:$AK140="AT",JUL!$G$4:$AK$4,"")))</f>
        <v/>
      </c>
      <c r="Y291" t="str">
        <f t="array" ref="Y291">IF($Q291="","",_xlfn.TEXTJOIN(", ",TRUE,IF(AGO!$G140:$AK140="AT",AGO!$G$4:$AK$4,"")))</f>
        <v/>
      </c>
      <c r="Z291" t="str">
        <f t="array" ref="Z291">IF($Q291="","",_xlfn.TEXTJOIN(", ",TRUE,IF(SET!$G140:$AK140="AT",SET!$G$4:$AK$4,"")))</f>
        <v/>
      </c>
      <c r="AA291" t="str">
        <f t="array" ref="AA291">IF($Q291="","",_xlfn.TEXTJOIN(", ",TRUE,IF(OUT!$G140:$AK140="AT",OUT!$G$4:$AK$4,"")))</f>
        <v/>
      </c>
      <c r="AB291" t="str">
        <f t="array" ref="AB291">IF($Q291="","",_xlfn.TEXTJOIN(", ",TRUE,IF(NOV!$G140:$AK140="AT",NOV!$G$4:$AK$4,"")))</f>
        <v/>
      </c>
      <c r="AC291" t="str">
        <f t="array" ref="AC291">IF($Q291="","",_xlfn.TEXTJOIN(", ",TRUE,IF(DEZ!$G140:$AK140="AT",DEZ!$G$4:$AK$4,"")))</f>
        <v/>
      </c>
      <c r="AD291" t="str">
        <f>IF($Q291="","",COUNTIF(JAN!$G140:$AK140,"AT")+COUNTIF(FEV!$G140:$AK140,"AT")+COUNTIF(MAR!$G140:$AK140,"AT")+COUNTIF(ABR!$G140:$AK140,"AT")+COUNTIF(MAI!$G140:$AK140,"AT")+COUNTIF(JUN!$G140:$AK140,"AT")+COUNTIF(JUL!$G140:$AK140,"AT")+COUNTIF(AGO!$G140:$AK140,"AT")+COUNTIF(SET!$G140:$AK140,"AT")+COUNTIF(OUT!$G140:$AK140,"AT")+COUNTIF(NOV!$G140:$AK140,"AT")+COUNTIF(DEZ!$G140:$AK140,"AT"))</f>
        <v/>
      </c>
      <c r="AF291" t="str">
        <f>IF(AND($Q291&lt;&gt;"",N($AD291)&gt;0),COUNT($AF$156:AF290)+1,"")</f>
        <v/>
      </c>
    </row>
    <row r="292" spans="1:32" hidden="1" outlineLevel="1" x14ac:dyDescent="0.25">
      <c r="A292" s="36" t="str">
        <f>IFERROR(INDEX($Q$157:$Q$306,MATCH(ROWS($A$157:A292),$AF$157:$AF$306,0)),"")</f>
        <v/>
      </c>
      <c r="B292" s="35" t="str">
        <f>IFERROR(INDEX($R$157:$R$306,MATCH(ROWS($A$157:A292),$AF$157:$AF$306,0)),"")</f>
        <v/>
      </c>
      <c r="C292" s="35" t="str">
        <f>IFERROR(INDEX($S$157:$S$306,MATCH(ROWS($A$157:A292),$AF$157:$AF$306,0)),"")</f>
        <v/>
      </c>
      <c r="D292" s="35" t="str">
        <f>IFERROR(INDEX($T$157:$T$306,MATCH(ROWS($A$157:A292),$AF$157:$AF$306,0)),"")</f>
        <v/>
      </c>
      <c r="E292" s="35" t="str">
        <f>IFERROR(INDEX($U$157:$U$306,MATCH(ROWS($A$157:A292),$AF$157:$AF$306,0)),"")</f>
        <v/>
      </c>
      <c r="F292" s="35" t="str">
        <f>IFERROR(INDEX($V$157:$V$306,MATCH(ROWS($A$157:A292),$AF$157:$AF$306,0)),"")</f>
        <v/>
      </c>
      <c r="G292" s="35" t="str">
        <f>IFERROR(INDEX($W$157:$W$306,MATCH(ROWS($A$157:A292),$AF$157:$AF$306,0)),"")</f>
        <v/>
      </c>
      <c r="H292" s="35" t="str">
        <f>IFERROR(INDEX($X$157:$X$306,MATCH(ROWS($A$157:A292),$AF$157:$AF$306,0)),"")</f>
        <v/>
      </c>
      <c r="I292" s="35" t="str">
        <f>IFERROR(INDEX($Y$157:$Y$306,MATCH(ROWS($A$157:A292),$AF$157:$AF$306,0)),"")</f>
        <v/>
      </c>
      <c r="J292" s="35" t="str">
        <f>IFERROR(INDEX($Z$157:$Z$306,MATCH(ROWS($A$157:A292),$AF$157:$AF$306,0)),"")</f>
        <v/>
      </c>
      <c r="K292" s="35" t="str">
        <f>IFERROR(INDEX($AA$157:$AA$306,MATCH(ROWS($A$157:A292),$AF$157:$AF$306,0)),"")</f>
        <v/>
      </c>
      <c r="L292" s="35" t="str">
        <f>IFERROR(INDEX($AB$157:$AB$306,MATCH(ROWS($A$157:A292),$AF$157:$AF$306,0)),"")</f>
        <v/>
      </c>
      <c r="M292" s="35" t="str">
        <f>IFERROR(INDEX($AC$157:$AC$306,MATCH(ROWS($A$157:A292),$AF$157:$AF$306,0)),"")</f>
        <v/>
      </c>
      <c r="N292" s="35" t="str">
        <f>IFERROR(INDEX($AD$157:$AD$306,MATCH(ROWS($A$157:A292),$AF$157:$AF$306,0)),"")</f>
        <v/>
      </c>
      <c r="Q292" t="str">
        <f>T(JAN!B141)</f>
        <v/>
      </c>
      <c r="R292" t="str">
        <f t="array" ref="R292">IF($Q292="","",_xlfn.TEXTJOIN(", ",TRUE,IF(JAN!$G141:$AK141="AT",JAN!$G$4:$AK$4,"")))</f>
        <v/>
      </c>
      <c r="S292" t="str">
        <f t="array" ref="S292">IF($Q292="","",_xlfn.TEXTJOIN(", ",TRUE,IF(FEV!$G141:$AK141="AT",FEV!$G$4:$AK$4,"")))</f>
        <v/>
      </c>
      <c r="T292" t="str">
        <f t="array" ref="T292">IF($Q292="","",_xlfn.TEXTJOIN(", ",TRUE,IF(MAR!$G141:$AK141="AT",MAR!$G$4:$AK$4,"")))</f>
        <v/>
      </c>
      <c r="U292" t="str">
        <f t="array" ref="U292">IF($Q292="","",_xlfn.TEXTJOIN(", ",TRUE,IF(ABR!$G141:$AK141="AT",ABR!$G$4:$AK$4,"")))</f>
        <v/>
      </c>
      <c r="V292" t="str">
        <f t="array" ref="V292">IF($Q292="","",_xlfn.TEXTJOIN(", ",TRUE,IF(MAI!$G141:$AK141="AT",MAI!$G$4:$AK$4,"")))</f>
        <v/>
      </c>
      <c r="W292" t="str">
        <f t="array" ref="W292">IF($Q292="","",_xlfn.TEXTJOIN(", ",TRUE,IF(JUN!$G141:$AK141="AT",JUN!$G$4:$AK$4,"")))</f>
        <v/>
      </c>
      <c r="X292" t="str">
        <f t="array" ref="X292">IF($Q292="","",_xlfn.TEXTJOIN(", ",TRUE,IF(JUL!$G141:$AK141="AT",JUL!$G$4:$AK$4,"")))</f>
        <v/>
      </c>
      <c r="Y292" t="str">
        <f t="array" ref="Y292">IF($Q292="","",_xlfn.TEXTJOIN(", ",TRUE,IF(AGO!$G141:$AK141="AT",AGO!$G$4:$AK$4,"")))</f>
        <v/>
      </c>
      <c r="Z292" t="str">
        <f t="array" ref="Z292">IF($Q292="","",_xlfn.TEXTJOIN(", ",TRUE,IF(SET!$G141:$AK141="AT",SET!$G$4:$AK$4,"")))</f>
        <v/>
      </c>
      <c r="AA292" t="str">
        <f t="array" ref="AA292">IF($Q292="","",_xlfn.TEXTJOIN(", ",TRUE,IF(OUT!$G141:$AK141="AT",OUT!$G$4:$AK$4,"")))</f>
        <v/>
      </c>
      <c r="AB292" t="str">
        <f t="array" ref="AB292">IF($Q292="","",_xlfn.TEXTJOIN(", ",TRUE,IF(NOV!$G141:$AK141="AT",NOV!$G$4:$AK$4,"")))</f>
        <v/>
      </c>
      <c r="AC292" t="str">
        <f t="array" ref="AC292">IF($Q292="","",_xlfn.TEXTJOIN(", ",TRUE,IF(DEZ!$G141:$AK141="AT",DEZ!$G$4:$AK$4,"")))</f>
        <v/>
      </c>
      <c r="AD292" t="str">
        <f>IF($Q292="","",COUNTIF(JAN!$G141:$AK141,"AT")+COUNTIF(FEV!$G141:$AK141,"AT")+COUNTIF(MAR!$G141:$AK141,"AT")+COUNTIF(ABR!$G141:$AK141,"AT")+COUNTIF(MAI!$G141:$AK141,"AT")+COUNTIF(JUN!$G141:$AK141,"AT")+COUNTIF(JUL!$G141:$AK141,"AT")+COUNTIF(AGO!$G141:$AK141,"AT")+COUNTIF(SET!$G141:$AK141,"AT")+COUNTIF(OUT!$G141:$AK141,"AT")+COUNTIF(NOV!$G141:$AK141,"AT")+COUNTIF(DEZ!$G141:$AK141,"AT"))</f>
        <v/>
      </c>
      <c r="AF292" t="str">
        <f>IF(AND($Q292&lt;&gt;"",N($AD292)&gt;0),COUNT($AF$156:AF291)+1,"")</f>
        <v/>
      </c>
    </row>
    <row r="293" spans="1:32" hidden="1" outlineLevel="1" x14ac:dyDescent="0.25">
      <c r="A293" s="36" t="str">
        <f>IFERROR(INDEX($Q$157:$Q$306,MATCH(ROWS($A$157:A293),$AF$157:$AF$306,0)),"")</f>
        <v/>
      </c>
      <c r="B293" s="35" t="str">
        <f>IFERROR(INDEX($R$157:$R$306,MATCH(ROWS($A$157:A293),$AF$157:$AF$306,0)),"")</f>
        <v/>
      </c>
      <c r="C293" s="35" t="str">
        <f>IFERROR(INDEX($S$157:$S$306,MATCH(ROWS($A$157:A293),$AF$157:$AF$306,0)),"")</f>
        <v/>
      </c>
      <c r="D293" s="35" t="str">
        <f>IFERROR(INDEX($T$157:$T$306,MATCH(ROWS($A$157:A293),$AF$157:$AF$306,0)),"")</f>
        <v/>
      </c>
      <c r="E293" s="35" t="str">
        <f>IFERROR(INDEX($U$157:$U$306,MATCH(ROWS($A$157:A293),$AF$157:$AF$306,0)),"")</f>
        <v/>
      </c>
      <c r="F293" s="35" t="str">
        <f>IFERROR(INDEX($V$157:$V$306,MATCH(ROWS($A$157:A293),$AF$157:$AF$306,0)),"")</f>
        <v/>
      </c>
      <c r="G293" s="35" t="str">
        <f>IFERROR(INDEX($W$157:$W$306,MATCH(ROWS($A$157:A293),$AF$157:$AF$306,0)),"")</f>
        <v/>
      </c>
      <c r="H293" s="35" t="str">
        <f>IFERROR(INDEX($X$157:$X$306,MATCH(ROWS($A$157:A293),$AF$157:$AF$306,0)),"")</f>
        <v/>
      </c>
      <c r="I293" s="35" t="str">
        <f>IFERROR(INDEX($Y$157:$Y$306,MATCH(ROWS($A$157:A293),$AF$157:$AF$306,0)),"")</f>
        <v/>
      </c>
      <c r="J293" s="35" t="str">
        <f>IFERROR(INDEX($Z$157:$Z$306,MATCH(ROWS($A$157:A293),$AF$157:$AF$306,0)),"")</f>
        <v/>
      </c>
      <c r="K293" s="35" t="str">
        <f>IFERROR(INDEX($AA$157:$AA$306,MATCH(ROWS($A$157:A293),$AF$157:$AF$306,0)),"")</f>
        <v/>
      </c>
      <c r="L293" s="35" t="str">
        <f>IFERROR(INDEX($AB$157:$AB$306,MATCH(ROWS($A$157:A293),$AF$157:$AF$306,0)),"")</f>
        <v/>
      </c>
      <c r="M293" s="35" t="str">
        <f>IFERROR(INDEX($AC$157:$AC$306,MATCH(ROWS($A$157:A293),$AF$157:$AF$306,0)),"")</f>
        <v/>
      </c>
      <c r="N293" s="35" t="str">
        <f>IFERROR(INDEX($AD$157:$AD$306,MATCH(ROWS($A$157:A293),$AF$157:$AF$306,0)),"")</f>
        <v/>
      </c>
      <c r="Q293" t="str">
        <f>T(JAN!B142)</f>
        <v/>
      </c>
      <c r="R293" t="str">
        <f t="array" ref="R293">IF($Q293="","",_xlfn.TEXTJOIN(", ",TRUE,IF(JAN!$G142:$AK142="AT",JAN!$G$4:$AK$4,"")))</f>
        <v/>
      </c>
      <c r="S293" t="str">
        <f t="array" ref="S293">IF($Q293="","",_xlfn.TEXTJOIN(", ",TRUE,IF(FEV!$G142:$AK142="AT",FEV!$G$4:$AK$4,"")))</f>
        <v/>
      </c>
      <c r="T293" t="str">
        <f t="array" ref="T293">IF($Q293="","",_xlfn.TEXTJOIN(", ",TRUE,IF(MAR!$G142:$AK142="AT",MAR!$G$4:$AK$4,"")))</f>
        <v/>
      </c>
      <c r="U293" t="str">
        <f t="array" ref="U293">IF($Q293="","",_xlfn.TEXTJOIN(", ",TRUE,IF(ABR!$G142:$AK142="AT",ABR!$G$4:$AK$4,"")))</f>
        <v/>
      </c>
      <c r="V293" t="str">
        <f t="array" ref="V293">IF($Q293="","",_xlfn.TEXTJOIN(", ",TRUE,IF(MAI!$G142:$AK142="AT",MAI!$G$4:$AK$4,"")))</f>
        <v/>
      </c>
      <c r="W293" t="str">
        <f t="array" ref="W293">IF($Q293="","",_xlfn.TEXTJOIN(", ",TRUE,IF(JUN!$G142:$AK142="AT",JUN!$G$4:$AK$4,"")))</f>
        <v/>
      </c>
      <c r="X293" t="str">
        <f t="array" ref="X293">IF($Q293="","",_xlfn.TEXTJOIN(", ",TRUE,IF(JUL!$G142:$AK142="AT",JUL!$G$4:$AK$4,"")))</f>
        <v/>
      </c>
      <c r="Y293" t="str">
        <f t="array" ref="Y293">IF($Q293="","",_xlfn.TEXTJOIN(", ",TRUE,IF(AGO!$G142:$AK142="AT",AGO!$G$4:$AK$4,"")))</f>
        <v/>
      </c>
      <c r="Z293" t="str">
        <f t="array" ref="Z293">IF($Q293="","",_xlfn.TEXTJOIN(", ",TRUE,IF(SET!$G142:$AK142="AT",SET!$G$4:$AK$4,"")))</f>
        <v/>
      </c>
      <c r="AA293" t="str">
        <f t="array" ref="AA293">IF($Q293="","",_xlfn.TEXTJOIN(", ",TRUE,IF(OUT!$G142:$AK142="AT",OUT!$G$4:$AK$4,"")))</f>
        <v/>
      </c>
      <c r="AB293" t="str">
        <f t="array" ref="AB293">IF($Q293="","",_xlfn.TEXTJOIN(", ",TRUE,IF(NOV!$G142:$AK142="AT",NOV!$G$4:$AK$4,"")))</f>
        <v/>
      </c>
      <c r="AC293" t="str">
        <f t="array" ref="AC293">IF($Q293="","",_xlfn.TEXTJOIN(", ",TRUE,IF(DEZ!$G142:$AK142="AT",DEZ!$G$4:$AK$4,"")))</f>
        <v/>
      </c>
      <c r="AD293" t="str">
        <f>IF($Q293="","",COUNTIF(JAN!$G142:$AK142,"AT")+COUNTIF(FEV!$G142:$AK142,"AT")+COUNTIF(MAR!$G142:$AK142,"AT")+COUNTIF(ABR!$G142:$AK142,"AT")+COUNTIF(MAI!$G142:$AK142,"AT")+COUNTIF(JUN!$G142:$AK142,"AT")+COUNTIF(JUL!$G142:$AK142,"AT")+COUNTIF(AGO!$G142:$AK142,"AT")+COUNTIF(SET!$G142:$AK142,"AT")+COUNTIF(OUT!$G142:$AK142,"AT")+COUNTIF(NOV!$G142:$AK142,"AT")+COUNTIF(DEZ!$G142:$AK142,"AT"))</f>
        <v/>
      </c>
      <c r="AF293" t="str">
        <f>IF(AND($Q293&lt;&gt;"",N($AD293)&gt;0),COUNT($AF$156:AF292)+1,"")</f>
        <v/>
      </c>
    </row>
    <row r="294" spans="1:32" hidden="1" outlineLevel="1" x14ac:dyDescent="0.25">
      <c r="A294" s="36" t="str">
        <f>IFERROR(INDEX($Q$157:$Q$306,MATCH(ROWS($A$157:A294),$AF$157:$AF$306,0)),"")</f>
        <v/>
      </c>
      <c r="B294" s="35" t="str">
        <f>IFERROR(INDEX($R$157:$R$306,MATCH(ROWS($A$157:A294),$AF$157:$AF$306,0)),"")</f>
        <v/>
      </c>
      <c r="C294" s="35" t="str">
        <f>IFERROR(INDEX($S$157:$S$306,MATCH(ROWS($A$157:A294),$AF$157:$AF$306,0)),"")</f>
        <v/>
      </c>
      <c r="D294" s="35" t="str">
        <f>IFERROR(INDEX($T$157:$T$306,MATCH(ROWS($A$157:A294),$AF$157:$AF$306,0)),"")</f>
        <v/>
      </c>
      <c r="E294" s="35" t="str">
        <f>IFERROR(INDEX($U$157:$U$306,MATCH(ROWS($A$157:A294),$AF$157:$AF$306,0)),"")</f>
        <v/>
      </c>
      <c r="F294" s="35" t="str">
        <f>IFERROR(INDEX($V$157:$V$306,MATCH(ROWS($A$157:A294),$AF$157:$AF$306,0)),"")</f>
        <v/>
      </c>
      <c r="G294" s="35" t="str">
        <f>IFERROR(INDEX($W$157:$W$306,MATCH(ROWS($A$157:A294),$AF$157:$AF$306,0)),"")</f>
        <v/>
      </c>
      <c r="H294" s="35" t="str">
        <f>IFERROR(INDEX($X$157:$X$306,MATCH(ROWS($A$157:A294),$AF$157:$AF$306,0)),"")</f>
        <v/>
      </c>
      <c r="I294" s="35" t="str">
        <f>IFERROR(INDEX($Y$157:$Y$306,MATCH(ROWS($A$157:A294),$AF$157:$AF$306,0)),"")</f>
        <v/>
      </c>
      <c r="J294" s="35" t="str">
        <f>IFERROR(INDEX($Z$157:$Z$306,MATCH(ROWS($A$157:A294),$AF$157:$AF$306,0)),"")</f>
        <v/>
      </c>
      <c r="K294" s="35" t="str">
        <f>IFERROR(INDEX($AA$157:$AA$306,MATCH(ROWS($A$157:A294),$AF$157:$AF$306,0)),"")</f>
        <v/>
      </c>
      <c r="L294" s="35" t="str">
        <f>IFERROR(INDEX($AB$157:$AB$306,MATCH(ROWS($A$157:A294),$AF$157:$AF$306,0)),"")</f>
        <v/>
      </c>
      <c r="M294" s="35" t="str">
        <f>IFERROR(INDEX($AC$157:$AC$306,MATCH(ROWS($A$157:A294),$AF$157:$AF$306,0)),"")</f>
        <v/>
      </c>
      <c r="N294" s="35" t="str">
        <f>IFERROR(INDEX($AD$157:$AD$306,MATCH(ROWS($A$157:A294),$AF$157:$AF$306,0)),"")</f>
        <v/>
      </c>
      <c r="Q294" t="str">
        <f>T(JAN!B143)</f>
        <v/>
      </c>
      <c r="R294" t="str">
        <f t="array" ref="R294">IF($Q294="","",_xlfn.TEXTJOIN(", ",TRUE,IF(JAN!$G143:$AK143="AT",JAN!$G$4:$AK$4,"")))</f>
        <v/>
      </c>
      <c r="S294" t="str">
        <f t="array" ref="S294">IF($Q294="","",_xlfn.TEXTJOIN(", ",TRUE,IF(FEV!$G143:$AK143="AT",FEV!$G$4:$AK$4,"")))</f>
        <v/>
      </c>
      <c r="T294" t="str">
        <f t="array" ref="T294">IF($Q294="","",_xlfn.TEXTJOIN(", ",TRUE,IF(MAR!$G143:$AK143="AT",MAR!$G$4:$AK$4,"")))</f>
        <v/>
      </c>
      <c r="U294" t="str">
        <f t="array" ref="U294">IF($Q294="","",_xlfn.TEXTJOIN(", ",TRUE,IF(ABR!$G143:$AK143="AT",ABR!$G$4:$AK$4,"")))</f>
        <v/>
      </c>
      <c r="V294" t="str">
        <f t="array" ref="V294">IF($Q294="","",_xlfn.TEXTJOIN(", ",TRUE,IF(MAI!$G143:$AK143="AT",MAI!$G$4:$AK$4,"")))</f>
        <v/>
      </c>
      <c r="W294" t="str">
        <f t="array" ref="W294">IF($Q294="","",_xlfn.TEXTJOIN(", ",TRUE,IF(JUN!$G143:$AK143="AT",JUN!$G$4:$AK$4,"")))</f>
        <v/>
      </c>
      <c r="X294" t="str">
        <f t="array" ref="X294">IF($Q294="","",_xlfn.TEXTJOIN(", ",TRUE,IF(JUL!$G143:$AK143="AT",JUL!$G$4:$AK$4,"")))</f>
        <v/>
      </c>
      <c r="Y294" t="str">
        <f t="array" ref="Y294">IF($Q294="","",_xlfn.TEXTJOIN(", ",TRUE,IF(AGO!$G143:$AK143="AT",AGO!$G$4:$AK$4,"")))</f>
        <v/>
      </c>
      <c r="Z294" t="str">
        <f t="array" ref="Z294">IF($Q294="","",_xlfn.TEXTJOIN(", ",TRUE,IF(SET!$G143:$AK143="AT",SET!$G$4:$AK$4,"")))</f>
        <v/>
      </c>
      <c r="AA294" t="str">
        <f t="array" ref="AA294">IF($Q294="","",_xlfn.TEXTJOIN(", ",TRUE,IF(OUT!$G143:$AK143="AT",OUT!$G$4:$AK$4,"")))</f>
        <v/>
      </c>
      <c r="AB294" t="str">
        <f t="array" ref="AB294">IF($Q294="","",_xlfn.TEXTJOIN(", ",TRUE,IF(NOV!$G143:$AK143="AT",NOV!$G$4:$AK$4,"")))</f>
        <v/>
      </c>
      <c r="AC294" t="str">
        <f t="array" ref="AC294">IF($Q294="","",_xlfn.TEXTJOIN(", ",TRUE,IF(DEZ!$G143:$AK143="AT",DEZ!$G$4:$AK$4,"")))</f>
        <v/>
      </c>
      <c r="AD294" t="str">
        <f>IF($Q294="","",COUNTIF(JAN!$G143:$AK143,"AT")+COUNTIF(FEV!$G143:$AK143,"AT")+COUNTIF(MAR!$G143:$AK143,"AT")+COUNTIF(ABR!$G143:$AK143,"AT")+COUNTIF(MAI!$G143:$AK143,"AT")+COUNTIF(JUN!$G143:$AK143,"AT")+COUNTIF(JUL!$G143:$AK143,"AT")+COUNTIF(AGO!$G143:$AK143,"AT")+COUNTIF(SET!$G143:$AK143,"AT")+COUNTIF(OUT!$G143:$AK143,"AT")+COUNTIF(NOV!$G143:$AK143,"AT")+COUNTIF(DEZ!$G143:$AK143,"AT"))</f>
        <v/>
      </c>
      <c r="AF294" t="str">
        <f>IF(AND($Q294&lt;&gt;"",N($AD294)&gt;0),COUNT($AF$156:AF293)+1,"")</f>
        <v/>
      </c>
    </row>
    <row r="295" spans="1:32" hidden="1" outlineLevel="1" x14ac:dyDescent="0.25">
      <c r="A295" s="36" t="str">
        <f>IFERROR(INDEX($Q$157:$Q$306,MATCH(ROWS($A$157:A295),$AF$157:$AF$306,0)),"")</f>
        <v/>
      </c>
      <c r="B295" s="35" t="str">
        <f>IFERROR(INDEX($R$157:$R$306,MATCH(ROWS($A$157:A295),$AF$157:$AF$306,0)),"")</f>
        <v/>
      </c>
      <c r="C295" s="35" t="str">
        <f>IFERROR(INDEX($S$157:$S$306,MATCH(ROWS($A$157:A295),$AF$157:$AF$306,0)),"")</f>
        <v/>
      </c>
      <c r="D295" s="35" t="str">
        <f>IFERROR(INDEX($T$157:$T$306,MATCH(ROWS($A$157:A295),$AF$157:$AF$306,0)),"")</f>
        <v/>
      </c>
      <c r="E295" s="35" t="str">
        <f>IFERROR(INDEX($U$157:$U$306,MATCH(ROWS($A$157:A295),$AF$157:$AF$306,0)),"")</f>
        <v/>
      </c>
      <c r="F295" s="35" t="str">
        <f>IFERROR(INDEX($V$157:$V$306,MATCH(ROWS($A$157:A295),$AF$157:$AF$306,0)),"")</f>
        <v/>
      </c>
      <c r="G295" s="35" t="str">
        <f>IFERROR(INDEX($W$157:$W$306,MATCH(ROWS($A$157:A295),$AF$157:$AF$306,0)),"")</f>
        <v/>
      </c>
      <c r="H295" s="35" t="str">
        <f>IFERROR(INDEX($X$157:$X$306,MATCH(ROWS($A$157:A295),$AF$157:$AF$306,0)),"")</f>
        <v/>
      </c>
      <c r="I295" s="35" t="str">
        <f>IFERROR(INDEX($Y$157:$Y$306,MATCH(ROWS($A$157:A295),$AF$157:$AF$306,0)),"")</f>
        <v/>
      </c>
      <c r="J295" s="35" t="str">
        <f>IFERROR(INDEX($Z$157:$Z$306,MATCH(ROWS($A$157:A295),$AF$157:$AF$306,0)),"")</f>
        <v/>
      </c>
      <c r="K295" s="35" t="str">
        <f>IFERROR(INDEX($AA$157:$AA$306,MATCH(ROWS($A$157:A295),$AF$157:$AF$306,0)),"")</f>
        <v/>
      </c>
      <c r="L295" s="35" t="str">
        <f>IFERROR(INDEX($AB$157:$AB$306,MATCH(ROWS($A$157:A295),$AF$157:$AF$306,0)),"")</f>
        <v/>
      </c>
      <c r="M295" s="35" t="str">
        <f>IFERROR(INDEX($AC$157:$AC$306,MATCH(ROWS($A$157:A295),$AF$157:$AF$306,0)),"")</f>
        <v/>
      </c>
      <c r="N295" s="35" t="str">
        <f>IFERROR(INDEX($AD$157:$AD$306,MATCH(ROWS($A$157:A295),$AF$157:$AF$306,0)),"")</f>
        <v/>
      </c>
      <c r="Q295" t="str">
        <f>T(JAN!B144)</f>
        <v/>
      </c>
      <c r="R295" t="str">
        <f t="array" ref="R295">IF($Q295="","",_xlfn.TEXTJOIN(", ",TRUE,IF(JAN!$G144:$AK144="AT",JAN!$G$4:$AK$4,"")))</f>
        <v/>
      </c>
      <c r="S295" t="str">
        <f t="array" ref="S295">IF($Q295="","",_xlfn.TEXTJOIN(", ",TRUE,IF(FEV!$G144:$AK144="AT",FEV!$G$4:$AK$4,"")))</f>
        <v/>
      </c>
      <c r="T295" t="str">
        <f t="array" ref="T295">IF($Q295="","",_xlfn.TEXTJOIN(", ",TRUE,IF(MAR!$G144:$AK144="AT",MAR!$G$4:$AK$4,"")))</f>
        <v/>
      </c>
      <c r="U295" t="str">
        <f t="array" ref="U295">IF($Q295="","",_xlfn.TEXTJOIN(", ",TRUE,IF(ABR!$G144:$AK144="AT",ABR!$G$4:$AK$4,"")))</f>
        <v/>
      </c>
      <c r="V295" t="str">
        <f t="array" ref="V295">IF($Q295="","",_xlfn.TEXTJOIN(", ",TRUE,IF(MAI!$G144:$AK144="AT",MAI!$G$4:$AK$4,"")))</f>
        <v/>
      </c>
      <c r="W295" t="str">
        <f t="array" ref="W295">IF($Q295="","",_xlfn.TEXTJOIN(", ",TRUE,IF(JUN!$G144:$AK144="AT",JUN!$G$4:$AK$4,"")))</f>
        <v/>
      </c>
      <c r="X295" t="str">
        <f t="array" ref="X295">IF($Q295="","",_xlfn.TEXTJOIN(", ",TRUE,IF(JUL!$G144:$AK144="AT",JUL!$G$4:$AK$4,"")))</f>
        <v/>
      </c>
      <c r="Y295" t="str">
        <f t="array" ref="Y295">IF($Q295="","",_xlfn.TEXTJOIN(", ",TRUE,IF(AGO!$G144:$AK144="AT",AGO!$G$4:$AK$4,"")))</f>
        <v/>
      </c>
      <c r="Z295" t="str">
        <f t="array" ref="Z295">IF($Q295="","",_xlfn.TEXTJOIN(", ",TRUE,IF(SET!$G144:$AK144="AT",SET!$G$4:$AK$4,"")))</f>
        <v/>
      </c>
      <c r="AA295" t="str">
        <f t="array" ref="AA295">IF($Q295="","",_xlfn.TEXTJOIN(", ",TRUE,IF(OUT!$G144:$AK144="AT",OUT!$G$4:$AK$4,"")))</f>
        <v/>
      </c>
      <c r="AB295" t="str">
        <f t="array" ref="AB295">IF($Q295="","",_xlfn.TEXTJOIN(", ",TRUE,IF(NOV!$G144:$AK144="AT",NOV!$G$4:$AK$4,"")))</f>
        <v/>
      </c>
      <c r="AC295" t="str">
        <f t="array" ref="AC295">IF($Q295="","",_xlfn.TEXTJOIN(", ",TRUE,IF(DEZ!$G144:$AK144="AT",DEZ!$G$4:$AK$4,"")))</f>
        <v/>
      </c>
      <c r="AD295" t="str">
        <f>IF($Q295="","",COUNTIF(JAN!$G144:$AK144,"AT")+COUNTIF(FEV!$G144:$AK144,"AT")+COUNTIF(MAR!$G144:$AK144,"AT")+COUNTIF(ABR!$G144:$AK144,"AT")+COUNTIF(MAI!$G144:$AK144,"AT")+COUNTIF(JUN!$G144:$AK144,"AT")+COUNTIF(JUL!$G144:$AK144,"AT")+COUNTIF(AGO!$G144:$AK144,"AT")+COUNTIF(SET!$G144:$AK144,"AT")+COUNTIF(OUT!$G144:$AK144,"AT")+COUNTIF(NOV!$G144:$AK144,"AT")+COUNTIF(DEZ!$G144:$AK144,"AT"))</f>
        <v/>
      </c>
      <c r="AF295" t="str">
        <f>IF(AND($Q295&lt;&gt;"",N($AD295)&gt;0),COUNT($AF$156:AF294)+1,"")</f>
        <v/>
      </c>
    </row>
    <row r="296" spans="1:32" hidden="1" outlineLevel="1" x14ac:dyDescent="0.25">
      <c r="A296" s="36" t="str">
        <f>IFERROR(INDEX($Q$157:$Q$306,MATCH(ROWS($A$157:A296),$AF$157:$AF$306,0)),"")</f>
        <v/>
      </c>
      <c r="B296" s="35" t="str">
        <f>IFERROR(INDEX($R$157:$R$306,MATCH(ROWS($A$157:A296),$AF$157:$AF$306,0)),"")</f>
        <v/>
      </c>
      <c r="C296" s="35" t="str">
        <f>IFERROR(INDEX($S$157:$S$306,MATCH(ROWS($A$157:A296),$AF$157:$AF$306,0)),"")</f>
        <v/>
      </c>
      <c r="D296" s="35" t="str">
        <f>IFERROR(INDEX($T$157:$T$306,MATCH(ROWS($A$157:A296),$AF$157:$AF$306,0)),"")</f>
        <v/>
      </c>
      <c r="E296" s="35" t="str">
        <f>IFERROR(INDEX($U$157:$U$306,MATCH(ROWS($A$157:A296),$AF$157:$AF$306,0)),"")</f>
        <v/>
      </c>
      <c r="F296" s="35" t="str">
        <f>IFERROR(INDEX($V$157:$V$306,MATCH(ROWS($A$157:A296),$AF$157:$AF$306,0)),"")</f>
        <v/>
      </c>
      <c r="G296" s="35" t="str">
        <f>IFERROR(INDEX($W$157:$W$306,MATCH(ROWS($A$157:A296),$AF$157:$AF$306,0)),"")</f>
        <v/>
      </c>
      <c r="H296" s="35" t="str">
        <f>IFERROR(INDEX($X$157:$X$306,MATCH(ROWS($A$157:A296),$AF$157:$AF$306,0)),"")</f>
        <v/>
      </c>
      <c r="I296" s="35" t="str">
        <f>IFERROR(INDEX($Y$157:$Y$306,MATCH(ROWS($A$157:A296),$AF$157:$AF$306,0)),"")</f>
        <v/>
      </c>
      <c r="J296" s="35" t="str">
        <f>IFERROR(INDEX($Z$157:$Z$306,MATCH(ROWS($A$157:A296),$AF$157:$AF$306,0)),"")</f>
        <v/>
      </c>
      <c r="K296" s="35" t="str">
        <f>IFERROR(INDEX($AA$157:$AA$306,MATCH(ROWS($A$157:A296),$AF$157:$AF$306,0)),"")</f>
        <v/>
      </c>
      <c r="L296" s="35" t="str">
        <f>IFERROR(INDEX($AB$157:$AB$306,MATCH(ROWS($A$157:A296),$AF$157:$AF$306,0)),"")</f>
        <v/>
      </c>
      <c r="M296" s="35" t="str">
        <f>IFERROR(INDEX($AC$157:$AC$306,MATCH(ROWS($A$157:A296),$AF$157:$AF$306,0)),"")</f>
        <v/>
      </c>
      <c r="N296" s="35" t="str">
        <f>IFERROR(INDEX($AD$157:$AD$306,MATCH(ROWS($A$157:A296),$AF$157:$AF$306,0)),"")</f>
        <v/>
      </c>
      <c r="Q296" t="str">
        <f>T(JAN!B145)</f>
        <v/>
      </c>
      <c r="R296" t="str">
        <f t="array" ref="R296">IF($Q296="","",_xlfn.TEXTJOIN(", ",TRUE,IF(JAN!$G145:$AK145="AT",JAN!$G$4:$AK$4,"")))</f>
        <v/>
      </c>
      <c r="S296" t="str">
        <f t="array" ref="S296">IF($Q296="","",_xlfn.TEXTJOIN(", ",TRUE,IF(FEV!$G145:$AK145="AT",FEV!$G$4:$AK$4,"")))</f>
        <v/>
      </c>
      <c r="T296" t="str">
        <f t="array" ref="T296">IF($Q296="","",_xlfn.TEXTJOIN(", ",TRUE,IF(MAR!$G145:$AK145="AT",MAR!$G$4:$AK$4,"")))</f>
        <v/>
      </c>
      <c r="U296" t="str">
        <f t="array" ref="U296">IF($Q296="","",_xlfn.TEXTJOIN(", ",TRUE,IF(ABR!$G145:$AK145="AT",ABR!$G$4:$AK$4,"")))</f>
        <v/>
      </c>
      <c r="V296" t="str">
        <f t="array" ref="V296">IF($Q296="","",_xlfn.TEXTJOIN(", ",TRUE,IF(MAI!$G145:$AK145="AT",MAI!$G$4:$AK$4,"")))</f>
        <v/>
      </c>
      <c r="W296" t="str">
        <f t="array" ref="W296">IF($Q296="","",_xlfn.TEXTJOIN(", ",TRUE,IF(JUN!$G145:$AK145="AT",JUN!$G$4:$AK$4,"")))</f>
        <v/>
      </c>
      <c r="X296" t="str">
        <f t="array" ref="X296">IF($Q296="","",_xlfn.TEXTJOIN(", ",TRUE,IF(JUL!$G145:$AK145="AT",JUL!$G$4:$AK$4,"")))</f>
        <v/>
      </c>
      <c r="Y296" t="str">
        <f t="array" ref="Y296">IF($Q296="","",_xlfn.TEXTJOIN(", ",TRUE,IF(AGO!$G145:$AK145="AT",AGO!$G$4:$AK$4,"")))</f>
        <v/>
      </c>
      <c r="Z296" t="str">
        <f t="array" ref="Z296">IF($Q296="","",_xlfn.TEXTJOIN(", ",TRUE,IF(SET!$G145:$AK145="AT",SET!$G$4:$AK$4,"")))</f>
        <v/>
      </c>
      <c r="AA296" t="str">
        <f t="array" ref="AA296">IF($Q296="","",_xlfn.TEXTJOIN(", ",TRUE,IF(OUT!$G145:$AK145="AT",OUT!$G$4:$AK$4,"")))</f>
        <v/>
      </c>
      <c r="AB296" t="str">
        <f t="array" ref="AB296">IF($Q296="","",_xlfn.TEXTJOIN(", ",TRUE,IF(NOV!$G145:$AK145="AT",NOV!$G$4:$AK$4,"")))</f>
        <v/>
      </c>
      <c r="AC296" t="str">
        <f t="array" ref="AC296">IF($Q296="","",_xlfn.TEXTJOIN(", ",TRUE,IF(DEZ!$G145:$AK145="AT",DEZ!$G$4:$AK$4,"")))</f>
        <v/>
      </c>
      <c r="AD296" t="str">
        <f>IF($Q296="","",COUNTIF(JAN!$G145:$AK145,"AT")+COUNTIF(FEV!$G145:$AK145,"AT")+COUNTIF(MAR!$G145:$AK145,"AT")+COUNTIF(ABR!$G145:$AK145,"AT")+COUNTIF(MAI!$G145:$AK145,"AT")+COUNTIF(JUN!$G145:$AK145,"AT")+COUNTIF(JUL!$G145:$AK145,"AT")+COUNTIF(AGO!$G145:$AK145,"AT")+COUNTIF(SET!$G145:$AK145,"AT")+COUNTIF(OUT!$G145:$AK145,"AT")+COUNTIF(NOV!$G145:$AK145,"AT")+COUNTIF(DEZ!$G145:$AK145,"AT"))</f>
        <v/>
      </c>
      <c r="AF296" t="str">
        <f>IF(AND($Q296&lt;&gt;"",N($AD296)&gt;0),COUNT($AF$156:AF295)+1,"")</f>
        <v/>
      </c>
    </row>
    <row r="297" spans="1:32" hidden="1" outlineLevel="1" x14ac:dyDescent="0.25">
      <c r="A297" s="36" t="str">
        <f>IFERROR(INDEX($Q$157:$Q$306,MATCH(ROWS($A$157:A297),$AF$157:$AF$306,0)),"")</f>
        <v/>
      </c>
      <c r="B297" s="35" t="str">
        <f>IFERROR(INDEX($R$157:$R$306,MATCH(ROWS($A$157:A297),$AF$157:$AF$306,0)),"")</f>
        <v/>
      </c>
      <c r="C297" s="35" t="str">
        <f>IFERROR(INDEX($S$157:$S$306,MATCH(ROWS($A$157:A297),$AF$157:$AF$306,0)),"")</f>
        <v/>
      </c>
      <c r="D297" s="35" t="str">
        <f>IFERROR(INDEX($T$157:$T$306,MATCH(ROWS($A$157:A297),$AF$157:$AF$306,0)),"")</f>
        <v/>
      </c>
      <c r="E297" s="35" t="str">
        <f>IFERROR(INDEX($U$157:$U$306,MATCH(ROWS($A$157:A297),$AF$157:$AF$306,0)),"")</f>
        <v/>
      </c>
      <c r="F297" s="35" t="str">
        <f>IFERROR(INDEX($V$157:$V$306,MATCH(ROWS($A$157:A297),$AF$157:$AF$306,0)),"")</f>
        <v/>
      </c>
      <c r="G297" s="35" t="str">
        <f>IFERROR(INDEX($W$157:$W$306,MATCH(ROWS($A$157:A297),$AF$157:$AF$306,0)),"")</f>
        <v/>
      </c>
      <c r="H297" s="35" t="str">
        <f>IFERROR(INDEX($X$157:$X$306,MATCH(ROWS($A$157:A297),$AF$157:$AF$306,0)),"")</f>
        <v/>
      </c>
      <c r="I297" s="35" t="str">
        <f>IFERROR(INDEX($Y$157:$Y$306,MATCH(ROWS($A$157:A297),$AF$157:$AF$306,0)),"")</f>
        <v/>
      </c>
      <c r="J297" s="35" t="str">
        <f>IFERROR(INDEX($Z$157:$Z$306,MATCH(ROWS($A$157:A297),$AF$157:$AF$306,0)),"")</f>
        <v/>
      </c>
      <c r="K297" s="35" t="str">
        <f>IFERROR(INDEX($AA$157:$AA$306,MATCH(ROWS($A$157:A297),$AF$157:$AF$306,0)),"")</f>
        <v/>
      </c>
      <c r="L297" s="35" t="str">
        <f>IFERROR(INDEX($AB$157:$AB$306,MATCH(ROWS($A$157:A297),$AF$157:$AF$306,0)),"")</f>
        <v/>
      </c>
      <c r="M297" s="35" t="str">
        <f>IFERROR(INDEX($AC$157:$AC$306,MATCH(ROWS($A$157:A297),$AF$157:$AF$306,0)),"")</f>
        <v/>
      </c>
      <c r="N297" s="35" t="str">
        <f>IFERROR(INDEX($AD$157:$AD$306,MATCH(ROWS($A$157:A297),$AF$157:$AF$306,0)),"")</f>
        <v/>
      </c>
      <c r="Q297" t="str">
        <f>T(JAN!B146)</f>
        <v/>
      </c>
      <c r="R297" t="str">
        <f t="array" ref="R297">IF($Q297="","",_xlfn.TEXTJOIN(", ",TRUE,IF(JAN!$G146:$AK146="AT",JAN!$G$4:$AK$4,"")))</f>
        <v/>
      </c>
      <c r="S297" t="str">
        <f t="array" ref="S297">IF($Q297="","",_xlfn.TEXTJOIN(", ",TRUE,IF(FEV!$G146:$AK146="AT",FEV!$G$4:$AK$4,"")))</f>
        <v/>
      </c>
      <c r="T297" t="str">
        <f t="array" ref="T297">IF($Q297="","",_xlfn.TEXTJOIN(", ",TRUE,IF(MAR!$G146:$AK146="AT",MAR!$G$4:$AK$4,"")))</f>
        <v/>
      </c>
      <c r="U297" t="str">
        <f t="array" ref="U297">IF($Q297="","",_xlfn.TEXTJOIN(", ",TRUE,IF(ABR!$G146:$AK146="AT",ABR!$G$4:$AK$4,"")))</f>
        <v/>
      </c>
      <c r="V297" t="str">
        <f t="array" ref="V297">IF($Q297="","",_xlfn.TEXTJOIN(", ",TRUE,IF(MAI!$G146:$AK146="AT",MAI!$G$4:$AK$4,"")))</f>
        <v/>
      </c>
      <c r="W297" t="str">
        <f t="array" ref="W297">IF($Q297="","",_xlfn.TEXTJOIN(", ",TRUE,IF(JUN!$G146:$AK146="AT",JUN!$G$4:$AK$4,"")))</f>
        <v/>
      </c>
      <c r="X297" t="str">
        <f t="array" ref="X297">IF($Q297="","",_xlfn.TEXTJOIN(", ",TRUE,IF(JUL!$G146:$AK146="AT",JUL!$G$4:$AK$4,"")))</f>
        <v/>
      </c>
      <c r="Y297" t="str">
        <f t="array" ref="Y297">IF($Q297="","",_xlfn.TEXTJOIN(", ",TRUE,IF(AGO!$G146:$AK146="AT",AGO!$G$4:$AK$4,"")))</f>
        <v/>
      </c>
      <c r="Z297" t="str">
        <f t="array" ref="Z297">IF($Q297="","",_xlfn.TEXTJOIN(", ",TRUE,IF(SET!$G146:$AK146="AT",SET!$G$4:$AK$4,"")))</f>
        <v/>
      </c>
      <c r="AA297" t="str">
        <f t="array" ref="AA297">IF($Q297="","",_xlfn.TEXTJOIN(", ",TRUE,IF(OUT!$G146:$AK146="AT",OUT!$G$4:$AK$4,"")))</f>
        <v/>
      </c>
      <c r="AB297" t="str">
        <f t="array" ref="AB297">IF($Q297="","",_xlfn.TEXTJOIN(", ",TRUE,IF(NOV!$G146:$AK146="AT",NOV!$G$4:$AK$4,"")))</f>
        <v/>
      </c>
      <c r="AC297" t="str">
        <f t="array" ref="AC297">IF($Q297="","",_xlfn.TEXTJOIN(", ",TRUE,IF(DEZ!$G146:$AK146="AT",DEZ!$G$4:$AK$4,"")))</f>
        <v/>
      </c>
      <c r="AD297" t="str">
        <f>IF($Q297="","",COUNTIF(JAN!$G146:$AK146,"AT")+COUNTIF(FEV!$G146:$AK146,"AT")+COUNTIF(MAR!$G146:$AK146,"AT")+COUNTIF(ABR!$G146:$AK146,"AT")+COUNTIF(MAI!$G146:$AK146,"AT")+COUNTIF(JUN!$G146:$AK146,"AT")+COUNTIF(JUL!$G146:$AK146,"AT")+COUNTIF(AGO!$G146:$AK146,"AT")+COUNTIF(SET!$G146:$AK146,"AT")+COUNTIF(OUT!$G146:$AK146,"AT")+COUNTIF(NOV!$G146:$AK146,"AT")+COUNTIF(DEZ!$G146:$AK146,"AT"))</f>
        <v/>
      </c>
      <c r="AF297" t="str">
        <f>IF(AND($Q297&lt;&gt;"",N($AD297)&gt;0),COUNT($AF$156:AF296)+1,"")</f>
        <v/>
      </c>
    </row>
    <row r="298" spans="1:32" hidden="1" outlineLevel="1" x14ac:dyDescent="0.25">
      <c r="A298" s="36" t="str">
        <f>IFERROR(INDEX($Q$157:$Q$306,MATCH(ROWS($A$157:A298),$AF$157:$AF$306,0)),"")</f>
        <v/>
      </c>
      <c r="B298" s="35" t="str">
        <f>IFERROR(INDEX($R$157:$R$306,MATCH(ROWS($A$157:A298),$AF$157:$AF$306,0)),"")</f>
        <v/>
      </c>
      <c r="C298" s="35" t="str">
        <f>IFERROR(INDEX($S$157:$S$306,MATCH(ROWS($A$157:A298),$AF$157:$AF$306,0)),"")</f>
        <v/>
      </c>
      <c r="D298" s="35" t="str">
        <f>IFERROR(INDEX($T$157:$T$306,MATCH(ROWS($A$157:A298),$AF$157:$AF$306,0)),"")</f>
        <v/>
      </c>
      <c r="E298" s="35" t="str">
        <f>IFERROR(INDEX($U$157:$U$306,MATCH(ROWS($A$157:A298),$AF$157:$AF$306,0)),"")</f>
        <v/>
      </c>
      <c r="F298" s="35" t="str">
        <f>IFERROR(INDEX($V$157:$V$306,MATCH(ROWS($A$157:A298),$AF$157:$AF$306,0)),"")</f>
        <v/>
      </c>
      <c r="G298" s="35" t="str">
        <f>IFERROR(INDEX($W$157:$W$306,MATCH(ROWS($A$157:A298),$AF$157:$AF$306,0)),"")</f>
        <v/>
      </c>
      <c r="H298" s="35" t="str">
        <f>IFERROR(INDEX($X$157:$X$306,MATCH(ROWS($A$157:A298),$AF$157:$AF$306,0)),"")</f>
        <v/>
      </c>
      <c r="I298" s="35" t="str">
        <f>IFERROR(INDEX($Y$157:$Y$306,MATCH(ROWS($A$157:A298),$AF$157:$AF$306,0)),"")</f>
        <v/>
      </c>
      <c r="J298" s="35" t="str">
        <f>IFERROR(INDEX($Z$157:$Z$306,MATCH(ROWS($A$157:A298),$AF$157:$AF$306,0)),"")</f>
        <v/>
      </c>
      <c r="K298" s="35" t="str">
        <f>IFERROR(INDEX($AA$157:$AA$306,MATCH(ROWS($A$157:A298),$AF$157:$AF$306,0)),"")</f>
        <v/>
      </c>
      <c r="L298" s="35" t="str">
        <f>IFERROR(INDEX($AB$157:$AB$306,MATCH(ROWS($A$157:A298),$AF$157:$AF$306,0)),"")</f>
        <v/>
      </c>
      <c r="M298" s="35" t="str">
        <f>IFERROR(INDEX($AC$157:$AC$306,MATCH(ROWS($A$157:A298),$AF$157:$AF$306,0)),"")</f>
        <v/>
      </c>
      <c r="N298" s="35" t="str">
        <f>IFERROR(INDEX($AD$157:$AD$306,MATCH(ROWS($A$157:A298),$AF$157:$AF$306,0)),"")</f>
        <v/>
      </c>
      <c r="Q298" t="str">
        <f>T(JAN!B147)</f>
        <v/>
      </c>
      <c r="R298" t="str">
        <f t="array" ref="R298">IF($Q298="","",_xlfn.TEXTJOIN(", ",TRUE,IF(JAN!$G147:$AK147="AT",JAN!$G$4:$AK$4,"")))</f>
        <v/>
      </c>
      <c r="S298" t="str">
        <f t="array" ref="S298">IF($Q298="","",_xlfn.TEXTJOIN(", ",TRUE,IF(FEV!$G147:$AK147="AT",FEV!$G$4:$AK$4,"")))</f>
        <v/>
      </c>
      <c r="T298" t="str">
        <f t="array" ref="T298">IF($Q298="","",_xlfn.TEXTJOIN(", ",TRUE,IF(MAR!$G147:$AK147="AT",MAR!$G$4:$AK$4,"")))</f>
        <v/>
      </c>
      <c r="U298" t="str">
        <f t="array" ref="U298">IF($Q298="","",_xlfn.TEXTJOIN(", ",TRUE,IF(ABR!$G147:$AK147="AT",ABR!$G$4:$AK$4,"")))</f>
        <v/>
      </c>
      <c r="V298" t="str">
        <f t="array" ref="V298">IF($Q298="","",_xlfn.TEXTJOIN(", ",TRUE,IF(MAI!$G147:$AK147="AT",MAI!$G$4:$AK$4,"")))</f>
        <v/>
      </c>
      <c r="W298" t="str">
        <f t="array" ref="W298">IF($Q298="","",_xlfn.TEXTJOIN(", ",TRUE,IF(JUN!$G147:$AK147="AT",JUN!$G$4:$AK$4,"")))</f>
        <v/>
      </c>
      <c r="X298" t="str">
        <f t="array" ref="X298">IF($Q298="","",_xlfn.TEXTJOIN(", ",TRUE,IF(JUL!$G147:$AK147="AT",JUL!$G$4:$AK$4,"")))</f>
        <v/>
      </c>
      <c r="Y298" t="str">
        <f t="array" ref="Y298">IF($Q298="","",_xlfn.TEXTJOIN(", ",TRUE,IF(AGO!$G147:$AK147="AT",AGO!$G$4:$AK$4,"")))</f>
        <v/>
      </c>
      <c r="Z298" t="str">
        <f t="array" ref="Z298">IF($Q298="","",_xlfn.TEXTJOIN(", ",TRUE,IF(SET!$G147:$AK147="AT",SET!$G$4:$AK$4,"")))</f>
        <v/>
      </c>
      <c r="AA298" t="str">
        <f t="array" ref="AA298">IF($Q298="","",_xlfn.TEXTJOIN(", ",TRUE,IF(OUT!$G147:$AK147="AT",OUT!$G$4:$AK$4,"")))</f>
        <v/>
      </c>
      <c r="AB298" t="str">
        <f t="array" ref="AB298">IF($Q298="","",_xlfn.TEXTJOIN(", ",TRUE,IF(NOV!$G147:$AK147="AT",NOV!$G$4:$AK$4,"")))</f>
        <v/>
      </c>
      <c r="AC298" t="str">
        <f t="array" ref="AC298">IF($Q298="","",_xlfn.TEXTJOIN(", ",TRUE,IF(DEZ!$G147:$AK147="AT",DEZ!$G$4:$AK$4,"")))</f>
        <v/>
      </c>
      <c r="AD298" t="str">
        <f>IF($Q298="","",COUNTIF(JAN!$G147:$AK147,"AT")+COUNTIF(FEV!$G147:$AK147,"AT")+COUNTIF(MAR!$G147:$AK147,"AT")+COUNTIF(ABR!$G147:$AK147,"AT")+COUNTIF(MAI!$G147:$AK147,"AT")+COUNTIF(JUN!$G147:$AK147,"AT")+COUNTIF(JUL!$G147:$AK147,"AT")+COUNTIF(AGO!$G147:$AK147,"AT")+COUNTIF(SET!$G147:$AK147,"AT")+COUNTIF(OUT!$G147:$AK147,"AT")+COUNTIF(NOV!$G147:$AK147,"AT")+COUNTIF(DEZ!$G147:$AK147,"AT"))</f>
        <v/>
      </c>
      <c r="AF298" t="str">
        <f>IF(AND($Q298&lt;&gt;"",N($AD298)&gt;0),COUNT($AF$156:AF297)+1,"")</f>
        <v/>
      </c>
    </row>
    <row r="299" spans="1:32" hidden="1" outlineLevel="1" x14ac:dyDescent="0.25">
      <c r="A299" s="36" t="str">
        <f>IFERROR(INDEX($Q$157:$Q$306,MATCH(ROWS($A$157:A299),$AF$157:$AF$306,0)),"")</f>
        <v/>
      </c>
      <c r="B299" s="35" t="str">
        <f>IFERROR(INDEX($R$157:$R$306,MATCH(ROWS($A$157:A299),$AF$157:$AF$306,0)),"")</f>
        <v/>
      </c>
      <c r="C299" s="35" t="str">
        <f>IFERROR(INDEX($S$157:$S$306,MATCH(ROWS($A$157:A299),$AF$157:$AF$306,0)),"")</f>
        <v/>
      </c>
      <c r="D299" s="35" t="str">
        <f>IFERROR(INDEX($T$157:$T$306,MATCH(ROWS($A$157:A299),$AF$157:$AF$306,0)),"")</f>
        <v/>
      </c>
      <c r="E299" s="35" t="str">
        <f>IFERROR(INDEX($U$157:$U$306,MATCH(ROWS($A$157:A299),$AF$157:$AF$306,0)),"")</f>
        <v/>
      </c>
      <c r="F299" s="35" t="str">
        <f>IFERROR(INDEX($V$157:$V$306,MATCH(ROWS($A$157:A299),$AF$157:$AF$306,0)),"")</f>
        <v/>
      </c>
      <c r="G299" s="35" t="str">
        <f>IFERROR(INDEX($W$157:$W$306,MATCH(ROWS($A$157:A299),$AF$157:$AF$306,0)),"")</f>
        <v/>
      </c>
      <c r="H299" s="35" t="str">
        <f>IFERROR(INDEX($X$157:$X$306,MATCH(ROWS($A$157:A299),$AF$157:$AF$306,0)),"")</f>
        <v/>
      </c>
      <c r="I299" s="35" t="str">
        <f>IFERROR(INDEX($Y$157:$Y$306,MATCH(ROWS($A$157:A299),$AF$157:$AF$306,0)),"")</f>
        <v/>
      </c>
      <c r="J299" s="35" t="str">
        <f>IFERROR(INDEX($Z$157:$Z$306,MATCH(ROWS($A$157:A299),$AF$157:$AF$306,0)),"")</f>
        <v/>
      </c>
      <c r="K299" s="35" t="str">
        <f>IFERROR(INDEX($AA$157:$AA$306,MATCH(ROWS($A$157:A299),$AF$157:$AF$306,0)),"")</f>
        <v/>
      </c>
      <c r="L299" s="35" t="str">
        <f>IFERROR(INDEX($AB$157:$AB$306,MATCH(ROWS($A$157:A299),$AF$157:$AF$306,0)),"")</f>
        <v/>
      </c>
      <c r="M299" s="35" t="str">
        <f>IFERROR(INDEX($AC$157:$AC$306,MATCH(ROWS($A$157:A299),$AF$157:$AF$306,0)),"")</f>
        <v/>
      </c>
      <c r="N299" s="35" t="str">
        <f>IFERROR(INDEX($AD$157:$AD$306,MATCH(ROWS($A$157:A299),$AF$157:$AF$306,0)),"")</f>
        <v/>
      </c>
      <c r="Q299" t="str">
        <f>T(JAN!B148)</f>
        <v/>
      </c>
      <c r="R299" t="str">
        <f t="array" ref="R299">IF($Q299="","",_xlfn.TEXTJOIN(", ",TRUE,IF(JAN!$G148:$AK148="AT",JAN!$G$4:$AK$4,"")))</f>
        <v/>
      </c>
      <c r="S299" t="str">
        <f t="array" ref="S299">IF($Q299="","",_xlfn.TEXTJOIN(", ",TRUE,IF(FEV!$G148:$AK148="AT",FEV!$G$4:$AK$4,"")))</f>
        <v/>
      </c>
      <c r="T299" t="str">
        <f t="array" ref="T299">IF($Q299="","",_xlfn.TEXTJOIN(", ",TRUE,IF(MAR!$G148:$AK148="AT",MAR!$G$4:$AK$4,"")))</f>
        <v/>
      </c>
      <c r="U299" t="str">
        <f t="array" ref="U299">IF($Q299="","",_xlfn.TEXTJOIN(", ",TRUE,IF(ABR!$G148:$AK148="AT",ABR!$G$4:$AK$4,"")))</f>
        <v/>
      </c>
      <c r="V299" t="str">
        <f t="array" ref="V299">IF($Q299="","",_xlfn.TEXTJOIN(", ",TRUE,IF(MAI!$G148:$AK148="AT",MAI!$G$4:$AK$4,"")))</f>
        <v/>
      </c>
      <c r="W299" t="str">
        <f t="array" ref="W299">IF($Q299="","",_xlfn.TEXTJOIN(", ",TRUE,IF(JUN!$G148:$AK148="AT",JUN!$G$4:$AK$4,"")))</f>
        <v/>
      </c>
      <c r="X299" t="str">
        <f t="array" ref="X299">IF($Q299="","",_xlfn.TEXTJOIN(", ",TRUE,IF(JUL!$G148:$AK148="AT",JUL!$G$4:$AK$4,"")))</f>
        <v/>
      </c>
      <c r="Y299" t="str">
        <f t="array" ref="Y299">IF($Q299="","",_xlfn.TEXTJOIN(", ",TRUE,IF(AGO!$G148:$AK148="AT",AGO!$G$4:$AK$4,"")))</f>
        <v/>
      </c>
      <c r="Z299" t="str">
        <f t="array" ref="Z299">IF($Q299="","",_xlfn.TEXTJOIN(", ",TRUE,IF(SET!$G148:$AK148="AT",SET!$G$4:$AK$4,"")))</f>
        <v/>
      </c>
      <c r="AA299" t="str">
        <f t="array" ref="AA299">IF($Q299="","",_xlfn.TEXTJOIN(", ",TRUE,IF(OUT!$G148:$AK148="AT",OUT!$G$4:$AK$4,"")))</f>
        <v/>
      </c>
      <c r="AB299" t="str">
        <f t="array" ref="AB299">IF($Q299="","",_xlfn.TEXTJOIN(", ",TRUE,IF(NOV!$G148:$AK148="AT",NOV!$G$4:$AK$4,"")))</f>
        <v/>
      </c>
      <c r="AC299" t="str">
        <f t="array" ref="AC299">IF($Q299="","",_xlfn.TEXTJOIN(", ",TRUE,IF(DEZ!$G148:$AK148="AT",DEZ!$G$4:$AK$4,"")))</f>
        <v/>
      </c>
      <c r="AD299" t="str">
        <f>IF($Q299="","",COUNTIF(JAN!$G148:$AK148,"AT")+COUNTIF(FEV!$G148:$AK148,"AT")+COUNTIF(MAR!$G148:$AK148,"AT")+COUNTIF(ABR!$G148:$AK148,"AT")+COUNTIF(MAI!$G148:$AK148,"AT")+COUNTIF(JUN!$G148:$AK148,"AT")+COUNTIF(JUL!$G148:$AK148,"AT")+COUNTIF(AGO!$G148:$AK148,"AT")+COUNTIF(SET!$G148:$AK148,"AT")+COUNTIF(OUT!$G148:$AK148,"AT")+COUNTIF(NOV!$G148:$AK148,"AT")+COUNTIF(DEZ!$G148:$AK148,"AT"))</f>
        <v/>
      </c>
      <c r="AF299" t="str">
        <f>IF(AND($Q299&lt;&gt;"",N($AD299)&gt;0),COUNT($AF$156:AF298)+1,"")</f>
        <v/>
      </c>
    </row>
    <row r="300" spans="1:32" hidden="1" outlineLevel="1" x14ac:dyDescent="0.25">
      <c r="A300" s="36" t="str">
        <f>IFERROR(INDEX($Q$157:$Q$306,MATCH(ROWS($A$157:A300),$AF$157:$AF$306,0)),"")</f>
        <v/>
      </c>
      <c r="B300" s="35" t="str">
        <f>IFERROR(INDEX($R$157:$R$306,MATCH(ROWS($A$157:A300),$AF$157:$AF$306,0)),"")</f>
        <v/>
      </c>
      <c r="C300" s="35" t="str">
        <f>IFERROR(INDEX($S$157:$S$306,MATCH(ROWS($A$157:A300),$AF$157:$AF$306,0)),"")</f>
        <v/>
      </c>
      <c r="D300" s="35" t="str">
        <f>IFERROR(INDEX($T$157:$T$306,MATCH(ROWS($A$157:A300),$AF$157:$AF$306,0)),"")</f>
        <v/>
      </c>
      <c r="E300" s="35" t="str">
        <f>IFERROR(INDEX($U$157:$U$306,MATCH(ROWS($A$157:A300),$AF$157:$AF$306,0)),"")</f>
        <v/>
      </c>
      <c r="F300" s="35" t="str">
        <f>IFERROR(INDEX($V$157:$V$306,MATCH(ROWS($A$157:A300),$AF$157:$AF$306,0)),"")</f>
        <v/>
      </c>
      <c r="G300" s="35" t="str">
        <f>IFERROR(INDEX($W$157:$W$306,MATCH(ROWS($A$157:A300),$AF$157:$AF$306,0)),"")</f>
        <v/>
      </c>
      <c r="H300" s="35" t="str">
        <f>IFERROR(INDEX($X$157:$X$306,MATCH(ROWS($A$157:A300),$AF$157:$AF$306,0)),"")</f>
        <v/>
      </c>
      <c r="I300" s="35" t="str">
        <f>IFERROR(INDEX($Y$157:$Y$306,MATCH(ROWS($A$157:A300),$AF$157:$AF$306,0)),"")</f>
        <v/>
      </c>
      <c r="J300" s="35" t="str">
        <f>IFERROR(INDEX($Z$157:$Z$306,MATCH(ROWS($A$157:A300),$AF$157:$AF$306,0)),"")</f>
        <v/>
      </c>
      <c r="K300" s="35" t="str">
        <f>IFERROR(INDEX($AA$157:$AA$306,MATCH(ROWS($A$157:A300),$AF$157:$AF$306,0)),"")</f>
        <v/>
      </c>
      <c r="L300" s="35" t="str">
        <f>IFERROR(INDEX($AB$157:$AB$306,MATCH(ROWS($A$157:A300),$AF$157:$AF$306,0)),"")</f>
        <v/>
      </c>
      <c r="M300" s="35" t="str">
        <f>IFERROR(INDEX($AC$157:$AC$306,MATCH(ROWS($A$157:A300),$AF$157:$AF$306,0)),"")</f>
        <v/>
      </c>
      <c r="N300" s="35" t="str">
        <f>IFERROR(INDEX($AD$157:$AD$306,MATCH(ROWS($A$157:A300),$AF$157:$AF$306,0)),"")</f>
        <v/>
      </c>
      <c r="Q300" t="str">
        <f>T(JAN!B149)</f>
        <v/>
      </c>
      <c r="R300" t="str">
        <f t="array" ref="R300">IF($Q300="","",_xlfn.TEXTJOIN(", ",TRUE,IF(JAN!$G149:$AK149="AT",JAN!$G$4:$AK$4,"")))</f>
        <v/>
      </c>
      <c r="S300" t="str">
        <f t="array" ref="S300">IF($Q300="","",_xlfn.TEXTJOIN(", ",TRUE,IF(FEV!$G149:$AK149="AT",FEV!$G$4:$AK$4,"")))</f>
        <v/>
      </c>
      <c r="T300" t="str">
        <f t="array" ref="T300">IF($Q300="","",_xlfn.TEXTJOIN(", ",TRUE,IF(MAR!$G149:$AK149="AT",MAR!$G$4:$AK$4,"")))</f>
        <v/>
      </c>
      <c r="U300" t="str">
        <f t="array" ref="U300">IF($Q300="","",_xlfn.TEXTJOIN(", ",TRUE,IF(ABR!$G149:$AK149="AT",ABR!$G$4:$AK$4,"")))</f>
        <v/>
      </c>
      <c r="V300" t="str">
        <f t="array" ref="V300">IF($Q300="","",_xlfn.TEXTJOIN(", ",TRUE,IF(MAI!$G149:$AK149="AT",MAI!$G$4:$AK$4,"")))</f>
        <v/>
      </c>
      <c r="W300" t="str">
        <f t="array" ref="W300">IF($Q300="","",_xlfn.TEXTJOIN(", ",TRUE,IF(JUN!$G149:$AK149="AT",JUN!$G$4:$AK$4,"")))</f>
        <v/>
      </c>
      <c r="X300" t="str">
        <f t="array" ref="X300">IF($Q300="","",_xlfn.TEXTJOIN(", ",TRUE,IF(JUL!$G149:$AK149="AT",JUL!$G$4:$AK$4,"")))</f>
        <v/>
      </c>
      <c r="Y300" t="str">
        <f t="array" ref="Y300">IF($Q300="","",_xlfn.TEXTJOIN(", ",TRUE,IF(AGO!$G149:$AK149="AT",AGO!$G$4:$AK$4,"")))</f>
        <v/>
      </c>
      <c r="Z300" t="str">
        <f t="array" ref="Z300">IF($Q300="","",_xlfn.TEXTJOIN(", ",TRUE,IF(SET!$G149:$AK149="AT",SET!$G$4:$AK$4,"")))</f>
        <v/>
      </c>
      <c r="AA300" t="str">
        <f t="array" ref="AA300">IF($Q300="","",_xlfn.TEXTJOIN(", ",TRUE,IF(OUT!$G149:$AK149="AT",OUT!$G$4:$AK$4,"")))</f>
        <v/>
      </c>
      <c r="AB300" t="str">
        <f t="array" ref="AB300">IF($Q300="","",_xlfn.TEXTJOIN(", ",TRUE,IF(NOV!$G149:$AK149="AT",NOV!$G$4:$AK$4,"")))</f>
        <v/>
      </c>
      <c r="AC300" t="str">
        <f t="array" ref="AC300">IF($Q300="","",_xlfn.TEXTJOIN(", ",TRUE,IF(DEZ!$G149:$AK149="AT",DEZ!$G$4:$AK$4,"")))</f>
        <v/>
      </c>
      <c r="AD300" t="str">
        <f>IF($Q300="","",COUNTIF(JAN!$G149:$AK149,"AT")+COUNTIF(FEV!$G149:$AK149,"AT")+COUNTIF(MAR!$G149:$AK149,"AT")+COUNTIF(ABR!$G149:$AK149,"AT")+COUNTIF(MAI!$G149:$AK149,"AT")+COUNTIF(JUN!$G149:$AK149,"AT")+COUNTIF(JUL!$G149:$AK149,"AT")+COUNTIF(AGO!$G149:$AK149,"AT")+COUNTIF(SET!$G149:$AK149,"AT")+COUNTIF(OUT!$G149:$AK149,"AT")+COUNTIF(NOV!$G149:$AK149,"AT")+COUNTIF(DEZ!$G149:$AK149,"AT"))</f>
        <v/>
      </c>
      <c r="AF300" t="str">
        <f>IF(AND($Q300&lt;&gt;"",N($AD300)&gt;0),COUNT($AF$156:AF299)+1,"")</f>
        <v/>
      </c>
    </row>
    <row r="301" spans="1:32" hidden="1" outlineLevel="1" x14ac:dyDescent="0.25">
      <c r="A301" s="36" t="str">
        <f>IFERROR(INDEX($Q$157:$Q$306,MATCH(ROWS($A$157:A301),$AF$157:$AF$306,0)),"")</f>
        <v/>
      </c>
      <c r="B301" s="35" t="str">
        <f>IFERROR(INDEX($R$157:$R$306,MATCH(ROWS($A$157:A301),$AF$157:$AF$306,0)),"")</f>
        <v/>
      </c>
      <c r="C301" s="35" t="str">
        <f>IFERROR(INDEX($S$157:$S$306,MATCH(ROWS($A$157:A301),$AF$157:$AF$306,0)),"")</f>
        <v/>
      </c>
      <c r="D301" s="35" t="str">
        <f>IFERROR(INDEX($T$157:$T$306,MATCH(ROWS($A$157:A301),$AF$157:$AF$306,0)),"")</f>
        <v/>
      </c>
      <c r="E301" s="35" t="str">
        <f>IFERROR(INDEX($U$157:$U$306,MATCH(ROWS($A$157:A301),$AF$157:$AF$306,0)),"")</f>
        <v/>
      </c>
      <c r="F301" s="35" t="str">
        <f>IFERROR(INDEX($V$157:$V$306,MATCH(ROWS($A$157:A301),$AF$157:$AF$306,0)),"")</f>
        <v/>
      </c>
      <c r="G301" s="35" t="str">
        <f>IFERROR(INDEX($W$157:$W$306,MATCH(ROWS($A$157:A301),$AF$157:$AF$306,0)),"")</f>
        <v/>
      </c>
      <c r="H301" s="35" t="str">
        <f>IFERROR(INDEX($X$157:$X$306,MATCH(ROWS($A$157:A301),$AF$157:$AF$306,0)),"")</f>
        <v/>
      </c>
      <c r="I301" s="35" t="str">
        <f>IFERROR(INDEX($Y$157:$Y$306,MATCH(ROWS($A$157:A301),$AF$157:$AF$306,0)),"")</f>
        <v/>
      </c>
      <c r="J301" s="35" t="str">
        <f>IFERROR(INDEX($Z$157:$Z$306,MATCH(ROWS($A$157:A301),$AF$157:$AF$306,0)),"")</f>
        <v/>
      </c>
      <c r="K301" s="35" t="str">
        <f>IFERROR(INDEX($AA$157:$AA$306,MATCH(ROWS($A$157:A301),$AF$157:$AF$306,0)),"")</f>
        <v/>
      </c>
      <c r="L301" s="35" t="str">
        <f>IFERROR(INDEX($AB$157:$AB$306,MATCH(ROWS($A$157:A301),$AF$157:$AF$306,0)),"")</f>
        <v/>
      </c>
      <c r="M301" s="35" t="str">
        <f>IFERROR(INDEX($AC$157:$AC$306,MATCH(ROWS($A$157:A301),$AF$157:$AF$306,0)),"")</f>
        <v/>
      </c>
      <c r="N301" s="35" t="str">
        <f>IFERROR(INDEX($AD$157:$AD$306,MATCH(ROWS($A$157:A301),$AF$157:$AF$306,0)),"")</f>
        <v/>
      </c>
      <c r="Q301" t="str">
        <f>T(JAN!B150)</f>
        <v/>
      </c>
      <c r="R301" t="str">
        <f t="array" ref="R301">IF($Q301="","",_xlfn.TEXTJOIN(", ",TRUE,IF(JAN!$G150:$AK150="AT",JAN!$G$4:$AK$4,"")))</f>
        <v/>
      </c>
      <c r="S301" t="str">
        <f t="array" ref="S301">IF($Q301="","",_xlfn.TEXTJOIN(", ",TRUE,IF(FEV!$G150:$AK150="AT",FEV!$G$4:$AK$4,"")))</f>
        <v/>
      </c>
      <c r="T301" t="str">
        <f t="array" ref="T301">IF($Q301="","",_xlfn.TEXTJOIN(", ",TRUE,IF(MAR!$G150:$AK150="AT",MAR!$G$4:$AK$4,"")))</f>
        <v/>
      </c>
      <c r="U301" t="str">
        <f t="array" ref="U301">IF($Q301="","",_xlfn.TEXTJOIN(", ",TRUE,IF(ABR!$G150:$AK150="AT",ABR!$G$4:$AK$4,"")))</f>
        <v/>
      </c>
      <c r="V301" t="str">
        <f t="array" ref="V301">IF($Q301="","",_xlfn.TEXTJOIN(", ",TRUE,IF(MAI!$G150:$AK150="AT",MAI!$G$4:$AK$4,"")))</f>
        <v/>
      </c>
      <c r="W301" t="str">
        <f t="array" ref="W301">IF($Q301="","",_xlfn.TEXTJOIN(", ",TRUE,IF(JUN!$G150:$AK150="AT",JUN!$G$4:$AK$4,"")))</f>
        <v/>
      </c>
      <c r="X301" t="str">
        <f t="array" ref="X301">IF($Q301="","",_xlfn.TEXTJOIN(", ",TRUE,IF(JUL!$G150:$AK150="AT",JUL!$G$4:$AK$4,"")))</f>
        <v/>
      </c>
      <c r="Y301" t="str">
        <f t="array" ref="Y301">IF($Q301="","",_xlfn.TEXTJOIN(", ",TRUE,IF(AGO!$G150:$AK150="AT",AGO!$G$4:$AK$4,"")))</f>
        <v/>
      </c>
      <c r="Z301" t="str">
        <f t="array" ref="Z301">IF($Q301="","",_xlfn.TEXTJOIN(", ",TRUE,IF(SET!$G150:$AK150="AT",SET!$G$4:$AK$4,"")))</f>
        <v/>
      </c>
      <c r="AA301" t="str">
        <f t="array" ref="AA301">IF($Q301="","",_xlfn.TEXTJOIN(", ",TRUE,IF(OUT!$G150:$AK150="AT",OUT!$G$4:$AK$4,"")))</f>
        <v/>
      </c>
      <c r="AB301" t="str">
        <f t="array" ref="AB301">IF($Q301="","",_xlfn.TEXTJOIN(", ",TRUE,IF(NOV!$G150:$AK150="AT",NOV!$G$4:$AK$4,"")))</f>
        <v/>
      </c>
      <c r="AC301" t="str">
        <f t="array" ref="AC301">IF($Q301="","",_xlfn.TEXTJOIN(", ",TRUE,IF(DEZ!$G150:$AK150="AT",DEZ!$G$4:$AK$4,"")))</f>
        <v/>
      </c>
      <c r="AD301" t="str">
        <f>IF($Q301="","",COUNTIF(JAN!$G150:$AK150,"AT")+COUNTIF(FEV!$G150:$AK150,"AT")+COUNTIF(MAR!$G150:$AK150,"AT")+COUNTIF(ABR!$G150:$AK150,"AT")+COUNTIF(MAI!$G150:$AK150,"AT")+COUNTIF(JUN!$G150:$AK150,"AT")+COUNTIF(JUL!$G150:$AK150,"AT")+COUNTIF(AGO!$G150:$AK150,"AT")+COUNTIF(SET!$G150:$AK150,"AT")+COUNTIF(OUT!$G150:$AK150,"AT")+COUNTIF(NOV!$G150:$AK150,"AT")+COUNTIF(DEZ!$G150:$AK150,"AT"))</f>
        <v/>
      </c>
      <c r="AF301" t="str">
        <f>IF(AND($Q301&lt;&gt;"",N($AD301)&gt;0),COUNT($AF$156:AF300)+1,"")</f>
        <v/>
      </c>
    </row>
    <row r="302" spans="1:32" hidden="1" outlineLevel="1" x14ac:dyDescent="0.25">
      <c r="A302" s="36" t="str">
        <f>IFERROR(INDEX($Q$157:$Q$306,MATCH(ROWS($A$157:A302),$AF$157:$AF$306,0)),"")</f>
        <v/>
      </c>
      <c r="B302" s="35" t="str">
        <f>IFERROR(INDEX($R$157:$R$306,MATCH(ROWS($A$157:A302),$AF$157:$AF$306,0)),"")</f>
        <v/>
      </c>
      <c r="C302" s="35" t="str">
        <f>IFERROR(INDEX($S$157:$S$306,MATCH(ROWS($A$157:A302),$AF$157:$AF$306,0)),"")</f>
        <v/>
      </c>
      <c r="D302" s="35" t="str">
        <f>IFERROR(INDEX($T$157:$T$306,MATCH(ROWS($A$157:A302),$AF$157:$AF$306,0)),"")</f>
        <v/>
      </c>
      <c r="E302" s="35" t="str">
        <f>IFERROR(INDEX($U$157:$U$306,MATCH(ROWS($A$157:A302),$AF$157:$AF$306,0)),"")</f>
        <v/>
      </c>
      <c r="F302" s="35" t="str">
        <f>IFERROR(INDEX($V$157:$V$306,MATCH(ROWS($A$157:A302),$AF$157:$AF$306,0)),"")</f>
        <v/>
      </c>
      <c r="G302" s="35" t="str">
        <f>IFERROR(INDEX($W$157:$W$306,MATCH(ROWS($A$157:A302),$AF$157:$AF$306,0)),"")</f>
        <v/>
      </c>
      <c r="H302" s="35" t="str">
        <f>IFERROR(INDEX($X$157:$X$306,MATCH(ROWS($A$157:A302),$AF$157:$AF$306,0)),"")</f>
        <v/>
      </c>
      <c r="I302" s="35" t="str">
        <f>IFERROR(INDEX($Y$157:$Y$306,MATCH(ROWS($A$157:A302),$AF$157:$AF$306,0)),"")</f>
        <v/>
      </c>
      <c r="J302" s="35" t="str">
        <f>IFERROR(INDEX($Z$157:$Z$306,MATCH(ROWS($A$157:A302),$AF$157:$AF$306,0)),"")</f>
        <v/>
      </c>
      <c r="K302" s="35" t="str">
        <f>IFERROR(INDEX($AA$157:$AA$306,MATCH(ROWS($A$157:A302),$AF$157:$AF$306,0)),"")</f>
        <v/>
      </c>
      <c r="L302" s="35" t="str">
        <f>IFERROR(INDEX($AB$157:$AB$306,MATCH(ROWS($A$157:A302),$AF$157:$AF$306,0)),"")</f>
        <v/>
      </c>
      <c r="M302" s="35" t="str">
        <f>IFERROR(INDEX($AC$157:$AC$306,MATCH(ROWS($A$157:A302),$AF$157:$AF$306,0)),"")</f>
        <v/>
      </c>
      <c r="N302" s="35" t="str">
        <f>IFERROR(INDEX($AD$157:$AD$306,MATCH(ROWS($A$157:A302),$AF$157:$AF$306,0)),"")</f>
        <v/>
      </c>
      <c r="Q302" t="str">
        <f>T(JAN!B151)</f>
        <v/>
      </c>
      <c r="R302" t="str">
        <f t="array" ref="R302">IF($Q302="","",_xlfn.TEXTJOIN(", ",TRUE,IF(JAN!$G151:$AK151="AT",JAN!$G$4:$AK$4,"")))</f>
        <v/>
      </c>
      <c r="S302" t="str">
        <f t="array" ref="S302">IF($Q302="","",_xlfn.TEXTJOIN(", ",TRUE,IF(FEV!$G151:$AK151="AT",FEV!$G$4:$AK$4,"")))</f>
        <v/>
      </c>
      <c r="T302" t="str">
        <f t="array" ref="T302">IF($Q302="","",_xlfn.TEXTJOIN(", ",TRUE,IF(MAR!$G151:$AK151="AT",MAR!$G$4:$AK$4,"")))</f>
        <v/>
      </c>
      <c r="U302" t="str">
        <f t="array" ref="U302">IF($Q302="","",_xlfn.TEXTJOIN(", ",TRUE,IF(ABR!$G151:$AK151="AT",ABR!$G$4:$AK$4,"")))</f>
        <v/>
      </c>
      <c r="V302" t="str">
        <f t="array" ref="V302">IF($Q302="","",_xlfn.TEXTJOIN(", ",TRUE,IF(MAI!$G151:$AK151="AT",MAI!$G$4:$AK$4,"")))</f>
        <v/>
      </c>
      <c r="W302" t="str">
        <f t="array" ref="W302">IF($Q302="","",_xlfn.TEXTJOIN(", ",TRUE,IF(JUN!$G151:$AK151="AT",JUN!$G$4:$AK$4,"")))</f>
        <v/>
      </c>
      <c r="X302" t="str">
        <f t="array" ref="X302">IF($Q302="","",_xlfn.TEXTJOIN(", ",TRUE,IF(JUL!$G151:$AK151="AT",JUL!$G$4:$AK$4,"")))</f>
        <v/>
      </c>
      <c r="Y302" t="str">
        <f t="array" ref="Y302">IF($Q302="","",_xlfn.TEXTJOIN(", ",TRUE,IF(AGO!$G151:$AK151="AT",AGO!$G$4:$AK$4,"")))</f>
        <v/>
      </c>
      <c r="Z302" t="str">
        <f t="array" ref="Z302">IF($Q302="","",_xlfn.TEXTJOIN(", ",TRUE,IF(SET!$G151:$AK151="AT",SET!$G$4:$AK$4,"")))</f>
        <v/>
      </c>
      <c r="AA302" t="str">
        <f t="array" ref="AA302">IF($Q302="","",_xlfn.TEXTJOIN(", ",TRUE,IF(OUT!$G151:$AK151="AT",OUT!$G$4:$AK$4,"")))</f>
        <v/>
      </c>
      <c r="AB302" t="str">
        <f t="array" ref="AB302">IF($Q302="","",_xlfn.TEXTJOIN(", ",TRUE,IF(NOV!$G151:$AK151="AT",NOV!$G$4:$AK$4,"")))</f>
        <v/>
      </c>
      <c r="AC302" t="str">
        <f t="array" ref="AC302">IF($Q302="","",_xlfn.TEXTJOIN(", ",TRUE,IF(DEZ!$G151:$AK151="AT",DEZ!$G$4:$AK$4,"")))</f>
        <v/>
      </c>
      <c r="AD302" t="str">
        <f>IF($Q302="","",COUNTIF(JAN!$G151:$AK151,"AT")+COUNTIF(FEV!$G151:$AK151,"AT")+COUNTIF(MAR!$G151:$AK151,"AT")+COUNTIF(ABR!$G151:$AK151,"AT")+COUNTIF(MAI!$G151:$AK151,"AT")+COUNTIF(JUN!$G151:$AK151,"AT")+COUNTIF(JUL!$G151:$AK151,"AT")+COUNTIF(AGO!$G151:$AK151,"AT")+COUNTIF(SET!$G151:$AK151,"AT")+COUNTIF(OUT!$G151:$AK151,"AT")+COUNTIF(NOV!$G151:$AK151,"AT")+COUNTIF(DEZ!$G151:$AK151,"AT"))</f>
        <v/>
      </c>
      <c r="AF302" t="str">
        <f>IF(AND($Q302&lt;&gt;"",N($AD302)&gt;0),COUNT($AF$156:AF301)+1,"")</f>
        <v/>
      </c>
    </row>
    <row r="303" spans="1:32" hidden="1" outlineLevel="1" x14ac:dyDescent="0.25">
      <c r="A303" s="36" t="str">
        <f>IFERROR(INDEX($Q$157:$Q$306,MATCH(ROWS($A$157:A303),$AF$157:$AF$306,0)),"")</f>
        <v/>
      </c>
      <c r="B303" s="35" t="str">
        <f>IFERROR(INDEX($R$157:$R$306,MATCH(ROWS($A$157:A303),$AF$157:$AF$306,0)),"")</f>
        <v/>
      </c>
      <c r="C303" s="35" t="str">
        <f>IFERROR(INDEX($S$157:$S$306,MATCH(ROWS($A$157:A303),$AF$157:$AF$306,0)),"")</f>
        <v/>
      </c>
      <c r="D303" s="35" t="str">
        <f>IFERROR(INDEX($T$157:$T$306,MATCH(ROWS($A$157:A303),$AF$157:$AF$306,0)),"")</f>
        <v/>
      </c>
      <c r="E303" s="35" t="str">
        <f>IFERROR(INDEX($U$157:$U$306,MATCH(ROWS($A$157:A303),$AF$157:$AF$306,0)),"")</f>
        <v/>
      </c>
      <c r="F303" s="35" t="str">
        <f>IFERROR(INDEX($V$157:$V$306,MATCH(ROWS($A$157:A303),$AF$157:$AF$306,0)),"")</f>
        <v/>
      </c>
      <c r="G303" s="35" t="str">
        <f>IFERROR(INDEX($W$157:$W$306,MATCH(ROWS($A$157:A303),$AF$157:$AF$306,0)),"")</f>
        <v/>
      </c>
      <c r="H303" s="35" t="str">
        <f>IFERROR(INDEX($X$157:$X$306,MATCH(ROWS($A$157:A303),$AF$157:$AF$306,0)),"")</f>
        <v/>
      </c>
      <c r="I303" s="35" t="str">
        <f>IFERROR(INDEX($Y$157:$Y$306,MATCH(ROWS($A$157:A303),$AF$157:$AF$306,0)),"")</f>
        <v/>
      </c>
      <c r="J303" s="35" t="str">
        <f>IFERROR(INDEX($Z$157:$Z$306,MATCH(ROWS($A$157:A303),$AF$157:$AF$306,0)),"")</f>
        <v/>
      </c>
      <c r="K303" s="35" t="str">
        <f>IFERROR(INDEX($AA$157:$AA$306,MATCH(ROWS($A$157:A303),$AF$157:$AF$306,0)),"")</f>
        <v/>
      </c>
      <c r="L303" s="35" t="str">
        <f>IFERROR(INDEX($AB$157:$AB$306,MATCH(ROWS($A$157:A303),$AF$157:$AF$306,0)),"")</f>
        <v/>
      </c>
      <c r="M303" s="35" t="str">
        <f>IFERROR(INDEX($AC$157:$AC$306,MATCH(ROWS($A$157:A303),$AF$157:$AF$306,0)),"")</f>
        <v/>
      </c>
      <c r="N303" s="35" t="str">
        <f>IFERROR(INDEX($AD$157:$AD$306,MATCH(ROWS($A$157:A303),$AF$157:$AF$306,0)),"")</f>
        <v/>
      </c>
      <c r="Q303" t="str">
        <f>T(JAN!B152)</f>
        <v/>
      </c>
      <c r="R303" t="str">
        <f t="array" ref="R303">IF($Q303="","",_xlfn.TEXTJOIN(", ",TRUE,IF(JAN!$G152:$AK152="AT",JAN!$G$4:$AK$4,"")))</f>
        <v/>
      </c>
      <c r="S303" t="str">
        <f t="array" ref="S303">IF($Q303="","",_xlfn.TEXTJOIN(", ",TRUE,IF(FEV!$G152:$AK152="AT",FEV!$G$4:$AK$4,"")))</f>
        <v/>
      </c>
      <c r="T303" t="str">
        <f t="array" ref="T303">IF($Q303="","",_xlfn.TEXTJOIN(", ",TRUE,IF(MAR!$G152:$AK152="AT",MAR!$G$4:$AK$4,"")))</f>
        <v/>
      </c>
      <c r="U303" t="str">
        <f t="array" ref="U303">IF($Q303="","",_xlfn.TEXTJOIN(", ",TRUE,IF(ABR!$G152:$AK152="AT",ABR!$G$4:$AK$4,"")))</f>
        <v/>
      </c>
      <c r="V303" t="str">
        <f t="array" ref="V303">IF($Q303="","",_xlfn.TEXTJOIN(", ",TRUE,IF(MAI!$G152:$AK152="AT",MAI!$G$4:$AK$4,"")))</f>
        <v/>
      </c>
      <c r="W303" t="str">
        <f t="array" ref="W303">IF($Q303="","",_xlfn.TEXTJOIN(", ",TRUE,IF(JUN!$G152:$AK152="AT",JUN!$G$4:$AK$4,"")))</f>
        <v/>
      </c>
      <c r="X303" t="str">
        <f t="array" ref="X303">IF($Q303="","",_xlfn.TEXTJOIN(", ",TRUE,IF(JUL!$G152:$AK152="AT",JUL!$G$4:$AK$4,"")))</f>
        <v/>
      </c>
      <c r="Y303" t="str">
        <f t="array" ref="Y303">IF($Q303="","",_xlfn.TEXTJOIN(", ",TRUE,IF(AGO!$G152:$AK152="AT",AGO!$G$4:$AK$4,"")))</f>
        <v/>
      </c>
      <c r="Z303" t="str">
        <f t="array" ref="Z303">IF($Q303="","",_xlfn.TEXTJOIN(", ",TRUE,IF(SET!$G152:$AK152="AT",SET!$G$4:$AK$4,"")))</f>
        <v/>
      </c>
      <c r="AA303" t="str">
        <f t="array" ref="AA303">IF($Q303="","",_xlfn.TEXTJOIN(", ",TRUE,IF(OUT!$G152:$AK152="AT",OUT!$G$4:$AK$4,"")))</f>
        <v/>
      </c>
      <c r="AB303" t="str">
        <f t="array" ref="AB303">IF($Q303="","",_xlfn.TEXTJOIN(", ",TRUE,IF(NOV!$G152:$AK152="AT",NOV!$G$4:$AK$4,"")))</f>
        <v/>
      </c>
      <c r="AC303" t="str">
        <f t="array" ref="AC303">IF($Q303="","",_xlfn.TEXTJOIN(", ",TRUE,IF(DEZ!$G152:$AK152="AT",DEZ!$G$4:$AK$4,"")))</f>
        <v/>
      </c>
      <c r="AD303" t="str">
        <f>IF($Q303="","",COUNTIF(JAN!$G152:$AK152,"AT")+COUNTIF(FEV!$G152:$AK152,"AT")+COUNTIF(MAR!$G152:$AK152,"AT")+COUNTIF(ABR!$G152:$AK152,"AT")+COUNTIF(MAI!$G152:$AK152,"AT")+COUNTIF(JUN!$G152:$AK152,"AT")+COUNTIF(JUL!$G152:$AK152,"AT")+COUNTIF(AGO!$G152:$AK152,"AT")+COUNTIF(SET!$G152:$AK152,"AT")+COUNTIF(OUT!$G152:$AK152,"AT")+COUNTIF(NOV!$G152:$AK152,"AT")+COUNTIF(DEZ!$G152:$AK152,"AT"))</f>
        <v/>
      </c>
      <c r="AF303" t="str">
        <f>IF(AND($Q303&lt;&gt;"",N($AD303)&gt;0),COUNT($AF$156:AF302)+1,"")</f>
        <v/>
      </c>
    </row>
    <row r="304" spans="1:32" hidden="1" outlineLevel="1" x14ac:dyDescent="0.25">
      <c r="A304" s="36" t="str">
        <f>IFERROR(INDEX($Q$157:$Q$306,MATCH(ROWS($A$157:A304),$AF$157:$AF$306,0)),"")</f>
        <v/>
      </c>
      <c r="B304" s="35" t="str">
        <f>IFERROR(INDEX($R$157:$R$306,MATCH(ROWS($A$157:A304),$AF$157:$AF$306,0)),"")</f>
        <v/>
      </c>
      <c r="C304" s="35" t="str">
        <f>IFERROR(INDEX($S$157:$S$306,MATCH(ROWS($A$157:A304),$AF$157:$AF$306,0)),"")</f>
        <v/>
      </c>
      <c r="D304" s="35" t="str">
        <f>IFERROR(INDEX($T$157:$T$306,MATCH(ROWS($A$157:A304),$AF$157:$AF$306,0)),"")</f>
        <v/>
      </c>
      <c r="E304" s="35" t="str">
        <f>IFERROR(INDEX($U$157:$U$306,MATCH(ROWS($A$157:A304),$AF$157:$AF$306,0)),"")</f>
        <v/>
      </c>
      <c r="F304" s="35" t="str">
        <f>IFERROR(INDEX($V$157:$V$306,MATCH(ROWS($A$157:A304),$AF$157:$AF$306,0)),"")</f>
        <v/>
      </c>
      <c r="G304" s="35" t="str">
        <f>IFERROR(INDEX($W$157:$W$306,MATCH(ROWS($A$157:A304),$AF$157:$AF$306,0)),"")</f>
        <v/>
      </c>
      <c r="H304" s="35" t="str">
        <f>IFERROR(INDEX($X$157:$X$306,MATCH(ROWS($A$157:A304),$AF$157:$AF$306,0)),"")</f>
        <v/>
      </c>
      <c r="I304" s="35" t="str">
        <f>IFERROR(INDEX($Y$157:$Y$306,MATCH(ROWS($A$157:A304),$AF$157:$AF$306,0)),"")</f>
        <v/>
      </c>
      <c r="J304" s="35" t="str">
        <f>IFERROR(INDEX($Z$157:$Z$306,MATCH(ROWS($A$157:A304),$AF$157:$AF$306,0)),"")</f>
        <v/>
      </c>
      <c r="K304" s="35" t="str">
        <f>IFERROR(INDEX($AA$157:$AA$306,MATCH(ROWS($A$157:A304),$AF$157:$AF$306,0)),"")</f>
        <v/>
      </c>
      <c r="L304" s="35" t="str">
        <f>IFERROR(INDEX($AB$157:$AB$306,MATCH(ROWS($A$157:A304),$AF$157:$AF$306,0)),"")</f>
        <v/>
      </c>
      <c r="M304" s="35" t="str">
        <f>IFERROR(INDEX($AC$157:$AC$306,MATCH(ROWS($A$157:A304),$AF$157:$AF$306,0)),"")</f>
        <v/>
      </c>
      <c r="N304" s="35" t="str">
        <f>IFERROR(INDEX($AD$157:$AD$306,MATCH(ROWS($A$157:A304),$AF$157:$AF$306,0)),"")</f>
        <v/>
      </c>
      <c r="Q304" t="str">
        <f>T(JAN!B153)</f>
        <v/>
      </c>
      <c r="R304" t="str">
        <f t="array" ref="R304">IF($Q304="","",_xlfn.TEXTJOIN(", ",TRUE,IF(JAN!$G153:$AK153="AT",JAN!$G$4:$AK$4,"")))</f>
        <v/>
      </c>
      <c r="S304" t="str">
        <f t="array" ref="S304">IF($Q304="","",_xlfn.TEXTJOIN(", ",TRUE,IF(FEV!$G153:$AK153="AT",FEV!$G$4:$AK$4,"")))</f>
        <v/>
      </c>
      <c r="T304" t="str">
        <f t="array" ref="T304">IF($Q304="","",_xlfn.TEXTJOIN(", ",TRUE,IF(MAR!$G153:$AK153="AT",MAR!$G$4:$AK$4,"")))</f>
        <v/>
      </c>
      <c r="U304" t="str">
        <f t="array" ref="U304">IF($Q304="","",_xlfn.TEXTJOIN(", ",TRUE,IF(ABR!$G153:$AK153="AT",ABR!$G$4:$AK$4,"")))</f>
        <v/>
      </c>
      <c r="V304" t="str">
        <f t="array" ref="V304">IF($Q304="","",_xlfn.TEXTJOIN(", ",TRUE,IF(MAI!$G153:$AK153="AT",MAI!$G$4:$AK$4,"")))</f>
        <v/>
      </c>
      <c r="W304" t="str">
        <f t="array" ref="W304">IF($Q304="","",_xlfn.TEXTJOIN(", ",TRUE,IF(JUN!$G153:$AK153="AT",JUN!$G$4:$AK$4,"")))</f>
        <v/>
      </c>
      <c r="X304" t="str">
        <f t="array" ref="X304">IF($Q304="","",_xlfn.TEXTJOIN(", ",TRUE,IF(JUL!$G153:$AK153="AT",JUL!$G$4:$AK$4,"")))</f>
        <v/>
      </c>
      <c r="Y304" t="str">
        <f t="array" ref="Y304">IF($Q304="","",_xlfn.TEXTJOIN(", ",TRUE,IF(AGO!$G153:$AK153="AT",AGO!$G$4:$AK$4,"")))</f>
        <v/>
      </c>
      <c r="Z304" t="str">
        <f t="array" ref="Z304">IF($Q304="","",_xlfn.TEXTJOIN(", ",TRUE,IF(SET!$G153:$AK153="AT",SET!$G$4:$AK$4,"")))</f>
        <v/>
      </c>
      <c r="AA304" t="str">
        <f t="array" ref="AA304">IF($Q304="","",_xlfn.TEXTJOIN(", ",TRUE,IF(OUT!$G153:$AK153="AT",OUT!$G$4:$AK$4,"")))</f>
        <v/>
      </c>
      <c r="AB304" t="str">
        <f t="array" ref="AB304">IF($Q304="","",_xlfn.TEXTJOIN(", ",TRUE,IF(NOV!$G153:$AK153="AT",NOV!$G$4:$AK$4,"")))</f>
        <v/>
      </c>
      <c r="AC304" t="str">
        <f t="array" ref="AC304">IF($Q304="","",_xlfn.TEXTJOIN(", ",TRUE,IF(DEZ!$G153:$AK153="AT",DEZ!$G$4:$AK$4,"")))</f>
        <v/>
      </c>
      <c r="AD304" t="str">
        <f>IF($Q304="","",COUNTIF(JAN!$G153:$AK153,"AT")+COUNTIF(FEV!$G153:$AK153,"AT")+COUNTIF(MAR!$G153:$AK153,"AT")+COUNTIF(ABR!$G153:$AK153,"AT")+COUNTIF(MAI!$G153:$AK153,"AT")+COUNTIF(JUN!$G153:$AK153,"AT")+COUNTIF(JUL!$G153:$AK153,"AT")+COUNTIF(AGO!$G153:$AK153,"AT")+COUNTIF(SET!$G153:$AK153,"AT")+COUNTIF(OUT!$G153:$AK153,"AT")+COUNTIF(NOV!$G153:$AK153,"AT")+COUNTIF(DEZ!$G153:$AK153,"AT"))</f>
        <v/>
      </c>
      <c r="AF304" t="str">
        <f>IF(AND($Q304&lt;&gt;"",N($AD304)&gt;0),COUNT($AF$156:AF303)+1,"")</f>
        <v/>
      </c>
    </row>
    <row r="305" spans="1:32" hidden="1" outlineLevel="1" x14ac:dyDescent="0.25">
      <c r="A305" s="36" t="str">
        <f>IFERROR(INDEX($Q$157:$Q$306,MATCH(ROWS($A$157:A305),$AF$157:$AF$306,0)),"")</f>
        <v/>
      </c>
      <c r="B305" s="35" t="str">
        <f>IFERROR(INDEX($R$157:$R$306,MATCH(ROWS($A$157:A305),$AF$157:$AF$306,0)),"")</f>
        <v/>
      </c>
      <c r="C305" s="35" t="str">
        <f>IFERROR(INDEX($S$157:$S$306,MATCH(ROWS($A$157:A305),$AF$157:$AF$306,0)),"")</f>
        <v/>
      </c>
      <c r="D305" s="35" t="str">
        <f>IFERROR(INDEX($T$157:$T$306,MATCH(ROWS($A$157:A305),$AF$157:$AF$306,0)),"")</f>
        <v/>
      </c>
      <c r="E305" s="35" t="str">
        <f>IFERROR(INDEX($U$157:$U$306,MATCH(ROWS($A$157:A305),$AF$157:$AF$306,0)),"")</f>
        <v/>
      </c>
      <c r="F305" s="35" t="str">
        <f>IFERROR(INDEX($V$157:$V$306,MATCH(ROWS($A$157:A305),$AF$157:$AF$306,0)),"")</f>
        <v/>
      </c>
      <c r="G305" s="35" t="str">
        <f>IFERROR(INDEX($W$157:$W$306,MATCH(ROWS($A$157:A305),$AF$157:$AF$306,0)),"")</f>
        <v/>
      </c>
      <c r="H305" s="35" t="str">
        <f>IFERROR(INDEX($X$157:$X$306,MATCH(ROWS($A$157:A305),$AF$157:$AF$306,0)),"")</f>
        <v/>
      </c>
      <c r="I305" s="35" t="str">
        <f>IFERROR(INDEX($Y$157:$Y$306,MATCH(ROWS($A$157:A305),$AF$157:$AF$306,0)),"")</f>
        <v/>
      </c>
      <c r="J305" s="35" t="str">
        <f>IFERROR(INDEX($Z$157:$Z$306,MATCH(ROWS($A$157:A305),$AF$157:$AF$306,0)),"")</f>
        <v/>
      </c>
      <c r="K305" s="35" t="str">
        <f>IFERROR(INDEX($AA$157:$AA$306,MATCH(ROWS($A$157:A305),$AF$157:$AF$306,0)),"")</f>
        <v/>
      </c>
      <c r="L305" s="35" t="str">
        <f>IFERROR(INDEX($AB$157:$AB$306,MATCH(ROWS($A$157:A305),$AF$157:$AF$306,0)),"")</f>
        <v/>
      </c>
      <c r="M305" s="35" t="str">
        <f>IFERROR(INDEX($AC$157:$AC$306,MATCH(ROWS($A$157:A305),$AF$157:$AF$306,0)),"")</f>
        <v/>
      </c>
      <c r="N305" s="35" t="str">
        <f>IFERROR(INDEX($AD$157:$AD$306,MATCH(ROWS($A$157:A305),$AF$157:$AF$306,0)),"")</f>
        <v/>
      </c>
      <c r="Q305" t="str">
        <f>T(JAN!B154)</f>
        <v/>
      </c>
      <c r="R305" t="str">
        <f t="array" ref="R305">IF($Q305="","",_xlfn.TEXTJOIN(", ",TRUE,IF(JAN!$G154:$AK154="AT",JAN!$G$4:$AK$4,"")))</f>
        <v/>
      </c>
      <c r="S305" t="str">
        <f t="array" ref="S305">IF($Q305="","",_xlfn.TEXTJOIN(", ",TRUE,IF(FEV!$G154:$AK154="AT",FEV!$G$4:$AK$4,"")))</f>
        <v/>
      </c>
      <c r="T305" t="str">
        <f t="array" ref="T305">IF($Q305="","",_xlfn.TEXTJOIN(", ",TRUE,IF(MAR!$G154:$AK154="AT",MAR!$G$4:$AK$4,"")))</f>
        <v/>
      </c>
      <c r="U305" t="str">
        <f t="array" ref="U305">IF($Q305="","",_xlfn.TEXTJOIN(", ",TRUE,IF(ABR!$G154:$AK154="AT",ABR!$G$4:$AK$4,"")))</f>
        <v/>
      </c>
      <c r="V305" t="str">
        <f t="array" ref="V305">IF($Q305="","",_xlfn.TEXTJOIN(", ",TRUE,IF(MAI!$G154:$AK154="AT",MAI!$G$4:$AK$4,"")))</f>
        <v/>
      </c>
      <c r="W305" t="str">
        <f t="array" ref="W305">IF($Q305="","",_xlfn.TEXTJOIN(", ",TRUE,IF(JUN!$G154:$AK154="AT",JUN!$G$4:$AK$4,"")))</f>
        <v/>
      </c>
      <c r="X305" t="str">
        <f t="array" ref="X305">IF($Q305="","",_xlfn.TEXTJOIN(", ",TRUE,IF(JUL!$G154:$AK154="AT",JUL!$G$4:$AK$4,"")))</f>
        <v/>
      </c>
      <c r="Y305" t="str">
        <f t="array" ref="Y305">IF($Q305="","",_xlfn.TEXTJOIN(", ",TRUE,IF(AGO!$G154:$AK154="AT",AGO!$G$4:$AK$4,"")))</f>
        <v/>
      </c>
      <c r="Z305" t="str">
        <f t="array" ref="Z305">IF($Q305="","",_xlfn.TEXTJOIN(", ",TRUE,IF(SET!$G154:$AK154="AT",SET!$G$4:$AK$4,"")))</f>
        <v/>
      </c>
      <c r="AA305" t="str">
        <f t="array" ref="AA305">IF($Q305="","",_xlfn.TEXTJOIN(", ",TRUE,IF(OUT!$G154:$AK154="AT",OUT!$G$4:$AK$4,"")))</f>
        <v/>
      </c>
      <c r="AB305" t="str">
        <f t="array" ref="AB305">IF($Q305="","",_xlfn.TEXTJOIN(", ",TRUE,IF(NOV!$G154:$AK154="AT",NOV!$G$4:$AK$4,"")))</f>
        <v/>
      </c>
      <c r="AC305" t="str">
        <f t="array" ref="AC305">IF($Q305="","",_xlfn.TEXTJOIN(", ",TRUE,IF(DEZ!$G154:$AK154="AT",DEZ!$G$4:$AK$4,"")))</f>
        <v/>
      </c>
      <c r="AD305" t="str">
        <f>IF($Q305="","",COUNTIF(JAN!$G154:$AK154,"AT")+COUNTIF(FEV!$G154:$AK154,"AT")+COUNTIF(MAR!$G154:$AK154,"AT")+COUNTIF(ABR!$G154:$AK154,"AT")+COUNTIF(MAI!$G154:$AK154,"AT")+COUNTIF(JUN!$G154:$AK154,"AT")+COUNTIF(JUL!$G154:$AK154,"AT")+COUNTIF(AGO!$G154:$AK154,"AT")+COUNTIF(SET!$G154:$AK154,"AT")+COUNTIF(OUT!$G154:$AK154,"AT")+COUNTIF(NOV!$G154:$AK154,"AT")+COUNTIF(DEZ!$G154:$AK154,"AT"))</f>
        <v/>
      </c>
      <c r="AF305" t="str">
        <f>IF(AND($Q305&lt;&gt;"",N($AD305)&gt;0),COUNT($AF$156:AF304)+1,"")</f>
        <v/>
      </c>
    </row>
    <row r="306" spans="1:32" hidden="1" outlineLevel="1" x14ac:dyDescent="0.25">
      <c r="A306" s="36" t="str">
        <f>IFERROR(INDEX($Q$157:$Q$306,MATCH(ROWS($A$157:A306),$AF$157:$AF$306,0)),"")</f>
        <v/>
      </c>
      <c r="B306" s="35" t="str">
        <f>IFERROR(INDEX($R$157:$R$306,MATCH(ROWS($A$157:A306),$AF$157:$AF$306,0)),"")</f>
        <v/>
      </c>
      <c r="C306" s="35" t="str">
        <f>IFERROR(INDEX($S$157:$S$306,MATCH(ROWS($A$157:A306),$AF$157:$AF$306,0)),"")</f>
        <v/>
      </c>
      <c r="D306" s="35" t="str">
        <f>IFERROR(INDEX($T$157:$T$306,MATCH(ROWS($A$157:A306),$AF$157:$AF$306,0)),"")</f>
        <v/>
      </c>
      <c r="E306" s="35" t="str">
        <f>IFERROR(INDEX($U$157:$U$306,MATCH(ROWS($A$157:A306),$AF$157:$AF$306,0)),"")</f>
        <v/>
      </c>
      <c r="F306" s="35" t="str">
        <f>IFERROR(INDEX($V$157:$V$306,MATCH(ROWS($A$157:A306),$AF$157:$AF$306,0)),"")</f>
        <v/>
      </c>
      <c r="G306" s="35" t="str">
        <f>IFERROR(INDEX($W$157:$W$306,MATCH(ROWS($A$157:A306),$AF$157:$AF$306,0)),"")</f>
        <v/>
      </c>
      <c r="H306" s="35" t="str">
        <f>IFERROR(INDEX($X$157:$X$306,MATCH(ROWS($A$157:A306),$AF$157:$AF$306,0)),"")</f>
        <v/>
      </c>
      <c r="I306" s="35" t="str">
        <f>IFERROR(INDEX($Y$157:$Y$306,MATCH(ROWS($A$157:A306),$AF$157:$AF$306,0)),"")</f>
        <v/>
      </c>
      <c r="J306" s="35" t="str">
        <f>IFERROR(INDEX($Z$157:$Z$306,MATCH(ROWS($A$157:A306),$AF$157:$AF$306,0)),"")</f>
        <v/>
      </c>
      <c r="K306" s="35" t="str">
        <f>IFERROR(INDEX($AA$157:$AA$306,MATCH(ROWS($A$157:A306),$AF$157:$AF$306,0)),"")</f>
        <v/>
      </c>
      <c r="L306" s="35" t="str">
        <f>IFERROR(INDEX($AB$157:$AB$306,MATCH(ROWS($A$157:A306),$AF$157:$AF$306,0)),"")</f>
        <v/>
      </c>
      <c r="M306" s="35" t="str">
        <f>IFERROR(INDEX($AC$157:$AC$306,MATCH(ROWS($A$157:A306),$AF$157:$AF$306,0)),"")</f>
        <v/>
      </c>
      <c r="N306" s="35" t="str">
        <f>IFERROR(INDEX($AD$157:$AD$306,MATCH(ROWS($A$157:A306),$AF$157:$AF$306,0)),"")</f>
        <v/>
      </c>
      <c r="Q306" t="str">
        <f>T(JAN!B155)</f>
        <v/>
      </c>
      <c r="R306" t="str">
        <f t="array" ref="R306">IF($Q306="","",_xlfn.TEXTJOIN(", ",TRUE,IF(JAN!$G155:$AK155="AT",JAN!$G$4:$AK$4,"")))</f>
        <v/>
      </c>
      <c r="S306" t="str">
        <f t="array" ref="S306">IF($Q306="","",_xlfn.TEXTJOIN(", ",TRUE,IF(FEV!$G155:$AK155="AT",FEV!$G$4:$AK$4,"")))</f>
        <v/>
      </c>
      <c r="T306" t="str">
        <f t="array" ref="T306">IF($Q306="","",_xlfn.TEXTJOIN(", ",TRUE,IF(MAR!$G155:$AK155="AT",MAR!$G$4:$AK$4,"")))</f>
        <v/>
      </c>
      <c r="U306" t="str">
        <f t="array" ref="U306">IF($Q306="","",_xlfn.TEXTJOIN(", ",TRUE,IF(ABR!$G155:$AK155="AT",ABR!$G$4:$AK$4,"")))</f>
        <v/>
      </c>
      <c r="V306" t="str">
        <f t="array" ref="V306">IF($Q306="","",_xlfn.TEXTJOIN(", ",TRUE,IF(MAI!$G155:$AK155="AT",MAI!$G$4:$AK$4,"")))</f>
        <v/>
      </c>
      <c r="W306" t="str">
        <f t="array" ref="W306">IF($Q306="","",_xlfn.TEXTJOIN(", ",TRUE,IF(JUN!$G155:$AK155="AT",JUN!$G$4:$AK$4,"")))</f>
        <v/>
      </c>
      <c r="X306" t="str">
        <f t="array" ref="X306">IF($Q306="","",_xlfn.TEXTJOIN(", ",TRUE,IF(JUL!$G155:$AK155="AT",JUL!$G$4:$AK$4,"")))</f>
        <v/>
      </c>
      <c r="Y306" t="str">
        <f t="array" ref="Y306">IF($Q306="","",_xlfn.TEXTJOIN(", ",TRUE,IF(AGO!$G155:$AK155="AT",AGO!$G$4:$AK$4,"")))</f>
        <v/>
      </c>
      <c r="Z306" t="str">
        <f t="array" ref="Z306">IF($Q306="","",_xlfn.TEXTJOIN(", ",TRUE,IF(SET!$G155:$AK155="AT",SET!$G$4:$AK$4,"")))</f>
        <v/>
      </c>
      <c r="AA306" t="str">
        <f t="array" ref="AA306">IF($Q306="","",_xlfn.TEXTJOIN(", ",TRUE,IF(OUT!$G155:$AK155="AT",OUT!$G$4:$AK$4,"")))</f>
        <v/>
      </c>
      <c r="AB306" t="str">
        <f t="array" ref="AB306">IF($Q306="","",_xlfn.TEXTJOIN(", ",TRUE,IF(NOV!$G155:$AK155="AT",NOV!$G$4:$AK$4,"")))</f>
        <v/>
      </c>
      <c r="AC306" t="str">
        <f t="array" ref="AC306">IF($Q306="","",_xlfn.TEXTJOIN(", ",TRUE,IF(DEZ!$G155:$AK155="AT",DEZ!$G$4:$AK$4,"")))</f>
        <v/>
      </c>
      <c r="AD306" t="str">
        <f>IF($Q306="","",COUNTIF(JAN!$G155:$AK155,"AT")+COUNTIF(FEV!$G155:$AK155,"AT")+COUNTIF(MAR!$G155:$AK155,"AT")+COUNTIF(ABR!$G155:$AK155,"AT")+COUNTIF(MAI!$G155:$AK155,"AT")+COUNTIF(JUN!$G155:$AK155,"AT")+COUNTIF(JUL!$G155:$AK155,"AT")+COUNTIF(AGO!$G155:$AK155,"AT")+COUNTIF(SET!$G155:$AK155,"AT")+COUNTIF(OUT!$G155:$AK155,"AT")+COUNTIF(NOV!$G155:$AK155,"AT")+COUNTIF(DEZ!$G155:$AK155,"AT"))</f>
        <v/>
      </c>
      <c r="AF306" t="str">
        <f>IF(AND($Q306&lt;&gt;"",N($AD306)&gt;0),COUNT($AF$156:AF305)+1,"")</f>
        <v/>
      </c>
    </row>
    <row r="307" spans="1:32" hidden="1" outlineLevel="1" x14ac:dyDescent="0.25"/>
    <row r="308" spans="1:32" collapsed="1" x14ac:dyDescent="0.25">
      <c r="A308" s="49" t="s">
        <v>151</v>
      </c>
    </row>
    <row r="309" spans="1:32" x14ac:dyDescent="0.25">
      <c r="A309" s="34" t="s">
        <v>27</v>
      </c>
      <c r="B309" s="34" t="s">
        <v>134</v>
      </c>
      <c r="C309" s="34" t="s">
        <v>135</v>
      </c>
      <c r="D309" s="34" t="s">
        <v>136</v>
      </c>
      <c r="E309" s="34" t="s">
        <v>137</v>
      </c>
      <c r="F309" s="34" t="s">
        <v>138</v>
      </c>
      <c r="G309" s="34" t="s">
        <v>139</v>
      </c>
      <c r="H309" s="34" t="s">
        <v>140</v>
      </c>
      <c r="I309" s="34" t="s">
        <v>141</v>
      </c>
      <c r="J309" s="34" t="s">
        <v>6</v>
      </c>
      <c r="K309" s="34" t="s">
        <v>142</v>
      </c>
      <c r="L309" s="34" t="s">
        <v>143</v>
      </c>
      <c r="M309" s="34" t="s">
        <v>144</v>
      </c>
      <c r="N309" s="34" t="s">
        <v>152</v>
      </c>
    </row>
    <row r="310" spans="1:32" ht="20.100000000000001" customHeight="1" x14ac:dyDescent="0.25">
      <c r="A310" s="71" t="str">
        <f>IFERROR(INDEX($Q$310:$Q$459,MATCH(ROWS($A$310:A310),$AF$310:$AF$459,0)),"")</f>
        <v>MISAEL SANTOS 37002097</v>
      </c>
      <c r="B310" s="72" t="str">
        <f>IFERROR(INDEX($R$310:$R$459,MATCH(ROWS($A$310:A310),$AF$310:$AF$459,0)),"")</f>
        <v/>
      </c>
      <c r="C310" s="72" t="str">
        <f>IFERROR(INDEX($S$310:$S$459,MATCH(ROWS($A$310:A310),$AF$310:$AF$459,0)),"")</f>
        <v/>
      </c>
      <c r="D310" s="72" t="str">
        <f>IFERROR(INDEX($T$310:$T$459,MATCH(ROWS($A$310:A310),$AF$310:$AF$459,0)),"")</f>
        <v/>
      </c>
      <c r="E310" s="72" t="str">
        <f>IFERROR(INDEX($U$310:$U$459,MATCH(ROWS($A$310:A310),$AF$310:$AF$459,0)),"")</f>
        <v/>
      </c>
      <c r="F310" s="72" t="str">
        <f>IFERROR(INDEX($V$310:$V$459,MATCH(ROWS($A$310:A310),$AF$310:$AF$459,0)),"")</f>
        <v/>
      </c>
      <c r="G310" s="72" t="str">
        <f>IFERROR(INDEX($W$310:$W$459,MATCH(ROWS($A$310:A310),$AF$310:$AF$459,0)),"")</f>
        <v/>
      </c>
      <c r="H310" s="74" t="str">
        <f>IFERROR(INDEX($X$310:$X$459,MATCH(ROWS($A$310:A310),$AF$310:$AF$459,0)),"")</f>
        <v/>
      </c>
      <c r="I310" s="72" t="str">
        <f>IFERROR(INDEX($Y$310:$Y$459,MATCH(ROWS($A$310:A310),$AF$310:$AF$459,0)),"")</f>
        <v/>
      </c>
      <c r="J310" s="72" t="str">
        <f>IFERROR(INDEX($Z$310:$Z$459,MATCH(ROWS($A$310:A310),$AF$310:$AF$459,0)),"")</f>
        <v/>
      </c>
      <c r="K310" s="72" t="str">
        <f>IFERROR(INDEX($AA$310:$AA$459,MATCH(ROWS($A$310:A310),$AF$310:$AF$459,0)),"")</f>
        <v>5, 6, 7, 8, 9, 10, 11, 12, 13, 14, 15, 16, 17, 18, 19, 20</v>
      </c>
      <c r="L310" s="72" t="str">
        <f>IFERROR(INDEX($AB$310:$AB$459,MATCH(ROWS($A$310:A310),$AF$310:$AF$459,0)),"")</f>
        <v/>
      </c>
      <c r="M310" s="72" t="str">
        <f>IFERROR(INDEX($AC$310:$AC$459,MATCH(ROWS($A$310:A310),$AF$310:$AF$459,0)),"")</f>
        <v/>
      </c>
      <c r="N310" s="71">
        <f>IFERROR(INDEX($AD$310:$AD$459,MATCH(ROWS($A$310:A310),$AF$310:$AF$459,0)),"")</f>
        <v>16</v>
      </c>
      <c r="Q310" t="str">
        <f>T(JAN!B6)</f>
        <v>ROGÉRIO OLIVEIRA 75001</v>
      </c>
      <c r="R310" t="str">
        <f t="array" ref="R310">IF($Q310="","",_xlfn.TEXTJOIN(", ",TRUE,IF(JAN!$G6:$AK6="FE",JAN!$G$4:$AK$4,"")))</f>
        <v/>
      </c>
      <c r="S310" t="str">
        <f t="array" ref="S310">IF($Q310="","",_xlfn.TEXTJOIN(", ",TRUE,IF(FEV!$G6:$AK6="FE",FEV!$G$4:$AK$4,"")))</f>
        <v/>
      </c>
      <c r="T310" t="str">
        <f t="array" ref="T310">IF($Q310="","",_xlfn.TEXTJOIN(", ",TRUE,IF(MAR!$G6:$AK6="FE",MAR!$G$4:$AK$4,"")))</f>
        <v/>
      </c>
      <c r="U310" t="str">
        <f t="array" ref="U310">IF($Q310="","",_xlfn.TEXTJOIN(", ",TRUE,IF(ABR!$G6:$AK6="FE",ABR!$G$4:$AK$4,"")))</f>
        <v/>
      </c>
      <c r="V310" t="str">
        <f t="array" ref="V310">IF($Q310="","",_xlfn.TEXTJOIN(", ",TRUE,IF(MAI!$G6:$AK6="FE",MAI!$G$4:$AK$4,"")))</f>
        <v/>
      </c>
      <c r="W310" t="str">
        <f t="array" ref="W310">IF($Q310="","",_xlfn.TEXTJOIN(", ",TRUE,IF(JUN!$G6:$AK6="FE",JUN!$G$4:$AK$4,"")))</f>
        <v/>
      </c>
      <c r="X310" t="str">
        <f t="array" ref="X310">IF($Q310="","",_xlfn.TEXTJOIN(", ",TRUE,IF(JUL!$G6:$AK6="FE",JUL!$G$4:$AK$4,"")))</f>
        <v/>
      </c>
      <c r="Y310" t="str">
        <f t="array" ref="Y310">IF($Q310="","",_xlfn.TEXTJOIN(", ",TRUE,IF(AGO!$G6:$AK6="FE",AGO!$G$4:$AK$4,"")))</f>
        <v/>
      </c>
      <c r="Z310" t="str">
        <f t="array" ref="Z310">IF($Q310="","",_xlfn.TEXTJOIN(", ",TRUE,IF(SET!$G6:$AK6="FE",SET!$G$4:$AK$4,"")))</f>
        <v/>
      </c>
      <c r="AA310" t="str">
        <f t="array" ref="AA310">IF($Q310="","",_xlfn.TEXTJOIN(", ",TRUE,IF(OUT!$G6:$AK6="FE",OUT!$G$4:$AK$4,"")))</f>
        <v/>
      </c>
      <c r="AB310" t="str">
        <f t="array" ref="AB310">IF($Q310="","",_xlfn.TEXTJOIN(", ",TRUE,IF(NOV!$G6:$AK6="FE",NOV!$G$4:$AK$4,"")))</f>
        <v/>
      </c>
      <c r="AC310" t="str">
        <f t="array" ref="AC310">IF($Q310="","",_xlfn.TEXTJOIN(", ",TRUE,IF(DEZ!$G6:$AK6="FE",DEZ!$G$4:$AK$4,"")))</f>
        <v/>
      </c>
      <c r="AD310">
        <f>IF($Q310="","",COUNTIF(JAN!$G6:$AK6,"FE")+COUNTIF(FEV!$G6:$AK6,"FE")+COUNTIF(MAR!$G6:$AK6,"FE")+COUNTIF(ABR!$G6:$AK6,"FE")+COUNTIF(MAI!$G6:$AK6,"FE")+COUNTIF(JUN!$G6:$AK6,"FE")+COUNTIF(JUL!$G6:$AK6,"FE")+COUNTIF(AGO!$G6:$AK6,"FE")+COUNTIF(SET!$G6:$AK6,"FE")+COUNTIF(OUT!$G6:$AK6,"FE")+COUNTIF(NOV!$G6:$AK6,"FE")+COUNTIF(DEZ!$G6:$AK6,"FE"))</f>
        <v>0</v>
      </c>
      <c r="AF310" t="str">
        <f>IF(AND($Q310&lt;&gt;"",N($AD310)&gt;0),COUNT($AF$309:AF309)+1,"")</f>
        <v/>
      </c>
    </row>
    <row r="311" spans="1:32" ht="20.100000000000001" customHeight="1" x14ac:dyDescent="0.25">
      <c r="A311" s="71" t="str">
        <f>IFERROR(INDEX($Q$310:$Q$459,MATCH(ROWS($A$310:A311),$AF$310:$AF$459,0)),"")</f>
        <v>RENATO GUEDES 381901</v>
      </c>
      <c r="B311" s="72" t="str">
        <f>IFERROR(INDEX($R$310:$R$459,MATCH(ROWS($A$310:A311),$AF$310:$AF$459,0)),"")</f>
        <v/>
      </c>
      <c r="C311" s="72" t="str">
        <f>IFERROR(INDEX($S$310:$S$459,MATCH(ROWS($A$310:A311),$AF$310:$AF$459,0)),"")</f>
        <v/>
      </c>
      <c r="D311" s="72" t="str">
        <f>IFERROR(INDEX($T$310:$T$459,MATCH(ROWS($A$310:A311),$AF$310:$AF$459,0)),"")</f>
        <v/>
      </c>
      <c r="E311" s="72" t="str">
        <f>IFERROR(INDEX($U$310:$U$459,MATCH(ROWS($A$310:A311),$AF$310:$AF$459,0)),"")</f>
        <v/>
      </c>
      <c r="F311" s="72" t="str">
        <f>IFERROR(INDEX($V$310:$V$459,MATCH(ROWS($A$310:A311),$AF$310:$AF$459,0)),"")</f>
        <v/>
      </c>
      <c r="G311" s="72" t="str">
        <f>IFERROR(INDEX($W$310:$W$459,MATCH(ROWS($A$310:A311),$AF$310:$AF$459,0)),"")</f>
        <v/>
      </c>
      <c r="H311" s="75" t="str">
        <f>IFERROR(INDEX($X$310:$X$459,MATCH(ROWS($A$310:A311),$AF$310:$AF$459,0)),"")</f>
        <v/>
      </c>
      <c r="I311" s="72" t="str">
        <f>IFERROR(INDEX($Y$310:$Y$459,MATCH(ROWS($A$310:A311),$AF$310:$AF$459,0)),"")</f>
        <v/>
      </c>
      <c r="J311" s="72" t="str">
        <f>IFERROR(INDEX($Z$310:$Z$459,MATCH(ROWS($A$310:A311),$AF$310:$AF$459,0)),"")</f>
        <v>14, 15, 16, 17, 18, 19, 20, 21, 22, 23, 24, 25, 26, 27, 28, 29</v>
      </c>
      <c r="K311" s="72" t="str">
        <f>IFERROR(INDEX($AA$310:$AA$459,MATCH(ROWS($A$310:A311),$AF$310:$AF$459,0)),"")</f>
        <v/>
      </c>
      <c r="L311" s="72" t="str">
        <f>IFERROR(INDEX($AB$310:$AB$459,MATCH(ROWS($A$310:A311),$AF$310:$AF$459,0)),"")</f>
        <v/>
      </c>
      <c r="M311" s="72" t="str">
        <f>IFERROR(INDEX($AC$310:$AC$459,MATCH(ROWS($A$310:A311),$AF$310:$AF$459,0)),"")</f>
        <v/>
      </c>
      <c r="N311" s="71">
        <f>IFERROR(INDEX($AD$310:$AD$459,MATCH(ROWS($A$310:A311),$AF$310:$AF$459,0)),"")</f>
        <v>16</v>
      </c>
      <c r="Q311" t="str">
        <f>T(JAN!B7)</f>
        <v>IVÃ DE PAULA 393701</v>
      </c>
      <c r="R311" t="str">
        <f t="array" ref="R311">IF($Q311="","",_xlfn.TEXTJOIN(", ",TRUE,IF(JAN!$G7:$AK7="FE",JAN!$G$4:$AK$4,"")))</f>
        <v/>
      </c>
      <c r="S311" t="str">
        <f t="array" ref="S311">IF($Q311="","",_xlfn.TEXTJOIN(", ",TRUE,IF(FEV!$G7:$AK7="FE",FEV!$G$4:$AK$4,"")))</f>
        <v/>
      </c>
      <c r="T311" t="str">
        <f t="array" ref="T311">IF($Q311="","",_xlfn.TEXTJOIN(", ",TRUE,IF(MAR!$G7:$AK7="FE",MAR!$G$4:$AK$4,"")))</f>
        <v/>
      </c>
      <c r="U311" t="str">
        <f t="array" ref="U311">IF($Q311="","",_xlfn.TEXTJOIN(", ",TRUE,IF(ABR!$G7:$AK7="FE",ABR!$G$4:$AK$4,"")))</f>
        <v/>
      </c>
      <c r="V311" t="str">
        <f t="array" ref="V311">IF($Q311="","",_xlfn.TEXTJOIN(", ",TRUE,IF(MAI!$G7:$AK7="FE",MAI!$G$4:$AK$4,"")))</f>
        <v/>
      </c>
      <c r="W311" t="str">
        <f t="array" ref="W311">IF($Q311="","",_xlfn.TEXTJOIN(", ",TRUE,IF(JUN!$G7:$AK7="FE",JUN!$G$4:$AK$4,"")))</f>
        <v/>
      </c>
      <c r="X311" t="str">
        <f t="array" ref="X311">IF($Q311="","",_xlfn.TEXTJOIN(", ",TRUE,IF(JUL!$G7:$AK7="FE",JUL!$G$4:$AK$4,"")))</f>
        <v/>
      </c>
      <c r="Y311" t="str">
        <f t="array" ref="Y311">IF($Q311="","",_xlfn.TEXTJOIN(", ",TRUE,IF(AGO!$G7:$AK7="FE",AGO!$G$4:$AK$4,"")))</f>
        <v/>
      </c>
      <c r="Z311" t="str">
        <f t="array" ref="Z311">IF($Q311="","",_xlfn.TEXTJOIN(", ",TRUE,IF(SET!$G7:$AK7="FE",SET!$G$4:$AK$4,"")))</f>
        <v/>
      </c>
      <c r="AA311" t="str">
        <f t="array" ref="AA311">IF($Q311="","",_xlfn.TEXTJOIN(", ",TRUE,IF(OUT!$G7:$AK7="FE",OUT!$G$4:$AK$4,"")))</f>
        <v/>
      </c>
      <c r="AB311" t="str">
        <f t="array" ref="AB311">IF($Q311="","",_xlfn.TEXTJOIN(", ",TRUE,IF(NOV!$G7:$AK7="FE",NOV!$G$4:$AK$4,"")))</f>
        <v/>
      </c>
      <c r="AC311" t="str">
        <f t="array" ref="AC311">IF($Q311="","",_xlfn.TEXTJOIN(", ",TRUE,IF(DEZ!$G7:$AK7="FE",DEZ!$G$4:$AK$4,"")))</f>
        <v/>
      </c>
      <c r="AD311">
        <f>IF($Q311="","",COUNTIF(JAN!$G7:$AK7,"FE")+COUNTIF(FEV!$G7:$AK7,"FE")+COUNTIF(MAR!$G7:$AK7,"FE")+COUNTIF(ABR!$G7:$AK7,"FE")+COUNTIF(MAI!$G7:$AK7,"FE")+COUNTIF(JUN!$G7:$AK7,"FE")+COUNTIF(JUL!$G7:$AK7,"FE")+COUNTIF(AGO!$G7:$AK7,"FE")+COUNTIF(SET!$G7:$AK7,"FE")+COUNTIF(OUT!$G7:$AK7,"FE")+COUNTIF(NOV!$G7:$AK7,"FE")+COUNTIF(DEZ!$G7:$AK7,"FE"))</f>
        <v>0</v>
      </c>
      <c r="AF311" t="str">
        <f>IF(AND($Q311&lt;&gt;"",N($AD311)&gt;0),COUNT($AF$309:AF310)+1,"")</f>
        <v/>
      </c>
    </row>
    <row r="312" spans="1:32" ht="20.100000000000001" customHeight="1" x14ac:dyDescent="0.25">
      <c r="A312" s="71" t="str">
        <f>IFERROR(INDEX($Q$310:$Q$459,MATCH(ROWS($A$310:A312),$AF$310:$AF$459,0)),"")</f>
        <v>ALEXANDRE NUNES 461301</v>
      </c>
      <c r="B312" s="72" t="str">
        <f>IFERROR(INDEX($R$310:$R$459,MATCH(ROWS($A$310:A312),$AF$310:$AF$459,0)),"")</f>
        <v/>
      </c>
      <c r="C312" s="72" t="str">
        <f>IFERROR(INDEX($S$310:$S$459,MATCH(ROWS($A$310:A312),$AF$310:$AF$459,0)),"")</f>
        <v/>
      </c>
      <c r="D312" s="72" t="str">
        <f>IFERROR(INDEX($T$310:$T$459,MATCH(ROWS($A$310:A312),$AF$310:$AF$459,0)),"")</f>
        <v/>
      </c>
      <c r="E312" s="72" t="str">
        <f>IFERROR(INDEX($U$310:$U$459,MATCH(ROWS($A$310:A312),$AF$310:$AF$459,0)),"")</f>
        <v/>
      </c>
      <c r="F312" s="72" t="str">
        <f>IFERROR(INDEX($V$310:$V$459,MATCH(ROWS($A$310:A312),$AF$310:$AF$459,0)),"")</f>
        <v/>
      </c>
      <c r="G312" s="72" t="str">
        <f>IFERROR(INDEX($W$310:$W$459,MATCH(ROWS($A$310:A312),$AF$310:$AF$459,0)),"")</f>
        <v/>
      </c>
      <c r="H312" s="74" t="str">
        <f>IFERROR(INDEX($X$310:$X$459,MATCH(ROWS($A$310:A312),$AF$310:$AF$459,0)),"")</f>
        <v/>
      </c>
      <c r="I312" s="72" t="str">
        <f>IFERROR(INDEX($Y$310:$Y$459,MATCH(ROWS($A$310:A312),$AF$310:$AF$459,0)),"")</f>
        <v>10, 11, 12, 13, 14, 15, 16, 17, 18, 19, 20, 21, 22, 23, 24, 25</v>
      </c>
      <c r="J312" s="72" t="str">
        <f>IFERROR(INDEX($Z$310:$Z$459,MATCH(ROWS($A$310:A312),$AF$310:$AF$459,0)),"")</f>
        <v/>
      </c>
      <c r="K312" s="72" t="str">
        <f>IFERROR(INDEX($AA$310:$AA$459,MATCH(ROWS($A$310:A312),$AF$310:$AF$459,0)),"")</f>
        <v/>
      </c>
      <c r="L312" s="72" t="str">
        <f>IFERROR(INDEX($AB$310:$AB$459,MATCH(ROWS($A$310:A312),$AF$310:$AF$459,0)),"")</f>
        <v/>
      </c>
      <c r="M312" s="72" t="str">
        <f>IFERROR(INDEX($AC$310:$AC$459,MATCH(ROWS($A$310:A312),$AF$310:$AF$459,0)),"")</f>
        <v/>
      </c>
      <c r="N312" s="71">
        <f>IFERROR(INDEX($AD$310:$AD$459,MATCH(ROWS($A$310:A312),$AF$310:$AF$459,0)),"")</f>
        <v>16</v>
      </c>
      <c r="Q312" t="str">
        <f>T(JAN!B8)</f>
        <v>CARLOS ALMEIDA 343901</v>
      </c>
      <c r="R312" t="str">
        <f t="array" ref="R312">IF($Q312="","",_xlfn.TEXTJOIN(", ",TRUE,IF(JAN!$G8:$AK8="FE",JAN!$G$4:$AK$4,"")))</f>
        <v/>
      </c>
      <c r="S312" t="str">
        <f t="array" ref="S312">IF($Q312="","",_xlfn.TEXTJOIN(", ",TRUE,IF(FEV!$G8:$AK8="FE",FEV!$G$4:$AK$4,"")))</f>
        <v/>
      </c>
      <c r="T312" t="str">
        <f t="array" ref="T312">IF($Q312="","",_xlfn.TEXTJOIN(", ",TRUE,IF(MAR!$G8:$AK8="FE",MAR!$G$4:$AK$4,"")))</f>
        <v/>
      </c>
      <c r="U312" t="str">
        <f t="array" ref="U312">IF($Q312="","",_xlfn.TEXTJOIN(", ",TRUE,IF(ABR!$G8:$AK8="FE",ABR!$G$4:$AK$4,"")))</f>
        <v/>
      </c>
      <c r="V312" t="str">
        <f t="array" ref="V312">IF($Q312="","",_xlfn.TEXTJOIN(", ",TRUE,IF(MAI!$G8:$AK8="FE",MAI!$G$4:$AK$4,"")))</f>
        <v/>
      </c>
      <c r="W312" t="str">
        <f t="array" ref="W312">IF($Q312="","",_xlfn.TEXTJOIN(", ",TRUE,IF(JUN!$G8:$AK8="FE",JUN!$G$4:$AK$4,"")))</f>
        <v/>
      </c>
      <c r="X312" t="str">
        <f t="array" ref="X312">IF($Q312="","",_xlfn.TEXTJOIN(", ",TRUE,IF(JUL!$G8:$AK8="FE",JUL!$G$4:$AK$4,"")))</f>
        <v/>
      </c>
      <c r="Y312" t="str">
        <f t="array" ref="Y312">IF($Q312="","",_xlfn.TEXTJOIN(", ",TRUE,IF(AGO!$G8:$AK8="FE",AGO!$G$4:$AK$4,"")))</f>
        <v/>
      </c>
      <c r="Z312" t="str">
        <f t="array" ref="Z312">IF($Q312="","",_xlfn.TEXTJOIN(", ",TRUE,IF(SET!$G8:$AK8="FE",SET!$G$4:$AK$4,"")))</f>
        <v/>
      </c>
      <c r="AA312" t="str">
        <f t="array" ref="AA312">IF($Q312="","",_xlfn.TEXTJOIN(", ",TRUE,IF(OUT!$G8:$AK8="FE",OUT!$G$4:$AK$4,"")))</f>
        <v/>
      </c>
      <c r="AB312" t="str">
        <f t="array" ref="AB312">IF($Q312="","",_xlfn.TEXTJOIN(", ",TRUE,IF(NOV!$G8:$AK8="FE",NOV!$G$4:$AK$4,"")))</f>
        <v/>
      </c>
      <c r="AC312" t="str">
        <f t="array" ref="AC312">IF($Q312="","",_xlfn.TEXTJOIN(", ",TRUE,IF(DEZ!$G8:$AK8="FE",DEZ!$G$4:$AK$4,"")))</f>
        <v/>
      </c>
      <c r="AD312">
        <f>IF($Q312="","",COUNTIF(JAN!$G8:$AK8,"FE")+COUNTIF(FEV!$G8:$AK8,"FE")+COUNTIF(MAR!$G8:$AK8,"FE")+COUNTIF(ABR!$G8:$AK8,"FE")+COUNTIF(MAI!$G8:$AK8,"FE")+COUNTIF(JUN!$G8:$AK8,"FE")+COUNTIF(JUL!$G8:$AK8,"FE")+COUNTIF(AGO!$G8:$AK8,"FE")+COUNTIF(SET!$G8:$AK8,"FE")+COUNTIF(OUT!$G8:$AK8,"FE")+COUNTIF(NOV!$G8:$AK8,"FE")+COUNTIF(DEZ!$G8:$AK8,"FE"))</f>
        <v>0</v>
      </c>
      <c r="AF312" t="str">
        <f>IF(AND($Q312&lt;&gt;"",N($AD312)&gt;0),COUNT($AF$309:AF311)+1,"")</f>
        <v/>
      </c>
    </row>
    <row r="313" spans="1:32" ht="20.100000000000001" customHeight="1" x14ac:dyDescent="0.25">
      <c r="A313" s="71" t="str">
        <f>IFERROR(INDEX($Q$310:$Q$459,MATCH(ROWS($A$310:A313),$AF$310:$AF$459,0)),"")</f>
        <v>EDUARDO RIBEIRO 484301</v>
      </c>
      <c r="B313" s="72" t="str">
        <f>IFERROR(INDEX($R$310:$R$459,MATCH(ROWS($A$310:A313),$AF$310:$AF$459,0)),"")</f>
        <v/>
      </c>
      <c r="C313" s="72" t="str">
        <f>IFERROR(INDEX($S$310:$S$459,MATCH(ROWS($A$310:A313),$AF$310:$AF$459,0)),"")</f>
        <v/>
      </c>
      <c r="D313" s="72" t="str">
        <f>IFERROR(INDEX($T$310:$T$459,MATCH(ROWS($A$310:A313),$AF$310:$AF$459,0)),"")</f>
        <v/>
      </c>
      <c r="E313" s="72" t="str">
        <f>IFERROR(INDEX($U$310:$U$459,MATCH(ROWS($A$310:A313),$AF$310:$AF$459,0)),"")</f>
        <v/>
      </c>
      <c r="F313" s="72" t="str">
        <f>IFERROR(INDEX($V$310:$V$459,MATCH(ROWS($A$310:A313),$AF$310:$AF$459,0)),"")</f>
        <v/>
      </c>
      <c r="G313" s="72" t="str">
        <f>IFERROR(INDEX($W$310:$W$459,MATCH(ROWS($A$310:A313),$AF$310:$AF$459,0)),"")</f>
        <v/>
      </c>
      <c r="H313" s="74" t="str">
        <f>IFERROR(INDEX($X$310:$X$459,MATCH(ROWS($A$310:A313),$AF$310:$AF$459,0)),"")</f>
        <v/>
      </c>
      <c r="I313" s="72" t="str">
        <f>IFERROR(INDEX($Y$310:$Y$459,MATCH(ROWS($A$310:A313),$AF$310:$AF$459,0)),"")</f>
        <v/>
      </c>
      <c r="J313" s="72" t="str">
        <f>IFERROR(INDEX($Z$310:$Z$459,MATCH(ROWS($A$310:A313),$AF$310:$AF$459,0)),"")</f>
        <v/>
      </c>
      <c r="K313" s="72" t="str">
        <f>IFERROR(INDEX($AA$310:$AA$459,MATCH(ROWS($A$310:A313),$AF$310:$AF$459,0)),"")</f>
        <v>13, 14, 15, 16, 17, 18, 19, 20, 21, 22, 23, 24, 25, 26, 27, 28</v>
      </c>
      <c r="L313" s="72" t="str">
        <f>IFERROR(INDEX($AB$310:$AB$459,MATCH(ROWS($A$310:A313),$AF$310:$AF$459,0)),"")</f>
        <v/>
      </c>
      <c r="M313" s="72" t="str">
        <f>IFERROR(INDEX($AC$310:$AC$459,MATCH(ROWS($A$310:A313),$AF$310:$AF$459,0)),"")</f>
        <v/>
      </c>
      <c r="N313" s="71">
        <f>IFERROR(INDEX($AD$310:$AD$459,MATCH(ROWS($A$310:A313),$AF$310:$AF$459,0)),"")</f>
        <v>16</v>
      </c>
      <c r="Q313" t="str">
        <f>T(JAN!B9)</f>
        <v>MISAEL SANTOS 37002097</v>
      </c>
      <c r="R313" t="str">
        <f t="array" ref="R313">IF($Q313="","",_xlfn.TEXTJOIN(", ",TRUE,IF(JAN!$G9:$AK9="FE",JAN!$G$4:$AK$4,"")))</f>
        <v/>
      </c>
      <c r="S313" t="str">
        <f t="array" ref="S313">IF($Q313="","",_xlfn.TEXTJOIN(", ",TRUE,IF(FEV!$G9:$AK9="FE",FEV!$G$4:$AK$4,"")))</f>
        <v/>
      </c>
      <c r="T313" t="str">
        <f t="array" ref="T313">IF($Q313="","",_xlfn.TEXTJOIN(", ",TRUE,IF(MAR!$G9:$AK9="FE",MAR!$G$4:$AK$4,"")))</f>
        <v/>
      </c>
      <c r="U313" t="str">
        <f t="array" ref="U313">IF($Q313="","",_xlfn.TEXTJOIN(", ",TRUE,IF(ABR!$G9:$AK9="FE",ABR!$G$4:$AK$4,"")))</f>
        <v/>
      </c>
      <c r="V313" t="str">
        <f t="array" ref="V313">IF($Q313="","",_xlfn.TEXTJOIN(", ",TRUE,IF(MAI!$G9:$AK9="FE",MAI!$G$4:$AK$4,"")))</f>
        <v/>
      </c>
      <c r="W313" t="str">
        <f t="array" ref="W313">IF($Q313="","",_xlfn.TEXTJOIN(", ",TRUE,IF(JUN!$G9:$AK9="FE",JUN!$G$4:$AK$4,"")))</f>
        <v/>
      </c>
      <c r="X313" t="str">
        <f t="array" ref="X313">IF($Q313="","",_xlfn.TEXTJOIN(", ",TRUE,IF(JUL!$G9:$AK9="FE",JUL!$G$4:$AK$4,"")))</f>
        <v/>
      </c>
      <c r="Y313" t="str">
        <f t="array" ref="Y313">IF($Q313="","",_xlfn.TEXTJOIN(", ",TRUE,IF(AGO!$G9:$AK9="FE",AGO!$G$4:$AK$4,"")))</f>
        <v/>
      </c>
      <c r="Z313" t="str">
        <f t="array" ref="Z313">IF($Q313="","",_xlfn.TEXTJOIN(", ",TRUE,IF(SET!$G9:$AK9="FE",SET!$G$4:$AK$4,"")))</f>
        <v/>
      </c>
      <c r="AA313" t="str">
        <f t="array" ref="AA313">IF($Q313="","",_xlfn.TEXTJOIN(", ",TRUE,IF(OUT!$G9:$AK9="FE",OUT!$G$4:$AK$4,"")))</f>
        <v>5, 6, 7, 8, 9, 10, 11, 12, 13, 14, 15, 16, 17, 18, 19, 20</v>
      </c>
      <c r="AB313" t="str">
        <f t="array" ref="AB313">IF($Q313="","",_xlfn.TEXTJOIN(", ",TRUE,IF(NOV!$G9:$AK9="FE",NOV!$G$4:$AK$4,"")))</f>
        <v/>
      </c>
      <c r="AC313" t="str">
        <f t="array" ref="AC313">IF($Q313="","",_xlfn.TEXTJOIN(", ",TRUE,IF(DEZ!$G9:$AK9="FE",DEZ!$G$4:$AK$4,"")))</f>
        <v/>
      </c>
      <c r="AD313">
        <f>IF($Q313="","",COUNTIF(JAN!$G9:$AK9,"FE")+COUNTIF(FEV!$G9:$AK9,"FE")+COUNTIF(MAR!$G9:$AK9,"FE")+COUNTIF(ABR!$G9:$AK9,"FE")+COUNTIF(MAI!$G9:$AK9,"FE")+COUNTIF(JUN!$G9:$AK9,"FE")+COUNTIF(JUL!$G9:$AK9,"FE")+COUNTIF(AGO!$G9:$AK9,"FE")+COUNTIF(SET!$G9:$AK9,"FE")+COUNTIF(OUT!$G9:$AK9,"FE")+COUNTIF(NOV!$G9:$AK9,"FE")+COUNTIF(DEZ!$G9:$AK9,"FE"))</f>
        <v>16</v>
      </c>
      <c r="AF313">
        <f>IF(AND($Q313&lt;&gt;"",N($AD313)&gt;0),COUNT($AF$309:AF312)+1,"")</f>
        <v>1</v>
      </c>
    </row>
    <row r="314" spans="1:32" ht="20.100000000000001" customHeight="1" x14ac:dyDescent="0.25">
      <c r="A314" s="71" t="str">
        <f>IFERROR(INDEX($Q$310:$Q$459,MATCH(ROWS($A$310:A314),$AF$310:$AF$459,0)),"")</f>
        <v>RENAN RAMBO 327701</v>
      </c>
      <c r="B314" s="72" t="str">
        <f>IFERROR(INDEX($R$310:$R$459,MATCH(ROWS($A$310:A314),$AF$310:$AF$459,0)),"")</f>
        <v/>
      </c>
      <c r="C314" s="72" t="str">
        <f>IFERROR(INDEX($S$310:$S$459,MATCH(ROWS($A$310:A314),$AF$310:$AF$459,0)),"")</f>
        <v/>
      </c>
      <c r="D314" s="72" t="str">
        <f>IFERROR(INDEX($T$310:$T$459,MATCH(ROWS($A$310:A314),$AF$310:$AF$459,0)),"")</f>
        <v/>
      </c>
      <c r="E314" s="72" t="str">
        <f>IFERROR(INDEX($U$310:$U$459,MATCH(ROWS($A$310:A314),$AF$310:$AF$459,0)),"")</f>
        <v/>
      </c>
      <c r="F314" s="72" t="str">
        <f>IFERROR(INDEX($V$310:$V$459,MATCH(ROWS($A$310:A314),$AF$310:$AF$459,0)),"")</f>
        <v/>
      </c>
      <c r="G314" s="72" t="str">
        <f>IFERROR(INDEX($W$310:$W$459,MATCH(ROWS($A$310:A314),$AF$310:$AF$459,0)),"")</f>
        <v/>
      </c>
      <c r="H314" s="75" t="str">
        <f>IFERROR(INDEX($X$310:$X$459,MATCH(ROWS($A$310:A314),$AF$310:$AF$459,0)),"")</f>
        <v/>
      </c>
      <c r="I314" s="72" t="str">
        <f>IFERROR(INDEX($Y$310:$Y$459,MATCH(ROWS($A$310:A314),$AF$310:$AF$459,0)),"")</f>
        <v/>
      </c>
      <c r="J314" s="72" t="str">
        <f>IFERROR(INDEX($Z$310:$Z$459,MATCH(ROWS($A$310:A314),$AF$310:$AF$459,0)),"")</f>
        <v>8, 9, 10, 11, 12, 13, 14, 15, 16, 17, 18, 19, 20, 21, 22, 23</v>
      </c>
      <c r="K314" s="72" t="str">
        <f>IFERROR(INDEX($AA$310:$AA$459,MATCH(ROWS($A$310:A314),$AF$310:$AF$459,0)),"")</f>
        <v/>
      </c>
      <c r="L314" s="72" t="str">
        <f>IFERROR(INDEX($AB$310:$AB$459,MATCH(ROWS($A$310:A314),$AF$310:$AF$459,0)),"")</f>
        <v/>
      </c>
      <c r="M314" s="72" t="str">
        <f>IFERROR(INDEX($AC$310:$AC$459,MATCH(ROWS($A$310:A314),$AF$310:$AF$459,0)),"")</f>
        <v/>
      </c>
      <c r="N314" s="71">
        <f>IFERROR(INDEX($AD$310:$AD$459,MATCH(ROWS($A$310:A314),$AF$310:$AF$459,0)),"")</f>
        <v>16</v>
      </c>
      <c r="Q314" t="str">
        <f>T(JAN!B10)</f>
        <v>ALEXANDRE SELAU 145401</v>
      </c>
      <c r="R314" t="str">
        <f t="array" ref="R314">IF($Q314="","",_xlfn.TEXTJOIN(", ",TRUE,IF(JAN!$G10:$AK10="FE",JAN!$G$4:$AK$4,"")))</f>
        <v/>
      </c>
      <c r="S314" t="str">
        <f t="array" ref="S314">IF($Q314="","",_xlfn.TEXTJOIN(", ",TRUE,IF(FEV!$G10:$AK10="FE",FEV!$G$4:$AK$4,"")))</f>
        <v/>
      </c>
      <c r="T314" t="str">
        <f t="array" ref="T314">IF($Q314="","",_xlfn.TEXTJOIN(", ",TRUE,IF(MAR!$G10:$AK10="FE",MAR!$G$4:$AK$4,"")))</f>
        <v/>
      </c>
      <c r="U314" t="str">
        <f t="array" ref="U314">IF($Q314="","",_xlfn.TEXTJOIN(", ",TRUE,IF(ABR!$G10:$AK10="FE",ABR!$G$4:$AK$4,"")))</f>
        <v/>
      </c>
      <c r="V314" t="str">
        <f t="array" ref="V314">IF($Q314="","",_xlfn.TEXTJOIN(", ",TRUE,IF(MAI!$G10:$AK10="FE",MAI!$G$4:$AK$4,"")))</f>
        <v/>
      </c>
      <c r="W314" t="str">
        <f t="array" ref="W314">IF($Q314="","",_xlfn.TEXTJOIN(", ",TRUE,IF(JUN!$G10:$AK10="FE",JUN!$G$4:$AK$4,"")))</f>
        <v/>
      </c>
      <c r="X314" t="str">
        <f t="array" ref="X314">IF($Q314="","",_xlfn.TEXTJOIN(", ",TRUE,IF(JUL!$G10:$AK10="FE",JUL!$G$4:$AK$4,"")))</f>
        <v/>
      </c>
      <c r="Y314" t="str">
        <f t="array" ref="Y314">IF($Q314="","",_xlfn.TEXTJOIN(", ",TRUE,IF(AGO!$G10:$AK10="FE",AGO!$G$4:$AK$4,"")))</f>
        <v/>
      </c>
      <c r="Z314" t="str">
        <f t="array" ref="Z314">IF($Q314="","",_xlfn.TEXTJOIN(", ",TRUE,IF(SET!$G10:$AK10="FE",SET!$G$4:$AK$4,"")))</f>
        <v/>
      </c>
      <c r="AA314" t="str">
        <f t="array" ref="AA314">IF($Q314="","",_xlfn.TEXTJOIN(", ",TRUE,IF(OUT!$G10:$AK10="FE",OUT!$G$4:$AK$4,"")))</f>
        <v/>
      </c>
      <c r="AB314" t="str">
        <f t="array" ref="AB314">IF($Q314="","",_xlfn.TEXTJOIN(", ",TRUE,IF(NOV!$G10:$AK10="FE",NOV!$G$4:$AK$4,"")))</f>
        <v/>
      </c>
      <c r="AC314" t="str">
        <f t="array" ref="AC314">IF($Q314="","",_xlfn.TEXTJOIN(", ",TRUE,IF(DEZ!$G10:$AK10="FE",DEZ!$G$4:$AK$4,"")))</f>
        <v/>
      </c>
      <c r="AD314">
        <f>IF($Q314="","",COUNTIF(JAN!$G10:$AK10,"FE")+COUNTIF(FEV!$G10:$AK10,"FE")+COUNTIF(MAR!$G10:$AK10,"FE")+COUNTIF(ABR!$G10:$AK10,"FE")+COUNTIF(MAI!$G10:$AK10,"FE")+COUNTIF(JUN!$G10:$AK10,"FE")+COUNTIF(JUL!$G10:$AK10,"FE")+COUNTIF(AGO!$G10:$AK10,"FE")+COUNTIF(SET!$G10:$AK10,"FE")+COUNTIF(OUT!$G10:$AK10,"FE")+COUNTIF(NOV!$G10:$AK10,"FE")+COUNTIF(DEZ!$G10:$AK10,"FE"))</f>
        <v>0</v>
      </c>
      <c r="AF314" t="str">
        <f>IF(AND($Q314&lt;&gt;"",N($AD314)&gt;0),COUNT($AF$309:AF313)+1,"")</f>
        <v/>
      </c>
    </row>
    <row r="315" spans="1:32" ht="20.100000000000001" customHeight="1" x14ac:dyDescent="0.25">
      <c r="A315" s="71" t="str">
        <f>IFERROR(INDEX($Q$310:$Q$459,MATCH(ROWS($A$310:A315),$AF$310:$AF$459,0)),"")</f>
        <v>VAGNER LEMOS 360301</v>
      </c>
      <c r="B315" s="72" t="str">
        <f>IFERROR(INDEX($R$310:$R$459,MATCH(ROWS($A$310:A315),$AF$310:$AF$459,0)),"")</f>
        <v/>
      </c>
      <c r="C315" s="72" t="str">
        <f>IFERROR(INDEX($S$310:$S$459,MATCH(ROWS($A$310:A315),$AF$310:$AF$459,0)),"")</f>
        <v/>
      </c>
      <c r="D315" s="72" t="str">
        <f>IFERROR(INDEX($T$310:$T$459,MATCH(ROWS($A$310:A315),$AF$310:$AF$459,0)),"")</f>
        <v/>
      </c>
      <c r="E315" s="72" t="str">
        <f>IFERROR(INDEX($U$310:$U$459,MATCH(ROWS($A$310:A315),$AF$310:$AF$459,0)),"")</f>
        <v/>
      </c>
      <c r="F315" s="72" t="str">
        <f>IFERROR(INDEX($V$310:$V$459,MATCH(ROWS($A$310:A315),$AF$310:$AF$459,0)),"")</f>
        <v/>
      </c>
      <c r="G315" s="72" t="str">
        <f>IFERROR(INDEX($W$310:$W$459,MATCH(ROWS($A$310:A315),$AF$310:$AF$459,0)),"")</f>
        <v/>
      </c>
      <c r="H315" s="72" t="str">
        <f>IFERROR(INDEX($X$310:$X$459,MATCH(ROWS($A$310:A315),$AF$310:$AF$459,0)),"")</f>
        <v/>
      </c>
      <c r="I315" s="72" t="str">
        <f>IFERROR(INDEX($Y$310:$Y$459,MATCH(ROWS($A$310:A315),$AF$310:$AF$459,0)),"")</f>
        <v>10, 11, 12, 13, 14, 15, 16, 17, 18, 19, 20, 21, 22, 23, 24, 25</v>
      </c>
      <c r="J315" s="72" t="str">
        <f>IFERROR(INDEX($Z$310:$Z$459,MATCH(ROWS($A$310:A315),$AF$310:$AF$459,0)),"")</f>
        <v/>
      </c>
      <c r="K315" s="72" t="str">
        <f>IFERROR(INDEX($AA$310:$AA$459,MATCH(ROWS($A$310:A315),$AF$310:$AF$459,0)),"")</f>
        <v/>
      </c>
      <c r="L315" s="72" t="str">
        <f>IFERROR(INDEX($AB$310:$AB$459,MATCH(ROWS($A$310:A315),$AF$310:$AF$459,0)),"")</f>
        <v/>
      </c>
      <c r="M315" s="72" t="str">
        <f>IFERROR(INDEX($AC$310:$AC$459,MATCH(ROWS($A$310:A315),$AF$310:$AF$459,0)),"")</f>
        <v/>
      </c>
      <c r="N315" s="35">
        <f>IFERROR(INDEX($AD$310:$AD$459,MATCH(ROWS($A$310:A315),$AF$310:$AF$459,0)),"")</f>
        <v>16</v>
      </c>
      <c r="Q315" t="str">
        <f>T(JAN!B11)</f>
        <v>FABIANO FORTES 57401</v>
      </c>
      <c r="R315" t="str">
        <f t="array" ref="R315">IF($Q315="","",_xlfn.TEXTJOIN(", ",TRUE,IF(JAN!$G11:$AK11="FE",JAN!$G$4:$AK$4,"")))</f>
        <v/>
      </c>
      <c r="S315" t="str">
        <f t="array" ref="S315">IF($Q315="","",_xlfn.TEXTJOIN(", ",TRUE,IF(FEV!$G11:$AK11="FE",FEV!$G$4:$AK$4,"")))</f>
        <v/>
      </c>
      <c r="T315" t="str">
        <f t="array" ref="T315">IF($Q315="","",_xlfn.TEXTJOIN(", ",TRUE,IF(MAR!$G11:$AK11="FE",MAR!$G$4:$AK$4,"")))</f>
        <v/>
      </c>
      <c r="U315" t="str">
        <f t="array" ref="U315">IF($Q315="","",_xlfn.TEXTJOIN(", ",TRUE,IF(ABR!$G11:$AK11="FE",ABR!$G$4:$AK$4,"")))</f>
        <v/>
      </c>
      <c r="V315" t="str">
        <f t="array" ref="V315">IF($Q315="","",_xlfn.TEXTJOIN(", ",TRUE,IF(MAI!$G11:$AK11="FE",MAI!$G$4:$AK$4,"")))</f>
        <v/>
      </c>
      <c r="W315" t="str">
        <f t="array" ref="W315">IF($Q315="","",_xlfn.TEXTJOIN(", ",TRUE,IF(JUN!$G11:$AK11="FE",JUN!$G$4:$AK$4,"")))</f>
        <v/>
      </c>
      <c r="X315" t="str">
        <f t="array" ref="X315">IF($Q315="","",_xlfn.TEXTJOIN(", ",TRUE,IF(JUL!$G11:$AK11="FE",JUL!$G$4:$AK$4,"")))</f>
        <v/>
      </c>
      <c r="Y315" t="str">
        <f t="array" ref="Y315">IF($Q315="","",_xlfn.TEXTJOIN(", ",TRUE,IF(AGO!$G11:$AK11="FE",AGO!$G$4:$AK$4,"")))</f>
        <v/>
      </c>
      <c r="Z315" t="str">
        <f t="array" ref="Z315">IF($Q315="","",_xlfn.TEXTJOIN(", ",TRUE,IF(SET!$G11:$AK11="FE",SET!$G$4:$AK$4,"")))</f>
        <v/>
      </c>
      <c r="AA315" t="str">
        <f t="array" ref="AA315">IF($Q315="","",_xlfn.TEXTJOIN(", ",TRUE,IF(OUT!$G11:$AK11="FE",OUT!$G$4:$AK$4,"")))</f>
        <v/>
      </c>
      <c r="AB315" t="str">
        <f t="array" ref="AB315">IF($Q315="","",_xlfn.TEXTJOIN(", ",TRUE,IF(NOV!$G11:$AK11="FE",NOV!$G$4:$AK$4,"")))</f>
        <v/>
      </c>
      <c r="AC315" t="str">
        <f t="array" ref="AC315">IF($Q315="","",_xlfn.TEXTJOIN(", ",TRUE,IF(DEZ!$G11:$AK11="FE",DEZ!$G$4:$AK$4,"")))</f>
        <v/>
      </c>
      <c r="AD315">
        <f>IF($Q315="","",COUNTIF(JAN!$G11:$AK11,"FE")+COUNTIF(FEV!$G11:$AK11,"FE")+COUNTIF(MAR!$G11:$AK11,"FE")+COUNTIF(ABR!$G11:$AK11,"FE")+COUNTIF(MAI!$G11:$AK11,"FE")+COUNTIF(JUN!$G11:$AK11,"FE")+COUNTIF(JUL!$G11:$AK11,"FE")+COUNTIF(AGO!$G11:$AK11,"FE")+COUNTIF(SET!$G11:$AK11,"FE")+COUNTIF(OUT!$G11:$AK11,"FE")+COUNTIF(NOV!$G11:$AK11,"FE")+COUNTIF(DEZ!$G11:$AK11,"FE"))</f>
        <v>0</v>
      </c>
      <c r="AF315" t="str">
        <f>IF(AND($Q315&lt;&gt;"",N($AD315)&gt;0),COUNT($AF$309:AF314)+1,"")</f>
        <v/>
      </c>
    </row>
    <row r="316" spans="1:32" ht="20.100000000000001" customHeight="1" x14ac:dyDescent="0.25">
      <c r="A316" s="71" t="str">
        <f>IFERROR(INDEX($Q$310:$Q$459,MATCH(ROWS($A$310:A316),$AF$310:$AF$459,0)),"")</f>
        <v/>
      </c>
      <c r="B316" s="72" t="str">
        <f>IFERROR(INDEX($R$310:$R$459,MATCH(ROWS($A$310:A316),$AF$310:$AF$459,0)),"")</f>
        <v/>
      </c>
      <c r="C316" s="72" t="str">
        <f>IFERROR(INDEX($S$310:$S$459,MATCH(ROWS($A$310:A316),$AF$310:$AF$459,0)),"")</f>
        <v/>
      </c>
      <c r="D316" s="72" t="str">
        <f>IFERROR(INDEX($T$310:$T$459,MATCH(ROWS($A$310:A316),$AF$310:$AF$459,0)),"")</f>
        <v/>
      </c>
      <c r="E316" s="72" t="str">
        <f>IFERROR(INDEX($U$310:$U$459,MATCH(ROWS($A$310:A316),$AF$310:$AF$459,0)),"")</f>
        <v/>
      </c>
      <c r="F316" s="72" t="str">
        <f>IFERROR(INDEX($V$310:$V$459,MATCH(ROWS($A$310:A316),$AF$310:$AF$459,0)),"")</f>
        <v/>
      </c>
      <c r="G316" s="72" t="str">
        <f>IFERROR(INDEX($W$310:$W$459,MATCH(ROWS($A$310:A316),$AF$310:$AF$459,0)),"")</f>
        <v/>
      </c>
      <c r="H316" s="72" t="str">
        <f>IFERROR(INDEX($X$310:$X$459,MATCH(ROWS($A$310:A316),$AF$310:$AF$459,0)),"")</f>
        <v/>
      </c>
      <c r="I316" s="72" t="str">
        <f>IFERROR(INDEX($Y$310:$Y$459,MATCH(ROWS($A$310:A316),$AF$310:$AF$459,0)),"")</f>
        <v/>
      </c>
      <c r="J316" s="72" t="str">
        <f>IFERROR(INDEX($Z$310:$Z$459,MATCH(ROWS($A$310:A316),$AF$310:$AF$459,0)),"")</f>
        <v/>
      </c>
      <c r="K316" s="72" t="str">
        <f>IFERROR(INDEX($AA$310:$AA$459,MATCH(ROWS($A$310:A316),$AF$310:$AF$459,0)),"")</f>
        <v/>
      </c>
      <c r="L316" s="72" t="str">
        <f>IFERROR(INDEX($AB$310:$AB$459,MATCH(ROWS($A$310:A316),$AF$310:$AF$459,0)),"")</f>
        <v/>
      </c>
      <c r="M316" s="72" t="str">
        <f>IFERROR(INDEX($AC$310:$AC$459,MATCH(ROWS($A$310:A316),$AF$310:$AF$459,0)),"")</f>
        <v/>
      </c>
      <c r="N316" s="35" t="str">
        <f>IFERROR(INDEX($AD$310:$AD$459,MATCH(ROWS($A$310:A316),$AF$310:$AF$459,0)),"")</f>
        <v/>
      </c>
      <c r="Q316" t="str">
        <f>T(JAN!B12)</f>
        <v>DOUGLAS MILANI 398501</v>
      </c>
      <c r="R316" t="str">
        <f t="array" ref="R316">IF($Q316="","",_xlfn.TEXTJOIN(", ",TRUE,IF(JAN!$G12:$AK12="FE",JAN!$G$4:$AK$4,"")))</f>
        <v/>
      </c>
      <c r="S316" t="str">
        <f t="array" ref="S316">IF($Q316="","",_xlfn.TEXTJOIN(", ",TRUE,IF(FEV!$G12:$AK12="FE",FEV!$G$4:$AK$4,"")))</f>
        <v/>
      </c>
      <c r="T316" t="str">
        <f t="array" ref="T316">IF($Q316="","",_xlfn.TEXTJOIN(", ",TRUE,IF(MAR!$G12:$AK12="FE",MAR!$G$4:$AK$4,"")))</f>
        <v/>
      </c>
      <c r="U316" t="str">
        <f t="array" ref="U316">IF($Q316="","",_xlfn.TEXTJOIN(", ",TRUE,IF(ABR!$G12:$AK12="FE",ABR!$G$4:$AK$4,"")))</f>
        <v/>
      </c>
      <c r="V316" t="str">
        <f t="array" ref="V316">IF($Q316="","",_xlfn.TEXTJOIN(", ",TRUE,IF(MAI!$G12:$AK12="FE",MAI!$G$4:$AK$4,"")))</f>
        <v/>
      </c>
      <c r="W316" t="str">
        <f t="array" ref="W316">IF($Q316="","",_xlfn.TEXTJOIN(", ",TRUE,IF(JUN!$G12:$AK12="FE",JUN!$G$4:$AK$4,"")))</f>
        <v/>
      </c>
      <c r="X316" t="str">
        <f t="array" ref="X316">IF($Q316="","",_xlfn.TEXTJOIN(", ",TRUE,IF(JUL!$G12:$AK12="FE",JUL!$G$4:$AK$4,"")))</f>
        <v/>
      </c>
      <c r="Y316" t="str">
        <f t="array" ref="Y316">IF($Q316="","",_xlfn.TEXTJOIN(", ",TRUE,IF(AGO!$G12:$AK12="FE",AGO!$G$4:$AK$4,"")))</f>
        <v/>
      </c>
      <c r="Z316" t="str">
        <f t="array" ref="Z316">IF($Q316="","",_xlfn.TEXTJOIN(", ",TRUE,IF(SET!$G12:$AK12="FE",SET!$G$4:$AK$4,"")))</f>
        <v/>
      </c>
      <c r="AA316" t="str">
        <f t="array" ref="AA316">IF($Q316="","",_xlfn.TEXTJOIN(", ",TRUE,IF(OUT!$G12:$AK12="FE",OUT!$G$4:$AK$4,"")))</f>
        <v/>
      </c>
      <c r="AB316" t="str">
        <f t="array" ref="AB316">IF($Q316="","",_xlfn.TEXTJOIN(", ",TRUE,IF(NOV!$G12:$AK12="FE",NOV!$G$4:$AK$4,"")))</f>
        <v/>
      </c>
      <c r="AC316" t="str">
        <f t="array" ref="AC316">IF($Q316="","",_xlfn.TEXTJOIN(", ",TRUE,IF(DEZ!$G12:$AK12="FE",DEZ!$G$4:$AK$4,"")))</f>
        <v/>
      </c>
      <c r="AD316">
        <f>IF($Q316="","",COUNTIF(JAN!$G12:$AK12,"FE")+COUNTIF(FEV!$G12:$AK12,"FE")+COUNTIF(MAR!$G12:$AK12,"FE")+COUNTIF(ABR!$G12:$AK12,"FE")+COUNTIF(MAI!$G12:$AK12,"FE")+COUNTIF(JUN!$G12:$AK12,"FE")+COUNTIF(JUL!$G12:$AK12,"FE")+COUNTIF(AGO!$G12:$AK12,"FE")+COUNTIF(SET!$G12:$AK12,"FE")+COUNTIF(OUT!$G12:$AK12,"FE")+COUNTIF(NOV!$G12:$AK12,"FE")+COUNTIF(DEZ!$G12:$AK12,"FE"))</f>
        <v>0</v>
      </c>
      <c r="AF316" t="str">
        <f>IF(AND($Q316&lt;&gt;"",N($AD316)&gt;0),COUNT($AF$309:AF315)+1,"")</f>
        <v/>
      </c>
    </row>
    <row r="317" spans="1:32" ht="20.100000000000001" customHeight="1" x14ac:dyDescent="0.25">
      <c r="A317" s="71" t="str">
        <f>IFERROR(INDEX($Q$310:$Q$459,MATCH(ROWS($A$310:A317),$AF$310:$AF$459,0)),"")</f>
        <v/>
      </c>
      <c r="B317" s="72" t="str">
        <f>IFERROR(INDEX($R$310:$R$459,MATCH(ROWS($A$310:A317),$AF$310:$AF$459,0)),"")</f>
        <v/>
      </c>
      <c r="C317" s="72" t="str">
        <f>IFERROR(INDEX($S$310:$S$459,MATCH(ROWS($A$310:A317),$AF$310:$AF$459,0)),"")</f>
        <v/>
      </c>
      <c r="D317" s="72" t="str">
        <f>IFERROR(INDEX($T$310:$T$459,MATCH(ROWS($A$310:A317),$AF$310:$AF$459,0)),"")</f>
        <v/>
      </c>
      <c r="E317" s="72" t="str">
        <f>IFERROR(INDEX($U$310:$U$459,MATCH(ROWS($A$310:A317),$AF$310:$AF$459,0)),"")</f>
        <v/>
      </c>
      <c r="F317" s="72" t="str">
        <f>IFERROR(INDEX($V$310:$V$459,MATCH(ROWS($A$310:A317),$AF$310:$AF$459,0)),"")</f>
        <v/>
      </c>
      <c r="G317" s="72" t="str">
        <f>IFERROR(INDEX($W$310:$W$459,MATCH(ROWS($A$310:A317),$AF$310:$AF$459,0)),"")</f>
        <v/>
      </c>
      <c r="H317" s="72" t="str">
        <f>IFERROR(INDEX($X$310:$X$459,MATCH(ROWS($A$310:A317),$AF$310:$AF$459,0)),"")</f>
        <v/>
      </c>
      <c r="I317" s="72" t="str">
        <f>IFERROR(INDEX($Y$310:$Y$459,MATCH(ROWS($A$310:A317),$AF$310:$AF$459,0)),"")</f>
        <v/>
      </c>
      <c r="J317" s="72" t="str">
        <f>IFERROR(INDEX($Z$310:$Z$459,MATCH(ROWS($A$310:A317),$AF$310:$AF$459,0)),"")</f>
        <v/>
      </c>
      <c r="K317" s="72" t="str">
        <f>IFERROR(INDEX($AA$310:$AA$459,MATCH(ROWS($A$310:A317),$AF$310:$AF$459,0)),"")</f>
        <v/>
      </c>
      <c r="L317" s="72" t="str">
        <f>IFERROR(INDEX($AB$310:$AB$459,MATCH(ROWS($A$310:A317),$AF$310:$AF$459,0)),"")</f>
        <v/>
      </c>
      <c r="M317" s="72" t="str">
        <f>IFERROR(INDEX($AC$310:$AC$459,MATCH(ROWS($A$310:A317),$AF$310:$AF$459,0)),"")</f>
        <v/>
      </c>
      <c r="N317" s="35" t="str">
        <f>IFERROR(INDEX($AD$310:$AD$459,MATCH(ROWS($A$310:A317),$AF$310:$AF$459,0)),"")</f>
        <v/>
      </c>
      <c r="Q317" t="str">
        <f>T(JAN!B13)</f>
        <v>ROQUE DARLAN 464801</v>
      </c>
      <c r="R317" t="str">
        <f t="array" ref="R317">IF($Q317="","",_xlfn.TEXTJOIN(", ",TRUE,IF(JAN!$G13:$AK13="FE",JAN!$G$4:$AK$4,"")))</f>
        <v/>
      </c>
      <c r="S317" t="str">
        <f t="array" ref="S317">IF($Q317="","",_xlfn.TEXTJOIN(", ",TRUE,IF(FEV!$G13:$AK13="FE",FEV!$G$4:$AK$4,"")))</f>
        <v/>
      </c>
      <c r="T317" t="str">
        <f t="array" ref="T317">IF($Q317="","",_xlfn.TEXTJOIN(", ",TRUE,IF(MAR!$G13:$AK13="FE",MAR!$G$4:$AK$4,"")))</f>
        <v/>
      </c>
      <c r="U317" t="str">
        <f t="array" ref="U317">IF($Q317="","",_xlfn.TEXTJOIN(", ",TRUE,IF(ABR!$G13:$AK13="FE",ABR!$G$4:$AK$4,"")))</f>
        <v/>
      </c>
      <c r="V317" t="str">
        <f t="array" ref="V317">IF($Q317="","",_xlfn.TEXTJOIN(", ",TRUE,IF(MAI!$G13:$AK13="FE",MAI!$G$4:$AK$4,"")))</f>
        <v/>
      </c>
      <c r="W317" t="str">
        <f t="array" ref="W317">IF($Q317="","",_xlfn.TEXTJOIN(", ",TRUE,IF(JUN!$G13:$AK13="FE",JUN!$G$4:$AK$4,"")))</f>
        <v/>
      </c>
      <c r="X317" t="str">
        <f t="array" ref="X317">IF($Q317="","",_xlfn.TEXTJOIN(", ",TRUE,IF(JUL!$G13:$AK13="FE",JUL!$G$4:$AK$4,"")))</f>
        <v/>
      </c>
      <c r="Y317" t="str">
        <f t="array" ref="Y317">IF($Q317="","",_xlfn.TEXTJOIN(", ",TRUE,IF(AGO!$G13:$AK13="FE",AGO!$G$4:$AK$4,"")))</f>
        <v/>
      </c>
      <c r="Z317" t="str">
        <f t="array" ref="Z317">IF($Q317="","",_xlfn.TEXTJOIN(", ",TRUE,IF(SET!$G13:$AK13="FE",SET!$G$4:$AK$4,"")))</f>
        <v/>
      </c>
      <c r="AA317" t="str">
        <f t="array" ref="AA317">IF($Q317="","",_xlfn.TEXTJOIN(", ",TRUE,IF(OUT!$G13:$AK13="FE",OUT!$G$4:$AK$4,"")))</f>
        <v/>
      </c>
      <c r="AB317" t="str">
        <f t="array" ref="AB317">IF($Q317="","",_xlfn.TEXTJOIN(", ",TRUE,IF(NOV!$G13:$AK13="FE",NOV!$G$4:$AK$4,"")))</f>
        <v/>
      </c>
      <c r="AC317" t="str">
        <f t="array" ref="AC317">IF($Q317="","",_xlfn.TEXTJOIN(", ",TRUE,IF(DEZ!$G13:$AK13="FE",DEZ!$G$4:$AK$4,"")))</f>
        <v/>
      </c>
      <c r="AD317">
        <f>IF($Q317="","",COUNTIF(JAN!$G13:$AK13,"FE")+COUNTIF(FEV!$G13:$AK13,"FE")+COUNTIF(MAR!$G13:$AK13,"FE")+COUNTIF(ABR!$G13:$AK13,"FE")+COUNTIF(MAI!$G13:$AK13,"FE")+COUNTIF(JUN!$G13:$AK13,"FE")+COUNTIF(JUL!$G13:$AK13,"FE")+COUNTIF(AGO!$G13:$AK13,"FE")+COUNTIF(SET!$G13:$AK13,"FE")+COUNTIF(OUT!$G13:$AK13,"FE")+COUNTIF(NOV!$G13:$AK13,"FE")+COUNTIF(DEZ!$G13:$AK13,"FE"))</f>
        <v>0</v>
      </c>
      <c r="AF317" t="str">
        <f>IF(AND($Q317&lt;&gt;"",N($AD317)&gt;0),COUNT($AF$309:AF316)+1,"")</f>
        <v/>
      </c>
    </row>
    <row r="318" spans="1:32" ht="20.100000000000001" customHeight="1" x14ac:dyDescent="0.25">
      <c r="A318" s="71" t="str">
        <f>IFERROR(INDEX($Q$310:$Q$459,MATCH(ROWS($A$310:A318),$AF$310:$AF$459,0)),"")</f>
        <v/>
      </c>
      <c r="B318" s="72" t="str">
        <f>IFERROR(INDEX($R$310:$R$459,MATCH(ROWS($A$310:A318),$AF$310:$AF$459,0)),"")</f>
        <v/>
      </c>
      <c r="C318" s="72" t="str">
        <f>IFERROR(INDEX($S$310:$S$459,MATCH(ROWS($A$310:A318),$AF$310:$AF$459,0)),"")</f>
        <v/>
      </c>
      <c r="D318" s="72" t="str">
        <f>IFERROR(INDEX($T$310:$T$459,MATCH(ROWS($A$310:A318),$AF$310:$AF$459,0)),"")</f>
        <v/>
      </c>
      <c r="E318" s="72" t="str">
        <f>IFERROR(INDEX($U$310:$U$459,MATCH(ROWS($A$310:A318),$AF$310:$AF$459,0)),"")</f>
        <v/>
      </c>
      <c r="F318" s="72" t="str">
        <f>IFERROR(INDEX($V$310:$V$459,MATCH(ROWS($A$310:A318),$AF$310:$AF$459,0)),"")</f>
        <v/>
      </c>
      <c r="G318" s="72" t="str">
        <f>IFERROR(INDEX($W$310:$W$459,MATCH(ROWS($A$310:A318),$AF$310:$AF$459,0)),"")</f>
        <v/>
      </c>
      <c r="H318" s="72" t="str">
        <f>IFERROR(INDEX($X$310:$X$459,MATCH(ROWS($A$310:A318),$AF$310:$AF$459,0)),"")</f>
        <v/>
      </c>
      <c r="I318" s="72" t="str">
        <f>IFERROR(INDEX($Y$310:$Y$459,MATCH(ROWS($A$310:A318),$AF$310:$AF$459,0)),"")</f>
        <v/>
      </c>
      <c r="J318" s="72" t="str">
        <f>IFERROR(INDEX($Z$310:$Z$459,MATCH(ROWS($A$310:A318),$AF$310:$AF$459,0)),"")</f>
        <v/>
      </c>
      <c r="K318" s="72" t="str">
        <f>IFERROR(INDEX($AA$310:$AA$459,MATCH(ROWS($A$310:A318),$AF$310:$AF$459,0)),"")</f>
        <v/>
      </c>
      <c r="L318" s="72" t="str">
        <f>IFERROR(INDEX($AB$310:$AB$459,MATCH(ROWS($A$310:A318),$AF$310:$AF$459,0)),"")</f>
        <v/>
      </c>
      <c r="M318" s="72" t="str">
        <f>IFERROR(INDEX($AC$310:$AC$459,MATCH(ROWS($A$310:A318),$AF$310:$AF$459,0)),"")</f>
        <v/>
      </c>
      <c r="N318" s="35" t="str">
        <f>IFERROR(INDEX($AD$310:$AD$459,MATCH(ROWS($A$310:A318),$AF$310:$AF$459,0)),"")</f>
        <v/>
      </c>
      <c r="Q318" t="str">
        <f>T(JAN!B14)</f>
        <v>FREDERICO SILVA 416501</v>
      </c>
      <c r="R318" t="str">
        <f t="array" ref="R318">IF($Q318="","",_xlfn.TEXTJOIN(", ",TRUE,IF(JAN!$G14:$AK14="FE",JAN!$G$4:$AK$4,"")))</f>
        <v/>
      </c>
      <c r="S318" t="str">
        <f t="array" ref="S318">IF($Q318="","",_xlfn.TEXTJOIN(", ",TRUE,IF(FEV!$G14:$AK14="FE",FEV!$G$4:$AK$4,"")))</f>
        <v/>
      </c>
      <c r="T318" t="str">
        <f t="array" ref="T318">IF($Q318="","",_xlfn.TEXTJOIN(", ",TRUE,IF(MAR!$G14:$AK14="FE",MAR!$G$4:$AK$4,"")))</f>
        <v/>
      </c>
      <c r="U318" t="str">
        <f t="array" ref="U318">IF($Q318="","",_xlfn.TEXTJOIN(", ",TRUE,IF(ABR!$G14:$AK14="FE",ABR!$G$4:$AK$4,"")))</f>
        <v/>
      </c>
      <c r="V318" t="str">
        <f t="array" ref="V318">IF($Q318="","",_xlfn.TEXTJOIN(", ",TRUE,IF(MAI!$G14:$AK14="FE",MAI!$G$4:$AK$4,"")))</f>
        <v/>
      </c>
      <c r="W318" t="str">
        <f t="array" ref="W318">IF($Q318="","",_xlfn.TEXTJOIN(", ",TRUE,IF(JUN!$G14:$AK14="FE",JUN!$G$4:$AK$4,"")))</f>
        <v/>
      </c>
      <c r="X318" t="str">
        <f t="array" ref="X318">IF($Q318="","",_xlfn.TEXTJOIN(", ",TRUE,IF(JUL!$G14:$AK14="FE",JUL!$G$4:$AK$4,"")))</f>
        <v/>
      </c>
      <c r="Y318" t="str">
        <f t="array" ref="Y318">IF($Q318="","",_xlfn.TEXTJOIN(", ",TRUE,IF(AGO!$G14:$AK14="FE",AGO!$G$4:$AK$4,"")))</f>
        <v/>
      </c>
      <c r="Z318" t="str">
        <f t="array" ref="Z318">IF($Q318="","",_xlfn.TEXTJOIN(", ",TRUE,IF(SET!$G14:$AK14="FE",SET!$G$4:$AK$4,"")))</f>
        <v/>
      </c>
      <c r="AA318" t="str">
        <f t="array" ref="AA318">IF($Q318="","",_xlfn.TEXTJOIN(", ",TRUE,IF(OUT!$G14:$AK14="FE",OUT!$G$4:$AK$4,"")))</f>
        <v/>
      </c>
      <c r="AB318" t="str">
        <f t="array" ref="AB318">IF($Q318="","",_xlfn.TEXTJOIN(", ",TRUE,IF(NOV!$G14:$AK14="FE",NOV!$G$4:$AK$4,"")))</f>
        <v/>
      </c>
      <c r="AC318" t="str">
        <f t="array" ref="AC318">IF($Q318="","",_xlfn.TEXTJOIN(", ",TRUE,IF(DEZ!$G14:$AK14="FE",DEZ!$G$4:$AK$4,"")))</f>
        <v/>
      </c>
      <c r="AD318">
        <f>IF($Q318="","",COUNTIF(JAN!$G14:$AK14,"FE")+COUNTIF(FEV!$G14:$AK14,"FE")+COUNTIF(MAR!$G14:$AK14,"FE")+COUNTIF(ABR!$G14:$AK14,"FE")+COUNTIF(MAI!$G14:$AK14,"FE")+COUNTIF(JUN!$G14:$AK14,"FE")+COUNTIF(JUL!$G14:$AK14,"FE")+COUNTIF(AGO!$G14:$AK14,"FE")+COUNTIF(SET!$G14:$AK14,"FE")+COUNTIF(OUT!$G14:$AK14,"FE")+COUNTIF(NOV!$G14:$AK14,"FE")+COUNTIF(DEZ!$G14:$AK14,"FE"))</f>
        <v>0</v>
      </c>
      <c r="AF318" t="str">
        <f>IF(AND($Q318&lt;&gt;"",N($AD318)&gt;0),COUNT($AF$309:AF317)+1,"")</f>
        <v/>
      </c>
    </row>
    <row r="319" spans="1:32" ht="20.100000000000001" customHeight="1" x14ac:dyDescent="0.25">
      <c r="A319" s="71" t="str">
        <f>IFERROR(INDEX($Q$310:$Q$459,MATCH(ROWS($A$310:A319),$AF$310:$AF$459,0)),"")</f>
        <v/>
      </c>
      <c r="B319" s="72" t="str">
        <f>IFERROR(INDEX($R$310:$R$459,MATCH(ROWS($A$310:A319),$AF$310:$AF$459,0)),"")</f>
        <v/>
      </c>
      <c r="C319" s="72" t="str">
        <f>IFERROR(INDEX($S$310:$S$459,MATCH(ROWS($A$310:A319),$AF$310:$AF$459,0)),"")</f>
        <v/>
      </c>
      <c r="D319" s="72" t="str">
        <f>IFERROR(INDEX($T$310:$T$459,MATCH(ROWS($A$310:A319),$AF$310:$AF$459,0)),"")</f>
        <v/>
      </c>
      <c r="E319" s="72" t="str">
        <f>IFERROR(INDEX($U$310:$U$459,MATCH(ROWS($A$310:A319),$AF$310:$AF$459,0)),"")</f>
        <v/>
      </c>
      <c r="F319" s="72" t="str">
        <f>IFERROR(INDEX($V$310:$V$459,MATCH(ROWS($A$310:A319),$AF$310:$AF$459,0)),"")</f>
        <v/>
      </c>
      <c r="G319" s="72" t="str">
        <f>IFERROR(INDEX($W$310:$W$459,MATCH(ROWS($A$310:A319),$AF$310:$AF$459,0)),"")</f>
        <v/>
      </c>
      <c r="H319" s="72" t="str">
        <f>IFERROR(INDEX($X$310:$X$459,MATCH(ROWS($A$310:A319),$AF$310:$AF$459,0)),"")</f>
        <v/>
      </c>
      <c r="I319" s="72" t="str">
        <f>IFERROR(INDEX($Y$310:$Y$459,MATCH(ROWS($A$310:A319),$AF$310:$AF$459,0)),"")</f>
        <v/>
      </c>
      <c r="J319" s="72" t="str">
        <f>IFERROR(INDEX($Z$310:$Z$459,MATCH(ROWS($A$310:A319),$AF$310:$AF$459,0)),"")</f>
        <v/>
      </c>
      <c r="K319" s="72" t="str">
        <f>IFERROR(INDEX($AA$310:$AA$459,MATCH(ROWS($A$310:A319),$AF$310:$AF$459,0)),"")</f>
        <v/>
      </c>
      <c r="L319" s="72" t="str">
        <f>IFERROR(INDEX($AB$310:$AB$459,MATCH(ROWS($A$310:A319),$AF$310:$AF$459,0)),"")</f>
        <v/>
      </c>
      <c r="M319" s="72" t="str">
        <f>IFERROR(INDEX($AC$310:$AC$459,MATCH(ROWS($A$310:A319),$AF$310:$AF$459,0)),"")</f>
        <v/>
      </c>
      <c r="N319" s="35" t="str">
        <f>IFERROR(INDEX($AD$310:$AD$459,MATCH(ROWS($A$310:A319),$AF$310:$AF$459,0)),"")</f>
        <v/>
      </c>
      <c r="Q319" t="str">
        <f>T(JAN!B15)</f>
        <v>RAFAEL SANTOS 355101</v>
      </c>
      <c r="R319" t="str">
        <f t="array" ref="R319">IF($Q319="","",_xlfn.TEXTJOIN(", ",TRUE,IF(JAN!$G15:$AK15="FE",JAN!$G$4:$AK$4,"")))</f>
        <v/>
      </c>
      <c r="S319" t="str">
        <f t="array" ref="S319">IF($Q319="","",_xlfn.TEXTJOIN(", ",TRUE,IF(FEV!$G15:$AK15="FE",FEV!$G$4:$AK$4,"")))</f>
        <v/>
      </c>
      <c r="T319" t="str">
        <f t="array" ref="T319">IF($Q319="","",_xlfn.TEXTJOIN(", ",TRUE,IF(MAR!$G15:$AK15="FE",MAR!$G$4:$AK$4,"")))</f>
        <v/>
      </c>
      <c r="U319" t="str">
        <f t="array" ref="U319">IF($Q319="","",_xlfn.TEXTJOIN(", ",TRUE,IF(ABR!$G15:$AK15="FE",ABR!$G$4:$AK$4,"")))</f>
        <v/>
      </c>
      <c r="V319" t="str">
        <f t="array" ref="V319">IF($Q319="","",_xlfn.TEXTJOIN(", ",TRUE,IF(MAI!$G15:$AK15="FE",MAI!$G$4:$AK$4,"")))</f>
        <v/>
      </c>
      <c r="W319" t="str">
        <f t="array" ref="W319">IF($Q319="","",_xlfn.TEXTJOIN(", ",TRUE,IF(JUN!$G15:$AK15="FE",JUN!$G$4:$AK$4,"")))</f>
        <v/>
      </c>
      <c r="X319" t="str">
        <f t="array" ref="X319">IF($Q319="","",_xlfn.TEXTJOIN(", ",TRUE,IF(JUL!$G15:$AK15="FE",JUL!$G$4:$AK$4,"")))</f>
        <v/>
      </c>
      <c r="Y319" t="str">
        <f t="array" ref="Y319">IF($Q319="","",_xlfn.TEXTJOIN(", ",TRUE,IF(AGO!$G15:$AK15="FE",AGO!$G$4:$AK$4,"")))</f>
        <v/>
      </c>
      <c r="Z319" t="str">
        <f t="array" ref="Z319">IF($Q319="","",_xlfn.TEXTJOIN(", ",TRUE,IF(SET!$G15:$AK15="FE",SET!$G$4:$AK$4,"")))</f>
        <v/>
      </c>
      <c r="AA319" t="str">
        <f t="array" ref="AA319">IF($Q319="","",_xlfn.TEXTJOIN(", ",TRUE,IF(OUT!$G15:$AK15="FE",OUT!$G$4:$AK$4,"")))</f>
        <v/>
      </c>
      <c r="AB319" t="str">
        <f t="array" ref="AB319">IF($Q319="","",_xlfn.TEXTJOIN(", ",TRUE,IF(NOV!$G15:$AK15="FE",NOV!$G$4:$AK$4,"")))</f>
        <v/>
      </c>
      <c r="AC319" t="str">
        <f t="array" ref="AC319">IF($Q319="","",_xlfn.TEXTJOIN(", ",TRUE,IF(DEZ!$G15:$AK15="FE",DEZ!$G$4:$AK$4,"")))</f>
        <v/>
      </c>
      <c r="AD319">
        <f>IF($Q319="","",COUNTIF(JAN!$G15:$AK15,"FE")+COUNTIF(FEV!$G15:$AK15,"FE")+COUNTIF(MAR!$G15:$AK15,"FE")+COUNTIF(ABR!$G15:$AK15,"FE")+COUNTIF(MAI!$G15:$AK15,"FE")+COUNTIF(JUN!$G15:$AK15,"FE")+COUNTIF(JUL!$G15:$AK15,"FE")+COUNTIF(AGO!$G15:$AK15,"FE")+COUNTIF(SET!$G15:$AK15,"FE")+COUNTIF(OUT!$G15:$AK15,"FE")+COUNTIF(NOV!$G15:$AK15,"FE")+COUNTIF(DEZ!$G15:$AK15,"FE"))</f>
        <v>0</v>
      </c>
      <c r="AF319" t="str">
        <f>IF(AND($Q319&lt;&gt;"",N($AD319)&gt;0),COUNT($AF$309:AF318)+1,"")</f>
        <v/>
      </c>
    </row>
    <row r="320" spans="1:32" ht="20.100000000000001" customHeight="1" x14ac:dyDescent="0.25">
      <c r="A320" s="71" t="str">
        <f>IFERROR(INDEX($Q$310:$Q$459,MATCH(ROWS($A$310:A320),$AF$310:$AF$459,0)),"")</f>
        <v/>
      </c>
      <c r="B320" s="72" t="str">
        <f>IFERROR(INDEX($R$310:$R$459,MATCH(ROWS($A$310:A320),$AF$310:$AF$459,0)),"")</f>
        <v/>
      </c>
      <c r="C320" s="72" t="str">
        <f>IFERROR(INDEX($S$310:$S$459,MATCH(ROWS($A$310:A320),$AF$310:$AF$459,0)),"")</f>
        <v/>
      </c>
      <c r="D320" s="72" t="str">
        <f>IFERROR(INDEX($T$310:$T$459,MATCH(ROWS($A$310:A320),$AF$310:$AF$459,0)),"")</f>
        <v/>
      </c>
      <c r="E320" s="72" t="str">
        <f>IFERROR(INDEX($U$310:$U$459,MATCH(ROWS($A$310:A320),$AF$310:$AF$459,0)),"")</f>
        <v/>
      </c>
      <c r="F320" s="72" t="str">
        <f>IFERROR(INDEX($V$310:$V$459,MATCH(ROWS($A$310:A320),$AF$310:$AF$459,0)),"")</f>
        <v/>
      </c>
      <c r="G320" s="72" t="str">
        <f>IFERROR(INDEX($W$310:$W$459,MATCH(ROWS($A$310:A320),$AF$310:$AF$459,0)),"")</f>
        <v/>
      </c>
      <c r="H320" s="72" t="str">
        <f>IFERROR(INDEX($X$310:$X$459,MATCH(ROWS($A$310:A320),$AF$310:$AF$459,0)),"")</f>
        <v/>
      </c>
      <c r="I320" s="72" t="str">
        <f>IFERROR(INDEX($Y$310:$Y$459,MATCH(ROWS($A$310:A320),$AF$310:$AF$459,0)),"")</f>
        <v/>
      </c>
      <c r="J320" s="72" t="str">
        <f>IFERROR(INDEX($Z$310:$Z$459,MATCH(ROWS($A$310:A320),$AF$310:$AF$459,0)),"")</f>
        <v/>
      </c>
      <c r="K320" s="72" t="str">
        <f>IFERROR(INDEX($AA$310:$AA$459,MATCH(ROWS($A$310:A320),$AF$310:$AF$459,0)),"")</f>
        <v/>
      </c>
      <c r="L320" s="72" t="str">
        <f>IFERROR(INDEX($AB$310:$AB$459,MATCH(ROWS($A$310:A320),$AF$310:$AF$459,0)),"")</f>
        <v/>
      </c>
      <c r="M320" s="72" t="str">
        <f>IFERROR(INDEX($AC$310:$AC$459,MATCH(ROWS($A$310:A320),$AF$310:$AF$459,0)),"")</f>
        <v/>
      </c>
      <c r="N320" s="35" t="str">
        <f>IFERROR(INDEX($AD$310:$AD$459,MATCH(ROWS($A$310:A320),$AF$310:$AF$459,0)),"")</f>
        <v/>
      </c>
      <c r="Q320" t="str">
        <f>T(JAN!B16)</f>
        <v>DANIEL MACHADO 112601</v>
      </c>
      <c r="R320" t="str">
        <f t="array" ref="R320">IF($Q320="","",_xlfn.TEXTJOIN(", ",TRUE,IF(JAN!$G16:$AK16="FE",JAN!$G$4:$AK$4,"")))</f>
        <v/>
      </c>
      <c r="S320" t="str">
        <f t="array" ref="S320">IF($Q320="","",_xlfn.TEXTJOIN(", ",TRUE,IF(FEV!$G16:$AK16="FE",FEV!$G$4:$AK$4,"")))</f>
        <v/>
      </c>
      <c r="T320" t="str">
        <f t="array" ref="T320">IF($Q320="","",_xlfn.TEXTJOIN(", ",TRUE,IF(MAR!$G16:$AK16="FE",MAR!$G$4:$AK$4,"")))</f>
        <v/>
      </c>
      <c r="U320" t="str">
        <f t="array" ref="U320">IF($Q320="","",_xlfn.TEXTJOIN(", ",TRUE,IF(ABR!$G16:$AK16="FE",ABR!$G$4:$AK$4,"")))</f>
        <v/>
      </c>
      <c r="V320" t="str">
        <f t="array" ref="V320">IF($Q320="","",_xlfn.TEXTJOIN(", ",TRUE,IF(MAI!$G16:$AK16="FE",MAI!$G$4:$AK$4,"")))</f>
        <v/>
      </c>
      <c r="W320" t="str">
        <f t="array" ref="W320">IF($Q320="","",_xlfn.TEXTJOIN(", ",TRUE,IF(JUN!$G16:$AK16="FE",JUN!$G$4:$AK$4,"")))</f>
        <v/>
      </c>
      <c r="X320" t="str">
        <f t="array" ref="X320">IF($Q320="","",_xlfn.TEXTJOIN(", ",TRUE,IF(JUL!$G16:$AK16="FE",JUL!$G$4:$AK$4,"")))</f>
        <v/>
      </c>
      <c r="Y320" t="str">
        <f t="array" ref="Y320">IF($Q320="","",_xlfn.TEXTJOIN(", ",TRUE,IF(AGO!$G16:$AK16="FE",AGO!$G$4:$AK$4,"")))</f>
        <v/>
      </c>
      <c r="Z320" t="str">
        <f t="array" ref="Z320">IF($Q320="","",_xlfn.TEXTJOIN(", ",TRUE,IF(SET!$G16:$AK16="FE",SET!$G$4:$AK$4,"")))</f>
        <v/>
      </c>
      <c r="AA320" t="str">
        <f t="array" ref="AA320">IF($Q320="","",_xlfn.TEXTJOIN(", ",TRUE,IF(OUT!$G16:$AK16="FE",OUT!$G$4:$AK$4,"")))</f>
        <v/>
      </c>
      <c r="AB320" t="str">
        <f t="array" ref="AB320">IF($Q320="","",_xlfn.TEXTJOIN(", ",TRUE,IF(NOV!$G16:$AK16="FE",NOV!$G$4:$AK$4,"")))</f>
        <v/>
      </c>
      <c r="AC320" t="str">
        <f t="array" ref="AC320">IF($Q320="","",_xlfn.TEXTJOIN(", ",TRUE,IF(DEZ!$G16:$AK16="FE",DEZ!$G$4:$AK$4,"")))</f>
        <v/>
      </c>
      <c r="AD320">
        <f>IF($Q320="","",COUNTIF(JAN!$G16:$AK16,"FE")+COUNTIF(FEV!$G16:$AK16,"FE")+COUNTIF(MAR!$G16:$AK16,"FE")+COUNTIF(ABR!$G16:$AK16,"FE")+COUNTIF(MAI!$G16:$AK16,"FE")+COUNTIF(JUN!$G16:$AK16,"FE")+COUNTIF(JUL!$G16:$AK16,"FE")+COUNTIF(AGO!$G16:$AK16,"FE")+COUNTIF(SET!$G16:$AK16,"FE")+COUNTIF(OUT!$G16:$AK16,"FE")+COUNTIF(NOV!$G16:$AK16,"FE")+COUNTIF(DEZ!$G16:$AK16,"FE"))</f>
        <v>0</v>
      </c>
      <c r="AF320" t="str">
        <f>IF(AND($Q320&lt;&gt;"",N($AD320)&gt;0),COUNT($AF$309:AF319)+1,"")</f>
        <v/>
      </c>
    </row>
    <row r="321" spans="1:32" ht="20.100000000000001" customHeight="1" x14ac:dyDescent="0.25">
      <c r="A321" s="71" t="str">
        <f>IFERROR(INDEX($Q$310:$Q$459,MATCH(ROWS($A$310:A321),$AF$310:$AF$459,0)),"")</f>
        <v/>
      </c>
      <c r="B321" s="72" t="str">
        <f>IFERROR(INDEX($R$310:$R$459,MATCH(ROWS($A$310:A321),$AF$310:$AF$459,0)),"")</f>
        <v/>
      </c>
      <c r="C321" s="72" t="str">
        <f>IFERROR(INDEX($S$310:$S$459,MATCH(ROWS($A$310:A321),$AF$310:$AF$459,0)),"")</f>
        <v/>
      </c>
      <c r="D321" s="72" t="str">
        <f>IFERROR(INDEX($T$310:$T$459,MATCH(ROWS($A$310:A321),$AF$310:$AF$459,0)),"")</f>
        <v/>
      </c>
      <c r="E321" s="72" t="str">
        <f>IFERROR(INDEX($U$310:$U$459,MATCH(ROWS($A$310:A321),$AF$310:$AF$459,0)),"")</f>
        <v/>
      </c>
      <c r="F321" s="72" t="str">
        <f>IFERROR(INDEX($V$310:$V$459,MATCH(ROWS($A$310:A321),$AF$310:$AF$459,0)),"")</f>
        <v/>
      </c>
      <c r="G321" s="72" t="str">
        <f>IFERROR(INDEX($W$310:$W$459,MATCH(ROWS($A$310:A321),$AF$310:$AF$459,0)),"")</f>
        <v/>
      </c>
      <c r="H321" s="72" t="str">
        <f>IFERROR(INDEX($X$310:$X$459,MATCH(ROWS($A$310:A321),$AF$310:$AF$459,0)),"")</f>
        <v/>
      </c>
      <c r="I321" s="72" t="str">
        <f>IFERROR(INDEX($Y$310:$Y$459,MATCH(ROWS($A$310:A321),$AF$310:$AF$459,0)),"")</f>
        <v/>
      </c>
      <c r="J321" s="72" t="str">
        <f>IFERROR(INDEX($Z$310:$Z$459,MATCH(ROWS($A$310:A321),$AF$310:$AF$459,0)),"")</f>
        <v/>
      </c>
      <c r="K321" s="72" t="str">
        <f>IFERROR(INDEX($AA$310:$AA$459,MATCH(ROWS($A$310:A321),$AF$310:$AF$459,0)),"")</f>
        <v/>
      </c>
      <c r="L321" s="72" t="str">
        <f>IFERROR(INDEX($AB$310:$AB$459,MATCH(ROWS($A$310:A321),$AF$310:$AF$459,0)),"")</f>
        <v/>
      </c>
      <c r="M321" s="72" t="str">
        <f>IFERROR(INDEX($AC$310:$AC$459,MATCH(ROWS($A$310:A321),$AF$310:$AF$459,0)),"")</f>
        <v/>
      </c>
      <c r="N321" s="35" t="str">
        <f>IFERROR(INDEX($AD$310:$AD$459,MATCH(ROWS($A$310:A321),$AF$310:$AF$459,0)),"")</f>
        <v/>
      </c>
      <c r="Q321" t="str">
        <f>T(JAN!B17)</f>
        <v>JOSE HERTE 109801</v>
      </c>
      <c r="R321" t="str">
        <f t="array" ref="R321">IF($Q321="","",_xlfn.TEXTJOIN(", ",TRUE,IF(JAN!$G17:$AK17="FE",JAN!$G$4:$AK$4,"")))</f>
        <v/>
      </c>
      <c r="S321" t="str">
        <f t="array" ref="S321">IF($Q321="","",_xlfn.TEXTJOIN(", ",TRUE,IF(FEV!$G17:$AK17="FE",FEV!$G$4:$AK$4,"")))</f>
        <v/>
      </c>
      <c r="T321" t="str">
        <f t="array" ref="T321">IF($Q321="","",_xlfn.TEXTJOIN(", ",TRUE,IF(MAR!$G17:$AK17="FE",MAR!$G$4:$AK$4,"")))</f>
        <v/>
      </c>
      <c r="U321" t="str">
        <f t="array" ref="U321">IF($Q321="","",_xlfn.TEXTJOIN(", ",TRUE,IF(ABR!$G17:$AK17="FE",ABR!$G$4:$AK$4,"")))</f>
        <v/>
      </c>
      <c r="V321" t="str">
        <f t="array" ref="V321">IF($Q321="","",_xlfn.TEXTJOIN(", ",TRUE,IF(MAI!$G17:$AK17="FE",MAI!$G$4:$AK$4,"")))</f>
        <v/>
      </c>
      <c r="W321" t="str">
        <f t="array" ref="W321">IF($Q321="","",_xlfn.TEXTJOIN(", ",TRUE,IF(JUN!$G17:$AK17="FE",JUN!$G$4:$AK$4,"")))</f>
        <v/>
      </c>
      <c r="X321" t="str">
        <f t="array" ref="X321">IF($Q321="","",_xlfn.TEXTJOIN(", ",TRUE,IF(JUL!$G17:$AK17="FE",JUL!$G$4:$AK$4,"")))</f>
        <v/>
      </c>
      <c r="Y321" t="str">
        <f t="array" ref="Y321">IF($Q321="","",_xlfn.TEXTJOIN(", ",TRUE,IF(AGO!$G17:$AK17="FE",AGO!$G$4:$AK$4,"")))</f>
        <v/>
      </c>
      <c r="Z321" t="str">
        <f t="array" ref="Z321">IF($Q321="","",_xlfn.TEXTJOIN(", ",TRUE,IF(SET!$G17:$AK17="FE",SET!$G$4:$AK$4,"")))</f>
        <v/>
      </c>
      <c r="AA321" t="str">
        <f t="array" ref="AA321">IF($Q321="","",_xlfn.TEXTJOIN(", ",TRUE,IF(OUT!$G17:$AK17="FE",OUT!$G$4:$AK$4,"")))</f>
        <v/>
      </c>
      <c r="AB321" t="str">
        <f t="array" ref="AB321">IF($Q321="","",_xlfn.TEXTJOIN(", ",TRUE,IF(NOV!$G17:$AK17="FE",NOV!$G$4:$AK$4,"")))</f>
        <v/>
      </c>
      <c r="AC321" t="str">
        <f t="array" ref="AC321">IF($Q321="","",_xlfn.TEXTJOIN(", ",TRUE,IF(DEZ!$G17:$AK17="FE",DEZ!$G$4:$AK$4,"")))</f>
        <v/>
      </c>
      <c r="AD321">
        <f>IF($Q321="","",COUNTIF(JAN!$G17:$AK17,"FE")+COUNTIF(FEV!$G17:$AK17,"FE")+COUNTIF(MAR!$G17:$AK17,"FE")+COUNTIF(ABR!$G17:$AK17,"FE")+COUNTIF(MAI!$G17:$AK17,"FE")+COUNTIF(JUN!$G17:$AK17,"FE")+COUNTIF(JUL!$G17:$AK17,"FE")+COUNTIF(AGO!$G17:$AK17,"FE")+COUNTIF(SET!$G17:$AK17,"FE")+COUNTIF(OUT!$G17:$AK17,"FE")+COUNTIF(NOV!$G17:$AK17,"FE")+COUNTIF(DEZ!$G17:$AK17,"FE"))</f>
        <v>0</v>
      </c>
      <c r="AF321" t="str">
        <f>IF(AND($Q321&lt;&gt;"",N($AD321)&gt;0),COUNT($AF$309:AF320)+1,"")</f>
        <v/>
      </c>
    </row>
    <row r="322" spans="1:32" ht="20.100000000000001" customHeight="1" x14ac:dyDescent="0.25">
      <c r="A322" s="71" t="str">
        <f>IFERROR(INDEX($Q$310:$Q$459,MATCH(ROWS($A$310:A322),$AF$310:$AF$459,0)),"")</f>
        <v/>
      </c>
      <c r="B322" s="72" t="str">
        <f>IFERROR(INDEX($R$310:$R$459,MATCH(ROWS($A$310:A322),$AF$310:$AF$459,0)),"")</f>
        <v/>
      </c>
      <c r="C322" s="72" t="str">
        <f>IFERROR(INDEX($S$310:$S$459,MATCH(ROWS($A$310:A322),$AF$310:$AF$459,0)),"")</f>
        <v/>
      </c>
      <c r="D322" s="72" t="str">
        <f>IFERROR(INDEX($T$310:$T$459,MATCH(ROWS($A$310:A322),$AF$310:$AF$459,0)),"")</f>
        <v/>
      </c>
      <c r="E322" s="72" t="str">
        <f>IFERROR(INDEX($U$310:$U$459,MATCH(ROWS($A$310:A322),$AF$310:$AF$459,0)),"")</f>
        <v/>
      </c>
      <c r="F322" s="72" t="str">
        <f>IFERROR(INDEX($V$310:$V$459,MATCH(ROWS($A$310:A322),$AF$310:$AF$459,0)),"")</f>
        <v/>
      </c>
      <c r="G322" s="72" t="str">
        <f>IFERROR(INDEX($W$310:$W$459,MATCH(ROWS($A$310:A322),$AF$310:$AF$459,0)),"")</f>
        <v/>
      </c>
      <c r="H322" s="72" t="str">
        <f>IFERROR(INDEX($X$310:$X$459,MATCH(ROWS($A$310:A322),$AF$310:$AF$459,0)),"")</f>
        <v/>
      </c>
      <c r="I322" s="72" t="str">
        <f>IFERROR(INDEX($Y$310:$Y$459,MATCH(ROWS($A$310:A322),$AF$310:$AF$459,0)),"")</f>
        <v/>
      </c>
      <c r="J322" s="72" t="str">
        <f>IFERROR(INDEX($Z$310:$Z$459,MATCH(ROWS($A$310:A322),$AF$310:$AF$459,0)),"")</f>
        <v/>
      </c>
      <c r="K322" s="72" t="str">
        <f>IFERROR(INDEX($AA$310:$AA$459,MATCH(ROWS($A$310:A322),$AF$310:$AF$459,0)),"")</f>
        <v/>
      </c>
      <c r="L322" s="72" t="str">
        <f>IFERROR(INDEX($AB$310:$AB$459,MATCH(ROWS($A$310:A322),$AF$310:$AF$459,0)),"")</f>
        <v/>
      </c>
      <c r="M322" s="72" t="str">
        <f>IFERROR(INDEX($AC$310:$AC$459,MATCH(ROWS($A$310:A322),$AF$310:$AF$459,0)),"")</f>
        <v/>
      </c>
      <c r="N322" s="35" t="str">
        <f>IFERROR(INDEX($AD$310:$AD$459,MATCH(ROWS($A$310:A322),$AF$310:$AF$459,0)),"")</f>
        <v/>
      </c>
      <c r="Q322" t="str">
        <f>T(JAN!B18)</f>
        <v>EVERTON SILVA 37001892</v>
      </c>
      <c r="R322" t="str">
        <f t="array" ref="R322">IF($Q322="","",_xlfn.TEXTJOIN(", ",TRUE,IF(JAN!$G18:$AK18="FE",JAN!$G$4:$AK$4,"")))</f>
        <v/>
      </c>
      <c r="S322" t="str">
        <f t="array" ref="S322">IF($Q322="","",_xlfn.TEXTJOIN(", ",TRUE,IF(FEV!$G18:$AK18="FE",FEV!$G$4:$AK$4,"")))</f>
        <v/>
      </c>
      <c r="T322" t="str">
        <f t="array" ref="T322">IF($Q322="","",_xlfn.TEXTJOIN(", ",TRUE,IF(MAR!$G18:$AK18="FE",MAR!$G$4:$AK$4,"")))</f>
        <v/>
      </c>
      <c r="U322" t="str">
        <f t="array" ref="U322">IF($Q322="","",_xlfn.TEXTJOIN(", ",TRUE,IF(ABR!$G18:$AK18="FE",ABR!$G$4:$AK$4,"")))</f>
        <v/>
      </c>
      <c r="V322" t="str">
        <f t="array" ref="V322">IF($Q322="","",_xlfn.TEXTJOIN(", ",TRUE,IF(MAI!$G18:$AK18="FE",MAI!$G$4:$AK$4,"")))</f>
        <v/>
      </c>
      <c r="W322" t="str">
        <f t="array" ref="W322">IF($Q322="","",_xlfn.TEXTJOIN(", ",TRUE,IF(JUN!$G18:$AK18="FE",JUN!$G$4:$AK$4,"")))</f>
        <v/>
      </c>
      <c r="X322" t="str">
        <f t="array" ref="X322">IF($Q322="","",_xlfn.TEXTJOIN(", ",TRUE,IF(JUL!$G18:$AK18="FE",JUL!$G$4:$AK$4,"")))</f>
        <v/>
      </c>
      <c r="Y322" t="str">
        <f t="array" ref="Y322">IF($Q322="","",_xlfn.TEXTJOIN(", ",TRUE,IF(AGO!$G18:$AK18="FE",AGO!$G$4:$AK$4,"")))</f>
        <v/>
      </c>
      <c r="Z322" t="str">
        <f t="array" ref="Z322">IF($Q322="","",_xlfn.TEXTJOIN(", ",TRUE,IF(SET!$G18:$AK18="FE",SET!$G$4:$AK$4,"")))</f>
        <v/>
      </c>
      <c r="AA322" t="str">
        <f t="array" ref="AA322">IF($Q322="","",_xlfn.TEXTJOIN(", ",TRUE,IF(OUT!$G18:$AK18="FE",OUT!$G$4:$AK$4,"")))</f>
        <v/>
      </c>
      <c r="AB322" t="str">
        <f t="array" ref="AB322">IF($Q322="","",_xlfn.TEXTJOIN(", ",TRUE,IF(NOV!$G18:$AK18="FE",NOV!$G$4:$AK$4,"")))</f>
        <v/>
      </c>
      <c r="AC322" t="str">
        <f t="array" ref="AC322">IF($Q322="","",_xlfn.TEXTJOIN(", ",TRUE,IF(DEZ!$G18:$AK18="FE",DEZ!$G$4:$AK$4,"")))</f>
        <v/>
      </c>
      <c r="AD322">
        <f>IF($Q322="","",COUNTIF(JAN!$G18:$AK18,"FE")+COUNTIF(FEV!$G18:$AK18,"FE")+COUNTIF(MAR!$G18:$AK18,"FE")+COUNTIF(ABR!$G18:$AK18,"FE")+COUNTIF(MAI!$G18:$AK18,"FE")+COUNTIF(JUN!$G18:$AK18,"FE")+COUNTIF(JUL!$G18:$AK18,"FE")+COUNTIF(AGO!$G18:$AK18,"FE")+COUNTIF(SET!$G18:$AK18,"FE")+COUNTIF(OUT!$G18:$AK18,"FE")+COUNTIF(NOV!$G18:$AK18,"FE")+COUNTIF(DEZ!$G18:$AK18,"FE"))</f>
        <v>0</v>
      </c>
      <c r="AF322" t="str">
        <f>IF(AND($Q322&lt;&gt;"",N($AD322)&gt;0),COUNT($AF$309:AF321)+1,"")</f>
        <v/>
      </c>
    </row>
    <row r="323" spans="1:32" ht="20.100000000000001" customHeight="1" x14ac:dyDescent="0.25">
      <c r="A323" s="71" t="str">
        <f>IFERROR(INDEX($Q$310:$Q$459,MATCH(ROWS($A$310:A323),$AF$310:$AF$459,0)),"")</f>
        <v/>
      </c>
      <c r="B323" s="72" t="str">
        <f>IFERROR(INDEX($R$310:$R$459,MATCH(ROWS($A$310:A323),$AF$310:$AF$459,0)),"")</f>
        <v/>
      </c>
      <c r="C323" s="72" t="str">
        <f>IFERROR(INDEX($S$310:$S$459,MATCH(ROWS($A$310:A323),$AF$310:$AF$459,0)),"")</f>
        <v/>
      </c>
      <c r="D323" s="72" t="str">
        <f>IFERROR(INDEX($T$310:$T$459,MATCH(ROWS($A$310:A323),$AF$310:$AF$459,0)),"")</f>
        <v/>
      </c>
      <c r="E323" s="72" t="str">
        <f>IFERROR(INDEX($U$310:$U$459,MATCH(ROWS($A$310:A323),$AF$310:$AF$459,0)),"")</f>
        <v/>
      </c>
      <c r="F323" s="72" t="str">
        <f>IFERROR(INDEX($V$310:$V$459,MATCH(ROWS($A$310:A323),$AF$310:$AF$459,0)),"")</f>
        <v/>
      </c>
      <c r="G323" s="72" t="str">
        <f>IFERROR(INDEX($W$310:$W$459,MATCH(ROWS($A$310:A323),$AF$310:$AF$459,0)),"")</f>
        <v/>
      </c>
      <c r="H323" s="72" t="str">
        <f>IFERROR(INDEX($X$310:$X$459,MATCH(ROWS($A$310:A323),$AF$310:$AF$459,0)),"")</f>
        <v/>
      </c>
      <c r="I323" s="72" t="str">
        <f>IFERROR(INDEX($Y$310:$Y$459,MATCH(ROWS($A$310:A323),$AF$310:$AF$459,0)),"")</f>
        <v/>
      </c>
      <c r="J323" s="72" t="str">
        <f>IFERROR(INDEX($Z$310:$Z$459,MATCH(ROWS($A$310:A323),$AF$310:$AF$459,0)),"")</f>
        <v/>
      </c>
      <c r="K323" s="72" t="str">
        <f>IFERROR(INDEX($AA$310:$AA$459,MATCH(ROWS($A$310:A323),$AF$310:$AF$459,0)),"")</f>
        <v/>
      </c>
      <c r="L323" s="72" t="str">
        <f>IFERROR(INDEX($AB$310:$AB$459,MATCH(ROWS($A$310:A323),$AF$310:$AF$459,0)),"")</f>
        <v/>
      </c>
      <c r="M323" s="72" t="str">
        <f>IFERROR(INDEX($AC$310:$AC$459,MATCH(ROWS($A$310:A323),$AF$310:$AF$459,0)),"")</f>
        <v/>
      </c>
      <c r="N323" s="35" t="str">
        <f>IFERROR(INDEX($AD$310:$AD$459,MATCH(ROWS($A$310:A323),$AF$310:$AF$459,0)),"")</f>
        <v/>
      </c>
      <c r="Q323" t="str">
        <f>T(JAN!B19)</f>
        <v>ANILTON MORAES 327401</v>
      </c>
      <c r="R323" t="str">
        <f t="array" ref="R323">IF($Q323="","",_xlfn.TEXTJOIN(", ",TRUE,IF(JAN!$G19:$AK19="FE",JAN!$G$4:$AK$4,"")))</f>
        <v/>
      </c>
      <c r="S323" t="str">
        <f t="array" ref="S323">IF($Q323="","",_xlfn.TEXTJOIN(", ",TRUE,IF(FEV!$G19:$AK19="FE",FEV!$G$4:$AK$4,"")))</f>
        <v/>
      </c>
      <c r="T323" t="str">
        <f t="array" ref="T323">IF($Q323="","",_xlfn.TEXTJOIN(", ",TRUE,IF(MAR!$G19:$AK19="FE",MAR!$G$4:$AK$4,"")))</f>
        <v/>
      </c>
      <c r="U323" t="str">
        <f t="array" ref="U323">IF($Q323="","",_xlfn.TEXTJOIN(", ",TRUE,IF(ABR!$G19:$AK19="FE",ABR!$G$4:$AK$4,"")))</f>
        <v/>
      </c>
      <c r="V323" t="str">
        <f t="array" ref="V323">IF($Q323="","",_xlfn.TEXTJOIN(", ",TRUE,IF(MAI!$G19:$AK19="FE",MAI!$G$4:$AK$4,"")))</f>
        <v/>
      </c>
      <c r="W323" t="str">
        <f t="array" ref="W323">IF($Q323="","",_xlfn.TEXTJOIN(", ",TRUE,IF(JUN!$G19:$AK19="FE",JUN!$G$4:$AK$4,"")))</f>
        <v/>
      </c>
      <c r="X323" t="str">
        <f t="array" ref="X323">IF($Q323="","",_xlfn.TEXTJOIN(", ",TRUE,IF(JUL!$G19:$AK19="FE",JUL!$G$4:$AK$4,"")))</f>
        <v/>
      </c>
      <c r="Y323" t="str">
        <f t="array" ref="Y323">IF($Q323="","",_xlfn.TEXTJOIN(", ",TRUE,IF(AGO!$G19:$AK19="FE",AGO!$G$4:$AK$4,"")))</f>
        <v/>
      </c>
      <c r="Z323" t="str">
        <f t="array" ref="Z323">IF($Q323="","",_xlfn.TEXTJOIN(", ",TRUE,IF(SET!$G19:$AK19="FE",SET!$G$4:$AK$4,"")))</f>
        <v/>
      </c>
      <c r="AA323" t="str">
        <f t="array" ref="AA323">IF($Q323="","",_xlfn.TEXTJOIN(", ",TRUE,IF(OUT!$G19:$AK19="FE",OUT!$G$4:$AK$4,"")))</f>
        <v/>
      </c>
      <c r="AB323" t="str">
        <f t="array" ref="AB323">IF($Q323="","",_xlfn.TEXTJOIN(", ",TRUE,IF(NOV!$G19:$AK19="FE",NOV!$G$4:$AK$4,"")))</f>
        <v/>
      </c>
      <c r="AC323" t="str">
        <f t="array" ref="AC323">IF($Q323="","",_xlfn.TEXTJOIN(", ",TRUE,IF(DEZ!$G19:$AK19="FE",DEZ!$G$4:$AK$4,"")))</f>
        <v/>
      </c>
      <c r="AD323">
        <f>IF($Q323="","",COUNTIF(JAN!$G19:$AK19,"FE")+COUNTIF(FEV!$G19:$AK19,"FE")+COUNTIF(MAR!$G19:$AK19,"FE")+COUNTIF(ABR!$G19:$AK19,"FE")+COUNTIF(MAI!$G19:$AK19,"FE")+COUNTIF(JUN!$G19:$AK19,"FE")+COUNTIF(JUL!$G19:$AK19,"FE")+COUNTIF(AGO!$G19:$AK19,"FE")+COUNTIF(SET!$G19:$AK19,"FE")+COUNTIF(OUT!$G19:$AK19,"FE")+COUNTIF(NOV!$G19:$AK19,"FE")+COUNTIF(DEZ!$G19:$AK19,"FE"))</f>
        <v>0</v>
      </c>
      <c r="AF323" t="str">
        <f>IF(AND($Q323&lt;&gt;"",N($AD323)&gt;0),COUNT($AF$309:AF322)+1,"")</f>
        <v/>
      </c>
    </row>
    <row r="324" spans="1:32" ht="20.100000000000001" customHeight="1" x14ac:dyDescent="0.25">
      <c r="A324" s="71" t="str">
        <f>IFERROR(INDEX($Q$310:$Q$459,MATCH(ROWS($A$310:A324),$AF$310:$AF$459,0)),"")</f>
        <v/>
      </c>
      <c r="B324" s="72" t="str">
        <f>IFERROR(INDEX($R$310:$R$459,MATCH(ROWS($A$310:A324),$AF$310:$AF$459,0)),"")</f>
        <v/>
      </c>
      <c r="C324" s="72" t="str">
        <f>IFERROR(INDEX($S$310:$S$459,MATCH(ROWS($A$310:A324),$AF$310:$AF$459,0)),"")</f>
        <v/>
      </c>
      <c r="D324" s="72" t="str">
        <f>IFERROR(INDEX($T$310:$T$459,MATCH(ROWS($A$310:A324),$AF$310:$AF$459,0)),"")</f>
        <v/>
      </c>
      <c r="E324" s="72" t="str">
        <f>IFERROR(INDEX($U$310:$U$459,MATCH(ROWS($A$310:A324),$AF$310:$AF$459,0)),"")</f>
        <v/>
      </c>
      <c r="F324" s="72" t="str">
        <f>IFERROR(INDEX($V$310:$V$459,MATCH(ROWS($A$310:A324),$AF$310:$AF$459,0)),"")</f>
        <v/>
      </c>
      <c r="G324" s="72" t="str">
        <f>IFERROR(INDEX($W$310:$W$459,MATCH(ROWS($A$310:A324),$AF$310:$AF$459,0)),"")</f>
        <v/>
      </c>
      <c r="H324" s="72" t="str">
        <f>IFERROR(INDEX($X$310:$X$459,MATCH(ROWS($A$310:A324),$AF$310:$AF$459,0)),"")</f>
        <v/>
      </c>
      <c r="I324" s="72" t="str">
        <f>IFERROR(INDEX($Y$310:$Y$459,MATCH(ROWS($A$310:A324),$AF$310:$AF$459,0)),"")</f>
        <v/>
      </c>
      <c r="J324" s="72" t="str">
        <f>IFERROR(INDEX($Z$310:$Z$459,MATCH(ROWS($A$310:A324),$AF$310:$AF$459,0)),"")</f>
        <v/>
      </c>
      <c r="K324" s="72" t="str">
        <f>IFERROR(INDEX($AA$310:$AA$459,MATCH(ROWS($A$310:A324),$AF$310:$AF$459,0)),"")</f>
        <v/>
      </c>
      <c r="L324" s="72" t="str">
        <f>IFERROR(INDEX($AB$310:$AB$459,MATCH(ROWS($A$310:A324),$AF$310:$AF$459,0)),"")</f>
        <v/>
      </c>
      <c r="M324" s="72" t="str">
        <f>IFERROR(INDEX($AC$310:$AC$459,MATCH(ROWS($A$310:A324),$AF$310:$AF$459,0)),"")</f>
        <v/>
      </c>
      <c r="N324" s="35" t="str">
        <f>IFERROR(INDEX($AD$310:$AD$459,MATCH(ROWS($A$310:A324),$AF$310:$AF$459,0)),"")</f>
        <v/>
      </c>
      <c r="Q324" t="str">
        <f>T(JAN!B20)</f>
        <v>MARCOS SOUZA 453701</v>
      </c>
      <c r="R324" t="str">
        <f t="array" ref="R324">IF($Q324="","",_xlfn.TEXTJOIN(", ",TRUE,IF(JAN!$G20:$AK20="FE",JAN!$G$4:$AK$4,"")))</f>
        <v/>
      </c>
      <c r="S324" t="str">
        <f t="array" ref="S324">IF($Q324="","",_xlfn.TEXTJOIN(", ",TRUE,IF(FEV!$G20:$AK20="FE",FEV!$G$4:$AK$4,"")))</f>
        <v/>
      </c>
      <c r="T324" t="str">
        <f t="array" ref="T324">IF($Q324="","",_xlfn.TEXTJOIN(", ",TRUE,IF(MAR!$G20:$AK20="FE",MAR!$G$4:$AK$4,"")))</f>
        <v/>
      </c>
      <c r="U324" t="str">
        <f t="array" ref="U324">IF($Q324="","",_xlfn.TEXTJOIN(", ",TRUE,IF(ABR!$G20:$AK20="FE",ABR!$G$4:$AK$4,"")))</f>
        <v/>
      </c>
      <c r="V324" t="str">
        <f t="array" ref="V324">IF($Q324="","",_xlfn.TEXTJOIN(", ",TRUE,IF(MAI!$G20:$AK20="FE",MAI!$G$4:$AK$4,"")))</f>
        <v/>
      </c>
      <c r="W324" t="str">
        <f t="array" ref="W324">IF($Q324="","",_xlfn.TEXTJOIN(", ",TRUE,IF(JUN!$G20:$AK20="FE",JUN!$G$4:$AK$4,"")))</f>
        <v/>
      </c>
      <c r="X324" t="str">
        <f t="array" ref="X324">IF($Q324="","",_xlfn.TEXTJOIN(", ",TRUE,IF(JUL!$G20:$AK20="FE",JUL!$G$4:$AK$4,"")))</f>
        <v/>
      </c>
      <c r="Y324" t="str">
        <f t="array" ref="Y324">IF($Q324="","",_xlfn.TEXTJOIN(", ",TRUE,IF(AGO!$G20:$AK20="FE",AGO!$G$4:$AK$4,"")))</f>
        <v/>
      </c>
      <c r="Z324" t="str">
        <f t="array" ref="Z324">IF($Q324="","",_xlfn.TEXTJOIN(", ",TRUE,IF(SET!$G20:$AK20="FE",SET!$G$4:$AK$4,"")))</f>
        <v/>
      </c>
      <c r="AA324" t="str">
        <f t="array" ref="AA324">IF($Q324="","",_xlfn.TEXTJOIN(", ",TRUE,IF(OUT!$G20:$AK20="FE",OUT!$G$4:$AK$4,"")))</f>
        <v/>
      </c>
      <c r="AB324" t="str">
        <f t="array" ref="AB324">IF($Q324="","",_xlfn.TEXTJOIN(", ",TRUE,IF(NOV!$G20:$AK20="FE",NOV!$G$4:$AK$4,"")))</f>
        <v/>
      </c>
      <c r="AC324" t="str">
        <f t="array" ref="AC324">IF($Q324="","",_xlfn.TEXTJOIN(", ",TRUE,IF(DEZ!$G20:$AK20="FE",DEZ!$G$4:$AK$4,"")))</f>
        <v/>
      </c>
      <c r="AD324">
        <f>IF($Q324="","",COUNTIF(JAN!$G20:$AK20,"FE")+COUNTIF(FEV!$G20:$AK20,"FE")+COUNTIF(MAR!$G20:$AK20,"FE")+COUNTIF(ABR!$G20:$AK20,"FE")+COUNTIF(MAI!$G20:$AK20,"FE")+COUNTIF(JUN!$G20:$AK20,"FE")+COUNTIF(JUL!$G20:$AK20,"FE")+COUNTIF(AGO!$G20:$AK20,"FE")+COUNTIF(SET!$G20:$AK20,"FE")+COUNTIF(OUT!$G20:$AK20,"FE")+COUNTIF(NOV!$G20:$AK20,"FE")+COUNTIF(DEZ!$G20:$AK20,"FE"))</f>
        <v>0</v>
      </c>
      <c r="AF324" t="str">
        <f>IF(AND($Q324&lt;&gt;"",N($AD324)&gt;0),COUNT($AF$309:AF323)+1,"")</f>
        <v/>
      </c>
    </row>
    <row r="325" spans="1:32" ht="20.100000000000001" customHeight="1" x14ac:dyDescent="0.25">
      <c r="A325" s="71" t="str">
        <f>IFERROR(INDEX($Q$310:$Q$459,MATCH(ROWS($A$310:A325),$AF$310:$AF$459,0)),"")</f>
        <v/>
      </c>
      <c r="B325" s="72" t="str">
        <f>IFERROR(INDEX($R$310:$R$459,MATCH(ROWS($A$310:A325),$AF$310:$AF$459,0)),"")</f>
        <v/>
      </c>
      <c r="C325" s="72" t="str">
        <f>IFERROR(INDEX($S$310:$S$459,MATCH(ROWS($A$310:A325),$AF$310:$AF$459,0)),"")</f>
        <v/>
      </c>
      <c r="D325" s="72" t="str">
        <f>IFERROR(INDEX($T$310:$T$459,MATCH(ROWS($A$310:A325),$AF$310:$AF$459,0)),"")</f>
        <v/>
      </c>
      <c r="E325" s="72" t="str">
        <f>IFERROR(INDEX($U$310:$U$459,MATCH(ROWS($A$310:A325),$AF$310:$AF$459,0)),"")</f>
        <v/>
      </c>
      <c r="F325" s="72" t="str">
        <f>IFERROR(INDEX($V$310:$V$459,MATCH(ROWS($A$310:A325),$AF$310:$AF$459,0)),"")</f>
        <v/>
      </c>
      <c r="G325" s="72" t="str">
        <f>IFERROR(INDEX($W$310:$W$459,MATCH(ROWS($A$310:A325),$AF$310:$AF$459,0)),"")</f>
        <v/>
      </c>
      <c r="H325" s="72" t="str">
        <f>IFERROR(INDEX($X$310:$X$459,MATCH(ROWS($A$310:A325),$AF$310:$AF$459,0)),"")</f>
        <v/>
      </c>
      <c r="I325" s="72" t="str">
        <f>IFERROR(INDEX($Y$310:$Y$459,MATCH(ROWS($A$310:A325),$AF$310:$AF$459,0)),"")</f>
        <v/>
      </c>
      <c r="J325" s="72" t="str">
        <f>IFERROR(INDEX($Z$310:$Z$459,MATCH(ROWS($A$310:A325),$AF$310:$AF$459,0)),"")</f>
        <v/>
      </c>
      <c r="K325" s="72" t="str">
        <f>IFERROR(INDEX($AA$310:$AA$459,MATCH(ROWS($A$310:A325),$AF$310:$AF$459,0)),"")</f>
        <v/>
      </c>
      <c r="L325" s="72" t="str">
        <f>IFERROR(INDEX($AB$310:$AB$459,MATCH(ROWS($A$310:A325),$AF$310:$AF$459,0)),"")</f>
        <v/>
      </c>
      <c r="M325" s="72" t="str">
        <f>IFERROR(INDEX($AC$310:$AC$459,MATCH(ROWS($A$310:A325),$AF$310:$AF$459,0)),"")</f>
        <v/>
      </c>
      <c r="N325" s="35" t="str">
        <f>IFERROR(INDEX($AD$310:$AD$459,MATCH(ROWS($A$310:A325),$AF$310:$AF$459,0)),"")</f>
        <v/>
      </c>
      <c r="Q325" t="str">
        <f>T(JAN!B21)</f>
        <v>MARCOS EBERTZ 356601</v>
      </c>
      <c r="R325" t="str">
        <f t="array" ref="R325">IF($Q325="","",_xlfn.TEXTJOIN(", ",TRUE,IF(JAN!$G21:$AK21="FE",JAN!$G$4:$AK$4,"")))</f>
        <v/>
      </c>
      <c r="S325" t="str">
        <f t="array" ref="S325">IF($Q325="","",_xlfn.TEXTJOIN(", ",TRUE,IF(FEV!$G21:$AK21="FE",FEV!$G$4:$AK$4,"")))</f>
        <v/>
      </c>
      <c r="T325" t="str">
        <f t="array" ref="T325">IF($Q325="","",_xlfn.TEXTJOIN(", ",TRUE,IF(MAR!$G21:$AK21="FE",MAR!$G$4:$AK$4,"")))</f>
        <v/>
      </c>
      <c r="U325" t="str">
        <f t="array" ref="U325">IF($Q325="","",_xlfn.TEXTJOIN(", ",TRUE,IF(ABR!$G21:$AK21="FE",ABR!$G$4:$AK$4,"")))</f>
        <v/>
      </c>
      <c r="V325" t="str">
        <f t="array" ref="V325">IF($Q325="","",_xlfn.TEXTJOIN(", ",TRUE,IF(MAI!$G21:$AK21="FE",MAI!$G$4:$AK$4,"")))</f>
        <v/>
      </c>
      <c r="W325" t="str">
        <f t="array" ref="W325">IF($Q325="","",_xlfn.TEXTJOIN(", ",TRUE,IF(JUN!$G21:$AK21="FE",JUN!$G$4:$AK$4,"")))</f>
        <v/>
      </c>
      <c r="X325" t="str">
        <f t="array" ref="X325">IF($Q325="","",_xlfn.TEXTJOIN(", ",TRUE,IF(JUL!$G21:$AK21="FE",JUL!$G$4:$AK$4,"")))</f>
        <v/>
      </c>
      <c r="Y325" t="str">
        <f t="array" ref="Y325">IF($Q325="","",_xlfn.TEXTJOIN(", ",TRUE,IF(AGO!$G21:$AK21="FE",AGO!$G$4:$AK$4,"")))</f>
        <v/>
      </c>
      <c r="Z325" t="str">
        <f t="array" ref="Z325">IF($Q325="","",_xlfn.TEXTJOIN(", ",TRUE,IF(SET!$G21:$AK21="FE",SET!$G$4:$AK$4,"")))</f>
        <v/>
      </c>
      <c r="AA325" t="str">
        <f t="array" ref="AA325">IF($Q325="","",_xlfn.TEXTJOIN(", ",TRUE,IF(OUT!$G21:$AK21="FE",OUT!$G$4:$AK$4,"")))</f>
        <v/>
      </c>
      <c r="AB325" t="str">
        <f t="array" ref="AB325">IF($Q325="","",_xlfn.TEXTJOIN(", ",TRUE,IF(NOV!$G21:$AK21="FE",NOV!$G$4:$AK$4,"")))</f>
        <v/>
      </c>
      <c r="AC325" t="str">
        <f t="array" ref="AC325">IF($Q325="","",_xlfn.TEXTJOIN(", ",TRUE,IF(DEZ!$G21:$AK21="FE",DEZ!$G$4:$AK$4,"")))</f>
        <v/>
      </c>
      <c r="AD325">
        <f>IF($Q325="","",COUNTIF(JAN!$G21:$AK21,"FE")+COUNTIF(FEV!$G21:$AK21,"FE")+COUNTIF(MAR!$G21:$AK21,"FE")+COUNTIF(ABR!$G21:$AK21,"FE")+COUNTIF(MAI!$G21:$AK21,"FE")+COUNTIF(JUN!$G21:$AK21,"FE")+COUNTIF(JUL!$G21:$AK21,"FE")+COUNTIF(AGO!$G21:$AK21,"FE")+COUNTIF(SET!$G21:$AK21,"FE")+COUNTIF(OUT!$G21:$AK21,"FE")+COUNTIF(NOV!$G21:$AK21,"FE")+COUNTIF(DEZ!$G21:$AK21,"FE"))</f>
        <v>0</v>
      </c>
      <c r="AF325" t="str">
        <f>IF(AND($Q325&lt;&gt;"",N($AD325)&gt;0),COUNT($AF$309:AF324)+1,"")</f>
        <v/>
      </c>
    </row>
    <row r="326" spans="1:32" ht="20.100000000000001" customHeight="1" x14ac:dyDescent="0.25">
      <c r="A326" s="71" t="str">
        <f>IFERROR(INDEX($Q$310:$Q$459,MATCH(ROWS($A$310:A326),$AF$310:$AF$459,0)),"")</f>
        <v/>
      </c>
      <c r="B326" s="72" t="str">
        <f>IFERROR(INDEX($R$310:$R$459,MATCH(ROWS($A$310:A326),$AF$310:$AF$459,0)),"")</f>
        <v/>
      </c>
      <c r="C326" s="72" t="str">
        <f>IFERROR(INDEX($S$310:$S$459,MATCH(ROWS($A$310:A326),$AF$310:$AF$459,0)),"")</f>
        <v/>
      </c>
      <c r="D326" s="72" t="str">
        <f>IFERROR(INDEX($T$310:$T$459,MATCH(ROWS($A$310:A326),$AF$310:$AF$459,0)),"")</f>
        <v/>
      </c>
      <c r="E326" s="72" t="str">
        <f>IFERROR(INDEX($U$310:$U$459,MATCH(ROWS($A$310:A326),$AF$310:$AF$459,0)),"")</f>
        <v/>
      </c>
      <c r="F326" s="72" t="str">
        <f>IFERROR(INDEX($V$310:$V$459,MATCH(ROWS($A$310:A326),$AF$310:$AF$459,0)),"")</f>
        <v/>
      </c>
      <c r="G326" s="72" t="str">
        <f>IFERROR(INDEX($W$310:$W$459,MATCH(ROWS($A$310:A326),$AF$310:$AF$459,0)),"")</f>
        <v/>
      </c>
      <c r="H326" s="72" t="str">
        <f>IFERROR(INDEX($X$310:$X$459,MATCH(ROWS($A$310:A326),$AF$310:$AF$459,0)),"")</f>
        <v/>
      </c>
      <c r="I326" s="72" t="str">
        <f>IFERROR(INDEX($Y$310:$Y$459,MATCH(ROWS($A$310:A326),$AF$310:$AF$459,0)),"")</f>
        <v/>
      </c>
      <c r="J326" s="72" t="str">
        <f>IFERROR(INDEX($Z$310:$Z$459,MATCH(ROWS($A$310:A326),$AF$310:$AF$459,0)),"")</f>
        <v/>
      </c>
      <c r="K326" s="72" t="str">
        <f>IFERROR(INDEX($AA$310:$AA$459,MATCH(ROWS($A$310:A326),$AF$310:$AF$459,0)),"")</f>
        <v/>
      </c>
      <c r="L326" s="72" t="str">
        <f>IFERROR(INDEX($AB$310:$AB$459,MATCH(ROWS($A$310:A326),$AF$310:$AF$459,0)),"")</f>
        <v/>
      </c>
      <c r="M326" s="72" t="str">
        <f>IFERROR(INDEX($AC$310:$AC$459,MATCH(ROWS($A$310:A326),$AF$310:$AF$459,0)),"")</f>
        <v/>
      </c>
      <c r="N326" s="35" t="str">
        <f>IFERROR(INDEX($AD$310:$AD$459,MATCH(ROWS($A$310:A326),$AF$310:$AF$459,0)),"")</f>
        <v/>
      </c>
      <c r="Q326" t="str">
        <f>T(JAN!B22)</f>
        <v>REGIS CERETA 384101</v>
      </c>
      <c r="R326" t="str">
        <f t="array" ref="R326">IF($Q326="","",_xlfn.TEXTJOIN(", ",TRUE,IF(JAN!$G22:$AK22="FE",JAN!$G$4:$AK$4,"")))</f>
        <v/>
      </c>
      <c r="S326" t="str">
        <f t="array" ref="S326">IF($Q326="","",_xlfn.TEXTJOIN(", ",TRUE,IF(FEV!$G22:$AK22="FE",FEV!$G$4:$AK$4,"")))</f>
        <v/>
      </c>
      <c r="T326" t="str">
        <f t="array" ref="T326">IF($Q326="","",_xlfn.TEXTJOIN(", ",TRUE,IF(MAR!$G22:$AK22="FE",MAR!$G$4:$AK$4,"")))</f>
        <v/>
      </c>
      <c r="U326" t="str">
        <f t="array" ref="U326">IF($Q326="","",_xlfn.TEXTJOIN(", ",TRUE,IF(ABR!$G22:$AK22="FE",ABR!$G$4:$AK$4,"")))</f>
        <v/>
      </c>
      <c r="V326" t="str">
        <f t="array" ref="V326">IF($Q326="","",_xlfn.TEXTJOIN(", ",TRUE,IF(MAI!$G22:$AK22="FE",MAI!$G$4:$AK$4,"")))</f>
        <v/>
      </c>
      <c r="W326" t="str">
        <f t="array" ref="W326">IF($Q326="","",_xlfn.TEXTJOIN(", ",TRUE,IF(JUN!$G22:$AK22="FE",JUN!$G$4:$AK$4,"")))</f>
        <v/>
      </c>
      <c r="X326" t="str">
        <f t="array" ref="X326">IF($Q326="","",_xlfn.TEXTJOIN(", ",TRUE,IF(JUL!$G22:$AK22="FE",JUL!$G$4:$AK$4,"")))</f>
        <v/>
      </c>
      <c r="Y326" t="str">
        <f t="array" ref="Y326">IF($Q326="","",_xlfn.TEXTJOIN(", ",TRUE,IF(AGO!$G22:$AK22="FE",AGO!$G$4:$AK$4,"")))</f>
        <v/>
      </c>
      <c r="Z326" t="str">
        <f t="array" ref="Z326">IF($Q326="","",_xlfn.TEXTJOIN(", ",TRUE,IF(SET!$G22:$AK22="FE",SET!$G$4:$AK$4,"")))</f>
        <v/>
      </c>
      <c r="AA326" t="str">
        <f t="array" ref="AA326">IF($Q326="","",_xlfn.TEXTJOIN(", ",TRUE,IF(OUT!$G22:$AK22="FE",OUT!$G$4:$AK$4,"")))</f>
        <v/>
      </c>
      <c r="AB326" t="str">
        <f t="array" ref="AB326">IF($Q326="","",_xlfn.TEXTJOIN(", ",TRUE,IF(NOV!$G22:$AK22="FE",NOV!$G$4:$AK$4,"")))</f>
        <v/>
      </c>
      <c r="AC326" t="str">
        <f t="array" ref="AC326">IF($Q326="","",_xlfn.TEXTJOIN(", ",TRUE,IF(DEZ!$G22:$AK22="FE",DEZ!$G$4:$AK$4,"")))</f>
        <v/>
      </c>
      <c r="AD326">
        <f>IF($Q326="","",COUNTIF(JAN!$G22:$AK22,"FE")+COUNTIF(FEV!$G22:$AK22,"FE")+COUNTIF(MAR!$G22:$AK22,"FE")+COUNTIF(ABR!$G22:$AK22,"FE")+COUNTIF(MAI!$G22:$AK22,"FE")+COUNTIF(JUN!$G22:$AK22,"FE")+COUNTIF(JUL!$G22:$AK22,"FE")+COUNTIF(AGO!$G22:$AK22,"FE")+COUNTIF(SET!$G22:$AK22,"FE")+COUNTIF(OUT!$G22:$AK22,"FE")+COUNTIF(NOV!$G22:$AK22,"FE")+COUNTIF(DEZ!$G22:$AK22,"FE"))</f>
        <v>0</v>
      </c>
      <c r="AF326" t="str">
        <f>IF(AND($Q326&lt;&gt;"",N($AD326)&gt;0),COUNT($AF$309:AF325)+1,"")</f>
        <v/>
      </c>
    </row>
    <row r="327" spans="1:32" ht="20.100000000000001" customHeight="1" x14ac:dyDescent="0.25">
      <c r="A327" s="71" t="str">
        <f>IFERROR(INDEX($Q$310:$Q$459,MATCH(ROWS($A$310:A327),$AF$310:$AF$459,0)),"")</f>
        <v/>
      </c>
      <c r="B327" s="72" t="str">
        <f>IFERROR(INDEX($R$310:$R$459,MATCH(ROWS($A$310:A327),$AF$310:$AF$459,0)),"")</f>
        <v/>
      </c>
      <c r="C327" s="72" t="str">
        <f>IFERROR(INDEX($S$310:$S$459,MATCH(ROWS($A$310:A327),$AF$310:$AF$459,0)),"")</f>
        <v/>
      </c>
      <c r="D327" s="72" t="str">
        <f>IFERROR(INDEX($T$310:$T$459,MATCH(ROWS($A$310:A327),$AF$310:$AF$459,0)),"")</f>
        <v/>
      </c>
      <c r="E327" s="72" t="str">
        <f>IFERROR(INDEX($U$310:$U$459,MATCH(ROWS($A$310:A327),$AF$310:$AF$459,0)),"")</f>
        <v/>
      </c>
      <c r="F327" s="72" t="str">
        <f>IFERROR(INDEX($V$310:$V$459,MATCH(ROWS($A$310:A327),$AF$310:$AF$459,0)),"")</f>
        <v/>
      </c>
      <c r="G327" s="72" t="str">
        <f>IFERROR(INDEX($W$310:$W$459,MATCH(ROWS($A$310:A327),$AF$310:$AF$459,0)),"")</f>
        <v/>
      </c>
      <c r="H327" s="72" t="str">
        <f>IFERROR(INDEX($X$310:$X$459,MATCH(ROWS($A$310:A327),$AF$310:$AF$459,0)),"")</f>
        <v/>
      </c>
      <c r="I327" s="72" t="str">
        <f>IFERROR(INDEX($Y$310:$Y$459,MATCH(ROWS($A$310:A327),$AF$310:$AF$459,0)),"")</f>
        <v/>
      </c>
      <c r="J327" s="72" t="str">
        <f>IFERROR(INDEX($Z$310:$Z$459,MATCH(ROWS($A$310:A327),$AF$310:$AF$459,0)),"")</f>
        <v/>
      </c>
      <c r="K327" s="72" t="str">
        <f>IFERROR(INDEX($AA$310:$AA$459,MATCH(ROWS($A$310:A327),$AF$310:$AF$459,0)),"")</f>
        <v/>
      </c>
      <c r="L327" s="72" t="str">
        <f>IFERROR(INDEX($AB$310:$AB$459,MATCH(ROWS($A$310:A327),$AF$310:$AF$459,0)),"")</f>
        <v/>
      </c>
      <c r="M327" s="72" t="str">
        <f>IFERROR(INDEX($AC$310:$AC$459,MATCH(ROWS($A$310:A327),$AF$310:$AF$459,0)),"")</f>
        <v/>
      </c>
      <c r="N327" s="35" t="str">
        <f>IFERROR(INDEX($AD$310:$AD$459,MATCH(ROWS($A$310:A327),$AF$310:$AF$459,0)),"")</f>
        <v/>
      </c>
      <c r="Q327" t="str">
        <f>T(JAN!B23)</f>
        <v>ANDERSON SANTOS 434801</v>
      </c>
      <c r="R327" t="str">
        <f t="array" ref="R327">IF($Q327="","",_xlfn.TEXTJOIN(", ",TRUE,IF(JAN!$G23:$AK23="FE",JAN!$G$4:$AK$4,"")))</f>
        <v/>
      </c>
      <c r="S327" t="str">
        <f t="array" ref="S327">IF($Q327="","",_xlfn.TEXTJOIN(", ",TRUE,IF(FEV!$G23:$AK23="FE",FEV!$G$4:$AK$4,"")))</f>
        <v/>
      </c>
      <c r="T327" t="str">
        <f t="array" ref="T327">IF($Q327="","",_xlfn.TEXTJOIN(", ",TRUE,IF(MAR!$G23:$AK23="FE",MAR!$G$4:$AK$4,"")))</f>
        <v/>
      </c>
      <c r="U327" t="str">
        <f t="array" ref="U327">IF($Q327="","",_xlfn.TEXTJOIN(", ",TRUE,IF(ABR!$G23:$AK23="FE",ABR!$G$4:$AK$4,"")))</f>
        <v/>
      </c>
      <c r="V327" t="str">
        <f t="array" ref="V327">IF($Q327="","",_xlfn.TEXTJOIN(", ",TRUE,IF(MAI!$G23:$AK23="FE",MAI!$G$4:$AK$4,"")))</f>
        <v/>
      </c>
      <c r="W327" t="str">
        <f t="array" ref="W327">IF($Q327="","",_xlfn.TEXTJOIN(", ",TRUE,IF(JUN!$G23:$AK23="FE",JUN!$G$4:$AK$4,"")))</f>
        <v/>
      </c>
      <c r="X327" t="str">
        <f t="array" ref="X327">IF($Q327="","",_xlfn.TEXTJOIN(", ",TRUE,IF(JUL!$G23:$AK23="FE",JUL!$G$4:$AK$4,"")))</f>
        <v/>
      </c>
      <c r="Y327" t="str">
        <f t="array" ref="Y327">IF($Q327="","",_xlfn.TEXTJOIN(", ",TRUE,IF(AGO!$G23:$AK23="FE",AGO!$G$4:$AK$4,"")))</f>
        <v/>
      </c>
      <c r="Z327" t="str">
        <f t="array" ref="Z327">IF($Q327="","",_xlfn.TEXTJOIN(", ",TRUE,IF(SET!$G23:$AK23="FE",SET!$G$4:$AK$4,"")))</f>
        <v/>
      </c>
      <c r="AA327" t="str">
        <f t="array" ref="AA327">IF($Q327="","",_xlfn.TEXTJOIN(", ",TRUE,IF(OUT!$G23:$AK23="FE",OUT!$G$4:$AK$4,"")))</f>
        <v/>
      </c>
      <c r="AB327" t="str">
        <f t="array" ref="AB327">IF($Q327="","",_xlfn.TEXTJOIN(", ",TRUE,IF(NOV!$G23:$AK23="FE",NOV!$G$4:$AK$4,"")))</f>
        <v/>
      </c>
      <c r="AC327" t="str">
        <f t="array" ref="AC327">IF($Q327="","",_xlfn.TEXTJOIN(", ",TRUE,IF(DEZ!$G23:$AK23="FE",DEZ!$G$4:$AK$4,"")))</f>
        <v/>
      </c>
      <c r="AD327">
        <f>IF($Q327="","",COUNTIF(JAN!$G23:$AK23,"FE")+COUNTIF(FEV!$G23:$AK23,"FE")+COUNTIF(MAR!$G23:$AK23,"FE")+COUNTIF(ABR!$G23:$AK23,"FE")+COUNTIF(MAI!$G23:$AK23,"FE")+COUNTIF(JUN!$G23:$AK23,"FE")+COUNTIF(JUL!$G23:$AK23,"FE")+COUNTIF(AGO!$G23:$AK23,"FE")+COUNTIF(SET!$G23:$AK23,"FE")+COUNTIF(OUT!$G23:$AK23,"FE")+COUNTIF(NOV!$G23:$AK23,"FE")+COUNTIF(DEZ!$G23:$AK23,"FE"))</f>
        <v>0</v>
      </c>
      <c r="AF327" t="str">
        <f>IF(AND($Q327&lt;&gt;"",N($AD327)&gt;0),COUNT($AF$309:AF326)+1,"")</f>
        <v/>
      </c>
    </row>
    <row r="328" spans="1:32" ht="20.100000000000001" customHeight="1" x14ac:dyDescent="0.25">
      <c r="A328" s="71" t="str">
        <f>IFERROR(INDEX($Q$310:$Q$459,MATCH(ROWS($A$310:A328),$AF$310:$AF$459,0)),"")</f>
        <v/>
      </c>
      <c r="B328" s="72" t="str">
        <f>IFERROR(INDEX($R$310:$R$459,MATCH(ROWS($A$310:A328),$AF$310:$AF$459,0)),"")</f>
        <v/>
      </c>
      <c r="C328" s="72" t="str">
        <f>IFERROR(INDEX($S$310:$S$459,MATCH(ROWS($A$310:A328),$AF$310:$AF$459,0)),"")</f>
        <v/>
      </c>
      <c r="D328" s="72" t="str">
        <f>IFERROR(INDEX($T$310:$T$459,MATCH(ROWS($A$310:A328),$AF$310:$AF$459,0)),"")</f>
        <v/>
      </c>
      <c r="E328" s="72" t="str">
        <f>IFERROR(INDEX($U$310:$U$459,MATCH(ROWS($A$310:A328),$AF$310:$AF$459,0)),"")</f>
        <v/>
      </c>
      <c r="F328" s="72" t="str">
        <f>IFERROR(INDEX($V$310:$V$459,MATCH(ROWS($A$310:A328),$AF$310:$AF$459,0)),"")</f>
        <v/>
      </c>
      <c r="G328" s="72" t="str">
        <f>IFERROR(INDEX($W$310:$W$459,MATCH(ROWS($A$310:A328),$AF$310:$AF$459,0)),"")</f>
        <v/>
      </c>
      <c r="H328" s="72" t="str">
        <f>IFERROR(INDEX($X$310:$X$459,MATCH(ROWS($A$310:A328),$AF$310:$AF$459,0)),"")</f>
        <v/>
      </c>
      <c r="I328" s="72" t="str">
        <f>IFERROR(INDEX($Y$310:$Y$459,MATCH(ROWS($A$310:A328),$AF$310:$AF$459,0)),"")</f>
        <v/>
      </c>
      <c r="J328" s="72" t="str">
        <f>IFERROR(INDEX($Z$310:$Z$459,MATCH(ROWS($A$310:A328),$AF$310:$AF$459,0)),"")</f>
        <v/>
      </c>
      <c r="K328" s="72" t="str">
        <f>IFERROR(INDEX($AA$310:$AA$459,MATCH(ROWS($A$310:A328),$AF$310:$AF$459,0)),"")</f>
        <v/>
      </c>
      <c r="L328" s="72" t="str">
        <f>IFERROR(INDEX($AB$310:$AB$459,MATCH(ROWS($A$310:A328),$AF$310:$AF$459,0)),"")</f>
        <v/>
      </c>
      <c r="M328" s="72" t="str">
        <f>IFERROR(INDEX($AC$310:$AC$459,MATCH(ROWS($A$310:A328),$AF$310:$AF$459,0)),"")</f>
        <v/>
      </c>
      <c r="N328" s="35" t="str">
        <f>IFERROR(INDEX($AD$310:$AD$459,MATCH(ROWS($A$310:A328),$AF$310:$AF$459,0)),"")</f>
        <v/>
      </c>
      <c r="Q328" t="str">
        <f>T(JAN!B24)</f>
        <v>ALEX GABRIEL 37002111</v>
      </c>
      <c r="R328" t="str">
        <f t="array" ref="R328">IF($Q328="","",_xlfn.TEXTJOIN(", ",TRUE,IF(JAN!$G24:$AK24="FE",JAN!$G$4:$AK$4,"")))</f>
        <v/>
      </c>
      <c r="S328" t="str">
        <f t="array" ref="S328">IF($Q328="","",_xlfn.TEXTJOIN(", ",TRUE,IF(FEV!$G24:$AK24="FE",FEV!$G$4:$AK$4,"")))</f>
        <v/>
      </c>
      <c r="T328" t="str">
        <f t="array" ref="T328">IF($Q328="","",_xlfn.TEXTJOIN(", ",TRUE,IF(MAR!$G24:$AK24="FE",MAR!$G$4:$AK$4,"")))</f>
        <v/>
      </c>
      <c r="U328" t="str">
        <f t="array" ref="U328">IF($Q328="","",_xlfn.TEXTJOIN(", ",TRUE,IF(ABR!$G24:$AK24="FE",ABR!$G$4:$AK$4,"")))</f>
        <v/>
      </c>
      <c r="V328" t="str">
        <f t="array" ref="V328">IF($Q328="","",_xlfn.TEXTJOIN(", ",TRUE,IF(MAI!$G24:$AK24="FE",MAI!$G$4:$AK$4,"")))</f>
        <v/>
      </c>
      <c r="W328" t="str">
        <f t="array" ref="W328">IF($Q328="","",_xlfn.TEXTJOIN(", ",TRUE,IF(JUN!$G24:$AK24="FE",JUN!$G$4:$AK$4,"")))</f>
        <v/>
      </c>
      <c r="X328" t="str">
        <f t="array" ref="X328">IF($Q328="","",_xlfn.TEXTJOIN(", ",TRUE,IF(JUL!$G24:$AK24="FE",JUL!$G$4:$AK$4,"")))</f>
        <v/>
      </c>
      <c r="Y328" t="str">
        <f t="array" ref="Y328">IF($Q328="","",_xlfn.TEXTJOIN(", ",TRUE,IF(AGO!$G24:$AK24="FE",AGO!$G$4:$AK$4,"")))</f>
        <v/>
      </c>
      <c r="Z328" t="str">
        <f t="array" ref="Z328">IF($Q328="","",_xlfn.TEXTJOIN(", ",TRUE,IF(SET!$G24:$AK24="FE",SET!$G$4:$AK$4,"")))</f>
        <v/>
      </c>
      <c r="AA328" t="str">
        <f t="array" ref="AA328">IF($Q328="","",_xlfn.TEXTJOIN(", ",TRUE,IF(OUT!$G24:$AK24="FE",OUT!$G$4:$AK$4,"")))</f>
        <v/>
      </c>
      <c r="AB328" t="str">
        <f t="array" ref="AB328">IF($Q328="","",_xlfn.TEXTJOIN(", ",TRUE,IF(NOV!$G24:$AK24="FE",NOV!$G$4:$AK$4,"")))</f>
        <v/>
      </c>
      <c r="AC328" t="str">
        <f t="array" ref="AC328">IF($Q328="","",_xlfn.TEXTJOIN(", ",TRUE,IF(DEZ!$G24:$AK24="FE",DEZ!$G$4:$AK$4,"")))</f>
        <v/>
      </c>
      <c r="AD328">
        <f>IF($Q328="","",COUNTIF(JAN!$G24:$AK24,"FE")+COUNTIF(FEV!$G24:$AK24,"FE")+COUNTIF(MAR!$G24:$AK24,"FE")+COUNTIF(ABR!$G24:$AK24,"FE")+COUNTIF(MAI!$G24:$AK24,"FE")+COUNTIF(JUN!$G24:$AK24,"FE")+COUNTIF(JUL!$G24:$AK24,"FE")+COUNTIF(AGO!$G24:$AK24,"FE")+COUNTIF(SET!$G24:$AK24,"FE")+COUNTIF(OUT!$G24:$AK24,"FE")+COUNTIF(NOV!$G24:$AK24,"FE")+COUNTIF(DEZ!$G24:$AK24,"FE"))</f>
        <v>0</v>
      </c>
      <c r="AF328" t="str">
        <f>IF(AND($Q328&lt;&gt;"",N($AD328)&gt;0),COUNT($AF$309:AF327)+1,"")</f>
        <v/>
      </c>
    </row>
    <row r="329" spans="1:32" ht="20.100000000000001" customHeight="1" x14ac:dyDescent="0.25">
      <c r="A329" s="71" t="str">
        <f>IFERROR(INDEX($Q$310:$Q$459,MATCH(ROWS($A$310:A329),$AF$310:$AF$459,0)),"")</f>
        <v/>
      </c>
      <c r="B329" s="72" t="str">
        <f>IFERROR(INDEX($R$310:$R$459,MATCH(ROWS($A$310:A329),$AF$310:$AF$459,0)),"")</f>
        <v/>
      </c>
      <c r="C329" s="72" t="str">
        <f>IFERROR(INDEX($S$310:$S$459,MATCH(ROWS($A$310:A329),$AF$310:$AF$459,0)),"")</f>
        <v/>
      </c>
      <c r="D329" s="72" t="str">
        <f>IFERROR(INDEX($T$310:$T$459,MATCH(ROWS($A$310:A329),$AF$310:$AF$459,0)),"")</f>
        <v/>
      </c>
      <c r="E329" s="72" t="str">
        <f>IFERROR(INDEX($U$310:$U$459,MATCH(ROWS($A$310:A329),$AF$310:$AF$459,0)),"")</f>
        <v/>
      </c>
      <c r="F329" s="72" t="str">
        <f>IFERROR(INDEX($V$310:$V$459,MATCH(ROWS($A$310:A329),$AF$310:$AF$459,0)),"")</f>
        <v/>
      </c>
      <c r="G329" s="72" t="str">
        <f>IFERROR(INDEX($W$310:$W$459,MATCH(ROWS($A$310:A329),$AF$310:$AF$459,0)),"")</f>
        <v/>
      </c>
      <c r="H329" s="72" t="str">
        <f>IFERROR(INDEX($X$310:$X$459,MATCH(ROWS($A$310:A329),$AF$310:$AF$459,0)),"")</f>
        <v/>
      </c>
      <c r="I329" s="72" t="str">
        <f>IFERROR(INDEX($Y$310:$Y$459,MATCH(ROWS($A$310:A329),$AF$310:$AF$459,0)),"")</f>
        <v/>
      </c>
      <c r="J329" s="72" t="str">
        <f>IFERROR(INDEX($Z$310:$Z$459,MATCH(ROWS($A$310:A329),$AF$310:$AF$459,0)),"")</f>
        <v/>
      </c>
      <c r="K329" s="72" t="str">
        <f>IFERROR(INDEX($AA$310:$AA$459,MATCH(ROWS($A$310:A329),$AF$310:$AF$459,0)),"")</f>
        <v/>
      </c>
      <c r="L329" s="72" t="str">
        <f>IFERROR(INDEX($AB$310:$AB$459,MATCH(ROWS($A$310:A329),$AF$310:$AF$459,0)),"")</f>
        <v/>
      </c>
      <c r="M329" s="72" t="str">
        <f>IFERROR(INDEX($AC$310:$AC$459,MATCH(ROWS($A$310:A329),$AF$310:$AF$459,0)),"")</f>
        <v/>
      </c>
      <c r="N329" s="35" t="str">
        <f>IFERROR(INDEX($AD$310:$AD$459,MATCH(ROWS($A$310:A329),$AF$310:$AF$459,0)),"")</f>
        <v/>
      </c>
      <c r="Q329" t="str">
        <f>T(JAN!B25)</f>
        <v>RENATO GUEDES 381901</v>
      </c>
      <c r="R329" t="str">
        <f t="array" ref="R329">IF($Q329="","",_xlfn.TEXTJOIN(", ",TRUE,IF(JAN!$G25:$AK25="FE",JAN!$G$4:$AK$4,"")))</f>
        <v/>
      </c>
      <c r="S329" t="str">
        <f t="array" ref="S329">IF($Q329="","",_xlfn.TEXTJOIN(", ",TRUE,IF(FEV!$G25:$AK25="FE",FEV!$G$4:$AK$4,"")))</f>
        <v/>
      </c>
      <c r="T329" t="str">
        <f t="array" ref="T329">IF($Q329="","",_xlfn.TEXTJOIN(", ",TRUE,IF(MAR!$G25:$AK25="FE",MAR!$G$4:$AK$4,"")))</f>
        <v/>
      </c>
      <c r="U329" t="str">
        <f t="array" ref="U329">IF($Q329="","",_xlfn.TEXTJOIN(", ",TRUE,IF(ABR!$G25:$AK25="FE",ABR!$G$4:$AK$4,"")))</f>
        <v/>
      </c>
      <c r="V329" t="str">
        <f t="array" ref="V329">IF($Q329="","",_xlfn.TEXTJOIN(", ",TRUE,IF(MAI!$G25:$AK25="FE",MAI!$G$4:$AK$4,"")))</f>
        <v/>
      </c>
      <c r="W329" t="str">
        <f t="array" ref="W329">IF($Q329="","",_xlfn.TEXTJOIN(", ",TRUE,IF(JUN!$G25:$AK25="FE",JUN!$G$4:$AK$4,"")))</f>
        <v/>
      </c>
      <c r="X329" t="str">
        <f t="array" ref="X329">IF($Q329="","",_xlfn.TEXTJOIN(", ",TRUE,IF(JUL!$G25:$AK25="FE",JUL!$G$4:$AK$4,"")))</f>
        <v/>
      </c>
      <c r="Y329" t="str">
        <f t="array" ref="Y329">IF($Q329="","",_xlfn.TEXTJOIN(", ",TRUE,IF(AGO!$G25:$AK25="FE",AGO!$G$4:$AK$4,"")))</f>
        <v/>
      </c>
      <c r="Z329" t="str">
        <f t="array" ref="Z329">IF($Q329="","",_xlfn.TEXTJOIN(", ",TRUE,IF(SET!$G25:$AK25="FE",SET!$G$4:$AK$4,"")))</f>
        <v>14, 15, 16, 17, 18, 19, 20, 21, 22, 23, 24, 25, 26, 27, 28, 29</v>
      </c>
      <c r="AA329" t="str">
        <f t="array" ref="AA329">IF($Q329="","",_xlfn.TEXTJOIN(", ",TRUE,IF(OUT!$G25:$AK25="FE",OUT!$G$4:$AK$4,"")))</f>
        <v/>
      </c>
      <c r="AB329" t="str">
        <f t="array" ref="AB329">IF($Q329="","",_xlfn.TEXTJOIN(", ",TRUE,IF(NOV!$G25:$AK25="FE",NOV!$G$4:$AK$4,"")))</f>
        <v/>
      </c>
      <c r="AC329" t="str">
        <f t="array" ref="AC329">IF($Q329="","",_xlfn.TEXTJOIN(", ",TRUE,IF(DEZ!$G25:$AK25="FE",DEZ!$G$4:$AK$4,"")))</f>
        <v/>
      </c>
      <c r="AD329">
        <f>IF($Q329="","",COUNTIF(JAN!$G25:$AK25,"FE")+COUNTIF(FEV!$G25:$AK25,"FE")+COUNTIF(MAR!$G25:$AK25,"FE")+COUNTIF(ABR!$G25:$AK25,"FE")+COUNTIF(MAI!$G25:$AK25,"FE")+COUNTIF(JUN!$G25:$AK25,"FE")+COUNTIF(JUL!$G25:$AK25,"FE")+COUNTIF(AGO!$G25:$AK25,"FE")+COUNTIF(SET!$G25:$AK25,"FE")+COUNTIF(OUT!$G25:$AK25,"FE")+COUNTIF(NOV!$G25:$AK25,"FE")+COUNTIF(DEZ!$G25:$AK25,"FE"))</f>
        <v>16</v>
      </c>
      <c r="AF329">
        <f>IF(AND($Q329&lt;&gt;"",N($AD329)&gt;0),COUNT($AF$309:AF328)+1,"")</f>
        <v>2</v>
      </c>
    </row>
    <row r="330" spans="1:32" ht="20.100000000000001" customHeight="1" x14ac:dyDescent="0.25">
      <c r="A330" s="71" t="str">
        <f>IFERROR(INDEX($Q$310:$Q$459,MATCH(ROWS($A$310:A330),$AF$310:$AF$459,0)),"")</f>
        <v/>
      </c>
      <c r="B330" s="72" t="str">
        <f>IFERROR(INDEX($R$310:$R$459,MATCH(ROWS($A$310:A330),$AF$310:$AF$459,0)),"")</f>
        <v/>
      </c>
      <c r="C330" s="72" t="str">
        <f>IFERROR(INDEX($S$310:$S$459,MATCH(ROWS($A$310:A330),$AF$310:$AF$459,0)),"")</f>
        <v/>
      </c>
      <c r="D330" s="72" t="str">
        <f>IFERROR(INDEX($T$310:$T$459,MATCH(ROWS($A$310:A330),$AF$310:$AF$459,0)),"")</f>
        <v/>
      </c>
      <c r="E330" s="72" t="str">
        <f>IFERROR(INDEX($U$310:$U$459,MATCH(ROWS($A$310:A330),$AF$310:$AF$459,0)),"")</f>
        <v/>
      </c>
      <c r="F330" s="72" t="str">
        <f>IFERROR(INDEX($V$310:$V$459,MATCH(ROWS($A$310:A330),$AF$310:$AF$459,0)),"")</f>
        <v/>
      </c>
      <c r="G330" s="72" t="str">
        <f>IFERROR(INDEX($W$310:$W$459,MATCH(ROWS($A$310:A330),$AF$310:$AF$459,0)),"")</f>
        <v/>
      </c>
      <c r="H330" s="72" t="str">
        <f>IFERROR(INDEX($X$310:$X$459,MATCH(ROWS($A$310:A330),$AF$310:$AF$459,0)),"")</f>
        <v/>
      </c>
      <c r="I330" s="72" t="str">
        <f>IFERROR(INDEX($Y$310:$Y$459,MATCH(ROWS($A$310:A330),$AF$310:$AF$459,0)),"")</f>
        <v/>
      </c>
      <c r="J330" s="72" t="str">
        <f>IFERROR(INDEX($Z$310:$Z$459,MATCH(ROWS($A$310:A330),$AF$310:$AF$459,0)),"")</f>
        <v/>
      </c>
      <c r="K330" s="72" t="str">
        <f>IFERROR(INDEX($AA$310:$AA$459,MATCH(ROWS($A$310:A330),$AF$310:$AF$459,0)),"")</f>
        <v/>
      </c>
      <c r="L330" s="72" t="str">
        <f>IFERROR(INDEX($AB$310:$AB$459,MATCH(ROWS($A$310:A330),$AF$310:$AF$459,0)),"")</f>
        <v/>
      </c>
      <c r="M330" s="72" t="str">
        <f>IFERROR(INDEX($AC$310:$AC$459,MATCH(ROWS($A$310:A330),$AF$310:$AF$459,0)),"")</f>
        <v/>
      </c>
      <c r="N330" s="35" t="str">
        <f>IFERROR(INDEX($AD$310:$AD$459,MATCH(ROWS($A$310:A330),$AF$310:$AF$459,0)),"")</f>
        <v/>
      </c>
      <c r="Q330" t="str">
        <f>T(JAN!B26)</f>
        <v>EDUARDO SCHNEIDER 37002143</v>
      </c>
      <c r="R330" t="str">
        <f t="array" ref="R330">IF($Q330="","",_xlfn.TEXTJOIN(", ",TRUE,IF(JAN!$G26:$AK26="FE",JAN!$G$4:$AK$4,"")))</f>
        <v/>
      </c>
      <c r="S330" t="str">
        <f t="array" ref="S330">IF($Q330="","",_xlfn.TEXTJOIN(", ",TRUE,IF(FEV!$G26:$AK26="FE",FEV!$G$4:$AK$4,"")))</f>
        <v/>
      </c>
      <c r="T330" t="str">
        <f t="array" ref="T330">IF($Q330="","",_xlfn.TEXTJOIN(", ",TRUE,IF(MAR!$G26:$AK26="FE",MAR!$G$4:$AK$4,"")))</f>
        <v/>
      </c>
      <c r="U330" t="str">
        <f t="array" ref="U330">IF($Q330="","",_xlfn.TEXTJOIN(", ",TRUE,IF(ABR!$G26:$AK26="FE",ABR!$G$4:$AK$4,"")))</f>
        <v/>
      </c>
      <c r="V330" t="str">
        <f t="array" ref="V330">IF($Q330="","",_xlfn.TEXTJOIN(", ",TRUE,IF(MAI!$G26:$AK26="FE",MAI!$G$4:$AK$4,"")))</f>
        <v/>
      </c>
      <c r="W330" t="str">
        <f t="array" ref="W330">IF($Q330="","",_xlfn.TEXTJOIN(", ",TRUE,IF(JUN!$G26:$AK26="FE",JUN!$G$4:$AK$4,"")))</f>
        <v/>
      </c>
      <c r="X330" t="str">
        <f t="array" ref="X330">IF($Q330="","",_xlfn.TEXTJOIN(", ",TRUE,IF(JUL!$G26:$AK26="FE",JUL!$G$4:$AK$4,"")))</f>
        <v/>
      </c>
      <c r="Y330" t="str">
        <f t="array" ref="Y330">IF($Q330="","",_xlfn.TEXTJOIN(", ",TRUE,IF(AGO!$G26:$AK26="FE",AGO!$G$4:$AK$4,"")))</f>
        <v/>
      </c>
      <c r="Z330" t="str">
        <f t="array" ref="Z330">IF($Q330="","",_xlfn.TEXTJOIN(", ",TRUE,IF(SET!$G26:$AK26="FE",SET!$G$4:$AK$4,"")))</f>
        <v/>
      </c>
      <c r="AA330" t="str">
        <f t="array" ref="AA330">IF($Q330="","",_xlfn.TEXTJOIN(", ",TRUE,IF(OUT!$G26:$AK26="FE",OUT!$G$4:$AK$4,"")))</f>
        <v/>
      </c>
      <c r="AB330" t="str">
        <f t="array" ref="AB330">IF($Q330="","",_xlfn.TEXTJOIN(", ",TRUE,IF(NOV!$G26:$AK26="FE",NOV!$G$4:$AK$4,"")))</f>
        <v/>
      </c>
      <c r="AC330" t="str">
        <f t="array" ref="AC330">IF($Q330="","",_xlfn.TEXTJOIN(", ",TRUE,IF(DEZ!$G26:$AK26="FE",DEZ!$G$4:$AK$4,"")))</f>
        <v/>
      </c>
      <c r="AD330">
        <f>IF($Q330="","",COUNTIF(JAN!$G26:$AK26,"FE")+COUNTIF(FEV!$G26:$AK26,"FE")+COUNTIF(MAR!$G26:$AK26,"FE")+COUNTIF(ABR!$G26:$AK26,"FE")+COUNTIF(MAI!$G26:$AK26,"FE")+COUNTIF(JUN!$G26:$AK26,"FE")+COUNTIF(JUL!$G26:$AK26,"FE")+COUNTIF(AGO!$G26:$AK26,"FE")+COUNTIF(SET!$G26:$AK26,"FE")+COUNTIF(OUT!$G26:$AK26,"FE")+COUNTIF(NOV!$G26:$AK26,"FE")+COUNTIF(DEZ!$G26:$AK26,"FE"))</f>
        <v>0</v>
      </c>
      <c r="AF330" t="str">
        <f>IF(AND($Q330&lt;&gt;"",N($AD330)&gt;0),COUNT($AF$309:AF329)+1,"")</f>
        <v/>
      </c>
    </row>
    <row r="331" spans="1:32" ht="20.100000000000001" customHeight="1" x14ac:dyDescent="0.25">
      <c r="A331" s="71" t="str">
        <f>IFERROR(INDEX($Q$310:$Q$459,MATCH(ROWS($A$310:A331),$AF$310:$AF$459,0)),"")</f>
        <v/>
      </c>
      <c r="B331" s="72" t="str">
        <f>IFERROR(INDEX($R$310:$R$459,MATCH(ROWS($A$310:A331),$AF$310:$AF$459,0)),"")</f>
        <v/>
      </c>
      <c r="C331" s="72" t="str">
        <f>IFERROR(INDEX($S$310:$S$459,MATCH(ROWS($A$310:A331),$AF$310:$AF$459,0)),"")</f>
        <v/>
      </c>
      <c r="D331" s="72" t="str">
        <f>IFERROR(INDEX($T$310:$T$459,MATCH(ROWS($A$310:A331),$AF$310:$AF$459,0)),"")</f>
        <v/>
      </c>
      <c r="E331" s="72" t="str">
        <f>IFERROR(INDEX($U$310:$U$459,MATCH(ROWS($A$310:A331),$AF$310:$AF$459,0)),"")</f>
        <v/>
      </c>
      <c r="F331" s="72" t="str">
        <f>IFERROR(INDEX($V$310:$V$459,MATCH(ROWS($A$310:A331),$AF$310:$AF$459,0)),"")</f>
        <v/>
      </c>
      <c r="G331" s="72" t="str">
        <f>IFERROR(INDEX($W$310:$W$459,MATCH(ROWS($A$310:A331),$AF$310:$AF$459,0)),"")</f>
        <v/>
      </c>
      <c r="H331" s="72" t="str">
        <f>IFERROR(INDEX($X$310:$X$459,MATCH(ROWS($A$310:A331),$AF$310:$AF$459,0)),"")</f>
        <v/>
      </c>
      <c r="I331" s="72" t="str">
        <f>IFERROR(INDEX($Y$310:$Y$459,MATCH(ROWS($A$310:A331),$AF$310:$AF$459,0)),"")</f>
        <v/>
      </c>
      <c r="J331" s="72" t="str">
        <f>IFERROR(INDEX($Z$310:$Z$459,MATCH(ROWS($A$310:A331),$AF$310:$AF$459,0)),"")</f>
        <v/>
      </c>
      <c r="K331" s="72" t="str">
        <f>IFERROR(INDEX($AA$310:$AA$459,MATCH(ROWS($A$310:A331),$AF$310:$AF$459,0)),"")</f>
        <v/>
      </c>
      <c r="L331" s="72" t="str">
        <f>IFERROR(INDEX($AB$310:$AB$459,MATCH(ROWS($A$310:A331),$AF$310:$AF$459,0)),"")</f>
        <v/>
      </c>
      <c r="M331" s="72" t="str">
        <f>IFERROR(INDEX($AC$310:$AC$459,MATCH(ROWS($A$310:A331),$AF$310:$AF$459,0)),"")</f>
        <v/>
      </c>
      <c r="N331" s="35" t="str">
        <f>IFERROR(INDEX($AD$310:$AD$459,MATCH(ROWS($A$310:A331),$AF$310:$AF$459,0)),"")</f>
        <v/>
      </c>
      <c r="Q331" t="str">
        <f>T(JAN!B27)</f>
        <v>VANDERLEI BUSSA 309601</v>
      </c>
      <c r="R331" t="str">
        <f t="array" ref="R331">IF($Q331="","",_xlfn.TEXTJOIN(", ",TRUE,IF(JAN!$G27:$AK27="FE",JAN!$G$4:$AK$4,"")))</f>
        <v/>
      </c>
      <c r="S331" t="str">
        <f t="array" ref="S331">IF($Q331="","",_xlfn.TEXTJOIN(", ",TRUE,IF(FEV!$G27:$AK27="FE",FEV!$G$4:$AK$4,"")))</f>
        <v/>
      </c>
      <c r="T331" t="str">
        <f t="array" ref="T331">IF($Q331="","",_xlfn.TEXTJOIN(", ",TRUE,IF(MAR!$G27:$AK27="FE",MAR!$G$4:$AK$4,"")))</f>
        <v/>
      </c>
      <c r="U331" t="str">
        <f t="array" ref="U331">IF($Q331="","",_xlfn.TEXTJOIN(", ",TRUE,IF(ABR!$G27:$AK27="FE",ABR!$G$4:$AK$4,"")))</f>
        <v/>
      </c>
      <c r="V331" t="str">
        <f t="array" ref="V331">IF($Q331="","",_xlfn.TEXTJOIN(", ",TRUE,IF(MAI!$G27:$AK27="FE",MAI!$G$4:$AK$4,"")))</f>
        <v/>
      </c>
      <c r="W331" t="str">
        <f t="array" ref="W331">IF($Q331="","",_xlfn.TEXTJOIN(", ",TRUE,IF(JUN!$G27:$AK27="FE",JUN!$G$4:$AK$4,"")))</f>
        <v/>
      </c>
      <c r="X331" t="str">
        <f t="array" ref="X331">IF($Q331="","",_xlfn.TEXTJOIN(", ",TRUE,IF(JUL!$G27:$AK27="FE",JUL!$G$4:$AK$4,"")))</f>
        <v/>
      </c>
      <c r="Y331" t="str">
        <f t="array" ref="Y331">IF($Q331="","",_xlfn.TEXTJOIN(", ",TRUE,IF(AGO!$G27:$AK27="FE",AGO!$G$4:$AK$4,"")))</f>
        <v/>
      </c>
      <c r="Z331" t="str">
        <f t="array" ref="Z331">IF($Q331="","",_xlfn.TEXTJOIN(", ",TRUE,IF(SET!$G27:$AK27="FE",SET!$G$4:$AK$4,"")))</f>
        <v/>
      </c>
      <c r="AA331" t="str">
        <f t="array" ref="AA331">IF($Q331="","",_xlfn.TEXTJOIN(", ",TRUE,IF(OUT!$G27:$AK27="FE",OUT!$G$4:$AK$4,"")))</f>
        <v/>
      </c>
      <c r="AB331" t="str">
        <f t="array" ref="AB331">IF($Q331="","",_xlfn.TEXTJOIN(", ",TRUE,IF(NOV!$G27:$AK27="FE",NOV!$G$4:$AK$4,"")))</f>
        <v/>
      </c>
      <c r="AC331" t="str">
        <f t="array" ref="AC331">IF($Q331="","",_xlfn.TEXTJOIN(", ",TRUE,IF(DEZ!$G27:$AK27="FE",DEZ!$G$4:$AK$4,"")))</f>
        <v/>
      </c>
      <c r="AD331">
        <f>IF($Q331="","",COUNTIF(JAN!$G27:$AK27,"FE")+COUNTIF(FEV!$G27:$AK27,"FE")+COUNTIF(MAR!$G27:$AK27,"FE")+COUNTIF(ABR!$G27:$AK27,"FE")+COUNTIF(MAI!$G27:$AK27,"FE")+COUNTIF(JUN!$G27:$AK27,"FE")+COUNTIF(JUL!$G27:$AK27,"FE")+COUNTIF(AGO!$G27:$AK27,"FE")+COUNTIF(SET!$G27:$AK27,"FE")+COUNTIF(OUT!$G27:$AK27,"FE")+COUNTIF(NOV!$G27:$AK27,"FE")+COUNTIF(DEZ!$G27:$AK27,"FE"))</f>
        <v>0</v>
      </c>
      <c r="AF331" t="str">
        <f>IF(AND($Q331&lt;&gt;"",N($AD331)&gt;0),COUNT($AF$309:AF330)+1,"")</f>
        <v/>
      </c>
    </row>
    <row r="332" spans="1:32" ht="20.100000000000001" customHeight="1" x14ac:dyDescent="0.25">
      <c r="A332" s="71" t="str">
        <f>IFERROR(INDEX($Q$310:$Q$459,MATCH(ROWS($A$310:A332),$AF$310:$AF$459,0)),"")</f>
        <v/>
      </c>
      <c r="B332" s="72" t="str">
        <f>IFERROR(INDEX($R$310:$R$459,MATCH(ROWS($A$310:A332),$AF$310:$AF$459,0)),"")</f>
        <v/>
      </c>
      <c r="C332" s="72" t="str">
        <f>IFERROR(INDEX($S$310:$S$459,MATCH(ROWS($A$310:A332),$AF$310:$AF$459,0)),"")</f>
        <v/>
      </c>
      <c r="D332" s="72" t="str">
        <f>IFERROR(INDEX($T$310:$T$459,MATCH(ROWS($A$310:A332),$AF$310:$AF$459,0)),"")</f>
        <v/>
      </c>
      <c r="E332" s="72" t="str">
        <f>IFERROR(INDEX($U$310:$U$459,MATCH(ROWS($A$310:A332),$AF$310:$AF$459,0)),"")</f>
        <v/>
      </c>
      <c r="F332" s="72" t="str">
        <f>IFERROR(INDEX($V$310:$V$459,MATCH(ROWS($A$310:A332),$AF$310:$AF$459,0)),"")</f>
        <v/>
      </c>
      <c r="G332" s="72" t="str">
        <f>IFERROR(INDEX($W$310:$W$459,MATCH(ROWS($A$310:A332),$AF$310:$AF$459,0)),"")</f>
        <v/>
      </c>
      <c r="H332" s="72" t="str">
        <f>IFERROR(INDEX($X$310:$X$459,MATCH(ROWS($A$310:A332),$AF$310:$AF$459,0)),"")</f>
        <v/>
      </c>
      <c r="I332" s="72" t="str">
        <f>IFERROR(INDEX($Y$310:$Y$459,MATCH(ROWS($A$310:A332),$AF$310:$AF$459,0)),"")</f>
        <v/>
      </c>
      <c r="J332" s="72" t="str">
        <f>IFERROR(INDEX($Z$310:$Z$459,MATCH(ROWS($A$310:A332),$AF$310:$AF$459,0)),"")</f>
        <v/>
      </c>
      <c r="K332" s="72" t="str">
        <f>IFERROR(INDEX($AA$310:$AA$459,MATCH(ROWS($A$310:A332),$AF$310:$AF$459,0)),"")</f>
        <v/>
      </c>
      <c r="L332" s="72" t="str">
        <f>IFERROR(INDEX($AB$310:$AB$459,MATCH(ROWS($A$310:A332),$AF$310:$AF$459,0)),"")</f>
        <v/>
      </c>
      <c r="M332" s="72" t="str">
        <f>IFERROR(INDEX($AC$310:$AC$459,MATCH(ROWS($A$310:A332),$AF$310:$AF$459,0)),"")</f>
        <v/>
      </c>
      <c r="N332" s="35" t="str">
        <f>IFERROR(INDEX($AD$310:$AD$459,MATCH(ROWS($A$310:A332),$AF$310:$AF$459,0)),"")</f>
        <v/>
      </c>
      <c r="Q332" t="str">
        <f>T(JAN!B28)</f>
        <v>DENIS GABRIEL 37002145</v>
      </c>
      <c r="R332" t="str">
        <f t="array" ref="R332">IF($Q332="","",_xlfn.TEXTJOIN(", ",TRUE,IF(JAN!$G28:$AK28="FE",JAN!$G$4:$AK$4,"")))</f>
        <v/>
      </c>
      <c r="S332" t="str">
        <f t="array" ref="S332">IF($Q332="","",_xlfn.TEXTJOIN(", ",TRUE,IF(FEV!$G28:$AK28="FE",FEV!$G$4:$AK$4,"")))</f>
        <v/>
      </c>
      <c r="T332" t="str">
        <f t="array" ref="T332">IF($Q332="","",_xlfn.TEXTJOIN(", ",TRUE,IF(MAR!$G28:$AK28="FE",MAR!$G$4:$AK$4,"")))</f>
        <v/>
      </c>
      <c r="U332" t="str">
        <f t="array" ref="U332">IF($Q332="","",_xlfn.TEXTJOIN(", ",TRUE,IF(ABR!$G28:$AK28="FE",ABR!$G$4:$AK$4,"")))</f>
        <v/>
      </c>
      <c r="V332" t="str">
        <f t="array" ref="V332">IF($Q332="","",_xlfn.TEXTJOIN(", ",TRUE,IF(MAI!$G28:$AK28="FE",MAI!$G$4:$AK$4,"")))</f>
        <v/>
      </c>
      <c r="W332" t="str">
        <f t="array" ref="W332">IF($Q332="","",_xlfn.TEXTJOIN(", ",TRUE,IF(JUN!$G28:$AK28="FE",JUN!$G$4:$AK$4,"")))</f>
        <v/>
      </c>
      <c r="X332" t="str">
        <f t="array" ref="X332">IF($Q332="","",_xlfn.TEXTJOIN(", ",TRUE,IF(JUL!$G28:$AK28="FE",JUL!$G$4:$AK$4,"")))</f>
        <v/>
      </c>
      <c r="Y332" t="str">
        <f t="array" ref="Y332">IF($Q332="","",_xlfn.TEXTJOIN(", ",TRUE,IF(AGO!$G28:$AK28="FE",AGO!$G$4:$AK$4,"")))</f>
        <v/>
      </c>
      <c r="Z332" t="str">
        <f t="array" ref="Z332">IF($Q332="","",_xlfn.TEXTJOIN(", ",TRUE,IF(SET!$G28:$AK28="FE",SET!$G$4:$AK$4,"")))</f>
        <v/>
      </c>
      <c r="AA332" t="str">
        <f t="array" ref="AA332">IF($Q332="","",_xlfn.TEXTJOIN(", ",TRUE,IF(OUT!$G28:$AK28="FE",OUT!$G$4:$AK$4,"")))</f>
        <v/>
      </c>
      <c r="AB332" t="str">
        <f t="array" ref="AB332">IF($Q332="","",_xlfn.TEXTJOIN(", ",TRUE,IF(NOV!$G28:$AK28="FE",NOV!$G$4:$AK$4,"")))</f>
        <v/>
      </c>
      <c r="AC332" t="str">
        <f t="array" ref="AC332">IF($Q332="","",_xlfn.TEXTJOIN(", ",TRUE,IF(DEZ!$G28:$AK28="FE",DEZ!$G$4:$AK$4,"")))</f>
        <v/>
      </c>
      <c r="AD332">
        <f>IF($Q332="","",COUNTIF(JAN!$G28:$AK28,"FE")+COUNTIF(FEV!$G28:$AK28,"FE")+COUNTIF(MAR!$G28:$AK28,"FE")+COUNTIF(ABR!$G28:$AK28,"FE")+COUNTIF(MAI!$G28:$AK28,"FE")+COUNTIF(JUN!$G28:$AK28,"FE")+COUNTIF(JUL!$G28:$AK28,"FE")+COUNTIF(AGO!$G28:$AK28,"FE")+COUNTIF(SET!$G28:$AK28,"FE")+COUNTIF(OUT!$G28:$AK28,"FE")+COUNTIF(NOV!$G28:$AK28,"FE")+COUNTIF(DEZ!$G28:$AK28,"FE"))</f>
        <v>0</v>
      </c>
      <c r="AF332" t="str">
        <f>IF(AND($Q332&lt;&gt;"",N($AD332)&gt;0),COUNT($AF$309:AF331)+1,"")</f>
        <v/>
      </c>
    </row>
    <row r="333" spans="1:32" ht="20.100000000000001" customHeight="1" x14ac:dyDescent="0.25">
      <c r="A333" s="71" t="str">
        <f>IFERROR(INDEX($Q$310:$Q$459,MATCH(ROWS($A$310:A333),$AF$310:$AF$459,0)),"")</f>
        <v/>
      </c>
      <c r="B333" s="72" t="str">
        <f>IFERROR(INDEX($R$310:$R$459,MATCH(ROWS($A$310:A333),$AF$310:$AF$459,0)),"")</f>
        <v/>
      </c>
      <c r="C333" s="72" t="str">
        <f>IFERROR(INDEX($S$310:$S$459,MATCH(ROWS($A$310:A333),$AF$310:$AF$459,0)),"")</f>
        <v/>
      </c>
      <c r="D333" s="72" t="str">
        <f>IFERROR(INDEX($T$310:$T$459,MATCH(ROWS($A$310:A333),$AF$310:$AF$459,0)),"")</f>
        <v/>
      </c>
      <c r="E333" s="72" t="str">
        <f>IFERROR(INDEX($U$310:$U$459,MATCH(ROWS($A$310:A333),$AF$310:$AF$459,0)),"")</f>
        <v/>
      </c>
      <c r="F333" s="72" t="str">
        <f>IFERROR(INDEX($V$310:$V$459,MATCH(ROWS($A$310:A333),$AF$310:$AF$459,0)),"")</f>
        <v/>
      </c>
      <c r="G333" s="72" t="str">
        <f>IFERROR(INDEX($W$310:$W$459,MATCH(ROWS($A$310:A333),$AF$310:$AF$459,0)),"")</f>
        <v/>
      </c>
      <c r="H333" s="72" t="str">
        <f>IFERROR(INDEX($X$310:$X$459,MATCH(ROWS($A$310:A333),$AF$310:$AF$459,0)),"")</f>
        <v/>
      </c>
      <c r="I333" s="72" t="str">
        <f>IFERROR(INDEX($Y$310:$Y$459,MATCH(ROWS($A$310:A333),$AF$310:$AF$459,0)),"")</f>
        <v/>
      </c>
      <c r="J333" s="72" t="str">
        <f>IFERROR(INDEX($Z$310:$Z$459,MATCH(ROWS($A$310:A333),$AF$310:$AF$459,0)),"")</f>
        <v/>
      </c>
      <c r="K333" s="72" t="str">
        <f>IFERROR(INDEX($AA$310:$AA$459,MATCH(ROWS($A$310:A333),$AF$310:$AF$459,0)),"")</f>
        <v/>
      </c>
      <c r="L333" s="72" t="str">
        <f>IFERROR(INDEX($AB$310:$AB$459,MATCH(ROWS($A$310:A333),$AF$310:$AF$459,0)),"")</f>
        <v/>
      </c>
      <c r="M333" s="72" t="str">
        <f>IFERROR(INDEX($AC$310:$AC$459,MATCH(ROWS($A$310:A333),$AF$310:$AF$459,0)),"")</f>
        <v/>
      </c>
      <c r="N333" s="35" t="str">
        <f>IFERROR(INDEX($AD$310:$AD$459,MATCH(ROWS($A$310:A333),$AF$310:$AF$459,0)),"")</f>
        <v/>
      </c>
      <c r="Q333" t="str">
        <f>T(JAN!B29)</f>
        <v>DIEGO DIETRICH 352801</v>
      </c>
      <c r="R333" t="str">
        <f t="array" ref="R333">IF($Q333="","",_xlfn.TEXTJOIN(", ",TRUE,IF(JAN!$G29:$AK29="FE",JAN!$G$4:$AK$4,"")))</f>
        <v/>
      </c>
      <c r="S333" t="str">
        <f t="array" ref="S333">IF($Q333="","",_xlfn.TEXTJOIN(", ",TRUE,IF(FEV!$G29:$AK29="FE",FEV!$G$4:$AK$4,"")))</f>
        <v/>
      </c>
      <c r="T333" t="str">
        <f t="array" ref="T333">IF($Q333="","",_xlfn.TEXTJOIN(", ",TRUE,IF(MAR!$G29:$AK29="FE",MAR!$G$4:$AK$4,"")))</f>
        <v/>
      </c>
      <c r="U333" t="str">
        <f t="array" ref="U333">IF($Q333="","",_xlfn.TEXTJOIN(", ",TRUE,IF(ABR!$G29:$AK29="FE",ABR!$G$4:$AK$4,"")))</f>
        <v/>
      </c>
      <c r="V333" t="str">
        <f t="array" ref="V333">IF($Q333="","",_xlfn.TEXTJOIN(", ",TRUE,IF(MAI!$G29:$AK29="FE",MAI!$G$4:$AK$4,"")))</f>
        <v/>
      </c>
      <c r="W333" t="str">
        <f t="array" ref="W333">IF($Q333="","",_xlfn.TEXTJOIN(", ",TRUE,IF(JUN!$G29:$AK29="FE",JUN!$G$4:$AK$4,"")))</f>
        <v/>
      </c>
      <c r="X333" t="str">
        <f t="array" ref="X333">IF($Q333="","",_xlfn.TEXTJOIN(", ",TRUE,IF(JUL!$G29:$AK29="FE",JUL!$G$4:$AK$4,"")))</f>
        <v/>
      </c>
      <c r="Y333" t="str">
        <f t="array" ref="Y333">IF($Q333="","",_xlfn.TEXTJOIN(", ",TRUE,IF(AGO!$G29:$AK29="FE",AGO!$G$4:$AK$4,"")))</f>
        <v/>
      </c>
      <c r="Z333" t="str">
        <f t="array" ref="Z333">IF($Q333="","",_xlfn.TEXTJOIN(", ",TRUE,IF(SET!$G29:$AK29="FE",SET!$G$4:$AK$4,"")))</f>
        <v/>
      </c>
      <c r="AA333" t="str">
        <f t="array" ref="AA333">IF($Q333="","",_xlfn.TEXTJOIN(", ",TRUE,IF(OUT!$G29:$AK29="FE",OUT!$G$4:$AK$4,"")))</f>
        <v/>
      </c>
      <c r="AB333" t="str">
        <f t="array" ref="AB333">IF($Q333="","",_xlfn.TEXTJOIN(", ",TRUE,IF(NOV!$G29:$AK29="FE",NOV!$G$4:$AK$4,"")))</f>
        <v/>
      </c>
      <c r="AC333" t="str">
        <f t="array" ref="AC333">IF($Q333="","",_xlfn.TEXTJOIN(", ",TRUE,IF(DEZ!$G29:$AK29="FE",DEZ!$G$4:$AK$4,"")))</f>
        <v/>
      </c>
      <c r="AD333">
        <f>IF($Q333="","",COUNTIF(JAN!$G29:$AK29,"FE")+COUNTIF(FEV!$G29:$AK29,"FE")+COUNTIF(MAR!$G29:$AK29,"FE")+COUNTIF(ABR!$G29:$AK29,"FE")+COUNTIF(MAI!$G29:$AK29,"FE")+COUNTIF(JUN!$G29:$AK29,"FE")+COUNTIF(JUL!$G29:$AK29,"FE")+COUNTIF(AGO!$G29:$AK29,"FE")+COUNTIF(SET!$G29:$AK29,"FE")+COUNTIF(OUT!$G29:$AK29,"FE")+COUNTIF(NOV!$G29:$AK29,"FE")+COUNTIF(DEZ!$G29:$AK29,"FE"))</f>
        <v>0</v>
      </c>
      <c r="AF333" t="str">
        <f>IF(AND($Q333&lt;&gt;"",N($AD333)&gt;0),COUNT($AF$309:AF332)+1,"")</f>
        <v/>
      </c>
    </row>
    <row r="334" spans="1:32" ht="20.100000000000001" customHeight="1" x14ac:dyDescent="0.25">
      <c r="A334" s="71" t="str">
        <f>IFERROR(INDEX($Q$310:$Q$459,MATCH(ROWS($A$310:A334),$AF$310:$AF$459,0)),"")</f>
        <v/>
      </c>
      <c r="B334" s="72" t="str">
        <f>IFERROR(INDEX($R$310:$R$459,MATCH(ROWS($A$310:A334),$AF$310:$AF$459,0)),"")</f>
        <v/>
      </c>
      <c r="C334" s="72" t="str">
        <f>IFERROR(INDEX($S$310:$S$459,MATCH(ROWS($A$310:A334),$AF$310:$AF$459,0)),"")</f>
        <v/>
      </c>
      <c r="D334" s="72" t="str">
        <f>IFERROR(INDEX($T$310:$T$459,MATCH(ROWS($A$310:A334),$AF$310:$AF$459,0)),"")</f>
        <v/>
      </c>
      <c r="E334" s="72" t="str">
        <f>IFERROR(INDEX($U$310:$U$459,MATCH(ROWS($A$310:A334),$AF$310:$AF$459,0)),"")</f>
        <v/>
      </c>
      <c r="F334" s="72" t="str">
        <f>IFERROR(INDEX($V$310:$V$459,MATCH(ROWS($A$310:A334),$AF$310:$AF$459,0)),"")</f>
        <v/>
      </c>
      <c r="G334" s="72" t="str">
        <f>IFERROR(INDEX($W$310:$W$459,MATCH(ROWS($A$310:A334),$AF$310:$AF$459,0)),"")</f>
        <v/>
      </c>
      <c r="H334" s="72" t="str">
        <f>IFERROR(INDEX($X$310:$X$459,MATCH(ROWS($A$310:A334),$AF$310:$AF$459,0)),"")</f>
        <v/>
      </c>
      <c r="I334" s="72" t="str">
        <f>IFERROR(INDEX($Y$310:$Y$459,MATCH(ROWS($A$310:A334),$AF$310:$AF$459,0)),"")</f>
        <v/>
      </c>
      <c r="J334" s="72" t="str">
        <f>IFERROR(INDEX($Z$310:$Z$459,MATCH(ROWS($A$310:A334),$AF$310:$AF$459,0)),"")</f>
        <v/>
      </c>
      <c r="K334" s="72" t="str">
        <f>IFERROR(INDEX($AA$310:$AA$459,MATCH(ROWS($A$310:A334),$AF$310:$AF$459,0)),"")</f>
        <v/>
      </c>
      <c r="L334" s="72" t="str">
        <f>IFERROR(INDEX($AB$310:$AB$459,MATCH(ROWS($A$310:A334),$AF$310:$AF$459,0)),"")</f>
        <v/>
      </c>
      <c r="M334" s="72" t="str">
        <f>IFERROR(INDEX($AC$310:$AC$459,MATCH(ROWS($A$310:A334),$AF$310:$AF$459,0)),"")</f>
        <v/>
      </c>
      <c r="N334" s="35" t="str">
        <f>IFERROR(INDEX($AD$310:$AD$459,MATCH(ROWS($A$310:A334),$AF$310:$AF$459,0)),"")</f>
        <v/>
      </c>
      <c r="Q334" t="str">
        <f>T(JAN!B30)</f>
        <v>MARCELOS DORNELLES 37002274</v>
      </c>
      <c r="R334" t="str">
        <f t="array" ref="R334">IF($Q334="","",_xlfn.TEXTJOIN(", ",TRUE,IF(JAN!$G30:$AK30="FE",JAN!$G$4:$AK$4,"")))</f>
        <v/>
      </c>
      <c r="S334" t="str">
        <f t="array" ref="S334">IF($Q334="","",_xlfn.TEXTJOIN(", ",TRUE,IF(FEV!$G30:$AK30="FE",FEV!$G$4:$AK$4,"")))</f>
        <v/>
      </c>
      <c r="T334" t="str">
        <f t="array" ref="T334">IF($Q334="","",_xlfn.TEXTJOIN(", ",TRUE,IF(MAR!$G30:$AK30="FE",MAR!$G$4:$AK$4,"")))</f>
        <v/>
      </c>
      <c r="U334" t="str">
        <f t="array" ref="U334">IF($Q334="","",_xlfn.TEXTJOIN(", ",TRUE,IF(ABR!$G30:$AK30="FE",ABR!$G$4:$AK$4,"")))</f>
        <v/>
      </c>
      <c r="V334" t="str">
        <f t="array" ref="V334">IF($Q334="","",_xlfn.TEXTJOIN(", ",TRUE,IF(MAI!$G30:$AK30="FE",MAI!$G$4:$AK$4,"")))</f>
        <v/>
      </c>
      <c r="W334" t="str">
        <f t="array" ref="W334">IF($Q334="","",_xlfn.TEXTJOIN(", ",TRUE,IF(JUN!$G30:$AK30="FE",JUN!$G$4:$AK$4,"")))</f>
        <v/>
      </c>
      <c r="X334" t="str">
        <f t="array" ref="X334">IF($Q334="","",_xlfn.TEXTJOIN(", ",TRUE,IF(JUL!$G30:$AK30="FE",JUL!$G$4:$AK$4,"")))</f>
        <v/>
      </c>
      <c r="Y334" t="str">
        <f t="array" ref="Y334">IF($Q334="","",_xlfn.TEXTJOIN(", ",TRUE,IF(AGO!$G30:$AK30="FE",AGO!$G$4:$AK$4,"")))</f>
        <v/>
      </c>
      <c r="Z334" t="str">
        <f t="array" ref="Z334">IF($Q334="","",_xlfn.TEXTJOIN(", ",TRUE,IF(SET!$G30:$AK30="FE",SET!$G$4:$AK$4,"")))</f>
        <v/>
      </c>
      <c r="AA334" t="str">
        <f t="array" ref="AA334">IF($Q334="","",_xlfn.TEXTJOIN(", ",TRUE,IF(OUT!$G30:$AK30="FE",OUT!$G$4:$AK$4,"")))</f>
        <v/>
      </c>
      <c r="AB334" t="str">
        <f t="array" ref="AB334">IF($Q334="","",_xlfn.TEXTJOIN(", ",TRUE,IF(NOV!$G30:$AK30="FE",NOV!$G$4:$AK$4,"")))</f>
        <v/>
      </c>
      <c r="AC334" t="str">
        <f t="array" ref="AC334">IF($Q334="","",_xlfn.TEXTJOIN(", ",TRUE,IF(DEZ!$G30:$AK30="FE",DEZ!$G$4:$AK$4,"")))</f>
        <v/>
      </c>
      <c r="AD334">
        <f>IF($Q334="","",COUNTIF(JAN!$G30:$AK30,"FE")+COUNTIF(FEV!$G30:$AK30,"FE")+COUNTIF(MAR!$G30:$AK30,"FE")+COUNTIF(ABR!$G30:$AK30,"FE")+COUNTIF(MAI!$G30:$AK30,"FE")+COUNTIF(JUN!$G30:$AK30,"FE")+COUNTIF(JUL!$G30:$AK30,"FE")+COUNTIF(AGO!$G30:$AK30,"FE")+COUNTIF(SET!$G30:$AK30,"FE")+COUNTIF(OUT!$G30:$AK30,"FE")+COUNTIF(NOV!$G30:$AK30,"FE")+COUNTIF(DEZ!$G30:$AK30,"FE"))</f>
        <v>0</v>
      </c>
      <c r="AF334" t="str">
        <f>IF(AND($Q334&lt;&gt;"",N($AD334)&gt;0),COUNT($AF$309:AF333)+1,"")</f>
        <v/>
      </c>
    </row>
    <row r="335" spans="1:32" ht="20.100000000000001" customHeight="1" x14ac:dyDescent="0.25">
      <c r="A335" s="71" t="str">
        <f>IFERROR(INDEX($Q$310:$Q$459,MATCH(ROWS($A$310:A335),$AF$310:$AF$459,0)),"")</f>
        <v/>
      </c>
      <c r="B335" s="72" t="str">
        <f>IFERROR(INDEX($R$310:$R$459,MATCH(ROWS($A$310:A335),$AF$310:$AF$459,0)),"")</f>
        <v/>
      </c>
      <c r="C335" s="72" t="str">
        <f>IFERROR(INDEX($S$310:$S$459,MATCH(ROWS($A$310:A335),$AF$310:$AF$459,0)),"")</f>
        <v/>
      </c>
      <c r="D335" s="72" t="str">
        <f>IFERROR(INDEX($T$310:$T$459,MATCH(ROWS($A$310:A335),$AF$310:$AF$459,0)),"")</f>
        <v/>
      </c>
      <c r="E335" s="72" t="str">
        <f>IFERROR(INDEX($U$310:$U$459,MATCH(ROWS($A$310:A335),$AF$310:$AF$459,0)),"")</f>
        <v/>
      </c>
      <c r="F335" s="72" t="str">
        <f>IFERROR(INDEX($V$310:$V$459,MATCH(ROWS($A$310:A335),$AF$310:$AF$459,0)),"")</f>
        <v/>
      </c>
      <c r="G335" s="72" t="str">
        <f>IFERROR(INDEX($W$310:$W$459,MATCH(ROWS($A$310:A335),$AF$310:$AF$459,0)),"")</f>
        <v/>
      </c>
      <c r="H335" s="72" t="str">
        <f>IFERROR(INDEX($X$310:$X$459,MATCH(ROWS($A$310:A335),$AF$310:$AF$459,0)),"")</f>
        <v/>
      </c>
      <c r="I335" s="72" t="str">
        <f>IFERROR(INDEX($Y$310:$Y$459,MATCH(ROWS($A$310:A335),$AF$310:$AF$459,0)),"")</f>
        <v/>
      </c>
      <c r="J335" s="72" t="str">
        <f>IFERROR(INDEX($Z$310:$Z$459,MATCH(ROWS($A$310:A335),$AF$310:$AF$459,0)),"")</f>
        <v/>
      </c>
      <c r="K335" s="72" t="str">
        <f>IFERROR(INDEX($AA$310:$AA$459,MATCH(ROWS($A$310:A335),$AF$310:$AF$459,0)),"")</f>
        <v/>
      </c>
      <c r="L335" s="72" t="str">
        <f>IFERROR(INDEX($AB$310:$AB$459,MATCH(ROWS($A$310:A335),$AF$310:$AF$459,0)),"")</f>
        <v/>
      </c>
      <c r="M335" s="72" t="str">
        <f>IFERROR(INDEX($AC$310:$AC$459,MATCH(ROWS($A$310:A335),$AF$310:$AF$459,0)),"")</f>
        <v/>
      </c>
      <c r="N335" s="35" t="str">
        <f>IFERROR(INDEX($AD$310:$AD$459,MATCH(ROWS($A$310:A335),$AF$310:$AF$459,0)),"")</f>
        <v/>
      </c>
      <c r="Q335" t="str">
        <f>T(JAN!B31)</f>
        <v>ALEXANDRE NUNES 461301</v>
      </c>
      <c r="R335" t="str">
        <f t="array" ref="R335">IF($Q335="","",_xlfn.TEXTJOIN(", ",TRUE,IF(JAN!$G31:$AK31="FE",JAN!$G$4:$AK$4,"")))</f>
        <v/>
      </c>
      <c r="S335" t="str">
        <f t="array" ref="S335">IF($Q335="","",_xlfn.TEXTJOIN(", ",TRUE,IF(FEV!$G31:$AK31="FE",FEV!$G$4:$AK$4,"")))</f>
        <v/>
      </c>
      <c r="T335" t="str">
        <f t="array" ref="T335">IF($Q335="","",_xlfn.TEXTJOIN(", ",TRUE,IF(MAR!$G31:$AK31="FE",MAR!$G$4:$AK$4,"")))</f>
        <v/>
      </c>
      <c r="U335" t="str">
        <f t="array" ref="U335">IF($Q335="","",_xlfn.TEXTJOIN(", ",TRUE,IF(ABR!$G31:$AK31="FE",ABR!$G$4:$AK$4,"")))</f>
        <v/>
      </c>
      <c r="V335" t="str">
        <f t="array" ref="V335">IF($Q335="","",_xlfn.TEXTJOIN(", ",TRUE,IF(MAI!$G31:$AK31="FE",MAI!$G$4:$AK$4,"")))</f>
        <v/>
      </c>
      <c r="W335" t="str">
        <f t="array" ref="W335">IF($Q335="","",_xlfn.TEXTJOIN(", ",TRUE,IF(JUN!$G31:$AK31="FE",JUN!$G$4:$AK$4,"")))</f>
        <v/>
      </c>
      <c r="X335" t="str">
        <f t="array" ref="X335">IF($Q335="","",_xlfn.TEXTJOIN(", ",TRUE,IF(JUL!$G31:$AK31="FE",JUL!$G$4:$AK$4,"")))</f>
        <v/>
      </c>
      <c r="Y335" t="str">
        <f t="array" ref="Y335">IF($Q335="","",_xlfn.TEXTJOIN(", ",TRUE,IF(AGO!$G31:$AK31="FE",AGO!$G$4:$AK$4,"")))</f>
        <v>10, 11, 12, 13, 14, 15, 16, 17, 18, 19, 20, 21, 22, 23, 24, 25</v>
      </c>
      <c r="Z335" t="str">
        <f t="array" ref="Z335">IF($Q335="","",_xlfn.TEXTJOIN(", ",TRUE,IF(SET!$G31:$AK31="FE",SET!$G$4:$AK$4,"")))</f>
        <v/>
      </c>
      <c r="AA335" t="str">
        <f t="array" ref="AA335">IF($Q335="","",_xlfn.TEXTJOIN(", ",TRUE,IF(OUT!$G31:$AK31="FE",OUT!$G$4:$AK$4,"")))</f>
        <v/>
      </c>
      <c r="AB335" t="str">
        <f t="array" ref="AB335">IF($Q335="","",_xlfn.TEXTJOIN(", ",TRUE,IF(NOV!$G31:$AK31="FE",NOV!$G$4:$AK$4,"")))</f>
        <v/>
      </c>
      <c r="AC335" t="str">
        <f t="array" ref="AC335">IF($Q335="","",_xlfn.TEXTJOIN(", ",TRUE,IF(DEZ!$G31:$AK31="FE",DEZ!$G$4:$AK$4,"")))</f>
        <v/>
      </c>
      <c r="AD335">
        <f>IF($Q335="","",COUNTIF(JAN!$G31:$AK31,"FE")+COUNTIF(FEV!$G31:$AK31,"FE")+COUNTIF(MAR!$G31:$AK31,"FE")+COUNTIF(ABR!$G31:$AK31,"FE")+COUNTIF(MAI!$G31:$AK31,"FE")+COUNTIF(JUN!$G31:$AK31,"FE")+COUNTIF(JUL!$G31:$AK31,"FE")+COUNTIF(AGO!$G31:$AK31,"FE")+COUNTIF(SET!$G31:$AK31,"FE")+COUNTIF(OUT!$G31:$AK31,"FE")+COUNTIF(NOV!$G31:$AK31,"FE")+COUNTIF(DEZ!$G31:$AK31,"FE"))</f>
        <v>16</v>
      </c>
      <c r="AF335">
        <f>IF(AND($Q335&lt;&gt;"",N($AD335)&gt;0),COUNT($AF$309:AF334)+1,"")</f>
        <v>3</v>
      </c>
    </row>
    <row r="336" spans="1:32" ht="20.100000000000001" customHeight="1" x14ac:dyDescent="0.25">
      <c r="A336" s="71" t="str">
        <f>IFERROR(INDEX($Q$310:$Q$459,MATCH(ROWS($A$310:A336),$AF$310:$AF$459,0)),"")</f>
        <v/>
      </c>
      <c r="B336" s="72" t="str">
        <f>IFERROR(INDEX($R$310:$R$459,MATCH(ROWS($A$310:A336),$AF$310:$AF$459,0)),"")</f>
        <v/>
      </c>
      <c r="C336" s="72" t="str">
        <f>IFERROR(INDEX($S$310:$S$459,MATCH(ROWS($A$310:A336),$AF$310:$AF$459,0)),"")</f>
        <v/>
      </c>
      <c r="D336" s="72" t="str">
        <f>IFERROR(INDEX($T$310:$T$459,MATCH(ROWS($A$310:A336),$AF$310:$AF$459,0)),"")</f>
        <v/>
      </c>
      <c r="E336" s="72" t="str">
        <f>IFERROR(INDEX($U$310:$U$459,MATCH(ROWS($A$310:A336),$AF$310:$AF$459,0)),"")</f>
        <v/>
      </c>
      <c r="F336" s="72" t="str">
        <f>IFERROR(INDEX($V$310:$V$459,MATCH(ROWS($A$310:A336),$AF$310:$AF$459,0)),"")</f>
        <v/>
      </c>
      <c r="G336" s="72" t="str">
        <f>IFERROR(INDEX($W$310:$W$459,MATCH(ROWS($A$310:A336),$AF$310:$AF$459,0)),"")</f>
        <v/>
      </c>
      <c r="H336" s="72" t="str">
        <f>IFERROR(INDEX($X$310:$X$459,MATCH(ROWS($A$310:A336),$AF$310:$AF$459,0)),"")</f>
        <v/>
      </c>
      <c r="I336" s="72" t="str">
        <f>IFERROR(INDEX($Y$310:$Y$459,MATCH(ROWS($A$310:A336),$AF$310:$AF$459,0)),"")</f>
        <v/>
      </c>
      <c r="J336" s="72" t="str">
        <f>IFERROR(INDEX($Z$310:$Z$459,MATCH(ROWS($A$310:A336),$AF$310:$AF$459,0)),"")</f>
        <v/>
      </c>
      <c r="K336" s="72" t="str">
        <f>IFERROR(INDEX($AA$310:$AA$459,MATCH(ROWS($A$310:A336),$AF$310:$AF$459,0)),"")</f>
        <v/>
      </c>
      <c r="L336" s="72" t="str">
        <f>IFERROR(INDEX($AB$310:$AB$459,MATCH(ROWS($A$310:A336),$AF$310:$AF$459,0)),"")</f>
        <v/>
      </c>
      <c r="M336" s="72" t="str">
        <f>IFERROR(INDEX($AC$310:$AC$459,MATCH(ROWS($A$310:A336),$AF$310:$AF$459,0)),"")</f>
        <v/>
      </c>
      <c r="N336" s="35" t="str">
        <f>IFERROR(INDEX($AD$310:$AD$459,MATCH(ROWS($A$310:A336),$AF$310:$AF$459,0)),"")</f>
        <v/>
      </c>
      <c r="Q336" t="str">
        <f>T(JAN!B32)</f>
        <v>DIGO GRAZCKI 37002136</v>
      </c>
      <c r="R336" t="str">
        <f t="array" ref="R336">IF($Q336="","",_xlfn.TEXTJOIN(", ",TRUE,IF(JAN!$G32:$AK32="FE",JAN!$G$4:$AK$4,"")))</f>
        <v/>
      </c>
      <c r="S336" t="str">
        <f t="array" ref="S336">IF($Q336="","",_xlfn.TEXTJOIN(", ",TRUE,IF(FEV!$G32:$AK32="FE",FEV!$G$4:$AK$4,"")))</f>
        <v/>
      </c>
      <c r="T336" t="str">
        <f t="array" ref="T336">IF($Q336="","",_xlfn.TEXTJOIN(", ",TRUE,IF(MAR!$G32:$AK32="FE",MAR!$G$4:$AK$4,"")))</f>
        <v/>
      </c>
      <c r="U336" t="str">
        <f t="array" ref="U336">IF($Q336="","",_xlfn.TEXTJOIN(", ",TRUE,IF(ABR!$G32:$AK32="FE",ABR!$G$4:$AK$4,"")))</f>
        <v/>
      </c>
      <c r="V336" t="str">
        <f t="array" ref="V336">IF($Q336="","",_xlfn.TEXTJOIN(", ",TRUE,IF(MAI!$G32:$AK32="FE",MAI!$G$4:$AK$4,"")))</f>
        <v/>
      </c>
      <c r="W336" t="str">
        <f t="array" ref="W336">IF($Q336="","",_xlfn.TEXTJOIN(", ",TRUE,IF(JUN!$G32:$AK32="FE",JUN!$G$4:$AK$4,"")))</f>
        <v/>
      </c>
      <c r="X336" t="str">
        <f t="array" ref="X336">IF($Q336="","",_xlfn.TEXTJOIN(", ",TRUE,IF(JUL!$G32:$AK32="FE",JUL!$G$4:$AK$4,"")))</f>
        <v/>
      </c>
      <c r="Y336" t="str">
        <f t="array" ref="Y336">IF($Q336="","",_xlfn.TEXTJOIN(", ",TRUE,IF(AGO!$G32:$AK32="FE",AGO!$G$4:$AK$4,"")))</f>
        <v/>
      </c>
      <c r="Z336" t="str">
        <f t="array" ref="Z336">IF($Q336="","",_xlfn.TEXTJOIN(", ",TRUE,IF(SET!$G32:$AK32="FE",SET!$G$4:$AK$4,"")))</f>
        <v/>
      </c>
      <c r="AA336" t="str">
        <f t="array" ref="AA336">IF($Q336="","",_xlfn.TEXTJOIN(", ",TRUE,IF(OUT!$G32:$AK32="FE",OUT!$G$4:$AK$4,"")))</f>
        <v/>
      </c>
      <c r="AB336" t="str">
        <f t="array" ref="AB336">IF($Q336="","",_xlfn.TEXTJOIN(", ",TRUE,IF(NOV!$G32:$AK32="FE",NOV!$G$4:$AK$4,"")))</f>
        <v/>
      </c>
      <c r="AC336" t="str">
        <f t="array" ref="AC336">IF($Q336="","",_xlfn.TEXTJOIN(", ",TRUE,IF(DEZ!$G32:$AK32="FE",DEZ!$G$4:$AK$4,"")))</f>
        <v/>
      </c>
      <c r="AD336">
        <f>IF($Q336="","",COUNTIF(JAN!$G32:$AK32,"FE")+COUNTIF(FEV!$G32:$AK32,"FE")+COUNTIF(MAR!$G32:$AK32,"FE")+COUNTIF(ABR!$G32:$AK32,"FE")+COUNTIF(MAI!$G32:$AK32,"FE")+COUNTIF(JUN!$G32:$AK32,"FE")+COUNTIF(JUL!$G32:$AK32,"FE")+COUNTIF(AGO!$G32:$AK32,"FE")+COUNTIF(SET!$G32:$AK32,"FE")+COUNTIF(OUT!$G32:$AK32,"FE")+COUNTIF(NOV!$G32:$AK32,"FE")+COUNTIF(DEZ!$G32:$AK32,"FE"))</f>
        <v>0</v>
      </c>
      <c r="AF336" t="str">
        <f>IF(AND($Q336&lt;&gt;"",N($AD336)&gt;0),COUNT($AF$309:AF335)+1,"")</f>
        <v/>
      </c>
    </row>
    <row r="337" spans="1:32" ht="20.100000000000001" customHeight="1" x14ac:dyDescent="0.25">
      <c r="A337" s="36" t="str">
        <f>IFERROR(INDEX($Q$310:$Q$459,MATCH(ROWS($A$310:A337),$AF$310:$AF$459,0)),"")</f>
        <v/>
      </c>
      <c r="B337" s="72" t="str">
        <f>IFERROR(INDEX($R$310:$R$459,MATCH(ROWS($A$310:A337),$AF$310:$AF$459,0)),"")</f>
        <v/>
      </c>
      <c r="C337" s="72" t="str">
        <f>IFERROR(INDEX($S$310:$S$459,MATCH(ROWS($A$310:A337),$AF$310:$AF$459,0)),"")</f>
        <v/>
      </c>
      <c r="D337" s="72" t="str">
        <f>IFERROR(INDEX($T$310:$T$459,MATCH(ROWS($A$310:A337),$AF$310:$AF$459,0)),"")</f>
        <v/>
      </c>
      <c r="E337" s="72" t="str">
        <f>IFERROR(INDEX($U$310:$U$459,MATCH(ROWS($A$310:A337),$AF$310:$AF$459,0)),"")</f>
        <v/>
      </c>
      <c r="F337" s="72" t="str">
        <f>IFERROR(INDEX($V$310:$V$459,MATCH(ROWS($A$310:A337),$AF$310:$AF$459,0)),"")</f>
        <v/>
      </c>
      <c r="G337" s="72" t="str">
        <f>IFERROR(INDEX($W$310:$W$459,MATCH(ROWS($A$310:A337),$AF$310:$AF$459,0)),"")</f>
        <v/>
      </c>
      <c r="H337" s="72" t="str">
        <f>IFERROR(INDEX($X$310:$X$459,MATCH(ROWS($A$310:A337),$AF$310:$AF$459,0)),"")</f>
        <v/>
      </c>
      <c r="I337" s="72" t="str">
        <f>IFERROR(INDEX($Y$310:$Y$459,MATCH(ROWS($A$310:A337),$AF$310:$AF$459,0)),"")</f>
        <v/>
      </c>
      <c r="J337" s="72" t="str">
        <f>IFERROR(INDEX($Z$310:$Z$459,MATCH(ROWS($A$310:A337),$AF$310:$AF$459,0)),"")</f>
        <v/>
      </c>
      <c r="K337" s="72" t="str">
        <f>IFERROR(INDEX($AA$310:$AA$459,MATCH(ROWS($A$310:A337),$AF$310:$AF$459,0)),"")</f>
        <v/>
      </c>
      <c r="L337" s="72" t="str">
        <f>IFERROR(INDEX($AB$310:$AB$459,MATCH(ROWS($A$310:A337),$AF$310:$AF$459,0)),"")</f>
        <v/>
      </c>
      <c r="M337" s="72" t="str">
        <f>IFERROR(INDEX($AC$310:$AC$459,MATCH(ROWS($A$310:A337),$AF$310:$AF$459,0)),"")</f>
        <v/>
      </c>
      <c r="N337" s="35" t="str">
        <f>IFERROR(INDEX($AD$310:$AD$459,MATCH(ROWS($A$310:A337),$AF$310:$AF$459,0)),"")</f>
        <v/>
      </c>
      <c r="Q337" t="str">
        <f>T(JAN!B33)</f>
        <v>CHARLES SCOT 310301</v>
      </c>
      <c r="R337" t="str">
        <f t="array" ref="R337">IF($Q337="","",_xlfn.TEXTJOIN(", ",TRUE,IF(JAN!$G33:$AK33="FE",JAN!$G$4:$AK$4,"")))</f>
        <v/>
      </c>
      <c r="S337" t="str">
        <f t="array" ref="S337">IF($Q337="","",_xlfn.TEXTJOIN(", ",TRUE,IF(FEV!$G33:$AK33="FE",FEV!$G$4:$AK$4,"")))</f>
        <v/>
      </c>
      <c r="T337" t="str">
        <f t="array" ref="T337">IF($Q337="","",_xlfn.TEXTJOIN(", ",TRUE,IF(MAR!$G33:$AK33="FE",MAR!$G$4:$AK$4,"")))</f>
        <v/>
      </c>
      <c r="U337" t="str">
        <f t="array" ref="U337">IF($Q337="","",_xlfn.TEXTJOIN(", ",TRUE,IF(ABR!$G33:$AK33="FE",ABR!$G$4:$AK$4,"")))</f>
        <v/>
      </c>
      <c r="V337" t="str">
        <f t="array" ref="V337">IF($Q337="","",_xlfn.TEXTJOIN(", ",TRUE,IF(MAI!$G33:$AK33="FE",MAI!$G$4:$AK$4,"")))</f>
        <v/>
      </c>
      <c r="W337" t="str">
        <f t="array" ref="W337">IF($Q337="","",_xlfn.TEXTJOIN(", ",TRUE,IF(JUN!$G33:$AK33="FE",JUN!$G$4:$AK$4,"")))</f>
        <v/>
      </c>
      <c r="X337" t="str">
        <f t="array" ref="X337">IF($Q337="","",_xlfn.TEXTJOIN(", ",TRUE,IF(JUL!$G33:$AK33="FE",JUL!$G$4:$AK$4,"")))</f>
        <v/>
      </c>
      <c r="Y337" t="str">
        <f t="array" ref="Y337">IF($Q337="","",_xlfn.TEXTJOIN(", ",TRUE,IF(AGO!$G33:$AK33="FE",AGO!$G$4:$AK$4,"")))</f>
        <v/>
      </c>
      <c r="Z337" t="str">
        <f t="array" ref="Z337">IF($Q337="","",_xlfn.TEXTJOIN(", ",TRUE,IF(SET!$G33:$AK33="FE",SET!$G$4:$AK$4,"")))</f>
        <v/>
      </c>
      <c r="AA337" t="str">
        <f t="array" ref="AA337">IF($Q337="","",_xlfn.TEXTJOIN(", ",TRUE,IF(OUT!$G33:$AK33="FE",OUT!$G$4:$AK$4,"")))</f>
        <v/>
      </c>
      <c r="AB337" t="str">
        <f t="array" ref="AB337">IF($Q337="","",_xlfn.TEXTJOIN(", ",TRUE,IF(NOV!$G33:$AK33="FE",NOV!$G$4:$AK$4,"")))</f>
        <v/>
      </c>
      <c r="AC337" t="str">
        <f t="array" ref="AC337">IF($Q337="","",_xlfn.TEXTJOIN(", ",TRUE,IF(DEZ!$G33:$AK33="FE",DEZ!$G$4:$AK$4,"")))</f>
        <v/>
      </c>
      <c r="AD337">
        <f>IF($Q337="","",COUNTIF(JAN!$G33:$AK33,"FE")+COUNTIF(FEV!$G33:$AK33,"FE")+COUNTIF(MAR!$G33:$AK33,"FE")+COUNTIF(ABR!$G33:$AK33,"FE")+COUNTIF(MAI!$G33:$AK33,"FE")+COUNTIF(JUN!$G33:$AK33,"FE")+COUNTIF(JUL!$G33:$AK33,"FE")+COUNTIF(AGO!$G33:$AK33,"FE")+COUNTIF(SET!$G33:$AK33,"FE")+COUNTIF(OUT!$G33:$AK33,"FE")+COUNTIF(NOV!$G33:$AK33,"FE")+COUNTIF(DEZ!$G33:$AK33,"FE"))</f>
        <v>0</v>
      </c>
      <c r="AF337" t="str">
        <f>IF(AND($Q337&lt;&gt;"",N($AD337)&gt;0),COUNT($AF$309:AF336)+1,"")</f>
        <v/>
      </c>
    </row>
    <row r="338" spans="1:32" ht="20.100000000000001" customHeight="1" x14ac:dyDescent="0.25">
      <c r="A338" s="36" t="str">
        <f>IFERROR(INDEX($Q$310:$Q$459,MATCH(ROWS($A$310:A338),$AF$310:$AF$459,0)),"")</f>
        <v/>
      </c>
      <c r="B338" s="72" t="str">
        <f>IFERROR(INDEX($R$310:$R$459,MATCH(ROWS($A$310:A338),$AF$310:$AF$459,0)),"")</f>
        <v/>
      </c>
      <c r="C338" s="72" t="str">
        <f>IFERROR(INDEX($S$310:$S$459,MATCH(ROWS($A$310:A338),$AF$310:$AF$459,0)),"")</f>
        <v/>
      </c>
      <c r="D338" s="72" t="str">
        <f>IFERROR(INDEX($T$310:$T$459,MATCH(ROWS($A$310:A338),$AF$310:$AF$459,0)),"")</f>
        <v/>
      </c>
      <c r="E338" s="72" t="str">
        <f>IFERROR(INDEX($U$310:$U$459,MATCH(ROWS($A$310:A338),$AF$310:$AF$459,0)),"")</f>
        <v/>
      </c>
      <c r="F338" s="72" t="str">
        <f>IFERROR(INDEX($V$310:$V$459,MATCH(ROWS($A$310:A338),$AF$310:$AF$459,0)),"")</f>
        <v/>
      </c>
      <c r="G338" s="72" t="str">
        <f>IFERROR(INDEX($W$310:$W$459,MATCH(ROWS($A$310:A338),$AF$310:$AF$459,0)),"")</f>
        <v/>
      </c>
      <c r="H338" s="72" t="str">
        <f>IFERROR(INDEX($X$310:$X$459,MATCH(ROWS($A$310:A338),$AF$310:$AF$459,0)),"")</f>
        <v/>
      </c>
      <c r="I338" s="72" t="str">
        <f>IFERROR(INDEX($Y$310:$Y$459,MATCH(ROWS($A$310:A338),$AF$310:$AF$459,0)),"")</f>
        <v/>
      </c>
      <c r="J338" s="72" t="str">
        <f>IFERROR(INDEX($Z$310:$Z$459,MATCH(ROWS($A$310:A338),$AF$310:$AF$459,0)),"")</f>
        <v/>
      </c>
      <c r="K338" s="72" t="str">
        <f>IFERROR(INDEX($AA$310:$AA$459,MATCH(ROWS($A$310:A338),$AF$310:$AF$459,0)),"")</f>
        <v/>
      </c>
      <c r="L338" s="72" t="str">
        <f>IFERROR(INDEX($AB$310:$AB$459,MATCH(ROWS($A$310:A338),$AF$310:$AF$459,0)),"")</f>
        <v/>
      </c>
      <c r="M338" s="72" t="str">
        <f>IFERROR(INDEX($AC$310:$AC$459,MATCH(ROWS($A$310:A338),$AF$310:$AF$459,0)),"")</f>
        <v/>
      </c>
      <c r="N338" s="35" t="str">
        <f>IFERROR(INDEX($AD$310:$AD$459,MATCH(ROWS($A$310:A338),$AF$310:$AF$459,0)),"")</f>
        <v/>
      </c>
      <c r="Q338" t="str">
        <f>T(JAN!B34)</f>
        <v>EDUARDO RIBEIRO 484301</v>
      </c>
      <c r="R338" t="str">
        <f t="array" ref="R338">IF($Q338="","",_xlfn.TEXTJOIN(", ",TRUE,IF(JAN!$G34:$AK34="FE",JAN!$G$4:$AK$4,"")))</f>
        <v/>
      </c>
      <c r="S338" t="str">
        <f t="array" ref="S338">IF($Q338="","",_xlfn.TEXTJOIN(", ",TRUE,IF(FEV!$G34:$AK34="FE",FEV!$G$4:$AK$4,"")))</f>
        <v/>
      </c>
      <c r="T338" t="str">
        <f t="array" ref="T338">IF($Q338="","",_xlfn.TEXTJOIN(", ",TRUE,IF(MAR!$G34:$AK34="FE",MAR!$G$4:$AK$4,"")))</f>
        <v/>
      </c>
      <c r="U338" t="str">
        <f t="array" ref="U338">IF($Q338="","",_xlfn.TEXTJOIN(", ",TRUE,IF(ABR!$G34:$AK34="FE",ABR!$G$4:$AK$4,"")))</f>
        <v/>
      </c>
      <c r="V338" t="str">
        <f t="array" ref="V338">IF($Q338="","",_xlfn.TEXTJOIN(", ",TRUE,IF(MAI!$G34:$AK34="FE",MAI!$G$4:$AK$4,"")))</f>
        <v/>
      </c>
      <c r="W338" t="str">
        <f t="array" ref="W338">IF($Q338="","",_xlfn.TEXTJOIN(", ",TRUE,IF(JUN!$G34:$AK34="FE",JUN!$G$4:$AK$4,"")))</f>
        <v/>
      </c>
      <c r="X338" t="str">
        <f t="array" ref="X338">IF($Q338="","",_xlfn.TEXTJOIN(", ",TRUE,IF(JUL!$G34:$AK34="FE",JUL!$G$4:$AK$4,"")))</f>
        <v/>
      </c>
      <c r="Y338" t="str">
        <f t="array" ref="Y338">IF($Q338="","",_xlfn.TEXTJOIN(", ",TRUE,IF(AGO!$G34:$AK34="FE",AGO!$G$4:$AK$4,"")))</f>
        <v/>
      </c>
      <c r="Z338" t="str">
        <f t="array" ref="Z338">IF($Q338="","",_xlfn.TEXTJOIN(", ",TRUE,IF(SET!$G34:$AK34="FE",SET!$G$4:$AK$4,"")))</f>
        <v/>
      </c>
      <c r="AA338" t="str">
        <f t="array" ref="AA338">IF($Q338="","",_xlfn.TEXTJOIN(", ",TRUE,IF(OUT!$G34:$AK34="FE",OUT!$G$4:$AK$4,"")))</f>
        <v>13, 14, 15, 16, 17, 18, 19, 20, 21, 22, 23, 24, 25, 26, 27, 28</v>
      </c>
      <c r="AB338" t="str">
        <f t="array" ref="AB338">IF($Q338="","",_xlfn.TEXTJOIN(", ",TRUE,IF(NOV!$G34:$AK34="FE",NOV!$G$4:$AK$4,"")))</f>
        <v/>
      </c>
      <c r="AC338" t="str">
        <f t="array" ref="AC338">IF($Q338="","",_xlfn.TEXTJOIN(", ",TRUE,IF(DEZ!$G34:$AK34="FE",DEZ!$G$4:$AK$4,"")))</f>
        <v/>
      </c>
      <c r="AD338">
        <f>IF($Q338="","",COUNTIF(JAN!$G34:$AK34,"FE")+COUNTIF(FEV!$G34:$AK34,"FE")+COUNTIF(MAR!$G34:$AK34,"FE")+COUNTIF(ABR!$G34:$AK34,"FE")+COUNTIF(MAI!$G34:$AK34,"FE")+COUNTIF(JUN!$G34:$AK34,"FE")+COUNTIF(JUL!$G34:$AK34,"FE")+COUNTIF(AGO!$G34:$AK34,"FE")+COUNTIF(SET!$G34:$AK34,"FE")+COUNTIF(OUT!$G34:$AK34,"FE")+COUNTIF(NOV!$G34:$AK34,"FE")+COUNTIF(DEZ!$G34:$AK34,"FE"))</f>
        <v>16</v>
      </c>
      <c r="AF338">
        <f>IF(AND($Q338&lt;&gt;"",N($AD338)&gt;0),COUNT($AF$309:AF337)+1,"")</f>
        <v>4</v>
      </c>
    </row>
    <row r="339" spans="1:32" ht="20.100000000000001" customHeight="1" x14ac:dyDescent="0.25">
      <c r="A339" s="36" t="str">
        <f>IFERROR(INDEX($Q$310:$Q$459,MATCH(ROWS($A$310:A339),$AF$310:$AF$459,0)),"")</f>
        <v/>
      </c>
      <c r="B339" s="72" t="str">
        <f>IFERROR(INDEX($R$310:$R$459,MATCH(ROWS($A$310:A339),$AF$310:$AF$459,0)),"")</f>
        <v/>
      </c>
      <c r="C339" s="72" t="str">
        <f>IFERROR(INDEX($S$310:$S$459,MATCH(ROWS($A$310:A339),$AF$310:$AF$459,0)),"")</f>
        <v/>
      </c>
      <c r="D339" s="72" t="str">
        <f>IFERROR(INDEX($T$310:$T$459,MATCH(ROWS($A$310:A339),$AF$310:$AF$459,0)),"")</f>
        <v/>
      </c>
      <c r="E339" s="72" t="str">
        <f>IFERROR(INDEX($U$310:$U$459,MATCH(ROWS($A$310:A339),$AF$310:$AF$459,0)),"")</f>
        <v/>
      </c>
      <c r="F339" s="72" t="str">
        <f>IFERROR(INDEX($V$310:$V$459,MATCH(ROWS($A$310:A339),$AF$310:$AF$459,0)),"")</f>
        <v/>
      </c>
      <c r="G339" s="72" t="str">
        <f>IFERROR(INDEX($W$310:$W$459,MATCH(ROWS($A$310:A339),$AF$310:$AF$459,0)),"")</f>
        <v/>
      </c>
      <c r="H339" s="72" t="str">
        <f>IFERROR(INDEX($X$310:$X$459,MATCH(ROWS($A$310:A339),$AF$310:$AF$459,0)),"")</f>
        <v/>
      </c>
      <c r="I339" s="72" t="str">
        <f>IFERROR(INDEX($Y$310:$Y$459,MATCH(ROWS($A$310:A339),$AF$310:$AF$459,0)),"")</f>
        <v/>
      </c>
      <c r="J339" s="72" t="str">
        <f>IFERROR(INDEX($Z$310:$Z$459,MATCH(ROWS($A$310:A339),$AF$310:$AF$459,0)),"")</f>
        <v/>
      </c>
      <c r="K339" s="72" t="str">
        <f>IFERROR(INDEX($AA$310:$AA$459,MATCH(ROWS($A$310:A339),$AF$310:$AF$459,0)),"")</f>
        <v/>
      </c>
      <c r="L339" s="72" t="str">
        <f>IFERROR(INDEX($AB$310:$AB$459,MATCH(ROWS($A$310:A339),$AF$310:$AF$459,0)),"")</f>
        <v/>
      </c>
      <c r="M339" s="72" t="str">
        <f>IFERROR(INDEX($AC$310:$AC$459,MATCH(ROWS($A$310:A339),$AF$310:$AF$459,0)),"")</f>
        <v/>
      </c>
      <c r="N339" s="35" t="str">
        <f>IFERROR(INDEX($AD$310:$AD$459,MATCH(ROWS($A$310:A339),$AF$310:$AF$459,0)),"")</f>
        <v/>
      </c>
      <c r="Q339" t="str">
        <f>T(JAN!B35)</f>
        <v>RODRIGO BRAZEIRO 281401</v>
      </c>
      <c r="R339" t="str">
        <f t="array" ref="R339">IF($Q339="","",_xlfn.TEXTJOIN(", ",TRUE,IF(JAN!$G35:$AK35="FE",JAN!$G$4:$AK$4,"")))</f>
        <v/>
      </c>
      <c r="S339" t="str">
        <f t="array" ref="S339">IF($Q339="","",_xlfn.TEXTJOIN(", ",TRUE,IF(FEV!$G35:$AK35="FE",FEV!$G$4:$AK$4,"")))</f>
        <v/>
      </c>
      <c r="T339" t="str">
        <f t="array" ref="T339">IF($Q339="","",_xlfn.TEXTJOIN(", ",TRUE,IF(MAR!$G35:$AK35="FE",MAR!$G$4:$AK$4,"")))</f>
        <v/>
      </c>
      <c r="U339" t="str">
        <f t="array" ref="U339">IF($Q339="","",_xlfn.TEXTJOIN(", ",TRUE,IF(ABR!$G35:$AK35="FE",ABR!$G$4:$AK$4,"")))</f>
        <v/>
      </c>
      <c r="V339" t="str">
        <f t="array" ref="V339">IF($Q339="","",_xlfn.TEXTJOIN(", ",TRUE,IF(MAI!$G35:$AK35="FE",MAI!$G$4:$AK$4,"")))</f>
        <v/>
      </c>
      <c r="W339" t="str">
        <f t="array" ref="W339">IF($Q339="","",_xlfn.TEXTJOIN(", ",TRUE,IF(JUN!$G35:$AK35="FE",JUN!$G$4:$AK$4,"")))</f>
        <v/>
      </c>
      <c r="X339" t="str">
        <f t="array" ref="X339">IF($Q339="","",_xlfn.TEXTJOIN(", ",TRUE,IF(JUL!$G35:$AK35="FE",JUL!$G$4:$AK$4,"")))</f>
        <v/>
      </c>
      <c r="Y339" t="str">
        <f t="array" ref="Y339">IF($Q339="","",_xlfn.TEXTJOIN(", ",TRUE,IF(AGO!$G35:$AK35="FE",AGO!$G$4:$AK$4,"")))</f>
        <v/>
      </c>
      <c r="Z339" t="str">
        <f t="array" ref="Z339">IF($Q339="","",_xlfn.TEXTJOIN(", ",TRUE,IF(SET!$G35:$AK35="FE",SET!$G$4:$AK$4,"")))</f>
        <v/>
      </c>
      <c r="AA339" t="str">
        <f t="array" ref="AA339">IF($Q339="","",_xlfn.TEXTJOIN(", ",TRUE,IF(OUT!$G35:$AK35="FE",OUT!$G$4:$AK$4,"")))</f>
        <v/>
      </c>
      <c r="AB339" t="str">
        <f t="array" ref="AB339">IF($Q339="","",_xlfn.TEXTJOIN(", ",TRUE,IF(NOV!$G35:$AK35="FE",NOV!$G$4:$AK$4,"")))</f>
        <v/>
      </c>
      <c r="AC339" t="str">
        <f t="array" ref="AC339">IF($Q339="","",_xlfn.TEXTJOIN(", ",TRUE,IF(DEZ!$G35:$AK35="FE",DEZ!$G$4:$AK$4,"")))</f>
        <v/>
      </c>
      <c r="AD339">
        <f>IF($Q339="","",COUNTIF(JAN!$G35:$AK35,"FE")+COUNTIF(FEV!$G35:$AK35,"FE")+COUNTIF(MAR!$G35:$AK35,"FE")+COUNTIF(ABR!$G35:$AK35,"FE")+COUNTIF(MAI!$G35:$AK35,"FE")+COUNTIF(JUN!$G35:$AK35,"FE")+COUNTIF(JUL!$G35:$AK35,"FE")+COUNTIF(AGO!$G35:$AK35,"FE")+COUNTIF(SET!$G35:$AK35,"FE")+COUNTIF(OUT!$G35:$AK35,"FE")+COUNTIF(NOV!$G35:$AK35,"FE")+COUNTIF(DEZ!$G35:$AK35,"FE"))</f>
        <v>0</v>
      </c>
      <c r="AF339" t="str">
        <f>IF(AND($Q339&lt;&gt;"",N($AD339)&gt;0),COUNT($AF$309:AF338)+1,"")</f>
        <v/>
      </c>
    </row>
    <row r="340" spans="1:32" ht="20.100000000000001" customHeight="1" x14ac:dyDescent="0.25">
      <c r="A340" s="36" t="str">
        <f>IFERROR(INDEX($Q$310:$Q$459,MATCH(ROWS($A$310:A340),$AF$310:$AF$459,0)),"")</f>
        <v/>
      </c>
      <c r="B340" s="72" t="str">
        <f>IFERROR(INDEX($R$310:$R$459,MATCH(ROWS($A$310:A340),$AF$310:$AF$459,0)),"")</f>
        <v/>
      </c>
      <c r="C340" s="72" t="str">
        <f>IFERROR(INDEX($S$310:$S$459,MATCH(ROWS($A$310:A340),$AF$310:$AF$459,0)),"")</f>
        <v/>
      </c>
      <c r="D340" s="72" t="str">
        <f>IFERROR(INDEX($T$310:$T$459,MATCH(ROWS($A$310:A340),$AF$310:$AF$459,0)),"")</f>
        <v/>
      </c>
      <c r="E340" s="72" t="str">
        <f>IFERROR(INDEX($U$310:$U$459,MATCH(ROWS($A$310:A340),$AF$310:$AF$459,0)),"")</f>
        <v/>
      </c>
      <c r="F340" s="72" t="str">
        <f>IFERROR(INDEX($V$310:$V$459,MATCH(ROWS($A$310:A340),$AF$310:$AF$459,0)),"")</f>
        <v/>
      </c>
      <c r="G340" s="72" t="str">
        <f>IFERROR(INDEX($W$310:$W$459,MATCH(ROWS($A$310:A340),$AF$310:$AF$459,0)),"")</f>
        <v/>
      </c>
      <c r="H340" s="72" t="str">
        <f>IFERROR(INDEX($X$310:$X$459,MATCH(ROWS($A$310:A340),$AF$310:$AF$459,0)),"")</f>
        <v/>
      </c>
      <c r="I340" s="72" t="str">
        <f>IFERROR(INDEX($Y$310:$Y$459,MATCH(ROWS($A$310:A340),$AF$310:$AF$459,0)),"")</f>
        <v/>
      </c>
      <c r="J340" s="72" t="str">
        <f>IFERROR(INDEX($Z$310:$Z$459,MATCH(ROWS($A$310:A340),$AF$310:$AF$459,0)),"")</f>
        <v/>
      </c>
      <c r="K340" s="72" t="str">
        <f>IFERROR(INDEX($AA$310:$AA$459,MATCH(ROWS($A$310:A340),$AF$310:$AF$459,0)),"")</f>
        <v/>
      </c>
      <c r="L340" s="72" t="str">
        <f>IFERROR(INDEX($AB$310:$AB$459,MATCH(ROWS($A$310:A340),$AF$310:$AF$459,0)),"")</f>
        <v/>
      </c>
      <c r="M340" s="72" t="str">
        <f>IFERROR(INDEX($AC$310:$AC$459,MATCH(ROWS($A$310:A340),$AF$310:$AF$459,0)),"")</f>
        <v/>
      </c>
      <c r="N340" s="35" t="str">
        <f>IFERROR(INDEX($AD$310:$AD$459,MATCH(ROWS($A$310:A340),$AF$310:$AF$459,0)),"")</f>
        <v/>
      </c>
      <c r="Q340" t="str">
        <f>T(JAN!B36)</f>
        <v>ALEXANDRE MARINHO 37002252</v>
      </c>
      <c r="R340" t="str">
        <f t="array" ref="R340">IF($Q340="","",_xlfn.TEXTJOIN(", ",TRUE,IF(JAN!$G36:$AK36="FE",JAN!$G$4:$AK$4,"")))</f>
        <v/>
      </c>
      <c r="S340" t="str">
        <f t="array" ref="S340">IF($Q340="","",_xlfn.TEXTJOIN(", ",TRUE,IF(FEV!$G36:$AK36="FE",FEV!$G$4:$AK$4,"")))</f>
        <v/>
      </c>
      <c r="T340" t="str">
        <f t="array" ref="T340">IF($Q340="","",_xlfn.TEXTJOIN(", ",TRUE,IF(MAR!$G36:$AK36="FE",MAR!$G$4:$AK$4,"")))</f>
        <v/>
      </c>
      <c r="U340" t="str">
        <f t="array" ref="U340">IF($Q340="","",_xlfn.TEXTJOIN(", ",TRUE,IF(ABR!$G36:$AK36="FE",ABR!$G$4:$AK$4,"")))</f>
        <v/>
      </c>
      <c r="V340" t="str">
        <f t="array" ref="V340">IF($Q340="","",_xlfn.TEXTJOIN(", ",TRUE,IF(MAI!$G36:$AK36="FE",MAI!$G$4:$AK$4,"")))</f>
        <v/>
      </c>
      <c r="W340" t="str">
        <f t="array" ref="W340">IF($Q340="","",_xlfn.TEXTJOIN(", ",TRUE,IF(JUN!$G36:$AK36="FE",JUN!$G$4:$AK$4,"")))</f>
        <v/>
      </c>
      <c r="X340" t="str">
        <f t="array" ref="X340">IF($Q340="","",_xlfn.TEXTJOIN(", ",TRUE,IF(JUL!$G36:$AK36="FE",JUL!$G$4:$AK$4,"")))</f>
        <v/>
      </c>
      <c r="Y340" t="str">
        <f t="array" ref="Y340">IF($Q340="","",_xlfn.TEXTJOIN(", ",TRUE,IF(AGO!$G36:$AK36="FE",AGO!$G$4:$AK$4,"")))</f>
        <v/>
      </c>
      <c r="Z340" t="str">
        <f t="array" ref="Z340">IF($Q340="","",_xlfn.TEXTJOIN(", ",TRUE,IF(SET!$G36:$AK36="FE",SET!$G$4:$AK$4,"")))</f>
        <v/>
      </c>
      <c r="AA340" t="str">
        <f t="array" ref="AA340">IF($Q340="","",_xlfn.TEXTJOIN(", ",TRUE,IF(OUT!$G36:$AK36="FE",OUT!$G$4:$AK$4,"")))</f>
        <v/>
      </c>
      <c r="AB340" t="str">
        <f t="array" ref="AB340">IF($Q340="","",_xlfn.TEXTJOIN(", ",TRUE,IF(NOV!$G36:$AK36="FE",NOV!$G$4:$AK$4,"")))</f>
        <v/>
      </c>
      <c r="AC340" t="str">
        <f t="array" ref="AC340">IF($Q340="","",_xlfn.TEXTJOIN(", ",TRUE,IF(DEZ!$G36:$AK36="FE",DEZ!$G$4:$AK$4,"")))</f>
        <v/>
      </c>
      <c r="AD340">
        <f>IF($Q340="","",COUNTIF(JAN!$G36:$AK36,"FE")+COUNTIF(FEV!$G36:$AK36,"FE")+COUNTIF(MAR!$G36:$AK36,"FE")+COUNTIF(ABR!$G36:$AK36,"FE")+COUNTIF(MAI!$G36:$AK36,"FE")+COUNTIF(JUN!$G36:$AK36,"FE")+COUNTIF(JUL!$G36:$AK36,"FE")+COUNTIF(AGO!$G36:$AK36,"FE")+COUNTIF(SET!$G36:$AK36,"FE")+COUNTIF(OUT!$G36:$AK36,"FE")+COUNTIF(NOV!$G36:$AK36,"FE")+COUNTIF(DEZ!$G36:$AK36,"FE"))</f>
        <v>0</v>
      </c>
      <c r="AF340" t="str">
        <f>IF(AND($Q340&lt;&gt;"",N($AD340)&gt;0),COUNT($AF$309:AF339)+1,"")</f>
        <v/>
      </c>
    </row>
    <row r="341" spans="1:32" ht="20.100000000000001" customHeight="1" x14ac:dyDescent="0.25">
      <c r="A341" s="36" t="str">
        <f>IFERROR(INDEX($Q$310:$Q$459,MATCH(ROWS($A$310:A341),$AF$310:$AF$459,0)),"")</f>
        <v/>
      </c>
      <c r="B341" s="72" t="str">
        <f>IFERROR(INDEX($R$310:$R$459,MATCH(ROWS($A$310:A341),$AF$310:$AF$459,0)),"")</f>
        <v/>
      </c>
      <c r="C341" s="72" t="str">
        <f>IFERROR(INDEX($S$310:$S$459,MATCH(ROWS($A$310:A341),$AF$310:$AF$459,0)),"")</f>
        <v/>
      </c>
      <c r="D341" s="72" t="str">
        <f>IFERROR(INDEX($T$310:$T$459,MATCH(ROWS($A$310:A341),$AF$310:$AF$459,0)),"")</f>
        <v/>
      </c>
      <c r="E341" s="72" t="str">
        <f>IFERROR(INDEX($U$310:$U$459,MATCH(ROWS($A$310:A341),$AF$310:$AF$459,0)),"")</f>
        <v/>
      </c>
      <c r="F341" s="72" t="str">
        <f>IFERROR(INDEX($V$310:$V$459,MATCH(ROWS($A$310:A341),$AF$310:$AF$459,0)),"")</f>
        <v/>
      </c>
      <c r="G341" s="72" t="str">
        <f>IFERROR(INDEX($W$310:$W$459,MATCH(ROWS($A$310:A341),$AF$310:$AF$459,0)),"")</f>
        <v/>
      </c>
      <c r="H341" s="72" t="str">
        <f>IFERROR(INDEX($X$310:$X$459,MATCH(ROWS($A$310:A341),$AF$310:$AF$459,0)),"")</f>
        <v/>
      </c>
      <c r="I341" s="72" t="str">
        <f>IFERROR(INDEX($Y$310:$Y$459,MATCH(ROWS($A$310:A341),$AF$310:$AF$459,0)),"")</f>
        <v/>
      </c>
      <c r="J341" s="72" t="str">
        <f>IFERROR(INDEX($Z$310:$Z$459,MATCH(ROWS($A$310:A341),$AF$310:$AF$459,0)),"")</f>
        <v/>
      </c>
      <c r="K341" s="72" t="str">
        <f>IFERROR(INDEX($AA$310:$AA$459,MATCH(ROWS($A$310:A341),$AF$310:$AF$459,0)),"")</f>
        <v/>
      </c>
      <c r="L341" s="72" t="str">
        <f>IFERROR(INDEX($AB$310:$AB$459,MATCH(ROWS($A$310:A341),$AF$310:$AF$459,0)),"")</f>
        <v/>
      </c>
      <c r="M341" s="72" t="str">
        <f>IFERROR(INDEX($AC$310:$AC$459,MATCH(ROWS($A$310:A341),$AF$310:$AF$459,0)),"")</f>
        <v/>
      </c>
      <c r="N341" s="35" t="str">
        <f>IFERROR(INDEX($AD$310:$AD$459,MATCH(ROWS($A$310:A341),$AF$310:$AF$459,0)),"")</f>
        <v/>
      </c>
      <c r="Q341" t="str">
        <f>T(JAN!B37)</f>
        <v>DIERRI SOUZA 166901</v>
      </c>
      <c r="R341" t="str">
        <f t="array" ref="R341">IF($Q341="","",_xlfn.TEXTJOIN(", ",TRUE,IF(JAN!$G37:$AK37="FE",JAN!$G$4:$AK$4,"")))</f>
        <v/>
      </c>
      <c r="S341" t="str">
        <f t="array" ref="S341">IF($Q341="","",_xlfn.TEXTJOIN(", ",TRUE,IF(FEV!$G37:$AK37="FE",FEV!$G$4:$AK$4,"")))</f>
        <v/>
      </c>
      <c r="T341" t="str">
        <f t="array" ref="T341">IF($Q341="","",_xlfn.TEXTJOIN(", ",TRUE,IF(MAR!$G37:$AK37="FE",MAR!$G$4:$AK$4,"")))</f>
        <v/>
      </c>
      <c r="U341" t="str">
        <f t="array" ref="U341">IF($Q341="","",_xlfn.TEXTJOIN(", ",TRUE,IF(ABR!$G37:$AK37="FE",ABR!$G$4:$AK$4,"")))</f>
        <v/>
      </c>
      <c r="V341" t="str">
        <f t="array" ref="V341">IF($Q341="","",_xlfn.TEXTJOIN(", ",TRUE,IF(MAI!$G37:$AK37="FE",MAI!$G$4:$AK$4,"")))</f>
        <v/>
      </c>
      <c r="W341" t="str">
        <f t="array" ref="W341">IF($Q341="","",_xlfn.TEXTJOIN(", ",TRUE,IF(JUN!$G37:$AK37="FE",JUN!$G$4:$AK$4,"")))</f>
        <v/>
      </c>
      <c r="X341" t="str">
        <f t="array" ref="X341">IF($Q341="","",_xlfn.TEXTJOIN(", ",TRUE,IF(JUL!$G37:$AK37="FE",JUL!$G$4:$AK$4,"")))</f>
        <v/>
      </c>
      <c r="Y341" t="str">
        <f t="array" ref="Y341">IF($Q341="","",_xlfn.TEXTJOIN(", ",TRUE,IF(AGO!$G37:$AK37="FE",AGO!$G$4:$AK$4,"")))</f>
        <v/>
      </c>
      <c r="Z341" t="str">
        <f t="array" ref="Z341">IF($Q341="","",_xlfn.TEXTJOIN(", ",TRUE,IF(SET!$G37:$AK37="FE",SET!$G$4:$AK$4,"")))</f>
        <v/>
      </c>
      <c r="AA341" t="str">
        <f t="array" ref="AA341">IF($Q341="","",_xlfn.TEXTJOIN(", ",TRUE,IF(OUT!$G37:$AK37="FE",OUT!$G$4:$AK$4,"")))</f>
        <v/>
      </c>
      <c r="AB341" t="str">
        <f t="array" ref="AB341">IF($Q341="","",_xlfn.TEXTJOIN(", ",TRUE,IF(NOV!$G37:$AK37="FE",NOV!$G$4:$AK$4,"")))</f>
        <v/>
      </c>
      <c r="AC341" t="str">
        <f t="array" ref="AC341">IF($Q341="","",_xlfn.TEXTJOIN(", ",TRUE,IF(DEZ!$G37:$AK37="FE",DEZ!$G$4:$AK$4,"")))</f>
        <v/>
      </c>
      <c r="AD341">
        <f>IF($Q341="","",COUNTIF(JAN!$G37:$AK37,"FE")+COUNTIF(FEV!$G37:$AK37,"FE")+COUNTIF(MAR!$G37:$AK37,"FE")+COUNTIF(ABR!$G37:$AK37,"FE")+COUNTIF(MAI!$G37:$AK37,"FE")+COUNTIF(JUN!$G37:$AK37,"FE")+COUNTIF(JUL!$G37:$AK37,"FE")+COUNTIF(AGO!$G37:$AK37,"FE")+COUNTIF(SET!$G37:$AK37,"FE")+COUNTIF(OUT!$G37:$AK37,"FE")+COUNTIF(NOV!$G37:$AK37,"FE")+COUNTIF(DEZ!$G37:$AK37,"FE"))</f>
        <v>0</v>
      </c>
      <c r="AF341" t="str">
        <f>IF(AND($Q341&lt;&gt;"",N($AD341)&gt;0),COUNT($AF$309:AF340)+1,"")</f>
        <v/>
      </c>
    </row>
    <row r="342" spans="1:32" ht="20.100000000000001" customHeight="1" x14ac:dyDescent="0.25">
      <c r="A342" s="36" t="str">
        <f>IFERROR(INDEX($Q$310:$Q$459,MATCH(ROWS($A$310:A342),$AF$310:$AF$459,0)),"")</f>
        <v/>
      </c>
      <c r="B342" s="72" t="str">
        <f>IFERROR(INDEX($R$310:$R$459,MATCH(ROWS($A$310:A342),$AF$310:$AF$459,0)),"")</f>
        <v/>
      </c>
      <c r="C342" s="72" t="str">
        <f>IFERROR(INDEX($S$310:$S$459,MATCH(ROWS($A$310:A342),$AF$310:$AF$459,0)),"")</f>
        <v/>
      </c>
      <c r="D342" s="72" t="str">
        <f>IFERROR(INDEX($T$310:$T$459,MATCH(ROWS($A$310:A342),$AF$310:$AF$459,0)),"")</f>
        <v/>
      </c>
      <c r="E342" s="72" t="str">
        <f>IFERROR(INDEX($U$310:$U$459,MATCH(ROWS($A$310:A342),$AF$310:$AF$459,0)),"")</f>
        <v/>
      </c>
      <c r="F342" s="72" t="str">
        <f>IFERROR(INDEX($V$310:$V$459,MATCH(ROWS($A$310:A342),$AF$310:$AF$459,0)),"")</f>
        <v/>
      </c>
      <c r="G342" s="72" t="str">
        <f>IFERROR(INDEX($W$310:$W$459,MATCH(ROWS($A$310:A342),$AF$310:$AF$459,0)),"")</f>
        <v/>
      </c>
      <c r="H342" s="72" t="str">
        <f>IFERROR(INDEX($X$310:$X$459,MATCH(ROWS($A$310:A342),$AF$310:$AF$459,0)),"")</f>
        <v/>
      </c>
      <c r="I342" s="72" t="str">
        <f>IFERROR(INDEX($Y$310:$Y$459,MATCH(ROWS($A$310:A342),$AF$310:$AF$459,0)),"")</f>
        <v/>
      </c>
      <c r="J342" s="72" t="str">
        <f>IFERROR(INDEX($Z$310:$Z$459,MATCH(ROWS($A$310:A342),$AF$310:$AF$459,0)),"")</f>
        <v/>
      </c>
      <c r="K342" s="72" t="str">
        <f>IFERROR(INDEX($AA$310:$AA$459,MATCH(ROWS($A$310:A342),$AF$310:$AF$459,0)),"")</f>
        <v/>
      </c>
      <c r="L342" s="72" t="str">
        <f>IFERROR(INDEX($AB$310:$AB$459,MATCH(ROWS($A$310:A342),$AF$310:$AF$459,0)),"")</f>
        <v/>
      </c>
      <c r="M342" s="72" t="str">
        <f>IFERROR(INDEX($AC$310:$AC$459,MATCH(ROWS($A$310:A342),$AF$310:$AF$459,0)),"")</f>
        <v/>
      </c>
      <c r="N342" s="35" t="str">
        <f>IFERROR(INDEX($AD$310:$AD$459,MATCH(ROWS($A$310:A342),$AF$310:$AF$459,0)),"")</f>
        <v/>
      </c>
      <c r="Q342" t="str">
        <f>T(JAN!B38)</f>
        <v>JOSIMAR ROCHA 390801</v>
      </c>
      <c r="R342" t="str">
        <f t="array" ref="R342">IF($Q342="","",_xlfn.TEXTJOIN(", ",TRUE,IF(JAN!$G38:$AK38="FE",JAN!$G$4:$AK$4,"")))</f>
        <v/>
      </c>
      <c r="S342" t="str">
        <f t="array" ref="S342">IF($Q342="","",_xlfn.TEXTJOIN(", ",TRUE,IF(FEV!$G38:$AK38="FE",FEV!$G$4:$AK$4,"")))</f>
        <v/>
      </c>
      <c r="T342" t="str">
        <f t="array" ref="T342">IF($Q342="","",_xlfn.TEXTJOIN(", ",TRUE,IF(MAR!$G38:$AK38="FE",MAR!$G$4:$AK$4,"")))</f>
        <v/>
      </c>
      <c r="U342" t="str">
        <f t="array" ref="U342">IF($Q342="","",_xlfn.TEXTJOIN(", ",TRUE,IF(ABR!$G38:$AK38="FE",ABR!$G$4:$AK$4,"")))</f>
        <v/>
      </c>
      <c r="V342" t="str">
        <f t="array" ref="V342">IF($Q342="","",_xlfn.TEXTJOIN(", ",TRUE,IF(MAI!$G38:$AK38="FE",MAI!$G$4:$AK$4,"")))</f>
        <v/>
      </c>
      <c r="W342" t="str">
        <f t="array" ref="W342">IF($Q342="","",_xlfn.TEXTJOIN(", ",TRUE,IF(JUN!$G38:$AK38="FE",JUN!$G$4:$AK$4,"")))</f>
        <v/>
      </c>
      <c r="X342" t="str">
        <f t="array" ref="X342">IF($Q342="","",_xlfn.TEXTJOIN(", ",TRUE,IF(JUL!$G38:$AK38="FE",JUL!$G$4:$AK$4,"")))</f>
        <v/>
      </c>
      <c r="Y342" t="str">
        <f t="array" ref="Y342">IF($Q342="","",_xlfn.TEXTJOIN(", ",TRUE,IF(AGO!$G38:$AK38="FE",AGO!$G$4:$AK$4,"")))</f>
        <v/>
      </c>
      <c r="Z342" t="str">
        <f t="array" ref="Z342">IF($Q342="","",_xlfn.TEXTJOIN(", ",TRUE,IF(SET!$G38:$AK38="FE",SET!$G$4:$AK$4,"")))</f>
        <v/>
      </c>
      <c r="AA342" t="str">
        <f t="array" ref="AA342">IF($Q342="","",_xlfn.TEXTJOIN(", ",TRUE,IF(OUT!$G38:$AK38="FE",OUT!$G$4:$AK$4,"")))</f>
        <v/>
      </c>
      <c r="AB342" t="str">
        <f t="array" ref="AB342">IF($Q342="","",_xlfn.TEXTJOIN(", ",TRUE,IF(NOV!$G38:$AK38="FE",NOV!$G$4:$AK$4,"")))</f>
        <v/>
      </c>
      <c r="AC342" t="str">
        <f t="array" ref="AC342">IF($Q342="","",_xlfn.TEXTJOIN(", ",TRUE,IF(DEZ!$G38:$AK38="FE",DEZ!$G$4:$AK$4,"")))</f>
        <v/>
      </c>
      <c r="AD342">
        <f>IF($Q342="","",COUNTIF(JAN!$G38:$AK38,"FE")+COUNTIF(FEV!$G38:$AK38,"FE")+COUNTIF(MAR!$G38:$AK38,"FE")+COUNTIF(ABR!$G38:$AK38,"FE")+COUNTIF(MAI!$G38:$AK38,"FE")+COUNTIF(JUN!$G38:$AK38,"FE")+COUNTIF(JUL!$G38:$AK38,"FE")+COUNTIF(AGO!$G38:$AK38,"FE")+COUNTIF(SET!$G38:$AK38,"FE")+COUNTIF(OUT!$G38:$AK38,"FE")+COUNTIF(NOV!$G38:$AK38,"FE")+COUNTIF(DEZ!$G38:$AK38,"FE"))</f>
        <v>0</v>
      </c>
      <c r="AF342" t="str">
        <f>IF(AND($Q342&lt;&gt;"",N($AD342)&gt;0),COUNT($AF$309:AF341)+1,"")</f>
        <v/>
      </c>
    </row>
    <row r="343" spans="1:32" ht="20.100000000000001" customHeight="1" x14ac:dyDescent="0.25">
      <c r="A343" s="36" t="str">
        <f>IFERROR(INDEX($Q$310:$Q$459,MATCH(ROWS($A$310:A343),$AF$310:$AF$459,0)),"")</f>
        <v/>
      </c>
      <c r="B343" s="72" t="str">
        <f>IFERROR(INDEX($R$310:$R$459,MATCH(ROWS($A$310:A343),$AF$310:$AF$459,0)),"")</f>
        <v/>
      </c>
      <c r="C343" s="72" t="str">
        <f>IFERROR(INDEX($S$310:$S$459,MATCH(ROWS($A$310:A343),$AF$310:$AF$459,0)),"")</f>
        <v/>
      </c>
      <c r="D343" s="72" t="str">
        <f>IFERROR(INDEX($T$310:$T$459,MATCH(ROWS($A$310:A343),$AF$310:$AF$459,0)),"")</f>
        <v/>
      </c>
      <c r="E343" s="72" t="str">
        <f>IFERROR(INDEX($U$310:$U$459,MATCH(ROWS($A$310:A343),$AF$310:$AF$459,0)),"")</f>
        <v/>
      </c>
      <c r="F343" s="72" t="str">
        <f>IFERROR(INDEX($V$310:$V$459,MATCH(ROWS($A$310:A343),$AF$310:$AF$459,0)),"")</f>
        <v/>
      </c>
      <c r="G343" s="72" t="str">
        <f>IFERROR(INDEX($W$310:$W$459,MATCH(ROWS($A$310:A343),$AF$310:$AF$459,0)),"")</f>
        <v/>
      </c>
      <c r="H343" s="72" t="str">
        <f>IFERROR(INDEX($X$310:$X$459,MATCH(ROWS($A$310:A343),$AF$310:$AF$459,0)),"")</f>
        <v/>
      </c>
      <c r="I343" s="72" t="str">
        <f>IFERROR(INDEX($Y$310:$Y$459,MATCH(ROWS($A$310:A343),$AF$310:$AF$459,0)),"")</f>
        <v/>
      </c>
      <c r="J343" s="72" t="str">
        <f>IFERROR(INDEX($Z$310:$Z$459,MATCH(ROWS($A$310:A343),$AF$310:$AF$459,0)),"")</f>
        <v/>
      </c>
      <c r="K343" s="72" t="str">
        <f>IFERROR(INDEX($AA$310:$AA$459,MATCH(ROWS($A$310:A343),$AF$310:$AF$459,0)),"")</f>
        <v/>
      </c>
      <c r="L343" s="72" t="str">
        <f>IFERROR(INDEX($AB$310:$AB$459,MATCH(ROWS($A$310:A343),$AF$310:$AF$459,0)),"")</f>
        <v/>
      </c>
      <c r="M343" s="72" t="str">
        <f>IFERROR(INDEX($AC$310:$AC$459,MATCH(ROWS($A$310:A343),$AF$310:$AF$459,0)),"")</f>
        <v/>
      </c>
      <c r="N343" s="35" t="str">
        <f>IFERROR(INDEX($AD$310:$AD$459,MATCH(ROWS($A$310:A343),$AF$310:$AF$459,0)),"")</f>
        <v/>
      </c>
      <c r="Q343" t="str">
        <f>T(JAN!B39)</f>
        <v>JONATHAM DALAZEM 517501</v>
      </c>
      <c r="R343" t="str">
        <f t="array" ref="R343">IF($Q343="","",_xlfn.TEXTJOIN(", ",TRUE,IF(JAN!$G39:$AK39="FE",JAN!$G$4:$AK$4,"")))</f>
        <v/>
      </c>
      <c r="S343" t="str">
        <f t="array" ref="S343">IF($Q343="","",_xlfn.TEXTJOIN(", ",TRUE,IF(FEV!$G39:$AK39="FE",FEV!$G$4:$AK$4,"")))</f>
        <v/>
      </c>
      <c r="T343" t="str">
        <f t="array" ref="T343">IF($Q343="","",_xlfn.TEXTJOIN(", ",TRUE,IF(MAR!$G39:$AK39="FE",MAR!$G$4:$AK$4,"")))</f>
        <v/>
      </c>
      <c r="U343" t="str">
        <f t="array" ref="U343">IF($Q343="","",_xlfn.TEXTJOIN(", ",TRUE,IF(ABR!$G39:$AK39="FE",ABR!$G$4:$AK$4,"")))</f>
        <v/>
      </c>
      <c r="V343" t="str">
        <f t="array" ref="V343">IF($Q343="","",_xlfn.TEXTJOIN(", ",TRUE,IF(MAI!$G39:$AK39="FE",MAI!$G$4:$AK$4,"")))</f>
        <v/>
      </c>
      <c r="W343" t="str">
        <f t="array" ref="W343">IF($Q343="","",_xlfn.TEXTJOIN(", ",TRUE,IF(JUN!$G39:$AK39="FE",JUN!$G$4:$AK$4,"")))</f>
        <v/>
      </c>
      <c r="X343" t="str">
        <f t="array" ref="X343">IF($Q343="","",_xlfn.TEXTJOIN(", ",TRUE,IF(JUL!$G39:$AK39="FE",JUL!$G$4:$AK$4,"")))</f>
        <v/>
      </c>
      <c r="Y343" t="str">
        <f t="array" ref="Y343">IF($Q343="","",_xlfn.TEXTJOIN(", ",TRUE,IF(AGO!$G39:$AK39="FE",AGO!$G$4:$AK$4,"")))</f>
        <v/>
      </c>
      <c r="Z343" t="str">
        <f t="array" ref="Z343">IF($Q343="","",_xlfn.TEXTJOIN(", ",TRUE,IF(SET!$G39:$AK39="FE",SET!$G$4:$AK$4,"")))</f>
        <v/>
      </c>
      <c r="AA343" t="str">
        <f t="array" ref="AA343">IF($Q343="","",_xlfn.TEXTJOIN(", ",TRUE,IF(OUT!$G39:$AK39="FE",OUT!$G$4:$AK$4,"")))</f>
        <v/>
      </c>
      <c r="AB343" t="str">
        <f t="array" ref="AB343">IF($Q343="","",_xlfn.TEXTJOIN(", ",TRUE,IF(NOV!$G39:$AK39="FE",NOV!$G$4:$AK$4,"")))</f>
        <v/>
      </c>
      <c r="AC343" t="str">
        <f t="array" ref="AC343">IF($Q343="","",_xlfn.TEXTJOIN(", ",TRUE,IF(DEZ!$G39:$AK39="FE",DEZ!$G$4:$AK$4,"")))</f>
        <v/>
      </c>
      <c r="AD343">
        <f>IF($Q343="","",COUNTIF(JAN!$G39:$AK39,"FE")+COUNTIF(FEV!$G39:$AK39,"FE")+COUNTIF(MAR!$G39:$AK39,"FE")+COUNTIF(ABR!$G39:$AK39,"FE")+COUNTIF(MAI!$G39:$AK39,"FE")+COUNTIF(JUN!$G39:$AK39,"FE")+COUNTIF(JUL!$G39:$AK39,"FE")+COUNTIF(AGO!$G39:$AK39,"FE")+COUNTIF(SET!$G39:$AK39,"FE")+COUNTIF(OUT!$G39:$AK39,"FE")+COUNTIF(NOV!$G39:$AK39,"FE")+COUNTIF(DEZ!$G39:$AK39,"FE"))</f>
        <v>0</v>
      </c>
      <c r="AF343" t="str">
        <f>IF(AND($Q343&lt;&gt;"",N($AD343)&gt;0),COUNT($AF$309:AF342)+1,"")</f>
        <v/>
      </c>
    </row>
    <row r="344" spans="1:32" ht="20.100000000000001" customHeight="1" x14ac:dyDescent="0.25">
      <c r="A344" s="36" t="str">
        <f>IFERROR(INDEX($Q$310:$Q$459,MATCH(ROWS($A$310:A344),$AF$310:$AF$459,0)),"")</f>
        <v/>
      </c>
      <c r="B344" s="72" t="str">
        <f>IFERROR(INDEX($R$310:$R$459,MATCH(ROWS($A$310:A344),$AF$310:$AF$459,0)),"")</f>
        <v/>
      </c>
      <c r="C344" s="72" t="str">
        <f>IFERROR(INDEX($S$310:$S$459,MATCH(ROWS($A$310:A344),$AF$310:$AF$459,0)),"")</f>
        <v/>
      </c>
      <c r="D344" s="72" t="str">
        <f>IFERROR(INDEX($T$310:$T$459,MATCH(ROWS($A$310:A344),$AF$310:$AF$459,0)),"")</f>
        <v/>
      </c>
      <c r="E344" s="72" t="str">
        <f>IFERROR(INDEX($U$310:$U$459,MATCH(ROWS($A$310:A344),$AF$310:$AF$459,0)),"")</f>
        <v/>
      </c>
      <c r="F344" s="72" t="str">
        <f>IFERROR(INDEX($V$310:$V$459,MATCH(ROWS($A$310:A344),$AF$310:$AF$459,0)),"")</f>
        <v/>
      </c>
      <c r="G344" s="72" t="str">
        <f>IFERROR(INDEX($W$310:$W$459,MATCH(ROWS($A$310:A344),$AF$310:$AF$459,0)),"")</f>
        <v/>
      </c>
      <c r="H344" s="72" t="str">
        <f>IFERROR(INDEX($X$310:$X$459,MATCH(ROWS($A$310:A344),$AF$310:$AF$459,0)),"")</f>
        <v/>
      </c>
      <c r="I344" s="72" t="str">
        <f>IFERROR(INDEX($Y$310:$Y$459,MATCH(ROWS($A$310:A344),$AF$310:$AF$459,0)),"")</f>
        <v/>
      </c>
      <c r="J344" s="72" t="str">
        <f>IFERROR(INDEX($Z$310:$Z$459,MATCH(ROWS($A$310:A344),$AF$310:$AF$459,0)),"")</f>
        <v/>
      </c>
      <c r="K344" s="72" t="str">
        <f>IFERROR(INDEX($AA$310:$AA$459,MATCH(ROWS($A$310:A344),$AF$310:$AF$459,0)),"")</f>
        <v/>
      </c>
      <c r="L344" s="72" t="str">
        <f>IFERROR(INDEX($AB$310:$AB$459,MATCH(ROWS($A$310:A344),$AF$310:$AF$459,0)),"")</f>
        <v/>
      </c>
      <c r="M344" s="72" t="str">
        <f>IFERROR(INDEX($AC$310:$AC$459,MATCH(ROWS($A$310:A344),$AF$310:$AF$459,0)),"")</f>
        <v/>
      </c>
      <c r="N344" s="35" t="str">
        <f>IFERROR(INDEX($AD$310:$AD$459,MATCH(ROWS($A$310:A344),$AF$310:$AF$459,0)),"")</f>
        <v/>
      </c>
      <c r="Q344" t="str">
        <f>T(JAN!B40)</f>
        <v>LUCAS PEREIRA 37002099</v>
      </c>
      <c r="R344" t="str">
        <f t="array" ref="R344">IF($Q344="","",_xlfn.TEXTJOIN(", ",TRUE,IF(JAN!$G40:$AK40="FE",JAN!$G$4:$AK$4,"")))</f>
        <v/>
      </c>
      <c r="S344" t="str">
        <f t="array" ref="S344">IF($Q344="","",_xlfn.TEXTJOIN(", ",TRUE,IF(FEV!$G40:$AK40="FE",FEV!$G$4:$AK$4,"")))</f>
        <v/>
      </c>
      <c r="T344" t="str">
        <f t="array" ref="T344">IF($Q344="","",_xlfn.TEXTJOIN(", ",TRUE,IF(MAR!$G40:$AK40="FE",MAR!$G$4:$AK$4,"")))</f>
        <v/>
      </c>
      <c r="U344" t="str">
        <f t="array" ref="U344">IF($Q344="","",_xlfn.TEXTJOIN(", ",TRUE,IF(ABR!$G40:$AK40="FE",ABR!$G$4:$AK$4,"")))</f>
        <v/>
      </c>
      <c r="V344" t="str">
        <f t="array" ref="V344">IF($Q344="","",_xlfn.TEXTJOIN(", ",TRUE,IF(MAI!$G40:$AK40="FE",MAI!$G$4:$AK$4,"")))</f>
        <v/>
      </c>
      <c r="W344" t="str">
        <f t="array" ref="W344">IF($Q344="","",_xlfn.TEXTJOIN(", ",TRUE,IF(JUN!$G40:$AK40="FE",JUN!$G$4:$AK$4,"")))</f>
        <v/>
      </c>
      <c r="X344" t="str">
        <f t="array" ref="X344">IF($Q344="","",_xlfn.TEXTJOIN(", ",TRUE,IF(JUL!$G40:$AK40="FE",JUL!$G$4:$AK$4,"")))</f>
        <v/>
      </c>
      <c r="Y344" t="str">
        <f t="array" ref="Y344">IF($Q344="","",_xlfn.TEXTJOIN(", ",TRUE,IF(AGO!$G40:$AK40="FE",AGO!$G$4:$AK$4,"")))</f>
        <v/>
      </c>
      <c r="Z344" t="str">
        <f t="array" ref="Z344">IF($Q344="","",_xlfn.TEXTJOIN(", ",TRUE,IF(SET!$G40:$AK40="FE",SET!$G$4:$AK$4,"")))</f>
        <v/>
      </c>
      <c r="AA344" t="str">
        <f t="array" ref="AA344">IF($Q344="","",_xlfn.TEXTJOIN(", ",TRUE,IF(OUT!$G40:$AK40="FE",OUT!$G$4:$AK$4,"")))</f>
        <v/>
      </c>
      <c r="AB344" t="str">
        <f t="array" ref="AB344">IF($Q344="","",_xlfn.TEXTJOIN(", ",TRUE,IF(NOV!$G40:$AK40="FE",NOV!$G$4:$AK$4,"")))</f>
        <v/>
      </c>
      <c r="AC344" t="str">
        <f t="array" ref="AC344">IF($Q344="","",_xlfn.TEXTJOIN(", ",TRUE,IF(DEZ!$G40:$AK40="FE",DEZ!$G$4:$AK$4,"")))</f>
        <v/>
      </c>
      <c r="AD344">
        <f>IF($Q344="","",COUNTIF(JAN!$G40:$AK40,"FE")+COUNTIF(FEV!$G40:$AK40,"FE")+COUNTIF(MAR!$G40:$AK40,"FE")+COUNTIF(ABR!$G40:$AK40,"FE")+COUNTIF(MAI!$G40:$AK40,"FE")+COUNTIF(JUN!$G40:$AK40,"FE")+COUNTIF(JUL!$G40:$AK40,"FE")+COUNTIF(AGO!$G40:$AK40,"FE")+COUNTIF(SET!$G40:$AK40,"FE")+COUNTIF(OUT!$G40:$AK40,"FE")+COUNTIF(NOV!$G40:$AK40,"FE")+COUNTIF(DEZ!$G40:$AK40,"FE"))</f>
        <v>0</v>
      </c>
      <c r="AF344" t="str">
        <f>IF(AND($Q344&lt;&gt;"",N($AD344)&gt;0),COUNT($AF$309:AF343)+1,"")</f>
        <v/>
      </c>
    </row>
    <row r="345" spans="1:32" ht="20.100000000000001" customHeight="1" x14ac:dyDescent="0.25">
      <c r="A345" s="36" t="str">
        <f>IFERROR(INDEX($Q$310:$Q$459,MATCH(ROWS($A$310:A345),$AF$310:$AF$459,0)),"")</f>
        <v/>
      </c>
      <c r="B345" s="72" t="str">
        <f>IFERROR(INDEX($R$310:$R$459,MATCH(ROWS($A$310:A345),$AF$310:$AF$459,0)),"")</f>
        <v/>
      </c>
      <c r="C345" s="72" t="str">
        <f>IFERROR(INDEX($S$310:$S$459,MATCH(ROWS($A$310:A345),$AF$310:$AF$459,0)),"")</f>
        <v/>
      </c>
      <c r="D345" s="72" t="str">
        <f>IFERROR(INDEX($T$310:$T$459,MATCH(ROWS($A$310:A345),$AF$310:$AF$459,0)),"")</f>
        <v/>
      </c>
      <c r="E345" s="72" t="str">
        <f>IFERROR(INDEX($U$310:$U$459,MATCH(ROWS($A$310:A345),$AF$310:$AF$459,0)),"")</f>
        <v/>
      </c>
      <c r="F345" s="72" t="str">
        <f>IFERROR(INDEX($V$310:$V$459,MATCH(ROWS($A$310:A345),$AF$310:$AF$459,0)),"")</f>
        <v/>
      </c>
      <c r="G345" s="72" t="str">
        <f>IFERROR(INDEX($W$310:$W$459,MATCH(ROWS($A$310:A345),$AF$310:$AF$459,0)),"")</f>
        <v/>
      </c>
      <c r="H345" s="72" t="str">
        <f>IFERROR(INDEX($X$310:$X$459,MATCH(ROWS($A$310:A345),$AF$310:$AF$459,0)),"")</f>
        <v/>
      </c>
      <c r="I345" s="72" t="str">
        <f>IFERROR(INDEX($Y$310:$Y$459,MATCH(ROWS($A$310:A345),$AF$310:$AF$459,0)),"")</f>
        <v/>
      </c>
      <c r="J345" s="72" t="str">
        <f>IFERROR(INDEX($Z$310:$Z$459,MATCH(ROWS($A$310:A345),$AF$310:$AF$459,0)),"")</f>
        <v/>
      </c>
      <c r="K345" s="72" t="str">
        <f>IFERROR(INDEX($AA$310:$AA$459,MATCH(ROWS($A$310:A345),$AF$310:$AF$459,0)),"")</f>
        <v/>
      </c>
      <c r="L345" s="72" t="str">
        <f>IFERROR(INDEX($AB$310:$AB$459,MATCH(ROWS($A$310:A345),$AF$310:$AF$459,0)),"")</f>
        <v/>
      </c>
      <c r="M345" s="72" t="str">
        <f>IFERROR(INDEX($AC$310:$AC$459,MATCH(ROWS($A$310:A345),$AF$310:$AF$459,0)),"")</f>
        <v/>
      </c>
      <c r="N345" s="35" t="str">
        <f>IFERROR(INDEX($AD$310:$AD$459,MATCH(ROWS($A$310:A345),$AF$310:$AF$459,0)),"")</f>
        <v/>
      </c>
      <c r="Q345" t="str">
        <f>T(JAN!B41)</f>
        <v>LUCIANO GROSS 37002144</v>
      </c>
      <c r="R345" t="str">
        <f t="array" ref="R345">IF($Q345="","",_xlfn.TEXTJOIN(", ",TRUE,IF(JAN!$G41:$AK41="FE",JAN!$G$4:$AK$4,"")))</f>
        <v/>
      </c>
      <c r="S345" t="str">
        <f t="array" ref="S345">IF($Q345="","",_xlfn.TEXTJOIN(", ",TRUE,IF(FEV!$G41:$AK41="FE",FEV!$G$4:$AK$4,"")))</f>
        <v/>
      </c>
      <c r="T345" t="str">
        <f t="array" ref="T345">IF($Q345="","",_xlfn.TEXTJOIN(", ",TRUE,IF(MAR!$G41:$AK41="FE",MAR!$G$4:$AK$4,"")))</f>
        <v/>
      </c>
      <c r="U345" t="str">
        <f t="array" ref="U345">IF($Q345="","",_xlfn.TEXTJOIN(", ",TRUE,IF(ABR!$G41:$AK41="FE",ABR!$G$4:$AK$4,"")))</f>
        <v/>
      </c>
      <c r="V345" t="str">
        <f t="array" ref="V345">IF($Q345="","",_xlfn.TEXTJOIN(", ",TRUE,IF(MAI!$G41:$AK41="FE",MAI!$G$4:$AK$4,"")))</f>
        <v/>
      </c>
      <c r="W345" t="str">
        <f t="array" ref="W345">IF($Q345="","",_xlfn.TEXTJOIN(", ",TRUE,IF(JUN!$G41:$AK41="FE",JUN!$G$4:$AK$4,"")))</f>
        <v/>
      </c>
      <c r="X345" t="str">
        <f t="array" ref="X345">IF($Q345="","",_xlfn.TEXTJOIN(", ",TRUE,IF(JUL!$G41:$AK41="FE",JUL!$G$4:$AK$4,"")))</f>
        <v/>
      </c>
      <c r="Y345" t="str">
        <f t="array" ref="Y345">IF($Q345="","",_xlfn.TEXTJOIN(", ",TRUE,IF(AGO!$G41:$AK41="FE",AGO!$G$4:$AK$4,"")))</f>
        <v/>
      </c>
      <c r="Z345" t="str">
        <f t="array" ref="Z345">IF($Q345="","",_xlfn.TEXTJOIN(", ",TRUE,IF(SET!$G41:$AK41="FE",SET!$G$4:$AK$4,"")))</f>
        <v/>
      </c>
      <c r="AA345" t="str">
        <f t="array" ref="AA345">IF($Q345="","",_xlfn.TEXTJOIN(", ",TRUE,IF(OUT!$G41:$AK41="FE",OUT!$G$4:$AK$4,"")))</f>
        <v/>
      </c>
      <c r="AB345" t="str">
        <f t="array" ref="AB345">IF($Q345="","",_xlfn.TEXTJOIN(", ",TRUE,IF(NOV!$G41:$AK41="FE",NOV!$G$4:$AK$4,"")))</f>
        <v/>
      </c>
      <c r="AC345" t="str">
        <f t="array" ref="AC345">IF($Q345="","",_xlfn.TEXTJOIN(", ",TRUE,IF(DEZ!$G41:$AK41="FE",DEZ!$G$4:$AK$4,"")))</f>
        <v/>
      </c>
      <c r="AD345">
        <f>IF($Q345="","",COUNTIF(JAN!$G41:$AK41,"FE")+COUNTIF(FEV!$G41:$AK41,"FE")+COUNTIF(MAR!$G41:$AK41,"FE")+COUNTIF(ABR!$G41:$AK41,"FE")+COUNTIF(MAI!$G41:$AK41,"FE")+COUNTIF(JUN!$G41:$AK41,"FE")+COUNTIF(JUL!$G41:$AK41,"FE")+COUNTIF(AGO!$G41:$AK41,"FE")+COUNTIF(SET!$G41:$AK41,"FE")+COUNTIF(OUT!$G41:$AK41,"FE")+COUNTIF(NOV!$G41:$AK41,"FE")+COUNTIF(DEZ!$G41:$AK41,"FE"))</f>
        <v>0</v>
      </c>
      <c r="AF345" t="str">
        <f>IF(AND($Q345&lt;&gt;"",N($AD345)&gt;0),COUNT($AF$309:AF344)+1,"")</f>
        <v/>
      </c>
    </row>
    <row r="346" spans="1:32" ht="20.100000000000001" customHeight="1" x14ac:dyDescent="0.25">
      <c r="A346" s="36" t="str">
        <f>IFERROR(INDEX($Q$310:$Q$459,MATCH(ROWS($A$310:A346),$AF$310:$AF$459,0)),"")</f>
        <v/>
      </c>
      <c r="B346" s="72" t="str">
        <f>IFERROR(INDEX($R$310:$R$459,MATCH(ROWS($A$310:A346),$AF$310:$AF$459,0)),"")</f>
        <v/>
      </c>
      <c r="C346" s="72" t="str">
        <f>IFERROR(INDEX($S$310:$S$459,MATCH(ROWS($A$310:A346),$AF$310:$AF$459,0)),"")</f>
        <v/>
      </c>
      <c r="D346" s="72" t="str">
        <f>IFERROR(INDEX($T$310:$T$459,MATCH(ROWS($A$310:A346),$AF$310:$AF$459,0)),"")</f>
        <v/>
      </c>
      <c r="E346" s="72" t="str">
        <f>IFERROR(INDEX($U$310:$U$459,MATCH(ROWS($A$310:A346),$AF$310:$AF$459,0)),"")</f>
        <v/>
      </c>
      <c r="F346" s="72" t="str">
        <f>IFERROR(INDEX($V$310:$V$459,MATCH(ROWS($A$310:A346),$AF$310:$AF$459,0)),"")</f>
        <v/>
      </c>
      <c r="G346" s="72" t="str">
        <f>IFERROR(INDEX($W$310:$W$459,MATCH(ROWS($A$310:A346),$AF$310:$AF$459,0)),"")</f>
        <v/>
      </c>
      <c r="H346" s="72" t="str">
        <f>IFERROR(INDEX($X$310:$X$459,MATCH(ROWS($A$310:A346),$AF$310:$AF$459,0)),"")</f>
        <v/>
      </c>
      <c r="I346" s="72" t="str">
        <f>IFERROR(INDEX($Y$310:$Y$459,MATCH(ROWS($A$310:A346),$AF$310:$AF$459,0)),"")</f>
        <v/>
      </c>
      <c r="J346" s="72" t="str">
        <f>IFERROR(INDEX($Z$310:$Z$459,MATCH(ROWS($A$310:A346),$AF$310:$AF$459,0)),"")</f>
        <v/>
      </c>
      <c r="K346" s="72" t="str">
        <f>IFERROR(INDEX($AA$310:$AA$459,MATCH(ROWS($A$310:A346),$AF$310:$AF$459,0)),"")</f>
        <v/>
      </c>
      <c r="L346" s="72" t="str">
        <f>IFERROR(INDEX($AB$310:$AB$459,MATCH(ROWS($A$310:A346),$AF$310:$AF$459,0)),"")</f>
        <v/>
      </c>
      <c r="M346" s="72" t="str">
        <f>IFERROR(INDEX($AC$310:$AC$459,MATCH(ROWS($A$310:A346),$AF$310:$AF$459,0)),"")</f>
        <v/>
      </c>
      <c r="N346" s="35" t="str">
        <f>IFERROR(INDEX($AD$310:$AD$459,MATCH(ROWS($A$310:A346),$AF$310:$AF$459,0)),"")</f>
        <v/>
      </c>
      <c r="Q346" t="str">
        <f>T(JAN!B42)</f>
        <v>UILIAN NOGUEIRA 483101</v>
      </c>
      <c r="R346" t="str">
        <f t="array" ref="R346">IF($Q346="","",_xlfn.TEXTJOIN(", ",TRUE,IF(JAN!$G42:$AK42="FE",JAN!$G$4:$AK$4,"")))</f>
        <v/>
      </c>
      <c r="S346" t="str">
        <f t="array" ref="S346">IF($Q346="","",_xlfn.TEXTJOIN(", ",TRUE,IF(FEV!$G42:$AK42="FE",FEV!$G$4:$AK$4,"")))</f>
        <v/>
      </c>
      <c r="T346" t="str">
        <f t="array" ref="T346">IF($Q346="","",_xlfn.TEXTJOIN(", ",TRUE,IF(MAR!$G42:$AK42="FE",MAR!$G$4:$AK$4,"")))</f>
        <v/>
      </c>
      <c r="U346" t="str">
        <f t="array" ref="U346">IF($Q346="","",_xlfn.TEXTJOIN(", ",TRUE,IF(ABR!$G42:$AK42="FE",ABR!$G$4:$AK$4,"")))</f>
        <v/>
      </c>
      <c r="V346" t="str">
        <f t="array" ref="V346">IF($Q346="","",_xlfn.TEXTJOIN(", ",TRUE,IF(MAI!$G42:$AK42="FE",MAI!$G$4:$AK$4,"")))</f>
        <v/>
      </c>
      <c r="W346" t="str">
        <f t="array" ref="W346">IF($Q346="","",_xlfn.TEXTJOIN(", ",TRUE,IF(JUN!$G42:$AK42="FE",JUN!$G$4:$AK$4,"")))</f>
        <v/>
      </c>
      <c r="X346" t="str">
        <f t="array" ref="X346">IF($Q346="","",_xlfn.TEXTJOIN(", ",TRUE,IF(JUL!$G42:$AK42="FE",JUL!$G$4:$AK$4,"")))</f>
        <v/>
      </c>
      <c r="Y346" t="str">
        <f t="array" ref="Y346">IF($Q346="","",_xlfn.TEXTJOIN(", ",TRUE,IF(AGO!$G42:$AK42="FE",AGO!$G$4:$AK$4,"")))</f>
        <v/>
      </c>
      <c r="Z346" t="str">
        <f t="array" ref="Z346">IF($Q346="","",_xlfn.TEXTJOIN(", ",TRUE,IF(SET!$G42:$AK42="FE",SET!$G$4:$AK$4,"")))</f>
        <v/>
      </c>
      <c r="AA346" t="str">
        <f t="array" ref="AA346">IF($Q346="","",_xlfn.TEXTJOIN(", ",TRUE,IF(OUT!$G42:$AK42="FE",OUT!$G$4:$AK$4,"")))</f>
        <v/>
      </c>
      <c r="AB346" t="str">
        <f t="array" ref="AB346">IF($Q346="","",_xlfn.TEXTJOIN(", ",TRUE,IF(NOV!$G42:$AK42="FE",NOV!$G$4:$AK$4,"")))</f>
        <v/>
      </c>
      <c r="AC346" t="str">
        <f t="array" ref="AC346">IF($Q346="","",_xlfn.TEXTJOIN(", ",TRUE,IF(DEZ!$G42:$AK42="FE",DEZ!$G$4:$AK$4,"")))</f>
        <v/>
      </c>
      <c r="AD346">
        <f>IF($Q346="","",COUNTIF(JAN!$G42:$AK42,"FE")+COUNTIF(FEV!$G42:$AK42,"FE")+COUNTIF(MAR!$G42:$AK42,"FE")+COUNTIF(ABR!$G42:$AK42,"FE")+COUNTIF(MAI!$G42:$AK42,"FE")+COUNTIF(JUN!$G42:$AK42,"FE")+COUNTIF(JUL!$G42:$AK42,"FE")+COUNTIF(AGO!$G42:$AK42,"FE")+COUNTIF(SET!$G42:$AK42,"FE")+COUNTIF(OUT!$G42:$AK42,"FE")+COUNTIF(NOV!$G42:$AK42,"FE")+COUNTIF(DEZ!$G42:$AK42,"FE"))</f>
        <v>0</v>
      </c>
      <c r="AF346" t="str">
        <f>IF(AND($Q346&lt;&gt;"",N($AD346)&gt;0),COUNT($AF$309:AF345)+1,"")</f>
        <v/>
      </c>
    </row>
    <row r="347" spans="1:32" ht="20.100000000000001" customHeight="1" x14ac:dyDescent="0.25">
      <c r="A347" s="36" t="str">
        <f>IFERROR(INDEX($Q$310:$Q$459,MATCH(ROWS($A$310:A347),$AF$310:$AF$459,0)),"")</f>
        <v/>
      </c>
      <c r="B347" s="72" t="str">
        <f>IFERROR(INDEX($R$310:$R$459,MATCH(ROWS($A$310:A347),$AF$310:$AF$459,0)),"")</f>
        <v/>
      </c>
      <c r="C347" s="72" t="str">
        <f>IFERROR(INDEX($S$310:$S$459,MATCH(ROWS($A$310:A347),$AF$310:$AF$459,0)),"")</f>
        <v/>
      </c>
      <c r="D347" s="72" t="str">
        <f>IFERROR(INDEX($T$310:$T$459,MATCH(ROWS($A$310:A347),$AF$310:$AF$459,0)),"")</f>
        <v/>
      </c>
      <c r="E347" s="72" t="str">
        <f>IFERROR(INDEX($U$310:$U$459,MATCH(ROWS($A$310:A347),$AF$310:$AF$459,0)),"")</f>
        <v/>
      </c>
      <c r="F347" s="72" t="str">
        <f>IFERROR(INDEX($V$310:$V$459,MATCH(ROWS($A$310:A347),$AF$310:$AF$459,0)),"")</f>
        <v/>
      </c>
      <c r="G347" s="72" t="str">
        <f>IFERROR(INDEX($W$310:$W$459,MATCH(ROWS($A$310:A347),$AF$310:$AF$459,0)),"")</f>
        <v/>
      </c>
      <c r="H347" s="72" t="str">
        <f>IFERROR(INDEX($X$310:$X$459,MATCH(ROWS($A$310:A347),$AF$310:$AF$459,0)),"")</f>
        <v/>
      </c>
      <c r="I347" s="72" t="str">
        <f>IFERROR(INDEX($Y$310:$Y$459,MATCH(ROWS($A$310:A347),$AF$310:$AF$459,0)),"")</f>
        <v/>
      </c>
      <c r="J347" s="72" t="str">
        <f>IFERROR(INDEX($Z$310:$Z$459,MATCH(ROWS($A$310:A347),$AF$310:$AF$459,0)),"")</f>
        <v/>
      </c>
      <c r="K347" s="72" t="str">
        <f>IFERROR(INDEX($AA$310:$AA$459,MATCH(ROWS($A$310:A347),$AF$310:$AF$459,0)),"")</f>
        <v/>
      </c>
      <c r="L347" s="72" t="str">
        <f>IFERROR(INDEX($AB$310:$AB$459,MATCH(ROWS($A$310:A347),$AF$310:$AF$459,0)),"")</f>
        <v/>
      </c>
      <c r="M347" s="72" t="str">
        <f>IFERROR(INDEX($AC$310:$AC$459,MATCH(ROWS($A$310:A347),$AF$310:$AF$459,0)),"")</f>
        <v/>
      </c>
      <c r="N347" s="35" t="str">
        <f>IFERROR(INDEX($AD$310:$AD$459,MATCH(ROWS($A$310:A347),$AF$310:$AF$459,0)),"")</f>
        <v/>
      </c>
      <c r="Q347" t="str">
        <f>T(JAN!B43)</f>
        <v>PATRICK OLIVEIRA 361601</v>
      </c>
      <c r="R347" t="str">
        <f t="array" ref="R347">IF($Q347="","",_xlfn.TEXTJOIN(", ",TRUE,IF(JAN!$G43:$AK43="FE",JAN!$G$4:$AK$4,"")))</f>
        <v/>
      </c>
      <c r="S347" t="str">
        <f t="array" ref="S347">IF($Q347="","",_xlfn.TEXTJOIN(", ",TRUE,IF(FEV!$G43:$AK43="FE",FEV!$G$4:$AK$4,"")))</f>
        <v/>
      </c>
      <c r="T347" t="str">
        <f t="array" ref="T347">IF($Q347="","",_xlfn.TEXTJOIN(", ",TRUE,IF(MAR!$G43:$AK43="FE",MAR!$G$4:$AK$4,"")))</f>
        <v/>
      </c>
      <c r="U347" t="str">
        <f t="array" ref="U347">IF($Q347="","",_xlfn.TEXTJOIN(", ",TRUE,IF(ABR!$G43:$AK43="FE",ABR!$G$4:$AK$4,"")))</f>
        <v/>
      </c>
      <c r="V347" t="str">
        <f t="array" ref="V347">IF($Q347="","",_xlfn.TEXTJOIN(", ",TRUE,IF(MAI!$G43:$AK43="FE",MAI!$G$4:$AK$4,"")))</f>
        <v/>
      </c>
      <c r="W347" t="str">
        <f t="array" ref="W347">IF($Q347="","",_xlfn.TEXTJOIN(", ",TRUE,IF(JUN!$G43:$AK43="FE",JUN!$G$4:$AK$4,"")))</f>
        <v/>
      </c>
      <c r="X347" t="str">
        <f t="array" ref="X347">IF($Q347="","",_xlfn.TEXTJOIN(", ",TRUE,IF(JUL!$G43:$AK43="FE",JUL!$G$4:$AK$4,"")))</f>
        <v/>
      </c>
      <c r="Y347" t="str">
        <f t="array" ref="Y347">IF($Q347="","",_xlfn.TEXTJOIN(", ",TRUE,IF(AGO!$G43:$AK43="FE",AGO!$G$4:$AK$4,"")))</f>
        <v/>
      </c>
      <c r="Z347" t="str">
        <f t="array" ref="Z347">IF($Q347="","",_xlfn.TEXTJOIN(", ",TRUE,IF(SET!$G43:$AK43="FE",SET!$G$4:$AK$4,"")))</f>
        <v/>
      </c>
      <c r="AA347" t="str">
        <f t="array" ref="AA347">IF($Q347="","",_xlfn.TEXTJOIN(", ",TRUE,IF(OUT!$G43:$AK43="FE",OUT!$G$4:$AK$4,"")))</f>
        <v/>
      </c>
      <c r="AB347" t="str">
        <f t="array" ref="AB347">IF($Q347="","",_xlfn.TEXTJOIN(", ",TRUE,IF(NOV!$G43:$AK43="FE",NOV!$G$4:$AK$4,"")))</f>
        <v/>
      </c>
      <c r="AC347" t="str">
        <f t="array" ref="AC347">IF($Q347="","",_xlfn.TEXTJOIN(", ",TRUE,IF(DEZ!$G43:$AK43="FE",DEZ!$G$4:$AK$4,"")))</f>
        <v/>
      </c>
      <c r="AD347">
        <f>IF($Q347="","",COUNTIF(JAN!$G43:$AK43,"FE")+COUNTIF(FEV!$G43:$AK43,"FE")+COUNTIF(MAR!$G43:$AK43,"FE")+COUNTIF(ABR!$G43:$AK43,"FE")+COUNTIF(MAI!$G43:$AK43,"FE")+COUNTIF(JUN!$G43:$AK43,"FE")+COUNTIF(JUL!$G43:$AK43,"FE")+COUNTIF(AGO!$G43:$AK43,"FE")+COUNTIF(SET!$G43:$AK43,"FE")+COUNTIF(OUT!$G43:$AK43,"FE")+COUNTIF(NOV!$G43:$AK43,"FE")+COUNTIF(DEZ!$G43:$AK43,"FE"))</f>
        <v>0</v>
      </c>
      <c r="AF347" t="str">
        <f>IF(AND($Q347&lt;&gt;"",N($AD347)&gt;0),COUNT($AF$309:AF346)+1,"")</f>
        <v/>
      </c>
    </row>
    <row r="348" spans="1:32" ht="20.100000000000001" customHeight="1" x14ac:dyDescent="0.25">
      <c r="A348" s="36" t="str">
        <f>IFERROR(INDEX($Q$310:$Q$459,MATCH(ROWS($A$310:A348),$AF$310:$AF$459,0)),"")</f>
        <v/>
      </c>
      <c r="B348" s="72" t="str">
        <f>IFERROR(INDEX($R$310:$R$459,MATCH(ROWS($A$310:A348),$AF$310:$AF$459,0)),"")</f>
        <v/>
      </c>
      <c r="C348" s="72" t="str">
        <f>IFERROR(INDEX($S$310:$S$459,MATCH(ROWS($A$310:A348),$AF$310:$AF$459,0)),"")</f>
        <v/>
      </c>
      <c r="D348" s="72" t="str">
        <f>IFERROR(INDEX($T$310:$T$459,MATCH(ROWS($A$310:A348),$AF$310:$AF$459,0)),"")</f>
        <v/>
      </c>
      <c r="E348" s="72" t="str">
        <f>IFERROR(INDEX($U$310:$U$459,MATCH(ROWS($A$310:A348),$AF$310:$AF$459,0)),"")</f>
        <v/>
      </c>
      <c r="F348" s="72" t="str">
        <f>IFERROR(INDEX($V$310:$V$459,MATCH(ROWS($A$310:A348),$AF$310:$AF$459,0)),"")</f>
        <v/>
      </c>
      <c r="G348" s="72" t="str">
        <f>IFERROR(INDEX($W$310:$W$459,MATCH(ROWS($A$310:A348),$AF$310:$AF$459,0)),"")</f>
        <v/>
      </c>
      <c r="H348" s="72" t="str">
        <f>IFERROR(INDEX($X$310:$X$459,MATCH(ROWS($A$310:A348),$AF$310:$AF$459,0)),"")</f>
        <v/>
      </c>
      <c r="I348" s="72" t="str">
        <f>IFERROR(INDEX($Y$310:$Y$459,MATCH(ROWS($A$310:A348),$AF$310:$AF$459,0)),"")</f>
        <v/>
      </c>
      <c r="J348" s="72" t="str">
        <f>IFERROR(INDEX($Z$310:$Z$459,MATCH(ROWS($A$310:A348),$AF$310:$AF$459,0)),"")</f>
        <v/>
      </c>
      <c r="K348" s="72" t="str">
        <f>IFERROR(INDEX($AA$310:$AA$459,MATCH(ROWS($A$310:A348),$AF$310:$AF$459,0)),"")</f>
        <v/>
      </c>
      <c r="L348" s="72" t="str">
        <f>IFERROR(INDEX($AB$310:$AB$459,MATCH(ROWS($A$310:A348),$AF$310:$AF$459,0)),"")</f>
        <v/>
      </c>
      <c r="M348" s="72" t="str">
        <f>IFERROR(INDEX($AC$310:$AC$459,MATCH(ROWS($A$310:A348),$AF$310:$AF$459,0)),"")</f>
        <v/>
      </c>
      <c r="N348" s="35" t="str">
        <f>IFERROR(INDEX($AD$310:$AD$459,MATCH(ROWS($A$310:A348),$AF$310:$AF$459,0)),"")</f>
        <v/>
      </c>
      <c r="Q348" t="str">
        <f>T(JAN!B44)</f>
        <v>DAVI FARIAS 141501</v>
      </c>
      <c r="R348" t="str">
        <f t="array" ref="R348">IF($Q348="","",_xlfn.TEXTJOIN(", ",TRUE,IF(JAN!$G44:$AK44="FE",JAN!$G$4:$AK$4,"")))</f>
        <v/>
      </c>
      <c r="S348" t="str">
        <f t="array" ref="S348">IF($Q348="","",_xlfn.TEXTJOIN(", ",TRUE,IF(FEV!$G44:$AK44="FE",FEV!$G$4:$AK$4,"")))</f>
        <v/>
      </c>
      <c r="T348" t="str">
        <f t="array" ref="T348">IF($Q348="","",_xlfn.TEXTJOIN(", ",TRUE,IF(MAR!$G44:$AK44="FE",MAR!$G$4:$AK$4,"")))</f>
        <v/>
      </c>
      <c r="U348" t="str">
        <f t="array" ref="U348">IF($Q348="","",_xlfn.TEXTJOIN(", ",TRUE,IF(ABR!$G44:$AK44="FE",ABR!$G$4:$AK$4,"")))</f>
        <v/>
      </c>
      <c r="V348" t="str">
        <f t="array" ref="V348">IF($Q348="","",_xlfn.TEXTJOIN(", ",TRUE,IF(MAI!$G44:$AK44="FE",MAI!$G$4:$AK$4,"")))</f>
        <v/>
      </c>
      <c r="W348" t="str">
        <f t="array" ref="W348">IF($Q348="","",_xlfn.TEXTJOIN(", ",TRUE,IF(JUN!$G44:$AK44="FE",JUN!$G$4:$AK$4,"")))</f>
        <v/>
      </c>
      <c r="X348" t="str">
        <f t="array" ref="X348">IF($Q348="","",_xlfn.TEXTJOIN(", ",TRUE,IF(JUL!$G44:$AK44="FE",JUL!$G$4:$AK$4,"")))</f>
        <v/>
      </c>
      <c r="Y348" t="str">
        <f t="array" ref="Y348">IF($Q348="","",_xlfn.TEXTJOIN(", ",TRUE,IF(AGO!$G44:$AK44="FE",AGO!$G$4:$AK$4,"")))</f>
        <v/>
      </c>
      <c r="Z348" t="str">
        <f t="array" ref="Z348">IF($Q348="","",_xlfn.TEXTJOIN(", ",TRUE,IF(SET!$G44:$AK44="FE",SET!$G$4:$AK$4,"")))</f>
        <v/>
      </c>
      <c r="AA348" t="str">
        <f t="array" ref="AA348">IF($Q348="","",_xlfn.TEXTJOIN(", ",TRUE,IF(OUT!$G44:$AK44="FE",OUT!$G$4:$AK$4,"")))</f>
        <v/>
      </c>
      <c r="AB348" t="str">
        <f t="array" ref="AB348">IF($Q348="","",_xlfn.TEXTJOIN(", ",TRUE,IF(NOV!$G44:$AK44="FE",NOV!$G$4:$AK$4,"")))</f>
        <v/>
      </c>
      <c r="AC348" t="str">
        <f t="array" ref="AC348">IF($Q348="","",_xlfn.TEXTJOIN(", ",TRUE,IF(DEZ!$G44:$AK44="FE",DEZ!$G$4:$AK$4,"")))</f>
        <v/>
      </c>
      <c r="AD348">
        <f>IF($Q348="","",COUNTIF(JAN!$G44:$AK44,"FE")+COUNTIF(FEV!$G44:$AK44,"FE")+COUNTIF(MAR!$G44:$AK44,"FE")+COUNTIF(ABR!$G44:$AK44,"FE")+COUNTIF(MAI!$G44:$AK44,"FE")+COUNTIF(JUN!$G44:$AK44,"FE")+COUNTIF(JUL!$G44:$AK44,"FE")+COUNTIF(AGO!$G44:$AK44,"FE")+COUNTIF(SET!$G44:$AK44,"FE")+COUNTIF(OUT!$G44:$AK44,"FE")+COUNTIF(NOV!$G44:$AK44,"FE")+COUNTIF(DEZ!$G44:$AK44,"FE"))</f>
        <v>0</v>
      </c>
      <c r="AF348" t="str">
        <f>IF(AND($Q348&lt;&gt;"",N($AD348)&gt;0),COUNT($AF$309:AF347)+1,"")</f>
        <v/>
      </c>
    </row>
    <row r="349" spans="1:32" ht="20.100000000000001" customHeight="1" x14ac:dyDescent="0.25">
      <c r="A349" s="36" t="str">
        <f>IFERROR(INDEX($Q$310:$Q$459,MATCH(ROWS($A$310:A349),$AF$310:$AF$459,0)),"")</f>
        <v/>
      </c>
      <c r="B349" s="72" t="str">
        <f>IFERROR(INDEX($R$310:$R$459,MATCH(ROWS($A$310:A349),$AF$310:$AF$459,0)),"")</f>
        <v/>
      </c>
      <c r="C349" s="72" t="str">
        <f>IFERROR(INDEX($S$310:$S$459,MATCH(ROWS($A$310:A349),$AF$310:$AF$459,0)),"")</f>
        <v/>
      </c>
      <c r="D349" s="72" t="str">
        <f>IFERROR(INDEX($T$310:$T$459,MATCH(ROWS($A$310:A349),$AF$310:$AF$459,0)),"")</f>
        <v/>
      </c>
      <c r="E349" s="72" t="str">
        <f>IFERROR(INDEX($U$310:$U$459,MATCH(ROWS($A$310:A349),$AF$310:$AF$459,0)),"")</f>
        <v/>
      </c>
      <c r="F349" s="72" t="str">
        <f>IFERROR(INDEX($V$310:$V$459,MATCH(ROWS($A$310:A349),$AF$310:$AF$459,0)),"")</f>
        <v/>
      </c>
      <c r="G349" s="72" t="str">
        <f>IFERROR(INDEX($W$310:$W$459,MATCH(ROWS($A$310:A349),$AF$310:$AF$459,0)),"")</f>
        <v/>
      </c>
      <c r="H349" s="72" t="str">
        <f>IFERROR(INDEX($X$310:$X$459,MATCH(ROWS($A$310:A349),$AF$310:$AF$459,0)),"")</f>
        <v/>
      </c>
      <c r="I349" s="72" t="str">
        <f>IFERROR(INDEX($Y$310:$Y$459,MATCH(ROWS($A$310:A349),$AF$310:$AF$459,0)),"")</f>
        <v/>
      </c>
      <c r="J349" s="72" t="str">
        <f>IFERROR(INDEX($Z$310:$Z$459,MATCH(ROWS($A$310:A349),$AF$310:$AF$459,0)),"")</f>
        <v/>
      </c>
      <c r="K349" s="72" t="str">
        <f>IFERROR(INDEX($AA$310:$AA$459,MATCH(ROWS($A$310:A349),$AF$310:$AF$459,0)),"")</f>
        <v/>
      </c>
      <c r="L349" s="72" t="str">
        <f>IFERROR(INDEX($AB$310:$AB$459,MATCH(ROWS($A$310:A349),$AF$310:$AF$459,0)),"")</f>
        <v/>
      </c>
      <c r="M349" s="72" t="str">
        <f>IFERROR(INDEX($AC$310:$AC$459,MATCH(ROWS($A$310:A349),$AF$310:$AF$459,0)),"")</f>
        <v/>
      </c>
      <c r="N349" s="35" t="str">
        <f>IFERROR(INDEX($AD$310:$AD$459,MATCH(ROWS($A$310:A349),$AF$310:$AF$459,0)),"")</f>
        <v/>
      </c>
      <c r="Q349" t="str">
        <f>T(JAN!B45)</f>
        <v>JEAN MARTINS 37002258</v>
      </c>
      <c r="R349" t="str">
        <f t="array" ref="R349">IF($Q349="","",_xlfn.TEXTJOIN(", ",TRUE,IF(JAN!$G45:$AK45="FE",JAN!$G$4:$AK$4,"")))</f>
        <v/>
      </c>
      <c r="S349" t="str">
        <f t="array" ref="S349">IF($Q349="","",_xlfn.TEXTJOIN(", ",TRUE,IF(FEV!$G45:$AK45="FE",FEV!$G$4:$AK$4,"")))</f>
        <v/>
      </c>
      <c r="T349" t="str">
        <f t="array" ref="T349">IF($Q349="","",_xlfn.TEXTJOIN(", ",TRUE,IF(MAR!$G45:$AK45="FE",MAR!$G$4:$AK$4,"")))</f>
        <v/>
      </c>
      <c r="U349" t="str">
        <f t="array" ref="U349">IF($Q349="","",_xlfn.TEXTJOIN(", ",TRUE,IF(ABR!$G45:$AK45="FE",ABR!$G$4:$AK$4,"")))</f>
        <v/>
      </c>
      <c r="V349" t="str">
        <f t="array" ref="V349">IF($Q349="","",_xlfn.TEXTJOIN(", ",TRUE,IF(MAI!$G45:$AK45="FE",MAI!$G$4:$AK$4,"")))</f>
        <v/>
      </c>
      <c r="W349" t="str">
        <f t="array" ref="W349">IF($Q349="","",_xlfn.TEXTJOIN(", ",TRUE,IF(JUN!$G45:$AK45="FE",JUN!$G$4:$AK$4,"")))</f>
        <v/>
      </c>
      <c r="X349" t="str">
        <f t="array" ref="X349">IF($Q349="","",_xlfn.TEXTJOIN(", ",TRUE,IF(JUL!$G45:$AK45="FE",JUL!$G$4:$AK$4,"")))</f>
        <v/>
      </c>
      <c r="Y349" t="str">
        <f t="array" ref="Y349">IF($Q349="","",_xlfn.TEXTJOIN(", ",TRUE,IF(AGO!$G45:$AK45="FE",AGO!$G$4:$AK$4,"")))</f>
        <v/>
      </c>
      <c r="Z349" t="str">
        <f t="array" ref="Z349">IF($Q349="","",_xlfn.TEXTJOIN(", ",TRUE,IF(SET!$G45:$AK45="FE",SET!$G$4:$AK$4,"")))</f>
        <v/>
      </c>
      <c r="AA349" t="str">
        <f t="array" ref="AA349">IF($Q349="","",_xlfn.TEXTJOIN(", ",TRUE,IF(OUT!$G45:$AK45="FE",OUT!$G$4:$AK$4,"")))</f>
        <v/>
      </c>
      <c r="AB349" t="str">
        <f t="array" ref="AB349">IF($Q349="","",_xlfn.TEXTJOIN(", ",TRUE,IF(NOV!$G45:$AK45="FE",NOV!$G$4:$AK$4,"")))</f>
        <v/>
      </c>
      <c r="AC349" t="str">
        <f t="array" ref="AC349">IF($Q349="","",_xlfn.TEXTJOIN(", ",TRUE,IF(DEZ!$G45:$AK45="FE",DEZ!$G$4:$AK$4,"")))</f>
        <v/>
      </c>
      <c r="AD349">
        <f>IF($Q349="","",COUNTIF(JAN!$G45:$AK45,"FE")+COUNTIF(FEV!$G45:$AK45,"FE")+COUNTIF(MAR!$G45:$AK45,"FE")+COUNTIF(ABR!$G45:$AK45,"FE")+COUNTIF(MAI!$G45:$AK45,"FE")+COUNTIF(JUN!$G45:$AK45,"FE")+COUNTIF(JUL!$G45:$AK45,"FE")+COUNTIF(AGO!$G45:$AK45,"FE")+COUNTIF(SET!$G45:$AK45,"FE")+COUNTIF(OUT!$G45:$AK45,"FE")+COUNTIF(NOV!$G45:$AK45,"FE")+COUNTIF(DEZ!$G45:$AK45,"FE"))</f>
        <v>0</v>
      </c>
      <c r="AF349" t="str">
        <f>IF(AND($Q349&lt;&gt;"",N($AD349)&gt;0),COUNT($AF$309:AF348)+1,"")</f>
        <v/>
      </c>
    </row>
    <row r="350" spans="1:32" ht="20.100000000000001" customHeight="1" x14ac:dyDescent="0.25">
      <c r="A350" s="36" t="str">
        <f>IFERROR(INDEX($Q$310:$Q$459,MATCH(ROWS($A$310:A350),$AF$310:$AF$459,0)),"")</f>
        <v/>
      </c>
      <c r="B350" s="72" t="str">
        <f>IFERROR(INDEX($R$310:$R$459,MATCH(ROWS($A$310:A350),$AF$310:$AF$459,0)),"")</f>
        <v/>
      </c>
      <c r="C350" s="72" t="str">
        <f>IFERROR(INDEX($S$310:$S$459,MATCH(ROWS($A$310:A350),$AF$310:$AF$459,0)),"")</f>
        <v/>
      </c>
      <c r="D350" s="72" t="str">
        <f>IFERROR(INDEX($T$310:$T$459,MATCH(ROWS($A$310:A350),$AF$310:$AF$459,0)),"")</f>
        <v/>
      </c>
      <c r="E350" s="72" t="str">
        <f>IFERROR(INDEX($U$310:$U$459,MATCH(ROWS($A$310:A350),$AF$310:$AF$459,0)),"")</f>
        <v/>
      </c>
      <c r="F350" s="72" t="str">
        <f>IFERROR(INDEX($V$310:$V$459,MATCH(ROWS($A$310:A350),$AF$310:$AF$459,0)),"")</f>
        <v/>
      </c>
      <c r="G350" s="72" t="str">
        <f>IFERROR(INDEX($W$310:$W$459,MATCH(ROWS($A$310:A350),$AF$310:$AF$459,0)),"")</f>
        <v/>
      </c>
      <c r="H350" s="72" t="str">
        <f>IFERROR(INDEX($X$310:$X$459,MATCH(ROWS($A$310:A350),$AF$310:$AF$459,0)),"")</f>
        <v/>
      </c>
      <c r="I350" s="72" t="str">
        <f>IFERROR(INDEX($Y$310:$Y$459,MATCH(ROWS($A$310:A350),$AF$310:$AF$459,0)),"")</f>
        <v/>
      </c>
      <c r="J350" s="72" t="str">
        <f>IFERROR(INDEX($Z$310:$Z$459,MATCH(ROWS($A$310:A350),$AF$310:$AF$459,0)),"")</f>
        <v/>
      </c>
      <c r="K350" s="72" t="str">
        <f>IFERROR(INDEX($AA$310:$AA$459,MATCH(ROWS($A$310:A350),$AF$310:$AF$459,0)),"")</f>
        <v/>
      </c>
      <c r="L350" s="72" t="str">
        <f>IFERROR(INDEX($AB$310:$AB$459,MATCH(ROWS($A$310:A350),$AF$310:$AF$459,0)),"")</f>
        <v/>
      </c>
      <c r="M350" s="72" t="str">
        <f>IFERROR(INDEX($AC$310:$AC$459,MATCH(ROWS($A$310:A350),$AF$310:$AF$459,0)),"")</f>
        <v/>
      </c>
      <c r="N350" s="35" t="str">
        <f>IFERROR(INDEX($AD$310:$AD$459,MATCH(ROWS($A$310:A350),$AF$310:$AF$459,0)),"")</f>
        <v/>
      </c>
      <c r="Q350" t="str">
        <f>T(JAN!B46)</f>
        <v>LORENZO LOPES 246601</v>
      </c>
      <c r="R350" t="str">
        <f t="array" ref="R350">IF($Q350="","",_xlfn.TEXTJOIN(", ",TRUE,IF(JAN!$G46:$AK46="FE",JAN!$G$4:$AK$4,"")))</f>
        <v/>
      </c>
      <c r="S350" t="str">
        <f t="array" ref="S350">IF($Q350="","",_xlfn.TEXTJOIN(", ",TRUE,IF(FEV!$G46:$AK46="FE",FEV!$G$4:$AK$4,"")))</f>
        <v/>
      </c>
      <c r="T350" t="str">
        <f t="array" ref="T350">IF($Q350="","",_xlfn.TEXTJOIN(", ",TRUE,IF(MAR!$G46:$AK46="FE",MAR!$G$4:$AK$4,"")))</f>
        <v/>
      </c>
      <c r="U350" t="str">
        <f t="array" ref="U350">IF($Q350="","",_xlfn.TEXTJOIN(", ",TRUE,IF(ABR!$G46:$AK46="FE",ABR!$G$4:$AK$4,"")))</f>
        <v/>
      </c>
      <c r="V350" t="str">
        <f t="array" ref="V350">IF($Q350="","",_xlfn.TEXTJOIN(", ",TRUE,IF(MAI!$G46:$AK46="FE",MAI!$G$4:$AK$4,"")))</f>
        <v/>
      </c>
      <c r="W350" t="str">
        <f t="array" ref="W350">IF($Q350="","",_xlfn.TEXTJOIN(", ",TRUE,IF(JUN!$G46:$AK46="FE",JUN!$G$4:$AK$4,"")))</f>
        <v/>
      </c>
      <c r="X350" t="str">
        <f t="array" ref="X350">IF($Q350="","",_xlfn.TEXTJOIN(", ",TRUE,IF(JUL!$G46:$AK46="FE",JUL!$G$4:$AK$4,"")))</f>
        <v/>
      </c>
      <c r="Y350" t="str">
        <f t="array" ref="Y350">IF($Q350="","",_xlfn.TEXTJOIN(", ",TRUE,IF(AGO!$G46:$AK46="FE",AGO!$G$4:$AK$4,"")))</f>
        <v/>
      </c>
      <c r="Z350" t="str">
        <f t="array" ref="Z350">IF($Q350="","",_xlfn.TEXTJOIN(", ",TRUE,IF(SET!$G46:$AK46="FE",SET!$G$4:$AK$4,"")))</f>
        <v/>
      </c>
      <c r="AA350" t="str">
        <f t="array" ref="AA350">IF($Q350="","",_xlfn.TEXTJOIN(", ",TRUE,IF(OUT!$G46:$AK46="FE",OUT!$G$4:$AK$4,"")))</f>
        <v/>
      </c>
      <c r="AB350" t="str">
        <f t="array" ref="AB350">IF($Q350="","",_xlfn.TEXTJOIN(", ",TRUE,IF(NOV!$G46:$AK46="FE",NOV!$G$4:$AK$4,"")))</f>
        <v/>
      </c>
      <c r="AC350" t="str">
        <f t="array" ref="AC350">IF($Q350="","",_xlfn.TEXTJOIN(", ",TRUE,IF(DEZ!$G46:$AK46="FE",DEZ!$G$4:$AK$4,"")))</f>
        <v/>
      </c>
      <c r="AD350">
        <f>IF($Q350="","",COUNTIF(JAN!$G46:$AK46,"FE")+COUNTIF(FEV!$G46:$AK46,"FE")+COUNTIF(MAR!$G46:$AK46,"FE")+COUNTIF(ABR!$G46:$AK46,"FE")+COUNTIF(MAI!$G46:$AK46,"FE")+COUNTIF(JUN!$G46:$AK46,"FE")+COUNTIF(JUL!$G46:$AK46,"FE")+COUNTIF(AGO!$G46:$AK46,"FE")+COUNTIF(SET!$G46:$AK46,"FE")+COUNTIF(OUT!$G46:$AK46,"FE")+COUNTIF(NOV!$G46:$AK46,"FE")+COUNTIF(DEZ!$G46:$AK46,"FE"))</f>
        <v>0</v>
      </c>
      <c r="AF350" t="str">
        <f>IF(AND($Q350&lt;&gt;"",N($AD350)&gt;0),COUNT($AF$309:AF349)+1,"")</f>
        <v/>
      </c>
    </row>
    <row r="351" spans="1:32" ht="20.100000000000001" customHeight="1" x14ac:dyDescent="0.25">
      <c r="A351" s="36" t="str">
        <f>IFERROR(INDEX($Q$310:$Q$459,MATCH(ROWS($A$310:A351),$AF$310:$AF$459,0)),"")</f>
        <v/>
      </c>
      <c r="B351" s="72" t="str">
        <f>IFERROR(INDEX($R$310:$R$459,MATCH(ROWS($A$310:A351),$AF$310:$AF$459,0)),"")</f>
        <v/>
      </c>
      <c r="C351" s="72" t="str">
        <f>IFERROR(INDEX($S$310:$S$459,MATCH(ROWS($A$310:A351),$AF$310:$AF$459,0)),"")</f>
        <v/>
      </c>
      <c r="D351" s="72" t="str">
        <f>IFERROR(INDEX($T$310:$T$459,MATCH(ROWS($A$310:A351),$AF$310:$AF$459,0)),"")</f>
        <v/>
      </c>
      <c r="E351" s="72" t="str">
        <f>IFERROR(INDEX($U$310:$U$459,MATCH(ROWS($A$310:A351),$AF$310:$AF$459,0)),"")</f>
        <v/>
      </c>
      <c r="F351" s="72" t="str">
        <f>IFERROR(INDEX($V$310:$V$459,MATCH(ROWS($A$310:A351),$AF$310:$AF$459,0)),"")</f>
        <v/>
      </c>
      <c r="G351" s="72" t="str">
        <f>IFERROR(INDEX($W$310:$W$459,MATCH(ROWS($A$310:A351),$AF$310:$AF$459,0)),"")</f>
        <v/>
      </c>
      <c r="H351" s="72" t="str">
        <f>IFERROR(INDEX($X$310:$X$459,MATCH(ROWS($A$310:A351),$AF$310:$AF$459,0)),"")</f>
        <v/>
      </c>
      <c r="I351" s="72" t="str">
        <f>IFERROR(INDEX($Y$310:$Y$459,MATCH(ROWS($A$310:A351),$AF$310:$AF$459,0)),"")</f>
        <v/>
      </c>
      <c r="J351" s="72" t="str">
        <f>IFERROR(INDEX($Z$310:$Z$459,MATCH(ROWS($A$310:A351),$AF$310:$AF$459,0)),"")</f>
        <v/>
      </c>
      <c r="K351" s="72" t="str">
        <f>IFERROR(INDEX($AA$310:$AA$459,MATCH(ROWS($A$310:A351),$AF$310:$AF$459,0)),"")</f>
        <v/>
      </c>
      <c r="L351" s="72" t="str">
        <f>IFERROR(INDEX($AB$310:$AB$459,MATCH(ROWS($A$310:A351),$AF$310:$AF$459,0)),"")</f>
        <v/>
      </c>
      <c r="M351" s="72" t="str">
        <f>IFERROR(INDEX($AC$310:$AC$459,MATCH(ROWS($A$310:A351),$AF$310:$AF$459,0)),"")</f>
        <v/>
      </c>
      <c r="N351" s="35" t="str">
        <f>IFERROR(INDEX($AD$310:$AD$459,MATCH(ROWS($A$310:A351),$AF$310:$AF$459,0)),"")</f>
        <v/>
      </c>
      <c r="Q351" t="str">
        <f>T(JAN!B47)</f>
        <v>GERSON FALEIRO 317801</v>
      </c>
      <c r="R351" t="str">
        <f t="array" ref="R351">IF($Q351="","",_xlfn.TEXTJOIN(", ",TRUE,IF(JAN!$G47:$AK47="FE",JAN!$G$4:$AK$4,"")))</f>
        <v/>
      </c>
      <c r="S351" t="str">
        <f t="array" ref="S351">IF($Q351="","",_xlfn.TEXTJOIN(", ",TRUE,IF(FEV!$G47:$AK47="FE",FEV!$G$4:$AK$4,"")))</f>
        <v/>
      </c>
      <c r="T351" t="str">
        <f t="array" ref="T351">IF($Q351="","",_xlfn.TEXTJOIN(", ",TRUE,IF(MAR!$G47:$AK47="FE",MAR!$G$4:$AK$4,"")))</f>
        <v/>
      </c>
      <c r="U351" t="str">
        <f t="array" ref="U351">IF($Q351="","",_xlfn.TEXTJOIN(", ",TRUE,IF(ABR!$G47:$AK47="FE",ABR!$G$4:$AK$4,"")))</f>
        <v/>
      </c>
      <c r="V351" t="str">
        <f t="array" ref="V351">IF($Q351="","",_xlfn.TEXTJOIN(", ",TRUE,IF(MAI!$G47:$AK47="FE",MAI!$G$4:$AK$4,"")))</f>
        <v/>
      </c>
      <c r="W351" t="str">
        <f t="array" ref="W351">IF($Q351="","",_xlfn.TEXTJOIN(", ",TRUE,IF(JUN!$G47:$AK47="FE",JUN!$G$4:$AK$4,"")))</f>
        <v/>
      </c>
      <c r="X351" t="str">
        <f t="array" ref="X351">IF($Q351="","",_xlfn.TEXTJOIN(", ",TRUE,IF(JUL!$G47:$AK47="FE",JUL!$G$4:$AK$4,"")))</f>
        <v/>
      </c>
      <c r="Y351" t="str">
        <f t="array" ref="Y351">IF($Q351="","",_xlfn.TEXTJOIN(", ",TRUE,IF(AGO!$G47:$AK47="FE",AGO!$G$4:$AK$4,"")))</f>
        <v/>
      </c>
      <c r="Z351" t="str">
        <f t="array" ref="Z351">IF($Q351="","",_xlfn.TEXTJOIN(", ",TRUE,IF(SET!$G47:$AK47="FE",SET!$G$4:$AK$4,"")))</f>
        <v/>
      </c>
      <c r="AA351" t="str">
        <f t="array" ref="AA351">IF($Q351="","",_xlfn.TEXTJOIN(", ",TRUE,IF(OUT!$G47:$AK47="FE",OUT!$G$4:$AK$4,"")))</f>
        <v/>
      </c>
      <c r="AB351" t="str">
        <f t="array" ref="AB351">IF($Q351="","",_xlfn.TEXTJOIN(", ",TRUE,IF(NOV!$G47:$AK47="FE",NOV!$G$4:$AK$4,"")))</f>
        <v/>
      </c>
      <c r="AC351" t="str">
        <f t="array" ref="AC351">IF($Q351="","",_xlfn.TEXTJOIN(", ",TRUE,IF(DEZ!$G47:$AK47="FE",DEZ!$G$4:$AK$4,"")))</f>
        <v/>
      </c>
      <c r="AD351">
        <f>IF($Q351="","",COUNTIF(JAN!$G47:$AK47,"FE")+COUNTIF(FEV!$G47:$AK47,"FE")+COUNTIF(MAR!$G47:$AK47,"FE")+COUNTIF(ABR!$G47:$AK47,"FE")+COUNTIF(MAI!$G47:$AK47,"FE")+COUNTIF(JUN!$G47:$AK47,"FE")+COUNTIF(JUL!$G47:$AK47,"FE")+COUNTIF(AGO!$G47:$AK47,"FE")+COUNTIF(SET!$G47:$AK47,"FE")+COUNTIF(OUT!$G47:$AK47,"FE")+COUNTIF(NOV!$G47:$AK47,"FE")+COUNTIF(DEZ!$G47:$AK47,"FE"))</f>
        <v>0</v>
      </c>
      <c r="AF351" t="str">
        <f>IF(AND($Q351&lt;&gt;"",N($AD351)&gt;0),COUNT($AF$309:AF350)+1,"")</f>
        <v/>
      </c>
    </row>
    <row r="352" spans="1:32" ht="20.100000000000001" customHeight="1" x14ac:dyDescent="0.25">
      <c r="A352" s="36" t="str">
        <f>IFERROR(INDEX($Q$310:$Q$459,MATCH(ROWS($A$310:A352),$AF$310:$AF$459,0)),"")</f>
        <v/>
      </c>
      <c r="B352" s="72" t="str">
        <f>IFERROR(INDEX($R$310:$R$459,MATCH(ROWS($A$310:A352),$AF$310:$AF$459,0)),"")</f>
        <v/>
      </c>
      <c r="C352" s="72" t="str">
        <f>IFERROR(INDEX($S$310:$S$459,MATCH(ROWS($A$310:A352),$AF$310:$AF$459,0)),"")</f>
        <v/>
      </c>
      <c r="D352" s="72" t="str">
        <f>IFERROR(INDEX($T$310:$T$459,MATCH(ROWS($A$310:A352),$AF$310:$AF$459,0)),"")</f>
        <v/>
      </c>
      <c r="E352" s="72" t="str">
        <f>IFERROR(INDEX($U$310:$U$459,MATCH(ROWS($A$310:A352),$AF$310:$AF$459,0)),"")</f>
        <v/>
      </c>
      <c r="F352" s="72" t="str">
        <f>IFERROR(INDEX($V$310:$V$459,MATCH(ROWS($A$310:A352),$AF$310:$AF$459,0)),"")</f>
        <v/>
      </c>
      <c r="G352" s="72" t="str">
        <f>IFERROR(INDEX($W$310:$W$459,MATCH(ROWS($A$310:A352),$AF$310:$AF$459,0)),"")</f>
        <v/>
      </c>
      <c r="H352" s="72" t="str">
        <f>IFERROR(INDEX($X$310:$X$459,MATCH(ROWS($A$310:A352),$AF$310:$AF$459,0)),"")</f>
        <v/>
      </c>
      <c r="I352" s="72" t="str">
        <f>IFERROR(INDEX($Y$310:$Y$459,MATCH(ROWS($A$310:A352),$AF$310:$AF$459,0)),"")</f>
        <v/>
      </c>
      <c r="J352" s="72" t="str">
        <f>IFERROR(INDEX($Z$310:$Z$459,MATCH(ROWS($A$310:A352),$AF$310:$AF$459,0)),"")</f>
        <v/>
      </c>
      <c r="K352" s="72" t="str">
        <f>IFERROR(INDEX($AA$310:$AA$459,MATCH(ROWS($A$310:A352),$AF$310:$AF$459,0)),"")</f>
        <v/>
      </c>
      <c r="L352" s="72" t="str">
        <f>IFERROR(INDEX($AB$310:$AB$459,MATCH(ROWS($A$310:A352),$AF$310:$AF$459,0)),"")</f>
        <v/>
      </c>
      <c r="M352" s="72" t="str">
        <f>IFERROR(INDEX($AC$310:$AC$459,MATCH(ROWS($A$310:A352),$AF$310:$AF$459,0)),"")</f>
        <v/>
      </c>
      <c r="N352" s="35" t="str">
        <f>IFERROR(INDEX($AD$310:$AD$459,MATCH(ROWS($A$310:A352),$AF$310:$AF$459,0)),"")</f>
        <v/>
      </c>
      <c r="Q352" t="str">
        <f>T(JAN!B48)</f>
        <v>EDENIR TRINDADE 389401</v>
      </c>
      <c r="R352" t="str">
        <f t="array" ref="R352">IF($Q352="","",_xlfn.TEXTJOIN(", ",TRUE,IF(JAN!$G48:$AK48="FE",JAN!$G$4:$AK$4,"")))</f>
        <v/>
      </c>
      <c r="S352" t="str">
        <f t="array" ref="S352">IF($Q352="","",_xlfn.TEXTJOIN(", ",TRUE,IF(FEV!$G48:$AK48="FE",FEV!$G$4:$AK$4,"")))</f>
        <v/>
      </c>
      <c r="T352" t="str">
        <f t="array" ref="T352">IF($Q352="","",_xlfn.TEXTJOIN(", ",TRUE,IF(MAR!$G48:$AK48="FE",MAR!$G$4:$AK$4,"")))</f>
        <v/>
      </c>
      <c r="U352" t="str">
        <f t="array" ref="U352">IF($Q352="","",_xlfn.TEXTJOIN(", ",TRUE,IF(ABR!$G48:$AK48="FE",ABR!$G$4:$AK$4,"")))</f>
        <v/>
      </c>
      <c r="V352" t="str">
        <f t="array" ref="V352">IF($Q352="","",_xlfn.TEXTJOIN(", ",TRUE,IF(MAI!$G48:$AK48="FE",MAI!$G$4:$AK$4,"")))</f>
        <v/>
      </c>
      <c r="W352" t="str">
        <f t="array" ref="W352">IF($Q352="","",_xlfn.TEXTJOIN(", ",TRUE,IF(JUN!$G48:$AK48="FE",JUN!$G$4:$AK$4,"")))</f>
        <v/>
      </c>
      <c r="X352" t="str">
        <f t="array" ref="X352">IF($Q352="","",_xlfn.TEXTJOIN(", ",TRUE,IF(JUL!$G48:$AK48="FE",JUL!$G$4:$AK$4,"")))</f>
        <v/>
      </c>
      <c r="Y352" t="str">
        <f t="array" ref="Y352">IF($Q352="","",_xlfn.TEXTJOIN(", ",TRUE,IF(AGO!$G48:$AK48="FE",AGO!$G$4:$AK$4,"")))</f>
        <v/>
      </c>
      <c r="Z352" t="str">
        <f t="array" ref="Z352">IF($Q352="","",_xlfn.TEXTJOIN(", ",TRUE,IF(SET!$G48:$AK48="FE",SET!$G$4:$AK$4,"")))</f>
        <v/>
      </c>
      <c r="AA352" t="str">
        <f t="array" ref="AA352">IF($Q352="","",_xlfn.TEXTJOIN(", ",TRUE,IF(OUT!$G48:$AK48="FE",OUT!$G$4:$AK$4,"")))</f>
        <v/>
      </c>
      <c r="AB352" t="str">
        <f t="array" ref="AB352">IF($Q352="","",_xlfn.TEXTJOIN(", ",TRUE,IF(NOV!$G48:$AK48="FE",NOV!$G$4:$AK$4,"")))</f>
        <v/>
      </c>
      <c r="AC352" t="str">
        <f t="array" ref="AC352">IF($Q352="","",_xlfn.TEXTJOIN(", ",TRUE,IF(DEZ!$G48:$AK48="FE",DEZ!$G$4:$AK$4,"")))</f>
        <v/>
      </c>
      <c r="AD352">
        <f>IF($Q352="","",COUNTIF(JAN!$G48:$AK48,"FE")+COUNTIF(FEV!$G48:$AK48,"FE")+COUNTIF(MAR!$G48:$AK48,"FE")+COUNTIF(ABR!$G48:$AK48,"FE")+COUNTIF(MAI!$G48:$AK48,"FE")+COUNTIF(JUN!$G48:$AK48,"FE")+COUNTIF(JUL!$G48:$AK48,"FE")+COUNTIF(AGO!$G48:$AK48,"FE")+COUNTIF(SET!$G48:$AK48,"FE")+COUNTIF(OUT!$G48:$AK48,"FE")+COUNTIF(NOV!$G48:$AK48,"FE")+COUNTIF(DEZ!$G48:$AK48,"FE"))</f>
        <v>0</v>
      </c>
      <c r="AF352" t="str">
        <f>IF(AND($Q352&lt;&gt;"",N($AD352)&gt;0),COUNT($AF$309:AF351)+1,"")</f>
        <v/>
      </c>
    </row>
    <row r="353" spans="1:32" ht="20.100000000000001" customHeight="1" x14ac:dyDescent="0.25">
      <c r="A353" s="36" t="str">
        <f>IFERROR(INDEX($Q$310:$Q$459,MATCH(ROWS($A$310:A353),$AF$310:$AF$459,0)),"")</f>
        <v/>
      </c>
      <c r="B353" s="72" t="str">
        <f>IFERROR(INDEX($R$310:$R$459,MATCH(ROWS($A$310:A353),$AF$310:$AF$459,0)),"")</f>
        <v/>
      </c>
      <c r="C353" s="72" t="str">
        <f>IFERROR(INDEX($S$310:$S$459,MATCH(ROWS($A$310:A353),$AF$310:$AF$459,0)),"")</f>
        <v/>
      </c>
      <c r="D353" s="72" t="str">
        <f>IFERROR(INDEX($T$310:$T$459,MATCH(ROWS($A$310:A353),$AF$310:$AF$459,0)),"")</f>
        <v/>
      </c>
      <c r="E353" s="72" t="str">
        <f>IFERROR(INDEX($U$310:$U$459,MATCH(ROWS($A$310:A353),$AF$310:$AF$459,0)),"")</f>
        <v/>
      </c>
      <c r="F353" s="72" t="str">
        <f>IFERROR(INDEX($V$310:$V$459,MATCH(ROWS($A$310:A353),$AF$310:$AF$459,0)),"")</f>
        <v/>
      </c>
      <c r="G353" s="72" t="str">
        <f>IFERROR(INDEX($W$310:$W$459,MATCH(ROWS($A$310:A353),$AF$310:$AF$459,0)),"")</f>
        <v/>
      </c>
      <c r="H353" s="72" t="str">
        <f>IFERROR(INDEX($X$310:$X$459,MATCH(ROWS($A$310:A353),$AF$310:$AF$459,0)),"")</f>
        <v/>
      </c>
      <c r="I353" s="72" t="str">
        <f>IFERROR(INDEX($Y$310:$Y$459,MATCH(ROWS($A$310:A353),$AF$310:$AF$459,0)),"")</f>
        <v/>
      </c>
      <c r="J353" s="72" t="str">
        <f>IFERROR(INDEX($Z$310:$Z$459,MATCH(ROWS($A$310:A353),$AF$310:$AF$459,0)),"")</f>
        <v/>
      </c>
      <c r="K353" s="72" t="str">
        <f>IFERROR(INDEX($AA$310:$AA$459,MATCH(ROWS($A$310:A353),$AF$310:$AF$459,0)),"")</f>
        <v/>
      </c>
      <c r="L353" s="72" t="str">
        <f>IFERROR(INDEX($AB$310:$AB$459,MATCH(ROWS($A$310:A353),$AF$310:$AF$459,0)),"")</f>
        <v/>
      </c>
      <c r="M353" s="72" t="str">
        <f>IFERROR(INDEX($AC$310:$AC$459,MATCH(ROWS($A$310:A353),$AF$310:$AF$459,0)),"")</f>
        <v/>
      </c>
      <c r="N353" s="35" t="str">
        <f>IFERROR(INDEX($AD$310:$AD$459,MATCH(ROWS($A$310:A353),$AF$310:$AF$459,0)),"")</f>
        <v/>
      </c>
      <c r="Q353" t="str">
        <f>T(JAN!B49)</f>
        <v>VACIR PINTO 185201</v>
      </c>
      <c r="R353" t="str">
        <f t="array" ref="R353">IF($Q353="","",_xlfn.TEXTJOIN(", ",TRUE,IF(JAN!$G49:$AK49="FE",JAN!$G$4:$AK$4,"")))</f>
        <v/>
      </c>
      <c r="S353" t="str">
        <f t="array" ref="S353">IF($Q353="","",_xlfn.TEXTJOIN(", ",TRUE,IF(FEV!$G49:$AK49="FE",FEV!$G$4:$AK$4,"")))</f>
        <v/>
      </c>
      <c r="T353" t="str">
        <f t="array" ref="T353">IF($Q353="","",_xlfn.TEXTJOIN(", ",TRUE,IF(MAR!$G49:$AK49="FE",MAR!$G$4:$AK$4,"")))</f>
        <v/>
      </c>
      <c r="U353" t="str">
        <f t="array" ref="U353">IF($Q353="","",_xlfn.TEXTJOIN(", ",TRUE,IF(ABR!$G49:$AK49="FE",ABR!$G$4:$AK$4,"")))</f>
        <v/>
      </c>
      <c r="V353" t="str">
        <f t="array" ref="V353">IF($Q353="","",_xlfn.TEXTJOIN(", ",TRUE,IF(MAI!$G49:$AK49="FE",MAI!$G$4:$AK$4,"")))</f>
        <v/>
      </c>
      <c r="W353" t="str">
        <f t="array" ref="W353">IF($Q353="","",_xlfn.TEXTJOIN(", ",TRUE,IF(JUN!$G49:$AK49="FE",JUN!$G$4:$AK$4,"")))</f>
        <v/>
      </c>
      <c r="X353" t="str">
        <f t="array" ref="X353">IF($Q353="","",_xlfn.TEXTJOIN(", ",TRUE,IF(JUL!$G49:$AK49="FE",JUL!$G$4:$AK$4,"")))</f>
        <v/>
      </c>
      <c r="Y353" t="str">
        <f t="array" ref="Y353">IF($Q353="","",_xlfn.TEXTJOIN(", ",TRUE,IF(AGO!$G49:$AK49="FE",AGO!$G$4:$AK$4,"")))</f>
        <v/>
      </c>
      <c r="Z353" t="str">
        <f t="array" ref="Z353">IF($Q353="","",_xlfn.TEXTJOIN(", ",TRUE,IF(SET!$G49:$AK49="FE",SET!$G$4:$AK$4,"")))</f>
        <v/>
      </c>
      <c r="AA353" t="str">
        <f t="array" ref="AA353">IF($Q353="","",_xlfn.TEXTJOIN(", ",TRUE,IF(OUT!$G49:$AK49="FE",OUT!$G$4:$AK$4,"")))</f>
        <v/>
      </c>
      <c r="AB353" t="str">
        <f t="array" ref="AB353">IF($Q353="","",_xlfn.TEXTJOIN(", ",TRUE,IF(NOV!$G49:$AK49="FE",NOV!$G$4:$AK$4,"")))</f>
        <v/>
      </c>
      <c r="AC353" t="str">
        <f t="array" ref="AC353">IF($Q353="","",_xlfn.TEXTJOIN(", ",TRUE,IF(DEZ!$G49:$AK49="FE",DEZ!$G$4:$AK$4,"")))</f>
        <v/>
      </c>
      <c r="AD353">
        <f>IF($Q353="","",COUNTIF(JAN!$G49:$AK49,"FE")+COUNTIF(FEV!$G49:$AK49,"FE")+COUNTIF(MAR!$G49:$AK49,"FE")+COUNTIF(ABR!$G49:$AK49,"FE")+COUNTIF(MAI!$G49:$AK49,"FE")+COUNTIF(JUN!$G49:$AK49,"FE")+COUNTIF(JUL!$G49:$AK49,"FE")+COUNTIF(AGO!$G49:$AK49,"FE")+COUNTIF(SET!$G49:$AK49,"FE")+COUNTIF(OUT!$G49:$AK49,"FE")+COUNTIF(NOV!$G49:$AK49,"FE")+COUNTIF(DEZ!$G49:$AK49,"FE"))</f>
        <v>0</v>
      </c>
      <c r="AF353" t="str">
        <f>IF(AND($Q353&lt;&gt;"",N($AD353)&gt;0),COUNT($AF$309:AF352)+1,"")</f>
        <v/>
      </c>
    </row>
    <row r="354" spans="1:32" ht="20.100000000000001" customHeight="1" x14ac:dyDescent="0.25">
      <c r="A354" s="36" t="str">
        <f>IFERROR(INDEX($Q$310:$Q$459,MATCH(ROWS($A$310:A354),$AF$310:$AF$459,0)),"")</f>
        <v/>
      </c>
      <c r="B354" s="72" t="str">
        <f>IFERROR(INDEX($R$310:$R$459,MATCH(ROWS($A$310:A354),$AF$310:$AF$459,0)),"")</f>
        <v/>
      </c>
      <c r="C354" s="72" t="str">
        <f>IFERROR(INDEX($S$310:$S$459,MATCH(ROWS($A$310:A354),$AF$310:$AF$459,0)),"")</f>
        <v/>
      </c>
      <c r="D354" s="72" t="str">
        <f>IFERROR(INDEX($T$310:$T$459,MATCH(ROWS($A$310:A354),$AF$310:$AF$459,0)),"")</f>
        <v/>
      </c>
      <c r="E354" s="72" t="str">
        <f>IFERROR(INDEX($U$310:$U$459,MATCH(ROWS($A$310:A354),$AF$310:$AF$459,0)),"")</f>
        <v/>
      </c>
      <c r="F354" s="72" t="str">
        <f>IFERROR(INDEX($V$310:$V$459,MATCH(ROWS($A$310:A354),$AF$310:$AF$459,0)),"")</f>
        <v/>
      </c>
      <c r="G354" s="72" t="str">
        <f>IFERROR(INDEX($W$310:$W$459,MATCH(ROWS($A$310:A354),$AF$310:$AF$459,0)),"")</f>
        <v/>
      </c>
      <c r="H354" s="72" t="str">
        <f>IFERROR(INDEX($X$310:$X$459,MATCH(ROWS($A$310:A354),$AF$310:$AF$459,0)),"")</f>
        <v/>
      </c>
      <c r="I354" s="72" t="str">
        <f>IFERROR(INDEX($Y$310:$Y$459,MATCH(ROWS($A$310:A354),$AF$310:$AF$459,0)),"")</f>
        <v/>
      </c>
      <c r="J354" s="72" t="str">
        <f>IFERROR(INDEX($Z$310:$Z$459,MATCH(ROWS($A$310:A354),$AF$310:$AF$459,0)),"")</f>
        <v/>
      </c>
      <c r="K354" s="72" t="str">
        <f>IFERROR(INDEX($AA$310:$AA$459,MATCH(ROWS($A$310:A354),$AF$310:$AF$459,0)),"")</f>
        <v/>
      </c>
      <c r="L354" s="72" t="str">
        <f>IFERROR(INDEX($AB$310:$AB$459,MATCH(ROWS($A$310:A354),$AF$310:$AF$459,0)),"")</f>
        <v/>
      </c>
      <c r="M354" s="72" t="str">
        <f>IFERROR(INDEX($AC$310:$AC$459,MATCH(ROWS($A$310:A354),$AF$310:$AF$459,0)),"")</f>
        <v/>
      </c>
      <c r="N354" s="35" t="str">
        <f>IFERROR(INDEX($AD$310:$AD$459,MATCH(ROWS($A$310:A354),$AF$310:$AF$459,0)),"")</f>
        <v/>
      </c>
      <c r="Q354" t="str">
        <f>T(JAN!B50)</f>
        <v>DIEGO BOEIRA 125801</v>
      </c>
      <c r="R354" t="str">
        <f t="array" ref="R354">IF($Q354="","",_xlfn.TEXTJOIN(", ",TRUE,IF(JAN!$G50:$AK50="FE",JAN!$G$4:$AK$4,"")))</f>
        <v/>
      </c>
      <c r="S354" t="str">
        <f t="array" ref="S354">IF($Q354="","",_xlfn.TEXTJOIN(", ",TRUE,IF(FEV!$G50:$AK50="FE",FEV!$G$4:$AK$4,"")))</f>
        <v/>
      </c>
      <c r="T354" t="str">
        <f t="array" ref="T354">IF($Q354="","",_xlfn.TEXTJOIN(", ",TRUE,IF(MAR!$G50:$AK50="FE",MAR!$G$4:$AK$4,"")))</f>
        <v/>
      </c>
      <c r="U354" t="str">
        <f t="array" ref="U354">IF($Q354="","",_xlfn.TEXTJOIN(", ",TRUE,IF(ABR!$G50:$AK50="FE",ABR!$G$4:$AK$4,"")))</f>
        <v/>
      </c>
      <c r="V354" t="str">
        <f t="array" ref="V354">IF($Q354="","",_xlfn.TEXTJOIN(", ",TRUE,IF(MAI!$G50:$AK50="FE",MAI!$G$4:$AK$4,"")))</f>
        <v/>
      </c>
      <c r="W354" t="str">
        <f t="array" ref="W354">IF($Q354="","",_xlfn.TEXTJOIN(", ",TRUE,IF(JUN!$G50:$AK50="FE",JUN!$G$4:$AK$4,"")))</f>
        <v/>
      </c>
      <c r="X354" t="str">
        <f t="array" ref="X354">IF($Q354="","",_xlfn.TEXTJOIN(", ",TRUE,IF(JUL!$G50:$AK50="FE",JUL!$G$4:$AK$4,"")))</f>
        <v/>
      </c>
      <c r="Y354" t="str">
        <f t="array" ref="Y354">IF($Q354="","",_xlfn.TEXTJOIN(", ",TRUE,IF(AGO!$G50:$AK50="FE",AGO!$G$4:$AK$4,"")))</f>
        <v/>
      </c>
      <c r="Z354" t="str">
        <f t="array" ref="Z354">IF($Q354="","",_xlfn.TEXTJOIN(", ",TRUE,IF(SET!$G50:$AK50="FE",SET!$G$4:$AK$4,"")))</f>
        <v/>
      </c>
      <c r="AA354" t="str">
        <f t="array" ref="AA354">IF($Q354="","",_xlfn.TEXTJOIN(", ",TRUE,IF(OUT!$G50:$AK50="FE",OUT!$G$4:$AK$4,"")))</f>
        <v/>
      </c>
      <c r="AB354" t="str">
        <f t="array" ref="AB354">IF($Q354="","",_xlfn.TEXTJOIN(", ",TRUE,IF(NOV!$G50:$AK50="FE",NOV!$G$4:$AK$4,"")))</f>
        <v/>
      </c>
      <c r="AC354" t="str">
        <f t="array" ref="AC354">IF($Q354="","",_xlfn.TEXTJOIN(", ",TRUE,IF(DEZ!$G50:$AK50="FE",DEZ!$G$4:$AK$4,"")))</f>
        <v/>
      </c>
      <c r="AD354">
        <f>IF($Q354="","",COUNTIF(JAN!$G50:$AK50,"FE")+COUNTIF(FEV!$G50:$AK50,"FE")+COUNTIF(MAR!$G50:$AK50,"FE")+COUNTIF(ABR!$G50:$AK50,"FE")+COUNTIF(MAI!$G50:$AK50,"FE")+COUNTIF(JUN!$G50:$AK50,"FE")+COUNTIF(JUL!$G50:$AK50,"FE")+COUNTIF(AGO!$G50:$AK50,"FE")+COUNTIF(SET!$G50:$AK50,"FE")+COUNTIF(OUT!$G50:$AK50,"FE")+COUNTIF(NOV!$G50:$AK50,"FE")+COUNTIF(DEZ!$G50:$AK50,"FE"))</f>
        <v>0</v>
      </c>
      <c r="AF354" t="str">
        <f>IF(AND($Q354&lt;&gt;"",N($AD354)&gt;0),COUNT($AF$309:AF353)+1,"")</f>
        <v/>
      </c>
    </row>
    <row r="355" spans="1:32" ht="20.100000000000001" customHeight="1" x14ac:dyDescent="0.25">
      <c r="A355" s="36" t="str">
        <f>IFERROR(INDEX($Q$310:$Q$459,MATCH(ROWS($A$310:A355),$AF$310:$AF$459,0)),"")</f>
        <v/>
      </c>
      <c r="B355" s="72" t="str">
        <f>IFERROR(INDEX($R$310:$R$459,MATCH(ROWS($A$310:A355),$AF$310:$AF$459,0)),"")</f>
        <v/>
      </c>
      <c r="C355" s="72" t="str">
        <f>IFERROR(INDEX($S$310:$S$459,MATCH(ROWS($A$310:A355),$AF$310:$AF$459,0)),"")</f>
        <v/>
      </c>
      <c r="D355" s="72" t="str">
        <f>IFERROR(INDEX($T$310:$T$459,MATCH(ROWS($A$310:A355),$AF$310:$AF$459,0)),"")</f>
        <v/>
      </c>
      <c r="E355" s="72" t="str">
        <f>IFERROR(INDEX($U$310:$U$459,MATCH(ROWS($A$310:A355),$AF$310:$AF$459,0)),"")</f>
        <v/>
      </c>
      <c r="F355" s="72" t="str">
        <f>IFERROR(INDEX($V$310:$V$459,MATCH(ROWS($A$310:A355),$AF$310:$AF$459,0)),"")</f>
        <v/>
      </c>
      <c r="G355" s="72" t="str">
        <f>IFERROR(INDEX($W$310:$W$459,MATCH(ROWS($A$310:A355),$AF$310:$AF$459,0)),"")</f>
        <v/>
      </c>
      <c r="H355" s="72" t="str">
        <f>IFERROR(INDEX($X$310:$X$459,MATCH(ROWS($A$310:A355),$AF$310:$AF$459,0)),"")</f>
        <v/>
      </c>
      <c r="I355" s="72" t="str">
        <f>IFERROR(INDEX($Y$310:$Y$459,MATCH(ROWS($A$310:A355),$AF$310:$AF$459,0)),"")</f>
        <v/>
      </c>
      <c r="J355" s="72" t="str">
        <f>IFERROR(INDEX($Z$310:$Z$459,MATCH(ROWS($A$310:A355),$AF$310:$AF$459,0)),"")</f>
        <v/>
      </c>
      <c r="K355" s="72" t="str">
        <f>IFERROR(INDEX($AA$310:$AA$459,MATCH(ROWS($A$310:A355),$AF$310:$AF$459,0)),"")</f>
        <v/>
      </c>
      <c r="L355" s="72" t="str">
        <f>IFERROR(INDEX($AB$310:$AB$459,MATCH(ROWS($A$310:A355),$AF$310:$AF$459,0)),"")</f>
        <v/>
      </c>
      <c r="M355" s="72" t="str">
        <f>IFERROR(INDEX($AC$310:$AC$459,MATCH(ROWS($A$310:A355),$AF$310:$AF$459,0)),"")</f>
        <v/>
      </c>
      <c r="N355" s="35" t="str">
        <f>IFERROR(INDEX($AD$310:$AD$459,MATCH(ROWS($A$310:A355),$AF$310:$AF$459,0)),"")</f>
        <v/>
      </c>
      <c r="Q355" t="str">
        <f>T(JAN!B51)</f>
        <v>STEFAN KOVALICK 310001</v>
      </c>
      <c r="R355" t="str">
        <f t="array" ref="R355">IF($Q355="","",_xlfn.TEXTJOIN(", ",TRUE,IF(JAN!$G51:$AK51="FE",JAN!$G$4:$AK$4,"")))</f>
        <v/>
      </c>
      <c r="S355" t="str">
        <f t="array" ref="S355">IF($Q355="","",_xlfn.TEXTJOIN(", ",TRUE,IF(FEV!$G51:$AK51="FE",FEV!$G$4:$AK$4,"")))</f>
        <v/>
      </c>
      <c r="T355" t="str">
        <f t="array" ref="T355">IF($Q355="","",_xlfn.TEXTJOIN(", ",TRUE,IF(MAR!$G51:$AK51="FE",MAR!$G$4:$AK$4,"")))</f>
        <v/>
      </c>
      <c r="U355" t="str">
        <f t="array" ref="U355">IF($Q355="","",_xlfn.TEXTJOIN(", ",TRUE,IF(ABR!$G51:$AK51="FE",ABR!$G$4:$AK$4,"")))</f>
        <v/>
      </c>
      <c r="V355" t="str">
        <f t="array" ref="V355">IF($Q355="","",_xlfn.TEXTJOIN(", ",TRUE,IF(MAI!$G51:$AK51="FE",MAI!$G$4:$AK$4,"")))</f>
        <v/>
      </c>
      <c r="W355" t="str">
        <f t="array" ref="W355">IF($Q355="","",_xlfn.TEXTJOIN(", ",TRUE,IF(JUN!$G51:$AK51="FE",JUN!$G$4:$AK$4,"")))</f>
        <v/>
      </c>
      <c r="X355" t="str">
        <f t="array" ref="X355">IF($Q355="","",_xlfn.TEXTJOIN(", ",TRUE,IF(JUL!$G51:$AK51="FE",JUL!$G$4:$AK$4,"")))</f>
        <v/>
      </c>
      <c r="Y355" t="str">
        <f t="array" ref="Y355">IF($Q355="","",_xlfn.TEXTJOIN(", ",TRUE,IF(AGO!$G51:$AK51="FE",AGO!$G$4:$AK$4,"")))</f>
        <v/>
      </c>
      <c r="Z355" t="str">
        <f t="array" ref="Z355">IF($Q355="","",_xlfn.TEXTJOIN(", ",TRUE,IF(SET!$G51:$AK51="FE",SET!$G$4:$AK$4,"")))</f>
        <v/>
      </c>
      <c r="AA355" t="str">
        <f t="array" ref="AA355">IF($Q355="","",_xlfn.TEXTJOIN(", ",TRUE,IF(OUT!$G51:$AK51="FE",OUT!$G$4:$AK$4,"")))</f>
        <v/>
      </c>
      <c r="AB355" t="str">
        <f t="array" ref="AB355">IF($Q355="","",_xlfn.TEXTJOIN(", ",TRUE,IF(NOV!$G51:$AK51="FE",NOV!$G$4:$AK$4,"")))</f>
        <v/>
      </c>
      <c r="AC355" t="str">
        <f t="array" ref="AC355">IF($Q355="","",_xlfn.TEXTJOIN(", ",TRUE,IF(DEZ!$G51:$AK51="FE",DEZ!$G$4:$AK$4,"")))</f>
        <v/>
      </c>
      <c r="AD355">
        <f>IF($Q355="","",COUNTIF(JAN!$G51:$AK51,"FE")+COUNTIF(FEV!$G51:$AK51,"FE")+COUNTIF(MAR!$G51:$AK51,"FE")+COUNTIF(ABR!$G51:$AK51,"FE")+COUNTIF(MAI!$G51:$AK51,"FE")+COUNTIF(JUN!$G51:$AK51,"FE")+COUNTIF(JUL!$G51:$AK51,"FE")+COUNTIF(AGO!$G51:$AK51,"FE")+COUNTIF(SET!$G51:$AK51,"FE")+COUNTIF(OUT!$G51:$AK51,"FE")+COUNTIF(NOV!$G51:$AK51,"FE")+COUNTIF(DEZ!$G51:$AK51,"FE"))</f>
        <v>0</v>
      </c>
      <c r="AF355" t="str">
        <f>IF(AND($Q355&lt;&gt;"",N($AD355)&gt;0),COUNT($AF$309:AF354)+1,"")</f>
        <v/>
      </c>
    </row>
    <row r="356" spans="1:32" ht="20.100000000000001" customHeight="1" x14ac:dyDescent="0.25">
      <c r="A356" s="36" t="str">
        <f>IFERROR(INDEX($Q$310:$Q$459,MATCH(ROWS($A$310:A356),$AF$310:$AF$459,0)),"")</f>
        <v/>
      </c>
      <c r="B356" s="35" t="str">
        <f>IFERROR(INDEX($R$310:$R$459,MATCH(ROWS($A$310:A356),$AF$310:$AF$459,0)),"")</f>
        <v/>
      </c>
      <c r="C356" s="35" t="str">
        <f>IFERROR(INDEX($S$310:$S$459,MATCH(ROWS($A$310:A356),$AF$310:$AF$459,0)),"")</f>
        <v/>
      </c>
      <c r="D356" s="35" t="str">
        <f>IFERROR(INDEX($T$310:$T$459,MATCH(ROWS($A$310:A356),$AF$310:$AF$459,0)),"")</f>
        <v/>
      </c>
      <c r="E356" s="35" t="str">
        <f>IFERROR(INDEX($U$310:$U$459,MATCH(ROWS($A$310:A356),$AF$310:$AF$459,0)),"")</f>
        <v/>
      </c>
      <c r="F356" s="35" t="str">
        <f>IFERROR(INDEX($V$310:$V$459,MATCH(ROWS($A$310:A356),$AF$310:$AF$459,0)),"")</f>
        <v/>
      </c>
      <c r="G356" s="35" t="str">
        <f>IFERROR(INDEX($W$310:$W$459,MATCH(ROWS($A$310:A356),$AF$310:$AF$459,0)),"")</f>
        <v/>
      </c>
      <c r="H356" s="35" t="str">
        <f>IFERROR(INDEX($X$310:$X$459,MATCH(ROWS($A$310:A356),$AF$310:$AF$459,0)),"")</f>
        <v/>
      </c>
      <c r="I356" s="35" t="str">
        <f>IFERROR(INDEX($Y$310:$Y$459,MATCH(ROWS($A$310:A356),$AF$310:$AF$459,0)),"")</f>
        <v/>
      </c>
      <c r="J356" s="35" t="str">
        <f>IFERROR(INDEX($Z$310:$Z$459,MATCH(ROWS($A$310:A356),$AF$310:$AF$459,0)),"")</f>
        <v/>
      </c>
      <c r="K356" s="35" t="str">
        <f>IFERROR(INDEX($AA$310:$AA$459,MATCH(ROWS($A$310:A356),$AF$310:$AF$459,0)),"")</f>
        <v/>
      </c>
      <c r="L356" s="35" t="str">
        <f>IFERROR(INDEX($AB$310:$AB$459,MATCH(ROWS($A$310:A356),$AF$310:$AF$459,0)),"")</f>
        <v/>
      </c>
      <c r="M356" s="35" t="str">
        <f>IFERROR(INDEX($AC$310:$AC$459,MATCH(ROWS($A$310:A356),$AF$310:$AF$459,0)),"")</f>
        <v/>
      </c>
      <c r="N356" s="35" t="str">
        <f>IFERROR(INDEX($AD$310:$AD$459,MATCH(ROWS($A$310:A356),$AF$310:$AF$459,0)),"")</f>
        <v/>
      </c>
      <c r="Q356" t="str">
        <f>T(JAN!B52)</f>
        <v>JEFERSON SCHENA 309901</v>
      </c>
      <c r="R356" t="str">
        <f t="array" ref="R356">IF($Q356="","",_xlfn.TEXTJOIN(", ",TRUE,IF(JAN!$G52:$AK52="FE",JAN!$G$4:$AK$4,"")))</f>
        <v/>
      </c>
      <c r="S356" t="str">
        <f t="array" ref="S356">IF($Q356="","",_xlfn.TEXTJOIN(", ",TRUE,IF(FEV!$G52:$AK52="FE",FEV!$G$4:$AK$4,"")))</f>
        <v/>
      </c>
      <c r="T356" t="str">
        <f t="array" ref="T356">IF($Q356="","",_xlfn.TEXTJOIN(", ",TRUE,IF(MAR!$G52:$AK52="FE",MAR!$G$4:$AK$4,"")))</f>
        <v/>
      </c>
      <c r="U356" t="str">
        <f t="array" ref="U356">IF($Q356="","",_xlfn.TEXTJOIN(", ",TRUE,IF(ABR!$G52:$AK52="FE",ABR!$G$4:$AK$4,"")))</f>
        <v/>
      </c>
      <c r="V356" t="str">
        <f t="array" ref="V356">IF($Q356="","",_xlfn.TEXTJOIN(", ",TRUE,IF(MAI!$G52:$AK52="FE",MAI!$G$4:$AK$4,"")))</f>
        <v/>
      </c>
      <c r="W356" t="str">
        <f t="array" ref="W356">IF($Q356="","",_xlfn.TEXTJOIN(", ",TRUE,IF(JUN!$G52:$AK52="FE",JUN!$G$4:$AK$4,"")))</f>
        <v/>
      </c>
      <c r="X356" t="str">
        <f t="array" ref="X356">IF($Q356="","",_xlfn.TEXTJOIN(", ",TRUE,IF(JUL!$G52:$AK52="FE",JUL!$G$4:$AK$4,"")))</f>
        <v/>
      </c>
      <c r="Y356" t="str">
        <f t="array" ref="Y356">IF($Q356="","",_xlfn.TEXTJOIN(", ",TRUE,IF(AGO!$G52:$AK52="FE",AGO!$G$4:$AK$4,"")))</f>
        <v/>
      </c>
      <c r="Z356" t="str">
        <f t="array" ref="Z356">IF($Q356="","",_xlfn.TEXTJOIN(", ",TRUE,IF(SET!$G52:$AK52="FE",SET!$G$4:$AK$4,"")))</f>
        <v/>
      </c>
      <c r="AA356" t="str">
        <f t="array" ref="AA356">IF($Q356="","",_xlfn.TEXTJOIN(", ",TRUE,IF(OUT!$G52:$AK52="FE",OUT!$G$4:$AK$4,"")))</f>
        <v/>
      </c>
      <c r="AB356" t="str">
        <f t="array" ref="AB356">IF($Q356="","",_xlfn.TEXTJOIN(", ",TRUE,IF(NOV!$G52:$AK52="FE",NOV!$G$4:$AK$4,"")))</f>
        <v/>
      </c>
      <c r="AC356" t="str">
        <f t="array" ref="AC356">IF($Q356="","",_xlfn.TEXTJOIN(", ",TRUE,IF(DEZ!$G52:$AK52="FE",DEZ!$G$4:$AK$4,"")))</f>
        <v/>
      </c>
      <c r="AD356">
        <f>IF($Q356="","",COUNTIF(JAN!$G52:$AK52,"FE")+COUNTIF(FEV!$G52:$AK52,"FE")+COUNTIF(MAR!$G52:$AK52,"FE")+COUNTIF(ABR!$G52:$AK52,"FE")+COUNTIF(MAI!$G52:$AK52,"FE")+COUNTIF(JUN!$G52:$AK52,"FE")+COUNTIF(JUL!$G52:$AK52,"FE")+COUNTIF(AGO!$G52:$AK52,"FE")+COUNTIF(SET!$G52:$AK52,"FE")+COUNTIF(OUT!$G52:$AK52,"FE")+COUNTIF(NOV!$G52:$AK52,"FE")+COUNTIF(DEZ!$G52:$AK52,"FE"))</f>
        <v>0</v>
      </c>
      <c r="AF356" t="str">
        <f>IF(AND($Q356&lt;&gt;"",N($AD356)&gt;0),COUNT($AF$309:AF355)+1,"")</f>
        <v/>
      </c>
    </row>
    <row r="357" spans="1:32" ht="20.100000000000001" customHeight="1" x14ac:dyDescent="0.25">
      <c r="A357" s="36" t="str">
        <f>IFERROR(INDEX($Q$310:$Q$459,MATCH(ROWS($A$310:A357),$AF$310:$AF$459,0)),"")</f>
        <v/>
      </c>
      <c r="B357" s="35" t="str">
        <f>IFERROR(INDEX($R$310:$R$459,MATCH(ROWS($A$310:A357),$AF$310:$AF$459,0)),"")</f>
        <v/>
      </c>
      <c r="C357" s="35" t="str">
        <f>IFERROR(INDEX($S$310:$S$459,MATCH(ROWS($A$310:A357),$AF$310:$AF$459,0)),"")</f>
        <v/>
      </c>
      <c r="D357" s="35" t="str">
        <f>IFERROR(INDEX($T$310:$T$459,MATCH(ROWS($A$310:A357),$AF$310:$AF$459,0)),"")</f>
        <v/>
      </c>
      <c r="E357" s="35" t="str">
        <f>IFERROR(INDEX($U$310:$U$459,MATCH(ROWS($A$310:A357),$AF$310:$AF$459,0)),"")</f>
        <v/>
      </c>
      <c r="F357" s="35" t="str">
        <f>IFERROR(INDEX($V$310:$V$459,MATCH(ROWS($A$310:A357),$AF$310:$AF$459,0)),"")</f>
        <v/>
      </c>
      <c r="G357" s="35" t="str">
        <f>IFERROR(INDEX($W$310:$W$459,MATCH(ROWS($A$310:A357),$AF$310:$AF$459,0)),"")</f>
        <v/>
      </c>
      <c r="H357" s="35" t="str">
        <f>IFERROR(INDEX($X$310:$X$459,MATCH(ROWS($A$310:A357),$AF$310:$AF$459,0)),"")</f>
        <v/>
      </c>
      <c r="I357" s="35" t="str">
        <f>IFERROR(INDEX($Y$310:$Y$459,MATCH(ROWS($A$310:A357),$AF$310:$AF$459,0)),"")</f>
        <v/>
      </c>
      <c r="J357" s="35" t="str">
        <f>IFERROR(INDEX($Z$310:$Z$459,MATCH(ROWS($A$310:A357),$AF$310:$AF$459,0)),"")</f>
        <v/>
      </c>
      <c r="K357" s="35" t="str">
        <f>IFERROR(INDEX($AA$310:$AA$459,MATCH(ROWS($A$310:A357),$AF$310:$AF$459,0)),"")</f>
        <v/>
      </c>
      <c r="L357" s="35" t="str">
        <f>IFERROR(INDEX($AB$310:$AB$459,MATCH(ROWS($A$310:A357),$AF$310:$AF$459,0)),"")</f>
        <v/>
      </c>
      <c r="M357" s="35" t="str">
        <f>IFERROR(INDEX($AC$310:$AC$459,MATCH(ROWS($A$310:A357),$AF$310:$AF$459,0)),"")</f>
        <v/>
      </c>
      <c r="N357" s="35" t="str">
        <f>IFERROR(INDEX($AD$310:$AD$459,MATCH(ROWS($A$310:A357),$AF$310:$AF$459,0)),"")</f>
        <v/>
      </c>
      <c r="Q357" t="str">
        <f>T(JAN!B53)</f>
        <v>ALEXANDRE ARAUJO 346001</v>
      </c>
      <c r="R357" t="str">
        <f t="array" ref="R357">IF($Q357="","",_xlfn.TEXTJOIN(", ",TRUE,IF(JAN!$G53:$AK53="FE",JAN!$G$4:$AK$4,"")))</f>
        <v/>
      </c>
      <c r="S357" t="str">
        <f t="array" ref="S357">IF($Q357="","",_xlfn.TEXTJOIN(", ",TRUE,IF(FEV!$G53:$AK53="FE",FEV!$G$4:$AK$4,"")))</f>
        <v/>
      </c>
      <c r="T357" t="str">
        <f t="array" ref="T357">IF($Q357="","",_xlfn.TEXTJOIN(", ",TRUE,IF(MAR!$G53:$AK53="FE",MAR!$G$4:$AK$4,"")))</f>
        <v/>
      </c>
      <c r="U357" t="str">
        <f t="array" ref="U357">IF($Q357="","",_xlfn.TEXTJOIN(", ",TRUE,IF(ABR!$G53:$AK53="FE",ABR!$G$4:$AK$4,"")))</f>
        <v/>
      </c>
      <c r="V357" t="str">
        <f t="array" ref="V357">IF($Q357="","",_xlfn.TEXTJOIN(", ",TRUE,IF(MAI!$G53:$AK53="FE",MAI!$G$4:$AK$4,"")))</f>
        <v/>
      </c>
      <c r="W357" t="str">
        <f t="array" ref="W357">IF($Q357="","",_xlfn.TEXTJOIN(", ",TRUE,IF(JUN!$G53:$AK53="FE",JUN!$G$4:$AK$4,"")))</f>
        <v/>
      </c>
      <c r="X357" t="str">
        <f t="array" ref="X357">IF($Q357="","",_xlfn.TEXTJOIN(", ",TRUE,IF(JUL!$G53:$AK53="FE",JUL!$G$4:$AK$4,"")))</f>
        <v/>
      </c>
      <c r="Y357" t="str">
        <f t="array" ref="Y357">IF($Q357="","",_xlfn.TEXTJOIN(", ",TRUE,IF(AGO!$G53:$AK53="FE",AGO!$G$4:$AK$4,"")))</f>
        <v/>
      </c>
      <c r="Z357" t="str">
        <f t="array" ref="Z357">IF($Q357="","",_xlfn.TEXTJOIN(", ",TRUE,IF(SET!$G53:$AK53="FE",SET!$G$4:$AK$4,"")))</f>
        <v/>
      </c>
      <c r="AA357" t="str">
        <f t="array" ref="AA357">IF($Q357="","",_xlfn.TEXTJOIN(", ",TRUE,IF(OUT!$G53:$AK53="FE",OUT!$G$4:$AK$4,"")))</f>
        <v/>
      </c>
      <c r="AB357" t="str">
        <f t="array" ref="AB357">IF($Q357="","",_xlfn.TEXTJOIN(", ",TRUE,IF(NOV!$G53:$AK53="FE",NOV!$G$4:$AK$4,"")))</f>
        <v/>
      </c>
      <c r="AC357" t="str">
        <f t="array" ref="AC357">IF($Q357="","",_xlfn.TEXTJOIN(", ",TRUE,IF(DEZ!$G53:$AK53="FE",DEZ!$G$4:$AK$4,"")))</f>
        <v/>
      </c>
      <c r="AD357">
        <f>IF($Q357="","",COUNTIF(JAN!$G53:$AK53,"FE")+COUNTIF(FEV!$G53:$AK53,"FE")+COUNTIF(MAR!$G53:$AK53,"FE")+COUNTIF(ABR!$G53:$AK53,"FE")+COUNTIF(MAI!$G53:$AK53,"FE")+COUNTIF(JUN!$G53:$AK53,"FE")+COUNTIF(JUL!$G53:$AK53,"FE")+COUNTIF(AGO!$G53:$AK53,"FE")+COUNTIF(SET!$G53:$AK53,"FE")+COUNTIF(OUT!$G53:$AK53,"FE")+COUNTIF(NOV!$G53:$AK53,"FE")+COUNTIF(DEZ!$G53:$AK53,"FE"))</f>
        <v>0</v>
      </c>
      <c r="AF357" t="str">
        <f>IF(AND($Q357&lt;&gt;"",N($AD357)&gt;0),COUNT($AF$309:AF356)+1,"")</f>
        <v/>
      </c>
    </row>
    <row r="358" spans="1:32" ht="20.100000000000001" customHeight="1" x14ac:dyDescent="0.25">
      <c r="A358" s="36" t="str">
        <f>IFERROR(INDEX($Q$310:$Q$459,MATCH(ROWS($A$310:A358),$AF$310:$AF$459,0)),"")</f>
        <v/>
      </c>
      <c r="B358" s="35" t="str">
        <f>IFERROR(INDEX($R$310:$R$459,MATCH(ROWS($A$310:A358),$AF$310:$AF$459,0)),"")</f>
        <v/>
      </c>
      <c r="C358" s="35" t="str">
        <f>IFERROR(INDEX($S$310:$S$459,MATCH(ROWS($A$310:A358),$AF$310:$AF$459,0)),"")</f>
        <v/>
      </c>
      <c r="D358" s="35" t="str">
        <f>IFERROR(INDEX($T$310:$T$459,MATCH(ROWS($A$310:A358),$AF$310:$AF$459,0)),"")</f>
        <v/>
      </c>
      <c r="E358" s="35" t="str">
        <f>IFERROR(INDEX($U$310:$U$459,MATCH(ROWS($A$310:A358),$AF$310:$AF$459,0)),"")</f>
        <v/>
      </c>
      <c r="F358" s="35" t="str">
        <f>IFERROR(INDEX($V$310:$V$459,MATCH(ROWS($A$310:A358),$AF$310:$AF$459,0)),"")</f>
        <v/>
      </c>
      <c r="G358" s="35" t="str">
        <f>IFERROR(INDEX($W$310:$W$459,MATCH(ROWS($A$310:A358),$AF$310:$AF$459,0)),"")</f>
        <v/>
      </c>
      <c r="H358" s="35" t="str">
        <f>IFERROR(INDEX($X$310:$X$459,MATCH(ROWS($A$310:A358),$AF$310:$AF$459,0)),"")</f>
        <v/>
      </c>
      <c r="I358" s="35" t="str">
        <f>IFERROR(INDEX($Y$310:$Y$459,MATCH(ROWS($A$310:A358),$AF$310:$AF$459,0)),"")</f>
        <v/>
      </c>
      <c r="J358" s="35" t="str">
        <f>IFERROR(INDEX($Z$310:$Z$459,MATCH(ROWS($A$310:A358),$AF$310:$AF$459,0)),"")</f>
        <v/>
      </c>
      <c r="K358" s="35" t="str">
        <f>IFERROR(INDEX($AA$310:$AA$459,MATCH(ROWS($A$310:A358),$AF$310:$AF$459,0)),"")</f>
        <v/>
      </c>
      <c r="L358" s="35" t="str">
        <f>IFERROR(INDEX($AB$310:$AB$459,MATCH(ROWS($A$310:A358),$AF$310:$AF$459,0)),"")</f>
        <v/>
      </c>
      <c r="M358" s="35" t="str">
        <f>IFERROR(INDEX($AC$310:$AC$459,MATCH(ROWS($A$310:A358),$AF$310:$AF$459,0)),"")</f>
        <v/>
      </c>
      <c r="N358" s="35" t="str">
        <f>IFERROR(INDEX($AD$310:$AD$459,MATCH(ROWS($A$310:A358),$AF$310:$AF$459,0)),"")</f>
        <v/>
      </c>
      <c r="Q358" t="str">
        <f>T(JAN!B54)</f>
        <v>FABIANO BORGES 128901</v>
      </c>
      <c r="R358" t="str">
        <f t="array" ref="R358">IF($Q358="","",_xlfn.TEXTJOIN(", ",TRUE,IF(JAN!$G54:$AK54="FE",JAN!$G$4:$AK$4,"")))</f>
        <v/>
      </c>
      <c r="S358" t="str">
        <f t="array" ref="S358">IF($Q358="","",_xlfn.TEXTJOIN(", ",TRUE,IF(FEV!$G54:$AK54="FE",FEV!$G$4:$AK$4,"")))</f>
        <v/>
      </c>
      <c r="T358" t="str">
        <f t="array" ref="T358">IF($Q358="","",_xlfn.TEXTJOIN(", ",TRUE,IF(MAR!$G54:$AK54="FE",MAR!$G$4:$AK$4,"")))</f>
        <v/>
      </c>
      <c r="U358" t="str">
        <f t="array" ref="U358">IF($Q358="","",_xlfn.TEXTJOIN(", ",TRUE,IF(ABR!$G54:$AK54="FE",ABR!$G$4:$AK$4,"")))</f>
        <v/>
      </c>
      <c r="V358" t="str">
        <f t="array" ref="V358">IF($Q358="","",_xlfn.TEXTJOIN(", ",TRUE,IF(MAI!$G54:$AK54="FE",MAI!$G$4:$AK$4,"")))</f>
        <v/>
      </c>
      <c r="W358" t="str">
        <f t="array" ref="W358">IF($Q358="","",_xlfn.TEXTJOIN(", ",TRUE,IF(JUN!$G54:$AK54="FE",JUN!$G$4:$AK$4,"")))</f>
        <v/>
      </c>
      <c r="X358" t="str">
        <f t="array" ref="X358">IF($Q358="","",_xlfn.TEXTJOIN(", ",TRUE,IF(JUL!$G54:$AK54="FE",JUL!$G$4:$AK$4,"")))</f>
        <v/>
      </c>
      <c r="Y358" t="str">
        <f t="array" ref="Y358">IF($Q358="","",_xlfn.TEXTJOIN(", ",TRUE,IF(AGO!$G54:$AK54="FE",AGO!$G$4:$AK$4,"")))</f>
        <v/>
      </c>
      <c r="Z358" t="str">
        <f t="array" ref="Z358">IF($Q358="","",_xlfn.TEXTJOIN(", ",TRUE,IF(SET!$G54:$AK54="FE",SET!$G$4:$AK$4,"")))</f>
        <v/>
      </c>
      <c r="AA358" t="str">
        <f t="array" ref="AA358">IF($Q358="","",_xlfn.TEXTJOIN(", ",TRUE,IF(OUT!$G54:$AK54="FE",OUT!$G$4:$AK$4,"")))</f>
        <v/>
      </c>
      <c r="AB358" t="str">
        <f t="array" ref="AB358">IF($Q358="","",_xlfn.TEXTJOIN(", ",TRUE,IF(NOV!$G54:$AK54="FE",NOV!$G$4:$AK$4,"")))</f>
        <v/>
      </c>
      <c r="AC358" t="str">
        <f t="array" ref="AC358">IF($Q358="","",_xlfn.TEXTJOIN(", ",TRUE,IF(DEZ!$G54:$AK54="FE",DEZ!$G$4:$AK$4,"")))</f>
        <v/>
      </c>
      <c r="AD358">
        <f>IF($Q358="","",COUNTIF(JAN!$G54:$AK54,"FE")+COUNTIF(FEV!$G54:$AK54,"FE")+COUNTIF(MAR!$G54:$AK54,"FE")+COUNTIF(ABR!$G54:$AK54,"FE")+COUNTIF(MAI!$G54:$AK54,"FE")+COUNTIF(JUN!$G54:$AK54,"FE")+COUNTIF(JUL!$G54:$AK54,"FE")+COUNTIF(AGO!$G54:$AK54,"FE")+COUNTIF(SET!$G54:$AK54,"FE")+COUNTIF(OUT!$G54:$AK54,"FE")+COUNTIF(NOV!$G54:$AK54,"FE")+COUNTIF(DEZ!$G54:$AK54,"FE"))</f>
        <v>0</v>
      </c>
      <c r="AF358" t="str">
        <f>IF(AND($Q358&lt;&gt;"",N($AD358)&gt;0),COUNT($AF$309:AF357)+1,"")</f>
        <v/>
      </c>
    </row>
    <row r="359" spans="1:32" ht="20.100000000000001" customHeight="1" x14ac:dyDescent="0.25">
      <c r="A359" s="36" t="str">
        <f>IFERROR(INDEX($Q$310:$Q$459,MATCH(ROWS($A$310:A359),$AF$310:$AF$459,0)),"")</f>
        <v/>
      </c>
      <c r="B359" s="35" t="str">
        <f>IFERROR(INDEX($R$310:$R$459,MATCH(ROWS($A$310:A359),$AF$310:$AF$459,0)),"")</f>
        <v/>
      </c>
      <c r="C359" s="35" t="str">
        <f>IFERROR(INDEX($S$310:$S$459,MATCH(ROWS($A$310:A359),$AF$310:$AF$459,0)),"")</f>
        <v/>
      </c>
      <c r="D359" s="35" t="str">
        <f>IFERROR(INDEX($T$310:$T$459,MATCH(ROWS($A$310:A359),$AF$310:$AF$459,0)),"")</f>
        <v/>
      </c>
      <c r="E359" s="35" t="str">
        <f>IFERROR(INDEX($U$310:$U$459,MATCH(ROWS($A$310:A359),$AF$310:$AF$459,0)),"")</f>
        <v/>
      </c>
      <c r="F359" s="35" t="str">
        <f>IFERROR(INDEX($V$310:$V$459,MATCH(ROWS($A$310:A359),$AF$310:$AF$459,0)),"")</f>
        <v/>
      </c>
      <c r="G359" s="35" t="str">
        <f>IFERROR(INDEX($W$310:$W$459,MATCH(ROWS($A$310:A359),$AF$310:$AF$459,0)),"")</f>
        <v/>
      </c>
      <c r="H359" s="35" t="str">
        <f>IFERROR(INDEX($X$310:$X$459,MATCH(ROWS($A$310:A359),$AF$310:$AF$459,0)),"")</f>
        <v/>
      </c>
      <c r="I359" s="35" t="str">
        <f>IFERROR(INDEX($Y$310:$Y$459,MATCH(ROWS($A$310:A359),$AF$310:$AF$459,0)),"")</f>
        <v/>
      </c>
      <c r="J359" s="35" t="str">
        <f>IFERROR(INDEX($Z$310:$Z$459,MATCH(ROWS($A$310:A359),$AF$310:$AF$459,0)),"")</f>
        <v/>
      </c>
      <c r="K359" s="35" t="str">
        <f>IFERROR(INDEX($AA$310:$AA$459,MATCH(ROWS($A$310:A359),$AF$310:$AF$459,0)),"")</f>
        <v/>
      </c>
      <c r="L359" s="35" t="str">
        <f>IFERROR(INDEX($AB$310:$AB$459,MATCH(ROWS($A$310:A359),$AF$310:$AF$459,0)),"")</f>
        <v/>
      </c>
      <c r="M359" s="35" t="str">
        <f>IFERROR(INDEX($AC$310:$AC$459,MATCH(ROWS($A$310:A359),$AF$310:$AF$459,0)),"")</f>
        <v/>
      </c>
      <c r="N359" s="35" t="str">
        <f>IFERROR(INDEX($AD$310:$AD$459,MATCH(ROWS($A$310:A359),$AF$310:$AF$459,0)),"")</f>
        <v/>
      </c>
      <c r="Q359" t="str">
        <f>T(JAN!B55)</f>
        <v>LAUTIER ALMEIDA 317501</v>
      </c>
      <c r="R359" t="str">
        <f t="array" ref="R359">IF($Q359="","",_xlfn.TEXTJOIN(", ",TRUE,IF(JAN!$G55:$AK55="FE",JAN!$G$4:$AK$4,"")))</f>
        <v/>
      </c>
      <c r="S359" t="str">
        <f t="array" ref="S359">IF($Q359="","",_xlfn.TEXTJOIN(", ",TRUE,IF(FEV!$G55:$AK55="FE",FEV!$G$4:$AK$4,"")))</f>
        <v/>
      </c>
      <c r="T359" t="str">
        <f t="array" ref="T359">IF($Q359="","",_xlfn.TEXTJOIN(", ",TRUE,IF(MAR!$G55:$AK55="FE",MAR!$G$4:$AK$4,"")))</f>
        <v/>
      </c>
      <c r="U359" t="str">
        <f t="array" ref="U359">IF($Q359="","",_xlfn.TEXTJOIN(", ",TRUE,IF(ABR!$G55:$AK55="FE",ABR!$G$4:$AK$4,"")))</f>
        <v/>
      </c>
      <c r="V359" t="str">
        <f t="array" ref="V359">IF($Q359="","",_xlfn.TEXTJOIN(", ",TRUE,IF(MAI!$G55:$AK55="FE",MAI!$G$4:$AK$4,"")))</f>
        <v/>
      </c>
      <c r="W359" t="str">
        <f t="array" ref="W359">IF($Q359="","",_xlfn.TEXTJOIN(", ",TRUE,IF(JUN!$G55:$AK55="FE",JUN!$G$4:$AK$4,"")))</f>
        <v/>
      </c>
      <c r="X359" t="str">
        <f t="array" ref="X359">IF($Q359="","",_xlfn.TEXTJOIN(", ",TRUE,IF(JUL!$G55:$AK55="FE",JUL!$G$4:$AK$4,"")))</f>
        <v/>
      </c>
      <c r="Y359" t="str">
        <f t="array" ref="Y359">IF($Q359="","",_xlfn.TEXTJOIN(", ",TRUE,IF(AGO!$G55:$AK55="FE",AGO!$G$4:$AK$4,"")))</f>
        <v/>
      </c>
      <c r="Z359" t="str">
        <f t="array" ref="Z359">IF($Q359="","",_xlfn.TEXTJOIN(", ",TRUE,IF(SET!$G55:$AK55="FE",SET!$G$4:$AK$4,"")))</f>
        <v/>
      </c>
      <c r="AA359" t="str">
        <f t="array" ref="AA359">IF($Q359="","",_xlfn.TEXTJOIN(", ",TRUE,IF(OUT!$G55:$AK55="FE",OUT!$G$4:$AK$4,"")))</f>
        <v/>
      </c>
      <c r="AB359" t="str">
        <f t="array" ref="AB359">IF($Q359="","",_xlfn.TEXTJOIN(", ",TRUE,IF(NOV!$G55:$AK55="FE",NOV!$G$4:$AK$4,"")))</f>
        <v/>
      </c>
      <c r="AC359" t="str">
        <f t="array" ref="AC359">IF($Q359="","",_xlfn.TEXTJOIN(", ",TRUE,IF(DEZ!$G55:$AK55="FE",DEZ!$G$4:$AK$4,"")))</f>
        <v/>
      </c>
      <c r="AD359">
        <f>IF($Q359="","",COUNTIF(JAN!$G55:$AK55,"FE")+COUNTIF(FEV!$G55:$AK55,"FE")+COUNTIF(MAR!$G55:$AK55,"FE")+COUNTIF(ABR!$G55:$AK55,"FE")+COUNTIF(MAI!$G55:$AK55,"FE")+COUNTIF(JUN!$G55:$AK55,"FE")+COUNTIF(JUL!$G55:$AK55,"FE")+COUNTIF(AGO!$G55:$AK55,"FE")+COUNTIF(SET!$G55:$AK55,"FE")+COUNTIF(OUT!$G55:$AK55,"FE")+COUNTIF(NOV!$G55:$AK55,"FE")+COUNTIF(DEZ!$G55:$AK55,"FE"))</f>
        <v>0</v>
      </c>
      <c r="AF359" t="str">
        <f>IF(AND($Q359&lt;&gt;"",N($AD359)&gt;0),COUNT($AF$309:AF358)+1,"")</f>
        <v/>
      </c>
    </row>
    <row r="360" spans="1:32" ht="20.100000000000001" customHeight="1" x14ac:dyDescent="0.25">
      <c r="A360" s="36" t="str">
        <f>IFERROR(INDEX($Q$310:$Q$459,MATCH(ROWS($A$310:A360),$AF$310:$AF$459,0)),"")</f>
        <v/>
      </c>
      <c r="B360" s="35" t="str">
        <f>IFERROR(INDEX($R$310:$R$459,MATCH(ROWS($A$310:A360),$AF$310:$AF$459,0)),"")</f>
        <v/>
      </c>
      <c r="C360" s="35" t="str">
        <f>IFERROR(INDEX($S$310:$S$459,MATCH(ROWS($A$310:A360),$AF$310:$AF$459,0)),"")</f>
        <v/>
      </c>
      <c r="D360" s="35" t="str">
        <f>IFERROR(INDEX($T$310:$T$459,MATCH(ROWS($A$310:A360),$AF$310:$AF$459,0)),"")</f>
        <v/>
      </c>
      <c r="E360" s="35" t="str">
        <f>IFERROR(INDEX($U$310:$U$459,MATCH(ROWS($A$310:A360),$AF$310:$AF$459,0)),"")</f>
        <v/>
      </c>
      <c r="F360" s="35" t="str">
        <f>IFERROR(INDEX($V$310:$V$459,MATCH(ROWS($A$310:A360),$AF$310:$AF$459,0)),"")</f>
        <v/>
      </c>
      <c r="G360" s="35" t="str">
        <f>IFERROR(INDEX($W$310:$W$459,MATCH(ROWS($A$310:A360),$AF$310:$AF$459,0)),"")</f>
        <v/>
      </c>
      <c r="H360" s="35" t="str">
        <f>IFERROR(INDEX($X$310:$X$459,MATCH(ROWS($A$310:A360),$AF$310:$AF$459,0)),"")</f>
        <v/>
      </c>
      <c r="I360" s="35" t="str">
        <f>IFERROR(INDEX($Y$310:$Y$459,MATCH(ROWS($A$310:A360),$AF$310:$AF$459,0)),"")</f>
        <v/>
      </c>
      <c r="J360" s="35" t="str">
        <f>IFERROR(INDEX($Z$310:$Z$459,MATCH(ROWS($A$310:A360),$AF$310:$AF$459,0)),"")</f>
        <v/>
      </c>
      <c r="K360" s="35" t="str">
        <f>IFERROR(INDEX($AA$310:$AA$459,MATCH(ROWS($A$310:A360),$AF$310:$AF$459,0)),"")</f>
        <v/>
      </c>
      <c r="L360" s="35" t="str">
        <f>IFERROR(INDEX($AB$310:$AB$459,MATCH(ROWS($A$310:A360),$AF$310:$AF$459,0)),"")</f>
        <v/>
      </c>
      <c r="M360" s="35" t="str">
        <f>IFERROR(INDEX($AC$310:$AC$459,MATCH(ROWS($A$310:A360),$AF$310:$AF$459,0)),"")</f>
        <v/>
      </c>
      <c r="N360" s="35" t="str">
        <f>IFERROR(INDEX($AD$310:$AD$459,MATCH(ROWS($A$310:A360),$AF$310:$AF$459,0)),"")</f>
        <v/>
      </c>
      <c r="Q360" t="str">
        <f>T(JAN!B56)</f>
        <v>RENAN RAMBO 327701</v>
      </c>
      <c r="R360" t="str">
        <f t="array" ref="R360">IF($Q360="","",_xlfn.TEXTJOIN(", ",TRUE,IF(JAN!$G56:$AK56="FE",JAN!$G$4:$AK$4,"")))</f>
        <v/>
      </c>
      <c r="S360" t="str">
        <f t="array" ref="S360">IF($Q360="","",_xlfn.TEXTJOIN(", ",TRUE,IF(FEV!$G56:$AK56="FE",FEV!$G$4:$AK$4,"")))</f>
        <v/>
      </c>
      <c r="T360" t="str">
        <f t="array" ref="T360">IF($Q360="","",_xlfn.TEXTJOIN(", ",TRUE,IF(MAR!$G56:$AK56="FE",MAR!$G$4:$AK$4,"")))</f>
        <v/>
      </c>
      <c r="U360" t="str">
        <f t="array" ref="U360">IF($Q360="","",_xlfn.TEXTJOIN(", ",TRUE,IF(ABR!$G56:$AK56="FE",ABR!$G$4:$AK$4,"")))</f>
        <v/>
      </c>
      <c r="V360" t="str">
        <f t="array" ref="V360">IF($Q360="","",_xlfn.TEXTJOIN(", ",TRUE,IF(MAI!$G56:$AK56="FE",MAI!$G$4:$AK$4,"")))</f>
        <v/>
      </c>
      <c r="W360" t="str">
        <f t="array" ref="W360">IF($Q360="","",_xlfn.TEXTJOIN(", ",TRUE,IF(JUN!$G56:$AK56="FE",JUN!$G$4:$AK$4,"")))</f>
        <v/>
      </c>
      <c r="X360" t="str">
        <f t="array" ref="X360">IF($Q360="","",_xlfn.TEXTJOIN(", ",TRUE,IF(JUL!$G56:$AK56="FE",JUL!$G$4:$AK$4,"")))</f>
        <v/>
      </c>
      <c r="Y360" t="str">
        <f t="array" ref="Y360">IF($Q360="","",_xlfn.TEXTJOIN(", ",TRUE,IF(AGO!$G56:$AK56="FE",AGO!$G$4:$AK$4,"")))</f>
        <v/>
      </c>
      <c r="Z360" t="str">
        <f t="array" ref="Z360">IF($Q360="","",_xlfn.TEXTJOIN(", ",TRUE,IF(SET!$G56:$AK56="FE",SET!$G$4:$AK$4,"")))</f>
        <v>8, 9, 10, 11, 12, 13, 14, 15, 16, 17, 18, 19, 20, 21, 22, 23</v>
      </c>
      <c r="AA360" t="str">
        <f t="array" ref="AA360">IF($Q360="","",_xlfn.TEXTJOIN(", ",TRUE,IF(OUT!$G56:$AK56="FE",OUT!$G$4:$AK$4,"")))</f>
        <v/>
      </c>
      <c r="AB360" t="str">
        <f t="array" ref="AB360">IF($Q360="","",_xlfn.TEXTJOIN(", ",TRUE,IF(NOV!$G56:$AK56="FE",NOV!$G$4:$AK$4,"")))</f>
        <v/>
      </c>
      <c r="AC360" t="str">
        <f t="array" ref="AC360">IF($Q360="","",_xlfn.TEXTJOIN(", ",TRUE,IF(DEZ!$G56:$AK56="FE",DEZ!$G$4:$AK$4,"")))</f>
        <v/>
      </c>
      <c r="AD360">
        <f>IF($Q360="","",COUNTIF(JAN!$G56:$AK56,"FE")+COUNTIF(FEV!$G56:$AK56,"FE")+COUNTIF(MAR!$G56:$AK56,"FE")+COUNTIF(ABR!$G56:$AK56,"FE")+COUNTIF(MAI!$G56:$AK56,"FE")+COUNTIF(JUN!$G56:$AK56,"FE")+COUNTIF(JUL!$G56:$AK56,"FE")+COUNTIF(AGO!$G56:$AK56,"FE")+COUNTIF(SET!$G56:$AK56,"FE")+COUNTIF(OUT!$G56:$AK56,"FE")+COUNTIF(NOV!$G56:$AK56,"FE")+COUNTIF(DEZ!$G56:$AK56,"FE"))</f>
        <v>16</v>
      </c>
      <c r="AF360">
        <f>IF(AND($Q360&lt;&gt;"",N($AD360)&gt;0),COUNT($AF$309:AF359)+1,"")</f>
        <v>5</v>
      </c>
    </row>
    <row r="361" spans="1:32" ht="20.100000000000001" customHeight="1" x14ac:dyDescent="0.25">
      <c r="A361" s="36" t="str">
        <f>IFERROR(INDEX($Q$310:$Q$459,MATCH(ROWS($A$310:A361),$AF$310:$AF$459,0)),"")</f>
        <v/>
      </c>
      <c r="B361" s="35" t="str">
        <f>IFERROR(INDEX($R$310:$R$459,MATCH(ROWS($A$310:A361),$AF$310:$AF$459,0)),"")</f>
        <v/>
      </c>
      <c r="C361" s="35" t="str">
        <f>IFERROR(INDEX($S$310:$S$459,MATCH(ROWS($A$310:A361),$AF$310:$AF$459,0)),"")</f>
        <v/>
      </c>
      <c r="D361" s="35" t="str">
        <f>IFERROR(INDEX($T$310:$T$459,MATCH(ROWS($A$310:A361),$AF$310:$AF$459,0)),"")</f>
        <v/>
      </c>
      <c r="E361" s="35" t="str">
        <f>IFERROR(INDEX($U$310:$U$459,MATCH(ROWS($A$310:A361),$AF$310:$AF$459,0)),"")</f>
        <v/>
      </c>
      <c r="F361" s="35" t="str">
        <f>IFERROR(INDEX($V$310:$V$459,MATCH(ROWS($A$310:A361),$AF$310:$AF$459,0)),"")</f>
        <v/>
      </c>
      <c r="G361" s="35" t="str">
        <f>IFERROR(INDEX($W$310:$W$459,MATCH(ROWS($A$310:A361),$AF$310:$AF$459,0)),"")</f>
        <v/>
      </c>
      <c r="H361" s="35" t="str">
        <f>IFERROR(INDEX($X$310:$X$459,MATCH(ROWS($A$310:A361),$AF$310:$AF$459,0)),"")</f>
        <v/>
      </c>
      <c r="I361" s="35" t="str">
        <f>IFERROR(INDEX($Y$310:$Y$459,MATCH(ROWS($A$310:A361),$AF$310:$AF$459,0)),"")</f>
        <v/>
      </c>
      <c r="J361" s="35" t="str">
        <f>IFERROR(INDEX($Z$310:$Z$459,MATCH(ROWS($A$310:A361),$AF$310:$AF$459,0)),"")</f>
        <v/>
      </c>
      <c r="K361" s="35" t="str">
        <f>IFERROR(INDEX($AA$310:$AA$459,MATCH(ROWS($A$310:A361),$AF$310:$AF$459,0)),"")</f>
        <v/>
      </c>
      <c r="L361" s="35" t="str">
        <f>IFERROR(INDEX($AB$310:$AB$459,MATCH(ROWS($A$310:A361),$AF$310:$AF$459,0)),"")</f>
        <v/>
      </c>
      <c r="M361" s="35" t="str">
        <f>IFERROR(INDEX($AC$310:$AC$459,MATCH(ROWS($A$310:A361),$AF$310:$AF$459,0)),"")</f>
        <v/>
      </c>
      <c r="N361" s="35" t="str">
        <f>IFERROR(INDEX($AD$310:$AD$459,MATCH(ROWS($A$310:A361),$AF$310:$AF$459,0)),"")</f>
        <v/>
      </c>
      <c r="Q361" t="str">
        <f>T(JAN!B57)</f>
        <v>LUCAS SEVERO 471301</v>
      </c>
      <c r="R361" t="str">
        <f t="array" ref="R361">IF($Q361="","",_xlfn.TEXTJOIN(", ",TRUE,IF(JAN!$G57:$AK57="FE",JAN!$G$4:$AK$4,"")))</f>
        <v/>
      </c>
      <c r="S361" t="str">
        <f t="array" ref="S361">IF($Q361="","",_xlfn.TEXTJOIN(", ",TRUE,IF(FEV!$G57:$AK57="FE",FEV!$G$4:$AK$4,"")))</f>
        <v/>
      </c>
      <c r="T361" t="str">
        <f t="array" ref="T361">IF($Q361="","",_xlfn.TEXTJOIN(", ",TRUE,IF(MAR!$G57:$AK57="FE",MAR!$G$4:$AK$4,"")))</f>
        <v/>
      </c>
      <c r="U361" t="str">
        <f t="array" ref="U361">IF($Q361="","",_xlfn.TEXTJOIN(", ",TRUE,IF(ABR!$G57:$AK57="FE",ABR!$G$4:$AK$4,"")))</f>
        <v/>
      </c>
      <c r="V361" t="str">
        <f t="array" ref="V361">IF($Q361="","",_xlfn.TEXTJOIN(", ",TRUE,IF(MAI!$G57:$AK57="FE",MAI!$G$4:$AK$4,"")))</f>
        <v/>
      </c>
      <c r="W361" t="str">
        <f t="array" ref="W361">IF($Q361="","",_xlfn.TEXTJOIN(", ",TRUE,IF(JUN!$G57:$AK57="FE",JUN!$G$4:$AK$4,"")))</f>
        <v/>
      </c>
      <c r="X361" t="str">
        <f t="array" ref="X361">IF($Q361="","",_xlfn.TEXTJOIN(", ",TRUE,IF(JUL!$G57:$AK57="FE",JUL!$G$4:$AK$4,"")))</f>
        <v/>
      </c>
      <c r="Y361" t="str">
        <f t="array" ref="Y361">IF($Q361="","",_xlfn.TEXTJOIN(", ",TRUE,IF(AGO!$G57:$AK57="FE",AGO!$G$4:$AK$4,"")))</f>
        <v/>
      </c>
      <c r="Z361" t="str">
        <f t="array" ref="Z361">IF($Q361="","",_xlfn.TEXTJOIN(", ",TRUE,IF(SET!$G57:$AK57="FE",SET!$G$4:$AK$4,"")))</f>
        <v/>
      </c>
      <c r="AA361" t="str">
        <f t="array" ref="AA361">IF($Q361="","",_xlfn.TEXTJOIN(", ",TRUE,IF(OUT!$G57:$AK57="FE",OUT!$G$4:$AK$4,"")))</f>
        <v/>
      </c>
      <c r="AB361" t="str">
        <f t="array" ref="AB361">IF($Q361="","",_xlfn.TEXTJOIN(", ",TRUE,IF(NOV!$G57:$AK57="FE",NOV!$G$4:$AK$4,"")))</f>
        <v/>
      </c>
      <c r="AC361" t="str">
        <f t="array" ref="AC361">IF($Q361="","",_xlfn.TEXTJOIN(", ",TRUE,IF(DEZ!$G57:$AK57="FE",DEZ!$G$4:$AK$4,"")))</f>
        <v/>
      </c>
      <c r="AD361">
        <f>IF($Q361="","",COUNTIF(JAN!$G57:$AK57,"FE")+COUNTIF(FEV!$G57:$AK57,"FE")+COUNTIF(MAR!$G57:$AK57,"FE")+COUNTIF(ABR!$G57:$AK57,"FE")+COUNTIF(MAI!$G57:$AK57,"FE")+COUNTIF(JUN!$G57:$AK57,"FE")+COUNTIF(JUL!$G57:$AK57,"FE")+COUNTIF(AGO!$G57:$AK57,"FE")+COUNTIF(SET!$G57:$AK57,"FE")+COUNTIF(OUT!$G57:$AK57,"FE")+COUNTIF(NOV!$G57:$AK57,"FE")+COUNTIF(DEZ!$G57:$AK57,"FE"))</f>
        <v>0</v>
      </c>
      <c r="AF361" t="str">
        <f>IF(AND($Q361&lt;&gt;"",N($AD361)&gt;0),COUNT($AF$309:AF360)+1,"")</f>
        <v/>
      </c>
    </row>
    <row r="362" spans="1:32" ht="20.100000000000001" customHeight="1" x14ac:dyDescent="0.25">
      <c r="A362" s="36" t="str">
        <f>IFERROR(INDEX($Q$310:$Q$459,MATCH(ROWS($A$310:A362),$AF$310:$AF$459,0)),"")</f>
        <v/>
      </c>
      <c r="B362" s="35" t="str">
        <f>IFERROR(INDEX($R$310:$R$459,MATCH(ROWS($A$310:A362),$AF$310:$AF$459,0)),"")</f>
        <v/>
      </c>
      <c r="C362" s="35" t="str">
        <f>IFERROR(INDEX($S$310:$S$459,MATCH(ROWS($A$310:A362),$AF$310:$AF$459,0)),"")</f>
        <v/>
      </c>
      <c r="D362" s="35" t="str">
        <f>IFERROR(INDEX($T$310:$T$459,MATCH(ROWS($A$310:A362),$AF$310:$AF$459,0)),"")</f>
        <v/>
      </c>
      <c r="E362" s="35" t="str">
        <f>IFERROR(INDEX($U$310:$U$459,MATCH(ROWS($A$310:A362),$AF$310:$AF$459,0)),"")</f>
        <v/>
      </c>
      <c r="F362" s="35" t="str">
        <f>IFERROR(INDEX($V$310:$V$459,MATCH(ROWS($A$310:A362),$AF$310:$AF$459,0)),"")</f>
        <v/>
      </c>
      <c r="G362" s="35" t="str">
        <f>IFERROR(INDEX($W$310:$W$459,MATCH(ROWS($A$310:A362),$AF$310:$AF$459,0)),"")</f>
        <v/>
      </c>
      <c r="H362" s="35" t="str">
        <f>IFERROR(INDEX($X$310:$X$459,MATCH(ROWS($A$310:A362),$AF$310:$AF$459,0)),"")</f>
        <v/>
      </c>
      <c r="I362" s="35" t="str">
        <f>IFERROR(INDEX($Y$310:$Y$459,MATCH(ROWS($A$310:A362),$AF$310:$AF$459,0)),"")</f>
        <v/>
      </c>
      <c r="J362" s="35" t="str">
        <f>IFERROR(INDEX($Z$310:$Z$459,MATCH(ROWS($A$310:A362),$AF$310:$AF$459,0)),"")</f>
        <v/>
      </c>
      <c r="K362" s="35" t="str">
        <f>IFERROR(INDEX($AA$310:$AA$459,MATCH(ROWS($A$310:A362),$AF$310:$AF$459,0)),"")</f>
        <v/>
      </c>
      <c r="L362" s="35" t="str">
        <f>IFERROR(INDEX($AB$310:$AB$459,MATCH(ROWS($A$310:A362),$AF$310:$AF$459,0)),"")</f>
        <v/>
      </c>
      <c r="M362" s="35" t="str">
        <f>IFERROR(INDEX($AC$310:$AC$459,MATCH(ROWS($A$310:A362),$AF$310:$AF$459,0)),"")</f>
        <v/>
      </c>
      <c r="N362" s="35" t="str">
        <f>IFERROR(INDEX($AD$310:$AD$459,MATCH(ROWS($A$310:A362),$AF$310:$AF$459,0)),"")</f>
        <v/>
      </c>
      <c r="Q362" t="str">
        <f>T(JAN!B58)</f>
        <v>EDER MONTICELLI 318101</v>
      </c>
      <c r="R362" t="str">
        <f t="array" ref="R362">IF($Q362="","",_xlfn.TEXTJOIN(", ",TRUE,IF(JAN!$G58:$AK58="FE",JAN!$G$4:$AK$4,"")))</f>
        <v/>
      </c>
      <c r="S362" t="str">
        <f t="array" ref="S362">IF($Q362="","",_xlfn.TEXTJOIN(", ",TRUE,IF(FEV!$G58:$AK58="FE",FEV!$G$4:$AK$4,"")))</f>
        <v/>
      </c>
      <c r="T362" t="str">
        <f t="array" ref="T362">IF($Q362="","",_xlfn.TEXTJOIN(", ",TRUE,IF(MAR!$G58:$AK58="FE",MAR!$G$4:$AK$4,"")))</f>
        <v/>
      </c>
      <c r="U362" t="str">
        <f t="array" ref="U362">IF($Q362="","",_xlfn.TEXTJOIN(", ",TRUE,IF(ABR!$G58:$AK58="FE",ABR!$G$4:$AK$4,"")))</f>
        <v/>
      </c>
      <c r="V362" t="str">
        <f t="array" ref="V362">IF($Q362="","",_xlfn.TEXTJOIN(", ",TRUE,IF(MAI!$G58:$AK58="FE",MAI!$G$4:$AK$4,"")))</f>
        <v/>
      </c>
      <c r="W362" t="str">
        <f t="array" ref="W362">IF($Q362="","",_xlfn.TEXTJOIN(", ",TRUE,IF(JUN!$G58:$AK58="FE",JUN!$G$4:$AK$4,"")))</f>
        <v/>
      </c>
      <c r="X362" t="str">
        <f t="array" ref="X362">IF($Q362="","",_xlfn.TEXTJOIN(", ",TRUE,IF(JUL!$G58:$AK58="FE",JUL!$G$4:$AK$4,"")))</f>
        <v/>
      </c>
      <c r="Y362" t="str">
        <f t="array" ref="Y362">IF($Q362="","",_xlfn.TEXTJOIN(", ",TRUE,IF(AGO!$G58:$AK58="FE",AGO!$G$4:$AK$4,"")))</f>
        <v/>
      </c>
      <c r="Z362" t="str">
        <f t="array" ref="Z362">IF($Q362="","",_xlfn.TEXTJOIN(", ",TRUE,IF(SET!$G58:$AK58="FE",SET!$G$4:$AK$4,"")))</f>
        <v/>
      </c>
      <c r="AA362" t="str">
        <f t="array" ref="AA362">IF($Q362="","",_xlfn.TEXTJOIN(", ",TRUE,IF(OUT!$G58:$AK58="FE",OUT!$G$4:$AK$4,"")))</f>
        <v/>
      </c>
      <c r="AB362" t="str">
        <f t="array" ref="AB362">IF($Q362="","",_xlfn.TEXTJOIN(", ",TRUE,IF(NOV!$G58:$AK58="FE",NOV!$G$4:$AK$4,"")))</f>
        <v/>
      </c>
      <c r="AC362" t="str">
        <f t="array" ref="AC362">IF($Q362="","",_xlfn.TEXTJOIN(", ",TRUE,IF(DEZ!$G58:$AK58="FE",DEZ!$G$4:$AK$4,"")))</f>
        <v/>
      </c>
      <c r="AD362">
        <f>IF($Q362="","",COUNTIF(JAN!$G58:$AK58,"FE")+COUNTIF(FEV!$G58:$AK58,"FE")+COUNTIF(MAR!$G58:$AK58,"FE")+COUNTIF(ABR!$G58:$AK58,"FE")+COUNTIF(MAI!$G58:$AK58,"FE")+COUNTIF(JUN!$G58:$AK58,"FE")+COUNTIF(JUL!$G58:$AK58,"FE")+COUNTIF(AGO!$G58:$AK58,"FE")+COUNTIF(SET!$G58:$AK58,"FE")+COUNTIF(OUT!$G58:$AK58,"FE")+COUNTIF(NOV!$G58:$AK58,"FE")+COUNTIF(DEZ!$G58:$AK58,"FE"))</f>
        <v>0</v>
      </c>
      <c r="AF362" t="str">
        <f>IF(AND($Q362&lt;&gt;"",N($AD362)&gt;0),COUNT($AF$309:AF361)+1,"")</f>
        <v/>
      </c>
    </row>
    <row r="363" spans="1:32" ht="20.100000000000001" customHeight="1" x14ac:dyDescent="0.25">
      <c r="A363" s="36" t="str">
        <f>IFERROR(INDEX($Q$310:$Q$459,MATCH(ROWS($A$310:A363),$AF$310:$AF$459,0)),"")</f>
        <v/>
      </c>
      <c r="B363" s="35" t="str">
        <f>IFERROR(INDEX($R$310:$R$459,MATCH(ROWS($A$310:A363),$AF$310:$AF$459,0)),"")</f>
        <v/>
      </c>
      <c r="C363" s="35" t="str">
        <f>IFERROR(INDEX($S$310:$S$459,MATCH(ROWS($A$310:A363),$AF$310:$AF$459,0)),"")</f>
        <v/>
      </c>
      <c r="D363" s="35" t="str">
        <f>IFERROR(INDEX($T$310:$T$459,MATCH(ROWS($A$310:A363),$AF$310:$AF$459,0)),"")</f>
        <v/>
      </c>
      <c r="E363" s="35" t="str">
        <f>IFERROR(INDEX($U$310:$U$459,MATCH(ROWS($A$310:A363),$AF$310:$AF$459,0)),"")</f>
        <v/>
      </c>
      <c r="F363" s="35" t="str">
        <f>IFERROR(INDEX($V$310:$V$459,MATCH(ROWS($A$310:A363),$AF$310:$AF$459,0)),"")</f>
        <v/>
      </c>
      <c r="G363" s="35" t="str">
        <f>IFERROR(INDEX($W$310:$W$459,MATCH(ROWS($A$310:A363),$AF$310:$AF$459,0)),"")</f>
        <v/>
      </c>
      <c r="H363" s="35" t="str">
        <f>IFERROR(INDEX($X$310:$X$459,MATCH(ROWS($A$310:A363),$AF$310:$AF$459,0)),"")</f>
        <v/>
      </c>
      <c r="I363" s="35" t="str">
        <f>IFERROR(INDEX($Y$310:$Y$459,MATCH(ROWS($A$310:A363),$AF$310:$AF$459,0)),"")</f>
        <v/>
      </c>
      <c r="J363" s="35" t="str">
        <f>IFERROR(INDEX($Z$310:$Z$459,MATCH(ROWS($A$310:A363),$AF$310:$AF$459,0)),"")</f>
        <v/>
      </c>
      <c r="K363" s="35" t="str">
        <f>IFERROR(INDEX($AA$310:$AA$459,MATCH(ROWS($A$310:A363),$AF$310:$AF$459,0)),"")</f>
        <v/>
      </c>
      <c r="L363" s="35" t="str">
        <f>IFERROR(INDEX($AB$310:$AB$459,MATCH(ROWS($A$310:A363),$AF$310:$AF$459,0)),"")</f>
        <v/>
      </c>
      <c r="M363" s="35" t="str">
        <f>IFERROR(INDEX($AC$310:$AC$459,MATCH(ROWS($A$310:A363),$AF$310:$AF$459,0)),"")</f>
        <v/>
      </c>
      <c r="N363" s="35" t="str">
        <f>IFERROR(INDEX($AD$310:$AD$459,MATCH(ROWS($A$310:A363),$AF$310:$AF$459,0)),"")</f>
        <v/>
      </c>
      <c r="Q363" t="str">
        <f>T(JAN!B59)</f>
        <v>JULIANO LENHARD 446901</v>
      </c>
      <c r="R363" t="str">
        <f t="array" ref="R363">IF($Q363="","",_xlfn.TEXTJOIN(", ",TRUE,IF(JAN!$G59:$AK59="FE",JAN!$G$4:$AK$4,"")))</f>
        <v/>
      </c>
      <c r="S363" t="str">
        <f t="array" ref="S363">IF($Q363="","",_xlfn.TEXTJOIN(", ",TRUE,IF(FEV!$G59:$AK59="FE",FEV!$G$4:$AK$4,"")))</f>
        <v/>
      </c>
      <c r="T363" t="str">
        <f t="array" ref="T363">IF($Q363="","",_xlfn.TEXTJOIN(", ",TRUE,IF(MAR!$G59:$AK59="FE",MAR!$G$4:$AK$4,"")))</f>
        <v/>
      </c>
      <c r="U363" t="str">
        <f t="array" ref="U363">IF($Q363="","",_xlfn.TEXTJOIN(", ",TRUE,IF(ABR!$G59:$AK59="FE",ABR!$G$4:$AK$4,"")))</f>
        <v/>
      </c>
      <c r="V363" t="str">
        <f t="array" ref="V363">IF($Q363="","",_xlfn.TEXTJOIN(", ",TRUE,IF(MAI!$G59:$AK59="FE",MAI!$G$4:$AK$4,"")))</f>
        <v/>
      </c>
      <c r="W363" t="str">
        <f t="array" ref="W363">IF($Q363="","",_xlfn.TEXTJOIN(", ",TRUE,IF(JUN!$G59:$AK59="FE",JUN!$G$4:$AK$4,"")))</f>
        <v/>
      </c>
      <c r="X363" t="str">
        <f t="array" ref="X363">IF($Q363="","",_xlfn.TEXTJOIN(", ",TRUE,IF(JUL!$G59:$AK59="FE",JUL!$G$4:$AK$4,"")))</f>
        <v/>
      </c>
      <c r="Y363" t="str">
        <f t="array" ref="Y363">IF($Q363="","",_xlfn.TEXTJOIN(", ",TRUE,IF(AGO!$G59:$AK59="FE",AGO!$G$4:$AK$4,"")))</f>
        <v/>
      </c>
      <c r="Z363" t="str">
        <f t="array" ref="Z363">IF($Q363="","",_xlfn.TEXTJOIN(", ",TRUE,IF(SET!$G59:$AK59="FE",SET!$G$4:$AK$4,"")))</f>
        <v/>
      </c>
      <c r="AA363" t="str">
        <f t="array" ref="AA363">IF($Q363="","",_xlfn.TEXTJOIN(", ",TRUE,IF(OUT!$G59:$AK59="FE",OUT!$G$4:$AK$4,"")))</f>
        <v/>
      </c>
      <c r="AB363" t="str">
        <f t="array" ref="AB363">IF($Q363="","",_xlfn.TEXTJOIN(", ",TRUE,IF(NOV!$G59:$AK59="FE",NOV!$G$4:$AK$4,"")))</f>
        <v/>
      </c>
      <c r="AC363" t="str">
        <f t="array" ref="AC363">IF($Q363="","",_xlfn.TEXTJOIN(", ",TRUE,IF(DEZ!$G59:$AK59="FE",DEZ!$G$4:$AK$4,"")))</f>
        <v/>
      </c>
      <c r="AD363">
        <f>IF($Q363="","",COUNTIF(JAN!$G59:$AK59,"FE")+COUNTIF(FEV!$G59:$AK59,"FE")+COUNTIF(MAR!$G59:$AK59,"FE")+COUNTIF(ABR!$G59:$AK59,"FE")+COUNTIF(MAI!$G59:$AK59,"FE")+COUNTIF(JUN!$G59:$AK59,"FE")+COUNTIF(JUL!$G59:$AK59,"FE")+COUNTIF(AGO!$G59:$AK59,"FE")+COUNTIF(SET!$G59:$AK59,"FE")+COUNTIF(OUT!$G59:$AK59,"FE")+COUNTIF(NOV!$G59:$AK59,"FE")+COUNTIF(DEZ!$G59:$AK59,"FE"))</f>
        <v>0</v>
      </c>
      <c r="AF363" t="str">
        <f>IF(AND($Q363&lt;&gt;"",N($AD363)&gt;0),COUNT($AF$309:AF362)+1,"")</f>
        <v/>
      </c>
    </row>
    <row r="364" spans="1:32" ht="20.100000000000001" customHeight="1" x14ac:dyDescent="0.25">
      <c r="A364" s="36" t="str">
        <f>IFERROR(INDEX($Q$310:$Q$459,MATCH(ROWS($A$310:A364),$AF$310:$AF$459,0)),"")</f>
        <v/>
      </c>
      <c r="B364" s="35" t="str">
        <f>IFERROR(INDEX($R$310:$R$459,MATCH(ROWS($A$310:A364),$AF$310:$AF$459,0)),"")</f>
        <v/>
      </c>
      <c r="C364" s="35" t="str">
        <f>IFERROR(INDEX($S$310:$S$459,MATCH(ROWS($A$310:A364),$AF$310:$AF$459,0)),"")</f>
        <v/>
      </c>
      <c r="D364" s="35" t="str">
        <f>IFERROR(INDEX($T$310:$T$459,MATCH(ROWS($A$310:A364),$AF$310:$AF$459,0)),"")</f>
        <v/>
      </c>
      <c r="E364" s="35" t="str">
        <f>IFERROR(INDEX($U$310:$U$459,MATCH(ROWS($A$310:A364),$AF$310:$AF$459,0)),"")</f>
        <v/>
      </c>
      <c r="F364" s="35" t="str">
        <f>IFERROR(INDEX($V$310:$V$459,MATCH(ROWS($A$310:A364),$AF$310:$AF$459,0)),"")</f>
        <v/>
      </c>
      <c r="G364" s="35" t="str">
        <f>IFERROR(INDEX($W$310:$W$459,MATCH(ROWS($A$310:A364),$AF$310:$AF$459,0)),"")</f>
        <v/>
      </c>
      <c r="H364" s="35" t="str">
        <f>IFERROR(INDEX($X$310:$X$459,MATCH(ROWS($A$310:A364),$AF$310:$AF$459,0)),"")</f>
        <v/>
      </c>
      <c r="I364" s="35" t="str">
        <f>IFERROR(INDEX($Y$310:$Y$459,MATCH(ROWS($A$310:A364),$AF$310:$AF$459,0)),"")</f>
        <v/>
      </c>
      <c r="J364" s="35" t="str">
        <f>IFERROR(INDEX($Z$310:$Z$459,MATCH(ROWS($A$310:A364),$AF$310:$AF$459,0)),"")</f>
        <v/>
      </c>
      <c r="K364" s="35" t="str">
        <f>IFERROR(INDEX($AA$310:$AA$459,MATCH(ROWS($A$310:A364),$AF$310:$AF$459,0)),"")</f>
        <v/>
      </c>
      <c r="L364" s="35" t="str">
        <f>IFERROR(INDEX($AB$310:$AB$459,MATCH(ROWS($A$310:A364),$AF$310:$AF$459,0)),"")</f>
        <v/>
      </c>
      <c r="M364" s="35" t="str">
        <f>IFERROR(INDEX($AC$310:$AC$459,MATCH(ROWS($A$310:A364),$AF$310:$AF$459,0)),"")</f>
        <v/>
      </c>
      <c r="N364" s="35" t="str">
        <f>IFERROR(INDEX($AD$310:$AD$459,MATCH(ROWS($A$310:A364),$AF$310:$AF$459,0)),"")</f>
        <v/>
      </c>
      <c r="Q364" t="str">
        <f>T(JAN!B60)</f>
        <v>CARLOS CONCEIÇÃO 509201</v>
      </c>
      <c r="R364" t="str">
        <f t="array" ref="R364">IF($Q364="","",_xlfn.TEXTJOIN(", ",TRUE,IF(JAN!$G60:$AK60="FE",JAN!$G$4:$AK$4,"")))</f>
        <v/>
      </c>
      <c r="S364" t="str">
        <f t="array" ref="S364">IF($Q364="","",_xlfn.TEXTJOIN(", ",TRUE,IF(FEV!$G60:$AK60="FE",FEV!$G$4:$AK$4,"")))</f>
        <v/>
      </c>
      <c r="T364" t="str">
        <f t="array" ref="T364">IF($Q364="","",_xlfn.TEXTJOIN(", ",TRUE,IF(MAR!$G60:$AK60="FE",MAR!$G$4:$AK$4,"")))</f>
        <v/>
      </c>
      <c r="U364" t="str">
        <f t="array" ref="U364">IF($Q364="","",_xlfn.TEXTJOIN(", ",TRUE,IF(ABR!$G60:$AK60="FE",ABR!$G$4:$AK$4,"")))</f>
        <v/>
      </c>
      <c r="V364" t="str">
        <f t="array" ref="V364">IF($Q364="","",_xlfn.TEXTJOIN(", ",TRUE,IF(MAI!$G60:$AK60="FE",MAI!$G$4:$AK$4,"")))</f>
        <v/>
      </c>
      <c r="W364" t="str">
        <f t="array" ref="W364">IF($Q364="","",_xlfn.TEXTJOIN(", ",TRUE,IF(JUN!$G60:$AK60="FE",JUN!$G$4:$AK$4,"")))</f>
        <v/>
      </c>
      <c r="X364" t="str">
        <f t="array" ref="X364">IF($Q364="","",_xlfn.TEXTJOIN(", ",TRUE,IF(JUL!$G60:$AK60="FE",JUL!$G$4:$AK$4,"")))</f>
        <v/>
      </c>
      <c r="Y364" t="str">
        <f t="array" ref="Y364">IF($Q364="","",_xlfn.TEXTJOIN(", ",TRUE,IF(AGO!$G60:$AK60="FE",AGO!$G$4:$AK$4,"")))</f>
        <v/>
      </c>
      <c r="Z364" t="str">
        <f t="array" ref="Z364">IF($Q364="","",_xlfn.TEXTJOIN(", ",TRUE,IF(SET!$G60:$AK60="FE",SET!$G$4:$AK$4,"")))</f>
        <v/>
      </c>
      <c r="AA364" t="str">
        <f t="array" ref="AA364">IF($Q364="","",_xlfn.TEXTJOIN(", ",TRUE,IF(OUT!$G60:$AK60="FE",OUT!$G$4:$AK$4,"")))</f>
        <v/>
      </c>
      <c r="AB364" t="str">
        <f t="array" ref="AB364">IF($Q364="","",_xlfn.TEXTJOIN(", ",TRUE,IF(NOV!$G60:$AK60="FE",NOV!$G$4:$AK$4,"")))</f>
        <v/>
      </c>
      <c r="AC364" t="str">
        <f t="array" ref="AC364">IF($Q364="","",_xlfn.TEXTJOIN(", ",TRUE,IF(DEZ!$G60:$AK60="FE",DEZ!$G$4:$AK$4,"")))</f>
        <v/>
      </c>
      <c r="AD364">
        <f>IF($Q364="","",COUNTIF(JAN!$G60:$AK60,"FE")+COUNTIF(FEV!$G60:$AK60,"FE")+COUNTIF(MAR!$G60:$AK60,"FE")+COUNTIF(ABR!$G60:$AK60,"FE")+COUNTIF(MAI!$G60:$AK60,"FE")+COUNTIF(JUN!$G60:$AK60,"FE")+COUNTIF(JUL!$G60:$AK60,"FE")+COUNTIF(AGO!$G60:$AK60,"FE")+COUNTIF(SET!$G60:$AK60,"FE")+COUNTIF(OUT!$G60:$AK60,"FE")+COUNTIF(NOV!$G60:$AK60,"FE")+COUNTIF(DEZ!$G60:$AK60,"FE"))</f>
        <v>0</v>
      </c>
      <c r="AF364" t="str">
        <f>IF(AND($Q364&lt;&gt;"",N($AD364)&gt;0),COUNT($AF$309:AF363)+1,"")</f>
        <v/>
      </c>
    </row>
    <row r="365" spans="1:32" ht="20.100000000000001" customHeight="1" x14ac:dyDescent="0.25">
      <c r="A365" s="36" t="str">
        <f>IFERROR(INDEX($Q$310:$Q$459,MATCH(ROWS($A$310:A365),$AF$310:$AF$459,0)),"")</f>
        <v/>
      </c>
      <c r="B365" s="35" t="str">
        <f>IFERROR(INDEX($R$310:$R$459,MATCH(ROWS($A$310:A365),$AF$310:$AF$459,0)),"")</f>
        <v/>
      </c>
      <c r="C365" s="35" t="str">
        <f>IFERROR(INDEX($S$310:$S$459,MATCH(ROWS($A$310:A365),$AF$310:$AF$459,0)),"")</f>
        <v/>
      </c>
      <c r="D365" s="35" t="str">
        <f>IFERROR(INDEX($T$310:$T$459,MATCH(ROWS($A$310:A365),$AF$310:$AF$459,0)),"")</f>
        <v/>
      </c>
      <c r="E365" s="35" t="str">
        <f>IFERROR(INDEX($U$310:$U$459,MATCH(ROWS($A$310:A365),$AF$310:$AF$459,0)),"")</f>
        <v/>
      </c>
      <c r="F365" s="35" t="str">
        <f>IFERROR(INDEX($V$310:$V$459,MATCH(ROWS($A$310:A365),$AF$310:$AF$459,0)),"")</f>
        <v/>
      </c>
      <c r="G365" s="35" t="str">
        <f>IFERROR(INDEX($W$310:$W$459,MATCH(ROWS($A$310:A365),$AF$310:$AF$459,0)),"")</f>
        <v/>
      </c>
      <c r="H365" s="35" t="str">
        <f>IFERROR(INDEX($X$310:$X$459,MATCH(ROWS($A$310:A365),$AF$310:$AF$459,0)),"")</f>
        <v/>
      </c>
      <c r="I365" s="35" t="str">
        <f>IFERROR(INDEX($Y$310:$Y$459,MATCH(ROWS($A$310:A365),$AF$310:$AF$459,0)),"")</f>
        <v/>
      </c>
      <c r="J365" s="35" t="str">
        <f>IFERROR(INDEX($Z$310:$Z$459,MATCH(ROWS($A$310:A365),$AF$310:$AF$459,0)),"")</f>
        <v/>
      </c>
      <c r="K365" s="35" t="str">
        <f>IFERROR(INDEX($AA$310:$AA$459,MATCH(ROWS($A$310:A365),$AF$310:$AF$459,0)),"")</f>
        <v/>
      </c>
      <c r="L365" s="35" t="str">
        <f>IFERROR(INDEX($AB$310:$AB$459,MATCH(ROWS($A$310:A365),$AF$310:$AF$459,0)),"")</f>
        <v/>
      </c>
      <c r="M365" s="35" t="str">
        <f>IFERROR(INDEX($AC$310:$AC$459,MATCH(ROWS($A$310:A365),$AF$310:$AF$459,0)),"")</f>
        <v/>
      </c>
      <c r="N365" s="35" t="str">
        <f>IFERROR(INDEX($AD$310:$AD$459,MATCH(ROWS($A$310:A365),$AF$310:$AF$459,0)),"")</f>
        <v/>
      </c>
      <c r="Q365" t="str">
        <f>T(JAN!B61)</f>
        <v>FABIO BARBOSA 444601</v>
      </c>
      <c r="R365" t="str">
        <f t="array" ref="R365">IF($Q365="","",_xlfn.TEXTJOIN(", ",TRUE,IF(JAN!$G61:$AK61="FE",JAN!$G$4:$AK$4,"")))</f>
        <v/>
      </c>
      <c r="S365" t="str">
        <f t="array" ref="S365">IF($Q365="","",_xlfn.TEXTJOIN(", ",TRUE,IF(FEV!$G61:$AK61="FE",FEV!$G$4:$AK$4,"")))</f>
        <v/>
      </c>
      <c r="T365" t="str">
        <f t="array" ref="T365">IF($Q365="","",_xlfn.TEXTJOIN(", ",TRUE,IF(MAR!$G61:$AK61="FE",MAR!$G$4:$AK$4,"")))</f>
        <v/>
      </c>
      <c r="U365" t="str">
        <f t="array" ref="U365">IF($Q365="","",_xlfn.TEXTJOIN(", ",TRUE,IF(ABR!$G61:$AK61="FE",ABR!$G$4:$AK$4,"")))</f>
        <v/>
      </c>
      <c r="V365" t="str">
        <f t="array" ref="V365">IF($Q365="","",_xlfn.TEXTJOIN(", ",TRUE,IF(MAI!$G61:$AK61="FE",MAI!$G$4:$AK$4,"")))</f>
        <v/>
      </c>
      <c r="W365" t="str">
        <f t="array" ref="W365">IF($Q365="","",_xlfn.TEXTJOIN(", ",TRUE,IF(JUN!$G61:$AK61="FE",JUN!$G$4:$AK$4,"")))</f>
        <v/>
      </c>
      <c r="X365" t="str">
        <f t="array" ref="X365">IF($Q365="","",_xlfn.TEXTJOIN(", ",TRUE,IF(JUL!$G61:$AK61="FE",JUL!$G$4:$AK$4,"")))</f>
        <v/>
      </c>
      <c r="Y365" t="str">
        <f t="array" ref="Y365">IF($Q365="","",_xlfn.TEXTJOIN(", ",TRUE,IF(AGO!$G61:$AK61="FE",AGO!$G$4:$AK$4,"")))</f>
        <v/>
      </c>
      <c r="Z365" t="str">
        <f t="array" ref="Z365">IF($Q365="","",_xlfn.TEXTJOIN(", ",TRUE,IF(SET!$G61:$AK61="FE",SET!$G$4:$AK$4,"")))</f>
        <v/>
      </c>
      <c r="AA365" t="str">
        <f t="array" ref="AA365">IF($Q365="","",_xlfn.TEXTJOIN(", ",TRUE,IF(OUT!$G61:$AK61="FE",OUT!$G$4:$AK$4,"")))</f>
        <v/>
      </c>
      <c r="AB365" t="str">
        <f t="array" ref="AB365">IF($Q365="","",_xlfn.TEXTJOIN(", ",TRUE,IF(NOV!$G61:$AK61="FE",NOV!$G$4:$AK$4,"")))</f>
        <v/>
      </c>
      <c r="AC365" t="str">
        <f t="array" ref="AC365">IF($Q365="","",_xlfn.TEXTJOIN(", ",TRUE,IF(DEZ!$G61:$AK61="FE",DEZ!$G$4:$AK$4,"")))</f>
        <v/>
      </c>
      <c r="AD365">
        <f>IF($Q365="","",COUNTIF(JAN!$G61:$AK61,"FE")+COUNTIF(FEV!$G61:$AK61,"FE")+COUNTIF(MAR!$G61:$AK61,"FE")+COUNTIF(ABR!$G61:$AK61,"FE")+COUNTIF(MAI!$G61:$AK61,"FE")+COUNTIF(JUN!$G61:$AK61,"FE")+COUNTIF(JUL!$G61:$AK61,"FE")+COUNTIF(AGO!$G61:$AK61,"FE")+COUNTIF(SET!$G61:$AK61,"FE")+COUNTIF(OUT!$G61:$AK61,"FE")+COUNTIF(NOV!$G61:$AK61,"FE")+COUNTIF(DEZ!$G61:$AK61,"FE"))</f>
        <v>0</v>
      </c>
      <c r="AF365" t="str">
        <f>IF(AND($Q365&lt;&gt;"",N($AD365)&gt;0),COUNT($AF$309:AF364)+1,"")</f>
        <v/>
      </c>
    </row>
    <row r="366" spans="1:32" ht="20.100000000000001" customHeight="1" x14ac:dyDescent="0.25">
      <c r="A366" s="36" t="str">
        <f>IFERROR(INDEX($Q$310:$Q$459,MATCH(ROWS($A$310:A366),$AF$310:$AF$459,0)),"")</f>
        <v/>
      </c>
      <c r="B366" s="35" t="str">
        <f>IFERROR(INDEX($R$310:$R$459,MATCH(ROWS($A$310:A366),$AF$310:$AF$459,0)),"")</f>
        <v/>
      </c>
      <c r="C366" s="35" t="str">
        <f>IFERROR(INDEX($S$310:$S$459,MATCH(ROWS($A$310:A366),$AF$310:$AF$459,0)),"")</f>
        <v/>
      </c>
      <c r="D366" s="35" t="str">
        <f>IFERROR(INDEX($T$310:$T$459,MATCH(ROWS($A$310:A366),$AF$310:$AF$459,0)),"")</f>
        <v/>
      </c>
      <c r="E366" s="35" t="str">
        <f>IFERROR(INDEX($U$310:$U$459,MATCH(ROWS($A$310:A366),$AF$310:$AF$459,0)),"")</f>
        <v/>
      </c>
      <c r="F366" s="35" t="str">
        <f>IFERROR(INDEX($V$310:$V$459,MATCH(ROWS($A$310:A366),$AF$310:$AF$459,0)),"")</f>
        <v/>
      </c>
      <c r="G366" s="35" t="str">
        <f>IFERROR(INDEX($W$310:$W$459,MATCH(ROWS($A$310:A366),$AF$310:$AF$459,0)),"")</f>
        <v/>
      </c>
      <c r="H366" s="35" t="str">
        <f>IFERROR(INDEX($X$310:$X$459,MATCH(ROWS($A$310:A366),$AF$310:$AF$459,0)),"")</f>
        <v/>
      </c>
      <c r="I366" s="35" t="str">
        <f>IFERROR(INDEX($Y$310:$Y$459,MATCH(ROWS($A$310:A366),$AF$310:$AF$459,0)),"")</f>
        <v/>
      </c>
      <c r="J366" s="35" t="str">
        <f>IFERROR(INDEX($Z$310:$Z$459,MATCH(ROWS($A$310:A366),$AF$310:$AF$459,0)),"")</f>
        <v/>
      </c>
      <c r="K366" s="35" t="str">
        <f>IFERROR(INDEX($AA$310:$AA$459,MATCH(ROWS($A$310:A366),$AF$310:$AF$459,0)),"")</f>
        <v/>
      </c>
      <c r="L366" s="35" t="str">
        <f>IFERROR(INDEX($AB$310:$AB$459,MATCH(ROWS($A$310:A366),$AF$310:$AF$459,0)),"")</f>
        <v/>
      </c>
      <c r="M366" s="35" t="str">
        <f>IFERROR(INDEX($AC$310:$AC$459,MATCH(ROWS($A$310:A366),$AF$310:$AF$459,0)),"")</f>
        <v/>
      </c>
      <c r="N366" s="35" t="str">
        <f>IFERROR(INDEX($AD$310:$AD$459,MATCH(ROWS($A$310:A366),$AF$310:$AF$459,0)),"")</f>
        <v/>
      </c>
      <c r="Q366" t="str">
        <f>T(JAN!B62)</f>
        <v>CLAUDIOMIR DE SOUZA 415401</v>
      </c>
      <c r="R366" t="str">
        <f t="array" ref="R366">IF($Q366="","",_xlfn.TEXTJOIN(", ",TRUE,IF(JAN!$G62:$AK62="FE",JAN!$G$4:$AK$4,"")))</f>
        <v/>
      </c>
      <c r="S366" t="str">
        <f t="array" ref="S366">IF($Q366="","",_xlfn.TEXTJOIN(", ",TRUE,IF(FEV!$G62:$AK62="FE",FEV!$G$4:$AK$4,"")))</f>
        <v/>
      </c>
      <c r="T366" t="str">
        <f t="array" ref="T366">IF($Q366="","",_xlfn.TEXTJOIN(", ",TRUE,IF(MAR!$G62:$AK62="FE",MAR!$G$4:$AK$4,"")))</f>
        <v/>
      </c>
      <c r="U366" t="str">
        <f t="array" ref="U366">IF($Q366="","",_xlfn.TEXTJOIN(", ",TRUE,IF(ABR!$G62:$AK62="FE",ABR!$G$4:$AK$4,"")))</f>
        <v/>
      </c>
      <c r="V366" t="str">
        <f t="array" ref="V366">IF($Q366="","",_xlfn.TEXTJOIN(", ",TRUE,IF(MAI!$G62:$AK62="FE",MAI!$G$4:$AK$4,"")))</f>
        <v/>
      </c>
      <c r="W366" t="str">
        <f t="array" ref="W366">IF($Q366="","",_xlfn.TEXTJOIN(", ",TRUE,IF(JUN!$G62:$AK62="FE",JUN!$G$4:$AK$4,"")))</f>
        <v/>
      </c>
      <c r="X366" t="str">
        <f t="array" ref="X366">IF($Q366="","",_xlfn.TEXTJOIN(", ",TRUE,IF(JUL!$G62:$AK62="FE",JUL!$G$4:$AK$4,"")))</f>
        <v/>
      </c>
      <c r="Y366" t="str">
        <f t="array" ref="Y366">IF($Q366="","",_xlfn.TEXTJOIN(", ",TRUE,IF(AGO!$G62:$AK62="FE",AGO!$G$4:$AK$4,"")))</f>
        <v/>
      </c>
      <c r="Z366" t="str">
        <f t="array" ref="Z366">IF($Q366="","",_xlfn.TEXTJOIN(", ",TRUE,IF(SET!$G62:$AK62="FE",SET!$G$4:$AK$4,"")))</f>
        <v/>
      </c>
      <c r="AA366" t="str">
        <f t="array" ref="AA366">IF($Q366="","",_xlfn.TEXTJOIN(", ",TRUE,IF(OUT!$G62:$AK62="FE",OUT!$G$4:$AK$4,"")))</f>
        <v/>
      </c>
      <c r="AB366" t="str">
        <f t="array" ref="AB366">IF($Q366="","",_xlfn.TEXTJOIN(", ",TRUE,IF(NOV!$G62:$AK62="FE",NOV!$G$4:$AK$4,"")))</f>
        <v/>
      </c>
      <c r="AC366" t="str">
        <f t="array" ref="AC366">IF($Q366="","",_xlfn.TEXTJOIN(", ",TRUE,IF(DEZ!$G62:$AK62="FE",DEZ!$G$4:$AK$4,"")))</f>
        <v/>
      </c>
      <c r="AD366">
        <f>IF($Q366="","",COUNTIF(JAN!$G62:$AK62,"FE")+COUNTIF(FEV!$G62:$AK62,"FE")+COUNTIF(MAR!$G62:$AK62,"FE")+COUNTIF(ABR!$G62:$AK62,"FE")+COUNTIF(MAI!$G62:$AK62,"FE")+COUNTIF(JUN!$G62:$AK62,"FE")+COUNTIF(JUL!$G62:$AK62,"FE")+COUNTIF(AGO!$G62:$AK62,"FE")+COUNTIF(SET!$G62:$AK62,"FE")+COUNTIF(OUT!$G62:$AK62,"FE")+COUNTIF(NOV!$G62:$AK62,"FE")+COUNTIF(DEZ!$G62:$AK62,"FE"))</f>
        <v>0</v>
      </c>
      <c r="AF366" t="str">
        <f>IF(AND($Q366&lt;&gt;"",N($AD366)&gt;0),COUNT($AF$309:AF365)+1,"")</f>
        <v/>
      </c>
    </row>
    <row r="367" spans="1:32" ht="20.100000000000001" customHeight="1" x14ac:dyDescent="0.25">
      <c r="A367" s="36" t="str">
        <f>IFERROR(INDEX($Q$310:$Q$459,MATCH(ROWS($A$310:A367),$AF$310:$AF$459,0)),"")</f>
        <v/>
      </c>
      <c r="B367" s="35" t="str">
        <f>IFERROR(INDEX($R$310:$R$459,MATCH(ROWS($A$310:A367),$AF$310:$AF$459,0)),"")</f>
        <v/>
      </c>
      <c r="C367" s="35" t="str">
        <f>IFERROR(INDEX($S$310:$S$459,MATCH(ROWS($A$310:A367),$AF$310:$AF$459,0)),"")</f>
        <v/>
      </c>
      <c r="D367" s="35" t="str">
        <f>IFERROR(INDEX($T$310:$T$459,MATCH(ROWS($A$310:A367),$AF$310:$AF$459,0)),"")</f>
        <v/>
      </c>
      <c r="E367" s="35" t="str">
        <f>IFERROR(INDEX($U$310:$U$459,MATCH(ROWS($A$310:A367),$AF$310:$AF$459,0)),"")</f>
        <v/>
      </c>
      <c r="F367" s="35" t="str">
        <f>IFERROR(INDEX($V$310:$V$459,MATCH(ROWS($A$310:A367),$AF$310:$AF$459,0)),"")</f>
        <v/>
      </c>
      <c r="G367" s="35" t="str">
        <f>IFERROR(INDEX($W$310:$W$459,MATCH(ROWS($A$310:A367),$AF$310:$AF$459,0)),"")</f>
        <v/>
      </c>
      <c r="H367" s="35" t="str">
        <f>IFERROR(INDEX($X$310:$X$459,MATCH(ROWS($A$310:A367),$AF$310:$AF$459,0)),"")</f>
        <v/>
      </c>
      <c r="I367" s="35" t="str">
        <f>IFERROR(INDEX($Y$310:$Y$459,MATCH(ROWS($A$310:A367),$AF$310:$AF$459,0)),"")</f>
        <v/>
      </c>
      <c r="J367" s="35" t="str">
        <f>IFERROR(INDEX($Z$310:$Z$459,MATCH(ROWS($A$310:A367),$AF$310:$AF$459,0)),"")</f>
        <v/>
      </c>
      <c r="K367" s="35" t="str">
        <f>IFERROR(INDEX($AA$310:$AA$459,MATCH(ROWS($A$310:A367),$AF$310:$AF$459,0)),"")</f>
        <v/>
      </c>
      <c r="L367" s="35" t="str">
        <f>IFERROR(INDEX($AB$310:$AB$459,MATCH(ROWS($A$310:A367),$AF$310:$AF$459,0)),"")</f>
        <v/>
      </c>
      <c r="M367" s="35" t="str">
        <f>IFERROR(INDEX($AC$310:$AC$459,MATCH(ROWS($A$310:A367),$AF$310:$AF$459,0)),"")</f>
        <v/>
      </c>
      <c r="N367" s="35" t="str">
        <f>IFERROR(INDEX($AD$310:$AD$459,MATCH(ROWS($A$310:A367),$AF$310:$AF$459,0)),"")</f>
        <v/>
      </c>
      <c r="Q367" t="str">
        <f>T(JAN!B63)</f>
        <v>VAGNER LEMOS 360301</v>
      </c>
      <c r="R367" t="str">
        <f t="array" ref="R367">IF($Q367="","",_xlfn.TEXTJOIN(", ",TRUE,IF(JAN!$G63:$AK63="FE",JAN!$G$4:$AK$4,"")))</f>
        <v/>
      </c>
      <c r="S367" t="str">
        <f t="array" ref="S367">IF($Q367="","",_xlfn.TEXTJOIN(", ",TRUE,IF(FEV!$G63:$AK63="FE",FEV!$G$4:$AK$4,"")))</f>
        <v/>
      </c>
      <c r="T367" t="str">
        <f t="array" ref="T367">IF($Q367="","",_xlfn.TEXTJOIN(", ",TRUE,IF(MAR!$G63:$AK63="FE",MAR!$G$4:$AK$4,"")))</f>
        <v/>
      </c>
      <c r="U367" t="str">
        <f t="array" ref="U367">IF($Q367="","",_xlfn.TEXTJOIN(", ",TRUE,IF(ABR!$G63:$AK63="FE",ABR!$G$4:$AK$4,"")))</f>
        <v/>
      </c>
      <c r="V367" t="str">
        <f t="array" ref="V367">IF($Q367="","",_xlfn.TEXTJOIN(", ",TRUE,IF(MAI!$G63:$AK63="FE",MAI!$G$4:$AK$4,"")))</f>
        <v/>
      </c>
      <c r="W367" t="str">
        <f t="array" ref="W367">IF($Q367="","",_xlfn.TEXTJOIN(", ",TRUE,IF(JUN!$G63:$AK63="FE",JUN!$G$4:$AK$4,"")))</f>
        <v/>
      </c>
      <c r="X367" t="str">
        <f t="array" ref="X367">IF($Q367="","",_xlfn.TEXTJOIN(", ",TRUE,IF(JUL!$G63:$AK63="FE",JUL!$G$4:$AK$4,"")))</f>
        <v/>
      </c>
      <c r="Y367" t="str">
        <f t="array" ref="Y367">IF($Q367="","",_xlfn.TEXTJOIN(", ",TRUE,IF(AGO!$G63:$AK63="FE",AGO!$G$4:$AK$4,"")))</f>
        <v>10, 11, 12, 13, 14, 15, 16, 17, 18, 19, 20, 21, 22, 23, 24, 25</v>
      </c>
      <c r="Z367" t="str">
        <f t="array" ref="Z367">IF($Q367="","",_xlfn.TEXTJOIN(", ",TRUE,IF(SET!$G63:$AK63="FE",SET!$G$4:$AK$4,"")))</f>
        <v/>
      </c>
      <c r="AA367" t="str">
        <f t="array" ref="AA367">IF($Q367="","",_xlfn.TEXTJOIN(", ",TRUE,IF(OUT!$G63:$AK63="FE",OUT!$G$4:$AK$4,"")))</f>
        <v/>
      </c>
      <c r="AB367" t="str">
        <f t="array" ref="AB367">IF($Q367="","",_xlfn.TEXTJOIN(", ",TRUE,IF(NOV!$G63:$AK63="FE",NOV!$G$4:$AK$4,"")))</f>
        <v/>
      </c>
      <c r="AC367" t="str">
        <f t="array" ref="AC367">IF($Q367="","",_xlfn.TEXTJOIN(", ",TRUE,IF(DEZ!$G63:$AK63="FE",DEZ!$G$4:$AK$4,"")))</f>
        <v/>
      </c>
      <c r="AD367">
        <f>IF($Q367="","",COUNTIF(JAN!$G63:$AK63,"FE")+COUNTIF(FEV!$G63:$AK63,"FE")+COUNTIF(MAR!$G63:$AK63,"FE")+COUNTIF(ABR!$G63:$AK63,"FE")+COUNTIF(MAI!$G63:$AK63,"FE")+COUNTIF(JUN!$G63:$AK63,"FE")+COUNTIF(JUL!$G63:$AK63,"FE")+COUNTIF(AGO!$G63:$AK63,"FE")+COUNTIF(SET!$G63:$AK63,"FE")+COUNTIF(OUT!$G63:$AK63,"FE")+COUNTIF(NOV!$G63:$AK63,"FE")+COUNTIF(DEZ!$G63:$AK63,"FE"))</f>
        <v>16</v>
      </c>
      <c r="AF367">
        <f>IF(AND($Q367&lt;&gt;"",N($AD367)&gt;0),COUNT($AF$309:AF366)+1,"")</f>
        <v>6</v>
      </c>
    </row>
    <row r="368" spans="1:32" ht="20.100000000000001" customHeight="1" x14ac:dyDescent="0.25">
      <c r="A368" s="36" t="str">
        <f>IFERROR(INDEX($Q$310:$Q$459,MATCH(ROWS($A$310:A368),$AF$310:$AF$459,0)),"")</f>
        <v/>
      </c>
      <c r="B368" s="35" t="str">
        <f>IFERROR(INDEX($R$310:$R$459,MATCH(ROWS($A$310:A368),$AF$310:$AF$459,0)),"")</f>
        <v/>
      </c>
      <c r="C368" s="35" t="str">
        <f>IFERROR(INDEX($S$310:$S$459,MATCH(ROWS($A$310:A368),$AF$310:$AF$459,0)),"")</f>
        <v/>
      </c>
      <c r="D368" s="35" t="str">
        <f>IFERROR(INDEX($T$310:$T$459,MATCH(ROWS($A$310:A368),$AF$310:$AF$459,0)),"")</f>
        <v/>
      </c>
      <c r="E368" s="35" t="str">
        <f>IFERROR(INDEX($U$310:$U$459,MATCH(ROWS($A$310:A368),$AF$310:$AF$459,0)),"")</f>
        <v/>
      </c>
      <c r="F368" s="35" t="str">
        <f>IFERROR(INDEX($V$310:$V$459,MATCH(ROWS($A$310:A368),$AF$310:$AF$459,0)),"")</f>
        <v/>
      </c>
      <c r="G368" s="35" t="str">
        <f>IFERROR(INDEX($W$310:$W$459,MATCH(ROWS($A$310:A368),$AF$310:$AF$459,0)),"")</f>
        <v/>
      </c>
      <c r="H368" s="35" t="str">
        <f>IFERROR(INDEX($X$310:$X$459,MATCH(ROWS($A$310:A368),$AF$310:$AF$459,0)),"")</f>
        <v/>
      </c>
      <c r="I368" s="35" t="str">
        <f>IFERROR(INDEX($Y$310:$Y$459,MATCH(ROWS($A$310:A368),$AF$310:$AF$459,0)),"")</f>
        <v/>
      </c>
      <c r="J368" s="35" t="str">
        <f>IFERROR(INDEX($Z$310:$Z$459,MATCH(ROWS($A$310:A368),$AF$310:$AF$459,0)),"")</f>
        <v/>
      </c>
      <c r="K368" s="35" t="str">
        <f>IFERROR(INDEX($AA$310:$AA$459,MATCH(ROWS($A$310:A368),$AF$310:$AF$459,0)),"")</f>
        <v/>
      </c>
      <c r="L368" s="35" t="str">
        <f>IFERROR(INDEX($AB$310:$AB$459,MATCH(ROWS($A$310:A368),$AF$310:$AF$459,0)),"")</f>
        <v/>
      </c>
      <c r="M368" s="35" t="str">
        <f>IFERROR(INDEX($AC$310:$AC$459,MATCH(ROWS($A$310:A368),$AF$310:$AF$459,0)),"")</f>
        <v/>
      </c>
      <c r="N368" s="35" t="str">
        <f>IFERROR(INDEX($AD$310:$AD$459,MATCH(ROWS($A$310:A368),$AF$310:$AF$459,0)),"")</f>
        <v/>
      </c>
      <c r="Q368" t="str">
        <f>T(JAN!B64)</f>
        <v>RODRIGO FREITAS 283001</v>
      </c>
      <c r="R368" t="str">
        <f t="array" ref="R368">IF($Q368="","",_xlfn.TEXTJOIN(", ",TRUE,IF(JAN!$G64:$AK64="FE",JAN!$G$4:$AK$4,"")))</f>
        <v/>
      </c>
      <c r="S368" t="str">
        <f t="array" ref="S368">IF($Q368="","",_xlfn.TEXTJOIN(", ",TRUE,IF(FEV!$G64:$AK64="FE",FEV!$G$4:$AK$4,"")))</f>
        <v/>
      </c>
      <c r="T368" t="str">
        <f t="array" ref="T368">IF($Q368="","",_xlfn.TEXTJOIN(", ",TRUE,IF(MAR!$G64:$AK64="FE",MAR!$G$4:$AK$4,"")))</f>
        <v/>
      </c>
      <c r="U368" t="str">
        <f t="array" ref="U368">IF($Q368="","",_xlfn.TEXTJOIN(", ",TRUE,IF(ABR!$G64:$AK64="FE",ABR!$G$4:$AK$4,"")))</f>
        <v/>
      </c>
      <c r="V368" t="str">
        <f t="array" ref="V368">IF($Q368="","",_xlfn.TEXTJOIN(", ",TRUE,IF(MAI!$G64:$AK64="FE",MAI!$G$4:$AK$4,"")))</f>
        <v/>
      </c>
      <c r="W368" t="str">
        <f t="array" ref="W368">IF($Q368="","",_xlfn.TEXTJOIN(", ",TRUE,IF(JUN!$G64:$AK64="FE",JUN!$G$4:$AK$4,"")))</f>
        <v/>
      </c>
      <c r="X368" t="str">
        <f t="array" ref="X368">IF($Q368="","",_xlfn.TEXTJOIN(", ",TRUE,IF(JUL!$G64:$AK64="FE",JUL!$G$4:$AK$4,"")))</f>
        <v/>
      </c>
      <c r="Y368" t="str">
        <f t="array" ref="Y368">IF($Q368="","",_xlfn.TEXTJOIN(", ",TRUE,IF(AGO!$G64:$AK64="FE",AGO!$G$4:$AK$4,"")))</f>
        <v/>
      </c>
      <c r="Z368" t="str">
        <f t="array" ref="Z368">IF($Q368="","",_xlfn.TEXTJOIN(", ",TRUE,IF(SET!$G64:$AK64="FE",SET!$G$4:$AK$4,"")))</f>
        <v/>
      </c>
      <c r="AA368" t="str">
        <f t="array" ref="AA368">IF($Q368="","",_xlfn.TEXTJOIN(", ",TRUE,IF(OUT!$G64:$AK64="FE",OUT!$G$4:$AK$4,"")))</f>
        <v/>
      </c>
      <c r="AB368" t="str">
        <f t="array" ref="AB368">IF($Q368="","",_xlfn.TEXTJOIN(", ",TRUE,IF(NOV!$G64:$AK64="FE",NOV!$G$4:$AK$4,"")))</f>
        <v/>
      </c>
      <c r="AC368" t="str">
        <f t="array" ref="AC368">IF($Q368="","",_xlfn.TEXTJOIN(", ",TRUE,IF(DEZ!$G64:$AK64="FE",DEZ!$G$4:$AK$4,"")))</f>
        <v/>
      </c>
      <c r="AD368">
        <f>IF($Q368="","",COUNTIF(JAN!$G64:$AK64,"FE")+COUNTIF(FEV!$G64:$AK64,"FE")+COUNTIF(MAR!$G64:$AK64,"FE")+COUNTIF(ABR!$G64:$AK64,"FE")+COUNTIF(MAI!$G64:$AK64,"FE")+COUNTIF(JUN!$G64:$AK64,"FE")+COUNTIF(JUL!$G64:$AK64,"FE")+COUNTIF(AGO!$G64:$AK64,"FE")+COUNTIF(SET!$G64:$AK64,"FE")+COUNTIF(OUT!$G64:$AK64,"FE")+COUNTIF(NOV!$G64:$AK64,"FE")+COUNTIF(DEZ!$G64:$AK64,"FE"))</f>
        <v>0</v>
      </c>
      <c r="AF368" t="str">
        <f>IF(AND($Q368&lt;&gt;"",N($AD368)&gt;0),COUNT($AF$309:AF367)+1,"")</f>
        <v/>
      </c>
    </row>
    <row r="369" spans="1:32" ht="20.100000000000001" customHeight="1" x14ac:dyDescent="0.25">
      <c r="A369" s="36" t="str">
        <f>IFERROR(INDEX($Q$310:$Q$459,MATCH(ROWS($A$310:A369),$AF$310:$AF$459,0)),"")</f>
        <v/>
      </c>
      <c r="B369" s="35" t="str">
        <f>IFERROR(INDEX($R$310:$R$459,MATCH(ROWS($A$310:A369),$AF$310:$AF$459,0)),"")</f>
        <v/>
      </c>
      <c r="C369" s="35" t="str">
        <f>IFERROR(INDEX($S$310:$S$459,MATCH(ROWS($A$310:A369),$AF$310:$AF$459,0)),"")</f>
        <v/>
      </c>
      <c r="D369" s="35" t="str">
        <f>IFERROR(INDEX($T$310:$T$459,MATCH(ROWS($A$310:A369),$AF$310:$AF$459,0)),"")</f>
        <v/>
      </c>
      <c r="E369" s="35" t="str">
        <f>IFERROR(INDEX($U$310:$U$459,MATCH(ROWS($A$310:A369),$AF$310:$AF$459,0)),"")</f>
        <v/>
      </c>
      <c r="F369" s="35" t="str">
        <f>IFERROR(INDEX($V$310:$V$459,MATCH(ROWS($A$310:A369),$AF$310:$AF$459,0)),"")</f>
        <v/>
      </c>
      <c r="G369" s="35" t="str">
        <f>IFERROR(INDEX($W$310:$W$459,MATCH(ROWS($A$310:A369),$AF$310:$AF$459,0)),"")</f>
        <v/>
      </c>
      <c r="H369" s="35" t="str">
        <f>IFERROR(INDEX($X$310:$X$459,MATCH(ROWS($A$310:A369),$AF$310:$AF$459,0)),"")</f>
        <v/>
      </c>
      <c r="I369" s="35" t="str">
        <f>IFERROR(INDEX($Y$310:$Y$459,MATCH(ROWS($A$310:A369),$AF$310:$AF$459,0)),"")</f>
        <v/>
      </c>
      <c r="J369" s="35" t="str">
        <f>IFERROR(INDEX($Z$310:$Z$459,MATCH(ROWS($A$310:A369),$AF$310:$AF$459,0)),"")</f>
        <v/>
      </c>
      <c r="K369" s="35" t="str">
        <f>IFERROR(INDEX($AA$310:$AA$459,MATCH(ROWS($A$310:A369),$AF$310:$AF$459,0)),"")</f>
        <v/>
      </c>
      <c r="L369" s="35" t="str">
        <f>IFERROR(INDEX($AB$310:$AB$459,MATCH(ROWS($A$310:A369),$AF$310:$AF$459,0)),"")</f>
        <v/>
      </c>
      <c r="M369" s="35" t="str">
        <f>IFERROR(INDEX($AC$310:$AC$459,MATCH(ROWS($A$310:A369),$AF$310:$AF$459,0)),"")</f>
        <v/>
      </c>
      <c r="N369" s="35" t="str">
        <f>IFERROR(INDEX($AD$310:$AD$459,MATCH(ROWS($A$310:A369),$AF$310:$AF$459,0)),"")</f>
        <v/>
      </c>
      <c r="Q369" t="str">
        <f>T(JAN!B65)</f>
        <v>ANTONIO LUCIANO 454801</v>
      </c>
      <c r="R369" t="str">
        <f t="array" ref="R369">IF($Q369="","",_xlfn.TEXTJOIN(", ",TRUE,IF(JAN!$G65:$AK65="FE",JAN!$G$4:$AK$4,"")))</f>
        <v/>
      </c>
      <c r="S369" t="str">
        <f t="array" ref="S369">IF($Q369="","",_xlfn.TEXTJOIN(", ",TRUE,IF(FEV!$G65:$AK65="FE",FEV!$G$4:$AK$4,"")))</f>
        <v/>
      </c>
      <c r="T369" t="str">
        <f t="array" ref="T369">IF($Q369="","",_xlfn.TEXTJOIN(", ",TRUE,IF(MAR!$G65:$AK65="FE",MAR!$G$4:$AK$4,"")))</f>
        <v/>
      </c>
      <c r="U369" t="str">
        <f t="array" ref="U369">IF($Q369="","",_xlfn.TEXTJOIN(", ",TRUE,IF(ABR!$G65:$AK65="FE",ABR!$G$4:$AK$4,"")))</f>
        <v/>
      </c>
      <c r="V369" t="str">
        <f t="array" ref="V369">IF($Q369="","",_xlfn.TEXTJOIN(", ",TRUE,IF(MAI!$G65:$AK65="FE",MAI!$G$4:$AK$4,"")))</f>
        <v/>
      </c>
      <c r="W369" t="str">
        <f t="array" ref="W369">IF($Q369="","",_xlfn.TEXTJOIN(", ",TRUE,IF(JUN!$G65:$AK65="FE",JUN!$G$4:$AK$4,"")))</f>
        <v/>
      </c>
      <c r="X369" t="str">
        <f t="array" ref="X369">IF($Q369="","",_xlfn.TEXTJOIN(", ",TRUE,IF(JUL!$G65:$AK65="FE",JUL!$G$4:$AK$4,"")))</f>
        <v/>
      </c>
      <c r="Y369" t="str">
        <f t="array" ref="Y369">IF($Q369="","",_xlfn.TEXTJOIN(", ",TRUE,IF(AGO!$G65:$AK65="FE",AGO!$G$4:$AK$4,"")))</f>
        <v/>
      </c>
      <c r="Z369" t="str">
        <f t="array" ref="Z369">IF($Q369="","",_xlfn.TEXTJOIN(", ",TRUE,IF(SET!$G65:$AK65="FE",SET!$G$4:$AK$4,"")))</f>
        <v/>
      </c>
      <c r="AA369" t="str">
        <f t="array" ref="AA369">IF($Q369="","",_xlfn.TEXTJOIN(", ",TRUE,IF(OUT!$G65:$AK65="FE",OUT!$G$4:$AK$4,"")))</f>
        <v/>
      </c>
      <c r="AB369" t="str">
        <f t="array" ref="AB369">IF($Q369="","",_xlfn.TEXTJOIN(", ",TRUE,IF(NOV!$G65:$AK65="FE",NOV!$G$4:$AK$4,"")))</f>
        <v/>
      </c>
      <c r="AC369" t="str">
        <f t="array" ref="AC369">IF($Q369="","",_xlfn.TEXTJOIN(", ",TRUE,IF(DEZ!$G65:$AK65="FE",DEZ!$G$4:$AK$4,"")))</f>
        <v/>
      </c>
      <c r="AD369">
        <f>IF($Q369="","",COUNTIF(JAN!$G65:$AK65,"FE")+COUNTIF(FEV!$G65:$AK65,"FE")+COUNTIF(MAR!$G65:$AK65,"FE")+COUNTIF(ABR!$G65:$AK65,"FE")+COUNTIF(MAI!$G65:$AK65,"FE")+COUNTIF(JUN!$G65:$AK65,"FE")+COUNTIF(JUL!$G65:$AK65,"FE")+COUNTIF(AGO!$G65:$AK65,"FE")+COUNTIF(SET!$G65:$AK65,"FE")+COUNTIF(OUT!$G65:$AK65,"FE")+COUNTIF(NOV!$G65:$AK65,"FE")+COUNTIF(DEZ!$G65:$AK65,"FE"))</f>
        <v>0</v>
      </c>
      <c r="AF369" t="str">
        <f>IF(AND($Q369&lt;&gt;"",N($AD369)&gt;0),COUNT($AF$309:AF368)+1,"")</f>
        <v/>
      </c>
    </row>
    <row r="370" spans="1:32" ht="20.100000000000001" customHeight="1" x14ac:dyDescent="0.25">
      <c r="A370" s="36" t="str">
        <f>IFERROR(INDEX($Q$310:$Q$459,MATCH(ROWS($A$310:A370),$AF$310:$AF$459,0)),"")</f>
        <v/>
      </c>
      <c r="B370" s="35" t="str">
        <f>IFERROR(INDEX($R$310:$R$459,MATCH(ROWS($A$310:A370),$AF$310:$AF$459,0)),"")</f>
        <v/>
      </c>
      <c r="C370" s="35" t="str">
        <f>IFERROR(INDEX($S$310:$S$459,MATCH(ROWS($A$310:A370),$AF$310:$AF$459,0)),"")</f>
        <v/>
      </c>
      <c r="D370" s="35" t="str">
        <f>IFERROR(INDEX($T$310:$T$459,MATCH(ROWS($A$310:A370),$AF$310:$AF$459,0)),"")</f>
        <v/>
      </c>
      <c r="E370" s="35" t="str">
        <f>IFERROR(INDEX($U$310:$U$459,MATCH(ROWS($A$310:A370),$AF$310:$AF$459,0)),"")</f>
        <v/>
      </c>
      <c r="F370" s="35" t="str">
        <f>IFERROR(INDEX($V$310:$V$459,MATCH(ROWS($A$310:A370),$AF$310:$AF$459,0)),"")</f>
        <v/>
      </c>
      <c r="G370" s="35" t="str">
        <f>IFERROR(INDEX($W$310:$W$459,MATCH(ROWS($A$310:A370),$AF$310:$AF$459,0)),"")</f>
        <v/>
      </c>
      <c r="H370" s="35" t="str">
        <f>IFERROR(INDEX($X$310:$X$459,MATCH(ROWS($A$310:A370),$AF$310:$AF$459,0)),"")</f>
        <v/>
      </c>
      <c r="I370" s="35" t="str">
        <f>IFERROR(INDEX($Y$310:$Y$459,MATCH(ROWS($A$310:A370),$AF$310:$AF$459,0)),"")</f>
        <v/>
      </c>
      <c r="J370" s="35" t="str">
        <f>IFERROR(INDEX($Z$310:$Z$459,MATCH(ROWS($A$310:A370),$AF$310:$AF$459,0)),"")</f>
        <v/>
      </c>
      <c r="K370" s="35" t="str">
        <f>IFERROR(INDEX($AA$310:$AA$459,MATCH(ROWS($A$310:A370),$AF$310:$AF$459,0)),"")</f>
        <v/>
      </c>
      <c r="L370" s="35" t="str">
        <f>IFERROR(INDEX($AB$310:$AB$459,MATCH(ROWS($A$310:A370),$AF$310:$AF$459,0)),"")</f>
        <v/>
      </c>
      <c r="M370" s="35" t="str">
        <f>IFERROR(INDEX($AC$310:$AC$459,MATCH(ROWS($A$310:A370),$AF$310:$AF$459,0)),"")</f>
        <v/>
      </c>
      <c r="N370" s="35" t="str">
        <f>IFERROR(INDEX($AD$310:$AD$459,MATCH(ROWS($A$310:A370),$AF$310:$AF$459,0)),"")</f>
        <v/>
      </c>
      <c r="Q370" t="str">
        <f>T(JAN!B66)</f>
        <v>JONATHAM CORREA 447001</v>
      </c>
      <c r="R370" t="str">
        <f t="array" ref="R370">IF($Q370="","",_xlfn.TEXTJOIN(", ",TRUE,IF(JAN!$G66:$AK66="FE",JAN!$G$4:$AK$4,"")))</f>
        <v/>
      </c>
      <c r="S370" t="str">
        <f t="array" ref="S370">IF($Q370="","",_xlfn.TEXTJOIN(", ",TRUE,IF(FEV!$G66:$AK66="FE",FEV!$G$4:$AK$4,"")))</f>
        <v/>
      </c>
      <c r="T370" t="str">
        <f t="array" ref="T370">IF($Q370="","",_xlfn.TEXTJOIN(", ",TRUE,IF(MAR!$G66:$AK66="FE",MAR!$G$4:$AK$4,"")))</f>
        <v/>
      </c>
      <c r="U370" t="str">
        <f t="array" ref="U370">IF($Q370="","",_xlfn.TEXTJOIN(", ",TRUE,IF(ABR!$G66:$AK66="FE",ABR!$G$4:$AK$4,"")))</f>
        <v/>
      </c>
      <c r="V370" t="str">
        <f t="array" ref="V370">IF($Q370="","",_xlfn.TEXTJOIN(", ",TRUE,IF(MAI!$G66:$AK66="FE",MAI!$G$4:$AK$4,"")))</f>
        <v/>
      </c>
      <c r="W370" t="str">
        <f t="array" ref="W370">IF($Q370="","",_xlfn.TEXTJOIN(", ",TRUE,IF(JUN!$G66:$AK66="FE",JUN!$G$4:$AK$4,"")))</f>
        <v/>
      </c>
      <c r="X370" t="str">
        <f t="array" ref="X370">IF($Q370="","",_xlfn.TEXTJOIN(", ",TRUE,IF(JUL!$G66:$AK66="FE",JUL!$G$4:$AK$4,"")))</f>
        <v/>
      </c>
      <c r="Y370" t="str">
        <f t="array" ref="Y370">IF($Q370="","",_xlfn.TEXTJOIN(", ",TRUE,IF(AGO!$G66:$AK66="FE",AGO!$G$4:$AK$4,"")))</f>
        <v/>
      </c>
      <c r="Z370" t="str">
        <f t="array" ref="Z370">IF($Q370="","",_xlfn.TEXTJOIN(", ",TRUE,IF(SET!$G66:$AK66="FE",SET!$G$4:$AK$4,"")))</f>
        <v/>
      </c>
      <c r="AA370" t="str">
        <f t="array" ref="AA370">IF($Q370="","",_xlfn.TEXTJOIN(", ",TRUE,IF(OUT!$G66:$AK66="FE",OUT!$G$4:$AK$4,"")))</f>
        <v/>
      </c>
      <c r="AB370" t="str">
        <f t="array" ref="AB370">IF($Q370="","",_xlfn.TEXTJOIN(", ",TRUE,IF(NOV!$G66:$AK66="FE",NOV!$G$4:$AK$4,"")))</f>
        <v/>
      </c>
      <c r="AC370" t="str">
        <f t="array" ref="AC370">IF($Q370="","",_xlfn.TEXTJOIN(", ",TRUE,IF(DEZ!$G66:$AK66="FE",DEZ!$G$4:$AK$4,"")))</f>
        <v/>
      </c>
      <c r="AD370">
        <f>IF($Q370="","",COUNTIF(JAN!$G66:$AK66,"FE")+COUNTIF(FEV!$G66:$AK66,"FE")+COUNTIF(MAR!$G66:$AK66,"FE")+COUNTIF(ABR!$G66:$AK66,"FE")+COUNTIF(MAI!$G66:$AK66,"FE")+COUNTIF(JUN!$G66:$AK66,"FE")+COUNTIF(JUL!$G66:$AK66,"FE")+COUNTIF(AGO!$G66:$AK66,"FE")+COUNTIF(SET!$G66:$AK66,"FE")+COUNTIF(OUT!$G66:$AK66,"FE")+COUNTIF(NOV!$G66:$AK66,"FE")+COUNTIF(DEZ!$G66:$AK66,"FE"))</f>
        <v>0</v>
      </c>
      <c r="AF370" t="str">
        <f>IF(AND($Q370&lt;&gt;"",N($AD370)&gt;0),COUNT($AF$309:AF369)+1,"")</f>
        <v/>
      </c>
    </row>
    <row r="371" spans="1:32" ht="20.100000000000001" customHeight="1" x14ac:dyDescent="0.25">
      <c r="A371" s="36" t="str">
        <f>IFERROR(INDEX($Q$310:$Q$459,MATCH(ROWS($A$310:A371),$AF$310:$AF$459,0)),"")</f>
        <v/>
      </c>
      <c r="B371" s="35" t="str">
        <f>IFERROR(INDEX($R$310:$R$459,MATCH(ROWS($A$310:A371),$AF$310:$AF$459,0)),"")</f>
        <v/>
      </c>
      <c r="C371" s="35" t="str">
        <f>IFERROR(INDEX($S$310:$S$459,MATCH(ROWS($A$310:A371),$AF$310:$AF$459,0)),"")</f>
        <v/>
      </c>
      <c r="D371" s="35" t="str">
        <f>IFERROR(INDEX($T$310:$T$459,MATCH(ROWS($A$310:A371),$AF$310:$AF$459,0)),"")</f>
        <v/>
      </c>
      <c r="E371" s="35" t="str">
        <f>IFERROR(INDEX($U$310:$U$459,MATCH(ROWS($A$310:A371),$AF$310:$AF$459,0)),"")</f>
        <v/>
      </c>
      <c r="F371" s="35" t="str">
        <f>IFERROR(INDEX($V$310:$V$459,MATCH(ROWS($A$310:A371),$AF$310:$AF$459,0)),"")</f>
        <v/>
      </c>
      <c r="G371" s="35" t="str">
        <f>IFERROR(INDEX($W$310:$W$459,MATCH(ROWS($A$310:A371),$AF$310:$AF$459,0)),"")</f>
        <v/>
      </c>
      <c r="H371" s="35" t="str">
        <f>IFERROR(INDEX($X$310:$X$459,MATCH(ROWS($A$310:A371),$AF$310:$AF$459,0)),"")</f>
        <v/>
      </c>
      <c r="I371" s="35" t="str">
        <f>IFERROR(INDEX($Y$310:$Y$459,MATCH(ROWS($A$310:A371),$AF$310:$AF$459,0)),"")</f>
        <v/>
      </c>
      <c r="J371" s="35" t="str">
        <f>IFERROR(INDEX($Z$310:$Z$459,MATCH(ROWS($A$310:A371),$AF$310:$AF$459,0)),"")</f>
        <v/>
      </c>
      <c r="K371" s="35" t="str">
        <f>IFERROR(INDEX($AA$310:$AA$459,MATCH(ROWS($A$310:A371),$AF$310:$AF$459,0)),"")</f>
        <v/>
      </c>
      <c r="L371" s="35" t="str">
        <f>IFERROR(INDEX($AB$310:$AB$459,MATCH(ROWS($A$310:A371),$AF$310:$AF$459,0)),"")</f>
        <v/>
      </c>
      <c r="M371" s="35" t="str">
        <f>IFERROR(INDEX($AC$310:$AC$459,MATCH(ROWS($A$310:A371),$AF$310:$AF$459,0)),"")</f>
        <v/>
      </c>
      <c r="N371" s="35" t="str">
        <f>IFERROR(INDEX($AD$310:$AD$459,MATCH(ROWS($A$310:A371),$AF$310:$AF$459,0)),"")</f>
        <v/>
      </c>
      <c r="Q371" t="str">
        <f>T(JAN!B67)</f>
        <v>GUILHERME MELCHIOR 37002309</v>
      </c>
      <c r="R371" t="str">
        <f t="array" ref="R371">IF($Q371="","",_xlfn.TEXTJOIN(", ",TRUE,IF(JAN!$G67:$AK67="FE",JAN!$G$4:$AK$4,"")))</f>
        <v/>
      </c>
      <c r="S371" t="str">
        <f t="array" ref="S371">IF($Q371="","",_xlfn.TEXTJOIN(", ",TRUE,IF(FEV!$G67:$AK67="FE",FEV!$G$4:$AK$4,"")))</f>
        <v/>
      </c>
      <c r="T371" t="str">
        <f t="array" ref="T371">IF($Q371="","",_xlfn.TEXTJOIN(", ",TRUE,IF(MAR!$G67:$AK67="FE",MAR!$G$4:$AK$4,"")))</f>
        <v/>
      </c>
      <c r="U371" t="str">
        <f t="array" ref="U371">IF($Q371="","",_xlfn.TEXTJOIN(", ",TRUE,IF(ABR!$G67:$AK67="FE",ABR!$G$4:$AK$4,"")))</f>
        <v/>
      </c>
      <c r="V371" t="str">
        <f t="array" ref="V371">IF($Q371="","",_xlfn.TEXTJOIN(", ",TRUE,IF(MAI!$G67:$AK67="FE",MAI!$G$4:$AK$4,"")))</f>
        <v/>
      </c>
      <c r="W371" t="str">
        <f t="array" ref="W371">IF($Q371="","",_xlfn.TEXTJOIN(", ",TRUE,IF(JUN!$G67:$AK67="FE",JUN!$G$4:$AK$4,"")))</f>
        <v/>
      </c>
      <c r="X371" t="str">
        <f t="array" ref="X371">IF($Q371="","",_xlfn.TEXTJOIN(", ",TRUE,IF(JUL!$G67:$AK67="FE",JUL!$G$4:$AK$4,"")))</f>
        <v/>
      </c>
      <c r="Y371" t="str">
        <f t="array" ref="Y371">IF($Q371="","",_xlfn.TEXTJOIN(", ",TRUE,IF(AGO!$G67:$AK67="FE",AGO!$G$4:$AK$4,"")))</f>
        <v/>
      </c>
      <c r="Z371" t="str">
        <f t="array" ref="Z371">IF($Q371="","",_xlfn.TEXTJOIN(", ",TRUE,IF(SET!$G67:$AK67="FE",SET!$G$4:$AK$4,"")))</f>
        <v/>
      </c>
      <c r="AA371" t="str">
        <f t="array" ref="AA371">IF($Q371="","",_xlfn.TEXTJOIN(", ",TRUE,IF(OUT!$G67:$AK67="FE",OUT!$G$4:$AK$4,"")))</f>
        <v/>
      </c>
      <c r="AB371" t="str">
        <f t="array" ref="AB371">IF($Q371="","",_xlfn.TEXTJOIN(", ",TRUE,IF(NOV!$G67:$AK67="FE",NOV!$G$4:$AK$4,"")))</f>
        <v/>
      </c>
      <c r="AC371" t="str">
        <f t="array" ref="AC371">IF($Q371="","",_xlfn.TEXTJOIN(", ",TRUE,IF(DEZ!$G67:$AK67="FE",DEZ!$G$4:$AK$4,"")))</f>
        <v/>
      </c>
      <c r="AD371">
        <f>IF($Q371="","",COUNTIF(JAN!$G67:$AK67,"FE")+COUNTIF(FEV!$G67:$AK67,"FE")+COUNTIF(MAR!$G67:$AK67,"FE")+COUNTIF(ABR!$G67:$AK67,"FE")+COUNTIF(MAI!$G67:$AK67,"FE")+COUNTIF(JUN!$G67:$AK67,"FE")+COUNTIF(JUL!$G67:$AK67,"FE")+COUNTIF(AGO!$G67:$AK67,"FE")+COUNTIF(SET!$G67:$AK67,"FE")+COUNTIF(OUT!$G67:$AK67,"FE")+COUNTIF(NOV!$G67:$AK67,"FE")+COUNTIF(DEZ!$G67:$AK67,"FE"))</f>
        <v>0</v>
      </c>
      <c r="AF371" t="str">
        <f>IF(AND($Q371&lt;&gt;"",N($AD371)&gt;0),COUNT($AF$309:AF370)+1,"")</f>
        <v/>
      </c>
    </row>
    <row r="372" spans="1:32" ht="20.100000000000001" customHeight="1" x14ac:dyDescent="0.25">
      <c r="A372" s="36" t="str">
        <f>IFERROR(INDEX($Q$310:$Q$459,MATCH(ROWS($A$310:A372),$AF$310:$AF$459,0)),"")</f>
        <v/>
      </c>
      <c r="B372" s="35" t="str">
        <f>IFERROR(INDEX($R$310:$R$459,MATCH(ROWS($A$310:A372),$AF$310:$AF$459,0)),"")</f>
        <v/>
      </c>
      <c r="C372" s="35" t="str">
        <f>IFERROR(INDEX($S$310:$S$459,MATCH(ROWS($A$310:A372),$AF$310:$AF$459,0)),"")</f>
        <v/>
      </c>
      <c r="D372" s="35" t="str">
        <f>IFERROR(INDEX($T$310:$T$459,MATCH(ROWS($A$310:A372),$AF$310:$AF$459,0)),"")</f>
        <v/>
      </c>
      <c r="E372" s="35" t="str">
        <f>IFERROR(INDEX($U$310:$U$459,MATCH(ROWS($A$310:A372),$AF$310:$AF$459,0)),"")</f>
        <v/>
      </c>
      <c r="F372" s="35" t="str">
        <f>IFERROR(INDEX($V$310:$V$459,MATCH(ROWS($A$310:A372),$AF$310:$AF$459,0)),"")</f>
        <v/>
      </c>
      <c r="G372" s="35" t="str">
        <f>IFERROR(INDEX($W$310:$W$459,MATCH(ROWS($A$310:A372),$AF$310:$AF$459,0)),"")</f>
        <v/>
      </c>
      <c r="H372" s="35" t="str">
        <f>IFERROR(INDEX($X$310:$X$459,MATCH(ROWS($A$310:A372),$AF$310:$AF$459,0)),"")</f>
        <v/>
      </c>
      <c r="I372" s="35" t="str">
        <f>IFERROR(INDEX($Y$310:$Y$459,MATCH(ROWS($A$310:A372),$AF$310:$AF$459,0)),"")</f>
        <v/>
      </c>
      <c r="J372" s="35" t="str">
        <f>IFERROR(INDEX($Z$310:$Z$459,MATCH(ROWS($A$310:A372),$AF$310:$AF$459,0)),"")</f>
        <v/>
      </c>
      <c r="K372" s="35" t="str">
        <f>IFERROR(INDEX($AA$310:$AA$459,MATCH(ROWS($A$310:A372),$AF$310:$AF$459,0)),"")</f>
        <v/>
      </c>
      <c r="L372" s="35" t="str">
        <f>IFERROR(INDEX($AB$310:$AB$459,MATCH(ROWS($A$310:A372),$AF$310:$AF$459,0)),"")</f>
        <v/>
      </c>
      <c r="M372" s="35" t="str">
        <f>IFERROR(INDEX($AC$310:$AC$459,MATCH(ROWS($A$310:A372),$AF$310:$AF$459,0)),"")</f>
        <v/>
      </c>
      <c r="N372" s="35" t="str">
        <f>IFERROR(INDEX($AD$310:$AD$459,MATCH(ROWS($A$310:A372),$AF$310:$AF$459,0)),"")</f>
        <v/>
      </c>
      <c r="Q372" t="str">
        <f>T(JAN!B68)</f>
        <v>CLODOALDO TEMPORARIO</v>
      </c>
      <c r="R372" t="str">
        <f t="array" ref="R372">IF($Q372="","",_xlfn.TEXTJOIN(", ",TRUE,IF(JAN!$G68:$AK68="FE",JAN!$G$4:$AK$4,"")))</f>
        <v/>
      </c>
      <c r="S372" t="str">
        <f t="array" ref="S372">IF($Q372="","",_xlfn.TEXTJOIN(", ",TRUE,IF(FEV!$G68:$AK68="FE",FEV!$G$4:$AK$4,"")))</f>
        <v/>
      </c>
      <c r="T372" t="str">
        <f t="array" ref="T372">IF($Q372="","",_xlfn.TEXTJOIN(", ",TRUE,IF(MAR!$G68:$AK68="FE",MAR!$G$4:$AK$4,"")))</f>
        <v/>
      </c>
      <c r="U372" t="str">
        <f t="array" ref="U372">IF($Q372="","",_xlfn.TEXTJOIN(", ",TRUE,IF(ABR!$G68:$AK68="FE",ABR!$G$4:$AK$4,"")))</f>
        <v/>
      </c>
      <c r="V372" t="str">
        <f t="array" ref="V372">IF($Q372="","",_xlfn.TEXTJOIN(", ",TRUE,IF(MAI!$G68:$AK68="FE",MAI!$G$4:$AK$4,"")))</f>
        <v/>
      </c>
      <c r="W372" t="str">
        <f t="array" ref="W372">IF($Q372="","",_xlfn.TEXTJOIN(", ",TRUE,IF(JUN!$G68:$AK68="FE",JUN!$G$4:$AK$4,"")))</f>
        <v/>
      </c>
      <c r="X372" t="str">
        <f t="array" ref="X372">IF($Q372="","",_xlfn.TEXTJOIN(", ",TRUE,IF(JUL!$G68:$AK68="FE",JUL!$G$4:$AK$4,"")))</f>
        <v/>
      </c>
      <c r="Y372" t="str">
        <f t="array" ref="Y372">IF($Q372="","",_xlfn.TEXTJOIN(", ",TRUE,IF(AGO!$G68:$AK68="FE",AGO!$G$4:$AK$4,"")))</f>
        <v/>
      </c>
      <c r="Z372" t="str">
        <f t="array" ref="Z372">IF($Q372="","",_xlfn.TEXTJOIN(", ",TRUE,IF(SET!$G68:$AK68="FE",SET!$G$4:$AK$4,"")))</f>
        <v/>
      </c>
      <c r="AA372" t="str">
        <f t="array" ref="AA372">IF($Q372="","",_xlfn.TEXTJOIN(", ",TRUE,IF(OUT!$G68:$AK68="FE",OUT!$G$4:$AK$4,"")))</f>
        <v/>
      </c>
      <c r="AB372" t="str">
        <f t="array" ref="AB372">IF($Q372="","",_xlfn.TEXTJOIN(", ",TRUE,IF(NOV!$G68:$AK68="FE",NOV!$G$4:$AK$4,"")))</f>
        <v/>
      </c>
      <c r="AC372" t="str">
        <f t="array" ref="AC372">IF($Q372="","",_xlfn.TEXTJOIN(", ",TRUE,IF(DEZ!$G68:$AK68="FE",DEZ!$G$4:$AK$4,"")))</f>
        <v/>
      </c>
      <c r="AD372">
        <f>IF($Q372="","",COUNTIF(JAN!$G68:$AK68,"FE")+COUNTIF(FEV!$G68:$AK68,"FE")+COUNTIF(MAR!$G68:$AK68,"FE")+COUNTIF(ABR!$G68:$AK68,"FE")+COUNTIF(MAI!$G68:$AK68,"FE")+COUNTIF(JUN!$G68:$AK68,"FE")+COUNTIF(JUL!$G68:$AK68,"FE")+COUNTIF(AGO!$G68:$AK68,"FE")+COUNTIF(SET!$G68:$AK68,"FE")+COUNTIF(OUT!$G68:$AK68,"FE")+COUNTIF(NOV!$G68:$AK68,"FE")+COUNTIF(DEZ!$G68:$AK68,"FE"))</f>
        <v>0</v>
      </c>
      <c r="AF372" t="str">
        <f>IF(AND($Q372&lt;&gt;"",N($AD372)&gt;0),COUNT($AF$309:AF371)+1,"")</f>
        <v/>
      </c>
    </row>
    <row r="373" spans="1:32" ht="20.100000000000001" customHeight="1" x14ac:dyDescent="0.25">
      <c r="A373" s="36" t="str">
        <f>IFERROR(INDEX($Q$310:$Q$459,MATCH(ROWS($A$310:A373),$AF$310:$AF$459,0)),"")</f>
        <v/>
      </c>
      <c r="B373" s="35" t="str">
        <f>IFERROR(INDEX($R$310:$R$459,MATCH(ROWS($A$310:A373),$AF$310:$AF$459,0)),"")</f>
        <v/>
      </c>
      <c r="C373" s="35" t="str">
        <f>IFERROR(INDEX($S$310:$S$459,MATCH(ROWS($A$310:A373),$AF$310:$AF$459,0)),"")</f>
        <v/>
      </c>
      <c r="D373" s="35" t="str">
        <f>IFERROR(INDEX($T$310:$T$459,MATCH(ROWS($A$310:A373),$AF$310:$AF$459,0)),"")</f>
        <v/>
      </c>
      <c r="E373" s="35" t="str">
        <f>IFERROR(INDEX($U$310:$U$459,MATCH(ROWS($A$310:A373),$AF$310:$AF$459,0)),"")</f>
        <v/>
      </c>
      <c r="F373" s="35" t="str">
        <f>IFERROR(INDEX($V$310:$V$459,MATCH(ROWS($A$310:A373),$AF$310:$AF$459,0)),"")</f>
        <v/>
      </c>
      <c r="G373" s="35" t="str">
        <f>IFERROR(INDEX($W$310:$W$459,MATCH(ROWS($A$310:A373),$AF$310:$AF$459,0)),"")</f>
        <v/>
      </c>
      <c r="H373" s="35" t="str">
        <f>IFERROR(INDEX($X$310:$X$459,MATCH(ROWS($A$310:A373),$AF$310:$AF$459,0)),"")</f>
        <v/>
      </c>
      <c r="I373" s="35" t="str">
        <f>IFERROR(INDEX($Y$310:$Y$459,MATCH(ROWS($A$310:A373),$AF$310:$AF$459,0)),"")</f>
        <v/>
      </c>
      <c r="J373" s="35" t="str">
        <f>IFERROR(INDEX($Z$310:$Z$459,MATCH(ROWS($A$310:A373),$AF$310:$AF$459,0)),"")</f>
        <v/>
      </c>
      <c r="K373" s="35" t="str">
        <f>IFERROR(INDEX($AA$310:$AA$459,MATCH(ROWS($A$310:A373),$AF$310:$AF$459,0)),"")</f>
        <v/>
      </c>
      <c r="L373" s="35" t="str">
        <f>IFERROR(INDEX($AB$310:$AB$459,MATCH(ROWS($A$310:A373),$AF$310:$AF$459,0)),"")</f>
        <v/>
      </c>
      <c r="M373" s="35" t="str">
        <f>IFERROR(INDEX($AC$310:$AC$459,MATCH(ROWS($A$310:A373),$AF$310:$AF$459,0)),"")</f>
        <v/>
      </c>
      <c r="N373" s="35" t="str">
        <f>IFERROR(INDEX($AD$310:$AD$459,MATCH(ROWS($A$310:A373),$AF$310:$AF$459,0)),"")</f>
        <v/>
      </c>
      <c r="Q373" t="str">
        <f>T(JAN!B69)</f>
        <v>TAYLER TEMPORARIO</v>
      </c>
      <c r="R373" t="str">
        <f t="array" ref="R373">IF($Q373="","",_xlfn.TEXTJOIN(", ",TRUE,IF(JAN!$G69:$AK69="FE",JAN!$G$4:$AK$4,"")))</f>
        <v/>
      </c>
      <c r="S373" t="str">
        <f t="array" ref="S373">IF($Q373="","",_xlfn.TEXTJOIN(", ",TRUE,IF(FEV!$G69:$AK69="FE",FEV!$G$4:$AK$4,"")))</f>
        <v/>
      </c>
      <c r="T373" t="str">
        <f t="array" ref="T373">IF($Q373="","",_xlfn.TEXTJOIN(", ",TRUE,IF(MAR!$G69:$AK69="FE",MAR!$G$4:$AK$4,"")))</f>
        <v/>
      </c>
      <c r="U373" t="str">
        <f t="array" ref="U373">IF($Q373="","",_xlfn.TEXTJOIN(", ",TRUE,IF(ABR!$G69:$AK69="FE",ABR!$G$4:$AK$4,"")))</f>
        <v/>
      </c>
      <c r="V373" t="str">
        <f t="array" ref="V373">IF($Q373="","",_xlfn.TEXTJOIN(", ",TRUE,IF(MAI!$G69:$AK69="FE",MAI!$G$4:$AK$4,"")))</f>
        <v/>
      </c>
      <c r="W373" t="str">
        <f t="array" ref="W373">IF($Q373="","",_xlfn.TEXTJOIN(", ",TRUE,IF(JUN!$G69:$AK69="FE",JUN!$G$4:$AK$4,"")))</f>
        <v/>
      </c>
      <c r="X373" t="str">
        <f t="array" ref="X373">IF($Q373="","",_xlfn.TEXTJOIN(", ",TRUE,IF(JUL!$G69:$AK69="FE",JUL!$G$4:$AK$4,"")))</f>
        <v/>
      </c>
      <c r="Y373" t="str">
        <f t="array" ref="Y373">IF($Q373="","",_xlfn.TEXTJOIN(", ",TRUE,IF(AGO!$G69:$AK69="FE",AGO!$G$4:$AK$4,"")))</f>
        <v/>
      </c>
      <c r="Z373" t="str">
        <f t="array" ref="Z373">IF($Q373="","",_xlfn.TEXTJOIN(", ",TRUE,IF(SET!$G69:$AK69="FE",SET!$G$4:$AK$4,"")))</f>
        <v/>
      </c>
      <c r="AA373" t="str">
        <f t="array" ref="AA373">IF($Q373="","",_xlfn.TEXTJOIN(", ",TRUE,IF(OUT!$G69:$AK69="FE",OUT!$G$4:$AK$4,"")))</f>
        <v/>
      </c>
      <c r="AB373" t="str">
        <f t="array" ref="AB373">IF($Q373="","",_xlfn.TEXTJOIN(", ",TRUE,IF(NOV!$G69:$AK69="FE",NOV!$G$4:$AK$4,"")))</f>
        <v/>
      </c>
      <c r="AC373" t="str">
        <f t="array" ref="AC373">IF($Q373="","",_xlfn.TEXTJOIN(", ",TRUE,IF(DEZ!$G69:$AK69="FE",DEZ!$G$4:$AK$4,"")))</f>
        <v/>
      </c>
      <c r="AD373">
        <f>IF($Q373="","",COUNTIF(JAN!$G69:$AK69,"FE")+COUNTIF(FEV!$G69:$AK69,"FE")+COUNTIF(MAR!$G69:$AK69,"FE")+COUNTIF(ABR!$G69:$AK69,"FE")+COUNTIF(MAI!$G69:$AK69,"FE")+COUNTIF(JUN!$G69:$AK69,"FE")+COUNTIF(JUL!$G69:$AK69,"FE")+COUNTIF(AGO!$G69:$AK69,"FE")+COUNTIF(SET!$G69:$AK69,"FE")+COUNTIF(OUT!$G69:$AK69,"FE")+COUNTIF(NOV!$G69:$AK69,"FE")+COUNTIF(DEZ!$G69:$AK69,"FE"))</f>
        <v>0</v>
      </c>
      <c r="AF373" t="str">
        <f>IF(AND($Q373&lt;&gt;"",N($AD373)&gt;0),COUNT($AF$309:AF372)+1,"")</f>
        <v/>
      </c>
    </row>
    <row r="374" spans="1:32" ht="20.100000000000001" customHeight="1" x14ac:dyDescent="0.25">
      <c r="A374" s="36" t="str">
        <f>IFERROR(INDEX($Q$310:$Q$459,MATCH(ROWS($A$310:A374),$AF$310:$AF$459,0)),"")</f>
        <v/>
      </c>
      <c r="B374" s="35" t="str">
        <f>IFERROR(INDEX($R$310:$R$459,MATCH(ROWS($A$310:A374),$AF$310:$AF$459,0)),"")</f>
        <v/>
      </c>
      <c r="C374" s="35" t="str">
        <f>IFERROR(INDEX($S$310:$S$459,MATCH(ROWS($A$310:A374),$AF$310:$AF$459,0)),"")</f>
        <v/>
      </c>
      <c r="D374" s="35" t="str">
        <f>IFERROR(INDEX($T$310:$T$459,MATCH(ROWS($A$310:A374),$AF$310:$AF$459,0)),"")</f>
        <v/>
      </c>
      <c r="E374" s="35" t="str">
        <f>IFERROR(INDEX($U$310:$U$459,MATCH(ROWS($A$310:A374),$AF$310:$AF$459,0)),"")</f>
        <v/>
      </c>
      <c r="F374" s="35" t="str">
        <f>IFERROR(INDEX($V$310:$V$459,MATCH(ROWS($A$310:A374),$AF$310:$AF$459,0)),"")</f>
        <v/>
      </c>
      <c r="G374" s="35" t="str">
        <f>IFERROR(INDEX($W$310:$W$459,MATCH(ROWS($A$310:A374),$AF$310:$AF$459,0)),"")</f>
        <v/>
      </c>
      <c r="H374" s="35" t="str">
        <f>IFERROR(INDEX($X$310:$X$459,MATCH(ROWS($A$310:A374),$AF$310:$AF$459,0)),"")</f>
        <v/>
      </c>
      <c r="I374" s="35" t="str">
        <f>IFERROR(INDEX($Y$310:$Y$459,MATCH(ROWS($A$310:A374),$AF$310:$AF$459,0)),"")</f>
        <v/>
      </c>
      <c r="J374" s="35" t="str">
        <f>IFERROR(INDEX($Z$310:$Z$459,MATCH(ROWS($A$310:A374),$AF$310:$AF$459,0)),"")</f>
        <v/>
      </c>
      <c r="K374" s="35" t="str">
        <f>IFERROR(INDEX($AA$310:$AA$459,MATCH(ROWS($A$310:A374),$AF$310:$AF$459,0)),"")</f>
        <v/>
      </c>
      <c r="L374" s="35" t="str">
        <f>IFERROR(INDEX($AB$310:$AB$459,MATCH(ROWS($A$310:A374),$AF$310:$AF$459,0)),"")</f>
        <v/>
      </c>
      <c r="M374" s="35" t="str">
        <f>IFERROR(INDEX($AC$310:$AC$459,MATCH(ROWS($A$310:A374),$AF$310:$AF$459,0)),"")</f>
        <v/>
      </c>
      <c r="N374" s="35" t="str">
        <f>IFERROR(INDEX($AD$310:$AD$459,MATCH(ROWS($A$310:A374),$AF$310:$AF$459,0)),"")</f>
        <v/>
      </c>
      <c r="Q374" t="str">
        <f>T(JAN!B70)</f>
        <v>MARCOS VINICIUS TEMPORARIO</v>
      </c>
      <c r="R374" t="str">
        <f t="array" ref="R374">IF($Q374="","",_xlfn.TEXTJOIN(", ",TRUE,IF(JAN!$G70:$AK70="FE",JAN!$G$4:$AK$4,"")))</f>
        <v/>
      </c>
      <c r="S374" t="str">
        <f t="array" ref="S374">IF($Q374="","",_xlfn.TEXTJOIN(", ",TRUE,IF(FEV!$G70:$AK70="FE",FEV!$G$4:$AK$4,"")))</f>
        <v/>
      </c>
      <c r="T374" t="str">
        <f t="array" ref="T374">IF($Q374="","",_xlfn.TEXTJOIN(", ",TRUE,IF(MAR!$G70:$AK70="FE",MAR!$G$4:$AK$4,"")))</f>
        <v/>
      </c>
      <c r="U374" t="str">
        <f t="array" ref="U374">IF($Q374="","",_xlfn.TEXTJOIN(", ",TRUE,IF(ABR!$G70:$AK70="FE",ABR!$G$4:$AK$4,"")))</f>
        <v/>
      </c>
      <c r="V374" t="str">
        <f t="array" ref="V374">IF($Q374="","",_xlfn.TEXTJOIN(", ",TRUE,IF(MAI!$G70:$AK70="FE",MAI!$G$4:$AK$4,"")))</f>
        <v/>
      </c>
      <c r="W374" t="str">
        <f t="array" ref="W374">IF($Q374="","",_xlfn.TEXTJOIN(", ",TRUE,IF(JUN!$G70:$AK70="FE",JUN!$G$4:$AK$4,"")))</f>
        <v/>
      </c>
      <c r="X374" t="str">
        <f t="array" ref="X374">IF($Q374="","",_xlfn.TEXTJOIN(", ",TRUE,IF(JUL!$G70:$AK70="FE",JUL!$G$4:$AK$4,"")))</f>
        <v/>
      </c>
      <c r="Y374" t="str">
        <f t="array" ref="Y374">IF($Q374="","",_xlfn.TEXTJOIN(", ",TRUE,IF(AGO!$G70:$AK70="FE",AGO!$G$4:$AK$4,"")))</f>
        <v/>
      </c>
      <c r="Z374" t="str">
        <f t="array" ref="Z374">IF($Q374="","",_xlfn.TEXTJOIN(", ",TRUE,IF(SET!$G70:$AK70="FE",SET!$G$4:$AK$4,"")))</f>
        <v/>
      </c>
      <c r="AA374" t="str">
        <f t="array" ref="AA374">IF($Q374="","",_xlfn.TEXTJOIN(", ",TRUE,IF(OUT!$G70:$AK70="FE",OUT!$G$4:$AK$4,"")))</f>
        <v/>
      </c>
      <c r="AB374" t="str">
        <f t="array" ref="AB374">IF($Q374="","",_xlfn.TEXTJOIN(", ",TRUE,IF(NOV!$G70:$AK70="FE",NOV!$G$4:$AK$4,"")))</f>
        <v/>
      </c>
      <c r="AC374" t="str">
        <f t="array" ref="AC374">IF($Q374="","",_xlfn.TEXTJOIN(", ",TRUE,IF(DEZ!$G70:$AK70="FE",DEZ!$G$4:$AK$4,"")))</f>
        <v/>
      </c>
      <c r="AD374">
        <f>IF($Q374="","",COUNTIF(JAN!$G70:$AK70,"FE")+COUNTIF(FEV!$G70:$AK70,"FE")+COUNTIF(MAR!$G70:$AK70,"FE")+COUNTIF(ABR!$G70:$AK70,"FE")+COUNTIF(MAI!$G70:$AK70,"FE")+COUNTIF(JUN!$G70:$AK70,"FE")+COUNTIF(JUL!$G70:$AK70,"FE")+COUNTIF(AGO!$G70:$AK70,"FE")+COUNTIF(SET!$G70:$AK70,"FE")+COUNTIF(OUT!$G70:$AK70,"FE")+COUNTIF(NOV!$G70:$AK70,"FE")+COUNTIF(DEZ!$G70:$AK70,"FE"))</f>
        <v>0</v>
      </c>
      <c r="AF374" t="str">
        <f>IF(AND($Q374&lt;&gt;"",N($AD374)&gt;0),COUNT($AF$309:AF373)+1,"")</f>
        <v/>
      </c>
    </row>
    <row r="375" spans="1:32" ht="20.100000000000001" customHeight="1" x14ac:dyDescent="0.25">
      <c r="A375" s="36" t="str">
        <f>IFERROR(INDEX($Q$310:$Q$459,MATCH(ROWS($A$310:A375),$AF$310:$AF$459,0)),"")</f>
        <v/>
      </c>
      <c r="B375" s="35" t="str">
        <f>IFERROR(INDEX($R$310:$R$459,MATCH(ROWS($A$310:A375),$AF$310:$AF$459,0)),"")</f>
        <v/>
      </c>
      <c r="C375" s="35" t="str">
        <f>IFERROR(INDEX($S$310:$S$459,MATCH(ROWS($A$310:A375),$AF$310:$AF$459,0)),"")</f>
        <v/>
      </c>
      <c r="D375" s="35" t="str">
        <f>IFERROR(INDEX($T$310:$T$459,MATCH(ROWS($A$310:A375),$AF$310:$AF$459,0)),"")</f>
        <v/>
      </c>
      <c r="E375" s="35" t="str">
        <f>IFERROR(INDEX($U$310:$U$459,MATCH(ROWS($A$310:A375),$AF$310:$AF$459,0)),"")</f>
        <v/>
      </c>
      <c r="F375" s="35" t="str">
        <f>IFERROR(INDEX($V$310:$V$459,MATCH(ROWS($A$310:A375),$AF$310:$AF$459,0)),"")</f>
        <v/>
      </c>
      <c r="G375" s="35" t="str">
        <f>IFERROR(INDEX($W$310:$W$459,MATCH(ROWS($A$310:A375),$AF$310:$AF$459,0)),"")</f>
        <v/>
      </c>
      <c r="H375" s="35" t="str">
        <f>IFERROR(INDEX($X$310:$X$459,MATCH(ROWS($A$310:A375),$AF$310:$AF$459,0)),"")</f>
        <v/>
      </c>
      <c r="I375" s="35" t="str">
        <f>IFERROR(INDEX($Y$310:$Y$459,MATCH(ROWS($A$310:A375),$AF$310:$AF$459,0)),"")</f>
        <v/>
      </c>
      <c r="J375" s="35" t="str">
        <f>IFERROR(INDEX($Z$310:$Z$459,MATCH(ROWS($A$310:A375),$AF$310:$AF$459,0)),"")</f>
        <v/>
      </c>
      <c r="K375" s="35" t="str">
        <f>IFERROR(INDEX($AA$310:$AA$459,MATCH(ROWS($A$310:A375),$AF$310:$AF$459,0)),"")</f>
        <v/>
      </c>
      <c r="L375" s="35" t="str">
        <f>IFERROR(INDEX($AB$310:$AB$459,MATCH(ROWS($A$310:A375),$AF$310:$AF$459,0)),"")</f>
        <v/>
      </c>
      <c r="M375" s="35" t="str">
        <f>IFERROR(INDEX($AC$310:$AC$459,MATCH(ROWS($A$310:A375),$AF$310:$AF$459,0)),"")</f>
        <v/>
      </c>
      <c r="N375" s="35" t="str">
        <f>IFERROR(INDEX($AD$310:$AD$459,MATCH(ROWS($A$310:A375),$AF$310:$AF$459,0)),"")</f>
        <v/>
      </c>
      <c r="Q375" t="str">
        <f>T(JAN!B71)</f>
        <v>MARCOS TEMPORARIO</v>
      </c>
      <c r="R375" t="str">
        <f t="array" ref="R375">IF($Q375="","",_xlfn.TEXTJOIN(", ",TRUE,IF(JAN!$G71:$AK71="FE",JAN!$G$4:$AK$4,"")))</f>
        <v/>
      </c>
      <c r="S375" t="str">
        <f t="array" ref="S375">IF($Q375="","",_xlfn.TEXTJOIN(", ",TRUE,IF(FEV!$G71:$AK71="FE",FEV!$G$4:$AK$4,"")))</f>
        <v/>
      </c>
      <c r="T375" t="str">
        <f t="array" ref="T375">IF($Q375="","",_xlfn.TEXTJOIN(", ",TRUE,IF(MAR!$G71:$AK71="FE",MAR!$G$4:$AK$4,"")))</f>
        <v/>
      </c>
      <c r="U375" t="str">
        <f t="array" ref="U375">IF($Q375="","",_xlfn.TEXTJOIN(", ",TRUE,IF(ABR!$G71:$AK71="FE",ABR!$G$4:$AK$4,"")))</f>
        <v/>
      </c>
      <c r="V375" t="str">
        <f t="array" ref="V375">IF($Q375="","",_xlfn.TEXTJOIN(", ",TRUE,IF(MAI!$G71:$AK71="FE",MAI!$G$4:$AK$4,"")))</f>
        <v/>
      </c>
      <c r="W375" t="str">
        <f t="array" ref="W375">IF($Q375="","",_xlfn.TEXTJOIN(", ",TRUE,IF(JUN!$G71:$AK71="FE",JUN!$G$4:$AK$4,"")))</f>
        <v/>
      </c>
      <c r="X375" t="str">
        <f t="array" ref="X375">IF($Q375="","",_xlfn.TEXTJOIN(", ",TRUE,IF(JUL!$G71:$AK71="FE",JUL!$G$4:$AK$4,"")))</f>
        <v/>
      </c>
      <c r="Y375" t="str">
        <f t="array" ref="Y375">IF($Q375="","",_xlfn.TEXTJOIN(", ",TRUE,IF(AGO!$G71:$AK71="FE",AGO!$G$4:$AK$4,"")))</f>
        <v/>
      </c>
      <c r="Z375" t="str">
        <f t="array" ref="Z375">IF($Q375="","",_xlfn.TEXTJOIN(", ",TRUE,IF(SET!$G71:$AK71="FE",SET!$G$4:$AK$4,"")))</f>
        <v/>
      </c>
      <c r="AA375" t="str">
        <f t="array" ref="AA375">IF($Q375="","",_xlfn.TEXTJOIN(", ",TRUE,IF(OUT!$G71:$AK71="FE",OUT!$G$4:$AK$4,"")))</f>
        <v/>
      </c>
      <c r="AB375" t="str">
        <f t="array" ref="AB375">IF($Q375="","",_xlfn.TEXTJOIN(", ",TRUE,IF(NOV!$G71:$AK71="FE",NOV!$G$4:$AK$4,"")))</f>
        <v/>
      </c>
      <c r="AC375" t="str">
        <f t="array" ref="AC375">IF($Q375="","",_xlfn.TEXTJOIN(", ",TRUE,IF(DEZ!$G71:$AK71="FE",DEZ!$G$4:$AK$4,"")))</f>
        <v/>
      </c>
      <c r="AD375">
        <f>IF($Q375="","",COUNTIF(JAN!$G71:$AK71,"FE")+COUNTIF(FEV!$G71:$AK71,"FE")+COUNTIF(MAR!$G71:$AK71,"FE")+COUNTIF(ABR!$G71:$AK71,"FE")+COUNTIF(MAI!$G71:$AK71,"FE")+COUNTIF(JUN!$G71:$AK71,"FE")+COUNTIF(JUL!$G71:$AK71,"FE")+COUNTIF(AGO!$G71:$AK71,"FE")+COUNTIF(SET!$G71:$AK71,"FE")+COUNTIF(OUT!$G71:$AK71,"FE")+COUNTIF(NOV!$G71:$AK71,"FE")+COUNTIF(DEZ!$G71:$AK71,"FE"))</f>
        <v>0</v>
      </c>
      <c r="AF375" t="str">
        <f>IF(AND($Q375&lt;&gt;"",N($AD375)&gt;0),COUNT($AF$309:AF374)+1,"")</f>
        <v/>
      </c>
    </row>
    <row r="376" spans="1:32" ht="20.100000000000001" customHeight="1" x14ac:dyDescent="0.25">
      <c r="A376" s="36" t="str">
        <f>IFERROR(INDEX($Q$310:$Q$459,MATCH(ROWS($A$310:A376),$AF$310:$AF$459,0)),"")</f>
        <v/>
      </c>
      <c r="B376" s="35" t="str">
        <f>IFERROR(INDEX($R$310:$R$459,MATCH(ROWS($A$310:A376),$AF$310:$AF$459,0)),"")</f>
        <v/>
      </c>
      <c r="C376" s="35" t="str">
        <f>IFERROR(INDEX($S$310:$S$459,MATCH(ROWS($A$310:A376),$AF$310:$AF$459,0)),"")</f>
        <v/>
      </c>
      <c r="D376" s="35" t="str">
        <f>IFERROR(INDEX($T$310:$T$459,MATCH(ROWS($A$310:A376),$AF$310:$AF$459,0)),"")</f>
        <v/>
      </c>
      <c r="E376" s="35" t="str">
        <f>IFERROR(INDEX($U$310:$U$459,MATCH(ROWS($A$310:A376),$AF$310:$AF$459,0)),"")</f>
        <v/>
      </c>
      <c r="F376" s="35" t="str">
        <f>IFERROR(INDEX($V$310:$V$459,MATCH(ROWS($A$310:A376),$AF$310:$AF$459,0)),"")</f>
        <v/>
      </c>
      <c r="G376" s="35" t="str">
        <f>IFERROR(INDEX($W$310:$W$459,MATCH(ROWS($A$310:A376),$AF$310:$AF$459,0)),"")</f>
        <v/>
      </c>
      <c r="H376" s="35" t="str">
        <f>IFERROR(INDEX($X$310:$X$459,MATCH(ROWS($A$310:A376),$AF$310:$AF$459,0)),"")</f>
        <v/>
      </c>
      <c r="I376" s="35" t="str">
        <f>IFERROR(INDEX($Y$310:$Y$459,MATCH(ROWS($A$310:A376),$AF$310:$AF$459,0)),"")</f>
        <v/>
      </c>
      <c r="J376" s="35" t="str">
        <f>IFERROR(INDEX($Z$310:$Z$459,MATCH(ROWS($A$310:A376),$AF$310:$AF$459,0)),"")</f>
        <v/>
      </c>
      <c r="K376" s="35" t="str">
        <f>IFERROR(INDEX($AA$310:$AA$459,MATCH(ROWS($A$310:A376),$AF$310:$AF$459,0)),"")</f>
        <v/>
      </c>
      <c r="L376" s="35" t="str">
        <f>IFERROR(INDEX($AB$310:$AB$459,MATCH(ROWS($A$310:A376),$AF$310:$AF$459,0)),"")</f>
        <v/>
      </c>
      <c r="M376" s="35" t="str">
        <f>IFERROR(INDEX($AC$310:$AC$459,MATCH(ROWS($A$310:A376),$AF$310:$AF$459,0)),"")</f>
        <v/>
      </c>
      <c r="N376" s="35" t="str">
        <f>IFERROR(INDEX($AD$310:$AD$459,MATCH(ROWS($A$310:A376),$AF$310:$AF$459,0)),"")</f>
        <v/>
      </c>
      <c r="Q376" t="str">
        <f>T(JAN!B72)</f>
        <v>FLAVIO TEMPORARIO</v>
      </c>
      <c r="R376" t="str">
        <f t="array" ref="R376">IF($Q376="","",_xlfn.TEXTJOIN(", ",TRUE,IF(JAN!$G72:$AK72="FE",JAN!$G$4:$AK$4,"")))</f>
        <v/>
      </c>
      <c r="S376" t="str">
        <f t="array" ref="S376">IF($Q376="","",_xlfn.TEXTJOIN(", ",TRUE,IF(FEV!$G72:$AK72="FE",FEV!$G$4:$AK$4,"")))</f>
        <v/>
      </c>
      <c r="T376" t="str">
        <f t="array" ref="T376">IF($Q376="","",_xlfn.TEXTJOIN(", ",TRUE,IF(MAR!$G72:$AK72="FE",MAR!$G$4:$AK$4,"")))</f>
        <v/>
      </c>
      <c r="U376" t="str">
        <f t="array" ref="U376">IF($Q376="","",_xlfn.TEXTJOIN(", ",TRUE,IF(ABR!$G72:$AK72="FE",ABR!$G$4:$AK$4,"")))</f>
        <v/>
      </c>
      <c r="V376" t="str">
        <f t="array" ref="V376">IF($Q376="","",_xlfn.TEXTJOIN(", ",TRUE,IF(MAI!$G72:$AK72="FE",MAI!$G$4:$AK$4,"")))</f>
        <v/>
      </c>
      <c r="W376" t="str">
        <f t="array" ref="W376">IF($Q376="","",_xlfn.TEXTJOIN(", ",TRUE,IF(JUN!$G72:$AK72="FE",JUN!$G$4:$AK$4,"")))</f>
        <v/>
      </c>
      <c r="X376" t="str">
        <f t="array" ref="X376">IF($Q376="","",_xlfn.TEXTJOIN(", ",TRUE,IF(JUL!$G72:$AK72="FE",JUL!$G$4:$AK$4,"")))</f>
        <v/>
      </c>
      <c r="Y376" t="str">
        <f t="array" ref="Y376">IF($Q376="","",_xlfn.TEXTJOIN(", ",TRUE,IF(AGO!$G72:$AK72="FE",AGO!$G$4:$AK$4,"")))</f>
        <v/>
      </c>
      <c r="Z376" t="str">
        <f t="array" ref="Z376">IF($Q376="","",_xlfn.TEXTJOIN(", ",TRUE,IF(SET!$G72:$AK72="FE",SET!$G$4:$AK$4,"")))</f>
        <v/>
      </c>
      <c r="AA376" t="str">
        <f t="array" ref="AA376">IF($Q376="","",_xlfn.TEXTJOIN(", ",TRUE,IF(OUT!$G72:$AK72="FE",OUT!$G$4:$AK$4,"")))</f>
        <v/>
      </c>
      <c r="AB376" t="str">
        <f t="array" ref="AB376">IF($Q376="","",_xlfn.TEXTJOIN(", ",TRUE,IF(NOV!$G72:$AK72="FE",NOV!$G$4:$AK$4,"")))</f>
        <v/>
      </c>
      <c r="AC376" t="str">
        <f t="array" ref="AC376">IF($Q376="","",_xlfn.TEXTJOIN(", ",TRUE,IF(DEZ!$G72:$AK72="FE",DEZ!$G$4:$AK$4,"")))</f>
        <v/>
      </c>
      <c r="AD376">
        <f>IF($Q376="","",COUNTIF(JAN!$G72:$AK72,"FE")+COUNTIF(FEV!$G72:$AK72,"FE")+COUNTIF(MAR!$G72:$AK72,"FE")+COUNTIF(ABR!$G72:$AK72,"FE")+COUNTIF(MAI!$G72:$AK72,"FE")+COUNTIF(JUN!$G72:$AK72,"FE")+COUNTIF(JUL!$G72:$AK72,"FE")+COUNTIF(AGO!$G72:$AK72,"FE")+COUNTIF(SET!$G72:$AK72,"FE")+COUNTIF(OUT!$G72:$AK72,"FE")+COUNTIF(NOV!$G72:$AK72,"FE")+COUNTIF(DEZ!$G72:$AK72,"FE"))</f>
        <v>0</v>
      </c>
      <c r="AF376" t="str">
        <f>IF(AND($Q376&lt;&gt;"",N($AD376)&gt;0),COUNT($AF$309:AF375)+1,"")</f>
        <v/>
      </c>
    </row>
    <row r="377" spans="1:32" ht="20.100000000000001" customHeight="1" x14ac:dyDescent="0.25">
      <c r="A377" s="36" t="str">
        <f>IFERROR(INDEX($Q$310:$Q$459,MATCH(ROWS($A$310:A377),$AF$310:$AF$459,0)),"")</f>
        <v/>
      </c>
      <c r="B377" s="35" t="str">
        <f>IFERROR(INDEX($R$310:$R$459,MATCH(ROWS($A$310:A377),$AF$310:$AF$459,0)),"")</f>
        <v/>
      </c>
      <c r="C377" s="35" t="str">
        <f>IFERROR(INDEX($S$310:$S$459,MATCH(ROWS($A$310:A377),$AF$310:$AF$459,0)),"")</f>
        <v/>
      </c>
      <c r="D377" s="35" t="str">
        <f>IFERROR(INDEX($T$310:$T$459,MATCH(ROWS($A$310:A377),$AF$310:$AF$459,0)),"")</f>
        <v/>
      </c>
      <c r="E377" s="35" t="str">
        <f>IFERROR(INDEX($U$310:$U$459,MATCH(ROWS($A$310:A377),$AF$310:$AF$459,0)),"")</f>
        <v/>
      </c>
      <c r="F377" s="35" t="str">
        <f>IFERROR(INDEX($V$310:$V$459,MATCH(ROWS($A$310:A377),$AF$310:$AF$459,0)),"")</f>
        <v/>
      </c>
      <c r="G377" s="35" t="str">
        <f>IFERROR(INDEX($W$310:$W$459,MATCH(ROWS($A$310:A377),$AF$310:$AF$459,0)),"")</f>
        <v/>
      </c>
      <c r="H377" s="35" t="str">
        <f>IFERROR(INDEX($X$310:$X$459,MATCH(ROWS($A$310:A377),$AF$310:$AF$459,0)),"")</f>
        <v/>
      </c>
      <c r="I377" s="35" t="str">
        <f>IFERROR(INDEX($Y$310:$Y$459,MATCH(ROWS($A$310:A377),$AF$310:$AF$459,0)),"")</f>
        <v/>
      </c>
      <c r="J377" s="35" t="str">
        <f>IFERROR(INDEX($Z$310:$Z$459,MATCH(ROWS($A$310:A377),$AF$310:$AF$459,0)),"")</f>
        <v/>
      </c>
      <c r="K377" s="35" t="str">
        <f>IFERROR(INDEX($AA$310:$AA$459,MATCH(ROWS($A$310:A377),$AF$310:$AF$459,0)),"")</f>
        <v/>
      </c>
      <c r="L377" s="35" t="str">
        <f>IFERROR(INDEX($AB$310:$AB$459,MATCH(ROWS($A$310:A377),$AF$310:$AF$459,0)),"")</f>
        <v/>
      </c>
      <c r="M377" s="35" t="str">
        <f>IFERROR(INDEX($AC$310:$AC$459,MATCH(ROWS($A$310:A377),$AF$310:$AF$459,0)),"")</f>
        <v/>
      </c>
      <c r="N377" s="35" t="str">
        <f>IFERROR(INDEX($AD$310:$AD$459,MATCH(ROWS($A$310:A377),$AF$310:$AF$459,0)),"")</f>
        <v/>
      </c>
      <c r="Q377" t="str">
        <f>T(JAN!B73)</f>
        <v>MARCIO DUARTE 434601</v>
      </c>
      <c r="R377" t="str">
        <f t="array" ref="R377">IF($Q377="","",_xlfn.TEXTJOIN(", ",TRUE,IF(JAN!$G73:$AK73="FE",JAN!$G$4:$AK$4,"")))</f>
        <v/>
      </c>
      <c r="S377" t="str">
        <f t="array" ref="S377">IF($Q377="","",_xlfn.TEXTJOIN(", ",TRUE,IF(FEV!$G73:$AK73="FE",FEV!$G$4:$AK$4,"")))</f>
        <v/>
      </c>
      <c r="T377" t="str">
        <f t="array" ref="T377">IF($Q377="","",_xlfn.TEXTJOIN(", ",TRUE,IF(MAR!$G73:$AK73="FE",MAR!$G$4:$AK$4,"")))</f>
        <v/>
      </c>
      <c r="U377" t="str">
        <f t="array" ref="U377">IF($Q377="","",_xlfn.TEXTJOIN(", ",TRUE,IF(ABR!$G73:$AK73="FE",ABR!$G$4:$AK$4,"")))</f>
        <v/>
      </c>
      <c r="V377" t="str">
        <f t="array" ref="V377">IF($Q377="","",_xlfn.TEXTJOIN(", ",TRUE,IF(MAI!$G73:$AK73="FE",MAI!$G$4:$AK$4,"")))</f>
        <v/>
      </c>
      <c r="W377" t="str">
        <f t="array" ref="W377">IF($Q377="","",_xlfn.TEXTJOIN(", ",TRUE,IF(JUN!$G73:$AK73="FE",JUN!$G$4:$AK$4,"")))</f>
        <v/>
      </c>
      <c r="X377" t="str">
        <f t="array" ref="X377">IF($Q377="","",_xlfn.TEXTJOIN(", ",TRUE,IF(JUL!$G73:$AK73="FE",JUL!$G$4:$AK$4,"")))</f>
        <v/>
      </c>
      <c r="Y377" t="str">
        <f t="array" ref="Y377">IF($Q377="","",_xlfn.TEXTJOIN(", ",TRUE,IF(AGO!$G73:$AK73="FE",AGO!$G$4:$AK$4,"")))</f>
        <v/>
      </c>
      <c r="Z377" t="str">
        <f t="array" ref="Z377">IF($Q377="","",_xlfn.TEXTJOIN(", ",TRUE,IF(SET!$G73:$AK73="FE",SET!$G$4:$AK$4,"")))</f>
        <v/>
      </c>
      <c r="AA377" t="str">
        <f t="array" ref="AA377">IF($Q377="","",_xlfn.TEXTJOIN(", ",TRUE,IF(OUT!$G73:$AK73="FE",OUT!$G$4:$AK$4,"")))</f>
        <v/>
      </c>
      <c r="AB377" t="str">
        <f t="array" ref="AB377">IF($Q377="","",_xlfn.TEXTJOIN(", ",TRUE,IF(NOV!$G73:$AK73="FE",NOV!$G$4:$AK$4,"")))</f>
        <v/>
      </c>
      <c r="AC377" t="str">
        <f t="array" ref="AC377">IF($Q377="","",_xlfn.TEXTJOIN(", ",TRUE,IF(DEZ!$G73:$AK73="FE",DEZ!$G$4:$AK$4,"")))</f>
        <v/>
      </c>
      <c r="AD377">
        <f>IF($Q377="","",COUNTIF(JAN!$G73:$AK73,"FE")+COUNTIF(FEV!$G73:$AK73,"FE")+COUNTIF(MAR!$G73:$AK73,"FE")+COUNTIF(ABR!$G73:$AK73,"FE")+COUNTIF(MAI!$G73:$AK73,"FE")+COUNTIF(JUN!$G73:$AK73,"FE")+COUNTIF(JUL!$G73:$AK73,"FE")+COUNTIF(AGO!$G73:$AK73,"FE")+COUNTIF(SET!$G73:$AK73,"FE")+COUNTIF(OUT!$G73:$AK73,"FE")+COUNTIF(NOV!$G73:$AK73,"FE")+COUNTIF(DEZ!$G73:$AK73,"FE"))</f>
        <v>0</v>
      </c>
      <c r="AF377" t="str">
        <f>IF(AND($Q377&lt;&gt;"",N($AD377)&gt;0),COUNT($AF$309:AF376)+1,"")</f>
        <v/>
      </c>
    </row>
    <row r="378" spans="1:32" ht="20.100000000000001" customHeight="1" x14ac:dyDescent="0.25">
      <c r="A378" s="36" t="str">
        <f>IFERROR(INDEX($Q$310:$Q$459,MATCH(ROWS($A$310:A378),$AF$310:$AF$459,0)),"")</f>
        <v/>
      </c>
      <c r="B378" s="35" t="str">
        <f>IFERROR(INDEX($R$310:$R$459,MATCH(ROWS($A$310:A378),$AF$310:$AF$459,0)),"")</f>
        <v/>
      </c>
      <c r="C378" s="35" t="str">
        <f>IFERROR(INDEX($S$310:$S$459,MATCH(ROWS($A$310:A378),$AF$310:$AF$459,0)),"")</f>
        <v/>
      </c>
      <c r="D378" s="35" t="str">
        <f>IFERROR(INDEX($T$310:$T$459,MATCH(ROWS($A$310:A378),$AF$310:$AF$459,0)),"")</f>
        <v/>
      </c>
      <c r="E378" s="35" t="str">
        <f>IFERROR(INDEX($U$310:$U$459,MATCH(ROWS($A$310:A378),$AF$310:$AF$459,0)),"")</f>
        <v/>
      </c>
      <c r="F378" s="35" t="str">
        <f>IFERROR(INDEX($V$310:$V$459,MATCH(ROWS($A$310:A378),$AF$310:$AF$459,0)),"")</f>
        <v/>
      </c>
      <c r="G378" s="35" t="str">
        <f>IFERROR(INDEX($W$310:$W$459,MATCH(ROWS($A$310:A378),$AF$310:$AF$459,0)),"")</f>
        <v/>
      </c>
      <c r="H378" s="35" t="str">
        <f>IFERROR(INDEX($X$310:$X$459,MATCH(ROWS($A$310:A378),$AF$310:$AF$459,0)),"")</f>
        <v/>
      </c>
      <c r="I378" s="35" t="str">
        <f>IFERROR(INDEX($Y$310:$Y$459,MATCH(ROWS($A$310:A378),$AF$310:$AF$459,0)),"")</f>
        <v/>
      </c>
      <c r="J378" s="35" t="str">
        <f>IFERROR(INDEX($Z$310:$Z$459,MATCH(ROWS($A$310:A378),$AF$310:$AF$459,0)),"")</f>
        <v/>
      </c>
      <c r="K378" s="35" t="str">
        <f>IFERROR(INDEX($AA$310:$AA$459,MATCH(ROWS($A$310:A378),$AF$310:$AF$459,0)),"")</f>
        <v/>
      </c>
      <c r="L378" s="35" t="str">
        <f>IFERROR(INDEX($AB$310:$AB$459,MATCH(ROWS($A$310:A378),$AF$310:$AF$459,0)),"")</f>
        <v/>
      </c>
      <c r="M378" s="35" t="str">
        <f>IFERROR(INDEX($AC$310:$AC$459,MATCH(ROWS($A$310:A378),$AF$310:$AF$459,0)),"")</f>
        <v/>
      </c>
      <c r="N378" s="35" t="str">
        <f>IFERROR(INDEX($AD$310:$AD$459,MATCH(ROWS($A$310:A378),$AF$310:$AF$459,0)),"")</f>
        <v/>
      </c>
      <c r="Q378" t="str">
        <f>T(JAN!B74)</f>
        <v>DEIVIDE TEMPORARIO</v>
      </c>
      <c r="R378" t="str">
        <f t="array" ref="R378">IF($Q378="","",_xlfn.TEXTJOIN(", ",TRUE,IF(JAN!$G74:$AK74="FE",JAN!$G$4:$AK$4,"")))</f>
        <v/>
      </c>
      <c r="S378" t="str">
        <f t="array" ref="S378">IF($Q378="","",_xlfn.TEXTJOIN(", ",TRUE,IF(FEV!$G74:$AK74="FE",FEV!$G$4:$AK$4,"")))</f>
        <v/>
      </c>
      <c r="T378" t="str">
        <f t="array" ref="T378">IF($Q378="","",_xlfn.TEXTJOIN(", ",TRUE,IF(MAR!$G74:$AK74="FE",MAR!$G$4:$AK$4,"")))</f>
        <v/>
      </c>
      <c r="U378" t="str">
        <f t="array" ref="U378">IF($Q378="","",_xlfn.TEXTJOIN(", ",TRUE,IF(ABR!$G74:$AK74="FE",ABR!$G$4:$AK$4,"")))</f>
        <v/>
      </c>
      <c r="V378" t="str">
        <f t="array" ref="V378">IF($Q378="","",_xlfn.TEXTJOIN(", ",TRUE,IF(MAI!$G74:$AK74="FE",MAI!$G$4:$AK$4,"")))</f>
        <v/>
      </c>
      <c r="W378" t="str">
        <f t="array" ref="W378">IF($Q378="","",_xlfn.TEXTJOIN(", ",TRUE,IF(JUN!$G74:$AK74="FE",JUN!$G$4:$AK$4,"")))</f>
        <v/>
      </c>
      <c r="X378" t="str">
        <f t="array" ref="X378">IF($Q378="","",_xlfn.TEXTJOIN(", ",TRUE,IF(JUL!$G74:$AK74="FE",JUL!$G$4:$AK$4,"")))</f>
        <v/>
      </c>
      <c r="Y378" t="str">
        <f t="array" ref="Y378">IF($Q378="","",_xlfn.TEXTJOIN(", ",TRUE,IF(AGO!$G74:$AK74="FE",AGO!$G$4:$AK$4,"")))</f>
        <v/>
      </c>
      <c r="Z378" t="str">
        <f t="array" ref="Z378">IF($Q378="","",_xlfn.TEXTJOIN(", ",TRUE,IF(SET!$G74:$AK74="FE",SET!$G$4:$AK$4,"")))</f>
        <v/>
      </c>
      <c r="AA378" t="str">
        <f t="array" ref="AA378">IF($Q378="","",_xlfn.TEXTJOIN(", ",TRUE,IF(OUT!$G74:$AK74="FE",OUT!$G$4:$AK$4,"")))</f>
        <v/>
      </c>
      <c r="AB378" t="str">
        <f t="array" ref="AB378">IF($Q378="","",_xlfn.TEXTJOIN(", ",TRUE,IF(NOV!$G74:$AK74="FE",NOV!$G$4:$AK$4,"")))</f>
        <v/>
      </c>
      <c r="AC378" t="str">
        <f t="array" ref="AC378">IF($Q378="","",_xlfn.TEXTJOIN(", ",TRUE,IF(DEZ!$G74:$AK74="FE",DEZ!$G$4:$AK$4,"")))</f>
        <v/>
      </c>
      <c r="AD378">
        <f>IF($Q378="","",COUNTIF(JAN!$G74:$AK74,"FE")+COUNTIF(FEV!$G74:$AK74,"FE")+COUNTIF(MAR!$G74:$AK74,"FE")+COUNTIF(ABR!$G74:$AK74,"FE")+COUNTIF(MAI!$G74:$AK74,"FE")+COUNTIF(JUN!$G74:$AK74,"FE")+COUNTIF(JUL!$G74:$AK74,"FE")+COUNTIF(AGO!$G74:$AK74,"FE")+COUNTIF(SET!$G74:$AK74,"FE")+COUNTIF(OUT!$G74:$AK74,"FE")+COUNTIF(NOV!$G74:$AK74,"FE")+COUNTIF(DEZ!$G74:$AK74,"FE"))</f>
        <v>0</v>
      </c>
      <c r="AF378" t="str">
        <f>IF(AND($Q378&lt;&gt;"",N($AD378)&gt;0),COUNT($AF$309:AF377)+1,"")</f>
        <v/>
      </c>
    </row>
    <row r="379" spans="1:32" ht="20.100000000000001" customHeight="1" x14ac:dyDescent="0.25">
      <c r="A379" s="36" t="str">
        <f>IFERROR(INDEX($Q$310:$Q$459,MATCH(ROWS($A$310:A379),$AF$310:$AF$459,0)),"")</f>
        <v/>
      </c>
      <c r="B379" s="35" t="str">
        <f>IFERROR(INDEX($R$310:$R$459,MATCH(ROWS($A$310:A379),$AF$310:$AF$459,0)),"")</f>
        <v/>
      </c>
      <c r="C379" s="35" t="str">
        <f>IFERROR(INDEX($S$310:$S$459,MATCH(ROWS($A$310:A379),$AF$310:$AF$459,0)),"")</f>
        <v/>
      </c>
      <c r="D379" s="35" t="str">
        <f>IFERROR(INDEX($T$310:$T$459,MATCH(ROWS($A$310:A379),$AF$310:$AF$459,0)),"")</f>
        <v/>
      </c>
      <c r="E379" s="35" t="str">
        <f>IFERROR(INDEX($U$310:$U$459,MATCH(ROWS($A$310:A379),$AF$310:$AF$459,0)),"")</f>
        <v/>
      </c>
      <c r="F379" s="35" t="str">
        <f>IFERROR(INDEX($V$310:$V$459,MATCH(ROWS($A$310:A379),$AF$310:$AF$459,0)),"")</f>
        <v/>
      </c>
      <c r="G379" s="35" t="str">
        <f>IFERROR(INDEX($W$310:$W$459,MATCH(ROWS($A$310:A379),$AF$310:$AF$459,0)),"")</f>
        <v/>
      </c>
      <c r="H379" s="35" t="str">
        <f>IFERROR(INDEX($X$310:$X$459,MATCH(ROWS($A$310:A379),$AF$310:$AF$459,0)),"")</f>
        <v/>
      </c>
      <c r="I379" s="35" t="str">
        <f>IFERROR(INDEX($Y$310:$Y$459,MATCH(ROWS($A$310:A379),$AF$310:$AF$459,0)),"")</f>
        <v/>
      </c>
      <c r="J379" s="35" t="str">
        <f>IFERROR(INDEX($Z$310:$Z$459,MATCH(ROWS($A$310:A379),$AF$310:$AF$459,0)),"")</f>
        <v/>
      </c>
      <c r="K379" s="35" t="str">
        <f>IFERROR(INDEX($AA$310:$AA$459,MATCH(ROWS($A$310:A379),$AF$310:$AF$459,0)),"")</f>
        <v/>
      </c>
      <c r="L379" s="35" t="str">
        <f>IFERROR(INDEX($AB$310:$AB$459,MATCH(ROWS($A$310:A379),$AF$310:$AF$459,0)),"")</f>
        <v/>
      </c>
      <c r="M379" s="35" t="str">
        <f>IFERROR(INDEX($AC$310:$AC$459,MATCH(ROWS($A$310:A379),$AF$310:$AF$459,0)),"")</f>
        <v/>
      </c>
      <c r="N379" s="35" t="str">
        <f>IFERROR(INDEX($AD$310:$AD$459,MATCH(ROWS($A$310:A379),$AF$310:$AF$459,0)),"")</f>
        <v/>
      </c>
      <c r="Q379" t="str">
        <f>T(JAN!B75)</f>
        <v>MARLON TEMPORÁRIO</v>
      </c>
      <c r="R379" t="str">
        <f t="array" ref="R379">IF($Q379="","",_xlfn.TEXTJOIN(", ",TRUE,IF(JAN!$G75:$AK75="FE",JAN!$G$4:$AK$4,"")))</f>
        <v/>
      </c>
      <c r="S379" t="str">
        <f t="array" ref="S379">IF($Q379="","",_xlfn.TEXTJOIN(", ",TRUE,IF(FEV!$G75:$AK75="FE",FEV!$G$4:$AK$4,"")))</f>
        <v/>
      </c>
      <c r="T379" t="str">
        <f t="array" ref="T379">IF($Q379="","",_xlfn.TEXTJOIN(", ",TRUE,IF(MAR!$G75:$AK75="FE",MAR!$G$4:$AK$4,"")))</f>
        <v/>
      </c>
      <c r="U379" t="str">
        <f t="array" ref="U379">IF($Q379="","",_xlfn.TEXTJOIN(", ",TRUE,IF(ABR!$G75:$AK75="FE",ABR!$G$4:$AK$4,"")))</f>
        <v/>
      </c>
      <c r="V379" t="str">
        <f t="array" ref="V379">IF($Q379="","",_xlfn.TEXTJOIN(", ",TRUE,IF(MAI!$G75:$AK75="FE",MAI!$G$4:$AK$4,"")))</f>
        <v/>
      </c>
      <c r="W379" t="str">
        <f t="array" ref="W379">IF($Q379="","",_xlfn.TEXTJOIN(", ",TRUE,IF(JUN!$G75:$AK75="FE",JUN!$G$4:$AK$4,"")))</f>
        <v/>
      </c>
      <c r="X379" t="str">
        <f t="array" ref="X379">IF($Q379="","",_xlfn.TEXTJOIN(", ",TRUE,IF(JUL!$G75:$AK75="FE",JUL!$G$4:$AK$4,"")))</f>
        <v/>
      </c>
      <c r="Y379" t="str">
        <f t="array" ref="Y379">IF($Q379="","",_xlfn.TEXTJOIN(", ",TRUE,IF(AGO!$G75:$AK75="FE",AGO!$G$4:$AK$4,"")))</f>
        <v/>
      </c>
      <c r="Z379" t="str">
        <f t="array" ref="Z379">IF($Q379="","",_xlfn.TEXTJOIN(", ",TRUE,IF(SET!$G75:$AK75="FE",SET!$G$4:$AK$4,"")))</f>
        <v/>
      </c>
      <c r="AA379" t="str">
        <f t="array" ref="AA379">IF($Q379="","",_xlfn.TEXTJOIN(", ",TRUE,IF(OUT!$G75:$AK75="FE",OUT!$G$4:$AK$4,"")))</f>
        <v/>
      </c>
      <c r="AB379" t="str">
        <f t="array" ref="AB379">IF($Q379="","",_xlfn.TEXTJOIN(", ",TRUE,IF(NOV!$G75:$AK75="FE",NOV!$G$4:$AK$4,"")))</f>
        <v/>
      </c>
      <c r="AC379" t="str">
        <f t="array" ref="AC379">IF($Q379="","",_xlfn.TEXTJOIN(", ",TRUE,IF(DEZ!$G75:$AK75="FE",DEZ!$G$4:$AK$4,"")))</f>
        <v/>
      </c>
      <c r="AD379">
        <f>IF($Q379="","",COUNTIF(JAN!$G75:$AK75,"FE")+COUNTIF(FEV!$G75:$AK75,"FE")+COUNTIF(MAR!$G75:$AK75,"FE")+COUNTIF(ABR!$G75:$AK75,"FE")+COUNTIF(MAI!$G75:$AK75,"FE")+COUNTIF(JUN!$G75:$AK75,"FE")+COUNTIF(JUL!$G75:$AK75,"FE")+COUNTIF(AGO!$G75:$AK75,"FE")+COUNTIF(SET!$G75:$AK75,"FE")+COUNTIF(OUT!$G75:$AK75,"FE")+COUNTIF(NOV!$G75:$AK75,"FE")+COUNTIF(DEZ!$G75:$AK75,"FE"))</f>
        <v>0</v>
      </c>
      <c r="AF379" t="str">
        <f>IF(AND($Q379&lt;&gt;"",N($AD379)&gt;0),COUNT($AF$309:AF378)+1,"")</f>
        <v/>
      </c>
    </row>
    <row r="380" spans="1:32" ht="20.100000000000001" customHeight="1" x14ac:dyDescent="0.25">
      <c r="A380" s="36" t="str">
        <f>IFERROR(INDEX($Q$310:$Q$459,MATCH(ROWS($A$310:A380),$AF$310:$AF$459,0)),"")</f>
        <v/>
      </c>
      <c r="B380" s="35" t="str">
        <f>IFERROR(INDEX($R$310:$R$459,MATCH(ROWS($A$310:A380),$AF$310:$AF$459,0)),"")</f>
        <v/>
      </c>
      <c r="C380" s="35" t="str">
        <f>IFERROR(INDEX($S$310:$S$459,MATCH(ROWS($A$310:A380),$AF$310:$AF$459,0)),"")</f>
        <v/>
      </c>
      <c r="D380" s="35" t="str">
        <f>IFERROR(INDEX($T$310:$T$459,MATCH(ROWS($A$310:A380),$AF$310:$AF$459,0)),"")</f>
        <v/>
      </c>
      <c r="E380" s="35" t="str">
        <f>IFERROR(INDEX($U$310:$U$459,MATCH(ROWS($A$310:A380),$AF$310:$AF$459,0)),"")</f>
        <v/>
      </c>
      <c r="F380" s="35" t="str">
        <f>IFERROR(INDEX($V$310:$V$459,MATCH(ROWS($A$310:A380),$AF$310:$AF$459,0)),"")</f>
        <v/>
      </c>
      <c r="G380" s="35" t="str">
        <f>IFERROR(INDEX($W$310:$W$459,MATCH(ROWS($A$310:A380),$AF$310:$AF$459,0)),"")</f>
        <v/>
      </c>
      <c r="H380" s="35" t="str">
        <f>IFERROR(INDEX($X$310:$X$459,MATCH(ROWS($A$310:A380),$AF$310:$AF$459,0)),"")</f>
        <v/>
      </c>
      <c r="I380" s="35" t="str">
        <f>IFERROR(INDEX($Y$310:$Y$459,MATCH(ROWS($A$310:A380),$AF$310:$AF$459,0)),"")</f>
        <v/>
      </c>
      <c r="J380" s="35" t="str">
        <f>IFERROR(INDEX($Z$310:$Z$459,MATCH(ROWS($A$310:A380),$AF$310:$AF$459,0)),"")</f>
        <v/>
      </c>
      <c r="K380" s="35" t="str">
        <f>IFERROR(INDEX($AA$310:$AA$459,MATCH(ROWS($A$310:A380),$AF$310:$AF$459,0)),"")</f>
        <v/>
      </c>
      <c r="L380" s="35" t="str">
        <f>IFERROR(INDEX($AB$310:$AB$459,MATCH(ROWS($A$310:A380),$AF$310:$AF$459,0)),"")</f>
        <v/>
      </c>
      <c r="M380" s="35" t="str">
        <f>IFERROR(INDEX($AC$310:$AC$459,MATCH(ROWS($A$310:A380),$AF$310:$AF$459,0)),"")</f>
        <v/>
      </c>
      <c r="N380" s="35" t="str">
        <f>IFERROR(INDEX($AD$310:$AD$459,MATCH(ROWS($A$310:A380),$AF$310:$AF$459,0)),"")</f>
        <v/>
      </c>
      <c r="Q380" t="str">
        <f>T(JAN!B76)</f>
        <v>GUILHERME CARMARGO TEMPORARIO</v>
      </c>
      <c r="R380" t="str">
        <f t="array" ref="R380">IF($Q380="","",_xlfn.TEXTJOIN(", ",TRUE,IF(JAN!$G76:$AK76="FE",JAN!$G$4:$AK$4,"")))</f>
        <v/>
      </c>
      <c r="S380" t="str">
        <f t="array" ref="S380">IF($Q380="","",_xlfn.TEXTJOIN(", ",TRUE,IF(FEV!$G76:$AK76="FE",FEV!$G$4:$AK$4,"")))</f>
        <v/>
      </c>
      <c r="T380" t="str">
        <f t="array" ref="T380">IF($Q380="","",_xlfn.TEXTJOIN(", ",TRUE,IF(MAR!$G76:$AK76="FE",MAR!$G$4:$AK$4,"")))</f>
        <v/>
      </c>
      <c r="U380" t="str">
        <f t="array" ref="U380">IF($Q380="","",_xlfn.TEXTJOIN(", ",TRUE,IF(ABR!$G76:$AK76="FE",ABR!$G$4:$AK$4,"")))</f>
        <v/>
      </c>
      <c r="V380" t="str">
        <f t="array" ref="V380">IF($Q380="","",_xlfn.TEXTJOIN(", ",TRUE,IF(MAI!$G76:$AK76="FE",MAI!$G$4:$AK$4,"")))</f>
        <v/>
      </c>
      <c r="W380" t="str">
        <f t="array" ref="W380">IF($Q380="","",_xlfn.TEXTJOIN(", ",TRUE,IF(JUN!$G76:$AK76="FE",JUN!$G$4:$AK$4,"")))</f>
        <v/>
      </c>
      <c r="X380" t="str">
        <f t="array" ref="X380">IF($Q380="","",_xlfn.TEXTJOIN(", ",TRUE,IF(JUL!$G76:$AK76="FE",JUL!$G$4:$AK$4,"")))</f>
        <v/>
      </c>
      <c r="Y380" t="str">
        <f t="array" ref="Y380">IF($Q380="","",_xlfn.TEXTJOIN(", ",TRUE,IF(AGO!$G76:$AK76="FE",AGO!$G$4:$AK$4,"")))</f>
        <v/>
      </c>
      <c r="Z380" t="str">
        <f t="array" ref="Z380">IF($Q380="","",_xlfn.TEXTJOIN(", ",TRUE,IF(SET!$G76:$AK76="FE",SET!$G$4:$AK$4,"")))</f>
        <v/>
      </c>
      <c r="AA380" t="str">
        <f t="array" ref="AA380">IF($Q380="","",_xlfn.TEXTJOIN(", ",TRUE,IF(OUT!$G76:$AK76="FE",OUT!$G$4:$AK$4,"")))</f>
        <v/>
      </c>
      <c r="AB380" t="str">
        <f t="array" ref="AB380">IF($Q380="","",_xlfn.TEXTJOIN(", ",TRUE,IF(NOV!$G76:$AK76="FE",NOV!$G$4:$AK$4,"")))</f>
        <v/>
      </c>
      <c r="AC380" t="str">
        <f t="array" ref="AC380">IF($Q380="","",_xlfn.TEXTJOIN(", ",TRUE,IF(DEZ!$G76:$AK76="FE",DEZ!$G$4:$AK$4,"")))</f>
        <v/>
      </c>
      <c r="AD380">
        <f>IF($Q380="","",COUNTIF(JAN!$G76:$AK76,"FE")+COUNTIF(FEV!$G76:$AK76,"FE")+COUNTIF(MAR!$G76:$AK76,"FE")+COUNTIF(ABR!$G76:$AK76,"FE")+COUNTIF(MAI!$G76:$AK76,"FE")+COUNTIF(JUN!$G76:$AK76,"FE")+COUNTIF(JUL!$G76:$AK76,"FE")+COUNTIF(AGO!$G76:$AK76,"FE")+COUNTIF(SET!$G76:$AK76,"FE")+COUNTIF(OUT!$G76:$AK76,"FE")+COUNTIF(NOV!$G76:$AK76,"FE")+COUNTIF(DEZ!$G76:$AK76,"FE"))</f>
        <v>0</v>
      </c>
      <c r="AF380" t="str">
        <f>IF(AND($Q380&lt;&gt;"",N($AD380)&gt;0),COUNT($AF$309:AF379)+1,"")</f>
        <v/>
      </c>
    </row>
    <row r="381" spans="1:32" ht="20.100000000000001" customHeight="1" x14ac:dyDescent="0.25">
      <c r="A381" s="36" t="str">
        <f>IFERROR(INDEX($Q$310:$Q$459,MATCH(ROWS($A$310:A381),$AF$310:$AF$459,0)),"")</f>
        <v/>
      </c>
      <c r="B381" s="35" t="str">
        <f>IFERROR(INDEX($R$310:$R$459,MATCH(ROWS($A$310:A381),$AF$310:$AF$459,0)),"")</f>
        <v/>
      </c>
      <c r="C381" s="35" t="str">
        <f>IFERROR(INDEX($S$310:$S$459,MATCH(ROWS($A$310:A381),$AF$310:$AF$459,0)),"")</f>
        <v/>
      </c>
      <c r="D381" s="35" t="str">
        <f>IFERROR(INDEX($T$310:$T$459,MATCH(ROWS($A$310:A381),$AF$310:$AF$459,0)),"")</f>
        <v/>
      </c>
      <c r="E381" s="35" t="str">
        <f>IFERROR(INDEX($U$310:$U$459,MATCH(ROWS($A$310:A381),$AF$310:$AF$459,0)),"")</f>
        <v/>
      </c>
      <c r="F381" s="35" t="str">
        <f>IFERROR(INDEX($V$310:$V$459,MATCH(ROWS($A$310:A381),$AF$310:$AF$459,0)),"")</f>
        <v/>
      </c>
      <c r="G381" s="35" t="str">
        <f>IFERROR(INDEX($W$310:$W$459,MATCH(ROWS($A$310:A381),$AF$310:$AF$459,0)),"")</f>
        <v/>
      </c>
      <c r="H381" s="35" t="str">
        <f>IFERROR(INDEX($X$310:$X$459,MATCH(ROWS($A$310:A381),$AF$310:$AF$459,0)),"")</f>
        <v/>
      </c>
      <c r="I381" s="35" t="str">
        <f>IFERROR(INDEX($Y$310:$Y$459,MATCH(ROWS($A$310:A381),$AF$310:$AF$459,0)),"")</f>
        <v/>
      </c>
      <c r="J381" s="35" t="str">
        <f>IFERROR(INDEX($Z$310:$Z$459,MATCH(ROWS($A$310:A381),$AF$310:$AF$459,0)),"")</f>
        <v/>
      </c>
      <c r="K381" s="35" t="str">
        <f>IFERROR(INDEX($AA$310:$AA$459,MATCH(ROWS($A$310:A381),$AF$310:$AF$459,0)),"")</f>
        <v/>
      </c>
      <c r="L381" s="35" t="str">
        <f>IFERROR(INDEX($AB$310:$AB$459,MATCH(ROWS($A$310:A381),$AF$310:$AF$459,0)),"")</f>
        <v/>
      </c>
      <c r="M381" s="35" t="str">
        <f>IFERROR(INDEX($AC$310:$AC$459,MATCH(ROWS($A$310:A381),$AF$310:$AF$459,0)),"")</f>
        <v/>
      </c>
      <c r="N381" s="35" t="str">
        <f>IFERROR(INDEX($AD$310:$AD$459,MATCH(ROWS($A$310:A381),$AF$310:$AF$459,0)),"")</f>
        <v/>
      </c>
      <c r="Q381" t="str">
        <f>T(JAN!B77)</f>
        <v>BRYAN TEMPORARIO</v>
      </c>
      <c r="R381" t="str">
        <f t="array" ref="R381">IF($Q381="","",_xlfn.TEXTJOIN(", ",TRUE,IF(JAN!$G77:$AK77="FE",JAN!$G$4:$AK$4,"")))</f>
        <v/>
      </c>
      <c r="S381" t="str">
        <f t="array" ref="S381">IF($Q381="","",_xlfn.TEXTJOIN(", ",TRUE,IF(FEV!$G77:$AK77="FE",FEV!$G$4:$AK$4,"")))</f>
        <v/>
      </c>
      <c r="T381" t="str">
        <f t="array" ref="T381">IF($Q381="","",_xlfn.TEXTJOIN(", ",TRUE,IF(MAR!$G77:$AK77="FE",MAR!$G$4:$AK$4,"")))</f>
        <v/>
      </c>
      <c r="U381" t="str">
        <f t="array" ref="U381">IF($Q381="","",_xlfn.TEXTJOIN(", ",TRUE,IF(ABR!$G77:$AK77="FE",ABR!$G$4:$AK$4,"")))</f>
        <v/>
      </c>
      <c r="V381" t="str">
        <f t="array" ref="V381">IF($Q381="","",_xlfn.TEXTJOIN(", ",TRUE,IF(MAI!$G77:$AK77="FE",MAI!$G$4:$AK$4,"")))</f>
        <v/>
      </c>
      <c r="W381" t="str">
        <f t="array" ref="W381">IF($Q381="","",_xlfn.TEXTJOIN(", ",TRUE,IF(JUN!$G77:$AK77="FE",JUN!$G$4:$AK$4,"")))</f>
        <v/>
      </c>
      <c r="X381" t="str">
        <f t="array" ref="X381">IF($Q381="","",_xlfn.TEXTJOIN(", ",TRUE,IF(JUL!$G77:$AK77="FE",JUL!$G$4:$AK$4,"")))</f>
        <v/>
      </c>
      <c r="Y381" t="str">
        <f t="array" ref="Y381">IF($Q381="","",_xlfn.TEXTJOIN(", ",TRUE,IF(AGO!$G77:$AK77="FE",AGO!$G$4:$AK$4,"")))</f>
        <v/>
      </c>
      <c r="Z381" t="str">
        <f t="array" ref="Z381">IF($Q381="","",_xlfn.TEXTJOIN(", ",TRUE,IF(SET!$G77:$AK77="FE",SET!$G$4:$AK$4,"")))</f>
        <v/>
      </c>
      <c r="AA381" t="str">
        <f t="array" ref="AA381">IF($Q381="","",_xlfn.TEXTJOIN(", ",TRUE,IF(OUT!$G77:$AK77="FE",OUT!$G$4:$AK$4,"")))</f>
        <v/>
      </c>
      <c r="AB381" t="str">
        <f t="array" ref="AB381">IF($Q381="","",_xlfn.TEXTJOIN(", ",TRUE,IF(NOV!$G77:$AK77="FE",NOV!$G$4:$AK$4,"")))</f>
        <v/>
      </c>
      <c r="AC381" t="str">
        <f t="array" ref="AC381">IF($Q381="","",_xlfn.TEXTJOIN(", ",TRUE,IF(DEZ!$G77:$AK77="FE",DEZ!$G$4:$AK$4,"")))</f>
        <v/>
      </c>
      <c r="AD381">
        <f>IF($Q381="","",COUNTIF(JAN!$G77:$AK77,"FE")+COUNTIF(FEV!$G77:$AK77,"FE")+COUNTIF(MAR!$G77:$AK77,"FE")+COUNTIF(ABR!$G77:$AK77,"FE")+COUNTIF(MAI!$G77:$AK77,"FE")+COUNTIF(JUN!$G77:$AK77,"FE")+COUNTIF(JUL!$G77:$AK77,"FE")+COUNTIF(AGO!$G77:$AK77,"FE")+COUNTIF(SET!$G77:$AK77,"FE")+COUNTIF(OUT!$G77:$AK77,"FE")+COUNTIF(NOV!$G77:$AK77,"FE")+COUNTIF(DEZ!$G77:$AK77,"FE"))</f>
        <v>0</v>
      </c>
      <c r="AF381" t="str">
        <f>IF(AND($Q381&lt;&gt;"",N($AD381)&gt;0),COUNT($AF$309:AF380)+1,"")</f>
        <v/>
      </c>
    </row>
    <row r="382" spans="1:32" ht="20.100000000000001" customHeight="1" x14ac:dyDescent="0.25">
      <c r="A382" s="36" t="str">
        <f>IFERROR(INDEX($Q$310:$Q$459,MATCH(ROWS($A$310:A382),$AF$310:$AF$459,0)),"")</f>
        <v/>
      </c>
      <c r="B382" s="35" t="str">
        <f>IFERROR(INDEX($R$310:$R$459,MATCH(ROWS($A$310:A382),$AF$310:$AF$459,0)),"")</f>
        <v/>
      </c>
      <c r="C382" s="35" t="str">
        <f>IFERROR(INDEX($S$310:$S$459,MATCH(ROWS($A$310:A382),$AF$310:$AF$459,0)),"")</f>
        <v/>
      </c>
      <c r="D382" s="35" t="str">
        <f>IFERROR(INDEX($T$310:$T$459,MATCH(ROWS($A$310:A382),$AF$310:$AF$459,0)),"")</f>
        <v/>
      </c>
      <c r="E382" s="35" t="str">
        <f>IFERROR(INDEX($U$310:$U$459,MATCH(ROWS($A$310:A382),$AF$310:$AF$459,0)),"")</f>
        <v/>
      </c>
      <c r="F382" s="35" t="str">
        <f>IFERROR(INDEX($V$310:$V$459,MATCH(ROWS($A$310:A382),$AF$310:$AF$459,0)),"")</f>
        <v/>
      </c>
      <c r="G382" s="35" t="str">
        <f>IFERROR(INDEX($W$310:$W$459,MATCH(ROWS($A$310:A382),$AF$310:$AF$459,0)),"")</f>
        <v/>
      </c>
      <c r="H382" s="35" t="str">
        <f>IFERROR(INDEX($X$310:$X$459,MATCH(ROWS($A$310:A382),$AF$310:$AF$459,0)),"")</f>
        <v/>
      </c>
      <c r="I382" s="35" t="str">
        <f>IFERROR(INDEX($Y$310:$Y$459,MATCH(ROWS($A$310:A382),$AF$310:$AF$459,0)),"")</f>
        <v/>
      </c>
      <c r="J382" s="35" t="str">
        <f>IFERROR(INDEX($Z$310:$Z$459,MATCH(ROWS($A$310:A382),$AF$310:$AF$459,0)),"")</f>
        <v/>
      </c>
      <c r="K382" s="35" t="str">
        <f>IFERROR(INDEX($AA$310:$AA$459,MATCH(ROWS($A$310:A382),$AF$310:$AF$459,0)),"")</f>
        <v/>
      </c>
      <c r="L382" s="35" t="str">
        <f>IFERROR(INDEX($AB$310:$AB$459,MATCH(ROWS($A$310:A382),$AF$310:$AF$459,0)),"")</f>
        <v/>
      </c>
      <c r="M382" s="35" t="str">
        <f>IFERROR(INDEX($AC$310:$AC$459,MATCH(ROWS($A$310:A382),$AF$310:$AF$459,0)),"")</f>
        <v/>
      </c>
      <c r="N382" s="35" t="str">
        <f>IFERROR(INDEX($AD$310:$AD$459,MATCH(ROWS($A$310:A382),$AF$310:$AF$459,0)),"")</f>
        <v/>
      </c>
      <c r="Q382" t="str">
        <f>T(JAN!B78)</f>
        <v>PABLO TEMPORARIO</v>
      </c>
      <c r="R382" t="str">
        <f t="array" ref="R382">IF($Q382="","",_xlfn.TEXTJOIN(", ",TRUE,IF(JAN!$G78:$AK78="FE",JAN!$G$4:$AK$4,"")))</f>
        <v/>
      </c>
      <c r="S382" t="str">
        <f t="array" ref="S382">IF($Q382="","",_xlfn.TEXTJOIN(", ",TRUE,IF(FEV!$G78:$AK78="FE",FEV!$G$4:$AK$4,"")))</f>
        <v/>
      </c>
      <c r="T382" t="str">
        <f t="array" ref="T382">IF($Q382="","",_xlfn.TEXTJOIN(", ",TRUE,IF(MAR!$G78:$AK78="FE",MAR!$G$4:$AK$4,"")))</f>
        <v/>
      </c>
      <c r="U382" t="str">
        <f t="array" ref="U382">IF($Q382="","",_xlfn.TEXTJOIN(", ",TRUE,IF(ABR!$G78:$AK78="FE",ABR!$G$4:$AK$4,"")))</f>
        <v/>
      </c>
      <c r="V382" t="str">
        <f t="array" ref="V382">IF($Q382="","",_xlfn.TEXTJOIN(", ",TRUE,IF(MAI!$G78:$AK78="FE",MAI!$G$4:$AK$4,"")))</f>
        <v/>
      </c>
      <c r="W382" t="str">
        <f t="array" ref="W382">IF($Q382="","",_xlfn.TEXTJOIN(", ",TRUE,IF(JUN!$G78:$AK78="FE",JUN!$G$4:$AK$4,"")))</f>
        <v/>
      </c>
      <c r="X382" t="str">
        <f t="array" ref="X382">IF($Q382="","",_xlfn.TEXTJOIN(", ",TRUE,IF(JUL!$G78:$AK78="FE",JUL!$G$4:$AK$4,"")))</f>
        <v/>
      </c>
      <c r="Y382" t="str">
        <f t="array" ref="Y382">IF($Q382="","",_xlfn.TEXTJOIN(", ",TRUE,IF(AGO!$G78:$AK78="FE",AGO!$G$4:$AK$4,"")))</f>
        <v/>
      </c>
      <c r="Z382" t="str">
        <f t="array" ref="Z382">IF($Q382="","",_xlfn.TEXTJOIN(", ",TRUE,IF(SET!$G78:$AK78="FE",SET!$G$4:$AK$4,"")))</f>
        <v/>
      </c>
      <c r="AA382" t="str">
        <f t="array" ref="AA382">IF($Q382="","",_xlfn.TEXTJOIN(", ",TRUE,IF(OUT!$G78:$AK78="FE",OUT!$G$4:$AK$4,"")))</f>
        <v/>
      </c>
      <c r="AB382" t="str">
        <f t="array" ref="AB382">IF($Q382="","",_xlfn.TEXTJOIN(", ",TRUE,IF(NOV!$G78:$AK78="FE",NOV!$G$4:$AK$4,"")))</f>
        <v/>
      </c>
      <c r="AC382" t="str">
        <f t="array" ref="AC382">IF($Q382="","",_xlfn.TEXTJOIN(", ",TRUE,IF(DEZ!$G78:$AK78="FE",DEZ!$G$4:$AK$4,"")))</f>
        <v/>
      </c>
      <c r="AD382">
        <f>IF($Q382="","",COUNTIF(JAN!$G78:$AK78,"FE")+COUNTIF(FEV!$G78:$AK78,"FE")+COUNTIF(MAR!$G78:$AK78,"FE")+COUNTIF(ABR!$G78:$AK78,"FE")+COUNTIF(MAI!$G78:$AK78,"FE")+COUNTIF(JUN!$G78:$AK78,"FE")+COUNTIF(JUL!$G78:$AK78,"FE")+COUNTIF(AGO!$G78:$AK78,"FE")+COUNTIF(SET!$G78:$AK78,"FE")+COUNTIF(OUT!$G78:$AK78,"FE")+COUNTIF(NOV!$G78:$AK78,"FE")+COUNTIF(DEZ!$G78:$AK78,"FE"))</f>
        <v>0</v>
      </c>
      <c r="AF382" t="str">
        <f>IF(AND($Q382&lt;&gt;"",N($AD382)&gt;0),COUNT($AF$309:AF381)+1,"")</f>
        <v/>
      </c>
    </row>
    <row r="383" spans="1:32" ht="20.100000000000001" customHeight="1" x14ac:dyDescent="0.25">
      <c r="A383" s="36" t="str">
        <f>IFERROR(INDEX($Q$310:$Q$459,MATCH(ROWS($A$310:A383),$AF$310:$AF$459,0)),"")</f>
        <v/>
      </c>
      <c r="B383" s="35" t="str">
        <f>IFERROR(INDEX($R$310:$R$459,MATCH(ROWS($A$310:A383),$AF$310:$AF$459,0)),"")</f>
        <v/>
      </c>
      <c r="C383" s="35" t="str">
        <f>IFERROR(INDEX($S$310:$S$459,MATCH(ROWS($A$310:A383),$AF$310:$AF$459,0)),"")</f>
        <v/>
      </c>
      <c r="D383" s="35" t="str">
        <f>IFERROR(INDEX($T$310:$T$459,MATCH(ROWS($A$310:A383),$AF$310:$AF$459,0)),"")</f>
        <v/>
      </c>
      <c r="E383" s="35" t="str">
        <f>IFERROR(INDEX($U$310:$U$459,MATCH(ROWS($A$310:A383),$AF$310:$AF$459,0)),"")</f>
        <v/>
      </c>
      <c r="F383" s="35" t="str">
        <f>IFERROR(INDEX($V$310:$V$459,MATCH(ROWS($A$310:A383),$AF$310:$AF$459,0)),"")</f>
        <v/>
      </c>
      <c r="G383" s="35" t="str">
        <f>IFERROR(INDEX($W$310:$W$459,MATCH(ROWS($A$310:A383),$AF$310:$AF$459,0)),"")</f>
        <v/>
      </c>
      <c r="H383" s="35" t="str">
        <f>IFERROR(INDEX($X$310:$X$459,MATCH(ROWS($A$310:A383),$AF$310:$AF$459,0)),"")</f>
        <v/>
      </c>
      <c r="I383" s="35" t="str">
        <f>IFERROR(INDEX($Y$310:$Y$459,MATCH(ROWS($A$310:A383),$AF$310:$AF$459,0)),"")</f>
        <v/>
      </c>
      <c r="J383" s="35" t="str">
        <f>IFERROR(INDEX($Z$310:$Z$459,MATCH(ROWS($A$310:A383),$AF$310:$AF$459,0)),"")</f>
        <v/>
      </c>
      <c r="K383" s="35" t="str">
        <f>IFERROR(INDEX($AA$310:$AA$459,MATCH(ROWS($A$310:A383),$AF$310:$AF$459,0)),"")</f>
        <v/>
      </c>
      <c r="L383" s="35" t="str">
        <f>IFERROR(INDEX($AB$310:$AB$459,MATCH(ROWS($A$310:A383),$AF$310:$AF$459,0)),"")</f>
        <v/>
      </c>
      <c r="M383" s="35" t="str">
        <f>IFERROR(INDEX($AC$310:$AC$459,MATCH(ROWS($A$310:A383),$AF$310:$AF$459,0)),"")</f>
        <v/>
      </c>
      <c r="N383" s="35" t="str">
        <f>IFERROR(INDEX($AD$310:$AD$459,MATCH(ROWS($A$310:A383),$AF$310:$AF$459,0)),"")</f>
        <v/>
      </c>
      <c r="Q383" t="str">
        <f>T(JAN!B79)</f>
        <v>JOAQUIM TEMPORARIO</v>
      </c>
      <c r="R383" t="str">
        <f t="array" ref="R383">IF($Q383="","",_xlfn.TEXTJOIN(", ",TRUE,IF(JAN!$G79:$AK79="FE",JAN!$G$4:$AK$4,"")))</f>
        <v/>
      </c>
      <c r="S383" t="str">
        <f t="array" ref="S383">IF($Q383="","",_xlfn.TEXTJOIN(", ",TRUE,IF(FEV!$G79:$AK79="FE",FEV!$G$4:$AK$4,"")))</f>
        <v/>
      </c>
      <c r="T383" t="str">
        <f t="array" ref="T383">IF($Q383="","",_xlfn.TEXTJOIN(", ",TRUE,IF(MAR!$G79:$AK79="FE",MAR!$G$4:$AK$4,"")))</f>
        <v/>
      </c>
      <c r="U383" t="str">
        <f t="array" ref="U383">IF($Q383="","",_xlfn.TEXTJOIN(", ",TRUE,IF(ABR!$G79:$AK79="FE",ABR!$G$4:$AK$4,"")))</f>
        <v/>
      </c>
      <c r="V383" t="str">
        <f t="array" ref="V383">IF($Q383="","",_xlfn.TEXTJOIN(", ",TRUE,IF(MAI!$G79:$AK79="FE",MAI!$G$4:$AK$4,"")))</f>
        <v/>
      </c>
      <c r="W383" t="str">
        <f t="array" ref="W383">IF($Q383="","",_xlfn.TEXTJOIN(", ",TRUE,IF(JUN!$G79:$AK79="FE",JUN!$G$4:$AK$4,"")))</f>
        <v/>
      </c>
      <c r="X383" t="str">
        <f t="array" ref="X383">IF($Q383="","",_xlfn.TEXTJOIN(", ",TRUE,IF(JUL!$G79:$AK79="FE",JUL!$G$4:$AK$4,"")))</f>
        <v/>
      </c>
      <c r="Y383" t="str">
        <f t="array" ref="Y383">IF($Q383="","",_xlfn.TEXTJOIN(", ",TRUE,IF(AGO!$G79:$AK79="FE",AGO!$G$4:$AK$4,"")))</f>
        <v/>
      </c>
      <c r="Z383" t="str">
        <f t="array" ref="Z383">IF($Q383="","",_xlfn.TEXTJOIN(", ",TRUE,IF(SET!$G79:$AK79="FE",SET!$G$4:$AK$4,"")))</f>
        <v/>
      </c>
      <c r="AA383" t="str">
        <f t="array" ref="AA383">IF($Q383="","",_xlfn.TEXTJOIN(", ",TRUE,IF(OUT!$G79:$AK79="FE",OUT!$G$4:$AK$4,"")))</f>
        <v/>
      </c>
      <c r="AB383" t="str">
        <f t="array" ref="AB383">IF($Q383="","",_xlfn.TEXTJOIN(", ",TRUE,IF(NOV!$G79:$AK79="FE",NOV!$G$4:$AK$4,"")))</f>
        <v/>
      </c>
      <c r="AC383" t="str">
        <f t="array" ref="AC383">IF($Q383="","",_xlfn.TEXTJOIN(", ",TRUE,IF(DEZ!$G79:$AK79="FE",DEZ!$G$4:$AK$4,"")))</f>
        <v/>
      </c>
      <c r="AD383">
        <f>IF($Q383="","",COUNTIF(JAN!$G79:$AK79,"FE")+COUNTIF(FEV!$G79:$AK79,"FE")+COUNTIF(MAR!$G79:$AK79,"FE")+COUNTIF(ABR!$G79:$AK79,"FE")+COUNTIF(MAI!$G79:$AK79,"FE")+COUNTIF(JUN!$G79:$AK79,"FE")+COUNTIF(JUL!$G79:$AK79,"FE")+COUNTIF(AGO!$G79:$AK79,"FE")+COUNTIF(SET!$G79:$AK79,"FE")+COUNTIF(OUT!$G79:$AK79,"FE")+COUNTIF(NOV!$G79:$AK79,"FE")+COUNTIF(DEZ!$G79:$AK79,"FE"))</f>
        <v>0</v>
      </c>
      <c r="AF383" t="str">
        <f>IF(AND($Q383&lt;&gt;"",N($AD383)&gt;0),COUNT($AF$309:AF382)+1,"")</f>
        <v/>
      </c>
    </row>
    <row r="384" spans="1:32" ht="20.100000000000001" customHeight="1" x14ac:dyDescent="0.25">
      <c r="A384" s="36" t="str">
        <f>IFERROR(INDEX($Q$310:$Q$459,MATCH(ROWS($A$310:A384),$AF$310:$AF$459,0)),"")</f>
        <v/>
      </c>
      <c r="B384" s="35" t="str">
        <f>IFERROR(INDEX($R$310:$R$459,MATCH(ROWS($A$310:A384),$AF$310:$AF$459,0)),"")</f>
        <v/>
      </c>
      <c r="C384" s="35" t="str">
        <f>IFERROR(INDEX($S$310:$S$459,MATCH(ROWS($A$310:A384),$AF$310:$AF$459,0)),"")</f>
        <v/>
      </c>
      <c r="D384" s="35" t="str">
        <f>IFERROR(INDEX($T$310:$T$459,MATCH(ROWS($A$310:A384),$AF$310:$AF$459,0)),"")</f>
        <v/>
      </c>
      <c r="E384" s="35" t="str">
        <f>IFERROR(INDEX($U$310:$U$459,MATCH(ROWS($A$310:A384),$AF$310:$AF$459,0)),"")</f>
        <v/>
      </c>
      <c r="F384" s="35" t="str">
        <f>IFERROR(INDEX($V$310:$V$459,MATCH(ROWS($A$310:A384),$AF$310:$AF$459,0)),"")</f>
        <v/>
      </c>
      <c r="G384" s="35" t="str">
        <f>IFERROR(INDEX($W$310:$W$459,MATCH(ROWS($A$310:A384),$AF$310:$AF$459,0)),"")</f>
        <v/>
      </c>
      <c r="H384" s="35" t="str">
        <f>IFERROR(INDEX($X$310:$X$459,MATCH(ROWS($A$310:A384),$AF$310:$AF$459,0)),"")</f>
        <v/>
      </c>
      <c r="I384" s="35" t="str">
        <f>IFERROR(INDEX($Y$310:$Y$459,MATCH(ROWS($A$310:A384),$AF$310:$AF$459,0)),"")</f>
        <v/>
      </c>
      <c r="J384" s="35" t="str">
        <f>IFERROR(INDEX($Z$310:$Z$459,MATCH(ROWS($A$310:A384),$AF$310:$AF$459,0)),"")</f>
        <v/>
      </c>
      <c r="K384" s="35" t="str">
        <f>IFERROR(INDEX($AA$310:$AA$459,MATCH(ROWS($A$310:A384),$AF$310:$AF$459,0)),"")</f>
        <v/>
      </c>
      <c r="L384" s="35" t="str">
        <f>IFERROR(INDEX($AB$310:$AB$459,MATCH(ROWS($A$310:A384),$AF$310:$AF$459,0)),"")</f>
        <v/>
      </c>
      <c r="M384" s="35" t="str">
        <f>IFERROR(INDEX($AC$310:$AC$459,MATCH(ROWS($A$310:A384),$AF$310:$AF$459,0)),"")</f>
        <v/>
      </c>
      <c r="N384" s="35" t="str">
        <f>IFERROR(INDEX($AD$310:$AD$459,MATCH(ROWS($A$310:A384),$AF$310:$AF$459,0)),"")</f>
        <v/>
      </c>
      <c r="Q384" t="str">
        <f>T(JAN!B80)</f>
        <v>RAFAEL TEMPORARIO</v>
      </c>
      <c r="R384" t="str">
        <f t="array" ref="R384">IF($Q384="","",_xlfn.TEXTJOIN(", ",TRUE,IF(JAN!$G80:$AK80="FE",JAN!$G$4:$AK$4,"")))</f>
        <v/>
      </c>
      <c r="S384" t="str">
        <f t="array" ref="S384">IF($Q384="","",_xlfn.TEXTJOIN(", ",TRUE,IF(FEV!$G80:$AK80="FE",FEV!$G$4:$AK$4,"")))</f>
        <v/>
      </c>
      <c r="T384" t="str">
        <f t="array" ref="T384">IF($Q384="","",_xlfn.TEXTJOIN(", ",TRUE,IF(MAR!$G80:$AK80="FE",MAR!$G$4:$AK$4,"")))</f>
        <v/>
      </c>
      <c r="U384" t="str">
        <f t="array" ref="U384">IF($Q384="","",_xlfn.TEXTJOIN(", ",TRUE,IF(ABR!$G80:$AK80="FE",ABR!$G$4:$AK$4,"")))</f>
        <v/>
      </c>
      <c r="V384" t="str">
        <f t="array" ref="V384">IF($Q384="","",_xlfn.TEXTJOIN(", ",TRUE,IF(MAI!$G80:$AK80="FE",MAI!$G$4:$AK$4,"")))</f>
        <v/>
      </c>
      <c r="W384" t="str">
        <f t="array" ref="W384">IF($Q384="","",_xlfn.TEXTJOIN(", ",TRUE,IF(JUN!$G80:$AK80="FE",JUN!$G$4:$AK$4,"")))</f>
        <v/>
      </c>
      <c r="X384" t="str">
        <f t="array" ref="X384">IF($Q384="","",_xlfn.TEXTJOIN(", ",TRUE,IF(JUL!$G80:$AK80="FE",JUL!$G$4:$AK$4,"")))</f>
        <v/>
      </c>
      <c r="Y384" t="str">
        <f t="array" ref="Y384">IF($Q384="","",_xlfn.TEXTJOIN(", ",TRUE,IF(AGO!$G80:$AK80="FE",AGO!$G$4:$AK$4,"")))</f>
        <v/>
      </c>
      <c r="Z384" t="str">
        <f t="array" ref="Z384">IF($Q384="","",_xlfn.TEXTJOIN(", ",TRUE,IF(SET!$G80:$AK80="FE",SET!$G$4:$AK$4,"")))</f>
        <v/>
      </c>
      <c r="AA384" t="str">
        <f t="array" ref="AA384">IF($Q384="","",_xlfn.TEXTJOIN(", ",TRUE,IF(OUT!$G80:$AK80="FE",OUT!$G$4:$AK$4,"")))</f>
        <v/>
      </c>
      <c r="AB384" t="str">
        <f t="array" ref="AB384">IF($Q384="","",_xlfn.TEXTJOIN(", ",TRUE,IF(NOV!$G80:$AK80="FE",NOV!$G$4:$AK$4,"")))</f>
        <v/>
      </c>
      <c r="AC384" t="str">
        <f t="array" ref="AC384">IF($Q384="","",_xlfn.TEXTJOIN(", ",TRUE,IF(DEZ!$G80:$AK80="FE",DEZ!$G$4:$AK$4,"")))</f>
        <v/>
      </c>
      <c r="AD384">
        <f>IF($Q384="","",COUNTIF(JAN!$G80:$AK80,"FE")+COUNTIF(FEV!$G80:$AK80,"FE")+COUNTIF(MAR!$G80:$AK80,"FE")+COUNTIF(ABR!$G80:$AK80,"FE")+COUNTIF(MAI!$G80:$AK80,"FE")+COUNTIF(JUN!$G80:$AK80,"FE")+COUNTIF(JUL!$G80:$AK80,"FE")+COUNTIF(AGO!$G80:$AK80,"FE")+COUNTIF(SET!$G80:$AK80,"FE")+COUNTIF(OUT!$G80:$AK80,"FE")+COUNTIF(NOV!$G80:$AK80,"FE")+COUNTIF(DEZ!$G80:$AK80,"FE"))</f>
        <v>0</v>
      </c>
      <c r="AF384" t="str">
        <f>IF(AND($Q384&lt;&gt;"",N($AD384)&gt;0),COUNT($AF$309:AF383)+1,"")</f>
        <v/>
      </c>
    </row>
    <row r="385" spans="1:32" ht="20.100000000000001" customHeight="1" x14ac:dyDescent="0.25">
      <c r="A385" s="36" t="str">
        <f>IFERROR(INDEX($Q$310:$Q$459,MATCH(ROWS($A$310:A385),$AF$310:$AF$459,0)),"")</f>
        <v/>
      </c>
      <c r="B385" s="35" t="str">
        <f>IFERROR(INDEX($R$310:$R$459,MATCH(ROWS($A$310:A385),$AF$310:$AF$459,0)),"")</f>
        <v/>
      </c>
      <c r="C385" s="35" t="str">
        <f>IFERROR(INDEX($S$310:$S$459,MATCH(ROWS($A$310:A385),$AF$310:$AF$459,0)),"")</f>
        <v/>
      </c>
      <c r="D385" s="35" t="str">
        <f>IFERROR(INDEX($T$310:$T$459,MATCH(ROWS($A$310:A385),$AF$310:$AF$459,0)),"")</f>
        <v/>
      </c>
      <c r="E385" s="35" t="str">
        <f>IFERROR(INDEX($U$310:$U$459,MATCH(ROWS($A$310:A385),$AF$310:$AF$459,0)),"")</f>
        <v/>
      </c>
      <c r="F385" s="35" t="str">
        <f>IFERROR(INDEX($V$310:$V$459,MATCH(ROWS($A$310:A385),$AF$310:$AF$459,0)),"")</f>
        <v/>
      </c>
      <c r="G385" s="35" t="str">
        <f>IFERROR(INDEX($W$310:$W$459,MATCH(ROWS($A$310:A385),$AF$310:$AF$459,0)),"")</f>
        <v/>
      </c>
      <c r="H385" s="35" t="str">
        <f>IFERROR(INDEX($X$310:$X$459,MATCH(ROWS($A$310:A385),$AF$310:$AF$459,0)),"")</f>
        <v/>
      </c>
      <c r="I385" s="35" t="str">
        <f>IFERROR(INDEX($Y$310:$Y$459,MATCH(ROWS($A$310:A385),$AF$310:$AF$459,0)),"")</f>
        <v/>
      </c>
      <c r="J385" s="35" t="str">
        <f>IFERROR(INDEX($Z$310:$Z$459,MATCH(ROWS($A$310:A385),$AF$310:$AF$459,0)),"")</f>
        <v/>
      </c>
      <c r="K385" s="35" t="str">
        <f>IFERROR(INDEX($AA$310:$AA$459,MATCH(ROWS($A$310:A385),$AF$310:$AF$459,0)),"")</f>
        <v/>
      </c>
      <c r="L385" s="35" t="str">
        <f>IFERROR(INDEX($AB$310:$AB$459,MATCH(ROWS($A$310:A385),$AF$310:$AF$459,0)),"")</f>
        <v/>
      </c>
      <c r="M385" s="35" t="str">
        <f>IFERROR(INDEX($AC$310:$AC$459,MATCH(ROWS($A$310:A385),$AF$310:$AF$459,0)),"")</f>
        <v/>
      </c>
      <c r="N385" s="35" t="str">
        <f>IFERROR(INDEX($AD$310:$AD$459,MATCH(ROWS($A$310:A385),$AF$310:$AF$459,0)),"")</f>
        <v/>
      </c>
      <c r="Q385" t="str">
        <f>T(JAN!B81)</f>
        <v>FELIPE TEMPÓRARIO</v>
      </c>
      <c r="R385" t="str">
        <f t="array" ref="R385">IF($Q385="","",_xlfn.TEXTJOIN(", ",TRUE,IF(JAN!$G81:$AK81="FE",JAN!$G$4:$AK$4,"")))</f>
        <v/>
      </c>
      <c r="S385" t="str">
        <f t="array" ref="S385">IF($Q385="","",_xlfn.TEXTJOIN(", ",TRUE,IF(FEV!$G81:$AK81="FE",FEV!$G$4:$AK$4,"")))</f>
        <v/>
      </c>
      <c r="T385" t="str">
        <f t="array" ref="T385">IF($Q385="","",_xlfn.TEXTJOIN(", ",TRUE,IF(MAR!$G81:$AK81="FE",MAR!$G$4:$AK$4,"")))</f>
        <v/>
      </c>
      <c r="U385" t="str">
        <f t="array" ref="U385">IF($Q385="","",_xlfn.TEXTJOIN(", ",TRUE,IF(ABR!$G81:$AK81="FE",ABR!$G$4:$AK$4,"")))</f>
        <v/>
      </c>
      <c r="V385" t="str">
        <f t="array" ref="V385">IF($Q385="","",_xlfn.TEXTJOIN(", ",TRUE,IF(MAI!$G81:$AK81="FE",MAI!$G$4:$AK$4,"")))</f>
        <v/>
      </c>
      <c r="W385" t="str">
        <f t="array" ref="W385">IF($Q385="","",_xlfn.TEXTJOIN(", ",TRUE,IF(JUN!$G81:$AK81="FE",JUN!$G$4:$AK$4,"")))</f>
        <v/>
      </c>
      <c r="X385" t="str">
        <f t="array" ref="X385">IF($Q385="","",_xlfn.TEXTJOIN(", ",TRUE,IF(JUL!$G81:$AK81="FE",JUL!$G$4:$AK$4,"")))</f>
        <v/>
      </c>
      <c r="Y385" t="str">
        <f t="array" ref="Y385">IF($Q385="","",_xlfn.TEXTJOIN(", ",TRUE,IF(AGO!$G81:$AK81="FE",AGO!$G$4:$AK$4,"")))</f>
        <v/>
      </c>
      <c r="Z385" t="str">
        <f t="array" ref="Z385">IF($Q385="","",_xlfn.TEXTJOIN(", ",TRUE,IF(SET!$G81:$AK81="FE",SET!$G$4:$AK$4,"")))</f>
        <v/>
      </c>
      <c r="AA385" t="str">
        <f t="array" ref="AA385">IF($Q385="","",_xlfn.TEXTJOIN(", ",TRUE,IF(OUT!$G81:$AK81="FE",OUT!$G$4:$AK$4,"")))</f>
        <v/>
      </c>
      <c r="AB385" t="str">
        <f t="array" ref="AB385">IF($Q385="","",_xlfn.TEXTJOIN(", ",TRUE,IF(NOV!$G81:$AK81="FE",NOV!$G$4:$AK$4,"")))</f>
        <v/>
      </c>
      <c r="AC385" t="str">
        <f t="array" ref="AC385">IF($Q385="","",_xlfn.TEXTJOIN(", ",TRUE,IF(DEZ!$G81:$AK81="FE",DEZ!$G$4:$AK$4,"")))</f>
        <v/>
      </c>
      <c r="AD385">
        <f>IF($Q385="","",COUNTIF(JAN!$G81:$AK81,"FE")+COUNTIF(FEV!$G81:$AK81,"FE")+COUNTIF(MAR!$G81:$AK81,"FE")+COUNTIF(ABR!$G81:$AK81,"FE")+COUNTIF(MAI!$G81:$AK81,"FE")+COUNTIF(JUN!$G81:$AK81,"FE")+COUNTIF(JUL!$G81:$AK81,"FE")+COUNTIF(AGO!$G81:$AK81,"FE")+COUNTIF(SET!$G81:$AK81,"FE")+COUNTIF(OUT!$G81:$AK81,"FE")+COUNTIF(NOV!$G81:$AK81,"FE")+COUNTIF(DEZ!$G81:$AK81,"FE"))</f>
        <v>0</v>
      </c>
      <c r="AF385" t="str">
        <f>IF(AND($Q385&lt;&gt;"",N($AD385)&gt;0),COUNT($AF$309:AF384)+1,"")</f>
        <v/>
      </c>
    </row>
    <row r="386" spans="1:32" ht="20.100000000000001" customHeight="1" x14ac:dyDescent="0.25">
      <c r="A386" s="36" t="str">
        <f>IFERROR(INDEX($Q$310:$Q$459,MATCH(ROWS($A$310:A386),$AF$310:$AF$459,0)),"")</f>
        <v/>
      </c>
      <c r="B386" s="35" t="str">
        <f>IFERROR(INDEX($R$310:$R$459,MATCH(ROWS($A$310:A386),$AF$310:$AF$459,0)),"")</f>
        <v/>
      </c>
      <c r="C386" s="35" t="str">
        <f>IFERROR(INDEX($S$310:$S$459,MATCH(ROWS($A$310:A386),$AF$310:$AF$459,0)),"")</f>
        <v/>
      </c>
      <c r="D386" s="35" t="str">
        <f>IFERROR(INDEX($T$310:$T$459,MATCH(ROWS($A$310:A386),$AF$310:$AF$459,0)),"")</f>
        <v/>
      </c>
      <c r="E386" s="35" t="str">
        <f>IFERROR(INDEX($U$310:$U$459,MATCH(ROWS($A$310:A386),$AF$310:$AF$459,0)),"")</f>
        <v/>
      </c>
      <c r="F386" s="35" t="str">
        <f>IFERROR(INDEX($V$310:$V$459,MATCH(ROWS($A$310:A386),$AF$310:$AF$459,0)),"")</f>
        <v/>
      </c>
      <c r="G386" s="35" t="str">
        <f>IFERROR(INDEX($W$310:$W$459,MATCH(ROWS($A$310:A386),$AF$310:$AF$459,0)),"")</f>
        <v/>
      </c>
      <c r="H386" s="35" t="str">
        <f>IFERROR(INDEX($X$310:$X$459,MATCH(ROWS($A$310:A386),$AF$310:$AF$459,0)),"")</f>
        <v/>
      </c>
      <c r="I386" s="35" t="str">
        <f>IFERROR(INDEX($Y$310:$Y$459,MATCH(ROWS($A$310:A386),$AF$310:$AF$459,0)),"")</f>
        <v/>
      </c>
      <c r="J386" s="35" t="str">
        <f>IFERROR(INDEX($Z$310:$Z$459,MATCH(ROWS($A$310:A386),$AF$310:$AF$459,0)),"")</f>
        <v/>
      </c>
      <c r="K386" s="35" t="str">
        <f>IFERROR(INDEX($AA$310:$AA$459,MATCH(ROWS($A$310:A386),$AF$310:$AF$459,0)),"")</f>
        <v/>
      </c>
      <c r="L386" s="35" t="str">
        <f>IFERROR(INDEX($AB$310:$AB$459,MATCH(ROWS($A$310:A386),$AF$310:$AF$459,0)),"")</f>
        <v/>
      </c>
      <c r="M386" s="35" t="str">
        <f>IFERROR(INDEX($AC$310:$AC$459,MATCH(ROWS($A$310:A386),$AF$310:$AF$459,0)),"")</f>
        <v/>
      </c>
      <c r="N386" s="35" t="str">
        <f>IFERROR(INDEX($AD$310:$AD$459,MATCH(ROWS($A$310:A386),$AF$310:$AF$459,0)),"")</f>
        <v/>
      </c>
      <c r="Q386" t="str">
        <f>T(JAN!B82)</f>
        <v>RENAN TEMPORARIO</v>
      </c>
      <c r="R386" t="str">
        <f t="array" ref="R386">IF($Q386="","",_xlfn.TEXTJOIN(", ",TRUE,IF(JAN!$G82:$AK82="FE",JAN!$G$4:$AK$4,"")))</f>
        <v/>
      </c>
      <c r="S386" t="str">
        <f t="array" ref="S386">IF($Q386="","",_xlfn.TEXTJOIN(", ",TRUE,IF(FEV!$G82:$AK82="FE",FEV!$G$4:$AK$4,"")))</f>
        <v/>
      </c>
      <c r="T386" t="str">
        <f t="array" ref="T386">IF($Q386="","",_xlfn.TEXTJOIN(", ",TRUE,IF(MAR!$G82:$AK82="FE",MAR!$G$4:$AK$4,"")))</f>
        <v/>
      </c>
      <c r="U386" t="str">
        <f t="array" ref="U386">IF($Q386="","",_xlfn.TEXTJOIN(", ",TRUE,IF(ABR!$G82:$AK82="FE",ABR!$G$4:$AK$4,"")))</f>
        <v/>
      </c>
      <c r="V386" t="str">
        <f t="array" ref="V386">IF($Q386="","",_xlfn.TEXTJOIN(", ",TRUE,IF(MAI!$G82:$AK82="FE",MAI!$G$4:$AK$4,"")))</f>
        <v/>
      </c>
      <c r="W386" t="str">
        <f t="array" ref="W386">IF($Q386="","",_xlfn.TEXTJOIN(", ",TRUE,IF(JUN!$G82:$AK82="FE",JUN!$G$4:$AK$4,"")))</f>
        <v/>
      </c>
      <c r="X386" t="str">
        <f t="array" ref="X386">IF($Q386="","",_xlfn.TEXTJOIN(", ",TRUE,IF(JUL!$G82:$AK82="FE",JUL!$G$4:$AK$4,"")))</f>
        <v/>
      </c>
      <c r="Y386" t="str">
        <f t="array" ref="Y386">IF($Q386="","",_xlfn.TEXTJOIN(", ",TRUE,IF(AGO!$G82:$AK82="FE",AGO!$G$4:$AK$4,"")))</f>
        <v/>
      </c>
      <c r="Z386" t="str">
        <f t="array" ref="Z386">IF($Q386="","",_xlfn.TEXTJOIN(", ",TRUE,IF(SET!$G82:$AK82="FE",SET!$G$4:$AK$4,"")))</f>
        <v/>
      </c>
      <c r="AA386" t="str">
        <f t="array" ref="AA386">IF($Q386="","",_xlfn.TEXTJOIN(", ",TRUE,IF(OUT!$G82:$AK82="FE",OUT!$G$4:$AK$4,"")))</f>
        <v/>
      </c>
      <c r="AB386" t="str">
        <f t="array" ref="AB386">IF($Q386="","",_xlfn.TEXTJOIN(", ",TRUE,IF(NOV!$G82:$AK82="FE",NOV!$G$4:$AK$4,"")))</f>
        <v/>
      </c>
      <c r="AC386" t="str">
        <f t="array" ref="AC386">IF($Q386="","",_xlfn.TEXTJOIN(", ",TRUE,IF(DEZ!$G82:$AK82="FE",DEZ!$G$4:$AK$4,"")))</f>
        <v/>
      </c>
      <c r="AD386">
        <f>IF($Q386="","",COUNTIF(JAN!$G82:$AK82,"FE")+COUNTIF(FEV!$G82:$AK82,"FE")+COUNTIF(MAR!$G82:$AK82,"FE")+COUNTIF(ABR!$G82:$AK82,"FE")+COUNTIF(MAI!$G82:$AK82,"FE")+COUNTIF(JUN!$G82:$AK82,"FE")+COUNTIF(JUL!$G82:$AK82,"FE")+COUNTIF(AGO!$G82:$AK82,"FE")+COUNTIF(SET!$G82:$AK82,"FE")+COUNTIF(OUT!$G82:$AK82,"FE")+COUNTIF(NOV!$G82:$AK82,"FE")+COUNTIF(DEZ!$G82:$AK82,"FE"))</f>
        <v>0</v>
      </c>
      <c r="AF386" t="str">
        <f>IF(AND($Q386&lt;&gt;"",N($AD386)&gt;0),COUNT($AF$309:AF385)+1,"")</f>
        <v/>
      </c>
    </row>
    <row r="387" spans="1:32" ht="20.100000000000001" customHeight="1" x14ac:dyDescent="0.25">
      <c r="A387" s="36" t="str">
        <f>IFERROR(INDEX($Q$310:$Q$459,MATCH(ROWS($A$310:A387),$AF$310:$AF$459,0)),"")</f>
        <v/>
      </c>
      <c r="B387" s="35" t="str">
        <f>IFERROR(INDEX($R$310:$R$459,MATCH(ROWS($A$310:A387),$AF$310:$AF$459,0)),"")</f>
        <v/>
      </c>
      <c r="C387" s="35" t="str">
        <f>IFERROR(INDEX($S$310:$S$459,MATCH(ROWS($A$310:A387),$AF$310:$AF$459,0)),"")</f>
        <v/>
      </c>
      <c r="D387" s="35" t="str">
        <f>IFERROR(INDEX($T$310:$T$459,MATCH(ROWS($A$310:A387),$AF$310:$AF$459,0)),"")</f>
        <v/>
      </c>
      <c r="E387" s="35" t="str">
        <f>IFERROR(INDEX($U$310:$U$459,MATCH(ROWS($A$310:A387),$AF$310:$AF$459,0)),"")</f>
        <v/>
      </c>
      <c r="F387" s="35" t="str">
        <f>IFERROR(INDEX($V$310:$V$459,MATCH(ROWS($A$310:A387),$AF$310:$AF$459,0)),"")</f>
        <v/>
      </c>
      <c r="G387" s="35" t="str">
        <f>IFERROR(INDEX($W$310:$W$459,MATCH(ROWS($A$310:A387),$AF$310:$AF$459,0)),"")</f>
        <v/>
      </c>
      <c r="H387" s="35" t="str">
        <f>IFERROR(INDEX($X$310:$X$459,MATCH(ROWS($A$310:A387),$AF$310:$AF$459,0)),"")</f>
        <v/>
      </c>
      <c r="I387" s="35" t="str">
        <f>IFERROR(INDEX($Y$310:$Y$459,MATCH(ROWS($A$310:A387),$AF$310:$AF$459,0)),"")</f>
        <v/>
      </c>
      <c r="J387" s="35" t="str">
        <f>IFERROR(INDEX($Z$310:$Z$459,MATCH(ROWS($A$310:A387),$AF$310:$AF$459,0)),"")</f>
        <v/>
      </c>
      <c r="K387" s="35" t="str">
        <f>IFERROR(INDEX($AA$310:$AA$459,MATCH(ROWS($A$310:A387),$AF$310:$AF$459,0)),"")</f>
        <v/>
      </c>
      <c r="L387" s="35" t="str">
        <f>IFERROR(INDEX($AB$310:$AB$459,MATCH(ROWS($A$310:A387),$AF$310:$AF$459,0)),"")</f>
        <v/>
      </c>
      <c r="M387" s="35" t="str">
        <f>IFERROR(INDEX($AC$310:$AC$459,MATCH(ROWS($A$310:A387),$AF$310:$AF$459,0)),"")</f>
        <v/>
      </c>
      <c r="N387" s="35" t="str">
        <f>IFERROR(INDEX($AD$310:$AD$459,MATCH(ROWS($A$310:A387),$AF$310:$AF$459,0)),"")</f>
        <v/>
      </c>
      <c r="Q387" t="str">
        <f>T(JAN!B83)</f>
        <v>VILSON TEMPORARIO</v>
      </c>
      <c r="R387" t="str">
        <f t="array" ref="R387">IF($Q387="","",_xlfn.TEXTJOIN(", ",TRUE,IF(JAN!$G83:$AK83="FE",JAN!$G$4:$AK$4,"")))</f>
        <v/>
      </c>
      <c r="S387" t="str">
        <f t="array" ref="S387">IF($Q387="","",_xlfn.TEXTJOIN(", ",TRUE,IF(FEV!$G83:$AK83="FE",FEV!$G$4:$AK$4,"")))</f>
        <v/>
      </c>
      <c r="T387" t="str">
        <f t="array" ref="T387">IF($Q387="","",_xlfn.TEXTJOIN(", ",TRUE,IF(MAR!$G83:$AK83="FE",MAR!$G$4:$AK$4,"")))</f>
        <v/>
      </c>
      <c r="U387" t="str">
        <f t="array" ref="U387">IF($Q387="","",_xlfn.TEXTJOIN(", ",TRUE,IF(ABR!$G83:$AK83="FE",ABR!$G$4:$AK$4,"")))</f>
        <v/>
      </c>
      <c r="V387" t="str">
        <f t="array" ref="V387">IF($Q387="","",_xlfn.TEXTJOIN(", ",TRUE,IF(MAI!$G83:$AK83="FE",MAI!$G$4:$AK$4,"")))</f>
        <v/>
      </c>
      <c r="W387" t="str">
        <f t="array" ref="W387">IF($Q387="","",_xlfn.TEXTJOIN(", ",TRUE,IF(JUN!$G83:$AK83="FE",JUN!$G$4:$AK$4,"")))</f>
        <v/>
      </c>
      <c r="X387" t="str">
        <f t="array" ref="X387">IF($Q387="","",_xlfn.TEXTJOIN(", ",TRUE,IF(JUL!$G83:$AK83="FE",JUL!$G$4:$AK$4,"")))</f>
        <v/>
      </c>
      <c r="Y387" t="str">
        <f t="array" ref="Y387">IF($Q387="","",_xlfn.TEXTJOIN(", ",TRUE,IF(AGO!$G83:$AK83="FE",AGO!$G$4:$AK$4,"")))</f>
        <v/>
      </c>
      <c r="Z387" t="str">
        <f t="array" ref="Z387">IF($Q387="","",_xlfn.TEXTJOIN(", ",TRUE,IF(SET!$G83:$AK83="FE",SET!$G$4:$AK$4,"")))</f>
        <v/>
      </c>
      <c r="AA387" t="str">
        <f t="array" ref="AA387">IF($Q387="","",_xlfn.TEXTJOIN(", ",TRUE,IF(OUT!$G83:$AK83="FE",OUT!$G$4:$AK$4,"")))</f>
        <v/>
      </c>
      <c r="AB387" t="str">
        <f t="array" ref="AB387">IF($Q387="","",_xlfn.TEXTJOIN(", ",TRUE,IF(NOV!$G83:$AK83="FE",NOV!$G$4:$AK$4,"")))</f>
        <v/>
      </c>
      <c r="AC387" t="str">
        <f t="array" ref="AC387">IF($Q387="","",_xlfn.TEXTJOIN(", ",TRUE,IF(DEZ!$G83:$AK83="FE",DEZ!$G$4:$AK$4,"")))</f>
        <v/>
      </c>
      <c r="AD387">
        <f>IF($Q387="","",COUNTIF(JAN!$G83:$AK83,"FE")+COUNTIF(FEV!$G83:$AK83,"FE")+COUNTIF(MAR!$G83:$AK83,"FE")+COUNTIF(ABR!$G83:$AK83,"FE")+COUNTIF(MAI!$G83:$AK83,"FE")+COUNTIF(JUN!$G83:$AK83,"FE")+COUNTIF(JUL!$G83:$AK83,"FE")+COUNTIF(AGO!$G83:$AK83,"FE")+COUNTIF(SET!$G83:$AK83,"FE")+COUNTIF(OUT!$G83:$AK83,"FE")+COUNTIF(NOV!$G83:$AK83,"FE")+COUNTIF(DEZ!$G83:$AK83,"FE"))</f>
        <v>0</v>
      </c>
      <c r="AF387" t="str">
        <f>IF(AND($Q387&lt;&gt;"",N($AD387)&gt;0),COUNT($AF$309:AF386)+1,"")</f>
        <v/>
      </c>
    </row>
    <row r="388" spans="1:32" ht="20.100000000000001" customHeight="1" x14ac:dyDescent="0.25">
      <c r="A388" s="36" t="str">
        <f>IFERROR(INDEX($Q$310:$Q$459,MATCH(ROWS($A$310:A388),$AF$310:$AF$459,0)),"")</f>
        <v/>
      </c>
      <c r="B388" s="35" t="str">
        <f>IFERROR(INDEX($R$310:$R$459,MATCH(ROWS($A$310:A388),$AF$310:$AF$459,0)),"")</f>
        <v/>
      </c>
      <c r="C388" s="35" t="str">
        <f>IFERROR(INDEX($S$310:$S$459,MATCH(ROWS($A$310:A388),$AF$310:$AF$459,0)),"")</f>
        <v/>
      </c>
      <c r="D388" s="35" t="str">
        <f>IFERROR(INDEX($T$310:$T$459,MATCH(ROWS($A$310:A388),$AF$310:$AF$459,0)),"")</f>
        <v/>
      </c>
      <c r="E388" s="35" t="str">
        <f>IFERROR(INDEX($U$310:$U$459,MATCH(ROWS($A$310:A388),$AF$310:$AF$459,0)),"")</f>
        <v/>
      </c>
      <c r="F388" s="35" t="str">
        <f>IFERROR(INDEX($V$310:$V$459,MATCH(ROWS($A$310:A388),$AF$310:$AF$459,0)),"")</f>
        <v/>
      </c>
      <c r="G388" s="35" t="str">
        <f>IFERROR(INDEX($W$310:$W$459,MATCH(ROWS($A$310:A388),$AF$310:$AF$459,0)),"")</f>
        <v/>
      </c>
      <c r="H388" s="35" t="str">
        <f>IFERROR(INDEX($X$310:$X$459,MATCH(ROWS($A$310:A388),$AF$310:$AF$459,0)),"")</f>
        <v/>
      </c>
      <c r="I388" s="35" t="str">
        <f>IFERROR(INDEX($Y$310:$Y$459,MATCH(ROWS($A$310:A388),$AF$310:$AF$459,0)),"")</f>
        <v/>
      </c>
      <c r="J388" s="35" t="str">
        <f>IFERROR(INDEX($Z$310:$Z$459,MATCH(ROWS($A$310:A388),$AF$310:$AF$459,0)),"")</f>
        <v/>
      </c>
      <c r="K388" s="35" t="str">
        <f>IFERROR(INDEX($AA$310:$AA$459,MATCH(ROWS($A$310:A388),$AF$310:$AF$459,0)),"")</f>
        <v/>
      </c>
      <c r="L388" s="35" t="str">
        <f>IFERROR(INDEX($AB$310:$AB$459,MATCH(ROWS($A$310:A388),$AF$310:$AF$459,0)),"")</f>
        <v/>
      </c>
      <c r="M388" s="35" t="str">
        <f>IFERROR(INDEX($AC$310:$AC$459,MATCH(ROWS($A$310:A388),$AF$310:$AF$459,0)),"")</f>
        <v/>
      </c>
      <c r="N388" s="35" t="str">
        <f>IFERROR(INDEX($AD$310:$AD$459,MATCH(ROWS($A$310:A388),$AF$310:$AF$459,0)),"")</f>
        <v/>
      </c>
      <c r="Q388" t="str">
        <f>T(JAN!B84)</f>
        <v>MARCO TEMPORARIO</v>
      </c>
      <c r="R388" t="str">
        <f t="array" ref="R388">IF($Q388="","",_xlfn.TEXTJOIN(", ",TRUE,IF(JAN!$G84:$AK84="FE",JAN!$G$4:$AK$4,"")))</f>
        <v/>
      </c>
      <c r="S388" t="str">
        <f t="array" ref="S388">IF($Q388="","",_xlfn.TEXTJOIN(", ",TRUE,IF(FEV!$G84:$AK84="FE",FEV!$G$4:$AK$4,"")))</f>
        <v/>
      </c>
      <c r="T388" t="str">
        <f t="array" ref="T388">IF($Q388="","",_xlfn.TEXTJOIN(", ",TRUE,IF(MAR!$G84:$AK84="FE",MAR!$G$4:$AK$4,"")))</f>
        <v/>
      </c>
      <c r="U388" t="str">
        <f t="array" ref="U388">IF($Q388="","",_xlfn.TEXTJOIN(", ",TRUE,IF(ABR!$G84:$AK84="FE",ABR!$G$4:$AK$4,"")))</f>
        <v/>
      </c>
      <c r="V388" t="str">
        <f t="array" ref="V388">IF($Q388="","",_xlfn.TEXTJOIN(", ",TRUE,IF(MAI!$G84:$AK84="FE",MAI!$G$4:$AK$4,"")))</f>
        <v/>
      </c>
      <c r="W388" t="str">
        <f t="array" ref="W388">IF($Q388="","",_xlfn.TEXTJOIN(", ",TRUE,IF(JUN!$G84:$AK84="FE",JUN!$G$4:$AK$4,"")))</f>
        <v/>
      </c>
      <c r="X388" t="str">
        <f t="array" ref="X388">IF($Q388="","",_xlfn.TEXTJOIN(", ",TRUE,IF(JUL!$G84:$AK84="FE",JUL!$G$4:$AK$4,"")))</f>
        <v/>
      </c>
      <c r="Y388" t="str">
        <f t="array" ref="Y388">IF($Q388="","",_xlfn.TEXTJOIN(", ",TRUE,IF(AGO!$G84:$AK84="FE",AGO!$G$4:$AK$4,"")))</f>
        <v/>
      </c>
      <c r="Z388" t="str">
        <f t="array" ref="Z388">IF($Q388="","",_xlfn.TEXTJOIN(", ",TRUE,IF(SET!$G84:$AK84="FE",SET!$G$4:$AK$4,"")))</f>
        <v/>
      </c>
      <c r="AA388" t="str">
        <f t="array" ref="AA388">IF($Q388="","",_xlfn.TEXTJOIN(", ",TRUE,IF(OUT!$G84:$AK84="FE",OUT!$G$4:$AK$4,"")))</f>
        <v/>
      </c>
      <c r="AB388" t="str">
        <f t="array" ref="AB388">IF($Q388="","",_xlfn.TEXTJOIN(", ",TRUE,IF(NOV!$G84:$AK84="FE",NOV!$G$4:$AK$4,"")))</f>
        <v/>
      </c>
      <c r="AC388" t="str">
        <f t="array" ref="AC388">IF($Q388="","",_xlfn.TEXTJOIN(", ",TRUE,IF(DEZ!$G84:$AK84="FE",DEZ!$G$4:$AK$4,"")))</f>
        <v/>
      </c>
      <c r="AD388">
        <f>IF($Q388="","",COUNTIF(JAN!$G84:$AK84,"FE")+COUNTIF(FEV!$G84:$AK84,"FE")+COUNTIF(MAR!$G84:$AK84,"FE")+COUNTIF(ABR!$G84:$AK84,"FE")+COUNTIF(MAI!$G84:$AK84,"FE")+COUNTIF(JUN!$G84:$AK84,"FE")+COUNTIF(JUL!$G84:$AK84,"FE")+COUNTIF(AGO!$G84:$AK84,"FE")+COUNTIF(SET!$G84:$AK84,"FE")+COUNTIF(OUT!$G84:$AK84,"FE")+COUNTIF(NOV!$G84:$AK84,"FE")+COUNTIF(DEZ!$G84:$AK84,"FE"))</f>
        <v>0</v>
      </c>
      <c r="AF388" t="str">
        <f>IF(AND($Q388&lt;&gt;"",N($AD388)&gt;0),COUNT($AF$309:AF387)+1,"")</f>
        <v/>
      </c>
    </row>
    <row r="389" spans="1:32" ht="20.100000000000001" customHeight="1" x14ac:dyDescent="0.25">
      <c r="A389" s="36" t="str">
        <f>IFERROR(INDEX($Q$310:$Q$459,MATCH(ROWS($A$310:A389),$AF$310:$AF$459,0)),"")</f>
        <v/>
      </c>
      <c r="B389" s="35" t="str">
        <f>IFERROR(INDEX($R$310:$R$459,MATCH(ROWS($A$310:A389),$AF$310:$AF$459,0)),"")</f>
        <v/>
      </c>
      <c r="C389" s="35" t="str">
        <f>IFERROR(INDEX($S$310:$S$459,MATCH(ROWS($A$310:A389),$AF$310:$AF$459,0)),"")</f>
        <v/>
      </c>
      <c r="D389" s="35" t="str">
        <f>IFERROR(INDEX($T$310:$T$459,MATCH(ROWS($A$310:A389),$AF$310:$AF$459,0)),"")</f>
        <v/>
      </c>
      <c r="E389" s="35" t="str">
        <f>IFERROR(INDEX($U$310:$U$459,MATCH(ROWS($A$310:A389),$AF$310:$AF$459,0)),"")</f>
        <v/>
      </c>
      <c r="F389" s="35" t="str">
        <f>IFERROR(INDEX($V$310:$V$459,MATCH(ROWS($A$310:A389),$AF$310:$AF$459,0)),"")</f>
        <v/>
      </c>
      <c r="G389" s="35" t="str">
        <f>IFERROR(INDEX($W$310:$W$459,MATCH(ROWS($A$310:A389),$AF$310:$AF$459,0)),"")</f>
        <v/>
      </c>
      <c r="H389" s="35" t="str">
        <f>IFERROR(INDEX($X$310:$X$459,MATCH(ROWS($A$310:A389),$AF$310:$AF$459,0)),"")</f>
        <v/>
      </c>
      <c r="I389" s="35" t="str">
        <f>IFERROR(INDEX($Y$310:$Y$459,MATCH(ROWS($A$310:A389),$AF$310:$AF$459,0)),"")</f>
        <v/>
      </c>
      <c r="J389" s="35" t="str">
        <f>IFERROR(INDEX($Z$310:$Z$459,MATCH(ROWS($A$310:A389),$AF$310:$AF$459,0)),"")</f>
        <v/>
      </c>
      <c r="K389" s="35" t="str">
        <f>IFERROR(INDEX($AA$310:$AA$459,MATCH(ROWS($A$310:A389),$AF$310:$AF$459,0)),"")</f>
        <v/>
      </c>
      <c r="L389" s="35" t="str">
        <f>IFERROR(INDEX($AB$310:$AB$459,MATCH(ROWS($A$310:A389),$AF$310:$AF$459,0)),"")</f>
        <v/>
      </c>
      <c r="M389" s="35" t="str">
        <f>IFERROR(INDEX($AC$310:$AC$459,MATCH(ROWS($A$310:A389),$AF$310:$AF$459,0)),"")</f>
        <v/>
      </c>
      <c r="N389" s="35" t="str">
        <f>IFERROR(INDEX($AD$310:$AD$459,MATCH(ROWS($A$310:A389),$AF$310:$AF$459,0)),"")</f>
        <v/>
      </c>
      <c r="Q389" t="str">
        <f>T(JAN!B85)</f>
        <v>MARCELO CUSTORIO 313401</v>
      </c>
      <c r="R389" t="str">
        <f t="array" ref="R389">IF($Q389="","",_xlfn.TEXTJOIN(", ",TRUE,IF(JAN!$G85:$AK85="FE",JAN!$G$4:$AK$4,"")))</f>
        <v/>
      </c>
      <c r="S389" t="str">
        <f t="array" ref="S389">IF($Q389="","",_xlfn.TEXTJOIN(", ",TRUE,IF(FEV!$G85:$AK85="FE",FEV!$G$4:$AK$4,"")))</f>
        <v/>
      </c>
      <c r="T389" t="str">
        <f t="array" ref="T389">IF($Q389="","",_xlfn.TEXTJOIN(", ",TRUE,IF(MAR!$G85:$AK85="FE",MAR!$G$4:$AK$4,"")))</f>
        <v/>
      </c>
      <c r="U389" t="str">
        <f t="array" ref="U389">IF($Q389="","",_xlfn.TEXTJOIN(", ",TRUE,IF(ABR!$G85:$AK85="FE",ABR!$G$4:$AK$4,"")))</f>
        <v/>
      </c>
      <c r="V389" t="str">
        <f t="array" ref="V389">IF($Q389="","",_xlfn.TEXTJOIN(", ",TRUE,IF(MAI!$G85:$AK85="FE",MAI!$G$4:$AK$4,"")))</f>
        <v/>
      </c>
      <c r="W389" t="str">
        <f t="array" ref="W389">IF($Q389="","",_xlfn.TEXTJOIN(", ",TRUE,IF(JUN!$G85:$AK85="FE",JUN!$G$4:$AK$4,"")))</f>
        <v/>
      </c>
      <c r="X389" t="str">
        <f t="array" ref="X389">IF($Q389="","",_xlfn.TEXTJOIN(", ",TRUE,IF(JUL!$G85:$AK85="FE",JUL!$G$4:$AK$4,"")))</f>
        <v/>
      </c>
      <c r="Y389" t="str">
        <f t="array" ref="Y389">IF($Q389="","",_xlfn.TEXTJOIN(", ",TRUE,IF(AGO!$G85:$AK85="FE",AGO!$G$4:$AK$4,"")))</f>
        <v/>
      </c>
      <c r="Z389" t="str">
        <f t="array" ref="Z389">IF($Q389="","",_xlfn.TEXTJOIN(", ",TRUE,IF(SET!$G85:$AK85="FE",SET!$G$4:$AK$4,"")))</f>
        <v/>
      </c>
      <c r="AA389" t="str">
        <f t="array" ref="AA389">IF($Q389="","",_xlfn.TEXTJOIN(", ",TRUE,IF(OUT!$G85:$AK85="FE",OUT!$G$4:$AK$4,"")))</f>
        <v/>
      </c>
      <c r="AB389" t="str">
        <f t="array" ref="AB389">IF($Q389="","",_xlfn.TEXTJOIN(", ",TRUE,IF(NOV!$G85:$AK85="FE",NOV!$G$4:$AK$4,"")))</f>
        <v/>
      </c>
      <c r="AC389" t="str">
        <f t="array" ref="AC389">IF($Q389="","",_xlfn.TEXTJOIN(", ",TRUE,IF(DEZ!$G85:$AK85="FE",DEZ!$G$4:$AK$4,"")))</f>
        <v/>
      </c>
      <c r="AD389">
        <f>IF($Q389="","",COUNTIF(JAN!$G85:$AK85,"FE")+COUNTIF(FEV!$G85:$AK85,"FE")+COUNTIF(MAR!$G85:$AK85,"FE")+COUNTIF(ABR!$G85:$AK85,"FE")+COUNTIF(MAI!$G85:$AK85,"FE")+COUNTIF(JUN!$G85:$AK85,"FE")+COUNTIF(JUL!$G85:$AK85,"FE")+COUNTIF(AGO!$G85:$AK85,"FE")+COUNTIF(SET!$G85:$AK85,"FE")+COUNTIF(OUT!$G85:$AK85,"FE")+COUNTIF(NOV!$G85:$AK85,"FE")+COUNTIF(DEZ!$G85:$AK85,"FE"))</f>
        <v>0</v>
      </c>
      <c r="AF389" t="str">
        <f>IF(AND($Q389&lt;&gt;"",N($AD389)&gt;0),COUNT($AF$309:AF388)+1,"")</f>
        <v/>
      </c>
    </row>
    <row r="390" spans="1:32" ht="20.100000000000001" customHeight="1" x14ac:dyDescent="0.25">
      <c r="A390" s="36" t="str">
        <f>IFERROR(INDEX($Q$310:$Q$459,MATCH(ROWS($A$310:A390),$AF$310:$AF$459,0)),"")</f>
        <v/>
      </c>
      <c r="B390" s="35" t="str">
        <f>IFERROR(INDEX($R$310:$R$459,MATCH(ROWS($A$310:A390),$AF$310:$AF$459,0)),"")</f>
        <v/>
      </c>
      <c r="C390" s="35" t="str">
        <f>IFERROR(INDEX($S$310:$S$459,MATCH(ROWS($A$310:A390),$AF$310:$AF$459,0)),"")</f>
        <v/>
      </c>
      <c r="D390" s="35" t="str">
        <f>IFERROR(INDEX($T$310:$T$459,MATCH(ROWS($A$310:A390),$AF$310:$AF$459,0)),"")</f>
        <v/>
      </c>
      <c r="E390" s="35" t="str">
        <f>IFERROR(INDEX($U$310:$U$459,MATCH(ROWS($A$310:A390),$AF$310:$AF$459,0)),"")</f>
        <v/>
      </c>
      <c r="F390" s="35" t="str">
        <f>IFERROR(INDEX($V$310:$V$459,MATCH(ROWS($A$310:A390),$AF$310:$AF$459,0)),"")</f>
        <v/>
      </c>
      <c r="G390" s="35" t="str">
        <f>IFERROR(INDEX($W$310:$W$459,MATCH(ROWS($A$310:A390),$AF$310:$AF$459,0)),"")</f>
        <v/>
      </c>
      <c r="H390" s="35" t="str">
        <f>IFERROR(INDEX($X$310:$X$459,MATCH(ROWS($A$310:A390),$AF$310:$AF$459,0)),"")</f>
        <v/>
      </c>
      <c r="I390" s="35" t="str">
        <f>IFERROR(INDEX($Y$310:$Y$459,MATCH(ROWS($A$310:A390),$AF$310:$AF$459,0)),"")</f>
        <v/>
      </c>
      <c r="J390" s="35" t="str">
        <f>IFERROR(INDEX($Z$310:$Z$459,MATCH(ROWS($A$310:A390),$AF$310:$AF$459,0)),"")</f>
        <v/>
      </c>
      <c r="K390" s="35" t="str">
        <f>IFERROR(INDEX($AA$310:$AA$459,MATCH(ROWS($A$310:A390),$AF$310:$AF$459,0)),"")</f>
        <v/>
      </c>
      <c r="L390" s="35" t="str">
        <f>IFERROR(INDEX($AB$310:$AB$459,MATCH(ROWS($A$310:A390),$AF$310:$AF$459,0)),"")</f>
        <v/>
      </c>
      <c r="M390" s="35" t="str">
        <f>IFERROR(INDEX($AC$310:$AC$459,MATCH(ROWS($A$310:A390),$AF$310:$AF$459,0)),"")</f>
        <v/>
      </c>
      <c r="N390" s="35" t="str">
        <f>IFERROR(INDEX($AD$310:$AD$459,MATCH(ROWS($A$310:A390),$AF$310:$AF$459,0)),"")</f>
        <v/>
      </c>
      <c r="Q390" t="str">
        <f>T(JAN!B86)</f>
        <v>TAYLOR TEMPORÁRIO</v>
      </c>
      <c r="R390" t="str">
        <f t="array" ref="R390">IF($Q390="","",_xlfn.TEXTJOIN(", ",TRUE,IF(JAN!$G86:$AK86="FE",JAN!$G$4:$AK$4,"")))</f>
        <v/>
      </c>
      <c r="S390" t="str">
        <f t="array" ref="S390">IF($Q390="","",_xlfn.TEXTJOIN(", ",TRUE,IF(FEV!$G86:$AK86="FE",FEV!$G$4:$AK$4,"")))</f>
        <v/>
      </c>
      <c r="T390" t="str">
        <f t="array" ref="T390">IF($Q390="","",_xlfn.TEXTJOIN(", ",TRUE,IF(MAR!$G86:$AK86="FE",MAR!$G$4:$AK$4,"")))</f>
        <v/>
      </c>
      <c r="U390" t="str">
        <f t="array" ref="U390">IF($Q390="","",_xlfn.TEXTJOIN(", ",TRUE,IF(ABR!$G86:$AK86="FE",ABR!$G$4:$AK$4,"")))</f>
        <v/>
      </c>
      <c r="V390" t="str">
        <f t="array" ref="V390">IF($Q390="","",_xlfn.TEXTJOIN(", ",TRUE,IF(MAI!$G86:$AK86="FE",MAI!$G$4:$AK$4,"")))</f>
        <v/>
      </c>
      <c r="W390" t="str">
        <f t="array" ref="W390">IF($Q390="","",_xlfn.TEXTJOIN(", ",TRUE,IF(JUN!$G86:$AK86="FE",JUN!$G$4:$AK$4,"")))</f>
        <v/>
      </c>
      <c r="X390" t="str">
        <f t="array" ref="X390">IF($Q390="","",_xlfn.TEXTJOIN(", ",TRUE,IF(JUL!$G86:$AK86="FE",JUL!$G$4:$AK$4,"")))</f>
        <v/>
      </c>
      <c r="Y390" t="str">
        <f t="array" ref="Y390">IF($Q390="","",_xlfn.TEXTJOIN(", ",TRUE,IF(AGO!$G86:$AK86="FE",AGO!$G$4:$AK$4,"")))</f>
        <v/>
      </c>
      <c r="Z390" t="str">
        <f t="array" ref="Z390">IF($Q390="","",_xlfn.TEXTJOIN(", ",TRUE,IF(SET!$G86:$AK86="FE",SET!$G$4:$AK$4,"")))</f>
        <v/>
      </c>
      <c r="AA390" t="str">
        <f t="array" ref="AA390">IF($Q390="","",_xlfn.TEXTJOIN(", ",TRUE,IF(OUT!$G86:$AK86="FE",OUT!$G$4:$AK$4,"")))</f>
        <v/>
      </c>
      <c r="AB390" t="str">
        <f t="array" ref="AB390">IF($Q390="","",_xlfn.TEXTJOIN(", ",TRUE,IF(NOV!$G86:$AK86="FE",NOV!$G$4:$AK$4,"")))</f>
        <v/>
      </c>
      <c r="AC390" t="str">
        <f t="array" ref="AC390">IF($Q390="","",_xlfn.TEXTJOIN(", ",TRUE,IF(DEZ!$G86:$AK86="FE",DEZ!$G$4:$AK$4,"")))</f>
        <v/>
      </c>
      <c r="AD390">
        <f>IF($Q390="","",COUNTIF(JAN!$G86:$AK86,"FE")+COUNTIF(FEV!$G86:$AK86,"FE")+COUNTIF(MAR!$G86:$AK86,"FE")+COUNTIF(ABR!$G86:$AK86,"FE")+COUNTIF(MAI!$G86:$AK86,"FE")+COUNTIF(JUN!$G86:$AK86,"FE")+COUNTIF(JUL!$G86:$AK86,"FE")+COUNTIF(AGO!$G86:$AK86,"FE")+COUNTIF(SET!$G86:$AK86,"FE")+COUNTIF(OUT!$G86:$AK86,"FE")+COUNTIF(NOV!$G86:$AK86,"FE")+COUNTIF(DEZ!$G86:$AK86,"FE"))</f>
        <v>0</v>
      </c>
      <c r="AF390" t="str">
        <f>IF(AND($Q390&lt;&gt;"",N($AD390)&gt;0),COUNT($AF$309:AF389)+1,"")</f>
        <v/>
      </c>
    </row>
    <row r="391" spans="1:32" ht="20.100000000000001" customHeight="1" x14ac:dyDescent="0.25">
      <c r="A391" s="36" t="str">
        <f>IFERROR(INDEX($Q$310:$Q$459,MATCH(ROWS($A$310:A391),$AF$310:$AF$459,0)),"")</f>
        <v/>
      </c>
      <c r="B391" s="35" t="str">
        <f>IFERROR(INDEX($R$310:$R$459,MATCH(ROWS($A$310:A391),$AF$310:$AF$459,0)),"")</f>
        <v/>
      </c>
      <c r="C391" s="35" t="str">
        <f>IFERROR(INDEX($S$310:$S$459,MATCH(ROWS($A$310:A391),$AF$310:$AF$459,0)),"")</f>
        <v/>
      </c>
      <c r="D391" s="35" t="str">
        <f>IFERROR(INDEX($T$310:$T$459,MATCH(ROWS($A$310:A391),$AF$310:$AF$459,0)),"")</f>
        <v/>
      </c>
      <c r="E391" s="35" t="str">
        <f>IFERROR(INDEX($U$310:$U$459,MATCH(ROWS($A$310:A391),$AF$310:$AF$459,0)),"")</f>
        <v/>
      </c>
      <c r="F391" s="35" t="str">
        <f>IFERROR(INDEX($V$310:$V$459,MATCH(ROWS($A$310:A391),$AF$310:$AF$459,0)),"")</f>
        <v/>
      </c>
      <c r="G391" s="35" t="str">
        <f>IFERROR(INDEX($W$310:$W$459,MATCH(ROWS($A$310:A391),$AF$310:$AF$459,0)),"")</f>
        <v/>
      </c>
      <c r="H391" s="35" t="str">
        <f>IFERROR(INDEX($X$310:$X$459,MATCH(ROWS($A$310:A391),$AF$310:$AF$459,0)),"")</f>
        <v/>
      </c>
      <c r="I391" s="35" t="str">
        <f>IFERROR(INDEX($Y$310:$Y$459,MATCH(ROWS($A$310:A391),$AF$310:$AF$459,0)),"")</f>
        <v/>
      </c>
      <c r="J391" s="35" t="str">
        <f>IFERROR(INDEX($Z$310:$Z$459,MATCH(ROWS($A$310:A391),$AF$310:$AF$459,0)),"")</f>
        <v/>
      </c>
      <c r="K391" s="35" t="str">
        <f>IFERROR(INDEX($AA$310:$AA$459,MATCH(ROWS($A$310:A391),$AF$310:$AF$459,0)),"")</f>
        <v/>
      </c>
      <c r="L391" s="35" t="str">
        <f>IFERROR(INDEX($AB$310:$AB$459,MATCH(ROWS($A$310:A391),$AF$310:$AF$459,0)),"")</f>
        <v/>
      </c>
      <c r="M391" s="35" t="str">
        <f>IFERROR(INDEX($AC$310:$AC$459,MATCH(ROWS($A$310:A391),$AF$310:$AF$459,0)),"")</f>
        <v/>
      </c>
      <c r="N391" s="35" t="str">
        <f>IFERROR(INDEX($AD$310:$AD$459,MATCH(ROWS($A$310:A391),$AF$310:$AF$459,0)),"")</f>
        <v/>
      </c>
      <c r="Q391" t="str">
        <f>T(JAN!B87)</f>
        <v>ÉRICK TEMPORÁRIO</v>
      </c>
      <c r="R391" t="str">
        <f t="array" ref="R391">IF($Q391="","",_xlfn.TEXTJOIN(", ",TRUE,IF(JAN!$G87:$AK87="FE",JAN!$G$4:$AK$4,"")))</f>
        <v/>
      </c>
      <c r="S391" t="str">
        <f t="array" ref="S391">IF($Q391="","",_xlfn.TEXTJOIN(", ",TRUE,IF(FEV!$G87:$AK87="FE",FEV!$G$4:$AK$4,"")))</f>
        <v/>
      </c>
      <c r="T391" t="str">
        <f t="array" ref="T391">IF($Q391="","",_xlfn.TEXTJOIN(", ",TRUE,IF(MAR!$G87:$AK87="FE",MAR!$G$4:$AK$4,"")))</f>
        <v/>
      </c>
      <c r="U391" t="str">
        <f t="array" ref="U391">IF($Q391="","",_xlfn.TEXTJOIN(", ",TRUE,IF(ABR!$G87:$AK87="FE",ABR!$G$4:$AK$4,"")))</f>
        <v/>
      </c>
      <c r="V391" t="str">
        <f t="array" ref="V391">IF($Q391="","",_xlfn.TEXTJOIN(", ",TRUE,IF(MAI!$G87:$AK87="FE",MAI!$G$4:$AK$4,"")))</f>
        <v/>
      </c>
      <c r="W391" t="str">
        <f t="array" ref="W391">IF($Q391="","",_xlfn.TEXTJOIN(", ",TRUE,IF(JUN!$G87:$AK87="FE",JUN!$G$4:$AK$4,"")))</f>
        <v/>
      </c>
      <c r="X391" t="str">
        <f t="array" ref="X391">IF($Q391="","",_xlfn.TEXTJOIN(", ",TRUE,IF(JUL!$G87:$AK87="FE",JUL!$G$4:$AK$4,"")))</f>
        <v/>
      </c>
      <c r="Y391" t="str">
        <f t="array" ref="Y391">IF($Q391="","",_xlfn.TEXTJOIN(", ",TRUE,IF(AGO!$G87:$AK87="FE",AGO!$G$4:$AK$4,"")))</f>
        <v/>
      </c>
      <c r="Z391" t="str">
        <f t="array" ref="Z391">IF($Q391="","",_xlfn.TEXTJOIN(", ",TRUE,IF(SET!$G87:$AK87="FE",SET!$G$4:$AK$4,"")))</f>
        <v/>
      </c>
      <c r="AA391" t="str">
        <f t="array" ref="AA391">IF($Q391="","",_xlfn.TEXTJOIN(", ",TRUE,IF(OUT!$G87:$AK87="FE",OUT!$G$4:$AK$4,"")))</f>
        <v/>
      </c>
      <c r="AB391" t="str">
        <f t="array" ref="AB391">IF($Q391="","",_xlfn.TEXTJOIN(", ",TRUE,IF(NOV!$G87:$AK87="FE",NOV!$G$4:$AK$4,"")))</f>
        <v/>
      </c>
      <c r="AC391" t="str">
        <f t="array" ref="AC391">IF($Q391="","",_xlfn.TEXTJOIN(", ",TRUE,IF(DEZ!$G87:$AK87="FE",DEZ!$G$4:$AK$4,"")))</f>
        <v/>
      </c>
      <c r="AD391">
        <f>IF($Q391="","",COUNTIF(JAN!$G87:$AK87,"FE")+COUNTIF(FEV!$G87:$AK87,"FE")+COUNTIF(MAR!$G87:$AK87,"FE")+COUNTIF(ABR!$G87:$AK87,"FE")+COUNTIF(MAI!$G87:$AK87,"FE")+COUNTIF(JUN!$G87:$AK87,"FE")+COUNTIF(JUL!$G87:$AK87,"FE")+COUNTIF(AGO!$G87:$AK87,"FE")+COUNTIF(SET!$G87:$AK87,"FE")+COUNTIF(OUT!$G87:$AK87,"FE")+COUNTIF(NOV!$G87:$AK87,"FE")+COUNTIF(DEZ!$G87:$AK87,"FE"))</f>
        <v>0</v>
      </c>
      <c r="AF391" t="str">
        <f>IF(AND($Q391&lt;&gt;"",N($AD391)&gt;0),COUNT($AF$309:AF390)+1,"")</f>
        <v/>
      </c>
    </row>
    <row r="392" spans="1:32" ht="20.100000000000001" customHeight="1" x14ac:dyDescent="0.25">
      <c r="A392" s="36" t="str">
        <f>IFERROR(INDEX($Q$310:$Q$459,MATCH(ROWS($A$310:A392),$AF$310:$AF$459,0)),"")</f>
        <v/>
      </c>
      <c r="B392" s="35" t="str">
        <f>IFERROR(INDEX($R$310:$R$459,MATCH(ROWS($A$310:A392),$AF$310:$AF$459,0)),"")</f>
        <v/>
      </c>
      <c r="C392" s="35" t="str">
        <f>IFERROR(INDEX($S$310:$S$459,MATCH(ROWS($A$310:A392),$AF$310:$AF$459,0)),"")</f>
        <v/>
      </c>
      <c r="D392" s="35" t="str">
        <f>IFERROR(INDEX($T$310:$T$459,MATCH(ROWS($A$310:A392),$AF$310:$AF$459,0)),"")</f>
        <v/>
      </c>
      <c r="E392" s="35" t="str">
        <f>IFERROR(INDEX($U$310:$U$459,MATCH(ROWS($A$310:A392),$AF$310:$AF$459,0)),"")</f>
        <v/>
      </c>
      <c r="F392" s="35" t="str">
        <f>IFERROR(INDEX($V$310:$V$459,MATCH(ROWS($A$310:A392),$AF$310:$AF$459,0)),"")</f>
        <v/>
      </c>
      <c r="G392" s="35" t="str">
        <f>IFERROR(INDEX($W$310:$W$459,MATCH(ROWS($A$310:A392),$AF$310:$AF$459,0)),"")</f>
        <v/>
      </c>
      <c r="H392" s="35" t="str">
        <f>IFERROR(INDEX($X$310:$X$459,MATCH(ROWS($A$310:A392),$AF$310:$AF$459,0)),"")</f>
        <v/>
      </c>
      <c r="I392" s="35" t="str">
        <f>IFERROR(INDEX($Y$310:$Y$459,MATCH(ROWS($A$310:A392),$AF$310:$AF$459,0)),"")</f>
        <v/>
      </c>
      <c r="J392" s="35" t="str">
        <f>IFERROR(INDEX($Z$310:$Z$459,MATCH(ROWS($A$310:A392),$AF$310:$AF$459,0)),"")</f>
        <v/>
      </c>
      <c r="K392" s="35" t="str">
        <f>IFERROR(INDEX($AA$310:$AA$459,MATCH(ROWS($A$310:A392),$AF$310:$AF$459,0)),"")</f>
        <v/>
      </c>
      <c r="L392" s="35" t="str">
        <f>IFERROR(INDEX($AB$310:$AB$459,MATCH(ROWS($A$310:A392),$AF$310:$AF$459,0)),"")</f>
        <v/>
      </c>
      <c r="M392" s="35" t="str">
        <f>IFERROR(INDEX($AC$310:$AC$459,MATCH(ROWS($A$310:A392),$AF$310:$AF$459,0)),"")</f>
        <v/>
      </c>
      <c r="N392" s="35" t="str">
        <f>IFERROR(INDEX($AD$310:$AD$459,MATCH(ROWS($A$310:A392),$AF$310:$AF$459,0)),"")</f>
        <v/>
      </c>
      <c r="Q392" t="str">
        <f>T(JAN!B88)</f>
        <v/>
      </c>
      <c r="R392" t="str">
        <f t="array" ref="R392">IF($Q392="","",_xlfn.TEXTJOIN(", ",TRUE,IF(JAN!$G88:$AK88="FE",JAN!$G$4:$AK$4,"")))</f>
        <v/>
      </c>
      <c r="S392" t="str">
        <f t="array" ref="S392">IF($Q392="","",_xlfn.TEXTJOIN(", ",TRUE,IF(FEV!$G88:$AK88="FE",FEV!$G$4:$AK$4,"")))</f>
        <v/>
      </c>
      <c r="T392" t="str">
        <f t="array" ref="T392">IF($Q392="","",_xlfn.TEXTJOIN(", ",TRUE,IF(MAR!$G88:$AK88="FE",MAR!$G$4:$AK$4,"")))</f>
        <v/>
      </c>
      <c r="U392" t="str">
        <f t="array" ref="U392">IF($Q392="","",_xlfn.TEXTJOIN(", ",TRUE,IF(ABR!$G88:$AK88="FE",ABR!$G$4:$AK$4,"")))</f>
        <v/>
      </c>
      <c r="V392" t="str">
        <f t="array" ref="V392">IF($Q392="","",_xlfn.TEXTJOIN(", ",TRUE,IF(MAI!$G88:$AK88="FE",MAI!$G$4:$AK$4,"")))</f>
        <v/>
      </c>
      <c r="W392" t="str">
        <f t="array" ref="W392">IF($Q392="","",_xlfn.TEXTJOIN(", ",TRUE,IF(JUN!$G88:$AK88="FE",JUN!$G$4:$AK$4,"")))</f>
        <v/>
      </c>
      <c r="X392" t="str">
        <f t="array" ref="X392">IF($Q392="","",_xlfn.TEXTJOIN(", ",TRUE,IF(JUL!$G88:$AK88="FE",JUL!$G$4:$AK$4,"")))</f>
        <v/>
      </c>
      <c r="Y392" t="str">
        <f t="array" ref="Y392">IF($Q392="","",_xlfn.TEXTJOIN(", ",TRUE,IF(AGO!$G88:$AK88="FE",AGO!$G$4:$AK$4,"")))</f>
        <v/>
      </c>
      <c r="Z392" t="str">
        <f t="array" ref="Z392">IF($Q392="","",_xlfn.TEXTJOIN(", ",TRUE,IF(SET!$G88:$AK88="FE",SET!$G$4:$AK$4,"")))</f>
        <v/>
      </c>
      <c r="AA392" t="str">
        <f t="array" ref="AA392">IF($Q392="","",_xlfn.TEXTJOIN(", ",TRUE,IF(OUT!$G88:$AK88="FE",OUT!$G$4:$AK$4,"")))</f>
        <v/>
      </c>
      <c r="AB392" t="str">
        <f t="array" ref="AB392">IF($Q392="","",_xlfn.TEXTJOIN(", ",TRUE,IF(NOV!$G88:$AK88="FE",NOV!$G$4:$AK$4,"")))</f>
        <v/>
      </c>
      <c r="AC392" t="str">
        <f t="array" ref="AC392">IF($Q392="","",_xlfn.TEXTJOIN(", ",TRUE,IF(DEZ!$G88:$AK88="FE",DEZ!$G$4:$AK$4,"")))</f>
        <v/>
      </c>
      <c r="AD392" t="str">
        <f>IF($Q392="","",COUNTIF(JAN!$G88:$AK88,"FE")+COUNTIF(FEV!$G88:$AK88,"FE")+COUNTIF(MAR!$G88:$AK88,"FE")+COUNTIF(ABR!$G88:$AK88,"FE")+COUNTIF(MAI!$G88:$AK88,"FE")+COUNTIF(JUN!$G88:$AK88,"FE")+COUNTIF(JUL!$G88:$AK88,"FE")+COUNTIF(AGO!$G88:$AK88,"FE")+COUNTIF(SET!$G88:$AK88,"FE")+COUNTIF(OUT!$G88:$AK88,"FE")+COUNTIF(NOV!$G88:$AK88,"FE")+COUNTIF(DEZ!$G88:$AK88,"FE"))</f>
        <v/>
      </c>
      <c r="AF392" t="str">
        <f>IF(AND($Q392&lt;&gt;"",N($AD392)&gt;0),COUNT($AF$309:AF391)+1,"")</f>
        <v/>
      </c>
    </row>
    <row r="393" spans="1:32" ht="20.100000000000001" customHeight="1" x14ac:dyDescent="0.25">
      <c r="A393" s="36" t="str">
        <f>IFERROR(INDEX($Q$310:$Q$459,MATCH(ROWS($A$310:A393),$AF$310:$AF$459,0)),"")</f>
        <v/>
      </c>
      <c r="B393" s="35" t="str">
        <f>IFERROR(INDEX($R$310:$R$459,MATCH(ROWS($A$310:A393),$AF$310:$AF$459,0)),"")</f>
        <v/>
      </c>
      <c r="C393" s="35" t="str">
        <f>IFERROR(INDEX($S$310:$S$459,MATCH(ROWS($A$310:A393),$AF$310:$AF$459,0)),"")</f>
        <v/>
      </c>
      <c r="D393" s="35" t="str">
        <f>IFERROR(INDEX($T$310:$T$459,MATCH(ROWS($A$310:A393),$AF$310:$AF$459,0)),"")</f>
        <v/>
      </c>
      <c r="E393" s="35" t="str">
        <f>IFERROR(INDEX($U$310:$U$459,MATCH(ROWS($A$310:A393),$AF$310:$AF$459,0)),"")</f>
        <v/>
      </c>
      <c r="F393" s="35" t="str">
        <f>IFERROR(INDEX($V$310:$V$459,MATCH(ROWS($A$310:A393),$AF$310:$AF$459,0)),"")</f>
        <v/>
      </c>
      <c r="G393" s="35" t="str">
        <f>IFERROR(INDEX($W$310:$W$459,MATCH(ROWS($A$310:A393),$AF$310:$AF$459,0)),"")</f>
        <v/>
      </c>
      <c r="H393" s="35" t="str">
        <f>IFERROR(INDEX($X$310:$X$459,MATCH(ROWS($A$310:A393),$AF$310:$AF$459,0)),"")</f>
        <v/>
      </c>
      <c r="I393" s="35" t="str">
        <f>IFERROR(INDEX($Y$310:$Y$459,MATCH(ROWS($A$310:A393),$AF$310:$AF$459,0)),"")</f>
        <v/>
      </c>
      <c r="J393" s="35" t="str">
        <f>IFERROR(INDEX($Z$310:$Z$459,MATCH(ROWS($A$310:A393),$AF$310:$AF$459,0)),"")</f>
        <v/>
      </c>
      <c r="K393" s="35" t="str">
        <f>IFERROR(INDEX($AA$310:$AA$459,MATCH(ROWS($A$310:A393),$AF$310:$AF$459,0)),"")</f>
        <v/>
      </c>
      <c r="L393" s="35" t="str">
        <f>IFERROR(INDEX($AB$310:$AB$459,MATCH(ROWS($A$310:A393),$AF$310:$AF$459,0)),"")</f>
        <v/>
      </c>
      <c r="M393" s="35" t="str">
        <f>IFERROR(INDEX($AC$310:$AC$459,MATCH(ROWS($A$310:A393),$AF$310:$AF$459,0)),"")</f>
        <v/>
      </c>
      <c r="N393" s="35" t="str">
        <f>IFERROR(INDEX($AD$310:$AD$459,MATCH(ROWS($A$310:A393),$AF$310:$AF$459,0)),"")</f>
        <v/>
      </c>
      <c r="Q393" t="str">
        <f>T(JAN!B89)</f>
        <v/>
      </c>
      <c r="R393" t="str">
        <f t="array" ref="R393">IF($Q393="","",_xlfn.TEXTJOIN(", ",TRUE,IF(JAN!$G89:$AK89="FE",JAN!$G$4:$AK$4,"")))</f>
        <v/>
      </c>
      <c r="S393" t="str">
        <f t="array" ref="S393">IF($Q393="","",_xlfn.TEXTJOIN(", ",TRUE,IF(FEV!$G89:$AK89="FE",FEV!$G$4:$AK$4,"")))</f>
        <v/>
      </c>
      <c r="T393" t="str">
        <f t="array" ref="T393">IF($Q393="","",_xlfn.TEXTJOIN(", ",TRUE,IF(MAR!$G89:$AK89="FE",MAR!$G$4:$AK$4,"")))</f>
        <v/>
      </c>
      <c r="U393" t="str">
        <f t="array" ref="U393">IF($Q393="","",_xlfn.TEXTJOIN(", ",TRUE,IF(ABR!$G89:$AK89="FE",ABR!$G$4:$AK$4,"")))</f>
        <v/>
      </c>
      <c r="V393" t="str">
        <f t="array" ref="V393">IF($Q393="","",_xlfn.TEXTJOIN(", ",TRUE,IF(MAI!$G89:$AK89="FE",MAI!$G$4:$AK$4,"")))</f>
        <v/>
      </c>
      <c r="W393" t="str">
        <f t="array" ref="W393">IF($Q393="","",_xlfn.TEXTJOIN(", ",TRUE,IF(JUN!$G89:$AK89="FE",JUN!$G$4:$AK$4,"")))</f>
        <v/>
      </c>
      <c r="X393" t="str">
        <f t="array" ref="X393">IF($Q393="","",_xlfn.TEXTJOIN(", ",TRUE,IF(JUL!$G89:$AK89="FE",JUL!$G$4:$AK$4,"")))</f>
        <v/>
      </c>
      <c r="Y393" t="str">
        <f t="array" ref="Y393">IF($Q393="","",_xlfn.TEXTJOIN(", ",TRUE,IF(AGO!$G89:$AK89="FE",AGO!$G$4:$AK$4,"")))</f>
        <v/>
      </c>
      <c r="Z393" t="str">
        <f t="array" ref="Z393">IF($Q393="","",_xlfn.TEXTJOIN(", ",TRUE,IF(SET!$G89:$AK89="FE",SET!$G$4:$AK$4,"")))</f>
        <v/>
      </c>
      <c r="AA393" t="str">
        <f t="array" ref="AA393">IF($Q393="","",_xlfn.TEXTJOIN(", ",TRUE,IF(OUT!$G89:$AK89="FE",OUT!$G$4:$AK$4,"")))</f>
        <v/>
      </c>
      <c r="AB393" t="str">
        <f t="array" ref="AB393">IF($Q393="","",_xlfn.TEXTJOIN(", ",TRUE,IF(NOV!$G89:$AK89="FE",NOV!$G$4:$AK$4,"")))</f>
        <v/>
      </c>
      <c r="AC393" t="str">
        <f t="array" ref="AC393">IF($Q393="","",_xlfn.TEXTJOIN(", ",TRUE,IF(DEZ!$G89:$AK89="FE",DEZ!$G$4:$AK$4,"")))</f>
        <v/>
      </c>
      <c r="AD393" t="str">
        <f>IF($Q393="","",COUNTIF(JAN!$G89:$AK89,"FE")+COUNTIF(FEV!$G89:$AK89,"FE")+COUNTIF(MAR!$G89:$AK89,"FE")+COUNTIF(ABR!$G89:$AK89,"FE")+COUNTIF(MAI!$G89:$AK89,"FE")+COUNTIF(JUN!$G89:$AK89,"FE")+COUNTIF(JUL!$G89:$AK89,"FE")+COUNTIF(AGO!$G89:$AK89,"FE")+COUNTIF(SET!$G89:$AK89,"FE")+COUNTIF(OUT!$G89:$AK89,"FE")+COUNTIF(NOV!$G89:$AK89,"FE")+COUNTIF(DEZ!$G89:$AK89,"FE"))</f>
        <v/>
      </c>
      <c r="AF393" t="str">
        <f>IF(AND($Q393&lt;&gt;"",N($AD393)&gt;0),COUNT($AF$309:AF392)+1,"")</f>
        <v/>
      </c>
    </row>
    <row r="394" spans="1:32" ht="20.100000000000001" customHeight="1" x14ac:dyDescent="0.25">
      <c r="A394" s="36" t="str">
        <f>IFERROR(INDEX($Q$310:$Q$459,MATCH(ROWS($A$310:A394),$AF$310:$AF$459,0)),"")</f>
        <v/>
      </c>
      <c r="B394" s="35" t="str">
        <f>IFERROR(INDEX($R$310:$R$459,MATCH(ROWS($A$310:A394),$AF$310:$AF$459,0)),"")</f>
        <v/>
      </c>
      <c r="C394" s="35" t="str">
        <f>IFERROR(INDEX($S$310:$S$459,MATCH(ROWS($A$310:A394),$AF$310:$AF$459,0)),"")</f>
        <v/>
      </c>
      <c r="D394" s="35" t="str">
        <f>IFERROR(INDEX($T$310:$T$459,MATCH(ROWS($A$310:A394),$AF$310:$AF$459,0)),"")</f>
        <v/>
      </c>
      <c r="E394" s="35" t="str">
        <f>IFERROR(INDEX($U$310:$U$459,MATCH(ROWS($A$310:A394),$AF$310:$AF$459,0)),"")</f>
        <v/>
      </c>
      <c r="F394" s="35" t="str">
        <f>IFERROR(INDEX($V$310:$V$459,MATCH(ROWS($A$310:A394),$AF$310:$AF$459,0)),"")</f>
        <v/>
      </c>
      <c r="G394" s="35" t="str">
        <f>IFERROR(INDEX($W$310:$W$459,MATCH(ROWS($A$310:A394),$AF$310:$AF$459,0)),"")</f>
        <v/>
      </c>
      <c r="H394" s="35" t="str">
        <f>IFERROR(INDEX($X$310:$X$459,MATCH(ROWS($A$310:A394),$AF$310:$AF$459,0)),"")</f>
        <v/>
      </c>
      <c r="I394" s="35" t="str">
        <f>IFERROR(INDEX($Y$310:$Y$459,MATCH(ROWS($A$310:A394),$AF$310:$AF$459,0)),"")</f>
        <v/>
      </c>
      <c r="J394" s="35" t="str">
        <f>IFERROR(INDEX($Z$310:$Z$459,MATCH(ROWS($A$310:A394),$AF$310:$AF$459,0)),"")</f>
        <v/>
      </c>
      <c r="K394" s="35" t="str">
        <f>IFERROR(INDEX($AA$310:$AA$459,MATCH(ROWS($A$310:A394),$AF$310:$AF$459,0)),"")</f>
        <v/>
      </c>
      <c r="L394" s="35" t="str">
        <f>IFERROR(INDEX($AB$310:$AB$459,MATCH(ROWS($A$310:A394),$AF$310:$AF$459,0)),"")</f>
        <v/>
      </c>
      <c r="M394" s="35" t="str">
        <f>IFERROR(INDEX($AC$310:$AC$459,MATCH(ROWS($A$310:A394),$AF$310:$AF$459,0)),"")</f>
        <v/>
      </c>
      <c r="N394" s="35" t="str">
        <f>IFERROR(INDEX($AD$310:$AD$459,MATCH(ROWS($A$310:A394),$AF$310:$AF$459,0)),"")</f>
        <v/>
      </c>
      <c r="Q394" t="str">
        <f>T(JAN!B90)</f>
        <v/>
      </c>
      <c r="R394" t="str">
        <f t="array" ref="R394">IF($Q394="","",_xlfn.TEXTJOIN(", ",TRUE,IF(JAN!$G90:$AK90="FE",JAN!$G$4:$AK$4,"")))</f>
        <v/>
      </c>
      <c r="S394" t="str">
        <f t="array" ref="S394">IF($Q394="","",_xlfn.TEXTJOIN(", ",TRUE,IF(FEV!$G90:$AK90="FE",FEV!$G$4:$AK$4,"")))</f>
        <v/>
      </c>
      <c r="T394" t="str">
        <f t="array" ref="T394">IF($Q394="","",_xlfn.TEXTJOIN(", ",TRUE,IF(MAR!$G90:$AK90="FE",MAR!$G$4:$AK$4,"")))</f>
        <v/>
      </c>
      <c r="U394" t="str">
        <f t="array" ref="U394">IF($Q394="","",_xlfn.TEXTJOIN(", ",TRUE,IF(ABR!$G90:$AK90="FE",ABR!$G$4:$AK$4,"")))</f>
        <v/>
      </c>
      <c r="V394" t="str">
        <f t="array" ref="V394">IF($Q394="","",_xlfn.TEXTJOIN(", ",TRUE,IF(MAI!$G90:$AK90="FE",MAI!$G$4:$AK$4,"")))</f>
        <v/>
      </c>
      <c r="W394" t="str">
        <f t="array" ref="W394">IF($Q394="","",_xlfn.TEXTJOIN(", ",TRUE,IF(JUN!$G90:$AK90="FE",JUN!$G$4:$AK$4,"")))</f>
        <v/>
      </c>
      <c r="X394" t="str">
        <f t="array" ref="X394">IF($Q394="","",_xlfn.TEXTJOIN(", ",TRUE,IF(JUL!$G90:$AK90="FE",JUL!$G$4:$AK$4,"")))</f>
        <v/>
      </c>
      <c r="Y394" t="str">
        <f t="array" ref="Y394">IF($Q394="","",_xlfn.TEXTJOIN(", ",TRUE,IF(AGO!$G90:$AK90="FE",AGO!$G$4:$AK$4,"")))</f>
        <v/>
      </c>
      <c r="Z394" t="str">
        <f t="array" ref="Z394">IF($Q394="","",_xlfn.TEXTJOIN(", ",TRUE,IF(SET!$G90:$AK90="FE",SET!$G$4:$AK$4,"")))</f>
        <v/>
      </c>
      <c r="AA394" t="str">
        <f t="array" ref="AA394">IF($Q394="","",_xlfn.TEXTJOIN(", ",TRUE,IF(OUT!$G90:$AK90="FE",OUT!$G$4:$AK$4,"")))</f>
        <v/>
      </c>
      <c r="AB394" t="str">
        <f t="array" ref="AB394">IF($Q394="","",_xlfn.TEXTJOIN(", ",TRUE,IF(NOV!$G90:$AK90="FE",NOV!$G$4:$AK$4,"")))</f>
        <v/>
      </c>
      <c r="AC394" t="str">
        <f t="array" ref="AC394">IF($Q394="","",_xlfn.TEXTJOIN(", ",TRUE,IF(DEZ!$G90:$AK90="FE",DEZ!$G$4:$AK$4,"")))</f>
        <v/>
      </c>
      <c r="AD394" t="str">
        <f>IF($Q394="","",COUNTIF(JAN!$G90:$AK90,"FE")+COUNTIF(FEV!$G90:$AK90,"FE")+COUNTIF(MAR!$G90:$AK90,"FE")+COUNTIF(ABR!$G90:$AK90,"FE")+COUNTIF(MAI!$G90:$AK90,"FE")+COUNTIF(JUN!$G90:$AK90,"FE")+COUNTIF(JUL!$G90:$AK90,"FE")+COUNTIF(AGO!$G90:$AK90,"FE")+COUNTIF(SET!$G90:$AK90,"FE")+COUNTIF(OUT!$G90:$AK90,"FE")+COUNTIF(NOV!$G90:$AK90,"FE")+COUNTIF(DEZ!$G90:$AK90,"FE"))</f>
        <v/>
      </c>
      <c r="AF394" t="str">
        <f>IF(AND($Q394&lt;&gt;"",N($AD394)&gt;0),COUNT($AF$309:AF393)+1,"")</f>
        <v/>
      </c>
    </row>
    <row r="395" spans="1:32" ht="20.100000000000001" customHeight="1" x14ac:dyDescent="0.25">
      <c r="A395" s="36" t="str">
        <f>IFERROR(INDEX($Q$310:$Q$459,MATCH(ROWS($A$310:A395),$AF$310:$AF$459,0)),"")</f>
        <v/>
      </c>
      <c r="B395" s="35" t="str">
        <f>IFERROR(INDEX($R$310:$R$459,MATCH(ROWS($A$310:A395),$AF$310:$AF$459,0)),"")</f>
        <v/>
      </c>
      <c r="C395" s="35" t="str">
        <f>IFERROR(INDEX($S$310:$S$459,MATCH(ROWS($A$310:A395),$AF$310:$AF$459,0)),"")</f>
        <v/>
      </c>
      <c r="D395" s="35" t="str">
        <f>IFERROR(INDEX($T$310:$T$459,MATCH(ROWS($A$310:A395),$AF$310:$AF$459,0)),"")</f>
        <v/>
      </c>
      <c r="E395" s="35" t="str">
        <f>IFERROR(INDEX($U$310:$U$459,MATCH(ROWS($A$310:A395),$AF$310:$AF$459,0)),"")</f>
        <v/>
      </c>
      <c r="F395" s="35" t="str">
        <f>IFERROR(INDEX($V$310:$V$459,MATCH(ROWS($A$310:A395),$AF$310:$AF$459,0)),"")</f>
        <v/>
      </c>
      <c r="G395" s="35" t="str">
        <f>IFERROR(INDEX($W$310:$W$459,MATCH(ROWS($A$310:A395),$AF$310:$AF$459,0)),"")</f>
        <v/>
      </c>
      <c r="H395" s="35" t="str">
        <f>IFERROR(INDEX($X$310:$X$459,MATCH(ROWS($A$310:A395),$AF$310:$AF$459,0)),"")</f>
        <v/>
      </c>
      <c r="I395" s="35" t="str">
        <f>IFERROR(INDEX($Y$310:$Y$459,MATCH(ROWS($A$310:A395),$AF$310:$AF$459,0)),"")</f>
        <v/>
      </c>
      <c r="J395" s="35" t="str">
        <f>IFERROR(INDEX($Z$310:$Z$459,MATCH(ROWS($A$310:A395),$AF$310:$AF$459,0)),"")</f>
        <v/>
      </c>
      <c r="K395" s="35" t="str">
        <f>IFERROR(INDEX($AA$310:$AA$459,MATCH(ROWS($A$310:A395),$AF$310:$AF$459,0)),"")</f>
        <v/>
      </c>
      <c r="L395" s="35" t="str">
        <f>IFERROR(INDEX($AB$310:$AB$459,MATCH(ROWS($A$310:A395),$AF$310:$AF$459,0)),"")</f>
        <v/>
      </c>
      <c r="M395" s="35" t="str">
        <f>IFERROR(INDEX($AC$310:$AC$459,MATCH(ROWS($A$310:A395),$AF$310:$AF$459,0)),"")</f>
        <v/>
      </c>
      <c r="N395" s="35" t="str">
        <f>IFERROR(INDEX($AD$310:$AD$459,MATCH(ROWS($A$310:A395),$AF$310:$AF$459,0)),"")</f>
        <v/>
      </c>
      <c r="Q395" t="str">
        <f>T(JAN!B91)</f>
        <v/>
      </c>
      <c r="R395" t="str">
        <f t="array" ref="R395">IF($Q395="","",_xlfn.TEXTJOIN(", ",TRUE,IF(JAN!$G91:$AK91="FE",JAN!$G$4:$AK$4,"")))</f>
        <v/>
      </c>
      <c r="S395" t="str">
        <f t="array" ref="S395">IF($Q395="","",_xlfn.TEXTJOIN(", ",TRUE,IF(FEV!$G91:$AK91="FE",FEV!$G$4:$AK$4,"")))</f>
        <v/>
      </c>
      <c r="T395" t="str">
        <f t="array" ref="T395">IF($Q395="","",_xlfn.TEXTJOIN(", ",TRUE,IF(MAR!$G91:$AK91="FE",MAR!$G$4:$AK$4,"")))</f>
        <v/>
      </c>
      <c r="U395" t="str">
        <f t="array" ref="U395">IF($Q395="","",_xlfn.TEXTJOIN(", ",TRUE,IF(ABR!$G91:$AK91="FE",ABR!$G$4:$AK$4,"")))</f>
        <v/>
      </c>
      <c r="V395" t="str">
        <f t="array" ref="V395">IF($Q395="","",_xlfn.TEXTJOIN(", ",TRUE,IF(MAI!$G91:$AK91="FE",MAI!$G$4:$AK$4,"")))</f>
        <v/>
      </c>
      <c r="W395" t="str">
        <f t="array" ref="W395">IF($Q395="","",_xlfn.TEXTJOIN(", ",TRUE,IF(JUN!$G91:$AK91="FE",JUN!$G$4:$AK$4,"")))</f>
        <v/>
      </c>
      <c r="X395" t="str">
        <f t="array" ref="X395">IF($Q395="","",_xlfn.TEXTJOIN(", ",TRUE,IF(JUL!$G91:$AK91="FE",JUL!$G$4:$AK$4,"")))</f>
        <v/>
      </c>
      <c r="Y395" t="str">
        <f t="array" ref="Y395">IF($Q395="","",_xlfn.TEXTJOIN(", ",TRUE,IF(AGO!$G91:$AK91="FE",AGO!$G$4:$AK$4,"")))</f>
        <v/>
      </c>
      <c r="Z395" t="str">
        <f t="array" ref="Z395">IF($Q395="","",_xlfn.TEXTJOIN(", ",TRUE,IF(SET!$G91:$AK91="FE",SET!$G$4:$AK$4,"")))</f>
        <v/>
      </c>
      <c r="AA395" t="str">
        <f t="array" ref="AA395">IF($Q395="","",_xlfn.TEXTJOIN(", ",TRUE,IF(OUT!$G91:$AK91="FE",OUT!$G$4:$AK$4,"")))</f>
        <v/>
      </c>
      <c r="AB395" t="str">
        <f t="array" ref="AB395">IF($Q395="","",_xlfn.TEXTJOIN(", ",TRUE,IF(NOV!$G91:$AK91="FE",NOV!$G$4:$AK$4,"")))</f>
        <v/>
      </c>
      <c r="AC395" t="str">
        <f t="array" ref="AC395">IF($Q395="","",_xlfn.TEXTJOIN(", ",TRUE,IF(DEZ!$G91:$AK91="FE",DEZ!$G$4:$AK$4,"")))</f>
        <v/>
      </c>
      <c r="AD395" t="str">
        <f>IF($Q395="","",COUNTIF(JAN!$G91:$AK91,"FE")+COUNTIF(FEV!$G91:$AK91,"FE")+COUNTIF(MAR!$G91:$AK91,"FE")+COUNTIF(ABR!$G91:$AK91,"FE")+COUNTIF(MAI!$G91:$AK91,"FE")+COUNTIF(JUN!$G91:$AK91,"FE")+COUNTIF(JUL!$G91:$AK91,"FE")+COUNTIF(AGO!$G91:$AK91,"FE")+COUNTIF(SET!$G91:$AK91,"FE")+COUNTIF(OUT!$G91:$AK91,"FE")+COUNTIF(NOV!$G91:$AK91,"FE")+COUNTIF(DEZ!$G91:$AK91,"FE"))</f>
        <v/>
      </c>
      <c r="AF395" t="str">
        <f>IF(AND($Q395&lt;&gt;"",N($AD395)&gt;0),COUNT($AF$309:AF394)+1,"")</f>
        <v/>
      </c>
    </row>
    <row r="396" spans="1:32" ht="20.100000000000001" customHeight="1" x14ac:dyDescent="0.25">
      <c r="A396" s="36" t="str">
        <f>IFERROR(INDEX($Q$310:$Q$459,MATCH(ROWS($A$310:A396),$AF$310:$AF$459,0)),"")</f>
        <v/>
      </c>
      <c r="B396" s="35" t="str">
        <f>IFERROR(INDEX($R$310:$R$459,MATCH(ROWS($A$310:A396),$AF$310:$AF$459,0)),"")</f>
        <v/>
      </c>
      <c r="C396" s="35" t="str">
        <f>IFERROR(INDEX($S$310:$S$459,MATCH(ROWS($A$310:A396),$AF$310:$AF$459,0)),"")</f>
        <v/>
      </c>
      <c r="D396" s="35" t="str">
        <f>IFERROR(INDEX($T$310:$T$459,MATCH(ROWS($A$310:A396),$AF$310:$AF$459,0)),"")</f>
        <v/>
      </c>
      <c r="E396" s="35" t="str">
        <f>IFERROR(INDEX($U$310:$U$459,MATCH(ROWS($A$310:A396),$AF$310:$AF$459,0)),"")</f>
        <v/>
      </c>
      <c r="F396" s="35" t="str">
        <f>IFERROR(INDEX($V$310:$V$459,MATCH(ROWS($A$310:A396),$AF$310:$AF$459,0)),"")</f>
        <v/>
      </c>
      <c r="G396" s="35" t="str">
        <f>IFERROR(INDEX($W$310:$W$459,MATCH(ROWS($A$310:A396),$AF$310:$AF$459,0)),"")</f>
        <v/>
      </c>
      <c r="H396" s="35" t="str">
        <f>IFERROR(INDEX($X$310:$X$459,MATCH(ROWS($A$310:A396),$AF$310:$AF$459,0)),"")</f>
        <v/>
      </c>
      <c r="I396" s="35" t="str">
        <f>IFERROR(INDEX($Y$310:$Y$459,MATCH(ROWS($A$310:A396),$AF$310:$AF$459,0)),"")</f>
        <v/>
      </c>
      <c r="J396" s="35" t="str">
        <f>IFERROR(INDEX($Z$310:$Z$459,MATCH(ROWS($A$310:A396),$AF$310:$AF$459,0)),"")</f>
        <v/>
      </c>
      <c r="K396" s="35" t="str">
        <f>IFERROR(INDEX($AA$310:$AA$459,MATCH(ROWS($A$310:A396),$AF$310:$AF$459,0)),"")</f>
        <v/>
      </c>
      <c r="L396" s="35" t="str">
        <f>IFERROR(INDEX($AB$310:$AB$459,MATCH(ROWS($A$310:A396),$AF$310:$AF$459,0)),"")</f>
        <v/>
      </c>
      <c r="M396" s="35" t="str">
        <f>IFERROR(INDEX($AC$310:$AC$459,MATCH(ROWS($A$310:A396),$AF$310:$AF$459,0)),"")</f>
        <v/>
      </c>
      <c r="N396" s="35" t="str">
        <f>IFERROR(INDEX($AD$310:$AD$459,MATCH(ROWS($A$310:A396),$AF$310:$AF$459,0)),"")</f>
        <v/>
      </c>
      <c r="Q396" t="str">
        <f>T(JAN!B92)</f>
        <v/>
      </c>
      <c r="R396" t="str">
        <f t="array" ref="R396">IF($Q396="","",_xlfn.TEXTJOIN(", ",TRUE,IF(JAN!$G92:$AK92="FE",JAN!$G$4:$AK$4,"")))</f>
        <v/>
      </c>
      <c r="S396" t="str">
        <f t="array" ref="S396">IF($Q396="","",_xlfn.TEXTJOIN(", ",TRUE,IF(FEV!$G92:$AK92="FE",FEV!$G$4:$AK$4,"")))</f>
        <v/>
      </c>
      <c r="T396" t="str">
        <f t="array" ref="T396">IF($Q396="","",_xlfn.TEXTJOIN(", ",TRUE,IF(MAR!$G92:$AK92="FE",MAR!$G$4:$AK$4,"")))</f>
        <v/>
      </c>
      <c r="U396" t="str">
        <f t="array" ref="U396">IF($Q396="","",_xlfn.TEXTJOIN(", ",TRUE,IF(ABR!$G92:$AK92="FE",ABR!$G$4:$AK$4,"")))</f>
        <v/>
      </c>
      <c r="V396" t="str">
        <f t="array" ref="V396">IF($Q396="","",_xlfn.TEXTJOIN(", ",TRUE,IF(MAI!$G92:$AK92="FE",MAI!$G$4:$AK$4,"")))</f>
        <v/>
      </c>
      <c r="W396" t="str">
        <f t="array" ref="W396">IF($Q396="","",_xlfn.TEXTJOIN(", ",TRUE,IF(JUN!$G92:$AK92="FE",JUN!$G$4:$AK$4,"")))</f>
        <v/>
      </c>
      <c r="X396" t="str">
        <f t="array" ref="X396">IF($Q396="","",_xlfn.TEXTJOIN(", ",TRUE,IF(JUL!$G92:$AK92="FE",JUL!$G$4:$AK$4,"")))</f>
        <v/>
      </c>
      <c r="Y396" t="str">
        <f t="array" ref="Y396">IF($Q396="","",_xlfn.TEXTJOIN(", ",TRUE,IF(AGO!$G92:$AK92="FE",AGO!$G$4:$AK$4,"")))</f>
        <v/>
      </c>
      <c r="Z396" t="str">
        <f t="array" ref="Z396">IF($Q396="","",_xlfn.TEXTJOIN(", ",TRUE,IF(SET!$G92:$AK92="FE",SET!$G$4:$AK$4,"")))</f>
        <v/>
      </c>
      <c r="AA396" t="str">
        <f t="array" ref="AA396">IF($Q396="","",_xlfn.TEXTJOIN(", ",TRUE,IF(OUT!$G92:$AK92="FE",OUT!$G$4:$AK$4,"")))</f>
        <v/>
      </c>
      <c r="AB396" t="str">
        <f t="array" ref="AB396">IF($Q396="","",_xlfn.TEXTJOIN(", ",TRUE,IF(NOV!$G92:$AK92="FE",NOV!$G$4:$AK$4,"")))</f>
        <v/>
      </c>
      <c r="AC396" t="str">
        <f t="array" ref="AC396">IF($Q396="","",_xlfn.TEXTJOIN(", ",TRUE,IF(DEZ!$G92:$AK92="FE",DEZ!$G$4:$AK$4,"")))</f>
        <v/>
      </c>
      <c r="AD396" t="str">
        <f>IF($Q396="","",COUNTIF(JAN!$G92:$AK92,"FE")+COUNTIF(FEV!$G92:$AK92,"FE")+COUNTIF(MAR!$G92:$AK92,"FE")+COUNTIF(ABR!$G92:$AK92,"FE")+COUNTIF(MAI!$G92:$AK92,"FE")+COUNTIF(JUN!$G92:$AK92,"FE")+COUNTIF(JUL!$G92:$AK92,"FE")+COUNTIF(AGO!$G92:$AK92,"FE")+COUNTIF(SET!$G92:$AK92,"FE")+COUNTIF(OUT!$G92:$AK92,"FE")+COUNTIF(NOV!$G92:$AK92,"FE")+COUNTIF(DEZ!$G92:$AK92,"FE"))</f>
        <v/>
      </c>
      <c r="AF396" t="str">
        <f>IF(AND($Q396&lt;&gt;"",N($AD396)&gt;0),COUNT($AF$309:AF395)+1,"")</f>
        <v/>
      </c>
    </row>
    <row r="397" spans="1:32" ht="20.100000000000001" customHeight="1" x14ac:dyDescent="0.25">
      <c r="A397" s="36" t="str">
        <f>IFERROR(INDEX($Q$310:$Q$459,MATCH(ROWS($A$310:A397),$AF$310:$AF$459,0)),"")</f>
        <v/>
      </c>
      <c r="B397" s="35" t="str">
        <f>IFERROR(INDEX($R$310:$R$459,MATCH(ROWS($A$310:A397),$AF$310:$AF$459,0)),"")</f>
        <v/>
      </c>
      <c r="C397" s="35" t="str">
        <f>IFERROR(INDEX($S$310:$S$459,MATCH(ROWS($A$310:A397),$AF$310:$AF$459,0)),"")</f>
        <v/>
      </c>
      <c r="D397" s="35" t="str">
        <f>IFERROR(INDEX($T$310:$T$459,MATCH(ROWS($A$310:A397),$AF$310:$AF$459,0)),"")</f>
        <v/>
      </c>
      <c r="E397" s="35" t="str">
        <f>IFERROR(INDEX($U$310:$U$459,MATCH(ROWS($A$310:A397),$AF$310:$AF$459,0)),"")</f>
        <v/>
      </c>
      <c r="F397" s="35" t="str">
        <f>IFERROR(INDEX($V$310:$V$459,MATCH(ROWS($A$310:A397),$AF$310:$AF$459,0)),"")</f>
        <v/>
      </c>
      <c r="G397" s="35" t="str">
        <f>IFERROR(INDEX($W$310:$W$459,MATCH(ROWS($A$310:A397),$AF$310:$AF$459,0)),"")</f>
        <v/>
      </c>
      <c r="H397" s="35" t="str">
        <f>IFERROR(INDEX($X$310:$X$459,MATCH(ROWS($A$310:A397),$AF$310:$AF$459,0)),"")</f>
        <v/>
      </c>
      <c r="I397" s="35" t="str">
        <f>IFERROR(INDEX($Y$310:$Y$459,MATCH(ROWS($A$310:A397),$AF$310:$AF$459,0)),"")</f>
        <v/>
      </c>
      <c r="J397" s="35" t="str">
        <f>IFERROR(INDEX($Z$310:$Z$459,MATCH(ROWS($A$310:A397),$AF$310:$AF$459,0)),"")</f>
        <v/>
      </c>
      <c r="K397" s="35" t="str">
        <f>IFERROR(INDEX($AA$310:$AA$459,MATCH(ROWS($A$310:A397),$AF$310:$AF$459,0)),"")</f>
        <v/>
      </c>
      <c r="L397" s="35" t="str">
        <f>IFERROR(INDEX($AB$310:$AB$459,MATCH(ROWS($A$310:A397),$AF$310:$AF$459,0)),"")</f>
        <v/>
      </c>
      <c r="M397" s="35" t="str">
        <f>IFERROR(INDEX($AC$310:$AC$459,MATCH(ROWS($A$310:A397),$AF$310:$AF$459,0)),"")</f>
        <v/>
      </c>
      <c r="N397" s="35" t="str">
        <f>IFERROR(INDEX($AD$310:$AD$459,MATCH(ROWS($A$310:A397),$AF$310:$AF$459,0)),"")</f>
        <v/>
      </c>
      <c r="Q397" t="str">
        <f>T(JAN!B93)</f>
        <v/>
      </c>
      <c r="R397" t="str">
        <f t="array" ref="R397">IF($Q397="","",_xlfn.TEXTJOIN(", ",TRUE,IF(JAN!$G93:$AK93="FE",JAN!$G$4:$AK$4,"")))</f>
        <v/>
      </c>
      <c r="S397" t="str">
        <f t="array" ref="S397">IF($Q397="","",_xlfn.TEXTJOIN(", ",TRUE,IF(FEV!$G93:$AK93="FE",FEV!$G$4:$AK$4,"")))</f>
        <v/>
      </c>
      <c r="T397" t="str">
        <f t="array" ref="T397">IF($Q397="","",_xlfn.TEXTJOIN(", ",TRUE,IF(MAR!$G93:$AK93="FE",MAR!$G$4:$AK$4,"")))</f>
        <v/>
      </c>
      <c r="U397" t="str">
        <f t="array" ref="U397">IF($Q397="","",_xlfn.TEXTJOIN(", ",TRUE,IF(ABR!$G93:$AK93="FE",ABR!$G$4:$AK$4,"")))</f>
        <v/>
      </c>
      <c r="V397" t="str">
        <f t="array" ref="V397">IF($Q397="","",_xlfn.TEXTJOIN(", ",TRUE,IF(MAI!$G93:$AK93="FE",MAI!$G$4:$AK$4,"")))</f>
        <v/>
      </c>
      <c r="W397" t="str">
        <f t="array" ref="W397">IF($Q397="","",_xlfn.TEXTJOIN(", ",TRUE,IF(JUN!$G93:$AK93="FE",JUN!$G$4:$AK$4,"")))</f>
        <v/>
      </c>
      <c r="X397" t="str">
        <f t="array" ref="X397">IF($Q397="","",_xlfn.TEXTJOIN(", ",TRUE,IF(JUL!$G93:$AK93="FE",JUL!$G$4:$AK$4,"")))</f>
        <v/>
      </c>
      <c r="Y397" t="str">
        <f t="array" ref="Y397">IF($Q397="","",_xlfn.TEXTJOIN(", ",TRUE,IF(AGO!$G93:$AK93="FE",AGO!$G$4:$AK$4,"")))</f>
        <v/>
      </c>
      <c r="Z397" t="str">
        <f t="array" ref="Z397">IF($Q397="","",_xlfn.TEXTJOIN(", ",TRUE,IF(SET!$G93:$AK93="FE",SET!$G$4:$AK$4,"")))</f>
        <v/>
      </c>
      <c r="AA397" t="str">
        <f t="array" ref="AA397">IF($Q397="","",_xlfn.TEXTJOIN(", ",TRUE,IF(OUT!$G93:$AK93="FE",OUT!$G$4:$AK$4,"")))</f>
        <v/>
      </c>
      <c r="AB397" t="str">
        <f t="array" ref="AB397">IF($Q397="","",_xlfn.TEXTJOIN(", ",TRUE,IF(NOV!$G93:$AK93="FE",NOV!$G$4:$AK$4,"")))</f>
        <v/>
      </c>
      <c r="AC397" t="str">
        <f t="array" ref="AC397">IF($Q397="","",_xlfn.TEXTJOIN(", ",TRUE,IF(DEZ!$G93:$AK93="FE",DEZ!$G$4:$AK$4,"")))</f>
        <v/>
      </c>
      <c r="AD397" t="str">
        <f>IF($Q397="","",COUNTIF(JAN!$G93:$AK93,"FE")+COUNTIF(FEV!$G93:$AK93,"FE")+COUNTIF(MAR!$G93:$AK93,"FE")+COUNTIF(ABR!$G93:$AK93,"FE")+COUNTIF(MAI!$G93:$AK93,"FE")+COUNTIF(JUN!$G93:$AK93,"FE")+COUNTIF(JUL!$G93:$AK93,"FE")+COUNTIF(AGO!$G93:$AK93,"FE")+COUNTIF(SET!$G93:$AK93,"FE")+COUNTIF(OUT!$G93:$AK93,"FE")+COUNTIF(NOV!$G93:$AK93,"FE")+COUNTIF(DEZ!$G93:$AK93,"FE"))</f>
        <v/>
      </c>
      <c r="AF397" t="str">
        <f>IF(AND($Q397&lt;&gt;"",N($AD397)&gt;0),COUNT($AF$309:AF396)+1,"")</f>
        <v/>
      </c>
    </row>
    <row r="398" spans="1:32" ht="20.100000000000001" customHeight="1" x14ac:dyDescent="0.25">
      <c r="A398" s="36" t="str">
        <f>IFERROR(INDEX($Q$310:$Q$459,MATCH(ROWS($A$310:A398),$AF$310:$AF$459,0)),"")</f>
        <v/>
      </c>
      <c r="B398" s="35" t="str">
        <f>IFERROR(INDEX($R$310:$R$459,MATCH(ROWS($A$310:A398),$AF$310:$AF$459,0)),"")</f>
        <v/>
      </c>
      <c r="C398" s="35" t="str">
        <f>IFERROR(INDEX($S$310:$S$459,MATCH(ROWS($A$310:A398),$AF$310:$AF$459,0)),"")</f>
        <v/>
      </c>
      <c r="D398" s="35" t="str">
        <f>IFERROR(INDEX($T$310:$T$459,MATCH(ROWS($A$310:A398),$AF$310:$AF$459,0)),"")</f>
        <v/>
      </c>
      <c r="E398" s="35" t="str">
        <f>IFERROR(INDEX($U$310:$U$459,MATCH(ROWS($A$310:A398),$AF$310:$AF$459,0)),"")</f>
        <v/>
      </c>
      <c r="F398" s="35" t="str">
        <f>IFERROR(INDEX($V$310:$V$459,MATCH(ROWS($A$310:A398),$AF$310:$AF$459,0)),"")</f>
        <v/>
      </c>
      <c r="G398" s="35" t="str">
        <f>IFERROR(INDEX($W$310:$W$459,MATCH(ROWS($A$310:A398),$AF$310:$AF$459,0)),"")</f>
        <v/>
      </c>
      <c r="H398" s="35" t="str">
        <f>IFERROR(INDEX($X$310:$X$459,MATCH(ROWS($A$310:A398),$AF$310:$AF$459,0)),"")</f>
        <v/>
      </c>
      <c r="I398" s="35" t="str">
        <f>IFERROR(INDEX($Y$310:$Y$459,MATCH(ROWS($A$310:A398),$AF$310:$AF$459,0)),"")</f>
        <v/>
      </c>
      <c r="J398" s="35" t="str">
        <f>IFERROR(INDEX($Z$310:$Z$459,MATCH(ROWS($A$310:A398),$AF$310:$AF$459,0)),"")</f>
        <v/>
      </c>
      <c r="K398" s="35" t="str">
        <f>IFERROR(INDEX($AA$310:$AA$459,MATCH(ROWS($A$310:A398),$AF$310:$AF$459,0)),"")</f>
        <v/>
      </c>
      <c r="L398" s="35" t="str">
        <f>IFERROR(INDEX($AB$310:$AB$459,MATCH(ROWS($A$310:A398),$AF$310:$AF$459,0)),"")</f>
        <v/>
      </c>
      <c r="M398" s="35" t="str">
        <f>IFERROR(INDEX($AC$310:$AC$459,MATCH(ROWS($A$310:A398),$AF$310:$AF$459,0)),"")</f>
        <v/>
      </c>
      <c r="N398" s="35" t="str">
        <f>IFERROR(INDEX($AD$310:$AD$459,MATCH(ROWS($A$310:A398),$AF$310:$AF$459,0)),"")</f>
        <v/>
      </c>
      <c r="Q398" t="str">
        <f>T(JAN!B94)</f>
        <v/>
      </c>
      <c r="R398" t="str">
        <f t="array" ref="R398">IF($Q398="","",_xlfn.TEXTJOIN(", ",TRUE,IF(JAN!$G94:$AK94="FE",JAN!$G$4:$AK$4,"")))</f>
        <v/>
      </c>
      <c r="S398" t="str">
        <f t="array" ref="S398">IF($Q398="","",_xlfn.TEXTJOIN(", ",TRUE,IF(FEV!$G94:$AK94="FE",FEV!$G$4:$AK$4,"")))</f>
        <v/>
      </c>
      <c r="T398" t="str">
        <f t="array" ref="T398">IF($Q398="","",_xlfn.TEXTJOIN(", ",TRUE,IF(MAR!$G94:$AK94="FE",MAR!$G$4:$AK$4,"")))</f>
        <v/>
      </c>
      <c r="U398" t="str">
        <f t="array" ref="U398">IF($Q398="","",_xlfn.TEXTJOIN(", ",TRUE,IF(ABR!$G94:$AK94="FE",ABR!$G$4:$AK$4,"")))</f>
        <v/>
      </c>
      <c r="V398" t="str">
        <f t="array" ref="V398">IF($Q398="","",_xlfn.TEXTJOIN(", ",TRUE,IF(MAI!$G94:$AK94="FE",MAI!$G$4:$AK$4,"")))</f>
        <v/>
      </c>
      <c r="W398" t="str">
        <f t="array" ref="W398">IF($Q398="","",_xlfn.TEXTJOIN(", ",TRUE,IF(JUN!$G94:$AK94="FE",JUN!$G$4:$AK$4,"")))</f>
        <v/>
      </c>
      <c r="X398" t="str">
        <f t="array" ref="X398">IF($Q398="","",_xlfn.TEXTJOIN(", ",TRUE,IF(JUL!$G94:$AK94="FE",JUL!$G$4:$AK$4,"")))</f>
        <v/>
      </c>
      <c r="Y398" t="str">
        <f t="array" ref="Y398">IF($Q398="","",_xlfn.TEXTJOIN(", ",TRUE,IF(AGO!$G94:$AK94="FE",AGO!$G$4:$AK$4,"")))</f>
        <v/>
      </c>
      <c r="Z398" t="str">
        <f t="array" ref="Z398">IF($Q398="","",_xlfn.TEXTJOIN(", ",TRUE,IF(SET!$G94:$AK94="FE",SET!$G$4:$AK$4,"")))</f>
        <v/>
      </c>
      <c r="AA398" t="str">
        <f t="array" ref="AA398">IF($Q398="","",_xlfn.TEXTJOIN(", ",TRUE,IF(OUT!$G94:$AK94="FE",OUT!$G$4:$AK$4,"")))</f>
        <v/>
      </c>
      <c r="AB398" t="str">
        <f t="array" ref="AB398">IF($Q398="","",_xlfn.TEXTJOIN(", ",TRUE,IF(NOV!$G94:$AK94="FE",NOV!$G$4:$AK$4,"")))</f>
        <v/>
      </c>
      <c r="AC398" t="str">
        <f t="array" ref="AC398">IF($Q398="","",_xlfn.TEXTJOIN(", ",TRUE,IF(DEZ!$G94:$AK94="FE",DEZ!$G$4:$AK$4,"")))</f>
        <v/>
      </c>
      <c r="AD398" t="str">
        <f>IF($Q398="","",COUNTIF(JAN!$G94:$AK94,"FE")+COUNTIF(FEV!$G94:$AK94,"FE")+COUNTIF(MAR!$G94:$AK94,"FE")+COUNTIF(ABR!$G94:$AK94,"FE")+COUNTIF(MAI!$G94:$AK94,"FE")+COUNTIF(JUN!$G94:$AK94,"FE")+COUNTIF(JUL!$G94:$AK94,"FE")+COUNTIF(AGO!$G94:$AK94,"FE")+COUNTIF(SET!$G94:$AK94,"FE")+COUNTIF(OUT!$G94:$AK94,"FE")+COUNTIF(NOV!$G94:$AK94,"FE")+COUNTIF(DEZ!$G94:$AK94,"FE"))</f>
        <v/>
      </c>
      <c r="AF398" t="str">
        <f>IF(AND($Q398&lt;&gt;"",N($AD398)&gt;0),COUNT($AF$309:AF397)+1,"")</f>
        <v/>
      </c>
    </row>
    <row r="399" spans="1:32" ht="20.100000000000001" customHeight="1" x14ac:dyDescent="0.25">
      <c r="A399" s="36" t="str">
        <f>IFERROR(INDEX($Q$310:$Q$459,MATCH(ROWS($A$310:A399),$AF$310:$AF$459,0)),"")</f>
        <v/>
      </c>
      <c r="B399" s="35" t="str">
        <f>IFERROR(INDEX($R$310:$R$459,MATCH(ROWS($A$310:A399),$AF$310:$AF$459,0)),"")</f>
        <v/>
      </c>
      <c r="C399" s="35" t="str">
        <f>IFERROR(INDEX($S$310:$S$459,MATCH(ROWS($A$310:A399),$AF$310:$AF$459,0)),"")</f>
        <v/>
      </c>
      <c r="D399" s="35" t="str">
        <f>IFERROR(INDEX($T$310:$T$459,MATCH(ROWS($A$310:A399),$AF$310:$AF$459,0)),"")</f>
        <v/>
      </c>
      <c r="E399" s="35" t="str">
        <f>IFERROR(INDEX($U$310:$U$459,MATCH(ROWS($A$310:A399),$AF$310:$AF$459,0)),"")</f>
        <v/>
      </c>
      <c r="F399" s="35" t="str">
        <f>IFERROR(INDEX($V$310:$V$459,MATCH(ROWS($A$310:A399),$AF$310:$AF$459,0)),"")</f>
        <v/>
      </c>
      <c r="G399" s="35" t="str">
        <f>IFERROR(INDEX($W$310:$W$459,MATCH(ROWS($A$310:A399),$AF$310:$AF$459,0)),"")</f>
        <v/>
      </c>
      <c r="H399" s="35" t="str">
        <f>IFERROR(INDEX($X$310:$X$459,MATCH(ROWS($A$310:A399),$AF$310:$AF$459,0)),"")</f>
        <v/>
      </c>
      <c r="I399" s="35" t="str">
        <f>IFERROR(INDEX($Y$310:$Y$459,MATCH(ROWS($A$310:A399),$AF$310:$AF$459,0)),"")</f>
        <v/>
      </c>
      <c r="J399" s="35" t="str">
        <f>IFERROR(INDEX($Z$310:$Z$459,MATCH(ROWS($A$310:A399),$AF$310:$AF$459,0)),"")</f>
        <v/>
      </c>
      <c r="K399" s="35" t="str">
        <f>IFERROR(INDEX($AA$310:$AA$459,MATCH(ROWS($A$310:A399),$AF$310:$AF$459,0)),"")</f>
        <v/>
      </c>
      <c r="L399" s="35" t="str">
        <f>IFERROR(INDEX($AB$310:$AB$459,MATCH(ROWS($A$310:A399),$AF$310:$AF$459,0)),"")</f>
        <v/>
      </c>
      <c r="M399" s="35" t="str">
        <f>IFERROR(INDEX($AC$310:$AC$459,MATCH(ROWS($A$310:A399),$AF$310:$AF$459,0)),"")</f>
        <v/>
      </c>
      <c r="N399" s="35" t="str">
        <f>IFERROR(INDEX($AD$310:$AD$459,MATCH(ROWS($A$310:A399),$AF$310:$AF$459,0)),"")</f>
        <v/>
      </c>
      <c r="Q399" t="str">
        <f>T(JAN!B95)</f>
        <v/>
      </c>
      <c r="R399" t="str">
        <f t="array" ref="R399">IF($Q399="","",_xlfn.TEXTJOIN(", ",TRUE,IF(JAN!$G95:$AK95="FE",JAN!$G$4:$AK$4,"")))</f>
        <v/>
      </c>
      <c r="S399" t="str">
        <f t="array" ref="S399">IF($Q399="","",_xlfn.TEXTJOIN(", ",TRUE,IF(FEV!$G95:$AK95="FE",FEV!$G$4:$AK$4,"")))</f>
        <v/>
      </c>
      <c r="T399" t="str">
        <f t="array" ref="T399">IF($Q399="","",_xlfn.TEXTJOIN(", ",TRUE,IF(MAR!$G95:$AK95="FE",MAR!$G$4:$AK$4,"")))</f>
        <v/>
      </c>
      <c r="U399" t="str">
        <f t="array" ref="U399">IF($Q399="","",_xlfn.TEXTJOIN(", ",TRUE,IF(ABR!$G95:$AK95="FE",ABR!$G$4:$AK$4,"")))</f>
        <v/>
      </c>
      <c r="V399" t="str">
        <f t="array" ref="V399">IF($Q399="","",_xlfn.TEXTJOIN(", ",TRUE,IF(MAI!$G95:$AK95="FE",MAI!$G$4:$AK$4,"")))</f>
        <v/>
      </c>
      <c r="W399" t="str">
        <f t="array" ref="W399">IF($Q399="","",_xlfn.TEXTJOIN(", ",TRUE,IF(JUN!$G95:$AK95="FE",JUN!$G$4:$AK$4,"")))</f>
        <v/>
      </c>
      <c r="X399" t="str">
        <f t="array" ref="X399">IF($Q399="","",_xlfn.TEXTJOIN(", ",TRUE,IF(JUL!$G95:$AK95="FE",JUL!$G$4:$AK$4,"")))</f>
        <v/>
      </c>
      <c r="Y399" t="str">
        <f t="array" ref="Y399">IF($Q399="","",_xlfn.TEXTJOIN(", ",TRUE,IF(AGO!$G95:$AK95="FE",AGO!$G$4:$AK$4,"")))</f>
        <v/>
      </c>
      <c r="Z399" t="str">
        <f t="array" ref="Z399">IF($Q399="","",_xlfn.TEXTJOIN(", ",TRUE,IF(SET!$G95:$AK95="FE",SET!$G$4:$AK$4,"")))</f>
        <v/>
      </c>
      <c r="AA399" t="str">
        <f t="array" ref="AA399">IF($Q399="","",_xlfn.TEXTJOIN(", ",TRUE,IF(OUT!$G95:$AK95="FE",OUT!$G$4:$AK$4,"")))</f>
        <v/>
      </c>
      <c r="AB399" t="str">
        <f t="array" ref="AB399">IF($Q399="","",_xlfn.TEXTJOIN(", ",TRUE,IF(NOV!$G95:$AK95="FE",NOV!$G$4:$AK$4,"")))</f>
        <v/>
      </c>
      <c r="AC399" t="str">
        <f t="array" ref="AC399">IF($Q399="","",_xlfn.TEXTJOIN(", ",TRUE,IF(DEZ!$G95:$AK95="FE",DEZ!$G$4:$AK$4,"")))</f>
        <v/>
      </c>
      <c r="AD399" t="str">
        <f>IF($Q399="","",COUNTIF(JAN!$G95:$AK95,"FE")+COUNTIF(FEV!$G95:$AK95,"FE")+COUNTIF(MAR!$G95:$AK95,"FE")+COUNTIF(ABR!$G95:$AK95,"FE")+COUNTIF(MAI!$G95:$AK95,"FE")+COUNTIF(JUN!$G95:$AK95,"FE")+COUNTIF(JUL!$G95:$AK95,"FE")+COUNTIF(AGO!$G95:$AK95,"FE")+COUNTIF(SET!$G95:$AK95,"FE")+COUNTIF(OUT!$G95:$AK95,"FE")+COUNTIF(NOV!$G95:$AK95,"FE")+COUNTIF(DEZ!$G95:$AK95,"FE"))</f>
        <v/>
      </c>
      <c r="AF399" t="str">
        <f>IF(AND($Q399&lt;&gt;"",N($AD399)&gt;0),COUNT($AF$309:AF398)+1,"")</f>
        <v/>
      </c>
    </row>
    <row r="400" spans="1:32" ht="20.100000000000001" customHeight="1" x14ac:dyDescent="0.25">
      <c r="A400" s="36" t="str">
        <f>IFERROR(INDEX($Q$310:$Q$459,MATCH(ROWS($A$310:A400),$AF$310:$AF$459,0)),"")</f>
        <v/>
      </c>
      <c r="B400" s="35" t="str">
        <f>IFERROR(INDEX($R$310:$R$459,MATCH(ROWS($A$310:A400),$AF$310:$AF$459,0)),"")</f>
        <v/>
      </c>
      <c r="C400" s="35" t="str">
        <f>IFERROR(INDEX($S$310:$S$459,MATCH(ROWS($A$310:A400),$AF$310:$AF$459,0)),"")</f>
        <v/>
      </c>
      <c r="D400" s="35" t="str">
        <f>IFERROR(INDEX($T$310:$T$459,MATCH(ROWS($A$310:A400),$AF$310:$AF$459,0)),"")</f>
        <v/>
      </c>
      <c r="E400" s="35" t="str">
        <f>IFERROR(INDEX($U$310:$U$459,MATCH(ROWS($A$310:A400),$AF$310:$AF$459,0)),"")</f>
        <v/>
      </c>
      <c r="F400" s="35" t="str">
        <f>IFERROR(INDEX($V$310:$V$459,MATCH(ROWS($A$310:A400),$AF$310:$AF$459,0)),"")</f>
        <v/>
      </c>
      <c r="G400" s="35" t="str">
        <f>IFERROR(INDEX($W$310:$W$459,MATCH(ROWS($A$310:A400),$AF$310:$AF$459,0)),"")</f>
        <v/>
      </c>
      <c r="H400" s="35" t="str">
        <f>IFERROR(INDEX($X$310:$X$459,MATCH(ROWS($A$310:A400),$AF$310:$AF$459,0)),"")</f>
        <v/>
      </c>
      <c r="I400" s="35" t="str">
        <f>IFERROR(INDEX($Y$310:$Y$459,MATCH(ROWS($A$310:A400),$AF$310:$AF$459,0)),"")</f>
        <v/>
      </c>
      <c r="J400" s="35" t="str">
        <f>IFERROR(INDEX($Z$310:$Z$459,MATCH(ROWS($A$310:A400),$AF$310:$AF$459,0)),"")</f>
        <v/>
      </c>
      <c r="K400" s="35" t="str">
        <f>IFERROR(INDEX($AA$310:$AA$459,MATCH(ROWS($A$310:A400),$AF$310:$AF$459,0)),"")</f>
        <v/>
      </c>
      <c r="L400" s="35" t="str">
        <f>IFERROR(INDEX($AB$310:$AB$459,MATCH(ROWS($A$310:A400),$AF$310:$AF$459,0)),"")</f>
        <v/>
      </c>
      <c r="M400" s="35" t="str">
        <f>IFERROR(INDEX($AC$310:$AC$459,MATCH(ROWS($A$310:A400),$AF$310:$AF$459,0)),"")</f>
        <v/>
      </c>
      <c r="N400" s="35" t="str">
        <f>IFERROR(INDEX($AD$310:$AD$459,MATCH(ROWS($A$310:A400),$AF$310:$AF$459,0)),"")</f>
        <v/>
      </c>
      <c r="Q400" t="str">
        <f>T(JAN!B96)</f>
        <v/>
      </c>
      <c r="R400" t="str">
        <f t="array" ref="R400">IF($Q400="","",_xlfn.TEXTJOIN(", ",TRUE,IF(JAN!$G96:$AK96="FE",JAN!$G$4:$AK$4,"")))</f>
        <v/>
      </c>
      <c r="S400" t="str">
        <f t="array" ref="S400">IF($Q400="","",_xlfn.TEXTJOIN(", ",TRUE,IF(FEV!$G96:$AK96="FE",FEV!$G$4:$AK$4,"")))</f>
        <v/>
      </c>
      <c r="T400" t="str">
        <f t="array" ref="T400">IF($Q400="","",_xlfn.TEXTJOIN(", ",TRUE,IF(MAR!$G96:$AK96="FE",MAR!$G$4:$AK$4,"")))</f>
        <v/>
      </c>
      <c r="U400" t="str">
        <f t="array" ref="U400">IF($Q400="","",_xlfn.TEXTJOIN(", ",TRUE,IF(ABR!$G96:$AK96="FE",ABR!$G$4:$AK$4,"")))</f>
        <v/>
      </c>
      <c r="V400" t="str">
        <f t="array" ref="V400">IF($Q400="","",_xlfn.TEXTJOIN(", ",TRUE,IF(MAI!$G96:$AK96="FE",MAI!$G$4:$AK$4,"")))</f>
        <v/>
      </c>
      <c r="W400" t="str">
        <f t="array" ref="W400">IF($Q400="","",_xlfn.TEXTJOIN(", ",TRUE,IF(JUN!$G96:$AK96="FE",JUN!$G$4:$AK$4,"")))</f>
        <v/>
      </c>
      <c r="X400" t="str">
        <f t="array" ref="X400">IF($Q400="","",_xlfn.TEXTJOIN(", ",TRUE,IF(JUL!$G96:$AK96="FE",JUL!$G$4:$AK$4,"")))</f>
        <v/>
      </c>
      <c r="Y400" t="str">
        <f t="array" ref="Y400">IF($Q400="","",_xlfn.TEXTJOIN(", ",TRUE,IF(AGO!$G96:$AK96="FE",AGO!$G$4:$AK$4,"")))</f>
        <v/>
      </c>
      <c r="Z400" t="str">
        <f t="array" ref="Z400">IF($Q400="","",_xlfn.TEXTJOIN(", ",TRUE,IF(SET!$G96:$AK96="FE",SET!$G$4:$AK$4,"")))</f>
        <v/>
      </c>
      <c r="AA400" t="str">
        <f t="array" ref="AA400">IF($Q400="","",_xlfn.TEXTJOIN(", ",TRUE,IF(OUT!$G96:$AK96="FE",OUT!$G$4:$AK$4,"")))</f>
        <v/>
      </c>
      <c r="AB400" t="str">
        <f t="array" ref="AB400">IF($Q400="","",_xlfn.TEXTJOIN(", ",TRUE,IF(NOV!$G96:$AK96="FE",NOV!$G$4:$AK$4,"")))</f>
        <v/>
      </c>
      <c r="AC400" t="str">
        <f t="array" ref="AC400">IF($Q400="","",_xlfn.TEXTJOIN(", ",TRUE,IF(DEZ!$G96:$AK96="FE",DEZ!$G$4:$AK$4,"")))</f>
        <v/>
      </c>
      <c r="AD400" t="str">
        <f>IF($Q400="","",COUNTIF(JAN!$G96:$AK96,"FE")+COUNTIF(FEV!$G96:$AK96,"FE")+COUNTIF(MAR!$G96:$AK96,"FE")+COUNTIF(ABR!$G96:$AK96,"FE")+COUNTIF(MAI!$G96:$AK96,"FE")+COUNTIF(JUN!$G96:$AK96,"FE")+COUNTIF(JUL!$G96:$AK96,"FE")+COUNTIF(AGO!$G96:$AK96,"FE")+COUNTIF(SET!$G96:$AK96,"FE")+COUNTIF(OUT!$G96:$AK96,"FE")+COUNTIF(NOV!$G96:$AK96,"FE")+COUNTIF(DEZ!$G96:$AK96,"FE"))</f>
        <v/>
      </c>
      <c r="AF400" t="str">
        <f>IF(AND($Q400&lt;&gt;"",N($AD400)&gt;0),COUNT($AF$309:AF399)+1,"")</f>
        <v/>
      </c>
    </row>
    <row r="401" spans="1:32" ht="20.100000000000001" customHeight="1" x14ac:dyDescent="0.25">
      <c r="A401" s="36" t="str">
        <f>IFERROR(INDEX($Q$310:$Q$459,MATCH(ROWS($A$310:A401),$AF$310:$AF$459,0)),"")</f>
        <v/>
      </c>
      <c r="B401" s="35" t="str">
        <f>IFERROR(INDEX($R$310:$R$459,MATCH(ROWS($A$310:A401),$AF$310:$AF$459,0)),"")</f>
        <v/>
      </c>
      <c r="C401" s="35" t="str">
        <f>IFERROR(INDEX($S$310:$S$459,MATCH(ROWS($A$310:A401),$AF$310:$AF$459,0)),"")</f>
        <v/>
      </c>
      <c r="D401" s="35" t="str">
        <f>IFERROR(INDEX($T$310:$T$459,MATCH(ROWS($A$310:A401),$AF$310:$AF$459,0)),"")</f>
        <v/>
      </c>
      <c r="E401" s="35" t="str">
        <f>IFERROR(INDEX($U$310:$U$459,MATCH(ROWS($A$310:A401),$AF$310:$AF$459,0)),"")</f>
        <v/>
      </c>
      <c r="F401" s="35" t="str">
        <f>IFERROR(INDEX($V$310:$V$459,MATCH(ROWS($A$310:A401),$AF$310:$AF$459,0)),"")</f>
        <v/>
      </c>
      <c r="G401" s="35" t="str">
        <f>IFERROR(INDEX($W$310:$W$459,MATCH(ROWS($A$310:A401),$AF$310:$AF$459,0)),"")</f>
        <v/>
      </c>
      <c r="H401" s="35" t="str">
        <f>IFERROR(INDEX($X$310:$X$459,MATCH(ROWS($A$310:A401),$AF$310:$AF$459,0)),"")</f>
        <v/>
      </c>
      <c r="I401" s="35" t="str">
        <f>IFERROR(INDEX($Y$310:$Y$459,MATCH(ROWS($A$310:A401),$AF$310:$AF$459,0)),"")</f>
        <v/>
      </c>
      <c r="J401" s="35" t="str">
        <f>IFERROR(INDEX($Z$310:$Z$459,MATCH(ROWS($A$310:A401),$AF$310:$AF$459,0)),"")</f>
        <v/>
      </c>
      <c r="K401" s="35" t="str">
        <f>IFERROR(INDEX($AA$310:$AA$459,MATCH(ROWS($A$310:A401),$AF$310:$AF$459,0)),"")</f>
        <v/>
      </c>
      <c r="L401" s="35" t="str">
        <f>IFERROR(INDEX($AB$310:$AB$459,MATCH(ROWS($A$310:A401),$AF$310:$AF$459,0)),"")</f>
        <v/>
      </c>
      <c r="M401" s="35" t="str">
        <f>IFERROR(INDEX($AC$310:$AC$459,MATCH(ROWS($A$310:A401),$AF$310:$AF$459,0)),"")</f>
        <v/>
      </c>
      <c r="N401" s="35" t="str">
        <f>IFERROR(INDEX($AD$310:$AD$459,MATCH(ROWS($A$310:A401),$AF$310:$AF$459,0)),"")</f>
        <v/>
      </c>
      <c r="Q401" t="str">
        <f>T(JAN!B97)</f>
        <v/>
      </c>
      <c r="R401" t="str">
        <f t="array" ref="R401">IF($Q401="","",_xlfn.TEXTJOIN(", ",TRUE,IF(JAN!$G97:$AK97="FE",JAN!$G$4:$AK$4,"")))</f>
        <v/>
      </c>
      <c r="S401" t="str">
        <f t="array" ref="S401">IF($Q401="","",_xlfn.TEXTJOIN(", ",TRUE,IF(FEV!$G97:$AK97="FE",FEV!$G$4:$AK$4,"")))</f>
        <v/>
      </c>
      <c r="T401" t="str">
        <f t="array" ref="T401">IF($Q401="","",_xlfn.TEXTJOIN(", ",TRUE,IF(MAR!$G97:$AK97="FE",MAR!$G$4:$AK$4,"")))</f>
        <v/>
      </c>
      <c r="U401" t="str">
        <f t="array" ref="U401">IF($Q401="","",_xlfn.TEXTJOIN(", ",TRUE,IF(ABR!$G97:$AK97="FE",ABR!$G$4:$AK$4,"")))</f>
        <v/>
      </c>
      <c r="V401" t="str">
        <f t="array" ref="V401">IF($Q401="","",_xlfn.TEXTJOIN(", ",TRUE,IF(MAI!$G97:$AK97="FE",MAI!$G$4:$AK$4,"")))</f>
        <v/>
      </c>
      <c r="W401" t="str">
        <f t="array" ref="W401">IF($Q401="","",_xlfn.TEXTJOIN(", ",TRUE,IF(JUN!$G97:$AK97="FE",JUN!$G$4:$AK$4,"")))</f>
        <v/>
      </c>
      <c r="X401" t="str">
        <f t="array" ref="X401">IF($Q401="","",_xlfn.TEXTJOIN(", ",TRUE,IF(JUL!$G97:$AK97="FE",JUL!$G$4:$AK$4,"")))</f>
        <v/>
      </c>
      <c r="Y401" t="str">
        <f t="array" ref="Y401">IF($Q401="","",_xlfn.TEXTJOIN(", ",TRUE,IF(AGO!$G97:$AK97="FE",AGO!$G$4:$AK$4,"")))</f>
        <v/>
      </c>
      <c r="Z401" t="str">
        <f t="array" ref="Z401">IF($Q401="","",_xlfn.TEXTJOIN(", ",TRUE,IF(SET!$G97:$AK97="FE",SET!$G$4:$AK$4,"")))</f>
        <v/>
      </c>
      <c r="AA401" t="str">
        <f t="array" ref="AA401">IF($Q401="","",_xlfn.TEXTJOIN(", ",TRUE,IF(OUT!$G97:$AK97="FE",OUT!$G$4:$AK$4,"")))</f>
        <v/>
      </c>
      <c r="AB401" t="str">
        <f t="array" ref="AB401">IF($Q401="","",_xlfn.TEXTJOIN(", ",TRUE,IF(NOV!$G97:$AK97="FE",NOV!$G$4:$AK$4,"")))</f>
        <v/>
      </c>
      <c r="AC401" t="str">
        <f t="array" ref="AC401">IF($Q401="","",_xlfn.TEXTJOIN(", ",TRUE,IF(DEZ!$G97:$AK97="FE",DEZ!$G$4:$AK$4,"")))</f>
        <v/>
      </c>
      <c r="AD401" t="str">
        <f>IF($Q401="","",COUNTIF(JAN!$G97:$AK97,"FE")+COUNTIF(FEV!$G97:$AK97,"FE")+COUNTIF(MAR!$G97:$AK97,"FE")+COUNTIF(ABR!$G97:$AK97,"FE")+COUNTIF(MAI!$G97:$AK97,"FE")+COUNTIF(JUN!$G97:$AK97,"FE")+COUNTIF(JUL!$G97:$AK97,"FE")+COUNTIF(AGO!$G97:$AK97,"FE")+COUNTIF(SET!$G97:$AK97,"FE")+COUNTIF(OUT!$G97:$AK97,"FE")+COUNTIF(NOV!$G97:$AK97,"FE")+COUNTIF(DEZ!$G97:$AK97,"FE"))</f>
        <v/>
      </c>
      <c r="AF401" t="str">
        <f>IF(AND($Q401&lt;&gt;"",N($AD401)&gt;0),COUNT($AF$309:AF400)+1,"")</f>
        <v/>
      </c>
    </row>
    <row r="402" spans="1:32" ht="20.100000000000001" customHeight="1" x14ac:dyDescent="0.25">
      <c r="A402" s="36" t="str">
        <f>IFERROR(INDEX($Q$310:$Q$459,MATCH(ROWS($A$310:A402),$AF$310:$AF$459,0)),"")</f>
        <v/>
      </c>
      <c r="B402" s="35" t="str">
        <f>IFERROR(INDEX($R$310:$R$459,MATCH(ROWS($A$310:A402),$AF$310:$AF$459,0)),"")</f>
        <v/>
      </c>
      <c r="C402" s="35" t="str">
        <f>IFERROR(INDEX($S$310:$S$459,MATCH(ROWS($A$310:A402),$AF$310:$AF$459,0)),"")</f>
        <v/>
      </c>
      <c r="D402" s="35" t="str">
        <f>IFERROR(INDEX($T$310:$T$459,MATCH(ROWS($A$310:A402),$AF$310:$AF$459,0)),"")</f>
        <v/>
      </c>
      <c r="E402" s="35" t="str">
        <f>IFERROR(INDEX($U$310:$U$459,MATCH(ROWS($A$310:A402),$AF$310:$AF$459,0)),"")</f>
        <v/>
      </c>
      <c r="F402" s="35" t="str">
        <f>IFERROR(INDEX($V$310:$V$459,MATCH(ROWS($A$310:A402),$AF$310:$AF$459,0)),"")</f>
        <v/>
      </c>
      <c r="G402" s="35" t="str">
        <f>IFERROR(INDEX($W$310:$W$459,MATCH(ROWS($A$310:A402),$AF$310:$AF$459,0)),"")</f>
        <v/>
      </c>
      <c r="H402" s="35" t="str">
        <f>IFERROR(INDEX($X$310:$X$459,MATCH(ROWS($A$310:A402),$AF$310:$AF$459,0)),"")</f>
        <v/>
      </c>
      <c r="I402" s="35" t="str">
        <f>IFERROR(INDEX($Y$310:$Y$459,MATCH(ROWS($A$310:A402),$AF$310:$AF$459,0)),"")</f>
        <v/>
      </c>
      <c r="J402" s="35" t="str">
        <f>IFERROR(INDEX($Z$310:$Z$459,MATCH(ROWS($A$310:A402),$AF$310:$AF$459,0)),"")</f>
        <v/>
      </c>
      <c r="K402" s="35" t="str">
        <f>IFERROR(INDEX($AA$310:$AA$459,MATCH(ROWS($A$310:A402),$AF$310:$AF$459,0)),"")</f>
        <v/>
      </c>
      <c r="L402" s="35" t="str">
        <f>IFERROR(INDEX($AB$310:$AB$459,MATCH(ROWS($A$310:A402),$AF$310:$AF$459,0)),"")</f>
        <v/>
      </c>
      <c r="M402" s="35" t="str">
        <f>IFERROR(INDEX($AC$310:$AC$459,MATCH(ROWS($A$310:A402),$AF$310:$AF$459,0)),"")</f>
        <v/>
      </c>
      <c r="N402" s="35" t="str">
        <f>IFERROR(INDEX($AD$310:$AD$459,MATCH(ROWS($A$310:A402),$AF$310:$AF$459,0)),"")</f>
        <v/>
      </c>
      <c r="Q402" t="str">
        <f>T(JAN!B98)</f>
        <v/>
      </c>
      <c r="R402" t="str">
        <f t="array" ref="R402">IF($Q402="","",_xlfn.TEXTJOIN(", ",TRUE,IF(JAN!$G98:$AK98="FE",JAN!$G$4:$AK$4,"")))</f>
        <v/>
      </c>
      <c r="S402" t="str">
        <f t="array" ref="S402">IF($Q402="","",_xlfn.TEXTJOIN(", ",TRUE,IF(FEV!$G98:$AK98="FE",FEV!$G$4:$AK$4,"")))</f>
        <v/>
      </c>
      <c r="T402" t="str">
        <f t="array" ref="T402">IF($Q402="","",_xlfn.TEXTJOIN(", ",TRUE,IF(MAR!$G98:$AK98="FE",MAR!$G$4:$AK$4,"")))</f>
        <v/>
      </c>
      <c r="U402" t="str">
        <f t="array" ref="U402">IF($Q402="","",_xlfn.TEXTJOIN(", ",TRUE,IF(ABR!$G98:$AK98="FE",ABR!$G$4:$AK$4,"")))</f>
        <v/>
      </c>
      <c r="V402" t="str">
        <f t="array" ref="V402">IF($Q402="","",_xlfn.TEXTJOIN(", ",TRUE,IF(MAI!$G98:$AK98="FE",MAI!$G$4:$AK$4,"")))</f>
        <v/>
      </c>
      <c r="W402" t="str">
        <f t="array" ref="W402">IF($Q402="","",_xlfn.TEXTJOIN(", ",TRUE,IF(JUN!$G98:$AK98="FE",JUN!$G$4:$AK$4,"")))</f>
        <v/>
      </c>
      <c r="X402" t="str">
        <f t="array" ref="X402">IF($Q402="","",_xlfn.TEXTJOIN(", ",TRUE,IF(JUL!$G98:$AK98="FE",JUL!$G$4:$AK$4,"")))</f>
        <v/>
      </c>
      <c r="Y402" t="str">
        <f t="array" ref="Y402">IF($Q402="","",_xlfn.TEXTJOIN(", ",TRUE,IF(AGO!$G98:$AK98="FE",AGO!$G$4:$AK$4,"")))</f>
        <v/>
      </c>
      <c r="Z402" t="str">
        <f t="array" ref="Z402">IF($Q402="","",_xlfn.TEXTJOIN(", ",TRUE,IF(SET!$G98:$AK98="FE",SET!$G$4:$AK$4,"")))</f>
        <v/>
      </c>
      <c r="AA402" t="str">
        <f t="array" ref="AA402">IF($Q402="","",_xlfn.TEXTJOIN(", ",TRUE,IF(OUT!$G98:$AK98="FE",OUT!$G$4:$AK$4,"")))</f>
        <v/>
      </c>
      <c r="AB402" t="str">
        <f t="array" ref="AB402">IF($Q402="","",_xlfn.TEXTJOIN(", ",TRUE,IF(NOV!$G98:$AK98="FE",NOV!$G$4:$AK$4,"")))</f>
        <v/>
      </c>
      <c r="AC402" t="str">
        <f t="array" ref="AC402">IF($Q402="","",_xlfn.TEXTJOIN(", ",TRUE,IF(DEZ!$G98:$AK98="FE",DEZ!$G$4:$AK$4,"")))</f>
        <v/>
      </c>
      <c r="AD402" t="str">
        <f>IF($Q402="","",COUNTIF(JAN!$G98:$AK98,"FE")+COUNTIF(FEV!$G98:$AK98,"FE")+COUNTIF(MAR!$G98:$AK98,"FE")+COUNTIF(ABR!$G98:$AK98,"FE")+COUNTIF(MAI!$G98:$AK98,"FE")+COUNTIF(JUN!$G98:$AK98,"FE")+COUNTIF(JUL!$G98:$AK98,"FE")+COUNTIF(AGO!$G98:$AK98,"FE")+COUNTIF(SET!$G98:$AK98,"FE")+COUNTIF(OUT!$G98:$AK98,"FE")+COUNTIF(NOV!$G98:$AK98,"FE")+COUNTIF(DEZ!$G98:$AK98,"FE"))</f>
        <v/>
      </c>
      <c r="AF402" t="str">
        <f>IF(AND($Q402&lt;&gt;"",N($AD402)&gt;0),COUNT($AF$309:AF401)+1,"")</f>
        <v/>
      </c>
    </row>
    <row r="403" spans="1:32" ht="20.100000000000001" customHeight="1" x14ac:dyDescent="0.25">
      <c r="A403" s="36" t="str">
        <f>IFERROR(INDEX($Q$310:$Q$459,MATCH(ROWS($A$310:A403),$AF$310:$AF$459,0)),"")</f>
        <v/>
      </c>
      <c r="B403" s="35" t="str">
        <f>IFERROR(INDEX($R$310:$R$459,MATCH(ROWS($A$310:A403),$AF$310:$AF$459,0)),"")</f>
        <v/>
      </c>
      <c r="C403" s="35" t="str">
        <f>IFERROR(INDEX($S$310:$S$459,MATCH(ROWS($A$310:A403),$AF$310:$AF$459,0)),"")</f>
        <v/>
      </c>
      <c r="D403" s="35" t="str">
        <f>IFERROR(INDEX($T$310:$T$459,MATCH(ROWS($A$310:A403),$AF$310:$AF$459,0)),"")</f>
        <v/>
      </c>
      <c r="E403" s="35" t="str">
        <f>IFERROR(INDEX($U$310:$U$459,MATCH(ROWS($A$310:A403),$AF$310:$AF$459,0)),"")</f>
        <v/>
      </c>
      <c r="F403" s="35" t="str">
        <f>IFERROR(INDEX($V$310:$V$459,MATCH(ROWS($A$310:A403),$AF$310:$AF$459,0)),"")</f>
        <v/>
      </c>
      <c r="G403" s="35" t="str">
        <f>IFERROR(INDEX($W$310:$W$459,MATCH(ROWS($A$310:A403),$AF$310:$AF$459,0)),"")</f>
        <v/>
      </c>
      <c r="H403" s="35" t="str">
        <f>IFERROR(INDEX($X$310:$X$459,MATCH(ROWS($A$310:A403),$AF$310:$AF$459,0)),"")</f>
        <v/>
      </c>
      <c r="I403" s="35" t="str">
        <f>IFERROR(INDEX($Y$310:$Y$459,MATCH(ROWS($A$310:A403),$AF$310:$AF$459,0)),"")</f>
        <v/>
      </c>
      <c r="J403" s="35" t="str">
        <f>IFERROR(INDEX($Z$310:$Z$459,MATCH(ROWS($A$310:A403),$AF$310:$AF$459,0)),"")</f>
        <v/>
      </c>
      <c r="K403" s="35" t="str">
        <f>IFERROR(INDEX($AA$310:$AA$459,MATCH(ROWS($A$310:A403),$AF$310:$AF$459,0)),"")</f>
        <v/>
      </c>
      <c r="L403" s="35" t="str">
        <f>IFERROR(INDEX($AB$310:$AB$459,MATCH(ROWS($A$310:A403),$AF$310:$AF$459,0)),"")</f>
        <v/>
      </c>
      <c r="M403" s="35" t="str">
        <f>IFERROR(INDEX($AC$310:$AC$459,MATCH(ROWS($A$310:A403),$AF$310:$AF$459,0)),"")</f>
        <v/>
      </c>
      <c r="N403" s="35" t="str">
        <f>IFERROR(INDEX($AD$310:$AD$459,MATCH(ROWS($A$310:A403),$AF$310:$AF$459,0)),"")</f>
        <v/>
      </c>
      <c r="Q403" t="str">
        <f>T(JAN!B99)</f>
        <v/>
      </c>
      <c r="R403" t="str">
        <f t="array" ref="R403">IF($Q403="","",_xlfn.TEXTJOIN(", ",TRUE,IF(JAN!$G99:$AK99="FE",JAN!$G$4:$AK$4,"")))</f>
        <v/>
      </c>
      <c r="S403" t="str">
        <f t="array" ref="S403">IF($Q403="","",_xlfn.TEXTJOIN(", ",TRUE,IF(FEV!$G99:$AK99="FE",FEV!$G$4:$AK$4,"")))</f>
        <v/>
      </c>
      <c r="T403" t="str">
        <f t="array" ref="T403">IF($Q403="","",_xlfn.TEXTJOIN(", ",TRUE,IF(MAR!$G99:$AK99="FE",MAR!$G$4:$AK$4,"")))</f>
        <v/>
      </c>
      <c r="U403" t="str">
        <f t="array" ref="U403">IF($Q403="","",_xlfn.TEXTJOIN(", ",TRUE,IF(ABR!$G99:$AK99="FE",ABR!$G$4:$AK$4,"")))</f>
        <v/>
      </c>
      <c r="V403" t="str">
        <f t="array" ref="V403">IF($Q403="","",_xlfn.TEXTJOIN(", ",TRUE,IF(MAI!$G99:$AK99="FE",MAI!$G$4:$AK$4,"")))</f>
        <v/>
      </c>
      <c r="W403" t="str">
        <f t="array" ref="W403">IF($Q403="","",_xlfn.TEXTJOIN(", ",TRUE,IF(JUN!$G99:$AK99="FE",JUN!$G$4:$AK$4,"")))</f>
        <v/>
      </c>
      <c r="X403" t="str">
        <f t="array" ref="X403">IF($Q403="","",_xlfn.TEXTJOIN(", ",TRUE,IF(JUL!$G99:$AK99="FE",JUL!$G$4:$AK$4,"")))</f>
        <v/>
      </c>
      <c r="Y403" t="str">
        <f t="array" ref="Y403">IF($Q403="","",_xlfn.TEXTJOIN(", ",TRUE,IF(AGO!$G99:$AK99="FE",AGO!$G$4:$AK$4,"")))</f>
        <v/>
      </c>
      <c r="Z403" t="str">
        <f t="array" ref="Z403">IF($Q403="","",_xlfn.TEXTJOIN(", ",TRUE,IF(SET!$G99:$AK99="FE",SET!$G$4:$AK$4,"")))</f>
        <v/>
      </c>
      <c r="AA403" t="str">
        <f t="array" ref="AA403">IF($Q403="","",_xlfn.TEXTJOIN(", ",TRUE,IF(OUT!$G99:$AK99="FE",OUT!$G$4:$AK$4,"")))</f>
        <v/>
      </c>
      <c r="AB403" t="str">
        <f t="array" ref="AB403">IF($Q403="","",_xlfn.TEXTJOIN(", ",TRUE,IF(NOV!$G99:$AK99="FE",NOV!$G$4:$AK$4,"")))</f>
        <v/>
      </c>
      <c r="AC403" t="str">
        <f t="array" ref="AC403">IF($Q403="","",_xlfn.TEXTJOIN(", ",TRUE,IF(DEZ!$G99:$AK99="FE",DEZ!$G$4:$AK$4,"")))</f>
        <v/>
      </c>
      <c r="AD403" t="str">
        <f>IF($Q403="","",COUNTIF(JAN!$G99:$AK99,"FE")+COUNTIF(FEV!$G99:$AK99,"FE")+COUNTIF(MAR!$G99:$AK99,"FE")+COUNTIF(ABR!$G99:$AK99,"FE")+COUNTIF(MAI!$G99:$AK99,"FE")+COUNTIF(JUN!$G99:$AK99,"FE")+COUNTIF(JUL!$G99:$AK99,"FE")+COUNTIF(AGO!$G99:$AK99,"FE")+COUNTIF(SET!$G99:$AK99,"FE")+COUNTIF(OUT!$G99:$AK99,"FE")+COUNTIF(NOV!$G99:$AK99,"FE")+COUNTIF(DEZ!$G99:$AK99,"FE"))</f>
        <v/>
      </c>
      <c r="AF403" t="str">
        <f>IF(AND($Q403&lt;&gt;"",N($AD403)&gt;0),COUNT($AF$309:AF402)+1,"")</f>
        <v/>
      </c>
    </row>
    <row r="404" spans="1:32" ht="20.100000000000001" customHeight="1" x14ac:dyDescent="0.25">
      <c r="A404" s="36" t="str">
        <f>IFERROR(INDEX($Q$310:$Q$459,MATCH(ROWS($A$310:A404),$AF$310:$AF$459,0)),"")</f>
        <v/>
      </c>
      <c r="B404" s="35" t="str">
        <f>IFERROR(INDEX($R$310:$R$459,MATCH(ROWS($A$310:A404),$AF$310:$AF$459,0)),"")</f>
        <v/>
      </c>
      <c r="C404" s="35" t="str">
        <f>IFERROR(INDEX($S$310:$S$459,MATCH(ROWS($A$310:A404),$AF$310:$AF$459,0)),"")</f>
        <v/>
      </c>
      <c r="D404" s="35" t="str">
        <f>IFERROR(INDEX($T$310:$T$459,MATCH(ROWS($A$310:A404),$AF$310:$AF$459,0)),"")</f>
        <v/>
      </c>
      <c r="E404" s="35" t="str">
        <f>IFERROR(INDEX($U$310:$U$459,MATCH(ROWS($A$310:A404),$AF$310:$AF$459,0)),"")</f>
        <v/>
      </c>
      <c r="F404" s="35" t="str">
        <f>IFERROR(INDEX($V$310:$V$459,MATCH(ROWS($A$310:A404),$AF$310:$AF$459,0)),"")</f>
        <v/>
      </c>
      <c r="G404" s="35" t="str">
        <f>IFERROR(INDEX($W$310:$W$459,MATCH(ROWS($A$310:A404),$AF$310:$AF$459,0)),"")</f>
        <v/>
      </c>
      <c r="H404" s="35" t="str">
        <f>IFERROR(INDEX($X$310:$X$459,MATCH(ROWS($A$310:A404),$AF$310:$AF$459,0)),"")</f>
        <v/>
      </c>
      <c r="I404" s="35" t="str">
        <f>IFERROR(INDEX($Y$310:$Y$459,MATCH(ROWS($A$310:A404),$AF$310:$AF$459,0)),"")</f>
        <v/>
      </c>
      <c r="J404" s="35" t="str">
        <f>IFERROR(INDEX($Z$310:$Z$459,MATCH(ROWS($A$310:A404),$AF$310:$AF$459,0)),"")</f>
        <v/>
      </c>
      <c r="K404" s="35" t="str">
        <f>IFERROR(INDEX($AA$310:$AA$459,MATCH(ROWS($A$310:A404),$AF$310:$AF$459,0)),"")</f>
        <v/>
      </c>
      <c r="L404" s="35" t="str">
        <f>IFERROR(INDEX($AB$310:$AB$459,MATCH(ROWS($A$310:A404),$AF$310:$AF$459,0)),"")</f>
        <v/>
      </c>
      <c r="M404" s="35" t="str">
        <f>IFERROR(INDEX($AC$310:$AC$459,MATCH(ROWS($A$310:A404),$AF$310:$AF$459,0)),"")</f>
        <v/>
      </c>
      <c r="N404" s="35" t="str">
        <f>IFERROR(INDEX($AD$310:$AD$459,MATCH(ROWS($A$310:A404),$AF$310:$AF$459,0)),"")</f>
        <v/>
      </c>
      <c r="Q404" t="str">
        <f>T(JAN!B100)</f>
        <v/>
      </c>
      <c r="R404" t="str">
        <f t="array" ref="R404">IF($Q404="","",_xlfn.TEXTJOIN(", ",TRUE,IF(JAN!$G100:$AK100="FE",JAN!$G$4:$AK$4,"")))</f>
        <v/>
      </c>
      <c r="S404" t="str">
        <f t="array" ref="S404">IF($Q404="","",_xlfn.TEXTJOIN(", ",TRUE,IF(FEV!$G100:$AK100="FE",FEV!$G$4:$AK$4,"")))</f>
        <v/>
      </c>
      <c r="T404" t="str">
        <f t="array" ref="T404">IF($Q404="","",_xlfn.TEXTJOIN(", ",TRUE,IF(MAR!$G100:$AK100="FE",MAR!$G$4:$AK$4,"")))</f>
        <v/>
      </c>
      <c r="U404" t="str">
        <f t="array" ref="U404">IF($Q404="","",_xlfn.TEXTJOIN(", ",TRUE,IF(ABR!$G100:$AK100="FE",ABR!$G$4:$AK$4,"")))</f>
        <v/>
      </c>
      <c r="V404" t="str">
        <f t="array" ref="V404">IF($Q404="","",_xlfn.TEXTJOIN(", ",TRUE,IF(MAI!$G100:$AK100="FE",MAI!$G$4:$AK$4,"")))</f>
        <v/>
      </c>
      <c r="W404" t="str">
        <f t="array" ref="W404">IF($Q404="","",_xlfn.TEXTJOIN(", ",TRUE,IF(JUN!$G100:$AK100="FE",JUN!$G$4:$AK$4,"")))</f>
        <v/>
      </c>
      <c r="X404" t="str">
        <f t="array" ref="X404">IF($Q404="","",_xlfn.TEXTJOIN(", ",TRUE,IF(JUL!$G100:$AK100="FE",JUL!$G$4:$AK$4,"")))</f>
        <v/>
      </c>
      <c r="Y404" t="str">
        <f t="array" ref="Y404">IF($Q404="","",_xlfn.TEXTJOIN(", ",TRUE,IF(AGO!$G100:$AK100="FE",AGO!$G$4:$AK$4,"")))</f>
        <v/>
      </c>
      <c r="Z404" t="str">
        <f t="array" ref="Z404">IF($Q404="","",_xlfn.TEXTJOIN(", ",TRUE,IF(SET!$G100:$AK100="FE",SET!$G$4:$AK$4,"")))</f>
        <v/>
      </c>
      <c r="AA404" t="str">
        <f t="array" ref="AA404">IF($Q404="","",_xlfn.TEXTJOIN(", ",TRUE,IF(OUT!$G100:$AK100="FE",OUT!$G$4:$AK$4,"")))</f>
        <v/>
      </c>
      <c r="AB404" t="str">
        <f t="array" ref="AB404">IF($Q404="","",_xlfn.TEXTJOIN(", ",TRUE,IF(NOV!$G100:$AK100="FE",NOV!$G$4:$AK$4,"")))</f>
        <v/>
      </c>
      <c r="AC404" t="str">
        <f t="array" ref="AC404">IF($Q404="","",_xlfn.TEXTJOIN(", ",TRUE,IF(DEZ!$G100:$AK100="FE",DEZ!$G$4:$AK$4,"")))</f>
        <v/>
      </c>
      <c r="AD404" t="str">
        <f>IF($Q404="","",COUNTIF(JAN!$G100:$AK100,"FE")+COUNTIF(FEV!$G100:$AK100,"FE")+COUNTIF(MAR!$G100:$AK100,"FE")+COUNTIF(ABR!$G100:$AK100,"FE")+COUNTIF(MAI!$G100:$AK100,"FE")+COUNTIF(JUN!$G100:$AK100,"FE")+COUNTIF(JUL!$G100:$AK100,"FE")+COUNTIF(AGO!$G100:$AK100,"FE")+COUNTIF(SET!$G100:$AK100,"FE")+COUNTIF(OUT!$G100:$AK100,"FE")+COUNTIF(NOV!$G100:$AK100,"FE")+COUNTIF(DEZ!$G100:$AK100,"FE"))</f>
        <v/>
      </c>
      <c r="AF404" t="str">
        <f>IF(AND($Q404&lt;&gt;"",N($AD404)&gt;0),COUNT($AF$309:AF403)+1,"")</f>
        <v/>
      </c>
    </row>
    <row r="405" spans="1:32" ht="20.100000000000001" customHeight="1" x14ac:dyDescent="0.25">
      <c r="A405" s="36" t="str">
        <f>IFERROR(INDEX($Q$310:$Q$459,MATCH(ROWS($A$310:A405),$AF$310:$AF$459,0)),"")</f>
        <v/>
      </c>
      <c r="B405" s="35" t="str">
        <f>IFERROR(INDEX($R$310:$R$459,MATCH(ROWS($A$310:A405),$AF$310:$AF$459,0)),"")</f>
        <v/>
      </c>
      <c r="C405" s="35" t="str">
        <f>IFERROR(INDEX($S$310:$S$459,MATCH(ROWS($A$310:A405),$AF$310:$AF$459,0)),"")</f>
        <v/>
      </c>
      <c r="D405" s="35" t="str">
        <f>IFERROR(INDEX($T$310:$T$459,MATCH(ROWS($A$310:A405),$AF$310:$AF$459,0)),"")</f>
        <v/>
      </c>
      <c r="E405" s="35" t="str">
        <f>IFERROR(INDEX($U$310:$U$459,MATCH(ROWS($A$310:A405),$AF$310:$AF$459,0)),"")</f>
        <v/>
      </c>
      <c r="F405" s="35" t="str">
        <f>IFERROR(INDEX($V$310:$V$459,MATCH(ROWS($A$310:A405),$AF$310:$AF$459,0)),"")</f>
        <v/>
      </c>
      <c r="G405" s="35" t="str">
        <f>IFERROR(INDEX($W$310:$W$459,MATCH(ROWS($A$310:A405),$AF$310:$AF$459,0)),"")</f>
        <v/>
      </c>
      <c r="H405" s="35" t="str">
        <f>IFERROR(INDEX($X$310:$X$459,MATCH(ROWS($A$310:A405),$AF$310:$AF$459,0)),"")</f>
        <v/>
      </c>
      <c r="I405" s="35" t="str">
        <f>IFERROR(INDEX($Y$310:$Y$459,MATCH(ROWS($A$310:A405),$AF$310:$AF$459,0)),"")</f>
        <v/>
      </c>
      <c r="J405" s="35" t="str">
        <f>IFERROR(INDEX($Z$310:$Z$459,MATCH(ROWS($A$310:A405),$AF$310:$AF$459,0)),"")</f>
        <v/>
      </c>
      <c r="K405" s="35" t="str">
        <f>IFERROR(INDEX($AA$310:$AA$459,MATCH(ROWS($A$310:A405),$AF$310:$AF$459,0)),"")</f>
        <v/>
      </c>
      <c r="L405" s="35" t="str">
        <f>IFERROR(INDEX($AB$310:$AB$459,MATCH(ROWS($A$310:A405),$AF$310:$AF$459,0)),"")</f>
        <v/>
      </c>
      <c r="M405" s="35" t="str">
        <f>IFERROR(INDEX($AC$310:$AC$459,MATCH(ROWS($A$310:A405),$AF$310:$AF$459,0)),"")</f>
        <v/>
      </c>
      <c r="N405" s="35" t="str">
        <f>IFERROR(INDEX($AD$310:$AD$459,MATCH(ROWS($A$310:A405),$AF$310:$AF$459,0)),"")</f>
        <v/>
      </c>
      <c r="Q405" t="str">
        <f>T(JAN!B101)</f>
        <v/>
      </c>
      <c r="R405" t="str">
        <f t="array" ref="R405">IF($Q405="","",_xlfn.TEXTJOIN(", ",TRUE,IF(JAN!$G101:$AK101="FE",JAN!$G$4:$AK$4,"")))</f>
        <v/>
      </c>
      <c r="S405" t="str">
        <f t="array" ref="S405">IF($Q405="","",_xlfn.TEXTJOIN(", ",TRUE,IF(FEV!$G101:$AK101="FE",FEV!$G$4:$AK$4,"")))</f>
        <v/>
      </c>
      <c r="T405" t="str">
        <f t="array" ref="T405">IF($Q405="","",_xlfn.TEXTJOIN(", ",TRUE,IF(MAR!$G101:$AK101="FE",MAR!$G$4:$AK$4,"")))</f>
        <v/>
      </c>
      <c r="U405" t="str">
        <f t="array" ref="U405">IF($Q405="","",_xlfn.TEXTJOIN(", ",TRUE,IF(ABR!$G101:$AK101="FE",ABR!$G$4:$AK$4,"")))</f>
        <v/>
      </c>
      <c r="V405" t="str">
        <f t="array" ref="V405">IF($Q405="","",_xlfn.TEXTJOIN(", ",TRUE,IF(MAI!$G101:$AK101="FE",MAI!$G$4:$AK$4,"")))</f>
        <v/>
      </c>
      <c r="W405" t="str">
        <f t="array" ref="W405">IF($Q405="","",_xlfn.TEXTJOIN(", ",TRUE,IF(JUN!$G101:$AK101="FE",JUN!$G$4:$AK$4,"")))</f>
        <v/>
      </c>
      <c r="X405" t="str">
        <f t="array" ref="X405">IF($Q405="","",_xlfn.TEXTJOIN(", ",TRUE,IF(JUL!$G101:$AK101="FE",JUL!$G$4:$AK$4,"")))</f>
        <v/>
      </c>
      <c r="Y405" t="str">
        <f t="array" ref="Y405">IF($Q405="","",_xlfn.TEXTJOIN(", ",TRUE,IF(AGO!$G101:$AK101="FE",AGO!$G$4:$AK$4,"")))</f>
        <v/>
      </c>
      <c r="Z405" t="str">
        <f t="array" ref="Z405">IF($Q405="","",_xlfn.TEXTJOIN(", ",TRUE,IF(SET!$G101:$AK101="FE",SET!$G$4:$AK$4,"")))</f>
        <v/>
      </c>
      <c r="AA405" t="str">
        <f t="array" ref="AA405">IF($Q405="","",_xlfn.TEXTJOIN(", ",TRUE,IF(OUT!$G101:$AK101="FE",OUT!$G$4:$AK$4,"")))</f>
        <v/>
      </c>
      <c r="AB405" t="str">
        <f t="array" ref="AB405">IF($Q405="","",_xlfn.TEXTJOIN(", ",TRUE,IF(NOV!$G101:$AK101="FE",NOV!$G$4:$AK$4,"")))</f>
        <v/>
      </c>
      <c r="AC405" t="str">
        <f t="array" ref="AC405">IF($Q405="","",_xlfn.TEXTJOIN(", ",TRUE,IF(DEZ!$G101:$AK101="FE",DEZ!$G$4:$AK$4,"")))</f>
        <v/>
      </c>
      <c r="AD405" t="str">
        <f>IF($Q405="","",COUNTIF(JAN!$G101:$AK101,"FE")+COUNTIF(FEV!$G101:$AK101,"FE")+COUNTIF(MAR!$G101:$AK101,"FE")+COUNTIF(ABR!$G101:$AK101,"FE")+COUNTIF(MAI!$G101:$AK101,"FE")+COUNTIF(JUN!$G101:$AK101,"FE")+COUNTIF(JUL!$G101:$AK101,"FE")+COUNTIF(AGO!$G101:$AK101,"FE")+COUNTIF(SET!$G101:$AK101,"FE")+COUNTIF(OUT!$G101:$AK101,"FE")+COUNTIF(NOV!$G101:$AK101,"FE")+COUNTIF(DEZ!$G101:$AK101,"FE"))</f>
        <v/>
      </c>
      <c r="AF405" t="str">
        <f>IF(AND($Q405&lt;&gt;"",N($AD405)&gt;0),COUNT($AF$309:AF404)+1,"")</f>
        <v/>
      </c>
    </row>
    <row r="406" spans="1:32" ht="20.100000000000001" customHeight="1" x14ac:dyDescent="0.25">
      <c r="A406" s="36" t="str">
        <f>IFERROR(INDEX($Q$310:$Q$459,MATCH(ROWS($A$310:A406),$AF$310:$AF$459,0)),"")</f>
        <v/>
      </c>
      <c r="B406" s="35" t="str">
        <f>IFERROR(INDEX($R$310:$R$459,MATCH(ROWS($A$310:A406),$AF$310:$AF$459,0)),"")</f>
        <v/>
      </c>
      <c r="C406" s="35" t="str">
        <f>IFERROR(INDEX($S$310:$S$459,MATCH(ROWS($A$310:A406),$AF$310:$AF$459,0)),"")</f>
        <v/>
      </c>
      <c r="D406" s="35" t="str">
        <f>IFERROR(INDEX($T$310:$T$459,MATCH(ROWS($A$310:A406),$AF$310:$AF$459,0)),"")</f>
        <v/>
      </c>
      <c r="E406" s="35" t="str">
        <f>IFERROR(INDEX($U$310:$U$459,MATCH(ROWS($A$310:A406),$AF$310:$AF$459,0)),"")</f>
        <v/>
      </c>
      <c r="F406" s="35" t="str">
        <f>IFERROR(INDEX($V$310:$V$459,MATCH(ROWS($A$310:A406),$AF$310:$AF$459,0)),"")</f>
        <v/>
      </c>
      <c r="G406" s="35" t="str">
        <f>IFERROR(INDEX($W$310:$W$459,MATCH(ROWS($A$310:A406),$AF$310:$AF$459,0)),"")</f>
        <v/>
      </c>
      <c r="H406" s="35" t="str">
        <f>IFERROR(INDEX($X$310:$X$459,MATCH(ROWS($A$310:A406),$AF$310:$AF$459,0)),"")</f>
        <v/>
      </c>
      <c r="I406" s="35" t="str">
        <f>IFERROR(INDEX($Y$310:$Y$459,MATCH(ROWS($A$310:A406),$AF$310:$AF$459,0)),"")</f>
        <v/>
      </c>
      <c r="J406" s="35" t="str">
        <f>IFERROR(INDEX($Z$310:$Z$459,MATCH(ROWS($A$310:A406),$AF$310:$AF$459,0)),"")</f>
        <v/>
      </c>
      <c r="K406" s="35" t="str">
        <f>IFERROR(INDEX($AA$310:$AA$459,MATCH(ROWS($A$310:A406),$AF$310:$AF$459,0)),"")</f>
        <v/>
      </c>
      <c r="L406" s="35" t="str">
        <f>IFERROR(INDEX($AB$310:$AB$459,MATCH(ROWS($A$310:A406),$AF$310:$AF$459,0)),"")</f>
        <v/>
      </c>
      <c r="M406" s="35" t="str">
        <f>IFERROR(INDEX($AC$310:$AC$459,MATCH(ROWS($A$310:A406),$AF$310:$AF$459,0)),"")</f>
        <v/>
      </c>
      <c r="N406" s="35" t="str">
        <f>IFERROR(INDEX($AD$310:$AD$459,MATCH(ROWS($A$310:A406),$AF$310:$AF$459,0)),"")</f>
        <v/>
      </c>
      <c r="Q406" t="str">
        <f>T(JAN!B102)</f>
        <v/>
      </c>
      <c r="R406" t="str">
        <f t="array" ref="R406">IF($Q406="","",_xlfn.TEXTJOIN(", ",TRUE,IF(JAN!$G102:$AK102="FE",JAN!$G$4:$AK$4,"")))</f>
        <v/>
      </c>
      <c r="S406" t="str">
        <f t="array" ref="S406">IF($Q406="","",_xlfn.TEXTJOIN(", ",TRUE,IF(FEV!$G102:$AK102="FE",FEV!$G$4:$AK$4,"")))</f>
        <v/>
      </c>
      <c r="T406" t="str">
        <f t="array" ref="T406">IF($Q406="","",_xlfn.TEXTJOIN(", ",TRUE,IF(MAR!$G102:$AK102="FE",MAR!$G$4:$AK$4,"")))</f>
        <v/>
      </c>
      <c r="U406" t="str">
        <f t="array" ref="U406">IF($Q406="","",_xlfn.TEXTJOIN(", ",TRUE,IF(ABR!$G102:$AK102="FE",ABR!$G$4:$AK$4,"")))</f>
        <v/>
      </c>
      <c r="V406" t="str">
        <f t="array" ref="V406">IF($Q406="","",_xlfn.TEXTJOIN(", ",TRUE,IF(MAI!$G102:$AK102="FE",MAI!$G$4:$AK$4,"")))</f>
        <v/>
      </c>
      <c r="W406" t="str">
        <f t="array" ref="W406">IF($Q406="","",_xlfn.TEXTJOIN(", ",TRUE,IF(JUN!$G102:$AK102="FE",JUN!$G$4:$AK$4,"")))</f>
        <v/>
      </c>
      <c r="X406" t="str">
        <f t="array" ref="X406">IF($Q406="","",_xlfn.TEXTJOIN(", ",TRUE,IF(JUL!$G102:$AK102="FE",JUL!$G$4:$AK$4,"")))</f>
        <v/>
      </c>
      <c r="Y406" t="str">
        <f t="array" ref="Y406">IF($Q406="","",_xlfn.TEXTJOIN(", ",TRUE,IF(AGO!$G102:$AK102="FE",AGO!$G$4:$AK$4,"")))</f>
        <v/>
      </c>
      <c r="Z406" t="str">
        <f t="array" ref="Z406">IF($Q406="","",_xlfn.TEXTJOIN(", ",TRUE,IF(SET!$G102:$AK102="FE",SET!$G$4:$AK$4,"")))</f>
        <v/>
      </c>
      <c r="AA406" t="str">
        <f t="array" ref="AA406">IF($Q406="","",_xlfn.TEXTJOIN(", ",TRUE,IF(OUT!$G102:$AK102="FE",OUT!$G$4:$AK$4,"")))</f>
        <v/>
      </c>
      <c r="AB406" t="str">
        <f t="array" ref="AB406">IF($Q406="","",_xlfn.TEXTJOIN(", ",TRUE,IF(NOV!$G102:$AK102="FE",NOV!$G$4:$AK$4,"")))</f>
        <v/>
      </c>
      <c r="AC406" t="str">
        <f t="array" ref="AC406">IF($Q406="","",_xlfn.TEXTJOIN(", ",TRUE,IF(DEZ!$G102:$AK102="FE",DEZ!$G$4:$AK$4,"")))</f>
        <v/>
      </c>
      <c r="AD406" t="str">
        <f>IF($Q406="","",COUNTIF(JAN!$G102:$AK102,"FE")+COUNTIF(FEV!$G102:$AK102,"FE")+COUNTIF(MAR!$G102:$AK102,"FE")+COUNTIF(ABR!$G102:$AK102,"FE")+COUNTIF(MAI!$G102:$AK102,"FE")+COUNTIF(JUN!$G102:$AK102,"FE")+COUNTIF(JUL!$G102:$AK102,"FE")+COUNTIF(AGO!$G102:$AK102,"FE")+COUNTIF(SET!$G102:$AK102,"FE")+COUNTIF(OUT!$G102:$AK102,"FE")+COUNTIF(NOV!$G102:$AK102,"FE")+COUNTIF(DEZ!$G102:$AK102,"FE"))</f>
        <v/>
      </c>
      <c r="AF406" t="str">
        <f>IF(AND($Q406&lt;&gt;"",N($AD406)&gt;0),COUNT($AF$309:AF405)+1,"")</f>
        <v/>
      </c>
    </row>
    <row r="407" spans="1:32" ht="20.100000000000001" customHeight="1" x14ac:dyDescent="0.25">
      <c r="A407" s="36" t="str">
        <f>IFERROR(INDEX($Q$310:$Q$459,MATCH(ROWS($A$310:A407),$AF$310:$AF$459,0)),"")</f>
        <v/>
      </c>
      <c r="B407" s="35" t="str">
        <f>IFERROR(INDEX($R$310:$R$459,MATCH(ROWS($A$310:A407),$AF$310:$AF$459,0)),"")</f>
        <v/>
      </c>
      <c r="C407" s="35" t="str">
        <f>IFERROR(INDEX($S$310:$S$459,MATCH(ROWS($A$310:A407),$AF$310:$AF$459,0)),"")</f>
        <v/>
      </c>
      <c r="D407" s="35" t="str">
        <f>IFERROR(INDEX($T$310:$T$459,MATCH(ROWS($A$310:A407),$AF$310:$AF$459,0)),"")</f>
        <v/>
      </c>
      <c r="E407" s="35" t="str">
        <f>IFERROR(INDEX($U$310:$U$459,MATCH(ROWS($A$310:A407),$AF$310:$AF$459,0)),"")</f>
        <v/>
      </c>
      <c r="F407" s="35" t="str">
        <f>IFERROR(INDEX($V$310:$V$459,MATCH(ROWS($A$310:A407),$AF$310:$AF$459,0)),"")</f>
        <v/>
      </c>
      <c r="G407" s="35" t="str">
        <f>IFERROR(INDEX($W$310:$W$459,MATCH(ROWS($A$310:A407),$AF$310:$AF$459,0)),"")</f>
        <v/>
      </c>
      <c r="H407" s="35" t="str">
        <f>IFERROR(INDEX($X$310:$X$459,MATCH(ROWS($A$310:A407),$AF$310:$AF$459,0)),"")</f>
        <v/>
      </c>
      <c r="I407" s="35" t="str">
        <f>IFERROR(INDEX($Y$310:$Y$459,MATCH(ROWS($A$310:A407),$AF$310:$AF$459,0)),"")</f>
        <v/>
      </c>
      <c r="J407" s="35" t="str">
        <f>IFERROR(INDEX($Z$310:$Z$459,MATCH(ROWS($A$310:A407),$AF$310:$AF$459,0)),"")</f>
        <v/>
      </c>
      <c r="K407" s="35" t="str">
        <f>IFERROR(INDEX($AA$310:$AA$459,MATCH(ROWS($A$310:A407),$AF$310:$AF$459,0)),"")</f>
        <v/>
      </c>
      <c r="L407" s="35" t="str">
        <f>IFERROR(INDEX($AB$310:$AB$459,MATCH(ROWS($A$310:A407),$AF$310:$AF$459,0)),"")</f>
        <v/>
      </c>
      <c r="M407" s="35" t="str">
        <f>IFERROR(INDEX($AC$310:$AC$459,MATCH(ROWS($A$310:A407),$AF$310:$AF$459,0)),"")</f>
        <v/>
      </c>
      <c r="N407" s="35" t="str">
        <f>IFERROR(INDEX($AD$310:$AD$459,MATCH(ROWS($A$310:A407),$AF$310:$AF$459,0)),"")</f>
        <v/>
      </c>
      <c r="Q407" t="str">
        <f>T(JAN!B103)</f>
        <v/>
      </c>
      <c r="R407" t="str">
        <f t="array" ref="R407">IF($Q407="","",_xlfn.TEXTJOIN(", ",TRUE,IF(JAN!$G103:$AK103="FE",JAN!$G$4:$AK$4,"")))</f>
        <v/>
      </c>
      <c r="S407" t="str">
        <f t="array" ref="S407">IF($Q407="","",_xlfn.TEXTJOIN(", ",TRUE,IF(FEV!$G103:$AK103="FE",FEV!$G$4:$AK$4,"")))</f>
        <v/>
      </c>
      <c r="T407" t="str">
        <f t="array" ref="T407">IF($Q407="","",_xlfn.TEXTJOIN(", ",TRUE,IF(MAR!$G103:$AK103="FE",MAR!$G$4:$AK$4,"")))</f>
        <v/>
      </c>
      <c r="U407" t="str">
        <f t="array" ref="U407">IF($Q407="","",_xlfn.TEXTJOIN(", ",TRUE,IF(ABR!$G103:$AK103="FE",ABR!$G$4:$AK$4,"")))</f>
        <v/>
      </c>
      <c r="V407" t="str">
        <f t="array" ref="V407">IF($Q407="","",_xlfn.TEXTJOIN(", ",TRUE,IF(MAI!$G103:$AK103="FE",MAI!$G$4:$AK$4,"")))</f>
        <v/>
      </c>
      <c r="W407" t="str">
        <f t="array" ref="W407">IF($Q407="","",_xlfn.TEXTJOIN(", ",TRUE,IF(JUN!$G103:$AK103="FE",JUN!$G$4:$AK$4,"")))</f>
        <v/>
      </c>
      <c r="X407" t="str">
        <f t="array" ref="X407">IF($Q407="","",_xlfn.TEXTJOIN(", ",TRUE,IF(JUL!$G103:$AK103="FE",JUL!$G$4:$AK$4,"")))</f>
        <v/>
      </c>
      <c r="Y407" t="str">
        <f t="array" ref="Y407">IF($Q407="","",_xlfn.TEXTJOIN(", ",TRUE,IF(AGO!$G103:$AK103="FE",AGO!$G$4:$AK$4,"")))</f>
        <v/>
      </c>
      <c r="Z407" t="str">
        <f t="array" ref="Z407">IF($Q407="","",_xlfn.TEXTJOIN(", ",TRUE,IF(SET!$G103:$AK103="FE",SET!$G$4:$AK$4,"")))</f>
        <v/>
      </c>
      <c r="AA407" t="str">
        <f t="array" ref="AA407">IF($Q407="","",_xlfn.TEXTJOIN(", ",TRUE,IF(OUT!$G103:$AK103="FE",OUT!$G$4:$AK$4,"")))</f>
        <v/>
      </c>
      <c r="AB407" t="str">
        <f t="array" ref="AB407">IF($Q407="","",_xlfn.TEXTJOIN(", ",TRUE,IF(NOV!$G103:$AK103="FE",NOV!$G$4:$AK$4,"")))</f>
        <v/>
      </c>
      <c r="AC407" t="str">
        <f t="array" ref="AC407">IF($Q407="","",_xlfn.TEXTJOIN(", ",TRUE,IF(DEZ!$G103:$AK103="FE",DEZ!$G$4:$AK$4,"")))</f>
        <v/>
      </c>
      <c r="AD407" t="str">
        <f>IF($Q407="","",COUNTIF(JAN!$G103:$AK103,"FE")+COUNTIF(FEV!$G103:$AK103,"FE")+COUNTIF(MAR!$G103:$AK103,"FE")+COUNTIF(ABR!$G103:$AK103,"FE")+COUNTIF(MAI!$G103:$AK103,"FE")+COUNTIF(JUN!$G103:$AK103,"FE")+COUNTIF(JUL!$G103:$AK103,"FE")+COUNTIF(AGO!$G103:$AK103,"FE")+COUNTIF(SET!$G103:$AK103,"FE")+COUNTIF(OUT!$G103:$AK103,"FE")+COUNTIF(NOV!$G103:$AK103,"FE")+COUNTIF(DEZ!$G103:$AK103,"FE"))</f>
        <v/>
      </c>
      <c r="AF407" t="str">
        <f>IF(AND($Q407&lt;&gt;"",N($AD407)&gt;0),COUNT($AF$309:AF406)+1,"")</f>
        <v/>
      </c>
    </row>
    <row r="408" spans="1:32" ht="20.100000000000001" customHeight="1" x14ac:dyDescent="0.25">
      <c r="A408" s="36" t="str">
        <f>IFERROR(INDEX($Q$310:$Q$459,MATCH(ROWS($A$310:A408),$AF$310:$AF$459,0)),"")</f>
        <v/>
      </c>
      <c r="B408" s="35" t="str">
        <f>IFERROR(INDEX($R$310:$R$459,MATCH(ROWS($A$310:A408),$AF$310:$AF$459,0)),"")</f>
        <v/>
      </c>
      <c r="C408" s="35" t="str">
        <f>IFERROR(INDEX($S$310:$S$459,MATCH(ROWS($A$310:A408),$AF$310:$AF$459,0)),"")</f>
        <v/>
      </c>
      <c r="D408" s="35" t="str">
        <f>IFERROR(INDEX($T$310:$T$459,MATCH(ROWS($A$310:A408),$AF$310:$AF$459,0)),"")</f>
        <v/>
      </c>
      <c r="E408" s="35" t="str">
        <f>IFERROR(INDEX($U$310:$U$459,MATCH(ROWS($A$310:A408),$AF$310:$AF$459,0)),"")</f>
        <v/>
      </c>
      <c r="F408" s="35" t="str">
        <f>IFERROR(INDEX($V$310:$V$459,MATCH(ROWS($A$310:A408),$AF$310:$AF$459,0)),"")</f>
        <v/>
      </c>
      <c r="G408" s="35" t="str">
        <f>IFERROR(INDEX($W$310:$W$459,MATCH(ROWS($A$310:A408),$AF$310:$AF$459,0)),"")</f>
        <v/>
      </c>
      <c r="H408" s="35" t="str">
        <f>IFERROR(INDEX($X$310:$X$459,MATCH(ROWS($A$310:A408),$AF$310:$AF$459,0)),"")</f>
        <v/>
      </c>
      <c r="I408" s="35" t="str">
        <f>IFERROR(INDEX($Y$310:$Y$459,MATCH(ROWS($A$310:A408),$AF$310:$AF$459,0)),"")</f>
        <v/>
      </c>
      <c r="J408" s="35" t="str">
        <f>IFERROR(INDEX($Z$310:$Z$459,MATCH(ROWS($A$310:A408),$AF$310:$AF$459,0)),"")</f>
        <v/>
      </c>
      <c r="K408" s="35" t="str">
        <f>IFERROR(INDEX($AA$310:$AA$459,MATCH(ROWS($A$310:A408),$AF$310:$AF$459,0)),"")</f>
        <v/>
      </c>
      <c r="L408" s="35" t="str">
        <f>IFERROR(INDEX($AB$310:$AB$459,MATCH(ROWS($A$310:A408),$AF$310:$AF$459,0)),"")</f>
        <v/>
      </c>
      <c r="M408" s="35" t="str">
        <f>IFERROR(INDEX($AC$310:$AC$459,MATCH(ROWS($A$310:A408),$AF$310:$AF$459,0)),"")</f>
        <v/>
      </c>
      <c r="N408" s="35" t="str">
        <f>IFERROR(INDEX($AD$310:$AD$459,MATCH(ROWS($A$310:A408),$AF$310:$AF$459,0)),"")</f>
        <v/>
      </c>
      <c r="Q408" t="str">
        <f>T(JAN!B104)</f>
        <v/>
      </c>
      <c r="R408" t="str">
        <f t="array" ref="R408">IF($Q408="","",_xlfn.TEXTJOIN(", ",TRUE,IF(JAN!$G104:$AK104="FE",JAN!$G$4:$AK$4,"")))</f>
        <v/>
      </c>
      <c r="S408" t="str">
        <f t="array" ref="S408">IF($Q408="","",_xlfn.TEXTJOIN(", ",TRUE,IF(FEV!$G104:$AK104="FE",FEV!$G$4:$AK$4,"")))</f>
        <v/>
      </c>
      <c r="T408" t="str">
        <f t="array" ref="T408">IF($Q408="","",_xlfn.TEXTJOIN(", ",TRUE,IF(MAR!$G104:$AK104="FE",MAR!$G$4:$AK$4,"")))</f>
        <v/>
      </c>
      <c r="U408" t="str">
        <f t="array" ref="U408">IF($Q408="","",_xlfn.TEXTJOIN(", ",TRUE,IF(ABR!$G104:$AK104="FE",ABR!$G$4:$AK$4,"")))</f>
        <v/>
      </c>
      <c r="V408" t="str">
        <f t="array" ref="V408">IF($Q408="","",_xlfn.TEXTJOIN(", ",TRUE,IF(MAI!$G104:$AK104="FE",MAI!$G$4:$AK$4,"")))</f>
        <v/>
      </c>
      <c r="W408" t="str">
        <f t="array" ref="W408">IF($Q408="","",_xlfn.TEXTJOIN(", ",TRUE,IF(JUN!$G104:$AK104="FE",JUN!$G$4:$AK$4,"")))</f>
        <v/>
      </c>
      <c r="X408" t="str">
        <f t="array" ref="X408">IF($Q408="","",_xlfn.TEXTJOIN(", ",TRUE,IF(JUL!$G104:$AK104="FE",JUL!$G$4:$AK$4,"")))</f>
        <v/>
      </c>
      <c r="Y408" t="str">
        <f t="array" ref="Y408">IF($Q408="","",_xlfn.TEXTJOIN(", ",TRUE,IF(AGO!$G104:$AK104="FE",AGO!$G$4:$AK$4,"")))</f>
        <v/>
      </c>
      <c r="Z408" t="str">
        <f t="array" ref="Z408">IF($Q408="","",_xlfn.TEXTJOIN(", ",TRUE,IF(SET!$G104:$AK104="FE",SET!$G$4:$AK$4,"")))</f>
        <v/>
      </c>
      <c r="AA408" t="str">
        <f t="array" ref="AA408">IF($Q408="","",_xlfn.TEXTJOIN(", ",TRUE,IF(OUT!$G104:$AK104="FE",OUT!$G$4:$AK$4,"")))</f>
        <v/>
      </c>
      <c r="AB408" t="str">
        <f t="array" ref="AB408">IF($Q408="","",_xlfn.TEXTJOIN(", ",TRUE,IF(NOV!$G104:$AK104="FE",NOV!$G$4:$AK$4,"")))</f>
        <v/>
      </c>
      <c r="AC408" t="str">
        <f t="array" ref="AC408">IF($Q408="","",_xlfn.TEXTJOIN(", ",TRUE,IF(DEZ!$G104:$AK104="FE",DEZ!$G$4:$AK$4,"")))</f>
        <v/>
      </c>
      <c r="AD408" t="str">
        <f>IF($Q408="","",COUNTIF(JAN!$G104:$AK104,"FE")+COUNTIF(FEV!$G104:$AK104,"FE")+COUNTIF(MAR!$G104:$AK104,"FE")+COUNTIF(ABR!$G104:$AK104,"FE")+COUNTIF(MAI!$G104:$AK104,"FE")+COUNTIF(JUN!$G104:$AK104,"FE")+COUNTIF(JUL!$G104:$AK104,"FE")+COUNTIF(AGO!$G104:$AK104,"FE")+COUNTIF(SET!$G104:$AK104,"FE")+COUNTIF(OUT!$G104:$AK104,"FE")+COUNTIF(NOV!$G104:$AK104,"FE")+COUNTIF(DEZ!$G104:$AK104,"FE"))</f>
        <v/>
      </c>
      <c r="AF408" t="str">
        <f>IF(AND($Q408&lt;&gt;"",N($AD408)&gt;0),COUNT($AF$309:AF407)+1,"")</f>
        <v/>
      </c>
    </row>
    <row r="409" spans="1:32" ht="20.100000000000001" customHeight="1" x14ac:dyDescent="0.25">
      <c r="A409" s="36" t="str">
        <f>IFERROR(INDEX($Q$310:$Q$459,MATCH(ROWS($A$310:A409),$AF$310:$AF$459,0)),"")</f>
        <v/>
      </c>
      <c r="B409" s="35" t="str">
        <f>IFERROR(INDEX($R$310:$R$459,MATCH(ROWS($A$310:A409),$AF$310:$AF$459,0)),"")</f>
        <v/>
      </c>
      <c r="C409" s="35" t="str">
        <f>IFERROR(INDEX($S$310:$S$459,MATCH(ROWS($A$310:A409),$AF$310:$AF$459,0)),"")</f>
        <v/>
      </c>
      <c r="D409" s="35" t="str">
        <f>IFERROR(INDEX($T$310:$T$459,MATCH(ROWS($A$310:A409),$AF$310:$AF$459,0)),"")</f>
        <v/>
      </c>
      <c r="E409" s="35" t="str">
        <f>IFERROR(INDEX($U$310:$U$459,MATCH(ROWS($A$310:A409),$AF$310:$AF$459,0)),"")</f>
        <v/>
      </c>
      <c r="F409" s="35" t="str">
        <f>IFERROR(INDEX($V$310:$V$459,MATCH(ROWS($A$310:A409),$AF$310:$AF$459,0)),"")</f>
        <v/>
      </c>
      <c r="G409" s="35" t="str">
        <f>IFERROR(INDEX($W$310:$W$459,MATCH(ROWS($A$310:A409),$AF$310:$AF$459,0)),"")</f>
        <v/>
      </c>
      <c r="H409" s="35" t="str">
        <f>IFERROR(INDEX($X$310:$X$459,MATCH(ROWS($A$310:A409),$AF$310:$AF$459,0)),"")</f>
        <v/>
      </c>
      <c r="I409" s="35" t="str">
        <f>IFERROR(INDEX($Y$310:$Y$459,MATCH(ROWS($A$310:A409),$AF$310:$AF$459,0)),"")</f>
        <v/>
      </c>
      <c r="J409" s="35" t="str">
        <f>IFERROR(INDEX($Z$310:$Z$459,MATCH(ROWS($A$310:A409),$AF$310:$AF$459,0)),"")</f>
        <v/>
      </c>
      <c r="K409" s="35" t="str">
        <f>IFERROR(INDEX($AA$310:$AA$459,MATCH(ROWS($A$310:A409),$AF$310:$AF$459,0)),"")</f>
        <v/>
      </c>
      <c r="L409" s="35" t="str">
        <f>IFERROR(INDEX($AB$310:$AB$459,MATCH(ROWS($A$310:A409),$AF$310:$AF$459,0)),"")</f>
        <v/>
      </c>
      <c r="M409" s="35" t="str">
        <f>IFERROR(INDEX($AC$310:$AC$459,MATCH(ROWS($A$310:A409),$AF$310:$AF$459,0)),"")</f>
        <v/>
      </c>
      <c r="N409" s="35" t="str">
        <f>IFERROR(INDEX($AD$310:$AD$459,MATCH(ROWS($A$310:A409),$AF$310:$AF$459,0)),"")</f>
        <v/>
      </c>
      <c r="Q409" t="str">
        <f>T(JAN!B105)</f>
        <v/>
      </c>
      <c r="R409" t="str">
        <f t="array" ref="R409">IF($Q409="","",_xlfn.TEXTJOIN(", ",TRUE,IF(JAN!$G105:$AK105="FE",JAN!$G$4:$AK$4,"")))</f>
        <v/>
      </c>
      <c r="S409" t="str">
        <f t="array" ref="S409">IF($Q409="","",_xlfn.TEXTJOIN(", ",TRUE,IF(FEV!$G105:$AK105="FE",FEV!$G$4:$AK$4,"")))</f>
        <v/>
      </c>
      <c r="T409" t="str">
        <f t="array" ref="T409">IF($Q409="","",_xlfn.TEXTJOIN(", ",TRUE,IF(MAR!$G105:$AK105="FE",MAR!$G$4:$AK$4,"")))</f>
        <v/>
      </c>
      <c r="U409" t="str">
        <f t="array" ref="U409">IF($Q409="","",_xlfn.TEXTJOIN(", ",TRUE,IF(ABR!$G105:$AK105="FE",ABR!$G$4:$AK$4,"")))</f>
        <v/>
      </c>
      <c r="V409" t="str">
        <f t="array" ref="V409">IF($Q409="","",_xlfn.TEXTJOIN(", ",TRUE,IF(MAI!$G105:$AK105="FE",MAI!$G$4:$AK$4,"")))</f>
        <v/>
      </c>
      <c r="W409" t="str">
        <f t="array" ref="W409">IF($Q409="","",_xlfn.TEXTJOIN(", ",TRUE,IF(JUN!$G105:$AK105="FE",JUN!$G$4:$AK$4,"")))</f>
        <v/>
      </c>
      <c r="X409" t="str">
        <f t="array" ref="X409">IF($Q409="","",_xlfn.TEXTJOIN(", ",TRUE,IF(JUL!$G105:$AK105="FE",JUL!$G$4:$AK$4,"")))</f>
        <v/>
      </c>
      <c r="Y409" t="str">
        <f t="array" ref="Y409">IF($Q409="","",_xlfn.TEXTJOIN(", ",TRUE,IF(AGO!$G105:$AK105="FE",AGO!$G$4:$AK$4,"")))</f>
        <v/>
      </c>
      <c r="Z409" t="str">
        <f t="array" ref="Z409">IF($Q409="","",_xlfn.TEXTJOIN(", ",TRUE,IF(SET!$G105:$AK105="FE",SET!$G$4:$AK$4,"")))</f>
        <v/>
      </c>
      <c r="AA409" t="str">
        <f t="array" ref="AA409">IF($Q409="","",_xlfn.TEXTJOIN(", ",TRUE,IF(OUT!$G105:$AK105="FE",OUT!$G$4:$AK$4,"")))</f>
        <v/>
      </c>
      <c r="AB409" t="str">
        <f t="array" ref="AB409">IF($Q409="","",_xlfn.TEXTJOIN(", ",TRUE,IF(NOV!$G105:$AK105="FE",NOV!$G$4:$AK$4,"")))</f>
        <v/>
      </c>
      <c r="AC409" t="str">
        <f t="array" ref="AC409">IF($Q409="","",_xlfn.TEXTJOIN(", ",TRUE,IF(DEZ!$G105:$AK105="FE",DEZ!$G$4:$AK$4,"")))</f>
        <v/>
      </c>
      <c r="AD409" t="str">
        <f>IF($Q409="","",COUNTIF(JAN!$G105:$AK105,"FE")+COUNTIF(FEV!$G105:$AK105,"FE")+COUNTIF(MAR!$G105:$AK105,"FE")+COUNTIF(ABR!$G105:$AK105,"FE")+COUNTIF(MAI!$G105:$AK105,"FE")+COUNTIF(JUN!$G105:$AK105,"FE")+COUNTIF(JUL!$G105:$AK105,"FE")+COUNTIF(AGO!$G105:$AK105,"FE")+COUNTIF(SET!$G105:$AK105,"FE")+COUNTIF(OUT!$G105:$AK105,"FE")+COUNTIF(NOV!$G105:$AK105,"FE")+COUNTIF(DEZ!$G105:$AK105,"FE"))</f>
        <v/>
      </c>
      <c r="AF409" t="str">
        <f>IF(AND($Q409&lt;&gt;"",N($AD409)&gt;0),COUNT($AF$309:AF408)+1,"")</f>
        <v/>
      </c>
    </row>
    <row r="410" spans="1:32" ht="20.100000000000001" customHeight="1" x14ac:dyDescent="0.25">
      <c r="A410" s="36" t="str">
        <f>IFERROR(INDEX($Q$310:$Q$459,MATCH(ROWS($A$310:A410),$AF$310:$AF$459,0)),"")</f>
        <v/>
      </c>
      <c r="B410" s="35" t="str">
        <f>IFERROR(INDEX($R$310:$R$459,MATCH(ROWS($A$310:A410),$AF$310:$AF$459,0)),"")</f>
        <v/>
      </c>
      <c r="C410" s="35" t="str">
        <f>IFERROR(INDEX($S$310:$S$459,MATCH(ROWS($A$310:A410),$AF$310:$AF$459,0)),"")</f>
        <v/>
      </c>
      <c r="D410" s="35" t="str">
        <f>IFERROR(INDEX($T$310:$T$459,MATCH(ROWS($A$310:A410),$AF$310:$AF$459,0)),"")</f>
        <v/>
      </c>
      <c r="E410" s="35" t="str">
        <f>IFERROR(INDEX($U$310:$U$459,MATCH(ROWS($A$310:A410),$AF$310:$AF$459,0)),"")</f>
        <v/>
      </c>
      <c r="F410" s="35" t="str">
        <f>IFERROR(INDEX($V$310:$V$459,MATCH(ROWS($A$310:A410),$AF$310:$AF$459,0)),"")</f>
        <v/>
      </c>
      <c r="G410" s="35" t="str">
        <f>IFERROR(INDEX($W$310:$W$459,MATCH(ROWS($A$310:A410),$AF$310:$AF$459,0)),"")</f>
        <v/>
      </c>
      <c r="H410" s="35" t="str">
        <f>IFERROR(INDEX($X$310:$X$459,MATCH(ROWS($A$310:A410),$AF$310:$AF$459,0)),"")</f>
        <v/>
      </c>
      <c r="I410" s="35" t="str">
        <f>IFERROR(INDEX($Y$310:$Y$459,MATCH(ROWS($A$310:A410),$AF$310:$AF$459,0)),"")</f>
        <v/>
      </c>
      <c r="J410" s="35" t="str">
        <f>IFERROR(INDEX($Z$310:$Z$459,MATCH(ROWS($A$310:A410),$AF$310:$AF$459,0)),"")</f>
        <v/>
      </c>
      <c r="K410" s="35" t="str">
        <f>IFERROR(INDEX($AA$310:$AA$459,MATCH(ROWS($A$310:A410),$AF$310:$AF$459,0)),"")</f>
        <v/>
      </c>
      <c r="L410" s="35" t="str">
        <f>IFERROR(INDEX($AB$310:$AB$459,MATCH(ROWS($A$310:A410),$AF$310:$AF$459,0)),"")</f>
        <v/>
      </c>
      <c r="M410" s="35" t="str">
        <f>IFERROR(INDEX($AC$310:$AC$459,MATCH(ROWS($A$310:A410),$AF$310:$AF$459,0)),"")</f>
        <v/>
      </c>
      <c r="N410" s="35" t="str">
        <f>IFERROR(INDEX($AD$310:$AD$459,MATCH(ROWS($A$310:A410),$AF$310:$AF$459,0)),"")</f>
        <v/>
      </c>
      <c r="Q410" t="str">
        <f>T(JAN!B106)</f>
        <v/>
      </c>
      <c r="R410" t="str">
        <f t="array" ref="R410">IF($Q410="","",_xlfn.TEXTJOIN(", ",TRUE,IF(JAN!$G106:$AK106="FE",JAN!$G$4:$AK$4,"")))</f>
        <v/>
      </c>
      <c r="S410" t="str">
        <f t="array" ref="S410">IF($Q410="","",_xlfn.TEXTJOIN(", ",TRUE,IF(FEV!$G106:$AK106="FE",FEV!$G$4:$AK$4,"")))</f>
        <v/>
      </c>
      <c r="T410" t="str">
        <f t="array" ref="T410">IF($Q410="","",_xlfn.TEXTJOIN(", ",TRUE,IF(MAR!$G106:$AK106="FE",MAR!$G$4:$AK$4,"")))</f>
        <v/>
      </c>
      <c r="U410" t="str">
        <f t="array" ref="U410">IF($Q410="","",_xlfn.TEXTJOIN(", ",TRUE,IF(ABR!$G106:$AK106="FE",ABR!$G$4:$AK$4,"")))</f>
        <v/>
      </c>
      <c r="V410" t="str">
        <f t="array" ref="V410">IF($Q410="","",_xlfn.TEXTJOIN(", ",TRUE,IF(MAI!$G106:$AK106="FE",MAI!$G$4:$AK$4,"")))</f>
        <v/>
      </c>
      <c r="W410" t="str">
        <f t="array" ref="W410">IF($Q410="","",_xlfn.TEXTJOIN(", ",TRUE,IF(JUN!$G106:$AK106="FE",JUN!$G$4:$AK$4,"")))</f>
        <v/>
      </c>
      <c r="X410" t="str">
        <f t="array" ref="X410">IF($Q410="","",_xlfn.TEXTJOIN(", ",TRUE,IF(JUL!$G106:$AK106="FE",JUL!$G$4:$AK$4,"")))</f>
        <v/>
      </c>
      <c r="Y410" t="str">
        <f t="array" ref="Y410">IF($Q410="","",_xlfn.TEXTJOIN(", ",TRUE,IF(AGO!$G106:$AK106="FE",AGO!$G$4:$AK$4,"")))</f>
        <v/>
      </c>
      <c r="Z410" t="str">
        <f t="array" ref="Z410">IF($Q410="","",_xlfn.TEXTJOIN(", ",TRUE,IF(SET!$G106:$AK106="FE",SET!$G$4:$AK$4,"")))</f>
        <v/>
      </c>
      <c r="AA410" t="str">
        <f t="array" ref="AA410">IF($Q410="","",_xlfn.TEXTJOIN(", ",TRUE,IF(OUT!$G106:$AK106="FE",OUT!$G$4:$AK$4,"")))</f>
        <v/>
      </c>
      <c r="AB410" t="str">
        <f t="array" ref="AB410">IF($Q410="","",_xlfn.TEXTJOIN(", ",TRUE,IF(NOV!$G106:$AK106="FE",NOV!$G$4:$AK$4,"")))</f>
        <v/>
      </c>
      <c r="AC410" t="str">
        <f t="array" ref="AC410">IF($Q410="","",_xlfn.TEXTJOIN(", ",TRUE,IF(DEZ!$G106:$AK106="FE",DEZ!$G$4:$AK$4,"")))</f>
        <v/>
      </c>
      <c r="AD410" t="str">
        <f>IF($Q410="","",COUNTIF(JAN!$G106:$AK106,"FE")+COUNTIF(FEV!$G106:$AK106,"FE")+COUNTIF(MAR!$G106:$AK106,"FE")+COUNTIF(ABR!$G106:$AK106,"FE")+COUNTIF(MAI!$G106:$AK106,"FE")+COUNTIF(JUN!$G106:$AK106,"FE")+COUNTIF(JUL!$G106:$AK106,"FE")+COUNTIF(AGO!$G106:$AK106,"FE")+COUNTIF(SET!$G106:$AK106,"FE")+COUNTIF(OUT!$G106:$AK106,"FE")+COUNTIF(NOV!$G106:$AK106,"FE")+COUNTIF(DEZ!$G106:$AK106,"FE"))</f>
        <v/>
      </c>
      <c r="AF410" t="str">
        <f>IF(AND($Q410&lt;&gt;"",N($AD410)&gt;0),COUNT($AF$309:AF409)+1,"")</f>
        <v/>
      </c>
    </row>
    <row r="411" spans="1:32" ht="20.100000000000001" customHeight="1" x14ac:dyDescent="0.25">
      <c r="A411" s="36" t="str">
        <f>IFERROR(INDEX($Q$310:$Q$459,MATCH(ROWS($A$310:A411),$AF$310:$AF$459,0)),"")</f>
        <v/>
      </c>
      <c r="B411" s="35" t="str">
        <f>IFERROR(INDEX($R$310:$R$459,MATCH(ROWS($A$310:A411),$AF$310:$AF$459,0)),"")</f>
        <v/>
      </c>
      <c r="C411" s="35" t="str">
        <f>IFERROR(INDEX($S$310:$S$459,MATCH(ROWS($A$310:A411),$AF$310:$AF$459,0)),"")</f>
        <v/>
      </c>
      <c r="D411" s="35" t="str">
        <f>IFERROR(INDEX($T$310:$T$459,MATCH(ROWS($A$310:A411),$AF$310:$AF$459,0)),"")</f>
        <v/>
      </c>
      <c r="E411" s="35" t="str">
        <f>IFERROR(INDEX($U$310:$U$459,MATCH(ROWS($A$310:A411),$AF$310:$AF$459,0)),"")</f>
        <v/>
      </c>
      <c r="F411" s="35" t="str">
        <f>IFERROR(INDEX($V$310:$V$459,MATCH(ROWS($A$310:A411),$AF$310:$AF$459,0)),"")</f>
        <v/>
      </c>
      <c r="G411" s="35" t="str">
        <f>IFERROR(INDEX($W$310:$W$459,MATCH(ROWS($A$310:A411),$AF$310:$AF$459,0)),"")</f>
        <v/>
      </c>
      <c r="H411" s="35" t="str">
        <f>IFERROR(INDEX($X$310:$X$459,MATCH(ROWS($A$310:A411),$AF$310:$AF$459,0)),"")</f>
        <v/>
      </c>
      <c r="I411" s="35" t="str">
        <f>IFERROR(INDEX($Y$310:$Y$459,MATCH(ROWS($A$310:A411),$AF$310:$AF$459,0)),"")</f>
        <v/>
      </c>
      <c r="J411" s="35" t="str">
        <f>IFERROR(INDEX($Z$310:$Z$459,MATCH(ROWS($A$310:A411),$AF$310:$AF$459,0)),"")</f>
        <v/>
      </c>
      <c r="K411" s="35" t="str">
        <f>IFERROR(INDEX($AA$310:$AA$459,MATCH(ROWS($A$310:A411),$AF$310:$AF$459,0)),"")</f>
        <v/>
      </c>
      <c r="L411" s="35" t="str">
        <f>IFERROR(INDEX($AB$310:$AB$459,MATCH(ROWS($A$310:A411),$AF$310:$AF$459,0)),"")</f>
        <v/>
      </c>
      <c r="M411" s="35" t="str">
        <f>IFERROR(INDEX($AC$310:$AC$459,MATCH(ROWS($A$310:A411),$AF$310:$AF$459,0)),"")</f>
        <v/>
      </c>
      <c r="N411" s="35" t="str">
        <f>IFERROR(INDEX($AD$310:$AD$459,MATCH(ROWS($A$310:A411),$AF$310:$AF$459,0)),"")</f>
        <v/>
      </c>
      <c r="Q411" t="str">
        <f>T(JAN!B107)</f>
        <v/>
      </c>
      <c r="R411" t="str">
        <f t="array" ref="R411">IF($Q411="","",_xlfn.TEXTJOIN(", ",TRUE,IF(JAN!$G107:$AK107="FE",JAN!$G$4:$AK$4,"")))</f>
        <v/>
      </c>
      <c r="S411" t="str">
        <f t="array" ref="S411">IF($Q411="","",_xlfn.TEXTJOIN(", ",TRUE,IF(FEV!$G107:$AK107="FE",FEV!$G$4:$AK$4,"")))</f>
        <v/>
      </c>
      <c r="T411" t="str">
        <f t="array" ref="T411">IF($Q411="","",_xlfn.TEXTJOIN(", ",TRUE,IF(MAR!$G107:$AK107="FE",MAR!$G$4:$AK$4,"")))</f>
        <v/>
      </c>
      <c r="U411" t="str">
        <f t="array" ref="U411">IF($Q411="","",_xlfn.TEXTJOIN(", ",TRUE,IF(ABR!$G107:$AK107="FE",ABR!$G$4:$AK$4,"")))</f>
        <v/>
      </c>
      <c r="V411" t="str">
        <f t="array" ref="V411">IF($Q411="","",_xlfn.TEXTJOIN(", ",TRUE,IF(MAI!$G107:$AK107="FE",MAI!$G$4:$AK$4,"")))</f>
        <v/>
      </c>
      <c r="W411" t="str">
        <f t="array" ref="W411">IF($Q411="","",_xlfn.TEXTJOIN(", ",TRUE,IF(JUN!$G107:$AK107="FE",JUN!$G$4:$AK$4,"")))</f>
        <v/>
      </c>
      <c r="X411" t="str">
        <f t="array" ref="X411">IF($Q411="","",_xlfn.TEXTJOIN(", ",TRUE,IF(JUL!$G107:$AK107="FE",JUL!$G$4:$AK$4,"")))</f>
        <v/>
      </c>
      <c r="Y411" t="str">
        <f t="array" ref="Y411">IF($Q411="","",_xlfn.TEXTJOIN(", ",TRUE,IF(AGO!$G107:$AK107="FE",AGO!$G$4:$AK$4,"")))</f>
        <v/>
      </c>
      <c r="Z411" t="str">
        <f t="array" ref="Z411">IF($Q411="","",_xlfn.TEXTJOIN(", ",TRUE,IF(SET!$G107:$AK107="FE",SET!$G$4:$AK$4,"")))</f>
        <v/>
      </c>
      <c r="AA411" t="str">
        <f t="array" ref="AA411">IF($Q411="","",_xlfn.TEXTJOIN(", ",TRUE,IF(OUT!$G107:$AK107="FE",OUT!$G$4:$AK$4,"")))</f>
        <v/>
      </c>
      <c r="AB411" t="str">
        <f t="array" ref="AB411">IF($Q411="","",_xlfn.TEXTJOIN(", ",TRUE,IF(NOV!$G107:$AK107="FE",NOV!$G$4:$AK$4,"")))</f>
        <v/>
      </c>
      <c r="AC411" t="str">
        <f t="array" ref="AC411">IF($Q411="","",_xlfn.TEXTJOIN(", ",TRUE,IF(DEZ!$G107:$AK107="FE",DEZ!$G$4:$AK$4,"")))</f>
        <v/>
      </c>
      <c r="AD411" t="str">
        <f>IF($Q411="","",COUNTIF(JAN!$G107:$AK107,"FE")+COUNTIF(FEV!$G107:$AK107,"FE")+COUNTIF(MAR!$G107:$AK107,"FE")+COUNTIF(ABR!$G107:$AK107,"FE")+COUNTIF(MAI!$G107:$AK107,"FE")+COUNTIF(JUN!$G107:$AK107,"FE")+COUNTIF(JUL!$G107:$AK107,"FE")+COUNTIF(AGO!$G107:$AK107,"FE")+COUNTIF(SET!$G107:$AK107,"FE")+COUNTIF(OUT!$G107:$AK107,"FE")+COUNTIF(NOV!$G107:$AK107,"FE")+COUNTIF(DEZ!$G107:$AK107,"FE"))</f>
        <v/>
      </c>
      <c r="AF411" t="str">
        <f>IF(AND($Q411&lt;&gt;"",N($AD411)&gt;0),COUNT($AF$309:AF410)+1,"")</f>
        <v/>
      </c>
    </row>
    <row r="412" spans="1:32" x14ac:dyDescent="0.25">
      <c r="A412" s="36" t="str">
        <f>IFERROR(INDEX($Q$310:$Q$459,MATCH(ROWS($A$310:A412),$AF$310:$AF$459,0)),"")</f>
        <v/>
      </c>
      <c r="B412" s="35" t="str">
        <f>IFERROR(INDEX($R$310:$R$459,MATCH(ROWS($A$310:A412),$AF$310:$AF$459,0)),"")</f>
        <v/>
      </c>
      <c r="C412" s="35" t="str">
        <f>IFERROR(INDEX($S$310:$S$459,MATCH(ROWS($A$310:A412),$AF$310:$AF$459,0)),"")</f>
        <v/>
      </c>
      <c r="D412" s="35" t="str">
        <f>IFERROR(INDEX($T$310:$T$459,MATCH(ROWS($A$310:A412),$AF$310:$AF$459,0)),"")</f>
        <v/>
      </c>
      <c r="E412" s="35" t="str">
        <f>IFERROR(INDEX($U$310:$U$459,MATCH(ROWS($A$310:A412),$AF$310:$AF$459,0)),"")</f>
        <v/>
      </c>
      <c r="F412" s="35" t="str">
        <f>IFERROR(INDEX($V$310:$V$459,MATCH(ROWS($A$310:A412),$AF$310:$AF$459,0)),"")</f>
        <v/>
      </c>
      <c r="G412" s="35" t="str">
        <f>IFERROR(INDEX($W$310:$W$459,MATCH(ROWS($A$310:A412),$AF$310:$AF$459,0)),"")</f>
        <v/>
      </c>
      <c r="H412" s="35" t="str">
        <f>IFERROR(INDEX($X$310:$X$459,MATCH(ROWS($A$310:A412),$AF$310:$AF$459,0)),"")</f>
        <v/>
      </c>
      <c r="I412" s="35" t="str">
        <f>IFERROR(INDEX($Y$310:$Y$459,MATCH(ROWS($A$310:A412),$AF$310:$AF$459,0)),"")</f>
        <v/>
      </c>
      <c r="J412" s="35" t="str">
        <f>IFERROR(INDEX($Z$310:$Z$459,MATCH(ROWS($A$310:A412),$AF$310:$AF$459,0)),"")</f>
        <v/>
      </c>
      <c r="K412" s="35" t="str">
        <f>IFERROR(INDEX($AA$310:$AA$459,MATCH(ROWS($A$310:A412),$AF$310:$AF$459,0)),"")</f>
        <v/>
      </c>
      <c r="L412" s="35" t="str">
        <f>IFERROR(INDEX($AB$310:$AB$459,MATCH(ROWS($A$310:A412),$AF$310:$AF$459,0)),"")</f>
        <v/>
      </c>
      <c r="M412" s="35" t="str">
        <f>IFERROR(INDEX($AC$310:$AC$459,MATCH(ROWS($A$310:A412),$AF$310:$AF$459,0)),"")</f>
        <v/>
      </c>
      <c r="N412" s="35" t="str">
        <f>IFERROR(INDEX($AD$310:$AD$459,MATCH(ROWS($A$310:A412),$AF$310:$AF$459,0)),"")</f>
        <v/>
      </c>
      <c r="Q412" t="str">
        <f>T(JAN!B108)</f>
        <v/>
      </c>
      <c r="R412" t="str">
        <f t="array" ref="R412">IF($Q412="","",_xlfn.TEXTJOIN(", ",TRUE,IF(JAN!$G108:$AK108="FE",JAN!$G$4:$AK$4,"")))</f>
        <v/>
      </c>
      <c r="S412" t="str">
        <f t="array" ref="S412">IF($Q412="","",_xlfn.TEXTJOIN(", ",TRUE,IF(FEV!$G108:$AK108="FE",FEV!$G$4:$AK$4,"")))</f>
        <v/>
      </c>
      <c r="T412" t="str">
        <f t="array" ref="T412">IF($Q412="","",_xlfn.TEXTJOIN(", ",TRUE,IF(MAR!$G108:$AK108="FE",MAR!$G$4:$AK$4,"")))</f>
        <v/>
      </c>
      <c r="U412" t="str">
        <f t="array" ref="U412">IF($Q412="","",_xlfn.TEXTJOIN(", ",TRUE,IF(ABR!$G108:$AK108="FE",ABR!$G$4:$AK$4,"")))</f>
        <v/>
      </c>
      <c r="V412" t="str">
        <f t="array" ref="V412">IF($Q412="","",_xlfn.TEXTJOIN(", ",TRUE,IF(MAI!$G108:$AK108="FE",MAI!$G$4:$AK$4,"")))</f>
        <v/>
      </c>
      <c r="W412" t="str">
        <f t="array" ref="W412">IF($Q412="","",_xlfn.TEXTJOIN(", ",TRUE,IF(JUN!$G108:$AK108="FE",JUN!$G$4:$AK$4,"")))</f>
        <v/>
      </c>
      <c r="X412" t="str">
        <f t="array" ref="X412">IF($Q412="","",_xlfn.TEXTJOIN(", ",TRUE,IF(JUL!$G108:$AK108="FE",JUL!$G$4:$AK$4,"")))</f>
        <v/>
      </c>
      <c r="Y412" t="str">
        <f t="array" ref="Y412">IF($Q412="","",_xlfn.TEXTJOIN(", ",TRUE,IF(AGO!$G108:$AK108="FE",AGO!$G$4:$AK$4,"")))</f>
        <v/>
      </c>
      <c r="Z412" t="str">
        <f t="array" ref="Z412">IF($Q412="","",_xlfn.TEXTJOIN(", ",TRUE,IF(SET!$G108:$AK108="FE",SET!$G$4:$AK$4,"")))</f>
        <v/>
      </c>
      <c r="AA412" t="str">
        <f t="array" ref="AA412">IF($Q412="","",_xlfn.TEXTJOIN(", ",TRUE,IF(OUT!$G108:$AK108="FE",OUT!$G$4:$AK$4,"")))</f>
        <v/>
      </c>
      <c r="AB412" t="str">
        <f t="array" ref="AB412">IF($Q412="","",_xlfn.TEXTJOIN(", ",TRUE,IF(NOV!$G108:$AK108="FE",NOV!$G$4:$AK$4,"")))</f>
        <v/>
      </c>
      <c r="AC412" t="str">
        <f t="array" ref="AC412">IF($Q412="","",_xlfn.TEXTJOIN(", ",TRUE,IF(DEZ!$G108:$AK108="FE",DEZ!$G$4:$AK$4,"")))</f>
        <v/>
      </c>
      <c r="AD412" t="str">
        <f>IF($Q412="","",COUNTIF(JAN!$G108:$AK108,"FE")+COUNTIF(FEV!$G108:$AK108,"FE")+COUNTIF(MAR!$G108:$AK108,"FE")+COUNTIF(ABR!$G108:$AK108,"FE")+COUNTIF(MAI!$G108:$AK108,"FE")+COUNTIF(JUN!$G108:$AK108,"FE")+COUNTIF(JUL!$G108:$AK108,"FE")+COUNTIF(AGO!$G108:$AK108,"FE")+COUNTIF(SET!$G108:$AK108,"FE")+COUNTIF(OUT!$G108:$AK108,"FE")+COUNTIF(NOV!$G108:$AK108,"FE")+COUNTIF(DEZ!$G108:$AK108,"FE"))</f>
        <v/>
      </c>
      <c r="AF412" t="str">
        <f>IF(AND($Q412&lt;&gt;"",N($AD412)&gt;0),COUNT($AF$309:AF411)+1,"")</f>
        <v/>
      </c>
    </row>
    <row r="413" spans="1:32" x14ac:dyDescent="0.25">
      <c r="A413" s="36" t="str">
        <f>IFERROR(INDEX($Q$310:$Q$459,MATCH(ROWS($A$310:A413),$AF$310:$AF$459,0)),"")</f>
        <v/>
      </c>
      <c r="B413" s="35" t="str">
        <f>IFERROR(INDEX($R$310:$R$459,MATCH(ROWS($A$310:A413),$AF$310:$AF$459,0)),"")</f>
        <v/>
      </c>
      <c r="C413" s="35" t="str">
        <f>IFERROR(INDEX($S$310:$S$459,MATCH(ROWS($A$310:A413),$AF$310:$AF$459,0)),"")</f>
        <v/>
      </c>
      <c r="D413" s="35" t="str">
        <f>IFERROR(INDEX($T$310:$T$459,MATCH(ROWS($A$310:A413),$AF$310:$AF$459,0)),"")</f>
        <v/>
      </c>
      <c r="E413" s="35" t="str">
        <f>IFERROR(INDEX($U$310:$U$459,MATCH(ROWS($A$310:A413),$AF$310:$AF$459,0)),"")</f>
        <v/>
      </c>
      <c r="F413" s="35" t="str">
        <f>IFERROR(INDEX($V$310:$V$459,MATCH(ROWS($A$310:A413),$AF$310:$AF$459,0)),"")</f>
        <v/>
      </c>
      <c r="G413" s="35" t="str">
        <f>IFERROR(INDEX($W$310:$W$459,MATCH(ROWS($A$310:A413),$AF$310:$AF$459,0)),"")</f>
        <v/>
      </c>
      <c r="H413" s="35" t="str">
        <f>IFERROR(INDEX($X$310:$X$459,MATCH(ROWS($A$310:A413),$AF$310:$AF$459,0)),"")</f>
        <v/>
      </c>
      <c r="I413" s="35" t="str">
        <f>IFERROR(INDEX($Y$310:$Y$459,MATCH(ROWS($A$310:A413),$AF$310:$AF$459,0)),"")</f>
        <v/>
      </c>
      <c r="J413" s="35" t="str">
        <f>IFERROR(INDEX($Z$310:$Z$459,MATCH(ROWS($A$310:A413),$AF$310:$AF$459,0)),"")</f>
        <v/>
      </c>
      <c r="K413" s="35" t="str">
        <f>IFERROR(INDEX($AA$310:$AA$459,MATCH(ROWS($A$310:A413),$AF$310:$AF$459,0)),"")</f>
        <v/>
      </c>
      <c r="L413" s="35" t="str">
        <f>IFERROR(INDEX($AB$310:$AB$459,MATCH(ROWS($A$310:A413),$AF$310:$AF$459,0)),"")</f>
        <v/>
      </c>
      <c r="M413" s="35" t="str">
        <f>IFERROR(INDEX($AC$310:$AC$459,MATCH(ROWS($A$310:A413),$AF$310:$AF$459,0)),"")</f>
        <v/>
      </c>
      <c r="N413" s="35" t="str">
        <f>IFERROR(INDEX($AD$310:$AD$459,MATCH(ROWS($A$310:A413),$AF$310:$AF$459,0)),"")</f>
        <v/>
      </c>
      <c r="Q413" t="str">
        <f>T(JAN!B109)</f>
        <v/>
      </c>
      <c r="R413" t="str">
        <f t="array" ref="R413">IF($Q413="","",_xlfn.TEXTJOIN(", ",TRUE,IF(JAN!$G109:$AK109="FE",JAN!$G$4:$AK$4,"")))</f>
        <v/>
      </c>
      <c r="S413" t="str">
        <f t="array" ref="S413">IF($Q413="","",_xlfn.TEXTJOIN(", ",TRUE,IF(FEV!$G109:$AK109="FE",FEV!$G$4:$AK$4,"")))</f>
        <v/>
      </c>
      <c r="T413" t="str">
        <f t="array" ref="T413">IF($Q413="","",_xlfn.TEXTJOIN(", ",TRUE,IF(MAR!$G109:$AK109="FE",MAR!$G$4:$AK$4,"")))</f>
        <v/>
      </c>
      <c r="U413" t="str">
        <f t="array" ref="U413">IF($Q413="","",_xlfn.TEXTJOIN(", ",TRUE,IF(ABR!$G109:$AK109="FE",ABR!$G$4:$AK$4,"")))</f>
        <v/>
      </c>
      <c r="V413" t="str">
        <f t="array" ref="V413">IF($Q413="","",_xlfn.TEXTJOIN(", ",TRUE,IF(MAI!$G109:$AK109="FE",MAI!$G$4:$AK$4,"")))</f>
        <v/>
      </c>
      <c r="W413" t="str">
        <f t="array" ref="W413">IF($Q413="","",_xlfn.TEXTJOIN(", ",TRUE,IF(JUN!$G109:$AK109="FE",JUN!$G$4:$AK$4,"")))</f>
        <v/>
      </c>
      <c r="X413" t="str">
        <f t="array" ref="X413">IF($Q413="","",_xlfn.TEXTJOIN(", ",TRUE,IF(JUL!$G109:$AK109="FE",JUL!$G$4:$AK$4,"")))</f>
        <v/>
      </c>
      <c r="Y413" t="str">
        <f t="array" ref="Y413">IF($Q413="","",_xlfn.TEXTJOIN(", ",TRUE,IF(AGO!$G109:$AK109="FE",AGO!$G$4:$AK$4,"")))</f>
        <v/>
      </c>
      <c r="Z413" t="str">
        <f t="array" ref="Z413">IF($Q413="","",_xlfn.TEXTJOIN(", ",TRUE,IF(SET!$G109:$AK109="FE",SET!$G$4:$AK$4,"")))</f>
        <v/>
      </c>
      <c r="AA413" t="str">
        <f t="array" ref="AA413">IF($Q413="","",_xlfn.TEXTJOIN(", ",TRUE,IF(OUT!$G109:$AK109="FE",OUT!$G$4:$AK$4,"")))</f>
        <v/>
      </c>
      <c r="AB413" t="str">
        <f t="array" ref="AB413">IF($Q413="","",_xlfn.TEXTJOIN(", ",TRUE,IF(NOV!$G109:$AK109="FE",NOV!$G$4:$AK$4,"")))</f>
        <v/>
      </c>
      <c r="AC413" t="str">
        <f t="array" ref="AC413">IF($Q413="","",_xlfn.TEXTJOIN(", ",TRUE,IF(DEZ!$G109:$AK109="FE",DEZ!$G$4:$AK$4,"")))</f>
        <v/>
      </c>
      <c r="AD413" t="str">
        <f>IF($Q413="","",COUNTIF(JAN!$G109:$AK109,"FE")+COUNTIF(FEV!$G109:$AK109,"FE")+COUNTIF(MAR!$G109:$AK109,"FE")+COUNTIF(ABR!$G109:$AK109,"FE")+COUNTIF(MAI!$G109:$AK109,"FE")+COUNTIF(JUN!$G109:$AK109,"FE")+COUNTIF(JUL!$G109:$AK109,"FE")+COUNTIF(AGO!$G109:$AK109,"FE")+COUNTIF(SET!$G109:$AK109,"FE")+COUNTIF(OUT!$G109:$AK109,"FE")+COUNTIF(NOV!$G109:$AK109,"FE")+COUNTIF(DEZ!$G109:$AK109,"FE"))</f>
        <v/>
      </c>
      <c r="AF413" t="str">
        <f>IF(AND($Q413&lt;&gt;"",N($AD413)&gt;0),COUNT($AF$309:AF412)+1,"")</f>
        <v/>
      </c>
    </row>
    <row r="414" spans="1:32" x14ac:dyDescent="0.25">
      <c r="A414" s="36" t="str">
        <f>IFERROR(INDEX($Q$310:$Q$459,MATCH(ROWS($A$310:A414),$AF$310:$AF$459,0)),"")</f>
        <v/>
      </c>
      <c r="B414" s="35" t="str">
        <f>IFERROR(INDEX($R$310:$R$459,MATCH(ROWS($A$310:A414),$AF$310:$AF$459,0)),"")</f>
        <v/>
      </c>
      <c r="C414" s="35" t="str">
        <f>IFERROR(INDEX($S$310:$S$459,MATCH(ROWS($A$310:A414),$AF$310:$AF$459,0)),"")</f>
        <v/>
      </c>
      <c r="D414" s="35" t="str">
        <f>IFERROR(INDEX($T$310:$T$459,MATCH(ROWS($A$310:A414),$AF$310:$AF$459,0)),"")</f>
        <v/>
      </c>
      <c r="E414" s="35" t="str">
        <f>IFERROR(INDEX($U$310:$U$459,MATCH(ROWS($A$310:A414),$AF$310:$AF$459,0)),"")</f>
        <v/>
      </c>
      <c r="F414" s="35" t="str">
        <f>IFERROR(INDEX($V$310:$V$459,MATCH(ROWS($A$310:A414),$AF$310:$AF$459,0)),"")</f>
        <v/>
      </c>
      <c r="G414" s="35" t="str">
        <f>IFERROR(INDEX($W$310:$W$459,MATCH(ROWS($A$310:A414),$AF$310:$AF$459,0)),"")</f>
        <v/>
      </c>
      <c r="H414" s="35" t="str">
        <f>IFERROR(INDEX($X$310:$X$459,MATCH(ROWS($A$310:A414),$AF$310:$AF$459,0)),"")</f>
        <v/>
      </c>
      <c r="I414" s="35" t="str">
        <f>IFERROR(INDEX($Y$310:$Y$459,MATCH(ROWS($A$310:A414),$AF$310:$AF$459,0)),"")</f>
        <v/>
      </c>
      <c r="J414" s="35" t="str">
        <f>IFERROR(INDEX($Z$310:$Z$459,MATCH(ROWS($A$310:A414),$AF$310:$AF$459,0)),"")</f>
        <v/>
      </c>
      <c r="K414" s="35" t="str">
        <f>IFERROR(INDEX($AA$310:$AA$459,MATCH(ROWS($A$310:A414),$AF$310:$AF$459,0)),"")</f>
        <v/>
      </c>
      <c r="L414" s="35" t="str">
        <f>IFERROR(INDEX($AB$310:$AB$459,MATCH(ROWS($A$310:A414),$AF$310:$AF$459,0)),"")</f>
        <v/>
      </c>
      <c r="M414" s="35" t="str">
        <f>IFERROR(INDEX($AC$310:$AC$459,MATCH(ROWS($A$310:A414),$AF$310:$AF$459,0)),"")</f>
        <v/>
      </c>
      <c r="N414" s="35" t="str">
        <f>IFERROR(INDEX($AD$310:$AD$459,MATCH(ROWS($A$310:A414),$AF$310:$AF$459,0)),"")</f>
        <v/>
      </c>
      <c r="Q414" t="str">
        <f>T(JAN!B110)</f>
        <v/>
      </c>
      <c r="R414" t="str">
        <f t="array" ref="R414">IF($Q414="","",_xlfn.TEXTJOIN(", ",TRUE,IF(JAN!$G110:$AK110="FE",JAN!$G$4:$AK$4,"")))</f>
        <v/>
      </c>
      <c r="S414" t="str">
        <f t="array" ref="S414">IF($Q414="","",_xlfn.TEXTJOIN(", ",TRUE,IF(FEV!$G110:$AK110="FE",FEV!$G$4:$AK$4,"")))</f>
        <v/>
      </c>
      <c r="T414" t="str">
        <f t="array" ref="T414">IF($Q414="","",_xlfn.TEXTJOIN(", ",TRUE,IF(MAR!$G110:$AK110="FE",MAR!$G$4:$AK$4,"")))</f>
        <v/>
      </c>
      <c r="U414" t="str">
        <f t="array" ref="U414">IF($Q414="","",_xlfn.TEXTJOIN(", ",TRUE,IF(ABR!$G110:$AK110="FE",ABR!$G$4:$AK$4,"")))</f>
        <v/>
      </c>
      <c r="V414" t="str">
        <f t="array" ref="V414">IF($Q414="","",_xlfn.TEXTJOIN(", ",TRUE,IF(MAI!$G110:$AK110="FE",MAI!$G$4:$AK$4,"")))</f>
        <v/>
      </c>
      <c r="W414" t="str">
        <f t="array" ref="W414">IF($Q414="","",_xlfn.TEXTJOIN(", ",TRUE,IF(JUN!$G110:$AK110="FE",JUN!$G$4:$AK$4,"")))</f>
        <v/>
      </c>
      <c r="X414" t="str">
        <f t="array" ref="X414">IF($Q414="","",_xlfn.TEXTJOIN(", ",TRUE,IF(JUL!$G110:$AK110="FE",JUL!$G$4:$AK$4,"")))</f>
        <v/>
      </c>
      <c r="Y414" t="str">
        <f t="array" ref="Y414">IF($Q414="","",_xlfn.TEXTJOIN(", ",TRUE,IF(AGO!$G110:$AK110="FE",AGO!$G$4:$AK$4,"")))</f>
        <v/>
      </c>
      <c r="Z414" t="str">
        <f t="array" ref="Z414">IF($Q414="","",_xlfn.TEXTJOIN(", ",TRUE,IF(SET!$G110:$AK110="FE",SET!$G$4:$AK$4,"")))</f>
        <v/>
      </c>
      <c r="AA414" t="str">
        <f t="array" ref="AA414">IF($Q414="","",_xlfn.TEXTJOIN(", ",TRUE,IF(OUT!$G110:$AK110="FE",OUT!$G$4:$AK$4,"")))</f>
        <v/>
      </c>
      <c r="AB414" t="str">
        <f t="array" ref="AB414">IF($Q414="","",_xlfn.TEXTJOIN(", ",TRUE,IF(NOV!$G110:$AK110="FE",NOV!$G$4:$AK$4,"")))</f>
        <v/>
      </c>
      <c r="AC414" t="str">
        <f t="array" ref="AC414">IF($Q414="","",_xlfn.TEXTJOIN(", ",TRUE,IF(DEZ!$G110:$AK110="FE",DEZ!$G$4:$AK$4,"")))</f>
        <v/>
      </c>
      <c r="AD414" t="str">
        <f>IF($Q414="","",COUNTIF(JAN!$G110:$AK110,"FE")+COUNTIF(FEV!$G110:$AK110,"FE")+COUNTIF(MAR!$G110:$AK110,"FE")+COUNTIF(ABR!$G110:$AK110,"FE")+COUNTIF(MAI!$G110:$AK110,"FE")+COUNTIF(JUN!$G110:$AK110,"FE")+COUNTIF(JUL!$G110:$AK110,"FE")+COUNTIF(AGO!$G110:$AK110,"FE")+COUNTIF(SET!$G110:$AK110,"FE")+COUNTIF(OUT!$G110:$AK110,"FE")+COUNTIF(NOV!$G110:$AK110,"FE")+COUNTIF(DEZ!$G110:$AK110,"FE"))</f>
        <v/>
      </c>
      <c r="AF414" t="str">
        <f>IF(AND($Q414&lt;&gt;"",N($AD414)&gt;0),COUNT($AF$309:AF413)+1,"")</f>
        <v/>
      </c>
    </row>
    <row r="415" spans="1:32" x14ac:dyDescent="0.25">
      <c r="A415" s="36" t="str">
        <f>IFERROR(INDEX($Q$310:$Q$459,MATCH(ROWS($A$310:A415),$AF$310:$AF$459,0)),"")</f>
        <v/>
      </c>
      <c r="B415" s="35" t="str">
        <f>IFERROR(INDEX($R$310:$R$459,MATCH(ROWS($A$310:A415),$AF$310:$AF$459,0)),"")</f>
        <v/>
      </c>
      <c r="C415" s="35" t="str">
        <f>IFERROR(INDEX($S$310:$S$459,MATCH(ROWS($A$310:A415),$AF$310:$AF$459,0)),"")</f>
        <v/>
      </c>
      <c r="D415" s="35" t="str">
        <f>IFERROR(INDEX($T$310:$T$459,MATCH(ROWS($A$310:A415),$AF$310:$AF$459,0)),"")</f>
        <v/>
      </c>
      <c r="E415" s="35" t="str">
        <f>IFERROR(INDEX($U$310:$U$459,MATCH(ROWS($A$310:A415),$AF$310:$AF$459,0)),"")</f>
        <v/>
      </c>
      <c r="F415" s="35" t="str">
        <f>IFERROR(INDEX($V$310:$V$459,MATCH(ROWS($A$310:A415),$AF$310:$AF$459,0)),"")</f>
        <v/>
      </c>
      <c r="G415" s="35" t="str">
        <f>IFERROR(INDEX($W$310:$W$459,MATCH(ROWS($A$310:A415),$AF$310:$AF$459,0)),"")</f>
        <v/>
      </c>
      <c r="H415" s="35" t="str">
        <f>IFERROR(INDEX($X$310:$X$459,MATCH(ROWS($A$310:A415),$AF$310:$AF$459,0)),"")</f>
        <v/>
      </c>
      <c r="I415" s="35" t="str">
        <f>IFERROR(INDEX($Y$310:$Y$459,MATCH(ROWS($A$310:A415),$AF$310:$AF$459,0)),"")</f>
        <v/>
      </c>
      <c r="J415" s="35" t="str">
        <f>IFERROR(INDEX($Z$310:$Z$459,MATCH(ROWS($A$310:A415),$AF$310:$AF$459,0)),"")</f>
        <v/>
      </c>
      <c r="K415" s="35" t="str">
        <f>IFERROR(INDEX($AA$310:$AA$459,MATCH(ROWS($A$310:A415),$AF$310:$AF$459,0)),"")</f>
        <v/>
      </c>
      <c r="L415" s="35" t="str">
        <f>IFERROR(INDEX($AB$310:$AB$459,MATCH(ROWS($A$310:A415),$AF$310:$AF$459,0)),"")</f>
        <v/>
      </c>
      <c r="M415" s="35" t="str">
        <f>IFERROR(INDEX($AC$310:$AC$459,MATCH(ROWS($A$310:A415),$AF$310:$AF$459,0)),"")</f>
        <v/>
      </c>
      <c r="N415" s="35" t="str">
        <f>IFERROR(INDEX($AD$310:$AD$459,MATCH(ROWS($A$310:A415),$AF$310:$AF$459,0)),"")</f>
        <v/>
      </c>
      <c r="Q415" t="str">
        <f>T(JAN!B111)</f>
        <v/>
      </c>
      <c r="R415" t="str">
        <f t="array" ref="R415">IF($Q415="","",_xlfn.TEXTJOIN(", ",TRUE,IF(JAN!$G111:$AK111="FE",JAN!$G$4:$AK$4,"")))</f>
        <v/>
      </c>
      <c r="S415" t="str">
        <f t="array" ref="S415">IF($Q415="","",_xlfn.TEXTJOIN(", ",TRUE,IF(FEV!$G111:$AK111="FE",FEV!$G$4:$AK$4,"")))</f>
        <v/>
      </c>
      <c r="T415" t="str">
        <f t="array" ref="T415">IF($Q415="","",_xlfn.TEXTJOIN(", ",TRUE,IF(MAR!$G111:$AK111="FE",MAR!$G$4:$AK$4,"")))</f>
        <v/>
      </c>
      <c r="U415" t="str">
        <f t="array" ref="U415">IF($Q415="","",_xlfn.TEXTJOIN(", ",TRUE,IF(ABR!$G111:$AK111="FE",ABR!$G$4:$AK$4,"")))</f>
        <v/>
      </c>
      <c r="V415" t="str">
        <f t="array" ref="V415">IF($Q415="","",_xlfn.TEXTJOIN(", ",TRUE,IF(MAI!$G111:$AK111="FE",MAI!$G$4:$AK$4,"")))</f>
        <v/>
      </c>
      <c r="W415" t="str">
        <f t="array" ref="W415">IF($Q415="","",_xlfn.TEXTJOIN(", ",TRUE,IF(JUN!$G111:$AK111="FE",JUN!$G$4:$AK$4,"")))</f>
        <v/>
      </c>
      <c r="X415" t="str">
        <f t="array" ref="X415">IF($Q415="","",_xlfn.TEXTJOIN(", ",TRUE,IF(JUL!$G111:$AK111="FE",JUL!$G$4:$AK$4,"")))</f>
        <v/>
      </c>
      <c r="Y415" t="str">
        <f t="array" ref="Y415">IF($Q415="","",_xlfn.TEXTJOIN(", ",TRUE,IF(AGO!$G111:$AK111="FE",AGO!$G$4:$AK$4,"")))</f>
        <v/>
      </c>
      <c r="Z415" t="str">
        <f t="array" ref="Z415">IF($Q415="","",_xlfn.TEXTJOIN(", ",TRUE,IF(SET!$G111:$AK111="FE",SET!$G$4:$AK$4,"")))</f>
        <v/>
      </c>
      <c r="AA415" t="str">
        <f t="array" ref="AA415">IF($Q415="","",_xlfn.TEXTJOIN(", ",TRUE,IF(OUT!$G111:$AK111="FE",OUT!$G$4:$AK$4,"")))</f>
        <v/>
      </c>
      <c r="AB415" t="str">
        <f t="array" ref="AB415">IF($Q415="","",_xlfn.TEXTJOIN(", ",TRUE,IF(NOV!$G111:$AK111="FE",NOV!$G$4:$AK$4,"")))</f>
        <v/>
      </c>
      <c r="AC415" t="str">
        <f t="array" ref="AC415">IF($Q415="","",_xlfn.TEXTJOIN(", ",TRUE,IF(DEZ!$G111:$AK111="FE",DEZ!$G$4:$AK$4,"")))</f>
        <v/>
      </c>
      <c r="AD415" t="str">
        <f>IF($Q415="","",COUNTIF(JAN!$G111:$AK111,"FE")+COUNTIF(FEV!$G111:$AK111,"FE")+COUNTIF(MAR!$G111:$AK111,"FE")+COUNTIF(ABR!$G111:$AK111,"FE")+COUNTIF(MAI!$G111:$AK111,"FE")+COUNTIF(JUN!$G111:$AK111,"FE")+COUNTIF(JUL!$G111:$AK111,"FE")+COUNTIF(AGO!$G111:$AK111,"FE")+COUNTIF(SET!$G111:$AK111,"FE")+COUNTIF(OUT!$G111:$AK111,"FE")+COUNTIF(NOV!$G111:$AK111,"FE")+COUNTIF(DEZ!$G111:$AK111,"FE"))</f>
        <v/>
      </c>
      <c r="AF415" t="str">
        <f>IF(AND($Q415&lt;&gt;"",N($AD415)&gt;0),COUNT($AF$309:AF414)+1,"")</f>
        <v/>
      </c>
    </row>
    <row r="416" spans="1:32" x14ac:dyDescent="0.25">
      <c r="A416" s="36" t="str">
        <f>IFERROR(INDEX($Q$310:$Q$459,MATCH(ROWS($A$310:A416),$AF$310:$AF$459,0)),"")</f>
        <v/>
      </c>
      <c r="B416" s="35" t="str">
        <f>IFERROR(INDEX($R$310:$R$459,MATCH(ROWS($A$310:A416),$AF$310:$AF$459,0)),"")</f>
        <v/>
      </c>
      <c r="C416" s="35" t="str">
        <f>IFERROR(INDEX($S$310:$S$459,MATCH(ROWS($A$310:A416),$AF$310:$AF$459,0)),"")</f>
        <v/>
      </c>
      <c r="D416" s="35" t="str">
        <f>IFERROR(INDEX($T$310:$T$459,MATCH(ROWS($A$310:A416),$AF$310:$AF$459,0)),"")</f>
        <v/>
      </c>
      <c r="E416" s="35" t="str">
        <f>IFERROR(INDEX($U$310:$U$459,MATCH(ROWS($A$310:A416),$AF$310:$AF$459,0)),"")</f>
        <v/>
      </c>
      <c r="F416" s="35" t="str">
        <f>IFERROR(INDEX($V$310:$V$459,MATCH(ROWS($A$310:A416),$AF$310:$AF$459,0)),"")</f>
        <v/>
      </c>
      <c r="G416" s="35" t="str">
        <f>IFERROR(INDEX($W$310:$W$459,MATCH(ROWS($A$310:A416),$AF$310:$AF$459,0)),"")</f>
        <v/>
      </c>
      <c r="H416" s="35" t="str">
        <f>IFERROR(INDEX($X$310:$X$459,MATCH(ROWS($A$310:A416),$AF$310:$AF$459,0)),"")</f>
        <v/>
      </c>
      <c r="I416" s="35" t="str">
        <f>IFERROR(INDEX($Y$310:$Y$459,MATCH(ROWS($A$310:A416),$AF$310:$AF$459,0)),"")</f>
        <v/>
      </c>
      <c r="J416" s="35" t="str">
        <f>IFERROR(INDEX($Z$310:$Z$459,MATCH(ROWS($A$310:A416),$AF$310:$AF$459,0)),"")</f>
        <v/>
      </c>
      <c r="K416" s="35" t="str">
        <f>IFERROR(INDEX($AA$310:$AA$459,MATCH(ROWS($A$310:A416),$AF$310:$AF$459,0)),"")</f>
        <v/>
      </c>
      <c r="L416" s="35" t="str">
        <f>IFERROR(INDEX($AB$310:$AB$459,MATCH(ROWS($A$310:A416),$AF$310:$AF$459,0)),"")</f>
        <v/>
      </c>
      <c r="M416" s="35" t="str">
        <f>IFERROR(INDEX($AC$310:$AC$459,MATCH(ROWS($A$310:A416),$AF$310:$AF$459,0)),"")</f>
        <v/>
      </c>
      <c r="N416" s="35" t="str">
        <f>IFERROR(INDEX($AD$310:$AD$459,MATCH(ROWS($A$310:A416),$AF$310:$AF$459,0)),"")</f>
        <v/>
      </c>
      <c r="Q416" t="str">
        <f>T(JAN!B112)</f>
        <v/>
      </c>
      <c r="R416" t="str">
        <f t="array" ref="R416">IF($Q416="","",_xlfn.TEXTJOIN(", ",TRUE,IF(JAN!$G112:$AK112="FE",JAN!$G$4:$AK$4,"")))</f>
        <v/>
      </c>
      <c r="S416" t="str">
        <f t="array" ref="S416">IF($Q416="","",_xlfn.TEXTJOIN(", ",TRUE,IF(FEV!$G112:$AK112="FE",FEV!$G$4:$AK$4,"")))</f>
        <v/>
      </c>
      <c r="T416" t="str">
        <f t="array" ref="T416">IF($Q416="","",_xlfn.TEXTJOIN(", ",TRUE,IF(MAR!$G112:$AK112="FE",MAR!$G$4:$AK$4,"")))</f>
        <v/>
      </c>
      <c r="U416" t="str">
        <f t="array" ref="U416">IF($Q416="","",_xlfn.TEXTJOIN(", ",TRUE,IF(ABR!$G112:$AK112="FE",ABR!$G$4:$AK$4,"")))</f>
        <v/>
      </c>
      <c r="V416" t="str">
        <f t="array" ref="V416">IF($Q416="","",_xlfn.TEXTJOIN(", ",TRUE,IF(MAI!$G112:$AK112="FE",MAI!$G$4:$AK$4,"")))</f>
        <v/>
      </c>
      <c r="W416" t="str">
        <f t="array" ref="W416">IF($Q416="","",_xlfn.TEXTJOIN(", ",TRUE,IF(JUN!$G112:$AK112="FE",JUN!$G$4:$AK$4,"")))</f>
        <v/>
      </c>
      <c r="X416" t="str">
        <f t="array" ref="X416">IF($Q416="","",_xlfn.TEXTJOIN(", ",TRUE,IF(JUL!$G112:$AK112="FE",JUL!$G$4:$AK$4,"")))</f>
        <v/>
      </c>
      <c r="Y416" t="str">
        <f t="array" ref="Y416">IF($Q416="","",_xlfn.TEXTJOIN(", ",TRUE,IF(AGO!$G112:$AK112="FE",AGO!$G$4:$AK$4,"")))</f>
        <v/>
      </c>
      <c r="Z416" t="str">
        <f t="array" ref="Z416">IF($Q416="","",_xlfn.TEXTJOIN(", ",TRUE,IF(SET!$G112:$AK112="FE",SET!$G$4:$AK$4,"")))</f>
        <v/>
      </c>
      <c r="AA416" t="str">
        <f t="array" ref="AA416">IF($Q416="","",_xlfn.TEXTJOIN(", ",TRUE,IF(OUT!$G112:$AK112="FE",OUT!$G$4:$AK$4,"")))</f>
        <v/>
      </c>
      <c r="AB416" t="str">
        <f t="array" ref="AB416">IF($Q416="","",_xlfn.TEXTJOIN(", ",TRUE,IF(NOV!$G112:$AK112="FE",NOV!$G$4:$AK$4,"")))</f>
        <v/>
      </c>
      <c r="AC416" t="str">
        <f t="array" ref="AC416">IF($Q416="","",_xlfn.TEXTJOIN(", ",TRUE,IF(DEZ!$G112:$AK112="FE",DEZ!$G$4:$AK$4,"")))</f>
        <v/>
      </c>
      <c r="AD416" t="str">
        <f>IF($Q416="","",COUNTIF(JAN!$G112:$AK112,"FE")+COUNTIF(FEV!$G112:$AK112,"FE")+COUNTIF(MAR!$G112:$AK112,"FE")+COUNTIF(ABR!$G112:$AK112,"FE")+COUNTIF(MAI!$G112:$AK112,"FE")+COUNTIF(JUN!$G112:$AK112,"FE")+COUNTIF(JUL!$G112:$AK112,"FE")+COUNTIF(AGO!$G112:$AK112,"FE")+COUNTIF(SET!$G112:$AK112,"FE")+COUNTIF(OUT!$G112:$AK112,"FE")+COUNTIF(NOV!$G112:$AK112,"FE")+COUNTIF(DEZ!$G112:$AK112,"FE"))</f>
        <v/>
      </c>
      <c r="AF416" t="str">
        <f>IF(AND($Q416&lt;&gt;"",N($AD416)&gt;0),COUNT($AF$309:AF415)+1,"")</f>
        <v/>
      </c>
    </row>
    <row r="417" spans="1:32" x14ac:dyDescent="0.25">
      <c r="A417" s="36" t="str">
        <f>IFERROR(INDEX($Q$310:$Q$459,MATCH(ROWS($A$310:A417),$AF$310:$AF$459,0)),"")</f>
        <v/>
      </c>
      <c r="B417" s="35" t="str">
        <f>IFERROR(INDEX($R$310:$R$459,MATCH(ROWS($A$310:A417),$AF$310:$AF$459,0)),"")</f>
        <v/>
      </c>
      <c r="C417" s="35" t="str">
        <f>IFERROR(INDEX($S$310:$S$459,MATCH(ROWS($A$310:A417),$AF$310:$AF$459,0)),"")</f>
        <v/>
      </c>
      <c r="D417" s="35" t="str">
        <f>IFERROR(INDEX($T$310:$T$459,MATCH(ROWS($A$310:A417),$AF$310:$AF$459,0)),"")</f>
        <v/>
      </c>
      <c r="E417" s="35" t="str">
        <f>IFERROR(INDEX($U$310:$U$459,MATCH(ROWS($A$310:A417),$AF$310:$AF$459,0)),"")</f>
        <v/>
      </c>
      <c r="F417" s="35" t="str">
        <f>IFERROR(INDEX($V$310:$V$459,MATCH(ROWS($A$310:A417),$AF$310:$AF$459,0)),"")</f>
        <v/>
      </c>
      <c r="G417" s="35" t="str">
        <f>IFERROR(INDEX($W$310:$W$459,MATCH(ROWS($A$310:A417),$AF$310:$AF$459,0)),"")</f>
        <v/>
      </c>
      <c r="H417" s="35" t="str">
        <f>IFERROR(INDEX($X$310:$X$459,MATCH(ROWS($A$310:A417),$AF$310:$AF$459,0)),"")</f>
        <v/>
      </c>
      <c r="I417" s="35" t="str">
        <f>IFERROR(INDEX($Y$310:$Y$459,MATCH(ROWS($A$310:A417),$AF$310:$AF$459,0)),"")</f>
        <v/>
      </c>
      <c r="J417" s="35" t="str">
        <f>IFERROR(INDEX($Z$310:$Z$459,MATCH(ROWS($A$310:A417),$AF$310:$AF$459,0)),"")</f>
        <v/>
      </c>
      <c r="K417" s="35" t="str">
        <f>IFERROR(INDEX($AA$310:$AA$459,MATCH(ROWS($A$310:A417),$AF$310:$AF$459,0)),"")</f>
        <v/>
      </c>
      <c r="L417" s="35" t="str">
        <f>IFERROR(INDEX($AB$310:$AB$459,MATCH(ROWS($A$310:A417),$AF$310:$AF$459,0)),"")</f>
        <v/>
      </c>
      <c r="M417" s="35" t="str">
        <f>IFERROR(INDEX($AC$310:$AC$459,MATCH(ROWS($A$310:A417),$AF$310:$AF$459,0)),"")</f>
        <v/>
      </c>
      <c r="N417" s="35" t="str">
        <f>IFERROR(INDEX($AD$310:$AD$459,MATCH(ROWS($A$310:A417),$AF$310:$AF$459,0)),"")</f>
        <v/>
      </c>
      <c r="Q417" t="str">
        <f>T(JAN!B113)</f>
        <v/>
      </c>
      <c r="R417" t="str">
        <f t="array" ref="R417">IF($Q417="","",_xlfn.TEXTJOIN(", ",TRUE,IF(JAN!$G113:$AK113="FE",JAN!$G$4:$AK$4,"")))</f>
        <v/>
      </c>
      <c r="S417" t="str">
        <f t="array" ref="S417">IF($Q417="","",_xlfn.TEXTJOIN(", ",TRUE,IF(FEV!$G113:$AK113="FE",FEV!$G$4:$AK$4,"")))</f>
        <v/>
      </c>
      <c r="T417" t="str">
        <f t="array" ref="T417">IF($Q417="","",_xlfn.TEXTJOIN(", ",TRUE,IF(MAR!$G113:$AK113="FE",MAR!$G$4:$AK$4,"")))</f>
        <v/>
      </c>
      <c r="U417" t="str">
        <f t="array" ref="U417">IF($Q417="","",_xlfn.TEXTJOIN(", ",TRUE,IF(ABR!$G113:$AK113="FE",ABR!$G$4:$AK$4,"")))</f>
        <v/>
      </c>
      <c r="V417" t="str">
        <f t="array" ref="V417">IF($Q417="","",_xlfn.TEXTJOIN(", ",TRUE,IF(MAI!$G113:$AK113="FE",MAI!$G$4:$AK$4,"")))</f>
        <v/>
      </c>
      <c r="W417" t="str">
        <f t="array" ref="W417">IF($Q417="","",_xlfn.TEXTJOIN(", ",TRUE,IF(JUN!$G113:$AK113="FE",JUN!$G$4:$AK$4,"")))</f>
        <v/>
      </c>
      <c r="X417" t="str">
        <f t="array" ref="X417">IF($Q417="","",_xlfn.TEXTJOIN(", ",TRUE,IF(JUL!$G113:$AK113="FE",JUL!$G$4:$AK$4,"")))</f>
        <v/>
      </c>
      <c r="Y417" t="str">
        <f t="array" ref="Y417">IF($Q417="","",_xlfn.TEXTJOIN(", ",TRUE,IF(AGO!$G113:$AK113="FE",AGO!$G$4:$AK$4,"")))</f>
        <v/>
      </c>
      <c r="Z417" t="str">
        <f t="array" ref="Z417">IF($Q417="","",_xlfn.TEXTJOIN(", ",TRUE,IF(SET!$G113:$AK113="FE",SET!$G$4:$AK$4,"")))</f>
        <v/>
      </c>
      <c r="AA417" t="str">
        <f t="array" ref="AA417">IF($Q417="","",_xlfn.TEXTJOIN(", ",TRUE,IF(OUT!$G113:$AK113="FE",OUT!$G$4:$AK$4,"")))</f>
        <v/>
      </c>
      <c r="AB417" t="str">
        <f t="array" ref="AB417">IF($Q417="","",_xlfn.TEXTJOIN(", ",TRUE,IF(NOV!$G113:$AK113="FE",NOV!$G$4:$AK$4,"")))</f>
        <v/>
      </c>
      <c r="AC417" t="str">
        <f t="array" ref="AC417">IF($Q417="","",_xlfn.TEXTJOIN(", ",TRUE,IF(DEZ!$G113:$AK113="FE",DEZ!$G$4:$AK$4,"")))</f>
        <v/>
      </c>
      <c r="AD417" t="str">
        <f>IF($Q417="","",COUNTIF(JAN!$G113:$AK113,"FE")+COUNTIF(FEV!$G113:$AK113,"FE")+COUNTIF(MAR!$G113:$AK113,"FE")+COUNTIF(ABR!$G113:$AK113,"FE")+COUNTIF(MAI!$G113:$AK113,"FE")+COUNTIF(JUN!$G113:$AK113,"FE")+COUNTIF(JUL!$G113:$AK113,"FE")+COUNTIF(AGO!$G113:$AK113,"FE")+COUNTIF(SET!$G113:$AK113,"FE")+COUNTIF(OUT!$G113:$AK113,"FE")+COUNTIF(NOV!$G113:$AK113,"FE")+COUNTIF(DEZ!$G113:$AK113,"FE"))</f>
        <v/>
      </c>
      <c r="AF417" t="str">
        <f>IF(AND($Q417&lt;&gt;"",N($AD417)&gt;0),COUNT($AF$309:AF416)+1,"")</f>
        <v/>
      </c>
    </row>
    <row r="418" spans="1:32" x14ac:dyDescent="0.25">
      <c r="A418" s="36" t="str">
        <f>IFERROR(INDEX($Q$310:$Q$459,MATCH(ROWS($A$310:A418),$AF$310:$AF$459,0)),"")</f>
        <v/>
      </c>
      <c r="B418" s="35" t="str">
        <f>IFERROR(INDEX($R$310:$R$459,MATCH(ROWS($A$310:A418),$AF$310:$AF$459,0)),"")</f>
        <v/>
      </c>
      <c r="C418" s="35" t="str">
        <f>IFERROR(INDEX($S$310:$S$459,MATCH(ROWS($A$310:A418),$AF$310:$AF$459,0)),"")</f>
        <v/>
      </c>
      <c r="D418" s="35" t="str">
        <f>IFERROR(INDEX($T$310:$T$459,MATCH(ROWS($A$310:A418),$AF$310:$AF$459,0)),"")</f>
        <v/>
      </c>
      <c r="E418" s="35" t="str">
        <f>IFERROR(INDEX($U$310:$U$459,MATCH(ROWS($A$310:A418),$AF$310:$AF$459,0)),"")</f>
        <v/>
      </c>
      <c r="F418" s="35" t="str">
        <f>IFERROR(INDEX($V$310:$V$459,MATCH(ROWS($A$310:A418),$AF$310:$AF$459,0)),"")</f>
        <v/>
      </c>
      <c r="G418" s="35" t="str">
        <f>IFERROR(INDEX($W$310:$W$459,MATCH(ROWS($A$310:A418),$AF$310:$AF$459,0)),"")</f>
        <v/>
      </c>
      <c r="H418" s="35" t="str">
        <f>IFERROR(INDEX($X$310:$X$459,MATCH(ROWS($A$310:A418),$AF$310:$AF$459,0)),"")</f>
        <v/>
      </c>
      <c r="I418" s="35" t="str">
        <f>IFERROR(INDEX($Y$310:$Y$459,MATCH(ROWS($A$310:A418),$AF$310:$AF$459,0)),"")</f>
        <v/>
      </c>
      <c r="J418" s="35" t="str">
        <f>IFERROR(INDEX($Z$310:$Z$459,MATCH(ROWS($A$310:A418),$AF$310:$AF$459,0)),"")</f>
        <v/>
      </c>
      <c r="K418" s="35" t="str">
        <f>IFERROR(INDEX($AA$310:$AA$459,MATCH(ROWS($A$310:A418),$AF$310:$AF$459,0)),"")</f>
        <v/>
      </c>
      <c r="L418" s="35" t="str">
        <f>IFERROR(INDEX($AB$310:$AB$459,MATCH(ROWS($A$310:A418),$AF$310:$AF$459,0)),"")</f>
        <v/>
      </c>
      <c r="M418" s="35" t="str">
        <f>IFERROR(INDEX($AC$310:$AC$459,MATCH(ROWS($A$310:A418),$AF$310:$AF$459,0)),"")</f>
        <v/>
      </c>
      <c r="N418" s="35" t="str">
        <f>IFERROR(INDEX($AD$310:$AD$459,MATCH(ROWS($A$310:A418),$AF$310:$AF$459,0)),"")</f>
        <v/>
      </c>
      <c r="Q418" t="str">
        <f>T(JAN!B114)</f>
        <v/>
      </c>
      <c r="R418" t="str">
        <f t="array" ref="R418">IF($Q418="","",_xlfn.TEXTJOIN(", ",TRUE,IF(JAN!$G114:$AK114="FE",JAN!$G$4:$AK$4,"")))</f>
        <v/>
      </c>
      <c r="S418" t="str">
        <f t="array" ref="S418">IF($Q418="","",_xlfn.TEXTJOIN(", ",TRUE,IF(FEV!$G114:$AK114="FE",FEV!$G$4:$AK$4,"")))</f>
        <v/>
      </c>
      <c r="T418" t="str">
        <f t="array" ref="T418">IF($Q418="","",_xlfn.TEXTJOIN(", ",TRUE,IF(MAR!$G114:$AK114="FE",MAR!$G$4:$AK$4,"")))</f>
        <v/>
      </c>
      <c r="U418" t="str">
        <f t="array" ref="U418">IF($Q418="","",_xlfn.TEXTJOIN(", ",TRUE,IF(ABR!$G114:$AK114="FE",ABR!$G$4:$AK$4,"")))</f>
        <v/>
      </c>
      <c r="V418" t="str">
        <f t="array" ref="V418">IF($Q418="","",_xlfn.TEXTJOIN(", ",TRUE,IF(MAI!$G114:$AK114="FE",MAI!$G$4:$AK$4,"")))</f>
        <v/>
      </c>
      <c r="W418" t="str">
        <f t="array" ref="W418">IF($Q418="","",_xlfn.TEXTJOIN(", ",TRUE,IF(JUN!$G114:$AK114="FE",JUN!$G$4:$AK$4,"")))</f>
        <v/>
      </c>
      <c r="X418" t="str">
        <f t="array" ref="X418">IF($Q418="","",_xlfn.TEXTJOIN(", ",TRUE,IF(JUL!$G114:$AK114="FE",JUL!$G$4:$AK$4,"")))</f>
        <v/>
      </c>
      <c r="Y418" t="str">
        <f t="array" ref="Y418">IF($Q418="","",_xlfn.TEXTJOIN(", ",TRUE,IF(AGO!$G114:$AK114="FE",AGO!$G$4:$AK$4,"")))</f>
        <v/>
      </c>
      <c r="Z418" t="str">
        <f t="array" ref="Z418">IF($Q418="","",_xlfn.TEXTJOIN(", ",TRUE,IF(SET!$G114:$AK114="FE",SET!$G$4:$AK$4,"")))</f>
        <v/>
      </c>
      <c r="AA418" t="str">
        <f t="array" ref="AA418">IF($Q418="","",_xlfn.TEXTJOIN(", ",TRUE,IF(OUT!$G114:$AK114="FE",OUT!$G$4:$AK$4,"")))</f>
        <v/>
      </c>
      <c r="AB418" t="str">
        <f t="array" ref="AB418">IF($Q418="","",_xlfn.TEXTJOIN(", ",TRUE,IF(NOV!$G114:$AK114="FE",NOV!$G$4:$AK$4,"")))</f>
        <v/>
      </c>
      <c r="AC418" t="str">
        <f t="array" ref="AC418">IF($Q418="","",_xlfn.TEXTJOIN(", ",TRUE,IF(DEZ!$G114:$AK114="FE",DEZ!$G$4:$AK$4,"")))</f>
        <v/>
      </c>
      <c r="AD418" t="str">
        <f>IF($Q418="","",COUNTIF(JAN!$G114:$AK114,"FE")+COUNTIF(FEV!$G114:$AK114,"FE")+COUNTIF(MAR!$G114:$AK114,"FE")+COUNTIF(ABR!$G114:$AK114,"FE")+COUNTIF(MAI!$G114:$AK114,"FE")+COUNTIF(JUN!$G114:$AK114,"FE")+COUNTIF(JUL!$G114:$AK114,"FE")+COUNTIF(AGO!$G114:$AK114,"FE")+COUNTIF(SET!$G114:$AK114,"FE")+COUNTIF(OUT!$G114:$AK114,"FE")+COUNTIF(NOV!$G114:$AK114,"FE")+COUNTIF(DEZ!$G114:$AK114,"FE"))</f>
        <v/>
      </c>
      <c r="AF418" t="str">
        <f>IF(AND($Q418&lt;&gt;"",N($AD418)&gt;0),COUNT($AF$309:AF417)+1,"")</f>
        <v/>
      </c>
    </row>
    <row r="419" spans="1:32" x14ac:dyDescent="0.25">
      <c r="A419" s="36" t="str">
        <f>IFERROR(INDEX($Q$310:$Q$459,MATCH(ROWS($A$310:A419),$AF$310:$AF$459,0)),"")</f>
        <v/>
      </c>
      <c r="B419" s="35" t="str">
        <f>IFERROR(INDEX($R$310:$R$459,MATCH(ROWS($A$310:A419),$AF$310:$AF$459,0)),"")</f>
        <v/>
      </c>
      <c r="C419" s="35" t="str">
        <f>IFERROR(INDEX($S$310:$S$459,MATCH(ROWS($A$310:A419),$AF$310:$AF$459,0)),"")</f>
        <v/>
      </c>
      <c r="D419" s="35" t="str">
        <f>IFERROR(INDEX($T$310:$T$459,MATCH(ROWS($A$310:A419),$AF$310:$AF$459,0)),"")</f>
        <v/>
      </c>
      <c r="E419" s="35" t="str">
        <f>IFERROR(INDEX($U$310:$U$459,MATCH(ROWS($A$310:A419),$AF$310:$AF$459,0)),"")</f>
        <v/>
      </c>
      <c r="F419" s="35" t="str">
        <f>IFERROR(INDEX($V$310:$V$459,MATCH(ROWS($A$310:A419),$AF$310:$AF$459,0)),"")</f>
        <v/>
      </c>
      <c r="G419" s="35" t="str">
        <f>IFERROR(INDEX($W$310:$W$459,MATCH(ROWS($A$310:A419),$AF$310:$AF$459,0)),"")</f>
        <v/>
      </c>
      <c r="H419" s="35" t="str">
        <f>IFERROR(INDEX($X$310:$X$459,MATCH(ROWS($A$310:A419),$AF$310:$AF$459,0)),"")</f>
        <v/>
      </c>
      <c r="I419" s="35" t="str">
        <f>IFERROR(INDEX($Y$310:$Y$459,MATCH(ROWS($A$310:A419),$AF$310:$AF$459,0)),"")</f>
        <v/>
      </c>
      <c r="J419" s="35" t="str">
        <f>IFERROR(INDEX($Z$310:$Z$459,MATCH(ROWS($A$310:A419),$AF$310:$AF$459,0)),"")</f>
        <v/>
      </c>
      <c r="K419" s="35" t="str">
        <f>IFERROR(INDEX($AA$310:$AA$459,MATCH(ROWS($A$310:A419),$AF$310:$AF$459,0)),"")</f>
        <v/>
      </c>
      <c r="L419" s="35" t="str">
        <f>IFERROR(INDEX($AB$310:$AB$459,MATCH(ROWS($A$310:A419),$AF$310:$AF$459,0)),"")</f>
        <v/>
      </c>
      <c r="M419" s="35" t="str">
        <f>IFERROR(INDEX($AC$310:$AC$459,MATCH(ROWS($A$310:A419),$AF$310:$AF$459,0)),"")</f>
        <v/>
      </c>
      <c r="N419" s="35" t="str">
        <f>IFERROR(INDEX($AD$310:$AD$459,MATCH(ROWS($A$310:A419),$AF$310:$AF$459,0)),"")</f>
        <v/>
      </c>
      <c r="Q419" t="str">
        <f>T(JAN!B115)</f>
        <v/>
      </c>
      <c r="R419" t="str">
        <f t="array" ref="R419">IF($Q419="","",_xlfn.TEXTJOIN(", ",TRUE,IF(JAN!$G115:$AK115="FE",JAN!$G$4:$AK$4,"")))</f>
        <v/>
      </c>
      <c r="S419" t="str">
        <f t="array" ref="S419">IF($Q419="","",_xlfn.TEXTJOIN(", ",TRUE,IF(FEV!$G115:$AK115="FE",FEV!$G$4:$AK$4,"")))</f>
        <v/>
      </c>
      <c r="T419" t="str">
        <f t="array" ref="T419">IF($Q419="","",_xlfn.TEXTJOIN(", ",TRUE,IF(MAR!$G115:$AK115="FE",MAR!$G$4:$AK$4,"")))</f>
        <v/>
      </c>
      <c r="U419" t="str">
        <f t="array" ref="U419">IF($Q419="","",_xlfn.TEXTJOIN(", ",TRUE,IF(ABR!$G115:$AK115="FE",ABR!$G$4:$AK$4,"")))</f>
        <v/>
      </c>
      <c r="V419" t="str">
        <f t="array" ref="V419">IF($Q419="","",_xlfn.TEXTJOIN(", ",TRUE,IF(MAI!$G115:$AK115="FE",MAI!$G$4:$AK$4,"")))</f>
        <v/>
      </c>
      <c r="W419" t="str">
        <f t="array" ref="W419">IF($Q419="","",_xlfn.TEXTJOIN(", ",TRUE,IF(JUN!$G115:$AK115="FE",JUN!$G$4:$AK$4,"")))</f>
        <v/>
      </c>
      <c r="X419" t="str">
        <f t="array" ref="X419">IF($Q419="","",_xlfn.TEXTJOIN(", ",TRUE,IF(JUL!$G115:$AK115="FE",JUL!$G$4:$AK$4,"")))</f>
        <v/>
      </c>
      <c r="Y419" t="str">
        <f t="array" ref="Y419">IF($Q419="","",_xlfn.TEXTJOIN(", ",TRUE,IF(AGO!$G115:$AK115="FE",AGO!$G$4:$AK$4,"")))</f>
        <v/>
      </c>
      <c r="Z419" t="str">
        <f t="array" ref="Z419">IF($Q419="","",_xlfn.TEXTJOIN(", ",TRUE,IF(SET!$G115:$AK115="FE",SET!$G$4:$AK$4,"")))</f>
        <v/>
      </c>
      <c r="AA419" t="str">
        <f t="array" ref="AA419">IF($Q419="","",_xlfn.TEXTJOIN(", ",TRUE,IF(OUT!$G115:$AK115="FE",OUT!$G$4:$AK$4,"")))</f>
        <v/>
      </c>
      <c r="AB419" t="str">
        <f t="array" ref="AB419">IF($Q419="","",_xlfn.TEXTJOIN(", ",TRUE,IF(NOV!$G115:$AK115="FE",NOV!$G$4:$AK$4,"")))</f>
        <v/>
      </c>
      <c r="AC419" t="str">
        <f t="array" ref="AC419">IF($Q419="","",_xlfn.TEXTJOIN(", ",TRUE,IF(DEZ!$G115:$AK115="FE",DEZ!$G$4:$AK$4,"")))</f>
        <v/>
      </c>
      <c r="AD419" t="str">
        <f>IF($Q419="","",COUNTIF(JAN!$G115:$AK115,"FE")+COUNTIF(FEV!$G115:$AK115,"FE")+COUNTIF(MAR!$G115:$AK115,"FE")+COUNTIF(ABR!$G115:$AK115,"FE")+COUNTIF(MAI!$G115:$AK115,"FE")+COUNTIF(JUN!$G115:$AK115,"FE")+COUNTIF(JUL!$G115:$AK115,"FE")+COUNTIF(AGO!$G115:$AK115,"FE")+COUNTIF(SET!$G115:$AK115,"FE")+COUNTIF(OUT!$G115:$AK115,"FE")+COUNTIF(NOV!$G115:$AK115,"FE")+COUNTIF(DEZ!$G115:$AK115,"FE"))</f>
        <v/>
      </c>
      <c r="AF419" t="str">
        <f>IF(AND($Q419&lt;&gt;"",N($AD419)&gt;0),COUNT($AF$309:AF418)+1,"")</f>
        <v/>
      </c>
    </row>
    <row r="420" spans="1:32" x14ac:dyDescent="0.25">
      <c r="A420" s="36" t="str">
        <f>IFERROR(INDEX($Q$310:$Q$459,MATCH(ROWS($A$310:A420),$AF$310:$AF$459,0)),"")</f>
        <v/>
      </c>
      <c r="B420" s="35" t="str">
        <f>IFERROR(INDEX($R$310:$R$459,MATCH(ROWS($A$310:A420),$AF$310:$AF$459,0)),"")</f>
        <v/>
      </c>
      <c r="C420" s="35" t="str">
        <f>IFERROR(INDEX($S$310:$S$459,MATCH(ROWS($A$310:A420),$AF$310:$AF$459,0)),"")</f>
        <v/>
      </c>
      <c r="D420" s="35" t="str">
        <f>IFERROR(INDEX($T$310:$T$459,MATCH(ROWS($A$310:A420),$AF$310:$AF$459,0)),"")</f>
        <v/>
      </c>
      <c r="E420" s="35" t="str">
        <f>IFERROR(INDEX($U$310:$U$459,MATCH(ROWS($A$310:A420),$AF$310:$AF$459,0)),"")</f>
        <v/>
      </c>
      <c r="F420" s="35" t="str">
        <f>IFERROR(INDEX($V$310:$V$459,MATCH(ROWS($A$310:A420),$AF$310:$AF$459,0)),"")</f>
        <v/>
      </c>
      <c r="G420" s="35" t="str">
        <f>IFERROR(INDEX($W$310:$W$459,MATCH(ROWS($A$310:A420),$AF$310:$AF$459,0)),"")</f>
        <v/>
      </c>
      <c r="H420" s="35" t="str">
        <f>IFERROR(INDEX($X$310:$X$459,MATCH(ROWS($A$310:A420),$AF$310:$AF$459,0)),"")</f>
        <v/>
      </c>
      <c r="I420" s="35" t="str">
        <f>IFERROR(INDEX($Y$310:$Y$459,MATCH(ROWS($A$310:A420),$AF$310:$AF$459,0)),"")</f>
        <v/>
      </c>
      <c r="J420" s="35" t="str">
        <f>IFERROR(INDEX($Z$310:$Z$459,MATCH(ROWS($A$310:A420),$AF$310:$AF$459,0)),"")</f>
        <v/>
      </c>
      <c r="K420" s="35" t="str">
        <f>IFERROR(INDEX($AA$310:$AA$459,MATCH(ROWS($A$310:A420),$AF$310:$AF$459,0)),"")</f>
        <v/>
      </c>
      <c r="L420" s="35" t="str">
        <f>IFERROR(INDEX($AB$310:$AB$459,MATCH(ROWS($A$310:A420),$AF$310:$AF$459,0)),"")</f>
        <v/>
      </c>
      <c r="M420" s="35" t="str">
        <f>IFERROR(INDEX($AC$310:$AC$459,MATCH(ROWS($A$310:A420),$AF$310:$AF$459,0)),"")</f>
        <v/>
      </c>
      <c r="N420" s="35" t="str">
        <f>IFERROR(INDEX($AD$310:$AD$459,MATCH(ROWS($A$310:A420),$AF$310:$AF$459,0)),"")</f>
        <v/>
      </c>
      <c r="Q420" t="str">
        <f>T(JAN!B116)</f>
        <v/>
      </c>
      <c r="R420" t="str">
        <f t="array" ref="R420">IF($Q420="","",_xlfn.TEXTJOIN(", ",TRUE,IF(JAN!$G116:$AK116="FE",JAN!$G$4:$AK$4,"")))</f>
        <v/>
      </c>
      <c r="S420" t="str">
        <f t="array" ref="S420">IF($Q420="","",_xlfn.TEXTJOIN(", ",TRUE,IF(FEV!$G116:$AK116="FE",FEV!$G$4:$AK$4,"")))</f>
        <v/>
      </c>
      <c r="T420" t="str">
        <f t="array" ref="T420">IF($Q420="","",_xlfn.TEXTJOIN(", ",TRUE,IF(MAR!$G116:$AK116="FE",MAR!$G$4:$AK$4,"")))</f>
        <v/>
      </c>
      <c r="U420" t="str">
        <f t="array" ref="U420">IF($Q420="","",_xlfn.TEXTJOIN(", ",TRUE,IF(ABR!$G116:$AK116="FE",ABR!$G$4:$AK$4,"")))</f>
        <v/>
      </c>
      <c r="V420" t="str">
        <f t="array" ref="V420">IF($Q420="","",_xlfn.TEXTJOIN(", ",TRUE,IF(MAI!$G116:$AK116="FE",MAI!$G$4:$AK$4,"")))</f>
        <v/>
      </c>
      <c r="W420" t="str">
        <f t="array" ref="W420">IF($Q420="","",_xlfn.TEXTJOIN(", ",TRUE,IF(JUN!$G116:$AK116="FE",JUN!$G$4:$AK$4,"")))</f>
        <v/>
      </c>
      <c r="X420" t="str">
        <f t="array" ref="X420">IF($Q420="","",_xlfn.TEXTJOIN(", ",TRUE,IF(JUL!$G116:$AK116="FE",JUL!$G$4:$AK$4,"")))</f>
        <v/>
      </c>
      <c r="Y420" t="str">
        <f t="array" ref="Y420">IF($Q420="","",_xlfn.TEXTJOIN(", ",TRUE,IF(AGO!$G116:$AK116="FE",AGO!$G$4:$AK$4,"")))</f>
        <v/>
      </c>
      <c r="Z420" t="str">
        <f t="array" ref="Z420">IF($Q420="","",_xlfn.TEXTJOIN(", ",TRUE,IF(SET!$G116:$AK116="FE",SET!$G$4:$AK$4,"")))</f>
        <v/>
      </c>
      <c r="AA420" t="str">
        <f t="array" ref="AA420">IF($Q420="","",_xlfn.TEXTJOIN(", ",TRUE,IF(OUT!$G116:$AK116="FE",OUT!$G$4:$AK$4,"")))</f>
        <v/>
      </c>
      <c r="AB420" t="str">
        <f t="array" ref="AB420">IF($Q420="","",_xlfn.TEXTJOIN(", ",TRUE,IF(NOV!$G116:$AK116="FE",NOV!$G$4:$AK$4,"")))</f>
        <v/>
      </c>
      <c r="AC420" t="str">
        <f t="array" ref="AC420">IF($Q420="","",_xlfn.TEXTJOIN(", ",TRUE,IF(DEZ!$G116:$AK116="FE",DEZ!$G$4:$AK$4,"")))</f>
        <v/>
      </c>
      <c r="AD420" t="str">
        <f>IF($Q420="","",COUNTIF(JAN!$G116:$AK116,"FE")+COUNTIF(FEV!$G116:$AK116,"FE")+COUNTIF(MAR!$G116:$AK116,"FE")+COUNTIF(ABR!$G116:$AK116,"FE")+COUNTIF(MAI!$G116:$AK116,"FE")+COUNTIF(JUN!$G116:$AK116,"FE")+COUNTIF(JUL!$G116:$AK116,"FE")+COUNTIF(AGO!$G116:$AK116,"FE")+COUNTIF(SET!$G116:$AK116,"FE")+COUNTIF(OUT!$G116:$AK116,"FE")+COUNTIF(NOV!$G116:$AK116,"FE")+COUNTIF(DEZ!$G116:$AK116,"FE"))</f>
        <v/>
      </c>
      <c r="AF420" t="str">
        <f>IF(AND($Q420&lt;&gt;"",N($AD420)&gt;0),COUNT($AF$309:AF419)+1,"")</f>
        <v/>
      </c>
    </row>
    <row r="421" spans="1:32" x14ac:dyDescent="0.25">
      <c r="A421" s="36" t="str">
        <f>IFERROR(INDEX($Q$310:$Q$459,MATCH(ROWS($A$310:A421),$AF$310:$AF$459,0)),"")</f>
        <v/>
      </c>
      <c r="B421" s="35" t="str">
        <f>IFERROR(INDEX($R$310:$R$459,MATCH(ROWS($A$310:A421),$AF$310:$AF$459,0)),"")</f>
        <v/>
      </c>
      <c r="C421" s="35" t="str">
        <f>IFERROR(INDEX($S$310:$S$459,MATCH(ROWS($A$310:A421),$AF$310:$AF$459,0)),"")</f>
        <v/>
      </c>
      <c r="D421" s="35" t="str">
        <f>IFERROR(INDEX($T$310:$T$459,MATCH(ROWS($A$310:A421),$AF$310:$AF$459,0)),"")</f>
        <v/>
      </c>
      <c r="E421" s="35" t="str">
        <f>IFERROR(INDEX($U$310:$U$459,MATCH(ROWS($A$310:A421),$AF$310:$AF$459,0)),"")</f>
        <v/>
      </c>
      <c r="F421" s="35" t="str">
        <f>IFERROR(INDEX($V$310:$V$459,MATCH(ROWS($A$310:A421),$AF$310:$AF$459,0)),"")</f>
        <v/>
      </c>
      <c r="G421" s="35" t="str">
        <f>IFERROR(INDEX($W$310:$W$459,MATCH(ROWS($A$310:A421),$AF$310:$AF$459,0)),"")</f>
        <v/>
      </c>
      <c r="H421" s="35" t="str">
        <f>IFERROR(INDEX($X$310:$X$459,MATCH(ROWS($A$310:A421),$AF$310:$AF$459,0)),"")</f>
        <v/>
      </c>
      <c r="I421" s="35" t="str">
        <f>IFERROR(INDEX($Y$310:$Y$459,MATCH(ROWS($A$310:A421),$AF$310:$AF$459,0)),"")</f>
        <v/>
      </c>
      <c r="J421" s="35" t="str">
        <f>IFERROR(INDEX($Z$310:$Z$459,MATCH(ROWS($A$310:A421),$AF$310:$AF$459,0)),"")</f>
        <v/>
      </c>
      <c r="K421" s="35" t="str">
        <f>IFERROR(INDEX($AA$310:$AA$459,MATCH(ROWS($A$310:A421),$AF$310:$AF$459,0)),"")</f>
        <v/>
      </c>
      <c r="L421" s="35" t="str">
        <f>IFERROR(INDEX($AB$310:$AB$459,MATCH(ROWS($A$310:A421),$AF$310:$AF$459,0)),"")</f>
        <v/>
      </c>
      <c r="M421" s="35" t="str">
        <f>IFERROR(INDEX($AC$310:$AC$459,MATCH(ROWS($A$310:A421),$AF$310:$AF$459,0)),"")</f>
        <v/>
      </c>
      <c r="N421" s="35" t="str">
        <f>IFERROR(INDEX($AD$310:$AD$459,MATCH(ROWS($A$310:A421),$AF$310:$AF$459,0)),"")</f>
        <v/>
      </c>
      <c r="Q421" t="str">
        <f>T(JAN!B117)</f>
        <v/>
      </c>
      <c r="R421" t="str">
        <f t="array" ref="R421">IF($Q421="","",_xlfn.TEXTJOIN(", ",TRUE,IF(JAN!$G117:$AK117="FE",JAN!$G$4:$AK$4,"")))</f>
        <v/>
      </c>
      <c r="S421" t="str">
        <f t="array" ref="S421">IF($Q421="","",_xlfn.TEXTJOIN(", ",TRUE,IF(FEV!$G117:$AK117="FE",FEV!$G$4:$AK$4,"")))</f>
        <v/>
      </c>
      <c r="T421" t="str">
        <f t="array" ref="T421">IF($Q421="","",_xlfn.TEXTJOIN(", ",TRUE,IF(MAR!$G117:$AK117="FE",MAR!$G$4:$AK$4,"")))</f>
        <v/>
      </c>
      <c r="U421" t="str">
        <f t="array" ref="U421">IF($Q421="","",_xlfn.TEXTJOIN(", ",TRUE,IF(ABR!$G117:$AK117="FE",ABR!$G$4:$AK$4,"")))</f>
        <v/>
      </c>
      <c r="V421" t="str">
        <f t="array" ref="V421">IF($Q421="","",_xlfn.TEXTJOIN(", ",TRUE,IF(MAI!$G117:$AK117="FE",MAI!$G$4:$AK$4,"")))</f>
        <v/>
      </c>
      <c r="W421" t="str">
        <f t="array" ref="W421">IF($Q421="","",_xlfn.TEXTJOIN(", ",TRUE,IF(JUN!$G117:$AK117="FE",JUN!$G$4:$AK$4,"")))</f>
        <v/>
      </c>
      <c r="X421" t="str">
        <f t="array" ref="X421">IF($Q421="","",_xlfn.TEXTJOIN(", ",TRUE,IF(JUL!$G117:$AK117="FE",JUL!$G$4:$AK$4,"")))</f>
        <v/>
      </c>
      <c r="Y421" t="str">
        <f t="array" ref="Y421">IF($Q421="","",_xlfn.TEXTJOIN(", ",TRUE,IF(AGO!$G117:$AK117="FE",AGO!$G$4:$AK$4,"")))</f>
        <v/>
      </c>
      <c r="Z421" t="str">
        <f t="array" ref="Z421">IF($Q421="","",_xlfn.TEXTJOIN(", ",TRUE,IF(SET!$G117:$AK117="FE",SET!$G$4:$AK$4,"")))</f>
        <v/>
      </c>
      <c r="AA421" t="str">
        <f t="array" ref="AA421">IF($Q421="","",_xlfn.TEXTJOIN(", ",TRUE,IF(OUT!$G117:$AK117="FE",OUT!$G$4:$AK$4,"")))</f>
        <v/>
      </c>
      <c r="AB421" t="str">
        <f t="array" ref="AB421">IF($Q421="","",_xlfn.TEXTJOIN(", ",TRUE,IF(NOV!$G117:$AK117="FE",NOV!$G$4:$AK$4,"")))</f>
        <v/>
      </c>
      <c r="AC421" t="str">
        <f t="array" ref="AC421">IF($Q421="","",_xlfn.TEXTJOIN(", ",TRUE,IF(DEZ!$G117:$AK117="FE",DEZ!$G$4:$AK$4,"")))</f>
        <v/>
      </c>
      <c r="AD421" t="str">
        <f>IF($Q421="","",COUNTIF(JAN!$G117:$AK117,"FE")+COUNTIF(FEV!$G117:$AK117,"FE")+COUNTIF(MAR!$G117:$AK117,"FE")+COUNTIF(ABR!$G117:$AK117,"FE")+COUNTIF(MAI!$G117:$AK117,"FE")+COUNTIF(JUN!$G117:$AK117,"FE")+COUNTIF(JUL!$G117:$AK117,"FE")+COUNTIF(AGO!$G117:$AK117,"FE")+COUNTIF(SET!$G117:$AK117,"FE")+COUNTIF(OUT!$G117:$AK117,"FE")+COUNTIF(NOV!$G117:$AK117,"FE")+COUNTIF(DEZ!$G117:$AK117,"FE"))</f>
        <v/>
      </c>
      <c r="AF421" t="str">
        <f>IF(AND($Q421&lt;&gt;"",N($AD421)&gt;0),COUNT($AF$309:AF420)+1,"")</f>
        <v/>
      </c>
    </row>
    <row r="422" spans="1:32" x14ac:dyDescent="0.25">
      <c r="A422" s="36" t="str">
        <f>IFERROR(INDEX($Q$310:$Q$459,MATCH(ROWS($A$310:A422),$AF$310:$AF$459,0)),"")</f>
        <v/>
      </c>
      <c r="B422" s="35" t="str">
        <f>IFERROR(INDEX($R$310:$R$459,MATCH(ROWS($A$310:A422),$AF$310:$AF$459,0)),"")</f>
        <v/>
      </c>
      <c r="C422" s="35" t="str">
        <f>IFERROR(INDEX($S$310:$S$459,MATCH(ROWS($A$310:A422),$AF$310:$AF$459,0)),"")</f>
        <v/>
      </c>
      <c r="D422" s="35" t="str">
        <f>IFERROR(INDEX($T$310:$T$459,MATCH(ROWS($A$310:A422),$AF$310:$AF$459,0)),"")</f>
        <v/>
      </c>
      <c r="E422" s="35" t="str">
        <f>IFERROR(INDEX($U$310:$U$459,MATCH(ROWS($A$310:A422),$AF$310:$AF$459,0)),"")</f>
        <v/>
      </c>
      <c r="F422" s="35" t="str">
        <f>IFERROR(INDEX($V$310:$V$459,MATCH(ROWS($A$310:A422),$AF$310:$AF$459,0)),"")</f>
        <v/>
      </c>
      <c r="G422" s="35" t="str">
        <f>IFERROR(INDEX($W$310:$W$459,MATCH(ROWS($A$310:A422),$AF$310:$AF$459,0)),"")</f>
        <v/>
      </c>
      <c r="H422" s="35" t="str">
        <f>IFERROR(INDEX($X$310:$X$459,MATCH(ROWS($A$310:A422),$AF$310:$AF$459,0)),"")</f>
        <v/>
      </c>
      <c r="I422" s="35" t="str">
        <f>IFERROR(INDEX($Y$310:$Y$459,MATCH(ROWS($A$310:A422),$AF$310:$AF$459,0)),"")</f>
        <v/>
      </c>
      <c r="J422" s="35" t="str">
        <f>IFERROR(INDEX($Z$310:$Z$459,MATCH(ROWS($A$310:A422),$AF$310:$AF$459,0)),"")</f>
        <v/>
      </c>
      <c r="K422" s="35" t="str">
        <f>IFERROR(INDEX($AA$310:$AA$459,MATCH(ROWS($A$310:A422),$AF$310:$AF$459,0)),"")</f>
        <v/>
      </c>
      <c r="L422" s="35" t="str">
        <f>IFERROR(INDEX($AB$310:$AB$459,MATCH(ROWS($A$310:A422),$AF$310:$AF$459,0)),"")</f>
        <v/>
      </c>
      <c r="M422" s="35" t="str">
        <f>IFERROR(INDEX($AC$310:$AC$459,MATCH(ROWS($A$310:A422),$AF$310:$AF$459,0)),"")</f>
        <v/>
      </c>
      <c r="N422" s="35" t="str">
        <f>IFERROR(INDEX($AD$310:$AD$459,MATCH(ROWS($A$310:A422),$AF$310:$AF$459,0)),"")</f>
        <v/>
      </c>
      <c r="Q422" t="str">
        <f>T(JAN!B118)</f>
        <v/>
      </c>
      <c r="R422" t="str">
        <f t="array" ref="R422">IF($Q422="","",_xlfn.TEXTJOIN(", ",TRUE,IF(JAN!$G118:$AK118="FE",JAN!$G$4:$AK$4,"")))</f>
        <v/>
      </c>
      <c r="S422" t="str">
        <f t="array" ref="S422">IF($Q422="","",_xlfn.TEXTJOIN(", ",TRUE,IF(FEV!$G118:$AK118="FE",FEV!$G$4:$AK$4,"")))</f>
        <v/>
      </c>
      <c r="T422" t="str">
        <f t="array" ref="T422">IF($Q422="","",_xlfn.TEXTJOIN(", ",TRUE,IF(MAR!$G118:$AK118="FE",MAR!$G$4:$AK$4,"")))</f>
        <v/>
      </c>
      <c r="U422" t="str">
        <f t="array" ref="U422">IF($Q422="","",_xlfn.TEXTJOIN(", ",TRUE,IF(ABR!$G118:$AK118="FE",ABR!$G$4:$AK$4,"")))</f>
        <v/>
      </c>
      <c r="V422" t="str">
        <f t="array" ref="V422">IF($Q422="","",_xlfn.TEXTJOIN(", ",TRUE,IF(MAI!$G118:$AK118="FE",MAI!$G$4:$AK$4,"")))</f>
        <v/>
      </c>
      <c r="W422" t="str">
        <f t="array" ref="W422">IF($Q422="","",_xlfn.TEXTJOIN(", ",TRUE,IF(JUN!$G118:$AK118="FE",JUN!$G$4:$AK$4,"")))</f>
        <v/>
      </c>
      <c r="X422" t="str">
        <f t="array" ref="X422">IF($Q422="","",_xlfn.TEXTJOIN(", ",TRUE,IF(JUL!$G118:$AK118="FE",JUL!$G$4:$AK$4,"")))</f>
        <v/>
      </c>
      <c r="Y422" t="str">
        <f t="array" ref="Y422">IF($Q422="","",_xlfn.TEXTJOIN(", ",TRUE,IF(AGO!$G118:$AK118="FE",AGO!$G$4:$AK$4,"")))</f>
        <v/>
      </c>
      <c r="Z422" t="str">
        <f t="array" ref="Z422">IF($Q422="","",_xlfn.TEXTJOIN(", ",TRUE,IF(SET!$G118:$AK118="FE",SET!$G$4:$AK$4,"")))</f>
        <v/>
      </c>
      <c r="AA422" t="str">
        <f t="array" ref="AA422">IF($Q422="","",_xlfn.TEXTJOIN(", ",TRUE,IF(OUT!$G118:$AK118="FE",OUT!$G$4:$AK$4,"")))</f>
        <v/>
      </c>
      <c r="AB422" t="str">
        <f t="array" ref="AB422">IF($Q422="","",_xlfn.TEXTJOIN(", ",TRUE,IF(NOV!$G118:$AK118="FE",NOV!$G$4:$AK$4,"")))</f>
        <v/>
      </c>
      <c r="AC422" t="str">
        <f t="array" ref="AC422">IF($Q422="","",_xlfn.TEXTJOIN(", ",TRUE,IF(DEZ!$G118:$AK118="FE",DEZ!$G$4:$AK$4,"")))</f>
        <v/>
      </c>
      <c r="AD422" t="str">
        <f>IF($Q422="","",COUNTIF(JAN!$G118:$AK118,"FE")+COUNTIF(FEV!$G118:$AK118,"FE")+COUNTIF(MAR!$G118:$AK118,"FE")+COUNTIF(ABR!$G118:$AK118,"FE")+COUNTIF(MAI!$G118:$AK118,"FE")+COUNTIF(JUN!$G118:$AK118,"FE")+COUNTIF(JUL!$G118:$AK118,"FE")+COUNTIF(AGO!$G118:$AK118,"FE")+COUNTIF(SET!$G118:$AK118,"FE")+COUNTIF(OUT!$G118:$AK118,"FE")+COUNTIF(NOV!$G118:$AK118,"FE")+COUNTIF(DEZ!$G118:$AK118,"FE"))</f>
        <v/>
      </c>
      <c r="AF422" t="str">
        <f>IF(AND($Q422&lt;&gt;"",N($AD422)&gt;0),COUNT($AF$309:AF421)+1,"")</f>
        <v/>
      </c>
    </row>
    <row r="423" spans="1:32" x14ac:dyDescent="0.25">
      <c r="A423" s="36" t="str">
        <f>IFERROR(INDEX($Q$310:$Q$459,MATCH(ROWS($A$310:A423),$AF$310:$AF$459,0)),"")</f>
        <v/>
      </c>
      <c r="B423" s="35" t="str">
        <f>IFERROR(INDEX($R$310:$R$459,MATCH(ROWS($A$310:A423),$AF$310:$AF$459,0)),"")</f>
        <v/>
      </c>
      <c r="C423" s="35" t="str">
        <f>IFERROR(INDEX($S$310:$S$459,MATCH(ROWS($A$310:A423),$AF$310:$AF$459,0)),"")</f>
        <v/>
      </c>
      <c r="D423" s="35" t="str">
        <f>IFERROR(INDEX($T$310:$T$459,MATCH(ROWS($A$310:A423),$AF$310:$AF$459,0)),"")</f>
        <v/>
      </c>
      <c r="E423" s="35" t="str">
        <f>IFERROR(INDEX($U$310:$U$459,MATCH(ROWS($A$310:A423),$AF$310:$AF$459,0)),"")</f>
        <v/>
      </c>
      <c r="F423" s="35" t="str">
        <f>IFERROR(INDEX($V$310:$V$459,MATCH(ROWS($A$310:A423),$AF$310:$AF$459,0)),"")</f>
        <v/>
      </c>
      <c r="G423" s="35" t="str">
        <f>IFERROR(INDEX($W$310:$W$459,MATCH(ROWS($A$310:A423),$AF$310:$AF$459,0)),"")</f>
        <v/>
      </c>
      <c r="H423" s="35" t="str">
        <f>IFERROR(INDEX($X$310:$X$459,MATCH(ROWS($A$310:A423),$AF$310:$AF$459,0)),"")</f>
        <v/>
      </c>
      <c r="I423" s="35" t="str">
        <f>IFERROR(INDEX($Y$310:$Y$459,MATCH(ROWS($A$310:A423),$AF$310:$AF$459,0)),"")</f>
        <v/>
      </c>
      <c r="J423" s="35" t="str">
        <f>IFERROR(INDEX($Z$310:$Z$459,MATCH(ROWS($A$310:A423),$AF$310:$AF$459,0)),"")</f>
        <v/>
      </c>
      <c r="K423" s="35" t="str">
        <f>IFERROR(INDEX($AA$310:$AA$459,MATCH(ROWS($A$310:A423),$AF$310:$AF$459,0)),"")</f>
        <v/>
      </c>
      <c r="L423" s="35" t="str">
        <f>IFERROR(INDEX($AB$310:$AB$459,MATCH(ROWS($A$310:A423),$AF$310:$AF$459,0)),"")</f>
        <v/>
      </c>
      <c r="M423" s="35" t="str">
        <f>IFERROR(INDEX($AC$310:$AC$459,MATCH(ROWS($A$310:A423),$AF$310:$AF$459,0)),"")</f>
        <v/>
      </c>
      <c r="N423" s="35" t="str">
        <f>IFERROR(INDEX($AD$310:$AD$459,MATCH(ROWS($A$310:A423),$AF$310:$AF$459,0)),"")</f>
        <v/>
      </c>
      <c r="Q423" t="str">
        <f>T(JAN!B119)</f>
        <v/>
      </c>
      <c r="R423" t="str">
        <f t="array" ref="R423">IF($Q423="","",_xlfn.TEXTJOIN(", ",TRUE,IF(JAN!$G119:$AK119="FE",JAN!$G$4:$AK$4,"")))</f>
        <v/>
      </c>
      <c r="S423" t="str">
        <f t="array" ref="S423">IF($Q423="","",_xlfn.TEXTJOIN(", ",TRUE,IF(FEV!$G119:$AK119="FE",FEV!$G$4:$AK$4,"")))</f>
        <v/>
      </c>
      <c r="T423" t="str">
        <f t="array" ref="T423">IF($Q423="","",_xlfn.TEXTJOIN(", ",TRUE,IF(MAR!$G119:$AK119="FE",MAR!$G$4:$AK$4,"")))</f>
        <v/>
      </c>
      <c r="U423" t="str">
        <f t="array" ref="U423">IF($Q423="","",_xlfn.TEXTJOIN(", ",TRUE,IF(ABR!$G119:$AK119="FE",ABR!$G$4:$AK$4,"")))</f>
        <v/>
      </c>
      <c r="V423" t="str">
        <f t="array" ref="V423">IF($Q423="","",_xlfn.TEXTJOIN(", ",TRUE,IF(MAI!$G119:$AK119="FE",MAI!$G$4:$AK$4,"")))</f>
        <v/>
      </c>
      <c r="W423" t="str">
        <f t="array" ref="W423">IF($Q423="","",_xlfn.TEXTJOIN(", ",TRUE,IF(JUN!$G119:$AK119="FE",JUN!$G$4:$AK$4,"")))</f>
        <v/>
      </c>
      <c r="X423" t="str">
        <f t="array" ref="X423">IF($Q423="","",_xlfn.TEXTJOIN(", ",TRUE,IF(JUL!$G119:$AK119="FE",JUL!$G$4:$AK$4,"")))</f>
        <v/>
      </c>
      <c r="Y423" t="str">
        <f t="array" ref="Y423">IF($Q423="","",_xlfn.TEXTJOIN(", ",TRUE,IF(AGO!$G119:$AK119="FE",AGO!$G$4:$AK$4,"")))</f>
        <v/>
      </c>
      <c r="Z423" t="str">
        <f t="array" ref="Z423">IF($Q423="","",_xlfn.TEXTJOIN(", ",TRUE,IF(SET!$G119:$AK119="FE",SET!$G$4:$AK$4,"")))</f>
        <v/>
      </c>
      <c r="AA423" t="str">
        <f t="array" ref="AA423">IF($Q423="","",_xlfn.TEXTJOIN(", ",TRUE,IF(OUT!$G119:$AK119="FE",OUT!$G$4:$AK$4,"")))</f>
        <v/>
      </c>
      <c r="AB423" t="str">
        <f t="array" ref="AB423">IF($Q423="","",_xlfn.TEXTJOIN(", ",TRUE,IF(NOV!$G119:$AK119="FE",NOV!$G$4:$AK$4,"")))</f>
        <v/>
      </c>
      <c r="AC423" t="str">
        <f t="array" ref="AC423">IF($Q423="","",_xlfn.TEXTJOIN(", ",TRUE,IF(DEZ!$G119:$AK119="FE",DEZ!$G$4:$AK$4,"")))</f>
        <v/>
      </c>
      <c r="AD423" t="str">
        <f>IF($Q423="","",COUNTIF(JAN!$G119:$AK119,"FE")+COUNTIF(FEV!$G119:$AK119,"FE")+COUNTIF(MAR!$G119:$AK119,"FE")+COUNTIF(ABR!$G119:$AK119,"FE")+COUNTIF(MAI!$G119:$AK119,"FE")+COUNTIF(JUN!$G119:$AK119,"FE")+COUNTIF(JUL!$G119:$AK119,"FE")+COUNTIF(AGO!$G119:$AK119,"FE")+COUNTIF(SET!$G119:$AK119,"FE")+COUNTIF(OUT!$G119:$AK119,"FE")+COUNTIF(NOV!$G119:$AK119,"FE")+COUNTIF(DEZ!$G119:$AK119,"FE"))</f>
        <v/>
      </c>
      <c r="AF423" t="str">
        <f>IF(AND($Q423&lt;&gt;"",N($AD423)&gt;0),COUNT($AF$309:AF422)+1,"")</f>
        <v/>
      </c>
    </row>
    <row r="424" spans="1:32" x14ac:dyDescent="0.25">
      <c r="A424" s="36" t="str">
        <f>IFERROR(INDEX($Q$310:$Q$459,MATCH(ROWS($A$310:A424),$AF$310:$AF$459,0)),"")</f>
        <v/>
      </c>
      <c r="B424" s="35" t="str">
        <f>IFERROR(INDEX($R$310:$R$459,MATCH(ROWS($A$310:A424),$AF$310:$AF$459,0)),"")</f>
        <v/>
      </c>
      <c r="C424" s="35" t="str">
        <f>IFERROR(INDEX($S$310:$S$459,MATCH(ROWS($A$310:A424),$AF$310:$AF$459,0)),"")</f>
        <v/>
      </c>
      <c r="D424" s="35" t="str">
        <f>IFERROR(INDEX($T$310:$T$459,MATCH(ROWS($A$310:A424),$AF$310:$AF$459,0)),"")</f>
        <v/>
      </c>
      <c r="E424" s="35" t="str">
        <f>IFERROR(INDEX($U$310:$U$459,MATCH(ROWS($A$310:A424),$AF$310:$AF$459,0)),"")</f>
        <v/>
      </c>
      <c r="F424" s="35" t="str">
        <f>IFERROR(INDEX($V$310:$V$459,MATCH(ROWS($A$310:A424),$AF$310:$AF$459,0)),"")</f>
        <v/>
      </c>
      <c r="G424" s="35" t="str">
        <f>IFERROR(INDEX($W$310:$W$459,MATCH(ROWS($A$310:A424),$AF$310:$AF$459,0)),"")</f>
        <v/>
      </c>
      <c r="H424" s="35" t="str">
        <f>IFERROR(INDEX($X$310:$X$459,MATCH(ROWS($A$310:A424),$AF$310:$AF$459,0)),"")</f>
        <v/>
      </c>
      <c r="I424" s="35" t="str">
        <f>IFERROR(INDEX($Y$310:$Y$459,MATCH(ROWS($A$310:A424),$AF$310:$AF$459,0)),"")</f>
        <v/>
      </c>
      <c r="J424" s="35" t="str">
        <f>IFERROR(INDEX($Z$310:$Z$459,MATCH(ROWS($A$310:A424),$AF$310:$AF$459,0)),"")</f>
        <v/>
      </c>
      <c r="K424" s="35" t="str">
        <f>IFERROR(INDEX($AA$310:$AA$459,MATCH(ROWS($A$310:A424),$AF$310:$AF$459,0)),"")</f>
        <v/>
      </c>
      <c r="L424" s="35" t="str">
        <f>IFERROR(INDEX($AB$310:$AB$459,MATCH(ROWS($A$310:A424),$AF$310:$AF$459,0)),"")</f>
        <v/>
      </c>
      <c r="M424" s="35" t="str">
        <f>IFERROR(INDEX($AC$310:$AC$459,MATCH(ROWS($A$310:A424),$AF$310:$AF$459,0)),"")</f>
        <v/>
      </c>
      <c r="N424" s="35" t="str">
        <f>IFERROR(INDEX($AD$310:$AD$459,MATCH(ROWS($A$310:A424),$AF$310:$AF$459,0)),"")</f>
        <v/>
      </c>
      <c r="Q424" t="str">
        <f>T(JAN!B120)</f>
        <v/>
      </c>
      <c r="R424" t="str">
        <f t="array" ref="R424">IF($Q424="","",_xlfn.TEXTJOIN(", ",TRUE,IF(JAN!$G120:$AK120="FE",JAN!$G$4:$AK$4,"")))</f>
        <v/>
      </c>
      <c r="S424" t="str">
        <f t="array" ref="S424">IF($Q424="","",_xlfn.TEXTJOIN(", ",TRUE,IF(FEV!$G120:$AK120="FE",FEV!$G$4:$AK$4,"")))</f>
        <v/>
      </c>
      <c r="T424" t="str">
        <f t="array" ref="T424">IF($Q424="","",_xlfn.TEXTJOIN(", ",TRUE,IF(MAR!$G120:$AK120="FE",MAR!$G$4:$AK$4,"")))</f>
        <v/>
      </c>
      <c r="U424" t="str">
        <f t="array" ref="U424">IF($Q424="","",_xlfn.TEXTJOIN(", ",TRUE,IF(ABR!$G120:$AK120="FE",ABR!$G$4:$AK$4,"")))</f>
        <v/>
      </c>
      <c r="V424" t="str">
        <f t="array" ref="V424">IF($Q424="","",_xlfn.TEXTJOIN(", ",TRUE,IF(MAI!$G120:$AK120="FE",MAI!$G$4:$AK$4,"")))</f>
        <v/>
      </c>
      <c r="W424" t="str">
        <f t="array" ref="W424">IF($Q424="","",_xlfn.TEXTJOIN(", ",TRUE,IF(JUN!$G120:$AK120="FE",JUN!$G$4:$AK$4,"")))</f>
        <v/>
      </c>
      <c r="X424" t="str">
        <f t="array" ref="X424">IF($Q424="","",_xlfn.TEXTJOIN(", ",TRUE,IF(JUL!$G120:$AK120="FE",JUL!$G$4:$AK$4,"")))</f>
        <v/>
      </c>
      <c r="Y424" t="str">
        <f t="array" ref="Y424">IF($Q424="","",_xlfn.TEXTJOIN(", ",TRUE,IF(AGO!$G120:$AK120="FE",AGO!$G$4:$AK$4,"")))</f>
        <v/>
      </c>
      <c r="Z424" t="str">
        <f t="array" ref="Z424">IF($Q424="","",_xlfn.TEXTJOIN(", ",TRUE,IF(SET!$G120:$AK120="FE",SET!$G$4:$AK$4,"")))</f>
        <v/>
      </c>
      <c r="AA424" t="str">
        <f t="array" ref="AA424">IF($Q424="","",_xlfn.TEXTJOIN(", ",TRUE,IF(OUT!$G120:$AK120="FE",OUT!$G$4:$AK$4,"")))</f>
        <v/>
      </c>
      <c r="AB424" t="str">
        <f t="array" ref="AB424">IF($Q424="","",_xlfn.TEXTJOIN(", ",TRUE,IF(NOV!$G120:$AK120="FE",NOV!$G$4:$AK$4,"")))</f>
        <v/>
      </c>
      <c r="AC424" t="str">
        <f t="array" ref="AC424">IF($Q424="","",_xlfn.TEXTJOIN(", ",TRUE,IF(DEZ!$G120:$AK120="FE",DEZ!$G$4:$AK$4,"")))</f>
        <v/>
      </c>
      <c r="AD424" t="str">
        <f>IF($Q424="","",COUNTIF(JAN!$G120:$AK120,"FE")+COUNTIF(FEV!$G120:$AK120,"FE")+COUNTIF(MAR!$G120:$AK120,"FE")+COUNTIF(ABR!$G120:$AK120,"FE")+COUNTIF(MAI!$G120:$AK120,"FE")+COUNTIF(JUN!$G120:$AK120,"FE")+COUNTIF(JUL!$G120:$AK120,"FE")+COUNTIF(AGO!$G120:$AK120,"FE")+COUNTIF(SET!$G120:$AK120,"FE")+COUNTIF(OUT!$G120:$AK120,"FE")+COUNTIF(NOV!$G120:$AK120,"FE")+COUNTIF(DEZ!$G120:$AK120,"FE"))</f>
        <v/>
      </c>
      <c r="AF424" t="str">
        <f>IF(AND($Q424&lt;&gt;"",N($AD424)&gt;0),COUNT($AF$309:AF423)+1,"")</f>
        <v/>
      </c>
    </row>
    <row r="425" spans="1:32" x14ac:dyDescent="0.25">
      <c r="A425" s="36" t="str">
        <f>IFERROR(INDEX($Q$310:$Q$459,MATCH(ROWS($A$310:A425),$AF$310:$AF$459,0)),"")</f>
        <v/>
      </c>
      <c r="B425" s="35" t="str">
        <f>IFERROR(INDEX($R$310:$R$459,MATCH(ROWS($A$310:A425),$AF$310:$AF$459,0)),"")</f>
        <v/>
      </c>
      <c r="C425" s="35" t="str">
        <f>IFERROR(INDEX($S$310:$S$459,MATCH(ROWS($A$310:A425),$AF$310:$AF$459,0)),"")</f>
        <v/>
      </c>
      <c r="D425" s="35" t="str">
        <f>IFERROR(INDEX($T$310:$T$459,MATCH(ROWS($A$310:A425),$AF$310:$AF$459,0)),"")</f>
        <v/>
      </c>
      <c r="E425" s="35" t="str">
        <f>IFERROR(INDEX($U$310:$U$459,MATCH(ROWS($A$310:A425),$AF$310:$AF$459,0)),"")</f>
        <v/>
      </c>
      <c r="F425" s="35" t="str">
        <f>IFERROR(INDEX($V$310:$V$459,MATCH(ROWS($A$310:A425),$AF$310:$AF$459,0)),"")</f>
        <v/>
      </c>
      <c r="G425" s="35" t="str">
        <f>IFERROR(INDEX($W$310:$W$459,MATCH(ROWS($A$310:A425),$AF$310:$AF$459,0)),"")</f>
        <v/>
      </c>
      <c r="H425" s="35" t="str">
        <f>IFERROR(INDEX($X$310:$X$459,MATCH(ROWS($A$310:A425),$AF$310:$AF$459,0)),"")</f>
        <v/>
      </c>
      <c r="I425" s="35" t="str">
        <f>IFERROR(INDEX($Y$310:$Y$459,MATCH(ROWS($A$310:A425),$AF$310:$AF$459,0)),"")</f>
        <v/>
      </c>
      <c r="J425" s="35" t="str">
        <f>IFERROR(INDEX($Z$310:$Z$459,MATCH(ROWS($A$310:A425),$AF$310:$AF$459,0)),"")</f>
        <v/>
      </c>
      <c r="K425" s="35" t="str">
        <f>IFERROR(INDEX($AA$310:$AA$459,MATCH(ROWS($A$310:A425),$AF$310:$AF$459,0)),"")</f>
        <v/>
      </c>
      <c r="L425" s="35" t="str">
        <f>IFERROR(INDEX($AB$310:$AB$459,MATCH(ROWS($A$310:A425),$AF$310:$AF$459,0)),"")</f>
        <v/>
      </c>
      <c r="M425" s="35" t="str">
        <f>IFERROR(INDEX($AC$310:$AC$459,MATCH(ROWS($A$310:A425),$AF$310:$AF$459,0)),"")</f>
        <v/>
      </c>
      <c r="N425" s="35" t="str">
        <f>IFERROR(INDEX($AD$310:$AD$459,MATCH(ROWS($A$310:A425),$AF$310:$AF$459,0)),"")</f>
        <v/>
      </c>
      <c r="Q425" t="str">
        <f>T(JAN!B121)</f>
        <v/>
      </c>
      <c r="R425" t="str">
        <f t="array" ref="R425">IF($Q425="","",_xlfn.TEXTJOIN(", ",TRUE,IF(JAN!$G121:$AK121="FE",JAN!$G$4:$AK$4,"")))</f>
        <v/>
      </c>
      <c r="S425" t="str">
        <f t="array" ref="S425">IF($Q425="","",_xlfn.TEXTJOIN(", ",TRUE,IF(FEV!$G121:$AK121="FE",FEV!$G$4:$AK$4,"")))</f>
        <v/>
      </c>
      <c r="T425" t="str">
        <f t="array" ref="T425">IF($Q425="","",_xlfn.TEXTJOIN(", ",TRUE,IF(MAR!$G121:$AK121="FE",MAR!$G$4:$AK$4,"")))</f>
        <v/>
      </c>
      <c r="U425" t="str">
        <f t="array" ref="U425">IF($Q425="","",_xlfn.TEXTJOIN(", ",TRUE,IF(ABR!$G121:$AK121="FE",ABR!$G$4:$AK$4,"")))</f>
        <v/>
      </c>
      <c r="V425" t="str">
        <f t="array" ref="V425">IF($Q425="","",_xlfn.TEXTJOIN(", ",TRUE,IF(MAI!$G121:$AK121="FE",MAI!$G$4:$AK$4,"")))</f>
        <v/>
      </c>
      <c r="W425" t="str">
        <f t="array" ref="W425">IF($Q425="","",_xlfn.TEXTJOIN(", ",TRUE,IF(JUN!$G121:$AK121="FE",JUN!$G$4:$AK$4,"")))</f>
        <v/>
      </c>
      <c r="X425" t="str">
        <f t="array" ref="X425">IF($Q425="","",_xlfn.TEXTJOIN(", ",TRUE,IF(JUL!$G121:$AK121="FE",JUL!$G$4:$AK$4,"")))</f>
        <v/>
      </c>
      <c r="Y425" t="str">
        <f t="array" ref="Y425">IF($Q425="","",_xlfn.TEXTJOIN(", ",TRUE,IF(AGO!$G121:$AK121="FE",AGO!$G$4:$AK$4,"")))</f>
        <v/>
      </c>
      <c r="Z425" t="str">
        <f t="array" ref="Z425">IF($Q425="","",_xlfn.TEXTJOIN(", ",TRUE,IF(SET!$G121:$AK121="FE",SET!$G$4:$AK$4,"")))</f>
        <v/>
      </c>
      <c r="AA425" t="str">
        <f t="array" ref="AA425">IF($Q425="","",_xlfn.TEXTJOIN(", ",TRUE,IF(OUT!$G121:$AK121="FE",OUT!$G$4:$AK$4,"")))</f>
        <v/>
      </c>
      <c r="AB425" t="str">
        <f t="array" ref="AB425">IF($Q425="","",_xlfn.TEXTJOIN(", ",TRUE,IF(NOV!$G121:$AK121="FE",NOV!$G$4:$AK$4,"")))</f>
        <v/>
      </c>
      <c r="AC425" t="str">
        <f t="array" ref="AC425">IF($Q425="","",_xlfn.TEXTJOIN(", ",TRUE,IF(DEZ!$G121:$AK121="FE",DEZ!$G$4:$AK$4,"")))</f>
        <v/>
      </c>
      <c r="AD425" t="str">
        <f>IF($Q425="","",COUNTIF(JAN!$G121:$AK121,"FE")+COUNTIF(FEV!$G121:$AK121,"FE")+COUNTIF(MAR!$G121:$AK121,"FE")+COUNTIF(ABR!$G121:$AK121,"FE")+COUNTIF(MAI!$G121:$AK121,"FE")+COUNTIF(JUN!$G121:$AK121,"FE")+COUNTIF(JUL!$G121:$AK121,"FE")+COUNTIF(AGO!$G121:$AK121,"FE")+COUNTIF(SET!$G121:$AK121,"FE")+COUNTIF(OUT!$G121:$AK121,"FE")+COUNTIF(NOV!$G121:$AK121,"FE")+COUNTIF(DEZ!$G121:$AK121,"FE"))</f>
        <v/>
      </c>
      <c r="AF425" t="str">
        <f>IF(AND($Q425&lt;&gt;"",N($AD425)&gt;0),COUNT($AF$309:AF424)+1,"")</f>
        <v/>
      </c>
    </row>
    <row r="426" spans="1:32" x14ac:dyDescent="0.25">
      <c r="A426" s="36" t="str">
        <f>IFERROR(INDEX($Q$310:$Q$459,MATCH(ROWS($A$310:A426),$AF$310:$AF$459,0)),"")</f>
        <v/>
      </c>
      <c r="B426" s="35" t="str">
        <f>IFERROR(INDEX($R$310:$R$459,MATCH(ROWS($A$310:A426),$AF$310:$AF$459,0)),"")</f>
        <v/>
      </c>
      <c r="C426" s="35" t="str">
        <f>IFERROR(INDEX($S$310:$S$459,MATCH(ROWS($A$310:A426),$AF$310:$AF$459,0)),"")</f>
        <v/>
      </c>
      <c r="D426" s="35" t="str">
        <f>IFERROR(INDEX($T$310:$T$459,MATCH(ROWS($A$310:A426),$AF$310:$AF$459,0)),"")</f>
        <v/>
      </c>
      <c r="E426" s="35" t="str">
        <f>IFERROR(INDEX($U$310:$U$459,MATCH(ROWS($A$310:A426),$AF$310:$AF$459,0)),"")</f>
        <v/>
      </c>
      <c r="F426" s="35" t="str">
        <f>IFERROR(INDEX($V$310:$V$459,MATCH(ROWS($A$310:A426),$AF$310:$AF$459,0)),"")</f>
        <v/>
      </c>
      <c r="G426" s="35" t="str">
        <f>IFERROR(INDEX($W$310:$W$459,MATCH(ROWS($A$310:A426),$AF$310:$AF$459,0)),"")</f>
        <v/>
      </c>
      <c r="H426" s="35" t="str">
        <f>IFERROR(INDEX($X$310:$X$459,MATCH(ROWS($A$310:A426),$AF$310:$AF$459,0)),"")</f>
        <v/>
      </c>
      <c r="I426" s="35" t="str">
        <f>IFERROR(INDEX($Y$310:$Y$459,MATCH(ROWS($A$310:A426),$AF$310:$AF$459,0)),"")</f>
        <v/>
      </c>
      <c r="J426" s="35" t="str">
        <f>IFERROR(INDEX($Z$310:$Z$459,MATCH(ROWS($A$310:A426),$AF$310:$AF$459,0)),"")</f>
        <v/>
      </c>
      <c r="K426" s="35" t="str">
        <f>IFERROR(INDEX($AA$310:$AA$459,MATCH(ROWS($A$310:A426),$AF$310:$AF$459,0)),"")</f>
        <v/>
      </c>
      <c r="L426" s="35" t="str">
        <f>IFERROR(INDEX($AB$310:$AB$459,MATCH(ROWS($A$310:A426),$AF$310:$AF$459,0)),"")</f>
        <v/>
      </c>
      <c r="M426" s="35" t="str">
        <f>IFERROR(INDEX($AC$310:$AC$459,MATCH(ROWS($A$310:A426),$AF$310:$AF$459,0)),"")</f>
        <v/>
      </c>
      <c r="N426" s="35" t="str">
        <f>IFERROR(INDEX($AD$310:$AD$459,MATCH(ROWS($A$310:A426),$AF$310:$AF$459,0)),"")</f>
        <v/>
      </c>
      <c r="Q426" t="str">
        <f>T(JAN!B122)</f>
        <v/>
      </c>
      <c r="R426" t="str">
        <f t="array" ref="R426">IF($Q426="","",_xlfn.TEXTJOIN(", ",TRUE,IF(JAN!$G122:$AK122="FE",JAN!$G$4:$AK$4,"")))</f>
        <v/>
      </c>
      <c r="S426" t="str">
        <f t="array" ref="S426">IF($Q426="","",_xlfn.TEXTJOIN(", ",TRUE,IF(FEV!$G122:$AK122="FE",FEV!$G$4:$AK$4,"")))</f>
        <v/>
      </c>
      <c r="T426" t="str">
        <f t="array" ref="T426">IF($Q426="","",_xlfn.TEXTJOIN(", ",TRUE,IF(MAR!$G122:$AK122="FE",MAR!$G$4:$AK$4,"")))</f>
        <v/>
      </c>
      <c r="U426" t="str">
        <f t="array" ref="U426">IF($Q426="","",_xlfn.TEXTJOIN(", ",TRUE,IF(ABR!$G122:$AK122="FE",ABR!$G$4:$AK$4,"")))</f>
        <v/>
      </c>
      <c r="V426" t="str">
        <f t="array" ref="V426">IF($Q426="","",_xlfn.TEXTJOIN(", ",TRUE,IF(MAI!$G122:$AK122="FE",MAI!$G$4:$AK$4,"")))</f>
        <v/>
      </c>
      <c r="W426" t="str">
        <f t="array" ref="W426">IF($Q426="","",_xlfn.TEXTJOIN(", ",TRUE,IF(JUN!$G122:$AK122="FE",JUN!$G$4:$AK$4,"")))</f>
        <v/>
      </c>
      <c r="X426" t="str">
        <f t="array" ref="X426">IF($Q426="","",_xlfn.TEXTJOIN(", ",TRUE,IF(JUL!$G122:$AK122="FE",JUL!$G$4:$AK$4,"")))</f>
        <v/>
      </c>
      <c r="Y426" t="str">
        <f t="array" ref="Y426">IF($Q426="","",_xlfn.TEXTJOIN(", ",TRUE,IF(AGO!$G122:$AK122="FE",AGO!$G$4:$AK$4,"")))</f>
        <v/>
      </c>
      <c r="Z426" t="str">
        <f t="array" ref="Z426">IF($Q426="","",_xlfn.TEXTJOIN(", ",TRUE,IF(SET!$G122:$AK122="FE",SET!$G$4:$AK$4,"")))</f>
        <v/>
      </c>
      <c r="AA426" t="str">
        <f t="array" ref="AA426">IF($Q426="","",_xlfn.TEXTJOIN(", ",TRUE,IF(OUT!$G122:$AK122="FE",OUT!$G$4:$AK$4,"")))</f>
        <v/>
      </c>
      <c r="AB426" t="str">
        <f t="array" ref="AB426">IF($Q426="","",_xlfn.TEXTJOIN(", ",TRUE,IF(NOV!$G122:$AK122="FE",NOV!$G$4:$AK$4,"")))</f>
        <v/>
      </c>
      <c r="AC426" t="str">
        <f t="array" ref="AC426">IF($Q426="","",_xlfn.TEXTJOIN(", ",TRUE,IF(DEZ!$G122:$AK122="FE",DEZ!$G$4:$AK$4,"")))</f>
        <v/>
      </c>
      <c r="AD426" t="str">
        <f>IF($Q426="","",COUNTIF(JAN!$G122:$AK122,"FE")+COUNTIF(FEV!$G122:$AK122,"FE")+COUNTIF(MAR!$G122:$AK122,"FE")+COUNTIF(ABR!$G122:$AK122,"FE")+COUNTIF(MAI!$G122:$AK122,"FE")+COUNTIF(JUN!$G122:$AK122,"FE")+COUNTIF(JUL!$G122:$AK122,"FE")+COUNTIF(AGO!$G122:$AK122,"FE")+COUNTIF(SET!$G122:$AK122,"FE")+COUNTIF(OUT!$G122:$AK122,"FE")+COUNTIF(NOV!$G122:$AK122,"FE")+COUNTIF(DEZ!$G122:$AK122,"FE"))</f>
        <v/>
      </c>
      <c r="AF426" t="str">
        <f>IF(AND($Q426&lt;&gt;"",N($AD426)&gt;0),COUNT($AF$309:AF425)+1,"")</f>
        <v/>
      </c>
    </row>
    <row r="427" spans="1:32" x14ac:dyDescent="0.25">
      <c r="A427" s="36" t="str">
        <f>IFERROR(INDEX($Q$310:$Q$459,MATCH(ROWS($A$310:A427),$AF$310:$AF$459,0)),"")</f>
        <v/>
      </c>
      <c r="B427" s="35" t="str">
        <f>IFERROR(INDEX($R$310:$R$459,MATCH(ROWS($A$310:A427),$AF$310:$AF$459,0)),"")</f>
        <v/>
      </c>
      <c r="C427" s="35" t="str">
        <f>IFERROR(INDEX($S$310:$S$459,MATCH(ROWS($A$310:A427),$AF$310:$AF$459,0)),"")</f>
        <v/>
      </c>
      <c r="D427" s="35" t="str">
        <f>IFERROR(INDEX($T$310:$T$459,MATCH(ROWS($A$310:A427),$AF$310:$AF$459,0)),"")</f>
        <v/>
      </c>
      <c r="E427" s="35" t="str">
        <f>IFERROR(INDEX($U$310:$U$459,MATCH(ROWS($A$310:A427),$AF$310:$AF$459,0)),"")</f>
        <v/>
      </c>
      <c r="F427" s="35" t="str">
        <f>IFERROR(INDEX($V$310:$V$459,MATCH(ROWS($A$310:A427),$AF$310:$AF$459,0)),"")</f>
        <v/>
      </c>
      <c r="G427" s="35" t="str">
        <f>IFERROR(INDEX($W$310:$W$459,MATCH(ROWS($A$310:A427),$AF$310:$AF$459,0)),"")</f>
        <v/>
      </c>
      <c r="H427" s="35" t="str">
        <f>IFERROR(INDEX($X$310:$X$459,MATCH(ROWS($A$310:A427),$AF$310:$AF$459,0)),"")</f>
        <v/>
      </c>
      <c r="I427" s="35" t="str">
        <f>IFERROR(INDEX($Y$310:$Y$459,MATCH(ROWS($A$310:A427),$AF$310:$AF$459,0)),"")</f>
        <v/>
      </c>
      <c r="J427" s="35" t="str">
        <f>IFERROR(INDEX($Z$310:$Z$459,MATCH(ROWS($A$310:A427),$AF$310:$AF$459,0)),"")</f>
        <v/>
      </c>
      <c r="K427" s="35" t="str">
        <f>IFERROR(INDEX($AA$310:$AA$459,MATCH(ROWS($A$310:A427),$AF$310:$AF$459,0)),"")</f>
        <v/>
      </c>
      <c r="L427" s="35" t="str">
        <f>IFERROR(INDEX($AB$310:$AB$459,MATCH(ROWS($A$310:A427),$AF$310:$AF$459,0)),"")</f>
        <v/>
      </c>
      <c r="M427" s="35" t="str">
        <f>IFERROR(INDEX($AC$310:$AC$459,MATCH(ROWS($A$310:A427),$AF$310:$AF$459,0)),"")</f>
        <v/>
      </c>
      <c r="N427" s="35" t="str">
        <f>IFERROR(INDEX($AD$310:$AD$459,MATCH(ROWS($A$310:A427),$AF$310:$AF$459,0)),"")</f>
        <v/>
      </c>
      <c r="Q427" t="str">
        <f>T(JAN!B123)</f>
        <v/>
      </c>
      <c r="R427" t="str">
        <f t="array" ref="R427">IF($Q427="","",_xlfn.TEXTJOIN(", ",TRUE,IF(JAN!$G123:$AK123="FE",JAN!$G$4:$AK$4,"")))</f>
        <v/>
      </c>
      <c r="S427" t="str">
        <f t="array" ref="S427">IF($Q427="","",_xlfn.TEXTJOIN(", ",TRUE,IF(FEV!$G123:$AK123="FE",FEV!$G$4:$AK$4,"")))</f>
        <v/>
      </c>
      <c r="T427" t="str">
        <f t="array" ref="T427">IF($Q427="","",_xlfn.TEXTJOIN(", ",TRUE,IF(MAR!$G123:$AK123="FE",MAR!$G$4:$AK$4,"")))</f>
        <v/>
      </c>
      <c r="U427" t="str">
        <f t="array" ref="U427">IF($Q427="","",_xlfn.TEXTJOIN(", ",TRUE,IF(ABR!$G123:$AK123="FE",ABR!$G$4:$AK$4,"")))</f>
        <v/>
      </c>
      <c r="V427" t="str">
        <f t="array" ref="V427">IF($Q427="","",_xlfn.TEXTJOIN(", ",TRUE,IF(MAI!$G123:$AK123="FE",MAI!$G$4:$AK$4,"")))</f>
        <v/>
      </c>
      <c r="W427" t="str">
        <f t="array" ref="W427">IF($Q427="","",_xlfn.TEXTJOIN(", ",TRUE,IF(JUN!$G123:$AK123="FE",JUN!$G$4:$AK$4,"")))</f>
        <v/>
      </c>
      <c r="X427" t="str">
        <f t="array" ref="X427">IF($Q427="","",_xlfn.TEXTJOIN(", ",TRUE,IF(JUL!$G123:$AK123="FE",JUL!$G$4:$AK$4,"")))</f>
        <v/>
      </c>
      <c r="Y427" t="str">
        <f t="array" ref="Y427">IF($Q427="","",_xlfn.TEXTJOIN(", ",TRUE,IF(AGO!$G123:$AK123="FE",AGO!$G$4:$AK$4,"")))</f>
        <v/>
      </c>
      <c r="Z427" t="str">
        <f t="array" ref="Z427">IF($Q427="","",_xlfn.TEXTJOIN(", ",TRUE,IF(SET!$G123:$AK123="FE",SET!$G$4:$AK$4,"")))</f>
        <v/>
      </c>
      <c r="AA427" t="str">
        <f t="array" ref="AA427">IF($Q427="","",_xlfn.TEXTJOIN(", ",TRUE,IF(OUT!$G123:$AK123="FE",OUT!$G$4:$AK$4,"")))</f>
        <v/>
      </c>
      <c r="AB427" t="str">
        <f t="array" ref="AB427">IF($Q427="","",_xlfn.TEXTJOIN(", ",TRUE,IF(NOV!$G123:$AK123="FE",NOV!$G$4:$AK$4,"")))</f>
        <v/>
      </c>
      <c r="AC427" t="str">
        <f t="array" ref="AC427">IF($Q427="","",_xlfn.TEXTJOIN(", ",TRUE,IF(DEZ!$G123:$AK123="FE",DEZ!$G$4:$AK$4,"")))</f>
        <v/>
      </c>
      <c r="AD427" t="str">
        <f>IF($Q427="","",COUNTIF(JAN!$G123:$AK123,"FE")+COUNTIF(FEV!$G123:$AK123,"FE")+COUNTIF(MAR!$G123:$AK123,"FE")+COUNTIF(ABR!$G123:$AK123,"FE")+COUNTIF(MAI!$G123:$AK123,"FE")+COUNTIF(JUN!$G123:$AK123,"FE")+COUNTIF(JUL!$G123:$AK123,"FE")+COUNTIF(AGO!$G123:$AK123,"FE")+COUNTIF(SET!$G123:$AK123,"FE")+COUNTIF(OUT!$G123:$AK123,"FE")+COUNTIF(NOV!$G123:$AK123,"FE")+COUNTIF(DEZ!$G123:$AK123,"FE"))</f>
        <v/>
      </c>
      <c r="AF427" t="str">
        <f>IF(AND($Q427&lt;&gt;"",N($AD427)&gt;0),COUNT($AF$309:AF426)+1,"")</f>
        <v/>
      </c>
    </row>
    <row r="428" spans="1:32" x14ac:dyDescent="0.25">
      <c r="A428" s="36" t="str">
        <f>IFERROR(INDEX($Q$310:$Q$459,MATCH(ROWS($A$310:A428),$AF$310:$AF$459,0)),"")</f>
        <v/>
      </c>
      <c r="B428" s="35" t="str">
        <f>IFERROR(INDEX($R$310:$R$459,MATCH(ROWS($A$310:A428),$AF$310:$AF$459,0)),"")</f>
        <v/>
      </c>
      <c r="C428" s="35" t="str">
        <f>IFERROR(INDEX($S$310:$S$459,MATCH(ROWS($A$310:A428),$AF$310:$AF$459,0)),"")</f>
        <v/>
      </c>
      <c r="D428" s="35" t="str">
        <f>IFERROR(INDEX($T$310:$T$459,MATCH(ROWS($A$310:A428),$AF$310:$AF$459,0)),"")</f>
        <v/>
      </c>
      <c r="E428" s="35" t="str">
        <f>IFERROR(INDEX($U$310:$U$459,MATCH(ROWS($A$310:A428),$AF$310:$AF$459,0)),"")</f>
        <v/>
      </c>
      <c r="F428" s="35" t="str">
        <f>IFERROR(INDEX($V$310:$V$459,MATCH(ROWS($A$310:A428),$AF$310:$AF$459,0)),"")</f>
        <v/>
      </c>
      <c r="G428" s="35" t="str">
        <f>IFERROR(INDEX($W$310:$W$459,MATCH(ROWS($A$310:A428),$AF$310:$AF$459,0)),"")</f>
        <v/>
      </c>
      <c r="H428" s="35" t="str">
        <f>IFERROR(INDEX($X$310:$X$459,MATCH(ROWS($A$310:A428),$AF$310:$AF$459,0)),"")</f>
        <v/>
      </c>
      <c r="I428" s="35" t="str">
        <f>IFERROR(INDEX($Y$310:$Y$459,MATCH(ROWS($A$310:A428),$AF$310:$AF$459,0)),"")</f>
        <v/>
      </c>
      <c r="J428" s="35" t="str">
        <f>IFERROR(INDEX($Z$310:$Z$459,MATCH(ROWS($A$310:A428),$AF$310:$AF$459,0)),"")</f>
        <v/>
      </c>
      <c r="K428" s="35" t="str">
        <f>IFERROR(INDEX($AA$310:$AA$459,MATCH(ROWS($A$310:A428),$AF$310:$AF$459,0)),"")</f>
        <v/>
      </c>
      <c r="L428" s="35" t="str">
        <f>IFERROR(INDEX($AB$310:$AB$459,MATCH(ROWS($A$310:A428),$AF$310:$AF$459,0)),"")</f>
        <v/>
      </c>
      <c r="M428" s="35" t="str">
        <f>IFERROR(INDEX($AC$310:$AC$459,MATCH(ROWS($A$310:A428),$AF$310:$AF$459,0)),"")</f>
        <v/>
      </c>
      <c r="N428" s="35" t="str">
        <f>IFERROR(INDEX($AD$310:$AD$459,MATCH(ROWS($A$310:A428),$AF$310:$AF$459,0)),"")</f>
        <v/>
      </c>
      <c r="Q428" t="str">
        <f>T(JAN!B124)</f>
        <v/>
      </c>
      <c r="R428" t="str">
        <f t="array" ref="R428">IF($Q428="","",_xlfn.TEXTJOIN(", ",TRUE,IF(JAN!$G124:$AK124="FE",JAN!$G$4:$AK$4,"")))</f>
        <v/>
      </c>
      <c r="S428" t="str">
        <f t="array" ref="S428">IF($Q428="","",_xlfn.TEXTJOIN(", ",TRUE,IF(FEV!$G124:$AK124="FE",FEV!$G$4:$AK$4,"")))</f>
        <v/>
      </c>
      <c r="T428" t="str">
        <f t="array" ref="T428">IF($Q428="","",_xlfn.TEXTJOIN(", ",TRUE,IF(MAR!$G124:$AK124="FE",MAR!$G$4:$AK$4,"")))</f>
        <v/>
      </c>
      <c r="U428" t="str">
        <f t="array" ref="U428">IF($Q428="","",_xlfn.TEXTJOIN(", ",TRUE,IF(ABR!$G124:$AK124="FE",ABR!$G$4:$AK$4,"")))</f>
        <v/>
      </c>
      <c r="V428" t="str">
        <f t="array" ref="V428">IF($Q428="","",_xlfn.TEXTJOIN(", ",TRUE,IF(MAI!$G124:$AK124="FE",MAI!$G$4:$AK$4,"")))</f>
        <v/>
      </c>
      <c r="W428" t="str">
        <f t="array" ref="W428">IF($Q428="","",_xlfn.TEXTJOIN(", ",TRUE,IF(JUN!$G124:$AK124="FE",JUN!$G$4:$AK$4,"")))</f>
        <v/>
      </c>
      <c r="X428" t="str">
        <f t="array" ref="X428">IF($Q428="","",_xlfn.TEXTJOIN(", ",TRUE,IF(JUL!$G124:$AK124="FE",JUL!$G$4:$AK$4,"")))</f>
        <v/>
      </c>
      <c r="Y428" t="str">
        <f t="array" ref="Y428">IF($Q428="","",_xlfn.TEXTJOIN(", ",TRUE,IF(AGO!$G124:$AK124="FE",AGO!$G$4:$AK$4,"")))</f>
        <v/>
      </c>
      <c r="Z428" t="str">
        <f t="array" ref="Z428">IF($Q428="","",_xlfn.TEXTJOIN(", ",TRUE,IF(SET!$G124:$AK124="FE",SET!$G$4:$AK$4,"")))</f>
        <v/>
      </c>
      <c r="AA428" t="str">
        <f t="array" ref="AA428">IF($Q428="","",_xlfn.TEXTJOIN(", ",TRUE,IF(OUT!$G124:$AK124="FE",OUT!$G$4:$AK$4,"")))</f>
        <v/>
      </c>
      <c r="AB428" t="str">
        <f t="array" ref="AB428">IF($Q428="","",_xlfn.TEXTJOIN(", ",TRUE,IF(NOV!$G124:$AK124="FE",NOV!$G$4:$AK$4,"")))</f>
        <v/>
      </c>
      <c r="AC428" t="str">
        <f t="array" ref="AC428">IF($Q428="","",_xlfn.TEXTJOIN(", ",TRUE,IF(DEZ!$G124:$AK124="FE",DEZ!$G$4:$AK$4,"")))</f>
        <v/>
      </c>
      <c r="AD428" t="str">
        <f>IF($Q428="","",COUNTIF(JAN!$G124:$AK124,"FE")+COUNTIF(FEV!$G124:$AK124,"FE")+COUNTIF(MAR!$G124:$AK124,"FE")+COUNTIF(ABR!$G124:$AK124,"FE")+COUNTIF(MAI!$G124:$AK124,"FE")+COUNTIF(JUN!$G124:$AK124,"FE")+COUNTIF(JUL!$G124:$AK124,"FE")+COUNTIF(AGO!$G124:$AK124,"FE")+COUNTIF(SET!$G124:$AK124,"FE")+COUNTIF(OUT!$G124:$AK124,"FE")+COUNTIF(NOV!$G124:$AK124,"FE")+COUNTIF(DEZ!$G124:$AK124,"FE"))</f>
        <v/>
      </c>
      <c r="AF428" t="str">
        <f>IF(AND($Q428&lt;&gt;"",N($AD428)&gt;0),COUNT($AF$309:AF427)+1,"")</f>
        <v/>
      </c>
    </row>
    <row r="429" spans="1:32" x14ac:dyDescent="0.25">
      <c r="A429" s="36" t="str">
        <f>IFERROR(INDEX($Q$310:$Q$459,MATCH(ROWS($A$310:A429),$AF$310:$AF$459,0)),"")</f>
        <v/>
      </c>
      <c r="B429" s="35" t="str">
        <f>IFERROR(INDEX($R$310:$R$459,MATCH(ROWS($A$310:A429),$AF$310:$AF$459,0)),"")</f>
        <v/>
      </c>
      <c r="C429" s="35" t="str">
        <f>IFERROR(INDEX($S$310:$S$459,MATCH(ROWS($A$310:A429),$AF$310:$AF$459,0)),"")</f>
        <v/>
      </c>
      <c r="D429" s="35" t="str">
        <f>IFERROR(INDEX($T$310:$T$459,MATCH(ROWS($A$310:A429),$AF$310:$AF$459,0)),"")</f>
        <v/>
      </c>
      <c r="E429" s="35" t="str">
        <f>IFERROR(INDEX($U$310:$U$459,MATCH(ROWS($A$310:A429),$AF$310:$AF$459,0)),"")</f>
        <v/>
      </c>
      <c r="F429" s="35" t="str">
        <f>IFERROR(INDEX($V$310:$V$459,MATCH(ROWS($A$310:A429),$AF$310:$AF$459,0)),"")</f>
        <v/>
      </c>
      <c r="G429" s="35" t="str">
        <f>IFERROR(INDEX($W$310:$W$459,MATCH(ROWS($A$310:A429),$AF$310:$AF$459,0)),"")</f>
        <v/>
      </c>
      <c r="H429" s="35" t="str">
        <f>IFERROR(INDEX($X$310:$X$459,MATCH(ROWS($A$310:A429),$AF$310:$AF$459,0)),"")</f>
        <v/>
      </c>
      <c r="I429" s="35" t="str">
        <f>IFERROR(INDEX($Y$310:$Y$459,MATCH(ROWS($A$310:A429),$AF$310:$AF$459,0)),"")</f>
        <v/>
      </c>
      <c r="J429" s="35" t="str">
        <f>IFERROR(INDEX($Z$310:$Z$459,MATCH(ROWS($A$310:A429),$AF$310:$AF$459,0)),"")</f>
        <v/>
      </c>
      <c r="K429" s="35" t="str">
        <f>IFERROR(INDEX($AA$310:$AA$459,MATCH(ROWS($A$310:A429),$AF$310:$AF$459,0)),"")</f>
        <v/>
      </c>
      <c r="L429" s="35" t="str">
        <f>IFERROR(INDEX($AB$310:$AB$459,MATCH(ROWS($A$310:A429),$AF$310:$AF$459,0)),"")</f>
        <v/>
      </c>
      <c r="M429" s="35" t="str">
        <f>IFERROR(INDEX($AC$310:$AC$459,MATCH(ROWS($A$310:A429),$AF$310:$AF$459,0)),"")</f>
        <v/>
      </c>
      <c r="N429" s="35" t="str">
        <f>IFERROR(INDEX($AD$310:$AD$459,MATCH(ROWS($A$310:A429),$AF$310:$AF$459,0)),"")</f>
        <v/>
      </c>
      <c r="Q429" t="str">
        <f>T(JAN!B125)</f>
        <v/>
      </c>
      <c r="R429" t="str">
        <f t="array" ref="R429">IF($Q429="","",_xlfn.TEXTJOIN(", ",TRUE,IF(JAN!$G125:$AK125="FE",JAN!$G$4:$AK$4,"")))</f>
        <v/>
      </c>
      <c r="S429" t="str">
        <f t="array" ref="S429">IF($Q429="","",_xlfn.TEXTJOIN(", ",TRUE,IF(FEV!$G125:$AK125="FE",FEV!$G$4:$AK$4,"")))</f>
        <v/>
      </c>
      <c r="T429" t="str">
        <f t="array" ref="T429">IF($Q429="","",_xlfn.TEXTJOIN(", ",TRUE,IF(MAR!$G125:$AK125="FE",MAR!$G$4:$AK$4,"")))</f>
        <v/>
      </c>
      <c r="U429" t="str">
        <f t="array" ref="U429">IF($Q429="","",_xlfn.TEXTJOIN(", ",TRUE,IF(ABR!$G125:$AK125="FE",ABR!$G$4:$AK$4,"")))</f>
        <v/>
      </c>
      <c r="V429" t="str">
        <f t="array" ref="V429">IF($Q429="","",_xlfn.TEXTJOIN(", ",TRUE,IF(MAI!$G125:$AK125="FE",MAI!$G$4:$AK$4,"")))</f>
        <v/>
      </c>
      <c r="W429" t="str">
        <f t="array" ref="W429">IF($Q429="","",_xlfn.TEXTJOIN(", ",TRUE,IF(JUN!$G125:$AK125="FE",JUN!$G$4:$AK$4,"")))</f>
        <v/>
      </c>
      <c r="X429" t="str">
        <f t="array" ref="X429">IF($Q429="","",_xlfn.TEXTJOIN(", ",TRUE,IF(JUL!$G125:$AK125="FE",JUL!$G$4:$AK$4,"")))</f>
        <v/>
      </c>
      <c r="Y429" t="str">
        <f t="array" ref="Y429">IF($Q429="","",_xlfn.TEXTJOIN(", ",TRUE,IF(AGO!$G125:$AK125="FE",AGO!$G$4:$AK$4,"")))</f>
        <v/>
      </c>
      <c r="Z429" t="str">
        <f t="array" ref="Z429">IF($Q429="","",_xlfn.TEXTJOIN(", ",TRUE,IF(SET!$G125:$AK125="FE",SET!$G$4:$AK$4,"")))</f>
        <v/>
      </c>
      <c r="AA429" t="str">
        <f t="array" ref="AA429">IF($Q429="","",_xlfn.TEXTJOIN(", ",TRUE,IF(OUT!$G125:$AK125="FE",OUT!$G$4:$AK$4,"")))</f>
        <v/>
      </c>
      <c r="AB429" t="str">
        <f t="array" ref="AB429">IF($Q429="","",_xlfn.TEXTJOIN(", ",TRUE,IF(NOV!$G125:$AK125="FE",NOV!$G$4:$AK$4,"")))</f>
        <v/>
      </c>
      <c r="AC429" t="str">
        <f t="array" ref="AC429">IF($Q429="","",_xlfn.TEXTJOIN(", ",TRUE,IF(DEZ!$G125:$AK125="FE",DEZ!$G$4:$AK$4,"")))</f>
        <v/>
      </c>
      <c r="AD429" t="str">
        <f>IF($Q429="","",COUNTIF(JAN!$G125:$AK125,"FE")+COUNTIF(FEV!$G125:$AK125,"FE")+COUNTIF(MAR!$G125:$AK125,"FE")+COUNTIF(ABR!$G125:$AK125,"FE")+COUNTIF(MAI!$G125:$AK125,"FE")+COUNTIF(JUN!$G125:$AK125,"FE")+COUNTIF(JUL!$G125:$AK125,"FE")+COUNTIF(AGO!$G125:$AK125,"FE")+COUNTIF(SET!$G125:$AK125,"FE")+COUNTIF(OUT!$G125:$AK125,"FE")+COUNTIF(NOV!$G125:$AK125,"FE")+COUNTIF(DEZ!$G125:$AK125,"FE"))</f>
        <v/>
      </c>
      <c r="AF429" t="str">
        <f>IF(AND($Q429&lt;&gt;"",N($AD429)&gt;0),COUNT($AF$309:AF428)+1,"")</f>
        <v/>
      </c>
    </row>
    <row r="430" spans="1:32" x14ac:dyDescent="0.25">
      <c r="A430" s="36" t="str">
        <f>IFERROR(INDEX($Q$310:$Q$459,MATCH(ROWS($A$310:A430),$AF$310:$AF$459,0)),"")</f>
        <v/>
      </c>
      <c r="B430" s="35" t="str">
        <f>IFERROR(INDEX($R$310:$R$459,MATCH(ROWS($A$310:A430),$AF$310:$AF$459,0)),"")</f>
        <v/>
      </c>
      <c r="C430" s="35" t="str">
        <f>IFERROR(INDEX($S$310:$S$459,MATCH(ROWS($A$310:A430),$AF$310:$AF$459,0)),"")</f>
        <v/>
      </c>
      <c r="D430" s="35" t="str">
        <f>IFERROR(INDEX($T$310:$T$459,MATCH(ROWS($A$310:A430),$AF$310:$AF$459,0)),"")</f>
        <v/>
      </c>
      <c r="E430" s="35" t="str">
        <f>IFERROR(INDEX($U$310:$U$459,MATCH(ROWS($A$310:A430),$AF$310:$AF$459,0)),"")</f>
        <v/>
      </c>
      <c r="F430" s="35" t="str">
        <f>IFERROR(INDEX($V$310:$V$459,MATCH(ROWS($A$310:A430),$AF$310:$AF$459,0)),"")</f>
        <v/>
      </c>
      <c r="G430" s="35" t="str">
        <f>IFERROR(INDEX($W$310:$W$459,MATCH(ROWS($A$310:A430),$AF$310:$AF$459,0)),"")</f>
        <v/>
      </c>
      <c r="H430" s="35" t="str">
        <f>IFERROR(INDEX($X$310:$X$459,MATCH(ROWS($A$310:A430),$AF$310:$AF$459,0)),"")</f>
        <v/>
      </c>
      <c r="I430" s="35" t="str">
        <f>IFERROR(INDEX($Y$310:$Y$459,MATCH(ROWS($A$310:A430),$AF$310:$AF$459,0)),"")</f>
        <v/>
      </c>
      <c r="J430" s="35" t="str">
        <f>IFERROR(INDEX($Z$310:$Z$459,MATCH(ROWS($A$310:A430),$AF$310:$AF$459,0)),"")</f>
        <v/>
      </c>
      <c r="K430" s="35" t="str">
        <f>IFERROR(INDEX($AA$310:$AA$459,MATCH(ROWS($A$310:A430),$AF$310:$AF$459,0)),"")</f>
        <v/>
      </c>
      <c r="L430" s="35" t="str">
        <f>IFERROR(INDEX($AB$310:$AB$459,MATCH(ROWS($A$310:A430),$AF$310:$AF$459,0)),"")</f>
        <v/>
      </c>
      <c r="M430" s="35" t="str">
        <f>IFERROR(INDEX($AC$310:$AC$459,MATCH(ROWS($A$310:A430),$AF$310:$AF$459,0)),"")</f>
        <v/>
      </c>
      <c r="N430" s="35" t="str">
        <f>IFERROR(INDEX($AD$310:$AD$459,MATCH(ROWS($A$310:A430),$AF$310:$AF$459,0)),"")</f>
        <v/>
      </c>
      <c r="Q430" t="str">
        <f>T(JAN!B126)</f>
        <v/>
      </c>
      <c r="R430" t="str">
        <f t="array" ref="R430">IF($Q430="","",_xlfn.TEXTJOIN(", ",TRUE,IF(JAN!$G126:$AK126="FE",JAN!$G$4:$AK$4,"")))</f>
        <v/>
      </c>
      <c r="S430" t="str">
        <f t="array" ref="S430">IF($Q430="","",_xlfn.TEXTJOIN(", ",TRUE,IF(FEV!$G126:$AK126="FE",FEV!$G$4:$AK$4,"")))</f>
        <v/>
      </c>
      <c r="T430" t="str">
        <f t="array" ref="T430">IF($Q430="","",_xlfn.TEXTJOIN(", ",TRUE,IF(MAR!$G126:$AK126="FE",MAR!$G$4:$AK$4,"")))</f>
        <v/>
      </c>
      <c r="U430" t="str">
        <f t="array" ref="U430">IF($Q430="","",_xlfn.TEXTJOIN(", ",TRUE,IF(ABR!$G126:$AK126="FE",ABR!$G$4:$AK$4,"")))</f>
        <v/>
      </c>
      <c r="V430" t="str">
        <f t="array" ref="V430">IF($Q430="","",_xlfn.TEXTJOIN(", ",TRUE,IF(MAI!$G126:$AK126="FE",MAI!$G$4:$AK$4,"")))</f>
        <v/>
      </c>
      <c r="W430" t="str">
        <f t="array" ref="W430">IF($Q430="","",_xlfn.TEXTJOIN(", ",TRUE,IF(JUN!$G126:$AK126="FE",JUN!$G$4:$AK$4,"")))</f>
        <v/>
      </c>
      <c r="X430" t="str">
        <f t="array" ref="X430">IF($Q430="","",_xlfn.TEXTJOIN(", ",TRUE,IF(JUL!$G126:$AK126="FE",JUL!$G$4:$AK$4,"")))</f>
        <v/>
      </c>
      <c r="Y430" t="str">
        <f t="array" ref="Y430">IF($Q430="","",_xlfn.TEXTJOIN(", ",TRUE,IF(AGO!$G126:$AK126="FE",AGO!$G$4:$AK$4,"")))</f>
        <v/>
      </c>
      <c r="Z430" t="str">
        <f t="array" ref="Z430">IF($Q430="","",_xlfn.TEXTJOIN(", ",TRUE,IF(SET!$G126:$AK126="FE",SET!$G$4:$AK$4,"")))</f>
        <v/>
      </c>
      <c r="AA430" t="str">
        <f t="array" ref="AA430">IF($Q430="","",_xlfn.TEXTJOIN(", ",TRUE,IF(OUT!$G126:$AK126="FE",OUT!$G$4:$AK$4,"")))</f>
        <v/>
      </c>
      <c r="AB430" t="str">
        <f t="array" ref="AB430">IF($Q430="","",_xlfn.TEXTJOIN(", ",TRUE,IF(NOV!$G126:$AK126="FE",NOV!$G$4:$AK$4,"")))</f>
        <v/>
      </c>
      <c r="AC430" t="str">
        <f t="array" ref="AC430">IF($Q430="","",_xlfn.TEXTJOIN(", ",TRUE,IF(DEZ!$G126:$AK126="FE",DEZ!$G$4:$AK$4,"")))</f>
        <v/>
      </c>
      <c r="AD430" t="str">
        <f>IF($Q430="","",COUNTIF(JAN!$G126:$AK126,"FE")+COUNTIF(FEV!$G126:$AK126,"FE")+COUNTIF(MAR!$G126:$AK126,"FE")+COUNTIF(ABR!$G126:$AK126,"FE")+COUNTIF(MAI!$G126:$AK126,"FE")+COUNTIF(JUN!$G126:$AK126,"FE")+COUNTIF(JUL!$G126:$AK126,"FE")+COUNTIF(AGO!$G126:$AK126,"FE")+COUNTIF(SET!$G126:$AK126,"FE")+COUNTIF(OUT!$G126:$AK126,"FE")+COUNTIF(NOV!$G126:$AK126,"FE")+COUNTIF(DEZ!$G126:$AK126,"FE"))</f>
        <v/>
      </c>
      <c r="AF430" t="str">
        <f>IF(AND($Q430&lt;&gt;"",N($AD430)&gt;0),COUNT($AF$309:AF429)+1,"")</f>
        <v/>
      </c>
    </row>
    <row r="431" spans="1:32" x14ac:dyDescent="0.25">
      <c r="A431" s="36" t="str">
        <f>IFERROR(INDEX($Q$310:$Q$459,MATCH(ROWS($A$310:A431),$AF$310:$AF$459,0)),"")</f>
        <v/>
      </c>
      <c r="B431" s="35" t="str">
        <f>IFERROR(INDEX($R$310:$R$459,MATCH(ROWS($A$310:A431),$AF$310:$AF$459,0)),"")</f>
        <v/>
      </c>
      <c r="C431" s="35" t="str">
        <f>IFERROR(INDEX($S$310:$S$459,MATCH(ROWS($A$310:A431),$AF$310:$AF$459,0)),"")</f>
        <v/>
      </c>
      <c r="D431" s="35" t="str">
        <f>IFERROR(INDEX($T$310:$T$459,MATCH(ROWS($A$310:A431),$AF$310:$AF$459,0)),"")</f>
        <v/>
      </c>
      <c r="E431" s="35" t="str">
        <f>IFERROR(INDEX($U$310:$U$459,MATCH(ROWS($A$310:A431),$AF$310:$AF$459,0)),"")</f>
        <v/>
      </c>
      <c r="F431" s="35" t="str">
        <f>IFERROR(INDEX($V$310:$V$459,MATCH(ROWS($A$310:A431),$AF$310:$AF$459,0)),"")</f>
        <v/>
      </c>
      <c r="G431" s="35" t="str">
        <f>IFERROR(INDEX($W$310:$W$459,MATCH(ROWS($A$310:A431),$AF$310:$AF$459,0)),"")</f>
        <v/>
      </c>
      <c r="H431" s="35" t="str">
        <f>IFERROR(INDEX($X$310:$X$459,MATCH(ROWS($A$310:A431),$AF$310:$AF$459,0)),"")</f>
        <v/>
      </c>
      <c r="I431" s="35" t="str">
        <f>IFERROR(INDEX($Y$310:$Y$459,MATCH(ROWS($A$310:A431),$AF$310:$AF$459,0)),"")</f>
        <v/>
      </c>
      <c r="J431" s="35" t="str">
        <f>IFERROR(INDEX($Z$310:$Z$459,MATCH(ROWS($A$310:A431),$AF$310:$AF$459,0)),"")</f>
        <v/>
      </c>
      <c r="K431" s="35" t="str">
        <f>IFERROR(INDEX($AA$310:$AA$459,MATCH(ROWS($A$310:A431),$AF$310:$AF$459,0)),"")</f>
        <v/>
      </c>
      <c r="L431" s="35" t="str">
        <f>IFERROR(INDEX($AB$310:$AB$459,MATCH(ROWS($A$310:A431),$AF$310:$AF$459,0)),"")</f>
        <v/>
      </c>
      <c r="M431" s="35" t="str">
        <f>IFERROR(INDEX($AC$310:$AC$459,MATCH(ROWS($A$310:A431),$AF$310:$AF$459,0)),"")</f>
        <v/>
      </c>
      <c r="N431" s="35" t="str">
        <f>IFERROR(INDEX($AD$310:$AD$459,MATCH(ROWS($A$310:A431),$AF$310:$AF$459,0)),"")</f>
        <v/>
      </c>
      <c r="Q431" t="str">
        <f>T(JAN!B127)</f>
        <v/>
      </c>
      <c r="R431" t="str">
        <f t="array" ref="R431">IF($Q431="","",_xlfn.TEXTJOIN(", ",TRUE,IF(JAN!$G127:$AK127="FE",JAN!$G$4:$AK$4,"")))</f>
        <v/>
      </c>
      <c r="S431" t="str">
        <f t="array" ref="S431">IF($Q431="","",_xlfn.TEXTJOIN(", ",TRUE,IF(FEV!$G127:$AK127="FE",FEV!$G$4:$AK$4,"")))</f>
        <v/>
      </c>
      <c r="T431" t="str">
        <f t="array" ref="T431">IF($Q431="","",_xlfn.TEXTJOIN(", ",TRUE,IF(MAR!$G127:$AK127="FE",MAR!$G$4:$AK$4,"")))</f>
        <v/>
      </c>
      <c r="U431" t="str">
        <f t="array" ref="U431">IF($Q431="","",_xlfn.TEXTJOIN(", ",TRUE,IF(ABR!$G127:$AK127="FE",ABR!$G$4:$AK$4,"")))</f>
        <v/>
      </c>
      <c r="V431" t="str">
        <f t="array" ref="V431">IF($Q431="","",_xlfn.TEXTJOIN(", ",TRUE,IF(MAI!$G127:$AK127="FE",MAI!$G$4:$AK$4,"")))</f>
        <v/>
      </c>
      <c r="W431" t="str">
        <f t="array" ref="W431">IF($Q431="","",_xlfn.TEXTJOIN(", ",TRUE,IF(JUN!$G127:$AK127="FE",JUN!$G$4:$AK$4,"")))</f>
        <v/>
      </c>
      <c r="X431" t="str">
        <f t="array" ref="X431">IF($Q431="","",_xlfn.TEXTJOIN(", ",TRUE,IF(JUL!$G127:$AK127="FE",JUL!$G$4:$AK$4,"")))</f>
        <v/>
      </c>
      <c r="Y431" t="str">
        <f t="array" ref="Y431">IF($Q431="","",_xlfn.TEXTJOIN(", ",TRUE,IF(AGO!$G127:$AK127="FE",AGO!$G$4:$AK$4,"")))</f>
        <v/>
      </c>
      <c r="Z431" t="str">
        <f t="array" ref="Z431">IF($Q431="","",_xlfn.TEXTJOIN(", ",TRUE,IF(SET!$G127:$AK127="FE",SET!$G$4:$AK$4,"")))</f>
        <v/>
      </c>
      <c r="AA431" t="str">
        <f t="array" ref="AA431">IF($Q431="","",_xlfn.TEXTJOIN(", ",TRUE,IF(OUT!$G127:$AK127="FE",OUT!$G$4:$AK$4,"")))</f>
        <v/>
      </c>
      <c r="AB431" t="str">
        <f t="array" ref="AB431">IF($Q431="","",_xlfn.TEXTJOIN(", ",TRUE,IF(NOV!$G127:$AK127="FE",NOV!$G$4:$AK$4,"")))</f>
        <v/>
      </c>
      <c r="AC431" t="str">
        <f t="array" ref="AC431">IF($Q431="","",_xlfn.TEXTJOIN(", ",TRUE,IF(DEZ!$G127:$AK127="FE",DEZ!$G$4:$AK$4,"")))</f>
        <v/>
      </c>
      <c r="AD431" t="str">
        <f>IF($Q431="","",COUNTIF(JAN!$G127:$AK127,"FE")+COUNTIF(FEV!$G127:$AK127,"FE")+COUNTIF(MAR!$G127:$AK127,"FE")+COUNTIF(ABR!$G127:$AK127,"FE")+COUNTIF(MAI!$G127:$AK127,"FE")+COUNTIF(JUN!$G127:$AK127,"FE")+COUNTIF(JUL!$G127:$AK127,"FE")+COUNTIF(AGO!$G127:$AK127,"FE")+COUNTIF(SET!$G127:$AK127,"FE")+COUNTIF(OUT!$G127:$AK127,"FE")+COUNTIF(NOV!$G127:$AK127,"FE")+COUNTIF(DEZ!$G127:$AK127,"FE"))</f>
        <v/>
      </c>
      <c r="AF431" t="str">
        <f>IF(AND($Q431&lt;&gt;"",N($AD431)&gt;0),COUNT($AF$309:AF430)+1,"")</f>
        <v/>
      </c>
    </row>
    <row r="432" spans="1:32" x14ac:dyDescent="0.25">
      <c r="A432" s="36" t="str">
        <f>IFERROR(INDEX($Q$310:$Q$459,MATCH(ROWS($A$310:A432),$AF$310:$AF$459,0)),"")</f>
        <v/>
      </c>
      <c r="B432" s="35" t="str">
        <f>IFERROR(INDEX($R$310:$R$459,MATCH(ROWS($A$310:A432),$AF$310:$AF$459,0)),"")</f>
        <v/>
      </c>
      <c r="C432" s="35" t="str">
        <f>IFERROR(INDEX($S$310:$S$459,MATCH(ROWS($A$310:A432),$AF$310:$AF$459,0)),"")</f>
        <v/>
      </c>
      <c r="D432" s="35" t="str">
        <f>IFERROR(INDEX($T$310:$T$459,MATCH(ROWS($A$310:A432),$AF$310:$AF$459,0)),"")</f>
        <v/>
      </c>
      <c r="E432" s="35" t="str">
        <f>IFERROR(INDEX($U$310:$U$459,MATCH(ROWS($A$310:A432),$AF$310:$AF$459,0)),"")</f>
        <v/>
      </c>
      <c r="F432" s="35" t="str">
        <f>IFERROR(INDEX($V$310:$V$459,MATCH(ROWS($A$310:A432),$AF$310:$AF$459,0)),"")</f>
        <v/>
      </c>
      <c r="G432" s="35" t="str">
        <f>IFERROR(INDEX($W$310:$W$459,MATCH(ROWS($A$310:A432),$AF$310:$AF$459,0)),"")</f>
        <v/>
      </c>
      <c r="H432" s="35" t="str">
        <f>IFERROR(INDEX($X$310:$X$459,MATCH(ROWS($A$310:A432),$AF$310:$AF$459,0)),"")</f>
        <v/>
      </c>
      <c r="I432" s="35" t="str">
        <f>IFERROR(INDEX($Y$310:$Y$459,MATCH(ROWS($A$310:A432),$AF$310:$AF$459,0)),"")</f>
        <v/>
      </c>
      <c r="J432" s="35" t="str">
        <f>IFERROR(INDEX($Z$310:$Z$459,MATCH(ROWS($A$310:A432),$AF$310:$AF$459,0)),"")</f>
        <v/>
      </c>
      <c r="K432" s="35" t="str">
        <f>IFERROR(INDEX($AA$310:$AA$459,MATCH(ROWS($A$310:A432),$AF$310:$AF$459,0)),"")</f>
        <v/>
      </c>
      <c r="L432" s="35" t="str">
        <f>IFERROR(INDEX($AB$310:$AB$459,MATCH(ROWS($A$310:A432),$AF$310:$AF$459,0)),"")</f>
        <v/>
      </c>
      <c r="M432" s="35" t="str">
        <f>IFERROR(INDEX($AC$310:$AC$459,MATCH(ROWS($A$310:A432),$AF$310:$AF$459,0)),"")</f>
        <v/>
      </c>
      <c r="N432" s="35" t="str">
        <f>IFERROR(INDEX($AD$310:$AD$459,MATCH(ROWS($A$310:A432),$AF$310:$AF$459,0)),"")</f>
        <v/>
      </c>
      <c r="Q432" t="str">
        <f>T(JAN!B128)</f>
        <v/>
      </c>
      <c r="R432" t="str">
        <f t="array" ref="R432">IF($Q432="","",_xlfn.TEXTJOIN(", ",TRUE,IF(JAN!$G128:$AK128="FE",JAN!$G$4:$AK$4,"")))</f>
        <v/>
      </c>
      <c r="S432" t="str">
        <f t="array" ref="S432">IF($Q432="","",_xlfn.TEXTJOIN(", ",TRUE,IF(FEV!$G128:$AK128="FE",FEV!$G$4:$AK$4,"")))</f>
        <v/>
      </c>
      <c r="T432" t="str">
        <f t="array" ref="T432">IF($Q432="","",_xlfn.TEXTJOIN(", ",TRUE,IF(MAR!$G128:$AK128="FE",MAR!$G$4:$AK$4,"")))</f>
        <v/>
      </c>
      <c r="U432" t="str">
        <f t="array" ref="U432">IF($Q432="","",_xlfn.TEXTJOIN(", ",TRUE,IF(ABR!$G128:$AK128="FE",ABR!$G$4:$AK$4,"")))</f>
        <v/>
      </c>
      <c r="V432" t="str">
        <f t="array" ref="V432">IF($Q432="","",_xlfn.TEXTJOIN(", ",TRUE,IF(MAI!$G128:$AK128="FE",MAI!$G$4:$AK$4,"")))</f>
        <v/>
      </c>
      <c r="W432" t="str">
        <f t="array" ref="W432">IF($Q432="","",_xlfn.TEXTJOIN(", ",TRUE,IF(JUN!$G128:$AK128="FE",JUN!$G$4:$AK$4,"")))</f>
        <v/>
      </c>
      <c r="X432" t="str">
        <f t="array" ref="X432">IF($Q432="","",_xlfn.TEXTJOIN(", ",TRUE,IF(JUL!$G128:$AK128="FE",JUL!$G$4:$AK$4,"")))</f>
        <v/>
      </c>
      <c r="Y432" t="str">
        <f t="array" ref="Y432">IF($Q432="","",_xlfn.TEXTJOIN(", ",TRUE,IF(AGO!$G128:$AK128="FE",AGO!$G$4:$AK$4,"")))</f>
        <v/>
      </c>
      <c r="Z432" t="str">
        <f t="array" ref="Z432">IF($Q432="","",_xlfn.TEXTJOIN(", ",TRUE,IF(SET!$G128:$AK128="FE",SET!$G$4:$AK$4,"")))</f>
        <v/>
      </c>
      <c r="AA432" t="str">
        <f t="array" ref="AA432">IF($Q432="","",_xlfn.TEXTJOIN(", ",TRUE,IF(OUT!$G128:$AK128="FE",OUT!$G$4:$AK$4,"")))</f>
        <v/>
      </c>
      <c r="AB432" t="str">
        <f t="array" ref="AB432">IF($Q432="","",_xlfn.TEXTJOIN(", ",TRUE,IF(NOV!$G128:$AK128="FE",NOV!$G$4:$AK$4,"")))</f>
        <v/>
      </c>
      <c r="AC432" t="str">
        <f t="array" ref="AC432">IF($Q432="","",_xlfn.TEXTJOIN(", ",TRUE,IF(DEZ!$G128:$AK128="FE",DEZ!$G$4:$AK$4,"")))</f>
        <v/>
      </c>
      <c r="AD432" t="str">
        <f>IF($Q432="","",COUNTIF(JAN!$G128:$AK128,"FE")+COUNTIF(FEV!$G128:$AK128,"FE")+COUNTIF(MAR!$G128:$AK128,"FE")+COUNTIF(ABR!$G128:$AK128,"FE")+COUNTIF(MAI!$G128:$AK128,"FE")+COUNTIF(JUN!$G128:$AK128,"FE")+COUNTIF(JUL!$G128:$AK128,"FE")+COUNTIF(AGO!$G128:$AK128,"FE")+COUNTIF(SET!$G128:$AK128,"FE")+COUNTIF(OUT!$G128:$AK128,"FE")+COUNTIF(NOV!$G128:$AK128,"FE")+COUNTIF(DEZ!$G128:$AK128,"FE"))</f>
        <v/>
      </c>
      <c r="AF432" t="str">
        <f>IF(AND($Q432&lt;&gt;"",N($AD432)&gt;0),COUNT($AF$309:AF431)+1,"")</f>
        <v/>
      </c>
    </row>
    <row r="433" spans="1:32" x14ac:dyDescent="0.25">
      <c r="A433" s="36" t="str">
        <f>IFERROR(INDEX($Q$310:$Q$459,MATCH(ROWS($A$310:A433),$AF$310:$AF$459,0)),"")</f>
        <v/>
      </c>
      <c r="B433" s="35" t="str">
        <f>IFERROR(INDEX($R$310:$R$459,MATCH(ROWS($A$310:A433),$AF$310:$AF$459,0)),"")</f>
        <v/>
      </c>
      <c r="C433" s="35" t="str">
        <f>IFERROR(INDEX($S$310:$S$459,MATCH(ROWS($A$310:A433),$AF$310:$AF$459,0)),"")</f>
        <v/>
      </c>
      <c r="D433" s="35" t="str">
        <f>IFERROR(INDEX($T$310:$T$459,MATCH(ROWS($A$310:A433),$AF$310:$AF$459,0)),"")</f>
        <v/>
      </c>
      <c r="E433" s="35" t="str">
        <f>IFERROR(INDEX($U$310:$U$459,MATCH(ROWS($A$310:A433),$AF$310:$AF$459,0)),"")</f>
        <v/>
      </c>
      <c r="F433" s="35" t="str">
        <f>IFERROR(INDEX($V$310:$V$459,MATCH(ROWS($A$310:A433),$AF$310:$AF$459,0)),"")</f>
        <v/>
      </c>
      <c r="G433" s="35" t="str">
        <f>IFERROR(INDEX($W$310:$W$459,MATCH(ROWS($A$310:A433),$AF$310:$AF$459,0)),"")</f>
        <v/>
      </c>
      <c r="H433" s="35" t="str">
        <f>IFERROR(INDEX($X$310:$X$459,MATCH(ROWS($A$310:A433),$AF$310:$AF$459,0)),"")</f>
        <v/>
      </c>
      <c r="I433" s="35" t="str">
        <f>IFERROR(INDEX($Y$310:$Y$459,MATCH(ROWS($A$310:A433),$AF$310:$AF$459,0)),"")</f>
        <v/>
      </c>
      <c r="J433" s="35" t="str">
        <f>IFERROR(INDEX($Z$310:$Z$459,MATCH(ROWS($A$310:A433),$AF$310:$AF$459,0)),"")</f>
        <v/>
      </c>
      <c r="K433" s="35" t="str">
        <f>IFERROR(INDEX($AA$310:$AA$459,MATCH(ROWS($A$310:A433),$AF$310:$AF$459,0)),"")</f>
        <v/>
      </c>
      <c r="L433" s="35" t="str">
        <f>IFERROR(INDEX($AB$310:$AB$459,MATCH(ROWS($A$310:A433),$AF$310:$AF$459,0)),"")</f>
        <v/>
      </c>
      <c r="M433" s="35" t="str">
        <f>IFERROR(INDEX($AC$310:$AC$459,MATCH(ROWS($A$310:A433),$AF$310:$AF$459,0)),"")</f>
        <v/>
      </c>
      <c r="N433" s="35" t="str">
        <f>IFERROR(INDEX($AD$310:$AD$459,MATCH(ROWS($A$310:A433),$AF$310:$AF$459,0)),"")</f>
        <v/>
      </c>
      <c r="Q433" t="str">
        <f>T(JAN!B129)</f>
        <v/>
      </c>
      <c r="R433" t="str">
        <f t="array" ref="R433">IF($Q433="","",_xlfn.TEXTJOIN(", ",TRUE,IF(JAN!$G129:$AK129="FE",JAN!$G$4:$AK$4,"")))</f>
        <v/>
      </c>
      <c r="S433" t="str">
        <f t="array" ref="S433">IF($Q433="","",_xlfn.TEXTJOIN(", ",TRUE,IF(FEV!$G129:$AK129="FE",FEV!$G$4:$AK$4,"")))</f>
        <v/>
      </c>
      <c r="T433" t="str">
        <f t="array" ref="T433">IF($Q433="","",_xlfn.TEXTJOIN(", ",TRUE,IF(MAR!$G129:$AK129="FE",MAR!$G$4:$AK$4,"")))</f>
        <v/>
      </c>
      <c r="U433" t="str">
        <f t="array" ref="U433">IF($Q433="","",_xlfn.TEXTJOIN(", ",TRUE,IF(ABR!$G129:$AK129="FE",ABR!$G$4:$AK$4,"")))</f>
        <v/>
      </c>
      <c r="V433" t="str">
        <f t="array" ref="V433">IF($Q433="","",_xlfn.TEXTJOIN(", ",TRUE,IF(MAI!$G129:$AK129="FE",MAI!$G$4:$AK$4,"")))</f>
        <v/>
      </c>
      <c r="W433" t="str">
        <f t="array" ref="W433">IF($Q433="","",_xlfn.TEXTJOIN(", ",TRUE,IF(JUN!$G129:$AK129="FE",JUN!$G$4:$AK$4,"")))</f>
        <v/>
      </c>
      <c r="X433" t="str">
        <f t="array" ref="X433">IF($Q433="","",_xlfn.TEXTJOIN(", ",TRUE,IF(JUL!$G129:$AK129="FE",JUL!$G$4:$AK$4,"")))</f>
        <v/>
      </c>
      <c r="Y433" t="str">
        <f t="array" ref="Y433">IF($Q433="","",_xlfn.TEXTJOIN(", ",TRUE,IF(AGO!$G129:$AK129="FE",AGO!$G$4:$AK$4,"")))</f>
        <v/>
      </c>
      <c r="Z433" t="str">
        <f t="array" ref="Z433">IF($Q433="","",_xlfn.TEXTJOIN(", ",TRUE,IF(SET!$G129:$AK129="FE",SET!$G$4:$AK$4,"")))</f>
        <v/>
      </c>
      <c r="AA433" t="str">
        <f t="array" ref="AA433">IF($Q433="","",_xlfn.TEXTJOIN(", ",TRUE,IF(OUT!$G129:$AK129="FE",OUT!$G$4:$AK$4,"")))</f>
        <v/>
      </c>
      <c r="AB433" t="str">
        <f t="array" ref="AB433">IF($Q433="","",_xlfn.TEXTJOIN(", ",TRUE,IF(NOV!$G129:$AK129="FE",NOV!$G$4:$AK$4,"")))</f>
        <v/>
      </c>
      <c r="AC433" t="str">
        <f t="array" ref="AC433">IF($Q433="","",_xlfn.TEXTJOIN(", ",TRUE,IF(DEZ!$G129:$AK129="FE",DEZ!$G$4:$AK$4,"")))</f>
        <v/>
      </c>
      <c r="AD433" t="str">
        <f>IF($Q433="","",COUNTIF(JAN!$G129:$AK129,"FE")+COUNTIF(FEV!$G129:$AK129,"FE")+COUNTIF(MAR!$G129:$AK129,"FE")+COUNTIF(ABR!$G129:$AK129,"FE")+COUNTIF(MAI!$G129:$AK129,"FE")+COUNTIF(JUN!$G129:$AK129,"FE")+COUNTIF(JUL!$G129:$AK129,"FE")+COUNTIF(AGO!$G129:$AK129,"FE")+COUNTIF(SET!$G129:$AK129,"FE")+COUNTIF(OUT!$G129:$AK129,"FE")+COUNTIF(NOV!$G129:$AK129,"FE")+COUNTIF(DEZ!$G129:$AK129,"FE"))</f>
        <v/>
      </c>
      <c r="AF433" t="str">
        <f>IF(AND($Q433&lt;&gt;"",N($AD433)&gt;0),COUNT($AF$309:AF432)+1,"")</f>
        <v/>
      </c>
    </row>
    <row r="434" spans="1:32" x14ac:dyDescent="0.25">
      <c r="A434" s="36" t="str">
        <f>IFERROR(INDEX($Q$310:$Q$459,MATCH(ROWS($A$310:A434),$AF$310:$AF$459,0)),"")</f>
        <v/>
      </c>
      <c r="B434" s="35" t="str">
        <f>IFERROR(INDEX($R$310:$R$459,MATCH(ROWS($A$310:A434),$AF$310:$AF$459,0)),"")</f>
        <v/>
      </c>
      <c r="C434" s="35" t="str">
        <f>IFERROR(INDEX($S$310:$S$459,MATCH(ROWS($A$310:A434),$AF$310:$AF$459,0)),"")</f>
        <v/>
      </c>
      <c r="D434" s="35" t="str">
        <f>IFERROR(INDEX($T$310:$T$459,MATCH(ROWS($A$310:A434),$AF$310:$AF$459,0)),"")</f>
        <v/>
      </c>
      <c r="E434" s="35" t="str">
        <f>IFERROR(INDEX($U$310:$U$459,MATCH(ROWS($A$310:A434),$AF$310:$AF$459,0)),"")</f>
        <v/>
      </c>
      <c r="F434" s="35" t="str">
        <f>IFERROR(INDEX($V$310:$V$459,MATCH(ROWS($A$310:A434),$AF$310:$AF$459,0)),"")</f>
        <v/>
      </c>
      <c r="G434" s="35" t="str">
        <f>IFERROR(INDEX($W$310:$W$459,MATCH(ROWS($A$310:A434),$AF$310:$AF$459,0)),"")</f>
        <v/>
      </c>
      <c r="H434" s="35" t="str">
        <f>IFERROR(INDEX($X$310:$X$459,MATCH(ROWS($A$310:A434),$AF$310:$AF$459,0)),"")</f>
        <v/>
      </c>
      <c r="I434" s="35" t="str">
        <f>IFERROR(INDEX($Y$310:$Y$459,MATCH(ROWS($A$310:A434),$AF$310:$AF$459,0)),"")</f>
        <v/>
      </c>
      <c r="J434" s="35" t="str">
        <f>IFERROR(INDEX($Z$310:$Z$459,MATCH(ROWS($A$310:A434),$AF$310:$AF$459,0)),"")</f>
        <v/>
      </c>
      <c r="K434" s="35" t="str">
        <f>IFERROR(INDEX($AA$310:$AA$459,MATCH(ROWS($A$310:A434),$AF$310:$AF$459,0)),"")</f>
        <v/>
      </c>
      <c r="L434" s="35" t="str">
        <f>IFERROR(INDEX($AB$310:$AB$459,MATCH(ROWS($A$310:A434),$AF$310:$AF$459,0)),"")</f>
        <v/>
      </c>
      <c r="M434" s="35" t="str">
        <f>IFERROR(INDEX($AC$310:$AC$459,MATCH(ROWS($A$310:A434),$AF$310:$AF$459,0)),"")</f>
        <v/>
      </c>
      <c r="N434" s="35" t="str">
        <f>IFERROR(INDEX($AD$310:$AD$459,MATCH(ROWS($A$310:A434),$AF$310:$AF$459,0)),"")</f>
        <v/>
      </c>
      <c r="Q434" t="str">
        <f>T(JAN!B130)</f>
        <v/>
      </c>
      <c r="R434" t="str">
        <f t="array" ref="R434">IF($Q434="","",_xlfn.TEXTJOIN(", ",TRUE,IF(JAN!$G130:$AK130="FE",JAN!$G$4:$AK$4,"")))</f>
        <v/>
      </c>
      <c r="S434" t="str">
        <f t="array" ref="S434">IF($Q434="","",_xlfn.TEXTJOIN(", ",TRUE,IF(FEV!$G130:$AK130="FE",FEV!$G$4:$AK$4,"")))</f>
        <v/>
      </c>
      <c r="T434" t="str">
        <f t="array" ref="T434">IF($Q434="","",_xlfn.TEXTJOIN(", ",TRUE,IF(MAR!$G130:$AK130="FE",MAR!$G$4:$AK$4,"")))</f>
        <v/>
      </c>
      <c r="U434" t="str">
        <f t="array" ref="U434">IF($Q434="","",_xlfn.TEXTJOIN(", ",TRUE,IF(ABR!$G130:$AK130="FE",ABR!$G$4:$AK$4,"")))</f>
        <v/>
      </c>
      <c r="V434" t="str">
        <f t="array" ref="V434">IF($Q434="","",_xlfn.TEXTJOIN(", ",TRUE,IF(MAI!$G130:$AK130="FE",MAI!$G$4:$AK$4,"")))</f>
        <v/>
      </c>
      <c r="W434" t="str">
        <f t="array" ref="W434">IF($Q434="","",_xlfn.TEXTJOIN(", ",TRUE,IF(JUN!$G130:$AK130="FE",JUN!$G$4:$AK$4,"")))</f>
        <v/>
      </c>
      <c r="X434" t="str">
        <f t="array" ref="X434">IF($Q434="","",_xlfn.TEXTJOIN(", ",TRUE,IF(JUL!$G130:$AK130="FE",JUL!$G$4:$AK$4,"")))</f>
        <v/>
      </c>
      <c r="Y434" t="str">
        <f t="array" ref="Y434">IF($Q434="","",_xlfn.TEXTJOIN(", ",TRUE,IF(AGO!$G130:$AK130="FE",AGO!$G$4:$AK$4,"")))</f>
        <v/>
      </c>
      <c r="Z434" t="str">
        <f t="array" ref="Z434">IF($Q434="","",_xlfn.TEXTJOIN(", ",TRUE,IF(SET!$G130:$AK130="FE",SET!$G$4:$AK$4,"")))</f>
        <v/>
      </c>
      <c r="AA434" t="str">
        <f t="array" ref="AA434">IF($Q434="","",_xlfn.TEXTJOIN(", ",TRUE,IF(OUT!$G130:$AK130="FE",OUT!$G$4:$AK$4,"")))</f>
        <v/>
      </c>
      <c r="AB434" t="str">
        <f t="array" ref="AB434">IF($Q434="","",_xlfn.TEXTJOIN(", ",TRUE,IF(NOV!$G130:$AK130="FE",NOV!$G$4:$AK$4,"")))</f>
        <v/>
      </c>
      <c r="AC434" t="str">
        <f t="array" ref="AC434">IF($Q434="","",_xlfn.TEXTJOIN(", ",TRUE,IF(DEZ!$G130:$AK130="FE",DEZ!$G$4:$AK$4,"")))</f>
        <v/>
      </c>
      <c r="AD434" t="str">
        <f>IF($Q434="","",COUNTIF(JAN!$G130:$AK130,"FE")+COUNTIF(FEV!$G130:$AK130,"FE")+COUNTIF(MAR!$G130:$AK130,"FE")+COUNTIF(ABR!$G130:$AK130,"FE")+COUNTIF(MAI!$G130:$AK130,"FE")+COUNTIF(JUN!$G130:$AK130,"FE")+COUNTIF(JUL!$G130:$AK130,"FE")+COUNTIF(AGO!$G130:$AK130,"FE")+COUNTIF(SET!$G130:$AK130,"FE")+COUNTIF(OUT!$G130:$AK130,"FE")+COUNTIF(NOV!$G130:$AK130,"FE")+COUNTIF(DEZ!$G130:$AK130,"FE"))</f>
        <v/>
      </c>
      <c r="AF434" t="str">
        <f>IF(AND($Q434&lt;&gt;"",N($AD434)&gt;0),COUNT($AF$309:AF433)+1,"")</f>
        <v/>
      </c>
    </row>
    <row r="435" spans="1:32" x14ac:dyDescent="0.25">
      <c r="A435" s="36" t="str">
        <f>IFERROR(INDEX($Q$310:$Q$459,MATCH(ROWS($A$310:A435),$AF$310:$AF$459,0)),"")</f>
        <v/>
      </c>
      <c r="B435" s="35" t="str">
        <f>IFERROR(INDEX($R$310:$R$459,MATCH(ROWS($A$310:A435),$AF$310:$AF$459,0)),"")</f>
        <v/>
      </c>
      <c r="C435" s="35" t="str">
        <f>IFERROR(INDEX($S$310:$S$459,MATCH(ROWS($A$310:A435),$AF$310:$AF$459,0)),"")</f>
        <v/>
      </c>
      <c r="D435" s="35" t="str">
        <f>IFERROR(INDEX($T$310:$T$459,MATCH(ROWS($A$310:A435),$AF$310:$AF$459,0)),"")</f>
        <v/>
      </c>
      <c r="E435" s="35" t="str">
        <f>IFERROR(INDEX($U$310:$U$459,MATCH(ROWS($A$310:A435),$AF$310:$AF$459,0)),"")</f>
        <v/>
      </c>
      <c r="F435" s="35" t="str">
        <f>IFERROR(INDEX($V$310:$V$459,MATCH(ROWS($A$310:A435),$AF$310:$AF$459,0)),"")</f>
        <v/>
      </c>
      <c r="G435" s="35" t="str">
        <f>IFERROR(INDEX($W$310:$W$459,MATCH(ROWS($A$310:A435),$AF$310:$AF$459,0)),"")</f>
        <v/>
      </c>
      <c r="H435" s="35" t="str">
        <f>IFERROR(INDEX($X$310:$X$459,MATCH(ROWS($A$310:A435),$AF$310:$AF$459,0)),"")</f>
        <v/>
      </c>
      <c r="I435" s="35" t="str">
        <f>IFERROR(INDEX($Y$310:$Y$459,MATCH(ROWS($A$310:A435),$AF$310:$AF$459,0)),"")</f>
        <v/>
      </c>
      <c r="J435" s="35" t="str">
        <f>IFERROR(INDEX($Z$310:$Z$459,MATCH(ROWS($A$310:A435),$AF$310:$AF$459,0)),"")</f>
        <v/>
      </c>
      <c r="K435" s="35" t="str">
        <f>IFERROR(INDEX($AA$310:$AA$459,MATCH(ROWS($A$310:A435),$AF$310:$AF$459,0)),"")</f>
        <v/>
      </c>
      <c r="L435" s="35" t="str">
        <f>IFERROR(INDEX($AB$310:$AB$459,MATCH(ROWS($A$310:A435),$AF$310:$AF$459,0)),"")</f>
        <v/>
      </c>
      <c r="M435" s="35" t="str">
        <f>IFERROR(INDEX($AC$310:$AC$459,MATCH(ROWS($A$310:A435),$AF$310:$AF$459,0)),"")</f>
        <v/>
      </c>
      <c r="N435" s="35" t="str">
        <f>IFERROR(INDEX($AD$310:$AD$459,MATCH(ROWS($A$310:A435),$AF$310:$AF$459,0)),"")</f>
        <v/>
      </c>
      <c r="Q435" t="str">
        <f>T(JAN!B131)</f>
        <v/>
      </c>
      <c r="R435" t="str">
        <f t="array" ref="R435">IF($Q435="","",_xlfn.TEXTJOIN(", ",TRUE,IF(JAN!$G131:$AK131="FE",JAN!$G$4:$AK$4,"")))</f>
        <v/>
      </c>
      <c r="S435" t="str">
        <f t="array" ref="S435">IF($Q435="","",_xlfn.TEXTJOIN(", ",TRUE,IF(FEV!$G131:$AK131="FE",FEV!$G$4:$AK$4,"")))</f>
        <v/>
      </c>
      <c r="T435" t="str">
        <f t="array" ref="T435">IF($Q435="","",_xlfn.TEXTJOIN(", ",TRUE,IF(MAR!$G131:$AK131="FE",MAR!$G$4:$AK$4,"")))</f>
        <v/>
      </c>
      <c r="U435" t="str">
        <f t="array" ref="U435">IF($Q435="","",_xlfn.TEXTJOIN(", ",TRUE,IF(ABR!$G131:$AK131="FE",ABR!$G$4:$AK$4,"")))</f>
        <v/>
      </c>
      <c r="V435" t="str">
        <f t="array" ref="V435">IF($Q435="","",_xlfn.TEXTJOIN(", ",TRUE,IF(MAI!$G131:$AK131="FE",MAI!$G$4:$AK$4,"")))</f>
        <v/>
      </c>
      <c r="W435" t="str">
        <f t="array" ref="W435">IF($Q435="","",_xlfn.TEXTJOIN(", ",TRUE,IF(JUN!$G131:$AK131="FE",JUN!$G$4:$AK$4,"")))</f>
        <v/>
      </c>
      <c r="X435" t="str">
        <f t="array" ref="X435">IF($Q435="","",_xlfn.TEXTJOIN(", ",TRUE,IF(JUL!$G131:$AK131="FE",JUL!$G$4:$AK$4,"")))</f>
        <v/>
      </c>
      <c r="Y435" t="str">
        <f t="array" ref="Y435">IF($Q435="","",_xlfn.TEXTJOIN(", ",TRUE,IF(AGO!$G131:$AK131="FE",AGO!$G$4:$AK$4,"")))</f>
        <v/>
      </c>
      <c r="Z435" t="str">
        <f t="array" ref="Z435">IF($Q435="","",_xlfn.TEXTJOIN(", ",TRUE,IF(SET!$G131:$AK131="FE",SET!$G$4:$AK$4,"")))</f>
        <v/>
      </c>
      <c r="AA435" t="str">
        <f t="array" ref="AA435">IF($Q435="","",_xlfn.TEXTJOIN(", ",TRUE,IF(OUT!$G131:$AK131="FE",OUT!$G$4:$AK$4,"")))</f>
        <v/>
      </c>
      <c r="AB435" t="str">
        <f t="array" ref="AB435">IF($Q435="","",_xlfn.TEXTJOIN(", ",TRUE,IF(NOV!$G131:$AK131="FE",NOV!$G$4:$AK$4,"")))</f>
        <v/>
      </c>
      <c r="AC435" t="str">
        <f t="array" ref="AC435">IF($Q435="","",_xlfn.TEXTJOIN(", ",TRUE,IF(DEZ!$G131:$AK131="FE",DEZ!$G$4:$AK$4,"")))</f>
        <v/>
      </c>
      <c r="AD435" t="str">
        <f>IF($Q435="","",COUNTIF(JAN!$G131:$AK131,"FE")+COUNTIF(FEV!$G131:$AK131,"FE")+COUNTIF(MAR!$G131:$AK131,"FE")+COUNTIF(ABR!$G131:$AK131,"FE")+COUNTIF(MAI!$G131:$AK131,"FE")+COUNTIF(JUN!$G131:$AK131,"FE")+COUNTIF(JUL!$G131:$AK131,"FE")+COUNTIF(AGO!$G131:$AK131,"FE")+COUNTIF(SET!$G131:$AK131,"FE")+COUNTIF(OUT!$G131:$AK131,"FE")+COUNTIF(NOV!$G131:$AK131,"FE")+COUNTIF(DEZ!$G131:$AK131,"FE"))</f>
        <v/>
      </c>
      <c r="AF435" t="str">
        <f>IF(AND($Q435&lt;&gt;"",N($AD435)&gt;0),COUNT($AF$309:AF434)+1,"")</f>
        <v/>
      </c>
    </row>
    <row r="436" spans="1:32" x14ac:dyDescent="0.25">
      <c r="A436" s="36" t="str">
        <f>IFERROR(INDEX($Q$310:$Q$459,MATCH(ROWS($A$310:A436),$AF$310:$AF$459,0)),"")</f>
        <v/>
      </c>
      <c r="B436" s="35" t="str">
        <f>IFERROR(INDEX($R$310:$R$459,MATCH(ROWS($A$310:A436),$AF$310:$AF$459,0)),"")</f>
        <v/>
      </c>
      <c r="C436" s="35" t="str">
        <f>IFERROR(INDEX($S$310:$S$459,MATCH(ROWS($A$310:A436),$AF$310:$AF$459,0)),"")</f>
        <v/>
      </c>
      <c r="D436" s="35" t="str">
        <f>IFERROR(INDEX($T$310:$T$459,MATCH(ROWS($A$310:A436),$AF$310:$AF$459,0)),"")</f>
        <v/>
      </c>
      <c r="E436" s="35" t="str">
        <f>IFERROR(INDEX($U$310:$U$459,MATCH(ROWS($A$310:A436),$AF$310:$AF$459,0)),"")</f>
        <v/>
      </c>
      <c r="F436" s="35" t="str">
        <f>IFERROR(INDEX($V$310:$V$459,MATCH(ROWS($A$310:A436),$AF$310:$AF$459,0)),"")</f>
        <v/>
      </c>
      <c r="G436" s="35" t="str">
        <f>IFERROR(INDEX($W$310:$W$459,MATCH(ROWS($A$310:A436),$AF$310:$AF$459,0)),"")</f>
        <v/>
      </c>
      <c r="H436" s="35" t="str">
        <f>IFERROR(INDEX($X$310:$X$459,MATCH(ROWS($A$310:A436),$AF$310:$AF$459,0)),"")</f>
        <v/>
      </c>
      <c r="I436" s="35" t="str">
        <f>IFERROR(INDEX($Y$310:$Y$459,MATCH(ROWS($A$310:A436),$AF$310:$AF$459,0)),"")</f>
        <v/>
      </c>
      <c r="J436" s="35" t="str">
        <f>IFERROR(INDEX($Z$310:$Z$459,MATCH(ROWS($A$310:A436),$AF$310:$AF$459,0)),"")</f>
        <v/>
      </c>
      <c r="K436" s="35" t="str">
        <f>IFERROR(INDEX($AA$310:$AA$459,MATCH(ROWS($A$310:A436),$AF$310:$AF$459,0)),"")</f>
        <v/>
      </c>
      <c r="L436" s="35" t="str">
        <f>IFERROR(INDEX($AB$310:$AB$459,MATCH(ROWS($A$310:A436),$AF$310:$AF$459,0)),"")</f>
        <v/>
      </c>
      <c r="M436" s="35" t="str">
        <f>IFERROR(INDEX($AC$310:$AC$459,MATCH(ROWS($A$310:A436),$AF$310:$AF$459,0)),"")</f>
        <v/>
      </c>
      <c r="N436" s="35" t="str">
        <f>IFERROR(INDEX($AD$310:$AD$459,MATCH(ROWS($A$310:A436),$AF$310:$AF$459,0)),"")</f>
        <v/>
      </c>
      <c r="Q436" t="str">
        <f>T(JAN!B132)</f>
        <v/>
      </c>
      <c r="R436" t="str">
        <f t="array" ref="R436">IF($Q436="","",_xlfn.TEXTJOIN(", ",TRUE,IF(JAN!$G132:$AK132="FE",JAN!$G$4:$AK$4,"")))</f>
        <v/>
      </c>
      <c r="S436" t="str">
        <f t="array" ref="S436">IF($Q436="","",_xlfn.TEXTJOIN(", ",TRUE,IF(FEV!$G132:$AK132="FE",FEV!$G$4:$AK$4,"")))</f>
        <v/>
      </c>
      <c r="T436" t="str">
        <f t="array" ref="T436">IF($Q436="","",_xlfn.TEXTJOIN(", ",TRUE,IF(MAR!$G132:$AK132="FE",MAR!$G$4:$AK$4,"")))</f>
        <v/>
      </c>
      <c r="U436" t="str">
        <f t="array" ref="U436">IF($Q436="","",_xlfn.TEXTJOIN(", ",TRUE,IF(ABR!$G132:$AK132="FE",ABR!$G$4:$AK$4,"")))</f>
        <v/>
      </c>
      <c r="V436" t="str">
        <f t="array" ref="V436">IF($Q436="","",_xlfn.TEXTJOIN(", ",TRUE,IF(MAI!$G132:$AK132="FE",MAI!$G$4:$AK$4,"")))</f>
        <v/>
      </c>
      <c r="W436" t="str">
        <f t="array" ref="W436">IF($Q436="","",_xlfn.TEXTJOIN(", ",TRUE,IF(JUN!$G132:$AK132="FE",JUN!$G$4:$AK$4,"")))</f>
        <v/>
      </c>
      <c r="X436" t="str">
        <f t="array" ref="X436">IF($Q436="","",_xlfn.TEXTJOIN(", ",TRUE,IF(JUL!$G132:$AK132="FE",JUL!$G$4:$AK$4,"")))</f>
        <v/>
      </c>
      <c r="Y436" t="str">
        <f t="array" ref="Y436">IF($Q436="","",_xlfn.TEXTJOIN(", ",TRUE,IF(AGO!$G132:$AK132="FE",AGO!$G$4:$AK$4,"")))</f>
        <v/>
      </c>
      <c r="Z436" t="str">
        <f t="array" ref="Z436">IF($Q436="","",_xlfn.TEXTJOIN(", ",TRUE,IF(SET!$G132:$AK132="FE",SET!$G$4:$AK$4,"")))</f>
        <v/>
      </c>
      <c r="AA436" t="str">
        <f t="array" ref="AA436">IF($Q436="","",_xlfn.TEXTJOIN(", ",TRUE,IF(OUT!$G132:$AK132="FE",OUT!$G$4:$AK$4,"")))</f>
        <v/>
      </c>
      <c r="AB436" t="str">
        <f t="array" ref="AB436">IF($Q436="","",_xlfn.TEXTJOIN(", ",TRUE,IF(NOV!$G132:$AK132="FE",NOV!$G$4:$AK$4,"")))</f>
        <v/>
      </c>
      <c r="AC436" t="str">
        <f t="array" ref="AC436">IF($Q436="","",_xlfn.TEXTJOIN(", ",TRUE,IF(DEZ!$G132:$AK132="FE",DEZ!$G$4:$AK$4,"")))</f>
        <v/>
      </c>
      <c r="AD436" t="str">
        <f>IF($Q436="","",COUNTIF(JAN!$G132:$AK132,"FE")+COUNTIF(FEV!$G132:$AK132,"FE")+COUNTIF(MAR!$G132:$AK132,"FE")+COUNTIF(ABR!$G132:$AK132,"FE")+COUNTIF(MAI!$G132:$AK132,"FE")+COUNTIF(JUN!$G132:$AK132,"FE")+COUNTIF(JUL!$G132:$AK132,"FE")+COUNTIF(AGO!$G132:$AK132,"FE")+COUNTIF(SET!$G132:$AK132,"FE")+COUNTIF(OUT!$G132:$AK132,"FE")+COUNTIF(NOV!$G132:$AK132,"FE")+COUNTIF(DEZ!$G132:$AK132,"FE"))</f>
        <v/>
      </c>
      <c r="AF436" t="str">
        <f>IF(AND($Q436&lt;&gt;"",N($AD436)&gt;0),COUNT($AF$309:AF435)+1,"")</f>
        <v/>
      </c>
    </row>
    <row r="437" spans="1:32" x14ac:dyDescent="0.25">
      <c r="A437" s="36" t="str">
        <f>IFERROR(INDEX($Q$310:$Q$459,MATCH(ROWS($A$310:A437),$AF$310:$AF$459,0)),"")</f>
        <v/>
      </c>
      <c r="B437" s="35" t="str">
        <f>IFERROR(INDEX($R$310:$R$459,MATCH(ROWS($A$310:A437),$AF$310:$AF$459,0)),"")</f>
        <v/>
      </c>
      <c r="C437" s="35" t="str">
        <f>IFERROR(INDEX($S$310:$S$459,MATCH(ROWS($A$310:A437),$AF$310:$AF$459,0)),"")</f>
        <v/>
      </c>
      <c r="D437" s="35" t="str">
        <f>IFERROR(INDEX($T$310:$T$459,MATCH(ROWS($A$310:A437),$AF$310:$AF$459,0)),"")</f>
        <v/>
      </c>
      <c r="E437" s="35" t="str">
        <f>IFERROR(INDEX($U$310:$U$459,MATCH(ROWS($A$310:A437),$AF$310:$AF$459,0)),"")</f>
        <v/>
      </c>
      <c r="F437" s="35" t="str">
        <f>IFERROR(INDEX($V$310:$V$459,MATCH(ROWS($A$310:A437),$AF$310:$AF$459,0)),"")</f>
        <v/>
      </c>
      <c r="G437" s="35" t="str">
        <f>IFERROR(INDEX($W$310:$W$459,MATCH(ROWS($A$310:A437),$AF$310:$AF$459,0)),"")</f>
        <v/>
      </c>
      <c r="H437" s="35" t="str">
        <f>IFERROR(INDEX($X$310:$X$459,MATCH(ROWS($A$310:A437),$AF$310:$AF$459,0)),"")</f>
        <v/>
      </c>
      <c r="I437" s="35" t="str">
        <f>IFERROR(INDEX($Y$310:$Y$459,MATCH(ROWS($A$310:A437),$AF$310:$AF$459,0)),"")</f>
        <v/>
      </c>
      <c r="J437" s="35" t="str">
        <f>IFERROR(INDEX($Z$310:$Z$459,MATCH(ROWS($A$310:A437),$AF$310:$AF$459,0)),"")</f>
        <v/>
      </c>
      <c r="K437" s="35" t="str">
        <f>IFERROR(INDEX($AA$310:$AA$459,MATCH(ROWS($A$310:A437),$AF$310:$AF$459,0)),"")</f>
        <v/>
      </c>
      <c r="L437" s="35" t="str">
        <f>IFERROR(INDEX($AB$310:$AB$459,MATCH(ROWS($A$310:A437),$AF$310:$AF$459,0)),"")</f>
        <v/>
      </c>
      <c r="M437" s="35" t="str">
        <f>IFERROR(INDEX($AC$310:$AC$459,MATCH(ROWS($A$310:A437),$AF$310:$AF$459,0)),"")</f>
        <v/>
      </c>
      <c r="N437" s="35" t="str">
        <f>IFERROR(INDEX($AD$310:$AD$459,MATCH(ROWS($A$310:A437),$AF$310:$AF$459,0)),"")</f>
        <v/>
      </c>
      <c r="Q437" t="str">
        <f>T(JAN!B133)</f>
        <v/>
      </c>
      <c r="R437" t="str">
        <f t="array" ref="R437">IF($Q437="","",_xlfn.TEXTJOIN(", ",TRUE,IF(JAN!$G133:$AK133="FE",JAN!$G$4:$AK$4,"")))</f>
        <v/>
      </c>
      <c r="S437" t="str">
        <f t="array" ref="S437">IF($Q437="","",_xlfn.TEXTJOIN(", ",TRUE,IF(FEV!$G133:$AK133="FE",FEV!$G$4:$AK$4,"")))</f>
        <v/>
      </c>
      <c r="T437" t="str">
        <f t="array" ref="T437">IF($Q437="","",_xlfn.TEXTJOIN(", ",TRUE,IF(MAR!$G133:$AK133="FE",MAR!$G$4:$AK$4,"")))</f>
        <v/>
      </c>
      <c r="U437" t="str">
        <f t="array" ref="U437">IF($Q437="","",_xlfn.TEXTJOIN(", ",TRUE,IF(ABR!$G133:$AK133="FE",ABR!$G$4:$AK$4,"")))</f>
        <v/>
      </c>
      <c r="V437" t="str">
        <f t="array" ref="V437">IF($Q437="","",_xlfn.TEXTJOIN(", ",TRUE,IF(MAI!$G133:$AK133="FE",MAI!$G$4:$AK$4,"")))</f>
        <v/>
      </c>
      <c r="W437" t="str">
        <f t="array" ref="W437">IF($Q437="","",_xlfn.TEXTJOIN(", ",TRUE,IF(JUN!$G133:$AK133="FE",JUN!$G$4:$AK$4,"")))</f>
        <v/>
      </c>
      <c r="X437" t="str">
        <f t="array" ref="X437">IF($Q437="","",_xlfn.TEXTJOIN(", ",TRUE,IF(JUL!$G133:$AK133="FE",JUL!$G$4:$AK$4,"")))</f>
        <v/>
      </c>
      <c r="Y437" t="str">
        <f t="array" ref="Y437">IF($Q437="","",_xlfn.TEXTJOIN(", ",TRUE,IF(AGO!$G133:$AK133="FE",AGO!$G$4:$AK$4,"")))</f>
        <v/>
      </c>
      <c r="Z437" t="str">
        <f t="array" ref="Z437">IF($Q437="","",_xlfn.TEXTJOIN(", ",TRUE,IF(SET!$G133:$AK133="FE",SET!$G$4:$AK$4,"")))</f>
        <v/>
      </c>
      <c r="AA437" t="str">
        <f t="array" ref="AA437">IF($Q437="","",_xlfn.TEXTJOIN(", ",TRUE,IF(OUT!$G133:$AK133="FE",OUT!$G$4:$AK$4,"")))</f>
        <v/>
      </c>
      <c r="AB437" t="str">
        <f t="array" ref="AB437">IF($Q437="","",_xlfn.TEXTJOIN(", ",TRUE,IF(NOV!$G133:$AK133="FE",NOV!$G$4:$AK$4,"")))</f>
        <v/>
      </c>
      <c r="AC437" t="str">
        <f t="array" ref="AC437">IF($Q437="","",_xlfn.TEXTJOIN(", ",TRUE,IF(DEZ!$G133:$AK133="FE",DEZ!$G$4:$AK$4,"")))</f>
        <v/>
      </c>
      <c r="AD437" t="str">
        <f>IF($Q437="","",COUNTIF(JAN!$G133:$AK133,"FE")+COUNTIF(FEV!$G133:$AK133,"FE")+COUNTIF(MAR!$G133:$AK133,"FE")+COUNTIF(ABR!$G133:$AK133,"FE")+COUNTIF(MAI!$G133:$AK133,"FE")+COUNTIF(JUN!$G133:$AK133,"FE")+COUNTIF(JUL!$G133:$AK133,"FE")+COUNTIF(AGO!$G133:$AK133,"FE")+COUNTIF(SET!$G133:$AK133,"FE")+COUNTIF(OUT!$G133:$AK133,"FE")+COUNTIF(NOV!$G133:$AK133,"FE")+COUNTIF(DEZ!$G133:$AK133,"FE"))</f>
        <v/>
      </c>
      <c r="AF437" t="str">
        <f>IF(AND($Q437&lt;&gt;"",N($AD437)&gt;0),COUNT($AF$309:AF436)+1,"")</f>
        <v/>
      </c>
    </row>
    <row r="438" spans="1:32" x14ac:dyDescent="0.25">
      <c r="A438" s="36" t="str">
        <f>IFERROR(INDEX($Q$310:$Q$459,MATCH(ROWS($A$310:A438),$AF$310:$AF$459,0)),"")</f>
        <v/>
      </c>
      <c r="B438" s="35" t="str">
        <f>IFERROR(INDEX($R$310:$R$459,MATCH(ROWS($A$310:A438),$AF$310:$AF$459,0)),"")</f>
        <v/>
      </c>
      <c r="C438" s="35" t="str">
        <f>IFERROR(INDEX($S$310:$S$459,MATCH(ROWS($A$310:A438),$AF$310:$AF$459,0)),"")</f>
        <v/>
      </c>
      <c r="D438" s="35" t="str">
        <f>IFERROR(INDEX($T$310:$T$459,MATCH(ROWS($A$310:A438),$AF$310:$AF$459,0)),"")</f>
        <v/>
      </c>
      <c r="E438" s="35" t="str">
        <f>IFERROR(INDEX($U$310:$U$459,MATCH(ROWS($A$310:A438),$AF$310:$AF$459,0)),"")</f>
        <v/>
      </c>
      <c r="F438" s="35" t="str">
        <f>IFERROR(INDEX($V$310:$V$459,MATCH(ROWS($A$310:A438),$AF$310:$AF$459,0)),"")</f>
        <v/>
      </c>
      <c r="G438" s="35" t="str">
        <f>IFERROR(INDEX($W$310:$W$459,MATCH(ROWS($A$310:A438),$AF$310:$AF$459,0)),"")</f>
        <v/>
      </c>
      <c r="H438" s="35" t="str">
        <f>IFERROR(INDEX($X$310:$X$459,MATCH(ROWS($A$310:A438),$AF$310:$AF$459,0)),"")</f>
        <v/>
      </c>
      <c r="I438" s="35" t="str">
        <f>IFERROR(INDEX($Y$310:$Y$459,MATCH(ROWS($A$310:A438),$AF$310:$AF$459,0)),"")</f>
        <v/>
      </c>
      <c r="J438" s="35" t="str">
        <f>IFERROR(INDEX($Z$310:$Z$459,MATCH(ROWS($A$310:A438),$AF$310:$AF$459,0)),"")</f>
        <v/>
      </c>
      <c r="K438" s="35" t="str">
        <f>IFERROR(INDEX($AA$310:$AA$459,MATCH(ROWS($A$310:A438),$AF$310:$AF$459,0)),"")</f>
        <v/>
      </c>
      <c r="L438" s="35" t="str">
        <f>IFERROR(INDEX($AB$310:$AB$459,MATCH(ROWS($A$310:A438),$AF$310:$AF$459,0)),"")</f>
        <v/>
      </c>
      <c r="M438" s="35" t="str">
        <f>IFERROR(INDEX($AC$310:$AC$459,MATCH(ROWS($A$310:A438),$AF$310:$AF$459,0)),"")</f>
        <v/>
      </c>
      <c r="N438" s="35" t="str">
        <f>IFERROR(INDEX($AD$310:$AD$459,MATCH(ROWS($A$310:A438),$AF$310:$AF$459,0)),"")</f>
        <v/>
      </c>
      <c r="Q438" t="str">
        <f>T(JAN!B134)</f>
        <v/>
      </c>
      <c r="R438" t="str">
        <f t="array" ref="R438">IF($Q438="","",_xlfn.TEXTJOIN(", ",TRUE,IF(JAN!$G134:$AK134="FE",JAN!$G$4:$AK$4,"")))</f>
        <v/>
      </c>
      <c r="S438" t="str">
        <f t="array" ref="S438">IF($Q438="","",_xlfn.TEXTJOIN(", ",TRUE,IF(FEV!$G134:$AK134="FE",FEV!$G$4:$AK$4,"")))</f>
        <v/>
      </c>
      <c r="T438" t="str">
        <f t="array" ref="T438">IF($Q438="","",_xlfn.TEXTJOIN(", ",TRUE,IF(MAR!$G134:$AK134="FE",MAR!$G$4:$AK$4,"")))</f>
        <v/>
      </c>
      <c r="U438" t="str">
        <f t="array" ref="U438">IF($Q438="","",_xlfn.TEXTJOIN(", ",TRUE,IF(ABR!$G134:$AK134="FE",ABR!$G$4:$AK$4,"")))</f>
        <v/>
      </c>
      <c r="V438" t="str">
        <f t="array" ref="V438">IF($Q438="","",_xlfn.TEXTJOIN(", ",TRUE,IF(MAI!$G134:$AK134="FE",MAI!$G$4:$AK$4,"")))</f>
        <v/>
      </c>
      <c r="W438" t="str">
        <f t="array" ref="W438">IF($Q438="","",_xlfn.TEXTJOIN(", ",TRUE,IF(JUN!$G134:$AK134="FE",JUN!$G$4:$AK$4,"")))</f>
        <v/>
      </c>
      <c r="X438" t="str">
        <f t="array" ref="X438">IF($Q438="","",_xlfn.TEXTJOIN(", ",TRUE,IF(JUL!$G134:$AK134="FE",JUL!$G$4:$AK$4,"")))</f>
        <v/>
      </c>
      <c r="Y438" t="str">
        <f t="array" ref="Y438">IF($Q438="","",_xlfn.TEXTJOIN(", ",TRUE,IF(AGO!$G134:$AK134="FE",AGO!$G$4:$AK$4,"")))</f>
        <v/>
      </c>
      <c r="Z438" t="str">
        <f t="array" ref="Z438">IF($Q438="","",_xlfn.TEXTJOIN(", ",TRUE,IF(SET!$G134:$AK134="FE",SET!$G$4:$AK$4,"")))</f>
        <v/>
      </c>
      <c r="AA438" t="str">
        <f t="array" ref="AA438">IF($Q438="","",_xlfn.TEXTJOIN(", ",TRUE,IF(OUT!$G134:$AK134="FE",OUT!$G$4:$AK$4,"")))</f>
        <v/>
      </c>
      <c r="AB438" t="str">
        <f t="array" ref="AB438">IF($Q438="","",_xlfn.TEXTJOIN(", ",TRUE,IF(NOV!$G134:$AK134="FE",NOV!$G$4:$AK$4,"")))</f>
        <v/>
      </c>
      <c r="AC438" t="str">
        <f t="array" ref="AC438">IF($Q438="","",_xlfn.TEXTJOIN(", ",TRUE,IF(DEZ!$G134:$AK134="FE",DEZ!$G$4:$AK$4,"")))</f>
        <v/>
      </c>
      <c r="AD438" t="str">
        <f>IF($Q438="","",COUNTIF(JAN!$G134:$AK134,"FE")+COUNTIF(FEV!$G134:$AK134,"FE")+COUNTIF(MAR!$G134:$AK134,"FE")+COUNTIF(ABR!$G134:$AK134,"FE")+COUNTIF(MAI!$G134:$AK134,"FE")+COUNTIF(JUN!$G134:$AK134,"FE")+COUNTIF(JUL!$G134:$AK134,"FE")+COUNTIF(AGO!$G134:$AK134,"FE")+COUNTIF(SET!$G134:$AK134,"FE")+COUNTIF(OUT!$G134:$AK134,"FE")+COUNTIF(NOV!$G134:$AK134,"FE")+COUNTIF(DEZ!$G134:$AK134,"FE"))</f>
        <v/>
      </c>
      <c r="AF438" t="str">
        <f>IF(AND($Q438&lt;&gt;"",N($AD438)&gt;0),COUNT($AF$309:AF437)+1,"")</f>
        <v/>
      </c>
    </row>
    <row r="439" spans="1:32" x14ac:dyDescent="0.25">
      <c r="A439" s="36" t="str">
        <f>IFERROR(INDEX($Q$310:$Q$459,MATCH(ROWS($A$310:A439),$AF$310:$AF$459,0)),"")</f>
        <v/>
      </c>
      <c r="B439" s="35" t="str">
        <f>IFERROR(INDEX($R$310:$R$459,MATCH(ROWS($A$310:A439),$AF$310:$AF$459,0)),"")</f>
        <v/>
      </c>
      <c r="C439" s="35" t="str">
        <f>IFERROR(INDEX($S$310:$S$459,MATCH(ROWS($A$310:A439),$AF$310:$AF$459,0)),"")</f>
        <v/>
      </c>
      <c r="D439" s="35" t="str">
        <f>IFERROR(INDEX($T$310:$T$459,MATCH(ROWS($A$310:A439),$AF$310:$AF$459,0)),"")</f>
        <v/>
      </c>
      <c r="E439" s="35" t="str">
        <f>IFERROR(INDEX($U$310:$U$459,MATCH(ROWS($A$310:A439),$AF$310:$AF$459,0)),"")</f>
        <v/>
      </c>
      <c r="F439" s="35" t="str">
        <f>IFERROR(INDEX($V$310:$V$459,MATCH(ROWS($A$310:A439),$AF$310:$AF$459,0)),"")</f>
        <v/>
      </c>
      <c r="G439" s="35" t="str">
        <f>IFERROR(INDEX($W$310:$W$459,MATCH(ROWS($A$310:A439),$AF$310:$AF$459,0)),"")</f>
        <v/>
      </c>
      <c r="H439" s="35" t="str">
        <f>IFERROR(INDEX($X$310:$X$459,MATCH(ROWS($A$310:A439),$AF$310:$AF$459,0)),"")</f>
        <v/>
      </c>
      <c r="I439" s="35" t="str">
        <f>IFERROR(INDEX($Y$310:$Y$459,MATCH(ROWS($A$310:A439),$AF$310:$AF$459,0)),"")</f>
        <v/>
      </c>
      <c r="J439" s="35" t="str">
        <f>IFERROR(INDEX($Z$310:$Z$459,MATCH(ROWS($A$310:A439),$AF$310:$AF$459,0)),"")</f>
        <v/>
      </c>
      <c r="K439" s="35" t="str">
        <f>IFERROR(INDEX($AA$310:$AA$459,MATCH(ROWS($A$310:A439),$AF$310:$AF$459,0)),"")</f>
        <v/>
      </c>
      <c r="L439" s="35" t="str">
        <f>IFERROR(INDEX($AB$310:$AB$459,MATCH(ROWS($A$310:A439),$AF$310:$AF$459,0)),"")</f>
        <v/>
      </c>
      <c r="M439" s="35" t="str">
        <f>IFERROR(INDEX($AC$310:$AC$459,MATCH(ROWS($A$310:A439),$AF$310:$AF$459,0)),"")</f>
        <v/>
      </c>
      <c r="N439" s="35" t="str">
        <f>IFERROR(INDEX($AD$310:$AD$459,MATCH(ROWS($A$310:A439),$AF$310:$AF$459,0)),"")</f>
        <v/>
      </c>
      <c r="Q439" t="str">
        <f>T(JAN!B135)</f>
        <v/>
      </c>
      <c r="R439" t="str">
        <f t="array" ref="R439">IF($Q439="","",_xlfn.TEXTJOIN(", ",TRUE,IF(JAN!$G135:$AK135="FE",JAN!$G$4:$AK$4,"")))</f>
        <v/>
      </c>
      <c r="S439" t="str">
        <f t="array" ref="S439">IF($Q439="","",_xlfn.TEXTJOIN(", ",TRUE,IF(FEV!$G135:$AK135="FE",FEV!$G$4:$AK$4,"")))</f>
        <v/>
      </c>
      <c r="T439" t="str">
        <f t="array" ref="T439">IF($Q439="","",_xlfn.TEXTJOIN(", ",TRUE,IF(MAR!$G135:$AK135="FE",MAR!$G$4:$AK$4,"")))</f>
        <v/>
      </c>
      <c r="U439" t="str">
        <f t="array" ref="U439">IF($Q439="","",_xlfn.TEXTJOIN(", ",TRUE,IF(ABR!$G135:$AK135="FE",ABR!$G$4:$AK$4,"")))</f>
        <v/>
      </c>
      <c r="V439" t="str">
        <f t="array" ref="V439">IF($Q439="","",_xlfn.TEXTJOIN(", ",TRUE,IF(MAI!$G135:$AK135="FE",MAI!$G$4:$AK$4,"")))</f>
        <v/>
      </c>
      <c r="W439" t="str">
        <f t="array" ref="W439">IF($Q439="","",_xlfn.TEXTJOIN(", ",TRUE,IF(JUN!$G135:$AK135="FE",JUN!$G$4:$AK$4,"")))</f>
        <v/>
      </c>
      <c r="X439" t="str">
        <f t="array" ref="X439">IF($Q439="","",_xlfn.TEXTJOIN(", ",TRUE,IF(JUL!$G135:$AK135="FE",JUL!$G$4:$AK$4,"")))</f>
        <v/>
      </c>
      <c r="Y439" t="str">
        <f t="array" ref="Y439">IF($Q439="","",_xlfn.TEXTJOIN(", ",TRUE,IF(AGO!$G135:$AK135="FE",AGO!$G$4:$AK$4,"")))</f>
        <v/>
      </c>
      <c r="Z439" t="str">
        <f t="array" ref="Z439">IF($Q439="","",_xlfn.TEXTJOIN(", ",TRUE,IF(SET!$G135:$AK135="FE",SET!$G$4:$AK$4,"")))</f>
        <v/>
      </c>
      <c r="AA439" t="str">
        <f t="array" ref="AA439">IF($Q439="","",_xlfn.TEXTJOIN(", ",TRUE,IF(OUT!$G135:$AK135="FE",OUT!$G$4:$AK$4,"")))</f>
        <v/>
      </c>
      <c r="AB439" t="str">
        <f t="array" ref="AB439">IF($Q439="","",_xlfn.TEXTJOIN(", ",TRUE,IF(NOV!$G135:$AK135="FE",NOV!$G$4:$AK$4,"")))</f>
        <v/>
      </c>
      <c r="AC439" t="str">
        <f t="array" ref="AC439">IF($Q439="","",_xlfn.TEXTJOIN(", ",TRUE,IF(DEZ!$G135:$AK135="FE",DEZ!$G$4:$AK$4,"")))</f>
        <v/>
      </c>
      <c r="AD439" t="str">
        <f>IF($Q439="","",COUNTIF(JAN!$G135:$AK135,"FE")+COUNTIF(FEV!$G135:$AK135,"FE")+COUNTIF(MAR!$G135:$AK135,"FE")+COUNTIF(ABR!$G135:$AK135,"FE")+COUNTIF(MAI!$G135:$AK135,"FE")+COUNTIF(JUN!$G135:$AK135,"FE")+COUNTIF(JUL!$G135:$AK135,"FE")+COUNTIF(AGO!$G135:$AK135,"FE")+COUNTIF(SET!$G135:$AK135,"FE")+COUNTIF(OUT!$G135:$AK135,"FE")+COUNTIF(NOV!$G135:$AK135,"FE")+COUNTIF(DEZ!$G135:$AK135,"FE"))</f>
        <v/>
      </c>
      <c r="AF439" t="str">
        <f>IF(AND($Q439&lt;&gt;"",N($AD439)&gt;0),COUNT($AF$309:AF438)+1,"")</f>
        <v/>
      </c>
    </row>
    <row r="440" spans="1:32" x14ac:dyDescent="0.25">
      <c r="A440" s="36" t="str">
        <f>IFERROR(INDEX($Q$310:$Q$459,MATCH(ROWS($A$310:A440),$AF$310:$AF$459,0)),"")</f>
        <v/>
      </c>
      <c r="B440" s="35" t="str">
        <f>IFERROR(INDEX($R$310:$R$459,MATCH(ROWS($A$310:A440),$AF$310:$AF$459,0)),"")</f>
        <v/>
      </c>
      <c r="C440" s="35" t="str">
        <f>IFERROR(INDEX($S$310:$S$459,MATCH(ROWS($A$310:A440),$AF$310:$AF$459,0)),"")</f>
        <v/>
      </c>
      <c r="D440" s="35" t="str">
        <f>IFERROR(INDEX($T$310:$T$459,MATCH(ROWS($A$310:A440),$AF$310:$AF$459,0)),"")</f>
        <v/>
      </c>
      <c r="E440" s="35" t="str">
        <f>IFERROR(INDEX($U$310:$U$459,MATCH(ROWS($A$310:A440),$AF$310:$AF$459,0)),"")</f>
        <v/>
      </c>
      <c r="F440" s="35" t="str">
        <f>IFERROR(INDEX($V$310:$V$459,MATCH(ROWS($A$310:A440),$AF$310:$AF$459,0)),"")</f>
        <v/>
      </c>
      <c r="G440" s="35" t="str">
        <f>IFERROR(INDEX($W$310:$W$459,MATCH(ROWS($A$310:A440),$AF$310:$AF$459,0)),"")</f>
        <v/>
      </c>
      <c r="H440" s="35" t="str">
        <f>IFERROR(INDEX($X$310:$X$459,MATCH(ROWS($A$310:A440),$AF$310:$AF$459,0)),"")</f>
        <v/>
      </c>
      <c r="I440" s="35" t="str">
        <f>IFERROR(INDEX($Y$310:$Y$459,MATCH(ROWS($A$310:A440),$AF$310:$AF$459,0)),"")</f>
        <v/>
      </c>
      <c r="J440" s="35" t="str">
        <f>IFERROR(INDEX($Z$310:$Z$459,MATCH(ROWS($A$310:A440),$AF$310:$AF$459,0)),"")</f>
        <v/>
      </c>
      <c r="K440" s="35" t="str">
        <f>IFERROR(INDEX($AA$310:$AA$459,MATCH(ROWS($A$310:A440),$AF$310:$AF$459,0)),"")</f>
        <v/>
      </c>
      <c r="L440" s="35" t="str">
        <f>IFERROR(INDEX($AB$310:$AB$459,MATCH(ROWS($A$310:A440),$AF$310:$AF$459,0)),"")</f>
        <v/>
      </c>
      <c r="M440" s="35" t="str">
        <f>IFERROR(INDEX($AC$310:$AC$459,MATCH(ROWS($A$310:A440),$AF$310:$AF$459,0)),"")</f>
        <v/>
      </c>
      <c r="N440" s="35" t="str">
        <f>IFERROR(INDEX($AD$310:$AD$459,MATCH(ROWS($A$310:A440),$AF$310:$AF$459,0)),"")</f>
        <v/>
      </c>
      <c r="Q440" t="str">
        <f>T(JAN!B136)</f>
        <v/>
      </c>
      <c r="R440" t="str">
        <f t="array" ref="R440">IF($Q440="","",_xlfn.TEXTJOIN(", ",TRUE,IF(JAN!$G136:$AK136="FE",JAN!$G$4:$AK$4,"")))</f>
        <v/>
      </c>
      <c r="S440" t="str">
        <f t="array" ref="S440">IF($Q440="","",_xlfn.TEXTJOIN(", ",TRUE,IF(FEV!$G136:$AK136="FE",FEV!$G$4:$AK$4,"")))</f>
        <v/>
      </c>
      <c r="T440" t="str">
        <f t="array" ref="T440">IF($Q440="","",_xlfn.TEXTJOIN(", ",TRUE,IF(MAR!$G136:$AK136="FE",MAR!$G$4:$AK$4,"")))</f>
        <v/>
      </c>
      <c r="U440" t="str">
        <f t="array" ref="U440">IF($Q440="","",_xlfn.TEXTJOIN(", ",TRUE,IF(ABR!$G136:$AK136="FE",ABR!$G$4:$AK$4,"")))</f>
        <v/>
      </c>
      <c r="V440" t="str">
        <f t="array" ref="V440">IF($Q440="","",_xlfn.TEXTJOIN(", ",TRUE,IF(MAI!$G136:$AK136="FE",MAI!$G$4:$AK$4,"")))</f>
        <v/>
      </c>
      <c r="W440" t="str">
        <f t="array" ref="W440">IF($Q440="","",_xlfn.TEXTJOIN(", ",TRUE,IF(JUN!$G136:$AK136="FE",JUN!$G$4:$AK$4,"")))</f>
        <v/>
      </c>
      <c r="X440" t="str">
        <f t="array" ref="X440">IF($Q440="","",_xlfn.TEXTJOIN(", ",TRUE,IF(JUL!$G136:$AK136="FE",JUL!$G$4:$AK$4,"")))</f>
        <v/>
      </c>
      <c r="Y440" t="str">
        <f t="array" ref="Y440">IF($Q440="","",_xlfn.TEXTJOIN(", ",TRUE,IF(AGO!$G136:$AK136="FE",AGO!$G$4:$AK$4,"")))</f>
        <v/>
      </c>
      <c r="Z440" t="str">
        <f t="array" ref="Z440">IF($Q440="","",_xlfn.TEXTJOIN(", ",TRUE,IF(SET!$G136:$AK136="FE",SET!$G$4:$AK$4,"")))</f>
        <v/>
      </c>
      <c r="AA440" t="str">
        <f t="array" ref="AA440">IF($Q440="","",_xlfn.TEXTJOIN(", ",TRUE,IF(OUT!$G136:$AK136="FE",OUT!$G$4:$AK$4,"")))</f>
        <v/>
      </c>
      <c r="AB440" t="str">
        <f t="array" ref="AB440">IF($Q440="","",_xlfn.TEXTJOIN(", ",TRUE,IF(NOV!$G136:$AK136="FE",NOV!$G$4:$AK$4,"")))</f>
        <v/>
      </c>
      <c r="AC440" t="str">
        <f t="array" ref="AC440">IF($Q440="","",_xlfn.TEXTJOIN(", ",TRUE,IF(DEZ!$G136:$AK136="FE",DEZ!$G$4:$AK$4,"")))</f>
        <v/>
      </c>
      <c r="AD440" t="str">
        <f>IF($Q440="","",COUNTIF(JAN!$G136:$AK136,"FE")+COUNTIF(FEV!$G136:$AK136,"FE")+COUNTIF(MAR!$G136:$AK136,"FE")+COUNTIF(ABR!$G136:$AK136,"FE")+COUNTIF(MAI!$G136:$AK136,"FE")+COUNTIF(JUN!$G136:$AK136,"FE")+COUNTIF(JUL!$G136:$AK136,"FE")+COUNTIF(AGO!$G136:$AK136,"FE")+COUNTIF(SET!$G136:$AK136,"FE")+COUNTIF(OUT!$G136:$AK136,"FE")+COUNTIF(NOV!$G136:$AK136,"FE")+COUNTIF(DEZ!$G136:$AK136,"FE"))</f>
        <v/>
      </c>
      <c r="AF440" t="str">
        <f>IF(AND($Q440&lt;&gt;"",N($AD440)&gt;0),COUNT($AF$309:AF439)+1,"")</f>
        <v/>
      </c>
    </row>
    <row r="441" spans="1:32" x14ac:dyDescent="0.25">
      <c r="A441" s="36" t="str">
        <f>IFERROR(INDEX($Q$310:$Q$459,MATCH(ROWS($A$310:A441),$AF$310:$AF$459,0)),"")</f>
        <v/>
      </c>
      <c r="B441" s="35" t="str">
        <f>IFERROR(INDEX($R$310:$R$459,MATCH(ROWS($A$310:A441),$AF$310:$AF$459,0)),"")</f>
        <v/>
      </c>
      <c r="C441" s="35" t="str">
        <f>IFERROR(INDEX($S$310:$S$459,MATCH(ROWS($A$310:A441),$AF$310:$AF$459,0)),"")</f>
        <v/>
      </c>
      <c r="D441" s="35" t="str">
        <f>IFERROR(INDEX($T$310:$T$459,MATCH(ROWS($A$310:A441),$AF$310:$AF$459,0)),"")</f>
        <v/>
      </c>
      <c r="E441" s="35" t="str">
        <f>IFERROR(INDEX($U$310:$U$459,MATCH(ROWS($A$310:A441),$AF$310:$AF$459,0)),"")</f>
        <v/>
      </c>
      <c r="F441" s="35" t="str">
        <f>IFERROR(INDEX($V$310:$V$459,MATCH(ROWS($A$310:A441),$AF$310:$AF$459,0)),"")</f>
        <v/>
      </c>
      <c r="G441" s="35" t="str">
        <f>IFERROR(INDEX($W$310:$W$459,MATCH(ROWS($A$310:A441),$AF$310:$AF$459,0)),"")</f>
        <v/>
      </c>
      <c r="H441" s="35" t="str">
        <f>IFERROR(INDEX($X$310:$X$459,MATCH(ROWS($A$310:A441),$AF$310:$AF$459,0)),"")</f>
        <v/>
      </c>
      <c r="I441" s="35" t="str">
        <f>IFERROR(INDEX($Y$310:$Y$459,MATCH(ROWS($A$310:A441),$AF$310:$AF$459,0)),"")</f>
        <v/>
      </c>
      <c r="J441" s="35" t="str">
        <f>IFERROR(INDEX($Z$310:$Z$459,MATCH(ROWS($A$310:A441),$AF$310:$AF$459,0)),"")</f>
        <v/>
      </c>
      <c r="K441" s="35" t="str">
        <f>IFERROR(INDEX($AA$310:$AA$459,MATCH(ROWS($A$310:A441),$AF$310:$AF$459,0)),"")</f>
        <v/>
      </c>
      <c r="L441" s="35" t="str">
        <f>IFERROR(INDEX($AB$310:$AB$459,MATCH(ROWS($A$310:A441),$AF$310:$AF$459,0)),"")</f>
        <v/>
      </c>
      <c r="M441" s="35" t="str">
        <f>IFERROR(INDEX($AC$310:$AC$459,MATCH(ROWS($A$310:A441),$AF$310:$AF$459,0)),"")</f>
        <v/>
      </c>
      <c r="N441" s="35" t="str">
        <f>IFERROR(INDEX($AD$310:$AD$459,MATCH(ROWS($A$310:A441),$AF$310:$AF$459,0)),"")</f>
        <v/>
      </c>
      <c r="Q441" t="str">
        <f>T(JAN!B137)</f>
        <v/>
      </c>
      <c r="R441" t="str">
        <f t="array" ref="R441">IF($Q441="","",_xlfn.TEXTJOIN(", ",TRUE,IF(JAN!$G137:$AK137="FE",JAN!$G$4:$AK$4,"")))</f>
        <v/>
      </c>
      <c r="S441" t="str">
        <f t="array" ref="S441">IF($Q441="","",_xlfn.TEXTJOIN(", ",TRUE,IF(FEV!$G137:$AK137="FE",FEV!$G$4:$AK$4,"")))</f>
        <v/>
      </c>
      <c r="T441" t="str">
        <f t="array" ref="T441">IF($Q441="","",_xlfn.TEXTJOIN(", ",TRUE,IF(MAR!$G137:$AK137="FE",MAR!$G$4:$AK$4,"")))</f>
        <v/>
      </c>
      <c r="U441" t="str">
        <f t="array" ref="U441">IF($Q441="","",_xlfn.TEXTJOIN(", ",TRUE,IF(ABR!$G137:$AK137="FE",ABR!$G$4:$AK$4,"")))</f>
        <v/>
      </c>
      <c r="V441" t="str">
        <f t="array" ref="V441">IF($Q441="","",_xlfn.TEXTJOIN(", ",TRUE,IF(MAI!$G137:$AK137="FE",MAI!$G$4:$AK$4,"")))</f>
        <v/>
      </c>
      <c r="W441" t="str">
        <f t="array" ref="W441">IF($Q441="","",_xlfn.TEXTJOIN(", ",TRUE,IF(JUN!$G137:$AK137="FE",JUN!$G$4:$AK$4,"")))</f>
        <v/>
      </c>
      <c r="X441" t="str">
        <f t="array" ref="X441">IF($Q441="","",_xlfn.TEXTJOIN(", ",TRUE,IF(JUL!$G137:$AK137="FE",JUL!$G$4:$AK$4,"")))</f>
        <v/>
      </c>
      <c r="Y441" t="str">
        <f t="array" ref="Y441">IF($Q441="","",_xlfn.TEXTJOIN(", ",TRUE,IF(AGO!$G137:$AK137="FE",AGO!$G$4:$AK$4,"")))</f>
        <v/>
      </c>
      <c r="Z441" t="str">
        <f t="array" ref="Z441">IF($Q441="","",_xlfn.TEXTJOIN(", ",TRUE,IF(SET!$G137:$AK137="FE",SET!$G$4:$AK$4,"")))</f>
        <v/>
      </c>
      <c r="AA441" t="str">
        <f t="array" ref="AA441">IF($Q441="","",_xlfn.TEXTJOIN(", ",TRUE,IF(OUT!$G137:$AK137="FE",OUT!$G$4:$AK$4,"")))</f>
        <v/>
      </c>
      <c r="AB441" t="str">
        <f t="array" ref="AB441">IF($Q441="","",_xlfn.TEXTJOIN(", ",TRUE,IF(NOV!$G137:$AK137="FE",NOV!$G$4:$AK$4,"")))</f>
        <v/>
      </c>
      <c r="AC441" t="str">
        <f t="array" ref="AC441">IF($Q441="","",_xlfn.TEXTJOIN(", ",TRUE,IF(DEZ!$G137:$AK137="FE",DEZ!$G$4:$AK$4,"")))</f>
        <v/>
      </c>
      <c r="AD441" t="str">
        <f>IF($Q441="","",COUNTIF(JAN!$G137:$AK137,"FE")+COUNTIF(FEV!$G137:$AK137,"FE")+COUNTIF(MAR!$G137:$AK137,"FE")+COUNTIF(ABR!$G137:$AK137,"FE")+COUNTIF(MAI!$G137:$AK137,"FE")+COUNTIF(JUN!$G137:$AK137,"FE")+COUNTIF(JUL!$G137:$AK137,"FE")+COUNTIF(AGO!$G137:$AK137,"FE")+COUNTIF(SET!$G137:$AK137,"FE")+COUNTIF(OUT!$G137:$AK137,"FE")+COUNTIF(NOV!$G137:$AK137,"FE")+COUNTIF(DEZ!$G137:$AK137,"FE"))</f>
        <v/>
      </c>
      <c r="AF441" t="str">
        <f>IF(AND($Q441&lt;&gt;"",N($AD441)&gt;0),COUNT($AF$309:AF440)+1,"")</f>
        <v/>
      </c>
    </row>
    <row r="442" spans="1:32" x14ac:dyDescent="0.25">
      <c r="A442" s="36" t="str">
        <f>IFERROR(INDEX($Q$310:$Q$459,MATCH(ROWS($A$310:A442),$AF$310:$AF$459,0)),"")</f>
        <v/>
      </c>
      <c r="B442" s="35" t="str">
        <f>IFERROR(INDEX($R$310:$R$459,MATCH(ROWS($A$310:A442),$AF$310:$AF$459,0)),"")</f>
        <v/>
      </c>
      <c r="C442" s="35" t="str">
        <f>IFERROR(INDEX($S$310:$S$459,MATCH(ROWS($A$310:A442),$AF$310:$AF$459,0)),"")</f>
        <v/>
      </c>
      <c r="D442" s="35" t="str">
        <f>IFERROR(INDEX($T$310:$T$459,MATCH(ROWS($A$310:A442),$AF$310:$AF$459,0)),"")</f>
        <v/>
      </c>
      <c r="E442" s="35" t="str">
        <f>IFERROR(INDEX($U$310:$U$459,MATCH(ROWS($A$310:A442),$AF$310:$AF$459,0)),"")</f>
        <v/>
      </c>
      <c r="F442" s="35" t="str">
        <f>IFERROR(INDEX($V$310:$V$459,MATCH(ROWS($A$310:A442),$AF$310:$AF$459,0)),"")</f>
        <v/>
      </c>
      <c r="G442" s="35" t="str">
        <f>IFERROR(INDEX($W$310:$W$459,MATCH(ROWS($A$310:A442),$AF$310:$AF$459,0)),"")</f>
        <v/>
      </c>
      <c r="H442" s="35" t="str">
        <f>IFERROR(INDEX($X$310:$X$459,MATCH(ROWS($A$310:A442),$AF$310:$AF$459,0)),"")</f>
        <v/>
      </c>
      <c r="I442" s="35" t="str">
        <f>IFERROR(INDEX($Y$310:$Y$459,MATCH(ROWS($A$310:A442),$AF$310:$AF$459,0)),"")</f>
        <v/>
      </c>
      <c r="J442" s="35" t="str">
        <f>IFERROR(INDEX($Z$310:$Z$459,MATCH(ROWS($A$310:A442),$AF$310:$AF$459,0)),"")</f>
        <v/>
      </c>
      <c r="K442" s="35" t="str">
        <f>IFERROR(INDEX($AA$310:$AA$459,MATCH(ROWS($A$310:A442),$AF$310:$AF$459,0)),"")</f>
        <v/>
      </c>
      <c r="L442" s="35" t="str">
        <f>IFERROR(INDEX($AB$310:$AB$459,MATCH(ROWS($A$310:A442),$AF$310:$AF$459,0)),"")</f>
        <v/>
      </c>
      <c r="M442" s="35" t="str">
        <f>IFERROR(INDEX($AC$310:$AC$459,MATCH(ROWS($A$310:A442),$AF$310:$AF$459,0)),"")</f>
        <v/>
      </c>
      <c r="N442" s="35" t="str">
        <f>IFERROR(INDEX($AD$310:$AD$459,MATCH(ROWS($A$310:A442),$AF$310:$AF$459,0)),"")</f>
        <v/>
      </c>
      <c r="Q442" t="str">
        <f>T(JAN!B138)</f>
        <v/>
      </c>
      <c r="R442" t="str">
        <f t="array" ref="R442">IF($Q442="","",_xlfn.TEXTJOIN(", ",TRUE,IF(JAN!$G138:$AK138="FE",JAN!$G$4:$AK$4,"")))</f>
        <v/>
      </c>
      <c r="S442" t="str">
        <f t="array" ref="S442">IF($Q442="","",_xlfn.TEXTJOIN(", ",TRUE,IF(FEV!$G138:$AK138="FE",FEV!$G$4:$AK$4,"")))</f>
        <v/>
      </c>
      <c r="T442" t="str">
        <f t="array" ref="T442">IF($Q442="","",_xlfn.TEXTJOIN(", ",TRUE,IF(MAR!$G138:$AK138="FE",MAR!$G$4:$AK$4,"")))</f>
        <v/>
      </c>
      <c r="U442" t="str">
        <f t="array" ref="U442">IF($Q442="","",_xlfn.TEXTJOIN(", ",TRUE,IF(ABR!$G138:$AK138="FE",ABR!$G$4:$AK$4,"")))</f>
        <v/>
      </c>
      <c r="V442" t="str">
        <f t="array" ref="V442">IF($Q442="","",_xlfn.TEXTJOIN(", ",TRUE,IF(MAI!$G138:$AK138="FE",MAI!$G$4:$AK$4,"")))</f>
        <v/>
      </c>
      <c r="W442" t="str">
        <f t="array" ref="W442">IF($Q442="","",_xlfn.TEXTJOIN(", ",TRUE,IF(JUN!$G138:$AK138="FE",JUN!$G$4:$AK$4,"")))</f>
        <v/>
      </c>
      <c r="X442" t="str">
        <f t="array" ref="X442">IF($Q442="","",_xlfn.TEXTJOIN(", ",TRUE,IF(JUL!$G138:$AK138="FE",JUL!$G$4:$AK$4,"")))</f>
        <v/>
      </c>
      <c r="Y442" t="str">
        <f t="array" ref="Y442">IF($Q442="","",_xlfn.TEXTJOIN(", ",TRUE,IF(AGO!$G138:$AK138="FE",AGO!$G$4:$AK$4,"")))</f>
        <v/>
      </c>
      <c r="Z442" t="str">
        <f t="array" ref="Z442">IF($Q442="","",_xlfn.TEXTJOIN(", ",TRUE,IF(SET!$G138:$AK138="FE",SET!$G$4:$AK$4,"")))</f>
        <v/>
      </c>
      <c r="AA442" t="str">
        <f t="array" ref="AA442">IF($Q442="","",_xlfn.TEXTJOIN(", ",TRUE,IF(OUT!$G138:$AK138="FE",OUT!$G$4:$AK$4,"")))</f>
        <v/>
      </c>
      <c r="AB442" t="str">
        <f t="array" ref="AB442">IF($Q442="","",_xlfn.TEXTJOIN(", ",TRUE,IF(NOV!$G138:$AK138="FE",NOV!$G$4:$AK$4,"")))</f>
        <v/>
      </c>
      <c r="AC442" t="str">
        <f t="array" ref="AC442">IF($Q442="","",_xlfn.TEXTJOIN(", ",TRUE,IF(DEZ!$G138:$AK138="FE",DEZ!$G$4:$AK$4,"")))</f>
        <v/>
      </c>
      <c r="AD442" t="str">
        <f>IF($Q442="","",COUNTIF(JAN!$G138:$AK138,"FE")+COUNTIF(FEV!$G138:$AK138,"FE")+COUNTIF(MAR!$G138:$AK138,"FE")+COUNTIF(ABR!$G138:$AK138,"FE")+COUNTIF(MAI!$G138:$AK138,"FE")+COUNTIF(JUN!$G138:$AK138,"FE")+COUNTIF(JUL!$G138:$AK138,"FE")+COUNTIF(AGO!$G138:$AK138,"FE")+COUNTIF(SET!$G138:$AK138,"FE")+COUNTIF(OUT!$G138:$AK138,"FE")+COUNTIF(NOV!$G138:$AK138,"FE")+COUNTIF(DEZ!$G138:$AK138,"FE"))</f>
        <v/>
      </c>
      <c r="AF442" t="str">
        <f>IF(AND($Q442&lt;&gt;"",N($AD442)&gt;0),COUNT($AF$309:AF441)+1,"")</f>
        <v/>
      </c>
    </row>
    <row r="443" spans="1:32" x14ac:dyDescent="0.25">
      <c r="A443" s="36" t="str">
        <f>IFERROR(INDEX($Q$310:$Q$459,MATCH(ROWS($A$310:A443),$AF$310:$AF$459,0)),"")</f>
        <v/>
      </c>
      <c r="B443" s="35" t="str">
        <f>IFERROR(INDEX($R$310:$R$459,MATCH(ROWS($A$310:A443),$AF$310:$AF$459,0)),"")</f>
        <v/>
      </c>
      <c r="C443" s="35" t="str">
        <f>IFERROR(INDEX($S$310:$S$459,MATCH(ROWS($A$310:A443),$AF$310:$AF$459,0)),"")</f>
        <v/>
      </c>
      <c r="D443" s="35" t="str">
        <f>IFERROR(INDEX($T$310:$T$459,MATCH(ROWS($A$310:A443),$AF$310:$AF$459,0)),"")</f>
        <v/>
      </c>
      <c r="E443" s="35" t="str">
        <f>IFERROR(INDEX($U$310:$U$459,MATCH(ROWS($A$310:A443),$AF$310:$AF$459,0)),"")</f>
        <v/>
      </c>
      <c r="F443" s="35" t="str">
        <f>IFERROR(INDEX($V$310:$V$459,MATCH(ROWS($A$310:A443),$AF$310:$AF$459,0)),"")</f>
        <v/>
      </c>
      <c r="G443" s="35" t="str">
        <f>IFERROR(INDEX($W$310:$W$459,MATCH(ROWS($A$310:A443),$AF$310:$AF$459,0)),"")</f>
        <v/>
      </c>
      <c r="H443" s="35" t="str">
        <f>IFERROR(INDEX($X$310:$X$459,MATCH(ROWS($A$310:A443),$AF$310:$AF$459,0)),"")</f>
        <v/>
      </c>
      <c r="I443" s="35" t="str">
        <f>IFERROR(INDEX($Y$310:$Y$459,MATCH(ROWS($A$310:A443),$AF$310:$AF$459,0)),"")</f>
        <v/>
      </c>
      <c r="J443" s="35" t="str">
        <f>IFERROR(INDEX($Z$310:$Z$459,MATCH(ROWS($A$310:A443),$AF$310:$AF$459,0)),"")</f>
        <v/>
      </c>
      <c r="K443" s="35" t="str">
        <f>IFERROR(INDEX($AA$310:$AA$459,MATCH(ROWS($A$310:A443),$AF$310:$AF$459,0)),"")</f>
        <v/>
      </c>
      <c r="L443" s="35" t="str">
        <f>IFERROR(INDEX($AB$310:$AB$459,MATCH(ROWS($A$310:A443),$AF$310:$AF$459,0)),"")</f>
        <v/>
      </c>
      <c r="M443" s="35" t="str">
        <f>IFERROR(INDEX($AC$310:$AC$459,MATCH(ROWS($A$310:A443),$AF$310:$AF$459,0)),"")</f>
        <v/>
      </c>
      <c r="N443" s="35" t="str">
        <f>IFERROR(INDEX($AD$310:$AD$459,MATCH(ROWS($A$310:A443),$AF$310:$AF$459,0)),"")</f>
        <v/>
      </c>
      <c r="Q443" t="str">
        <f>T(JAN!B139)</f>
        <v/>
      </c>
      <c r="R443" t="str">
        <f t="array" ref="R443">IF($Q443="","",_xlfn.TEXTJOIN(", ",TRUE,IF(JAN!$G139:$AK139="FE",JAN!$G$4:$AK$4,"")))</f>
        <v/>
      </c>
      <c r="S443" t="str">
        <f t="array" ref="S443">IF($Q443="","",_xlfn.TEXTJOIN(", ",TRUE,IF(FEV!$G139:$AK139="FE",FEV!$G$4:$AK$4,"")))</f>
        <v/>
      </c>
      <c r="T443" t="str">
        <f t="array" ref="T443">IF($Q443="","",_xlfn.TEXTJOIN(", ",TRUE,IF(MAR!$G139:$AK139="FE",MAR!$G$4:$AK$4,"")))</f>
        <v/>
      </c>
      <c r="U443" t="str">
        <f t="array" ref="U443">IF($Q443="","",_xlfn.TEXTJOIN(", ",TRUE,IF(ABR!$G139:$AK139="FE",ABR!$G$4:$AK$4,"")))</f>
        <v/>
      </c>
      <c r="V443" t="str">
        <f t="array" ref="V443">IF($Q443="","",_xlfn.TEXTJOIN(", ",TRUE,IF(MAI!$G139:$AK139="FE",MAI!$G$4:$AK$4,"")))</f>
        <v/>
      </c>
      <c r="W443" t="str">
        <f t="array" ref="W443">IF($Q443="","",_xlfn.TEXTJOIN(", ",TRUE,IF(JUN!$G139:$AK139="FE",JUN!$G$4:$AK$4,"")))</f>
        <v/>
      </c>
      <c r="X443" t="str">
        <f t="array" ref="X443">IF($Q443="","",_xlfn.TEXTJOIN(", ",TRUE,IF(JUL!$G139:$AK139="FE",JUL!$G$4:$AK$4,"")))</f>
        <v/>
      </c>
      <c r="Y443" t="str">
        <f t="array" ref="Y443">IF($Q443="","",_xlfn.TEXTJOIN(", ",TRUE,IF(AGO!$G139:$AK139="FE",AGO!$G$4:$AK$4,"")))</f>
        <v/>
      </c>
      <c r="Z443" t="str">
        <f t="array" ref="Z443">IF($Q443="","",_xlfn.TEXTJOIN(", ",TRUE,IF(SET!$G139:$AK139="FE",SET!$G$4:$AK$4,"")))</f>
        <v/>
      </c>
      <c r="AA443" t="str">
        <f t="array" ref="AA443">IF($Q443="","",_xlfn.TEXTJOIN(", ",TRUE,IF(OUT!$G139:$AK139="FE",OUT!$G$4:$AK$4,"")))</f>
        <v/>
      </c>
      <c r="AB443" t="str">
        <f t="array" ref="AB443">IF($Q443="","",_xlfn.TEXTJOIN(", ",TRUE,IF(NOV!$G139:$AK139="FE",NOV!$G$4:$AK$4,"")))</f>
        <v/>
      </c>
      <c r="AC443" t="str">
        <f t="array" ref="AC443">IF($Q443="","",_xlfn.TEXTJOIN(", ",TRUE,IF(DEZ!$G139:$AK139="FE",DEZ!$G$4:$AK$4,"")))</f>
        <v/>
      </c>
      <c r="AD443" t="str">
        <f>IF($Q443="","",COUNTIF(JAN!$G139:$AK139,"FE")+COUNTIF(FEV!$G139:$AK139,"FE")+COUNTIF(MAR!$G139:$AK139,"FE")+COUNTIF(ABR!$G139:$AK139,"FE")+COUNTIF(MAI!$G139:$AK139,"FE")+COUNTIF(JUN!$G139:$AK139,"FE")+COUNTIF(JUL!$G139:$AK139,"FE")+COUNTIF(AGO!$G139:$AK139,"FE")+COUNTIF(SET!$G139:$AK139,"FE")+COUNTIF(OUT!$G139:$AK139,"FE")+COUNTIF(NOV!$G139:$AK139,"FE")+COUNTIF(DEZ!$G139:$AK139,"FE"))</f>
        <v/>
      </c>
      <c r="AF443" t="str">
        <f>IF(AND($Q443&lt;&gt;"",N($AD443)&gt;0),COUNT($AF$309:AF442)+1,"")</f>
        <v/>
      </c>
    </row>
    <row r="444" spans="1:32" x14ac:dyDescent="0.25">
      <c r="A444" s="36" t="str">
        <f>IFERROR(INDEX($Q$310:$Q$459,MATCH(ROWS($A$310:A444),$AF$310:$AF$459,0)),"")</f>
        <v/>
      </c>
      <c r="B444" s="35" t="str">
        <f>IFERROR(INDEX($R$310:$R$459,MATCH(ROWS($A$310:A444),$AF$310:$AF$459,0)),"")</f>
        <v/>
      </c>
      <c r="C444" s="35" t="str">
        <f>IFERROR(INDEX($S$310:$S$459,MATCH(ROWS($A$310:A444),$AF$310:$AF$459,0)),"")</f>
        <v/>
      </c>
      <c r="D444" s="35" t="str">
        <f>IFERROR(INDEX($T$310:$T$459,MATCH(ROWS($A$310:A444),$AF$310:$AF$459,0)),"")</f>
        <v/>
      </c>
      <c r="E444" s="35" t="str">
        <f>IFERROR(INDEX($U$310:$U$459,MATCH(ROWS($A$310:A444),$AF$310:$AF$459,0)),"")</f>
        <v/>
      </c>
      <c r="F444" s="35" t="str">
        <f>IFERROR(INDEX($V$310:$V$459,MATCH(ROWS($A$310:A444),$AF$310:$AF$459,0)),"")</f>
        <v/>
      </c>
      <c r="G444" s="35" t="str">
        <f>IFERROR(INDEX($W$310:$W$459,MATCH(ROWS($A$310:A444),$AF$310:$AF$459,0)),"")</f>
        <v/>
      </c>
      <c r="H444" s="35" t="str">
        <f>IFERROR(INDEX($X$310:$X$459,MATCH(ROWS($A$310:A444),$AF$310:$AF$459,0)),"")</f>
        <v/>
      </c>
      <c r="I444" s="35" t="str">
        <f>IFERROR(INDEX($Y$310:$Y$459,MATCH(ROWS($A$310:A444),$AF$310:$AF$459,0)),"")</f>
        <v/>
      </c>
      <c r="J444" s="35" t="str">
        <f>IFERROR(INDEX($Z$310:$Z$459,MATCH(ROWS($A$310:A444),$AF$310:$AF$459,0)),"")</f>
        <v/>
      </c>
      <c r="K444" s="35" t="str">
        <f>IFERROR(INDEX($AA$310:$AA$459,MATCH(ROWS($A$310:A444),$AF$310:$AF$459,0)),"")</f>
        <v/>
      </c>
      <c r="L444" s="35" t="str">
        <f>IFERROR(INDEX($AB$310:$AB$459,MATCH(ROWS($A$310:A444),$AF$310:$AF$459,0)),"")</f>
        <v/>
      </c>
      <c r="M444" s="35" t="str">
        <f>IFERROR(INDEX($AC$310:$AC$459,MATCH(ROWS($A$310:A444),$AF$310:$AF$459,0)),"")</f>
        <v/>
      </c>
      <c r="N444" s="35" t="str">
        <f>IFERROR(INDEX($AD$310:$AD$459,MATCH(ROWS($A$310:A444),$AF$310:$AF$459,0)),"")</f>
        <v/>
      </c>
      <c r="Q444" t="str">
        <f>T(JAN!B140)</f>
        <v/>
      </c>
      <c r="R444" t="str">
        <f t="array" ref="R444">IF($Q444="","",_xlfn.TEXTJOIN(", ",TRUE,IF(JAN!$G140:$AK140="FE",JAN!$G$4:$AK$4,"")))</f>
        <v/>
      </c>
      <c r="S444" t="str">
        <f t="array" ref="S444">IF($Q444="","",_xlfn.TEXTJOIN(", ",TRUE,IF(FEV!$G140:$AK140="FE",FEV!$G$4:$AK$4,"")))</f>
        <v/>
      </c>
      <c r="T444" t="str">
        <f t="array" ref="T444">IF($Q444="","",_xlfn.TEXTJOIN(", ",TRUE,IF(MAR!$G140:$AK140="FE",MAR!$G$4:$AK$4,"")))</f>
        <v/>
      </c>
      <c r="U444" t="str">
        <f t="array" ref="U444">IF($Q444="","",_xlfn.TEXTJOIN(", ",TRUE,IF(ABR!$G140:$AK140="FE",ABR!$G$4:$AK$4,"")))</f>
        <v/>
      </c>
      <c r="V444" t="str">
        <f t="array" ref="V444">IF($Q444="","",_xlfn.TEXTJOIN(", ",TRUE,IF(MAI!$G140:$AK140="FE",MAI!$G$4:$AK$4,"")))</f>
        <v/>
      </c>
      <c r="W444" t="str">
        <f t="array" ref="W444">IF($Q444="","",_xlfn.TEXTJOIN(", ",TRUE,IF(JUN!$G140:$AK140="FE",JUN!$G$4:$AK$4,"")))</f>
        <v/>
      </c>
      <c r="X444" t="str">
        <f t="array" ref="X444">IF($Q444="","",_xlfn.TEXTJOIN(", ",TRUE,IF(JUL!$G140:$AK140="FE",JUL!$G$4:$AK$4,"")))</f>
        <v/>
      </c>
      <c r="Y444" t="str">
        <f t="array" ref="Y444">IF($Q444="","",_xlfn.TEXTJOIN(", ",TRUE,IF(AGO!$G140:$AK140="FE",AGO!$G$4:$AK$4,"")))</f>
        <v/>
      </c>
      <c r="Z444" t="str">
        <f t="array" ref="Z444">IF($Q444="","",_xlfn.TEXTJOIN(", ",TRUE,IF(SET!$G140:$AK140="FE",SET!$G$4:$AK$4,"")))</f>
        <v/>
      </c>
      <c r="AA444" t="str">
        <f t="array" ref="AA444">IF($Q444="","",_xlfn.TEXTJOIN(", ",TRUE,IF(OUT!$G140:$AK140="FE",OUT!$G$4:$AK$4,"")))</f>
        <v/>
      </c>
      <c r="AB444" t="str">
        <f t="array" ref="AB444">IF($Q444="","",_xlfn.TEXTJOIN(", ",TRUE,IF(NOV!$G140:$AK140="FE",NOV!$G$4:$AK$4,"")))</f>
        <v/>
      </c>
      <c r="AC444" t="str">
        <f t="array" ref="AC444">IF($Q444="","",_xlfn.TEXTJOIN(", ",TRUE,IF(DEZ!$G140:$AK140="FE",DEZ!$G$4:$AK$4,"")))</f>
        <v/>
      </c>
      <c r="AD444" t="str">
        <f>IF($Q444="","",COUNTIF(JAN!$G140:$AK140,"FE")+COUNTIF(FEV!$G140:$AK140,"FE")+COUNTIF(MAR!$G140:$AK140,"FE")+COUNTIF(ABR!$G140:$AK140,"FE")+COUNTIF(MAI!$G140:$AK140,"FE")+COUNTIF(JUN!$G140:$AK140,"FE")+COUNTIF(JUL!$G140:$AK140,"FE")+COUNTIF(AGO!$G140:$AK140,"FE")+COUNTIF(SET!$G140:$AK140,"FE")+COUNTIF(OUT!$G140:$AK140,"FE")+COUNTIF(NOV!$G140:$AK140,"FE")+COUNTIF(DEZ!$G140:$AK140,"FE"))</f>
        <v/>
      </c>
      <c r="AF444" t="str">
        <f>IF(AND($Q444&lt;&gt;"",N($AD444)&gt;0),COUNT($AF$309:AF443)+1,"")</f>
        <v/>
      </c>
    </row>
    <row r="445" spans="1:32" x14ac:dyDescent="0.25">
      <c r="A445" s="36" t="str">
        <f>IFERROR(INDEX($Q$310:$Q$459,MATCH(ROWS($A$310:A445),$AF$310:$AF$459,0)),"")</f>
        <v/>
      </c>
      <c r="B445" s="35" t="str">
        <f>IFERROR(INDEX($R$310:$R$459,MATCH(ROWS($A$310:A445),$AF$310:$AF$459,0)),"")</f>
        <v/>
      </c>
      <c r="C445" s="35" t="str">
        <f>IFERROR(INDEX($S$310:$S$459,MATCH(ROWS($A$310:A445),$AF$310:$AF$459,0)),"")</f>
        <v/>
      </c>
      <c r="D445" s="35" t="str">
        <f>IFERROR(INDEX($T$310:$T$459,MATCH(ROWS($A$310:A445),$AF$310:$AF$459,0)),"")</f>
        <v/>
      </c>
      <c r="E445" s="35" t="str">
        <f>IFERROR(INDEX($U$310:$U$459,MATCH(ROWS($A$310:A445),$AF$310:$AF$459,0)),"")</f>
        <v/>
      </c>
      <c r="F445" s="35" t="str">
        <f>IFERROR(INDEX($V$310:$V$459,MATCH(ROWS($A$310:A445),$AF$310:$AF$459,0)),"")</f>
        <v/>
      </c>
      <c r="G445" s="35" t="str">
        <f>IFERROR(INDEX($W$310:$W$459,MATCH(ROWS($A$310:A445),$AF$310:$AF$459,0)),"")</f>
        <v/>
      </c>
      <c r="H445" s="35" t="str">
        <f>IFERROR(INDEX($X$310:$X$459,MATCH(ROWS($A$310:A445),$AF$310:$AF$459,0)),"")</f>
        <v/>
      </c>
      <c r="I445" s="35" t="str">
        <f>IFERROR(INDEX($Y$310:$Y$459,MATCH(ROWS($A$310:A445),$AF$310:$AF$459,0)),"")</f>
        <v/>
      </c>
      <c r="J445" s="35" t="str">
        <f>IFERROR(INDEX($Z$310:$Z$459,MATCH(ROWS($A$310:A445),$AF$310:$AF$459,0)),"")</f>
        <v/>
      </c>
      <c r="K445" s="35" t="str">
        <f>IFERROR(INDEX($AA$310:$AA$459,MATCH(ROWS($A$310:A445),$AF$310:$AF$459,0)),"")</f>
        <v/>
      </c>
      <c r="L445" s="35" t="str">
        <f>IFERROR(INDEX($AB$310:$AB$459,MATCH(ROWS($A$310:A445),$AF$310:$AF$459,0)),"")</f>
        <v/>
      </c>
      <c r="M445" s="35" t="str">
        <f>IFERROR(INDEX($AC$310:$AC$459,MATCH(ROWS($A$310:A445),$AF$310:$AF$459,0)),"")</f>
        <v/>
      </c>
      <c r="N445" s="35" t="str">
        <f>IFERROR(INDEX($AD$310:$AD$459,MATCH(ROWS($A$310:A445),$AF$310:$AF$459,0)),"")</f>
        <v/>
      </c>
      <c r="Q445" t="str">
        <f>T(JAN!B141)</f>
        <v/>
      </c>
      <c r="R445" t="str">
        <f t="array" ref="R445">IF($Q445="","",_xlfn.TEXTJOIN(", ",TRUE,IF(JAN!$G141:$AK141="FE",JAN!$G$4:$AK$4,"")))</f>
        <v/>
      </c>
      <c r="S445" t="str">
        <f t="array" ref="S445">IF($Q445="","",_xlfn.TEXTJOIN(", ",TRUE,IF(FEV!$G141:$AK141="FE",FEV!$G$4:$AK$4,"")))</f>
        <v/>
      </c>
      <c r="T445" t="str">
        <f t="array" ref="T445">IF($Q445="","",_xlfn.TEXTJOIN(", ",TRUE,IF(MAR!$G141:$AK141="FE",MAR!$G$4:$AK$4,"")))</f>
        <v/>
      </c>
      <c r="U445" t="str">
        <f t="array" ref="U445">IF($Q445="","",_xlfn.TEXTJOIN(", ",TRUE,IF(ABR!$G141:$AK141="FE",ABR!$G$4:$AK$4,"")))</f>
        <v/>
      </c>
      <c r="V445" t="str">
        <f t="array" ref="V445">IF($Q445="","",_xlfn.TEXTJOIN(", ",TRUE,IF(MAI!$G141:$AK141="FE",MAI!$G$4:$AK$4,"")))</f>
        <v/>
      </c>
      <c r="W445" t="str">
        <f t="array" ref="W445">IF($Q445="","",_xlfn.TEXTJOIN(", ",TRUE,IF(JUN!$G141:$AK141="FE",JUN!$G$4:$AK$4,"")))</f>
        <v/>
      </c>
      <c r="X445" t="str">
        <f t="array" ref="X445">IF($Q445="","",_xlfn.TEXTJOIN(", ",TRUE,IF(JUL!$G141:$AK141="FE",JUL!$G$4:$AK$4,"")))</f>
        <v/>
      </c>
      <c r="Y445" t="str">
        <f t="array" ref="Y445">IF($Q445="","",_xlfn.TEXTJOIN(", ",TRUE,IF(AGO!$G141:$AK141="FE",AGO!$G$4:$AK$4,"")))</f>
        <v/>
      </c>
      <c r="Z445" t="str">
        <f t="array" ref="Z445">IF($Q445="","",_xlfn.TEXTJOIN(", ",TRUE,IF(SET!$G141:$AK141="FE",SET!$G$4:$AK$4,"")))</f>
        <v/>
      </c>
      <c r="AA445" t="str">
        <f t="array" ref="AA445">IF($Q445="","",_xlfn.TEXTJOIN(", ",TRUE,IF(OUT!$G141:$AK141="FE",OUT!$G$4:$AK$4,"")))</f>
        <v/>
      </c>
      <c r="AB445" t="str">
        <f t="array" ref="AB445">IF($Q445="","",_xlfn.TEXTJOIN(", ",TRUE,IF(NOV!$G141:$AK141="FE",NOV!$G$4:$AK$4,"")))</f>
        <v/>
      </c>
      <c r="AC445" t="str">
        <f t="array" ref="AC445">IF($Q445="","",_xlfn.TEXTJOIN(", ",TRUE,IF(DEZ!$G141:$AK141="FE",DEZ!$G$4:$AK$4,"")))</f>
        <v/>
      </c>
      <c r="AD445" t="str">
        <f>IF($Q445="","",COUNTIF(JAN!$G141:$AK141,"FE")+COUNTIF(FEV!$G141:$AK141,"FE")+COUNTIF(MAR!$G141:$AK141,"FE")+COUNTIF(ABR!$G141:$AK141,"FE")+COUNTIF(MAI!$G141:$AK141,"FE")+COUNTIF(JUN!$G141:$AK141,"FE")+COUNTIF(JUL!$G141:$AK141,"FE")+COUNTIF(AGO!$G141:$AK141,"FE")+COUNTIF(SET!$G141:$AK141,"FE")+COUNTIF(OUT!$G141:$AK141,"FE")+COUNTIF(NOV!$G141:$AK141,"FE")+COUNTIF(DEZ!$G141:$AK141,"FE"))</f>
        <v/>
      </c>
      <c r="AF445" t="str">
        <f>IF(AND($Q445&lt;&gt;"",N($AD445)&gt;0),COUNT($AF$309:AF444)+1,"")</f>
        <v/>
      </c>
    </row>
    <row r="446" spans="1:32" x14ac:dyDescent="0.25">
      <c r="A446" s="36" t="str">
        <f>IFERROR(INDEX($Q$310:$Q$459,MATCH(ROWS($A$310:A446),$AF$310:$AF$459,0)),"")</f>
        <v/>
      </c>
      <c r="B446" s="35" t="str">
        <f>IFERROR(INDEX($R$310:$R$459,MATCH(ROWS($A$310:A446),$AF$310:$AF$459,0)),"")</f>
        <v/>
      </c>
      <c r="C446" s="35" t="str">
        <f>IFERROR(INDEX($S$310:$S$459,MATCH(ROWS($A$310:A446),$AF$310:$AF$459,0)),"")</f>
        <v/>
      </c>
      <c r="D446" s="35" t="str">
        <f>IFERROR(INDEX($T$310:$T$459,MATCH(ROWS($A$310:A446),$AF$310:$AF$459,0)),"")</f>
        <v/>
      </c>
      <c r="E446" s="35" t="str">
        <f>IFERROR(INDEX($U$310:$U$459,MATCH(ROWS($A$310:A446),$AF$310:$AF$459,0)),"")</f>
        <v/>
      </c>
      <c r="F446" s="35" t="str">
        <f>IFERROR(INDEX($V$310:$V$459,MATCH(ROWS($A$310:A446),$AF$310:$AF$459,0)),"")</f>
        <v/>
      </c>
      <c r="G446" s="35" t="str">
        <f>IFERROR(INDEX($W$310:$W$459,MATCH(ROWS($A$310:A446),$AF$310:$AF$459,0)),"")</f>
        <v/>
      </c>
      <c r="H446" s="35" t="str">
        <f>IFERROR(INDEX($X$310:$X$459,MATCH(ROWS($A$310:A446),$AF$310:$AF$459,0)),"")</f>
        <v/>
      </c>
      <c r="I446" s="35" t="str">
        <f>IFERROR(INDEX($Y$310:$Y$459,MATCH(ROWS($A$310:A446),$AF$310:$AF$459,0)),"")</f>
        <v/>
      </c>
      <c r="J446" s="35" t="str">
        <f>IFERROR(INDEX($Z$310:$Z$459,MATCH(ROWS($A$310:A446),$AF$310:$AF$459,0)),"")</f>
        <v/>
      </c>
      <c r="K446" s="35" t="str">
        <f>IFERROR(INDEX($AA$310:$AA$459,MATCH(ROWS($A$310:A446),$AF$310:$AF$459,0)),"")</f>
        <v/>
      </c>
      <c r="L446" s="35" t="str">
        <f>IFERROR(INDEX($AB$310:$AB$459,MATCH(ROWS($A$310:A446),$AF$310:$AF$459,0)),"")</f>
        <v/>
      </c>
      <c r="M446" s="35" t="str">
        <f>IFERROR(INDEX($AC$310:$AC$459,MATCH(ROWS($A$310:A446),$AF$310:$AF$459,0)),"")</f>
        <v/>
      </c>
      <c r="N446" s="35" t="str">
        <f>IFERROR(INDEX($AD$310:$AD$459,MATCH(ROWS($A$310:A446),$AF$310:$AF$459,0)),"")</f>
        <v/>
      </c>
      <c r="Q446" t="str">
        <f>T(JAN!B142)</f>
        <v/>
      </c>
      <c r="R446" t="str">
        <f t="array" ref="R446">IF($Q446="","",_xlfn.TEXTJOIN(", ",TRUE,IF(JAN!$G142:$AK142="FE",JAN!$G$4:$AK$4,"")))</f>
        <v/>
      </c>
      <c r="S446" t="str">
        <f t="array" ref="S446">IF($Q446="","",_xlfn.TEXTJOIN(", ",TRUE,IF(FEV!$G142:$AK142="FE",FEV!$G$4:$AK$4,"")))</f>
        <v/>
      </c>
      <c r="T446" t="str">
        <f t="array" ref="T446">IF($Q446="","",_xlfn.TEXTJOIN(", ",TRUE,IF(MAR!$G142:$AK142="FE",MAR!$G$4:$AK$4,"")))</f>
        <v/>
      </c>
      <c r="U446" t="str">
        <f t="array" ref="U446">IF($Q446="","",_xlfn.TEXTJOIN(", ",TRUE,IF(ABR!$G142:$AK142="FE",ABR!$G$4:$AK$4,"")))</f>
        <v/>
      </c>
      <c r="V446" t="str">
        <f t="array" ref="V446">IF($Q446="","",_xlfn.TEXTJOIN(", ",TRUE,IF(MAI!$G142:$AK142="FE",MAI!$G$4:$AK$4,"")))</f>
        <v/>
      </c>
      <c r="W446" t="str">
        <f t="array" ref="W446">IF($Q446="","",_xlfn.TEXTJOIN(", ",TRUE,IF(JUN!$G142:$AK142="FE",JUN!$G$4:$AK$4,"")))</f>
        <v/>
      </c>
      <c r="X446" t="str">
        <f t="array" ref="X446">IF($Q446="","",_xlfn.TEXTJOIN(", ",TRUE,IF(JUL!$G142:$AK142="FE",JUL!$G$4:$AK$4,"")))</f>
        <v/>
      </c>
      <c r="Y446" t="str">
        <f t="array" ref="Y446">IF($Q446="","",_xlfn.TEXTJOIN(", ",TRUE,IF(AGO!$G142:$AK142="FE",AGO!$G$4:$AK$4,"")))</f>
        <v/>
      </c>
      <c r="Z446" t="str">
        <f t="array" ref="Z446">IF($Q446="","",_xlfn.TEXTJOIN(", ",TRUE,IF(SET!$G142:$AK142="FE",SET!$G$4:$AK$4,"")))</f>
        <v/>
      </c>
      <c r="AA446" t="str">
        <f t="array" ref="AA446">IF($Q446="","",_xlfn.TEXTJOIN(", ",TRUE,IF(OUT!$G142:$AK142="FE",OUT!$G$4:$AK$4,"")))</f>
        <v/>
      </c>
      <c r="AB446" t="str">
        <f t="array" ref="AB446">IF($Q446="","",_xlfn.TEXTJOIN(", ",TRUE,IF(NOV!$G142:$AK142="FE",NOV!$G$4:$AK$4,"")))</f>
        <v/>
      </c>
      <c r="AC446" t="str">
        <f t="array" ref="AC446">IF($Q446="","",_xlfn.TEXTJOIN(", ",TRUE,IF(DEZ!$G142:$AK142="FE",DEZ!$G$4:$AK$4,"")))</f>
        <v/>
      </c>
      <c r="AD446" t="str">
        <f>IF($Q446="","",COUNTIF(JAN!$G142:$AK142,"FE")+COUNTIF(FEV!$G142:$AK142,"FE")+COUNTIF(MAR!$G142:$AK142,"FE")+COUNTIF(ABR!$G142:$AK142,"FE")+COUNTIF(MAI!$G142:$AK142,"FE")+COUNTIF(JUN!$G142:$AK142,"FE")+COUNTIF(JUL!$G142:$AK142,"FE")+COUNTIF(AGO!$G142:$AK142,"FE")+COUNTIF(SET!$G142:$AK142,"FE")+COUNTIF(OUT!$G142:$AK142,"FE")+COUNTIF(NOV!$G142:$AK142,"FE")+COUNTIF(DEZ!$G142:$AK142,"FE"))</f>
        <v/>
      </c>
      <c r="AF446" t="str">
        <f>IF(AND($Q446&lt;&gt;"",N($AD446)&gt;0),COUNT($AF$309:AF445)+1,"")</f>
        <v/>
      </c>
    </row>
    <row r="447" spans="1:32" x14ac:dyDescent="0.25">
      <c r="A447" s="36" t="str">
        <f>IFERROR(INDEX($Q$310:$Q$459,MATCH(ROWS($A$310:A447),$AF$310:$AF$459,0)),"")</f>
        <v/>
      </c>
      <c r="B447" s="35" t="str">
        <f>IFERROR(INDEX($R$310:$R$459,MATCH(ROWS($A$310:A447),$AF$310:$AF$459,0)),"")</f>
        <v/>
      </c>
      <c r="C447" s="35" t="str">
        <f>IFERROR(INDEX($S$310:$S$459,MATCH(ROWS($A$310:A447),$AF$310:$AF$459,0)),"")</f>
        <v/>
      </c>
      <c r="D447" s="35" t="str">
        <f>IFERROR(INDEX($T$310:$T$459,MATCH(ROWS($A$310:A447),$AF$310:$AF$459,0)),"")</f>
        <v/>
      </c>
      <c r="E447" s="35" t="str">
        <f>IFERROR(INDEX($U$310:$U$459,MATCH(ROWS($A$310:A447),$AF$310:$AF$459,0)),"")</f>
        <v/>
      </c>
      <c r="F447" s="35" t="str">
        <f>IFERROR(INDEX($V$310:$V$459,MATCH(ROWS($A$310:A447),$AF$310:$AF$459,0)),"")</f>
        <v/>
      </c>
      <c r="G447" s="35" t="str">
        <f>IFERROR(INDEX($W$310:$W$459,MATCH(ROWS($A$310:A447),$AF$310:$AF$459,0)),"")</f>
        <v/>
      </c>
      <c r="H447" s="35" t="str">
        <f>IFERROR(INDEX($X$310:$X$459,MATCH(ROWS($A$310:A447),$AF$310:$AF$459,0)),"")</f>
        <v/>
      </c>
      <c r="I447" s="35" t="str">
        <f>IFERROR(INDEX($Y$310:$Y$459,MATCH(ROWS($A$310:A447),$AF$310:$AF$459,0)),"")</f>
        <v/>
      </c>
      <c r="J447" s="35" t="str">
        <f>IFERROR(INDEX($Z$310:$Z$459,MATCH(ROWS($A$310:A447),$AF$310:$AF$459,0)),"")</f>
        <v/>
      </c>
      <c r="K447" s="35" t="str">
        <f>IFERROR(INDEX($AA$310:$AA$459,MATCH(ROWS($A$310:A447),$AF$310:$AF$459,0)),"")</f>
        <v/>
      </c>
      <c r="L447" s="35" t="str">
        <f>IFERROR(INDEX($AB$310:$AB$459,MATCH(ROWS($A$310:A447),$AF$310:$AF$459,0)),"")</f>
        <v/>
      </c>
      <c r="M447" s="35" t="str">
        <f>IFERROR(INDEX($AC$310:$AC$459,MATCH(ROWS($A$310:A447),$AF$310:$AF$459,0)),"")</f>
        <v/>
      </c>
      <c r="N447" s="35" t="str">
        <f>IFERROR(INDEX($AD$310:$AD$459,MATCH(ROWS($A$310:A447),$AF$310:$AF$459,0)),"")</f>
        <v/>
      </c>
      <c r="Q447" t="str">
        <f>T(JAN!B143)</f>
        <v/>
      </c>
      <c r="R447" t="str">
        <f t="array" ref="R447">IF($Q447="","",_xlfn.TEXTJOIN(", ",TRUE,IF(JAN!$G143:$AK143="FE",JAN!$G$4:$AK$4,"")))</f>
        <v/>
      </c>
      <c r="S447" t="str">
        <f t="array" ref="S447">IF($Q447="","",_xlfn.TEXTJOIN(", ",TRUE,IF(FEV!$G143:$AK143="FE",FEV!$G$4:$AK$4,"")))</f>
        <v/>
      </c>
      <c r="T447" t="str">
        <f t="array" ref="T447">IF($Q447="","",_xlfn.TEXTJOIN(", ",TRUE,IF(MAR!$G143:$AK143="FE",MAR!$G$4:$AK$4,"")))</f>
        <v/>
      </c>
      <c r="U447" t="str">
        <f t="array" ref="U447">IF($Q447="","",_xlfn.TEXTJOIN(", ",TRUE,IF(ABR!$G143:$AK143="FE",ABR!$G$4:$AK$4,"")))</f>
        <v/>
      </c>
      <c r="V447" t="str">
        <f t="array" ref="V447">IF($Q447="","",_xlfn.TEXTJOIN(", ",TRUE,IF(MAI!$G143:$AK143="FE",MAI!$G$4:$AK$4,"")))</f>
        <v/>
      </c>
      <c r="W447" t="str">
        <f t="array" ref="W447">IF($Q447="","",_xlfn.TEXTJOIN(", ",TRUE,IF(JUN!$G143:$AK143="FE",JUN!$G$4:$AK$4,"")))</f>
        <v/>
      </c>
      <c r="X447" t="str">
        <f t="array" ref="X447">IF($Q447="","",_xlfn.TEXTJOIN(", ",TRUE,IF(JUL!$G143:$AK143="FE",JUL!$G$4:$AK$4,"")))</f>
        <v/>
      </c>
      <c r="Y447" t="str">
        <f t="array" ref="Y447">IF($Q447="","",_xlfn.TEXTJOIN(", ",TRUE,IF(AGO!$G143:$AK143="FE",AGO!$G$4:$AK$4,"")))</f>
        <v/>
      </c>
      <c r="Z447" t="str">
        <f t="array" ref="Z447">IF($Q447="","",_xlfn.TEXTJOIN(", ",TRUE,IF(SET!$G143:$AK143="FE",SET!$G$4:$AK$4,"")))</f>
        <v/>
      </c>
      <c r="AA447" t="str">
        <f t="array" ref="AA447">IF($Q447="","",_xlfn.TEXTJOIN(", ",TRUE,IF(OUT!$G143:$AK143="FE",OUT!$G$4:$AK$4,"")))</f>
        <v/>
      </c>
      <c r="AB447" t="str">
        <f t="array" ref="AB447">IF($Q447="","",_xlfn.TEXTJOIN(", ",TRUE,IF(NOV!$G143:$AK143="FE",NOV!$G$4:$AK$4,"")))</f>
        <v/>
      </c>
      <c r="AC447" t="str">
        <f t="array" ref="AC447">IF($Q447="","",_xlfn.TEXTJOIN(", ",TRUE,IF(DEZ!$G143:$AK143="FE",DEZ!$G$4:$AK$4,"")))</f>
        <v/>
      </c>
      <c r="AD447" t="str">
        <f>IF($Q447="","",COUNTIF(JAN!$G143:$AK143,"FE")+COUNTIF(FEV!$G143:$AK143,"FE")+COUNTIF(MAR!$G143:$AK143,"FE")+COUNTIF(ABR!$G143:$AK143,"FE")+COUNTIF(MAI!$G143:$AK143,"FE")+COUNTIF(JUN!$G143:$AK143,"FE")+COUNTIF(JUL!$G143:$AK143,"FE")+COUNTIF(AGO!$G143:$AK143,"FE")+COUNTIF(SET!$G143:$AK143,"FE")+COUNTIF(OUT!$G143:$AK143,"FE")+COUNTIF(NOV!$G143:$AK143,"FE")+COUNTIF(DEZ!$G143:$AK143,"FE"))</f>
        <v/>
      </c>
      <c r="AF447" t="str">
        <f>IF(AND($Q447&lt;&gt;"",N($AD447)&gt;0),COUNT($AF$309:AF446)+1,"")</f>
        <v/>
      </c>
    </row>
    <row r="448" spans="1:32" x14ac:dyDescent="0.25">
      <c r="A448" s="36" t="str">
        <f>IFERROR(INDEX($Q$310:$Q$459,MATCH(ROWS($A$310:A448),$AF$310:$AF$459,0)),"")</f>
        <v/>
      </c>
      <c r="B448" s="35" t="str">
        <f>IFERROR(INDEX($R$310:$R$459,MATCH(ROWS($A$310:A448),$AF$310:$AF$459,0)),"")</f>
        <v/>
      </c>
      <c r="C448" s="35" t="str">
        <f>IFERROR(INDEX($S$310:$S$459,MATCH(ROWS($A$310:A448),$AF$310:$AF$459,0)),"")</f>
        <v/>
      </c>
      <c r="D448" s="35" t="str">
        <f>IFERROR(INDEX($T$310:$T$459,MATCH(ROWS($A$310:A448),$AF$310:$AF$459,0)),"")</f>
        <v/>
      </c>
      <c r="E448" s="35" t="str">
        <f>IFERROR(INDEX($U$310:$U$459,MATCH(ROWS($A$310:A448),$AF$310:$AF$459,0)),"")</f>
        <v/>
      </c>
      <c r="F448" s="35" t="str">
        <f>IFERROR(INDEX($V$310:$V$459,MATCH(ROWS($A$310:A448),$AF$310:$AF$459,0)),"")</f>
        <v/>
      </c>
      <c r="G448" s="35" t="str">
        <f>IFERROR(INDEX($W$310:$W$459,MATCH(ROWS($A$310:A448),$AF$310:$AF$459,0)),"")</f>
        <v/>
      </c>
      <c r="H448" s="35" t="str">
        <f>IFERROR(INDEX($X$310:$X$459,MATCH(ROWS($A$310:A448),$AF$310:$AF$459,0)),"")</f>
        <v/>
      </c>
      <c r="I448" s="35" t="str">
        <f>IFERROR(INDEX($Y$310:$Y$459,MATCH(ROWS($A$310:A448),$AF$310:$AF$459,0)),"")</f>
        <v/>
      </c>
      <c r="J448" s="35" t="str">
        <f>IFERROR(INDEX($Z$310:$Z$459,MATCH(ROWS($A$310:A448),$AF$310:$AF$459,0)),"")</f>
        <v/>
      </c>
      <c r="K448" s="35" t="str">
        <f>IFERROR(INDEX($AA$310:$AA$459,MATCH(ROWS($A$310:A448),$AF$310:$AF$459,0)),"")</f>
        <v/>
      </c>
      <c r="L448" s="35" t="str">
        <f>IFERROR(INDEX($AB$310:$AB$459,MATCH(ROWS($A$310:A448),$AF$310:$AF$459,0)),"")</f>
        <v/>
      </c>
      <c r="M448" s="35" t="str">
        <f>IFERROR(INDEX($AC$310:$AC$459,MATCH(ROWS($A$310:A448),$AF$310:$AF$459,0)),"")</f>
        <v/>
      </c>
      <c r="N448" s="35" t="str">
        <f>IFERROR(INDEX($AD$310:$AD$459,MATCH(ROWS($A$310:A448),$AF$310:$AF$459,0)),"")</f>
        <v/>
      </c>
      <c r="Q448" t="str">
        <f>T(JAN!B144)</f>
        <v/>
      </c>
      <c r="R448" t="str">
        <f t="array" ref="R448">IF($Q448="","",_xlfn.TEXTJOIN(", ",TRUE,IF(JAN!$G144:$AK144="FE",JAN!$G$4:$AK$4,"")))</f>
        <v/>
      </c>
      <c r="S448" t="str">
        <f t="array" ref="S448">IF($Q448="","",_xlfn.TEXTJOIN(", ",TRUE,IF(FEV!$G144:$AK144="FE",FEV!$G$4:$AK$4,"")))</f>
        <v/>
      </c>
      <c r="T448" t="str">
        <f t="array" ref="T448">IF($Q448="","",_xlfn.TEXTJOIN(", ",TRUE,IF(MAR!$G144:$AK144="FE",MAR!$G$4:$AK$4,"")))</f>
        <v/>
      </c>
      <c r="U448" t="str">
        <f t="array" ref="U448">IF($Q448="","",_xlfn.TEXTJOIN(", ",TRUE,IF(ABR!$G144:$AK144="FE",ABR!$G$4:$AK$4,"")))</f>
        <v/>
      </c>
      <c r="V448" t="str">
        <f t="array" ref="V448">IF($Q448="","",_xlfn.TEXTJOIN(", ",TRUE,IF(MAI!$G144:$AK144="FE",MAI!$G$4:$AK$4,"")))</f>
        <v/>
      </c>
      <c r="W448" t="str">
        <f t="array" ref="W448">IF($Q448="","",_xlfn.TEXTJOIN(", ",TRUE,IF(JUN!$G144:$AK144="FE",JUN!$G$4:$AK$4,"")))</f>
        <v/>
      </c>
      <c r="X448" t="str">
        <f t="array" ref="X448">IF($Q448="","",_xlfn.TEXTJOIN(", ",TRUE,IF(JUL!$G144:$AK144="FE",JUL!$G$4:$AK$4,"")))</f>
        <v/>
      </c>
      <c r="Y448" t="str">
        <f t="array" ref="Y448">IF($Q448="","",_xlfn.TEXTJOIN(", ",TRUE,IF(AGO!$G144:$AK144="FE",AGO!$G$4:$AK$4,"")))</f>
        <v/>
      </c>
      <c r="Z448" t="str">
        <f t="array" ref="Z448">IF($Q448="","",_xlfn.TEXTJOIN(", ",TRUE,IF(SET!$G144:$AK144="FE",SET!$G$4:$AK$4,"")))</f>
        <v/>
      </c>
      <c r="AA448" t="str">
        <f t="array" ref="AA448">IF($Q448="","",_xlfn.TEXTJOIN(", ",TRUE,IF(OUT!$G144:$AK144="FE",OUT!$G$4:$AK$4,"")))</f>
        <v/>
      </c>
      <c r="AB448" t="str">
        <f t="array" ref="AB448">IF($Q448="","",_xlfn.TEXTJOIN(", ",TRUE,IF(NOV!$G144:$AK144="FE",NOV!$G$4:$AK$4,"")))</f>
        <v/>
      </c>
      <c r="AC448" t="str">
        <f t="array" ref="AC448">IF($Q448="","",_xlfn.TEXTJOIN(", ",TRUE,IF(DEZ!$G144:$AK144="FE",DEZ!$G$4:$AK$4,"")))</f>
        <v/>
      </c>
      <c r="AD448" t="str">
        <f>IF($Q448="","",COUNTIF(JAN!$G144:$AK144,"FE")+COUNTIF(FEV!$G144:$AK144,"FE")+COUNTIF(MAR!$G144:$AK144,"FE")+COUNTIF(ABR!$G144:$AK144,"FE")+COUNTIF(MAI!$G144:$AK144,"FE")+COUNTIF(JUN!$G144:$AK144,"FE")+COUNTIF(JUL!$G144:$AK144,"FE")+COUNTIF(AGO!$G144:$AK144,"FE")+COUNTIF(SET!$G144:$AK144,"FE")+COUNTIF(OUT!$G144:$AK144,"FE")+COUNTIF(NOV!$G144:$AK144,"FE")+COUNTIF(DEZ!$G144:$AK144,"FE"))</f>
        <v/>
      </c>
      <c r="AF448" t="str">
        <f>IF(AND($Q448&lt;&gt;"",N($AD448)&gt;0),COUNT($AF$309:AF447)+1,"")</f>
        <v/>
      </c>
    </row>
    <row r="449" spans="1:32" x14ac:dyDescent="0.25">
      <c r="A449" s="36" t="str">
        <f>IFERROR(INDEX($Q$310:$Q$459,MATCH(ROWS($A$310:A449),$AF$310:$AF$459,0)),"")</f>
        <v/>
      </c>
      <c r="B449" s="35" t="str">
        <f>IFERROR(INDEX($R$310:$R$459,MATCH(ROWS($A$310:A449),$AF$310:$AF$459,0)),"")</f>
        <v/>
      </c>
      <c r="C449" s="35" t="str">
        <f>IFERROR(INDEX($S$310:$S$459,MATCH(ROWS($A$310:A449),$AF$310:$AF$459,0)),"")</f>
        <v/>
      </c>
      <c r="D449" s="35" t="str">
        <f>IFERROR(INDEX($T$310:$T$459,MATCH(ROWS($A$310:A449),$AF$310:$AF$459,0)),"")</f>
        <v/>
      </c>
      <c r="E449" s="35" t="str">
        <f>IFERROR(INDEX($U$310:$U$459,MATCH(ROWS($A$310:A449),$AF$310:$AF$459,0)),"")</f>
        <v/>
      </c>
      <c r="F449" s="35" t="str">
        <f>IFERROR(INDEX($V$310:$V$459,MATCH(ROWS($A$310:A449),$AF$310:$AF$459,0)),"")</f>
        <v/>
      </c>
      <c r="G449" s="35" t="str">
        <f>IFERROR(INDEX($W$310:$W$459,MATCH(ROWS($A$310:A449),$AF$310:$AF$459,0)),"")</f>
        <v/>
      </c>
      <c r="H449" s="35" t="str">
        <f>IFERROR(INDEX($X$310:$X$459,MATCH(ROWS($A$310:A449),$AF$310:$AF$459,0)),"")</f>
        <v/>
      </c>
      <c r="I449" s="35" t="str">
        <f>IFERROR(INDEX($Y$310:$Y$459,MATCH(ROWS($A$310:A449),$AF$310:$AF$459,0)),"")</f>
        <v/>
      </c>
      <c r="J449" s="35" t="str">
        <f>IFERROR(INDEX($Z$310:$Z$459,MATCH(ROWS($A$310:A449),$AF$310:$AF$459,0)),"")</f>
        <v/>
      </c>
      <c r="K449" s="35" t="str">
        <f>IFERROR(INDEX($AA$310:$AA$459,MATCH(ROWS($A$310:A449),$AF$310:$AF$459,0)),"")</f>
        <v/>
      </c>
      <c r="L449" s="35" t="str">
        <f>IFERROR(INDEX($AB$310:$AB$459,MATCH(ROWS($A$310:A449),$AF$310:$AF$459,0)),"")</f>
        <v/>
      </c>
      <c r="M449" s="35" t="str">
        <f>IFERROR(INDEX($AC$310:$AC$459,MATCH(ROWS($A$310:A449),$AF$310:$AF$459,0)),"")</f>
        <v/>
      </c>
      <c r="N449" s="35" t="str">
        <f>IFERROR(INDEX($AD$310:$AD$459,MATCH(ROWS($A$310:A449),$AF$310:$AF$459,0)),"")</f>
        <v/>
      </c>
      <c r="Q449" t="str">
        <f>T(JAN!B145)</f>
        <v/>
      </c>
      <c r="R449" t="str">
        <f t="array" ref="R449">IF($Q449="","",_xlfn.TEXTJOIN(", ",TRUE,IF(JAN!$G145:$AK145="FE",JAN!$G$4:$AK$4,"")))</f>
        <v/>
      </c>
      <c r="S449" t="str">
        <f t="array" ref="S449">IF($Q449="","",_xlfn.TEXTJOIN(", ",TRUE,IF(FEV!$G145:$AK145="FE",FEV!$G$4:$AK$4,"")))</f>
        <v/>
      </c>
      <c r="T449" t="str">
        <f t="array" ref="T449">IF($Q449="","",_xlfn.TEXTJOIN(", ",TRUE,IF(MAR!$G145:$AK145="FE",MAR!$G$4:$AK$4,"")))</f>
        <v/>
      </c>
      <c r="U449" t="str">
        <f t="array" ref="U449">IF($Q449="","",_xlfn.TEXTJOIN(", ",TRUE,IF(ABR!$G145:$AK145="FE",ABR!$G$4:$AK$4,"")))</f>
        <v/>
      </c>
      <c r="V449" t="str">
        <f t="array" ref="V449">IF($Q449="","",_xlfn.TEXTJOIN(", ",TRUE,IF(MAI!$G145:$AK145="FE",MAI!$G$4:$AK$4,"")))</f>
        <v/>
      </c>
      <c r="W449" t="str">
        <f t="array" ref="W449">IF($Q449="","",_xlfn.TEXTJOIN(", ",TRUE,IF(JUN!$G145:$AK145="FE",JUN!$G$4:$AK$4,"")))</f>
        <v/>
      </c>
      <c r="X449" t="str">
        <f t="array" ref="X449">IF($Q449="","",_xlfn.TEXTJOIN(", ",TRUE,IF(JUL!$G145:$AK145="FE",JUL!$G$4:$AK$4,"")))</f>
        <v/>
      </c>
      <c r="Y449" t="str">
        <f t="array" ref="Y449">IF($Q449="","",_xlfn.TEXTJOIN(", ",TRUE,IF(AGO!$G145:$AK145="FE",AGO!$G$4:$AK$4,"")))</f>
        <v/>
      </c>
      <c r="Z449" t="str">
        <f t="array" ref="Z449">IF($Q449="","",_xlfn.TEXTJOIN(", ",TRUE,IF(SET!$G145:$AK145="FE",SET!$G$4:$AK$4,"")))</f>
        <v/>
      </c>
      <c r="AA449" t="str">
        <f t="array" ref="AA449">IF($Q449="","",_xlfn.TEXTJOIN(", ",TRUE,IF(OUT!$G145:$AK145="FE",OUT!$G$4:$AK$4,"")))</f>
        <v/>
      </c>
      <c r="AB449" t="str">
        <f t="array" ref="AB449">IF($Q449="","",_xlfn.TEXTJOIN(", ",TRUE,IF(NOV!$G145:$AK145="FE",NOV!$G$4:$AK$4,"")))</f>
        <v/>
      </c>
      <c r="AC449" t="str">
        <f t="array" ref="AC449">IF($Q449="","",_xlfn.TEXTJOIN(", ",TRUE,IF(DEZ!$G145:$AK145="FE",DEZ!$G$4:$AK$4,"")))</f>
        <v/>
      </c>
      <c r="AD449" t="str">
        <f>IF($Q449="","",COUNTIF(JAN!$G145:$AK145,"FE")+COUNTIF(FEV!$G145:$AK145,"FE")+COUNTIF(MAR!$G145:$AK145,"FE")+COUNTIF(ABR!$G145:$AK145,"FE")+COUNTIF(MAI!$G145:$AK145,"FE")+COUNTIF(JUN!$G145:$AK145,"FE")+COUNTIF(JUL!$G145:$AK145,"FE")+COUNTIF(AGO!$G145:$AK145,"FE")+COUNTIF(SET!$G145:$AK145,"FE")+COUNTIF(OUT!$G145:$AK145,"FE")+COUNTIF(NOV!$G145:$AK145,"FE")+COUNTIF(DEZ!$G145:$AK145,"FE"))</f>
        <v/>
      </c>
      <c r="AF449" t="str">
        <f>IF(AND($Q449&lt;&gt;"",N($AD449)&gt;0),COUNT($AF$309:AF448)+1,"")</f>
        <v/>
      </c>
    </row>
    <row r="450" spans="1:32" x14ac:dyDescent="0.25">
      <c r="A450" s="36" t="str">
        <f>IFERROR(INDEX($Q$310:$Q$459,MATCH(ROWS($A$310:A450),$AF$310:$AF$459,0)),"")</f>
        <v/>
      </c>
      <c r="B450" s="35" t="str">
        <f>IFERROR(INDEX($R$310:$R$459,MATCH(ROWS($A$310:A450),$AF$310:$AF$459,0)),"")</f>
        <v/>
      </c>
      <c r="C450" s="35" t="str">
        <f>IFERROR(INDEX($S$310:$S$459,MATCH(ROWS($A$310:A450),$AF$310:$AF$459,0)),"")</f>
        <v/>
      </c>
      <c r="D450" s="35" t="str">
        <f>IFERROR(INDEX($T$310:$T$459,MATCH(ROWS($A$310:A450),$AF$310:$AF$459,0)),"")</f>
        <v/>
      </c>
      <c r="E450" s="35" t="str">
        <f>IFERROR(INDEX($U$310:$U$459,MATCH(ROWS($A$310:A450),$AF$310:$AF$459,0)),"")</f>
        <v/>
      </c>
      <c r="F450" s="35" t="str">
        <f>IFERROR(INDEX($V$310:$V$459,MATCH(ROWS($A$310:A450),$AF$310:$AF$459,0)),"")</f>
        <v/>
      </c>
      <c r="G450" s="35" t="str">
        <f>IFERROR(INDEX($W$310:$W$459,MATCH(ROWS($A$310:A450),$AF$310:$AF$459,0)),"")</f>
        <v/>
      </c>
      <c r="H450" s="35" t="str">
        <f>IFERROR(INDEX($X$310:$X$459,MATCH(ROWS($A$310:A450),$AF$310:$AF$459,0)),"")</f>
        <v/>
      </c>
      <c r="I450" s="35" t="str">
        <f>IFERROR(INDEX($Y$310:$Y$459,MATCH(ROWS($A$310:A450),$AF$310:$AF$459,0)),"")</f>
        <v/>
      </c>
      <c r="J450" s="35" t="str">
        <f>IFERROR(INDEX($Z$310:$Z$459,MATCH(ROWS($A$310:A450),$AF$310:$AF$459,0)),"")</f>
        <v/>
      </c>
      <c r="K450" s="35" t="str">
        <f>IFERROR(INDEX($AA$310:$AA$459,MATCH(ROWS($A$310:A450),$AF$310:$AF$459,0)),"")</f>
        <v/>
      </c>
      <c r="L450" s="35" t="str">
        <f>IFERROR(INDEX($AB$310:$AB$459,MATCH(ROWS($A$310:A450),$AF$310:$AF$459,0)),"")</f>
        <v/>
      </c>
      <c r="M450" s="35" t="str">
        <f>IFERROR(INDEX($AC$310:$AC$459,MATCH(ROWS($A$310:A450),$AF$310:$AF$459,0)),"")</f>
        <v/>
      </c>
      <c r="N450" s="35" t="str">
        <f>IFERROR(INDEX($AD$310:$AD$459,MATCH(ROWS($A$310:A450),$AF$310:$AF$459,0)),"")</f>
        <v/>
      </c>
      <c r="Q450" t="str">
        <f>T(JAN!B146)</f>
        <v/>
      </c>
      <c r="R450" t="str">
        <f t="array" ref="R450">IF($Q450="","",_xlfn.TEXTJOIN(", ",TRUE,IF(JAN!$G146:$AK146="FE",JAN!$G$4:$AK$4,"")))</f>
        <v/>
      </c>
      <c r="S450" t="str">
        <f t="array" ref="S450">IF($Q450="","",_xlfn.TEXTJOIN(", ",TRUE,IF(FEV!$G146:$AK146="FE",FEV!$G$4:$AK$4,"")))</f>
        <v/>
      </c>
      <c r="T450" t="str">
        <f t="array" ref="T450">IF($Q450="","",_xlfn.TEXTJOIN(", ",TRUE,IF(MAR!$G146:$AK146="FE",MAR!$G$4:$AK$4,"")))</f>
        <v/>
      </c>
      <c r="U450" t="str">
        <f t="array" ref="U450">IF($Q450="","",_xlfn.TEXTJOIN(", ",TRUE,IF(ABR!$G146:$AK146="FE",ABR!$G$4:$AK$4,"")))</f>
        <v/>
      </c>
      <c r="V450" t="str">
        <f t="array" ref="V450">IF($Q450="","",_xlfn.TEXTJOIN(", ",TRUE,IF(MAI!$G146:$AK146="FE",MAI!$G$4:$AK$4,"")))</f>
        <v/>
      </c>
      <c r="W450" t="str">
        <f t="array" ref="W450">IF($Q450="","",_xlfn.TEXTJOIN(", ",TRUE,IF(JUN!$G146:$AK146="FE",JUN!$G$4:$AK$4,"")))</f>
        <v/>
      </c>
      <c r="X450" t="str">
        <f t="array" ref="X450">IF($Q450="","",_xlfn.TEXTJOIN(", ",TRUE,IF(JUL!$G146:$AK146="FE",JUL!$G$4:$AK$4,"")))</f>
        <v/>
      </c>
      <c r="Y450" t="str">
        <f t="array" ref="Y450">IF($Q450="","",_xlfn.TEXTJOIN(", ",TRUE,IF(AGO!$G146:$AK146="FE",AGO!$G$4:$AK$4,"")))</f>
        <v/>
      </c>
      <c r="Z450" t="str">
        <f t="array" ref="Z450">IF($Q450="","",_xlfn.TEXTJOIN(", ",TRUE,IF(SET!$G146:$AK146="FE",SET!$G$4:$AK$4,"")))</f>
        <v/>
      </c>
      <c r="AA450" t="str">
        <f t="array" ref="AA450">IF($Q450="","",_xlfn.TEXTJOIN(", ",TRUE,IF(OUT!$G146:$AK146="FE",OUT!$G$4:$AK$4,"")))</f>
        <v/>
      </c>
      <c r="AB450" t="str">
        <f t="array" ref="AB450">IF($Q450="","",_xlfn.TEXTJOIN(", ",TRUE,IF(NOV!$G146:$AK146="FE",NOV!$G$4:$AK$4,"")))</f>
        <v/>
      </c>
      <c r="AC450" t="str">
        <f t="array" ref="AC450">IF($Q450="","",_xlfn.TEXTJOIN(", ",TRUE,IF(DEZ!$G146:$AK146="FE",DEZ!$G$4:$AK$4,"")))</f>
        <v/>
      </c>
      <c r="AD450" t="str">
        <f>IF($Q450="","",COUNTIF(JAN!$G146:$AK146,"FE")+COUNTIF(FEV!$G146:$AK146,"FE")+COUNTIF(MAR!$G146:$AK146,"FE")+COUNTIF(ABR!$G146:$AK146,"FE")+COUNTIF(MAI!$G146:$AK146,"FE")+COUNTIF(JUN!$G146:$AK146,"FE")+COUNTIF(JUL!$G146:$AK146,"FE")+COUNTIF(AGO!$G146:$AK146,"FE")+COUNTIF(SET!$G146:$AK146,"FE")+COUNTIF(OUT!$G146:$AK146,"FE")+COUNTIF(NOV!$G146:$AK146,"FE")+COUNTIF(DEZ!$G146:$AK146,"FE"))</f>
        <v/>
      </c>
      <c r="AF450" t="str">
        <f>IF(AND($Q450&lt;&gt;"",N($AD450)&gt;0),COUNT($AF$309:AF449)+1,"")</f>
        <v/>
      </c>
    </row>
    <row r="451" spans="1:32" x14ac:dyDescent="0.25">
      <c r="A451" s="36" t="str">
        <f>IFERROR(INDEX($Q$310:$Q$459,MATCH(ROWS($A$310:A451),$AF$310:$AF$459,0)),"")</f>
        <v/>
      </c>
      <c r="B451" s="35" t="str">
        <f>IFERROR(INDEX($R$310:$R$459,MATCH(ROWS($A$310:A451),$AF$310:$AF$459,0)),"")</f>
        <v/>
      </c>
      <c r="C451" s="35" t="str">
        <f>IFERROR(INDEX($S$310:$S$459,MATCH(ROWS($A$310:A451),$AF$310:$AF$459,0)),"")</f>
        <v/>
      </c>
      <c r="D451" s="35" t="str">
        <f>IFERROR(INDEX($T$310:$T$459,MATCH(ROWS($A$310:A451),$AF$310:$AF$459,0)),"")</f>
        <v/>
      </c>
      <c r="E451" s="35" t="str">
        <f>IFERROR(INDEX($U$310:$U$459,MATCH(ROWS($A$310:A451),$AF$310:$AF$459,0)),"")</f>
        <v/>
      </c>
      <c r="F451" s="35" t="str">
        <f>IFERROR(INDEX($V$310:$V$459,MATCH(ROWS($A$310:A451),$AF$310:$AF$459,0)),"")</f>
        <v/>
      </c>
      <c r="G451" s="35" t="str">
        <f>IFERROR(INDEX($W$310:$W$459,MATCH(ROWS($A$310:A451),$AF$310:$AF$459,0)),"")</f>
        <v/>
      </c>
      <c r="H451" s="35" t="str">
        <f>IFERROR(INDEX($X$310:$X$459,MATCH(ROWS($A$310:A451),$AF$310:$AF$459,0)),"")</f>
        <v/>
      </c>
      <c r="I451" s="35" t="str">
        <f>IFERROR(INDEX($Y$310:$Y$459,MATCH(ROWS($A$310:A451),$AF$310:$AF$459,0)),"")</f>
        <v/>
      </c>
      <c r="J451" s="35" t="str">
        <f>IFERROR(INDEX($Z$310:$Z$459,MATCH(ROWS($A$310:A451),$AF$310:$AF$459,0)),"")</f>
        <v/>
      </c>
      <c r="K451" s="35" t="str">
        <f>IFERROR(INDEX($AA$310:$AA$459,MATCH(ROWS($A$310:A451),$AF$310:$AF$459,0)),"")</f>
        <v/>
      </c>
      <c r="L451" s="35" t="str">
        <f>IFERROR(INDEX($AB$310:$AB$459,MATCH(ROWS($A$310:A451),$AF$310:$AF$459,0)),"")</f>
        <v/>
      </c>
      <c r="M451" s="35" t="str">
        <f>IFERROR(INDEX($AC$310:$AC$459,MATCH(ROWS($A$310:A451),$AF$310:$AF$459,0)),"")</f>
        <v/>
      </c>
      <c r="N451" s="35" t="str">
        <f>IFERROR(INDEX($AD$310:$AD$459,MATCH(ROWS($A$310:A451),$AF$310:$AF$459,0)),"")</f>
        <v/>
      </c>
      <c r="Q451" t="str">
        <f>T(JAN!B147)</f>
        <v/>
      </c>
      <c r="R451" t="str">
        <f t="array" ref="R451">IF($Q451="","",_xlfn.TEXTJOIN(", ",TRUE,IF(JAN!$G147:$AK147="FE",JAN!$G$4:$AK$4,"")))</f>
        <v/>
      </c>
      <c r="S451" t="str">
        <f t="array" ref="S451">IF($Q451="","",_xlfn.TEXTJOIN(", ",TRUE,IF(FEV!$G147:$AK147="FE",FEV!$G$4:$AK$4,"")))</f>
        <v/>
      </c>
      <c r="T451" t="str">
        <f t="array" ref="T451">IF($Q451="","",_xlfn.TEXTJOIN(", ",TRUE,IF(MAR!$G147:$AK147="FE",MAR!$G$4:$AK$4,"")))</f>
        <v/>
      </c>
      <c r="U451" t="str">
        <f t="array" ref="U451">IF($Q451="","",_xlfn.TEXTJOIN(", ",TRUE,IF(ABR!$G147:$AK147="FE",ABR!$G$4:$AK$4,"")))</f>
        <v/>
      </c>
      <c r="V451" t="str">
        <f t="array" ref="V451">IF($Q451="","",_xlfn.TEXTJOIN(", ",TRUE,IF(MAI!$G147:$AK147="FE",MAI!$G$4:$AK$4,"")))</f>
        <v/>
      </c>
      <c r="W451" t="str">
        <f t="array" ref="W451">IF($Q451="","",_xlfn.TEXTJOIN(", ",TRUE,IF(JUN!$G147:$AK147="FE",JUN!$G$4:$AK$4,"")))</f>
        <v/>
      </c>
      <c r="X451" t="str">
        <f t="array" ref="X451">IF($Q451="","",_xlfn.TEXTJOIN(", ",TRUE,IF(JUL!$G147:$AK147="FE",JUL!$G$4:$AK$4,"")))</f>
        <v/>
      </c>
      <c r="Y451" t="str">
        <f t="array" ref="Y451">IF($Q451="","",_xlfn.TEXTJOIN(", ",TRUE,IF(AGO!$G147:$AK147="FE",AGO!$G$4:$AK$4,"")))</f>
        <v/>
      </c>
      <c r="Z451" t="str">
        <f t="array" ref="Z451">IF($Q451="","",_xlfn.TEXTJOIN(", ",TRUE,IF(SET!$G147:$AK147="FE",SET!$G$4:$AK$4,"")))</f>
        <v/>
      </c>
      <c r="AA451" t="str">
        <f t="array" ref="AA451">IF($Q451="","",_xlfn.TEXTJOIN(", ",TRUE,IF(OUT!$G147:$AK147="FE",OUT!$G$4:$AK$4,"")))</f>
        <v/>
      </c>
      <c r="AB451" t="str">
        <f t="array" ref="AB451">IF($Q451="","",_xlfn.TEXTJOIN(", ",TRUE,IF(NOV!$G147:$AK147="FE",NOV!$G$4:$AK$4,"")))</f>
        <v/>
      </c>
      <c r="AC451" t="str">
        <f t="array" ref="AC451">IF($Q451="","",_xlfn.TEXTJOIN(", ",TRUE,IF(DEZ!$G147:$AK147="FE",DEZ!$G$4:$AK$4,"")))</f>
        <v/>
      </c>
      <c r="AD451" t="str">
        <f>IF($Q451="","",COUNTIF(JAN!$G147:$AK147,"FE")+COUNTIF(FEV!$G147:$AK147,"FE")+COUNTIF(MAR!$G147:$AK147,"FE")+COUNTIF(ABR!$G147:$AK147,"FE")+COUNTIF(MAI!$G147:$AK147,"FE")+COUNTIF(JUN!$G147:$AK147,"FE")+COUNTIF(JUL!$G147:$AK147,"FE")+COUNTIF(AGO!$G147:$AK147,"FE")+COUNTIF(SET!$G147:$AK147,"FE")+COUNTIF(OUT!$G147:$AK147,"FE")+COUNTIF(NOV!$G147:$AK147,"FE")+COUNTIF(DEZ!$G147:$AK147,"FE"))</f>
        <v/>
      </c>
      <c r="AF451" t="str">
        <f>IF(AND($Q451&lt;&gt;"",N($AD451)&gt;0),COUNT($AF$309:AF450)+1,"")</f>
        <v/>
      </c>
    </row>
    <row r="452" spans="1:32" x14ac:dyDescent="0.25">
      <c r="A452" s="36" t="str">
        <f>IFERROR(INDEX($Q$310:$Q$459,MATCH(ROWS($A$310:A452),$AF$310:$AF$459,0)),"")</f>
        <v/>
      </c>
      <c r="B452" s="35" t="str">
        <f>IFERROR(INDEX($R$310:$R$459,MATCH(ROWS($A$310:A452),$AF$310:$AF$459,0)),"")</f>
        <v/>
      </c>
      <c r="C452" s="35" t="str">
        <f>IFERROR(INDEX($S$310:$S$459,MATCH(ROWS($A$310:A452),$AF$310:$AF$459,0)),"")</f>
        <v/>
      </c>
      <c r="D452" s="35" t="str">
        <f>IFERROR(INDEX($T$310:$T$459,MATCH(ROWS($A$310:A452),$AF$310:$AF$459,0)),"")</f>
        <v/>
      </c>
      <c r="E452" s="35" t="str">
        <f>IFERROR(INDEX($U$310:$U$459,MATCH(ROWS($A$310:A452),$AF$310:$AF$459,0)),"")</f>
        <v/>
      </c>
      <c r="F452" s="35" t="str">
        <f>IFERROR(INDEX($V$310:$V$459,MATCH(ROWS($A$310:A452),$AF$310:$AF$459,0)),"")</f>
        <v/>
      </c>
      <c r="G452" s="35" t="str">
        <f>IFERROR(INDEX($W$310:$W$459,MATCH(ROWS($A$310:A452),$AF$310:$AF$459,0)),"")</f>
        <v/>
      </c>
      <c r="H452" s="35" t="str">
        <f>IFERROR(INDEX($X$310:$X$459,MATCH(ROWS($A$310:A452),$AF$310:$AF$459,0)),"")</f>
        <v/>
      </c>
      <c r="I452" s="35" t="str">
        <f>IFERROR(INDEX($Y$310:$Y$459,MATCH(ROWS($A$310:A452),$AF$310:$AF$459,0)),"")</f>
        <v/>
      </c>
      <c r="J452" s="35" t="str">
        <f>IFERROR(INDEX($Z$310:$Z$459,MATCH(ROWS($A$310:A452),$AF$310:$AF$459,0)),"")</f>
        <v/>
      </c>
      <c r="K452" s="35" t="str">
        <f>IFERROR(INDEX($AA$310:$AA$459,MATCH(ROWS($A$310:A452),$AF$310:$AF$459,0)),"")</f>
        <v/>
      </c>
      <c r="L452" s="35" t="str">
        <f>IFERROR(INDEX($AB$310:$AB$459,MATCH(ROWS($A$310:A452),$AF$310:$AF$459,0)),"")</f>
        <v/>
      </c>
      <c r="M452" s="35" t="str">
        <f>IFERROR(INDEX($AC$310:$AC$459,MATCH(ROWS($A$310:A452),$AF$310:$AF$459,0)),"")</f>
        <v/>
      </c>
      <c r="N452" s="35" t="str">
        <f>IFERROR(INDEX($AD$310:$AD$459,MATCH(ROWS($A$310:A452),$AF$310:$AF$459,0)),"")</f>
        <v/>
      </c>
      <c r="Q452" t="str">
        <f>T(JAN!B148)</f>
        <v/>
      </c>
      <c r="R452" t="str">
        <f t="array" ref="R452">IF($Q452="","",_xlfn.TEXTJOIN(", ",TRUE,IF(JAN!$G148:$AK148="FE",JAN!$G$4:$AK$4,"")))</f>
        <v/>
      </c>
      <c r="S452" t="str">
        <f t="array" ref="S452">IF($Q452="","",_xlfn.TEXTJOIN(", ",TRUE,IF(FEV!$G148:$AK148="FE",FEV!$G$4:$AK$4,"")))</f>
        <v/>
      </c>
      <c r="T452" t="str">
        <f t="array" ref="T452">IF($Q452="","",_xlfn.TEXTJOIN(", ",TRUE,IF(MAR!$G148:$AK148="FE",MAR!$G$4:$AK$4,"")))</f>
        <v/>
      </c>
      <c r="U452" t="str">
        <f t="array" ref="U452">IF($Q452="","",_xlfn.TEXTJOIN(", ",TRUE,IF(ABR!$G148:$AK148="FE",ABR!$G$4:$AK$4,"")))</f>
        <v/>
      </c>
      <c r="V452" t="str">
        <f t="array" ref="V452">IF($Q452="","",_xlfn.TEXTJOIN(", ",TRUE,IF(MAI!$G148:$AK148="FE",MAI!$G$4:$AK$4,"")))</f>
        <v/>
      </c>
      <c r="W452" t="str">
        <f t="array" ref="W452">IF($Q452="","",_xlfn.TEXTJOIN(", ",TRUE,IF(JUN!$G148:$AK148="FE",JUN!$G$4:$AK$4,"")))</f>
        <v/>
      </c>
      <c r="X452" t="str">
        <f t="array" ref="X452">IF($Q452="","",_xlfn.TEXTJOIN(", ",TRUE,IF(JUL!$G148:$AK148="FE",JUL!$G$4:$AK$4,"")))</f>
        <v/>
      </c>
      <c r="Y452" t="str">
        <f t="array" ref="Y452">IF($Q452="","",_xlfn.TEXTJOIN(", ",TRUE,IF(AGO!$G148:$AK148="FE",AGO!$G$4:$AK$4,"")))</f>
        <v/>
      </c>
      <c r="Z452" t="str">
        <f t="array" ref="Z452">IF($Q452="","",_xlfn.TEXTJOIN(", ",TRUE,IF(SET!$G148:$AK148="FE",SET!$G$4:$AK$4,"")))</f>
        <v/>
      </c>
      <c r="AA452" t="str">
        <f t="array" ref="AA452">IF($Q452="","",_xlfn.TEXTJOIN(", ",TRUE,IF(OUT!$G148:$AK148="FE",OUT!$G$4:$AK$4,"")))</f>
        <v/>
      </c>
      <c r="AB452" t="str">
        <f t="array" ref="AB452">IF($Q452="","",_xlfn.TEXTJOIN(", ",TRUE,IF(NOV!$G148:$AK148="FE",NOV!$G$4:$AK$4,"")))</f>
        <v/>
      </c>
      <c r="AC452" t="str">
        <f t="array" ref="AC452">IF($Q452="","",_xlfn.TEXTJOIN(", ",TRUE,IF(DEZ!$G148:$AK148="FE",DEZ!$G$4:$AK$4,"")))</f>
        <v/>
      </c>
      <c r="AD452" t="str">
        <f>IF($Q452="","",COUNTIF(JAN!$G148:$AK148,"FE")+COUNTIF(FEV!$G148:$AK148,"FE")+COUNTIF(MAR!$G148:$AK148,"FE")+COUNTIF(ABR!$G148:$AK148,"FE")+COUNTIF(MAI!$G148:$AK148,"FE")+COUNTIF(JUN!$G148:$AK148,"FE")+COUNTIF(JUL!$G148:$AK148,"FE")+COUNTIF(AGO!$G148:$AK148,"FE")+COUNTIF(SET!$G148:$AK148,"FE")+COUNTIF(OUT!$G148:$AK148,"FE")+COUNTIF(NOV!$G148:$AK148,"FE")+COUNTIF(DEZ!$G148:$AK148,"FE"))</f>
        <v/>
      </c>
      <c r="AF452" t="str">
        <f>IF(AND($Q452&lt;&gt;"",N($AD452)&gt;0),COUNT($AF$309:AF451)+1,"")</f>
        <v/>
      </c>
    </row>
    <row r="453" spans="1:32" x14ac:dyDescent="0.25">
      <c r="A453" s="36" t="str">
        <f>IFERROR(INDEX($Q$310:$Q$459,MATCH(ROWS($A$310:A453),$AF$310:$AF$459,0)),"")</f>
        <v/>
      </c>
      <c r="B453" s="35" t="str">
        <f>IFERROR(INDEX($R$310:$R$459,MATCH(ROWS($A$310:A453),$AF$310:$AF$459,0)),"")</f>
        <v/>
      </c>
      <c r="C453" s="35" t="str">
        <f>IFERROR(INDEX($S$310:$S$459,MATCH(ROWS($A$310:A453),$AF$310:$AF$459,0)),"")</f>
        <v/>
      </c>
      <c r="D453" s="35" t="str">
        <f>IFERROR(INDEX($T$310:$T$459,MATCH(ROWS($A$310:A453),$AF$310:$AF$459,0)),"")</f>
        <v/>
      </c>
      <c r="E453" s="35" t="str">
        <f>IFERROR(INDEX($U$310:$U$459,MATCH(ROWS($A$310:A453),$AF$310:$AF$459,0)),"")</f>
        <v/>
      </c>
      <c r="F453" s="35" t="str">
        <f>IFERROR(INDEX($V$310:$V$459,MATCH(ROWS($A$310:A453),$AF$310:$AF$459,0)),"")</f>
        <v/>
      </c>
      <c r="G453" s="35" t="str">
        <f>IFERROR(INDEX($W$310:$W$459,MATCH(ROWS($A$310:A453),$AF$310:$AF$459,0)),"")</f>
        <v/>
      </c>
      <c r="H453" s="35" t="str">
        <f>IFERROR(INDEX($X$310:$X$459,MATCH(ROWS($A$310:A453),$AF$310:$AF$459,0)),"")</f>
        <v/>
      </c>
      <c r="I453" s="35" t="str">
        <f>IFERROR(INDEX($Y$310:$Y$459,MATCH(ROWS($A$310:A453),$AF$310:$AF$459,0)),"")</f>
        <v/>
      </c>
      <c r="J453" s="35" t="str">
        <f>IFERROR(INDEX($Z$310:$Z$459,MATCH(ROWS($A$310:A453),$AF$310:$AF$459,0)),"")</f>
        <v/>
      </c>
      <c r="K453" s="35" t="str">
        <f>IFERROR(INDEX($AA$310:$AA$459,MATCH(ROWS($A$310:A453),$AF$310:$AF$459,0)),"")</f>
        <v/>
      </c>
      <c r="L453" s="35" t="str">
        <f>IFERROR(INDEX($AB$310:$AB$459,MATCH(ROWS($A$310:A453),$AF$310:$AF$459,0)),"")</f>
        <v/>
      </c>
      <c r="M453" s="35" t="str">
        <f>IFERROR(INDEX($AC$310:$AC$459,MATCH(ROWS($A$310:A453),$AF$310:$AF$459,0)),"")</f>
        <v/>
      </c>
      <c r="N453" s="35" t="str">
        <f>IFERROR(INDEX($AD$310:$AD$459,MATCH(ROWS($A$310:A453),$AF$310:$AF$459,0)),"")</f>
        <v/>
      </c>
      <c r="Q453" t="str">
        <f>T(JAN!B149)</f>
        <v/>
      </c>
      <c r="R453" t="str">
        <f t="array" ref="R453">IF($Q453="","",_xlfn.TEXTJOIN(", ",TRUE,IF(JAN!$G149:$AK149="FE",JAN!$G$4:$AK$4,"")))</f>
        <v/>
      </c>
      <c r="S453" t="str">
        <f t="array" ref="S453">IF($Q453="","",_xlfn.TEXTJOIN(", ",TRUE,IF(FEV!$G149:$AK149="FE",FEV!$G$4:$AK$4,"")))</f>
        <v/>
      </c>
      <c r="T453" t="str">
        <f t="array" ref="T453">IF($Q453="","",_xlfn.TEXTJOIN(", ",TRUE,IF(MAR!$G149:$AK149="FE",MAR!$G$4:$AK$4,"")))</f>
        <v/>
      </c>
      <c r="U453" t="str">
        <f t="array" ref="U453">IF($Q453="","",_xlfn.TEXTJOIN(", ",TRUE,IF(ABR!$G149:$AK149="FE",ABR!$G$4:$AK$4,"")))</f>
        <v/>
      </c>
      <c r="V453" t="str">
        <f t="array" ref="V453">IF($Q453="","",_xlfn.TEXTJOIN(", ",TRUE,IF(MAI!$G149:$AK149="FE",MAI!$G$4:$AK$4,"")))</f>
        <v/>
      </c>
      <c r="W453" t="str">
        <f t="array" ref="W453">IF($Q453="","",_xlfn.TEXTJOIN(", ",TRUE,IF(JUN!$G149:$AK149="FE",JUN!$G$4:$AK$4,"")))</f>
        <v/>
      </c>
      <c r="X453" t="str">
        <f t="array" ref="X453">IF($Q453="","",_xlfn.TEXTJOIN(", ",TRUE,IF(JUL!$G149:$AK149="FE",JUL!$G$4:$AK$4,"")))</f>
        <v/>
      </c>
      <c r="Y453" t="str">
        <f t="array" ref="Y453">IF($Q453="","",_xlfn.TEXTJOIN(", ",TRUE,IF(AGO!$G149:$AK149="FE",AGO!$G$4:$AK$4,"")))</f>
        <v/>
      </c>
      <c r="Z453" t="str">
        <f t="array" ref="Z453">IF($Q453="","",_xlfn.TEXTJOIN(", ",TRUE,IF(SET!$G149:$AK149="FE",SET!$G$4:$AK$4,"")))</f>
        <v/>
      </c>
      <c r="AA453" t="str">
        <f t="array" ref="AA453">IF($Q453="","",_xlfn.TEXTJOIN(", ",TRUE,IF(OUT!$G149:$AK149="FE",OUT!$G$4:$AK$4,"")))</f>
        <v/>
      </c>
      <c r="AB453" t="str">
        <f t="array" ref="AB453">IF($Q453="","",_xlfn.TEXTJOIN(", ",TRUE,IF(NOV!$G149:$AK149="FE",NOV!$G$4:$AK$4,"")))</f>
        <v/>
      </c>
      <c r="AC453" t="str">
        <f t="array" ref="AC453">IF($Q453="","",_xlfn.TEXTJOIN(", ",TRUE,IF(DEZ!$G149:$AK149="FE",DEZ!$G$4:$AK$4,"")))</f>
        <v/>
      </c>
      <c r="AD453" t="str">
        <f>IF($Q453="","",COUNTIF(JAN!$G149:$AK149,"FE")+COUNTIF(FEV!$G149:$AK149,"FE")+COUNTIF(MAR!$G149:$AK149,"FE")+COUNTIF(ABR!$G149:$AK149,"FE")+COUNTIF(MAI!$G149:$AK149,"FE")+COUNTIF(JUN!$G149:$AK149,"FE")+COUNTIF(JUL!$G149:$AK149,"FE")+COUNTIF(AGO!$G149:$AK149,"FE")+COUNTIF(SET!$G149:$AK149,"FE")+COUNTIF(OUT!$G149:$AK149,"FE")+COUNTIF(NOV!$G149:$AK149,"FE")+COUNTIF(DEZ!$G149:$AK149,"FE"))</f>
        <v/>
      </c>
      <c r="AF453" t="str">
        <f>IF(AND($Q453&lt;&gt;"",N($AD453)&gt;0),COUNT($AF$309:AF452)+1,"")</f>
        <v/>
      </c>
    </row>
    <row r="454" spans="1:32" x14ac:dyDescent="0.25">
      <c r="A454" s="36" t="str">
        <f>IFERROR(INDEX($Q$310:$Q$459,MATCH(ROWS($A$310:A454),$AF$310:$AF$459,0)),"")</f>
        <v/>
      </c>
      <c r="B454" s="35" t="str">
        <f>IFERROR(INDEX($R$310:$R$459,MATCH(ROWS($A$310:A454),$AF$310:$AF$459,0)),"")</f>
        <v/>
      </c>
      <c r="C454" s="35" t="str">
        <f>IFERROR(INDEX($S$310:$S$459,MATCH(ROWS($A$310:A454),$AF$310:$AF$459,0)),"")</f>
        <v/>
      </c>
      <c r="D454" s="35" t="str">
        <f>IFERROR(INDEX($T$310:$T$459,MATCH(ROWS($A$310:A454),$AF$310:$AF$459,0)),"")</f>
        <v/>
      </c>
      <c r="E454" s="35" t="str">
        <f>IFERROR(INDEX($U$310:$U$459,MATCH(ROWS($A$310:A454),$AF$310:$AF$459,0)),"")</f>
        <v/>
      </c>
      <c r="F454" s="35" t="str">
        <f>IFERROR(INDEX($V$310:$V$459,MATCH(ROWS($A$310:A454),$AF$310:$AF$459,0)),"")</f>
        <v/>
      </c>
      <c r="G454" s="35" t="str">
        <f>IFERROR(INDEX($W$310:$W$459,MATCH(ROWS($A$310:A454),$AF$310:$AF$459,0)),"")</f>
        <v/>
      </c>
      <c r="H454" s="35" t="str">
        <f>IFERROR(INDEX($X$310:$X$459,MATCH(ROWS($A$310:A454),$AF$310:$AF$459,0)),"")</f>
        <v/>
      </c>
      <c r="I454" s="35" t="str">
        <f>IFERROR(INDEX($Y$310:$Y$459,MATCH(ROWS($A$310:A454),$AF$310:$AF$459,0)),"")</f>
        <v/>
      </c>
      <c r="J454" s="35" t="str">
        <f>IFERROR(INDEX($Z$310:$Z$459,MATCH(ROWS($A$310:A454),$AF$310:$AF$459,0)),"")</f>
        <v/>
      </c>
      <c r="K454" s="35" t="str">
        <f>IFERROR(INDEX($AA$310:$AA$459,MATCH(ROWS($A$310:A454),$AF$310:$AF$459,0)),"")</f>
        <v/>
      </c>
      <c r="L454" s="35" t="str">
        <f>IFERROR(INDEX($AB$310:$AB$459,MATCH(ROWS($A$310:A454),$AF$310:$AF$459,0)),"")</f>
        <v/>
      </c>
      <c r="M454" s="35" t="str">
        <f>IFERROR(INDEX($AC$310:$AC$459,MATCH(ROWS($A$310:A454),$AF$310:$AF$459,0)),"")</f>
        <v/>
      </c>
      <c r="N454" s="35" t="str">
        <f>IFERROR(INDEX($AD$310:$AD$459,MATCH(ROWS($A$310:A454),$AF$310:$AF$459,0)),"")</f>
        <v/>
      </c>
      <c r="Q454" t="str">
        <f>T(JAN!B150)</f>
        <v/>
      </c>
      <c r="R454" t="str">
        <f t="array" ref="R454">IF($Q454="","",_xlfn.TEXTJOIN(", ",TRUE,IF(JAN!$G150:$AK150="FE",JAN!$G$4:$AK$4,"")))</f>
        <v/>
      </c>
      <c r="S454" t="str">
        <f t="array" ref="S454">IF($Q454="","",_xlfn.TEXTJOIN(", ",TRUE,IF(FEV!$G150:$AK150="FE",FEV!$G$4:$AK$4,"")))</f>
        <v/>
      </c>
      <c r="T454" t="str">
        <f t="array" ref="T454">IF($Q454="","",_xlfn.TEXTJOIN(", ",TRUE,IF(MAR!$G150:$AK150="FE",MAR!$G$4:$AK$4,"")))</f>
        <v/>
      </c>
      <c r="U454" t="str">
        <f t="array" ref="U454">IF($Q454="","",_xlfn.TEXTJOIN(", ",TRUE,IF(ABR!$G150:$AK150="FE",ABR!$G$4:$AK$4,"")))</f>
        <v/>
      </c>
      <c r="V454" t="str">
        <f t="array" ref="V454">IF($Q454="","",_xlfn.TEXTJOIN(", ",TRUE,IF(MAI!$G150:$AK150="FE",MAI!$G$4:$AK$4,"")))</f>
        <v/>
      </c>
      <c r="W454" t="str">
        <f t="array" ref="W454">IF($Q454="","",_xlfn.TEXTJOIN(", ",TRUE,IF(JUN!$G150:$AK150="FE",JUN!$G$4:$AK$4,"")))</f>
        <v/>
      </c>
      <c r="X454" t="str">
        <f t="array" ref="X454">IF($Q454="","",_xlfn.TEXTJOIN(", ",TRUE,IF(JUL!$G150:$AK150="FE",JUL!$G$4:$AK$4,"")))</f>
        <v/>
      </c>
      <c r="Y454" t="str">
        <f t="array" ref="Y454">IF($Q454="","",_xlfn.TEXTJOIN(", ",TRUE,IF(AGO!$G150:$AK150="FE",AGO!$G$4:$AK$4,"")))</f>
        <v/>
      </c>
      <c r="Z454" t="str">
        <f t="array" ref="Z454">IF($Q454="","",_xlfn.TEXTJOIN(", ",TRUE,IF(SET!$G150:$AK150="FE",SET!$G$4:$AK$4,"")))</f>
        <v/>
      </c>
      <c r="AA454" t="str">
        <f t="array" ref="AA454">IF($Q454="","",_xlfn.TEXTJOIN(", ",TRUE,IF(OUT!$G150:$AK150="FE",OUT!$G$4:$AK$4,"")))</f>
        <v/>
      </c>
      <c r="AB454" t="str">
        <f t="array" ref="AB454">IF($Q454="","",_xlfn.TEXTJOIN(", ",TRUE,IF(NOV!$G150:$AK150="FE",NOV!$G$4:$AK$4,"")))</f>
        <v/>
      </c>
      <c r="AC454" t="str">
        <f t="array" ref="AC454">IF($Q454="","",_xlfn.TEXTJOIN(", ",TRUE,IF(DEZ!$G150:$AK150="FE",DEZ!$G$4:$AK$4,"")))</f>
        <v/>
      </c>
      <c r="AD454" t="str">
        <f>IF($Q454="","",COUNTIF(JAN!$G150:$AK150,"FE")+COUNTIF(FEV!$G150:$AK150,"FE")+COUNTIF(MAR!$G150:$AK150,"FE")+COUNTIF(ABR!$G150:$AK150,"FE")+COUNTIF(MAI!$G150:$AK150,"FE")+COUNTIF(JUN!$G150:$AK150,"FE")+COUNTIF(JUL!$G150:$AK150,"FE")+COUNTIF(AGO!$G150:$AK150,"FE")+COUNTIF(SET!$G150:$AK150,"FE")+COUNTIF(OUT!$G150:$AK150,"FE")+COUNTIF(NOV!$G150:$AK150,"FE")+COUNTIF(DEZ!$G150:$AK150,"FE"))</f>
        <v/>
      </c>
      <c r="AF454" t="str">
        <f>IF(AND($Q454&lt;&gt;"",N($AD454)&gt;0),COUNT($AF$309:AF453)+1,"")</f>
        <v/>
      </c>
    </row>
    <row r="455" spans="1:32" x14ac:dyDescent="0.25">
      <c r="A455" s="36" t="str">
        <f>IFERROR(INDEX($Q$310:$Q$459,MATCH(ROWS($A$310:A455),$AF$310:$AF$459,0)),"")</f>
        <v/>
      </c>
      <c r="B455" s="35" t="str">
        <f>IFERROR(INDEX($R$310:$R$459,MATCH(ROWS($A$310:A455),$AF$310:$AF$459,0)),"")</f>
        <v/>
      </c>
      <c r="C455" s="35" t="str">
        <f>IFERROR(INDEX($S$310:$S$459,MATCH(ROWS($A$310:A455),$AF$310:$AF$459,0)),"")</f>
        <v/>
      </c>
      <c r="D455" s="35" t="str">
        <f>IFERROR(INDEX($T$310:$T$459,MATCH(ROWS($A$310:A455),$AF$310:$AF$459,0)),"")</f>
        <v/>
      </c>
      <c r="E455" s="35" t="str">
        <f>IFERROR(INDEX($U$310:$U$459,MATCH(ROWS($A$310:A455),$AF$310:$AF$459,0)),"")</f>
        <v/>
      </c>
      <c r="F455" s="35" t="str">
        <f>IFERROR(INDEX($V$310:$V$459,MATCH(ROWS($A$310:A455),$AF$310:$AF$459,0)),"")</f>
        <v/>
      </c>
      <c r="G455" s="35" t="str">
        <f>IFERROR(INDEX($W$310:$W$459,MATCH(ROWS($A$310:A455),$AF$310:$AF$459,0)),"")</f>
        <v/>
      </c>
      <c r="H455" s="35" t="str">
        <f>IFERROR(INDEX($X$310:$X$459,MATCH(ROWS($A$310:A455),$AF$310:$AF$459,0)),"")</f>
        <v/>
      </c>
      <c r="I455" s="35" t="str">
        <f>IFERROR(INDEX($Y$310:$Y$459,MATCH(ROWS($A$310:A455),$AF$310:$AF$459,0)),"")</f>
        <v/>
      </c>
      <c r="J455" s="35" t="str">
        <f>IFERROR(INDEX($Z$310:$Z$459,MATCH(ROWS($A$310:A455),$AF$310:$AF$459,0)),"")</f>
        <v/>
      </c>
      <c r="K455" s="35" t="str">
        <f>IFERROR(INDEX($AA$310:$AA$459,MATCH(ROWS($A$310:A455),$AF$310:$AF$459,0)),"")</f>
        <v/>
      </c>
      <c r="L455" s="35" t="str">
        <f>IFERROR(INDEX($AB$310:$AB$459,MATCH(ROWS($A$310:A455),$AF$310:$AF$459,0)),"")</f>
        <v/>
      </c>
      <c r="M455" s="35" t="str">
        <f>IFERROR(INDEX($AC$310:$AC$459,MATCH(ROWS($A$310:A455),$AF$310:$AF$459,0)),"")</f>
        <v/>
      </c>
      <c r="N455" s="35" t="str">
        <f>IFERROR(INDEX($AD$310:$AD$459,MATCH(ROWS($A$310:A455),$AF$310:$AF$459,0)),"")</f>
        <v/>
      </c>
      <c r="Q455" t="str">
        <f>T(JAN!B151)</f>
        <v/>
      </c>
      <c r="R455" t="str">
        <f t="array" ref="R455">IF($Q455="","",_xlfn.TEXTJOIN(", ",TRUE,IF(JAN!$G151:$AK151="FE",JAN!$G$4:$AK$4,"")))</f>
        <v/>
      </c>
      <c r="S455" t="str">
        <f t="array" ref="S455">IF($Q455="","",_xlfn.TEXTJOIN(", ",TRUE,IF(FEV!$G151:$AK151="FE",FEV!$G$4:$AK$4,"")))</f>
        <v/>
      </c>
      <c r="T455" t="str">
        <f t="array" ref="T455">IF($Q455="","",_xlfn.TEXTJOIN(", ",TRUE,IF(MAR!$G151:$AK151="FE",MAR!$G$4:$AK$4,"")))</f>
        <v/>
      </c>
      <c r="U455" t="str">
        <f t="array" ref="U455">IF($Q455="","",_xlfn.TEXTJOIN(", ",TRUE,IF(ABR!$G151:$AK151="FE",ABR!$G$4:$AK$4,"")))</f>
        <v/>
      </c>
      <c r="V455" t="str">
        <f t="array" ref="V455">IF($Q455="","",_xlfn.TEXTJOIN(", ",TRUE,IF(MAI!$G151:$AK151="FE",MAI!$G$4:$AK$4,"")))</f>
        <v/>
      </c>
      <c r="W455" t="str">
        <f t="array" ref="W455">IF($Q455="","",_xlfn.TEXTJOIN(", ",TRUE,IF(JUN!$G151:$AK151="FE",JUN!$G$4:$AK$4,"")))</f>
        <v/>
      </c>
      <c r="X455" t="str">
        <f t="array" ref="X455">IF($Q455="","",_xlfn.TEXTJOIN(", ",TRUE,IF(JUL!$G151:$AK151="FE",JUL!$G$4:$AK$4,"")))</f>
        <v/>
      </c>
      <c r="Y455" t="str">
        <f t="array" ref="Y455">IF($Q455="","",_xlfn.TEXTJOIN(", ",TRUE,IF(AGO!$G151:$AK151="FE",AGO!$G$4:$AK$4,"")))</f>
        <v/>
      </c>
      <c r="Z455" t="str">
        <f t="array" ref="Z455">IF($Q455="","",_xlfn.TEXTJOIN(", ",TRUE,IF(SET!$G151:$AK151="FE",SET!$G$4:$AK$4,"")))</f>
        <v/>
      </c>
      <c r="AA455" t="str">
        <f t="array" ref="AA455">IF($Q455="","",_xlfn.TEXTJOIN(", ",TRUE,IF(OUT!$G151:$AK151="FE",OUT!$G$4:$AK$4,"")))</f>
        <v/>
      </c>
      <c r="AB455" t="str">
        <f t="array" ref="AB455">IF($Q455="","",_xlfn.TEXTJOIN(", ",TRUE,IF(NOV!$G151:$AK151="FE",NOV!$G$4:$AK$4,"")))</f>
        <v/>
      </c>
      <c r="AC455" t="str">
        <f t="array" ref="AC455">IF($Q455="","",_xlfn.TEXTJOIN(", ",TRUE,IF(DEZ!$G151:$AK151="FE",DEZ!$G$4:$AK$4,"")))</f>
        <v/>
      </c>
      <c r="AD455" t="str">
        <f>IF($Q455="","",COUNTIF(JAN!$G151:$AK151,"FE")+COUNTIF(FEV!$G151:$AK151,"FE")+COUNTIF(MAR!$G151:$AK151,"FE")+COUNTIF(ABR!$G151:$AK151,"FE")+COUNTIF(MAI!$G151:$AK151,"FE")+COUNTIF(JUN!$G151:$AK151,"FE")+COUNTIF(JUL!$G151:$AK151,"FE")+COUNTIF(AGO!$G151:$AK151,"FE")+COUNTIF(SET!$G151:$AK151,"FE")+COUNTIF(OUT!$G151:$AK151,"FE")+COUNTIF(NOV!$G151:$AK151,"FE")+COUNTIF(DEZ!$G151:$AK151,"FE"))</f>
        <v/>
      </c>
      <c r="AF455" t="str">
        <f>IF(AND($Q455&lt;&gt;"",N($AD455)&gt;0),COUNT($AF$309:AF454)+1,"")</f>
        <v/>
      </c>
    </row>
    <row r="456" spans="1:32" x14ac:dyDescent="0.25">
      <c r="A456" s="36" t="str">
        <f>IFERROR(INDEX($Q$310:$Q$459,MATCH(ROWS($A$310:A456),$AF$310:$AF$459,0)),"")</f>
        <v/>
      </c>
      <c r="B456" s="35" t="str">
        <f>IFERROR(INDEX($R$310:$R$459,MATCH(ROWS($A$310:A456),$AF$310:$AF$459,0)),"")</f>
        <v/>
      </c>
      <c r="C456" s="35" t="str">
        <f>IFERROR(INDEX($S$310:$S$459,MATCH(ROWS($A$310:A456),$AF$310:$AF$459,0)),"")</f>
        <v/>
      </c>
      <c r="D456" s="35" t="str">
        <f>IFERROR(INDEX($T$310:$T$459,MATCH(ROWS($A$310:A456),$AF$310:$AF$459,0)),"")</f>
        <v/>
      </c>
      <c r="E456" s="35" t="str">
        <f>IFERROR(INDEX($U$310:$U$459,MATCH(ROWS($A$310:A456),$AF$310:$AF$459,0)),"")</f>
        <v/>
      </c>
      <c r="F456" s="35" t="str">
        <f>IFERROR(INDEX($V$310:$V$459,MATCH(ROWS($A$310:A456),$AF$310:$AF$459,0)),"")</f>
        <v/>
      </c>
      <c r="G456" s="35" t="str">
        <f>IFERROR(INDEX($W$310:$W$459,MATCH(ROWS($A$310:A456),$AF$310:$AF$459,0)),"")</f>
        <v/>
      </c>
      <c r="H456" s="35" t="str">
        <f>IFERROR(INDEX($X$310:$X$459,MATCH(ROWS($A$310:A456),$AF$310:$AF$459,0)),"")</f>
        <v/>
      </c>
      <c r="I456" s="35" t="str">
        <f>IFERROR(INDEX($Y$310:$Y$459,MATCH(ROWS($A$310:A456),$AF$310:$AF$459,0)),"")</f>
        <v/>
      </c>
      <c r="J456" s="35" t="str">
        <f>IFERROR(INDEX($Z$310:$Z$459,MATCH(ROWS($A$310:A456),$AF$310:$AF$459,0)),"")</f>
        <v/>
      </c>
      <c r="K456" s="35" t="str">
        <f>IFERROR(INDEX($AA$310:$AA$459,MATCH(ROWS($A$310:A456),$AF$310:$AF$459,0)),"")</f>
        <v/>
      </c>
      <c r="L456" s="35" t="str">
        <f>IFERROR(INDEX($AB$310:$AB$459,MATCH(ROWS($A$310:A456),$AF$310:$AF$459,0)),"")</f>
        <v/>
      </c>
      <c r="M456" s="35" t="str">
        <f>IFERROR(INDEX($AC$310:$AC$459,MATCH(ROWS($A$310:A456),$AF$310:$AF$459,0)),"")</f>
        <v/>
      </c>
      <c r="N456" s="35" t="str">
        <f>IFERROR(INDEX($AD$310:$AD$459,MATCH(ROWS($A$310:A456),$AF$310:$AF$459,0)),"")</f>
        <v/>
      </c>
      <c r="Q456" t="str">
        <f>T(JAN!B152)</f>
        <v/>
      </c>
      <c r="R456" t="str">
        <f t="array" ref="R456">IF($Q456="","",_xlfn.TEXTJOIN(", ",TRUE,IF(JAN!$G152:$AK152="FE",JAN!$G$4:$AK$4,"")))</f>
        <v/>
      </c>
      <c r="S456" t="str">
        <f t="array" ref="S456">IF($Q456="","",_xlfn.TEXTJOIN(", ",TRUE,IF(FEV!$G152:$AK152="FE",FEV!$G$4:$AK$4,"")))</f>
        <v/>
      </c>
      <c r="T456" t="str">
        <f t="array" ref="T456">IF($Q456="","",_xlfn.TEXTJOIN(", ",TRUE,IF(MAR!$G152:$AK152="FE",MAR!$G$4:$AK$4,"")))</f>
        <v/>
      </c>
      <c r="U456" t="str">
        <f t="array" ref="U456">IF($Q456="","",_xlfn.TEXTJOIN(", ",TRUE,IF(ABR!$G152:$AK152="FE",ABR!$G$4:$AK$4,"")))</f>
        <v/>
      </c>
      <c r="V456" t="str">
        <f t="array" ref="V456">IF($Q456="","",_xlfn.TEXTJOIN(", ",TRUE,IF(MAI!$G152:$AK152="FE",MAI!$G$4:$AK$4,"")))</f>
        <v/>
      </c>
      <c r="W456" t="str">
        <f t="array" ref="W456">IF($Q456="","",_xlfn.TEXTJOIN(", ",TRUE,IF(JUN!$G152:$AK152="FE",JUN!$G$4:$AK$4,"")))</f>
        <v/>
      </c>
      <c r="X456" t="str">
        <f t="array" ref="X456">IF($Q456="","",_xlfn.TEXTJOIN(", ",TRUE,IF(JUL!$G152:$AK152="FE",JUL!$G$4:$AK$4,"")))</f>
        <v/>
      </c>
      <c r="Y456" t="str">
        <f t="array" ref="Y456">IF($Q456="","",_xlfn.TEXTJOIN(", ",TRUE,IF(AGO!$G152:$AK152="FE",AGO!$G$4:$AK$4,"")))</f>
        <v/>
      </c>
      <c r="Z456" t="str">
        <f t="array" ref="Z456">IF($Q456="","",_xlfn.TEXTJOIN(", ",TRUE,IF(SET!$G152:$AK152="FE",SET!$G$4:$AK$4,"")))</f>
        <v/>
      </c>
      <c r="AA456" t="str">
        <f t="array" ref="AA456">IF($Q456="","",_xlfn.TEXTJOIN(", ",TRUE,IF(OUT!$G152:$AK152="FE",OUT!$G$4:$AK$4,"")))</f>
        <v/>
      </c>
      <c r="AB456" t="str">
        <f t="array" ref="AB456">IF($Q456="","",_xlfn.TEXTJOIN(", ",TRUE,IF(NOV!$G152:$AK152="FE",NOV!$G$4:$AK$4,"")))</f>
        <v/>
      </c>
      <c r="AC456" t="str">
        <f t="array" ref="AC456">IF($Q456="","",_xlfn.TEXTJOIN(", ",TRUE,IF(DEZ!$G152:$AK152="FE",DEZ!$G$4:$AK$4,"")))</f>
        <v/>
      </c>
      <c r="AD456" t="str">
        <f>IF($Q456="","",COUNTIF(JAN!$G152:$AK152,"FE")+COUNTIF(FEV!$G152:$AK152,"FE")+COUNTIF(MAR!$G152:$AK152,"FE")+COUNTIF(ABR!$G152:$AK152,"FE")+COUNTIF(MAI!$G152:$AK152,"FE")+COUNTIF(JUN!$G152:$AK152,"FE")+COUNTIF(JUL!$G152:$AK152,"FE")+COUNTIF(AGO!$G152:$AK152,"FE")+COUNTIF(SET!$G152:$AK152,"FE")+COUNTIF(OUT!$G152:$AK152,"FE")+COUNTIF(NOV!$G152:$AK152,"FE")+COUNTIF(DEZ!$G152:$AK152,"FE"))</f>
        <v/>
      </c>
      <c r="AF456" t="str">
        <f>IF(AND($Q456&lt;&gt;"",N($AD456)&gt;0),COUNT($AF$309:AF455)+1,"")</f>
        <v/>
      </c>
    </row>
    <row r="457" spans="1:32" x14ac:dyDescent="0.25">
      <c r="A457" s="36" t="str">
        <f>IFERROR(INDEX($Q$310:$Q$459,MATCH(ROWS($A$310:A457),$AF$310:$AF$459,0)),"")</f>
        <v/>
      </c>
      <c r="B457" s="35" t="str">
        <f>IFERROR(INDEX($R$310:$R$459,MATCH(ROWS($A$310:A457),$AF$310:$AF$459,0)),"")</f>
        <v/>
      </c>
      <c r="C457" s="35" t="str">
        <f>IFERROR(INDEX($S$310:$S$459,MATCH(ROWS($A$310:A457),$AF$310:$AF$459,0)),"")</f>
        <v/>
      </c>
      <c r="D457" s="35" t="str">
        <f>IFERROR(INDEX($T$310:$T$459,MATCH(ROWS($A$310:A457),$AF$310:$AF$459,0)),"")</f>
        <v/>
      </c>
      <c r="E457" s="35" t="str">
        <f>IFERROR(INDEX($U$310:$U$459,MATCH(ROWS($A$310:A457),$AF$310:$AF$459,0)),"")</f>
        <v/>
      </c>
      <c r="F457" s="35" t="str">
        <f>IFERROR(INDEX($V$310:$V$459,MATCH(ROWS($A$310:A457),$AF$310:$AF$459,0)),"")</f>
        <v/>
      </c>
      <c r="G457" s="35" t="str">
        <f>IFERROR(INDEX($W$310:$W$459,MATCH(ROWS($A$310:A457),$AF$310:$AF$459,0)),"")</f>
        <v/>
      </c>
      <c r="H457" s="35" t="str">
        <f>IFERROR(INDEX($X$310:$X$459,MATCH(ROWS($A$310:A457),$AF$310:$AF$459,0)),"")</f>
        <v/>
      </c>
      <c r="I457" s="35" t="str">
        <f>IFERROR(INDEX($Y$310:$Y$459,MATCH(ROWS($A$310:A457),$AF$310:$AF$459,0)),"")</f>
        <v/>
      </c>
      <c r="J457" s="35" t="str">
        <f>IFERROR(INDEX($Z$310:$Z$459,MATCH(ROWS($A$310:A457),$AF$310:$AF$459,0)),"")</f>
        <v/>
      </c>
      <c r="K457" s="35" t="str">
        <f>IFERROR(INDEX($AA$310:$AA$459,MATCH(ROWS($A$310:A457),$AF$310:$AF$459,0)),"")</f>
        <v/>
      </c>
      <c r="L457" s="35" t="str">
        <f>IFERROR(INDEX($AB$310:$AB$459,MATCH(ROWS($A$310:A457),$AF$310:$AF$459,0)),"")</f>
        <v/>
      </c>
      <c r="M457" s="35" t="str">
        <f>IFERROR(INDEX($AC$310:$AC$459,MATCH(ROWS($A$310:A457),$AF$310:$AF$459,0)),"")</f>
        <v/>
      </c>
      <c r="N457" s="35" t="str">
        <f>IFERROR(INDEX($AD$310:$AD$459,MATCH(ROWS($A$310:A457),$AF$310:$AF$459,0)),"")</f>
        <v/>
      </c>
      <c r="Q457" t="str">
        <f>T(JAN!B153)</f>
        <v/>
      </c>
      <c r="R457" t="str">
        <f t="array" ref="R457">IF($Q457="","",_xlfn.TEXTJOIN(", ",TRUE,IF(JAN!$G153:$AK153="FE",JAN!$G$4:$AK$4,"")))</f>
        <v/>
      </c>
      <c r="S457" t="str">
        <f t="array" ref="S457">IF($Q457="","",_xlfn.TEXTJOIN(", ",TRUE,IF(FEV!$G153:$AK153="FE",FEV!$G$4:$AK$4,"")))</f>
        <v/>
      </c>
      <c r="T457" t="str">
        <f t="array" ref="T457">IF($Q457="","",_xlfn.TEXTJOIN(", ",TRUE,IF(MAR!$G153:$AK153="FE",MAR!$G$4:$AK$4,"")))</f>
        <v/>
      </c>
      <c r="U457" t="str">
        <f t="array" ref="U457">IF($Q457="","",_xlfn.TEXTJOIN(", ",TRUE,IF(ABR!$G153:$AK153="FE",ABR!$G$4:$AK$4,"")))</f>
        <v/>
      </c>
      <c r="V457" t="str">
        <f t="array" ref="V457">IF($Q457="","",_xlfn.TEXTJOIN(", ",TRUE,IF(MAI!$G153:$AK153="FE",MAI!$G$4:$AK$4,"")))</f>
        <v/>
      </c>
      <c r="W457" t="str">
        <f t="array" ref="W457">IF($Q457="","",_xlfn.TEXTJOIN(", ",TRUE,IF(JUN!$G153:$AK153="FE",JUN!$G$4:$AK$4,"")))</f>
        <v/>
      </c>
      <c r="X457" t="str">
        <f t="array" ref="X457">IF($Q457="","",_xlfn.TEXTJOIN(", ",TRUE,IF(JUL!$G153:$AK153="FE",JUL!$G$4:$AK$4,"")))</f>
        <v/>
      </c>
      <c r="Y457" t="str">
        <f t="array" ref="Y457">IF($Q457="","",_xlfn.TEXTJOIN(", ",TRUE,IF(AGO!$G153:$AK153="FE",AGO!$G$4:$AK$4,"")))</f>
        <v/>
      </c>
      <c r="Z457" t="str">
        <f t="array" ref="Z457">IF($Q457="","",_xlfn.TEXTJOIN(", ",TRUE,IF(SET!$G153:$AK153="FE",SET!$G$4:$AK$4,"")))</f>
        <v/>
      </c>
      <c r="AA457" t="str">
        <f t="array" ref="AA457">IF($Q457="","",_xlfn.TEXTJOIN(", ",TRUE,IF(OUT!$G153:$AK153="FE",OUT!$G$4:$AK$4,"")))</f>
        <v/>
      </c>
      <c r="AB457" t="str">
        <f t="array" ref="AB457">IF($Q457="","",_xlfn.TEXTJOIN(", ",TRUE,IF(NOV!$G153:$AK153="FE",NOV!$G$4:$AK$4,"")))</f>
        <v/>
      </c>
      <c r="AC457" t="str">
        <f t="array" ref="AC457">IF($Q457="","",_xlfn.TEXTJOIN(", ",TRUE,IF(DEZ!$G153:$AK153="FE",DEZ!$G$4:$AK$4,"")))</f>
        <v/>
      </c>
      <c r="AD457" t="str">
        <f>IF($Q457="","",COUNTIF(JAN!$G153:$AK153,"FE")+COUNTIF(FEV!$G153:$AK153,"FE")+COUNTIF(MAR!$G153:$AK153,"FE")+COUNTIF(ABR!$G153:$AK153,"FE")+COUNTIF(MAI!$G153:$AK153,"FE")+COUNTIF(JUN!$G153:$AK153,"FE")+COUNTIF(JUL!$G153:$AK153,"FE")+COUNTIF(AGO!$G153:$AK153,"FE")+COUNTIF(SET!$G153:$AK153,"FE")+COUNTIF(OUT!$G153:$AK153,"FE")+COUNTIF(NOV!$G153:$AK153,"FE")+COUNTIF(DEZ!$G153:$AK153,"FE"))</f>
        <v/>
      </c>
      <c r="AF457" t="str">
        <f>IF(AND($Q457&lt;&gt;"",N($AD457)&gt;0),COUNT($AF$309:AF456)+1,"")</f>
        <v/>
      </c>
    </row>
    <row r="458" spans="1:32" x14ac:dyDescent="0.25">
      <c r="A458" s="36" t="str">
        <f>IFERROR(INDEX($Q$310:$Q$459,MATCH(ROWS($A$310:A458),$AF$310:$AF$459,0)),"")</f>
        <v/>
      </c>
      <c r="B458" s="35" t="str">
        <f>IFERROR(INDEX($R$310:$R$459,MATCH(ROWS($A$310:A458),$AF$310:$AF$459,0)),"")</f>
        <v/>
      </c>
      <c r="C458" s="35" t="str">
        <f>IFERROR(INDEX($S$310:$S$459,MATCH(ROWS($A$310:A458),$AF$310:$AF$459,0)),"")</f>
        <v/>
      </c>
      <c r="D458" s="35" t="str">
        <f>IFERROR(INDEX($T$310:$T$459,MATCH(ROWS($A$310:A458),$AF$310:$AF$459,0)),"")</f>
        <v/>
      </c>
      <c r="E458" s="35" t="str">
        <f>IFERROR(INDEX($U$310:$U$459,MATCH(ROWS($A$310:A458),$AF$310:$AF$459,0)),"")</f>
        <v/>
      </c>
      <c r="F458" s="35" t="str">
        <f>IFERROR(INDEX($V$310:$V$459,MATCH(ROWS($A$310:A458),$AF$310:$AF$459,0)),"")</f>
        <v/>
      </c>
      <c r="G458" s="35" t="str">
        <f>IFERROR(INDEX($W$310:$W$459,MATCH(ROWS($A$310:A458),$AF$310:$AF$459,0)),"")</f>
        <v/>
      </c>
      <c r="H458" s="35" t="str">
        <f>IFERROR(INDEX($X$310:$X$459,MATCH(ROWS($A$310:A458),$AF$310:$AF$459,0)),"")</f>
        <v/>
      </c>
      <c r="I458" s="35" t="str">
        <f>IFERROR(INDEX($Y$310:$Y$459,MATCH(ROWS($A$310:A458),$AF$310:$AF$459,0)),"")</f>
        <v/>
      </c>
      <c r="J458" s="35" t="str">
        <f>IFERROR(INDEX($Z$310:$Z$459,MATCH(ROWS($A$310:A458),$AF$310:$AF$459,0)),"")</f>
        <v/>
      </c>
      <c r="K458" s="35" t="str">
        <f>IFERROR(INDEX($AA$310:$AA$459,MATCH(ROWS($A$310:A458),$AF$310:$AF$459,0)),"")</f>
        <v/>
      </c>
      <c r="L458" s="35" t="str">
        <f>IFERROR(INDEX($AB$310:$AB$459,MATCH(ROWS($A$310:A458),$AF$310:$AF$459,0)),"")</f>
        <v/>
      </c>
      <c r="M458" s="35" t="str">
        <f>IFERROR(INDEX($AC$310:$AC$459,MATCH(ROWS($A$310:A458),$AF$310:$AF$459,0)),"")</f>
        <v/>
      </c>
      <c r="N458" s="35" t="str">
        <f>IFERROR(INDEX($AD$310:$AD$459,MATCH(ROWS($A$310:A458),$AF$310:$AF$459,0)),"")</f>
        <v/>
      </c>
      <c r="Q458" t="str">
        <f>T(JAN!B154)</f>
        <v/>
      </c>
      <c r="R458" t="str">
        <f t="array" ref="R458">IF($Q458="","",_xlfn.TEXTJOIN(", ",TRUE,IF(JAN!$G154:$AK154="FE",JAN!$G$4:$AK$4,"")))</f>
        <v/>
      </c>
      <c r="S458" t="str">
        <f t="array" ref="S458">IF($Q458="","",_xlfn.TEXTJOIN(", ",TRUE,IF(FEV!$G154:$AK154="FE",FEV!$G$4:$AK$4,"")))</f>
        <v/>
      </c>
      <c r="T458" t="str">
        <f t="array" ref="T458">IF($Q458="","",_xlfn.TEXTJOIN(", ",TRUE,IF(MAR!$G154:$AK154="FE",MAR!$G$4:$AK$4,"")))</f>
        <v/>
      </c>
      <c r="U458" t="str">
        <f t="array" ref="U458">IF($Q458="","",_xlfn.TEXTJOIN(", ",TRUE,IF(ABR!$G154:$AK154="FE",ABR!$G$4:$AK$4,"")))</f>
        <v/>
      </c>
      <c r="V458" t="str">
        <f t="array" ref="V458">IF($Q458="","",_xlfn.TEXTJOIN(", ",TRUE,IF(MAI!$G154:$AK154="FE",MAI!$G$4:$AK$4,"")))</f>
        <v/>
      </c>
      <c r="W458" t="str">
        <f t="array" ref="W458">IF($Q458="","",_xlfn.TEXTJOIN(", ",TRUE,IF(JUN!$G154:$AK154="FE",JUN!$G$4:$AK$4,"")))</f>
        <v/>
      </c>
      <c r="X458" t="str">
        <f t="array" ref="X458">IF($Q458="","",_xlfn.TEXTJOIN(", ",TRUE,IF(JUL!$G154:$AK154="FE",JUL!$G$4:$AK$4,"")))</f>
        <v/>
      </c>
      <c r="Y458" t="str">
        <f t="array" ref="Y458">IF($Q458="","",_xlfn.TEXTJOIN(", ",TRUE,IF(AGO!$G154:$AK154="FE",AGO!$G$4:$AK$4,"")))</f>
        <v/>
      </c>
      <c r="Z458" t="str">
        <f t="array" ref="Z458">IF($Q458="","",_xlfn.TEXTJOIN(", ",TRUE,IF(SET!$G154:$AK154="FE",SET!$G$4:$AK$4,"")))</f>
        <v/>
      </c>
      <c r="AA458" t="str">
        <f t="array" ref="AA458">IF($Q458="","",_xlfn.TEXTJOIN(", ",TRUE,IF(OUT!$G154:$AK154="FE",OUT!$G$4:$AK$4,"")))</f>
        <v/>
      </c>
      <c r="AB458" t="str">
        <f t="array" ref="AB458">IF($Q458="","",_xlfn.TEXTJOIN(", ",TRUE,IF(NOV!$G154:$AK154="FE",NOV!$G$4:$AK$4,"")))</f>
        <v/>
      </c>
      <c r="AC458" t="str">
        <f t="array" ref="AC458">IF($Q458="","",_xlfn.TEXTJOIN(", ",TRUE,IF(DEZ!$G154:$AK154="FE",DEZ!$G$4:$AK$4,"")))</f>
        <v/>
      </c>
      <c r="AD458" t="str">
        <f>IF($Q458="","",COUNTIF(JAN!$G154:$AK154,"FE")+COUNTIF(FEV!$G154:$AK154,"FE")+COUNTIF(MAR!$G154:$AK154,"FE")+COUNTIF(ABR!$G154:$AK154,"FE")+COUNTIF(MAI!$G154:$AK154,"FE")+COUNTIF(JUN!$G154:$AK154,"FE")+COUNTIF(JUL!$G154:$AK154,"FE")+COUNTIF(AGO!$G154:$AK154,"FE")+COUNTIF(SET!$G154:$AK154,"FE")+COUNTIF(OUT!$G154:$AK154,"FE")+COUNTIF(NOV!$G154:$AK154,"FE")+COUNTIF(DEZ!$G154:$AK154,"FE"))</f>
        <v/>
      </c>
      <c r="AF458" t="str">
        <f>IF(AND($Q458&lt;&gt;"",N($AD458)&gt;0),COUNT($AF$309:AF457)+1,"")</f>
        <v/>
      </c>
    </row>
    <row r="459" spans="1:32" x14ac:dyDescent="0.25">
      <c r="A459" s="36" t="str">
        <f>IFERROR(INDEX($Q$310:$Q$459,MATCH(ROWS($A$310:A459),$AF$310:$AF$459,0)),"")</f>
        <v/>
      </c>
      <c r="B459" s="35" t="str">
        <f>IFERROR(INDEX($R$310:$R$459,MATCH(ROWS($A$310:A459),$AF$310:$AF$459,0)),"")</f>
        <v/>
      </c>
      <c r="C459" s="35" t="str">
        <f>IFERROR(INDEX($S$310:$S$459,MATCH(ROWS($A$310:A459),$AF$310:$AF$459,0)),"")</f>
        <v/>
      </c>
      <c r="D459" s="35" t="str">
        <f>IFERROR(INDEX($T$310:$T$459,MATCH(ROWS($A$310:A459),$AF$310:$AF$459,0)),"")</f>
        <v/>
      </c>
      <c r="E459" s="35" t="str">
        <f>IFERROR(INDEX($U$310:$U$459,MATCH(ROWS($A$310:A459),$AF$310:$AF$459,0)),"")</f>
        <v/>
      </c>
      <c r="F459" s="35" t="str">
        <f>IFERROR(INDEX($V$310:$V$459,MATCH(ROWS($A$310:A459),$AF$310:$AF$459,0)),"")</f>
        <v/>
      </c>
      <c r="G459" s="35" t="str">
        <f>IFERROR(INDEX($W$310:$W$459,MATCH(ROWS($A$310:A459),$AF$310:$AF$459,0)),"")</f>
        <v/>
      </c>
      <c r="H459" s="35" t="str">
        <f>IFERROR(INDEX($X$310:$X$459,MATCH(ROWS($A$310:A459),$AF$310:$AF$459,0)),"")</f>
        <v/>
      </c>
      <c r="I459" s="35" t="str">
        <f>IFERROR(INDEX($Y$310:$Y$459,MATCH(ROWS($A$310:A459),$AF$310:$AF$459,0)),"")</f>
        <v/>
      </c>
      <c r="J459" s="35" t="str">
        <f>IFERROR(INDEX($Z$310:$Z$459,MATCH(ROWS($A$310:A459),$AF$310:$AF$459,0)),"")</f>
        <v/>
      </c>
      <c r="K459" s="35" t="str">
        <f>IFERROR(INDEX($AA$310:$AA$459,MATCH(ROWS($A$310:A459),$AF$310:$AF$459,0)),"")</f>
        <v/>
      </c>
      <c r="L459" s="35" t="str">
        <f>IFERROR(INDEX($AB$310:$AB$459,MATCH(ROWS($A$310:A459),$AF$310:$AF$459,0)),"")</f>
        <v/>
      </c>
      <c r="M459" s="35" t="str">
        <f>IFERROR(INDEX($AC$310:$AC$459,MATCH(ROWS($A$310:A459),$AF$310:$AF$459,0)),"")</f>
        <v/>
      </c>
      <c r="N459" s="35" t="str">
        <f>IFERROR(INDEX($AD$310:$AD$459,MATCH(ROWS($A$310:A459),$AF$310:$AF$459,0)),"")</f>
        <v/>
      </c>
      <c r="Q459" t="str">
        <f>T(JAN!B155)</f>
        <v/>
      </c>
      <c r="R459" t="str">
        <f t="array" ref="R459">IF($Q459="","",_xlfn.TEXTJOIN(", ",TRUE,IF(JAN!$G155:$AK155="FE",JAN!$G$4:$AK$4,"")))</f>
        <v/>
      </c>
      <c r="S459" t="str">
        <f t="array" ref="S459">IF($Q459="","",_xlfn.TEXTJOIN(", ",TRUE,IF(FEV!$G155:$AK155="FE",FEV!$G$4:$AK$4,"")))</f>
        <v/>
      </c>
      <c r="T459" t="str">
        <f t="array" ref="T459">IF($Q459="","",_xlfn.TEXTJOIN(", ",TRUE,IF(MAR!$G155:$AK155="FE",MAR!$G$4:$AK$4,"")))</f>
        <v/>
      </c>
      <c r="U459" t="str">
        <f t="array" ref="U459">IF($Q459="","",_xlfn.TEXTJOIN(", ",TRUE,IF(ABR!$G155:$AK155="FE",ABR!$G$4:$AK$4,"")))</f>
        <v/>
      </c>
      <c r="V459" t="str">
        <f t="array" ref="V459">IF($Q459="","",_xlfn.TEXTJOIN(", ",TRUE,IF(MAI!$G155:$AK155="FE",MAI!$G$4:$AK$4,"")))</f>
        <v/>
      </c>
      <c r="W459" t="str">
        <f t="array" ref="W459">IF($Q459="","",_xlfn.TEXTJOIN(", ",TRUE,IF(JUN!$G155:$AK155="FE",JUN!$G$4:$AK$4,"")))</f>
        <v/>
      </c>
      <c r="X459" t="str">
        <f t="array" ref="X459">IF($Q459="","",_xlfn.TEXTJOIN(", ",TRUE,IF(JUL!$G155:$AK155="FE",JUL!$G$4:$AK$4,"")))</f>
        <v/>
      </c>
      <c r="Y459" t="str">
        <f t="array" ref="Y459">IF($Q459="","",_xlfn.TEXTJOIN(", ",TRUE,IF(AGO!$G155:$AK155="FE",AGO!$G$4:$AK$4,"")))</f>
        <v/>
      </c>
      <c r="Z459" t="str">
        <f t="array" ref="Z459">IF($Q459="","",_xlfn.TEXTJOIN(", ",TRUE,IF(SET!$G155:$AK155="FE",SET!$G$4:$AK$4,"")))</f>
        <v/>
      </c>
      <c r="AA459" t="str">
        <f t="array" ref="AA459">IF($Q459="","",_xlfn.TEXTJOIN(", ",TRUE,IF(OUT!$G155:$AK155="FE",OUT!$G$4:$AK$4,"")))</f>
        <v/>
      </c>
      <c r="AB459" t="str">
        <f t="array" ref="AB459">IF($Q459="","",_xlfn.TEXTJOIN(", ",TRUE,IF(NOV!$G155:$AK155="FE",NOV!$G$4:$AK$4,"")))</f>
        <v/>
      </c>
      <c r="AC459" t="str">
        <f t="array" ref="AC459">IF($Q459="","",_xlfn.TEXTJOIN(", ",TRUE,IF(DEZ!$G155:$AK155="FE",DEZ!$G$4:$AK$4,"")))</f>
        <v/>
      </c>
      <c r="AD459" t="str">
        <f>IF($Q459="","",COUNTIF(JAN!$G155:$AK155,"FE")+COUNTIF(FEV!$G155:$AK155,"FE")+COUNTIF(MAR!$G155:$AK155,"FE")+COUNTIF(ABR!$G155:$AK155,"FE")+COUNTIF(MAI!$G155:$AK155,"FE")+COUNTIF(JUN!$G155:$AK155,"FE")+COUNTIF(JUL!$G155:$AK155,"FE")+COUNTIF(AGO!$G155:$AK155,"FE")+COUNTIF(SET!$G155:$AK155,"FE")+COUNTIF(OUT!$G155:$AK155,"FE")+COUNTIF(NOV!$G155:$AK155,"FE")+COUNTIF(DEZ!$G155:$AK155,"FE"))</f>
        <v/>
      </c>
      <c r="AF459" t="str">
        <f>IF(AND($Q459&lt;&gt;"",N($AD459)&gt;0),COUNT($AF$309:AF458)+1,"")</f>
        <v/>
      </c>
    </row>
  </sheetData>
  <pageMargins left="0.75" right="0.75" top="1" bottom="1" header="0.5" footer="0.5"/>
  <headerFooter>
    <oddFooter>&amp;L&amp;"Calibri"&amp;11 &amp;K808080_x000D_#   INTERNAL_x000D_&amp;1#&amp;"Aptos"&amp;11&amp;K808080   INTERNAL</oddFooter>
  </headerFooter>
</worksheet>
</file>

<file path=docMetadata/LabelInfo.xml><?xml version="1.0" encoding="utf-8"?>
<clbl:labelList xmlns:clbl="http://schemas.microsoft.com/office/2020/mipLabelMetadata">
  <clbl:label id="{7bc85018-6f5c-422a-95af-cdc096b93725}" enabled="1" method="Privileged" siteId="{c42675da-6e66-4200-9d0d-a2874cf3cf4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PAINEL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FOLGAS_A_TIRAR</vt:lpstr>
      <vt:lpstr>REGISTRO_HE</vt:lpstr>
      <vt:lpstr>FALTAS_ATESTADOS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Jeferson Santos</cp:lastModifiedBy>
  <cp:revision>0</cp:revision>
  <dcterms:created xsi:type="dcterms:W3CDTF">2026-07-04T03:23:47Z</dcterms:created>
  <dcterms:modified xsi:type="dcterms:W3CDTF">2026-10-17T07:10:00Z</dcterms:modified>
  <dc:language>en-US</dc:language>
</cp:coreProperties>
</file>