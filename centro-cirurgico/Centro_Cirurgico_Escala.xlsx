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Mapa do Dia" sheetId="2" state="visible" r:id="rId2"/>
    <sheet name="Agenda do Dia" sheetId="3" state="visible" r:id="rId3"/>
    <sheet name="Equipe" sheetId="4" state="visible" r:id="rId4"/>
    <sheet name="Folgas e Férias" sheetId="5" state="visible" r:id="rId5"/>
    <sheet name="Configuração" sheetId="6" state="visible" r:id="rId6"/>
    <sheet name="Calc" sheetId="7" state="hidden" r:id="rId7"/>
    <sheet name="Calc_Salas" sheetId="8" state="hidden" r:id="rId8"/>
  </sheets>
  <definedNames>
    <definedName name="Periodo_Ini">'Configuração'!$B$8</definedName>
    <definedName name="Turno_Ini">'Configuração'!$B$11</definedName>
    <definedName name="Turno_Fim">'Configuração'!$B$12</definedName>
    <definedName name="Turno_Min">'Configuração'!$B$13</definedName>
    <definedName name="Limpeza_Min">'Configuração'!$B$16</definedName>
    <definedName name="Janela_Min">'Configuração'!$B$17</definedName>
    <definedName name="Data_Mapa">'Mapa do Dia'!$A$6</definedName>
    <definedName name="Esp_Cod">'Configuração'!$A$22:$A$41</definedName>
    <definedName name="Esp_Nome">'Configuração'!$B$22:$B$41</definedName>
    <definedName name="Esp_Tipo">'Configuração'!$C$22:$C$41</definedName>
    <definedName name="Esp_Dur">'Configuração'!$D$22:$D$41</definedName>
    <definedName name="Postos_Cod">'Configuração'!$A$45:$A$60</definedName>
    <definedName name="Postos_Nome">'Configuração'!$B$45:$B$60</definedName>
    <definedName name="Postos_Tipo">'Configuração'!$C$45:$C$60</definedName>
    <definedName name="Postos_Nec">'Configuração'!$D$45:$D$60</definedName>
    <definedName name="Postos_Min">'Configuração'!$E$45:$E$60</definedName>
    <definedName name="Postos_Prior">'Configuração'!$F$45:$F$60</definedName>
    <definedName name="Postos_Esp">'Configuração'!$G$45:$G$60</definedName>
    <definedName name="Postos_Func">'Configuração'!$H$45:$H$60</definedName>
    <definedName name="Postos_Status">'Configuração'!$I$45:$I$60</definedName>
    <definedName name="Postos_Encaixe">'Configuração'!$K$45:$K$60</definedName>
    <definedName name="Feriados">'Configuração'!$A$64:$A$83</definedName>
    <definedName name="Aus_Tipos">'Configuração'!$A$87:$A$93</definedName>
    <definedName name="Aus_Siglas">'Configuração'!$B$87:$B$93</definedName>
    <definedName name="Cir_Nome">'Configuração'!$A$97:$A$156</definedName>
    <definedName name="Cir_Esp">'Configuração'!$B$97:$B$156</definedName>
    <definedName name="Lista_StatusCad">'Configuração'!$G$6:$G$8</definedName>
    <definedName name="Lista_StatusCir">'Configuração'!$H$6:$H$9</definedName>
    <definedName name="Lista_TipoPosto">'Configuração'!$I$6:$I$7</definedName>
    <definedName name="Lista_Especialidades">OFFSET('Configuração'!$B$22,0,0,MAX(1,COUNTA('Configuração'!$B$22:$B$41)),1)</definedName>
    <definedName name="Lista_Postos">OFFSET('Configuração'!$A$45,0,0,MAX(1,COUNTA('Configuração'!$A$45:$A$60)),1)</definedName>
    <definedName name="Equipe_Afin">'Equipe'!$AE$2:$BH$31</definedName>
    <definedName name="Equipe_AfinN">'Equipe'!$AD$2:$AD$31</definedName>
    <definedName name="Equipe_Mat">'Equipe'!$A$2:$A$31</definedName>
    <definedName name="Equipe_Nome">'Equipe'!$B$2:$B$31</definedName>
    <definedName name="Equipe_Status">'Equipe'!$D$2:$D$31</definedName>
    <definedName name="Equipe_Situacao">'Equipe'!$E$2:$E$31</definedName>
    <definedName name="Equipe_X">'Equipe'!$H$2:$AA$31</definedName>
    <definedName name="Equipe_NEsp">'Equipe'!$AB$2:$AB$31</definedName>
    <definedName name="Equipe_Curto">'Equipe'!$AC$2:$AC$31</definedName>
    <definedName name="Lista_Tecnicos">OFFSET('Equipe'!$B$2,0,0,MAX(1,COUNTA('Equipe'!$B$2:$B$31)),1)</definedName>
    <definedName name="Aus_Tec">'Folgas e Férias'!$A$2:$A$151</definedName>
    <definedName name="Aus_Tipo">'Folgas e Férias'!$B$2:$B$151</definedName>
    <definedName name="Aus_Ini">'Folgas e Férias'!$C$2:$C$151</definedName>
    <definedName name="Aus_Fim">'Folgas e Férias'!$D$2:$D$151</definedName>
    <definedName name="Aus_Ativa">'Folgas e Férias'!$G$2:$G$151</definedName>
    <definedName name="Aus_Cod">'Folgas e Férias'!$H$2:$H$151</definedName>
    <definedName name="Mapa_Data">'Agenda do Dia'!$A$2:$A$201</definedName>
    <definedName name="Mapa_Sala">'Agenda do Dia'!$B$2:$B$201</definedName>
    <definedName name="Mapa_Esp">'Agenda do Dia'!$E$2:$E$201</definedName>
    <definedName name="Mapa_Status">'Agenda do Dia'!$H$2:$H$201</definedName>
    <definedName name="Mapa_Dur">'Agenda do Dia'!$I$2:$I$201</definedName>
    <definedName name="Mapa_MinOcup">'Agenda do Dia'!$J$2:$J$201</definedName>
    <definedName name="Mapa_Alerta">'Agenda do Dia'!$N$2:$N$201</definedName>
    <definedName name="Mapa_RelIni">'Agenda do Dia'!$P$2:$P$201</definedName>
    <definedName name="Mapa_RelFim">'Agenda do Dia'!$Q$2:$Q$201</definedName>
    <definedName name="Mapa_Chave">'Agenda do Dia'!$R$2:$R$201</definedName>
    <definedName name="Mapa_Row">'Agenda do Dia'!$S$2:$S$201</definedName>
    <definedName name="Mapa_MinPlantao">'Agenda do Dia'!$T$2:$T$201</definedName>
    <definedName name="Mix_Esp">'Calc'!$E$1:$X$1</definedName>
    <definedName name="Pai_Tec1">'Mapa do Dia'!$D$10:$D$25</definedName>
    <definedName name="Pai_Tec2">'Mapa do Dia'!$E$10:$E$25</definedName>
    <definedName name="Sug_Nome">'Calc'!$A$38:$A$67</definedName>
    <definedName name="Aco_Nota">'Calc'!$A$70:$A$90</definedName>
    <definedName name="Aco_Texto">'Calc'!$B$70:$B$90</definedName>
    <definedName name="Rnk_Nome">'Calc'!$A$93:$A$108</definedName>
    <definedName name="Rnk_Cabe">'Calc'!$C$93:$C$108</definedName>
    <definedName name="Rnk_Atraso">'Calc'!$E$93:$E$108</definedName>
    <definedName name="_xlnm.Print_Area" localSheetId="0">'Painel'!$A$1:$BE$51</definedName>
    <definedName name="_xlnm.Print_Area" localSheetId="1">'Mapa do Dia'!$A$1:$M$75</definedName>
    <definedName name="_xlnm._FilterDatabase" localSheetId="2" hidden="1">'Agenda do Dia'!$A$1:$N$201</definedName>
    <definedName name="_xlnm.Print_Titles" localSheetId="2">'Agenda do Dia'!$1:$1</definedName>
    <definedName name="_xlnm.Print_Area" localSheetId="2">'Agenda do Dia'!$A$1:$N$18</definedName>
    <definedName name="_xlnm._FilterDatabase" localSheetId="3" hidden="1">'Equipe'!$A$1:$G$31</definedName>
    <definedName name="_xlnm.Print_Titles" localSheetId="3">'Equipe'!$1:$1</definedName>
    <definedName name="_xlnm.Print_Area" localSheetId="3">'Equipe'!$A$1:$AB$31</definedName>
    <definedName name="_xlnm._FilterDatabase" localSheetId="4" hidden="1">'Folgas e Férias'!$A$1:$F$151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DD/MM"/>
    <numFmt numFmtId="168" formatCode="D"/>
    <numFmt numFmtId="169" formatCode="0.0%"/>
    <numFmt numFmtId="170" formatCode=";;;"/>
  </numFmts>
  <fonts count="1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7F7F7F"/>
      <sz val="9"/>
    </font>
    <font>
      <name val="Calibri"/>
      <b val="1"/>
      <color rgb="001F3864"/>
      <sz val="11"/>
    </font>
    <font>
      <name val="Calibri"/>
      <sz val="10"/>
    </font>
    <font>
      <name val="Calibri"/>
      <color rgb="000070C0"/>
      <sz val="10"/>
    </font>
    <font>
      <name val="Calibri"/>
      <b val="1"/>
      <color rgb="00FFFFFF"/>
      <sz val="10"/>
    </font>
    <font>
      <name val="Calibri"/>
      <b val="1"/>
      <color rgb="000070C0"/>
      <sz val="10"/>
    </font>
    <font>
      <name val="Calibri"/>
      <color rgb="00BFBFBF"/>
      <sz val="10"/>
    </font>
    <font>
      <name val="Calibri"/>
      <i val="1"/>
      <color rgb="00006100"/>
      <sz val="10"/>
    </font>
    <font>
      <name val="Calibri"/>
      <b val="1"/>
      <sz val="9"/>
    </font>
    <font>
      <name val="Calibri"/>
      <sz val="9"/>
    </font>
    <font>
      <name val="Calibri"/>
      <b val="1"/>
      <color rgb="001F3864"/>
      <sz val="12"/>
    </font>
    <font>
      <name val="Calibri"/>
      <b val="1"/>
      <color rgb="000070C0"/>
      <sz val="12"/>
    </font>
    <font>
      <name val="Calibri"/>
      <b val="1"/>
      <sz val="10"/>
    </font>
    <font>
      <name val="Calibri"/>
      <b val="1"/>
      <color rgb="000070C0"/>
      <sz val="14"/>
    </font>
    <font>
      <name val="Calibri"/>
      <b val="1"/>
      <sz val="20"/>
    </font>
    <font>
      <name val="Calibri"/>
      <b val="1"/>
      <color rgb="001F3864"/>
      <sz val="13"/>
    </font>
  </fonts>
  <fills count="13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1" fontId="1" fillId="5" borderId="1" applyAlignment="1" pivotButton="0" quotePrefix="0" xfId="0">
      <alignment horizontal="center" vertical="center"/>
    </xf>
    <xf numFmtId="0" fontId="3" fillId="2" borderId="1" pivotButton="0" quotePrefix="0" xfId="0"/>
    <xf numFmtId="0" fontId="0" fillId="2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7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" fontId="12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9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4" borderId="1" applyAlignment="1" pivotButton="0" quotePrefix="0" xfId="0">
      <alignment horizontal="center" vertical="bottom" textRotation="90"/>
    </xf>
    <xf numFmtId="0" fontId="6" fillId="4" borderId="0" pivotButton="0" quotePrefix="0" xfId="0"/>
    <xf numFmtId="0" fontId="6" fillId="12" borderId="1" applyAlignment="1" pivotButton="0" quotePrefix="0" xfId="0">
      <alignment horizontal="center" vertical="bottom" textRotation="90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" fontId="10" fillId="0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30">
    <dxf>
      <font>
        <name val="Calibri"/>
        <b val="1"/>
        <color rgb="009C0006"/>
        <sz val="20"/>
      </font>
      <fill>
        <patternFill>
          <bgColor rgb="00FFC7CE"/>
        </patternFill>
      </fill>
    </dxf>
    <dxf>
      <font>
        <name val="Calibri"/>
        <b val="1"/>
        <color rgb="009C6500"/>
        <sz val="20"/>
      </font>
      <fill>
        <patternFill>
          <bgColor rgb="00FFEB9C"/>
        </patternFill>
      </fill>
    </dxf>
    <dxf>
      <font>
        <name val="Calibri"/>
        <b val="1"/>
        <color rgb="00006100"/>
        <sz val="20"/>
      </font>
      <fill>
        <patternFill>
          <bgColor rgb="00C6EFCE"/>
        </patternFill>
      </fill>
    </dxf>
    <dxf>
      <font>
        <name val="Calibri"/>
        <b val="1"/>
        <color rgb="00006100"/>
        <sz val="11"/>
      </font>
      <fill>
        <patternFill>
          <bgColor rgb="00C6EFCE"/>
        </patternFill>
      </fill>
    </dxf>
    <dxf>
      <font>
        <name val="Calibri"/>
        <b val="1"/>
        <color rgb="009C6500"/>
        <sz val="11"/>
      </font>
      <fill>
        <patternFill>
          <bgColor rgb="00FFEB9C"/>
        </patternFill>
      </fill>
    </dxf>
    <dxf>
      <font>
        <name val="Calibri"/>
        <b val="1"/>
        <color rgb="009C0006"/>
        <sz val="11"/>
      </font>
      <fill>
        <patternFill>
          <bgColor rgb="00FFC7CE"/>
        </patternFill>
      </fill>
    </dxf>
    <dxf>
      <font>
        <name val="Calibri"/>
        <b val="1"/>
        <color rgb="00808080"/>
        <sz val="11"/>
      </font>
      <fill>
        <patternFill>
          <bgColor rgb="00F2F2F2"/>
        </patternFill>
      </fill>
    </dxf>
    <dxf>
      <fill>
        <patternFill>
          <bgColor rgb="004472C4"/>
        </patternFill>
      </fill>
    </dxf>
    <dxf>
      <fill>
        <patternFill>
          <bgColor rgb="00FFE699"/>
        </patternFill>
      </fill>
    </dxf>
    <dxf>
      <font>
        <b val="1"/>
        <color rgb="009C0006"/>
      </font>
      <fill>
        <patternFill>
          <bgColor rgb="00FFC7CE"/>
        </patternFill>
      </fill>
    </dxf>
    <dxf>
      <font>
        <b val="1"/>
        <color rgb="009C6500"/>
      </font>
      <fill>
        <patternFill>
          <bgColor rgb="00FFEB9C"/>
        </patternFill>
      </fill>
    </dxf>
    <dxf>
      <font>
        <name val="Calibri"/>
        <b val="1"/>
        <color rgb="00006100"/>
        <sz val="14"/>
      </font>
      <fill>
        <patternFill>
          <bgColor rgb="00C6EFCE"/>
        </patternFill>
      </fill>
    </dxf>
    <dxf>
      <font>
        <name val="Calibri"/>
        <b val="1"/>
        <color rgb="009C0006"/>
        <sz val="14"/>
      </font>
      <fill>
        <patternFill>
          <bgColor rgb="00FFC7CE"/>
        </patternFill>
      </fill>
    </dxf>
    <dxf>
      <font>
        <name val="Calibri"/>
        <b val="1"/>
        <color rgb="009C6500"/>
        <sz val="14"/>
      </font>
      <fill>
        <patternFill>
          <bgColor rgb="00FFEB9C"/>
        </patternFill>
      </fill>
    </dxf>
    <dxf>
      <font>
        <b val="1"/>
        <color rgb="00006100"/>
      </font>
      <fill>
        <patternFill>
          <bgColor rgb="00C6EFCE"/>
        </patternFill>
      </fill>
    </dxf>
    <dxf>
      <font>
        <i val="1"/>
        <color rgb="00808080"/>
      </font>
      <fill>
        <patternFill>
          <bgColor rgb="00F2F2F2"/>
        </patternFill>
      </fill>
    </dxf>
    <dxf>
      <font>
        <name val="Calibri"/>
        <b val="1"/>
        <color rgb="00006100"/>
        <sz val="12"/>
      </font>
      <fill>
        <patternFill>
          <bgColor rgb="00C6EFCE"/>
        </patternFill>
      </fill>
    </dxf>
    <dxf>
      <font>
        <name val="Calibri"/>
        <b val="1"/>
        <color rgb="009C6500"/>
        <sz val="12"/>
      </font>
      <fill>
        <patternFill>
          <bgColor rgb="00FFEB9C"/>
        </patternFill>
      </fill>
    </dxf>
    <dxf>
      <font>
        <name val="Calibri"/>
        <b val="1"/>
        <color rgb="009C0006"/>
        <sz val="12"/>
      </font>
      <fill>
        <patternFill>
          <bgColor rgb="00FFC7CE"/>
        </patternFill>
      </fill>
    </dxf>
    <dxf>
      <font>
        <name val="Calibri"/>
        <b val="1"/>
        <color rgb="00808080"/>
        <sz val="12"/>
      </font>
      <fill>
        <patternFill>
          <bgColor rgb="00F2F2F2"/>
        </patternFill>
      </fill>
    </dxf>
    <dxf>
      <font>
        <color rgb="00808080"/>
      </font>
      <fill>
        <patternFill>
          <bgColor rgb="00F2F2F2"/>
        </patternFill>
      </fill>
    </dxf>
    <dxf>
      <font>
        <b val="1"/>
        <sz val="9"/>
      </font>
      <fill>
        <patternFill>
          <bgColor rgb="00DDEBF7"/>
        </patternFill>
      </fill>
    </dxf>
    <dxf>
      <font>
        <b val="1"/>
        <sz val="9"/>
      </font>
      <fill>
        <patternFill>
          <bgColor rgb="00FFC7CE"/>
        </patternFill>
      </fill>
    </dxf>
    <dxf>
      <font>
        <b val="1"/>
        <sz val="9"/>
      </font>
      <fill>
        <patternFill>
          <bgColor rgb="00FFEB9C"/>
        </patternFill>
      </fill>
    </dxf>
    <dxf>
      <font>
        <b val="1"/>
        <sz val="9"/>
      </font>
      <fill>
        <patternFill>
          <bgColor rgb="00E4DFEC"/>
        </patternFill>
      </fill>
    </dxf>
    <dxf>
      <font>
        <b val="1"/>
        <sz val="9"/>
      </font>
      <fill>
        <patternFill>
          <bgColor rgb="00D9E1F2"/>
        </patternFill>
      </fill>
    </dxf>
    <dxf>
      <font>
        <b val="1"/>
        <sz val="9"/>
      </font>
      <fill>
        <patternFill>
          <bgColor rgb="00E2EFDA"/>
        </patternFill>
      </fill>
    </dxf>
    <dxf>
      <font>
        <b val="1"/>
        <sz val="9"/>
      </font>
      <fill>
        <patternFill>
          <bgColor rgb="00FCE4D6"/>
        </patternFill>
      </fill>
    </dxf>
    <dxf>
      <fill>
        <patternFill>
          <bgColor rgb="00FFF2CC"/>
        </patternFill>
      </fill>
    </dxf>
    <dxf>
      <fill>
        <patternFill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BF5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hidden="1" width="13" customWidth="1" min="58" max="58"/>
  </cols>
  <sheetData>
    <row r="1">
      <c r="A1" s="1" t="inlineStr">
        <is>
          <t>CENTRO CIRÚRGICO — PAINEL DO DIA</t>
        </is>
      </c>
    </row>
    <row r="2">
      <c r="A2" s="2" t="inlineStr">
        <is>
          <t>O dia inteiro numa tela. Esta aba só mostra — quem escala e quem troca é a aba Mapa do Dia.</t>
        </is>
      </c>
    </row>
    <row r="4">
      <c r="A4" s="3" t="inlineStr">
        <is>
          <t>DATA DO MAPA</t>
        </is>
      </c>
      <c r="G4" s="4">
        <f>Data_Mapa</f>
        <v/>
      </c>
      <c r="M4" s="3">
        <f>IF(Data_Mapa="","",CHOOSE(WEEKDAY(Data_Mapa),"domingo","segunda","terça","quarta","quinta","sexta","sábado")&amp;IF(COUNTIF(Feriados,Data_Mapa)&gt;0," · feriado",""))</f>
        <v/>
      </c>
    </row>
    <row r="6" ht="42" customHeight="1">
      <c r="A6" s="5">
        <f>IF(MAX(Aco_Nota)&gt;=900,"AÇÃO NECESSÁRIA",IF(MAX(Aco_Nota)&gt;=600,"ATENÇÃO",IF(MAX(Aco_Nota)&gt;=1,"QUASE PRONTO","DIA FECHADO — nada pendente")))</f>
        <v/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</row>
    <row r="8" ht="28" customHeight="1">
      <c r="A8" s="7" t="inlineStr">
        <is>
          <t>Cirurgias hoje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inlineStr">
        <is>
          <t>Ambientes abertos</t>
        </is>
      </c>
      <c r="K8" s="6" t="n"/>
      <c r="L8" s="6" t="n"/>
      <c r="M8" s="6" t="n"/>
      <c r="N8" s="6" t="n"/>
      <c r="O8" s="6" t="n"/>
      <c r="P8" s="6" t="n"/>
      <c r="Q8" s="7" t="inlineStr">
        <is>
          <t>Prontos</t>
        </is>
      </c>
      <c r="R8" s="6" t="n"/>
      <c r="S8" s="6" t="n"/>
      <c r="T8" s="6" t="n"/>
      <c r="U8" s="6" t="n"/>
      <c r="V8" s="6" t="n"/>
      <c r="W8" s="6" t="n"/>
      <c r="X8" s="7" t="inlineStr">
        <is>
          <t>Com pendência</t>
        </is>
      </c>
      <c r="Y8" s="6" t="n"/>
      <c r="Z8" s="6" t="n"/>
      <c r="AA8" s="6" t="n"/>
      <c r="AB8" s="6" t="n"/>
      <c r="AC8" s="6" t="n"/>
      <c r="AD8" s="6" t="n"/>
      <c r="AE8" s="6" t="n"/>
      <c r="AF8" s="6" t="n"/>
      <c r="AG8" s="7" t="inlineStr">
        <is>
          <t>Disponíveis</t>
        </is>
      </c>
      <c r="AH8" s="6" t="n"/>
      <c r="AI8" s="6" t="n"/>
      <c r="AJ8" s="6" t="n"/>
      <c r="AK8" s="6" t="n"/>
      <c r="AL8" s="6" t="n"/>
      <c r="AM8" s="6" t="n"/>
      <c r="AN8" s="7" t="inlineStr">
        <is>
          <t>Déficit</t>
        </is>
      </c>
      <c r="AO8" s="6" t="n"/>
      <c r="AP8" s="6" t="n"/>
      <c r="AQ8" s="6" t="n"/>
      <c r="AR8" s="6" t="n"/>
      <c r="AS8" s="6" t="n"/>
      <c r="AT8" s="6" t="n"/>
      <c r="AU8" s="7" t="inlineStr">
        <is>
          <t>Maior atraso (min)</t>
        </is>
      </c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</row>
    <row r="9" ht="26" customHeight="1">
      <c r="A9" s="8">
        <f>COUNTIFS(Mapa_Data,Data_Mapa,Mapa_MinOcup,"&gt;0")</f>
        <v/>
      </c>
      <c r="B9" s="6" t="n"/>
      <c r="C9" s="6" t="n"/>
      <c r="D9" s="6" t="n"/>
      <c r="E9" s="6" t="n"/>
      <c r="F9" s="6" t="n"/>
      <c r="G9" s="6" t="n"/>
      <c r="H9" s="6" t="n"/>
      <c r="I9" s="6" t="n"/>
      <c r="J9" s="8">
        <f>COUNTIF('Mapa do Dia'!$B$10:$B$25,"&gt;0")</f>
        <v/>
      </c>
      <c r="K9" s="6" t="n"/>
      <c r="L9" s="6" t="n"/>
      <c r="M9" s="6" t="n"/>
      <c r="N9" s="6" t="n"/>
      <c r="O9" s="6" t="n"/>
      <c r="P9" s="6" t="n"/>
      <c r="Q9" s="8">
        <f>COUNTIF('Mapa do Dia'!$F$10:$F$25,"OK")</f>
        <v/>
      </c>
      <c r="R9" s="6" t="n"/>
      <c r="S9" s="6" t="n"/>
      <c r="T9" s="6" t="n"/>
      <c r="U9" s="6" t="n"/>
      <c r="V9" s="6" t="n"/>
      <c r="W9" s="6" t="n"/>
      <c r="X9" s="8">
        <f>SUMPRODUCT(('Mapa do Dia'!$F$10:$F$25&lt;&gt;"")*('Mapa do Dia'!$F$10:$F$25&lt;&gt;"OK")*('Mapa do Dia'!$F$10:$F$25&lt;&gt;"NÃO OPERA"))</f>
        <v/>
      </c>
      <c r="Y9" s="6" t="n"/>
      <c r="Z9" s="6" t="n"/>
      <c r="AA9" s="6" t="n"/>
      <c r="AB9" s="6" t="n"/>
      <c r="AC9" s="6" t="n"/>
      <c r="AD9" s="6" t="n"/>
      <c r="AE9" s="6" t="n"/>
      <c r="AF9" s="6" t="n"/>
      <c r="AG9" s="8">
        <f>SUMPRODUCT((Equipe_Nome&lt;&gt;"")*(Equipe_Situacao="Disponível"))</f>
        <v/>
      </c>
      <c r="AH9" s="6" t="n"/>
      <c r="AI9" s="6" t="n"/>
      <c r="AJ9" s="6" t="n"/>
      <c r="AK9" s="6" t="n"/>
      <c r="AL9" s="6" t="n"/>
      <c r="AM9" s="6" t="n"/>
      <c r="AN9" s="8">
        <f>MAX(0,SUM('Calc'!$AD$2:$AD$17)-$AG$9)</f>
        <v/>
      </c>
      <c r="AO9" s="6" t="n"/>
      <c r="AP9" s="6" t="n"/>
      <c r="AQ9" s="6" t="n"/>
      <c r="AR9" s="6" t="n"/>
      <c r="AS9" s="6" t="n"/>
      <c r="AT9" s="6" t="n"/>
      <c r="AU9" s="8">
        <f>MAX(0,'Mapa do Dia'!$L$10:$L$25)</f>
        <v/>
      </c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</row>
    <row r="10">
      <c r="A10" s="9" t="inlineStr">
        <is>
          <t>O DIA INTEIRO — a cor do ambiente é a situação · a barra é a sala ocupada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</row>
    <row r="11" ht="20" customHeight="1">
      <c r="A11" s="11" t="inlineStr">
        <is>
          <t>Ambiente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11" t="inlineStr">
        <is>
          <t>Dupla do plantão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12">
        <f>TEXT(MOD(Turno_Ini+0/1440,1),"HH:MM")</f>
        <v/>
      </c>
      <c r="W11" s="6" t="n"/>
      <c r="X11" s="6" t="n"/>
      <c r="Y11" s="6" t="n"/>
      <c r="Z11" s="6" t="n"/>
      <c r="AA11" s="6" t="n"/>
      <c r="AB11" s="12">
        <f>TEXT(MOD(Turno_Ini+60/1440,1),"HH:MM")</f>
        <v/>
      </c>
      <c r="AC11" s="6" t="n"/>
      <c r="AD11" s="6" t="n"/>
      <c r="AE11" s="6" t="n"/>
      <c r="AF11" s="6" t="n"/>
      <c r="AG11" s="6" t="n"/>
      <c r="AH11" s="12">
        <f>TEXT(MOD(Turno_Ini+120/1440,1),"HH:MM")</f>
        <v/>
      </c>
      <c r="AI11" s="6" t="n"/>
      <c r="AJ11" s="6" t="n"/>
      <c r="AK11" s="6" t="n"/>
      <c r="AL11" s="6" t="n"/>
      <c r="AM11" s="6" t="n"/>
      <c r="AN11" s="12">
        <f>TEXT(MOD(Turno_Ini+180/1440,1),"HH:MM")</f>
        <v/>
      </c>
      <c r="AO11" s="6" t="n"/>
      <c r="AP11" s="6" t="n"/>
      <c r="AQ11" s="6" t="n"/>
      <c r="AR11" s="6" t="n"/>
      <c r="AS11" s="6" t="n"/>
      <c r="AT11" s="12">
        <f>TEXT(MOD(Turno_Ini+240/1440,1),"HH:MM")</f>
        <v/>
      </c>
      <c r="AU11" s="6" t="n"/>
      <c r="AV11" s="6" t="n"/>
      <c r="AW11" s="6" t="n"/>
      <c r="AX11" s="6" t="n"/>
      <c r="AY11" s="6" t="n"/>
      <c r="AZ11" s="12">
        <f>TEXT(MOD(Turno_Ini+300/1440,1),"HH:MM")</f>
        <v/>
      </c>
      <c r="BA11" s="6" t="n"/>
      <c r="BB11" s="6" t="n"/>
      <c r="BC11" s="6" t="n"/>
      <c r="BD11" s="6" t="n"/>
      <c r="BE11" s="6" t="n"/>
    </row>
    <row r="12" ht="17" customHeight="1">
      <c r="A12" s="13">
        <f>IF('Mapa do Dia'!$A10="","",'Mapa do Dia'!$A10)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14">
        <f>IF('Mapa do Dia'!$A10="","",IF('Mapa do Dia'!$D10="","(falta escalar)",IFERROR(INDEX(Equipe_Curto,MATCH('Mapa do Dia'!$D10,Equipe_Nome,0)),'Mapa do Dia'!$D10))&amp;IF('Mapa do Dia'!$B10&lt;2,"",IF('Mapa do Dia'!$E10="", " · (falta escalar)"," · "&amp;IFERROR(INDEX(Equipe_Curto,MATCH('Mapa do Dia'!$E10,Equipe_Nome,0)),'Mapa do Dia'!$E10))))</f>
        <v/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15">
        <f>IF(OR('Mapa do Dia'!$A10="",'Calc'!$B2&lt;&gt;"Sala cirúrgica"),"",IF(SUMPRODUCT((Mapa_Sala='Mapa do Dia'!$N10)*(Mapa_Data=Data_Mapa)*(Mapa_MinOcup&gt;0)*(Mapa_RelIni&lt;10)*(Mapa_RelFim&gt;0))&gt;0,2,IF(SUMPRODUCT((Mapa_Sala='Mapa do Dia'!$N10)*(Mapa_Data=Data_Mapa)*(Mapa_MinOcup&gt;0)*(Mapa_RelFim&lt;10)*(Mapa_RelFim+Limpeza_Min&gt;0))&gt;0,1,0)))</f>
        <v/>
      </c>
      <c r="W12" s="15">
        <f>IF(OR('Mapa do Dia'!$A10="",'Calc'!$B2&lt;&gt;"Sala cirúrgica"),"",IF(SUMPRODUCT((Mapa_Sala='Mapa do Dia'!$N10)*(Mapa_Data=Data_Mapa)*(Mapa_MinOcup&gt;0)*(Mapa_RelIni&lt;20)*(Mapa_RelFim&gt;10))&gt;0,2,IF(SUMPRODUCT((Mapa_Sala='Mapa do Dia'!$N10)*(Mapa_Data=Data_Mapa)*(Mapa_MinOcup&gt;0)*(Mapa_RelFim&lt;20)*(Mapa_RelFim+Limpeza_Min&gt;10))&gt;0,1,0)))</f>
        <v/>
      </c>
      <c r="X12" s="15">
        <f>IF(OR('Mapa do Dia'!$A10="",'Calc'!$B2&lt;&gt;"Sala cirúrgica"),"",IF(SUMPRODUCT((Mapa_Sala='Mapa do Dia'!$N10)*(Mapa_Data=Data_Mapa)*(Mapa_MinOcup&gt;0)*(Mapa_RelIni&lt;30)*(Mapa_RelFim&gt;20))&gt;0,2,IF(SUMPRODUCT((Mapa_Sala='Mapa do Dia'!$N10)*(Mapa_Data=Data_Mapa)*(Mapa_MinOcup&gt;0)*(Mapa_RelFim&lt;30)*(Mapa_RelFim+Limpeza_Min&gt;20))&gt;0,1,0)))</f>
        <v/>
      </c>
      <c r="Y12" s="15">
        <f>IF(OR('Mapa do Dia'!$A10="",'Calc'!$B2&lt;&gt;"Sala cirúrgica"),"",IF(SUMPRODUCT((Mapa_Sala='Mapa do Dia'!$N10)*(Mapa_Data=Data_Mapa)*(Mapa_MinOcup&gt;0)*(Mapa_RelIni&lt;40)*(Mapa_RelFim&gt;30))&gt;0,2,IF(SUMPRODUCT((Mapa_Sala='Mapa do Dia'!$N10)*(Mapa_Data=Data_Mapa)*(Mapa_MinOcup&gt;0)*(Mapa_RelFim&lt;40)*(Mapa_RelFim+Limpeza_Min&gt;30))&gt;0,1,0)))</f>
        <v/>
      </c>
      <c r="Z12" s="15">
        <f>IF(OR('Mapa do Dia'!$A10="",'Calc'!$B2&lt;&gt;"Sala cirúrgica"),"",IF(SUMPRODUCT((Mapa_Sala='Mapa do Dia'!$N10)*(Mapa_Data=Data_Mapa)*(Mapa_MinOcup&gt;0)*(Mapa_RelIni&lt;50)*(Mapa_RelFim&gt;40))&gt;0,2,IF(SUMPRODUCT((Mapa_Sala='Mapa do Dia'!$N10)*(Mapa_Data=Data_Mapa)*(Mapa_MinOcup&gt;0)*(Mapa_RelFim&lt;50)*(Mapa_RelFim+Limpeza_Min&gt;40))&gt;0,1,0)))</f>
        <v/>
      </c>
      <c r="AA12" s="15">
        <f>IF(OR('Mapa do Dia'!$A10="",'Calc'!$B2&lt;&gt;"Sala cirúrgica"),"",IF(SUMPRODUCT((Mapa_Sala='Mapa do Dia'!$N10)*(Mapa_Data=Data_Mapa)*(Mapa_MinOcup&gt;0)*(Mapa_RelIni&lt;60)*(Mapa_RelFim&gt;50))&gt;0,2,IF(SUMPRODUCT((Mapa_Sala='Mapa do Dia'!$N10)*(Mapa_Data=Data_Mapa)*(Mapa_MinOcup&gt;0)*(Mapa_RelFim&lt;60)*(Mapa_RelFim+Limpeza_Min&gt;50))&gt;0,1,0)))</f>
        <v/>
      </c>
      <c r="AB12" s="15">
        <f>IF(OR('Mapa do Dia'!$A10="",'Calc'!$B2&lt;&gt;"Sala cirúrgica"),"",IF(SUMPRODUCT((Mapa_Sala='Mapa do Dia'!$N10)*(Mapa_Data=Data_Mapa)*(Mapa_MinOcup&gt;0)*(Mapa_RelIni&lt;70)*(Mapa_RelFim&gt;60))&gt;0,2,IF(SUMPRODUCT((Mapa_Sala='Mapa do Dia'!$N10)*(Mapa_Data=Data_Mapa)*(Mapa_MinOcup&gt;0)*(Mapa_RelFim&lt;70)*(Mapa_RelFim+Limpeza_Min&gt;60))&gt;0,1,0)))</f>
        <v/>
      </c>
      <c r="AC12" s="15">
        <f>IF(OR('Mapa do Dia'!$A10="",'Calc'!$B2&lt;&gt;"Sala cirúrgica"),"",IF(SUMPRODUCT((Mapa_Sala='Mapa do Dia'!$N10)*(Mapa_Data=Data_Mapa)*(Mapa_MinOcup&gt;0)*(Mapa_RelIni&lt;80)*(Mapa_RelFim&gt;70))&gt;0,2,IF(SUMPRODUCT((Mapa_Sala='Mapa do Dia'!$N10)*(Mapa_Data=Data_Mapa)*(Mapa_MinOcup&gt;0)*(Mapa_RelFim&lt;80)*(Mapa_RelFim+Limpeza_Min&gt;70))&gt;0,1,0)))</f>
        <v/>
      </c>
      <c r="AD12" s="15">
        <f>IF(OR('Mapa do Dia'!$A10="",'Calc'!$B2&lt;&gt;"Sala cirúrgica"),"",IF(SUMPRODUCT((Mapa_Sala='Mapa do Dia'!$N10)*(Mapa_Data=Data_Mapa)*(Mapa_MinOcup&gt;0)*(Mapa_RelIni&lt;90)*(Mapa_RelFim&gt;80))&gt;0,2,IF(SUMPRODUCT((Mapa_Sala='Mapa do Dia'!$N10)*(Mapa_Data=Data_Mapa)*(Mapa_MinOcup&gt;0)*(Mapa_RelFim&lt;90)*(Mapa_RelFim+Limpeza_Min&gt;80))&gt;0,1,0)))</f>
        <v/>
      </c>
      <c r="AE12" s="15">
        <f>IF(OR('Mapa do Dia'!$A10="",'Calc'!$B2&lt;&gt;"Sala cirúrgica"),"",IF(SUMPRODUCT((Mapa_Sala='Mapa do Dia'!$N10)*(Mapa_Data=Data_Mapa)*(Mapa_MinOcup&gt;0)*(Mapa_RelIni&lt;100)*(Mapa_RelFim&gt;90))&gt;0,2,IF(SUMPRODUCT((Mapa_Sala='Mapa do Dia'!$N10)*(Mapa_Data=Data_Mapa)*(Mapa_MinOcup&gt;0)*(Mapa_RelFim&lt;100)*(Mapa_RelFim+Limpeza_Min&gt;90))&gt;0,1,0)))</f>
        <v/>
      </c>
      <c r="AF12" s="15">
        <f>IF(OR('Mapa do Dia'!$A10="",'Calc'!$B2&lt;&gt;"Sala cirúrgica"),"",IF(SUMPRODUCT((Mapa_Sala='Mapa do Dia'!$N10)*(Mapa_Data=Data_Mapa)*(Mapa_MinOcup&gt;0)*(Mapa_RelIni&lt;110)*(Mapa_RelFim&gt;100))&gt;0,2,IF(SUMPRODUCT((Mapa_Sala='Mapa do Dia'!$N10)*(Mapa_Data=Data_Mapa)*(Mapa_MinOcup&gt;0)*(Mapa_RelFim&lt;110)*(Mapa_RelFim+Limpeza_Min&gt;100))&gt;0,1,0)))</f>
        <v/>
      </c>
      <c r="AG12" s="15">
        <f>IF(OR('Mapa do Dia'!$A10="",'Calc'!$B2&lt;&gt;"Sala cirúrgica"),"",IF(SUMPRODUCT((Mapa_Sala='Mapa do Dia'!$N10)*(Mapa_Data=Data_Mapa)*(Mapa_MinOcup&gt;0)*(Mapa_RelIni&lt;120)*(Mapa_RelFim&gt;110))&gt;0,2,IF(SUMPRODUCT((Mapa_Sala='Mapa do Dia'!$N10)*(Mapa_Data=Data_Mapa)*(Mapa_MinOcup&gt;0)*(Mapa_RelFim&lt;120)*(Mapa_RelFim+Limpeza_Min&gt;110))&gt;0,1,0)))</f>
        <v/>
      </c>
      <c r="AH12" s="15">
        <f>IF(OR('Mapa do Dia'!$A10="",'Calc'!$B2&lt;&gt;"Sala cirúrgica"),"",IF(SUMPRODUCT((Mapa_Sala='Mapa do Dia'!$N10)*(Mapa_Data=Data_Mapa)*(Mapa_MinOcup&gt;0)*(Mapa_RelIni&lt;130)*(Mapa_RelFim&gt;120))&gt;0,2,IF(SUMPRODUCT((Mapa_Sala='Mapa do Dia'!$N10)*(Mapa_Data=Data_Mapa)*(Mapa_MinOcup&gt;0)*(Mapa_RelFim&lt;130)*(Mapa_RelFim+Limpeza_Min&gt;120))&gt;0,1,0)))</f>
        <v/>
      </c>
      <c r="AI12" s="15">
        <f>IF(OR('Mapa do Dia'!$A10="",'Calc'!$B2&lt;&gt;"Sala cirúrgica"),"",IF(SUMPRODUCT((Mapa_Sala='Mapa do Dia'!$N10)*(Mapa_Data=Data_Mapa)*(Mapa_MinOcup&gt;0)*(Mapa_RelIni&lt;140)*(Mapa_RelFim&gt;130))&gt;0,2,IF(SUMPRODUCT((Mapa_Sala='Mapa do Dia'!$N10)*(Mapa_Data=Data_Mapa)*(Mapa_MinOcup&gt;0)*(Mapa_RelFim&lt;140)*(Mapa_RelFim+Limpeza_Min&gt;130))&gt;0,1,0)))</f>
        <v/>
      </c>
      <c r="AJ12" s="15">
        <f>IF(OR('Mapa do Dia'!$A10="",'Calc'!$B2&lt;&gt;"Sala cirúrgica"),"",IF(SUMPRODUCT((Mapa_Sala='Mapa do Dia'!$N10)*(Mapa_Data=Data_Mapa)*(Mapa_MinOcup&gt;0)*(Mapa_RelIni&lt;150)*(Mapa_RelFim&gt;140))&gt;0,2,IF(SUMPRODUCT((Mapa_Sala='Mapa do Dia'!$N10)*(Mapa_Data=Data_Mapa)*(Mapa_MinOcup&gt;0)*(Mapa_RelFim&lt;150)*(Mapa_RelFim+Limpeza_Min&gt;140))&gt;0,1,0)))</f>
        <v/>
      </c>
      <c r="AK12" s="15">
        <f>IF(OR('Mapa do Dia'!$A10="",'Calc'!$B2&lt;&gt;"Sala cirúrgica"),"",IF(SUMPRODUCT((Mapa_Sala='Mapa do Dia'!$N10)*(Mapa_Data=Data_Mapa)*(Mapa_MinOcup&gt;0)*(Mapa_RelIni&lt;160)*(Mapa_RelFim&gt;150))&gt;0,2,IF(SUMPRODUCT((Mapa_Sala='Mapa do Dia'!$N10)*(Mapa_Data=Data_Mapa)*(Mapa_MinOcup&gt;0)*(Mapa_RelFim&lt;160)*(Mapa_RelFim+Limpeza_Min&gt;150))&gt;0,1,0)))</f>
        <v/>
      </c>
      <c r="AL12" s="15">
        <f>IF(OR('Mapa do Dia'!$A10="",'Calc'!$B2&lt;&gt;"Sala cirúrgica"),"",IF(SUMPRODUCT((Mapa_Sala='Mapa do Dia'!$N10)*(Mapa_Data=Data_Mapa)*(Mapa_MinOcup&gt;0)*(Mapa_RelIni&lt;170)*(Mapa_RelFim&gt;160))&gt;0,2,IF(SUMPRODUCT((Mapa_Sala='Mapa do Dia'!$N10)*(Mapa_Data=Data_Mapa)*(Mapa_MinOcup&gt;0)*(Mapa_RelFim&lt;170)*(Mapa_RelFim+Limpeza_Min&gt;160))&gt;0,1,0)))</f>
        <v/>
      </c>
      <c r="AM12" s="15">
        <f>IF(OR('Mapa do Dia'!$A10="",'Calc'!$B2&lt;&gt;"Sala cirúrgica"),"",IF(SUMPRODUCT((Mapa_Sala='Mapa do Dia'!$N10)*(Mapa_Data=Data_Mapa)*(Mapa_MinOcup&gt;0)*(Mapa_RelIni&lt;180)*(Mapa_RelFim&gt;170))&gt;0,2,IF(SUMPRODUCT((Mapa_Sala='Mapa do Dia'!$N10)*(Mapa_Data=Data_Mapa)*(Mapa_MinOcup&gt;0)*(Mapa_RelFim&lt;180)*(Mapa_RelFim+Limpeza_Min&gt;170))&gt;0,1,0)))</f>
        <v/>
      </c>
      <c r="AN12" s="15">
        <f>IF(OR('Mapa do Dia'!$A10="",'Calc'!$B2&lt;&gt;"Sala cirúrgica"),"",IF(SUMPRODUCT((Mapa_Sala='Mapa do Dia'!$N10)*(Mapa_Data=Data_Mapa)*(Mapa_MinOcup&gt;0)*(Mapa_RelIni&lt;190)*(Mapa_RelFim&gt;180))&gt;0,2,IF(SUMPRODUCT((Mapa_Sala='Mapa do Dia'!$N10)*(Mapa_Data=Data_Mapa)*(Mapa_MinOcup&gt;0)*(Mapa_RelFim&lt;190)*(Mapa_RelFim+Limpeza_Min&gt;180))&gt;0,1,0)))</f>
        <v/>
      </c>
      <c r="AO12" s="15">
        <f>IF(OR('Mapa do Dia'!$A10="",'Calc'!$B2&lt;&gt;"Sala cirúrgica"),"",IF(SUMPRODUCT((Mapa_Sala='Mapa do Dia'!$N10)*(Mapa_Data=Data_Mapa)*(Mapa_MinOcup&gt;0)*(Mapa_RelIni&lt;200)*(Mapa_RelFim&gt;190))&gt;0,2,IF(SUMPRODUCT((Mapa_Sala='Mapa do Dia'!$N10)*(Mapa_Data=Data_Mapa)*(Mapa_MinOcup&gt;0)*(Mapa_RelFim&lt;200)*(Mapa_RelFim+Limpeza_Min&gt;190))&gt;0,1,0)))</f>
        <v/>
      </c>
      <c r="AP12" s="15">
        <f>IF(OR('Mapa do Dia'!$A10="",'Calc'!$B2&lt;&gt;"Sala cirúrgica"),"",IF(SUMPRODUCT((Mapa_Sala='Mapa do Dia'!$N10)*(Mapa_Data=Data_Mapa)*(Mapa_MinOcup&gt;0)*(Mapa_RelIni&lt;210)*(Mapa_RelFim&gt;200))&gt;0,2,IF(SUMPRODUCT((Mapa_Sala='Mapa do Dia'!$N10)*(Mapa_Data=Data_Mapa)*(Mapa_MinOcup&gt;0)*(Mapa_RelFim&lt;210)*(Mapa_RelFim+Limpeza_Min&gt;200))&gt;0,1,0)))</f>
        <v/>
      </c>
      <c r="AQ12" s="15">
        <f>IF(OR('Mapa do Dia'!$A10="",'Calc'!$B2&lt;&gt;"Sala cirúrgica"),"",IF(SUMPRODUCT((Mapa_Sala='Mapa do Dia'!$N10)*(Mapa_Data=Data_Mapa)*(Mapa_MinOcup&gt;0)*(Mapa_RelIni&lt;220)*(Mapa_RelFim&gt;210))&gt;0,2,IF(SUMPRODUCT((Mapa_Sala='Mapa do Dia'!$N10)*(Mapa_Data=Data_Mapa)*(Mapa_MinOcup&gt;0)*(Mapa_RelFim&lt;220)*(Mapa_RelFim+Limpeza_Min&gt;210))&gt;0,1,0)))</f>
        <v/>
      </c>
      <c r="AR12" s="15">
        <f>IF(OR('Mapa do Dia'!$A10="",'Calc'!$B2&lt;&gt;"Sala cirúrgica"),"",IF(SUMPRODUCT((Mapa_Sala='Mapa do Dia'!$N10)*(Mapa_Data=Data_Mapa)*(Mapa_MinOcup&gt;0)*(Mapa_RelIni&lt;230)*(Mapa_RelFim&gt;220))&gt;0,2,IF(SUMPRODUCT((Mapa_Sala='Mapa do Dia'!$N10)*(Mapa_Data=Data_Mapa)*(Mapa_MinOcup&gt;0)*(Mapa_RelFim&lt;230)*(Mapa_RelFim+Limpeza_Min&gt;220))&gt;0,1,0)))</f>
        <v/>
      </c>
      <c r="AS12" s="15">
        <f>IF(OR('Mapa do Dia'!$A10="",'Calc'!$B2&lt;&gt;"Sala cirúrgica"),"",IF(SUMPRODUCT((Mapa_Sala='Mapa do Dia'!$N10)*(Mapa_Data=Data_Mapa)*(Mapa_MinOcup&gt;0)*(Mapa_RelIni&lt;240)*(Mapa_RelFim&gt;230))&gt;0,2,IF(SUMPRODUCT((Mapa_Sala='Mapa do Dia'!$N10)*(Mapa_Data=Data_Mapa)*(Mapa_MinOcup&gt;0)*(Mapa_RelFim&lt;240)*(Mapa_RelFim+Limpeza_Min&gt;230))&gt;0,1,0)))</f>
        <v/>
      </c>
      <c r="AT12" s="15">
        <f>IF(OR('Mapa do Dia'!$A10="",'Calc'!$B2&lt;&gt;"Sala cirúrgica"),"",IF(SUMPRODUCT((Mapa_Sala='Mapa do Dia'!$N10)*(Mapa_Data=Data_Mapa)*(Mapa_MinOcup&gt;0)*(Mapa_RelIni&lt;250)*(Mapa_RelFim&gt;240))&gt;0,2,IF(SUMPRODUCT((Mapa_Sala='Mapa do Dia'!$N10)*(Mapa_Data=Data_Mapa)*(Mapa_MinOcup&gt;0)*(Mapa_RelFim&lt;250)*(Mapa_RelFim+Limpeza_Min&gt;240))&gt;0,1,0)))</f>
        <v/>
      </c>
      <c r="AU12" s="15">
        <f>IF(OR('Mapa do Dia'!$A10="",'Calc'!$B2&lt;&gt;"Sala cirúrgica"),"",IF(SUMPRODUCT((Mapa_Sala='Mapa do Dia'!$N10)*(Mapa_Data=Data_Mapa)*(Mapa_MinOcup&gt;0)*(Mapa_RelIni&lt;260)*(Mapa_RelFim&gt;250))&gt;0,2,IF(SUMPRODUCT((Mapa_Sala='Mapa do Dia'!$N10)*(Mapa_Data=Data_Mapa)*(Mapa_MinOcup&gt;0)*(Mapa_RelFim&lt;260)*(Mapa_RelFim+Limpeza_Min&gt;250))&gt;0,1,0)))</f>
        <v/>
      </c>
      <c r="AV12" s="15">
        <f>IF(OR('Mapa do Dia'!$A10="",'Calc'!$B2&lt;&gt;"Sala cirúrgica"),"",IF(SUMPRODUCT((Mapa_Sala='Mapa do Dia'!$N10)*(Mapa_Data=Data_Mapa)*(Mapa_MinOcup&gt;0)*(Mapa_RelIni&lt;270)*(Mapa_RelFim&gt;260))&gt;0,2,IF(SUMPRODUCT((Mapa_Sala='Mapa do Dia'!$N10)*(Mapa_Data=Data_Mapa)*(Mapa_MinOcup&gt;0)*(Mapa_RelFim&lt;270)*(Mapa_RelFim+Limpeza_Min&gt;260))&gt;0,1,0)))</f>
        <v/>
      </c>
      <c r="AW12" s="15">
        <f>IF(OR('Mapa do Dia'!$A10="",'Calc'!$B2&lt;&gt;"Sala cirúrgica"),"",IF(SUMPRODUCT((Mapa_Sala='Mapa do Dia'!$N10)*(Mapa_Data=Data_Mapa)*(Mapa_MinOcup&gt;0)*(Mapa_RelIni&lt;280)*(Mapa_RelFim&gt;270))&gt;0,2,IF(SUMPRODUCT((Mapa_Sala='Mapa do Dia'!$N10)*(Mapa_Data=Data_Mapa)*(Mapa_MinOcup&gt;0)*(Mapa_RelFim&lt;280)*(Mapa_RelFim+Limpeza_Min&gt;270))&gt;0,1,0)))</f>
        <v/>
      </c>
      <c r="AX12" s="15">
        <f>IF(OR('Mapa do Dia'!$A10="",'Calc'!$B2&lt;&gt;"Sala cirúrgica"),"",IF(SUMPRODUCT((Mapa_Sala='Mapa do Dia'!$N10)*(Mapa_Data=Data_Mapa)*(Mapa_MinOcup&gt;0)*(Mapa_RelIni&lt;290)*(Mapa_RelFim&gt;280))&gt;0,2,IF(SUMPRODUCT((Mapa_Sala='Mapa do Dia'!$N10)*(Mapa_Data=Data_Mapa)*(Mapa_MinOcup&gt;0)*(Mapa_RelFim&lt;290)*(Mapa_RelFim+Limpeza_Min&gt;280))&gt;0,1,0)))</f>
        <v/>
      </c>
      <c r="AY12" s="15">
        <f>IF(OR('Mapa do Dia'!$A10="",'Calc'!$B2&lt;&gt;"Sala cirúrgica"),"",IF(SUMPRODUCT((Mapa_Sala='Mapa do Dia'!$N10)*(Mapa_Data=Data_Mapa)*(Mapa_MinOcup&gt;0)*(Mapa_RelIni&lt;300)*(Mapa_RelFim&gt;290))&gt;0,2,IF(SUMPRODUCT((Mapa_Sala='Mapa do Dia'!$N10)*(Mapa_Data=Data_Mapa)*(Mapa_MinOcup&gt;0)*(Mapa_RelFim&lt;300)*(Mapa_RelFim+Limpeza_Min&gt;290))&gt;0,1,0)))</f>
        <v/>
      </c>
      <c r="AZ12" s="15">
        <f>IF(OR('Mapa do Dia'!$A10="",'Calc'!$B2&lt;&gt;"Sala cirúrgica"),"",IF(SUMPRODUCT((Mapa_Sala='Mapa do Dia'!$N10)*(Mapa_Data=Data_Mapa)*(Mapa_MinOcup&gt;0)*(Mapa_RelIni&lt;310)*(Mapa_RelFim&gt;300))&gt;0,2,IF(SUMPRODUCT((Mapa_Sala='Mapa do Dia'!$N10)*(Mapa_Data=Data_Mapa)*(Mapa_MinOcup&gt;0)*(Mapa_RelFim&lt;310)*(Mapa_RelFim+Limpeza_Min&gt;300))&gt;0,1,0)))</f>
        <v/>
      </c>
      <c r="BA12" s="15">
        <f>IF(OR('Mapa do Dia'!$A10="",'Calc'!$B2&lt;&gt;"Sala cirúrgica"),"",IF(SUMPRODUCT((Mapa_Sala='Mapa do Dia'!$N10)*(Mapa_Data=Data_Mapa)*(Mapa_MinOcup&gt;0)*(Mapa_RelIni&lt;320)*(Mapa_RelFim&gt;310))&gt;0,2,IF(SUMPRODUCT((Mapa_Sala='Mapa do Dia'!$N10)*(Mapa_Data=Data_Mapa)*(Mapa_MinOcup&gt;0)*(Mapa_RelFim&lt;320)*(Mapa_RelFim+Limpeza_Min&gt;310))&gt;0,1,0)))</f>
        <v/>
      </c>
      <c r="BB12" s="15">
        <f>IF(OR('Mapa do Dia'!$A10="",'Calc'!$B2&lt;&gt;"Sala cirúrgica"),"",IF(SUMPRODUCT((Mapa_Sala='Mapa do Dia'!$N10)*(Mapa_Data=Data_Mapa)*(Mapa_MinOcup&gt;0)*(Mapa_RelIni&lt;330)*(Mapa_RelFim&gt;320))&gt;0,2,IF(SUMPRODUCT((Mapa_Sala='Mapa do Dia'!$N10)*(Mapa_Data=Data_Mapa)*(Mapa_MinOcup&gt;0)*(Mapa_RelFim&lt;330)*(Mapa_RelFim+Limpeza_Min&gt;320))&gt;0,1,0)))</f>
        <v/>
      </c>
      <c r="BC12" s="15">
        <f>IF(OR('Mapa do Dia'!$A10="",'Calc'!$B2&lt;&gt;"Sala cirúrgica"),"",IF(SUMPRODUCT((Mapa_Sala='Mapa do Dia'!$N10)*(Mapa_Data=Data_Mapa)*(Mapa_MinOcup&gt;0)*(Mapa_RelIni&lt;340)*(Mapa_RelFim&gt;330))&gt;0,2,IF(SUMPRODUCT((Mapa_Sala='Mapa do Dia'!$N10)*(Mapa_Data=Data_Mapa)*(Mapa_MinOcup&gt;0)*(Mapa_RelFim&lt;340)*(Mapa_RelFim+Limpeza_Min&gt;330))&gt;0,1,0)))</f>
        <v/>
      </c>
      <c r="BD12" s="15">
        <f>IF(OR('Mapa do Dia'!$A10="",'Calc'!$B2&lt;&gt;"Sala cirúrgica"),"",IF(SUMPRODUCT((Mapa_Sala='Mapa do Dia'!$N10)*(Mapa_Data=Data_Mapa)*(Mapa_MinOcup&gt;0)*(Mapa_RelIni&lt;350)*(Mapa_RelFim&gt;340))&gt;0,2,IF(SUMPRODUCT((Mapa_Sala='Mapa do Dia'!$N10)*(Mapa_Data=Data_Mapa)*(Mapa_MinOcup&gt;0)*(Mapa_RelFim&lt;350)*(Mapa_RelFim+Limpeza_Min&gt;340))&gt;0,1,0)))</f>
        <v/>
      </c>
      <c r="BE12" s="15">
        <f>IF(OR('Mapa do Dia'!$A10="",'Calc'!$B2&lt;&gt;"Sala cirúrgica"),"",IF(SUMPRODUCT((Mapa_Sala='Mapa do Dia'!$N10)*(Mapa_Data=Data_Mapa)*(Mapa_MinOcup&gt;0)*(Mapa_RelIni&lt;360)*(Mapa_RelFim&gt;350))&gt;0,2,IF(SUMPRODUCT((Mapa_Sala='Mapa do Dia'!$N10)*(Mapa_Data=Data_Mapa)*(Mapa_MinOcup&gt;0)*(Mapa_RelFim&lt;360)*(Mapa_RelFim+Limpeza_Min&gt;350))&gt;0,1,0)))</f>
        <v/>
      </c>
      <c r="BF12">
        <f>IF('Mapa do Dia'!$A10="","",'Mapa do Dia'!$F10)</f>
        <v/>
      </c>
    </row>
    <row r="13" ht="17" customHeight="1">
      <c r="A13" s="13">
        <f>IF('Mapa do Dia'!$A11="","",'Mapa do Dia'!$A11)</f>
        <v/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14">
        <f>IF('Mapa do Dia'!$A11="","",IF('Mapa do Dia'!$D11="","(falta escalar)",IFERROR(INDEX(Equipe_Curto,MATCH('Mapa do Dia'!$D11,Equipe_Nome,0)),'Mapa do Dia'!$D11))&amp;IF('Mapa do Dia'!$B11&lt;2,"",IF('Mapa do Dia'!$E11="", " · (falta escalar)"," · "&amp;IFERROR(INDEX(Equipe_Curto,MATCH('Mapa do Dia'!$E11,Equipe_Nome,0)),'Mapa do Dia'!$E11))))</f>
        <v/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15">
        <f>IF(OR('Mapa do Dia'!$A11="",'Calc'!$B3&lt;&gt;"Sala cirúrgica"),"",IF(SUMPRODUCT((Mapa_Sala='Mapa do Dia'!$N11)*(Mapa_Data=Data_Mapa)*(Mapa_MinOcup&gt;0)*(Mapa_RelIni&lt;10)*(Mapa_RelFim&gt;0))&gt;0,2,IF(SUMPRODUCT((Mapa_Sala='Mapa do Dia'!$N11)*(Mapa_Data=Data_Mapa)*(Mapa_MinOcup&gt;0)*(Mapa_RelFim&lt;10)*(Mapa_RelFim+Limpeza_Min&gt;0))&gt;0,1,0)))</f>
        <v/>
      </c>
      <c r="W13" s="15">
        <f>IF(OR('Mapa do Dia'!$A11="",'Calc'!$B3&lt;&gt;"Sala cirúrgica"),"",IF(SUMPRODUCT((Mapa_Sala='Mapa do Dia'!$N11)*(Mapa_Data=Data_Mapa)*(Mapa_MinOcup&gt;0)*(Mapa_RelIni&lt;20)*(Mapa_RelFim&gt;10))&gt;0,2,IF(SUMPRODUCT((Mapa_Sala='Mapa do Dia'!$N11)*(Mapa_Data=Data_Mapa)*(Mapa_MinOcup&gt;0)*(Mapa_RelFim&lt;20)*(Mapa_RelFim+Limpeza_Min&gt;10))&gt;0,1,0)))</f>
        <v/>
      </c>
      <c r="X13" s="15">
        <f>IF(OR('Mapa do Dia'!$A11="",'Calc'!$B3&lt;&gt;"Sala cirúrgica"),"",IF(SUMPRODUCT((Mapa_Sala='Mapa do Dia'!$N11)*(Mapa_Data=Data_Mapa)*(Mapa_MinOcup&gt;0)*(Mapa_RelIni&lt;30)*(Mapa_RelFim&gt;20))&gt;0,2,IF(SUMPRODUCT((Mapa_Sala='Mapa do Dia'!$N11)*(Mapa_Data=Data_Mapa)*(Mapa_MinOcup&gt;0)*(Mapa_RelFim&lt;30)*(Mapa_RelFim+Limpeza_Min&gt;20))&gt;0,1,0)))</f>
        <v/>
      </c>
      <c r="Y13" s="15">
        <f>IF(OR('Mapa do Dia'!$A11="",'Calc'!$B3&lt;&gt;"Sala cirúrgica"),"",IF(SUMPRODUCT((Mapa_Sala='Mapa do Dia'!$N11)*(Mapa_Data=Data_Mapa)*(Mapa_MinOcup&gt;0)*(Mapa_RelIni&lt;40)*(Mapa_RelFim&gt;30))&gt;0,2,IF(SUMPRODUCT((Mapa_Sala='Mapa do Dia'!$N11)*(Mapa_Data=Data_Mapa)*(Mapa_MinOcup&gt;0)*(Mapa_RelFim&lt;40)*(Mapa_RelFim+Limpeza_Min&gt;30))&gt;0,1,0)))</f>
        <v/>
      </c>
      <c r="Z13" s="15">
        <f>IF(OR('Mapa do Dia'!$A11="",'Calc'!$B3&lt;&gt;"Sala cirúrgica"),"",IF(SUMPRODUCT((Mapa_Sala='Mapa do Dia'!$N11)*(Mapa_Data=Data_Mapa)*(Mapa_MinOcup&gt;0)*(Mapa_RelIni&lt;50)*(Mapa_RelFim&gt;40))&gt;0,2,IF(SUMPRODUCT((Mapa_Sala='Mapa do Dia'!$N11)*(Mapa_Data=Data_Mapa)*(Mapa_MinOcup&gt;0)*(Mapa_RelFim&lt;50)*(Mapa_RelFim+Limpeza_Min&gt;40))&gt;0,1,0)))</f>
        <v/>
      </c>
      <c r="AA13" s="15">
        <f>IF(OR('Mapa do Dia'!$A11="",'Calc'!$B3&lt;&gt;"Sala cirúrgica"),"",IF(SUMPRODUCT((Mapa_Sala='Mapa do Dia'!$N11)*(Mapa_Data=Data_Mapa)*(Mapa_MinOcup&gt;0)*(Mapa_RelIni&lt;60)*(Mapa_RelFim&gt;50))&gt;0,2,IF(SUMPRODUCT((Mapa_Sala='Mapa do Dia'!$N11)*(Mapa_Data=Data_Mapa)*(Mapa_MinOcup&gt;0)*(Mapa_RelFim&lt;60)*(Mapa_RelFim+Limpeza_Min&gt;50))&gt;0,1,0)))</f>
        <v/>
      </c>
      <c r="AB13" s="15">
        <f>IF(OR('Mapa do Dia'!$A11="",'Calc'!$B3&lt;&gt;"Sala cirúrgica"),"",IF(SUMPRODUCT((Mapa_Sala='Mapa do Dia'!$N11)*(Mapa_Data=Data_Mapa)*(Mapa_MinOcup&gt;0)*(Mapa_RelIni&lt;70)*(Mapa_RelFim&gt;60))&gt;0,2,IF(SUMPRODUCT((Mapa_Sala='Mapa do Dia'!$N11)*(Mapa_Data=Data_Mapa)*(Mapa_MinOcup&gt;0)*(Mapa_RelFim&lt;70)*(Mapa_RelFim+Limpeza_Min&gt;60))&gt;0,1,0)))</f>
        <v/>
      </c>
      <c r="AC13" s="15">
        <f>IF(OR('Mapa do Dia'!$A11="",'Calc'!$B3&lt;&gt;"Sala cirúrgica"),"",IF(SUMPRODUCT((Mapa_Sala='Mapa do Dia'!$N11)*(Mapa_Data=Data_Mapa)*(Mapa_MinOcup&gt;0)*(Mapa_RelIni&lt;80)*(Mapa_RelFim&gt;70))&gt;0,2,IF(SUMPRODUCT((Mapa_Sala='Mapa do Dia'!$N11)*(Mapa_Data=Data_Mapa)*(Mapa_MinOcup&gt;0)*(Mapa_RelFim&lt;80)*(Mapa_RelFim+Limpeza_Min&gt;70))&gt;0,1,0)))</f>
        <v/>
      </c>
      <c r="AD13" s="15">
        <f>IF(OR('Mapa do Dia'!$A11="",'Calc'!$B3&lt;&gt;"Sala cirúrgica"),"",IF(SUMPRODUCT((Mapa_Sala='Mapa do Dia'!$N11)*(Mapa_Data=Data_Mapa)*(Mapa_MinOcup&gt;0)*(Mapa_RelIni&lt;90)*(Mapa_RelFim&gt;80))&gt;0,2,IF(SUMPRODUCT((Mapa_Sala='Mapa do Dia'!$N11)*(Mapa_Data=Data_Mapa)*(Mapa_MinOcup&gt;0)*(Mapa_RelFim&lt;90)*(Mapa_RelFim+Limpeza_Min&gt;80))&gt;0,1,0)))</f>
        <v/>
      </c>
      <c r="AE13" s="15">
        <f>IF(OR('Mapa do Dia'!$A11="",'Calc'!$B3&lt;&gt;"Sala cirúrgica"),"",IF(SUMPRODUCT((Mapa_Sala='Mapa do Dia'!$N11)*(Mapa_Data=Data_Mapa)*(Mapa_MinOcup&gt;0)*(Mapa_RelIni&lt;100)*(Mapa_RelFim&gt;90))&gt;0,2,IF(SUMPRODUCT((Mapa_Sala='Mapa do Dia'!$N11)*(Mapa_Data=Data_Mapa)*(Mapa_MinOcup&gt;0)*(Mapa_RelFim&lt;100)*(Mapa_RelFim+Limpeza_Min&gt;90))&gt;0,1,0)))</f>
        <v/>
      </c>
      <c r="AF13" s="15">
        <f>IF(OR('Mapa do Dia'!$A11="",'Calc'!$B3&lt;&gt;"Sala cirúrgica"),"",IF(SUMPRODUCT((Mapa_Sala='Mapa do Dia'!$N11)*(Mapa_Data=Data_Mapa)*(Mapa_MinOcup&gt;0)*(Mapa_RelIni&lt;110)*(Mapa_RelFim&gt;100))&gt;0,2,IF(SUMPRODUCT((Mapa_Sala='Mapa do Dia'!$N11)*(Mapa_Data=Data_Mapa)*(Mapa_MinOcup&gt;0)*(Mapa_RelFim&lt;110)*(Mapa_RelFim+Limpeza_Min&gt;100))&gt;0,1,0)))</f>
        <v/>
      </c>
      <c r="AG13" s="15">
        <f>IF(OR('Mapa do Dia'!$A11="",'Calc'!$B3&lt;&gt;"Sala cirúrgica"),"",IF(SUMPRODUCT((Mapa_Sala='Mapa do Dia'!$N11)*(Mapa_Data=Data_Mapa)*(Mapa_MinOcup&gt;0)*(Mapa_RelIni&lt;120)*(Mapa_RelFim&gt;110))&gt;0,2,IF(SUMPRODUCT((Mapa_Sala='Mapa do Dia'!$N11)*(Mapa_Data=Data_Mapa)*(Mapa_MinOcup&gt;0)*(Mapa_RelFim&lt;120)*(Mapa_RelFim+Limpeza_Min&gt;110))&gt;0,1,0)))</f>
        <v/>
      </c>
      <c r="AH13" s="15">
        <f>IF(OR('Mapa do Dia'!$A11="",'Calc'!$B3&lt;&gt;"Sala cirúrgica"),"",IF(SUMPRODUCT((Mapa_Sala='Mapa do Dia'!$N11)*(Mapa_Data=Data_Mapa)*(Mapa_MinOcup&gt;0)*(Mapa_RelIni&lt;130)*(Mapa_RelFim&gt;120))&gt;0,2,IF(SUMPRODUCT((Mapa_Sala='Mapa do Dia'!$N11)*(Mapa_Data=Data_Mapa)*(Mapa_MinOcup&gt;0)*(Mapa_RelFim&lt;130)*(Mapa_RelFim+Limpeza_Min&gt;120))&gt;0,1,0)))</f>
        <v/>
      </c>
      <c r="AI13" s="15">
        <f>IF(OR('Mapa do Dia'!$A11="",'Calc'!$B3&lt;&gt;"Sala cirúrgica"),"",IF(SUMPRODUCT((Mapa_Sala='Mapa do Dia'!$N11)*(Mapa_Data=Data_Mapa)*(Mapa_MinOcup&gt;0)*(Mapa_RelIni&lt;140)*(Mapa_RelFim&gt;130))&gt;0,2,IF(SUMPRODUCT((Mapa_Sala='Mapa do Dia'!$N11)*(Mapa_Data=Data_Mapa)*(Mapa_MinOcup&gt;0)*(Mapa_RelFim&lt;140)*(Mapa_RelFim+Limpeza_Min&gt;130))&gt;0,1,0)))</f>
        <v/>
      </c>
      <c r="AJ13" s="15">
        <f>IF(OR('Mapa do Dia'!$A11="",'Calc'!$B3&lt;&gt;"Sala cirúrgica"),"",IF(SUMPRODUCT((Mapa_Sala='Mapa do Dia'!$N11)*(Mapa_Data=Data_Mapa)*(Mapa_MinOcup&gt;0)*(Mapa_RelIni&lt;150)*(Mapa_RelFim&gt;140))&gt;0,2,IF(SUMPRODUCT((Mapa_Sala='Mapa do Dia'!$N11)*(Mapa_Data=Data_Mapa)*(Mapa_MinOcup&gt;0)*(Mapa_RelFim&lt;150)*(Mapa_RelFim+Limpeza_Min&gt;140))&gt;0,1,0)))</f>
        <v/>
      </c>
      <c r="AK13" s="15">
        <f>IF(OR('Mapa do Dia'!$A11="",'Calc'!$B3&lt;&gt;"Sala cirúrgica"),"",IF(SUMPRODUCT((Mapa_Sala='Mapa do Dia'!$N11)*(Mapa_Data=Data_Mapa)*(Mapa_MinOcup&gt;0)*(Mapa_RelIni&lt;160)*(Mapa_RelFim&gt;150))&gt;0,2,IF(SUMPRODUCT((Mapa_Sala='Mapa do Dia'!$N11)*(Mapa_Data=Data_Mapa)*(Mapa_MinOcup&gt;0)*(Mapa_RelFim&lt;160)*(Mapa_RelFim+Limpeza_Min&gt;150))&gt;0,1,0)))</f>
        <v/>
      </c>
      <c r="AL13" s="15">
        <f>IF(OR('Mapa do Dia'!$A11="",'Calc'!$B3&lt;&gt;"Sala cirúrgica"),"",IF(SUMPRODUCT((Mapa_Sala='Mapa do Dia'!$N11)*(Mapa_Data=Data_Mapa)*(Mapa_MinOcup&gt;0)*(Mapa_RelIni&lt;170)*(Mapa_RelFim&gt;160))&gt;0,2,IF(SUMPRODUCT((Mapa_Sala='Mapa do Dia'!$N11)*(Mapa_Data=Data_Mapa)*(Mapa_MinOcup&gt;0)*(Mapa_RelFim&lt;170)*(Mapa_RelFim+Limpeza_Min&gt;160))&gt;0,1,0)))</f>
        <v/>
      </c>
      <c r="AM13" s="15">
        <f>IF(OR('Mapa do Dia'!$A11="",'Calc'!$B3&lt;&gt;"Sala cirúrgica"),"",IF(SUMPRODUCT((Mapa_Sala='Mapa do Dia'!$N11)*(Mapa_Data=Data_Mapa)*(Mapa_MinOcup&gt;0)*(Mapa_RelIni&lt;180)*(Mapa_RelFim&gt;170))&gt;0,2,IF(SUMPRODUCT((Mapa_Sala='Mapa do Dia'!$N11)*(Mapa_Data=Data_Mapa)*(Mapa_MinOcup&gt;0)*(Mapa_RelFim&lt;180)*(Mapa_RelFim+Limpeza_Min&gt;170))&gt;0,1,0)))</f>
        <v/>
      </c>
      <c r="AN13" s="15">
        <f>IF(OR('Mapa do Dia'!$A11="",'Calc'!$B3&lt;&gt;"Sala cirúrgica"),"",IF(SUMPRODUCT((Mapa_Sala='Mapa do Dia'!$N11)*(Mapa_Data=Data_Mapa)*(Mapa_MinOcup&gt;0)*(Mapa_RelIni&lt;190)*(Mapa_RelFim&gt;180))&gt;0,2,IF(SUMPRODUCT((Mapa_Sala='Mapa do Dia'!$N11)*(Mapa_Data=Data_Mapa)*(Mapa_MinOcup&gt;0)*(Mapa_RelFim&lt;190)*(Mapa_RelFim+Limpeza_Min&gt;180))&gt;0,1,0)))</f>
        <v/>
      </c>
      <c r="AO13" s="15">
        <f>IF(OR('Mapa do Dia'!$A11="",'Calc'!$B3&lt;&gt;"Sala cirúrgica"),"",IF(SUMPRODUCT((Mapa_Sala='Mapa do Dia'!$N11)*(Mapa_Data=Data_Mapa)*(Mapa_MinOcup&gt;0)*(Mapa_RelIni&lt;200)*(Mapa_RelFim&gt;190))&gt;0,2,IF(SUMPRODUCT((Mapa_Sala='Mapa do Dia'!$N11)*(Mapa_Data=Data_Mapa)*(Mapa_MinOcup&gt;0)*(Mapa_RelFim&lt;200)*(Mapa_RelFim+Limpeza_Min&gt;190))&gt;0,1,0)))</f>
        <v/>
      </c>
      <c r="AP13" s="15">
        <f>IF(OR('Mapa do Dia'!$A11="",'Calc'!$B3&lt;&gt;"Sala cirúrgica"),"",IF(SUMPRODUCT((Mapa_Sala='Mapa do Dia'!$N11)*(Mapa_Data=Data_Mapa)*(Mapa_MinOcup&gt;0)*(Mapa_RelIni&lt;210)*(Mapa_RelFim&gt;200))&gt;0,2,IF(SUMPRODUCT((Mapa_Sala='Mapa do Dia'!$N11)*(Mapa_Data=Data_Mapa)*(Mapa_MinOcup&gt;0)*(Mapa_RelFim&lt;210)*(Mapa_RelFim+Limpeza_Min&gt;200))&gt;0,1,0)))</f>
        <v/>
      </c>
      <c r="AQ13" s="15">
        <f>IF(OR('Mapa do Dia'!$A11="",'Calc'!$B3&lt;&gt;"Sala cirúrgica"),"",IF(SUMPRODUCT((Mapa_Sala='Mapa do Dia'!$N11)*(Mapa_Data=Data_Mapa)*(Mapa_MinOcup&gt;0)*(Mapa_RelIni&lt;220)*(Mapa_RelFim&gt;210))&gt;0,2,IF(SUMPRODUCT((Mapa_Sala='Mapa do Dia'!$N11)*(Mapa_Data=Data_Mapa)*(Mapa_MinOcup&gt;0)*(Mapa_RelFim&lt;220)*(Mapa_RelFim+Limpeza_Min&gt;210))&gt;0,1,0)))</f>
        <v/>
      </c>
      <c r="AR13" s="15">
        <f>IF(OR('Mapa do Dia'!$A11="",'Calc'!$B3&lt;&gt;"Sala cirúrgica"),"",IF(SUMPRODUCT((Mapa_Sala='Mapa do Dia'!$N11)*(Mapa_Data=Data_Mapa)*(Mapa_MinOcup&gt;0)*(Mapa_RelIni&lt;230)*(Mapa_RelFim&gt;220))&gt;0,2,IF(SUMPRODUCT((Mapa_Sala='Mapa do Dia'!$N11)*(Mapa_Data=Data_Mapa)*(Mapa_MinOcup&gt;0)*(Mapa_RelFim&lt;230)*(Mapa_RelFim+Limpeza_Min&gt;220))&gt;0,1,0)))</f>
        <v/>
      </c>
      <c r="AS13" s="15">
        <f>IF(OR('Mapa do Dia'!$A11="",'Calc'!$B3&lt;&gt;"Sala cirúrgica"),"",IF(SUMPRODUCT((Mapa_Sala='Mapa do Dia'!$N11)*(Mapa_Data=Data_Mapa)*(Mapa_MinOcup&gt;0)*(Mapa_RelIni&lt;240)*(Mapa_RelFim&gt;230))&gt;0,2,IF(SUMPRODUCT((Mapa_Sala='Mapa do Dia'!$N11)*(Mapa_Data=Data_Mapa)*(Mapa_MinOcup&gt;0)*(Mapa_RelFim&lt;240)*(Mapa_RelFim+Limpeza_Min&gt;230))&gt;0,1,0)))</f>
        <v/>
      </c>
      <c r="AT13" s="15">
        <f>IF(OR('Mapa do Dia'!$A11="",'Calc'!$B3&lt;&gt;"Sala cirúrgica"),"",IF(SUMPRODUCT((Mapa_Sala='Mapa do Dia'!$N11)*(Mapa_Data=Data_Mapa)*(Mapa_MinOcup&gt;0)*(Mapa_RelIni&lt;250)*(Mapa_RelFim&gt;240))&gt;0,2,IF(SUMPRODUCT((Mapa_Sala='Mapa do Dia'!$N11)*(Mapa_Data=Data_Mapa)*(Mapa_MinOcup&gt;0)*(Mapa_RelFim&lt;250)*(Mapa_RelFim+Limpeza_Min&gt;240))&gt;0,1,0)))</f>
        <v/>
      </c>
      <c r="AU13" s="15">
        <f>IF(OR('Mapa do Dia'!$A11="",'Calc'!$B3&lt;&gt;"Sala cirúrgica"),"",IF(SUMPRODUCT((Mapa_Sala='Mapa do Dia'!$N11)*(Mapa_Data=Data_Mapa)*(Mapa_MinOcup&gt;0)*(Mapa_RelIni&lt;260)*(Mapa_RelFim&gt;250))&gt;0,2,IF(SUMPRODUCT((Mapa_Sala='Mapa do Dia'!$N11)*(Mapa_Data=Data_Mapa)*(Mapa_MinOcup&gt;0)*(Mapa_RelFim&lt;260)*(Mapa_RelFim+Limpeza_Min&gt;250))&gt;0,1,0)))</f>
        <v/>
      </c>
      <c r="AV13" s="15">
        <f>IF(OR('Mapa do Dia'!$A11="",'Calc'!$B3&lt;&gt;"Sala cirúrgica"),"",IF(SUMPRODUCT((Mapa_Sala='Mapa do Dia'!$N11)*(Mapa_Data=Data_Mapa)*(Mapa_MinOcup&gt;0)*(Mapa_RelIni&lt;270)*(Mapa_RelFim&gt;260))&gt;0,2,IF(SUMPRODUCT((Mapa_Sala='Mapa do Dia'!$N11)*(Mapa_Data=Data_Mapa)*(Mapa_MinOcup&gt;0)*(Mapa_RelFim&lt;270)*(Mapa_RelFim+Limpeza_Min&gt;260))&gt;0,1,0)))</f>
        <v/>
      </c>
      <c r="AW13" s="15">
        <f>IF(OR('Mapa do Dia'!$A11="",'Calc'!$B3&lt;&gt;"Sala cirúrgica"),"",IF(SUMPRODUCT((Mapa_Sala='Mapa do Dia'!$N11)*(Mapa_Data=Data_Mapa)*(Mapa_MinOcup&gt;0)*(Mapa_RelIni&lt;280)*(Mapa_RelFim&gt;270))&gt;0,2,IF(SUMPRODUCT((Mapa_Sala='Mapa do Dia'!$N11)*(Mapa_Data=Data_Mapa)*(Mapa_MinOcup&gt;0)*(Mapa_RelFim&lt;280)*(Mapa_RelFim+Limpeza_Min&gt;270))&gt;0,1,0)))</f>
        <v/>
      </c>
      <c r="AX13" s="15">
        <f>IF(OR('Mapa do Dia'!$A11="",'Calc'!$B3&lt;&gt;"Sala cirúrgica"),"",IF(SUMPRODUCT((Mapa_Sala='Mapa do Dia'!$N11)*(Mapa_Data=Data_Mapa)*(Mapa_MinOcup&gt;0)*(Mapa_RelIni&lt;290)*(Mapa_RelFim&gt;280))&gt;0,2,IF(SUMPRODUCT((Mapa_Sala='Mapa do Dia'!$N11)*(Mapa_Data=Data_Mapa)*(Mapa_MinOcup&gt;0)*(Mapa_RelFim&lt;290)*(Mapa_RelFim+Limpeza_Min&gt;280))&gt;0,1,0)))</f>
        <v/>
      </c>
      <c r="AY13" s="15">
        <f>IF(OR('Mapa do Dia'!$A11="",'Calc'!$B3&lt;&gt;"Sala cirúrgica"),"",IF(SUMPRODUCT((Mapa_Sala='Mapa do Dia'!$N11)*(Mapa_Data=Data_Mapa)*(Mapa_MinOcup&gt;0)*(Mapa_RelIni&lt;300)*(Mapa_RelFim&gt;290))&gt;0,2,IF(SUMPRODUCT((Mapa_Sala='Mapa do Dia'!$N11)*(Mapa_Data=Data_Mapa)*(Mapa_MinOcup&gt;0)*(Mapa_RelFim&lt;300)*(Mapa_RelFim+Limpeza_Min&gt;290))&gt;0,1,0)))</f>
        <v/>
      </c>
      <c r="AZ13" s="15">
        <f>IF(OR('Mapa do Dia'!$A11="",'Calc'!$B3&lt;&gt;"Sala cirúrgica"),"",IF(SUMPRODUCT((Mapa_Sala='Mapa do Dia'!$N11)*(Mapa_Data=Data_Mapa)*(Mapa_MinOcup&gt;0)*(Mapa_RelIni&lt;310)*(Mapa_RelFim&gt;300))&gt;0,2,IF(SUMPRODUCT((Mapa_Sala='Mapa do Dia'!$N11)*(Mapa_Data=Data_Mapa)*(Mapa_MinOcup&gt;0)*(Mapa_RelFim&lt;310)*(Mapa_RelFim+Limpeza_Min&gt;300))&gt;0,1,0)))</f>
        <v/>
      </c>
      <c r="BA13" s="15">
        <f>IF(OR('Mapa do Dia'!$A11="",'Calc'!$B3&lt;&gt;"Sala cirúrgica"),"",IF(SUMPRODUCT((Mapa_Sala='Mapa do Dia'!$N11)*(Mapa_Data=Data_Mapa)*(Mapa_MinOcup&gt;0)*(Mapa_RelIni&lt;320)*(Mapa_RelFim&gt;310))&gt;0,2,IF(SUMPRODUCT((Mapa_Sala='Mapa do Dia'!$N11)*(Mapa_Data=Data_Mapa)*(Mapa_MinOcup&gt;0)*(Mapa_RelFim&lt;320)*(Mapa_RelFim+Limpeza_Min&gt;310))&gt;0,1,0)))</f>
        <v/>
      </c>
      <c r="BB13" s="15">
        <f>IF(OR('Mapa do Dia'!$A11="",'Calc'!$B3&lt;&gt;"Sala cirúrgica"),"",IF(SUMPRODUCT((Mapa_Sala='Mapa do Dia'!$N11)*(Mapa_Data=Data_Mapa)*(Mapa_MinOcup&gt;0)*(Mapa_RelIni&lt;330)*(Mapa_RelFim&gt;320))&gt;0,2,IF(SUMPRODUCT((Mapa_Sala='Mapa do Dia'!$N11)*(Mapa_Data=Data_Mapa)*(Mapa_MinOcup&gt;0)*(Mapa_RelFim&lt;330)*(Mapa_RelFim+Limpeza_Min&gt;320))&gt;0,1,0)))</f>
        <v/>
      </c>
      <c r="BC13" s="15">
        <f>IF(OR('Mapa do Dia'!$A11="",'Calc'!$B3&lt;&gt;"Sala cirúrgica"),"",IF(SUMPRODUCT((Mapa_Sala='Mapa do Dia'!$N11)*(Mapa_Data=Data_Mapa)*(Mapa_MinOcup&gt;0)*(Mapa_RelIni&lt;340)*(Mapa_RelFim&gt;330))&gt;0,2,IF(SUMPRODUCT((Mapa_Sala='Mapa do Dia'!$N11)*(Mapa_Data=Data_Mapa)*(Mapa_MinOcup&gt;0)*(Mapa_RelFim&lt;340)*(Mapa_RelFim+Limpeza_Min&gt;330))&gt;0,1,0)))</f>
        <v/>
      </c>
      <c r="BD13" s="15">
        <f>IF(OR('Mapa do Dia'!$A11="",'Calc'!$B3&lt;&gt;"Sala cirúrgica"),"",IF(SUMPRODUCT((Mapa_Sala='Mapa do Dia'!$N11)*(Mapa_Data=Data_Mapa)*(Mapa_MinOcup&gt;0)*(Mapa_RelIni&lt;350)*(Mapa_RelFim&gt;340))&gt;0,2,IF(SUMPRODUCT((Mapa_Sala='Mapa do Dia'!$N11)*(Mapa_Data=Data_Mapa)*(Mapa_MinOcup&gt;0)*(Mapa_RelFim&lt;350)*(Mapa_RelFim+Limpeza_Min&gt;340))&gt;0,1,0)))</f>
        <v/>
      </c>
      <c r="BE13" s="15">
        <f>IF(OR('Mapa do Dia'!$A11="",'Calc'!$B3&lt;&gt;"Sala cirúrgica"),"",IF(SUMPRODUCT((Mapa_Sala='Mapa do Dia'!$N11)*(Mapa_Data=Data_Mapa)*(Mapa_MinOcup&gt;0)*(Mapa_RelIni&lt;360)*(Mapa_RelFim&gt;350))&gt;0,2,IF(SUMPRODUCT((Mapa_Sala='Mapa do Dia'!$N11)*(Mapa_Data=Data_Mapa)*(Mapa_MinOcup&gt;0)*(Mapa_RelFim&lt;360)*(Mapa_RelFim+Limpeza_Min&gt;350))&gt;0,1,0)))</f>
        <v/>
      </c>
      <c r="BF13">
        <f>IF('Mapa do Dia'!$A11="","",'Mapa do Dia'!$F11)</f>
        <v/>
      </c>
    </row>
    <row r="14" ht="17" customHeight="1">
      <c r="A14" s="13">
        <f>IF('Mapa do Dia'!$A12="","",'Mapa do Dia'!$A12)</f>
        <v/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14">
        <f>IF('Mapa do Dia'!$A12="","",IF('Mapa do Dia'!$D12="","(falta escalar)",IFERROR(INDEX(Equipe_Curto,MATCH('Mapa do Dia'!$D12,Equipe_Nome,0)),'Mapa do Dia'!$D12))&amp;IF('Mapa do Dia'!$B12&lt;2,"",IF('Mapa do Dia'!$E12="", " · (falta escalar)"," · "&amp;IFERROR(INDEX(Equipe_Curto,MATCH('Mapa do Dia'!$E12,Equipe_Nome,0)),'Mapa do Dia'!$E12))))</f>
        <v/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15">
        <f>IF(OR('Mapa do Dia'!$A12="",'Calc'!$B4&lt;&gt;"Sala cirúrgica"),"",IF(SUMPRODUCT((Mapa_Sala='Mapa do Dia'!$N12)*(Mapa_Data=Data_Mapa)*(Mapa_MinOcup&gt;0)*(Mapa_RelIni&lt;10)*(Mapa_RelFim&gt;0))&gt;0,2,IF(SUMPRODUCT((Mapa_Sala='Mapa do Dia'!$N12)*(Mapa_Data=Data_Mapa)*(Mapa_MinOcup&gt;0)*(Mapa_RelFim&lt;10)*(Mapa_RelFim+Limpeza_Min&gt;0))&gt;0,1,0)))</f>
        <v/>
      </c>
      <c r="W14" s="15">
        <f>IF(OR('Mapa do Dia'!$A12="",'Calc'!$B4&lt;&gt;"Sala cirúrgica"),"",IF(SUMPRODUCT((Mapa_Sala='Mapa do Dia'!$N12)*(Mapa_Data=Data_Mapa)*(Mapa_MinOcup&gt;0)*(Mapa_RelIni&lt;20)*(Mapa_RelFim&gt;10))&gt;0,2,IF(SUMPRODUCT((Mapa_Sala='Mapa do Dia'!$N12)*(Mapa_Data=Data_Mapa)*(Mapa_MinOcup&gt;0)*(Mapa_RelFim&lt;20)*(Mapa_RelFim+Limpeza_Min&gt;10))&gt;0,1,0)))</f>
        <v/>
      </c>
      <c r="X14" s="15">
        <f>IF(OR('Mapa do Dia'!$A12="",'Calc'!$B4&lt;&gt;"Sala cirúrgica"),"",IF(SUMPRODUCT((Mapa_Sala='Mapa do Dia'!$N12)*(Mapa_Data=Data_Mapa)*(Mapa_MinOcup&gt;0)*(Mapa_RelIni&lt;30)*(Mapa_RelFim&gt;20))&gt;0,2,IF(SUMPRODUCT((Mapa_Sala='Mapa do Dia'!$N12)*(Mapa_Data=Data_Mapa)*(Mapa_MinOcup&gt;0)*(Mapa_RelFim&lt;30)*(Mapa_RelFim+Limpeza_Min&gt;20))&gt;0,1,0)))</f>
        <v/>
      </c>
      <c r="Y14" s="15">
        <f>IF(OR('Mapa do Dia'!$A12="",'Calc'!$B4&lt;&gt;"Sala cirúrgica"),"",IF(SUMPRODUCT((Mapa_Sala='Mapa do Dia'!$N12)*(Mapa_Data=Data_Mapa)*(Mapa_MinOcup&gt;0)*(Mapa_RelIni&lt;40)*(Mapa_RelFim&gt;30))&gt;0,2,IF(SUMPRODUCT((Mapa_Sala='Mapa do Dia'!$N12)*(Mapa_Data=Data_Mapa)*(Mapa_MinOcup&gt;0)*(Mapa_RelFim&lt;40)*(Mapa_RelFim+Limpeza_Min&gt;30))&gt;0,1,0)))</f>
        <v/>
      </c>
      <c r="Z14" s="15">
        <f>IF(OR('Mapa do Dia'!$A12="",'Calc'!$B4&lt;&gt;"Sala cirúrgica"),"",IF(SUMPRODUCT((Mapa_Sala='Mapa do Dia'!$N12)*(Mapa_Data=Data_Mapa)*(Mapa_MinOcup&gt;0)*(Mapa_RelIni&lt;50)*(Mapa_RelFim&gt;40))&gt;0,2,IF(SUMPRODUCT((Mapa_Sala='Mapa do Dia'!$N12)*(Mapa_Data=Data_Mapa)*(Mapa_MinOcup&gt;0)*(Mapa_RelFim&lt;50)*(Mapa_RelFim+Limpeza_Min&gt;40))&gt;0,1,0)))</f>
        <v/>
      </c>
      <c r="AA14" s="15">
        <f>IF(OR('Mapa do Dia'!$A12="",'Calc'!$B4&lt;&gt;"Sala cirúrgica"),"",IF(SUMPRODUCT((Mapa_Sala='Mapa do Dia'!$N12)*(Mapa_Data=Data_Mapa)*(Mapa_MinOcup&gt;0)*(Mapa_RelIni&lt;60)*(Mapa_RelFim&gt;50))&gt;0,2,IF(SUMPRODUCT((Mapa_Sala='Mapa do Dia'!$N12)*(Mapa_Data=Data_Mapa)*(Mapa_MinOcup&gt;0)*(Mapa_RelFim&lt;60)*(Mapa_RelFim+Limpeza_Min&gt;50))&gt;0,1,0)))</f>
        <v/>
      </c>
      <c r="AB14" s="15">
        <f>IF(OR('Mapa do Dia'!$A12="",'Calc'!$B4&lt;&gt;"Sala cirúrgica"),"",IF(SUMPRODUCT((Mapa_Sala='Mapa do Dia'!$N12)*(Mapa_Data=Data_Mapa)*(Mapa_MinOcup&gt;0)*(Mapa_RelIni&lt;70)*(Mapa_RelFim&gt;60))&gt;0,2,IF(SUMPRODUCT((Mapa_Sala='Mapa do Dia'!$N12)*(Mapa_Data=Data_Mapa)*(Mapa_MinOcup&gt;0)*(Mapa_RelFim&lt;70)*(Mapa_RelFim+Limpeza_Min&gt;60))&gt;0,1,0)))</f>
        <v/>
      </c>
      <c r="AC14" s="15">
        <f>IF(OR('Mapa do Dia'!$A12="",'Calc'!$B4&lt;&gt;"Sala cirúrgica"),"",IF(SUMPRODUCT((Mapa_Sala='Mapa do Dia'!$N12)*(Mapa_Data=Data_Mapa)*(Mapa_MinOcup&gt;0)*(Mapa_RelIni&lt;80)*(Mapa_RelFim&gt;70))&gt;0,2,IF(SUMPRODUCT((Mapa_Sala='Mapa do Dia'!$N12)*(Mapa_Data=Data_Mapa)*(Mapa_MinOcup&gt;0)*(Mapa_RelFim&lt;80)*(Mapa_RelFim+Limpeza_Min&gt;70))&gt;0,1,0)))</f>
        <v/>
      </c>
      <c r="AD14" s="15">
        <f>IF(OR('Mapa do Dia'!$A12="",'Calc'!$B4&lt;&gt;"Sala cirúrgica"),"",IF(SUMPRODUCT((Mapa_Sala='Mapa do Dia'!$N12)*(Mapa_Data=Data_Mapa)*(Mapa_MinOcup&gt;0)*(Mapa_RelIni&lt;90)*(Mapa_RelFim&gt;80))&gt;0,2,IF(SUMPRODUCT((Mapa_Sala='Mapa do Dia'!$N12)*(Mapa_Data=Data_Mapa)*(Mapa_MinOcup&gt;0)*(Mapa_RelFim&lt;90)*(Mapa_RelFim+Limpeza_Min&gt;80))&gt;0,1,0)))</f>
        <v/>
      </c>
      <c r="AE14" s="15">
        <f>IF(OR('Mapa do Dia'!$A12="",'Calc'!$B4&lt;&gt;"Sala cirúrgica"),"",IF(SUMPRODUCT((Mapa_Sala='Mapa do Dia'!$N12)*(Mapa_Data=Data_Mapa)*(Mapa_MinOcup&gt;0)*(Mapa_RelIni&lt;100)*(Mapa_RelFim&gt;90))&gt;0,2,IF(SUMPRODUCT((Mapa_Sala='Mapa do Dia'!$N12)*(Mapa_Data=Data_Mapa)*(Mapa_MinOcup&gt;0)*(Mapa_RelFim&lt;100)*(Mapa_RelFim+Limpeza_Min&gt;90))&gt;0,1,0)))</f>
        <v/>
      </c>
      <c r="AF14" s="15">
        <f>IF(OR('Mapa do Dia'!$A12="",'Calc'!$B4&lt;&gt;"Sala cirúrgica"),"",IF(SUMPRODUCT((Mapa_Sala='Mapa do Dia'!$N12)*(Mapa_Data=Data_Mapa)*(Mapa_MinOcup&gt;0)*(Mapa_RelIni&lt;110)*(Mapa_RelFim&gt;100))&gt;0,2,IF(SUMPRODUCT((Mapa_Sala='Mapa do Dia'!$N12)*(Mapa_Data=Data_Mapa)*(Mapa_MinOcup&gt;0)*(Mapa_RelFim&lt;110)*(Mapa_RelFim+Limpeza_Min&gt;100))&gt;0,1,0)))</f>
        <v/>
      </c>
      <c r="AG14" s="15">
        <f>IF(OR('Mapa do Dia'!$A12="",'Calc'!$B4&lt;&gt;"Sala cirúrgica"),"",IF(SUMPRODUCT((Mapa_Sala='Mapa do Dia'!$N12)*(Mapa_Data=Data_Mapa)*(Mapa_MinOcup&gt;0)*(Mapa_RelIni&lt;120)*(Mapa_RelFim&gt;110))&gt;0,2,IF(SUMPRODUCT((Mapa_Sala='Mapa do Dia'!$N12)*(Mapa_Data=Data_Mapa)*(Mapa_MinOcup&gt;0)*(Mapa_RelFim&lt;120)*(Mapa_RelFim+Limpeza_Min&gt;110))&gt;0,1,0)))</f>
        <v/>
      </c>
      <c r="AH14" s="15">
        <f>IF(OR('Mapa do Dia'!$A12="",'Calc'!$B4&lt;&gt;"Sala cirúrgica"),"",IF(SUMPRODUCT((Mapa_Sala='Mapa do Dia'!$N12)*(Mapa_Data=Data_Mapa)*(Mapa_MinOcup&gt;0)*(Mapa_RelIni&lt;130)*(Mapa_RelFim&gt;120))&gt;0,2,IF(SUMPRODUCT((Mapa_Sala='Mapa do Dia'!$N12)*(Mapa_Data=Data_Mapa)*(Mapa_MinOcup&gt;0)*(Mapa_RelFim&lt;130)*(Mapa_RelFim+Limpeza_Min&gt;120))&gt;0,1,0)))</f>
        <v/>
      </c>
      <c r="AI14" s="15">
        <f>IF(OR('Mapa do Dia'!$A12="",'Calc'!$B4&lt;&gt;"Sala cirúrgica"),"",IF(SUMPRODUCT((Mapa_Sala='Mapa do Dia'!$N12)*(Mapa_Data=Data_Mapa)*(Mapa_MinOcup&gt;0)*(Mapa_RelIni&lt;140)*(Mapa_RelFim&gt;130))&gt;0,2,IF(SUMPRODUCT((Mapa_Sala='Mapa do Dia'!$N12)*(Mapa_Data=Data_Mapa)*(Mapa_MinOcup&gt;0)*(Mapa_RelFim&lt;140)*(Mapa_RelFim+Limpeza_Min&gt;130))&gt;0,1,0)))</f>
        <v/>
      </c>
      <c r="AJ14" s="15">
        <f>IF(OR('Mapa do Dia'!$A12="",'Calc'!$B4&lt;&gt;"Sala cirúrgica"),"",IF(SUMPRODUCT((Mapa_Sala='Mapa do Dia'!$N12)*(Mapa_Data=Data_Mapa)*(Mapa_MinOcup&gt;0)*(Mapa_RelIni&lt;150)*(Mapa_RelFim&gt;140))&gt;0,2,IF(SUMPRODUCT((Mapa_Sala='Mapa do Dia'!$N12)*(Mapa_Data=Data_Mapa)*(Mapa_MinOcup&gt;0)*(Mapa_RelFim&lt;150)*(Mapa_RelFim+Limpeza_Min&gt;140))&gt;0,1,0)))</f>
        <v/>
      </c>
      <c r="AK14" s="15">
        <f>IF(OR('Mapa do Dia'!$A12="",'Calc'!$B4&lt;&gt;"Sala cirúrgica"),"",IF(SUMPRODUCT((Mapa_Sala='Mapa do Dia'!$N12)*(Mapa_Data=Data_Mapa)*(Mapa_MinOcup&gt;0)*(Mapa_RelIni&lt;160)*(Mapa_RelFim&gt;150))&gt;0,2,IF(SUMPRODUCT((Mapa_Sala='Mapa do Dia'!$N12)*(Mapa_Data=Data_Mapa)*(Mapa_MinOcup&gt;0)*(Mapa_RelFim&lt;160)*(Mapa_RelFim+Limpeza_Min&gt;150))&gt;0,1,0)))</f>
        <v/>
      </c>
      <c r="AL14" s="15">
        <f>IF(OR('Mapa do Dia'!$A12="",'Calc'!$B4&lt;&gt;"Sala cirúrgica"),"",IF(SUMPRODUCT((Mapa_Sala='Mapa do Dia'!$N12)*(Mapa_Data=Data_Mapa)*(Mapa_MinOcup&gt;0)*(Mapa_RelIni&lt;170)*(Mapa_RelFim&gt;160))&gt;0,2,IF(SUMPRODUCT((Mapa_Sala='Mapa do Dia'!$N12)*(Mapa_Data=Data_Mapa)*(Mapa_MinOcup&gt;0)*(Mapa_RelFim&lt;170)*(Mapa_RelFim+Limpeza_Min&gt;160))&gt;0,1,0)))</f>
        <v/>
      </c>
      <c r="AM14" s="15">
        <f>IF(OR('Mapa do Dia'!$A12="",'Calc'!$B4&lt;&gt;"Sala cirúrgica"),"",IF(SUMPRODUCT((Mapa_Sala='Mapa do Dia'!$N12)*(Mapa_Data=Data_Mapa)*(Mapa_MinOcup&gt;0)*(Mapa_RelIni&lt;180)*(Mapa_RelFim&gt;170))&gt;0,2,IF(SUMPRODUCT((Mapa_Sala='Mapa do Dia'!$N12)*(Mapa_Data=Data_Mapa)*(Mapa_MinOcup&gt;0)*(Mapa_RelFim&lt;180)*(Mapa_RelFim+Limpeza_Min&gt;170))&gt;0,1,0)))</f>
        <v/>
      </c>
      <c r="AN14" s="15">
        <f>IF(OR('Mapa do Dia'!$A12="",'Calc'!$B4&lt;&gt;"Sala cirúrgica"),"",IF(SUMPRODUCT((Mapa_Sala='Mapa do Dia'!$N12)*(Mapa_Data=Data_Mapa)*(Mapa_MinOcup&gt;0)*(Mapa_RelIni&lt;190)*(Mapa_RelFim&gt;180))&gt;0,2,IF(SUMPRODUCT((Mapa_Sala='Mapa do Dia'!$N12)*(Mapa_Data=Data_Mapa)*(Mapa_MinOcup&gt;0)*(Mapa_RelFim&lt;190)*(Mapa_RelFim+Limpeza_Min&gt;180))&gt;0,1,0)))</f>
        <v/>
      </c>
      <c r="AO14" s="15">
        <f>IF(OR('Mapa do Dia'!$A12="",'Calc'!$B4&lt;&gt;"Sala cirúrgica"),"",IF(SUMPRODUCT((Mapa_Sala='Mapa do Dia'!$N12)*(Mapa_Data=Data_Mapa)*(Mapa_MinOcup&gt;0)*(Mapa_RelIni&lt;200)*(Mapa_RelFim&gt;190))&gt;0,2,IF(SUMPRODUCT((Mapa_Sala='Mapa do Dia'!$N12)*(Mapa_Data=Data_Mapa)*(Mapa_MinOcup&gt;0)*(Mapa_RelFim&lt;200)*(Mapa_RelFim+Limpeza_Min&gt;190))&gt;0,1,0)))</f>
        <v/>
      </c>
      <c r="AP14" s="15">
        <f>IF(OR('Mapa do Dia'!$A12="",'Calc'!$B4&lt;&gt;"Sala cirúrgica"),"",IF(SUMPRODUCT((Mapa_Sala='Mapa do Dia'!$N12)*(Mapa_Data=Data_Mapa)*(Mapa_MinOcup&gt;0)*(Mapa_RelIni&lt;210)*(Mapa_RelFim&gt;200))&gt;0,2,IF(SUMPRODUCT((Mapa_Sala='Mapa do Dia'!$N12)*(Mapa_Data=Data_Mapa)*(Mapa_MinOcup&gt;0)*(Mapa_RelFim&lt;210)*(Mapa_RelFim+Limpeza_Min&gt;200))&gt;0,1,0)))</f>
        <v/>
      </c>
      <c r="AQ14" s="15">
        <f>IF(OR('Mapa do Dia'!$A12="",'Calc'!$B4&lt;&gt;"Sala cirúrgica"),"",IF(SUMPRODUCT((Mapa_Sala='Mapa do Dia'!$N12)*(Mapa_Data=Data_Mapa)*(Mapa_MinOcup&gt;0)*(Mapa_RelIni&lt;220)*(Mapa_RelFim&gt;210))&gt;0,2,IF(SUMPRODUCT((Mapa_Sala='Mapa do Dia'!$N12)*(Mapa_Data=Data_Mapa)*(Mapa_MinOcup&gt;0)*(Mapa_RelFim&lt;220)*(Mapa_RelFim+Limpeza_Min&gt;210))&gt;0,1,0)))</f>
        <v/>
      </c>
      <c r="AR14" s="15">
        <f>IF(OR('Mapa do Dia'!$A12="",'Calc'!$B4&lt;&gt;"Sala cirúrgica"),"",IF(SUMPRODUCT((Mapa_Sala='Mapa do Dia'!$N12)*(Mapa_Data=Data_Mapa)*(Mapa_MinOcup&gt;0)*(Mapa_RelIni&lt;230)*(Mapa_RelFim&gt;220))&gt;0,2,IF(SUMPRODUCT((Mapa_Sala='Mapa do Dia'!$N12)*(Mapa_Data=Data_Mapa)*(Mapa_MinOcup&gt;0)*(Mapa_RelFim&lt;230)*(Mapa_RelFim+Limpeza_Min&gt;220))&gt;0,1,0)))</f>
        <v/>
      </c>
      <c r="AS14" s="15">
        <f>IF(OR('Mapa do Dia'!$A12="",'Calc'!$B4&lt;&gt;"Sala cirúrgica"),"",IF(SUMPRODUCT((Mapa_Sala='Mapa do Dia'!$N12)*(Mapa_Data=Data_Mapa)*(Mapa_MinOcup&gt;0)*(Mapa_RelIni&lt;240)*(Mapa_RelFim&gt;230))&gt;0,2,IF(SUMPRODUCT((Mapa_Sala='Mapa do Dia'!$N12)*(Mapa_Data=Data_Mapa)*(Mapa_MinOcup&gt;0)*(Mapa_RelFim&lt;240)*(Mapa_RelFim+Limpeza_Min&gt;230))&gt;0,1,0)))</f>
        <v/>
      </c>
      <c r="AT14" s="15">
        <f>IF(OR('Mapa do Dia'!$A12="",'Calc'!$B4&lt;&gt;"Sala cirúrgica"),"",IF(SUMPRODUCT((Mapa_Sala='Mapa do Dia'!$N12)*(Mapa_Data=Data_Mapa)*(Mapa_MinOcup&gt;0)*(Mapa_RelIni&lt;250)*(Mapa_RelFim&gt;240))&gt;0,2,IF(SUMPRODUCT((Mapa_Sala='Mapa do Dia'!$N12)*(Mapa_Data=Data_Mapa)*(Mapa_MinOcup&gt;0)*(Mapa_RelFim&lt;250)*(Mapa_RelFim+Limpeza_Min&gt;240))&gt;0,1,0)))</f>
        <v/>
      </c>
      <c r="AU14" s="15">
        <f>IF(OR('Mapa do Dia'!$A12="",'Calc'!$B4&lt;&gt;"Sala cirúrgica"),"",IF(SUMPRODUCT((Mapa_Sala='Mapa do Dia'!$N12)*(Mapa_Data=Data_Mapa)*(Mapa_MinOcup&gt;0)*(Mapa_RelIni&lt;260)*(Mapa_RelFim&gt;250))&gt;0,2,IF(SUMPRODUCT((Mapa_Sala='Mapa do Dia'!$N12)*(Mapa_Data=Data_Mapa)*(Mapa_MinOcup&gt;0)*(Mapa_RelFim&lt;260)*(Mapa_RelFim+Limpeza_Min&gt;250))&gt;0,1,0)))</f>
        <v/>
      </c>
      <c r="AV14" s="15">
        <f>IF(OR('Mapa do Dia'!$A12="",'Calc'!$B4&lt;&gt;"Sala cirúrgica"),"",IF(SUMPRODUCT((Mapa_Sala='Mapa do Dia'!$N12)*(Mapa_Data=Data_Mapa)*(Mapa_MinOcup&gt;0)*(Mapa_RelIni&lt;270)*(Mapa_RelFim&gt;260))&gt;0,2,IF(SUMPRODUCT((Mapa_Sala='Mapa do Dia'!$N12)*(Mapa_Data=Data_Mapa)*(Mapa_MinOcup&gt;0)*(Mapa_RelFim&lt;270)*(Mapa_RelFim+Limpeza_Min&gt;260))&gt;0,1,0)))</f>
        <v/>
      </c>
      <c r="AW14" s="15">
        <f>IF(OR('Mapa do Dia'!$A12="",'Calc'!$B4&lt;&gt;"Sala cirúrgica"),"",IF(SUMPRODUCT((Mapa_Sala='Mapa do Dia'!$N12)*(Mapa_Data=Data_Mapa)*(Mapa_MinOcup&gt;0)*(Mapa_RelIni&lt;280)*(Mapa_RelFim&gt;270))&gt;0,2,IF(SUMPRODUCT((Mapa_Sala='Mapa do Dia'!$N12)*(Mapa_Data=Data_Mapa)*(Mapa_MinOcup&gt;0)*(Mapa_RelFim&lt;280)*(Mapa_RelFim+Limpeza_Min&gt;270))&gt;0,1,0)))</f>
        <v/>
      </c>
      <c r="AX14" s="15">
        <f>IF(OR('Mapa do Dia'!$A12="",'Calc'!$B4&lt;&gt;"Sala cirúrgica"),"",IF(SUMPRODUCT((Mapa_Sala='Mapa do Dia'!$N12)*(Mapa_Data=Data_Mapa)*(Mapa_MinOcup&gt;0)*(Mapa_RelIni&lt;290)*(Mapa_RelFim&gt;280))&gt;0,2,IF(SUMPRODUCT((Mapa_Sala='Mapa do Dia'!$N12)*(Mapa_Data=Data_Mapa)*(Mapa_MinOcup&gt;0)*(Mapa_RelFim&lt;290)*(Mapa_RelFim+Limpeza_Min&gt;280))&gt;0,1,0)))</f>
        <v/>
      </c>
      <c r="AY14" s="15">
        <f>IF(OR('Mapa do Dia'!$A12="",'Calc'!$B4&lt;&gt;"Sala cirúrgica"),"",IF(SUMPRODUCT((Mapa_Sala='Mapa do Dia'!$N12)*(Mapa_Data=Data_Mapa)*(Mapa_MinOcup&gt;0)*(Mapa_RelIni&lt;300)*(Mapa_RelFim&gt;290))&gt;0,2,IF(SUMPRODUCT((Mapa_Sala='Mapa do Dia'!$N12)*(Mapa_Data=Data_Mapa)*(Mapa_MinOcup&gt;0)*(Mapa_RelFim&lt;300)*(Mapa_RelFim+Limpeza_Min&gt;290))&gt;0,1,0)))</f>
        <v/>
      </c>
      <c r="AZ14" s="15">
        <f>IF(OR('Mapa do Dia'!$A12="",'Calc'!$B4&lt;&gt;"Sala cirúrgica"),"",IF(SUMPRODUCT((Mapa_Sala='Mapa do Dia'!$N12)*(Mapa_Data=Data_Mapa)*(Mapa_MinOcup&gt;0)*(Mapa_RelIni&lt;310)*(Mapa_RelFim&gt;300))&gt;0,2,IF(SUMPRODUCT((Mapa_Sala='Mapa do Dia'!$N12)*(Mapa_Data=Data_Mapa)*(Mapa_MinOcup&gt;0)*(Mapa_RelFim&lt;310)*(Mapa_RelFim+Limpeza_Min&gt;300))&gt;0,1,0)))</f>
        <v/>
      </c>
      <c r="BA14" s="15">
        <f>IF(OR('Mapa do Dia'!$A12="",'Calc'!$B4&lt;&gt;"Sala cirúrgica"),"",IF(SUMPRODUCT((Mapa_Sala='Mapa do Dia'!$N12)*(Mapa_Data=Data_Mapa)*(Mapa_MinOcup&gt;0)*(Mapa_RelIni&lt;320)*(Mapa_RelFim&gt;310))&gt;0,2,IF(SUMPRODUCT((Mapa_Sala='Mapa do Dia'!$N12)*(Mapa_Data=Data_Mapa)*(Mapa_MinOcup&gt;0)*(Mapa_RelFim&lt;320)*(Mapa_RelFim+Limpeza_Min&gt;310))&gt;0,1,0)))</f>
        <v/>
      </c>
      <c r="BB14" s="15">
        <f>IF(OR('Mapa do Dia'!$A12="",'Calc'!$B4&lt;&gt;"Sala cirúrgica"),"",IF(SUMPRODUCT((Mapa_Sala='Mapa do Dia'!$N12)*(Mapa_Data=Data_Mapa)*(Mapa_MinOcup&gt;0)*(Mapa_RelIni&lt;330)*(Mapa_RelFim&gt;320))&gt;0,2,IF(SUMPRODUCT((Mapa_Sala='Mapa do Dia'!$N12)*(Mapa_Data=Data_Mapa)*(Mapa_MinOcup&gt;0)*(Mapa_RelFim&lt;330)*(Mapa_RelFim+Limpeza_Min&gt;320))&gt;0,1,0)))</f>
        <v/>
      </c>
      <c r="BC14" s="15">
        <f>IF(OR('Mapa do Dia'!$A12="",'Calc'!$B4&lt;&gt;"Sala cirúrgica"),"",IF(SUMPRODUCT((Mapa_Sala='Mapa do Dia'!$N12)*(Mapa_Data=Data_Mapa)*(Mapa_MinOcup&gt;0)*(Mapa_RelIni&lt;340)*(Mapa_RelFim&gt;330))&gt;0,2,IF(SUMPRODUCT((Mapa_Sala='Mapa do Dia'!$N12)*(Mapa_Data=Data_Mapa)*(Mapa_MinOcup&gt;0)*(Mapa_RelFim&lt;340)*(Mapa_RelFim+Limpeza_Min&gt;330))&gt;0,1,0)))</f>
        <v/>
      </c>
      <c r="BD14" s="15">
        <f>IF(OR('Mapa do Dia'!$A12="",'Calc'!$B4&lt;&gt;"Sala cirúrgica"),"",IF(SUMPRODUCT((Mapa_Sala='Mapa do Dia'!$N12)*(Mapa_Data=Data_Mapa)*(Mapa_MinOcup&gt;0)*(Mapa_RelIni&lt;350)*(Mapa_RelFim&gt;340))&gt;0,2,IF(SUMPRODUCT((Mapa_Sala='Mapa do Dia'!$N12)*(Mapa_Data=Data_Mapa)*(Mapa_MinOcup&gt;0)*(Mapa_RelFim&lt;350)*(Mapa_RelFim+Limpeza_Min&gt;340))&gt;0,1,0)))</f>
        <v/>
      </c>
      <c r="BE14" s="15">
        <f>IF(OR('Mapa do Dia'!$A12="",'Calc'!$B4&lt;&gt;"Sala cirúrgica"),"",IF(SUMPRODUCT((Mapa_Sala='Mapa do Dia'!$N12)*(Mapa_Data=Data_Mapa)*(Mapa_MinOcup&gt;0)*(Mapa_RelIni&lt;360)*(Mapa_RelFim&gt;350))&gt;0,2,IF(SUMPRODUCT((Mapa_Sala='Mapa do Dia'!$N12)*(Mapa_Data=Data_Mapa)*(Mapa_MinOcup&gt;0)*(Mapa_RelFim&lt;360)*(Mapa_RelFim+Limpeza_Min&gt;350))&gt;0,1,0)))</f>
        <v/>
      </c>
      <c r="BF14">
        <f>IF('Mapa do Dia'!$A12="","",'Mapa do Dia'!$F12)</f>
        <v/>
      </c>
    </row>
    <row r="15" ht="17" customHeight="1">
      <c r="A15" s="13">
        <f>IF('Mapa do Dia'!$A13="","",'Mapa do Dia'!$A13)</f>
        <v/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14">
        <f>IF('Mapa do Dia'!$A13="","",IF('Mapa do Dia'!$D13="","(falta escalar)",IFERROR(INDEX(Equipe_Curto,MATCH('Mapa do Dia'!$D13,Equipe_Nome,0)),'Mapa do Dia'!$D13))&amp;IF('Mapa do Dia'!$B13&lt;2,"",IF('Mapa do Dia'!$E13="", " · (falta escalar)"," · "&amp;IFERROR(INDEX(Equipe_Curto,MATCH('Mapa do Dia'!$E13,Equipe_Nome,0)),'Mapa do Dia'!$E13))))</f>
        <v/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15">
        <f>IF(OR('Mapa do Dia'!$A13="",'Calc'!$B5&lt;&gt;"Sala cirúrgica"),"",IF(SUMPRODUCT((Mapa_Sala='Mapa do Dia'!$N13)*(Mapa_Data=Data_Mapa)*(Mapa_MinOcup&gt;0)*(Mapa_RelIni&lt;10)*(Mapa_RelFim&gt;0))&gt;0,2,IF(SUMPRODUCT((Mapa_Sala='Mapa do Dia'!$N13)*(Mapa_Data=Data_Mapa)*(Mapa_MinOcup&gt;0)*(Mapa_RelFim&lt;10)*(Mapa_RelFim+Limpeza_Min&gt;0))&gt;0,1,0)))</f>
        <v/>
      </c>
      <c r="W15" s="15">
        <f>IF(OR('Mapa do Dia'!$A13="",'Calc'!$B5&lt;&gt;"Sala cirúrgica"),"",IF(SUMPRODUCT((Mapa_Sala='Mapa do Dia'!$N13)*(Mapa_Data=Data_Mapa)*(Mapa_MinOcup&gt;0)*(Mapa_RelIni&lt;20)*(Mapa_RelFim&gt;10))&gt;0,2,IF(SUMPRODUCT((Mapa_Sala='Mapa do Dia'!$N13)*(Mapa_Data=Data_Mapa)*(Mapa_MinOcup&gt;0)*(Mapa_RelFim&lt;20)*(Mapa_RelFim+Limpeza_Min&gt;10))&gt;0,1,0)))</f>
        <v/>
      </c>
      <c r="X15" s="15">
        <f>IF(OR('Mapa do Dia'!$A13="",'Calc'!$B5&lt;&gt;"Sala cirúrgica"),"",IF(SUMPRODUCT((Mapa_Sala='Mapa do Dia'!$N13)*(Mapa_Data=Data_Mapa)*(Mapa_MinOcup&gt;0)*(Mapa_RelIni&lt;30)*(Mapa_RelFim&gt;20))&gt;0,2,IF(SUMPRODUCT((Mapa_Sala='Mapa do Dia'!$N13)*(Mapa_Data=Data_Mapa)*(Mapa_MinOcup&gt;0)*(Mapa_RelFim&lt;30)*(Mapa_RelFim+Limpeza_Min&gt;20))&gt;0,1,0)))</f>
        <v/>
      </c>
      <c r="Y15" s="15">
        <f>IF(OR('Mapa do Dia'!$A13="",'Calc'!$B5&lt;&gt;"Sala cirúrgica"),"",IF(SUMPRODUCT((Mapa_Sala='Mapa do Dia'!$N13)*(Mapa_Data=Data_Mapa)*(Mapa_MinOcup&gt;0)*(Mapa_RelIni&lt;40)*(Mapa_RelFim&gt;30))&gt;0,2,IF(SUMPRODUCT((Mapa_Sala='Mapa do Dia'!$N13)*(Mapa_Data=Data_Mapa)*(Mapa_MinOcup&gt;0)*(Mapa_RelFim&lt;40)*(Mapa_RelFim+Limpeza_Min&gt;30))&gt;0,1,0)))</f>
        <v/>
      </c>
      <c r="Z15" s="15">
        <f>IF(OR('Mapa do Dia'!$A13="",'Calc'!$B5&lt;&gt;"Sala cirúrgica"),"",IF(SUMPRODUCT((Mapa_Sala='Mapa do Dia'!$N13)*(Mapa_Data=Data_Mapa)*(Mapa_MinOcup&gt;0)*(Mapa_RelIni&lt;50)*(Mapa_RelFim&gt;40))&gt;0,2,IF(SUMPRODUCT((Mapa_Sala='Mapa do Dia'!$N13)*(Mapa_Data=Data_Mapa)*(Mapa_MinOcup&gt;0)*(Mapa_RelFim&lt;50)*(Mapa_RelFim+Limpeza_Min&gt;40))&gt;0,1,0)))</f>
        <v/>
      </c>
      <c r="AA15" s="15">
        <f>IF(OR('Mapa do Dia'!$A13="",'Calc'!$B5&lt;&gt;"Sala cirúrgica"),"",IF(SUMPRODUCT((Mapa_Sala='Mapa do Dia'!$N13)*(Mapa_Data=Data_Mapa)*(Mapa_MinOcup&gt;0)*(Mapa_RelIni&lt;60)*(Mapa_RelFim&gt;50))&gt;0,2,IF(SUMPRODUCT((Mapa_Sala='Mapa do Dia'!$N13)*(Mapa_Data=Data_Mapa)*(Mapa_MinOcup&gt;0)*(Mapa_RelFim&lt;60)*(Mapa_RelFim+Limpeza_Min&gt;50))&gt;0,1,0)))</f>
        <v/>
      </c>
      <c r="AB15" s="15">
        <f>IF(OR('Mapa do Dia'!$A13="",'Calc'!$B5&lt;&gt;"Sala cirúrgica"),"",IF(SUMPRODUCT((Mapa_Sala='Mapa do Dia'!$N13)*(Mapa_Data=Data_Mapa)*(Mapa_MinOcup&gt;0)*(Mapa_RelIni&lt;70)*(Mapa_RelFim&gt;60))&gt;0,2,IF(SUMPRODUCT((Mapa_Sala='Mapa do Dia'!$N13)*(Mapa_Data=Data_Mapa)*(Mapa_MinOcup&gt;0)*(Mapa_RelFim&lt;70)*(Mapa_RelFim+Limpeza_Min&gt;60))&gt;0,1,0)))</f>
        <v/>
      </c>
      <c r="AC15" s="15">
        <f>IF(OR('Mapa do Dia'!$A13="",'Calc'!$B5&lt;&gt;"Sala cirúrgica"),"",IF(SUMPRODUCT((Mapa_Sala='Mapa do Dia'!$N13)*(Mapa_Data=Data_Mapa)*(Mapa_MinOcup&gt;0)*(Mapa_RelIni&lt;80)*(Mapa_RelFim&gt;70))&gt;0,2,IF(SUMPRODUCT((Mapa_Sala='Mapa do Dia'!$N13)*(Mapa_Data=Data_Mapa)*(Mapa_MinOcup&gt;0)*(Mapa_RelFim&lt;80)*(Mapa_RelFim+Limpeza_Min&gt;70))&gt;0,1,0)))</f>
        <v/>
      </c>
      <c r="AD15" s="15">
        <f>IF(OR('Mapa do Dia'!$A13="",'Calc'!$B5&lt;&gt;"Sala cirúrgica"),"",IF(SUMPRODUCT((Mapa_Sala='Mapa do Dia'!$N13)*(Mapa_Data=Data_Mapa)*(Mapa_MinOcup&gt;0)*(Mapa_RelIni&lt;90)*(Mapa_RelFim&gt;80))&gt;0,2,IF(SUMPRODUCT((Mapa_Sala='Mapa do Dia'!$N13)*(Mapa_Data=Data_Mapa)*(Mapa_MinOcup&gt;0)*(Mapa_RelFim&lt;90)*(Mapa_RelFim+Limpeza_Min&gt;80))&gt;0,1,0)))</f>
        <v/>
      </c>
      <c r="AE15" s="15">
        <f>IF(OR('Mapa do Dia'!$A13="",'Calc'!$B5&lt;&gt;"Sala cirúrgica"),"",IF(SUMPRODUCT((Mapa_Sala='Mapa do Dia'!$N13)*(Mapa_Data=Data_Mapa)*(Mapa_MinOcup&gt;0)*(Mapa_RelIni&lt;100)*(Mapa_RelFim&gt;90))&gt;0,2,IF(SUMPRODUCT((Mapa_Sala='Mapa do Dia'!$N13)*(Mapa_Data=Data_Mapa)*(Mapa_MinOcup&gt;0)*(Mapa_RelFim&lt;100)*(Mapa_RelFim+Limpeza_Min&gt;90))&gt;0,1,0)))</f>
        <v/>
      </c>
      <c r="AF15" s="15">
        <f>IF(OR('Mapa do Dia'!$A13="",'Calc'!$B5&lt;&gt;"Sala cirúrgica"),"",IF(SUMPRODUCT((Mapa_Sala='Mapa do Dia'!$N13)*(Mapa_Data=Data_Mapa)*(Mapa_MinOcup&gt;0)*(Mapa_RelIni&lt;110)*(Mapa_RelFim&gt;100))&gt;0,2,IF(SUMPRODUCT((Mapa_Sala='Mapa do Dia'!$N13)*(Mapa_Data=Data_Mapa)*(Mapa_MinOcup&gt;0)*(Mapa_RelFim&lt;110)*(Mapa_RelFim+Limpeza_Min&gt;100))&gt;0,1,0)))</f>
        <v/>
      </c>
      <c r="AG15" s="15">
        <f>IF(OR('Mapa do Dia'!$A13="",'Calc'!$B5&lt;&gt;"Sala cirúrgica"),"",IF(SUMPRODUCT((Mapa_Sala='Mapa do Dia'!$N13)*(Mapa_Data=Data_Mapa)*(Mapa_MinOcup&gt;0)*(Mapa_RelIni&lt;120)*(Mapa_RelFim&gt;110))&gt;0,2,IF(SUMPRODUCT((Mapa_Sala='Mapa do Dia'!$N13)*(Mapa_Data=Data_Mapa)*(Mapa_MinOcup&gt;0)*(Mapa_RelFim&lt;120)*(Mapa_RelFim+Limpeza_Min&gt;110))&gt;0,1,0)))</f>
        <v/>
      </c>
      <c r="AH15" s="15">
        <f>IF(OR('Mapa do Dia'!$A13="",'Calc'!$B5&lt;&gt;"Sala cirúrgica"),"",IF(SUMPRODUCT((Mapa_Sala='Mapa do Dia'!$N13)*(Mapa_Data=Data_Mapa)*(Mapa_MinOcup&gt;0)*(Mapa_RelIni&lt;130)*(Mapa_RelFim&gt;120))&gt;0,2,IF(SUMPRODUCT((Mapa_Sala='Mapa do Dia'!$N13)*(Mapa_Data=Data_Mapa)*(Mapa_MinOcup&gt;0)*(Mapa_RelFim&lt;130)*(Mapa_RelFim+Limpeza_Min&gt;120))&gt;0,1,0)))</f>
        <v/>
      </c>
      <c r="AI15" s="15">
        <f>IF(OR('Mapa do Dia'!$A13="",'Calc'!$B5&lt;&gt;"Sala cirúrgica"),"",IF(SUMPRODUCT((Mapa_Sala='Mapa do Dia'!$N13)*(Mapa_Data=Data_Mapa)*(Mapa_MinOcup&gt;0)*(Mapa_RelIni&lt;140)*(Mapa_RelFim&gt;130))&gt;0,2,IF(SUMPRODUCT((Mapa_Sala='Mapa do Dia'!$N13)*(Mapa_Data=Data_Mapa)*(Mapa_MinOcup&gt;0)*(Mapa_RelFim&lt;140)*(Mapa_RelFim+Limpeza_Min&gt;130))&gt;0,1,0)))</f>
        <v/>
      </c>
      <c r="AJ15" s="15">
        <f>IF(OR('Mapa do Dia'!$A13="",'Calc'!$B5&lt;&gt;"Sala cirúrgica"),"",IF(SUMPRODUCT((Mapa_Sala='Mapa do Dia'!$N13)*(Mapa_Data=Data_Mapa)*(Mapa_MinOcup&gt;0)*(Mapa_RelIni&lt;150)*(Mapa_RelFim&gt;140))&gt;0,2,IF(SUMPRODUCT((Mapa_Sala='Mapa do Dia'!$N13)*(Mapa_Data=Data_Mapa)*(Mapa_MinOcup&gt;0)*(Mapa_RelFim&lt;150)*(Mapa_RelFim+Limpeza_Min&gt;140))&gt;0,1,0)))</f>
        <v/>
      </c>
      <c r="AK15" s="15">
        <f>IF(OR('Mapa do Dia'!$A13="",'Calc'!$B5&lt;&gt;"Sala cirúrgica"),"",IF(SUMPRODUCT((Mapa_Sala='Mapa do Dia'!$N13)*(Mapa_Data=Data_Mapa)*(Mapa_MinOcup&gt;0)*(Mapa_RelIni&lt;160)*(Mapa_RelFim&gt;150))&gt;0,2,IF(SUMPRODUCT((Mapa_Sala='Mapa do Dia'!$N13)*(Mapa_Data=Data_Mapa)*(Mapa_MinOcup&gt;0)*(Mapa_RelFim&lt;160)*(Mapa_RelFim+Limpeza_Min&gt;150))&gt;0,1,0)))</f>
        <v/>
      </c>
      <c r="AL15" s="15">
        <f>IF(OR('Mapa do Dia'!$A13="",'Calc'!$B5&lt;&gt;"Sala cirúrgica"),"",IF(SUMPRODUCT((Mapa_Sala='Mapa do Dia'!$N13)*(Mapa_Data=Data_Mapa)*(Mapa_MinOcup&gt;0)*(Mapa_RelIni&lt;170)*(Mapa_RelFim&gt;160))&gt;0,2,IF(SUMPRODUCT((Mapa_Sala='Mapa do Dia'!$N13)*(Mapa_Data=Data_Mapa)*(Mapa_MinOcup&gt;0)*(Mapa_RelFim&lt;170)*(Mapa_RelFim+Limpeza_Min&gt;160))&gt;0,1,0)))</f>
        <v/>
      </c>
      <c r="AM15" s="15">
        <f>IF(OR('Mapa do Dia'!$A13="",'Calc'!$B5&lt;&gt;"Sala cirúrgica"),"",IF(SUMPRODUCT((Mapa_Sala='Mapa do Dia'!$N13)*(Mapa_Data=Data_Mapa)*(Mapa_MinOcup&gt;0)*(Mapa_RelIni&lt;180)*(Mapa_RelFim&gt;170))&gt;0,2,IF(SUMPRODUCT((Mapa_Sala='Mapa do Dia'!$N13)*(Mapa_Data=Data_Mapa)*(Mapa_MinOcup&gt;0)*(Mapa_RelFim&lt;180)*(Mapa_RelFim+Limpeza_Min&gt;170))&gt;0,1,0)))</f>
        <v/>
      </c>
      <c r="AN15" s="15">
        <f>IF(OR('Mapa do Dia'!$A13="",'Calc'!$B5&lt;&gt;"Sala cirúrgica"),"",IF(SUMPRODUCT((Mapa_Sala='Mapa do Dia'!$N13)*(Mapa_Data=Data_Mapa)*(Mapa_MinOcup&gt;0)*(Mapa_RelIni&lt;190)*(Mapa_RelFim&gt;180))&gt;0,2,IF(SUMPRODUCT((Mapa_Sala='Mapa do Dia'!$N13)*(Mapa_Data=Data_Mapa)*(Mapa_MinOcup&gt;0)*(Mapa_RelFim&lt;190)*(Mapa_RelFim+Limpeza_Min&gt;180))&gt;0,1,0)))</f>
        <v/>
      </c>
      <c r="AO15" s="15">
        <f>IF(OR('Mapa do Dia'!$A13="",'Calc'!$B5&lt;&gt;"Sala cirúrgica"),"",IF(SUMPRODUCT((Mapa_Sala='Mapa do Dia'!$N13)*(Mapa_Data=Data_Mapa)*(Mapa_MinOcup&gt;0)*(Mapa_RelIni&lt;200)*(Mapa_RelFim&gt;190))&gt;0,2,IF(SUMPRODUCT((Mapa_Sala='Mapa do Dia'!$N13)*(Mapa_Data=Data_Mapa)*(Mapa_MinOcup&gt;0)*(Mapa_RelFim&lt;200)*(Mapa_RelFim+Limpeza_Min&gt;190))&gt;0,1,0)))</f>
        <v/>
      </c>
      <c r="AP15" s="15">
        <f>IF(OR('Mapa do Dia'!$A13="",'Calc'!$B5&lt;&gt;"Sala cirúrgica"),"",IF(SUMPRODUCT((Mapa_Sala='Mapa do Dia'!$N13)*(Mapa_Data=Data_Mapa)*(Mapa_MinOcup&gt;0)*(Mapa_RelIni&lt;210)*(Mapa_RelFim&gt;200))&gt;0,2,IF(SUMPRODUCT((Mapa_Sala='Mapa do Dia'!$N13)*(Mapa_Data=Data_Mapa)*(Mapa_MinOcup&gt;0)*(Mapa_RelFim&lt;210)*(Mapa_RelFim+Limpeza_Min&gt;200))&gt;0,1,0)))</f>
        <v/>
      </c>
      <c r="AQ15" s="15">
        <f>IF(OR('Mapa do Dia'!$A13="",'Calc'!$B5&lt;&gt;"Sala cirúrgica"),"",IF(SUMPRODUCT((Mapa_Sala='Mapa do Dia'!$N13)*(Mapa_Data=Data_Mapa)*(Mapa_MinOcup&gt;0)*(Mapa_RelIni&lt;220)*(Mapa_RelFim&gt;210))&gt;0,2,IF(SUMPRODUCT((Mapa_Sala='Mapa do Dia'!$N13)*(Mapa_Data=Data_Mapa)*(Mapa_MinOcup&gt;0)*(Mapa_RelFim&lt;220)*(Mapa_RelFim+Limpeza_Min&gt;210))&gt;0,1,0)))</f>
        <v/>
      </c>
      <c r="AR15" s="15">
        <f>IF(OR('Mapa do Dia'!$A13="",'Calc'!$B5&lt;&gt;"Sala cirúrgica"),"",IF(SUMPRODUCT((Mapa_Sala='Mapa do Dia'!$N13)*(Mapa_Data=Data_Mapa)*(Mapa_MinOcup&gt;0)*(Mapa_RelIni&lt;230)*(Mapa_RelFim&gt;220))&gt;0,2,IF(SUMPRODUCT((Mapa_Sala='Mapa do Dia'!$N13)*(Mapa_Data=Data_Mapa)*(Mapa_MinOcup&gt;0)*(Mapa_RelFim&lt;230)*(Mapa_RelFim+Limpeza_Min&gt;220))&gt;0,1,0)))</f>
        <v/>
      </c>
      <c r="AS15" s="15">
        <f>IF(OR('Mapa do Dia'!$A13="",'Calc'!$B5&lt;&gt;"Sala cirúrgica"),"",IF(SUMPRODUCT((Mapa_Sala='Mapa do Dia'!$N13)*(Mapa_Data=Data_Mapa)*(Mapa_MinOcup&gt;0)*(Mapa_RelIni&lt;240)*(Mapa_RelFim&gt;230))&gt;0,2,IF(SUMPRODUCT((Mapa_Sala='Mapa do Dia'!$N13)*(Mapa_Data=Data_Mapa)*(Mapa_MinOcup&gt;0)*(Mapa_RelFim&lt;240)*(Mapa_RelFim+Limpeza_Min&gt;230))&gt;0,1,0)))</f>
        <v/>
      </c>
      <c r="AT15" s="15">
        <f>IF(OR('Mapa do Dia'!$A13="",'Calc'!$B5&lt;&gt;"Sala cirúrgica"),"",IF(SUMPRODUCT((Mapa_Sala='Mapa do Dia'!$N13)*(Mapa_Data=Data_Mapa)*(Mapa_MinOcup&gt;0)*(Mapa_RelIni&lt;250)*(Mapa_RelFim&gt;240))&gt;0,2,IF(SUMPRODUCT((Mapa_Sala='Mapa do Dia'!$N13)*(Mapa_Data=Data_Mapa)*(Mapa_MinOcup&gt;0)*(Mapa_RelFim&lt;250)*(Mapa_RelFim+Limpeza_Min&gt;240))&gt;0,1,0)))</f>
        <v/>
      </c>
      <c r="AU15" s="15">
        <f>IF(OR('Mapa do Dia'!$A13="",'Calc'!$B5&lt;&gt;"Sala cirúrgica"),"",IF(SUMPRODUCT((Mapa_Sala='Mapa do Dia'!$N13)*(Mapa_Data=Data_Mapa)*(Mapa_MinOcup&gt;0)*(Mapa_RelIni&lt;260)*(Mapa_RelFim&gt;250))&gt;0,2,IF(SUMPRODUCT((Mapa_Sala='Mapa do Dia'!$N13)*(Mapa_Data=Data_Mapa)*(Mapa_MinOcup&gt;0)*(Mapa_RelFim&lt;260)*(Mapa_RelFim+Limpeza_Min&gt;250))&gt;0,1,0)))</f>
        <v/>
      </c>
      <c r="AV15" s="15">
        <f>IF(OR('Mapa do Dia'!$A13="",'Calc'!$B5&lt;&gt;"Sala cirúrgica"),"",IF(SUMPRODUCT((Mapa_Sala='Mapa do Dia'!$N13)*(Mapa_Data=Data_Mapa)*(Mapa_MinOcup&gt;0)*(Mapa_RelIni&lt;270)*(Mapa_RelFim&gt;260))&gt;0,2,IF(SUMPRODUCT((Mapa_Sala='Mapa do Dia'!$N13)*(Mapa_Data=Data_Mapa)*(Mapa_MinOcup&gt;0)*(Mapa_RelFim&lt;270)*(Mapa_RelFim+Limpeza_Min&gt;260))&gt;0,1,0)))</f>
        <v/>
      </c>
      <c r="AW15" s="15">
        <f>IF(OR('Mapa do Dia'!$A13="",'Calc'!$B5&lt;&gt;"Sala cirúrgica"),"",IF(SUMPRODUCT((Mapa_Sala='Mapa do Dia'!$N13)*(Mapa_Data=Data_Mapa)*(Mapa_MinOcup&gt;0)*(Mapa_RelIni&lt;280)*(Mapa_RelFim&gt;270))&gt;0,2,IF(SUMPRODUCT((Mapa_Sala='Mapa do Dia'!$N13)*(Mapa_Data=Data_Mapa)*(Mapa_MinOcup&gt;0)*(Mapa_RelFim&lt;280)*(Mapa_RelFim+Limpeza_Min&gt;270))&gt;0,1,0)))</f>
        <v/>
      </c>
      <c r="AX15" s="15">
        <f>IF(OR('Mapa do Dia'!$A13="",'Calc'!$B5&lt;&gt;"Sala cirúrgica"),"",IF(SUMPRODUCT((Mapa_Sala='Mapa do Dia'!$N13)*(Mapa_Data=Data_Mapa)*(Mapa_MinOcup&gt;0)*(Mapa_RelIni&lt;290)*(Mapa_RelFim&gt;280))&gt;0,2,IF(SUMPRODUCT((Mapa_Sala='Mapa do Dia'!$N13)*(Mapa_Data=Data_Mapa)*(Mapa_MinOcup&gt;0)*(Mapa_RelFim&lt;290)*(Mapa_RelFim+Limpeza_Min&gt;280))&gt;0,1,0)))</f>
        <v/>
      </c>
      <c r="AY15" s="15">
        <f>IF(OR('Mapa do Dia'!$A13="",'Calc'!$B5&lt;&gt;"Sala cirúrgica"),"",IF(SUMPRODUCT((Mapa_Sala='Mapa do Dia'!$N13)*(Mapa_Data=Data_Mapa)*(Mapa_MinOcup&gt;0)*(Mapa_RelIni&lt;300)*(Mapa_RelFim&gt;290))&gt;0,2,IF(SUMPRODUCT((Mapa_Sala='Mapa do Dia'!$N13)*(Mapa_Data=Data_Mapa)*(Mapa_MinOcup&gt;0)*(Mapa_RelFim&lt;300)*(Mapa_RelFim+Limpeza_Min&gt;290))&gt;0,1,0)))</f>
        <v/>
      </c>
      <c r="AZ15" s="15">
        <f>IF(OR('Mapa do Dia'!$A13="",'Calc'!$B5&lt;&gt;"Sala cirúrgica"),"",IF(SUMPRODUCT((Mapa_Sala='Mapa do Dia'!$N13)*(Mapa_Data=Data_Mapa)*(Mapa_MinOcup&gt;0)*(Mapa_RelIni&lt;310)*(Mapa_RelFim&gt;300))&gt;0,2,IF(SUMPRODUCT((Mapa_Sala='Mapa do Dia'!$N13)*(Mapa_Data=Data_Mapa)*(Mapa_MinOcup&gt;0)*(Mapa_RelFim&lt;310)*(Mapa_RelFim+Limpeza_Min&gt;300))&gt;0,1,0)))</f>
        <v/>
      </c>
      <c r="BA15" s="15">
        <f>IF(OR('Mapa do Dia'!$A13="",'Calc'!$B5&lt;&gt;"Sala cirúrgica"),"",IF(SUMPRODUCT((Mapa_Sala='Mapa do Dia'!$N13)*(Mapa_Data=Data_Mapa)*(Mapa_MinOcup&gt;0)*(Mapa_RelIni&lt;320)*(Mapa_RelFim&gt;310))&gt;0,2,IF(SUMPRODUCT((Mapa_Sala='Mapa do Dia'!$N13)*(Mapa_Data=Data_Mapa)*(Mapa_MinOcup&gt;0)*(Mapa_RelFim&lt;320)*(Mapa_RelFim+Limpeza_Min&gt;310))&gt;0,1,0)))</f>
        <v/>
      </c>
      <c r="BB15" s="15">
        <f>IF(OR('Mapa do Dia'!$A13="",'Calc'!$B5&lt;&gt;"Sala cirúrgica"),"",IF(SUMPRODUCT((Mapa_Sala='Mapa do Dia'!$N13)*(Mapa_Data=Data_Mapa)*(Mapa_MinOcup&gt;0)*(Mapa_RelIni&lt;330)*(Mapa_RelFim&gt;320))&gt;0,2,IF(SUMPRODUCT((Mapa_Sala='Mapa do Dia'!$N13)*(Mapa_Data=Data_Mapa)*(Mapa_MinOcup&gt;0)*(Mapa_RelFim&lt;330)*(Mapa_RelFim+Limpeza_Min&gt;320))&gt;0,1,0)))</f>
        <v/>
      </c>
      <c r="BC15" s="15">
        <f>IF(OR('Mapa do Dia'!$A13="",'Calc'!$B5&lt;&gt;"Sala cirúrgica"),"",IF(SUMPRODUCT((Mapa_Sala='Mapa do Dia'!$N13)*(Mapa_Data=Data_Mapa)*(Mapa_MinOcup&gt;0)*(Mapa_RelIni&lt;340)*(Mapa_RelFim&gt;330))&gt;0,2,IF(SUMPRODUCT((Mapa_Sala='Mapa do Dia'!$N13)*(Mapa_Data=Data_Mapa)*(Mapa_MinOcup&gt;0)*(Mapa_RelFim&lt;340)*(Mapa_RelFim+Limpeza_Min&gt;330))&gt;0,1,0)))</f>
        <v/>
      </c>
      <c r="BD15" s="15">
        <f>IF(OR('Mapa do Dia'!$A13="",'Calc'!$B5&lt;&gt;"Sala cirúrgica"),"",IF(SUMPRODUCT((Mapa_Sala='Mapa do Dia'!$N13)*(Mapa_Data=Data_Mapa)*(Mapa_MinOcup&gt;0)*(Mapa_RelIni&lt;350)*(Mapa_RelFim&gt;340))&gt;0,2,IF(SUMPRODUCT((Mapa_Sala='Mapa do Dia'!$N13)*(Mapa_Data=Data_Mapa)*(Mapa_MinOcup&gt;0)*(Mapa_RelFim&lt;350)*(Mapa_RelFim+Limpeza_Min&gt;340))&gt;0,1,0)))</f>
        <v/>
      </c>
      <c r="BE15" s="15">
        <f>IF(OR('Mapa do Dia'!$A13="",'Calc'!$B5&lt;&gt;"Sala cirúrgica"),"",IF(SUMPRODUCT((Mapa_Sala='Mapa do Dia'!$N13)*(Mapa_Data=Data_Mapa)*(Mapa_MinOcup&gt;0)*(Mapa_RelIni&lt;360)*(Mapa_RelFim&gt;350))&gt;0,2,IF(SUMPRODUCT((Mapa_Sala='Mapa do Dia'!$N13)*(Mapa_Data=Data_Mapa)*(Mapa_MinOcup&gt;0)*(Mapa_RelFim&lt;360)*(Mapa_RelFim+Limpeza_Min&gt;350))&gt;0,1,0)))</f>
        <v/>
      </c>
      <c r="BF15">
        <f>IF('Mapa do Dia'!$A13="","",'Mapa do Dia'!$F13)</f>
        <v/>
      </c>
    </row>
    <row r="16" ht="17" customHeight="1">
      <c r="A16" s="13">
        <f>IF('Mapa do Dia'!$A14="","",'Mapa do Dia'!$A14)</f>
        <v/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14">
        <f>IF('Mapa do Dia'!$A14="","",IF('Mapa do Dia'!$D14="","(falta escalar)",IFERROR(INDEX(Equipe_Curto,MATCH('Mapa do Dia'!$D14,Equipe_Nome,0)),'Mapa do Dia'!$D14))&amp;IF('Mapa do Dia'!$B14&lt;2,"",IF('Mapa do Dia'!$E14="", " · (falta escalar)"," · "&amp;IFERROR(INDEX(Equipe_Curto,MATCH('Mapa do Dia'!$E14,Equipe_Nome,0)),'Mapa do Dia'!$E14))))</f>
        <v/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15">
        <f>IF(OR('Mapa do Dia'!$A14="",'Calc'!$B6&lt;&gt;"Sala cirúrgica"),"",IF(SUMPRODUCT((Mapa_Sala='Mapa do Dia'!$N14)*(Mapa_Data=Data_Mapa)*(Mapa_MinOcup&gt;0)*(Mapa_RelIni&lt;10)*(Mapa_RelFim&gt;0))&gt;0,2,IF(SUMPRODUCT((Mapa_Sala='Mapa do Dia'!$N14)*(Mapa_Data=Data_Mapa)*(Mapa_MinOcup&gt;0)*(Mapa_RelFim&lt;10)*(Mapa_RelFim+Limpeza_Min&gt;0))&gt;0,1,0)))</f>
        <v/>
      </c>
      <c r="W16" s="15">
        <f>IF(OR('Mapa do Dia'!$A14="",'Calc'!$B6&lt;&gt;"Sala cirúrgica"),"",IF(SUMPRODUCT((Mapa_Sala='Mapa do Dia'!$N14)*(Mapa_Data=Data_Mapa)*(Mapa_MinOcup&gt;0)*(Mapa_RelIni&lt;20)*(Mapa_RelFim&gt;10))&gt;0,2,IF(SUMPRODUCT((Mapa_Sala='Mapa do Dia'!$N14)*(Mapa_Data=Data_Mapa)*(Mapa_MinOcup&gt;0)*(Mapa_RelFim&lt;20)*(Mapa_RelFim+Limpeza_Min&gt;10))&gt;0,1,0)))</f>
        <v/>
      </c>
      <c r="X16" s="15">
        <f>IF(OR('Mapa do Dia'!$A14="",'Calc'!$B6&lt;&gt;"Sala cirúrgica"),"",IF(SUMPRODUCT((Mapa_Sala='Mapa do Dia'!$N14)*(Mapa_Data=Data_Mapa)*(Mapa_MinOcup&gt;0)*(Mapa_RelIni&lt;30)*(Mapa_RelFim&gt;20))&gt;0,2,IF(SUMPRODUCT((Mapa_Sala='Mapa do Dia'!$N14)*(Mapa_Data=Data_Mapa)*(Mapa_MinOcup&gt;0)*(Mapa_RelFim&lt;30)*(Mapa_RelFim+Limpeza_Min&gt;20))&gt;0,1,0)))</f>
        <v/>
      </c>
      <c r="Y16" s="15">
        <f>IF(OR('Mapa do Dia'!$A14="",'Calc'!$B6&lt;&gt;"Sala cirúrgica"),"",IF(SUMPRODUCT((Mapa_Sala='Mapa do Dia'!$N14)*(Mapa_Data=Data_Mapa)*(Mapa_MinOcup&gt;0)*(Mapa_RelIni&lt;40)*(Mapa_RelFim&gt;30))&gt;0,2,IF(SUMPRODUCT((Mapa_Sala='Mapa do Dia'!$N14)*(Mapa_Data=Data_Mapa)*(Mapa_MinOcup&gt;0)*(Mapa_RelFim&lt;40)*(Mapa_RelFim+Limpeza_Min&gt;30))&gt;0,1,0)))</f>
        <v/>
      </c>
      <c r="Z16" s="15">
        <f>IF(OR('Mapa do Dia'!$A14="",'Calc'!$B6&lt;&gt;"Sala cirúrgica"),"",IF(SUMPRODUCT((Mapa_Sala='Mapa do Dia'!$N14)*(Mapa_Data=Data_Mapa)*(Mapa_MinOcup&gt;0)*(Mapa_RelIni&lt;50)*(Mapa_RelFim&gt;40))&gt;0,2,IF(SUMPRODUCT((Mapa_Sala='Mapa do Dia'!$N14)*(Mapa_Data=Data_Mapa)*(Mapa_MinOcup&gt;0)*(Mapa_RelFim&lt;50)*(Mapa_RelFim+Limpeza_Min&gt;40))&gt;0,1,0)))</f>
        <v/>
      </c>
      <c r="AA16" s="15">
        <f>IF(OR('Mapa do Dia'!$A14="",'Calc'!$B6&lt;&gt;"Sala cirúrgica"),"",IF(SUMPRODUCT((Mapa_Sala='Mapa do Dia'!$N14)*(Mapa_Data=Data_Mapa)*(Mapa_MinOcup&gt;0)*(Mapa_RelIni&lt;60)*(Mapa_RelFim&gt;50))&gt;0,2,IF(SUMPRODUCT((Mapa_Sala='Mapa do Dia'!$N14)*(Mapa_Data=Data_Mapa)*(Mapa_MinOcup&gt;0)*(Mapa_RelFim&lt;60)*(Mapa_RelFim+Limpeza_Min&gt;50))&gt;0,1,0)))</f>
        <v/>
      </c>
      <c r="AB16" s="15">
        <f>IF(OR('Mapa do Dia'!$A14="",'Calc'!$B6&lt;&gt;"Sala cirúrgica"),"",IF(SUMPRODUCT((Mapa_Sala='Mapa do Dia'!$N14)*(Mapa_Data=Data_Mapa)*(Mapa_MinOcup&gt;0)*(Mapa_RelIni&lt;70)*(Mapa_RelFim&gt;60))&gt;0,2,IF(SUMPRODUCT((Mapa_Sala='Mapa do Dia'!$N14)*(Mapa_Data=Data_Mapa)*(Mapa_MinOcup&gt;0)*(Mapa_RelFim&lt;70)*(Mapa_RelFim+Limpeza_Min&gt;60))&gt;0,1,0)))</f>
        <v/>
      </c>
      <c r="AC16" s="15">
        <f>IF(OR('Mapa do Dia'!$A14="",'Calc'!$B6&lt;&gt;"Sala cirúrgica"),"",IF(SUMPRODUCT((Mapa_Sala='Mapa do Dia'!$N14)*(Mapa_Data=Data_Mapa)*(Mapa_MinOcup&gt;0)*(Mapa_RelIni&lt;80)*(Mapa_RelFim&gt;70))&gt;0,2,IF(SUMPRODUCT((Mapa_Sala='Mapa do Dia'!$N14)*(Mapa_Data=Data_Mapa)*(Mapa_MinOcup&gt;0)*(Mapa_RelFim&lt;80)*(Mapa_RelFim+Limpeza_Min&gt;70))&gt;0,1,0)))</f>
        <v/>
      </c>
      <c r="AD16" s="15">
        <f>IF(OR('Mapa do Dia'!$A14="",'Calc'!$B6&lt;&gt;"Sala cirúrgica"),"",IF(SUMPRODUCT((Mapa_Sala='Mapa do Dia'!$N14)*(Mapa_Data=Data_Mapa)*(Mapa_MinOcup&gt;0)*(Mapa_RelIni&lt;90)*(Mapa_RelFim&gt;80))&gt;0,2,IF(SUMPRODUCT((Mapa_Sala='Mapa do Dia'!$N14)*(Mapa_Data=Data_Mapa)*(Mapa_MinOcup&gt;0)*(Mapa_RelFim&lt;90)*(Mapa_RelFim+Limpeza_Min&gt;80))&gt;0,1,0)))</f>
        <v/>
      </c>
      <c r="AE16" s="15">
        <f>IF(OR('Mapa do Dia'!$A14="",'Calc'!$B6&lt;&gt;"Sala cirúrgica"),"",IF(SUMPRODUCT((Mapa_Sala='Mapa do Dia'!$N14)*(Mapa_Data=Data_Mapa)*(Mapa_MinOcup&gt;0)*(Mapa_RelIni&lt;100)*(Mapa_RelFim&gt;90))&gt;0,2,IF(SUMPRODUCT((Mapa_Sala='Mapa do Dia'!$N14)*(Mapa_Data=Data_Mapa)*(Mapa_MinOcup&gt;0)*(Mapa_RelFim&lt;100)*(Mapa_RelFim+Limpeza_Min&gt;90))&gt;0,1,0)))</f>
        <v/>
      </c>
      <c r="AF16" s="15">
        <f>IF(OR('Mapa do Dia'!$A14="",'Calc'!$B6&lt;&gt;"Sala cirúrgica"),"",IF(SUMPRODUCT((Mapa_Sala='Mapa do Dia'!$N14)*(Mapa_Data=Data_Mapa)*(Mapa_MinOcup&gt;0)*(Mapa_RelIni&lt;110)*(Mapa_RelFim&gt;100))&gt;0,2,IF(SUMPRODUCT((Mapa_Sala='Mapa do Dia'!$N14)*(Mapa_Data=Data_Mapa)*(Mapa_MinOcup&gt;0)*(Mapa_RelFim&lt;110)*(Mapa_RelFim+Limpeza_Min&gt;100))&gt;0,1,0)))</f>
        <v/>
      </c>
      <c r="AG16" s="15">
        <f>IF(OR('Mapa do Dia'!$A14="",'Calc'!$B6&lt;&gt;"Sala cirúrgica"),"",IF(SUMPRODUCT((Mapa_Sala='Mapa do Dia'!$N14)*(Mapa_Data=Data_Mapa)*(Mapa_MinOcup&gt;0)*(Mapa_RelIni&lt;120)*(Mapa_RelFim&gt;110))&gt;0,2,IF(SUMPRODUCT((Mapa_Sala='Mapa do Dia'!$N14)*(Mapa_Data=Data_Mapa)*(Mapa_MinOcup&gt;0)*(Mapa_RelFim&lt;120)*(Mapa_RelFim+Limpeza_Min&gt;110))&gt;0,1,0)))</f>
        <v/>
      </c>
      <c r="AH16" s="15">
        <f>IF(OR('Mapa do Dia'!$A14="",'Calc'!$B6&lt;&gt;"Sala cirúrgica"),"",IF(SUMPRODUCT((Mapa_Sala='Mapa do Dia'!$N14)*(Mapa_Data=Data_Mapa)*(Mapa_MinOcup&gt;0)*(Mapa_RelIni&lt;130)*(Mapa_RelFim&gt;120))&gt;0,2,IF(SUMPRODUCT((Mapa_Sala='Mapa do Dia'!$N14)*(Mapa_Data=Data_Mapa)*(Mapa_MinOcup&gt;0)*(Mapa_RelFim&lt;130)*(Mapa_RelFim+Limpeza_Min&gt;120))&gt;0,1,0)))</f>
        <v/>
      </c>
      <c r="AI16" s="15">
        <f>IF(OR('Mapa do Dia'!$A14="",'Calc'!$B6&lt;&gt;"Sala cirúrgica"),"",IF(SUMPRODUCT((Mapa_Sala='Mapa do Dia'!$N14)*(Mapa_Data=Data_Mapa)*(Mapa_MinOcup&gt;0)*(Mapa_RelIni&lt;140)*(Mapa_RelFim&gt;130))&gt;0,2,IF(SUMPRODUCT((Mapa_Sala='Mapa do Dia'!$N14)*(Mapa_Data=Data_Mapa)*(Mapa_MinOcup&gt;0)*(Mapa_RelFim&lt;140)*(Mapa_RelFim+Limpeza_Min&gt;130))&gt;0,1,0)))</f>
        <v/>
      </c>
      <c r="AJ16" s="15">
        <f>IF(OR('Mapa do Dia'!$A14="",'Calc'!$B6&lt;&gt;"Sala cirúrgica"),"",IF(SUMPRODUCT((Mapa_Sala='Mapa do Dia'!$N14)*(Mapa_Data=Data_Mapa)*(Mapa_MinOcup&gt;0)*(Mapa_RelIni&lt;150)*(Mapa_RelFim&gt;140))&gt;0,2,IF(SUMPRODUCT((Mapa_Sala='Mapa do Dia'!$N14)*(Mapa_Data=Data_Mapa)*(Mapa_MinOcup&gt;0)*(Mapa_RelFim&lt;150)*(Mapa_RelFim+Limpeza_Min&gt;140))&gt;0,1,0)))</f>
        <v/>
      </c>
      <c r="AK16" s="15">
        <f>IF(OR('Mapa do Dia'!$A14="",'Calc'!$B6&lt;&gt;"Sala cirúrgica"),"",IF(SUMPRODUCT((Mapa_Sala='Mapa do Dia'!$N14)*(Mapa_Data=Data_Mapa)*(Mapa_MinOcup&gt;0)*(Mapa_RelIni&lt;160)*(Mapa_RelFim&gt;150))&gt;0,2,IF(SUMPRODUCT((Mapa_Sala='Mapa do Dia'!$N14)*(Mapa_Data=Data_Mapa)*(Mapa_MinOcup&gt;0)*(Mapa_RelFim&lt;160)*(Mapa_RelFim+Limpeza_Min&gt;150))&gt;0,1,0)))</f>
        <v/>
      </c>
      <c r="AL16" s="15">
        <f>IF(OR('Mapa do Dia'!$A14="",'Calc'!$B6&lt;&gt;"Sala cirúrgica"),"",IF(SUMPRODUCT((Mapa_Sala='Mapa do Dia'!$N14)*(Mapa_Data=Data_Mapa)*(Mapa_MinOcup&gt;0)*(Mapa_RelIni&lt;170)*(Mapa_RelFim&gt;160))&gt;0,2,IF(SUMPRODUCT((Mapa_Sala='Mapa do Dia'!$N14)*(Mapa_Data=Data_Mapa)*(Mapa_MinOcup&gt;0)*(Mapa_RelFim&lt;170)*(Mapa_RelFim+Limpeza_Min&gt;160))&gt;0,1,0)))</f>
        <v/>
      </c>
      <c r="AM16" s="15">
        <f>IF(OR('Mapa do Dia'!$A14="",'Calc'!$B6&lt;&gt;"Sala cirúrgica"),"",IF(SUMPRODUCT((Mapa_Sala='Mapa do Dia'!$N14)*(Mapa_Data=Data_Mapa)*(Mapa_MinOcup&gt;0)*(Mapa_RelIni&lt;180)*(Mapa_RelFim&gt;170))&gt;0,2,IF(SUMPRODUCT((Mapa_Sala='Mapa do Dia'!$N14)*(Mapa_Data=Data_Mapa)*(Mapa_MinOcup&gt;0)*(Mapa_RelFim&lt;180)*(Mapa_RelFim+Limpeza_Min&gt;170))&gt;0,1,0)))</f>
        <v/>
      </c>
      <c r="AN16" s="15">
        <f>IF(OR('Mapa do Dia'!$A14="",'Calc'!$B6&lt;&gt;"Sala cirúrgica"),"",IF(SUMPRODUCT((Mapa_Sala='Mapa do Dia'!$N14)*(Mapa_Data=Data_Mapa)*(Mapa_MinOcup&gt;0)*(Mapa_RelIni&lt;190)*(Mapa_RelFim&gt;180))&gt;0,2,IF(SUMPRODUCT((Mapa_Sala='Mapa do Dia'!$N14)*(Mapa_Data=Data_Mapa)*(Mapa_MinOcup&gt;0)*(Mapa_RelFim&lt;190)*(Mapa_RelFim+Limpeza_Min&gt;180))&gt;0,1,0)))</f>
        <v/>
      </c>
      <c r="AO16" s="15">
        <f>IF(OR('Mapa do Dia'!$A14="",'Calc'!$B6&lt;&gt;"Sala cirúrgica"),"",IF(SUMPRODUCT((Mapa_Sala='Mapa do Dia'!$N14)*(Mapa_Data=Data_Mapa)*(Mapa_MinOcup&gt;0)*(Mapa_RelIni&lt;200)*(Mapa_RelFim&gt;190))&gt;0,2,IF(SUMPRODUCT((Mapa_Sala='Mapa do Dia'!$N14)*(Mapa_Data=Data_Mapa)*(Mapa_MinOcup&gt;0)*(Mapa_RelFim&lt;200)*(Mapa_RelFim+Limpeza_Min&gt;190))&gt;0,1,0)))</f>
        <v/>
      </c>
      <c r="AP16" s="15">
        <f>IF(OR('Mapa do Dia'!$A14="",'Calc'!$B6&lt;&gt;"Sala cirúrgica"),"",IF(SUMPRODUCT((Mapa_Sala='Mapa do Dia'!$N14)*(Mapa_Data=Data_Mapa)*(Mapa_MinOcup&gt;0)*(Mapa_RelIni&lt;210)*(Mapa_RelFim&gt;200))&gt;0,2,IF(SUMPRODUCT((Mapa_Sala='Mapa do Dia'!$N14)*(Mapa_Data=Data_Mapa)*(Mapa_MinOcup&gt;0)*(Mapa_RelFim&lt;210)*(Mapa_RelFim+Limpeza_Min&gt;200))&gt;0,1,0)))</f>
        <v/>
      </c>
      <c r="AQ16" s="15">
        <f>IF(OR('Mapa do Dia'!$A14="",'Calc'!$B6&lt;&gt;"Sala cirúrgica"),"",IF(SUMPRODUCT((Mapa_Sala='Mapa do Dia'!$N14)*(Mapa_Data=Data_Mapa)*(Mapa_MinOcup&gt;0)*(Mapa_RelIni&lt;220)*(Mapa_RelFim&gt;210))&gt;0,2,IF(SUMPRODUCT((Mapa_Sala='Mapa do Dia'!$N14)*(Mapa_Data=Data_Mapa)*(Mapa_MinOcup&gt;0)*(Mapa_RelFim&lt;220)*(Mapa_RelFim+Limpeza_Min&gt;210))&gt;0,1,0)))</f>
        <v/>
      </c>
      <c r="AR16" s="15">
        <f>IF(OR('Mapa do Dia'!$A14="",'Calc'!$B6&lt;&gt;"Sala cirúrgica"),"",IF(SUMPRODUCT((Mapa_Sala='Mapa do Dia'!$N14)*(Mapa_Data=Data_Mapa)*(Mapa_MinOcup&gt;0)*(Mapa_RelIni&lt;230)*(Mapa_RelFim&gt;220))&gt;0,2,IF(SUMPRODUCT((Mapa_Sala='Mapa do Dia'!$N14)*(Mapa_Data=Data_Mapa)*(Mapa_MinOcup&gt;0)*(Mapa_RelFim&lt;230)*(Mapa_RelFim+Limpeza_Min&gt;220))&gt;0,1,0)))</f>
        <v/>
      </c>
      <c r="AS16" s="15">
        <f>IF(OR('Mapa do Dia'!$A14="",'Calc'!$B6&lt;&gt;"Sala cirúrgica"),"",IF(SUMPRODUCT((Mapa_Sala='Mapa do Dia'!$N14)*(Mapa_Data=Data_Mapa)*(Mapa_MinOcup&gt;0)*(Mapa_RelIni&lt;240)*(Mapa_RelFim&gt;230))&gt;0,2,IF(SUMPRODUCT((Mapa_Sala='Mapa do Dia'!$N14)*(Mapa_Data=Data_Mapa)*(Mapa_MinOcup&gt;0)*(Mapa_RelFim&lt;240)*(Mapa_RelFim+Limpeza_Min&gt;230))&gt;0,1,0)))</f>
        <v/>
      </c>
      <c r="AT16" s="15">
        <f>IF(OR('Mapa do Dia'!$A14="",'Calc'!$B6&lt;&gt;"Sala cirúrgica"),"",IF(SUMPRODUCT((Mapa_Sala='Mapa do Dia'!$N14)*(Mapa_Data=Data_Mapa)*(Mapa_MinOcup&gt;0)*(Mapa_RelIni&lt;250)*(Mapa_RelFim&gt;240))&gt;0,2,IF(SUMPRODUCT((Mapa_Sala='Mapa do Dia'!$N14)*(Mapa_Data=Data_Mapa)*(Mapa_MinOcup&gt;0)*(Mapa_RelFim&lt;250)*(Mapa_RelFim+Limpeza_Min&gt;240))&gt;0,1,0)))</f>
        <v/>
      </c>
      <c r="AU16" s="15">
        <f>IF(OR('Mapa do Dia'!$A14="",'Calc'!$B6&lt;&gt;"Sala cirúrgica"),"",IF(SUMPRODUCT((Mapa_Sala='Mapa do Dia'!$N14)*(Mapa_Data=Data_Mapa)*(Mapa_MinOcup&gt;0)*(Mapa_RelIni&lt;260)*(Mapa_RelFim&gt;250))&gt;0,2,IF(SUMPRODUCT((Mapa_Sala='Mapa do Dia'!$N14)*(Mapa_Data=Data_Mapa)*(Mapa_MinOcup&gt;0)*(Mapa_RelFim&lt;260)*(Mapa_RelFim+Limpeza_Min&gt;250))&gt;0,1,0)))</f>
        <v/>
      </c>
      <c r="AV16" s="15">
        <f>IF(OR('Mapa do Dia'!$A14="",'Calc'!$B6&lt;&gt;"Sala cirúrgica"),"",IF(SUMPRODUCT((Mapa_Sala='Mapa do Dia'!$N14)*(Mapa_Data=Data_Mapa)*(Mapa_MinOcup&gt;0)*(Mapa_RelIni&lt;270)*(Mapa_RelFim&gt;260))&gt;0,2,IF(SUMPRODUCT((Mapa_Sala='Mapa do Dia'!$N14)*(Mapa_Data=Data_Mapa)*(Mapa_MinOcup&gt;0)*(Mapa_RelFim&lt;270)*(Mapa_RelFim+Limpeza_Min&gt;260))&gt;0,1,0)))</f>
        <v/>
      </c>
      <c r="AW16" s="15">
        <f>IF(OR('Mapa do Dia'!$A14="",'Calc'!$B6&lt;&gt;"Sala cirúrgica"),"",IF(SUMPRODUCT((Mapa_Sala='Mapa do Dia'!$N14)*(Mapa_Data=Data_Mapa)*(Mapa_MinOcup&gt;0)*(Mapa_RelIni&lt;280)*(Mapa_RelFim&gt;270))&gt;0,2,IF(SUMPRODUCT((Mapa_Sala='Mapa do Dia'!$N14)*(Mapa_Data=Data_Mapa)*(Mapa_MinOcup&gt;0)*(Mapa_RelFim&lt;280)*(Mapa_RelFim+Limpeza_Min&gt;270))&gt;0,1,0)))</f>
        <v/>
      </c>
      <c r="AX16" s="15">
        <f>IF(OR('Mapa do Dia'!$A14="",'Calc'!$B6&lt;&gt;"Sala cirúrgica"),"",IF(SUMPRODUCT((Mapa_Sala='Mapa do Dia'!$N14)*(Mapa_Data=Data_Mapa)*(Mapa_MinOcup&gt;0)*(Mapa_RelIni&lt;290)*(Mapa_RelFim&gt;280))&gt;0,2,IF(SUMPRODUCT((Mapa_Sala='Mapa do Dia'!$N14)*(Mapa_Data=Data_Mapa)*(Mapa_MinOcup&gt;0)*(Mapa_RelFim&lt;290)*(Mapa_RelFim+Limpeza_Min&gt;280))&gt;0,1,0)))</f>
        <v/>
      </c>
      <c r="AY16" s="15">
        <f>IF(OR('Mapa do Dia'!$A14="",'Calc'!$B6&lt;&gt;"Sala cirúrgica"),"",IF(SUMPRODUCT((Mapa_Sala='Mapa do Dia'!$N14)*(Mapa_Data=Data_Mapa)*(Mapa_MinOcup&gt;0)*(Mapa_RelIni&lt;300)*(Mapa_RelFim&gt;290))&gt;0,2,IF(SUMPRODUCT((Mapa_Sala='Mapa do Dia'!$N14)*(Mapa_Data=Data_Mapa)*(Mapa_MinOcup&gt;0)*(Mapa_RelFim&lt;300)*(Mapa_RelFim+Limpeza_Min&gt;290))&gt;0,1,0)))</f>
        <v/>
      </c>
      <c r="AZ16" s="15">
        <f>IF(OR('Mapa do Dia'!$A14="",'Calc'!$B6&lt;&gt;"Sala cirúrgica"),"",IF(SUMPRODUCT((Mapa_Sala='Mapa do Dia'!$N14)*(Mapa_Data=Data_Mapa)*(Mapa_MinOcup&gt;0)*(Mapa_RelIni&lt;310)*(Mapa_RelFim&gt;300))&gt;0,2,IF(SUMPRODUCT((Mapa_Sala='Mapa do Dia'!$N14)*(Mapa_Data=Data_Mapa)*(Mapa_MinOcup&gt;0)*(Mapa_RelFim&lt;310)*(Mapa_RelFim+Limpeza_Min&gt;300))&gt;0,1,0)))</f>
        <v/>
      </c>
      <c r="BA16" s="15">
        <f>IF(OR('Mapa do Dia'!$A14="",'Calc'!$B6&lt;&gt;"Sala cirúrgica"),"",IF(SUMPRODUCT((Mapa_Sala='Mapa do Dia'!$N14)*(Mapa_Data=Data_Mapa)*(Mapa_MinOcup&gt;0)*(Mapa_RelIni&lt;320)*(Mapa_RelFim&gt;310))&gt;0,2,IF(SUMPRODUCT((Mapa_Sala='Mapa do Dia'!$N14)*(Mapa_Data=Data_Mapa)*(Mapa_MinOcup&gt;0)*(Mapa_RelFim&lt;320)*(Mapa_RelFim+Limpeza_Min&gt;310))&gt;0,1,0)))</f>
        <v/>
      </c>
      <c r="BB16" s="15">
        <f>IF(OR('Mapa do Dia'!$A14="",'Calc'!$B6&lt;&gt;"Sala cirúrgica"),"",IF(SUMPRODUCT((Mapa_Sala='Mapa do Dia'!$N14)*(Mapa_Data=Data_Mapa)*(Mapa_MinOcup&gt;0)*(Mapa_RelIni&lt;330)*(Mapa_RelFim&gt;320))&gt;0,2,IF(SUMPRODUCT((Mapa_Sala='Mapa do Dia'!$N14)*(Mapa_Data=Data_Mapa)*(Mapa_MinOcup&gt;0)*(Mapa_RelFim&lt;330)*(Mapa_RelFim+Limpeza_Min&gt;320))&gt;0,1,0)))</f>
        <v/>
      </c>
      <c r="BC16" s="15">
        <f>IF(OR('Mapa do Dia'!$A14="",'Calc'!$B6&lt;&gt;"Sala cirúrgica"),"",IF(SUMPRODUCT((Mapa_Sala='Mapa do Dia'!$N14)*(Mapa_Data=Data_Mapa)*(Mapa_MinOcup&gt;0)*(Mapa_RelIni&lt;340)*(Mapa_RelFim&gt;330))&gt;0,2,IF(SUMPRODUCT((Mapa_Sala='Mapa do Dia'!$N14)*(Mapa_Data=Data_Mapa)*(Mapa_MinOcup&gt;0)*(Mapa_RelFim&lt;340)*(Mapa_RelFim+Limpeza_Min&gt;330))&gt;0,1,0)))</f>
        <v/>
      </c>
      <c r="BD16" s="15">
        <f>IF(OR('Mapa do Dia'!$A14="",'Calc'!$B6&lt;&gt;"Sala cirúrgica"),"",IF(SUMPRODUCT((Mapa_Sala='Mapa do Dia'!$N14)*(Mapa_Data=Data_Mapa)*(Mapa_MinOcup&gt;0)*(Mapa_RelIni&lt;350)*(Mapa_RelFim&gt;340))&gt;0,2,IF(SUMPRODUCT((Mapa_Sala='Mapa do Dia'!$N14)*(Mapa_Data=Data_Mapa)*(Mapa_MinOcup&gt;0)*(Mapa_RelFim&lt;350)*(Mapa_RelFim+Limpeza_Min&gt;340))&gt;0,1,0)))</f>
        <v/>
      </c>
      <c r="BE16" s="15">
        <f>IF(OR('Mapa do Dia'!$A14="",'Calc'!$B6&lt;&gt;"Sala cirúrgica"),"",IF(SUMPRODUCT((Mapa_Sala='Mapa do Dia'!$N14)*(Mapa_Data=Data_Mapa)*(Mapa_MinOcup&gt;0)*(Mapa_RelIni&lt;360)*(Mapa_RelFim&gt;350))&gt;0,2,IF(SUMPRODUCT((Mapa_Sala='Mapa do Dia'!$N14)*(Mapa_Data=Data_Mapa)*(Mapa_MinOcup&gt;0)*(Mapa_RelFim&lt;360)*(Mapa_RelFim+Limpeza_Min&gt;350))&gt;0,1,0)))</f>
        <v/>
      </c>
      <c r="BF16">
        <f>IF('Mapa do Dia'!$A14="","",'Mapa do Dia'!$F14)</f>
        <v/>
      </c>
    </row>
    <row r="17" ht="17" customHeight="1">
      <c r="A17" s="13">
        <f>IF('Mapa do Dia'!$A15="","",'Mapa do Dia'!$A15)</f>
        <v/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14">
        <f>IF('Mapa do Dia'!$A15="","",IF('Mapa do Dia'!$D15="","(falta escalar)",IFERROR(INDEX(Equipe_Curto,MATCH('Mapa do Dia'!$D15,Equipe_Nome,0)),'Mapa do Dia'!$D15))&amp;IF('Mapa do Dia'!$B15&lt;2,"",IF('Mapa do Dia'!$E15="", " · (falta escalar)"," · "&amp;IFERROR(INDEX(Equipe_Curto,MATCH('Mapa do Dia'!$E15,Equipe_Nome,0)),'Mapa do Dia'!$E15))))</f>
        <v/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15">
        <f>IF(OR('Mapa do Dia'!$A15="",'Calc'!$B7&lt;&gt;"Sala cirúrgica"),"",IF(SUMPRODUCT((Mapa_Sala='Mapa do Dia'!$N15)*(Mapa_Data=Data_Mapa)*(Mapa_MinOcup&gt;0)*(Mapa_RelIni&lt;10)*(Mapa_RelFim&gt;0))&gt;0,2,IF(SUMPRODUCT((Mapa_Sala='Mapa do Dia'!$N15)*(Mapa_Data=Data_Mapa)*(Mapa_MinOcup&gt;0)*(Mapa_RelFim&lt;10)*(Mapa_RelFim+Limpeza_Min&gt;0))&gt;0,1,0)))</f>
        <v/>
      </c>
      <c r="W17" s="15">
        <f>IF(OR('Mapa do Dia'!$A15="",'Calc'!$B7&lt;&gt;"Sala cirúrgica"),"",IF(SUMPRODUCT((Mapa_Sala='Mapa do Dia'!$N15)*(Mapa_Data=Data_Mapa)*(Mapa_MinOcup&gt;0)*(Mapa_RelIni&lt;20)*(Mapa_RelFim&gt;10))&gt;0,2,IF(SUMPRODUCT((Mapa_Sala='Mapa do Dia'!$N15)*(Mapa_Data=Data_Mapa)*(Mapa_MinOcup&gt;0)*(Mapa_RelFim&lt;20)*(Mapa_RelFim+Limpeza_Min&gt;10))&gt;0,1,0)))</f>
        <v/>
      </c>
      <c r="X17" s="15">
        <f>IF(OR('Mapa do Dia'!$A15="",'Calc'!$B7&lt;&gt;"Sala cirúrgica"),"",IF(SUMPRODUCT((Mapa_Sala='Mapa do Dia'!$N15)*(Mapa_Data=Data_Mapa)*(Mapa_MinOcup&gt;0)*(Mapa_RelIni&lt;30)*(Mapa_RelFim&gt;20))&gt;0,2,IF(SUMPRODUCT((Mapa_Sala='Mapa do Dia'!$N15)*(Mapa_Data=Data_Mapa)*(Mapa_MinOcup&gt;0)*(Mapa_RelFim&lt;30)*(Mapa_RelFim+Limpeza_Min&gt;20))&gt;0,1,0)))</f>
        <v/>
      </c>
      <c r="Y17" s="15">
        <f>IF(OR('Mapa do Dia'!$A15="",'Calc'!$B7&lt;&gt;"Sala cirúrgica"),"",IF(SUMPRODUCT((Mapa_Sala='Mapa do Dia'!$N15)*(Mapa_Data=Data_Mapa)*(Mapa_MinOcup&gt;0)*(Mapa_RelIni&lt;40)*(Mapa_RelFim&gt;30))&gt;0,2,IF(SUMPRODUCT((Mapa_Sala='Mapa do Dia'!$N15)*(Mapa_Data=Data_Mapa)*(Mapa_MinOcup&gt;0)*(Mapa_RelFim&lt;40)*(Mapa_RelFim+Limpeza_Min&gt;30))&gt;0,1,0)))</f>
        <v/>
      </c>
      <c r="Z17" s="15">
        <f>IF(OR('Mapa do Dia'!$A15="",'Calc'!$B7&lt;&gt;"Sala cirúrgica"),"",IF(SUMPRODUCT((Mapa_Sala='Mapa do Dia'!$N15)*(Mapa_Data=Data_Mapa)*(Mapa_MinOcup&gt;0)*(Mapa_RelIni&lt;50)*(Mapa_RelFim&gt;40))&gt;0,2,IF(SUMPRODUCT((Mapa_Sala='Mapa do Dia'!$N15)*(Mapa_Data=Data_Mapa)*(Mapa_MinOcup&gt;0)*(Mapa_RelFim&lt;50)*(Mapa_RelFim+Limpeza_Min&gt;40))&gt;0,1,0)))</f>
        <v/>
      </c>
      <c r="AA17" s="15">
        <f>IF(OR('Mapa do Dia'!$A15="",'Calc'!$B7&lt;&gt;"Sala cirúrgica"),"",IF(SUMPRODUCT((Mapa_Sala='Mapa do Dia'!$N15)*(Mapa_Data=Data_Mapa)*(Mapa_MinOcup&gt;0)*(Mapa_RelIni&lt;60)*(Mapa_RelFim&gt;50))&gt;0,2,IF(SUMPRODUCT((Mapa_Sala='Mapa do Dia'!$N15)*(Mapa_Data=Data_Mapa)*(Mapa_MinOcup&gt;0)*(Mapa_RelFim&lt;60)*(Mapa_RelFim+Limpeza_Min&gt;50))&gt;0,1,0)))</f>
        <v/>
      </c>
      <c r="AB17" s="15">
        <f>IF(OR('Mapa do Dia'!$A15="",'Calc'!$B7&lt;&gt;"Sala cirúrgica"),"",IF(SUMPRODUCT((Mapa_Sala='Mapa do Dia'!$N15)*(Mapa_Data=Data_Mapa)*(Mapa_MinOcup&gt;0)*(Mapa_RelIni&lt;70)*(Mapa_RelFim&gt;60))&gt;0,2,IF(SUMPRODUCT((Mapa_Sala='Mapa do Dia'!$N15)*(Mapa_Data=Data_Mapa)*(Mapa_MinOcup&gt;0)*(Mapa_RelFim&lt;70)*(Mapa_RelFim+Limpeza_Min&gt;60))&gt;0,1,0)))</f>
        <v/>
      </c>
      <c r="AC17" s="15">
        <f>IF(OR('Mapa do Dia'!$A15="",'Calc'!$B7&lt;&gt;"Sala cirúrgica"),"",IF(SUMPRODUCT((Mapa_Sala='Mapa do Dia'!$N15)*(Mapa_Data=Data_Mapa)*(Mapa_MinOcup&gt;0)*(Mapa_RelIni&lt;80)*(Mapa_RelFim&gt;70))&gt;0,2,IF(SUMPRODUCT((Mapa_Sala='Mapa do Dia'!$N15)*(Mapa_Data=Data_Mapa)*(Mapa_MinOcup&gt;0)*(Mapa_RelFim&lt;80)*(Mapa_RelFim+Limpeza_Min&gt;70))&gt;0,1,0)))</f>
        <v/>
      </c>
      <c r="AD17" s="15">
        <f>IF(OR('Mapa do Dia'!$A15="",'Calc'!$B7&lt;&gt;"Sala cirúrgica"),"",IF(SUMPRODUCT((Mapa_Sala='Mapa do Dia'!$N15)*(Mapa_Data=Data_Mapa)*(Mapa_MinOcup&gt;0)*(Mapa_RelIni&lt;90)*(Mapa_RelFim&gt;80))&gt;0,2,IF(SUMPRODUCT((Mapa_Sala='Mapa do Dia'!$N15)*(Mapa_Data=Data_Mapa)*(Mapa_MinOcup&gt;0)*(Mapa_RelFim&lt;90)*(Mapa_RelFim+Limpeza_Min&gt;80))&gt;0,1,0)))</f>
        <v/>
      </c>
      <c r="AE17" s="15">
        <f>IF(OR('Mapa do Dia'!$A15="",'Calc'!$B7&lt;&gt;"Sala cirúrgica"),"",IF(SUMPRODUCT((Mapa_Sala='Mapa do Dia'!$N15)*(Mapa_Data=Data_Mapa)*(Mapa_MinOcup&gt;0)*(Mapa_RelIni&lt;100)*(Mapa_RelFim&gt;90))&gt;0,2,IF(SUMPRODUCT((Mapa_Sala='Mapa do Dia'!$N15)*(Mapa_Data=Data_Mapa)*(Mapa_MinOcup&gt;0)*(Mapa_RelFim&lt;100)*(Mapa_RelFim+Limpeza_Min&gt;90))&gt;0,1,0)))</f>
        <v/>
      </c>
      <c r="AF17" s="15">
        <f>IF(OR('Mapa do Dia'!$A15="",'Calc'!$B7&lt;&gt;"Sala cirúrgica"),"",IF(SUMPRODUCT((Mapa_Sala='Mapa do Dia'!$N15)*(Mapa_Data=Data_Mapa)*(Mapa_MinOcup&gt;0)*(Mapa_RelIni&lt;110)*(Mapa_RelFim&gt;100))&gt;0,2,IF(SUMPRODUCT((Mapa_Sala='Mapa do Dia'!$N15)*(Mapa_Data=Data_Mapa)*(Mapa_MinOcup&gt;0)*(Mapa_RelFim&lt;110)*(Mapa_RelFim+Limpeza_Min&gt;100))&gt;0,1,0)))</f>
        <v/>
      </c>
      <c r="AG17" s="15">
        <f>IF(OR('Mapa do Dia'!$A15="",'Calc'!$B7&lt;&gt;"Sala cirúrgica"),"",IF(SUMPRODUCT((Mapa_Sala='Mapa do Dia'!$N15)*(Mapa_Data=Data_Mapa)*(Mapa_MinOcup&gt;0)*(Mapa_RelIni&lt;120)*(Mapa_RelFim&gt;110))&gt;0,2,IF(SUMPRODUCT((Mapa_Sala='Mapa do Dia'!$N15)*(Mapa_Data=Data_Mapa)*(Mapa_MinOcup&gt;0)*(Mapa_RelFim&lt;120)*(Mapa_RelFim+Limpeza_Min&gt;110))&gt;0,1,0)))</f>
        <v/>
      </c>
      <c r="AH17" s="15">
        <f>IF(OR('Mapa do Dia'!$A15="",'Calc'!$B7&lt;&gt;"Sala cirúrgica"),"",IF(SUMPRODUCT((Mapa_Sala='Mapa do Dia'!$N15)*(Mapa_Data=Data_Mapa)*(Mapa_MinOcup&gt;0)*(Mapa_RelIni&lt;130)*(Mapa_RelFim&gt;120))&gt;0,2,IF(SUMPRODUCT((Mapa_Sala='Mapa do Dia'!$N15)*(Mapa_Data=Data_Mapa)*(Mapa_MinOcup&gt;0)*(Mapa_RelFim&lt;130)*(Mapa_RelFim+Limpeza_Min&gt;120))&gt;0,1,0)))</f>
        <v/>
      </c>
      <c r="AI17" s="15">
        <f>IF(OR('Mapa do Dia'!$A15="",'Calc'!$B7&lt;&gt;"Sala cirúrgica"),"",IF(SUMPRODUCT((Mapa_Sala='Mapa do Dia'!$N15)*(Mapa_Data=Data_Mapa)*(Mapa_MinOcup&gt;0)*(Mapa_RelIni&lt;140)*(Mapa_RelFim&gt;130))&gt;0,2,IF(SUMPRODUCT((Mapa_Sala='Mapa do Dia'!$N15)*(Mapa_Data=Data_Mapa)*(Mapa_MinOcup&gt;0)*(Mapa_RelFim&lt;140)*(Mapa_RelFim+Limpeza_Min&gt;130))&gt;0,1,0)))</f>
        <v/>
      </c>
      <c r="AJ17" s="15">
        <f>IF(OR('Mapa do Dia'!$A15="",'Calc'!$B7&lt;&gt;"Sala cirúrgica"),"",IF(SUMPRODUCT((Mapa_Sala='Mapa do Dia'!$N15)*(Mapa_Data=Data_Mapa)*(Mapa_MinOcup&gt;0)*(Mapa_RelIni&lt;150)*(Mapa_RelFim&gt;140))&gt;0,2,IF(SUMPRODUCT((Mapa_Sala='Mapa do Dia'!$N15)*(Mapa_Data=Data_Mapa)*(Mapa_MinOcup&gt;0)*(Mapa_RelFim&lt;150)*(Mapa_RelFim+Limpeza_Min&gt;140))&gt;0,1,0)))</f>
        <v/>
      </c>
      <c r="AK17" s="15">
        <f>IF(OR('Mapa do Dia'!$A15="",'Calc'!$B7&lt;&gt;"Sala cirúrgica"),"",IF(SUMPRODUCT((Mapa_Sala='Mapa do Dia'!$N15)*(Mapa_Data=Data_Mapa)*(Mapa_MinOcup&gt;0)*(Mapa_RelIni&lt;160)*(Mapa_RelFim&gt;150))&gt;0,2,IF(SUMPRODUCT((Mapa_Sala='Mapa do Dia'!$N15)*(Mapa_Data=Data_Mapa)*(Mapa_MinOcup&gt;0)*(Mapa_RelFim&lt;160)*(Mapa_RelFim+Limpeza_Min&gt;150))&gt;0,1,0)))</f>
        <v/>
      </c>
      <c r="AL17" s="15">
        <f>IF(OR('Mapa do Dia'!$A15="",'Calc'!$B7&lt;&gt;"Sala cirúrgica"),"",IF(SUMPRODUCT((Mapa_Sala='Mapa do Dia'!$N15)*(Mapa_Data=Data_Mapa)*(Mapa_MinOcup&gt;0)*(Mapa_RelIni&lt;170)*(Mapa_RelFim&gt;160))&gt;0,2,IF(SUMPRODUCT((Mapa_Sala='Mapa do Dia'!$N15)*(Mapa_Data=Data_Mapa)*(Mapa_MinOcup&gt;0)*(Mapa_RelFim&lt;170)*(Mapa_RelFim+Limpeza_Min&gt;160))&gt;0,1,0)))</f>
        <v/>
      </c>
      <c r="AM17" s="15">
        <f>IF(OR('Mapa do Dia'!$A15="",'Calc'!$B7&lt;&gt;"Sala cirúrgica"),"",IF(SUMPRODUCT((Mapa_Sala='Mapa do Dia'!$N15)*(Mapa_Data=Data_Mapa)*(Mapa_MinOcup&gt;0)*(Mapa_RelIni&lt;180)*(Mapa_RelFim&gt;170))&gt;0,2,IF(SUMPRODUCT((Mapa_Sala='Mapa do Dia'!$N15)*(Mapa_Data=Data_Mapa)*(Mapa_MinOcup&gt;0)*(Mapa_RelFim&lt;180)*(Mapa_RelFim+Limpeza_Min&gt;170))&gt;0,1,0)))</f>
        <v/>
      </c>
      <c r="AN17" s="15">
        <f>IF(OR('Mapa do Dia'!$A15="",'Calc'!$B7&lt;&gt;"Sala cirúrgica"),"",IF(SUMPRODUCT((Mapa_Sala='Mapa do Dia'!$N15)*(Mapa_Data=Data_Mapa)*(Mapa_MinOcup&gt;0)*(Mapa_RelIni&lt;190)*(Mapa_RelFim&gt;180))&gt;0,2,IF(SUMPRODUCT((Mapa_Sala='Mapa do Dia'!$N15)*(Mapa_Data=Data_Mapa)*(Mapa_MinOcup&gt;0)*(Mapa_RelFim&lt;190)*(Mapa_RelFim+Limpeza_Min&gt;180))&gt;0,1,0)))</f>
        <v/>
      </c>
      <c r="AO17" s="15">
        <f>IF(OR('Mapa do Dia'!$A15="",'Calc'!$B7&lt;&gt;"Sala cirúrgica"),"",IF(SUMPRODUCT((Mapa_Sala='Mapa do Dia'!$N15)*(Mapa_Data=Data_Mapa)*(Mapa_MinOcup&gt;0)*(Mapa_RelIni&lt;200)*(Mapa_RelFim&gt;190))&gt;0,2,IF(SUMPRODUCT((Mapa_Sala='Mapa do Dia'!$N15)*(Mapa_Data=Data_Mapa)*(Mapa_MinOcup&gt;0)*(Mapa_RelFim&lt;200)*(Mapa_RelFim+Limpeza_Min&gt;190))&gt;0,1,0)))</f>
        <v/>
      </c>
      <c r="AP17" s="15">
        <f>IF(OR('Mapa do Dia'!$A15="",'Calc'!$B7&lt;&gt;"Sala cirúrgica"),"",IF(SUMPRODUCT((Mapa_Sala='Mapa do Dia'!$N15)*(Mapa_Data=Data_Mapa)*(Mapa_MinOcup&gt;0)*(Mapa_RelIni&lt;210)*(Mapa_RelFim&gt;200))&gt;0,2,IF(SUMPRODUCT((Mapa_Sala='Mapa do Dia'!$N15)*(Mapa_Data=Data_Mapa)*(Mapa_MinOcup&gt;0)*(Mapa_RelFim&lt;210)*(Mapa_RelFim+Limpeza_Min&gt;200))&gt;0,1,0)))</f>
        <v/>
      </c>
      <c r="AQ17" s="15">
        <f>IF(OR('Mapa do Dia'!$A15="",'Calc'!$B7&lt;&gt;"Sala cirúrgica"),"",IF(SUMPRODUCT((Mapa_Sala='Mapa do Dia'!$N15)*(Mapa_Data=Data_Mapa)*(Mapa_MinOcup&gt;0)*(Mapa_RelIni&lt;220)*(Mapa_RelFim&gt;210))&gt;0,2,IF(SUMPRODUCT((Mapa_Sala='Mapa do Dia'!$N15)*(Mapa_Data=Data_Mapa)*(Mapa_MinOcup&gt;0)*(Mapa_RelFim&lt;220)*(Mapa_RelFim+Limpeza_Min&gt;210))&gt;0,1,0)))</f>
        <v/>
      </c>
      <c r="AR17" s="15">
        <f>IF(OR('Mapa do Dia'!$A15="",'Calc'!$B7&lt;&gt;"Sala cirúrgica"),"",IF(SUMPRODUCT((Mapa_Sala='Mapa do Dia'!$N15)*(Mapa_Data=Data_Mapa)*(Mapa_MinOcup&gt;0)*(Mapa_RelIni&lt;230)*(Mapa_RelFim&gt;220))&gt;0,2,IF(SUMPRODUCT((Mapa_Sala='Mapa do Dia'!$N15)*(Mapa_Data=Data_Mapa)*(Mapa_MinOcup&gt;0)*(Mapa_RelFim&lt;230)*(Mapa_RelFim+Limpeza_Min&gt;220))&gt;0,1,0)))</f>
        <v/>
      </c>
      <c r="AS17" s="15">
        <f>IF(OR('Mapa do Dia'!$A15="",'Calc'!$B7&lt;&gt;"Sala cirúrgica"),"",IF(SUMPRODUCT((Mapa_Sala='Mapa do Dia'!$N15)*(Mapa_Data=Data_Mapa)*(Mapa_MinOcup&gt;0)*(Mapa_RelIni&lt;240)*(Mapa_RelFim&gt;230))&gt;0,2,IF(SUMPRODUCT((Mapa_Sala='Mapa do Dia'!$N15)*(Mapa_Data=Data_Mapa)*(Mapa_MinOcup&gt;0)*(Mapa_RelFim&lt;240)*(Mapa_RelFim+Limpeza_Min&gt;230))&gt;0,1,0)))</f>
        <v/>
      </c>
      <c r="AT17" s="15">
        <f>IF(OR('Mapa do Dia'!$A15="",'Calc'!$B7&lt;&gt;"Sala cirúrgica"),"",IF(SUMPRODUCT((Mapa_Sala='Mapa do Dia'!$N15)*(Mapa_Data=Data_Mapa)*(Mapa_MinOcup&gt;0)*(Mapa_RelIni&lt;250)*(Mapa_RelFim&gt;240))&gt;0,2,IF(SUMPRODUCT((Mapa_Sala='Mapa do Dia'!$N15)*(Mapa_Data=Data_Mapa)*(Mapa_MinOcup&gt;0)*(Mapa_RelFim&lt;250)*(Mapa_RelFim+Limpeza_Min&gt;240))&gt;0,1,0)))</f>
        <v/>
      </c>
      <c r="AU17" s="15">
        <f>IF(OR('Mapa do Dia'!$A15="",'Calc'!$B7&lt;&gt;"Sala cirúrgica"),"",IF(SUMPRODUCT((Mapa_Sala='Mapa do Dia'!$N15)*(Mapa_Data=Data_Mapa)*(Mapa_MinOcup&gt;0)*(Mapa_RelIni&lt;260)*(Mapa_RelFim&gt;250))&gt;0,2,IF(SUMPRODUCT((Mapa_Sala='Mapa do Dia'!$N15)*(Mapa_Data=Data_Mapa)*(Mapa_MinOcup&gt;0)*(Mapa_RelFim&lt;260)*(Mapa_RelFim+Limpeza_Min&gt;250))&gt;0,1,0)))</f>
        <v/>
      </c>
      <c r="AV17" s="15">
        <f>IF(OR('Mapa do Dia'!$A15="",'Calc'!$B7&lt;&gt;"Sala cirúrgica"),"",IF(SUMPRODUCT((Mapa_Sala='Mapa do Dia'!$N15)*(Mapa_Data=Data_Mapa)*(Mapa_MinOcup&gt;0)*(Mapa_RelIni&lt;270)*(Mapa_RelFim&gt;260))&gt;0,2,IF(SUMPRODUCT((Mapa_Sala='Mapa do Dia'!$N15)*(Mapa_Data=Data_Mapa)*(Mapa_MinOcup&gt;0)*(Mapa_RelFim&lt;270)*(Mapa_RelFim+Limpeza_Min&gt;260))&gt;0,1,0)))</f>
        <v/>
      </c>
      <c r="AW17" s="15">
        <f>IF(OR('Mapa do Dia'!$A15="",'Calc'!$B7&lt;&gt;"Sala cirúrgica"),"",IF(SUMPRODUCT((Mapa_Sala='Mapa do Dia'!$N15)*(Mapa_Data=Data_Mapa)*(Mapa_MinOcup&gt;0)*(Mapa_RelIni&lt;280)*(Mapa_RelFim&gt;270))&gt;0,2,IF(SUMPRODUCT((Mapa_Sala='Mapa do Dia'!$N15)*(Mapa_Data=Data_Mapa)*(Mapa_MinOcup&gt;0)*(Mapa_RelFim&lt;280)*(Mapa_RelFim+Limpeza_Min&gt;270))&gt;0,1,0)))</f>
        <v/>
      </c>
      <c r="AX17" s="15">
        <f>IF(OR('Mapa do Dia'!$A15="",'Calc'!$B7&lt;&gt;"Sala cirúrgica"),"",IF(SUMPRODUCT((Mapa_Sala='Mapa do Dia'!$N15)*(Mapa_Data=Data_Mapa)*(Mapa_MinOcup&gt;0)*(Mapa_RelIni&lt;290)*(Mapa_RelFim&gt;280))&gt;0,2,IF(SUMPRODUCT((Mapa_Sala='Mapa do Dia'!$N15)*(Mapa_Data=Data_Mapa)*(Mapa_MinOcup&gt;0)*(Mapa_RelFim&lt;290)*(Mapa_RelFim+Limpeza_Min&gt;280))&gt;0,1,0)))</f>
        <v/>
      </c>
      <c r="AY17" s="15">
        <f>IF(OR('Mapa do Dia'!$A15="",'Calc'!$B7&lt;&gt;"Sala cirúrgica"),"",IF(SUMPRODUCT((Mapa_Sala='Mapa do Dia'!$N15)*(Mapa_Data=Data_Mapa)*(Mapa_MinOcup&gt;0)*(Mapa_RelIni&lt;300)*(Mapa_RelFim&gt;290))&gt;0,2,IF(SUMPRODUCT((Mapa_Sala='Mapa do Dia'!$N15)*(Mapa_Data=Data_Mapa)*(Mapa_MinOcup&gt;0)*(Mapa_RelFim&lt;300)*(Mapa_RelFim+Limpeza_Min&gt;290))&gt;0,1,0)))</f>
        <v/>
      </c>
      <c r="AZ17" s="15">
        <f>IF(OR('Mapa do Dia'!$A15="",'Calc'!$B7&lt;&gt;"Sala cirúrgica"),"",IF(SUMPRODUCT((Mapa_Sala='Mapa do Dia'!$N15)*(Mapa_Data=Data_Mapa)*(Mapa_MinOcup&gt;0)*(Mapa_RelIni&lt;310)*(Mapa_RelFim&gt;300))&gt;0,2,IF(SUMPRODUCT((Mapa_Sala='Mapa do Dia'!$N15)*(Mapa_Data=Data_Mapa)*(Mapa_MinOcup&gt;0)*(Mapa_RelFim&lt;310)*(Mapa_RelFim+Limpeza_Min&gt;300))&gt;0,1,0)))</f>
        <v/>
      </c>
      <c r="BA17" s="15">
        <f>IF(OR('Mapa do Dia'!$A15="",'Calc'!$B7&lt;&gt;"Sala cirúrgica"),"",IF(SUMPRODUCT((Mapa_Sala='Mapa do Dia'!$N15)*(Mapa_Data=Data_Mapa)*(Mapa_MinOcup&gt;0)*(Mapa_RelIni&lt;320)*(Mapa_RelFim&gt;310))&gt;0,2,IF(SUMPRODUCT((Mapa_Sala='Mapa do Dia'!$N15)*(Mapa_Data=Data_Mapa)*(Mapa_MinOcup&gt;0)*(Mapa_RelFim&lt;320)*(Mapa_RelFim+Limpeza_Min&gt;310))&gt;0,1,0)))</f>
        <v/>
      </c>
      <c r="BB17" s="15">
        <f>IF(OR('Mapa do Dia'!$A15="",'Calc'!$B7&lt;&gt;"Sala cirúrgica"),"",IF(SUMPRODUCT((Mapa_Sala='Mapa do Dia'!$N15)*(Mapa_Data=Data_Mapa)*(Mapa_MinOcup&gt;0)*(Mapa_RelIni&lt;330)*(Mapa_RelFim&gt;320))&gt;0,2,IF(SUMPRODUCT((Mapa_Sala='Mapa do Dia'!$N15)*(Mapa_Data=Data_Mapa)*(Mapa_MinOcup&gt;0)*(Mapa_RelFim&lt;330)*(Mapa_RelFim+Limpeza_Min&gt;320))&gt;0,1,0)))</f>
        <v/>
      </c>
      <c r="BC17" s="15">
        <f>IF(OR('Mapa do Dia'!$A15="",'Calc'!$B7&lt;&gt;"Sala cirúrgica"),"",IF(SUMPRODUCT((Mapa_Sala='Mapa do Dia'!$N15)*(Mapa_Data=Data_Mapa)*(Mapa_MinOcup&gt;0)*(Mapa_RelIni&lt;340)*(Mapa_RelFim&gt;330))&gt;0,2,IF(SUMPRODUCT((Mapa_Sala='Mapa do Dia'!$N15)*(Mapa_Data=Data_Mapa)*(Mapa_MinOcup&gt;0)*(Mapa_RelFim&lt;340)*(Mapa_RelFim+Limpeza_Min&gt;330))&gt;0,1,0)))</f>
        <v/>
      </c>
      <c r="BD17" s="15">
        <f>IF(OR('Mapa do Dia'!$A15="",'Calc'!$B7&lt;&gt;"Sala cirúrgica"),"",IF(SUMPRODUCT((Mapa_Sala='Mapa do Dia'!$N15)*(Mapa_Data=Data_Mapa)*(Mapa_MinOcup&gt;0)*(Mapa_RelIni&lt;350)*(Mapa_RelFim&gt;340))&gt;0,2,IF(SUMPRODUCT((Mapa_Sala='Mapa do Dia'!$N15)*(Mapa_Data=Data_Mapa)*(Mapa_MinOcup&gt;0)*(Mapa_RelFim&lt;350)*(Mapa_RelFim+Limpeza_Min&gt;340))&gt;0,1,0)))</f>
        <v/>
      </c>
      <c r="BE17" s="15">
        <f>IF(OR('Mapa do Dia'!$A15="",'Calc'!$B7&lt;&gt;"Sala cirúrgica"),"",IF(SUMPRODUCT((Mapa_Sala='Mapa do Dia'!$N15)*(Mapa_Data=Data_Mapa)*(Mapa_MinOcup&gt;0)*(Mapa_RelIni&lt;360)*(Mapa_RelFim&gt;350))&gt;0,2,IF(SUMPRODUCT((Mapa_Sala='Mapa do Dia'!$N15)*(Mapa_Data=Data_Mapa)*(Mapa_MinOcup&gt;0)*(Mapa_RelFim&lt;360)*(Mapa_RelFim+Limpeza_Min&gt;350))&gt;0,1,0)))</f>
        <v/>
      </c>
      <c r="BF17">
        <f>IF('Mapa do Dia'!$A15="","",'Mapa do Dia'!$F15)</f>
        <v/>
      </c>
    </row>
    <row r="18" ht="17" customHeight="1">
      <c r="A18" s="13">
        <f>IF('Mapa do Dia'!$A16="","",'Mapa do Dia'!$A16)</f>
        <v/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14">
        <f>IF('Mapa do Dia'!$A16="","",IF('Mapa do Dia'!$D16="","(falta escalar)",IFERROR(INDEX(Equipe_Curto,MATCH('Mapa do Dia'!$D16,Equipe_Nome,0)),'Mapa do Dia'!$D16))&amp;IF('Mapa do Dia'!$B16&lt;2,"",IF('Mapa do Dia'!$E16="", " · (falta escalar)"," · "&amp;IFERROR(INDEX(Equipe_Curto,MATCH('Mapa do Dia'!$E16,Equipe_Nome,0)),'Mapa do Dia'!$E16))))</f>
        <v/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15">
        <f>IF(OR('Mapa do Dia'!$A16="",'Calc'!$B8&lt;&gt;"Sala cirúrgica"),"",IF(SUMPRODUCT((Mapa_Sala='Mapa do Dia'!$N16)*(Mapa_Data=Data_Mapa)*(Mapa_MinOcup&gt;0)*(Mapa_RelIni&lt;10)*(Mapa_RelFim&gt;0))&gt;0,2,IF(SUMPRODUCT((Mapa_Sala='Mapa do Dia'!$N16)*(Mapa_Data=Data_Mapa)*(Mapa_MinOcup&gt;0)*(Mapa_RelFim&lt;10)*(Mapa_RelFim+Limpeza_Min&gt;0))&gt;0,1,0)))</f>
        <v/>
      </c>
      <c r="W18" s="15">
        <f>IF(OR('Mapa do Dia'!$A16="",'Calc'!$B8&lt;&gt;"Sala cirúrgica"),"",IF(SUMPRODUCT((Mapa_Sala='Mapa do Dia'!$N16)*(Mapa_Data=Data_Mapa)*(Mapa_MinOcup&gt;0)*(Mapa_RelIni&lt;20)*(Mapa_RelFim&gt;10))&gt;0,2,IF(SUMPRODUCT((Mapa_Sala='Mapa do Dia'!$N16)*(Mapa_Data=Data_Mapa)*(Mapa_MinOcup&gt;0)*(Mapa_RelFim&lt;20)*(Mapa_RelFim+Limpeza_Min&gt;10))&gt;0,1,0)))</f>
        <v/>
      </c>
      <c r="X18" s="15">
        <f>IF(OR('Mapa do Dia'!$A16="",'Calc'!$B8&lt;&gt;"Sala cirúrgica"),"",IF(SUMPRODUCT((Mapa_Sala='Mapa do Dia'!$N16)*(Mapa_Data=Data_Mapa)*(Mapa_MinOcup&gt;0)*(Mapa_RelIni&lt;30)*(Mapa_RelFim&gt;20))&gt;0,2,IF(SUMPRODUCT((Mapa_Sala='Mapa do Dia'!$N16)*(Mapa_Data=Data_Mapa)*(Mapa_MinOcup&gt;0)*(Mapa_RelFim&lt;30)*(Mapa_RelFim+Limpeza_Min&gt;20))&gt;0,1,0)))</f>
        <v/>
      </c>
      <c r="Y18" s="15">
        <f>IF(OR('Mapa do Dia'!$A16="",'Calc'!$B8&lt;&gt;"Sala cirúrgica"),"",IF(SUMPRODUCT((Mapa_Sala='Mapa do Dia'!$N16)*(Mapa_Data=Data_Mapa)*(Mapa_MinOcup&gt;0)*(Mapa_RelIni&lt;40)*(Mapa_RelFim&gt;30))&gt;0,2,IF(SUMPRODUCT((Mapa_Sala='Mapa do Dia'!$N16)*(Mapa_Data=Data_Mapa)*(Mapa_MinOcup&gt;0)*(Mapa_RelFim&lt;40)*(Mapa_RelFim+Limpeza_Min&gt;30))&gt;0,1,0)))</f>
        <v/>
      </c>
      <c r="Z18" s="15">
        <f>IF(OR('Mapa do Dia'!$A16="",'Calc'!$B8&lt;&gt;"Sala cirúrgica"),"",IF(SUMPRODUCT((Mapa_Sala='Mapa do Dia'!$N16)*(Mapa_Data=Data_Mapa)*(Mapa_MinOcup&gt;0)*(Mapa_RelIni&lt;50)*(Mapa_RelFim&gt;40))&gt;0,2,IF(SUMPRODUCT((Mapa_Sala='Mapa do Dia'!$N16)*(Mapa_Data=Data_Mapa)*(Mapa_MinOcup&gt;0)*(Mapa_RelFim&lt;50)*(Mapa_RelFim+Limpeza_Min&gt;40))&gt;0,1,0)))</f>
        <v/>
      </c>
      <c r="AA18" s="15">
        <f>IF(OR('Mapa do Dia'!$A16="",'Calc'!$B8&lt;&gt;"Sala cirúrgica"),"",IF(SUMPRODUCT((Mapa_Sala='Mapa do Dia'!$N16)*(Mapa_Data=Data_Mapa)*(Mapa_MinOcup&gt;0)*(Mapa_RelIni&lt;60)*(Mapa_RelFim&gt;50))&gt;0,2,IF(SUMPRODUCT((Mapa_Sala='Mapa do Dia'!$N16)*(Mapa_Data=Data_Mapa)*(Mapa_MinOcup&gt;0)*(Mapa_RelFim&lt;60)*(Mapa_RelFim+Limpeza_Min&gt;50))&gt;0,1,0)))</f>
        <v/>
      </c>
      <c r="AB18" s="15">
        <f>IF(OR('Mapa do Dia'!$A16="",'Calc'!$B8&lt;&gt;"Sala cirúrgica"),"",IF(SUMPRODUCT((Mapa_Sala='Mapa do Dia'!$N16)*(Mapa_Data=Data_Mapa)*(Mapa_MinOcup&gt;0)*(Mapa_RelIni&lt;70)*(Mapa_RelFim&gt;60))&gt;0,2,IF(SUMPRODUCT((Mapa_Sala='Mapa do Dia'!$N16)*(Mapa_Data=Data_Mapa)*(Mapa_MinOcup&gt;0)*(Mapa_RelFim&lt;70)*(Mapa_RelFim+Limpeza_Min&gt;60))&gt;0,1,0)))</f>
        <v/>
      </c>
      <c r="AC18" s="15">
        <f>IF(OR('Mapa do Dia'!$A16="",'Calc'!$B8&lt;&gt;"Sala cirúrgica"),"",IF(SUMPRODUCT((Mapa_Sala='Mapa do Dia'!$N16)*(Mapa_Data=Data_Mapa)*(Mapa_MinOcup&gt;0)*(Mapa_RelIni&lt;80)*(Mapa_RelFim&gt;70))&gt;0,2,IF(SUMPRODUCT((Mapa_Sala='Mapa do Dia'!$N16)*(Mapa_Data=Data_Mapa)*(Mapa_MinOcup&gt;0)*(Mapa_RelFim&lt;80)*(Mapa_RelFim+Limpeza_Min&gt;70))&gt;0,1,0)))</f>
        <v/>
      </c>
      <c r="AD18" s="15">
        <f>IF(OR('Mapa do Dia'!$A16="",'Calc'!$B8&lt;&gt;"Sala cirúrgica"),"",IF(SUMPRODUCT((Mapa_Sala='Mapa do Dia'!$N16)*(Mapa_Data=Data_Mapa)*(Mapa_MinOcup&gt;0)*(Mapa_RelIni&lt;90)*(Mapa_RelFim&gt;80))&gt;0,2,IF(SUMPRODUCT((Mapa_Sala='Mapa do Dia'!$N16)*(Mapa_Data=Data_Mapa)*(Mapa_MinOcup&gt;0)*(Mapa_RelFim&lt;90)*(Mapa_RelFim+Limpeza_Min&gt;80))&gt;0,1,0)))</f>
        <v/>
      </c>
      <c r="AE18" s="15">
        <f>IF(OR('Mapa do Dia'!$A16="",'Calc'!$B8&lt;&gt;"Sala cirúrgica"),"",IF(SUMPRODUCT((Mapa_Sala='Mapa do Dia'!$N16)*(Mapa_Data=Data_Mapa)*(Mapa_MinOcup&gt;0)*(Mapa_RelIni&lt;100)*(Mapa_RelFim&gt;90))&gt;0,2,IF(SUMPRODUCT((Mapa_Sala='Mapa do Dia'!$N16)*(Mapa_Data=Data_Mapa)*(Mapa_MinOcup&gt;0)*(Mapa_RelFim&lt;100)*(Mapa_RelFim+Limpeza_Min&gt;90))&gt;0,1,0)))</f>
        <v/>
      </c>
      <c r="AF18" s="15">
        <f>IF(OR('Mapa do Dia'!$A16="",'Calc'!$B8&lt;&gt;"Sala cirúrgica"),"",IF(SUMPRODUCT((Mapa_Sala='Mapa do Dia'!$N16)*(Mapa_Data=Data_Mapa)*(Mapa_MinOcup&gt;0)*(Mapa_RelIni&lt;110)*(Mapa_RelFim&gt;100))&gt;0,2,IF(SUMPRODUCT((Mapa_Sala='Mapa do Dia'!$N16)*(Mapa_Data=Data_Mapa)*(Mapa_MinOcup&gt;0)*(Mapa_RelFim&lt;110)*(Mapa_RelFim+Limpeza_Min&gt;100))&gt;0,1,0)))</f>
        <v/>
      </c>
      <c r="AG18" s="15">
        <f>IF(OR('Mapa do Dia'!$A16="",'Calc'!$B8&lt;&gt;"Sala cirúrgica"),"",IF(SUMPRODUCT((Mapa_Sala='Mapa do Dia'!$N16)*(Mapa_Data=Data_Mapa)*(Mapa_MinOcup&gt;0)*(Mapa_RelIni&lt;120)*(Mapa_RelFim&gt;110))&gt;0,2,IF(SUMPRODUCT((Mapa_Sala='Mapa do Dia'!$N16)*(Mapa_Data=Data_Mapa)*(Mapa_MinOcup&gt;0)*(Mapa_RelFim&lt;120)*(Mapa_RelFim+Limpeza_Min&gt;110))&gt;0,1,0)))</f>
        <v/>
      </c>
      <c r="AH18" s="15">
        <f>IF(OR('Mapa do Dia'!$A16="",'Calc'!$B8&lt;&gt;"Sala cirúrgica"),"",IF(SUMPRODUCT((Mapa_Sala='Mapa do Dia'!$N16)*(Mapa_Data=Data_Mapa)*(Mapa_MinOcup&gt;0)*(Mapa_RelIni&lt;130)*(Mapa_RelFim&gt;120))&gt;0,2,IF(SUMPRODUCT((Mapa_Sala='Mapa do Dia'!$N16)*(Mapa_Data=Data_Mapa)*(Mapa_MinOcup&gt;0)*(Mapa_RelFim&lt;130)*(Mapa_RelFim+Limpeza_Min&gt;120))&gt;0,1,0)))</f>
        <v/>
      </c>
      <c r="AI18" s="15">
        <f>IF(OR('Mapa do Dia'!$A16="",'Calc'!$B8&lt;&gt;"Sala cirúrgica"),"",IF(SUMPRODUCT((Mapa_Sala='Mapa do Dia'!$N16)*(Mapa_Data=Data_Mapa)*(Mapa_MinOcup&gt;0)*(Mapa_RelIni&lt;140)*(Mapa_RelFim&gt;130))&gt;0,2,IF(SUMPRODUCT((Mapa_Sala='Mapa do Dia'!$N16)*(Mapa_Data=Data_Mapa)*(Mapa_MinOcup&gt;0)*(Mapa_RelFim&lt;140)*(Mapa_RelFim+Limpeza_Min&gt;130))&gt;0,1,0)))</f>
        <v/>
      </c>
      <c r="AJ18" s="15">
        <f>IF(OR('Mapa do Dia'!$A16="",'Calc'!$B8&lt;&gt;"Sala cirúrgica"),"",IF(SUMPRODUCT((Mapa_Sala='Mapa do Dia'!$N16)*(Mapa_Data=Data_Mapa)*(Mapa_MinOcup&gt;0)*(Mapa_RelIni&lt;150)*(Mapa_RelFim&gt;140))&gt;0,2,IF(SUMPRODUCT((Mapa_Sala='Mapa do Dia'!$N16)*(Mapa_Data=Data_Mapa)*(Mapa_MinOcup&gt;0)*(Mapa_RelFim&lt;150)*(Mapa_RelFim+Limpeza_Min&gt;140))&gt;0,1,0)))</f>
        <v/>
      </c>
      <c r="AK18" s="15">
        <f>IF(OR('Mapa do Dia'!$A16="",'Calc'!$B8&lt;&gt;"Sala cirúrgica"),"",IF(SUMPRODUCT((Mapa_Sala='Mapa do Dia'!$N16)*(Mapa_Data=Data_Mapa)*(Mapa_MinOcup&gt;0)*(Mapa_RelIni&lt;160)*(Mapa_RelFim&gt;150))&gt;0,2,IF(SUMPRODUCT((Mapa_Sala='Mapa do Dia'!$N16)*(Mapa_Data=Data_Mapa)*(Mapa_MinOcup&gt;0)*(Mapa_RelFim&lt;160)*(Mapa_RelFim+Limpeza_Min&gt;150))&gt;0,1,0)))</f>
        <v/>
      </c>
      <c r="AL18" s="15">
        <f>IF(OR('Mapa do Dia'!$A16="",'Calc'!$B8&lt;&gt;"Sala cirúrgica"),"",IF(SUMPRODUCT((Mapa_Sala='Mapa do Dia'!$N16)*(Mapa_Data=Data_Mapa)*(Mapa_MinOcup&gt;0)*(Mapa_RelIni&lt;170)*(Mapa_RelFim&gt;160))&gt;0,2,IF(SUMPRODUCT((Mapa_Sala='Mapa do Dia'!$N16)*(Mapa_Data=Data_Mapa)*(Mapa_MinOcup&gt;0)*(Mapa_RelFim&lt;170)*(Mapa_RelFim+Limpeza_Min&gt;160))&gt;0,1,0)))</f>
        <v/>
      </c>
      <c r="AM18" s="15">
        <f>IF(OR('Mapa do Dia'!$A16="",'Calc'!$B8&lt;&gt;"Sala cirúrgica"),"",IF(SUMPRODUCT((Mapa_Sala='Mapa do Dia'!$N16)*(Mapa_Data=Data_Mapa)*(Mapa_MinOcup&gt;0)*(Mapa_RelIni&lt;180)*(Mapa_RelFim&gt;170))&gt;0,2,IF(SUMPRODUCT((Mapa_Sala='Mapa do Dia'!$N16)*(Mapa_Data=Data_Mapa)*(Mapa_MinOcup&gt;0)*(Mapa_RelFim&lt;180)*(Mapa_RelFim+Limpeza_Min&gt;170))&gt;0,1,0)))</f>
        <v/>
      </c>
      <c r="AN18" s="15">
        <f>IF(OR('Mapa do Dia'!$A16="",'Calc'!$B8&lt;&gt;"Sala cirúrgica"),"",IF(SUMPRODUCT((Mapa_Sala='Mapa do Dia'!$N16)*(Mapa_Data=Data_Mapa)*(Mapa_MinOcup&gt;0)*(Mapa_RelIni&lt;190)*(Mapa_RelFim&gt;180))&gt;0,2,IF(SUMPRODUCT((Mapa_Sala='Mapa do Dia'!$N16)*(Mapa_Data=Data_Mapa)*(Mapa_MinOcup&gt;0)*(Mapa_RelFim&lt;190)*(Mapa_RelFim+Limpeza_Min&gt;180))&gt;0,1,0)))</f>
        <v/>
      </c>
      <c r="AO18" s="15">
        <f>IF(OR('Mapa do Dia'!$A16="",'Calc'!$B8&lt;&gt;"Sala cirúrgica"),"",IF(SUMPRODUCT((Mapa_Sala='Mapa do Dia'!$N16)*(Mapa_Data=Data_Mapa)*(Mapa_MinOcup&gt;0)*(Mapa_RelIni&lt;200)*(Mapa_RelFim&gt;190))&gt;0,2,IF(SUMPRODUCT((Mapa_Sala='Mapa do Dia'!$N16)*(Mapa_Data=Data_Mapa)*(Mapa_MinOcup&gt;0)*(Mapa_RelFim&lt;200)*(Mapa_RelFim+Limpeza_Min&gt;190))&gt;0,1,0)))</f>
        <v/>
      </c>
      <c r="AP18" s="15">
        <f>IF(OR('Mapa do Dia'!$A16="",'Calc'!$B8&lt;&gt;"Sala cirúrgica"),"",IF(SUMPRODUCT((Mapa_Sala='Mapa do Dia'!$N16)*(Mapa_Data=Data_Mapa)*(Mapa_MinOcup&gt;0)*(Mapa_RelIni&lt;210)*(Mapa_RelFim&gt;200))&gt;0,2,IF(SUMPRODUCT((Mapa_Sala='Mapa do Dia'!$N16)*(Mapa_Data=Data_Mapa)*(Mapa_MinOcup&gt;0)*(Mapa_RelFim&lt;210)*(Mapa_RelFim+Limpeza_Min&gt;200))&gt;0,1,0)))</f>
        <v/>
      </c>
      <c r="AQ18" s="15">
        <f>IF(OR('Mapa do Dia'!$A16="",'Calc'!$B8&lt;&gt;"Sala cirúrgica"),"",IF(SUMPRODUCT((Mapa_Sala='Mapa do Dia'!$N16)*(Mapa_Data=Data_Mapa)*(Mapa_MinOcup&gt;0)*(Mapa_RelIni&lt;220)*(Mapa_RelFim&gt;210))&gt;0,2,IF(SUMPRODUCT((Mapa_Sala='Mapa do Dia'!$N16)*(Mapa_Data=Data_Mapa)*(Mapa_MinOcup&gt;0)*(Mapa_RelFim&lt;220)*(Mapa_RelFim+Limpeza_Min&gt;210))&gt;0,1,0)))</f>
        <v/>
      </c>
      <c r="AR18" s="15">
        <f>IF(OR('Mapa do Dia'!$A16="",'Calc'!$B8&lt;&gt;"Sala cirúrgica"),"",IF(SUMPRODUCT((Mapa_Sala='Mapa do Dia'!$N16)*(Mapa_Data=Data_Mapa)*(Mapa_MinOcup&gt;0)*(Mapa_RelIni&lt;230)*(Mapa_RelFim&gt;220))&gt;0,2,IF(SUMPRODUCT((Mapa_Sala='Mapa do Dia'!$N16)*(Mapa_Data=Data_Mapa)*(Mapa_MinOcup&gt;0)*(Mapa_RelFim&lt;230)*(Mapa_RelFim+Limpeza_Min&gt;220))&gt;0,1,0)))</f>
        <v/>
      </c>
      <c r="AS18" s="15">
        <f>IF(OR('Mapa do Dia'!$A16="",'Calc'!$B8&lt;&gt;"Sala cirúrgica"),"",IF(SUMPRODUCT((Mapa_Sala='Mapa do Dia'!$N16)*(Mapa_Data=Data_Mapa)*(Mapa_MinOcup&gt;0)*(Mapa_RelIni&lt;240)*(Mapa_RelFim&gt;230))&gt;0,2,IF(SUMPRODUCT((Mapa_Sala='Mapa do Dia'!$N16)*(Mapa_Data=Data_Mapa)*(Mapa_MinOcup&gt;0)*(Mapa_RelFim&lt;240)*(Mapa_RelFim+Limpeza_Min&gt;230))&gt;0,1,0)))</f>
        <v/>
      </c>
      <c r="AT18" s="15">
        <f>IF(OR('Mapa do Dia'!$A16="",'Calc'!$B8&lt;&gt;"Sala cirúrgica"),"",IF(SUMPRODUCT((Mapa_Sala='Mapa do Dia'!$N16)*(Mapa_Data=Data_Mapa)*(Mapa_MinOcup&gt;0)*(Mapa_RelIni&lt;250)*(Mapa_RelFim&gt;240))&gt;0,2,IF(SUMPRODUCT((Mapa_Sala='Mapa do Dia'!$N16)*(Mapa_Data=Data_Mapa)*(Mapa_MinOcup&gt;0)*(Mapa_RelFim&lt;250)*(Mapa_RelFim+Limpeza_Min&gt;240))&gt;0,1,0)))</f>
        <v/>
      </c>
      <c r="AU18" s="15">
        <f>IF(OR('Mapa do Dia'!$A16="",'Calc'!$B8&lt;&gt;"Sala cirúrgica"),"",IF(SUMPRODUCT((Mapa_Sala='Mapa do Dia'!$N16)*(Mapa_Data=Data_Mapa)*(Mapa_MinOcup&gt;0)*(Mapa_RelIni&lt;260)*(Mapa_RelFim&gt;250))&gt;0,2,IF(SUMPRODUCT((Mapa_Sala='Mapa do Dia'!$N16)*(Mapa_Data=Data_Mapa)*(Mapa_MinOcup&gt;0)*(Mapa_RelFim&lt;260)*(Mapa_RelFim+Limpeza_Min&gt;250))&gt;0,1,0)))</f>
        <v/>
      </c>
      <c r="AV18" s="15">
        <f>IF(OR('Mapa do Dia'!$A16="",'Calc'!$B8&lt;&gt;"Sala cirúrgica"),"",IF(SUMPRODUCT((Mapa_Sala='Mapa do Dia'!$N16)*(Mapa_Data=Data_Mapa)*(Mapa_MinOcup&gt;0)*(Mapa_RelIni&lt;270)*(Mapa_RelFim&gt;260))&gt;0,2,IF(SUMPRODUCT((Mapa_Sala='Mapa do Dia'!$N16)*(Mapa_Data=Data_Mapa)*(Mapa_MinOcup&gt;0)*(Mapa_RelFim&lt;270)*(Mapa_RelFim+Limpeza_Min&gt;260))&gt;0,1,0)))</f>
        <v/>
      </c>
      <c r="AW18" s="15">
        <f>IF(OR('Mapa do Dia'!$A16="",'Calc'!$B8&lt;&gt;"Sala cirúrgica"),"",IF(SUMPRODUCT((Mapa_Sala='Mapa do Dia'!$N16)*(Mapa_Data=Data_Mapa)*(Mapa_MinOcup&gt;0)*(Mapa_RelIni&lt;280)*(Mapa_RelFim&gt;270))&gt;0,2,IF(SUMPRODUCT((Mapa_Sala='Mapa do Dia'!$N16)*(Mapa_Data=Data_Mapa)*(Mapa_MinOcup&gt;0)*(Mapa_RelFim&lt;280)*(Mapa_RelFim+Limpeza_Min&gt;270))&gt;0,1,0)))</f>
        <v/>
      </c>
      <c r="AX18" s="15">
        <f>IF(OR('Mapa do Dia'!$A16="",'Calc'!$B8&lt;&gt;"Sala cirúrgica"),"",IF(SUMPRODUCT((Mapa_Sala='Mapa do Dia'!$N16)*(Mapa_Data=Data_Mapa)*(Mapa_MinOcup&gt;0)*(Mapa_RelIni&lt;290)*(Mapa_RelFim&gt;280))&gt;0,2,IF(SUMPRODUCT((Mapa_Sala='Mapa do Dia'!$N16)*(Mapa_Data=Data_Mapa)*(Mapa_MinOcup&gt;0)*(Mapa_RelFim&lt;290)*(Mapa_RelFim+Limpeza_Min&gt;280))&gt;0,1,0)))</f>
        <v/>
      </c>
      <c r="AY18" s="15">
        <f>IF(OR('Mapa do Dia'!$A16="",'Calc'!$B8&lt;&gt;"Sala cirúrgica"),"",IF(SUMPRODUCT((Mapa_Sala='Mapa do Dia'!$N16)*(Mapa_Data=Data_Mapa)*(Mapa_MinOcup&gt;0)*(Mapa_RelIni&lt;300)*(Mapa_RelFim&gt;290))&gt;0,2,IF(SUMPRODUCT((Mapa_Sala='Mapa do Dia'!$N16)*(Mapa_Data=Data_Mapa)*(Mapa_MinOcup&gt;0)*(Mapa_RelFim&lt;300)*(Mapa_RelFim+Limpeza_Min&gt;290))&gt;0,1,0)))</f>
        <v/>
      </c>
      <c r="AZ18" s="15">
        <f>IF(OR('Mapa do Dia'!$A16="",'Calc'!$B8&lt;&gt;"Sala cirúrgica"),"",IF(SUMPRODUCT((Mapa_Sala='Mapa do Dia'!$N16)*(Mapa_Data=Data_Mapa)*(Mapa_MinOcup&gt;0)*(Mapa_RelIni&lt;310)*(Mapa_RelFim&gt;300))&gt;0,2,IF(SUMPRODUCT((Mapa_Sala='Mapa do Dia'!$N16)*(Mapa_Data=Data_Mapa)*(Mapa_MinOcup&gt;0)*(Mapa_RelFim&lt;310)*(Mapa_RelFim+Limpeza_Min&gt;300))&gt;0,1,0)))</f>
        <v/>
      </c>
      <c r="BA18" s="15">
        <f>IF(OR('Mapa do Dia'!$A16="",'Calc'!$B8&lt;&gt;"Sala cirúrgica"),"",IF(SUMPRODUCT((Mapa_Sala='Mapa do Dia'!$N16)*(Mapa_Data=Data_Mapa)*(Mapa_MinOcup&gt;0)*(Mapa_RelIni&lt;320)*(Mapa_RelFim&gt;310))&gt;0,2,IF(SUMPRODUCT((Mapa_Sala='Mapa do Dia'!$N16)*(Mapa_Data=Data_Mapa)*(Mapa_MinOcup&gt;0)*(Mapa_RelFim&lt;320)*(Mapa_RelFim+Limpeza_Min&gt;310))&gt;0,1,0)))</f>
        <v/>
      </c>
      <c r="BB18" s="15">
        <f>IF(OR('Mapa do Dia'!$A16="",'Calc'!$B8&lt;&gt;"Sala cirúrgica"),"",IF(SUMPRODUCT((Mapa_Sala='Mapa do Dia'!$N16)*(Mapa_Data=Data_Mapa)*(Mapa_MinOcup&gt;0)*(Mapa_RelIni&lt;330)*(Mapa_RelFim&gt;320))&gt;0,2,IF(SUMPRODUCT((Mapa_Sala='Mapa do Dia'!$N16)*(Mapa_Data=Data_Mapa)*(Mapa_MinOcup&gt;0)*(Mapa_RelFim&lt;330)*(Mapa_RelFim+Limpeza_Min&gt;320))&gt;0,1,0)))</f>
        <v/>
      </c>
      <c r="BC18" s="15">
        <f>IF(OR('Mapa do Dia'!$A16="",'Calc'!$B8&lt;&gt;"Sala cirúrgica"),"",IF(SUMPRODUCT((Mapa_Sala='Mapa do Dia'!$N16)*(Mapa_Data=Data_Mapa)*(Mapa_MinOcup&gt;0)*(Mapa_RelIni&lt;340)*(Mapa_RelFim&gt;330))&gt;0,2,IF(SUMPRODUCT((Mapa_Sala='Mapa do Dia'!$N16)*(Mapa_Data=Data_Mapa)*(Mapa_MinOcup&gt;0)*(Mapa_RelFim&lt;340)*(Mapa_RelFim+Limpeza_Min&gt;330))&gt;0,1,0)))</f>
        <v/>
      </c>
      <c r="BD18" s="15">
        <f>IF(OR('Mapa do Dia'!$A16="",'Calc'!$B8&lt;&gt;"Sala cirúrgica"),"",IF(SUMPRODUCT((Mapa_Sala='Mapa do Dia'!$N16)*(Mapa_Data=Data_Mapa)*(Mapa_MinOcup&gt;0)*(Mapa_RelIni&lt;350)*(Mapa_RelFim&gt;340))&gt;0,2,IF(SUMPRODUCT((Mapa_Sala='Mapa do Dia'!$N16)*(Mapa_Data=Data_Mapa)*(Mapa_MinOcup&gt;0)*(Mapa_RelFim&lt;350)*(Mapa_RelFim+Limpeza_Min&gt;340))&gt;0,1,0)))</f>
        <v/>
      </c>
      <c r="BE18" s="15">
        <f>IF(OR('Mapa do Dia'!$A16="",'Calc'!$B8&lt;&gt;"Sala cirúrgica"),"",IF(SUMPRODUCT((Mapa_Sala='Mapa do Dia'!$N16)*(Mapa_Data=Data_Mapa)*(Mapa_MinOcup&gt;0)*(Mapa_RelIni&lt;360)*(Mapa_RelFim&gt;350))&gt;0,2,IF(SUMPRODUCT((Mapa_Sala='Mapa do Dia'!$N16)*(Mapa_Data=Data_Mapa)*(Mapa_MinOcup&gt;0)*(Mapa_RelFim&lt;360)*(Mapa_RelFim+Limpeza_Min&gt;350))&gt;0,1,0)))</f>
        <v/>
      </c>
      <c r="BF18">
        <f>IF('Mapa do Dia'!$A16="","",'Mapa do Dia'!$F16)</f>
        <v/>
      </c>
    </row>
    <row r="19" ht="17" customHeight="1">
      <c r="A19" s="13">
        <f>IF('Mapa do Dia'!$A17="","",'Mapa do Dia'!$A17)</f>
        <v/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14">
        <f>IF('Mapa do Dia'!$A17="","",IF('Mapa do Dia'!$D17="","(falta escalar)",IFERROR(INDEX(Equipe_Curto,MATCH('Mapa do Dia'!$D17,Equipe_Nome,0)),'Mapa do Dia'!$D17))&amp;IF('Mapa do Dia'!$B17&lt;2,"",IF('Mapa do Dia'!$E17="", " · (falta escalar)"," · "&amp;IFERROR(INDEX(Equipe_Curto,MATCH('Mapa do Dia'!$E17,Equipe_Nome,0)),'Mapa do Dia'!$E17))))</f>
        <v/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15">
        <f>IF(OR('Mapa do Dia'!$A17="",'Calc'!$B9&lt;&gt;"Sala cirúrgica"),"",IF(SUMPRODUCT((Mapa_Sala='Mapa do Dia'!$N17)*(Mapa_Data=Data_Mapa)*(Mapa_MinOcup&gt;0)*(Mapa_RelIni&lt;10)*(Mapa_RelFim&gt;0))&gt;0,2,IF(SUMPRODUCT((Mapa_Sala='Mapa do Dia'!$N17)*(Mapa_Data=Data_Mapa)*(Mapa_MinOcup&gt;0)*(Mapa_RelFim&lt;10)*(Mapa_RelFim+Limpeza_Min&gt;0))&gt;0,1,0)))</f>
        <v/>
      </c>
      <c r="W19" s="15">
        <f>IF(OR('Mapa do Dia'!$A17="",'Calc'!$B9&lt;&gt;"Sala cirúrgica"),"",IF(SUMPRODUCT((Mapa_Sala='Mapa do Dia'!$N17)*(Mapa_Data=Data_Mapa)*(Mapa_MinOcup&gt;0)*(Mapa_RelIni&lt;20)*(Mapa_RelFim&gt;10))&gt;0,2,IF(SUMPRODUCT((Mapa_Sala='Mapa do Dia'!$N17)*(Mapa_Data=Data_Mapa)*(Mapa_MinOcup&gt;0)*(Mapa_RelFim&lt;20)*(Mapa_RelFim+Limpeza_Min&gt;10))&gt;0,1,0)))</f>
        <v/>
      </c>
      <c r="X19" s="15">
        <f>IF(OR('Mapa do Dia'!$A17="",'Calc'!$B9&lt;&gt;"Sala cirúrgica"),"",IF(SUMPRODUCT((Mapa_Sala='Mapa do Dia'!$N17)*(Mapa_Data=Data_Mapa)*(Mapa_MinOcup&gt;0)*(Mapa_RelIni&lt;30)*(Mapa_RelFim&gt;20))&gt;0,2,IF(SUMPRODUCT((Mapa_Sala='Mapa do Dia'!$N17)*(Mapa_Data=Data_Mapa)*(Mapa_MinOcup&gt;0)*(Mapa_RelFim&lt;30)*(Mapa_RelFim+Limpeza_Min&gt;20))&gt;0,1,0)))</f>
        <v/>
      </c>
      <c r="Y19" s="15">
        <f>IF(OR('Mapa do Dia'!$A17="",'Calc'!$B9&lt;&gt;"Sala cirúrgica"),"",IF(SUMPRODUCT((Mapa_Sala='Mapa do Dia'!$N17)*(Mapa_Data=Data_Mapa)*(Mapa_MinOcup&gt;0)*(Mapa_RelIni&lt;40)*(Mapa_RelFim&gt;30))&gt;0,2,IF(SUMPRODUCT((Mapa_Sala='Mapa do Dia'!$N17)*(Mapa_Data=Data_Mapa)*(Mapa_MinOcup&gt;0)*(Mapa_RelFim&lt;40)*(Mapa_RelFim+Limpeza_Min&gt;30))&gt;0,1,0)))</f>
        <v/>
      </c>
      <c r="Z19" s="15">
        <f>IF(OR('Mapa do Dia'!$A17="",'Calc'!$B9&lt;&gt;"Sala cirúrgica"),"",IF(SUMPRODUCT((Mapa_Sala='Mapa do Dia'!$N17)*(Mapa_Data=Data_Mapa)*(Mapa_MinOcup&gt;0)*(Mapa_RelIni&lt;50)*(Mapa_RelFim&gt;40))&gt;0,2,IF(SUMPRODUCT((Mapa_Sala='Mapa do Dia'!$N17)*(Mapa_Data=Data_Mapa)*(Mapa_MinOcup&gt;0)*(Mapa_RelFim&lt;50)*(Mapa_RelFim+Limpeza_Min&gt;40))&gt;0,1,0)))</f>
        <v/>
      </c>
      <c r="AA19" s="15">
        <f>IF(OR('Mapa do Dia'!$A17="",'Calc'!$B9&lt;&gt;"Sala cirúrgica"),"",IF(SUMPRODUCT((Mapa_Sala='Mapa do Dia'!$N17)*(Mapa_Data=Data_Mapa)*(Mapa_MinOcup&gt;0)*(Mapa_RelIni&lt;60)*(Mapa_RelFim&gt;50))&gt;0,2,IF(SUMPRODUCT((Mapa_Sala='Mapa do Dia'!$N17)*(Mapa_Data=Data_Mapa)*(Mapa_MinOcup&gt;0)*(Mapa_RelFim&lt;60)*(Mapa_RelFim+Limpeza_Min&gt;50))&gt;0,1,0)))</f>
        <v/>
      </c>
      <c r="AB19" s="15">
        <f>IF(OR('Mapa do Dia'!$A17="",'Calc'!$B9&lt;&gt;"Sala cirúrgica"),"",IF(SUMPRODUCT((Mapa_Sala='Mapa do Dia'!$N17)*(Mapa_Data=Data_Mapa)*(Mapa_MinOcup&gt;0)*(Mapa_RelIni&lt;70)*(Mapa_RelFim&gt;60))&gt;0,2,IF(SUMPRODUCT((Mapa_Sala='Mapa do Dia'!$N17)*(Mapa_Data=Data_Mapa)*(Mapa_MinOcup&gt;0)*(Mapa_RelFim&lt;70)*(Mapa_RelFim+Limpeza_Min&gt;60))&gt;0,1,0)))</f>
        <v/>
      </c>
      <c r="AC19" s="15">
        <f>IF(OR('Mapa do Dia'!$A17="",'Calc'!$B9&lt;&gt;"Sala cirúrgica"),"",IF(SUMPRODUCT((Mapa_Sala='Mapa do Dia'!$N17)*(Mapa_Data=Data_Mapa)*(Mapa_MinOcup&gt;0)*(Mapa_RelIni&lt;80)*(Mapa_RelFim&gt;70))&gt;0,2,IF(SUMPRODUCT((Mapa_Sala='Mapa do Dia'!$N17)*(Mapa_Data=Data_Mapa)*(Mapa_MinOcup&gt;0)*(Mapa_RelFim&lt;80)*(Mapa_RelFim+Limpeza_Min&gt;70))&gt;0,1,0)))</f>
        <v/>
      </c>
      <c r="AD19" s="15">
        <f>IF(OR('Mapa do Dia'!$A17="",'Calc'!$B9&lt;&gt;"Sala cirúrgica"),"",IF(SUMPRODUCT((Mapa_Sala='Mapa do Dia'!$N17)*(Mapa_Data=Data_Mapa)*(Mapa_MinOcup&gt;0)*(Mapa_RelIni&lt;90)*(Mapa_RelFim&gt;80))&gt;0,2,IF(SUMPRODUCT((Mapa_Sala='Mapa do Dia'!$N17)*(Mapa_Data=Data_Mapa)*(Mapa_MinOcup&gt;0)*(Mapa_RelFim&lt;90)*(Mapa_RelFim+Limpeza_Min&gt;80))&gt;0,1,0)))</f>
        <v/>
      </c>
      <c r="AE19" s="15">
        <f>IF(OR('Mapa do Dia'!$A17="",'Calc'!$B9&lt;&gt;"Sala cirúrgica"),"",IF(SUMPRODUCT((Mapa_Sala='Mapa do Dia'!$N17)*(Mapa_Data=Data_Mapa)*(Mapa_MinOcup&gt;0)*(Mapa_RelIni&lt;100)*(Mapa_RelFim&gt;90))&gt;0,2,IF(SUMPRODUCT((Mapa_Sala='Mapa do Dia'!$N17)*(Mapa_Data=Data_Mapa)*(Mapa_MinOcup&gt;0)*(Mapa_RelFim&lt;100)*(Mapa_RelFim+Limpeza_Min&gt;90))&gt;0,1,0)))</f>
        <v/>
      </c>
      <c r="AF19" s="15">
        <f>IF(OR('Mapa do Dia'!$A17="",'Calc'!$B9&lt;&gt;"Sala cirúrgica"),"",IF(SUMPRODUCT((Mapa_Sala='Mapa do Dia'!$N17)*(Mapa_Data=Data_Mapa)*(Mapa_MinOcup&gt;0)*(Mapa_RelIni&lt;110)*(Mapa_RelFim&gt;100))&gt;0,2,IF(SUMPRODUCT((Mapa_Sala='Mapa do Dia'!$N17)*(Mapa_Data=Data_Mapa)*(Mapa_MinOcup&gt;0)*(Mapa_RelFim&lt;110)*(Mapa_RelFim+Limpeza_Min&gt;100))&gt;0,1,0)))</f>
        <v/>
      </c>
      <c r="AG19" s="15">
        <f>IF(OR('Mapa do Dia'!$A17="",'Calc'!$B9&lt;&gt;"Sala cirúrgica"),"",IF(SUMPRODUCT((Mapa_Sala='Mapa do Dia'!$N17)*(Mapa_Data=Data_Mapa)*(Mapa_MinOcup&gt;0)*(Mapa_RelIni&lt;120)*(Mapa_RelFim&gt;110))&gt;0,2,IF(SUMPRODUCT((Mapa_Sala='Mapa do Dia'!$N17)*(Mapa_Data=Data_Mapa)*(Mapa_MinOcup&gt;0)*(Mapa_RelFim&lt;120)*(Mapa_RelFim+Limpeza_Min&gt;110))&gt;0,1,0)))</f>
        <v/>
      </c>
      <c r="AH19" s="15">
        <f>IF(OR('Mapa do Dia'!$A17="",'Calc'!$B9&lt;&gt;"Sala cirúrgica"),"",IF(SUMPRODUCT((Mapa_Sala='Mapa do Dia'!$N17)*(Mapa_Data=Data_Mapa)*(Mapa_MinOcup&gt;0)*(Mapa_RelIni&lt;130)*(Mapa_RelFim&gt;120))&gt;0,2,IF(SUMPRODUCT((Mapa_Sala='Mapa do Dia'!$N17)*(Mapa_Data=Data_Mapa)*(Mapa_MinOcup&gt;0)*(Mapa_RelFim&lt;130)*(Mapa_RelFim+Limpeza_Min&gt;120))&gt;0,1,0)))</f>
        <v/>
      </c>
      <c r="AI19" s="15">
        <f>IF(OR('Mapa do Dia'!$A17="",'Calc'!$B9&lt;&gt;"Sala cirúrgica"),"",IF(SUMPRODUCT((Mapa_Sala='Mapa do Dia'!$N17)*(Mapa_Data=Data_Mapa)*(Mapa_MinOcup&gt;0)*(Mapa_RelIni&lt;140)*(Mapa_RelFim&gt;130))&gt;0,2,IF(SUMPRODUCT((Mapa_Sala='Mapa do Dia'!$N17)*(Mapa_Data=Data_Mapa)*(Mapa_MinOcup&gt;0)*(Mapa_RelFim&lt;140)*(Mapa_RelFim+Limpeza_Min&gt;130))&gt;0,1,0)))</f>
        <v/>
      </c>
      <c r="AJ19" s="15">
        <f>IF(OR('Mapa do Dia'!$A17="",'Calc'!$B9&lt;&gt;"Sala cirúrgica"),"",IF(SUMPRODUCT((Mapa_Sala='Mapa do Dia'!$N17)*(Mapa_Data=Data_Mapa)*(Mapa_MinOcup&gt;0)*(Mapa_RelIni&lt;150)*(Mapa_RelFim&gt;140))&gt;0,2,IF(SUMPRODUCT((Mapa_Sala='Mapa do Dia'!$N17)*(Mapa_Data=Data_Mapa)*(Mapa_MinOcup&gt;0)*(Mapa_RelFim&lt;150)*(Mapa_RelFim+Limpeza_Min&gt;140))&gt;0,1,0)))</f>
        <v/>
      </c>
      <c r="AK19" s="15">
        <f>IF(OR('Mapa do Dia'!$A17="",'Calc'!$B9&lt;&gt;"Sala cirúrgica"),"",IF(SUMPRODUCT((Mapa_Sala='Mapa do Dia'!$N17)*(Mapa_Data=Data_Mapa)*(Mapa_MinOcup&gt;0)*(Mapa_RelIni&lt;160)*(Mapa_RelFim&gt;150))&gt;0,2,IF(SUMPRODUCT((Mapa_Sala='Mapa do Dia'!$N17)*(Mapa_Data=Data_Mapa)*(Mapa_MinOcup&gt;0)*(Mapa_RelFim&lt;160)*(Mapa_RelFim+Limpeza_Min&gt;150))&gt;0,1,0)))</f>
        <v/>
      </c>
      <c r="AL19" s="15">
        <f>IF(OR('Mapa do Dia'!$A17="",'Calc'!$B9&lt;&gt;"Sala cirúrgica"),"",IF(SUMPRODUCT((Mapa_Sala='Mapa do Dia'!$N17)*(Mapa_Data=Data_Mapa)*(Mapa_MinOcup&gt;0)*(Mapa_RelIni&lt;170)*(Mapa_RelFim&gt;160))&gt;0,2,IF(SUMPRODUCT((Mapa_Sala='Mapa do Dia'!$N17)*(Mapa_Data=Data_Mapa)*(Mapa_MinOcup&gt;0)*(Mapa_RelFim&lt;170)*(Mapa_RelFim+Limpeza_Min&gt;160))&gt;0,1,0)))</f>
        <v/>
      </c>
      <c r="AM19" s="15">
        <f>IF(OR('Mapa do Dia'!$A17="",'Calc'!$B9&lt;&gt;"Sala cirúrgica"),"",IF(SUMPRODUCT((Mapa_Sala='Mapa do Dia'!$N17)*(Mapa_Data=Data_Mapa)*(Mapa_MinOcup&gt;0)*(Mapa_RelIni&lt;180)*(Mapa_RelFim&gt;170))&gt;0,2,IF(SUMPRODUCT((Mapa_Sala='Mapa do Dia'!$N17)*(Mapa_Data=Data_Mapa)*(Mapa_MinOcup&gt;0)*(Mapa_RelFim&lt;180)*(Mapa_RelFim+Limpeza_Min&gt;170))&gt;0,1,0)))</f>
        <v/>
      </c>
      <c r="AN19" s="15">
        <f>IF(OR('Mapa do Dia'!$A17="",'Calc'!$B9&lt;&gt;"Sala cirúrgica"),"",IF(SUMPRODUCT((Mapa_Sala='Mapa do Dia'!$N17)*(Mapa_Data=Data_Mapa)*(Mapa_MinOcup&gt;0)*(Mapa_RelIni&lt;190)*(Mapa_RelFim&gt;180))&gt;0,2,IF(SUMPRODUCT((Mapa_Sala='Mapa do Dia'!$N17)*(Mapa_Data=Data_Mapa)*(Mapa_MinOcup&gt;0)*(Mapa_RelFim&lt;190)*(Mapa_RelFim+Limpeza_Min&gt;180))&gt;0,1,0)))</f>
        <v/>
      </c>
      <c r="AO19" s="15">
        <f>IF(OR('Mapa do Dia'!$A17="",'Calc'!$B9&lt;&gt;"Sala cirúrgica"),"",IF(SUMPRODUCT((Mapa_Sala='Mapa do Dia'!$N17)*(Mapa_Data=Data_Mapa)*(Mapa_MinOcup&gt;0)*(Mapa_RelIni&lt;200)*(Mapa_RelFim&gt;190))&gt;0,2,IF(SUMPRODUCT((Mapa_Sala='Mapa do Dia'!$N17)*(Mapa_Data=Data_Mapa)*(Mapa_MinOcup&gt;0)*(Mapa_RelFim&lt;200)*(Mapa_RelFim+Limpeza_Min&gt;190))&gt;0,1,0)))</f>
        <v/>
      </c>
      <c r="AP19" s="15">
        <f>IF(OR('Mapa do Dia'!$A17="",'Calc'!$B9&lt;&gt;"Sala cirúrgica"),"",IF(SUMPRODUCT((Mapa_Sala='Mapa do Dia'!$N17)*(Mapa_Data=Data_Mapa)*(Mapa_MinOcup&gt;0)*(Mapa_RelIni&lt;210)*(Mapa_RelFim&gt;200))&gt;0,2,IF(SUMPRODUCT((Mapa_Sala='Mapa do Dia'!$N17)*(Mapa_Data=Data_Mapa)*(Mapa_MinOcup&gt;0)*(Mapa_RelFim&lt;210)*(Mapa_RelFim+Limpeza_Min&gt;200))&gt;0,1,0)))</f>
        <v/>
      </c>
      <c r="AQ19" s="15">
        <f>IF(OR('Mapa do Dia'!$A17="",'Calc'!$B9&lt;&gt;"Sala cirúrgica"),"",IF(SUMPRODUCT((Mapa_Sala='Mapa do Dia'!$N17)*(Mapa_Data=Data_Mapa)*(Mapa_MinOcup&gt;0)*(Mapa_RelIni&lt;220)*(Mapa_RelFim&gt;210))&gt;0,2,IF(SUMPRODUCT((Mapa_Sala='Mapa do Dia'!$N17)*(Mapa_Data=Data_Mapa)*(Mapa_MinOcup&gt;0)*(Mapa_RelFim&lt;220)*(Mapa_RelFim+Limpeza_Min&gt;210))&gt;0,1,0)))</f>
        <v/>
      </c>
      <c r="AR19" s="15">
        <f>IF(OR('Mapa do Dia'!$A17="",'Calc'!$B9&lt;&gt;"Sala cirúrgica"),"",IF(SUMPRODUCT((Mapa_Sala='Mapa do Dia'!$N17)*(Mapa_Data=Data_Mapa)*(Mapa_MinOcup&gt;0)*(Mapa_RelIni&lt;230)*(Mapa_RelFim&gt;220))&gt;0,2,IF(SUMPRODUCT((Mapa_Sala='Mapa do Dia'!$N17)*(Mapa_Data=Data_Mapa)*(Mapa_MinOcup&gt;0)*(Mapa_RelFim&lt;230)*(Mapa_RelFim+Limpeza_Min&gt;220))&gt;0,1,0)))</f>
        <v/>
      </c>
      <c r="AS19" s="15">
        <f>IF(OR('Mapa do Dia'!$A17="",'Calc'!$B9&lt;&gt;"Sala cirúrgica"),"",IF(SUMPRODUCT((Mapa_Sala='Mapa do Dia'!$N17)*(Mapa_Data=Data_Mapa)*(Mapa_MinOcup&gt;0)*(Mapa_RelIni&lt;240)*(Mapa_RelFim&gt;230))&gt;0,2,IF(SUMPRODUCT((Mapa_Sala='Mapa do Dia'!$N17)*(Mapa_Data=Data_Mapa)*(Mapa_MinOcup&gt;0)*(Mapa_RelFim&lt;240)*(Mapa_RelFim+Limpeza_Min&gt;230))&gt;0,1,0)))</f>
        <v/>
      </c>
      <c r="AT19" s="15">
        <f>IF(OR('Mapa do Dia'!$A17="",'Calc'!$B9&lt;&gt;"Sala cirúrgica"),"",IF(SUMPRODUCT((Mapa_Sala='Mapa do Dia'!$N17)*(Mapa_Data=Data_Mapa)*(Mapa_MinOcup&gt;0)*(Mapa_RelIni&lt;250)*(Mapa_RelFim&gt;240))&gt;0,2,IF(SUMPRODUCT((Mapa_Sala='Mapa do Dia'!$N17)*(Mapa_Data=Data_Mapa)*(Mapa_MinOcup&gt;0)*(Mapa_RelFim&lt;250)*(Mapa_RelFim+Limpeza_Min&gt;240))&gt;0,1,0)))</f>
        <v/>
      </c>
      <c r="AU19" s="15">
        <f>IF(OR('Mapa do Dia'!$A17="",'Calc'!$B9&lt;&gt;"Sala cirúrgica"),"",IF(SUMPRODUCT((Mapa_Sala='Mapa do Dia'!$N17)*(Mapa_Data=Data_Mapa)*(Mapa_MinOcup&gt;0)*(Mapa_RelIni&lt;260)*(Mapa_RelFim&gt;250))&gt;0,2,IF(SUMPRODUCT((Mapa_Sala='Mapa do Dia'!$N17)*(Mapa_Data=Data_Mapa)*(Mapa_MinOcup&gt;0)*(Mapa_RelFim&lt;260)*(Mapa_RelFim+Limpeza_Min&gt;250))&gt;0,1,0)))</f>
        <v/>
      </c>
      <c r="AV19" s="15">
        <f>IF(OR('Mapa do Dia'!$A17="",'Calc'!$B9&lt;&gt;"Sala cirúrgica"),"",IF(SUMPRODUCT((Mapa_Sala='Mapa do Dia'!$N17)*(Mapa_Data=Data_Mapa)*(Mapa_MinOcup&gt;0)*(Mapa_RelIni&lt;270)*(Mapa_RelFim&gt;260))&gt;0,2,IF(SUMPRODUCT((Mapa_Sala='Mapa do Dia'!$N17)*(Mapa_Data=Data_Mapa)*(Mapa_MinOcup&gt;0)*(Mapa_RelFim&lt;270)*(Mapa_RelFim+Limpeza_Min&gt;260))&gt;0,1,0)))</f>
        <v/>
      </c>
      <c r="AW19" s="15">
        <f>IF(OR('Mapa do Dia'!$A17="",'Calc'!$B9&lt;&gt;"Sala cirúrgica"),"",IF(SUMPRODUCT((Mapa_Sala='Mapa do Dia'!$N17)*(Mapa_Data=Data_Mapa)*(Mapa_MinOcup&gt;0)*(Mapa_RelIni&lt;280)*(Mapa_RelFim&gt;270))&gt;0,2,IF(SUMPRODUCT((Mapa_Sala='Mapa do Dia'!$N17)*(Mapa_Data=Data_Mapa)*(Mapa_MinOcup&gt;0)*(Mapa_RelFim&lt;280)*(Mapa_RelFim+Limpeza_Min&gt;270))&gt;0,1,0)))</f>
        <v/>
      </c>
      <c r="AX19" s="15">
        <f>IF(OR('Mapa do Dia'!$A17="",'Calc'!$B9&lt;&gt;"Sala cirúrgica"),"",IF(SUMPRODUCT((Mapa_Sala='Mapa do Dia'!$N17)*(Mapa_Data=Data_Mapa)*(Mapa_MinOcup&gt;0)*(Mapa_RelIni&lt;290)*(Mapa_RelFim&gt;280))&gt;0,2,IF(SUMPRODUCT((Mapa_Sala='Mapa do Dia'!$N17)*(Mapa_Data=Data_Mapa)*(Mapa_MinOcup&gt;0)*(Mapa_RelFim&lt;290)*(Mapa_RelFim+Limpeza_Min&gt;280))&gt;0,1,0)))</f>
        <v/>
      </c>
      <c r="AY19" s="15">
        <f>IF(OR('Mapa do Dia'!$A17="",'Calc'!$B9&lt;&gt;"Sala cirúrgica"),"",IF(SUMPRODUCT((Mapa_Sala='Mapa do Dia'!$N17)*(Mapa_Data=Data_Mapa)*(Mapa_MinOcup&gt;0)*(Mapa_RelIni&lt;300)*(Mapa_RelFim&gt;290))&gt;0,2,IF(SUMPRODUCT((Mapa_Sala='Mapa do Dia'!$N17)*(Mapa_Data=Data_Mapa)*(Mapa_MinOcup&gt;0)*(Mapa_RelFim&lt;300)*(Mapa_RelFim+Limpeza_Min&gt;290))&gt;0,1,0)))</f>
        <v/>
      </c>
      <c r="AZ19" s="15">
        <f>IF(OR('Mapa do Dia'!$A17="",'Calc'!$B9&lt;&gt;"Sala cirúrgica"),"",IF(SUMPRODUCT((Mapa_Sala='Mapa do Dia'!$N17)*(Mapa_Data=Data_Mapa)*(Mapa_MinOcup&gt;0)*(Mapa_RelIni&lt;310)*(Mapa_RelFim&gt;300))&gt;0,2,IF(SUMPRODUCT((Mapa_Sala='Mapa do Dia'!$N17)*(Mapa_Data=Data_Mapa)*(Mapa_MinOcup&gt;0)*(Mapa_RelFim&lt;310)*(Mapa_RelFim+Limpeza_Min&gt;300))&gt;0,1,0)))</f>
        <v/>
      </c>
      <c r="BA19" s="15">
        <f>IF(OR('Mapa do Dia'!$A17="",'Calc'!$B9&lt;&gt;"Sala cirúrgica"),"",IF(SUMPRODUCT((Mapa_Sala='Mapa do Dia'!$N17)*(Mapa_Data=Data_Mapa)*(Mapa_MinOcup&gt;0)*(Mapa_RelIni&lt;320)*(Mapa_RelFim&gt;310))&gt;0,2,IF(SUMPRODUCT((Mapa_Sala='Mapa do Dia'!$N17)*(Mapa_Data=Data_Mapa)*(Mapa_MinOcup&gt;0)*(Mapa_RelFim&lt;320)*(Mapa_RelFim+Limpeza_Min&gt;310))&gt;0,1,0)))</f>
        <v/>
      </c>
      <c r="BB19" s="15">
        <f>IF(OR('Mapa do Dia'!$A17="",'Calc'!$B9&lt;&gt;"Sala cirúrgica"),"",IF(SUMPRODUCT((Mapa_Sala='Mapa do Dia'!$N17)*(Mapa_Data=Data_Mapa)*(Mapa_MinOcup&gt;0)*(Mapa_RelIni&lt;330)*(Mapa_RelFim&gt;320))&gt;0,2,IF(SUMPRODUCT((Mapa_Sala='Mapa do Dia'!$N17)*(Mapa_Data=Data_Mapa)*(Mapa_MinOcup&gt;0)*(Mapa_RelFim&lt;330)*(Mapa_RelFim+Limpeza_Min&gt;320))&gt;0,1,0)))</f>
        <v/>
      </c>
      <c r="BC19" s="15">
        <f>IF(OR('Mapa do Dia'!$A17="",'Calc'!$B9&lt;&gt;"Sala cirúrgica"),"",IF(SUMPRODUCT((Mapa_Sala='Mapa do Dia'!$N17)*(Mapa_Data=Data_Mapa)*(Mapa_MinOcup&gt;0)*(Mapa_RelIni&lt;340)*(Mapa_RelFim&gt;330))&gt;0,2,IF(SUMPRODUCT((Mapa_Sala='Mapa do Dia'!$N17)*(Mapa_Data=Data_Mapa)*(Mapa_MinOcup&gt;0)*(Mapa_RelFim&lt;340)*(Mapa_RelFim+Limpeza_Min&gt;330))&gt;0,1,0)))</f>
        <v/>
      </c>
      <c r="BD19" s="15">
        <f>IF(OR('Mapa do Dia'!$A17="",'Calc'!$B9&lt;&gt;"Sala cirúrgica"),"",IF(SUMPRODUCT((Mapa_Sala='Mapa do Dia'!$N17)*(Mapa_Data=Data_Mapa)*(Mapa_MinOcup&gt;0)*(Mapa_RelIni&lt;350)*(Mapa_RelFim&gt;340))&gt;0,2,IF(SUMPRODUCT((Mapa_Sala='Mapa do Dia'!$N17)*(Mapa_Data=Data_Mapa)*(Mapa_MinOcup&gt;0)*(Mapa_RelFim&lt;350)*(Mapa_RelFim+Limpeza_Min&gt;340))&gt;0,1,0)))</f>
        <v/>
      </c>
      <c r="BE19" s="15">
        <f>IF(OR('Mapa do Dia'!$A17="",'Calc'!$B9&lt;&gt;"Sala cirúrgica"),"",IF(SUMPRODUCT((Mapa_Sala='Mapa do Dia'!$N17)*(Mapa_Data=Data_Mapa)*(Mapa_MinOcup&gt;0)*(Mapa_RelIni&lt;360)*(Mapa_RelFim&gt;350))&gt;0,2,IF(SUMPRODUCT((Mapa_Sala='Mapa do Dia'!$N17)*(Mapa_Data=Data_Mapa)*(Mapa_MinOcup&gt;0)*(Mapa_RelFim&lt;360)*(Mapa_RelFim+Limpeza_Min&gt;350))&gt;0,1,0)))</f>
        <v/>
      </c>
      <c r="BF19">
        <f>IF('Mapa do Dia'!$A17="","",'Mapa do Dia'!$F17)</f>
        <v/>
      </c>
    </row>
    <row r="20" ht="17" customHeight="1">
      <c r="A20" s="13">
        <f>IF('Mapa do Dia'!$A18="","",'Mapa do Dia'!$A18)</f>
        <v/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14">
        <f>IF('Mapa do Dia'!$A18="","",IF('Mapa do Dia'!$D18="","(falta escalar)",IFERROR(INDEX(Equipe_Curto,MATCH('Mapa do Dia'!$D18,Equipe_Nome,0)),'Mapa do Dia'!$D18))&amp;IF('Mapa do Dia'!$B18&lt;2,"",IF('Mapa do Dia'!$E18="", " · (falta escalar)"," · "&amp;IFERROR(INDEX(Equipe_Curto,MATCH('Mapa do Dia'!$E18,Equipe_Nome,0)),'Mapa do Dia'!$E18))))</f>
        <v/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15">
        <f>IF(OR('Mapa do Dia'!$A18="",'Calc'!$B10&lt;&gt;"Sala cirúrgica"),"",IF(SUMPRODUCT((Mapa_Sala='Mapa do Dia'!$N18)*(Mapa_Data=Data_Mapa)*(Mapa_MinOcup&gt;0)*(Mapa_RelIni&lt;10)*(Mapa_RelFim&gt;0))&gt;0,2,IF(SUMPRODUCT((Mapa_Sala='Mapa do Dia'!$N18)*(Mapa_Data=Data_Mapa)*(Mapa_MinOcup&gt;0)*(Mapa_RelFim&lt;10)*(Mapa_RelFim+Limpeza_Min&gt;0))&gt;0,1,0)))</f>
        <v/>
      </c>
      <c r="W20" s="15">
        <f>IF(OR('Mapa do Dia'!$A18="",'Calc'!$B10&lt;&gt;"Sala cirúrgica"),"",IF(SUMPRODUCT((Mapa_Sala='Mapa do Dia'!$N18)*(Mapa_Data=Data_Mapa)*(Mapa_MinOcup&gt;0)*(Mapa_RelIni&lt;20)*(Mapa_RelFim&gt;10))&gt;0,2,IF(SUMPRODUCT((Mapa_Sala='Mapa do Dia'!$N18)*(Mapa_Data=Data_Mapa)*(Mapa_MinOcup&gt;0)*(Mapa_RelFim&lt;20)*(Mapa_RelFim+Limpeza_Min&gt;10))&gt;0,1,0)))</f>
        <v/>
      </c>
      <c r="X20" s="15">
        <f>IF(OR('Mapa do Dia'!$A18="",'Calc'!$B10&lt;&gt;"Sala cirúrgica"),"",IF(SUMPRODUCT((Mapa_Sala='Mapa do Dia'!$N18)*(Mapa_Data=Data_Mapa)*(Mapa_MinOcup&gt;0)*(Mapa_RelIni&lt;30)*(Mapa_RelFim&gt;20))&gt;0,2,IF(SUMPRODUCT((Mapa_Sala='Mapa do Dia'!$N18)*(Mapa_Data=Data_Mapa)*(Mapa_MinOcup&gt;0)*(Mapa_RelFim&lt;30)*(Mapa_RelFim+Limpeza_Min&gt;20))&gt;0,1,0)))</f>
        <v/>
      </c>
      <c r="Y20" s="15">
        <f>IF(OR('Mapa do Dia'!$A18="",'Calc'!$B10&lt;&gt;"Sala cirúrgica"),"",IF(SUMPRODUCT((Mapa_Sala='Mapa do Dia'!$N18)*(Mapa_Data=Data_Mapa)*(Mapa_MinOcup&gt;0)*(Mapa_RelIni&lt;40)*(Mapa_RelFim&gt;30))&gt;0,2,IF(SUMPRODUCT((Mapa_Sala='Mapa do Dia'!$N18)*(Mapa_Data=Data_Mapa)*(Mapa_MinOcup&gt;0)*(Mapa_RelFim&lt;40)*(Mapa_RelFim+Limpeza_Min&gt;30))&gt;0,1,0)))</f>
        <v/>
      </c>
      <c r="Z20" s="15">
        <f>IF(OR('Mapa do Dia'!$A18="",'Calc'!$B10&lt;&gt;"Sala cirúrgica"),"",IF(SUMPRODUCT((Mapa_Sala='Mapa do Dia'!$N18)*(Mapa_Data=Data_Mapa)*(Mapa_MinOcup&gt;0)*(Mapa_RelIni&lt;50)*(Mapa_RelFim&gt;40))&gt;0,2,IF(SUMPRODUCT((Mapa_Sala='Mapa do Dia'!$N18)*(Mapa_Data=Data_Mapa)*(Mapa_MinOcup&gt;0)*(Mapa_RelFim&lt;50)*(Mapa_RelFim+Limpeza_Min&gt;40))&gt;0,1,0)))</f>
        <v/>
      </c>
      <c r="AA20" s="15">
        <f>IF(OR('Mapa do Dia'!$A18="",'Calc'!$B10&lt;&gt;"Sala cirúrgica"),"",IF(SUMPRODUCT((Mapa_Sala='Mapa do Dia'!$N18)*(Mapa_Data=Data_Mapa)*(Mapa_MinOcup&gt;0)*(Mapa_RelIni&lt;60)*(Mapa_RelFim&gt;50))&gt;0,2,IF(SUMPRODUCT((Mapa_Sala='Mapa do Dia'!$N18)*(Mapa_Data=Data_Mapa)*(Mapa_MinOcup&gt;0)*(Mapa_RelFim&lt;60)*(Mapa_RelFim+Limpeza_Min&gt;50))&gt;0,1,0)))</f>
        <v/>
      </c>
      <c r="AB20" s="15">
        <f>IF(OR('Mapa do Dia'!$A18="",'Calc'!$B10&lt;&gt;"Sala cirúrgica"),"",IF(SUMPRODUCT((Mapa_Sala='Mapa do Dia'!$N18)*(Mapa_Data=Data_Mapa)*(Mapa_MinOcup&gt;0)*(Mapa_RelIni&lt;70)*(Mapa_RelFim&gt;60))&gt;0,2,IF(SUMPRODUCT((Mapa_Sala='Mapa do Dia'!$N18)*(Mapa_Data=Data_Mapa)*(Mapa_MinOcup&gt;0)*(Mapa_RelFim&lt;70)*(Mapa_RelFim+Limpeza_Min&gt;60))&gt;0,1,0)))</f>
        <v/>
      </c>
      <c r="AC20" s="15">
        <f>IF(OR('Mapa do Dia'!$A18="",'Calc'!$B10&lt;&gt;"Sala cirúrgica"),"",IF(SUMPRODUCT((Mapa_Sala='Mapa do Dia'!$N18)*(Mapa_Data=Data_Mapa)*(Mapa_MinOcup&gt;0)*(Mapa_RelIni&lt;80)*(Mapa_RelFim&gt;70))&gt;0,2,IF(SUMPRODUCT((Mapa_Sala='Mapa do Dia'!$N18)*(Mapa_Data=Data_Mapa)*(Mapa_MinOcup&gt;0)*(Mapa_RelFim&lt;80)*(Mapa_RelFim+Limpeza_Min&gt;70))&gt;0,1,0)))</f>
        <v/>
      </c>
      <c r="AD20" s="15">
        <f>IF(OR('Mapa do Dia'!$A18="",'Calc'!$B10&lt;&gt;"Sala cirúrgica"),"",IF(SUMPRODUCT((Mapa_Sala='Mapa do Dia'!$N18)*(Mapa_Data=Data_Mapa)*(Mapa_MinOcup&gt;0)*(Mapa_RelIni&lt;90)*(Mapa_RelFim&gt;80))&gt;0,2,IF(SUMPRODUCT((Mapa_Sala='Mapa do Dia'!$N18)*(Mapa_Data=Data_Mapa)*(Mapa_MinOcup&gt;0)*(Mapa_RelFim&lt;90)*(Mapa_RelFim+Limpeza_Min&gt;80))&gt;0,1,0)))</f>
        <v/>
      </c>
      <c r="AE20" s="15">
        <f>IF(OR('Mapa do Dia'!$A18="",'Calc'!$B10&lt;&gt;"Sala cirúrgica"),"",IF(SUMPRODUCT((Mapa_Sala='Mapa do Dia'!$N18)*(Mapa_Data=Data_Mapa)*(Mapa_MinOcup&gt;0)*(Mapa_RelIni&lt;100)*(Mapa_RelFim&gt;90))&gt;0,2,IF(SUMPRODUCT((Mapa_Sala='Mapa do Dia'!$N18)*(Mapa_Data=Data_Mapa)*(Mapa_MinOcup&gt;0)*(Mapa_RelFim&lt;100)*(Mapa_RelFim+Limpeza_Min&gt;90))&gt;0,1,0)))</f>
        <v/>
      </c>
      <c r="AF20" s="15">
        <f>IF(OR('Mapa do Dia'!$A18="",'Calc'!$B10&lt;&gt;"Sala cirúrgica"),"",IF(SUMPRODUCT((Mapa_Sala='Mapa do Dia'!$N18)*(Mapa_Data=Data_Mapa)*(Mapa_MinOcup&gt;0)*(Mapa_RelIni&lt;110)*(Mapa_RelFim&gt;100))&gt;0,2,IF(SUMPRODUCT((Mapa_Sala='Mapa do Dia'!$N18)*(Mapa_Data=Data_Mapa)*(Mapa_MinOcup&gt;0)*(Mapa_RelFim&lt;110)*(Mapa_RelFim+Limpeza_Min&gt;100))&gt;0,1,0)))</f>
        <v/>
      </c>
      <c r="AG20" s="15">
        <f>IF(OR('Mapa do Dia'!$A18="",'Calc'!$B10&lt;&gt;"Sala cirúrgica"),"",IF(SUMPRODUCT((Mapa_Sala='Mapa do Dia'!$N18)*(Mapa_Data=Data_Mapa)*(Mapa_MinOcup&gt;0)*(Mapa_RelIni&lt;120)*(Mapa_RelFim&gt;110))&gt;0,2,IF(SUMPRODUCT((Mapa_Sala='Mapa do Dia'!$N18)*(Mapa_Data=Data_Mapa)*(Mapa_MinOcup&gt;0)*(Mapa_RelFim&lt;120)*(Mapa_RelFim+Limpeza_Min&gt;110))&gt;0,1,0)))</f>
        <v/>
      </c>
      <c r="AH20" s="15">
        <f>IF(OR('Mapa do Dia'!$A18="",'Calc'!$B10&lt;&gt;"Sala cirúrgica"),"",IF(SUMPRODUCT((Mapa_Sala='Mapa do Dia'!$N18)*(Mapa_Data=Data_Mapa)*(Mapa_MinOcup&gt;0)*(Mapa_RelIni&lt;130)*(Mapa_RelFim&gt;120))&gt;0,2,IF(SUMPRODUCT((Mapa_Sala='Mapa do Dia'!$N18)*(Mapa_Data=Data_Mapa)*(Mapa_MinOcup&gt;0)*(Mapa_RelFim&lt;130)*(Mapa_RelFim+Limpeza_Min&gt;120))&gt;0,1,0)))</f>
        <v/>
      </c>
      <c r="AI20" s="15">
        <f>IF(OR('Mapa do Dia'!$A18="",'Calc'!$B10&lt;&gt;"Sala cirúrgica"),"",IF(SUMPRODUCT((Mapa_Sala='Mapa do Dia'!$N18)*(Mapa_Data=Data_Mapa)*(Mapa_MinOcup&gt;0)*(Mapa_RelIni&lt;140)*(Mapa_RelFim&gt;130))&gt;0,2,IF(SUMPRODUCT((Mapa_Sala='Mapa do Dia'!$N18)*(Mapa_Data=Data_Mapa)*(Mapa_MinOcup&gt;0)*(Mapa_RelFim&lt;140)*(Mapa_RelFim+Limpeza_Min&gt;130))&gt;0,1,0)))</f>
        <v/>
      </c>
      <c r="AJ20" s="15">
        <f>IF(OR('Mapa do Dia'!$A18="",'Calc'!$B10&lt;&gt;"Sala cirúrgica"),"",IF(SUMPRODUCT((Mapa_Sala='Mapa do Dia'!$N18)*(Mapa_Data=Data_Mapa)*(Mapa_MinOcup&gt;0)*(Mapa_RelIni&lt;150)*(Mapa_RelFim&gt;140))&gt;0,2,IF(SUMPRODUCT((Mapa_Sala='Mapa do Dia'!$N18)*(Mapa_Data=Data_Mapa)*(Mapa_MinOcup&gt;0)*(Mapa_RelFim&lt;150)*(Mapa_RelFim+Limpeza_Min&gt;140))&gt;0,1,0)))</f>
        <v/>
      </c>
      <c r="AK20" s="15">
        <f>IF(OR('Mapa do Dia'!$A18="",'Calc'!$B10&lt;&gt;"Sala cirúrgica"),"",IF(SUMPRODUCT((Mapa_Sala='Mapa do Dia'!$N18)*(Mapa_Data=Data_Mapa)*(Mapa_MinOcup&gt;0)*(Mapa_RelIni&lt;160)*(Mapa_RelFim&gt;150))&gt;0,2,IF(SUMPRODUCT((Mapa_Sala='Mapa do Dia'!$N18)*(Mapa_Data=Data_Mapa)*(Mapa_MinOcup&gt;0)*(Mapa_RelFim&lt;160)*(Mapa_RelFim+Limpeza_Min&gt;150))&gt;0,1,0)))</f>
        <v/>
      </c>
      <c r="AL20" s="15">
        <f>IF(OR('Mapa do Dia'!$A18="",'Calc'!$B10&lt;&gt;"Sala cirúrgica"),"",IF(SUMPRODUCT((Mapa_Sala='Mapa do Dia'!$N18)*(Mapa_Data=Data_Mapa)*(Mapa_MinOcup&gt;0)*(Mapa_RelIni&lt;170)*(Mapa_RelFim&gt;160))&gt;0,2,IF(SUMPRODUCT((Mapa_Sala='Mapa do Dia'!$N18)*(Mapa_Data=Data_Mapa)*(Mapa_MinOcup&gt;0)*(Mapa_RelFim&lt;170)*(Mapa_RelFim+Limpeza_Min&gt;160))&gt;0,1,0)))</f>
        <v/>
      </c>
      <c r="AM20" s="15">
        <f>IF(OR('Mapa do Dia'!$A18="",'Calc'!$B10&lt;&gt;"Sala cirúrgica"),"",IF(SUMPRODUCT((Mapa_Sala='Mapa do Dia'!$N18)*(Mapa_Data=Data_Mapa)*(Mapa_MinOcup&gt;0)*(Mapa_RelIni&lt;180)*(Mapa_RelFim&gt;170))&gt;0,2,IF(SUMPRODUCT((Mapa_Sala='Mapa do Dia'!$N18)*(Mapa_Data=Data_Mapa)*(Mapa_MinOcup&gt;0)*(Mapa_RelFim&lt;180)*(Mapa_RelFim+Limpeza_Min&gt;170))&gt;0,1,0)))</f>
        <v/>
      </c>
      <c r="AN20" s="15">
        <f>IF(OR('Mapa do Dia'!$A18="",'Calc'!$B10&lt;&gt;"Sala cirúrgica"),"",IF(SUMPRODUCT((Mapa_Sala='Mapa do Dia'!$N18)*(Mapa_Data=Data_Mapa)*(Mapa_MinOcup&gt;0)*(Mapa_RelIni&lt;190)*(Mapa_RelFim&gt;180))&gt;0,2,IF(SUMPRODUCT((Mapa_Sala='Mapa do Dia'!$N18)*(Mapa_Data=Data_Mapa)*(Mapa_MinOcup&gt;0)*(Mapa_RelFim&lt;190)*(Mapa_RelFim+Limpeza_Min&gt;180))&gt;0,1,0)))</f>
        <v/>
      </c>
      <c r="AO20" s="15">
        <f>IF(OR('Mapa do Dia'!$A18="",'Calc'!$B10&lt;&gt;"Sala cirúrgica"),"",IF(SUMPRODUCT((Mapa_Sala='Mapa do Dia'!$N18)*(Mapa_Data=Data_Mapa)*(Mapa_MinOcup&gt;0)*(Mapa_RelIni&lt;200)*(Mapa_RelFim&gt;190))&gt;0,2,IF(SUMPRODUCT((Mapa_Sala='Mapa do Dia'!$N18)*(Mapa_Data=Data_Mapa)*(Mapa_MinOcup&gt;0)*(Mapa_RelFim&lt;200)*(Mapa_RelFim+Limpeza_Min&gt;190))&gt;0,1,0)))</f>
        <v/>
      </c>
      <c r="AP20" s="15">
        <f>IF(OR('Mapa do Dia'!$A18="",'Calc'!$B10&lt;&gt;"Sala cirúrgica"),"",IF(SUMPRODUCT((Mapa_Sala='Mapa do Dia'!$N18)*(Mapa_Data=Data_Mapa)*(Mapa_MinOcup&gt;0)*(Mapa_RelIni&lt;210)*(Mapa_RelFim&gt;200))&gt;0,2,IF(SUMPRODUCT((Mapa_Sala='Mapa do Dia'!$N18)*(Mapa_Data=Data_Mapa)*(Mapa_MinOcup&gt;0)*(Mapa_RelFim&lt;210)*(Mapa_RelFim+Limpeza_Min&gt;200))&gt;0,1,0)))</f>
        <v/>
      </c>
      <c r="AQ20" s="15">
        <f>IF(OR('Mapa do Dia'!$A18="",'Calc'!$B10&lt;&gt;"Sala cirúrgica"),"",IF(SUMPRODUCT((Mapa_Sala='Mapa do Dia'!$N18)*(Mapa_Data=Data_Mapa)*(Mapa_MinOcup&gt;0)*(Mapa_RelIni&lt;220)*(Mapa_RelFim&gt;210))&gt;0,2,IF(SUMPRODUCT((Mapa_Sala='Mapa do Dia'!$N18)*(Mapa_Data=Data_Mapa)*(Mapa_MinOcup&gt;0)*(Mapa_RelFim&lt;220)*(Mapa_RelFim+Limpeza_Min&gt;210))&gt;0,1,0)))</f>
        <v/>
      </c>
      <c r="AR20" s="15">
        <f>IF(OR('Mapa do Dia'!$A18="",'Calc'!$B10&lt;&gt;"Sala cirúrgica"),"",IF(SUMPRODUCT((Mapa_Sala='Mapa do Dia'!$N18)*(Mapa_Data=Data_Mapa)*(Mapa_MinOcup&gt;0)*(Mapa_RelIni&lt;230)*(Mapa_RelFim&gt;220))&gt;0,2,IF(SUMPRODUCT((Mapa_Sala='Mapa do Dia'!$N18)*(Mapa_Data=Data_Mapa)*(Mapa_MinOcup&gt;0)*(Mapa_RelFim&lt;230)*(Mapa_RelFim+Limpeza_Min&gt;220))&gt;0,1,0)))</f>
        <v/>
      </c>
      <c r="AS20" s="15">
        <f>IF(OR('Mapa do Dia'!$A18="",'Calc'!$B10&lt;&gt;"Sala cirúrgica"),"",IF(SUMPRODUCT((Mapa_Sala='Mapa do Dia'!$N18)*(Mapa_Data=Data_Mapa)*(Mapa_MinOcup&gt;0)*(Mapa_RelIni&lt;240)*(Mapa_RelFim&gt;230))&gt;0,2,IF(SUMPRODUCT((Mapa_Sala='Mapa do Dia'!$N18)*(Mapa_Data=Data_Mapa)*(Mapa_MinOcup&gt;0)*(Mapa_RelFim&lt;240)*(Mapa_RelFim+Limpeza_Min&gt;230))&gt;0,1,0)))</f>
        <v/>
      </c>
      <c r="AT20" s="15">
        <f>IF(OR('Mapa do Dia'!$A18="",'Calc'!$B10&lt;&gt;"Sala cirúrgica"),"",IF(SUMPRODUCT((Mapa_Sala='Mapa do Dia'!$N18)*(Mapa_Data=Data_Mapa)*(Mapa_MinOcup&gt;0)*(Mapa_RelIni&lt;250)*(Mapa_RelFim&gt;240))&gt;0,2,IF(SUMPRODUCT((Mapa_Sala='Mapa do Dia'!$N18)*(Mapa_Data=Data_Mapa)*(Mapa_MinOcup&gt;0)*(Mapa_RelFim&lt;250)*(Mapa_RelFim+Limpeza_Min&gt;240))&gt;0,1,0)))</f>
        <v/>
      </c>
      <c r="AU20" s="15">
        <f>IF(OR('Mapa do Dia'!$A18="",'Calc'!$B10&lt;&gt;"Sala cirúrgica"),"",IF(SUMPRODUCT((Mapa_Sala='Mapa do Dia'!$N18)*(Mapa_Data=Data_Mapa)*(Mapa_MinOcup&gt;0)*(Mapa_RelIni&lt;260)*(Mapa_RelFim&gt;250))&gt;0,2,IF(SUMPRODUCT((Mapa_Sala='Mapa do Dia'!$N18)*(Mapa_Data=Data_Mapa)*(Mapa_MinOcup&gt;0)*(Mapa_RelFim&lt;260)*(Mapa_RelFim+Limpeza_Min&gt;250))&gt;0,1,0)))</f>
        <v/>
      </c>
      <c r="AV20" s="15">
        <f>IF(OR('Mapa do Dia'!$A18="",'Calc'!$B10&lt;&gt;"Sala cirúrgica"),"",IF(SUMPRODUCT((Mapa_Sala='Mapa do Dia'!$N18)*(Mapa_Data=Data_Mapa)*(Mapa_MinOcup&gt;0)*(Mapa_RelIni&lt;270)*(Mapa_RelFim&gt;260))&gt;0,2,IF(SUMPRODUCT((Mapa_Sala='Mapa do Dia'!$N18)*(Mapa_Data=Data_Mapa)*(Mapa_MinOcup&gt;0)*(Mapa_RelFim&lt;270)*(Mapa_RelFim+Limpeza_Min&gt;260))&gt;0,1,0)))</f>
        <v/>
      </c>
      <c r="AW20" s="15">
        <f>IF(OR('Mapa do Dia'!$A18="",'Calc'!$B10&lt;&gt;"Sala cirúrgica"),"",IF(SUMPRODUCT((Mapa_Sala='Mapa do Dia'!$N18)*(Mapa_Data=Data_Mapa)*(Mapa_MinOcup&gt;0)*(Mapa_RelIni&lt;280)*(Mapa_RelFim&gt;270))&gt;0,2,IF(SUMPRODUCT((Mapa_Sala='Mapa do Dia'!$N18)*(Mapa_Data=Data_Mapa)*(Mapa_MinOcup&gt;0)*(Mapa_RelFim&lt;280)*(Mapa_RelFim+Limpeza_Min&gt;270))&gt;0,1,0)))</f>
        <v/>
      </c>
      <c r="AX20" s="15">
        <f>IF(OR('Mapa do Dia'!$A18="",'Calc'!$B10&lt;&gt;"Sala cirúrgica"),"",IF(SUMPRODUCT((Mapa_Sala='Mapa do Dia'!$N18)*(Mapa_Data=Data_Mapa)*(Mapa_MinOcup&gt;0)*(Mapa_RelIni&lt;290)*(Mapa_RelFim&gt;280))&gt;0,2,IF(SUMPRODUCT((Mapa_Sala='Mapa do Dia'!$N18)*(Mapa_Data=Data_Mapa)*(Mapa_MinOcup&gt;0)*(Mapa_RelFim&lt;290)*(Mapa_RelFim+Limpeza_Min&gt;280))&gt;0,1,0)))</f>
        <v/>
      </c>
      <c r="AY20" s="15">
        <f>IF(OR('Mapa do Dia'!$A18="",'Calc'!$B10&lt;&gt;"Sala cirúrgica"),"",IF(SUMPRODUCT((Mapa_Sala='Mapa do Dia'!$N18)*(Mapa_Data=Data_Mapa)*(Mapa_MinOcup&gt;0)*(Mapa_RelIni&lt;300)*(Mapa_RelFim&gt;290))&gt;0,2,IF(SUMPRODUCT((Mapa_Sala='Mapa do Dia'!$N18)*(Mapa_Data=Data_Mapa)*(Mapa_MinOcup&gt;0)*(Mapa_RelFim&lt;300)*(Mapa_RelFim+Limpeza_Min&gt;290))&gt;0,1,0)))</f>
        <v/>
      </c>
      <c r="AZ20" s="15">
        <f>IF(OR('Mapa do Dia'!$A18="",'Calc'!$B10&lt;&gt;"Sala cirúrgica"),"",IF(SUMPRODUCT((Mapa_Sala='Mapa do Dia'!$N18)*(Mapa_Data=Data_Mapa)*(Mapa_MinOcup&gt;0)*(Mapa_RelIni&lt;310)*(Mapa_RelFim&gt;300))&gt;0,2,IF(SUMPRODUCT((Mapa_Sala='Mapa do Dia'!$N18)*(Mapa_Data=Data_Mapa)*(Mapa_MinOcup&gt;0)*(Mapa_RelFim&lt;310)*(Mapa_RelFim+Limpeza_Min&gt;300))&gt;0,1,0)))</f>
        <v/>
      </c>
      <c r="BA20" s="15">
        <f>IF(OR('Mapa do Dia'!$A18="",'Calc'!$B10&lt;&gt;"Sala cirúrgica"),"",IF(SUMPRODUCT((Mapa_Sala='Mapa do Dia'!$N18)*(Mapa_Data=Data_Mapa)*(Mapa_MinOcup&gt;0)*(Mapa_RelIni&lt;320)*(Mapa_RelFim&gt;310))&gt;0,2,IF(SUMPRODUCT((Mapa_Sala='Mapa do Dia'!$N18)*(Mapa_Data=Data_Mapa)*(Mapa_MinOcup&gt;0)*(Mapa_RelFim&lt;320)*(Mapa_RelFim+Limpeza_Min&gt;310))&gt;0,1,0)))</f>
        <v/>
      </c>
      <c r="BB20" s="15">
        <f>IF(OR('Mapa do Dia'!$A18="",'Calc'!$B10&lt;&gt;"Sala cirúrgica"),"",IF(SUMPRODUCT((Mapa_Sala='Mapa do Dia'!$N18)*(Mapa_Data=Data_Mapa)*(Mapa_MinOcup&gt;0)*(Mapa_RelIni&lt;330)*(Mapa_RelFim&gt;320))&gt;0,2,IF(SUMPRODUCT((Mapa_Sala='Mapa do Dia'!$N18)*(Mapa_Data=Data_Mapa)*(Mapa_MinOcup&gt;0)*(Mapa_RelFim&lt;330)*(Mapa_RelFim+Limpeza_Min&gt;320))&gt;0,1,0)))</f>
        <v/>
      </c>
      <c r="BC20" s="15">
        <f>IF(OR('Mapa do Dia'!$A18="",'Calc'!$B10&lt;&gt;"Sala cirúrgica"),"",IF(SUMPRODUCT((Mapa_Sala='Mapa do Dia'!$N18)*(Mapa_Data=Data_Mapa)*(Mapa_MinOcup&gt;0)*(Mapa_RelIni&lt;340)*(Mapa_RelFim&gt;330))&gt;0,2,IF(SUMPRODUCT((Mapa_Sala='Mapa do Dia'!$N18)*(Mapa_Data=Data_Mapa)*(Mapa_MinOcup&gt;0)*(Mapa_RelFim&lt;340)*(Mapa_RelFim+Limpeza_Min&gt;330))&gt;0,1,0)))</f>
        <v/>
      </c>
      <c r="BD20" s="15">
        <f>IF(OR('Mapa do Dia'!$A18="",'Calc'!$B10&lt;&gt;"Sala cirúrgica"),"",IF(SUMPRODUCT((Mapa_Sala='Mapa do Dia'!$N18)*(Mapa_Data=Data_Mapa)*(Mapa_MinOcup&gt;0)*(Mapa_RelIni&lt;350)*(Mapa_RelFim&gt;340))&gt;0,2,IF(SUMPRODUCT((Mapa_Sala='Mapa do Dia'!$N18)*(Mapa_Data=Data_Mapa)*(Mapa_MinOcup&gt;0)*(Mapa_RelFim&lt;350)*(Mapa_RelFim+Limpeza_Min&gt;340))&gt;0,1,0)))</f>
        <v/>
      </c>
      <c r="BE20" s="15">
        <f>IF(OR('Mapa do Dia'!$A18="",'Calc'!$B10&lt;&gt;"Sala cirúrgica"),"",IF(SUMPRODUCT((Mapa_Sala='Mapa do Dia'!$N18)*(Mapa_Data=Data_Mapa)*(Mapa_MinOcup&gt;0)*(Mapa_RelIni&lt;360)*(Mapa_RelFim&gt;350))&gt;0,2,IF(SUMPRODUCT((Mapa_Sala='Mapa do Dia'!$N18)*(Mapa_Data=Data_Mapa)*(Mapa_MinOcup&gt;0)*(Mapa_RelFim&lt;360)*(Mapa_RelFim+Limpeza_Min&gt;350))&gt;0,1,0)))</f>
        <v/>
      </c>
      <c r="BF20">
        <f>IF('Mapa do Dia'!$A18="","",'Mapa do Dia'!$F18)</f>
        <v/>
      </c>
    </row>
    <row r="21" ht="17" customHeight="1">
      <c r="A21" s="13">
        <f>IF('Mapa do Dia'!$A19="","",'Mapa do Dia'!$A19)</f>
        <v/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14">
        <f>IF('Mapa do Dia'!$A19="","",IF('Mapa do Dia'!$D19="","(falta escalar)",IFERROR(INDEX(Equipe_Curto,MATCH('Mapa do Dia'!$D19,Equipe_Nome,0)),'Mapa do Dia'!$D19))&amp;IF('Mapa do Dia'!$B19&lt;2,"",IF('Mapa do Dia'!$E19="", " · (falta escalar)"," · "&amp;IFERROR(INDEX(Equipe_Curto,MATCH('Mapa do Dia'!$E19,Equipe_Nome,0)),'Mapa do Dia'!$E19))))</f>
        <v/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15">
        <f>IF(OR('Mapa do Dia'!$A19="",'Calc'!$B11&lt;&gt;"Sala cirúrgica"),"",IF(SUMPRODUCT((Mapa_Sala='Mapa do Dia'!$N19)*(Mapa_Data=Data_Mapa)*(Mapa_MinOcup&gt;0)*(Mapa_RelIni&lt;10)*(Mapa_RelFim&gt;0))&gt;0,2,IF(SUMPRODUCT((Mapa_Sala='Mapa do Dia'!$N19)*(Mapa_Data=Data_Mapa)*(Mapa_MinOcup&gt;0)*(Mapa_RelFim&lt;10)*(Mapa_RelFim+Limpeza_Min&gt;0))&gt;0,1,0)))</f>
        <v/>
      </c>
      <c r="W21" s="15">
        <f>IF(OR('Mapa do Dia'!$A19="",'Calc'!$B11&lt;&gt;"Sala cirúrgica"),"",IF(SUMPRODUCT((Mapa_Sala='Mapa do Dia'!$N19)*(Mapa_Data=Data_Mapa)*(Mapa_MinOcup&gt;0)*(Mapa_RelIni&lt;20)*(Mapa_RelFim&gt;10))&gt;0,2,IF(SUMPRODUCT((Mapa_Sala='Mapa do Dia'!$N19)*(Mapa_Data=Data_Mapa)*(Mapa_MinOcup&gt;0)*(Mapa_RelFim&lt;20)*(Mapa_RelFim+Limpeza_Min&gt;10))&gt;0,1,0)))</f>
        <v/>
      </c>
      <c r="X21" s="15">
        <f>IF(OR('Mapa do Dia'!$A19="",'Calc'!$B11&lt;&gt;"Sala cirúrgica"),"",IF(SUMPRODUCT((Mapa_Sala='Mapa do Dia'!$N19)*(Mapa_Data=Data_Mapa)*(Mapa_MinOcup&gt;0)*(Mapa_RelIni&lt;30)*(Mapa_RelFim&gt;20))&gt;0,2,IF(SUMPRODUCT((Mapa_Sala='Mapa do Dia'!$N19)*(Mapa_Data=Data_Mapa)*(Mapa_MinOcup&gt;0)*(Mapa_RelFim&lt;30)*(Mapa_RelFim+Limpeza_Min&gt;20))&gt;0,1,0)))</f>
        <v/>
      </c>
      <c r="Y21" s="15">
        <f>IF(OR('Mapa do Dia'!$A19="",'Calc'!$B11&lt;&gt;"Sala cirúrgica"),"",IF(SUMPRODUCT((Mapa_Sala='Mapa do Dia'!$N19)*(Mapa_Data=Data_Mapa)*(Mapa_MinOcup&gt;0)*(Mapa_RelIni&lt;40)*(Mapa_RelFim&gt;30))&gt;0,2,IF(SUMPRODUCT((Mapa_Sala='Mapa do Dia'!$N19)*(Mapa_Data=Data_Mapa)*(Mapa_MinOcup&gt;0)*(Mapa_RelFim&lt;40)*(Mapa_RelFim+Limpeza_Min&gt;30))&gt;0,1,0)))</f>
        <v/>
      </c>
      <c r="Z21" s="15">
        <f>IF(OR('Mapa do Dia'!$A19="",'Calc'!$B11&lt;&gt;"Sala cirúrgica"),"",IF(SUMPRODUCT((Mapa_Sala='Mapa do Dia'!$N19)*(Mapa_Data=Data_Mapa)*(Mapa_MinOcup&gt;0)*(Mapa_RelIni&lt;50)*(Mapa_RelFim&gt;40))&gt;0,2,IF(SUMPRODUCT((Mapa_Sala='Mapa do Dia'!$N19)*(Mapa_Data=Data_Mapa)*(Mapa_MinOcup&gt;0)*(Mapa_RelFim&lt;50)*(Mapa_RelFim+Limpeza_Min&gt;40))&gt;0,1,0)))</f>
        <v/>
      </c>
      <c r="AA21" s="15">
        <f>IF(OR('Mapa do Dia'!$A19="",'Calc'!$B11&lt;&gt;"Sala cirúrgica"),"",IF(SUMPRODUCT((Mapa_Sala='Mapa do Dia'!$N19)*(Mapa_Data=Data_Mapa)*(Mapa_MinOcup&gt;0)*(Mapa_RelIni&lt;60)*(Mapa_RelFim&gt;50))&gt;0,2,IF(SUMPRODUCT((Mapa_Sala='Mapa do Dia'!$N19)*(Mapa_Data=Data_Mapa)*(Mapa_MinOcup&gt;0)*(Mapa_RelFim&lt;60)*(Mapa_RelFim+Limpeza_Min&gt;50))&gt;0,1,0)))</f>
        <v/>
      </c>
      <c r="AB21" s="15">
        <f>IF(OR('Mapa do Dia'!$A19="",'Calc'!$B11&lt;&gt;"Sala cirúrgica"),"",IF(SUMPRODUCT((Mapa_Sala='Mapa do Dia'!$N19)*(Mapa_Data=Data_Mapa)*(Mapa_MinOcup&gt;0)*(Mapa_RelIni&lt;70)*(Mapa_RelFim&gt;60))&gt;0,2,IF(SUMPRODUCT((Mapa_Sala='Mapa do Dia'!$N19)*(Mapa_Data=Data_Mapa)*(Mapa_MinOcup&gt;0)*(Mapa_RelFim&lt;70)*(Mapa_RelFim+Limpeza_Min&gt;60))&gt;0,1,0)))</f>
        <v/>
      </c>
      <c r="AC21" s="15">
        <f>IF(OR('Mapa do Dia'!$A19="",'Calc'!$B11&lt;&gt;"Sala cirúrgica"),"",IF(SUMPRODUCT((Mapa_Sala='Mapa do Dia'!$N19)*(Mapa_Data=Data_Mapa)*(Mapa_MinOcup&gt;0)*(Mapa_RelIni&lt;80)*(Mapa_RelFim&gt;70))&gt;0,2,IF(SUMPRODUCT((Mapa_Sala='Mapa do Dia'!$N19)*(Mapa_Data=Data_Mapa)*(Mapa_MinOcup&gt;0)*(Mapa_RelFim&lt;80)*(Mapa_RelFim+Limpeza_Min&gt;70))&gt;0,1,0)))</f>
        <v/>
      </c>
      <c r="AD21" s="15">
        <f>IF(OR('Mapa do Dia'!$A19="",'Calc'!$B11&lt;&gt;"Sala cirúrgica"),"",IF(SUMPRODUCT((Mapa_Sala='Mapa do Dia'!$N19)*(Mapa_Data=Data_Mapa)*(Mapa_MinOcup&gt;0)*(Mapa_RelIni&lt;90)*(Mapa_RelFim&gt;80))&gt;0,2,IF(SUMPRODUCT((Mapa_Sala='Mapa do Dia'!$N19)*(Mapa_Data=Data_Mapa)*(Mapa_MinOcup&gt;0)*(Mapa_RelFim&lt;90)*(Mapa_RelFim+Limpeza_Min&gt;80))&gt;0,1,0)))</f>
        <v/>
      </c>
      <c r="AE21" s="15">
        <f>IF(OR('Mapa do Dia'!$A19="",'Calc'!$B11&lt;&gt;"Sala cirúrgica"),"",IF(SUMPRODUCT((Mapa_Sala='Mapa do Dia'!$N19)*(Mapa_Data=Data_Mapa)*(Mapa_MinOcup&gt;0)*(Mapa_RelIni&lt;100)*(Mapa_RelFim&gt;90))&gt;0,2,IF(SUMPRODUCT((Mapa_Sala='Mapa do Dia'!$N19)*(Mapa_Data=Data_Mapa)*(Mapa_MinOcup&gt;0)*(Mapa_RelFim&lt;100)*(Mapa_RelFim+Limpeza_Min&gt;90))&gt;0,1,0)))</f>
        <v/>
      </c>
      <c r="AF21" s="15">
        <f>IF(OR('Mapa do Dia'!$A19="",'Calc'!$B11&lt;&gt;"Sala cirúrgica"),"",IF(SUMPRODUCT((Mapa_Sala='Mapa do Dia'!$N19)*(Mapa_Data=Data_Mapa)*(Mapa_MinOcup&gt;0)*(Mapa_RelIni&lt;110)*(Mapa_RelFim&gt;100))&gt;0,2,IF(SUMPRODUCT((Mapa_Sala='Mapa do Dia'!$N19)*(Mapa_Data=Data_Mapa)*(Mapa_MinOcup&gt;0)*(Mapa_RelFim&lt;110)*(Mapa_RelFim+Limpeza_Min&gt;100))&gt;0,1,0)))</f>
        <v/>
      </c>
      <c r="AG21" s="15">
        <f>IF(OR('Mapa do Dia'!$A19="",'Calc'!$B11&lt;&gt;"Sala cirúrgica"),"",IF(SUMPRODUCT((Mapa_Sala='Mapa do Dia'!$N19)*(Mapa_Data=Data_Mapa)*(Mapa_MinOcup&gt;0)*(Mapa_RelIni&lt;120)*(Mapa_RelFim&gt;110))&gt;0,2,IF(SUMPRODUCT((Mapa_Sala='Mapa do Dia'!$N19)*(Mapa_Data=Data_Mapa)*(Mapa_MinOcup&gt;0)*(Mapa_RelFim&lt;120)*(Mapa_RelFim+Limpeza_Min&gt;110))&gt;0,1,0)))</f>
        <v/>
      </c>
      <c r="AH21" s="15">
        <f>IF(OR('Mapa do Dia'!$A19="",'Calc'!$B11&lt;&gt;"Sala cirúrgica"),"",IF(SUMPRODUCT((Mapa_Sala='Mapa do Dia'!$N19)*(Mapa_Data=Data_Mapa)*(Mapa_MinOcup&gt;0)*(Mapa_RelIni&lt;130)*(Mapa_RelFim&gt;120))&gt;0,2,IF(SUMPRODUCT((Mapa_Sala='Mapa do Dia'!$N19)*(Mapa_Data=Data_Mapa)*(Mapa_MinOcup&gt;0)*(Mapa_RelFim&lt;130)*(Mapa_RelFim+Limpeza_Min&gt;120))&gt;0,1,0)))</f>
        <v/>
      </c>
      <c r="AI21" s="15">
        <f>IF(OR('Mapa do Dia'!$A19="",'Calc'!$B11&lt;&gt;"Sala cirúrgica"),"",IF(SUMPRODUCT((Mapa_Sala='Mapa do Dia'!$N19)*(Mapa_Data=Data_Mapa)*(Mapa_MinOcup&gt;0)*(Mapa_RelIni&lt;140)*(Mapa_RelFim&gt;130))&gt;0,2,IF(SUMPRODUCT((Mapa_Sala='Mapa do Dia'!$N19)*(Mapa_Data=Data_Mapa)*(Mapa_MinOcup&gt;0)*(Mapa_RelFim&lt;140)*(Mapa_RelFim+Limpeza_Min&gt;130))&gt;0,1,0)))</f>
        <v/>
      </c>
      <c r="AJ21" s="15">
        <f>IF(OR('Mapa do Dia'!$A19="",'Calc'!$B11&lt;&gt;"Sala cirúrgica"),"",IF(SUMPRODUCT((Mapa_Sala='Mapa do Dia'!$N19)*(Mapa_Data=Data_Mapa)*(Mapa_MinOcup&gt;0)*(Mapa_RelIni&lt;150)*(Mapa_RelFim&gt;140))&gt;0,2,IF(SUMPRODUCT((Mapa_Sala='Mapa do Dia'!$N19)*(Mapa_Data=Data_Mapa)*(Mapa_MinOcup&gt;0)*(Mapa_RelFim&lt;150)*(Mapa_RelFim+Limpeza_Min&gt;140))&gt;0,1,0)))</f>
        <v/>
      </c>
      <c r="AK21" s="15">
        <f>IF(OR('Mapa do Dia'!$A19="",'Calc'!$B11&lt;&gt;"Sala cirúrgica"),"",IF(SUMPRODUCT((Mapa_Sala='Mapa do Dia'!$N19)*(Mapa_Data=Data_Mapa)*(Mapa_MinOcup&gt;0)*(Mapa_RelIni&lt;160)*(Mapa_RelFim&gt;150))&gt;0,2,IF(SUMPRODUCT((Mapa_Sala='Mapa do Dia'!$N19)*(Mapa_Data=Data_Mapa)*(Mapa_MinOcup&gt;0)*(Mapa_RelFim&lt;160)*(Mapa_RelFim+Limpeza_Min&gt;150))&gt;0,1,0)))</f>
        <v/>
      </c>
      <c r="AL21" s="15">
        <f>IF(OR('Mapa do Dia'!$A19="",'Calc'!$B11&lt;&gt;"Sala cirúrgica"),"",IF(SUMPRODUCT((Mapa_Sala='Mapa do Dia'!$N19)*(Mapa_Data=Data_Mapa)*(Mapa_MinOcup&gt;0)*(Mapa_RelIni&lt;170)*(Mapa_RelFim&gt;160))&gt;0,2,IF(SUMPRODUCT((Mapa_Sala='Mapa do Dia'!$N19)*(Mapa_Data=Data_Mapa)*(Mapa_MinOcup&gt;0)*(Mapa_RelFim&lt;170)*(Mapa_RelFim+Limpeza_Min&gt;160))&gt;0,1,0)))</f>
        <v/>
      </c>
      <c r="AM21" s="15">
        <f>IF(OR('Mapa do Dia'!$A19="",'Calc'!$B11&lt;&gt;"Sala cirúrgica"),"",IF(SUMPRODUCT((Mapa_Sala='Mapa do Dia'!$N19)*(Mapa_Data=Data_Mapa)*(Mapa_MinOcup&gt;0)*(Mapa_RelIni&lt;180)*(Mapa_RelFim&gt;170))&gt;0,2,IF(SUMPRODUCT((Mapa_Sala='Mapa do Dia'!$N19)*(Mapa_Data=Data_Mapa)*(Mapa_MinOcup&gt;0)*(Mapa_RelFim&lt;180)*(Mapa_RelFim+Limpeza_Min&gt;170))&gt;0,1,0)))</f>
        <v/>
      </c>
      <c r="AN21" s="15">
        <f>IF(OR('Mapa do Dia'!$A19="",'Calc'!$B11&lt;&gt;"Sala cirúrgica"),"",IF(SUMPRODUCT((Mapa_Sala='Mapa do Dia'!$N19)*(Mapa_Data=Data_Mapa)*(Mapa_MinOcup&gt;0)*(Mapa_RelIni&lt;190)*(Mapa_RelFim&gt;180))&gt;0,2,IF(SUMPRODUCT((Mapa_Sala='Mapa do Dia'!$N19)*(Mapa_Data=Data_Mapa)*(Mapa_MinOcup&gt;0)*(Mapa_RelFim&lt;190)*(Mapa_RelFim+Limpeza_Min&gt;180))&gt;0,1,0)))</f>
        <v/>
      </c>
      <c r="AO21" s="15">
        <f>IF(OR('Mapa do Dia'!$A19="",'Calc'!$B11&lt;&gt;"Sala cirúrgica"),"",IF(SUMPRODUCT((Mapa_Sala='Mapa do Dia'!$N19)*(Mapa_Data=Data_Mapa)*(Mapa_MinOcup&gt;0)*(Mapa_RelIni&lt;200)*(Mapa_RelFim&gt;190))&gt;0,2,IF(SUMPRODUCT((Mapa_Sala='Mapa do Dia'!$N19)*(Mapa_Data=Data_Mapa)*(Mapa_MinOcup&gt;0)*(Mapa_RelFim&lt;200)*(Mapa_RelFim+Limpeza_Min&gt;190))&gt;0,1,0)))</f>
        <v/>
      </c>
      <c r="AP21" s="15">
        <f>IF(OR('Mapa do Dia'!$A19="",'Calc'!$B11&lt;&gt;"Sala cirúrgica"),"",IF(SUMPRODUCT((Mapa_Sala='Mapa do Dia'!$N19)*(Mapa_Data=Data_Mapa)*(Mapa_MinOcup&gt;0)*(Mapa_RelIni&lt;210)*(Mapa_RelFim&gt;200))&gt;0,2,IF(SUMPRODUCT((Mapa_Sala='Mapa do Dia'!$N19)*(Mapa_Data=Data_Mapa)*(Mapa_MinOcup&gt;0)*(Mapa_RelFim&lt;210)*(Mapa_RelFim+Limpeza_Min&gt;200))&gt;0,1,0)))</f>
        <v/>
      </c>
      <c r="AQ21" s="15">
        <f>IF(OR('Mapa do Dia'!$A19="",'Calc'!$B11&lt;&gt;"Sala cirúrgica"),"",IF(SUMPRODUCT((Mapa_Sala='Mapa do Dia'!$N19)*(Mapa_Data=Data_Mapa)*(Mapa_MinOcup&gt;0)*(Mapa_RelIni&lt;220)*(Mapa_RelFim&gt;210))&gt;0,2,IF(SUMPRODUCT((Mapa_Sala='Mapa do Dia'!$N19)*(Mapa_Data=Data_Mapa)*(Mapa_MinOcup&gt;0)*(Mapa_RelFim&lt;220)*(Mapa_RelFim+Limpeza_Min&gt;210))&gt;0,1,0)))</f>
        <v/>
      </c>
      <c r="AR21" s="15">
        <f>IF(OR('Mapa do Dia'!$A19="",'Calc'!$B11&lt;&gt;"Sala cirúrgica"),"",IF(SUMPRODUCT((Mapa_Sala='Mapa do Dia'!$N19)*(Mapa_Data=Data_Mapa)*(Mapa_MinOcup&gt;0)*(Mapa_RelIni&lt;230)*(Mapa_RelFim&gt;220))&gt;0,2,IF(SUMPRODUCT((Mapa_Sala='Mapa do Dia'!$N19)*(Mapa_Data=Data_Mapa)*(Mapa_MinOcup&gt;0)*(Mapa_RelFim&lt;230)*(Mapa_RelFim+Limpeza_Min&gt;220))&gt;0,1,0)))</f>
        <v/>
      </c>
      <c r="AS21" s="15">
        <f>IF(OR('Mapa do Dia'!$A19="",'Calc'!$B11&lt;&gt;"Sala cirúrgica"),"",IF(SUMPRODUCT((Mapa_Sala='Mapa do Dia'!$N19)*(Mapa_Data=Data_Mapa)*(Mapa_MinOcup&gt;0)*(Mapa_RelIni&lt;240)*(Mapa_RelFim&gt;230))&gt;0,2,IF(SUMPRODUCT((Mapa_Sala='Mapa do Dia'!$N19)*(Mapa_Data=Data_Mapa)*(Mapa_MinOcup&gt;0)*(Mapa_RelFim&lt;240)*(Mapa_RelFim+Limpeza_Min&gt;230))&gt;0,1,0)))</f>
        <v/>
      </c>
      <c r="AT21" s="15">
        <f>IF(OR('Mapa do Dia'!$A19="",'Calc'!$B11&lt;&gt;"Sala cirúrgica"),"",IF(SUMPRODUCT((Mapa_Sala='Mapa do Dia'!$N19)*(Mapa_Data=Data_Mapa)*(Mapa_MinOcup&gt;0)*(Mapa_RelIni&lt;250)*(Mapa_RelFim&gt;240))&gt;0,2,IF(SUMPRODUCT((Mapa_Sala='Mapa do Dia'!$N19)*(Mapa_Data=Data_Mapa)*(Mapa_MinOcup&gt;0)*(Mapa_RelFim&lt;250)*(Mapa_RelFim+Limpeza_Min&gt;240))&gt;0,1,0)))</f>
        <v/>
      </c>
      <c r="AU21" s="15">
        <f>IF(OR('Mapa do Dia'!$A19="",'Calc'!$B11&lt;&gt;"Sala cirúrgica"),"",IF(SUMPRODUCT((Mapa_Sala='Mapa do Dia'!$N19)*(Mapa_Data=Data_Mapa)*(Mapa_MinOcup&gt;0)*(Mapa_RelIni&lt;260)*(Mapa_RelFim&gt;250))&gt;0,2,IF(SUMPRODUCT((Mapa_Sala='Mapa do Dia'!$N19)*(Mapa_Data=Data_Mapa)*(Mapa_MinOcup&gt;0)*(Mapa_RelFim&lt;260)*(Mapa_RelFim+Limpeza_Min&gt;250))&gt;0,1,0)))</f>
        <v/>
      </c>
      <c r="AV21" s="15">
        <f>IF(OR('Mapa do Dia'!$A19="",'Calc'!$B11&lt;&gt;"Sala cirúrgica"),"",IF(SUMPRODUCT((Mapa_Sala='Mapa do Dia'!$N19)*(Mapa_Data=Data_Mapa)*(Mapa_MinOcup&gt;0)*(Mapa_RelIni&lt;270)*(Mapa_RelFim&gt;260))&gt;0,2,IF(SUMPRODUCT((Mapa_Sala='Mapa do Dia'!$N19)*(Mapa_Data=Data_Mapa)*(Mapa_MinOcup&gt;0)*(Mapa_RelFim&lt;270)*(Mapa_RelFim+Limpeza_Min&gt;260))&gt;0,1,0)))</f>
        <v/>
      </c>
      <c r="AW21" s="15">
        <f>IF(OR('Mapa do Dia'!$A19="",'Calc'!$B11&lt;&gt;"Sala cirúrgica"),"",IF(SUMPRODUCT((Mapa_Sala='Mapa do Dia'!$N19)*(Mapa_Data=Data_Mapa)*(Mapa_MinOcup&gt;0)*(Mapa_RelIni&lt;280)*(Mapa_RelFim&gt;270))&gt;0,2,IF(SUMPRODUCT((Mapa_Sala='Mapa do Dia'!$N19)*(Mapa_Data=Data_Mapa)*(Mapa_MinOcup&gt;0)*(Mapa_RelFim&lt;280)*(Mapa_RelFim+Limpeza_Min&gt;270))&gt;0,1,0)))</f>
        <v/>
      </c>
      <c r="AX21" s="15">
        <f>IF(OR('Mapa do Dia'!$A19="",'Calc'!$B11&lt;&gt;"Sala cirúrgica"),"",IF(SUMPRODUCT((Mapa_Sala='Mapa do Dia'!$N19)*(Mapa_Data=Data_Mapa)*(Mapa_MinOcup&gt;0)*(Mapa_RelIni&lt;290)*(Mapa_RelFim&gt;280))&gt;0,2,IF(SUMPRODUCT((Mapa_Sala='Mapa do Dia'!$N19)*(Mapa_Data=Data_Mapa)*(Mapa_MinOcup&gt;0)*(Mapa_RelFim&lt;290)*(Mapa_RelFim+Limpeza_Min&gt;280))&gt;0,1,0)))</f>
        <v/>
      </c>
      <c r="AY21" s="15">
        <f>IF(OR('Mapa do Dia'!$A19="",'Calc'!$B11&lt;&gt;"Sala cirúrgica"),"",IF(SUMPRODUCT((Mapa_Sala='Mapa do Dia'!$N19)*(Mapa_Data=Data_Mapa)*(Mapa_MinOcup&gt;0)*(Mapa_RelIni&lt;300)*(Mapa_RelFim&gt;290))&gt;0,2,IF(SUMPRODUCT((Mapa_Sala='Mapa do Dia'!$N19)*(Mapa_Data=Data_Mapa)*(Mapa_MinOcup&gt;0)*(Mapa_RelFim&lt;300)*(Mapa_RelFim+Limpeza_Min&gt;290))&gt;0,1,0)))</f>
        <v/>
      </c>
      <c r="AZ21" s="15">
        <f>IF(OR('Mapa do Dia'!$A19="",'Calc'!$B11&lt;&gt;"Sala cirúrgica"),"",IF(SUMPRODUCT((Mapa_Sala='Mapa do Dia'!$N19)*(Mapa_Data=Data_Mapa)*(Mapa_MinOcup&gt;0)*(Mapa_RelIni&lt;310)*(Mapa_RelFim&gt;300))&gt;0,2,IF(SUMPRODUCT((Mapa_Sala='Mapa do Dia'!$N19)*(Mapa_Data=Data_Mapa)*(Mapa_MinOcup&gt;0)*(Mapa_RelFim&lt;310)*(Mapa_RelFim+Limpeza_Min&gt;300))&gt;0,1,0)))</f>
        <v/>
      </c>
      <c r="BA21" s="15">
        <f>IF(OR('Mapa do Dia'!$A19="",'Calc'!$B11&lt;&gt;"Sala cirúrgica"),"",IF(SUMPRODUCT((Mapa_Sala='Mapa do Dia'!$N19)*(Mapa_Data=Data_Mapa)*(Mapa_MinOcup&gt;0)*(Mapa_RelIni&lt;320)*(Mapa_RelFim&gt;310))&gt;0,2,IF(SUMPRODUCT((Mapa_Sala='Mapa do Dia'!$N19)*(Mapa_Data=Data_Mapa)*(Mapa_MinOcup&gt;0)*(Mapa_RelFim&lt;320)*(Mapa_RelFim+Limpeza_Min&gt;310))&gt;0,1,0)))</f>
        <v/>
      </c>
      <c r="BB21" s="15">
        <f>IF(OR('Mapa do Dia'!$A19="",'Calc'!$B11&lt;&gt;"Sala cirúrgica"),"",IF(SUMPRODUCT((Mapa_Sala='Mapa do Dia'!$N19)*(Mapa_Data=Data_Mapa)*(Mapa_MinOcup&gt;0)*(Mapa_RelIni&lt;330)*(Mapa_RelFim&gt;320))&gt;0,2,IF(SUMPRODUCT((Mapa_Sala='Mapa do Dia'!$N19)*(Mapa_Data=Data_Mapa)*(Mapa_MinOcup&gt;0)*(Mapa_RelFim&lt;330)*(Mapa_RelFim+Limpeza_Min&gt;320))&gt;0,1,0)))</f>
        <v/>
      </c>
      <c r="BC21" s="15">
        <f>IF(OR('Mapa do Dia'!$A19="",'Calc'!$B11&lt;&gt;"Sala cirúrgica"),"",IF(SUMPRODUCT((Mapa_Sala='Mapa do Dia'!$N19)*(Mapa_Data=Data_Mapa)*(Mapa_MinOcup&gt;0)*(Mapa_RelIni&lt;340)*(Mapa_RelFim&gt;330))&gt;0,2,IF(SUMPRODUCT((Mapa_Sala='Mapa do Dia'!$N19)*(Mapa_Data=Data_Mapa)*(Mapa_MinOcup&gt;0)*(Mapa_RelFim&lt;340)*(Mapa_RelFim+Limpeza_Min&gt;330))&gt;0,1,0)))</f>
        <v/>
      </c>
      <c r="BD21" s="15">
        <f>IF(OR('Mapa do Dia'!$A19="",'Calc'!$B11&lt;&gt;"Sala cirúrgica"),"",IF(SUMPRODUCT((Mapa_Sala='Mapa do Dia'!$N19)*(Mapa_Data=Data_Mapa)*(Mapa_MinOcup&gt;0)*(Mapa_RelIni&lt;350)*(Mapa_RelFim&gt;340))&gt;0,2,IF(SUMPRODUCT((Mapa_Sala='Mapa do Dia'!$N19)*(Mapa_Data=Data_Mapa)*(Mapa_MinOcup&gt;0)*(Mapa_RelFim&lt;350)*(Mapa_RelFim+Limpeza_Min&gt;340))&gt;0,1,0)))</f>
        <v/>
      </c>
      <c r="BE21" s="15">
        <f>IF(OR('Mapa do Dia'!$A19="",'Calc'!$B11&lt;&gt;"Sala cirúrgica"),"",IF(SUMPRODUCT((Mapa_Sala='Mapa do Dia'!$N19)*(Mapa_Data=Data_Mapa)*(Mapa_MinOcup&gt;0)*(Mapa_RelIni&lt;360)*(Mapa_RelFim&gt;350))&gt;0,2,IF(SUMPRODUCT((Mapa_Sala='Mapa do Dia'!$N19)*(Mapa_Data=Data_Mapa)*(Mapa_MinOcup&gt;0)*(Mapa_RelFim&lt;360)*(Mapa_RelFim+Limpeza_Min&gt;350))&gt;0,1,0)))</f>
        <v/>
      </c>
      <c r="BF21">
        <f>IF('Mapa do Dia'!$A19="","",'Mapa do Dia'!$F19)</f>
        <v/>
      </c>
    </row>
    <row r="22" ht="17" customHeight="1">
      <c r="A22" s="13">
        <f>IF('Mapa do Dia'!$A20="","",'Mapa do Dia'!$A20)</f>
        <v/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14">
        <f>IF('Mapa do Dia'!$A20="","",IF('Mapa do Dia'!$D20="","(falta escalar)",IFERROR(INDEX(Equipe_Curto,MATCH('Mapa do Dia'!$D20,Equipe_Nome,0)),'Mapa do Dia'!$D20))&amp;IF('Mapa do Dia'!$B20&lt;2,"",IF('Mapa do Dia'!$E20="", " · (falta escalar)"," · "&amp;IFERROR(INDEX(Equipe_Curto,MATCH('Mapa do Dia'!$E20,Equipe_Nome,0)),'Mapa do Dia'!$E20))))</f>
        <v/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15">
        <f>IF(OR('Mapa do Dia'!$A20="",'Calc'!$B12&lt;&gt;"Sala cirúrgica"),"",IF(SUMPRODUCT((Mapa_Sala='Mapa do Dia'!$N20)*(Mapa_Data=Data_Mapa)*(Mapa_MinOcup&gt;0)*(Mapa_RelIni&lt;10)*(Mapa_RelFim&gt;0))&gt;0,2,IF(SUMPRODUCT((Mapa_Sala='Mapa do Dia'!$N20)*(Mapa_Data=Data_Mapa)*(Mapa_MinOcup&gt;0)*(Mapa_RelFim&lt;10)*(Mapa_RelFim+Limpeza_Min&gt;0))&gt;0,1,0)))</f>
        <v/>
      </c>
      <c r="W22" s="15">
        <f>IF(OR('Mapa do Dia'!$A20="",'Calc'!$B12&lt;&gt;"Sala cirúrgica"),"",IF(SUMPRODUCT((Mapa_Sala='Mapa do Dia'!$N20)*(Mapa_Data=Data_Mapa)*(Mapa_MinOcup&gt;0)*(Mapa_RelIni&lt;20)*(Mapa_RelFim&gt;10))&gt;0,2,IF(SUMPRODUCT((Mapa_Sala='Mapa do Dia'!$N20)*(Mapa_Data=Data_Mapa)*(Mapa_MinOcup&gt;0)*(Mapa_RelFim&lt;20)*(Mapa_RelFim+Limpeza_Min&gt;10))&gt;0,1,0)))</f>
        <v/>
      </c>
      <c r="X22" s="15">
        <f>IF(OR('Mapa do Dia'!$A20="",'Calc'!$B12&lt;&gt;"Sala cirúrgica"),"",IF(SUMPRODUCT((Mapa_Sala='Mapa do Dia'!$N20)*(Mapa_Data=Data_Mapa)*(Mapa_MinOcup&gt;0)*(Mapa_RelIni&lt;30)*(Mapa_RelFim&gt;20))&gt;0,2,IF(SUMPRODUCT((Mapa_Sala='Mapa do Dia'!$N20)*(Mapa_Data=Data_Mapa)*(Mapa_MinOcup&gt;0)*(Mapa_RelFim&lt;30)*(Mapa_RelFim+Limpeza_Min&gt;20))&gt;0,1,0)))</f>
        <v/>
      </c>
      <c r="Y22" s="15">
        <f>IF(OR('Mapa do Dia'!$A20="",'Calc'!$B12&lt;&gt;"Sala cirúrgica"),"",IF(SUMPRODUCT((Mapa_Sala='Mapa do Dia'!$N20)*(Mapa_Data=Data_Mapa)*(Mapa_MinOcup&gt;0)*(Mapa_RelIni&lt;40)*(Mapa_RelFim&gt;30))&gt;0,2,IF(SUMPRODUCT((Mapa_Sala='Mapa do Dia'!$N20)*(Mapa_Data=Data_Mapa)*(Mapa_MinOcup&gt;0)*(Mapa_RelFim&lt;40)*(Mapa_RelFim+Limpeza_Min&gt;30))&gt;0,1,0)))</f>
        <v/>
      </c>
      <c r="Z22" s="15">
        <f>IF(OR('Mapa do Dia'!$A20="",'Calc'!$B12&lt;&gt;"Sala cirúrgica"),"",IF(SUMPRODUCT((Mapa_Sala='Mapa do Dia'!$N20)*(Mapa_Data=Data_Mapa)*(Mapa_MinOcup&gt;0)*(Mapa_RelIni&lt;50)*(Mapa_RelFim&gt;40))&gt;0,2,IF(SUMPRODUCT((Mapa_Sala='Mapa do Dia'!$N20)*(Mapa_Data=Data_Mapa)*(Mapa_MinOcup&gt;0)*(Mapa_RelFim&lt;50)*(Mapa_RelFim+Limpeza_Min&gt;40))&gt;0,1,0)))</f>
        <v/>
      </c>
      <c r="AA22" s="15">
        <f>IF(OR('Mapa do Dia'!$A20="",'Calc'!$B12&lt;&gt;"Sala cirúrgica"),"",IF(SUMPRODUCT((Mapa_Sala='Mapa do Dia'!$N20)*(Mapa_Data=Data_Mapa)*(Mapa_MinOcup&gt;0)*(Mapa_RelIni&lt;60)*(Mapa_RelFim&gt;50))&gt;0,2,IF(SUMPRODUCT((Mapa_Sala='Mapa do Dia'!$N20)*(Mapa_Data=Data_Mapa)*(Mapa_MinOcup&gt;0)*(Mapa_RelFim&lt;60)*(Mapa_RelFim+Limpeza_Min&gt;50))&gt;0,1,0)))</f>
        <v/>
      </c>
      <c r="AB22" s="15">
        <f>IF(OR('Mapa do Dia'!$A20="",'Calc'!$B12&lt;&gt;"Sala cirúrgica"),"",IF(SUMPRODUCT((Mapa_Sala='Mapa do Dia'!$N20)*(Mapa_Data=Data_Mapa)*(Mapa_MinOcup&gt;0)*(Mapa_RelIni&lt;70)*(Mapa_RelFim&gt;60))&gt;0,2,IF(SUMPRODUCT((Mapa_Sala='Mapa do Dia'!$N20)*(Mapa_Data=Data_Mapa)*(Mapa_MinOcup&gt;0)*(Mapa_RelFim&lt;70)*(Mapa_RelFim+Limpeza_Min&gt;60))&gt;0,1,0)))</f>
        <v/>
      </c>
      <c r="AC22" s="15">
        <f>IF(OR('Mapa do Dia'!$A20="",'Calc'!$B12&lt;&gt;"Sala cirúrgica"),"",IF(SUMPRODUCT((Mapa_Sala='Mapa do Dia'!$N20)*(Mapa_Data=Data_Mapa)*(Mapa_MinOcup&gt;0)*(Mapa_RelIni&lt;80)*(Mapa_RelFim&gt;70))&gt;0,2,IF(SUMPRODUCT((Mapa_Sala='Mapa do Dia'!$N20)*(Mapa_Data=Data_Mapa)*(Mapa_MinOcup&gt;0)*(Mapa_RelFim&lt;80)*(Mapa_RelFim+Limpeza_Min&gt;70))&gt;0,1,0)))</f>
        <v/>
      </c>
      <c r="AD22" s="15">
        <f>IF(OR('Mapa do Dia'!$A20="",'Calc'!$B12&lt;&gt;"Sala cirúrgica"),"",IF(SUMPRODUCT((Mapa_Sala='Mapa do Dia'!$N20)*(Mapa_Data=Data_Mapa)*(Mapa_MinOcup&gt;0)*(Mapa_RelIni&lt;90)*(Mapa_RelFim&gt;80))&gt;0,2,IF(SUMPRODUCT((Mapa_Sala='Mapa do Dia'!$N20)*(Mapa_Data=Data_Mapa)*(Mapa_MinOcup&gt;0)*(Mapa_RelFim&lt;90)*(Mapa_RelFim+Limpeza_Min&gt;80))&gt;0,1,0)))</f>
        <v/>
      </c>
      <c r="AE22" s="15">
        <f>IF(OR('Mapa do Dia'!$A20="",'Calc'!$B12&lt;&gt;"Sala cirúrgica"),"",IF(SUMPRODUCT((Mapa_Sala='Mapa do Dia'!$N20)*(Mapa_Data=Data_Mapa)*(Mapa_MinOcup&gt;0)*(Mapa_RelIni&lt;100)*(Mapa_RelFim&gt;90))&gt;0,2,IF(SUMPRODUCT((Mapa_Sala='Mapa do Dia'!$N20)*(Mapa_Data=Data_Mapa)*(Mapa_MinOcup&gt;0)*(Mapa_RelFim&lt;100)*(Mapa_RelFim+Limpeza_Min&gt;90))&gt;0,1,0)))</f>
        <v/>
      </c>
      <c r="AF22" s="15">
        <f>IF(OR('Mapa do Dia'!$A20="",'Calc'!$B12&lt;&gt;"Sala cirúrgica"),"",IF(SUMPRODUCT((Mapa_Sala='Mapa do Dia'!$N20)*(Mapa_Data=Data_Mapa)*(Mapa_MinOcup&gt;0)*(Mapa_RelIni&lt;110)*(Mapa_RelFim&gt;100))&gt;0,2,IF(SUMPRODUCT((Mapa_Sala='Mapa do Dia'!$N20)*(Mapa_Data=Data_Mapa)*(Mapa_MinOcup&gt;0)*(Mapa_RelFim&lt;110)*(Mapa_RelFim+Limpeza_Min&gt;100))&gt;0,1,0)))</f>
        <v/>
      </c>
      <c r="AG22" s="15">
        <f>IF(OR('Mapa do Dia'!$A20="",'Calc'!$B12&lt;&gt;"Sala cirúrgica"),"",IF(SUMPRODUCT((Mapa_Sala='Mapa do Dia'!$N20)*(Mapa_Data=Data_Mapa)*(Mapa_MinOcup&gt;0)*(Mapa_RelIni&lt;120)*(Mapa_RelFim&gt;110))&gt;0,2,IF(SUMPRODUCT((Mapa_Sala='Mapa do Dia'!$N20)*(Mapa_Data=Data_Mapa)*(Mapa_MinOcup&gt;0)*(Mapa_RelFim&lt;120)*(Mapa_RelFim+Limpeza_Min&gt;110))&gt;0,1,0)))</f>
        <v/>
      </c>
      <c r="AH22" s="15">
        <f>IF(OR('Mapa do Dia'!$A20="",'Calc'!$B12&lt;&gt;"Sala cirúrgica"),"",IF(SUMPRODUCT((Mapa_Sala='Mapa do Dia'!$N20)*(Mapa_Data=Data_Mapa)*(Mapa_MinOcup&gt;0)*(Mapa_RelIni&lt;130)*(Mapa_RelFim&gt;120))&gt;0,2,IF(SUMPRODUCT((Mapa_Sala='Mapa do Dia'!$N20)*(Mapa_Data=Data_Mapa)*(Mapa_MinOcup&gt;0)*(Mapa_RelFim&lt;130)*(Mapa_RelFim+Limpeza_Min&gt;120))&gt;0,1,0)))</f>
        <v/>
      </c>
      <c r="AI22" s="15">
        <f>IF(OR('Mapa do Dia'!$A20="",'Calc'!$B12&lt;&gt;"Sala cirúrgica"),"",IF(SUMPRODUCT((Mapa_Sala='Mapa do Dia'!$N20)*(Mapa_Data=Data_Mapa)*(Mapa_MinOcup&gt;0)*(Mapa_RelIni&lt;140)*(Mapa_RelFim&gt;130))&gt;0,2,IF(SUMPRODUCT((Mapa_Sala='Mapa do Dia'!$N20)*(Mapa_Data=Data_Mapa)*(Mapa_MinOcup&gt;0)*(Mapa_RelFim&lt;140)*(Mapa_RelFim+Limpeza_Min&gt;130))&gt;0,1,0)))</f>
        <v/>
      </c>
      <c r="AJ22" s="15">
        <f>IF(OR('Mapa do Dia'!$A20="",'Calc'!$B12&lt;&gt;"Sala cirúrgica"),"",IF(SUMPRODUCT((Mapa_Sala='Mapa do Dia'!$N20)*(Mapa_Data=Data_Mapa)*(Mapa_MinOcup&gt;0)*(Mapa_RelIni&lt;150)*(Mapa_RelFim&gt;140))&gt;0,2,IF(SUMPRODUCT((Mapa_Sala='Mapa do Dia'!$N20)*(Mapa_Data=Data_Mapa)*(Mapa_MinOcup&gt;0)*(Mapa_RelFim&lt;150)*(Mapa_RelFim+Limpeza_Min&gt;140))&gt;0,1,0)))</f>
        <v/>
      </c>
      <c r="AK22" s="15">
        <f>IF(OR('Mapa do Dia'!$A20="",'Calc'!$B12&lt;&gt;"Sala cirúrgica"),"",IF(SUMPRODUCT((Mapa_Sala='Mapa do Dia'!$N20)*(Mapa_Data=Data_Mapa)*(Mapa_MinOcup&gt;0)*(Mapa_RelIni&lt;160)*(Mapa_RelFim&gt;150))&gt;0,2,IF(SUMPRODUCT((Mapa_Sala='Mapa do Dia'!$N20)*(Mapa_Data=Data_Mapa)*(Mapa_MinOcup&gt;0)*(Mapa_RelFim&lt;160)*(Mapa_RelFim+Limpeza_Min&gt;150))&gt;0,1,0)))</f>
        <v/>
      </c>
      <c r="AL22" s="15">
        <f>IF(OR('Mapa do Dia'!$A20="",'Calc'!$B12&lt;&gt;"Sala cirúrgica"),"",IF(SUMPRODUCT((Mapa_Sala='Mapa do Dia'!$N20)*(Mapa_Data=Data_Mapa)*(Mapa_MinOcup&gt;0)*(Mapa_RelIni&lt;170)*(Mapa_RelFim&gt;160))&gt;0,2,IF(SUMPRODUCT((Mapa_Sala='Mapa do Dia'!$N20)*(Mapa_Data=Data_Mapa)*(Mapa_MinOcup&gt;0)*(Mapa_RelFim&lt;170)*(Mapa_RelFim+Limpeza_Min&gt;160))&gt;0,1,0)))</f>
        <v/>
      </c>
      <c r="AM22" s="15">
        <f>IF(OR('Mapa do Dia'!$A20="",'Calc'!$B12&lt;&gt;"Sala cirúrgica"),"",IF(SUMPRODUCT((Mapa_Sala='Mapa do Dia'!$N20)*(Mapa_Data=Data_Mapa)*(Mapa_MinOcup&gt;0)*(Mapa_RelIni&lt;180)*(Mapa_RelFim&gt;170))&gt;0,2,IF(SUMPRODUCT((Mapa_Sala='Mapa do Dia'!$N20)*(Mapa_Data=Data_Mapa)*(Mapa_MinOcup&gt;0)*(Mapa_RelFim&lt;180)*(Mapa_RelFim+Limpeza_Min&gt;170))&gt;0,1,0)))</f>
        <v/>
      </c>
      <c r="AN22" s="15">
        <f>IF(OR('Mapa do Dia'!$A20="",'Calc'!$B12&lt;&gt;"Sala cirúrgica"),"",IF(SUMPRODUCT((Mapa_Sala='Mapa do Dia'!$N20)*(Mapa_Data=Data_Mapa)*(Mapa_MinOcup&gt;0)*(Mapa_RelIni&lt;190)*(Mapa_RelFim&gt;180))&gt;0,2,IF(SUMPRODUCT((Mapa_Sala='Mapa do Dia'!$N20)*(Mapa_Data=Data_Mapa)*(Mapa_MinOcup&gt;0)*(Mapa_RelFim&lt;190)*(Mapa_RelFim+Limpeza_Min&gt;180))&gt;0,1,0)))</f>
        <v/>
      </c>
      <c r="AO22" s="15">
        <f>IF(OR('Mapa do Dia'!$A20="",'Calc'!$B12&lt;&gt;"Sala cirúrgica"),"",IF(SUMPRODUCT((Mapa_Sala='Mapa do Dia'!$N20)*(Mapa_Data=Data_Mapa)*(Mapa_MinOcup&gt;0)*(Mapa_RelIni&lt;200)*(Mapa_RelFim&gt;190))&gt;0,2,IF(SUMPRODUCT((Mapa_Sala='Mapa do Dia'!$N20)*(Mapa_Data=Data_Mapa)*(Mapa_MinOcup&gt;0)*(Mapa_RelFim&lt;200)*(Mapa_RelFim+Limpeza_Min&gt;190))&gt;0,1,0)))</f>
        <v/>
      </c>
      <c r="AP22" s="15">
        <f>IF(OR('Mapa do Dia'!$A20="",'Calc'!$B12&lt;&gt;"Sala cirúrgica"),"",IF(SUMPRODUCT((Mapa_Sala='Mapa do Dia'!$N20)*(Mapa_Data=Data_Mapa)*(Mapa_MinOcup&gt;0)*(Mapa_RelIni&lt;210)*(Mapa_RelFim&gt;200))&gt;0,2,IF(SUMPRODUCT((Mapa_Sala='Mapa do Dia'!$N20)*(Mapa_Data=Data_Mapa)*(Mapa_MinOcup&gt;0)*(Mapa_RelFim&lt;210)*(Mapa_RelFim+Limpeza_Min&gt;200))&gt;0,1,0)))</f>
        <v/>
      </c>
      <c r="AQ22" s="15">
        <f>IF(OR('Mapa do Dia'!$A20="",'Calc'!$B12&lt;&gt;"Sala cirúrgica"),"",IF(SUMPRODUCT((Mapa_Sala='Mapa do Dia'!$N20)*(Mapa_Data=Data_Mapa)*(Mapa_MinOcup&gt;0)*(Mapa_RelIni&lt;220)*(Mapa_RelFim&gt;210))&gt;0,2,IF(SUMPRODUCT((Mapa_Sala='Mapa do Dia'!$N20)*(Mapa_Data=Data_Mapa)*(Mapa_MinOcup&gt;0)*(Mapa_RelFim&lt;220)*(Mapa_RelFim+Limpeza_Min&gt;210))&gt;0,1,0)))</f>
        <v/>
      </c>
      <c r="AR22" s="15">
        <f>IF(OR('Mapa do Dia'!$A20="",'Calc'!$B12&lt;&gt;"Sala cirúrgica"),"",IF(SUMPRODUCT((Mapa_Sala='Mapa do Dia'!$N20)*(Mapa_Data=Data_Mapa)*(Mapa_MinOcup&gt;0)*(Mapa_RelIni&lt;230)*(Mapa_RelFim&gt;220))&gt;0,2,IF(SUMPRODUCT((Mapa_Sala='Mapa do Dia'!$N20)*(Mapa_Data=Data_Mapa)*(Mapa_MinOcup&gt;0)*(Mapa_RelFim&lt;230)*(Mapa_RelFim+Limpeza_Min&gt;220))&gt;0,1,0)))</f>
        <v/>
      </c>
      <c r="AS22" s="15">
        <f>IF(OR('Mapa do Dia'!$A20="",'Calc'!$B12&lt;&gt;"Sala cirúrgica"),"",IF(SUMPRODUCT((Mapa_Sala='Mapa do Dia'!$N20)*(Mapa_Data=Data_Mapa)*(Mapa_MinOcup&gt;0)*(Mapa_RelIni&lt;240)*(Mapa_RelFim&gt;230))&gt;0,2,IF(SUMPRODUCT((Mapa_Sala='Mapa do Dia'!$N20)*(Mapa_Data=Data_Mapa)*(Mapa_MinOcup&gt;0)*(Mapa_RelFim&lt;240)*(Mapa_RelFim+Limpeza_Min&gt;230))&gt;0,1,0)))</f>
        <v/>
      </c>
      <c r="AT22" s="15">
        <f>IF(OR('Mapa do Dia'!$A20="",'Calc'!$B12&lt;&gt;"Sala cirúrgica"),"",IF(SUMPRODUCT((Mapa_Sala='Mapa do Dia'!$N20)*(Mapa_Data=Data_Mapa)*(Mapa_MinOcup&gt;0)*(Mapa_RelIni&lt;250)*(Mapa_RelFim&gt;240))&gt;0,2,IF(SUMPRODUCT((Mapa_Sala='Mapa do Dia'!$N20)*(Mapa_Data=Data_Mapa)*(Mapa_MinOcup&gt;0)*(Mapa_RelFim&lt;250)*(Mapa_RelFim+Limpeza_Min&gt;240))&gt;0,1,0)))</f>
        <v/>
      </c>
      <c r="AU22" s="15">
        <f>IF(OR('Mapa do Dia'!$A20="",'Calc'!$B12&lt;&gt;"Sala cirúrgica"),"",IF(SUMPRODUCT((Mapa_Sala='Mapa do Dia'!$N20)*(Mapa_Data=Data_Mapa)*(Mapa_MinOcup&gt;0)*(Mapa_RelIni&lt;260)*(Mapa_RelFim&gt;250))&gt;0,2,IF(SUMPRODUCT((Mapa_Sala='Mapa do Dia'!$N20)*(Mapa_Data=Data_Mapa)*(Mapa_MinOcup&gt;0)*(Mapa_RelFim&lt;260)*(Mapa_RelFim+Limpeza_Min&gt;250))&gt;0,1,0)))</f>
        <v/>
      </c>
      <c r="AV22" s="15">
        <f>IF(OR('Mapa do Dia'!$A20="",'Calc'!$B12&lt;&gt;"Sala cirúrgica"),"",IF(SUMPRODUCT((Mapa_Sala='Mapa do Dia'!$N20)*(Mapa_Data=Data_Mapa)*(Mapa_MinOcup&gt;0)*(Mapa_RelIni&lt;270)*(Mapa_RelFim&gt;260))&gt;0,2,IF(SUMPRODUCT((Mapa_Sala='Mapa do Dia'!$N20)*(Mapa_Data=Data_Mapa)*(Mapa_MinOcup&gt;0)*(Mapa_RelFim&lt;270)*(Mapa_RelFim+Limpeza_Min&gt;260))&gt;0,1,0)))</f>
        <v/>
      </c>
      <c r="AW22" s="15">
        <f>IF(OR('Mapa do Dia'!$A20="",'Calc'!$B12&lt;&gt;"Sala cirúrgica"),"",IF(SUMPRODUCT((Mapa_Sala='Mapa do Dia'!$N20)*(Mapa_Data=Data_Mapa)*(Mapa_MinOcup&gt;0)*(Mapa_RelIni&lt;280)*(Mapa_RelFim&gt;270))&gt;0,2,IF(SUMPRODUCT((Mapa_Sala='Mapa do Dia'!$N20)*(Mapa_Data=Data_Mapa)*(Mapa_MinOcup&gt;0)*(Mapa_RelFim&lt;280)*(Mapa_RelFim+Limpeza_Min&gt;270))&gt;0,1,0)))</f>
        <v/>
      </c>
      <c r="AX22" s="15">
        <f>IF(OR('Mapa do Dia'!$A20="",'Calc'!$B12&lt;&gt;"Sala cirúrgica"),"",IF(SUMPRODUCT((Mapa_Sala='Mapa do Dia'!$N20)*(Mapa_Data=Data_Mapa)*(Mapa_MinOcup&gt;0)*(Mapa_RelIni&lt;290)*(Mapa_RelFim&gt;280))&gt;0,2,IF(SUMPRODUCT((Mapa_Sala='Mapa do Dia'!$N20)*(Mapa_Data=Data_Mapa)*(Mapa_MinOcup&gt;0)*(Mapa_RelFim&lt;290)*(Mapa_RelFim+Limpeza_Min&gt;280))&gt;0,1,0)))</f>
        <v/>
      </c>
      <c r="AY22" s="15">
        <f>IF(OR('Mapa do Dia'!$A20="",'Calc'!$B12&lt;&gt;"Sala cirúrgica"),"",IF(SUMPRODUCT((Mapa_Sala='Mapa do Dia'!$N20)*(Mapa_Data=Data_Mapa)*(Mapa_MinOcup&gt;0)*(Mapa_RelIni&lt;300)*(Mapa_RelFim&gt;290))&gt;0,2,IF(SUMPRODUCT((Mapa_Sala='Mapa do Dia'!$N20)*(Mapa_Data=Data_Mapa)*(Mapa_MinOcup&gt;0)*(Mapa_RelFim&lt;300)*(Mapa_RelFim+Limpeza_Min&gt;290))&gt;0,1,0)))</f>
        <v/>
      </c>
      <c r="AZ22" s="15">
        <f>IF(OR('Mapa do Dia'!$A20="",'Calc'!$B12&lt;&gt;"Sala cirúrgica"),"",IF(SUMPRODUCT((Mapa_Sala='Mapa do Dia'!$N20)*(Mapa_Data=Data_Mapa)*(Mapa_MinOcup&gt;0)*(Mapa_RelIni&lt;310)*(Mapa_RelFim&gt;300))&gt;0,2,IF(SUMPRODUCT((Mapa_Sala='Mapa do Dia'!$N20)*(Mapa_Data=Data_Mapa)*(Mapa_MinOcup&gt;0)*(Mapa_RelFim&lt;310)*(Mapa_RelFim+Limpeza_Min&gt;300))&gt;0,1,0)))</f>
        <v/>
      </c>
      <c r="BA22" s="15">
        <f>IF(OR('Mapa do Dia'!$A20="",'Calc'!$B12&lt;&gt;"Sala cirúrgica"),"",IF(SUMPRODUCT((Mapa_Sala='Mapa do Dia'!$N20)*(Mapa_Data=Data_Mapa)*(Mapa_MinOcup&gt;0)*(Mapa_RelIni&lt;320)*(Mapa_RelFim&gt;310))&gt;0,2,IF(SUMPRODUCT((Mapa_Sala='Mapa do Dia'!$N20)*(Mapa_Data=Data_Mapa)*(Mapa_MinOcup&gt;0)*(Mapa_RelFim&lt;320)*(Mapa_RelFim+Limpeza_Min&gt;310))&gt;0,1,0)))</f>
        <v/>
      </c>
      <c r="BB22" s="15">
        <f>IF(OR('Mapa do Dia'!$A20="",'Calc'!$B12&lt;&gt;"Sala cirúrgica"),"",IF(SUMPRODUCT((Mapa_Sala='Mapa do Dia'!$N20)*(Mapa_Data=Data_Mapa)*(Mapa_MinOcup&gt;0)*(Mapa_RelIni&lt;330)*(Mapa_RelFim&gt;320))&gt;0,2,IF(SUMPRODUCT((Mapa_Sala='Mapa do Dia'!$N20)*(Mapa_Data=Data_Mapa)*(Mapa_MinOcup&gt;0)*(Mapa_RelFim&lt;330)*(Mapa_RelFim+Limpeza_Min&gt;320))&gt;0,1,0)))</f>
        <v/>
      </c>
      <c r="BC22" s="15">
        <f>IF(OR('Mapa do Dia'!$A20="",'Calc'!$B12&lt;&gt;"Sala cirúrgica"),"",IF(SUMPRODUCT((Mapa_Sala='Mapa do Dia'!$N20)*(Mapa_Data=Data_Mapa)*(Mapa_MinOcup&gt;0)*(Mapa_RelIni&lt;340)*(Mapa_RelFim&gt;330))&gt;0,2,IF(SUMPRODUCT((Mapa_Sala='Mapa do Dia'!$N20)*(Mapa_Data=Data_Mapa)*(Mapa_MinOcup&gt;0)*(Mapa_RelFim&lt;340)*(Mapa_RelFim+Limpeza_Min&gt;330))&gt;0,1,0)))</f>
        <v/>
      </c>
      <c r="BD22" s="15">
        <f>IF(OR('Mapa do Dia'!$A20="",'Calc'!$B12&lt;&gt;"Sala cirúrgica"),"",IF(SUMPRODUCT((Mapa_Sala='Mapa do Dia'!$N20)*(Mapa_Data=Data_Mapa)*(Mapa_MinOcup&gt;0)*(Mapa_RelIni&lt;350)*(Mapa_RelFim&gt;340))&gt;0,2,IF(SUMPRODUCT((Mapa_Sala='Mapa do Dia'!$N20)*(Mapa_Data=Data_Mapa)*(Mapa_MinOcup&gt;0)*(Mapa_RelFim&lt;350)*(Mapa_RelFim+Limpeza_Min&gt;340))&gt;0,1,0)))</f>
        <v/>
      </c>
      <c r="BE22" s="15">
        <f>IF(OR('Mapa do Dia'!$A20="",'Calc'!$B12&lt;&gt;"Sala cirúrgica"),"",IF(SUMPRODUCT((Mapa_Sala='Mapa do Dia'!$N20)*(Mapa_Data=Data_Mapa)*(Mapa_MinOcup&gt;0)*(Mapa_RelIni&lt;360)*(Mapa_RelFim&gt;350))&gt;0,2,IF(SUMPRODUCT((Mapa_Sala='Mapa do Dia'!$N20)*(Mapa_Data=Data_Mapa)*(Mapa_MinOcup&gt;0)*(Mapa_RelFim&lt;360)*(Mapa_RelFim+Limpeza_Min&gt;350))&gt;0,1,0)))</f>
        <v/>
      </c>
      <c r="BF22">
        <f>IF('Mapa do Dia'!$A20="","",'Mapa do Dia'!$F20)</f>
        <v/>
      </c>
    </row>
    <row r="23" ht="17" customHeight="1">
      <c r="A23" s="13">
        <f>IF('Mapa do Dia'!$A21="","",'Mapa do Dia'!$A21)</f>
        <v/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14">
        <f>IF('Mapa do Dia'!$A21="","",IF('Mapa do Dia'!$D21="","(falta escalar)",IFERROR(INDEX(Equipe_Curto,MATCH('Mapa do Dia'!$D21,Equipe_Nome,0)),'Mapa do Dia'!$D21))&amp;IF('Mapa do Dia'!$B21&lt;2,"",IF('Mapa do Dia'!$E21="", " · (falta escalar)"," · "&amp;IFERROR(INDEX(Equipe_Curto,MATCH('Mapa do Dia'!$E21,Equipe_Nome,0)),'Mapa do Dia'!$E21))))</f>
        <v/>
      </c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15">
        <f>IF(OR('Mapa do Dia'!$A21="",'Calc'!$B13&lt;&gt;"Sala cirúrgica"),"",IF(SUMPRODUCT((Mapa_Sala='Mapa do Dia'!$N21)*(Mapa_Data=Data_Mapa)*(Mapa_MinOcup&gt;0)*(Mapa_RelIni&lt;10)*(Mapa_RelFim&gt;0))&gt;0,2,IF(SUMPRODUCT((Mapa_Sala='Mapa do Dia'!$N21)*(Mapa_Data=Data_Mapa)*(Mapa_MinOcup&gt;0)*(Mapa_RelFim&lt;10)*(Mapa_RelFim+Limpeza_Min&gt;0))&gt;0,1,0)))</f>
        <v/>
      </c>
      <c r="W23" s="15">
        <f>IF(OR('Mapa do Dia'!$A21="",'Calc'!$B13&lt;&gt;"Sala cirúrgica"),"",IF(SUMPRODUCT((Mapa_Sala='Mapa do Dia'!$N21)*(Mapa_Data=Data_Mapa)*(Mapa_MinOcup&gt;0)*(Mapa_RelIni&lt;20)*(Mapa_RelFim&gt;10))&gt;0,2,IF(SUMPRODUCT((Mapa_Sala='Mapa do Dia'!$N21)*(Mapa_Data=Data_Mapa)*(Mapa_MinOcup&gt;0)*(Mapa_RelFim&lt;20)*(Mapa_RelFim+Limpeza_Min&gt;10))&gt;0,1,0)))</f>
        <v/>
      </c>
      <c r="X23" s="15">
        <f>IF(OR('Mapa do Dia'!$A21="",'Calc'!$B13&lt;&gt;"Sala cirúrgica"),"",IF(SUMPRODUCT((Mapa_Sala='Mapa do Dia'!$N21)*(Mapa_Data=Data_Mapa)*(Mapa_MinOcup&gt;0)*(Mapa_RelIni&lt;30)*(Mapa_RelFim&gt;20))&gt;0,2,IF(SUMPRODUCT((Mapa_Sala='Mapa do Dia'!$N21)*(Mapa_Data=Data_Mapa)*(Mapa_MinOcup&gt;0)*(Mapa_RelFim&lt;30)*(Mapa_RelFim+Limpeza_Min&gt;20))&gt;0,1,0)))</f>
        <v/>
      </c>
      <c r="Y23" s="15">
        <f>IF(OR('Mapa do Dia'!$A21="",'Calc'!$B13&lt;&gt;"Sala cirúrgica"),"",IF(SUMPRODUCT((Mapa_Sala='Mapa do Dia'!$N21)*(Mapa_Data=Data_Mapa)*(Mapa_MinOcup&gt;0)*(Mapa_RelIni&lt;40)*(Mapa_RelFim&gt;30))&gt;0,2,IF(SUMPRODUCT((Mapa_Sala='Mapa do Dia'!$N21)*(Mapa_Data=Data_Mapa)*(Mapa_MinOcup&gt;0)*(Mapa_RelFim&lt;40)*(Mapa_RelFim+Limpeza_Min&gt;30))&gt;0,1,0)))</f>
        <v/>
      </c>
      <c r="Z23" s="15">
        <f>IF(OR('Mapa do Dia'!$A21="",'Calc'!$B13&lt;&gt;"Sala cirúrgica"),"",IF(SUMPRODUCT((Mapa_Sala='Mapa do Dia'!$N21)*(Mapa_Data=Data_Mapa)*(Mapa_MinOcup&gt;0)*(Mapa_RelIni&lt;50)*(Mapa_RelFim&gt;40))&gt;0,2,IF(SUMPRODUCT((Mapa_Sala='Mapa do Dia'!$N21)*(Mapa_Data=Data_Mapa)*(Mapa_MinOcup&gt;0)*(Mapa_RelFim&lt;50)*(Mapa_RelFim+Limpeza_Min&gt;40))&gt;0,1,0)))</f>
        <v/>
      </c>
      <c r="AA23" s="15">
        <f>IF(OR('Mapa do Dia'!$A21="",'Calc'!$B13&lt;&gt;"Sala cirúrgica"),"",IF(SUMPRODUCT((Mapa_Sala='Mapa do Dia'!$N21)*(Mapa_Data=Data_Mapa)*(Mapa_MinOcup&gt;0)*(Mapa_RelIni&lt;60)*(Mapa_RelFim&gt;50))&gt;0,2,IF(SUMPRODUCT((Mapa_Sala='Mapa do Dia'!$N21)*(Mapa_Data=Data_Mapa)*(Mapa_MinOcup&gt;0)*(Mapa_RelFim&lt;60)*(Mapa_RelFim+Limpeza_Min&gt;50))&gt;0,1,0)))</f>
        <v/>
      </c>
      <c r="AB23" s="15">
        <f>IF(OR('Mapa do Dia'!$A21="",'Calc'!$B13&lt;&gt;"Sala cirúrgica"),"",IF(SUMPRODUCT((Mapa_Sala='Mapa do Dia'!$N21)*(Mapa_Data=Data_Mapa)*(Mapa_MinOcup&gt;0)*(Mapa_RelIni&lt;70)*(Mapa_RelFim&gt;60))&gt;0,2,IF(SUMPRODUCT((Mapa_Sala='Mapa do Dia'!$N21)*(Mapa_Data=Data_Mapa)*(Mapa_MinOcup&gt;0)*(Mapa_RelFim&lt;70)*(Mapa_RelFim+Limpeza_Min&gt;60))&gt;0,1,0)))</f>
        <v/>
      </c>
      <c r="AC23" s="15">
        <f>IF(OR('Mapa do Dia'!$A21="",'Calc'!$B13&lt;&gt;"Sala cirúrgica"),"",IF(SUMPRODUCT((Mapa_Sala='Mapa do Dia'!$N21)*(Mapa_Data=Data_Mapa)*(Mapa_MinOcup&gt;0)*(Mapa_RelIni&lt;80)*(Mapa_RelFim&gt;70))&gt;0,2,IF(SUMPRODUCT((Mapa_Sala='Mapa do Dia'!$N21)*(Mapa_Data=Data_Mapa)*(Mapa_MinOcup&gt;0)*(Mapa_RelFim&lt;80)*(Mapa_RelFim+Limpeza_Min&gt;70))&gt;0,1,0)))</f>
        <v/>
      </c>
      <c r="AD23" s="15">
        <f>IF(OR('Mapa do Dia'!$A21="",'Calc'!$B13&lt;&gt;"Sala cirúrgica"),"",IF(SUMPRODUCT((Mapa_Sala='Mapa do Dia'!$N21)*(Mapa_Data=Data_Mapa)*(Mapa_MinOcup&gt;0)*(Mapa_RelIni&lt;90)*(Mapa_RelFim&gt;80))&gt;0,2,IF(SUMPRODUCT((Mapa_Sala='Mapa do Dia'!$N21)*(Mapa_Data=Data_Mapa)*(Mapa_MinOcup&gt;0)*(Mapa_RelFim&lt;90)*(Mapa_RelFim+Limpeza_Min&gt;80))&gt;0,1,0)))</f>
        <v/>
      </c>
      <c r="AE23" s="15">
        <f>IF(OR('Mapa do Dia'!$A21="",'Calc'!$B13&lt;&gt;"Sala cirúrgica"),"",IF(SUMPRODUCT((Mapa_Sala='Mapa do Dia'!$N21)*(Mapa_Data=Data_Mapa)*(Mapa_MinOcup&gt;0)*(Mapa_RelIni&lt;100)*(Mapa_RelFim&gt;90))&gt;0,2,IF(SUMPRODUCT((Mapa_Sala='Mapa do Dia'!$N21)*(Mapa_Data=Data_Mapa)*(Mapa_MinOcup&gt;0)*(Mapa_RelFim&lt;100)*(Mapa_RelFim+Limpeza_Min&gt;90))&gt;0,1,0)))</f>
        <v/>
      </c>
      <c r="AF23" s="15">
        <f>IF(OR('Mapa do Dia'!$A21="",'Calc'!$B13&lt;&gt;"Sala cirúrgica"),"",IF(SUMPRODUCT((Mapa_Sala='Mapa do Dia'!$N21)*(Mapa_Data=Data_Mapa)*(Mapa_MinOcup&gt;0)*(Mapa_RelIni&lt;110)*(Mapa_RelFim&gt;100))&gt;0,2,IF(SUMPRODUCT((Mapa_Sala='Mapa do Dia'!$N21)*(Mapa_Data=Data_Mapa)*(Mapa_MinOcup&gt;0)*(Mapa_RelFim&lt;110)*(Mapa_RelFim+Limpeza_Min&gt;100))&gt;0,1,0)))</f>
        <v/>
      </c>
      <c r="AG23" s="15">
        <f>IF(OR('Mapa do Dia'!$A21="",'Calc'!$B13&lt;&gt;"Sala cirúrgica"),"",IF(SUMPRODUCT((Mapa_Sala='Mapa do Dia'!$N21)*(Mapa_Data=Data_Mapa)*(Mapa_MinOcup&gt;0)*(Mapa_RelIni&lt;120)*(Mapa_RelFim&gt;110))&gt;0,2,IF(SUMPRODUCT((Mapa_Sala='Mapa do Dia'!$N21)*(Mapa_Data=Data_Mapa)*(Mapa_MinOcup&gt;0)*(Mapa_RelFim&lt;120)*(Mapa_RelFim+Limpeza_Min&gt;110))&gt;0,1,0)))</f>
        <v/>
      </c>
      <c r="AH23" s="15">
        <f>IF(OR('Mapa do Dia'!$A21="",'Calc'!$B13&lt;&gt;"Sala cirúrgica"),"",IF(SUMPRODUCT((Mapa_Sala='Mapa do Dia'!$N21)*(Mapa_Data=Data_Mapa)*(Mapa_MinOcup&gt;0)*(Mapa_RelIni&lt;130)*(Mapa_RelFim&gt;120))&gt;0,2,IF(SUMPRODUCT((Mapa_Sala='Mapa do Dia'!$N21)*(Mapa_Data=Data_Mapa)*(Mapa_MinOcup&gt;0)*(Mapa_RelFim&lt;130)*(Mapa_RelFim+Limpeza_Min&gt;120))&gt;0,1,0)))</f>
        <v/>
      </c>
      <c r="AI23" s="15">
        <f>IF(OR('Mapa do Dia'!$A21="",'Calc'!$B13&lt;&gt;"Sala cirúrgica"),"",IF(SUMPRODUCT((Mapa_Sala='Mapa do Dia'!$N21)*(Mapa_Data=Data_Mapa)*(Mapa_MinOcup&gt;0)*(Mapa_RelIni&lt;140)*(Mapa_RelFim&gt;130))&gt;0,2,IF(SUMPRODUCT((Mapa_Sala='Mapa do Dia'!$N21)*(Mapa_Data=Data_Mapa)*(Mapa_MinOcup&gt;0)*(Mapa_RelFim&lt;140)*(Mapa_RelFim+Limpeza_Min&gt;130))&gt;0,1,0)))</f>
        <v/>
      </c>
      <c r="AJ23" s="15">
        <f>IF(OR('Mapa do Dia'!$A21="",'Calc'!$B13&lt;&gt;"Sala cirúrgica"),"",IF(SUMPRODUCT((Mapa_Sala='Mapa do Dia'!$N21)*(Mapa_Data=Data_Mapa)*(Mapa_MinOcup&gt;0)*(Mapa_RelIni&lt;150)*(Mapa_RelFim&gt;140))&gt;0,2,IF(SUMPRODUCT((Mapa_Sala='Mapa do Dia'!$N21)*(Mapa_Data=Data_Mapa)*(Mapa_MinOcup&gt;0)*(Mapa_RelFim&lt;150)*(Mapa_RelFim+Limpeza_Min&gt;140))&gt;0,1,0)))</f>
        <v/>
      </c>
      <c r="AK23" s="15">
        <f>IF(OR('Mapa do Dia'!$A21="",'Calc'!$B13&lt;&gt;"Sala cirúrgica"),"",IF(SUMPRODUCT((Mapa_Sala='Mapa do Dia'!$N21)*(Mapa_Data=Data_Mapa)*(Mapa_MinOcup&gt;0)*(Mapa_RelIni&lt;160)*(Mapa_RelFim&gt;150))&gt;0,2,IF(SUMPRODUCT((Mapa_Sala='Mapa do Dia'!$N21)*(Mapa_Data=Data_Mapa)*(Mapa_MinOcup&gt;0)*(Mapa_RelFim&lt;160)*(Mapa_RelFim+Limpeza_Min&gt;150))&gt;0,1,0)))</f>
        <v/>
      </c>
      <c r="AL23" s="15">
        <f>IF(OR('Mapa do Dia'!$A21="",'Calc'!$B13&lt;&gt;"Sala cirúrgica"),"",IF(SUMPRODUCT((Mapa_Sala='Mapa do Dia'!$N21)*(Mapa_Data=Data_Mapa)*(Mapa_MinOcup&gt;0)*(Mapa_RelIni&lt;170)*(Mapa_RelFim&gt;160))&gt;0,2,IF(SUMPRODUCT((Mapa_Sala='Mapa do Dia'!$N21)*(Mapa_Data=Data_Mapa)*(Mapa_MinOcup&gt;0)*(Mapa_RelFim&lt;170)*(Mapa_RelFim+Limpeza_Min&gt;160))&gt;0,1,0)))</f>
        <v/>
      </c>
      <c r="AM23" s="15">
        <f>IF(OR('Mapa do Dia'!$A21="",'Calc'!$B13&lt;&gt;"Sala cirúrgica"),"",IF(SUMPRODUCT((Mapa_Sala='Mapa do Dia'!$N21)*(Mapa_Data=Data_Mapa)*(Mapa_MinOcup&gt;0)*(Mapa_RelIni&lt;180)*(Mapa_RelFim&gt;170))&gt;0,2,IF(SUMPRODUCT((Mapa_Sala='Mapa do Dia'!$N21)*(Mapa_Data=Data_Mapa)*(Mapa_MinOcup&gt;0)*(Mapa_RelFim&lt;180)*(Mapa_RelFim+Limpeza_Min&gt;170))&gt;0,1,0)))</f>
        <v/>
      </c>
      <c r="AN23" s="15">
        <f>IF(OR('Mapa do Dia'!$A21="",'Calc'!$B13&lt;&gt;"Sala cirúrgica"),"",IF(SUMPRODUCT((Mapa_Sala='Mapa do Dia'!$N21)*(Mapa_Data=Data_Mapa)*(Mapa_MinOcup&gt;0)*(Mapa_RelIni&lt;190)*(Mapa_RelFim&gt;180))&gt;0,2,IF(SUMPRODUCT((Mapa_Sala='Mapa do Dia'!$N21)*(Mapa_Data=Data_Mapa)*(Mapa_MinOcup&gt;0)*(Mapa_RelFim&lt;190)*(Mapa_RelFim+Limpeza_Min&gt;180))&gt;0,1,0)))</f>
        <v/>
      </c>
      <c r="AO23" s="15">
        <f>IF(OR('Mapa do Dia'!$A21="",'Calc'!$B13&lt;&gt;"Sala cirúrgica"),"",IF(SUMPRODUCT((Mapa_Sala='Mapa do Dia'!$N21)*(Mapa_Data=Data_Mapa)*(Mapa_MinOcup&gt;0)*(Mapa_RelIni&lt;200)*(Mapa_RelFim&gt;190))&gt;0,2,IF(SUMPRODUCT((Mapa_Sala='Mapa do Dia'!$N21)*(Mapa_Data=Data_Mapa)*(Mapa_MinOcup&gt;0)*(Mapa_RelFim&lt;200)*(Mapa_RelFim+Limpeza_Min&gt;190))&gt;0,1,0)))</f>
        <v/>
      </c>
      <c r="AP23" s="15">
        <f>IF(OR('Mapa do Dia'!$A21="",'Calc'!$B13&lt;&gt;"Sala cirúrgica"),"",IF(SUMPRODUCT((Mapa_Sala='Mapa do Dia'!$N21)*(Mapa_Data=Data_Mapa)*(Mapa_MinOcup&gt;0)*(Mapa_RelIni&lt;210)*(Mapa_RelFim&gt;200))&gt;0,2,IF(SUMPRODUCT((Mapa_Sala='Mapa do Dia'!$N21)*(Mapa_Data=Data_Mapa)*(Mapa_MinOcup&gt;0)*(Mapa_RelFim&lt;210)*(Mapa_RelFim+Limpeza_Min&gt;200))&gt;0,1,0)))</f>
        <v/>
      </c>
      <c r="AQ23" s="15">
        <f>IF(OR('Mapa do Dia'!$A21="",'Calc'!$B13&lt;&gt;"Sala cirúrgica"),"",IF(SUMPRODUCT((Mapa_Sala='Mapa do Dia'!$N21)*(Mapa_Data=Data_Mapa)*(Mapa_MinOcup&gt;0)*(Mapa_RelIni&lt;220)*(Mapa_RelFim&gt;210))&gt;0,2,IF(SUMPRODUCT((Mapa_Sala='Mapa do Dia'!$N21)*(Mapa_Data=Data_Mapa)*(Mapa_MinOcup&gt;0)*(Mapa_RelFim&lt;220)*(Mapa_RelFim+Limpeza_Min&gt;210))&gt;0,1,0)))</f>
        <v/>
      </c>
      <c r="AR23" s="15">
        <f>IF(OR('Mapa do Dia'!$A21="",'Calc'!$B13&lt;&gt;"Sala cirúrgica"),"",IF(SUMPRODUCT((Mapa_Sala='Mapa do Dia'!$N21)*(Mapa_Data=Data_Mapa)*(Mapa_MinOcup&gt;0)*(Mapa_RelIni&lt;230)*(Mapa_RelFim&gt;220))&gt;0,2,IF(SUMPRODUCT((Mapa_Sala='Mapa do Dia'!$N21)*(Mapa_Data=Data_Mapa)*(Mapa_MinOcup&gt;0)*(Mapa_RelFim&lt;230)*(Mapa_RelFim+Limpeza_Min&gt;220))&gt;0,1,0)))</f>
        <v/>
      </c>
      <c r="AS23" s="15">
        <f>IF(OR('Mapa do Dia'!$A21="",'Calc'!$B13&lt;&gt;"Sala cirúrgica"),"",IF(SUMPRODUCT((Mapa_Sala='Mapa do Dia'!$N21)*(Mapa_Data=Data_Mapa)*(Mapa_MinOcup&gt;0)*(Mapa_RelIni&lt;240)*(Mapa_RelFim&gt;230))&gt;0,2,IF(SUMPRODUCT((Mapa_Sala='Mapa do Dia'!$N21)*(Mapa_Data=Data_Mapa)*(Mapa_MinOcup&gt;0)*(Mapa_RelFim&lt;240)*(Mapa_RelFim+Limpeza_Min&gt;230))&gt;0,1,0)))</f>
        <v/>
      </c>
      <c r="AT23" s="15">
        <f>IF(OR('Mapa do Dia'!$A21="",'Calc'!$B13&lt;&gt;"Sala cirúrgica"),"",IF(SUMPRODUCT((Mapa_Sala='Mapa do Dia'!$N21)*(Mapa_Data=Data_Mapa)*(Mapa_MinOcup&gt;0)*(Mapa_RelIni&lt;250)*(Mapa_RelFim&gt;240))&gt;0,2,IF(SUMPRODUCT((Mapa_Sala='Mapa do Dia'!$N21)*(Mapa_Data=Data_Mapa)*(Mapa_MinOcup&gt;0)*(Mapa_RelFim&lt;250)*(Mapa_RelFim+Limpeza_Min&gt;240))&gt;0,1,0)))</f>
        <v/>
      </c>
      <c r="AU23" s="15">
        <f>IF(OR('Mapa do Dia'!$A21="",'Calc'!$B13&lt;&gt;"Sala cirúrgica"),"",IF(SUMPRODUCT((Mapa_Sala='Mapa do Dia'!$N21)*(Mapa_Data=Data_Mapa)*(Mapa_MinOcup&gt;0)*(Mapa_RelIni&lt;260)*(Mapa_RelFim&gt;250))&gt;0,2,IF(SUMPRODUCT((Mapa_Sala='Mapa do Dia'!$N21)*(Mapa_Data=Data_Mapa)*(Mapa_MinOcup&gt;0)*(Mapa_RelFim&lt;260)*(Mapa_RelFim+Limpeza_Min&gt;250))&gt;0,1,0)))</f>
        <v/>
      </c>
      <c r="AV23" s="15">
        <f>IF(OR('Mapa do Dia'!$A21="",'Calc'!$B13&lt;&gt;"Sala cirúrgica"),"",IF(SUMPRODUCT((Mapa_Sala='Mapa do Dia'!$N21)*(Mapa_Data=Data_Mapa)*(Mapa_MinOcup&gt;0)*(Mapa_RelIni&lt;270)*(Mapa_RelFim&gt;260))&gt;0,2,IF(SUMPRODUCT((Mapa_Sala='Mapa do Dia'!$N21)*(Mapa_Data=Data_Mapa)*(Mapa_MinOcup&gt;0)*(Mapa_RelFim&lt;270)*(Mapa_RelFim+Limpeza_Min&gt;260))&gt;0,1,0)))</f>
        <v/>
      </c>
      <c r="AW23" s="15">
        <f>IF(OR('Mapa do Dia'!$A21="",'Calc'!$B13&lt;&gt;"Sala cirúrgica"),"",IF(SUMPRODUCT((Mapa_Sala='Mapa do Dia'!$N21)*(Mapa_Data=Data_Mapa)*(Mapa_MinOcup&gt;0)*(Mapa_RelIni&lt;280)*(Mapa_RelFim&gt;270))&gt;0,2,IF(SUMPRODUCT((Mapa_Sala='Mapa do Dia'!$N21)*(Mapa_Data=Data_Mapa)*(Mapa_MinOcup&gt;0)*(Mapa_RelFim&lt;280)*(Mapa_RelFim+Limpeza_Min&gt;270))&gt;0,1,0)))</f>
        <v/>
      </c>
      <c r="AX23" s="15">
        <f>IF(OR('Mapa do Dia'!$A21="",'Calc'!$B13&lt;&gt;"Sala cirúrgica"),"",IF(SUMPRODUCT((Mapa_Sala='Mapa do Dia'!$N21)*(Mapa_Data=Data_Mapa)*(Mapa_MinOcup&gt;0)*(Mapa_RelIni&lt;290)*(Mapa_RelFim&gt;280))&gt;0,2,IF(SUMPRODUCT((Mapa_Sala='Mapa do Dia'!$N21)*(Mapa_Data=Data_Mapa)*(Mapa_MinOcup&gt;0)*(Mapa_RelFim&lt;290)*(Mapa_RelFim+Limpeza_Min&gt;280))&gt;0,1,0)))</f>
        <v/>
      </c>
      <c r="AY23" s="15">
        <f>IF(OR('Mapa do Dia'!$A21="",'Calc'!$B13&lt;&gt;"Sala cirúrgica"),"",IF(SUMPRODUCT((Mapa_Sala='Mapa do Dia'!$N21)*(Mapa_Data=Data_Mapa)*(Mapa_MinOcup&gt;0)*(Mapa_RelIni&lt;300)*(Mapa_RelFim&gt;290))&gt;0,2,IF(SUMPRODUCT((Mapa_Sala='Mapa do Dia'!$N21)*(Mapa_Data=Data_Mapa)*(Mapa_MinOcup&gt;0)*(Mapa_RelFim&lt;300)*(Mapa_RelFim+Limpeza_Min&gt;290))&gt;0,1,0)))</f>
        <v/>
      </c>
      <c r="AZ23" s="15">
        <f>IF(OR('Mapa do Dia'!$A21="",'Calc'!$B13&lt;&gt;"Sala cirúrgica"),"",IF(SUMPRODUCT((Mapa_Sala='Mapa do Dia'!$N21)*(Mapa_Data=Data_Mapa)*(Mapa_MinOcup&gt;0)*(Mapa_RelIni&lt;310)*(Mapa_RelFim&gt;300))&gt;0,2,IF(SUMPRODUCT((Mapa_Sala='Mapa do Dia'!$N21)*(Mapa_Data=Data_Mapa)*(Mapa_MinOcup&gt;0)*(Mapa_RelFim&lt;310)*(Mapa_RelFim+Limpeza_Min&gt;300))&gt;0,1,0)))</f>
        <v/>
      </c>
      <c r="BA23" s="15">
        <f>IF(OR('Mapa do Dia'!$A21="",'Calc'!$B13&lt;&gt;"Sala cirúrgica"),"",IF(SUMPRODUCT((Mapa_Sala='Mapa do Dia'!$N21)*(Mapa_Data=Data_Mapa)*(Mapa_MinOcup&gt;0)*(Mapa_RelIni&lt;320)*(Mapa_RelFim&gt;310))&gt;0,2,IF(SUMPRODUCT((Mapa_Sala='Mapa do Dia'!$N21)*(Mapa_Data=Data_Mapa)*(Mapa_MinOcup&gt;0)*(Mapa_RelFim&lt;320)*(Mapa_RelFim+Limpeza_Min&gt;310))&gt;0,1,0)))</f>
        <v/>
      </c>
      <c r="BB23" s="15">
        <f>IF(OR('Mapa do Dia'!$A21="",'Calc'!$B13&lt;&gt;"Sala cirúrgica"),"",IF(SUMPRODUCT((Mapa_Sala='Mapa do Dia'!$N21)*(Mapa_Data=Data_Mapa)*(Mapa_MinOcup&gt;0)*(Mapa_RelIni&lt;330)*(Mapa_RelFim&gt;320))&gt;0,2,IF(SUMPRODUCT((Mapa_Sala='Mapa do Dia'!$N21)*(Mapa_Data=Data_Mapa)*(Mapa_MinOcup&gt;0)*(Mapa_RelFim&lt;330)*(Mapa_RelFim+Limpeza_Min&gt;320))&gt;0,1,0)))</f>
        <v/>
      </c>
      <c r="BC23" s="15">
        <f>IF(OR('Mapa do Dia'!$A21="",'Calc'!$B13&lt;&gt;"Sala cirúrgica"),"",IF(SUMPRODUCT((Mapa_Sala='Mapa do Dia'!$N21)*(Mapa_Data=Data_Mapa)*(Mapa_MinOcup&gt;0)*(Mapa_RelIni&lt;340)*(Mapa_RelFim&gt;330))&gt;0,2,IF(SUMPRODUCT((Mapa_Sala='Mapa do Dia'!$N21)*(Mapa_Data=Data_Mapa)*(Mapa_MinOcup&gt;0)*(Mapa_RelFim&lt;340)*(Mapa_RelFim+Limpeza_Min&gt;330))&gt;0,1,0)))</f>
        <v/>
      </c>
      <c r="BD23" s="15">
        <f>IF(OR('Mapa do Dia'!$A21="",'Calc'!$B13&lt;&gt;"Sala cirúrgica"),"",IF(SUMPRODUCT((Mapa_Sala='Mapa do Dia'!$N21)*(Mapa_Data=Data_Mapa)*(Mapa_MinOcup&gt;0)*(Mapa_RelIni&lt;350)*(Mapa_RelFim&gt;340))&gt;0,2,IF(SUMPRODUCT((Mapa_Sala='Mapa do Dia'!$N21)*(Mapa_Data=Data_Mapa)*(Mapa_MinOcup&gt;0)*(Mapa_RelFim&lt;350)*(Mapa_RelFim+Limpeza_Min&gt;340))&gt;0,1,0)))</f>
        <v/>
      </c>
      <c r="BE23" s="15">
        <f>IF(OR('Mapa do Dia'!$A21="",'Calc'!$B13&lt;&gt;"Sala cirúrgica"),"",IF(SUMPRODUCT((Mapa_Sala='Mapa do Dia'!$N21)*(Mapa_Data=Data_Mapa)*(Mapa_MinOcup&gt;0)*(Mapa_RelIni&lt;360)*(Mapa_RelFim&gt;350))&gt;0,2,IF(SUMPRODUCT((Mapa_Sala='Mapa do Dia'!$N21)*(Mapa_Data=Data_Mapa)*(Mapa_MinOcup&gt;0)*(Mapa_RelFim&lt;360)*(Mapa_RelFim+Limpeza_Min&gt;350))&gt;0,1,0)))</f>
        <v/>
      </c>
      <c r="BF23">
        <f>IF('Mapa do Dia'!$A21="","",'Mapa do Dia'!$F21)</f>
        <v/>
      </c>
    </row>
    <row r="24" ht="17" customHeight="1">
      <c r="A24" s="13">
        <f>IF('Mapa do Dia'!$A22="","",'Mapa do Dia'!$A22)</f>
        <v/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14">
        <f>IF('Mapa do Dia'!$A22="","",IF('Mapa do Dia'!$D22="","(falta escalar)",IFERROR(INDEX(Equipe_Curto,MATCH('Mapa do Dia'!$D22,Equipe_Nome,0)),'Mapa do Dia'!$D22))&amp;IF('Mapa do Dia'!$B22&lt;2,"",IF('Mapa do Dia'!$E22="", " · (falta escalar)"," · "&amp;IFERROR(INDEX(Equipe_Curto,MATCH('Mapa do Dia'!$E22,Equipe_Nome,0)),'Mapa do Dia'!$E22))))</f>
        <v/>
      </c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15">
        <f>IF(OR('Mapa do Dia'!$A22="",'Calc'!$B14&lt;&gt;"Sala cirúrgica"),"",IF(SUMPRODUCT((Mapa_Sala='Mapa do Dia'!$N22)*(Mapa_Data=Data_Mapa)*(Mapa_MinOcup&gt;0)*(Mapa_RelIni&lt;10)*(Mapa_RelFim&gt;0))&gt;0,2,IF(SUMPRODUCT((Mapa_Sala='Mapa do Dia'!$N22)*(Mapa_Data=Data_Mapa)*(Mapa_MinOcup&gt;0)*(Mapa_RelFim&lt;10)*(Mapa_RelFim+Limpeza_Min&gt;0))&gt;0,1,0)))</f>
        <v/>
      </c>
      <c r="W24" s="15">
        <f>IF(OR('Mapa do Dia'!$A22="",'Calc'!$B14&lt;&gt;"Sala cirúrgica"),"",IF(SUMPRODUCT((Mapa_Sala='Mapa do Dia'!$N22)*(Mapa_Data=Data_Mapa)*(Mapa_MinOcup&gt;0)*(Mapa_RelIni&lt;20)*(Mapa_RelFim&gt;10))&gt;0,2,IF(SUMPRODUCT((Mapa_Sala='Mapa do Dia'!$N22)*(Mapa_Data=Data_Mapa)*(Mapa_MinOcup&gt;0)*(Mapa_RelFim&lt;20)*(Mapa_RelFim+Limpeza_Min&gt;10))&gt;0,1,0)))</f>
        <v/>
      </c>
      <c r="X24" s="15">
        <f>IF(OR('Mapa do Dia'!$A22="",'Calc'!$B14&lt;&gt;"Sala cirúrgica"),"",IF(SUMPRODUCT((Mapa_Sala='Mapa do Dia'!$N22)*(Mapa_Data=Data_Mapa)*(Mapa_MinOcup&gt;0)*(Mapa_RelIni&lt;30)*(Mapa_RelFim&gt;20))&gt;0,2,IF(SUMPRODUCT((Mapa_Sala='Mapa do Dia'!$N22)*(Mapa_Data=Data_Mapa)*(Mapa_MinOcup&gt;0)*(Mapa_RelFim&lt;30)*(Mapa_RelFim+Limpeza_Min&gt;20))&gt;0,1,0)))</f>
        <v/>
      </c>
      <c r="Y24" s="15">
        <f>IF(OR('Mapa do Dia'!$A22="",'Calc'!$B14&lt;&gt;"Sala cirúrgica"),"",IF(SUMPRODUCT((Mapa_Sala='Mapa do Dia'!$N22)*(Mapa_Data=Data_Mapa)*(Mapa_MinOcup&gt;0)*(Mapa_RelIni&lt;40)*(Mapa_RelFim&gt;30))&gt;0,2,IF(SUMPRODUCT((Mapa_Sala='Mapa do Dia'!$N22)*(Mapa_Data=Data_Mapa)*(Mapa_MinOcup&gt;0)*(Mapa_RelFim&lt;40)*(Mapa_RelFim+Limpeza_Min&gt;30))&gt;0,1,0)))</f>
        <v/>
      </c>
      <c r="Z24" s="15">
        <f>IF(OR('Mapa do Dia'!$A22="",'Calc'!$B14&lt;&gt;"Sala cirúrgica"),"",IF(SUMPRODUCT((Mapa_Sala='Mapa do Dia'!$N22)*(Mapa_Data=Data_Mapa)*(Mapa_MinOcup&gt;0)*(Mapa_RelIni&lt;50)*(Mapa_RelFim&gt;40))&gt;0,2,IF(SUMPRODUCT((Mapa_Sala='Mapa do Dia'!$N22)*(Mapa_Data=Data_Mapa)*(Mapa_MinOcup&gt;0)*(Mapa_RelFim&lt;50)*(Mapa_RelFim+Limpeza_Min&gt;40))&gt;0,1,0)))</f>
        <v/>
      </c>
      <c r="AA24" s="15">
        <f>IF(OR('Mapa do Dia'!$A22="",'Calc'!$B14&lt;&gt;"Sala cirúrgica"),"",IF(SUMPRODUCT((Mapa_Sala='Mapa do Dia'!$N22)*(Mapa_Data=Data_Mapa)*(Mapa_MinOcup&gt;0)*(Mapa_RelIni&lt;60)*(Mapa_RelFim&gt;50))&gt;0,2,IF(SUMPRODUCT((Mapa_Sala='Mapa do Dia'!$N22)*(Mapa_Data=Data_Mapa)*(Mapa_MinOcup&gt;0)*(Mapa_RelFim&lt;60)*(Mapa_RelFim+Limpeza_Min&gt;50))&gt;0,1,0)))</f>
        <v/>
      </c>
      <c r="AB24" s="15">
        <f>IF(OR('Mapa do Dia'!$A22="",'Calc'!$B14&lt;&gt;"Sala cirúrgica"),"",IF(SUMPRODUCT((Mapa_Sala='Mapa do Dia'!$N22)*(Mapa_Data=Data_Mapa)*(Mapa_MinOcup&gt;0)*(Mapa_RelIni&lt;70)*(Mapa_RelFim&gt;60))&gt;0,2,IF(SUMPRODUCT((Mapa_Sala='Mapa do Dia'!$N22)*(Mapa_Data=Data_Mapa)*(Mapa_MinOcup&gt;0)*(Mapa_RelFim&lt;70)*(Mapa_RelFim+Limpeza_Min&gt;60))&gt;0,1,0)))</f>
        <v/>
      </c>
      <c r="AC24" s="15">
        <f>IF(OR('Mapa do Dia'!$A22="",'Calc'!$B14&lt;&gt;"Sala cirúrgica"),"",IF(SUMPRODUCT((Mapa_Sala='Mapa do Dia'!$N22)*(Mapa_Data=Data_Mapa)*(Mapa_MinOcup&gt;0)*(Mapa_RelIni&lt;80)*(Mapa_RelFim&gt;70))&gt;0,2,IF(SUMPRODUCT((Mapa_Sala='Mapa do Dia'!$N22)*(Mapa_Data=Data_Mapa)*(Mapa_MinOcup&gt;0)*(Mapa_RelFim&lt;80)*(Mapa_RelFim+Limpeza_Min&gt;70))&gt;0,1,0)))</f>
        <v/>
      </c>
      <c r="AD24" s="15">
        <f>IF(OR('Mapa do Dia'!$A22="",'Calc'!$B14&lt;&gt;"Sala cirúrgica"),"",IF(SUMPRODUCT((Mapa_Sala='Mapa do Dia'!$N22)*(Mapa_Data=Data_Mapa)*(Mapa_MinOcup&gt;0)*(Mapa_RelIni&lt;90)*(Mapa_RelFim&gt;80))&gt;0,2,IF(SUMPRODUCT((Mapa_Sala='Mapa do Dia'!$N22)*(Mapa_Data=Data_Mapa)*(Mapa_MinOcup&gt;0)*(Mapa_RelFim&lt;90)*(Mapa_RelFim+Limpeza_Min&gt;80))&gt;0,1,0)))</f>
        <v/>
      </c>
      <c r="AE24" s="15">
        <f>IF(OR('Mapa do Dia'!$A22="",'Calc'!$B14&lt;&gt;"Sala cirúrgica"),"",IF(SUMPRODUCT((Mapa_Sala='Mapa do Dia'!$N22)*(Mapa_Data=Data_Mapa)*(Mapa_MinOcup&gt;0)*(Mapa_RelIni&lt;100)*(Mapa_RelFim&gt;90))&gt;0,2,IF(SUMPRODUCT((Mapa_Sala='Mapa do Dia'!$N22)*(Mapa_Data=Data_Mapa)*(Mapa_MinOcup&gt;0)*(Mapa_RelFim&lt;100)*(Mapa_RelFim+Limpeza_Min&gt;90))&gt;0,1,0)))</f>
        <v/>
      </c>
      <c r="AF24" s="15">
        <f>IF(OR('Mapa do Dia'!$A22="",'Calc'!$B14&lt;&gt;"Sala cirúrgica"),"",IF(SUMPRODUCT((Mapa_Sala='Mapa do Dia'!$N22)*(Mapa_Data=Data_Mapa)*(Mapa_MinOcup&gt;0)*(Mapa_RelIni&lt;110)*(Mapa_RelFim&gt;100))&gt;0,2,IF(SUMPRODUCT((Mapa_Sala='Mapa do Dia'!$N22)*(Mapa_Data=Data_Mapa)*(Mapa_MinOcup&gt;0)*(Mapa_RelFim&lt;110)*(Mapa_RelFim+Limpeza_Min&gt;100))&gt;0,1,0)))</f>
        <v/>
      </c>
      <c r="AG24" s="15">
        <f>IF(OR('Mapa do Dia'!$A22="",'Calc'!$B14&lt;&gt;"Sala cirúrgica"),"",IF(SUMPRODUCT((Mapa_Sala='Mapa do Dia'!$N22)*(Mapa_Data=Data_Mapa)*(Mapa_MinOcup&gt;0)*(Mapa_RelIni&lt;120)*(Mapa_RelFim&gt;110))&gt;0,2,IF(SUMPRODUCT((Mapa_Sala='Mapa do Dia'!$N22)*(Mapa_Data=Data_Mapa)*(Mapa_MinOcup&gt;0)*(Mapa_RelFim&lt;120)*(Mapa_RelFim+Limpeza_Min&gt;110))&gt;0,1,0)))</f>
        <v/>
      </c>
      <c r="AH24" s="15">
        <f>IF(OR('Mapa do Dia'!$A22="",'Calc'!$B14&lt;&gt;"Sala cirúrgica"),"",IF(SUMPRODUCT((Mapa_Sala='Mapa do Dia'!$N22)*(Mapa_Data=Data_Mapa)*(Mapa_MinOcup&gt;0)*(Mapa_RelIni&lt;130)*(Mapa_RelFim&gt;120))&gt;0,2,IF(SUMPRODUCT((Mapa_Sala='Mapa do Dia'!$N22)*(Mapa_Data=Data_Mapa)*(Mapa_MinOcup&gt;0)*(Mapa_RelFim&lt;130)*(Mapa_RelFim+Limpeza_Min&gt;120))&gt;0,1,0)))</f>
        <v/>
      </c>
      <c r="AI24" s="15">
        <f>IF(OR('Mapa do Dia'!$A22="",'Calc'!$B14&lt;&gt;"Sala cirúrgica"),"",IF(SUMPRODUCT((Mapa_Sala='Mapa do Dia'!$N22)*(Mapa_Data=Data_Mapa)*(Mapa_MinOcup&gt;0)*(Mapa_RelIni&lt;140)*(Mapa_RelFim&gt;130))&gt;0,2,IF(SUMPRODUCT((Mapa_Sala='Mapa do Dia'!$N22)*(Mapa_Data=Data_Mapa)*(Mapa_MinOcup&gt;0)*(Mapa_RelFim&lt;140)*(Mapa_RelFim+Limpeza_Min&gt;130))&gt;0,1,0)))</f>
        <v/>
      </c>
      <c r="AJ24" s="15">
        <f>IF(OR('Mapa do Dia'!$A22="",'Calc'!$B14&lt;&gt;"Sala cirúrgica"),"",IF(SUMPRODUCT((Mapa_Sala='Mapa do Dia'!$N22)*(Mapa_Data=Data_Mapa)*(Mapa_MinOcup&gt;0)*(Mapa_RelIni&lt;150)*(Mapa_RelFim&gt;140))&gt;0,2,IF(SUMPRODUCT((Mapa_Sala='Mapa do Dia'!$N22)*(Mapa_Data=Data_Mapa)*(Mapa_MinOcup&gt;0)*(Mapa_RelFim&lt;150)*(Mapa_RelFim+Limpeza_Min&gt;140))&gt;0,1,0)))</f>
        <v/>
      </c>
      <c r="AK24" s="15">
        <f>IF(OR('Mapa do Dia'!$A22="",'Calc'!$B14&lt;&gt;"Sala cirúrgica"),"",IF(SUMPRODUCT((Mapa_Sala='Mapa do Dia'!$N22)*(Mapa_Data=Data_Mapa)*(Mapa_MinOcup&gt;0)*(Mapa_RelIni&lt;160)*(Mapa_RelFim&gt;150))&gt;0,2,IF(SUMPRODUCT((Mapa_Sala='Mapa do Dia'!$N22)*(Mapa_Data=Data_Mapa)*(Mapa_MinOcup&gt;0)*(Mapa_RelFim&lt;160)*(Mapa_RelFim+Limpeza_Min&gt;150))&gt;0,1,0)))</f>
        <v/>
      </c>
      <c r="AL24" s="15">
        <f>IF(OR('Mapa do Dia'!$A22="",'Calc'!$B14&lt;&gt;"Sala cirúrgica"),"",IF(SUMPRODUCT((Mapa_Sala='Mapa do Dia'!$N22)*(Mapa_Data=Data_Mapa)*(Mapa_MinOcup&gt;0)*(Mapa_RelIni&lt;170)*(Mapa_RelFim&gt;160))&gt;0,2,IF(SUMPRODUCT((Mapa_Sala='Mapa do Dia'!$N22)*(Mapa_Data=Data_Mapa)*(Mapa_MinOcup&gt;0)*(Mapa_RelFim&lt;170)*(Mapa_RelFim+Limpeza_Min&gt;160))&gt;0,1,0)))</f>
        <v/>
      </c>
      <c r="AM24" s="15">
        <f>IF(OR('Mapa do Dia'!$A22="",'Calc'!$B14&lt;&gt;"Sala cirúrgica"),"",IF(SUMPRODUCT((Mapa_Sala='Mapa do Dia'!$N22)*(Mapa_Data=Data_Mapa)*(Mapa_MinOcup&gt;0)*(Mapa_RelIni&lt;180)*(Mapa_RelFim&gt;170))&gt;0,2,IF(SUMPRODUCT((Mapa_Sala='Mapa do Dia'!$N22)*(Mapa_Data=Data_Mapa)*(Mapa_MinOcup&gt;0)*(Mapa_RelFim&lt;180)*(Mapa_RelFim+Limpeza_Min&gt;170))&gt;0,1,0)))</f>
        <v/>
      </c>
      <c r="AN24" s="15">
        <f>IF(OR('Mapa do Dia'!$A22="",'Calc'!$B14&lt;&gt;"Sala cirúrgica"),"",IF(SUMPRODUCT((Mapa_Sala='Mapa do Dia'!$N22)*(Mapa_Data=Data_Mapa)*(Mapa_MinOcup&gt;0)*(Mapa_RelIni&lt;190)*(Mapa_RelFim&gt;180))&gt;0,2,IF(SUMPRODUCT((Mapa_Sala='Mapa do Dia'!$N22)*(Mapa_Data=Data_Mapa)*(Mapa_MinOcup&gt;0)*(Mapa_RelFim&lt;190)*(Mapa_RelFim+Limpeza_Min&gt;180))&gt;0,1,0)))</f>
        <v/>
      </c>
      <c r="AO24" s="15">
        <f>IF(OR('Mapa do Dia'!$A22="",'Calc'!$B14&lt;&gt;"Sala cirúrgica"),"",IF(SUMPRODUCT((Mapa_Sala='Mapa do Dia'!$N22)*(Mapa_Data=Data_Mapa)*(Mapa_MinOcup&gt;0)*(Mapa_RelIni&lt;200)*(Mapa_RelFim&gt;190))&gt;0,2,IF(SUMPRODUCT((Mapa_Sala='Mapa do Dia'!$N22)*(Mapa_Data=Data_Mapa)*(Mapa_MinOcup&gt;0)*(Mapa_RelFim&lt;200)*(Mapa_RelFim+Limpeza_Min&gt;190))&gt;0,1,0)))</f>
        <v/>
      </c>
      <c r="AP24" s="15">
        <f>IF(OR('Mapa do Dia'!$A22="",'Calc'!$B14&lt;&gt;"Sala cirúrgica"),"",IF(SUMPRODUCT((Mapa_Sala='Mapa do Dia'!$N22)*(Mapa_Data=Data_Mapa)*(Mapa_MinOcup&gt;0)*(Mapa_RelIni&lt;210)*(Mapa_RelFim&gt;200))&gt;0,2,IF(SUMPRODUCT((Mapa_Sala='Mapa do Dia'!$N22)*(Mapa_Data=Data_Mapa)*(Mapa_MinOcup&gt;0)*(Mapa_RelFim&lt;210)*(Mapa_RelFim+Limpeza_Min&gt;200))&gt;0,1,0)))</f>
        <v/>
      </c>
      <c r="AQ24" s="15">
        <f>IF(OR('Mapa do Dia'!$A22="",'Calc'!$B14&lt;&gt;"Sala cirúrgica"),"",IF(SUMPRODUCT((Mapa_Sala='Mapa do Dia'!$N22)*(Mapa_Data=Data_Mapa)*(Mapa_MinOcup&gt;0)*(Mapa_RelIni&lt;220)*(Mapa_RelFim&gt;210))&gt;0,2,IF(SUMPRODUCT((Mapa_Sala='Mapa do Dia'!$N22)*(Mapa_Data=Data_Mapa)*(Mapa_MinOcup&gt;0)*(Mapa_RelFim&lt;220)*(Mapa_RelFim+Limpeza_Min&gt;210))&gt;0,1,0)))</f>
        <v/>
      </c>
      <c r="AR24" s="15">
        <f>IF(OR('Mapa do Dia'!$A22="",'Calc'!$B14&lt;&gt;"Sala cirúrgica"),"",IF(SUMPRODUCT((Mapa_Sala='Mapa do Dia'!$N22)*(Mapa_Data=Data_Mapa)*(Mapa_MinOcup&gt;0)*(Mapa_RelIni&lt;230)*(Mapa_RelFim&gt;220))&gt;0,2,IF(SUMPRODUCT((Mapa_Sala='Mapa do Dia'!$N22)*(Mapa_Data=Data_Mapa)*(Mapa_MinOcup&gt;0)*(Mapa_RelFim&lt;230)*(Mapa_RelFim+Limpeza_Min&gt;220))&gt;0,1,0)))</f>
        <v/>
      </c>
      <c r="AS24" s="15">
        <f>IF(OR('Mapa do Dia'!$A22="",'Calc'!$B14&lt;&gt;"Sala cirúrgica"),"",IF(SUMPRODUCT((Mapa_Sala='Mapa do Dia'!$N22)*(Mapa_Data=Data_Mapa)*(Mapa_MinOcup&gt;0)*(Mapa_RelIni&lt;240)*(Mapa_RelFim&gt;230))&gt;0,2,IF(SUMPRODUCT((Mapa_Sala='Mapa do Dia'!$N22)*(Mapa_Data=Data_Mapa)*(Mapa_MinOcup&gt;0)*(Mapa_RelFim&lt;240)*(Mapa_RelFim+Limpeza_Min&gt;230))&gt;0,1,0)))</f>
        <v/>
      </c>
      <c r="AT24" s="15">
        <f>IF(OR('Mapa do Dia'!$A22="",'Calc'!$B14&lt;&gt;"Sala cirúrgica"),"",IF(SUMPRODUCT((Mapa_Sala='Mapa do Dia'!$N22)*(Mapa_Data=Data_Mapa)*(Mapa_MinOcup&gt;0)*(Mapa_RelIni&lt;250)*(Mapa_RelFim&gt;240))&gt;0,2,IF(SUMPRODUCT((Mapa_Sala='Mapa do Dia'!$N22)*(Mapa_Data=Data_Mapa)*(Mapa_MinOcup&gt;0)*(Mapa_RelFim&lt;250)*(Mapa_RelFim+Limpeza_Min&gt;240))&gt;0,1,0)))</f>
        <v/>
      </c>
      <c r="AU24" s="15">
        <f>IF(OR('Mapa do Dia'!$A22="",'Calc'!$B14&lt;&gt;"Sala cirúrgica"),"",IF(SUMPRODUCT((Mapa_Sala='Mapa do Dia'!$N22)*(Mapa_Data=Data_Mapa)*(Mapa_MinOcup&gt;0)*(Mapa_RelIni&lt;260)*(Mapa_RelFim&gt;250))&gt;0,2,IF(SUMPRODUCT((Mapa_Sala='Mapa do Dia'!$N22)*(Mapa_Data=Data_Mapa)*(Mapa_MinOcup&gt;0)*(Mapa_RelFim&lt;260)*(Mapa_RelFim+Limpeza_Min&gt;250))&gt;0,1,0)))</f>
        <v/>
      </c>
      <c r="AV24" s="15">
        <f>IF(OR('Mapa do Dia'!$A22="",'Calc'!$B14&lt;&gt;"Sala cirúrgica"),"",IF(SUMPRODUCT((Mapa_Sala='Mapa do Dia'!$N22)*(Mapa_Data=Data_Mapa)*(Mapa_MinOcup&gt;0)*(Mapa_RelIni&lt;270)*(Mapa_RelFim&gt;260))&gt;0,2,IF(SUMPRODUCT((Mapa_Sala='Mapa do Dia'!$N22)*(Mapa_Data=Data_Mapa)*(Mapa_MinOcup&gt;0)*(Mapa_RelFim&lt;270)*(Mapa_RelFim+Limpeza_Min&gt;260))&gt;0,1,0)))</f>
        <v/>
      </c>
      <c r="AW24" s="15">
        <f>IF(OR('Mapa do Dia'!$A22="",'Calc'!$B14&lt;&gt;"Sala cirúrgica"),"",IF(SUMPRODUCT((Mapa_Sala='Mapa do Dia'!$N22)*(Mapa_Data=Data_Mapa)*(Mapa_MinOcup&gt;0)*(Mapa_RelIni&lt;280)*(Mapa_RelFim&gt;270))&gt;0,2,IF(SUMPRODUCT((Mapa_Sala='Mapa do Dia'!$N22)*(Mapa_Data=Data_Mapa)*(Mapa_MinOcup&gt;0)*(Mapa_RelFim&lt;280)*(Mapa_RelFim+Limpeza_Min&gt;270))&gt;0,1,0)))</f>
        <v/>
      </c>
      <c r="AX24" s="15">
        <f>IF(OR('Mapa do Dia'!$A22="",'Calc'!$B14&lt;&gt;"Sala cirúrgica"),"",IF(SUMPRODUCT((Mapa_Sala='Mapa do Dia'!$N22)*(Mapa_Data=Data_Mapa)*(Mapa_MinOcup&gt;0)*(Mapa_RelIni&lt;290)*(Mapa_RelFim&gt;280))&gt;0,2,IF(SUMPRODUCT((Mapa_Sala='Mapa do Dia'!$N22)*(Mapa_Data=Data_Mapa)*(Mapa_MinOcup&gt;0)*(Mapa_RelFim&lt;290)*(Mapa_RelFim+Limpeza_Min&gt;280))&gt;0,1,0)))</f>
        <v/>
      </c>
      <c r="AY24" s="15">
        <f>IF(OR('Mapa do Dia'!$A22="",'Calc'!$B14&lt;&gt;"Sala cirúrgica"),"",IF(SUMPRODUCT((Mapa_Sala='Mapa do Dia'!$N22)*(Mapa_Data=Data_Mapa)*(Mapa_MinOcup&gt;0)*(Mapa_RelIni&lt;300)*(Mapa_RelFim&gt;290))&gt;0,2,IF(SUMPRODUCT((Mapa_Sala='Mapa do Dia'!$N22)*(Mapa_Data=Data_Mapa)*(Mapa_MinOcup&gt;0)*(Mapa_RelFim&lt;300)*(Mapa_RelFim+Limpeza_Min&gt;290))&gt;0,1,0)))</f>
        <v/>
      </c>
      <c r="AZ24" s="15">
        <f>IF(OR('Mapa do Dia'!$A22="",'Calc'!$B14&lt;&gt;"Sala cirúrgica"),"",IF(SUMPRODUCT((Mapa_Sala='Mapa do Dia'!$N22)*(Mapa_Data=Data_Mapa)*(Mapa_MinOcup&gt;0)*(Mapa_RelIni&lt;310)*(Mapa_RelFim&gt;300))&gt;0,2,IF(SUMPRODUCT((Mapa_Sala='Mapa do Dia'!$N22)*(Mapa_Data=Data_Mapa)*(Mapa_MinOcup&gt;0)*(Mapa_RelFim&lt;310)*(Mapa_RelFim+Limpeza_Min&gt;300))&gt;0,1,0)))</f>
        <v/>
      </c>
      <c r="BA24" s="15">
        <f>IF(OR('Mapa do Dia'!$A22="",'Calc'!$B14&lt;&gt;"Sala cirúrgica"),"",IF(SUMPRODUCT((Mapa_Sala='Mapa do Dia'!$N22)*(Mapa_Data=Data_Mapa)*(Mapa_MinOcup&gt;0)*(Mapa_RelIni&lt;320)*(Mapa_RelFim&gt;310))&gt;0,2,IF(SUMPRODUCT((Mapa_Sala='Mapa do Dia'!$N22)*(Mapa_Data=Data_Mapa)*(Mapa_MinOcup&gt;0)*(Mapa_RelFim&lt;320)*(Mapa_RelFim+Limpeza_Min&gt;310))&gt;0,1,0)))</f>
        <v/>
      </c>
      <c r="BB24" s="15">
        <f>IF(OR('Mapa do Dia'!$A22="",'Calc'!$B14&lt;&gt;"Sala cirúrgica"),"",IF(SUMPRODUCT((Mapa_Sala='Mapa do Dia'!$N22)*(Mapa_Data=Data_Mapa)*(Mapa_MinOcup&gt;0)*(Mapa_RelIni&lt;330)*(Mapa_RelFim&gt;320))&gt;0,2,IF(SUMPRODUCT((Mapa_Sala='Mapa do Dia'!$N22)*(Mapa_Data=Data_Mapa)*(Mapa_MinOcup&gt;0)*(Mapa_RelFim&lt;330)*(Mapa_RelFim+Limpeza_Min&gt;320))&gt;0,1,0)))</f>
        <v/>
      </c>
      <c r="BC24" s="15">
        <f>IF(OR('Mapa do Dia'!$A22="",'Calc'!$B14&lt;&gt;"Sala cirúrgica"),"",IF(SUMPRODUCT((Mapa_Sala='Mapa do Dia'!$N22)*(Mapa_Data=Data_Mapa)*(Mapa_MinOcup&gt;0)*(Mapa_RelIni&lt;340)*(Mapa_RelFim&gt;330))&gt;0,2,IF(SUMPRODUCT((Mapa_Sala='Mapa do Dia'!$N22)*(Mapa_Data=Data_Mapa)*(Mapa_MinOcup&gt;0)*(Mapa_RelFim&lt;340)*(Mapa_RelFim+Limpeza_Min&gt;330))&gt;0,1,0)))</f>
        <v/>
      </c>
      <c r="BD24" s="15">
        <f>IF(OR('Mapa do Dia'!$A22="",'Calc'!$B14&lt;&gt;"Sala cirúrgica"),"",IF(SUMPRODUCT((Mapa_Sala='Mapa do Dia'!$N22)*(Mapa_Data=Data_Mapa)*(Mapa_MinOcup&gt;0)*(Mapa_RelIni&lt;350)*(Mapa_RelFim&gt;340))&gt;0,2,IF(SUMPRODUCT((Mapa_Sala='Mapa do Dia'!$N22)*(Mapa_Data=Data_Mapa)*(Mapa_MinOcup&gt;0)*(Mapa_RelFim&lt;350)*(Mapa_RelFim+Limpeza_Min&gt;340))&gt;0,1,0)))</f>
        <v/>
      </c>
      <c r="BE24" s="15">
        <f>IF(OR('Mapa do Dia'!$A22="",'Calc'!$B14&lt;&gt;"Sala cirúrgica"),"",IF(SUMPRODUCT((Mapa_Sala='Mapa do Dia'!$N22)*(Mapa_Data=Data_Mapa)*(Mapa_MinOcup&gt;0)*(Mapa_RelIni&lt;360)*(Mapa_RelFim&gt;350))&gt;0,2,IF(SUMPRODUCT((Mapa_Sala='Mapa do Dia'!$N22)*(Mapa_Data=Data_Mapa)*(Mapa_MinOcup&gt;0)*(Mapa_RelFim&lt;360)*(Mapa_RelFim+Limpeza_Min&gt;350))&gt;0,1,0)))</f>
        <v/>
      </c>
      <c r="BF24">
        <f>IF('Mapa do Dia'!$A22="","",'Mapa do Dia'!$F22)</f>
        <v/>
      </c>
    </row>
    <row r="25" ht="17" customHeight="1">
      <c r="A25" s="13">
        <f>IF('Mapa do Dia'!$A23="","",'Mapa do Dia'!$A23)</f>
        <v/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14">
        <f>IF('Mapa do Dia'!$A23="","",IF('Mapa do Dia'!$D23="","(falta escalar)",IFERROR(INDEX(Equipe_Curto,MATCH('Mapa do Dia'!$D23,Equipe_Nome,0)),'Mapa do Dia'!$D23))&amp;IF('Mapa do Dia'!$B23&lt;2,"",IF('Mapa do Dia'!$E23="", " · (falta escalar)"," · "&amp;IFERROR(INDEX(Equipe_Curto,MATCH('Mapa do Dia'!$E23,Equipe_Nome,0)),'Mapa do Dia'!$E23))))</f>
        <v/>
      </c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15">
        <f>IF(OR('Mapa do Dia'!$A23="",'Calc'!$B15&lt;&gt;"Sala cirúrgica"),"",IF(SUMPRODUCT((Mapa_Sala='Mapa do Dia'!$N23)*(Mapa_Data=Data_Mapa)*(Mapa_MinOcup&gt;0)*(Mapa_RelIni&lt;10)*(Mapa_RelFim&gt;0))&gt;0,2,IF(SUMPRODUCT((Mapa_Sala='Mapa do Dia'!$N23)*(Mapa_Data=Data_Mapa)*(Mapa_MinOcup&gt;0)*(Mapa_RelFim&lt;10)*(Mapa_RelFim+Limpeza_Min&gt;0))&gt;0,1,0)))</f>
        <v/>
      </c>
      <c r="W25" s="15">
        <f>IF(OR('Mapa do Dia'!$A23="",'Calc'!$B15&lt;&gt;"Sala cirúrgica"),"",IF(SUMPRODUCT((Mapa_Sala='Mapa do Dia'!$N23)*(Mapa_Data=Data_Mapa)*(Mapa_MinOcup&gt;0)*(Mapa_RelIni&lt;20)*(Mapa_RelFim&gt;10))&gt;0,2,IF(SUMPRODUCT((Mapa_Sala='Mapa do Dia'!$N23)*(Mapa_Data=Data_Mapa)*(Mapa_MinOcup&gt;0)*(Mapa_RelFim&lt;20)*(Mapa_RelFim+Limpeza_Min&gt;10))&gt;0,1,0)))</f>
        <v/>
      </c>
      <c r="X25" s="15">
        <f>IF(OR('Mapa do Dia'!$A23="",'Calc'!$B15&lt;&gt;"Sala cirúrgica"),"",IF(SUMPRODUCT((Mapa_Sala='Mapa do Dia'!$N23)*(Mapa_Data=Data_Mapa)*(Mapa_MinOcup&gt;0)*(Mapa_RelIni&lt;30)*(Mapa_RelFim&gt;20))&gt;0,2,IF(SUMPRODUCT((Mapa_Sala='Mapa do Dia'!$N23)*(Mapa_Data=Data_Mapa)*(Mapa_MinOcup&gt;0)*(Mapa_RelFim&lt;30)*(Mapa_RelFim+Limpeza_Min&gt;20))&gt;0,1,0)))</f>
        <v/>
      </c>
      <c r="Y25" s="15">
        <f>IF(OR('Mapa do Dia'!$A23="",'Calc'!$B15&lt;&gt;"Sala cirúrgica"),"",IF(SUMPRODUCT((Mapa_Sala='Mapa do Dia'!$N23)*(Mapa_Data=Data_Mapa)*(Mapa_MinOcup&gt;0)*(Mapa_RelIni&lt;40)*(Mapa_RelFim&gt;30))&gt;0,2,IF(SUMPRODUCT((Mapa_Sala='Mapa do Dia'!$N23)*(Mapa_Data=Data_Mapa)*(Mapa_MinOcup&gt;0)*(Mapa_RelFim&lt;40)*(Mapa_RelFim+Limpeza_Min&gt;30))&gt;0,1,0)))</f>
        <v/>
      </c>
      <c r="Z25" s="15">
        <f>IF(OR('Mapa do Dia'!$A23="",'Calc'!$B15&lt;&gt;"Sala cirúrgica"),"",IF(SUMPRODUCT((Mapa_Sala='Mapa do Dia'!$N23)*(Mapa_Data=Data_Mapa)*(Mapa_MinOcup&gt;0)*(Mapa_RelIni&lt;50)*(Mapa_RelFim&gt;40))&gt;0,2,IF(SUMPRODUCT((Mapa_Sala='Mapa do Dia'!$N23)*(Mapa_Data=Data_Mapa)*(Mapa_MinOcup&gt;0)*(Mapa_RelFim&lt;50)*(Mapa_RelFim+Limpeza_Min&gt;40))&gt;0,1,0)))</f>
        <v/>
      </c>
      <c r="AA25" s="15">
        <f>IF(OR('Mapa do Dia'!$A23="",'Calc'!$B15&lt;&gt;"Sala cirúrgica"),"",IF(SUMPRODUCT((Mapa_Sala='Mapa do Dia'!$N23)*(Mapa_Data=Data_Mapa)*(Mapa_MinOcup&gt;0)*(Mapa_RelIni&lt;60)*(Mapa_RelFim&gt;50))&gt;0,2,IF(SUMPRODUCT((Mapa_Sala='Mapa do Dia'!$N23)*(Mapa_Data=Data_Mapa)*(Mapa_MinOcup&gt;0)*(Mapa_RelFim&lt;60)*(Mapa_RelFim+Limpeza_Min&gt;50))&gt;0,1,0)))</f>
        <v/>
      </c>
      <c r="AB25" s="15">
        <f>IF(OR('Mapa do Dia'!$A23="",'Calc'!$B15&lt;&gt;"Sala cirúrgica"),"",IF(SUMPRODUCT((Mapa_Sala='Mapa do Dia'!$N23)*(Mapa_Data=Data_Mapa)*(Mapa_MinOcup&gt;0)*(Mapa_RelIni&lt;70)*(Mapa_RelFim&gt;60))&gt;0,2,IF(SUMPRODUCT((Mapa_Sala='Mapa do Dia'!$N23)*(Mapa_Data=Data_Mapa)*(Mapa_MinOcup&gt;0)*(Mapa_RelFim&lt;70)*(Mapa_RelFim+Limpeza_Min&gt;60))&gt;0,1,0)))</f>
        <v/>
      </c>
      <c r="AC25" s="15">
        <f>IF(OR('Mapa do Dia'!$A23="",'Calc'!$B15&lt;&gt;"Sala cirúrgica"),"",IF(SUMPRODUCT((Mapa_Sala='Mapa do Dia'!$N23)*(Mapa_Data=Data_Mapa)*(Mapa_MinOcup&gt;0)*(Mapa_RelIni&lt;80)*(Mapa_RelFim&gt;70))&gt;0,2,IF(SUMPRODUCT((Mapa_Sala='Mapa do Dia'!$N23)*(Mapa_Data=Data_Mapa)*(Mapa_MinOcup&gt;0)*(Mapa_RelFim&lt;80)*(Mapa_RelFim+Limpeza_Min&gt;70))&gt;0,1,0)))</f>
        <v/>
      </c>
      <c r="AD25" s="15">
        <f>IF(OR('Mapa do Dia'!$A23="",'Calc'!$B15&lt;&gt;"Sala cirúrgica"),"",IF(SUMPRODUCT((Mapa_Sala='Mapa do Dia'!$N23)*(Mapa_Data=Data_Mapa)*(Mapa_MinOcup&gt;0)*(Mapa_RelIni&lt;90)*(Mapa_RelFim&gt;80))&gt;0,2,IF(SUMPRODUCT((Mapa_Sala='Mapa do Dia'!$N23)*(Mapa_Data=Data_Mapa)*(Mapa_MinOcup&gt;0)*(Mapa_RelFim&lt;90)*(Mapa_RelFim+Limpeza_Min&gt;80))&gt;0,1,0)))</f>
        <v/>
      </c>
      <c r="AE25" s="15">
        <f>IF(OR('Mapa do Dia'!$A23="",'Calc'!$B15&lt;&gt;"Sala cirúrgica"),"",IF(SUMPRODUCT((Mapa_Sala='Mapa do Dia'!$N23)*(Mapa_Data=Data_Mapa)*(Mapa_MinOcup&gt;0)*(Mapa_RelIni&lt;100)*(Mapa_RelFim&gt;90))&gt;0,2,IF(SUMPRODUCT((Mapa_Sala='Mapa do Dia'!$N23)*(Mapa_Data=Data_Mapa)*(Mapa_MinOcup&gt;0)*(Mapa_RelFim&lt;100)*(Mapa_RelFim+Limpeza_Min&gt;90))&gt;0,1,0)))</f>
        <v/>
      </c>
      <c r="AF25" s="15">
        <f>IF(OR('Mapa do Dia'!$A23="",'Calc'!$B15&lt;&gt;"Sala cirúrgica"),"",IF(SUMPRODUCT((Mapa_Sala='Mapa do Dia'!$N23)*(Mapa_Data=Data_Mapa)*(Mapa_MinOcup&gt;0)*(Mapa_RelIni&lt;110)*(Mapa_RelFim&gt;100))&gt;0,2,IF(SUMPRODUCT((Mapa_Sala='Mapa do Dia'!$N23)*(Mapa_Data=Data_Mapa)*(Mapa_MinOcup&gt;0)*(Mapa_RelFim&lt;110)*(Mapa_RelFim+Limpeza_Min&gt;100))&gt;0,1,0)))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Dia'!$N23)*(Mapa_Data=Data_Mapa)*(Mapa_MinOcup&gt;0)*(Mapa_RelIni&lt;120)*(Mapa_RelFim&gt;110))&gt;0,2,IF(SUMPRODUCT((Mapa_Sala='Mapa do Dia'!$N23)*(Mapa_Data=Data_Mapa)*(Mapa_MinOcup&gt;0)*(Mapa_RelFim&lt;120)*(Mapa_RelFim+Limpeza_Min&gt;110))&gt;0,1,0)))</f>
        <v/>
      </c>
      <c r="AH25" s="15">
        <f>IF(OR('Mapa do Dia'!$A23="",'Calc'!$B15&lt;&gt;"Sala cirúrgica"),"",IF(SUMPRODUCT((Mapa_Sala='Mapa do Dia'!$N23)*(Mapa_Data=Data_Mapa)*(Mapa_MinOcup&gt;0)*(Mapa_RelIni&lt;130)*(Mapa_RelFim&gt;120))&gt;0,2,IF(SUMPRODUCT((Mapa_Sala='Mapa do Dia'!$N23)*(Mapa_Data=Data_Mapa)*(Mapa_MinOcup&gt;0)*(Mapa_RelFim&lt;130)*(Mapa_RelFim+Limpeza_Min&gt;120))&gt;0,1,0)))</f>
        <v/>
      </c>
      <c r="AI25" s="15">
        <f>IF(OR('Mapa do Dia'!$A23="",'Calc'!$B15&lt;&gt;"Sala cirúrgica"),"",IF(SUMPRODUCT((Mapa_Sala='Mapa do Dia'!$N23)*(Mapa_Data=Data_Mapa)*(Mapa_MinOcup&gt;0)*(Mapa_RelIni&lt;140)*(Mapa_RelFim&gt;130))&gt;0,2,IF(SUMPRODUCT((Mapa_Sala='Mapa do Dia'!$N23)*(Mapa_Data=Data_Mapa)*(Mapa_MinOcup&gt;0)*(Mapa_RelFim&lt;140)*(Mapa_RelFim+Limpeza_Min&gt;130))&gt;0,1,0)))</f>
        <v/>
      </c>
      <c r="AJ25" s="15">
        <f>IF(OR('Mapa do Dia'!$A23="",'Calc'!$B15&lt;&gt;"Sala cirúrgica"),"",IF(SUMPRODUCT((Mapa_Sala='Mapa do Dia'!$N23)*(Mapa_Data=Data_Mapa)*(Mapa_MinOcup&gt;0)*(Mapa_RelIni&lt;150)*(Mapa_RelFim&gt;140))&gt;0,2,IF(SUMPRODUCT((Mapa_Sala='Mapa do Dia'!$N23)*(Mapa_Data=Data_Mapa)*(Mapa_MinOcup&gt;0)*(Mapa_RelFim&lt;150)*(Mapa_RelFim+Limpeza_Min&gt;140))&gt;0,1,0)))</f>
        <v/>
      </c>
      <c r="AK25" s="15">
        <f>IF(OR('Mapa do Dia'!$A23="",'Calc'!$B15&lt;&gt;"Sala cirúrgica"),"",IF(SUMPRODUCT((Mapa_Sala='Mapa do Dia'!$N23)*(Mapa_Data=Data_Mapa)*(Mapa_MinOcup&gt;0)*(Mapa_RelIni&lt;160)*(Mapa_RelFim&gt;150))&gt;0,2,IF(SUMPRODUCT((Mapa_Sala='Mapa do Dia'!$N23)*(Mapa_Data=Data_Mapa)*(Mapa_MinOcup&gt;0)*(Mapa_RelFim&lt;160)*(Mapa_RelFim+Limpeza_Min&gt;150))&gt;0,1,0)))</f>
        <v/>
      </c>
      <c r="AL25" s="15">
        <f>IF(OR('Mapa do Dia'!$A23="",'Calc'!$B15&lt;&gt;"Sala cirúrgica"),"",IF(SUMPRODUCT((Mapa_Sala='Mapa do Dia'!$N23)*(Mapa_Data=Data_Mapa)*(Mapa_MinOcup&gt;0)*(Mapa_RelIni&lt;170)*(Mapa_RelFim&gt;160))&gt;0,2,IF(SUMPRODUCT((Mapa_Sala='Mapa do Dia'!$N23)*(Mapa_Data=Data_Mapa)*(Mapa_MinOcup&gt;0)*(Mapa_RelFim&lt;170)*(Mapa_RelFim+Limpeza_Min&gt;160))&gt;0,1,0)))</f>
        <v/>
      </c>
      <c r="AM25" s="15">
        <f>IF(OR('Mapa do Dia'!$A23="",'Calc'!$B15&lt;&gt;"Sala cirúrgica"),"",IF(SUMPRODUCT((Mapa_Sala='Mapa do Dia'!$N23)*(Mapa_Data=Data_Mapa)*(Mapa_MinOcup&gt;0)*(Mapa_RelIni&lt;180)*(Mapa_RelFim&gt;170))&gt;0,2,IF(SUMPRODUCT((Mapa_Sala='Mapa do Dia'!$N23)*(Mapa_Data=Data_Mapa)*(Mapa_MinOcup&gt;0)*(Mapa_RelFim&lt;180)*(Mapa_RelFim+Limpeza_Min&gt;170))&gt;0,1,0)))</f>
        <v/>
      </c>
      <c r="AN25" s="15">
        <f>IF(OR('Mapa do Dia'!$A23="",'Calc'!$B15&lt;&gt;"Sala cirúrgica"),"",IF(SUMPRODUCT((Mapa_Sala='Mapa do Dia'!$N23)*(Mapa_Data=Data_Mapa)*(Mapa_MinOcup&gt;0)*(Mapa_RelIni&lt;190)*(Mapa_RelFim&gt;180))&gt;0,2,IF(SUMPRODUCT((Mapa_Sala='Mapa do Dia'!$N23)*(Mapa_Data=Data_Mapa)*(Mapa_MinOcup&gt;0)*(Mapa_RelFim&lt;190)*(Mapa_RelFim+Limpeza_Min&gt;180))&gt;0,1,0)))</f>
        <v/>
      </c>
      <c r="AO25" s="15">
        <f>IF(OR('Mapa do Dia'!$A23="",'Calc'!$B15&lt;&gt;"Sala cirúrgica"),"",IF(SUMPRODUCT((Mapa_Sala='Mapa do Dia'!$N23)*(Mapa_Data=Data_Mapa)*(Mapa_MinOcup&gt;0)*(Mapa_RelIni&lt;200)*(Mapa_RelFim&gt;190))&gt;0,2,IF(SUMPRODUCT((Mapa_Sala='Mapa do Dia'!$N23)*(Mapa_Data=Data_Mapa)*(Mapa_MinOcup&gt;0)*(Mapa_RelFim&lt;200)*(Mapa_RelFim+Limpeza_Min&gt;190))&gt;0,1,0)))</f>
        <v/>
      </c>
      <c r="AP25" s="15">
        <f>IF(OR('Mapa do Dia'!$A23="",'Calc'!$B15&lt;&gt;"Sala cirúrgica"),"",IF(SUMPRODUCT((Mapa_Sala='Mapa do Dia'!$N23)*(Mapa_Data=Data_Mapa)*(Mapa_MinOcup&gt;0)*(Mapa_RelIni&lt;210)*(Mapa_RelFim&gt;200))&gt;0,2,IF(SUMPRODUCT((Mapa_Sala='Mapa do Dia'!$N23)*(Mapa_Data=Data_Mapa)*(Mapa_MinOcup&gt;0)*(Mapa_RelFim&lt;210)*(Mapa_RelFim+Limpeza_Min&gt;200))&gt;0,1,0)))</f>
        <v/>
      </c>
      <c r="AQ25" s="15">
        <f>IF(OR('Mapa do Dia'!$A23="",'Calc'!$B15&lt;&gt;"Sala cirúrgica"),"",IF(SUMPRODUCT((Mapa_Sala='Mapa do Dia'!$N23)*(Mapa_Data=Data_Mapa)*(Mapa_MinOcup&gt;0)*(Mapa_RelIni&lt;220)*(Mapa_RelFim&gt;210))&gt;0,2,IF(SUMPRODUCT((Mapa_Sala='Mapa do Dia'!$N23)*(Mapa_Data=Data_Mapa)*(Mapa_MinOcup&gt;0)*(Mapa_RelFim&lt;220)*(Mapa_RelFim+Limpeza_Min&gt;210))&gt;0,1,0)))</f>
        <v/>
      </c>
      <c r="AR25" s="15">
        <f>IF(OR('Mapa do Dia'!$A23="",'Calc'!$B15&lt;&gt;"Sala cirúrgica"),"",IF(SUMPRODUCT((Mapa_Sala='Mapa do Dia'!$N23)*(Mapa_Data=Data_Mapa)*(Mapa_MinOcup&gt;0)*(Mapa_RelIni&lt;230)*(Mapa_RelFim&gt;220))&gt;0,2,IF(SUMPRODUCT((Mapa_Sala='Mapa do Dia'!$N23)*(Mapa_Data=Data_Mapa)*(Mapa_MinOcup&gt;0)*(Mapa_RelFim&lt;230)*(Mapa_RelFim+Limpeza_Min&gt;220))&gt;0,1,0)))</f>
        <v/>
      </c>
      <c r="AS25" s="15">
        <f>IF(OR('Mapa do Dia'!$A23="",'Calc'!$B15&lt;&gt;"Sala cirúrgica"),"",IF(SUMPRODUCT((Mapa_Sala='Mapa do Dia'!$N23)*(Mapa_Data=Data_Mapa)*(Mapa_MinOcup&gt;0)*(Mapa_RelIni&lt;240)*(Mapa_RelFim&gt;230))&gt;0,2,IF(SUMPRODUCT((Mapa_Sala='Mapa do Dia'!$N23)*(Mapa_Data=Data_Mapa)*(Mapa_MinOcup&gt;0)*(Mapa_RelFim&lt;240)*(Mapa_RelFim+Limpeza_Min&gt;230))&gt;0,1,0)))</f>
        <v/>
      </c>
      <c r="AT25" s="15">
        <f>IF(OR('Mapa do Dia'!$A23="",'Calc'!$B15&lt;&gt;"Sala cirúrgica"),"",IF(SUMPRODUCT((Mapa_Sala='Mapa do Dia'!$N23)*(Mapa_Data=Data_Mapa)*(Mapa_MinOcup&gt;0)*(Mapa_RelIni&lt;250)*(Mapa_RelFim&gt;240))&gt;0,2,IF(SUMPRODUCT((Mapa_Sala='Mapa do Dia'!$N23)*(Mapa_Data=Data_Mapa)*(Mapa_MinOcup&gt;0)*(Mapa_RelFim&lt;250)*(Mapa_RelFim+Limpeza_Min&gt;240))&gt;0,1,0)))</f>
        <v/>
      </c>
      <c r="AU25" s="15">
        <f>IF(OR('Mapa do Dia'!$A23="",'Calc'!$B15&lt;&gt;"Sala cirúrgica"),"",IF(SUMPRODUCT((Mapa_Sala='Mapa do Dia'!$N23)*(Mapa_Data=Data_Mapa)*(Mapa_MinOcup&gt;0)*(Mapa_RelIni&lt;260)*(Mapa_RelFim&gt;250))&gt;0,2,IF(SUMPRODUCT((Mapa_Sala='Mapa do Dia'!$N23)*(Mapa_Data=Data_Mapa)*(Mapa_MinOcup&gt;0)*(Mapa_RelFim&lt;260)*(Mapa_RelFim+Limpeza_Min&gt;250))&gt;0,1,0)))</f>
        <v/>
      </c>
      <c r="AV25" s="15">
        <f>IF(OR('Mapa do Dia'!$A23="",'Calc'!$B15&lt;&gt;"Sala cirúrgica"),"",IF(SUMPRODUCT((Mapa_Sala='Mapa do Dia'!$N23)*(Mapa_Data=Data_Mapa)*(Mapa_MinOcup&gt;0)*(Mapa_RelIni&lt;270)*(Mapa_RelFim&gt;260))&gt;0,2,IF(SUMPRODUCT((Mapa_Sala='Mapa do Dia'!$N23)*(Mapa_Data=Data_Mapa)*(Mapa_MinOcup&gt;0)*(Mapa_RelFim&lt;270)*(Mapa_RelFim+Limpeza_Min&gt;260))&gt;0,1,0)))</f>
        <v/>
      </c>
      <c r="AW25" s="15">
        <f>IF(OR('Mapa do Dia'!$A23="",'Calc'!$B15&lt;&gt;"Sala cirúrgica"),"",IF(SUMPRODUCT((Mapa_Sala='Mapa do Dia'!$N23)*(Mapa_Data=Data_Mapa)*(Mapa_MinOcup&gt;0)*(Mapa_RelIni&lt;280)*(Mapa_RelFim&gt;270))&gt;0,2,IF(SUMPRODUCT((Mapa_Sala='Mapa do Dia'!$N23)*(Mapa_Data=Data_Mapa)*(Mapa_MinOcup&gt;0)*(Mapa_RelFim&lt;280)*(Mapa_RelFim+Limpeza_Min&gt;270))&gt;0,1,0)))</f>
        <v/>
      </c>
      <c r="AX25" s="15">
        <f>IF(OR('Mapa do Dia'!$A23="",'Calc'!$B15&lt;&gt;"Sala cirúrgica"),"",IF(SUMPRODUCT((Mapa_Sala='Mapa do Dia'!$N23)*(Mapa_Data=Data_Mapa)*(Mapa_MinOcup&gt;0)*(Mapa_RelIni&lt;290)*(Mapa_RelFim&gt;280))&gt;0,2,IF(SUMPRODUCT((Mapa_Sala='Mapa do Dia'!$N23)*(Mapa_Data=Data_Mapa)*(Mapa_MinOcup&gt;0)*(Mapa_RelFim&lt;290)*(Mapa_RelFim+Limpeza_Min&gt;280))&gt;0,1,0)))</f>
        <v/>
      </c>
      <c r="AY25" s="15">
        <f>IF(OR('Mapa do Dia'!$A23="",'Calc'!$B15&lt;&gt;"Sala cirúrgica"),"",IF(SUMPRODUCT((Mapa_Sala='Mapa do Dia'!$N23)*(Mapa_Data=Data_Mapa)*(Mapa_MinOcup&gt;0)*(Mapa_RelIni&lt;300)*(Mapa_RelFim&gt;290))&gt;0,2,IF(SUMPRODUCT((Mapa_Sala='Mapa do Dia'!$N23)*(Mapa_Data=Data_Mapa)*(Mapa_MinOcup&gt;0)*(Mapa_RelFim&lt;300)*(Mapa_RelFim+Limpeza_Min&gt;290))&gt;0,1,0)))</f>
        <v/>
      </c>
      <c r="AZ25" s="15">
        <f>IF(OR('Mapa do Dia'!$A23="",'Calc'!$B15&lt;&gt;"Sala cirúrgica"),"",IF(SUMPRODUCT((Mapa_Sala='Mapa do Dia'!$N23)*(Mapa_Data=Data_Mapa)*(Mapa_MinOcup&gt;0)*(Mapa_RelIni&lt;310)*(Mapa_RelFim&gt;300))&gt;0,2,IF(SUMPRODUCT((Mapa_Sala='Mapa do Dia'!$N23)*(Mapa_Data=Data_Mapa)*(Mapa_MinOcup&gt;0)*(Mapa_RelFim&lt;310)*(Mapa_RelFim+Limpeza_Min&gt;300))&gt;0,1,0)))</f>
        <v/>
      </c>
      <c r="BA25" s="15">
        <f>IF(OR('Mapa do Dia'!$A23="",'Calc'!$B15&lt;&gt;"Sala cirúrgica"),"",IF(SUMPRODUCT((Mapa_Sala='Mapa do Dia'!$N23)*(Mapa_Data=Data_Mapa)*(Mapa_MinOcup&gt;0)*(Mapa_RelIni&lt;320)*(Mapa_RelFim&gt;310))&gt;0,2,IF(SUMPRODUCT((Mapa_Sala='Mapa do Dia'!$N23)*(Mapa_Data=Data_Mapa)*(Mapa_MinOcup&gt;0)*(Mapa_RelFim&lt;320)*(Mapa_RelFim+Limpeza_Min&gt;310))&gt;0,1,0)))</f>
        <v/>
      </c>
      <c r="BB25" s="15">
        <f>IF(OR('Mapa do Dia'!$A23="",'Calc'!$B15&lt;&gt;"Sala cirúrgica"),"",IF(SUMPRODUCT((Mapa_Sala='Mapa do Dia'!$N23)*(Mapa_Data=Data_Mapa)*(Mapa_MinOcup&gt;0)*(Mapa_RelIni&lt;330)*(Mapa_RelFim&gt;320))&gt;0,2,IF(SUMPRODUCT((Mapa_Sala='Mapa do Dia'!$N23)*(Mapa_Data=Data_Mapa)*(Mapa_MinOcup&gt;0)*(Mapa_RelFim&lt;330)*(Mapa_RelFim+Limpeza_Min&gt;320))&gt;0,1,0)))</f>
        <v/>
      </c>
      <c r="BC25" s="15">
        <f>IF(OR('Mapa do Dia'!$A23="",'Calc'!$B15&lt;&gt;"Sala cirúrgica"),"",IF(SUMPRODUCT((Mapa_Sala='Mapa do Dia'!$N23)*(Mapa_Data=Data_Mapa)*(Mapa_MinOcup&gt;0)*(Mapa_RelIni&lt;340)*(Mapa_RelFim&gt;330))&gt;0,2,IF(SUMPRODUCT((Mapa_Sala='Mapa do Dia'!$N23)*(Mapa_Data=Data_Mapa)*(Mapa_MinOcup&gt;0)*(Mapa_RelFim&lt;340)*(Mapa_RelFim+Limpeza_Min&gt;330))&gt;0,1,0)))</f>
        <v/>
      </c>
      <c r="BD25" s="15">
        <f>IF(OR('Mapa do Dia'!$A23="",'Calc'!$B15&lt;&gt;"Sala cirúrgica"),"",IF(SUMPRODUCT((Mapa_Sala='Mapa do Dia'!$N23)*(Mapa_Data=Data_Mapa)*(Mapa_MinOcup&gt;0)*(Mapa_RelIni&lt;350)*(Mapa_RelFim&gt;340))&gt;0,2,IF(SUMPRODUCT((Mapa_Sala='Mapa do Dia'!$N23)*(Mapa_Data=Data_Mapa)*(Mapa_MinOcup&gt;0)*(Mapa_RelFim&lt;350)*(Mapa_RelFim+Limpeza_Min&gt;340))&gt;0,1,0)))</f>
        <v/>
      </c>
      <c r="BE25" s="15">
        <f>IF(OR('Mapa do Dia'!$A23="",'Calc'!$B15&lt;&gt;"Sala cirúrgica"),"",IF(SUMPRODUCT((Mapa_Sala='Mapa do Dia'!$N23)*(Mapa_Data=Data_Mapa)*(Mapa_MinOcup&gt;0)*(Mapa_RelIni&lt;360)*(Mapa_RelFim&gt;350))&gt;0,2,IF(SUMPRODUCT((Mapa_Sala='Mapa do Dia'!$N23)*(Mapa_Data=Data_Mapa)*(Mapa_MinOcup&gt;0)*(Mapa_RelFim&lt;360)*(Mapa_RelFim+Limpeza_Min&gt;350))&gt;0,1,0)))</f>
        <v/>
      </c>
      <c r="BF25">
        <f>IF('Mapa do Dia'!$A23="","",'Mapa do Dia'!$F23)</f>
        <v/>
      </c>
    </row>
    <row r="26" ht="17" customHeight="1">
      <c r="A26" s="13">
        <f>IF('Mapa do Dia'!$A24="","",'Mapa do Dia'!$A24)</f>
        <v/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14">
        <f>IF('Mapa do Dia'!$A24="","",IF('Mapa do Dia'!$D24="","(falta escalar)",IFERROR(INDEX(Equipe_Curto,MATCH('Mapa do Dia'!$D24,Equipe_Nome,0)),'Mapa do Dia'!$D24))&amp;IF('Mapa do Dia'!$B24&lt;2,"",IF('Mapa do Dia'!$E24="", " · (falta escalar)"," · "&amp;IFERROR(INDEX(Equipe_Curto,MATCH('Mapa do Dia'!$E24,Equipe_Nome,0)),'Mapa do Dia'!$E24))))</f>
        <v/>
      </c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15">
        <f>IF(OR('Mapa do Dia'!$A24="",'Calc'!$B16&lt;&gt;"Sala cirúrgica"),"",IF(SUMPRODUCT((Mapa_Sala='Mapa do Dia'!$N24)*(Mapa_Data=Data_Mapa)*(Mapa_MinOcup&gt;0)*(Mapa_RelIni&lt;10)*(Mapa_RelFim&gt;0))&gt;0,2,IF(SUMPRODUCT((Mapa_Sala='Mapa do Dia'!$N24)*(Mapa_Data=Data_Mapa)*(Mapa_MinOcup&gt;0)*(Mapa_RelFim&lt;10)*(Mapa_RelFim+Limpeza_Min&gt;0))&gt;0,1,0)))</f>
        <v/>
      </c>
      <c r="W26" s="15">
        <f>IF(OR('Mapa do Dia'!$A24="",'Calc'!$B16&lt;&gt;"Sala cirúrgica"),"",IF(SUMPRODUCT((Mapa_Sala='Mapa do Dia'!$N24)*(Mapa_Data=Data_Mapa)*(Mapa_MinOcup&gt;0)*(Mapa_RelIni&lt;20)*(Mapa_RelFim&gt;10))&gt;0,2,IF(SUMPRODUCT((Mapa_Sala='Mapa do Dia'!$N24)*(Mapa_Data=Data_Mapa)*(Mapa_MinOcup&gt;0)*(Mapa_RelFim&lt;20)*(Mapa_RelFim+Limpeza_Min&gt;10))&gt;0,1,0)))</f>
        <v/>
      </c>
      <c r="X26" s="15">
        <f>IF(OR('Mapa do Dia'!$A24="",'Calc'!$B16&lt;&gt;"Sala cirúrgica"),"",IF(SUMPRODUCT((Mapa_Sala='Mapa do Dia'!$N24)*(Mapa_Data=Data_Mapa)*(Mapa_MinOcup&gt;0)*(Mapa_RelIni&lt;30)*(Mapa_RelFim&gt;20))&gt;0,2,IF(SUMPRODUCT((Mapa_Sala='Mapa do Dia'!$N24)*(Mapa_Data=Data_Mapa)*(Mapa_MinOcup&gt;0)*(Mapa_RelFim&lt;30)*(Mapa_RelFim+Limpeza_Min&gt;20))&gt;0,1,0)))</f>
        <v/>
      </c>
      <c r="Y26" s="15">
        <f>IF(OR('Mapa do Dia'!$A24="",'Calc'!$B16&lt;&gt;"Sala cirúrgica"),"",IF(SUMPRODUCT((Mapa_Sala='Mapa do Dia'!$N24)*(Mapa_Data=Data_Mapa)*(Mapa_MinOcup&gt;0)*(Mapa_RelIni&lt;40)*(Mapa_RelFim&gt;30))&gt;0,2,IF(SUMPRODUCT((Mapa_Sala='Mapa do Dia'!$N24)*(Mapa_Data=Data_Mapa)*(Mapa_MinOcup&gt;0)*(Mapa_RelFim&lt;40)*(Mapa_RelFim+Limpeza_Min&gt;30))&gt;0,1,0)))</f>
        <v/>
      </c>
      <c r="Z26" s="15">
        <f>IF(OR('Mapa do Dia'!$A24="",'Calc'!$B16&lt;&gt;"Sala cirúrgica"),"",IF(SUMPRODUCT((Mapa_Sala='Mapa do Dia'!$N24)*(Mapa_Data=Data_Mapa)*(Mapa_MinOcup&gt;0)*(Mapa_RelIni&lt;50)*(Mapa_RelFim&gt;40))&gt;0,2,IF(SUMPRODUCT((Mapa_Sala='Mapa do Dia'!$N24)*(Mapa_Data=Data_Mapa)*(Mapa_MinOcup&gt;0)*(Mapa_RelFim&lt;50)*(Mapa_RelFim+Limpeza_Min&gt;40))&gt;0,1,0)))</f>
        <v/>
      </c>
      <c r="AA26" s="15">
        <f>IF(OR('Mapa do Dia'!$A24="",'Calc'!$B16&lt;&gt;"Sala cirúrgica"),"",IF(SUMPRODUCT((Mapa_Sala='Mapa do Dia'!$N24)*(Mapa_Data=Data_Mapa)*(Mapa_MinOcup&gt;0)*(Mapa_RelIni&lt;60)*(Mapa_RelFim&gt;50))&gt;0,2,IF(SUMPRODUCT((Mapa_Sala='Mapa do Dia'!$N24)*(Mapa_Data=Data_Mapa)*(Mapa_MinOcup&gt;0)*(Mapa_RelFim&lt;60)*(Mapa_RelFim+Limpeza_Min&gt;50))&gt;0,1,0)))</f>
        <v/>
      </c>
      <c r="AB26" s="15">
        <f>IF(OR('Mapa do Dia'!$A24="",'Calc'!$B16&lt;&gt;"Sala cirúrgica"),"",IF(SUMPRODUCT((Mapa_Sala='Mapa do Dia'!$N24)*(Mapa_Data=Data_Mapa)*(Mapa_MinOcup&gt;0)*(Mapa_RelIni&lt;70)*(Mapa_RelFim&gt;60))&gt;0,2,IF(SUMPRODUCT((Mapa_Sala='Mapa do Dia'!$N24)*(Mapa_Data=Data_Mapa)*(Mapa_MinOcup&gt;0)*(Mapa_RelFim&lt;70)*(Mapa_RelFim+Limpeza_Min&gt;60))&gt;0,1,0)))</f>
        <v/>
      </c>
      <c r="AC26" s="15">
        <f>IF(OR('Mapa do Dia'!$A24="",'Calc'!$B16&lt;&gt;"Sala cirúrgica"),"",IF(SUMPRODUCT((Mapa_Sala='Mapa do Dia'!$N24)*(Mapa_Data=Data_Mapa)*(Mapa_MinOcup&gt;0)*(Mapa_RelIni&lt;80)*(Mapa_RelFim&gt;70))&gt;0,2,IF(SUMPRODUCT((Mapa_Sala='Mapa do Dia'!$N24)*(Mapa_Data=Data_Mapa)*(Mapa_MinOcup&gt;0)*(Mapa_RelFim&lt;80)*(Mapa_RelFim+Limpeza_Min&gt;70))&gt;0,1,0)))</f>
        <v/>
      </c>
      <c r="AD26" s="15">
        <f>IF(OR('Mapa do Dia'!$A24="",'Calc'!$B16&lt;&gt;"Sala cirúrgica"),"",IF(SUMPRODUCT((Mapa_Sala='Mapa do Dia'!$N24)*(Mapa_Data=Data_Mapa)*(Mapa_MinOcup&gt;0)*(Mapa_RelIni&lt;90)*(Mapa_RelFim&gt;80))&gt;0,2,IF(SUMPRODUCT((Mapa_Sala='Mapa do Dia'!$N24)*(Mapa_Data=Data_Mapa)*(Mapa_MinOcup&gt;0)*(Mapa_RelFim&lt;90)*(Mapa_RelFim+Limpeza_Min&gt;80))&gt;0,1,0)))</f>
        <v/>
      </c>
      <c r="AE26" s="15">
        <f>IF(OR('Mapa do Dia'!$A24="",'Calc'!$B16&lt;&gt;"Sala cirúrgica"),"",IF(SUMPRODUCT((Mapa_Sala='Mapa do Dia'!$N24)*(Mapa_Data=Data_Mapa)*(Mapa_MinOcup&gt;0)*(Mapa_RelIni&lt;100)*(Mapa_RelFim&gt;90))&gt;0,2,IF(SUMPRODUCT((Mapa_Sala='Mapa do Dia'!$N24)*(Mapa_Data=Data_Mapa)*(Mapa_MinOcup&gt;0)*(Mapa_RelFim&lt;100)*(Mapa_RelFim+Limpeza_Min&gt;90))&gt;0,1,0)))</f>
        <v/>
      </c>
      <c r="AF26" s="15">
        <f>IF(OR('Mapa do Dia'!$A24="",'Calc'!$B16&lt;&gt;"Sala cirúrgica"),"",IF(SUMPRODUCT((Mapa_Sala='Mapa do Dia'!$N24)*(Mapa_Data=Data_Mapa)*(Mapa_MinOcup&gt;0)*(Mapa_RelIni&lt;110)*(Mapa_RelFim&gt;100))&gt;0,2,IF(SUMPRODUCT((Mapa_Sala='Mapa do Dia'!$N24)*(Mapa_Data=Data_Mapa)*(Mapa_MinOcup&gt;0)*(Mapa_RelFim&lt;110)*(Mapa_RelFim+Limpeza_Min&gt;100))&gt;0,1,0)))</f>
        <v/>
      </c>
      <c r="AG26" s="15">
        <f>IF(OR('Mapa do Dia'!$A24="",'Calc'!$B16&lt;&gt;"Sala cirúrgica"),"",IF(SUMPRODUCT((Mapa_Sala='Mapa do Dia'!$N24)*(Mapa_Data=Data_Mapa)*(Mapa_MinOcup&gt;0)*(Mapa_RelIni&lt;120)*(Mapa_RelFim&gt;110))&gt;0,2,IF(SUMPRODUCT((Mapa_Sala='Mapa do Dia'!$N24)*(Mapa_Data=Data_Mapa)*(Mapa_MinOcup&gt;0)*(Mapa_RelFim&lt;120)*(Mapa_RelFim+Limpeza_Min&gt;110))&gt;0,1,0)))</f>
        <v/>
      </c>
      <c r="AH26" s="15">
        <f>IF(OR('Mapa do Dia'!$A24="",'Calc'!$B16&lt;&gt;"Sala cirúrgica"),"",IF(SUMPRODUCT((Mapa_Sala='Mapa do Dia'!$N24)*(Mapa_Data=Data_Mapa)*(Mapa_MinOcup&gt;0)*(Mapa_RelIni&lt;130)*(Mapa_RelFim&gt;120))&gt;0,2,IF(SUMPRODUCT((Mapa_Sala='Mapa do Dia'!$N24)*(Mapa_Data=Data_Mapa)*(Mapa_MinOcup&gt;0)*(Mapa_RelFim&lt;130)*(Mapa_RelFim+Limpeza_Min&gt;120))&gt;0,1,0)))</f>
        <v/>
      </c>
      <c r="AI26" s="15">
        <f>IF(OR('Mapa do Dia'!$A24="",'Calc'!$B16&lt;&gt;"Sala cirúrgica"),"",IF(SUMPRODUCT((Mapa_Sala='Mapa do Dia'!$N24)*(Mapa_Data=Data_Mapa)*(Mapa_MinOcup&gt;0)*(Mapa_RelIni&lt;140)*(Mapa_RelFim&gt;130))&gt;0,2,IF(SUMPRODUCT((Mapa_Sala='Mapa do Dia'!$N24)*(Mapa_Data=Data_Mapa)*(Mapa_MinOcup&gt;0)*(Mapa_RelFim&lt;140)*(Mapa_RelFim+Limpeza_Min&gt;130))&gt;0,1,0)))</f>
        <v/>
      </c>
      <c r="AJ26" s="15">
        <f>IF(OR('Mapa do Dia'!$A24="",'Calc'!$B16&lt;&gt;"Sala cirúrgica"),"",IF(SUMPRODUCT((Mapa_Sala='Mapa do Dia'!$N24)*(Mapa_Data=Data_Mapa)*(Mapa_MinOcup&gt;0)*(Mapa_RelIni&lt;150)*(Mapa_RelFim&gt;140))&gt;0,2,IF(SUMPRODUCT((Mapa_Sala='Mapa do Dia'!$N24)*(Mapa_Data=Data_Mapa)*(Mapa_MinOcup&gt;0)*(Mapa_RelFim&lt;150)*(Mapa_RelFim+Limpeza_Min&gt;140))&gt;0,1,0)))</f>
        <v/>
      </c>
      <c r="AK26" s="15">
        <f>IF(OR('Mapa do Dia'!$A24="",'Calc'!$B16&lt;&gt;"Sala cirúrgica"),"",IF(SUMPRODUCT((Mapa_Sala='Mapa do Dia'!$N24)*(Mapa_Data=Data_Mapa)*(Mapa_MinOcup&gt;0)*(Mapa_RelIni&lt;160)*(Mapa_RelFim&gt;150))&gt;0,2,IF(SUMPRODUCT((Mapa_Sala='Mapa do Dia'!$N24)*(Mapa_Data=Data_Mapa)*(Mapa_MinOcup&gt;0)*(Mapa_RelFim&lt;160)*(Mapa_RelFim+Limpeza_Min&gt;150))&gt;0,1,0)))</f>
        <v/>
      </c>
      <c r="AL26" s="15">
        <f>IF(OR('Mapa do Dia'!$A24="",'Calc'!$B16&lt;&gt;"Sala cirúrgica"),"",IF(SUMPRODUCT((Mapa_Sala='Mapa do Dia'!$N24)*(Mapa_Data=Data_Mapa)*(Mapa_MinOcup&gt;0)*(Mapa_RelIni&lt;170)*(Mapa_RelFim&gt;160))&gt;0,2,IF(SUMPRODUCT((Mapa_Sala='Mapa do Dia'!$N24)*(Mapa_Data=Data_Mapa)*(Mapa_MinOcup&gt;0)*(Mapa_RelFim&lt;170)*(Mapa_RelFim+Limpeza_Min&gt;160))&gt;0,1,0)))</f>
        <v/>
      </c>
      <c r="AM26" s="15">
        <f>IF(OR('Mapa do Dia'!$A24="",'Calc'!$B16&lt;&gt;"Sala cirúrgica"),"",IF(SUMPRODUCT((Mapa_Sala='Mapa do Dia'!$N24)*(Mapa_Data=Data_Mapa)*(Mapa_MinOcup&gt;0)*(Mapa_RelIni&lt;180)*(Mapa_RelFim&gt;170))&gt;0,2,IF(SUMPRODUCT((Mapa_Sala='Mapa do Dia'!$N24)*(Mapa_Data=Data_Mapa)*(Mapa_MinOcup&gt;0)*(Mapa_RelFim&lt;180)*(Mapa_RelFim+Limpeza_Min&gt;170))&gt;0,1,0)))</f>
        <v/>
      </c>
      <c r="AN26" s="15">
        <f>IF(OR('Mapa do Dia'!$A24="",'Calc'!$B16&lt;&gt;"Sala cirúrgica"),"",IF(SUMPRODUCT((Mapa_Sala='Mapa do Dia'!$N24)*(Mapa_Data=Data_Mapa)*(Mapa_MinOcup&gt;0)*(Mapa_RelIni&lt;190)*(Mapa_RelFim&gt;180))&gt;0,2,IF(SUMPRODUCT((Mapa_Sala='Mapa do Dia'!$N24)*(Mapa_Data=Data_Mapa)*(Mapa_MinOcup&gt;0)*(Mapa_RelFim&lt;190)*(Mapa_RelFim+Limpeza_Min&gt;180))&gt;0,1,0)))</f>
        <v/>
      </c>
      <c r="AO26" s="15">
        <f>IF(OR('Mapa do Dia'!$A24="",'Calc'!$B16&lt;&gt;"Sala cirúrgica"),"",IF(SUMPRODUCT((Mapa_Sala='Mapa do Dia'!$N24)*(Mapa_Data=Data_Mapa)*(Mapa_MinOcup&gt;0)*(Mapa_RelIni&lt;200)*(Mapa_RelFim&gt;190))&gt;0,2,IF(SUMPRODUCT((Mapa_Sala='Mapa do Dia'!$N24)*(Mapa_Data=Data_Mapa)*(Mapa_MinOcup&gt;0)*(Mapa_RelFim&lt;200)*(Mapa_RelFim+Limpeza_Min&gt;190))&gt;0,1,0)))</f>
        <v/>
      </c>
      <c r="AP26" s="15">
        <f>IF(OR('Mapa do Dia'!$A24="",'Calc'!$B16&lt;&gt;"Sala cirúrgica"),"",IF(SUMPRODUCT((Mapa_Sala='Mapa do Dia'!$N24)*(Mapa_Data=Data_Mapa)*(Mapa_MinOcup&gt;0)*(Mapa_RelIni&lt;210)*(Mapa_RelFim&gt;200))&gt;0,2,IF(SUMPRODUCT((Mapa_Sala='Mapa do Dia'!$N24)*(Mapa_Data=Data_Mapa)*(Mapa_MinOcup&gt;0)*(Mapa_RelFim&lt;210)*(Mapa_RelFim+Limpeza_Min&gt;200))&gt;0,1,0)))</f>
        <v/>
      </c>
      <c r="AQ26" s="15">
        <f>IF(OR('Mapa do Dia'!$A24="",'Calc'!$B16&lt;&gt;"Sala cirúrgica"),"",IF(SUMPRODUCT((Mapa_Sala='Mapa do Dia'!$N24)*(Mapa_Data=Data_Mapa)*(Mapa_MinOcup&gt;0)*(Mapa_RelIni&lt;220)*(Mapa_RelFim&gt;210))&gt;0,2,IF(SUMPRODUCT((Mapa_Sala='Mapa do Dia'!$N24)*(Mapa_Data=Data_Mapa)*(Mapa_MinOcup&gt;0)*(Mapa_RelFim&lt;220)*(Mapa_RelFim+Limpeza_Min&gt;210))&gt;0,1,0)))</f>
        <v/>
      </c>
      <c r="AR26" s="15">
        <f>IF(OR('Mapa do Dia'!$A24="",'Calc'!$B16&lt;&gt;"Sala cirúrgica"),"",IF(SUMPRODUCT((Mapa_Sala='Mapa do Dia'!$N24)*(Mapa_Data=Data_Mapa)*(Mapa_MinOcup&gt;0)*(Mapa_RelIni&lt;230)*(Mapa_RelFim&gt;220))&gt;0,2,IF(SUMPRODUCT((Mapa_Sala='Mapa do Dia'!$N24)*(Mapa_Data=Data_Mapa)*(Mapa_MinOcup&gt;0)*(Mapa_RelFim&lt;230)*(Mapa_RelFim+Limpeza_Min&gt;220))&gt;0,1,0)))</f>
        <v/>
      </c>
      <c r="AS26" s="15">
        <f>IF(OR('Mapa do Dia'!$A24="",'Calc'!$B16&lt;&gt;"Sala cirúrgica"),"",IF(SUMPRODUCT((Mapa_Sala='Mapa do Dia'!$N24)*(Mapa_Data=Data_Mapa)*(Mapa_MinOcup&gt;0)*(Mapa_RelIni&lt;240)*(Mapa_RelFim&gt;230))&gt;0,2,IF(SUMPRODUCT((Mapa_Sala='Mapa do Dia'!$N24)*(Mapa_Data=Data_Mapa)*(Mapa_MinOcup&gt;0)*(Mapa_RelFim&lt;240)*(Mapa_RelFim+Limpeza_Min&gt;230))&gt;0,1,0)))</f>
        <v/>
      </c>
      <c r="AT26" s="15">
        <f>IF(OR('Mapa do Dia'!$A24="",'Calc'!$B16&lt;&gt;"Sala cirúrgica"),"",IF(SUMPRODUCT((Mapa_Sala='Mapa do Dia'!$N24)*(Mapa_Data=Data_Mapa)*(Mapa_MinOcup&gt;0)*(Mapa_RelIni&lt;250)*(Mapa_RelFim&gt;240))&gt;0,2,IF(SUMPRODUCT((Mapa_Sala='Mapa do Dia'!$N24)*(Mapa_Data=Data_Mapa)*(Mapa_MinOcup&gt;0)*(Mapa_RelFim&lt;250)*(Mapa_RelFim+Limpeza_Min&gt;240))&gt;0,1,0)))</f>
        <v/>
      </c>
      <c r="AU26" s="15">
        <f>IF(OR('Mapa do Dia'!$A24="",'Calc'!$B16&lt;&gt;"Sala cirúrgica"),"",IF(SUMPRODUCT((Mapa_Sala='Mapa do Dia'!$N24)*(Mapa_Data=Data_Mapa)*(Mapa_MinOcup&gt;0)*(Mapa_RelIni&lt;260)*(Mapa_RelFim&gt;250))&gt;0,2,IF(SUMPRODUCT((Mapa_Sala='Mapa do Dia'!$N24)*(Mapa_Data=Data_Mapa)*(Mapa_MinOcup&gt;0)*(Mapa_RelFim&lt;260)*(Mapa_RelFim+Limpeza_Min&gt;250))&gt;0,1,0)))</f>
        <v/>
      </c>
      <c r="AV26" s="15">
        <f>IF(OR('Mapa do Dia'!$A24="",'Calc'!$B16&lt;&gt;"Sala cirúrgica"),"",IF(SUMPRODUCT((Mapa_Sala='Mapa do Dia'!$N24)*(Mapa_Data=Data_Mapa)*(Mapa_MinOcup&gt;0)*(Mapa_RelIni&lt;270)*(Mapa_RelFim&gt;260))&gt;0,2,IF(SUMPRODUCT((Mapa_Sala='Mapa do Dia'!$N24)*(Mapa_Data=Data_Mapa)*(Mapa_MinOcup&gt;0)*(Mapa_RelFim&lt;270)*(Mapa_RelFim+Limpeza_Min&gt;260))&gt;0,1,0)))</f>
        <v/>
      </c>
      <c r="AW26" s="15">
        <f>IF(OR('Mapa do Dia'!$A24="",'Calc'!$B16&lt;&gt;"Sala cirúrgica"),"",IF(SUMPRODUCT((Mapa_Sala='Mapa do Dia'!$N24)*(Mapa_Data=Data_Mapa)*(Mapa_MinOcup&gt;0)*(Mapa_RelIni&lt;280)*(Mapa_RelFim&gt;270))&gt;0,2,IF(SUMPRODUCT((Mapa_Sala='Mapa do Dia'!$N24)*(Mapa_Data=Data_Mapa)*(Mapa_MinOcup&gt;0)*(Mapa_RelFim&lt;280)*(Mapa_RelFim+Limpeza_Min&gt;270))&gt;0,1,0)))</f>
        <v/>
      </c>
      <c r="AX26" s="15">
        <f>IF(OR('Mapa do Dia'!$A24="",'Calc'!$B16&lt;&gt;"Sala cirúrgica"),"",IF(SUMPRODUCT((Mapa_Sala='Mapa do Dia'!$N24)*(Mapa_Data=Data_Mapa)*(Mapa_MinOcup&gt;0)*(Mapa_RelIni&lt;290)*(Mapa_RelFim&gt;280))&gt;0,2,IF(SUMPRODUCT((Mapa_Sala='Mapa do Dia'!$N24)*(Mapa_Data=Data_Mapa)*(Mapa_MinOcup&gt;0)*(Mapa_RelFim&lt;290)*(Mapa_RelFim+Limpeza_Min&gt;280))&gt;0,1,0)))</f>
        <v/>
      </c>
      <c r="AY26" s="15">
        <f>IF(OR('Mapa do Dia'!$A24="",'Calc'!$B16&lt;&gt;"Sala cirúrgica"),"",IF(SUMPRODUCT((Mapa_Sala='Mapa do Dia'!$N24)*(Mapa_Data=Data_Mapa)*(Mapa_MinOcup&gt;0)*(Mapa_RelIni&lt;300)*(Mapa_RelFim&gt;290))&gt;0,2,IF(SUMPRODUCT((Mapa_Sala='Mapa do Dia'!$N24)*(Mapa_Data=Data_Mapa)*(Mapa_MinOcup&gt;0)*(Mapa_RelFim&lt;300)*(Mapa_RelFim+Limpeza_Min&gt;290))&gt;0,1,0)))</f>
        <v/>
      </c>
      <c r="AZ26" s="15">
        <f>IF(OR('Mapa do Dia'!$A24="",'Calc'!$B16&lt;&gt;"Sala cirúrgica"),"",IF(SUMPRODUCT((Mapa_Sala='Mapa do Dia'!$N24)*(Mapa_Data=Data_Mapa)*(Mapa_MinOcup&gt;0)*(Mapa_RelIni&lt;310)*(Mapa_RelFim&gt;300))&gt;0,2,IF(SUMPRODUCT((Mapa_Sala='Mapa do Dia'!$N24)*(Mapa_Data=Data_Mapa)*(Mapa_MinOcup&gt;0)*(Mapa_RelFim&lt;310)*(Mapa_RelFim+Limpeza_Min&gt;300))&gt;0,1,0)))</f>
        <v/>
      </c>
      <c r="BA26" s="15">
        <f>IF(OR('Mapa do Dia'!$A24="",'Calc'!$B16&lt;&gt;"Sala cirúrgica"),"",IF(SUMPRODUCT((Mapa_Sala='Mapa do Dia'!$N24)*(Mapa_Data=Data_Mapa)*(Mapa_MinOcup&gt;0)*(Mapa_RelIni&lt;320)*(Mapa_RelFim&gt;310))&gt;0,2,IF(SUMPRODUCT((Mapa_Sala='Mapa do Dia'!$N24)*(Mapa_Data=Data_Mapa)*(Mapa_MinOcup&gt;0)*(Mapa_RelFim&lt;320)*(Mapa_RelFim+Limpeza_Min&gt;310))&gt;0,1,0)))</f>
        <v/>
      </c>
      <c r="BB26" s="15">
        <f>IF(OR('Mapa do Dia'!$A24="",'Calc'!$B16&lt;&gt;"Sala cirúrgica"),"",IF(SUMPRODUCT((Mapa_Sala='Mapa do Dia'!$N24)*(Mapa_Data=Data_Mapa)*(Mapa_MinOcup&gt;0)*(Mapa_RelIni&lt;330)*(Mapa_RelFim&gt;320))&gt;0,2,IF(SUMPRODUCT((Mapa_Sala='Mapa do Dia'!$N24)*(Mapa_Data=Data_Mapa)*(Mapa_MinOcup&gt;0)*(Mapa_RelFim&lt;330)*(Mapa_RelFim+Limpeza_Min&gt;320))&gt;0,1,0)))</f>
        <v/>
      </c>
      <c r="BC26" s="15">
        <f>IF(OR('Mapa do Dia'!$A24="",'Calc'!$B16&lt;&gt;"Sala cirúrgica"),"",IF(SUMPRODUCT((Mapa_Sala='Mapa do Dia'!$N24)*(Mapa_Data=Data_Mapa)*(Mapa_MinOcup&gt;0)*(Mapa_RelIni&lt;340)*(Mapa_RelFim&gt;330))&gt;0,2,IF(SUMPRODUCT((Mapa_Sala='Mapa do Dia'!$N24)*(Mapa_Data=Data_Mapa)*(Mapa_MinOcup&gt;0)*(Mapa_RelFim&lt;340)*(Mapa_RelFim+Limpeza_Min&gt;330))&gt;0,1,0)))</f>
        <v/>
      </c>
      <c r="BD26" s="15">
        <f>IF(OR('Mapa do Dia'!$A24="",'Calc'!$B16&lt;&gt;"Sala cirúrgica"),"",IF(SUMPRODUCT((Mapa_Sala='Mapa do Dia'!$N24)*(Mapa_Data=Data_Mapa)*(Mapa_MinOcup&gt;0)*(Mapa_RelIni&lt;350)*(Mapa_RelFim&gt;340))&gt;0,2,IF(SUMPRODUCT((Mapa_Sala='Mapa do Dia'!$N24)*(Mapa_Data=Data_Mapa)*(Mapa_MinOcup&gt;0)*(Mapa_RelFim&lt;350)*(Mapa_RelFim+Limpeza_Min&gt;340))&gt;0,1,0)))</f>
        <v/>
      </c>
      <c r="BE26" s="15">
        <f>IF(OR('Mapa do Dia'!$A24="",'Calc'!$B16&lt;&gt;"Sala cirúrgica"),"",IF(SUMPRODUCT((Mapa_Sala='Mapa do Dia'!$N24)*(Mapa_Data=Data_Mapa)*(Mapa_MinOcup&gt;0)*(Mapa_RelIni&lt;360)*(Mapa_RelFim&gt;350))&gt;0,2,IF(SUMPRODUCT((Mapa_Sala='Mapa do Dia'!$N24)*(Mapa_Data=Data_Mapa)*(Mapa_MinOcup&gt;0)*(Mapa_RelFim&lt;360)*(Mapa_RelFim+Limpeza_Min&gt;350))&gt;0,1,0)))</f>
        <v/>
      </c>
      <c r="BF26">
        <f>IF('Mapa do Dia'!$A24="","",'Mapa do Dia'!$F24)</f>
        <v/>
      </c>
    </row>
    <row r="27" ht="17" customHeight="1">
      <c r="A27" s="13">
        <f>IF('Mapa do Dia'!$A25="","",'Mapa do Dia'!$A25)</f>
        <v/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14">
        <f>IF('Mapa do Dia'!$A25="","",IF('Mapa do Dia'!$D25="","(falta escalar)",IFERROR(INDEX(Equipe_Curto,MATCH('Mapa do Dia'!$D25,Equipe_Nome,0)),'Mapa do Dia'!$D25))&amp;IF('Mapa do Dia'!$B25&lt;2,"",IF('Mapa do Dia'!$E25="", " · (falta escalar)"," · "&amp;IFERROR(INDEX(Equipe_Curto,MATCH('Mapa do Dia'!$E25,Equipe_Nome,0)),'Mapa do Dia'!$E25))))</f>
        <v/>
      </c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15">
        <f>IF(OR('Mapa do Dia'!$A25="",'Calc'!$B17&lt;&gt;"Sala cirúrgica"),"",IF(SUMPRODUCT((Mapa_Sala='Mapa do Dia'!$N25)*(Mapa_Data=Data_Mapa)*(Mapa_MinOcup&gt;0)*(Mapa_RelIni&lt;10)*(Mapa_RelFim&gt;0))&gt;0,2,IF(SUMPRODUCT((Mapa_Sala='Mapa do Dia'!$N25)*(Mapa_Data=Data_Mapa)*(Mapa_MinOcup&gt;0)*(Mapa_RelFim&lt;10)*(Mapa_RelFim+Limpeza_Min&gt;0))&gt;0,1,0)))</f>
        <v/>
      </c>
      <c r="W27" s="15">
        <f>IF(OR('Mapa do Dia'!$A25="",'Calc'!$B17&lt;&gt;"Sala cirúrgica"),"",IF(SUMPRODUCT((Mapa_Sala='Mapa do Dia'!$N25)*(Mapa_Data=Data_Mapa)*(Mapa_MinOcup&gt;0)*(Mapa_RelIni&lt;20)*(Mapa_RelFim&gt;10))&gt;0,2,IF(SUMPRODUCT((Mapa_Sala='Mapa do Dia'!$N25)*(Mapa_Data=Data_Mapa)*(Mapa_MinOcup&gt;0)*(Mapa_RelFim&lt;20)*(Mapa_RelFim+Limpeza_Min&gt;10))&gt;0,1,0)))</f>
        <v/>
      </c>
      <c r="X27" s="15">
        <f>IF(OR('Mapa do Dia'!$A25="",'Calc'!$B17&lt;&gt;"Sala cirúrgica"),"",IF(SUMPRODUCT((Mapa_Sala='Mapa do Dia'!$N25)*(Mapa_Data=Data_Mapa)*(Mapa_MinOcup&gt;0)*(Mapa_RelIni&lt;30)*(Mapa_RelFim&gt;20))&gt;0,2,IF(SUMPRODUCT((Mapa_Sala='Mapa do Dia'!$N25)*(Mapa_Data=Data_Mapa)*(Mapa_MinOcup&gt;0)*(Mapa_RelFim&lt;30)*(Mapa_RelFim+Limpeza_Min&gt;20))&gt;0,1,0)))</f>
        <v/>
      </c>
      <c r="Y27" s="15">
        <f>IF(OR('Mapa do Dia'!$A25="",'Calc'!$B17&lt;&gt;"Sala cirúrgica"),"",IF(SUMPRODUCT((Mapa_Sala='Mapa do Dia'!$N25)*(Mapa_Data=Data_Mapa)*(Mapa_MinOcup&gt;0)*(Mapa_RelIni&lt;40)*(Mapa_RelFim&gt;30))&gt;0,2,IF(SUMPRODUCT((Mapa_Sala='Mapa do Dia'!$N25)*(Mapa_Data=Data_Mapa)*(Mapa_MinOcup&gt;0)*(Mapa_RelFim&lt;40)*(Mapa_RelFim+Limpeza_Min&gt;30))&gt;0,1,0)))</f>
        <v/>
      </c>
      <c r="Z27" s="15">
        <f>IF(OR('Mapa do Dia'!$A25="",'Calc'!$B17&lt;&gt;"Sala cirúrgica"),"",IF(SUMPRODUCT((Mapa_Sala='Mapa do Dia'!$N25)*(Mapa_Data=Data_Mapa)*(Mapa_MinOcup&gt;0)*(Mapa_RelIni&lt;50)*(Mapa_RelFim&gt;40))&gt;0,2,IF(SUMPRODUCT((Mapa_Sala='Mapa do Dia'!$N25)*(Mapa_Data=Data_Mapa)*(Mapa_MinOcup&gt;0)*(Mapa_RelFim&lt;50)*(Mapa_RelFim+Limpeza_Min&gt;40))&gt;0,1,0)))</f>
        <v/>
      </c>
      <c r="AA27" s="15">
        <f>IF(OR('Mapa do Dia'!$A25="",'Calc'!$B17&lt;&gt;"Sala cirúrgica"),"",IF(SUMPRODUCT((Mapa_Sala='Mapa do Dia'!$N25)*(Mapa_Data=Data_Mapa)*(Mapa_MinOcup&gt;0)*(Mapa_RelIni&lt;60)*(Mapa_RelFim&gt;50))&gt;0,2,IF(SUMPRODUCT((Mapa_Sala='Mapa do Dia'!$N25)*(Mapa_Data=Data_Mapa)*(Mapa_MinOcup&gt;0)*(Mapa_RelFim&lt;60)*(Mapa_RelFim+Limpeza_Min&gt;50))&gt;0,1,0)))</f>
        <v/>
      </c>
      <c r="AB27" s="15">
        <f>IF(OR('Mapa do Dia'!$A25="",'Calc'!$B17&lt;&gt;"Sala cirúrgica"),"",IF(SUMPRODUCT((Mapa_Sala='Mapa do Dia'!$N25)*(Mapa_Data=Data_Mapa)*(Mapa_MinOcup&gt;0)*(Mapa_RelIni&lt;70)*(Mapa_RelFim&gt;60))&gt;0,2,IF(SUMPRODUCT((Mapa_Sala='Mapa do Dia'!$N25)*(Mapa_Data=Data_Mapa)*(Mapa_MinOcup&gt;0)*(Mapa_RelFim&lt;70)*(Mapa_RelFim+Limpeza_Min&gt;60))&gt;0,1,0)))</f>
        <v/>
      </c>
      <c r="AC27" s="15">
        <f>IF(OR('Mapa do Dia'!$A25="",'Calc'!$B17&lt;&gt;"Sala cirúrgica"),"",IF(SUMPRODUCT((Mapa_Sala='Mapa do Dia'!$N25)*(Mapa_Data=Data_Mapa)*(Mapa_MinOcup&gt;0)*(Mapa_RelIni&lt;80)*(Mapa_RelFim&gt;70))&gt;0,2,IF(SUMPRODUCT((Mapa_Sala='Mapa do Dia'!$N25)*(Mapa_Data=Data_Mapa)*(Mapa_MinOcup&gt;0)*(Mapa_RelFim&lt;80)*(Mapa_RelFim+Limpeza_Min&gt;70))&gt;0,1,0)))</f>
        <v/>
      </c>
      <c r="AD27" s="15">
        <f>IF(OR('Mapa do Dia'!$A25="",'Calc'!$B17&lt;&gt;"Sala cirúrgica"),"",IF(SUMPRODUCT((Mapa_Sala='Mapa do Dia'!$N25)*(Mapa_Data=Data_Mapa)*(Mapa_MinOcup&gt;0)*(Mapa_RelIni&lt;90)*(Mapa_RelFim&gt;80))&gt;0,2,IF(SUMPRODUCT((Mapa_Sala='Mapa do Dia'!$N25)*(Mapa_Data=Data_Mapa)*(Mapa_MinOcup&gt;0)*(Mapa_RelFim&lt;90)*(Mapa_RelFim+Limpeza_Min&gt;80))&gt;0,1,0)))</f>
        <v/>
      </c>
      <c r="AE27" s="15">
        <f>IF(OR('Mapa do Dia'!$A25="",'Calc'!$B17&lt;&gt;"Sala cirúrgica"),"",IF(SUMPRODUCT((Mapa_Sala='Mapa do Dia'!$N25)*(Mapa_Data=Data_Mapa)*(Mapa_MinOcup&gt;0)*(Mapa_RelIni&lt;100)*(Mapa_RelFim&gt;90))&gt;0,2,IF(SUMPRODUCT((Mapa_Sala='Mapa do Dia'!$N25)*(Mapa_Data=Data_Mapa)*(Mapa_MinOcup&gt;0)*(Mapa_RelFim&lt;100)*(Mapa_RelFim+Limpeza_Min&gt;90))&gt;0,1,0)))</f>
        <v/>
      </c>
      <c r="AF27" s="15">
        <f>IF(OR('Mapa do Dia'!$A25="",'Calc'!$B17&lt;&gt;"Sala cirúrgica"),"",IF(SUMPRODUCT((Mapa_Sala='Mapa do Dia'!$N25)*(Mapa_Data=Data_Mapa)*(Mapa_MinOcup&gt;0)*(Mapa_RelIni&lt;110)*(Mapa_RelFim&gt;100))&gt;0,2,IF(SUMPRODUCT((Mapa_Sala='Mapa do Dia'!$N25)*(Mapa_Data=Data_Mapa)*(Mapa_MinOcup&gt;0)*(Mapa_RelFim&lt;110)*(Mapa_RelFim+Limpeza_Min&gt;100))&gt;0,1,0)))</f>
        <v/>
      </c>
      <c r="AG27" s="15">
        <f>IF(OR('Mapa do Dia'!$A25="",'Calc'!$B17&lt;&gt;"Sala cirúrgica"),"",IF(SUMPRODUCT((Mapa_Sala='Mapa do Dia'!$N25)*(Mapa_Data=Data_Mapa)*(Mapa_MinOcup&gt;0)*(Mapa_RelIni&lt;120)*(Mapa_RelFim&gt;110))&gt;0,2,IF(SUMPRODUCT((Mapa_Sala='Mapa do Dia'!$N25)*(Mapa_Data=Data_Mapa)*(Mapa_MinOcup&gt;0)*(Mapa_RelFim&lt;120)*(Mapa_RelFim+Limpeza_Min&gt;110))&gt;0,1,0)))</f>
        <v/>
      </c>
      <c r="AH27" s="15">
        <f>IF(OR('Mapa do Dia'!$A25="",'Calc'!$B17&lt;&gt;"Sala cirúrgica"),"",IF(SUMPRODUCT((Mapa_Sala='Mapa do Dia'!$N25)*(Mapa_Data=Data_Mapa)*(Mapa_MinOcup&gt;0)*(Mapa_RelIni&lt;130)*(Mapa_RelFim&gt;120))&gt;0,2,IF(SUMPRODUCT((Mapa_Sala='Mapa do Dia'!$N25)*(Mapa_Data=Data_Mapa)*(Mapa_MinOcup&gt;0)*(Mapa_RelFim&lt;130)*(Mapa_RelFim+Limpeza_Min&gt;120))&gt;0,1,0)))</f>
        <v/>
      </c>
      <c r="AI27" s="15">
        <f>IF(OR('Mapa do Dia'!$A25="",'Calc'!$B17&lt;&gt;"Sala cirúrgica"),"",IF(SUMPRODUCT((Mapa_Sala='Mapa do Dia'!$N25)*(Mapa_Data=Data_Mapa)*(Mapa_MinOcup&gt;0)*(Mapa_RelIni&lt;140)*(Mapa_RelFim&gt;130))&gt;0,2,IF(SUMPRODUCT((Mapa_Sala='Mapa do Dia'!$N25)*(Mapa_Data=Data_Mapa)*(Mapa_MinOcup&gt;0)*(Mapa_RelFim&lt;140)*(Mapa_RelFim+Limpeza_Min&gt;130))&gt;0,1,0)))</f>
        <v/>
      </c>
      <c r="AJ27" s="15">
        <f>IF(OR('Mapa do Dia'!$A25="",'Calc'!$B17&lt;&gt;"Sala cirúrgica"),"",IF(SUMPRODUCT((Mapa_Sala='Mapa do Dia'!$N25)*(Mapa_Data=Data_Mapa)*(Mapa_MinOcup&gt;0)*(Mapa_RelIni&lt;150)*(Mapa_RelFim&gt;140))&gt;0,2,IF(SUMPRODUCT((Mapa_Sala='Mapa do Dia'!$N25)*(Mapa_Data=Data_Mapa)*(Mapa_MinOcup&gt;0)*(Mapa_RelFim&lt;150)*(Mapa_RelFim+Limpeza_Min&gt;140))&gt;0,1,0)))</f>
        <v/>
      </c>
      <c r="AK27" s="15">
        <f>IF(OR('Mapa do Dia'!$A25="",'Calc'!$B17&lt;&gt;"Sala cirúrgica"),"",IF(SUMPRODUCT((Mapa_Sala='Mapa do Dia'!$N25)*(Mapa_Data=Data_Mapa)*(Mapa_MinOcup&gt;0)*(Mapa_RelIni&lt;160)*(Mapa_RelFim&gt;150))&gt;0,2,IF(SUMPRODUCT((Mapa_Sala='Mapa do Dia'!$N25)*(Mapa_Data=Data_Mapa)*(Mapa_MinOcup&gt;0)*(Mapa_RelFim&lt;160)*(Mapa_RelFim+Limpeza_Min&gt;150))&gt;0,1,0)))</f>
        <v/>
      </c>
      <c r="AL27" s="15">
        <f>IF(OR('Mapa do Dia'!$A25="",'Calc'!$B17&lt;&gt;"Sala cirúrgica"),"",IF(SUMPRODUCT((Mapa_Sala='Mapa do Dia'!$N25)*(Mapa_Data=Data_Mapa)*(Mapa_MinOcup&gt;0)*(Mapa_RelIni&lt;170)*(Mapa_RelFim&gt;160))&gt;0,2,IF(SUMPRODUCT((Mapa_Sala='Mapa do Dia'!$N25)*(Mapa_Data=Data_Mapa)*(Mapa_MinOcup&gt;0)*(Mapa_RelFim&lt;170)*(Mapa_RelFim+Limpeza_Min&gt;160))&gt;0,1,0)))</f>
        <v/>
      </c>
      <c r="AM27" s="15">
        <f>IF(OR('Mapa do Dia'!$A25="",'Calc'!$B17&lt;&gt;"Sala cirúrgica"),"",IF(SUMPRODUCT((Mapa_Sala='Mapa do Dia'!$N25)*(Mapa_Data=Data_Mapa)*(Mapa_MinOcup&gt;0)*(Mapa_RelIni&lt;180)*(Mapa_RelFim&gt;170))&gt;0,2,IF(SUMPRODUCT((Mapa_Sala='Mapa do Dia'!$N25)*(Mapa_Data=Data_Mapa)*(Mapa_MinOcup&gt;0)*(Mapa_RelFim&lt;180)*(Mapa_RelFim+Limpeza_Min&gt;170))&gt;0,1,0)))</f>
        <v/>
      </c>
      <c r="AN27" s="15">
        <f>IF(OR('Mapa do Dia'!$A25="",'Calc'!$B17&lt;&gt;"Sala cirúrgica"),"",IF(SUMPRODUCT((Mapa_Sala='Mapa do Dia'!$N25)*(Mapa_Data=Data_Mapa)*(Mapa_MinOcup&gt;0)*(Mapa_RelIni&lt;190)*(Mapa_RelFim&gt;180))&gt;0,2,IF(SUMPRODUCT((Mapa_Sala='Mapa do Dia'!$N25)*(Mapa_Data=Data_Mapa)*(Mapa_MinOcup&gt;0)*(Mapa_RelFim&lt;190)*(Mapa_RelFim+Limpeza_Min&gt;180))&gt;0,1,0)))</f>
        <v/>
      </c>
      <c r="AO27" s="15">
        <f>IF(OR('Mapa do Dia'!$A25="",'Calc'!$B17&lt;&gt;"Sala cirúrgica"),"",IF(SUMPRODUCT((Mapa_Sala='Mapa do Dia'!$N25)*(Mapa_Data=Data_Mapa)*(Mapa_MinOcup&gt;0)*(Mapa_RelIni&lt;200)*(Mapa_RelFim&gt;190))&gt;0,2,IF(SUMPRODUCT((Mapa_Sala='Mapa do Dia'!$N25)*(Mapa_Data=Data_Mapa)*(Mapa_MinOcup&gt;0)*(Mapa_RelFim&lt;200)*(Mapa_RelFim+Limpeza_Min&gt;190))&gt;0,1,0)))</f>
        <v/>
      </c>
      <c r="AP27" s="15">
        <f>IF(OR('Mapa do Dia'!$A25="",'Calc'!$B17&lt;&gt;"Sala cirúrgica"),"",IF(SUMPRODUCT((Mapa_Sala='Mapa do Dia'!$N25)*(Mapa_Data=Data_Mapa)*(Mapa_MinOcup&gt;0)*(Mapa_RelIni&lt;210)*(Mapa_RelFim&gt;200))&gt;0,2,IF(SUMPRODUCT((Mapa_Sala='Mapa do Dia'!$N25)*(Mapa_Data=Data_Mapa)*(Mapa_MinOcup&gt;0)*(Mapa_RelFim&lt;210)*(Mapa_RelFim+Limpeza_Min&gt;200))&gt;0,1,0)))</f>
        <v/>
      </c>
      <c r="AQ27" s="15">
        <f>IF(OR('Mapa do Dia'!$A25="",'Calc'!$B17&lt;&gt;"Sala cirúrgica"),"",IF(SUMPRODUCT((Mapa_Sala='Mapa do Dia'!$N25)*(Mapa_Data=Data_Mapa)*(Mapa_MinOcup&gt;0)*(Mapa_RelIni&lt;220)*(Mapa_RelFim&gt;210))&gt;0,2,IF(SUMPRODUCT((Mapa_Sala='Mapa do Dia'!$N25)*(Mapa_Data=Data_Mapa)*(Mapa_MinOcup&gt;0)*(Mapa_RelFim&lt;220)*(Mapa_RelFim+Limpeza_Min&gt;210))&gt;0,1,0)))</f>
        <v/>
      </c>
      <c r="AR27" s="15">
        <f>IF(OR('Mapa do Dia'!$A25="",'Calc'!$B17&lt;&gt;"Sala cirúrgica"),"",IF(SUMPRODUCT((Mapa_Sala='Mapa do Dia'!$N25)*(Mapa_Data=Data_Mapa)*(Mapa_MinOcup&gt;0)*(Mapa_RelIni&lt;230)*(Mapa_RelFim&gt;220))&gt;0,2,IF(SUMPRODUCT((Mapa_Sala='Mapa do Dia'!$N25)*(Mapa_Data=Data_Mapa)*(Mapa_MinOcup&gt;0)*(Mapa_RelFim&lt;230)*(Mapa_RelFim+Limpeza_Min&gt;220))&gt;0,1,0)))</f>
        <v/>
      </c>
      <c r="AS27" s="15">
        <f>IF(OR('Mapa do Dia'!$A25="",'Calc'!$B17&lt;&gt;"Sala cirúrgica"),"",IF(SUMPRODUCT((Mapa_Sala='Mapa do Dia'!$N25)*(Mapa_Data=Data_Mapa)*(Mapa_MinOcup&gt;0)*(Mapa_RelIni&lt;240)*(Mapa_RelFim&gt;230))&gt;0,2,IF(SUMPRODUCT((Mapa_Sala='Mapa do Dia'!$N25)*(Mapa_Data=Data_Mapa)*(Mapa_MinOcup&gt;0)*(Mapa_RelFim&lt;240)*(Mapa_RelFim+Limpeza_Min&gt;230))&gt;0,1,0)))</f>
        <v/>
      </c>
      <c r="AT27" s="15">
        <f>IF(OR('Mapa do Dia'!$A25="",'Calc'!$B17&lt;&gt;"Sala cirúrgica"),"",IF(SUMPRODUCT((Mapa_Sala='Mapa do Dia'!$N25)*(Mapa_Data=Data_Mapa)*(Mapa_MinOcup&gt;0)*(Mapa_RelIni&lt;250)*(Mapa_RelFim&gt;240))&gt;0,2,IF(SUMPRODUCT((Mapa_Sala='Mapa do Dia'!$N25)*(Mapa_Data=Data_Mapa)*(Mapa_MinOcup&gt;0)*(Mapa_RelFim&lt;250)*(Mapa_RelFim+Limpeza_Min&gt;240))&gt;0,1,0)))</f>
        <v/>
      </c>
      <c r="AU27" s="15">
        <f>IF(OR('Mapa do Dia'!$A25="",'Calc'!$B17&lt;&gt;"Sala cirúrgica"),"",IF(SUMPRODUCT((Mapa_Sala='Mapa do Dia'!$N25)*(Mapa_Data=Data_Mapa)*(Mapa_MinOcup&gt;0)*(Mapa_RelIni&lt;260)*(Mapa_RelFim&gt;250))&gt;0,2,IF(SUMPRODUCT((Mapa_Sala='Mapa do Dia'!$N25)*(Mapa_Data=Data_Mapa)*(Mapa_MinOcup&gt;0)*(Mapa_RelFim&lt;260)*(Mapa_RelFim+Limpeza_Min&gt;250))&gt;0,1,0)))</f>
        <v/>
      </c>
      <c r="AV27" s="15">
        <f>IF(OR('Mapa do Dia'!$A25="",'Calc'!$B17&lt;&gt;"Sala cirúrgica"),"",IF(SUMPRODUCT((Mapa_Sala='Mapa do Dia'!$N25)*(Mapa_Data=Data_Mapa)*(Mapa_MinOcup&gt;0)*(Mapa_RelIni&lt;270)*(Mapa_RelFim&gt;260))&gt;0,2,IF(SUMPRODUCT((Mapa_Sala='Mapa do Dia'!$N25)*(Mapa_Data=Data_Mapa)*(Mapa_MinOcup&gt;0)*(Mapa_RelFim&lt;270)*(Mapa_RelFim+Limpeza_Min&gt;260))&gt;0,1,0)))</f>
        <v/>
      </c>
      <c r="AW27" s="15">
        <f>IF(OR('Mapa do Dia'!$A25="",'Calc'!$B17&lt;&gt;"Sala cirúrgica"),"",IF(SUMPRODUCT((Mapa_Sala='Mapa do Dia'!$N25)*(Mapa_Data=Data_Mapa)*(Mapa_MinOcup&gt;0)*(Mapa_RelIni&lt;280)*(Mapa_RelFim&gt;270))&gt;0,2,IF(SUMPRODUCT((Mapa_Sala='Mapa do Dia'!$N25)*(Mapa_Data=Data_Mapa)*(Mapa_MinOcup&gt;0)*(Mapa_RelFim&lt;280)*(Mapa_RelFim+Limpeza_Min&gt;270))&gt;0,1,0)))</f>
        <v/>
      </c>
      <c r="AX27" s="15">
        <f>IF(OR('Mapa do Dia'!$A25="",'Calc'!$B17&lt;&gt;"Sala cirúrgica"),"",IF(SUMPRODUCT((Mapa_Sala='Mapa do Dia'!$N25)*(Mapa_Data=Data_Mapa)*(Mapa_MinOcup&gt;0)*(Mapa_RelIni&lt;290)*(Mapa_RelFim&gt;280))&gt;0,2,IF(SUMPRODUCT((Mapa_Sala='Mapa do Dia'!$N25)*(Mapa_Data=Data_Mapa)*(Mapa_MinOcup&gt;0)*(Mapa_RelFim&lt;290)*(Mapa_RelFim+Limpeza_Min&gt;280))&gt;0,1,0)))</f>
        <v/>
      </c>
      <c r="AY27" s="15">
        <f>IF(OR('Mapa do Dia'!$A25="",'Calc'!$B17&lt;&gt;"Sala cirúrgica"),"",IF(SUMPRODUCT((Mapa_Sala='Mapa do Dia'!$N25)*(Mapa_Data=Data_Mapa)*(Mapa_MinOcup&gt;0)*(Mapa_RelIni&lt;300)*(Mapa_RelFim&gt;290))&gt;0,2,IF(SUMPRODUCT((Mapa_Sala='Mapa do Dia'!$N25)*(Mapa_Data=Data_Mapa)*(Mapa_MinOcup&gt;0)*(Mapa_RelFim&lt;300)*(Mapa_RelFim+Limpeza_Min&gt;290))&gt;0,1,0)))</f>
        <v/>
      </c>
      <c r="AZ27" s="15">
        <f>IF(OR('Mapa do Dia'!$A25="",'Calc'!$B17&lt;&gt;"Sala cirúrgica"),"",IF(SUMPRODUCT((Mapa_Sala='Mapa do Dia'!$N25)*(Mapa_Data=Data_Mapa)*(Mapa_MinOcup&gt;0)*(Mapa_RelIni&lt;310)*(Mapa_RelFim&gt;300))&gt;0,2,IF(SUMPRODUCT((Mapa_Sala='Mapa do Dia'!$N25)*(Mapa_Data=Data_Mapa)*(Mapa_MinOcup&gt;0)*(Mapa_RelFim&lt;310)*(Mapa_RelFim+Limpeza_Min&gt;300))&gt;0,1,0)))</f>
        <v/>
      </c>
      <c r="BA27" s="15">
        <f>IF(OR('Mapa do Dia'!$A25="",'Calc'!$B17&lt;&gt;"Sala cirúrgica"),"",IF(SUMPRODUCT((Mapa_Sala='Mapa do Dia'!$N25)*(Mapa_Data=Data_Mapa)*(Mapa_MinOcup&gt;0)*(Mapa_RelIni&lt;320)*(Mapa_RelFim&gt;310))&gt;0,2,IF(SUMPRODUCT((Mapa_Sala='Mapa do Dia'!$N25)*(Mapa_Data=Data_Mapa)*(Mapa_MinOcup&gt;0)*(Mapa_RelFim&lt;320)*(Mapa_RelFim+Limpeza_Min&gt;310))&gt;0,1,0)))</f>
        <v/>
      </c>
      <c r="BB27" s="15">
        <f>IF(OR('Mapa do Dia'!$A25="",'Calc'!$B17&lt;&gt;"Sala cirúrgica"),"",IF(SUMPRODUCT((Mapa_Sala='Mapa do Dia'!$N25)*(Mapa_Data=Data_Mapa)*(Mapa_MinOcup&gt;0)*(Mapa_RelIni&lt;330)*(Mapa_RelFim&gt;320))&gt;0,2,IF(SUMPRODUCT((Mapa_Sala='Mapa do Dia'!$N25)*(Mapa_Data=Data_Mapa)*(Mapa_MinOcup&gt;0)*(Mapa_RelFim&lt;330)*(Mapa_RelFim+Limpeza_Min&gt;320))&gt;0,1,0)))</f>
        <v/>
      </c>
      <c r="BC27" s="15">
        <f>IF(OR('Mapa do Dia'!$A25="",'Calc'!$B17&lt;&gt;"Sala cirúrgica"),"",IF(SUMPRODUCT((Mapa_Sala='Mapa do Dia'!$N25)*(Mapa_Data=Data_Mapa)*(Mapa_MinOcup&gt;0)*(Mapa_RelIni&lt;340)*(Mapa_RelFim&gt;330))&gt;0,2,IF(SUMPRODUCT((Mapa_Sala='Mapa do Dia'!$N25)*(Mapa_Data=Data_Mapa)*(Mapa_MinOcup&gt;0)*(Mapa_RelFim&lt;340)*(Mapa_RelFim+Limpeza_Min&gt;330))&gt;0,1,0)))</f>
        <v/>
      </c>
      <c r="BD27" s="15">
        <f>IF(OR('Mapa do Dia'!$A25="",'Calc'!$B17&lt;&gt;"Sala cirúrgica"),"",IF(SUMPRODUCT((Mapa_Sala='Mapa do Dia'!$N25)*(Mapa_Data=Data_Mapa)*(Mapa_MinOcup&gt;0)*(Mapa_RelIni&lt;350)*(Mapa_RelFim&gt;340))&gt;0,2,IF(SUMPRODUCT((Mapa_Sala='Mapa do Dia'!$N25)*(Mapa_Data=Data_Mapa)*(Mapa_MinOcup&gt;0)*(Mapa_RelFim&lt;350)*(Mapa_RelFim+Limpeza_Min&gt;340))&gt;0,1,0)))</f>
        <v/>
      </c>
      <c r="BE27" s="15">
        <f>IF(OR('Mapa do Dia'!$A25="",'Calc'!$B17&lt;&gt;"Sala cirúrgica"),"",IF(SUMPRODUCT((Mapa_Sala='Mapa do Dia'!$N25)*(Mapa_Data=Data_Mapa)*(Mapa_MinOcup&gt;0)*(Mapa_RelIni&lt;360)*(Mapa_RelFim&gt;350))&gt;0,2,IF(SUMPRODUCT((Mapa_Sala='Mapa do Dia'!$N25)*(Mapa_Data=Data_Mapa)*(Mapa_MinOcup&gt;0)*(Mapa_RelFim&lt;360)*(Mapa_RelFim+Limpeza_Min&gt;350))&gt;0,1,0)))</f>
        <v/>
      </c>
      <c r="BF27">
        <f>IF('Mapa do Dia'!$A25="","",'Mapa do Dia'!$F25)</f>
        <v/>
      </c>
    </row>
    <row r="28">
      <c r="A28" s="16" t="inlineStr">
        <is>
          <t>Cada quadradinho são 10 minutos. Barra cheia = sala ocupada · barra clara = a limpeza, que dura 20 min e por isso ocupa dois · vazio = sala livre.</t>
        </is>
      </c>
    </row>
    <row r="29">
      <c r="A29" s="9" t="inlineStr">
        <is>
          <t>O QUE FAZER AGORA — em ordem de urgência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</row>
    <row r="31" ht="22" customHeight="1">
      <c r="A31" s="17">
        <f>IF('Painel'!$C31="","",1)</f>
        <v/>
      </c>
      <c r="B31" s="6" t="n"/>
      <c r="C31" s="18">
        <f>IF(MAX(Aco_Nota)&lt;1,"Nada pendente — o dia está fechado.",IFERROR(IF(LARGE(Aco_Nota,1)&lt;1,"",INDEX(Aco_Texto,MATCH(LARGE(Aco_Nota,1),Aco_Nota,0))),""))</f>
        <v/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>
        <f>IFERROR(IF(LARGE(Aco_Nota,1)&lt;1,0,LARGE(Aco_Nota,1)),0)</f>
        <v/>
      </c>
    </row>
    <row r="32" ht="22" customHeight="1">
      <c r="A32" s="17">
        <f>IF('Painel'!$C32="","",2)</f>
        <v/>
      </c>
      <c r="B32" s="6" t="n"/>
      <c r="C32" s="18">
        <f>IF(MAX(Aco_Nota)&lt;1,"",IFERROR(IF(LARGE(Aco_Nota,2)&lt;1,"",INDEX(Aco_Texto,MATCH(LARGE(Aco_Nota,2),Aco_Nota,0))),""))</f>
        <v/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>
        <f>IFERROR(IF(LARGE(Aco_Nota,2)&lt;1,0,LARGE(Aco_Nota,2)),0)</f>
        <v/>
      </c>
    </row>
    <row r="33" ht="22" customHeight="1">
      <c r="A33" s="17">
        <f>IF('Painel'!$C33="","",3)</f>
        <v/>
      </c>
      <c r="B33" s="6" t="n"/>
      <c r="C33" s="18">
        <f>IF(MAX(Aco_Nota)&lt;1,"",IFERROR(IF(LARGE(Aco_Nota,3)&lt;1,"",INDEX(Aco_Texto,MATCH(LARGE(Aco_Nota,3),Aco_Nota,0))),""))</f>
        <v/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>
        <f>IFERROR(IF(LARGE(Aco_Nota,3)&lt;1,0,LARGE(Aco_Nota,3)),0)</f>
        <v/>
      </c>
    </row>
    <row r="34" ht="22" customHeight="1">
      <c r="A34" s="17">
        <f>IF('Painel'!$C34="","",4)</f>
        <v/>
      </c>
      <c r="B34" s="6" t="n"/>
      <c r="C34" s="18">
        <f>IF(MAX(Aco_Nota)&lt;1,"",IFERROR(IF(LARGE(Aco_Nota,4)&lt;1,"",INDEX(Aco_Texto,MATCH(LARGE(Aco_Nota,4),Aco_Nota,0))),""))</f>
        <v/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>
        <f>IFERROR(IF(LARGE(Aco_Nota,4)&lt;1,0,LARGE(Aco_Nota,4)),0)</f>
        <v/>
      </c>
    </row>
    <row r="35" ht="22" customHeight="1">
      <c r="A35" s="17">
        <f>IF('Painel'!$C35="","",5)</f>
        <v/>
      </c>
      <c r="B35" s="6" t="n"/>
      <c r="C35" s="18">
        <f>IF(MAX(Aco_Nota)&lt;1,"",IFERROR(IF(LARGE(Aco_Nota,5)&lt;1,"",INDEX(Aco_Texto,MATCH(LARGE(Aco_Nota,5),Aco_Nota,0))),""))</f>
        <v/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>
        <f>IFERROR(IF(LARGE(Aco_Nota,5)&lt;1,0,LARGE(Aco_Nota,5)),0)</f>
        <v/>
      </c>
    </row>
    <row r="36" ht="22" customHeight="1">
      <c r="A36" s="17">
        <f>IF('Painel'!$C36="","",6)</f>
        <v/>
      </c>
      <c r="B36" s="6" t="n"/>
      <c r="C36" s="18">
        <f>IF(MAX(Aco_Nota)&lt;1,"",IFERROR(IF(LARGE(Aco_Nota,6)&lt;1,"",INDEX(Aco_Texto,MATCH(LARGE(Aco_Nota,6),Aco_Nota,0))),""))</f>
        <v/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>
        <f>IFERROR(IF(LARGE(Aco_Nota,6)&lt;1,0,LARGE(Aco_Nota,6)),0)</f>
        <v/>
      </c>
    </row>
    <row r="37" ht="22" customHeight="1">
      <c r="A37" s="17">
        <f>IF('Painel'!$C37="","",7)</f>
        <v/>
      </c>
      <c r="B37" s="6" t="n"/>
      <c r="C37" s="18">
        <f>IF(MAX(Aco_Nota)&lt;1,"",IFERROR(IF(LARGE(Aco_Nota,7)&lt;1,"",INDEX(Aco_Texto,MATCH(LARGE(Aco_Nota,7),Aco_Nota,0))),""))</f>
        <v/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>
        <f>IFERROR(IF(LARGE(Aco_Nota,7)&lt;1,0,LARGE(Aco_Nota,7)),0)</f>
        <v/>
      </c>
    </row>
    <row r="38" ht="22" customHeight="1">
      <c r="A38" s="17">
        <f>IF('Painel'!$C38="","",8)</f>
        <v/>
      </c>
      <c r="B38" s="6" t="n"/>
      <c r="C38" s="18">
        <f>IF(MAX(Aco_Nota)&lt;1,"",IFERROR(IF(LARGE(Aco_Nota,8)&lt;1,"",INDEX(Aco_Texto,MATCH(LARGE(Aco_Nota,8),Aco_Nota,0))),""))</f>
        <v/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>
        <f>IFERROR(IF(LARGE(Aco_Nota,8)&lt;1,0,LARGE(Aco_Nota,8)),0)</f>
        <v/>
      </c>
    </row>
    <row r="40">
      <c r="A40" s="9" t="inlineStr">
        <is>
          <t>ONDE ENCAIXAR HOJE — maiores janelas nas salas que aceitam encaixe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</row>
    <row r="41">
      <c r="A41" s="11" t="inlineStr"/>
      <c r="B41" s="6" t="n"/>
      <c r="C41" s="11" t="inlineStr">
        <is>
          <t>Ambiente</t>
        </is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11" t="inlineStr">
        <is>
          <t>Sala vaga</t>
        </is>
      </c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11" t="inlineStr">
        <is>
          <t>Cabe até (min)</t>
        </is>
      </c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</row>
    <row r="42">
      <c r="A42" s="19">
        <f>IF(IFERROR(LARGE(Rnk_Cabe,1),0)&lt;Janela_Min,"",1)</f>
        <v/>
      </c>
      <c r="B42" s="6" t="n"/>
      <c r="C42" s="14">
        <f>IF(IFERROR(LARGE(Rnk_Cabe,1),0)&lt;Janela_Min,"",INDEX(Rnk_Nome,MATCH(LARGE(Rnk_Cabe,1),Rnk_Cabe,0)))</f>
        <v/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19">
        <f>IF(IFERROR(LARGE(Rnk_Cabe,1),0)&lt;Janela_Min,"",INDEX('Mapa do Dia'!$J$10:$J$25,MATCH(LARGE(Rnk_Cabe,1),Rnk_Cabe,0)))</f>
        <v/>
      </c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20">
        <f>IF(IFERROR(LARGE(Rnk_Cabe,1),0)&lt;Janela_Min,"",INDEX('Mapa do Dia'!$K$10:$K$25,MATCH(LARGE(Rnk_Cabe,1),Rnk_Cabe,0)))</f>
        <v/>
      </c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</row>
    <row r="43">
      <c r="A43" s="19">
        <f>IF(IFERROR(LARGE(Rnk_Cabe,2),0)&lt;Janela_Min,"",2)</f>
        <v/>
      </c>
      <c r="B43" s="6" t="n"/>
      <c r="C43" s="14">
        <f>IF(IFERROR(LARGE(Rnk_Cabe,2),0)&lt;Janela_Min,"",INDEX(Rnk_Nome,MATCH(LARGE(Rnk_Cabe,2),Rnk_Cabe,0)))</f>
        <v/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19">
        <f>IF(IFERROR(LARGE(Rnk_Cabe,2),0)&lt;Janela_Min,"",INDEX('Mapa do Dia'!$J$10:$J$25,MATCH(LARGE(Rnk_Cabe,2),Rnk_Cabe,0)))</f>
        <v/>
      </c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20">
        <f>IF(IFERROR(LARGE(Rnk_Cabe,2),0)&lt;Janela_Min,"",INDEX('Mapa do Dia'!$K$10:$K$25,MATCH(LARGE(Rnk_Cabe,2),Rnk_Cabe,0)))</f>
        <v/>
      </c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</row>
    <row r="44">
      <c r="A44" s="19">
        <f>IF(IFERROR(LARGE(Rnk_Cabe,3),0)&lt;Janela_Min,"",3)</f>
        <v/>
      </c>
      <c r="B44" s="6" t="n"/>
      <c r="C44" s="14">
        <f>IF(IFERROR(LARGE(Rnk_Cabe,3),0)&lt;Janela_Min,"",INDEX(Rnk_Nome,MATCH(LARGE(Rnk_Cabe,3),Rnk_Cabe,0)))</f>
        <v/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19">
        <f>IF(IFERROR(LARGE(Rnk_Cabe,3),0)&lt;Janela_Min,"",INDEX('Mapa do Dia'!$J$10:$J$25,MATCH(LARGE(Rnk_Cabe,3),Rnk_Cabe,0)))</f>
        <v/>
      </c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20">
        <f>IF(IFERROR(LARGE(Rnk_Cabe,3),0)&lt;Janela_Min,"",INDEX('Mapa do Dia'!$K$10:$K$25,MATCH(LARGE(Rnk_Cabe,3),Rnk_Cabe,0)))</f>
        <v/>
      </c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</row>
    <row r="46">
      <c r="A46" s="9" t="inlineStr">
        <is>
          <t>RISCO DE ATRASO — salas onde a limpeza não cabe entre as cirurgias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</row>
    <row r="47">
      <c r="A47" s="11" t="inlineStr"/>
      <c r="B47" s="6" t="n"/>
      <c r="C47" s="11" t="inlineStr">
        <is>
          <t>Ambiente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11" t="inlineStr">
        <is>
          <t>Atraso previsto (min)</t>
        </is>
      </c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11" t="inlineStr">
        <is>
          <t>Cirurgias</t>
        </is>
      </c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</row>
    <row r="48">
      <c r="A48" s="19">
        <f>IF(IFERROR(LARGE(Rnk_Atraso,1),0)&lt;=0,"",1)</f>
        <v/>
      </c>
      <c r="B48" s="6" t="n"/>
      <c r="C48" s="14">
        <f>IF(IFERROR(LARGE(Rnk_Atraso,1),0)&lt;=0,"",INDEX(Rnk_Nome,MATCH(LARGE(Rnk_Atraso,1),Rnk_Atraso,0)))</f>
        <v/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20">
        <f>IF(IFERROR(LARGE(Rnk_Atraso,1),0)&lt;=0,"",INDEX('Mapa do Dia'!$L$10:$L$25,MATCH(LARGE(Rnk_Atraso,1),Rnk_Atraso,0)))</f>
        <v/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20">
        <f>IF(IFERROR(LARGE(Rnk_Atraso,1),0)&lt;=0,"",INDEX('Mapa do Dia'!$H$10:$H$25,MATCH(LARGE(Rnk_Atraso,1),Rnk_Atraso,0)))</f>
        <v/>
      </c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</row>
    <row r="49">
      <c r="A49" s="19">
        <f>IF(IFERROR(LARGE(Rnk_Atraso,2),0)&lt;=0,"",2)</f>
        <v/>
      </c>
      <c r="B49" s="6" t="n"/>
      <c r="C49" s="14">
        <f>IF(IFERROR(LARGE(Rnk_Atraso,2),0)&lt;=0,"",INDEX(Rnk_Nome,MATCH(LARGE(Rnk_Atraso,2),Rnk_Atraso,0)))</f>
        <v/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20">
        <f>IF(IFERROR(LARGE(Rnk_Atraso,2),0)&lt;=0,"",INDEX('Mapa do Dia'!$L$10:$L$25,MATCH(LARGE(Rnk_Atraso,2),Rnk_Atraso,0)))</f>
        <v/>
      </c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20">
        <f>IF(IFERROR(LARGE(Rnk_Atraso,2),0)&lt;=0,"",INDEX('Mapa do Dia'!$H$10:$H$25,MATCH(LARGE(Rnk_Atraso,2),Rnk_Atraso,0)))</f>
        <v/>
      </c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</row>
    <row r="50">
      <c r="A50" s="19">
        <f>IF(IFERROR(LARGE(Rnk_Atraso,3),0)&lt;=0,"",3)</f>
        <v/>
      </c>
      <c r="B50" s="6" t="n"/>
      <c r="C50" s="14">
        <f>IF(IFERROR(LARGE(Rnk_Atraso,3),0)&lt;=0,"",INDEX(Rnk_Nome,MATCH(LARGE(Rnk_Atraso,3),Rnk_Atraso,0)))</f>
        <v/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20">
        <f>IF(IFERROR(LARGE(Rnk_Atraso,3),0)&lt;=0,"",INDEX('Mapa do Dia'!$L$10:$L$25,MATCH(LARGE(Rnk_Atraso,3),Rnk_Atraso,0)))</f>
        <v/>
      </c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20">
        <f>IF(IFERROR(LARGE(Rnk_Atraso,3),0)&lt;=0,"",INDEX('Mapa do Dia'!$H$10:$H$25,MATCH(LARGE(Rnk_Atraso,3),Rnk_Atraso,0)))</f>
        <v/>
      </c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</row>
    <row r="51">
      <c r="A51" s="16" t="inlineStr">
        <is>
          <t>Sem atraso previsto quer dizer que a agenda deixou os 20 min de limpeza entre as cirurgias.</t>
        </is>
      </c>
    </row>
  </sheetData>
  <mergeCells count="108">
    <mergeCell ref="Q9:W9"/>
    <mergeCell ref="C47:N47"/>
    <mergeCell ref="A51:BE51"/>
    <mergeCell ref="A15:K15"/>
    <mergeCell ref="A24:K24"/>
    <mergeCell ref="O41:AF41"/>
    <mergeCell ref="L11:U11"/>
    <mergeCell ref="O43:AF43"/>
    <mergeCell ref="A41:B41"/>
    <mergeCell ref="A16:K16"/>
    <mergeCell ref="G4:L4"/>
    <mergeCell ref="O42:AF42"/>
    <mergeCell ref="A27:K27"/>
    <mergeCell ref="A18:K18"/>
    <mergeCell ref="L13:U13"/>
    <mergeCell ref="AZ11:BE11"/>
    <mergeCell ref="A33:B33"/>
    <mergeCell ref="AG42:AR42"/>
    <mergeCell ref="A42:B42"/>
    <mergeCell ref="A9:I9"/>
    <mergeCell ref="L15:U15"/>
    <mergeCell ref="A17:K17"/>
    <mergeCell ref="A35:B35"/>
    <mergeCell ref="L24:U24"/>
    <mergeCell ref="A22:K22"/>
    <mergeCell ref="L18:U18"/>
    <mergeCell ref="C42:N42"/>
    <mergeCell ref="A28:BE28"/>
    <mergeCell ref="A19:K19"/>
    <mergeCell ref="X8:AF8"/>
    <mergeCell ref="L26:U26"/>
    <mergeCell ref="A48:B48"/>
    <mergeCell ref="C31:BE31"/>
    <mergeCell ref="A11:K11"/>
    <mergeCell ref="C44:N44"/>
    <mergeCell ref="AG48:AR48"/>
    <mergeCell ref="A37:B37"/>
    <mergeCell ref="A8:I8"/>
    <mergeCell ref="C48:N48"/>
    <mergeCell ref="AG47:AR47"/>
    <mergeCell ref="A26:K26"/>
    <mergeCell ref="AG9:AM9"/>
    <mergeCell ref="L12:U12"/>
    <mergeCell ref="C34:BE34"/>
    <mergeCell ref="C49:N49"/>
    <mergeCell ref="L14:U14"/>
    <mergeCell ref="L23:U23"/>
    <mergeCell ref="AG41:AR41"/>
    <mergeCell ref="AG50:AR50"/>
    <mergeCell ref="A34:B34"/>
    <mergeCell ref="C50:N50"/>
    <mergeCell ref="AG49:AR49"/>
    <mergeCell ref="A49:B49"/>
    <mergeCell ref="A36:B36"/>
    <mergeCell ref="A6:BE6"/>
    <mergeCell ref="O44:AF44"/>
    <mergeCell ref="V11:AA11"/>
    <mergeCell ref="L27:U27"/>
    <mergeCell ref="AG8:AM8"/>
    <mergeCell ref="AU9:BE9"/>
    <mergeCell ref="AH11:AM11"/>
    <mergeCell ref="AN9:AT9"/>
    <mergeCell ref="L17:U17"/>
    <mergeCell ref="C32:BE32"/>
    <mergeCell ref="C38:BE38"/>
    <mergeCell ref="O47:AF47"/>
    <mergeCell ref="O48:AF48"/>
    <mergeCell ref="A12:K12"/>
    <mergeCell ref="L19:U19"/>
    <mergeCell ref="A21:K21"/>
    <mergeCell ref="Q8:W8"/>
    <mergeCell ref="A32:B32"/>
    <mergeCell ref="A14:K14"/>
    <mergeCell ref="A23:K23"/>
    <mergeCell ref="C33:BE33"/>
    <mergeCell ref="A38:B38"/>
    <mergeCell ref="A43:B43"/>
    <mergeCell ref="C35:BE35"/>
    <mergeCell ref="L20:U20"/>
    <mergeCell ref="L22:U22"/>
    <mergeCell ref="O49:AF49"/>
    <mergeCell ref="C41:N41"/>
    <mergeCell ref="AU8:BE8"/>
    <mergeCell ref="AN8:AT8"/>
    <mergeCell ref="L21:U21"/>
    <mergeCell ref="C36:BE36"/>
    <mergeCell ref="C43:N43"/>
    <mergeCell ref="AB11:AG11"/>
    <mergeCell ref="J8:P8"/>
    <mergeCell ref="O50:AF50"/>
    <mergeCell ref="A25:K25"/>
    <mergeCell ref="AN11:AS11"/>
    <mergeCell ref="A4:F4"/>
    <mergeCell ref="L16:U16"/>
    <mergeCell ref="A50:B50"/>
    <mergeCell ref="C37:BE37"/>
    <mergeCell ref="AT11:AY11"/>
    <mergeCell ref="J9:P9"/>
    <mergeCell ref="AG43:AR43"/>
    <mergeCell ref="A47:B47"/>
    <mergeCell ref="X9:AF9"/>
    <mergeCell ref="M4:U4"/>
    <mergeCell ref="A20:K20"/>
    <mergeCell ref="AG44:AR44"/>
    <mergeCell ref="A44:B44"/>
    <mergeCell ref="A13:K13"/>
    <mergeCell ref="A31:B31"/>
    <mergeCell ref="L25:U25"/>
  </mergeCells>
  <conditionalFormatting sqref="A6">
    <cfRule type="cellIs" priority="1" operator="equal" dxfId="0">
      <formula>"AÇÃO NECESSÁRIA"</formula>
    </cfRule>
    <cfRule type="cellIs" priority="2" operator="equal" dxfId="1">
      <formula>"ATENÇÃO"</formula>
    </cfRule>
    <cfRule type="cellIs" priority="3" operator="equal" dxfId="1">
      <formula>"QUASE PRONTO"</formula>
    </cfRule>
    <cfRule type="expression" priority="4" dxfId="2">
      <formula>LEFT($A$6,11)="DIA FECHADO"</formula>
    </cfRule>
  </conditionalFormatting>
  <conditionalFormatting sqref="A12:K27">
    <cfRule type="expression" priority="5" dxfId="3">
      <formula>$BF12="OK"</formula>
    </cfRule>
    <cfRule type="expression" priority="6" dxfId="4">
      <formula>OR($BF12="ATENÇÃO",$BF12="SEM AVALIAÇÃO",$BF12="INCOMPLETO")</formula>
    </cfRule>
    <cfRule type="expression" priority="7" dxfId="5">
      <formula>OR($BF12="SEM EQUIPE",$BF12="FALTA HABILIDADE",$BF12="GENTE DEMAIS",$BF12="EXTRA",$BF12="DUPLA VETADA",$BF12="INDISPONÍVEL")</formula>
    </cfRule>
    <cfRule type="expression" priority="8" dxfId="6">
      <formula>$BF12="NÃO OPERA"</formula>
    </cfRule>
  </conditionalFormatting>
  <conditionalFormatting sqref="V12:BE27">
    <cfRule type="cellIs" priority="9" operator="equal" dxfId="7">
      <formula>2</formula>
    </cfRule>
    <cfRule type="cellIs" priority="10" operator="equal" dxfId="8">
      <formula>1</formula>
    </cfRule>
  </conditionalFormatting>
  <conditionalFormatting sqref="C31:BE38">
    <cfRule type="expression" priority="11" dxfId="9">
      <formula>$BF31&gt;=900</formula>
    </cfRule>
    <cfRule type="expression" priority="12" dxfId="10">
      <formula>AND($BF31&gt;=600,$BF31&lt;900)</formula>
    </cfRule>
  </conditionalFormatting>
  <conditionalFormatting sqref="Q9">
    <cfRule type="cellIs" priority="13" operator="greaterThan" dxfId="11">
      <formula>0</formula>
    </cfRule>
  </conditionalFormatting>
  <conditionalFormatting sqref="X9">
    <cfRule type="cellIs" priority="14" operator="greaterThan" dxfId="12">
      <formula>0</formula>
    </cfRule>
  </conditionalFormatting>
  <conditionalFormatting sqref="AN9">
    <cfRule type="cellIs" priority="15" operator="greaterThan" dxfId="12">
      <formula>0</formula>
    </cfRule>
  </conditionalFormatting>
  <conditionalFormatting sqref="AU9">
    <cfRule type="cellIs" priority="16" operator="greaterThan" dxfId="13">
      <formula>0</formula>
    </cfRule>
  </conditionalFormatting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26" customWidth="1" min="4" max="4"/>
    <col width="26" customWidth="1" min="5" max="5"/>
    <col width="17" customWidth="1" min="6" max="6"/>
    <col width="40" customWidth="1" min="7" max="7"/>
    <col width="10" customWidth="1" min="8" max="8"/>
    <col width="11" customWidth="1" min="9" max="9"/>
    <col width="24" customWidth="1" min="10" max="10"/>
    <col width="11" customWidth="1" min="11" max="11"/>
    <col width="12" customWidth="1" min="12" max="12"/>
    <col width="30" customWidth="1" min="13" max="13"/>
    <col hidden="1" width="8" customWidth="1" min="14" max="14"/>
    <col hidden="1" width="8" customWidth="1" min="15" max="15"/>
  </cols>
  <sheetData>
    <row r="1">
      <c r="A1" s="1" t="inlineStr">
        <is>
          <t>CENTRO CIRÚRGICO — MAPA DO DIA</t>
        </is>
      </c>
    </row>
    <row r="2">
      <c r="A2" s="2" t="inlineStr">
        <is>
          <t>Esta aba já vem preenchida: cada ambiente com a sua dupla, as especialidades que passam ali e o tempo em que a sala fica vaga. Para trocar alguém, escolha outro nome nas células azuis.</t>
        </is>
      </c>
    </row>
    <row r="4">
      <c r="A4" s="9" t="inlineStr">
        <is>
          <t>1. O DIA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 ht="34" customHeight="1">
      <c r="A5" s="7" t="inlineStr">
        <is>
          <t>DATA</t>
        </is>
      </c>
      <c r="B5" s="7" t="inlineStr">
        <is>
          <t>Dia</t>
        </is>
      </c>
      <c r="C5" s="7" t="inlineStr">
        <is>
          <t>No quadro</t>
        </is>
      </c>
      <c r="D5" s="7" t="inlineStr">
        <is>
          <t>Ausentes</t>
        </is>
      </c>
      <c r="E5" s="7" t="inlineStr">
        <is>
          <t>DISPONÍVEIS</t>
        </is>
      </c>
      <c r="F5" s="7" t="inlineStr">
        <is>
          <t>Vagas do dia</t>
        </is>
      </c>
      <c r="G5" s="7" t="inlineStr">
        <is>
          <t>DÉFICIT</t>
        </is>
      </c>
      <c r="H5" s="7" t="inlineStr">
        <is>
          <t>Postos sem equipe</t>
        </is>
      </c>
      <c r="I5" s="7" t="inlineStr">
        <is>
          <t>Maior atraso previsto (min)</t>
        </is>
      </c>
      <c r="J5" s="7" t="inlineStr"/>
      <c r="K5" s="7" t="inlineStr"/>
      <c r="L5" s="7" t="inlineStr"/>
    </row>
    <row r="6" ht="26" customHeight="1">
      <c r="A6" s="21" t="n">
        <v>46254</v>
      </c>
      <c r="B6" s="22">
        <f>IF($A$6="","",CHOOSE(WEEKDAY($A$6),"domingo","segunda","terça","quarta","quinta","sexta","sábado")&amp;IF(COUNTIF(Feriados,$A$6)&gt;0," · feriado",""))</f>
        <v/>
      </c>
      <c r="C6" s="23">
        <f>SUMPRODUCT((Equipe_Nome&lt;&gt;"")*(Equipe_Status="Ativo"))</f>
        <v/>
      </c>
      <c r="D6" s="23">
        <f>SUMPRODUCT((Equipe_Nome&lt;&gt;"")*(Equipe_Status="Ativo")*(Equipe_Situacao&lt;&gt;"Disponível"))</f>
        <v/>
      </c>
      <c r="E6" s="23">
        <f>SUMPRODUCT((Equipe_Nome&lt;&gt;"")*(Equipe_Situacao="Disponível"))</f>
        <v/>
      </c>
      <c r="F6" s="23">
        <f>SUM('Calc'!$AD$2:$AD$17)</f>
        <v/>
      </c>
      <c r="G6" s="23">
        <f>MAX(0,$F$6-$E$6)</f>
        <v/>
      </c>
      <c r="H6" s="23">
        <f>COUNTIF($F$10:$F$25,"SEM EQUIPE")</f>
        <v/>
      </c>
      <c r="I6" s="23">
        <f>MAX(0,$L$10:$L$25)</f>
        <v/>
      </c>
    </row>
    <row r="8">
      <c r="A8" s="9" t="inlineStr">
        <is>
          <t>2. O MAPA — quem fica em cada lugar hoje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 ht="38" customHeight="1">
      <c r="A9" s="7" t="inlineStr">
        <is>
          <t>Ambiente</t>
        </is>
      </c>
      <c r="B9" s="7" t="inlineStr">
        <is>
          <t>Técnicos</t>
        </is>
      </c>
      <c r="C9" s="7" t="inlineStr">
        <is>
          <t>Especialidades do dia</t>
        </is>
      </c>
      <c r="D9" s="7" t="inlineStr">
        <is>
          <t>TÉCNICO 1</t>
        </is>
      </c>
      <c r="E9" s="7" t="inlineStr">
        <is>
          <t>TÉCNICO 2</t>
        </is>
      </c>
      <c r="F9" s="7" t="inlineStr">
        <is>
          <t>Situação</t>
        </is>
      </c>
      <c r="G9" s="7" t="inlineStr">
        <is>
          <t>Alertas</t>
        </is>
      </c>
      <c r="H9" s="7" t="inlineStr">
        <is>
          <t>Cirurgias</t>
        </is>
      </c>
      <c r="I9" s="7" t="inlineStr">
        <is>
          <t>Ocupação</t>
        </is>
      </c>
      <c r="J9" s="7" t="inlineStr">
        <is>
          <t>Sala vaga (maior janela)</t>
        </is>
      </c>
      <c r="K9" s="7" t="inlineStr">
        <is>
          <t>Cabe até (min)</t>
        </is>
      </c>
      <c r="L9" s="7" t="inlineStr">
        <is>
          <t>Atraso previsto (min)</t>
        </is>
      </c>
      <c r="M9" s="7" t="inlineStr">
        <is>
          <t>Quem está livre e cobre mais</t>
        </is>
      </c>
      <c r="N9" s="7" t="inlineStr"/>
      <c r="O9" s="7" t="inlineStr"/>
    </row>
    <row r="10" ht="30" customHeight="1">
      <c r="A10" s="18">
        <f>IF($N10="","",IFERROR(INDEX(Postos_Nome,MATCH($N10,Postos_Cod,0)),$N10))</f>
        <v/>
      </c>
      <c r="B10" s="20">
        <f>IF($N10="","",'Calc'!$AD2)</f>
        <v/>
      </c>
      <c r="C10" s="18">
        <f>IF(OR($N10="",'Calc'!$AB20=""),"",LEFT('Calc'!$AB20,LEN('Calc'!$AB20)-3))</f>
        <v/>
      </c>
      <c r="D10" s="24" t="inlineStr">
        <is>
          <t>Adriana Salvi</t>
        </is>
      </c>
      <c r="E10" s="24" t="inlineStr">
        <is>
          <t>Tatiane Bolzan</t>
        </is>
      </c>
      <c r="F10" s="19">
        <f>IF($N10="","",IF($B10=0,IF(AND($D10="",$E10=""),"NÃO OPERA","EXTRA"),IF(AND($D10="",$E10=""),"SEM EQUIPE",IF((--($D10&lt;&gt;"")+--($E10&lt;&gt;""))&lt;$B10,"INCOMPLETO",IF((--($D10&lt;&gt;"")+--($E10&lt;&gt;""))&gt;$B10,"GENTE DEMAIS",IF(AND($D10&lt;&gt;"",$E10&lt;&gt;"",OR(IFERROR(INDEX(Equipe_Afin,MATCH($D10,Equipe_Nome,0),MATCH($E10,Equipe_Nome,0)),"X")&lt;&gt;"X",IFERROR(INDEX(Equipe_Afin,MATCH($E10,Equipe_Nome,0),MATCH($D10,Equipe_Nome,0)),"X")&lt;&gt;"X")),"DUPLA VETADA",IF(OR(AND($D10&lt;&gt;"",IFERROR(INDEX(Equipe_Situacao,MATCH($D10,Equipe_Nome,0)),"Disponível")&lt;&gt;"Disponível"),AND($E10&lt;&gt;"",IFERROR(INDEX(Equipe_Situacao,MATCH($E10,Equipe_Nome,0)),"Disponível")&lt;&gt;"Disponível")),"INDISPONÍVEL",IF(OR(AND($D10&lt;&gt;"",IFERROR(INDEX(Equipe_NEsp,MATCH($D10,Equipe_Nome,0)),0)=0),AND($E10&lt;&gt;"",IFERROR(INDEX(Equipe_NEsp,MATCH($E10,Equipe_Nome,0)),0)=0)),"SEM AVALIAÇÃO",IF('Calc'!$Z20&gt;0,"FALTA HABILIDADE",IF(AND($B10&gt;=2,'Calc'!$AA20&gt;0),"ATENÇÃO","OK")))))))))</f>
        <v/>
      </c>
      <c r="G10" s="18">
        <f>IF($N10="","",IF($O10="","OK",LEFT($O10,LEN($O10)-3)))</f>
        <v/>
      </c>
      <c r="H10" s="20">
        <f>IF(OR($N10="",'Calc'!$B2&lt;&gt;"Sala cirúrgica"),"",COUNTIFS(Mapa_Sala,$N10,Mapa_Data,Data_Mapa,Mapa_MinOcup,"&gt;0"))</f>
        <v/>
      </c>
      <c r="I10" s="25">
        <f>IF(OR($N10="",'Calc'!$B2&lt;&gt;"Sala cirúrgica"),"",'Calc'!$AA2)</f>
        <v/>
      </c>
      <c r="J10" s="18">
        <f>IF($N10="","",IF(MAX('Calc_Salas'!$E$2:$E$14)=0,"—",IFERROR(TEXT(MOD(Turno_Ini+INDEX('Calc_Salas'!$C$2:$C$14,MATCH(LARGE('Calc_Salas'!$E$2:$E$14,1),'Calc_Salas'!$E$2:$E$14,0))/1440,1),"HH:MM")&amp;" → "&amp;TEXT(MOD(Turno_Ini+INDEX('Calc_Salas'!$D$2:$D$14,MATCH(LARGE('Calc_Salas'!$E$2:$E$14,1),'Calc_Salas'!$E$2:$E$14,0))/1440,1),"HH:MM")&amp;" ("&amp;LARGE('Calc_Salas'!$E$2:$E$14,1)&amp;" min)","—")))</f>
        <v/>
      </c>
      <c r="K10" s="20">
        <f>IF(OR($N10="",MAX('Calc_Salas'!$E$2:$E$14)=0),"",MAX('Calc_Salas'!$F$2:$F$14))</f>
        <v/>
      </c>
      <c r="L10" s="20">
        <f>IF(OR($N10="",'Calc'!$B2&lt;&gt;"Sala cirúrgica"),"",MAX('Calc_Salas'!$G$2:$G$14))</f>
        <v/>
      </c>
      <c r="M10" s="18">
        <f>IF($N10="","",IFERROR(INDEX(Sug_Nome,MATCH(LARGE('Calc'!E$38:E$67,1),'Calc'!E$38:E$67,0)),"—")&amp;IFERROR(" · "&amp;INDEX(Sug_Nome,MATCH(LARGE('Calc'!E$38:E$67,2),'Calc'!E$38:E$67,0)),"")&amp;IFERROR(" · "&amp;INDEX(Sug_Nome,MATCH(LARGE('Calc'!E$38:E$67,3),'Calc'!E$38:E$67,0)),""))</f>
        <v/>
      </c>
      <c r="N10" s="19">
        <f>IF('Calc'!$A2="","",'Calc'!$A2)</f>
        <v/>
      </c>
      <c r="O10" s="19">
        <f>IF($N10="","",IF(AND($F10="SEM EQUIPE",N($H10)&gt;0),"Sem equipe — "&amp;$H10&amp;" cirurgia(s) a remanejar | ","")&amp;IF($F10="SEM EQUIPE",IF(N($H10)&gt;0,"","Ambiente sem equipe | "),"")&amp;IF($F10="INCOMPLETO","Falta "&amp;($B10-(--($D10&lt;&gt;"")+--($E10&lt;&gt;"")))&amp;IF($B10-(--($D10&lt;&gt;"")+--($E10&lt;&gt;""))=1," técnico"," técnicos")&amp;" neste ambiente | ","")&amp;IF($F10="GENTE DEMAIS","Este ambiente é de "&amp;$B10&amp;IF($B10=1," técnico só"," técnicos")&amp;": tire o excedente | ","")&amp;IF($F10="DUPLA VETADA",$D10&amp;" e "&amp;$E10&amp;" não podem trabalhar juntas | ","")&amp;IF($F10="EXTRA","Técnico escalado em ambiente que não opera hoje | ","")&amp;IF(AND($F10="NÃO OPERA",N($H10)&gt;0),"Ambiente não opera hoje e tem cirurgia | ","")&amp;IF($F10="SEM AVALIAÇÃO","Técnico sem habilidade marcada na aba Equipe | ","")&amp;IF($F10="ATENÇÃO","Especialidade coberta por uma técnica só — se ela sair, a sala para | ","")&amp;IF(AND($F10&lt;&gt;"SEM AVALIAÇÃO",'Calc'!$AC20&lt;&gt;""),"Ninguém cobre: "&amp;LEFT('Calc'!$AC20,LEN('Calc'!$AC20)-3)&amp;" | ","")&amp;IF(AND($D10&lt;&gt;"",IFERROR(INDEX(Equipe_Situacao,MATCH($D10,Equipe_Nome,0)),"?")&lt;&gt;"Disponível"),$D10&amp;" não está disponível hoje ("&amp;IFERROR(INDEX(Equipe_Situacao,MATCH($D10,Equipe_Nome,0)),"?")&amp;") — troque | ","")&amp;IF(AND($E10&lt;&gt;"",IFERROR(INDEX(Equipe_Situacao,MATCH($E10,Equipe_Nome,0)),"?")&lt;&gt;"Disponível"),$E10&amp;" não está disponível hoje ("&amp;IFERROR(INDEX(Equipe_Situacao,MATCH($E10,Equipe_Nome,0)),"?")&amp;") — troque | ","")&amp;IF(OR(AND($D10&lt;&gt;"",COUNTIF(Pai_Tec1,$D10)+COUNTIF(Pai_Tec2,$D10)&gt;1),AND($E10&lt;&gt;"",COUNTIF(Pai_Tec1,$E10)+COUNTIF(Pai_Tec2,$E10)&gt;1)),"Técnico escalado em dois ambientes | ","")&amp;IF(AND($I10&lt;&gt;"",$I10&gt;1),"Ocupação acima do plantão | ",""))</f>
        <v/>
      </c>
    </row>
    <row r="11" ht="30" customHeight="1">
      <c r="A11" s="18">
        <f>IF($N11="","",IFERROR(INDEX(Postos_Nome,MATCH($N11,Postos_Cod,0)),$N11))</f>
        <v/>
      </c>
      <c r="B11" s="20">
        <f>IF($N11="","",'Calc'!$AD3)</f>
        <v/>
      </c>
      <c r="C11" s="18">
        <f>IF(OR($N11="",'Calc'!$AB21=""),"",LEFT('Calc'!$AB21,LEN('Calc'!$AB21)-3))</f>
        <v/>
      </c>
      <c r="D11" s="24" t="inlineStr">
        <is>
          <t>Camila Bertoldi</t>
        </is>
      </c>
      <c r="E11" s="24" t="inlineStr">
        <is>
          <t>Daiane Prestes</t>
        </is>
      </c>
      <c r="F11" s="19">
        <f>IF($N11="","",IF($B11=0,IF(AND($D11="",$E11=""),"NÃO OPERA","EXTRA"),IF(AND($D11="",$E11=""),"SEM EQUIPE",IF((--($D11&lt;&gt;"")+--($E11&lt;&gt;""))&lt;$B11,"INCOMPLETO",IF((--($D11&lt;&gt;"")+--($E11&lt;&gt;""))&gt;$B11,"GENTE DEMAIS",IF(AND($D11&lt;&gt;"",$E11&lt;&gt;"",OR(IFERROR(INDEX(Equipe_Afin,MATCH($D11,Equipe_Nome,0),MATCH($E11,Equipe_Nome,0)),"X")&lt;&gt;"X",IFERROR(INDEX(Equipe_Afin,MATCH($E11,Equipe_Nome,0),MATCH($D11,Equipe_Nome,0)),"X")&lt;&gt;"X")),"DUPLA VETADA",IF(OR(AND($D11&lt;&gt;"",IFERROR(INDEX(Equipe_Situacao,MATCH($D11,Equipe_Nome,0)),"Disponível")&lt;&gt;"Disponível"),AND($E11&lt;&gt;"",IFERROR(INDEX(Equipe_Situacao,MATCH($E11,Equipe_Nome,0)),"Disponível")&lt;&gt;"Disponível")),"INDISPONÍVEL",IF(OR(AND($D11&lt;&gt;"",IFERROR(INDEX(Equipe_NEsp,MATCH($D11,Equipe_Nome,0)),0)=0),AND($E11&lt;&gt;"",IFERROR(INDEX(Equipe_NEsp,MATCH($E11,Equipe_Nome,0)),0)=0)),"SEM AVALIAÇÃO",IF('Calc'!$Z21&gt;0,"FALTA HABILIDADE",IF(AND($B11&gt;=2,'Calc'!$AA21&gt;0),"ATENÇÃO","OK")))))))))</f>
        <v/>
      </c>
      <c r="G11" s="18">
        <f>IF($N11="","",IF($O11="","OK",LEFT($O11,LEN($O11)-3)))</f>
        <v/>
      </c>
      <c r="H11" s="20">
        <f>IF(OR($N11="",'Calc'!$B3&lt;&gt;"Sala cirúrgica"),"",COUNTIFS(Mapa_Sala,$N11,Mapa_Data,Data_Mapa,Mapa_MinOcup,"&gt;0"))</f>
        <v/>
      </c>
      <c r="I11" s="25">
        <f>IF(OR($N11="",'Calc'!$B3&lt;&gt;"Sala cirúrgica"),"",'Calc'!$AA3)</f>
        <v/>
      </c>
      <c r="J11" s="18">
        <f>IF($N11="","",IF(MAX('Calc_Salas'!$E$15:$E$27)=0,"—",IFERROR(TEXT(MOD(Turno_Ini+INDEX('Calc_Salas'!$C$15:$C$27,MATCH(LARGE('Calc_Salas'!$E$15:$E$27,1),'Calc_Salas'!$E$15:$E$27,0))/1440,1),"HH:MM")&amp;" → "&amp;TEXT(MOD(Turno_Ini+INDEX('Calc_Salas'!$D$15:$D$27,MATCH(LARGE('Calc_Salas'!$E$15:$E$27,1),'Calc_Salas'!$E$15:$E$27,0))/1440,1),"HH:MM")&amp;" ("&amp;LARGE('Calc_Salas'!$E$15:$E$27,1)&amp;" min)","—")))</f>
        <v/>
      </c>
      <c r="K11" s="20">
        <f>IF(OR($N11="",MAX('Calc_Salas'!$E$15:$E$27)=0),"",MAX('Calc_Salas'!$F$15:$F$27))</f>
        <v/>
      </c>
      <c r="L11" s="20">
        <f>IF(OR($N11="",'Calc'!$B3&lt;&gt;"Sala cirúrgica"),"",MAX('Calc_Salas'!$G$15:$G$27))</f>
        <v/>
      </c>
      <c r="M11" s="18">
        <f>IF($N11="","",IFERROR(INDEX(Sug_Nome,MATCH(LARGE('Calc'!F$38:F$67,1),'Calc'!F$38:F$67,0)),"—")&amp;IFERROR(" · "&amp;INDEX(Sug_Nome,MATCH(LARGE('Calc'!F$38:F$67,2),'Calc'!F$38:F$67,0)),"")&amp;IFERROR(" · "&amp;INDEX(Sug_Nome,MATCH(LARGE('Calc'!F$38:F$67,3),'Calc'!F$38:F$67,0)),""))</f>
        <v/>
      </c>
      <c r="N11" s="19">
        <f>IF('Calc'!$A3="","",'Calc'!$A3)</f>
        <v/>
      </c>
      <c r="O11" s="19">
        <f>IF($N11="","",IF(AND($F11="SEM EQUIPE",N($H11)&gt;0),"Sem equipe — "&amp;$H11&amp;" cirurgia(s) a remanejar | ","")&amp;IF($F11="SEM EQUIPE",IF(N($H11)&gt;0,"","Ambiente sem equipe | "),"")&amp;IF($F11="INCOMPLETO","Falta "&amp;($B11-(--($D11&lt;&gt;"")+--($E11&lt;&gt;"")))&amp;IF($B11-(--($D11&lt;&gt;"")+--($E11&lt;&gt;""))=1," técnico"," técnicos")&amp;" neste ambiente | ","")&amp;IF($F11="GENTE DEMAIS","Este ambiente é de "&amp;$B11&amp;IF($B11=1," técnico só"," técnicos")&amp;": tire o excedente | ","")&amp;IF($F11="DUPLA VETADA",$D11&amp;" e "&amp;$E11&amp;" não podem trabalhar juntas | ","")&amp;IF($F11="EXTRA","Técnico escalado em ambiente que não opera hoje | ","")&amp;IF(AND($F11="NÃO OPERA",N($H11)&gt;0),"Ambiente não opera hoje e tem cirurgia | ","")&amp;IF($F11="SEM AVALIAÇÃO","Técnico sem habilidade marcada na aba Equipe | ","")&amp;IF($F11="ATENÇÃO","Especialidade coberta por uma técnica só — se ela sair, a sala para | ","")&amp;IF(AND($F11&lt;&gt;"SEM AVALIAÇÃO",'Calc'!$AC21&lt;&gt;""),"Ninguém cobre: "&amp;LEFT('Calc'!$AC21,LEN('Calc'!$AC21)-3)&amp;" | ","")&amp;IF(AND($D11&lt;&gt;"",IFERROR(INDEX(Equipe_Situacao,MATCH($D11,Equipe_Nome,0)),"?")&lt;&gt;"Disponível"),$D11&amp;" não está disponível hoje ("&amp;IFERROR(INDEX(Equipe_Situacao,MATCH($D11,Equipe_Nome,0)),"?")&amp;") — troque | ","")&amp;IF(AND($E11&lt;&gt;"",IFERROR(INDEX(Equipe_Situacao,MATCH($E11,Equipe_Nome,0)),"?")&lt;&gt;"Disponível"),$E11&amp;" não está disponível hoje ("&amp;IFERROR(INDEX(Equipe_Situacao,MATCH($E11,Equipe_Nome,0)),"?")&amp;") — troque | ","")&amp;IF(OR(AND($D11&lt;&gt;"",COUNTIF(Pai_Tec1,$D11)+COUNTIF(Pai_Tec2,$D11)&gt;1),AND($E11&lt;&gt;"",COUNTIF(Pai_Tec1,$E11)+COUNTIF(Pai_Tec2,$E11)&gt;1)),"Técnico escalado em dois ambientes | ","")&amp;IF(AND($I11&lt;&gt;"",$I11&gt;1),"Ocupação acima do plantão | ",""))</f>
        <v/>
      </c>
    </row>
    <row r="12" ht="30" customHeight="1">
      <c r="A12" s="18">
        <f>IF($N12="","",IFERROR(INDEX(Postos_Nome,MATCH($N12,Postos_Cod,0)),$N12))</f>
        <v/>
      </c>
      <c r="B12" s="20">
        <f>IF($N12="","",'Calc'!$AD4)</f>
        <v/>
      </c>
      <c r="C12" s="18">
        <f>IF(OR($N12="",'Calc'!$AB22=""),"",LEFT('Calc'!$AB22,LEN('Calc'!$AB22)-3))</f>
        <v/>
      </c>
      <c r="D12" s="24" t="inlineStr">
        <is>
          <t>Fernanda Klein</t>
        </is>
      </c>
      <c r="E12" s="24" t="inlineStr">
        <is>
          <t>Simone Dalpra</t>
        </is>
      </c>
      <c r="F12" s="19">
        <f>IF($N12="","",IF($B12=0,IF(AND($D12="",$E12=""),"NÃO OPERA","EXTRA"),IF(AND($D12="",$E12=""),"SEM EQUIPE",IF((--($D12&lt;&gt;"")+--($E12&lt;&gt;""))&lt;$B12,"INCOMPLETO",IF((--($D12&lt;&gt;"")+--($E12&lt;&gt;""))&gt;$B12,"GENTE DEMAIS",IF(AND($D12&lt;&gt;"",$E12&lt;&gt;"",OR(IFERROR(INDEX(Equipe_Afin,MATCH($D12,Equipe_Nome,0),MATCH($E12,Equipe_Nome,0)),"X")&lt;&gt;"X",IFERROR(INDEX(Equipe_Afin,MATCH($E12,Equipe_Nome,0),MATCH($D12,Equipe_Nome,0)),"X")&lt;&gt;"X")),"DUPLA VETADA",IF(OR(AND($D12&lt;&gt;"",IFERROR(INDEX(Equipe_Situacao,MATCH($D12,Equipe_Nome,0)),"Disponível")&lt;&gt;"Disponível"),AND($E12&lt;&gt;"",IFERROR(INDEX(Equipe_Situacao,MATCH($E12,Equipe_Nome,0)),"Disponível")&lt;&gt;"Disponível")),"INDISPONÍVEL",IF(OR(AND($D12&lt;&gt;"",IFERROR(INDEX(Equipe_NEsp,MATCH($D12,Equipe_Nome,0)),0)=0),AND($E12&lt;&gt;"",IFERROR(INDEX(Equipe_NEsp,MATCH($E12,Equipe_Nome,0)),0)=0)),"SEM AVALIAÇÃO",IF('Calc'!$Z22&gt;0,"FALTA HABILIDADE",IF(AND($B12&gt;=2,'Calc'!$AA22&gt;0),"ATENÇÃO","OK")))))))))</f>
        <v/>
      </c>
      <c r="G12" s="18">
        <f>IF($N12="","",IF($O12="","OK",LEFT($O12,LEN($O12)-3)))</f>
        <v/>
      </c>
      <c r="H12" s="20">
        <f>IF(OR($N12="",'Calc'!$B4&lt;&gt;"Sala cirúrgica"),"",COUNTIFS(Mapa_Sala,$N12,Mapa_Data,Data_Mapa,Mapa_MinOcup,"&gt;0"))</f>
        <v/>
      </c>
      <c r="I12" s="25">
        <f>IF(OR($N12="",'Calc'!$B4&lt;&gt;"Sala cirúrgica"),"",'Calc'!$AA4)</f>
        <v/>
      </c>
      <c r="J12" s="18">
        <f>IF($N12="","",IF(MAX('Calc_Salas'!$E$28:$E$40)=0,"—",IFERROR(TEXT(MOD(Turno_Ini+INDEX('Calc_Salas'!$C$28:$C$40,MATCH(LARGE('Calc_Salas'!$E$28:$E$40,1),'Calc_Salas'!$E$28:$E$40,0))/1440,1),"HH:MM")&amp;" → "&amp;TEXT(MOD(Turno_Ini+INDEX('Calc_Salas'!$D$28:$D$40,MATCH(LARGE('Calc_Salas'!$E$28:$E$40,1),'Calc_Salas'!$E$28:$E$40,0))/1440,1),"HH:MM")&amp;" ("&amp;LARGE('Calc_Salas'!$E$28:$E$40,1)&amp;" min)","—")))</f>
        <v/>
      </c>
      <c r="K12" s="20">
        <f>IF(OR($N12="",MAX('Calc_Salas'!$E$28:$E$40)=0),"",MAX('Calc_Salas'!$F$28:$F$40))</f>
        <v/>
      </c>
      <c r="L12" s="20">
        <f>IF(OR($N12="",'Calc'!$B4&lt;&gt;"Sala cirúrgica"),"",MAX('Calc_Salas'!$G$28:$G$40))</f>
        <v/>
      </c>
      <c r="M12" s="18">
        <f>IF($N12="","",IFERROR(INDEX(Sug_Nome,MATCH(LARGE('Calc'!G$38:G$67,1),'Calc'!G$38:G$67,0)),"—")&amp;IFERROR(" · "&amp;INDEX(Sug_Nome,MATCH(LARGE('Calc'!G$38:G$67,2),'Calc'!G$38:G$67,0)),"")&amp;IFERROR(" · "&amp;INDEX(Sug_Nome,MATCH(LARGE('Calc'!G$38:G$67,3),'Calc'!G$38:G$67,0)),""))</f>
        <v/>
      </c>
      <c r="N12" s="19">
        <f>IF('Calc'!$A4="","",'Calc'!$A4)</f>
        <v/>
      </c>
      <c r="O12" s="19">
        <f>IF($N12="","",IF(AND($F12="SEM EQUIPE",N($H12)&gt;0),"Sem equipe — "&amp;$H12&amp;" cirurgia(s) a remanejar | ","")&amp;IF($F12="SEM EQUIPE",IF(N($H12)&gt;0,"","Ambiente sem equipe | "),"")&amp;IF($F12="INCOMPLETO","Falta "&amp;($B12-(--($D12&lt;&gt;"")+--($E12&lt;&gt;"")))&amp;IF($B12-(--($D12&lt;&gt;"")+--($E12&lt;&gt;""))=1," técnico"," técnicos")&amp;" neste ambiente | ","")&amp;IF($F12="GENTE DEMAIS","Este ambiente é de "&amp;$B12&amp;IF($B12=1," técnico só"," técnicos")&amp;": tire o excedente | ","")&amp;IF($F12="DUPLA VETADA",$D12&amp;" e "&amp;$E12&amp;" não podem trabalhar juntas | ","")&amp;IF($F12="EXTRA","Técnico escalado em ambiente que não opera hoje | ","")&amp;IF(AND($F12="NÃO OPERA",N($H12)&gt;0),"Ambiente não opera hoje e tem cirurgia | ","")&amp;IF($F12="SEM AVALIAÇÃO","Técnico sem habilidade marcada na aba Equipe | ","")&amp;IF($F12="ATENÇÃO","Especialidade coberta por uma técnica só — se ela sair, a sala para | ","")&amp;IF(AND($F12&lt;&gt;"SEM AVALIAÇÃO",'Calc'!$AC22&lt;&gt;""),"Ninguém cobre: "&amp;LEFT('Calc'!$AC22,LEN('Calc'!$AC22)-3)&amp;" | ","")&amp;IF(AND($D12&lt;&gt;"",IFERROR(INDEX(Equipe_Situacao,MATCH($D12,Equipe_Nome,0)),"?")&lt;&gt;"Disponível"),$D12&amp;" não está disponível hoje ("&amp;IFERROR(INDEX(Equipe_Situacao,MATCH($D12,Equipe_Nome,0)),"?")&amp;") — troque | ","")&amp;IF(AND($E12&lt;&gt;"",IFERROR(INDEX(Equipe_Situacao,MATCH($E12,Equipe_Nome,0)),"?")&lt;&gt;"Disponível"),$E12&amp;" não está disponível hoje ("&amp;IFERROR(INDEX(Equipe_Situacao,MATCH($E12,Equipe_Nome,0)),"?")&amp;") — troque | ","")&amp;IF(OR(AND($D12&lt;&gt;"",COUNTIF(Pai_Tec1,$D12)+COUNTIF(Pai_Tec2,$D12)&gt;1),AND($E12&lt;&gt;"",COUNTIF(Pai_Tec1,$E12)+COUNTIF(Pai_Tec2,$E12)&gt;1)),"Técnico escalado em dois ambientes | ","")&amp;IF(AND($I12&lt;&gt;"",$I12&gt;1),"Ocupação acima do plantão | ",""))</f>
        <v/>
      </c>
    </row>
    <row r="13" ht="30" customHeight="1">
      <c r="A13" s="18">
        <f>IF($N13="","",IFERROR(INDEX(Postos_Nome,MATCH($N13,Postos_Cod,0)),$N13))</f>
        <v/>
      </c>
      <c r="B13" s="20">
        <f>IF($N13="","",'Calc'!$AD5)</f>
        <v/>
      </c>
      <c r="C13" s="18">
        <f>IF(OR($N13="",'Calc'!$AB23=""),"",LEFT('Calc'!$AB23,LEN('Calc'!$AB23)-3))</f>
        <v/>
      </c>
      <c r="D13" s="24" t="inlineStr">
        <is>
          <t>Gisele Antunes</t>
        </is>
      </c>
      <c r="E13" s="24" t="inlineStr">
        <is>
          <t>Heloísa Perin</t>
        </is>
      </c>
      <c r="F13" s="19">
        <f>IF($N13="","",IF($B13=0,IF(AND($D13="",$E13=""),"NÃO OPERA","EXTRA"),IF(AND($D13="",$E13=""),"SEM EQUIPE",IF((--($D13&lt;&gt;"")+--($E13&lt;&gt;""))&lt;$B13,"INCOMPLETO",IF((--($D13&lt;&gt;"")+--($E13&lt;&gt;""))&gt;$B13,"GENTE DEMAIS",IF(AND($D13&lt;&gt;"",$E13&lt;&gt;"",OR(IFERROR(INDEX(Equipe_Afin,MATCH($D13,Equipe_Nome,0),MATCH($E13,Equipe_Nome,0)),"X")&lt;&gt;"X",IFERROR(INDEX(Equipe_Afin,MATCH($E13,Equipe_Nome,0),MATCH($D13,Equipe_Nome,0)),"X")&lt;&gt;"X")),"DUPLA VETADA",IF(OR(AND($D13&lt;&gt;"",IFERROR(INDEX(Equipe_Situacao,MATCH($D13,Equipe_Nome,0)),"Disponível")&lt;&gt;"Disponível"),AND($E13&lt;&gt;"",IFERROR(INDEX(Equipe_Situacao,MATCH($E13,Equipe_Nome,0)),"Disponível")&lt;&gt;"Disponível")),"INDISPONÍVEL",IF(OR(AND($D13&lt;&gt;"",IFERROR(INDEX(Equipe_NEsp,MATCH($D13,Equipe_Nome,0)),0)=0),AND($E13&lt;&gt;"",IFERROR(INDEX(Equipe_NEsp,MATCH($E13,Equipe_Nome,0)),0)=0)),"SEM AVALIAÇÃO",IF('Calc'!$Z23&gt;0,"FALTA HABILIDADE",IF(AND($B13&gt;=2,'Calc'!$AA23&gt;0),"ATENÇÃO","OK")))))))))</f>
        <v/>
      </c>
      <c r="G13" s="18">
        <f>IF($N13="","",IF($O13="","OK",LEFT($O13,LEN($O13)-3)))</f>
        <v/>
      </c>
      <c r="H13" s="20">
        <f>IF(OR($N13="",'Calc'!$B5&lt;&gt;"Sala cirúrgica"),"",COUNTIFS(Mapa_Sala,$N13,Mapa_Data,Data_Mapa,Mapa_MinOcup,"&gt;0"))</f>
        <v/>
      </c>
      <c r="I13" s="25">
        <f>IF(OR($N13="",'Calc'!$B5&lt;&gt;"Sala cirúrgica"),"",'Calc'!$AA5)</f>
        <v/>
      </c>
      <c r="J13" s="18">
        <f>IF($N13="","",IF(MAX('Calc_Salas'!$E$41:$E$53)=0,"—",IFERROR(TEXT(MOD(Turno_Ini+INDEX('Calc_Salas'!$C$41:$C$53,MATCH(LARGE('Calc_Salas'!$E$41:$E$53,1),'Calc_Salas'!$E$41:$E$53,0))/1440,1),"HH:MM")&amp;" → "&amp;TEXT(MOD(Turno_Ini+INDEX('Calc_Salas'!$D$41:$D$53,MATCH(LARGE('Calc_Salas'!$E$41:$E$53,1),'Calc_Salas'!$E$41:$E$53,0))/1440,1),"HH:MM")&amp;" ("&amp;LARGE('Calc_Salas'!$E$41:$E$53,1)&amp;" min)","—")))</f>
        <v/>
      </c>
      <c r="K13" s="20">
        <f>IF(OR($N13="",MAX('Calc_Salas'!$E$41:$E$53)=0),"",MAX('Calc_Salas'!$F$41:$F$53))</f>
        <v/>
      </c>
      <c r="L13" s="20">
        <f>IF(OR($N13="",'Calc'!$B5&lt;&gt;"Sala cirúrgica"),"",MAX('Calc_Salas'!$G$41:$G$53))</f>
        <v/>
      </c>
      <c r="M13" s="18">
        <f>IF($N13="","",IFERROR(INDEX(Sug_Nome,MATCH(LARGE('Calc'!H$38:H$67,1),'Calc'!H$38:H$67,0)),"—")&amp;IFERROR(" · "&amp;INDEX(Sug_Nome,MATCH(LARGE('Calc'!H$38:H$67,2),'Calc'!H$38:H$67,0)),"")&amp;IFERROR(" · "&amp;INDEX(Sug_Nome,MATCH(LARGE('Calc'!H$38:H$67,3),'Calc'!H$38:H$67,0)),""))</f>
        <v/>
      </c>
      <c r="N13" s="19">
        <f>IF('Calc'!$A5="","",'Calc'!$A5)</f>
        <v/>
      </c>
      <c r="O13" s="19">
        <f>IF($N13="","",IF(AND($F13="SEM EQUIPE",N($H13)&gt;0),"Sem equipe — "&amp;$H13&amp;" cirurgia(s) a remanejar | ","")&amp;IF($F13="SEM EQUIPE",IF(N($H13)&gt;0,"","Ambiente sem equipe | "),"")&amp;IF($F13="INCOMPLETO","Falta "&amp;($B13-(--($D13&lt;&gt;"")+--($E13&lt;&gt;"")))&amp;IF($B13-(--($D13&lt;&gt;"")+--($E13&lt;&gt;""))=1," técnico"," técnicos")&amp;" neste ambiente | ","")&amp;IF($F13="GENTE DEMAIS","Este ambiente é de "&amp;$B13&amp;IF($B13=1," técnico só"," técnicos")&amp;": tire o excedente | ","")&amp;IF($F13="DUPLA VETADA",$D13&amp;" e "&amp;$E13&amp;" não podem trabalhar juntas | ","")&amp;IF($F13="EXTRA","Técnico escalado em ambiente que não opera hoje | ","")&amp;IF(AND($F13="NÃO OPERA",N($H13)&gt;0),"Ambiente não opera hoje e tem cirurgia | ","")&amp;IF($F13="SEM AVALIAÇÃO","Técnico sem habilidade marcada na aba Equipe | ","")&amp;IF($F13="ATENÇÃO","Especialidade coberta por uma técnica só — se ela sair, a sala para | ","")&amp;IF(AND($F13&lt;&gt;"SEM AVALIAÇÃO",'Calc'!$AC23&lt;&gt;""),"Ninguém cobre: "&amp;LEFT('Calc'!$AC23,LEN('Calc'!$AC23)-3)&amp;" | ","")&amp;IF(AND($D13&lt;&gt;"",IFERROR(INDEX(Equipe_Situacao,MATCH($D13,Equipe_Nome,0)),"?")&lt;&gt;"Disponível"),$D13&amp;" não está disponível hoje ("&amp;IFERROR(INDEX(Equipe_Situacao,MATCH($D13,Equipe_Nome,0)),"?")&amp;") — troque | ","")&amp;IF(AND($E13&lt;&gt;"",IFERROR(INDEX(Equipe_Situacao,MATCH($E13,Equipe_Nome,0)),"?")&lt;&gt;"Disponível"),$E13&amp;" não está disponível hoje ("&amp;IFERROR(INDEX(Equipe_Situacao,MATCH($E13,Equipe_Nome,0)),"?")&amp;") — troque | ","")&amp;IF(OR(AND($D13&lt;&gt;"",COUNTIF(Pai_Tec1,$D13)+COUNTIF(Pai_Tec2,$D13)&gt;1),AND($E13&lt;&gt;"",COUNTIF(Pai_Tec1,$E13)+COUNTIF(Pai_Tec2,$E13)&gt;1)),"Técnico escalado em dois ambientes | ","")&amp;IF(AND($I13&lt;&gt;"",$I13&gt;1),"Ocupação acima do plantão | ",""))</f>
        <v/>
      </c>
    </row>
    <row r="14" ht="30" customHeight="1">
      <c r="A14" s="18">
        <f>IF($N14="","",IFERROR(INDEX(Postos_Nome,MATCH($N14,Postos_Cod,0)),$N14))</f>
        <v/>
      </c>
      <c r="B14" s="20">
        <f>IF($N14="","",'Calc'!$AD6)</f>
        <v/>
      </c>
      <c r="C14" s="18">
        <f>IF(OR($N14="",'Calc'!$AB24=""),"",LEFT('Calc'!$AB24,LEN('Calc'!$AB24)-3))</f>
        <v/>
      </c>
      <c r="D14" s="24" t="inlineStr">
        <is>
          <t>Joana Belincanta</t>
        </is>
      </c>
      <c r="E14" s="24" t="inlineStr">
        <is>
          <t>Luciano Bordin</t>
        </is>
      </c>
      <c r="F14" s="19">
        <f>IF($N14="","",IF($B14=0,IF(AND($D14="",$E14=""),"NÃO OPERA","EXTRA"),IF(AND($D14="",$E14=""),"SEM EQUIPE",IF((--($D14&lt;&gt;"")+--($E14&lt;&gt;""))&lt;$B14,"INCOMPLETO",IF((--($D14&lt;&gt;"")+--($E14&lt;&gt;""))&gt;$B14,"GENTE DEMAIS",IF(AND($D14&lt;&gt;"",$E14&lt;&gt;"",OR(IFERROR(INDEX(Equipe_Afin,MATCH($D14,Equipe_Nome,0),MATCH($E14,Equipe_Nome,0)),"X")&lt;&gt;"X",IFERROR(INDEX(Equipe_Afin,MATCH($E14,Equipe_Nome,0),MATCH($D14,Equipe_Nome,0)),"X")&lt;&gt;"X")),"DUPLA VETADA",IF(OR(AND($D14&lt;&gt;"",IFERROR(INDEX(Equipe_Situacao,MATCH($D14,Equipe_Nome,0)),"Disponível")&lt;&gt;"Disponível"),AND($E14&lt;&gt;"",IFERROR(INDEX(Equipe_Situacao,MATCH($E14,Equipe_Nome,0)),"Disponível")&lt;&gt;"Disponível")),"INDISPONÍVEL",IF(OR(AND($D14&lt;&gt;"",IFERROR(INDEX(Equipe_NEsp,MATCH($D14,Equipe_Nome,0)),0)=0),AND($E14&lt;&gt;"",IFERROR(INDEX(Equipe_NEsp,MATCH($E14,Equipe_Nome,0)),0)=0)),"SEM AVALIAÇÃO",IF('Calc'!$Z24&gt;0,"FALTA HABILIDADE",IF(AND($B14&gt;=2,'Calc'!$AA24&gt;0),"ATENÇÃO","OK")))))))))</f>
        <v/>
      </c>
      <c r="G14" s="18">
        <f>IF($N14="","",IF($O14="","OK",LEFT($O14,LEN($O14)-3)))</f>
        <v/>
      </c>
      <c r="H14" s="20">
        <f>IF(OR($N14="",'Calc'!$B6&lt;&gt;"Sala cirúrgica"),"",COUNTIFS(Mapa_Sala,$N14,Mapa_Data,Data_Mapa,Mapa_MinOcup,"&gt;0"))</f>
        <v/>
      </c>
      <c r="I14" s="25">
        <f>IF(OR($N14="",'Calc'!$B6&lt;&gt;"Sala cirúrgica"),"",'Calc'!$AA6)</f>
        <v/>
      </c>
      <c r="J14" s="18">
        <f>IF($N14="","",IF(MAX('Calc_Salas'!$E$54:$E$66)=0,"—",IFERROR(TEXT(MOD(Turno_Ini+INDEX('Calc_Salas'!$C$54:$C$66,MATCH(LARGE('Calc_Salas'!$E$54:$E$66,1),'Calc_Salas'!$E$54:$E$66,0))/1440,1),"HH:MM")&amp;" → "&amp;TEXT(MOD(Turno_Ini+INDEX('Calc_Salas'!$D$54:$D$66,MATCH(LARGE('Calc_Salas'!$E$54:$E$66,1),'Calc_Salas'!$E$54:$E$66,0))/1440,1),"HH:MM")&amp;" ("&amp;LARGE('Calc_Salas'!$E$54:$E$66,1)&amp;" min)","—")))</f>
        <v/>
      </c>
      <c r="K14" s="20">
        <f>IF(OR($N14="",MAX('Calc_Salas'!$E$54:$E$66)=0),"",MAX('Calc_Salas'!$F$54:$F$66))</f>
        <v/>
      </c>
      <c r="L14" s="20">
        <f>IF(OR($N14="",'Calc'!$B6&lt;&gt;"Sala cirúrgica"),"",MAX('Calc_Salas'!$G$54:$G$66))</f>
        <v/>
      </c>
      <c r="M14" s="18">
        <f>IF($N14="","",IFERROR(INDEX(Sug_Nome,MATCH(LARGE('Calc'!I$38:I$67,1),'Calc'!I$38:I$67,0)),"—")&amp;IFERROR(" · "&amp;INDEX(Sug_Nome,MATCH(LARGE('Calc'!I$38:I$67,2),'Calc'!I$38:I$67,0)),"")&amp;IFERROR(" · "&amp;INDEX(Sug_Nome,MATCH(LARGE('Calc'!I$38:I$67,3),'Calc'!I$38:I$67,0)),""))</f>
        <v/>
      </c>
      <c r="N14" s="19">
        <f>IF('Calc'!$A6="","",'Calc'!$A6)</f>
        <v/>
      </c>
      <c r="O14" s="19">
        <f>IF($N14="","",IF(AND($F14="SEM EQUIPE",N($H14)&gt;0),"Sem equipe — "&amp;$H14&amp;" cirurgia(s) a remanejar | ","")&amp;IF($F14="SEM EQUIPE",IF(N($H14)&gt;0,"","Ambiente sem equipe | "),"")&amp;IF($F14="INCOMPLETO","Falta "&amp;($B14-(--($D14&lt;&gt;"")+--($E14&lt;&gt;"")))&amp;IF($B14-(--($D14&lt;&gt;"")+--($E14&lt;&gt;""))=1," técnico"," técnicos")&amp;" neste ambiente | ","")&amp;IF($F14="GENTE DEMAIS","Este ambiente é de "&amp;$B14&amp;IF($B14=1," técnico só"," técnicos")&amp;": tire o excedente | ","")&amp;IF($F14="DUPLA VETADA",$D14&amp;" e "&amp;$E14&amp;" não podem trabalhar juntas | ","")&amp;IF($F14="EXTRA","Técnico escalado em ambiente que não opera hoje | ","")&amp;IF(AND($F14="NÃO OPERA",N($H14)&gt;0),"Ambiente não opera hoje e tem cirurgia | ","")&amp;IF($F14="SEM AVALIAÇÃO","Técnico sem habilidade marcada na aba Equipe | ","")&amp;IF($F14="ATENÇÃO","Especialidade coberta por uma técnica só — se ela sair, a sala para | ","")&amp;IF(AND($F14&lt;&gt;"SEM AVALIAÇÃO",'Calc'!$AC24&lt;&gt;""),"Ninguém cobre: "&amp;LEFT('Calc'!$AC24,LEN('Calc'!$AC24)-3)&amp;" | ","")&amp;IF(AND($D14&lt;&gt;"",IFERROR(INDEX(Equipe_Situacao,MATCH($D14,Equipe_Nome,0)),"?")&lt;&gt;"Disponível"),$D14&amp;" não está disponível hoje ("&amp;IFERROR(INDEX(Equipe_Situacao,MATCH($D14,Equipe_Nome,0)),"?")&amp;") — troque | ","")&amp;IF(AND($E14&lt;&gt;"",IFERROR(INDEX(Equipe_Situacao,MATCH($E14,Equipe_Nome,0)),"?")&lt;&gt;"Disponível"),$E14&amp;" não está disponível hoje ("&amp;IFERROR(INDEX(Equipe_Situacao,MATCH($E14,Equipe_Nome,0)),"?")&amp;") — troque | ","")&amp;IF(OR(AND($D14&lt;&gt;"",COUNTIF(Pai_Tec1,$D14)+COUNTIF(Pai_Tec2,$D14)&gt;1),AND($E14&lt;&gt;"",COUNTIF(Pai_Tec1,$E14)+COUNTIF(Pai_Tec2,$E14)&gt;1)),"Técnico escalado em dois ambientes | ","")&amp;IF(AND($I14&lt;&gt;"",$I14&gt;1),"Ocupação acima do plantão | ",""))</f>
        <v/>
      </c>
    </row>
    <row r="15" ht="30" customHeight="1">
      <c r="A15" s="18">
        <f>IF($N15="","",IFERROR(INDEX(Postos_Nome,MATCH($N15,Postos_Cod,0)),$N15))</f>
        <v/>
      </c>
      <c r="B15" s="20">
        <f>IF($N15="","",'Calc'!$AD7)</f>
        <v/>
      </c>
      <c r="C15" s="18">
        <f>IF(OR($N15="",'Calc'!$AB25=""),"",LEFT('Calc'!$AB25,LEN('Calc'!$AB25)-3))</f>
        <v/>
      </c>
      <c r="D15" s="24" t="inlineStr">
        <is>
          <t>Marcia Tonet</t>
        </is>
      </c>
      <c r="E15" s="24" t="inlineStr">
        <is>
          <t>Rafaela Gubert</t>
        </is>
      </c>
      <c r="F15" s="19">
        <f>IF($N15="","",IF($B15=0,IF(AND($D15="",$E15=""),"NÃO OPERA","EXTRA"),IF(AND($D15="",$E15=""),"SEM EQUIPE",IF((--($D15&lt;&gt;"")+--($E15&lt;&gt;""))&lt;$B15,"INCOMPLETO",IF((--($D15&lt;&gt;"")+--($E15&lt;&gt;""))&gt;$B15,"GENTE DEMAIS",IF(AND($D15&lt;&gt;"",$E15&lt;&gt;"",OR(IFERROR(INDEX(Equipe_Afin,MATCH($D15,Equipe_Nome,0),MATCH($E15,Equipe_Nome,0)),"X")&lt;&gt;"X",IFERROR(INDEX(Equipe_Afin,MATCH($E15,Equipe_Nome,0),MATCH($D15,Equipe_Nome,0)),"X")&lt;&gt;"X")),"DUPLA VETADA",IF(OR(AND($D15&lt;&gt;"",IFERROR(INDEX(Equipe_Situacao,MATCH($D15,Equipe_Nome,0)),"Disponível")&lt;&gt;"Disponível"),AND($E15&lt;&gt;"",IFERROR(INDEX(Equipe_Situacao,MATCH($E15,Equipe_Nome,0)),"Disponível")&lt;&gt;"Disponível")),"INDISPONÍVEL",IF(OR(AND($D15&lt;&gt;"",IFERROR(INDEX(Equipe_NEsp,MATCH($D15,Equipe_Nome,0)),0)=0),AND($E15&lt;&gt;"",IFERROR(INDEX(Equipe_NEsp,MATCH($E15,Equipe_Nome,0)),0)=0)),"SEM AVALIAÇÃO",IF('Calc'!$Z25&gt;0,"FALTA HABILIDADE",IF(AND($B15&gt;=2,'Calc'!$AA25&gt;0),"ATENÇÃO","OK")))))))))</f>
        <v/>
      </c>
      <c r="G15" s="18">
        <f>IF($N15="","",IF($O15="","OK",LEFT($O15,LEN($O15)-3)))</f>
        <v/>
      </c>
      <c r="H15" s="20">
        <f>IF(OR($N15="",'Calc'!$B7&lt;&gt;"Sala cirúrgica"),"",COUNTIFS(Mapa_Sala,$N15,Mapa_Data,Data_Mapa,Mapa_MinOcup,"&gt;0"))</f>
        <v/>
      </c>
      <c r="I15" s="25">
        <f>IF(OR($N15="",'Calc'!$B7&lt;&gt;"Sala cirúrgica"),"",'Calc'!$AA7)</f>
        <v/>
      </c>
      <c r="J15" s="18">
        <f>IF($N15="","",IF(MAX('Calc_Salas'!$E$67:$E$79)=0,"—",IFERROR(TEXT(MOD(Turno_Ini+INDEX('Calc_Salas'!$C$67:$C$79,MATCH(LARGE('Calc_Salas'!$E$67:$E$79,1),'Calc_Salas'!$E$67:$E$79,0))/1440,1),"HH:MM")&amp;" → "&amp;TEXT(MOD(Turno_Ini+INDEX('Calc_Salas'!$D$67:$D$79,MATCH(LARGE('Calc_Salas'!$E$67:$E$79,1),'Calc_Salas'!$E$67:$E$79,0))/1440,1),"HH:MM")&amp;" ("&amp;LARGE('Calc_Salas'!$E$67:$E$79,1)&amp;" min)","—")))</f>
        <v/>
      </c>
      <c r="K15" s="20">
        <f>IF(OR($N15="",MAX('Calc_Salas'!$E$67:$E$79)=0),"",MAX('Calc_Salas'!$F$67:$F$79))</f>
        <v/>
      </c>
      <c r="L15" s="20">
        <f>IF(OR($N15="",'Calc'!$B7&lt;&gt;"Sala cirúrgica"),"",MAX('Calc_Salas'!$G$67:$G$79))</f>
        <v/>
      </c>
      <c r="M15" s="18">
        <f>IF($N15="","",IFERROR(INDEX(Sug_Nome,MATCH(LARGE('Calc'!J$38:J$67,1),'Calc'!J$38:J$67,0)),"—")&amp;IFERROR(" · "&amp;INDEX(Sug_Nome,MATCH(LARGE('Calc'!J$38:J$67,2),'Calc'!J$38:J$67,0)),"")&amp;IFERROR(" · "&amp;INDEX(Sug_Nome,MATCH(LARGE('Calc'!J$38:J$67,3),'Calc'!J$38:J$67,0)),""))</f>
        <v/>
      </c>
      <c r="N15" s="19">
        <f>IF('Calc'!$A7="","",'Calc'!$A7)</f>
        <v/>
      </c>
      <c r="O15" s="19">
        <f>IF($N15="","",IF(AND($F15="SEM EQUIPE",N($H15)&gt;0),"Sem equipe — "&amp;$H15&amp;" cirurgia(s) a remanejar | ","")&amp;IF($F15="SEM EQUIPE",IF(N($H15)&gt;0,"","Ambiente sem equipe | "),"")&amp;IF($F15="INCOMPLETO","Falta "&amp;($B15-(--($D15&lt;&gt;"")+--($E15&lt;&gt;"")))&amp;IF($B15-(--($D15&lt;&gt;"")+--($E15&lt;&gt;""))=1," técnico"," técnicos")&amp;" neste ambiente | ","")&amp;IF($F15="GENTE DEMAIS","Este ambiente é de "&amp;$B15&amp;IF($B15=1," técnico só"," técnicos")&amp;": tire o excedente | ","")&amp;IF($F15="DUPLA VETADA",$D15&amp;" e "&amp;$E15&amp;" não podem trabalhar juntas | ","")&amp;IF($F15="EXTRA","Técnico escalado em ambiente que não opera hoje | ","")&amp;IF(AND($F15="NÃO OPERA",N($H15)&gt;0),"Ambiente não opera hoje e tem cirurgia | ","")&amp;IF($F15="SEM AVALIAÇÃO","Técnico sem habilidade marcada na aba Equipe | ","")&amp;IF($F15="ATENÇÃO","Especialidade coberta por uma técnica só — se ela sair, a sala para | ","")&amp;IF(AND($F15&lt;&gt;"SEM AVALIAÇÃO",'Calc'!$AC25&lt;&gt;""),"Ninguém cobre: "&amp;LEFT('Calc'!$AC25,LEN('Calc'!$AC25)-3)&amp;" | ","")&amp;IF(AND($D15&lt;&gt;"",IFERROR(INDEX(Equipe_Situacao,MATCH($D15,Equipe_Nome,0)),"?")&lt;&gt;"Disponível"),$D15&amp;" não está disponível hoje ("&amp;IFERROR(INDEX(Equipe_Situacao,MATCH($D15,Equipe_Nome,0)),"?")&amp;") — troque | ","")&amp;IF(AND($E15&lt;&gt;"",IFERROR(INDEX(Equipe_Situacao,MATCH($E15,Equipe_Nome,0)),"?")&lt;&gt;"Disponível"),$E15&amp;" não está disponível hoje ("&amp;IFERROR(INDEX(Equipe_Situacao,MATCH($E15,Equipe_Nome,0)),"?")&amp;") — troque | ","")&amp;IF(OR(AND($D15&lt;&gt;"",COUNTIF(Pai_Tec1,$D15)+COUNTIF(Pai_Tec2,$D15)&gt;1),AND($E15&lt;&gt;"",COUNTIF(Pai_Tec1,$E15)+COUNTIF(Pai_Tec2,$E15)&gt;1)),"Técnico escalado em dois ambientes | ","")&amp;IF(AND($I15&lt;&gt;"",$I15&gt;1),"Ocupação acima do plantão | ",""))</f>
        <v/>
      </c>
    </row>
    <row r="16" ht="30" customHeight="1">
      <c r="A16" s="18">
        <f>IF($N16="","",IFERROR(INDEX(Postos_Nome,MATCH($N16,Postos_Cod,0)),$N16))</f>
        <v/>
      </c>
      <c r="B16" s="20">
        <f>IF($N16="","",'Calc'!$AD8)</f>
        <v/>
      </c>
      <c r="C16" s="18">
        <f>IF(OR($N16="",'Calc'!$AB26=""),"",LEFT('Calc'!$AB26,LEN('Calc'!$AB26)-3))</f>
        <v/>
      </c>
      <c r="D16" s="24" t="inlineStr">
        <is>
          <t>Bruna Cordeiro</t>
        </is>
      </c>
      <c r="E16" s="24" t="inlineStr">
        <is>
          <t>Odair Bianchi</t>
        </is>
      </c>
      <c r="F16" s="19">
        <f>IF($N16="","",IF($B16=0,IF(AND($D16="",$E16=""),"NÃO OPERA","EXTRA"),IF(AND($D16="",$E16=""),"SEM EQUIPE",IF((--($D16&lt;&gt;"")+--($E16&lt;&gt;""))&lt;$B16,"INCOMPLETO",IF((--($D16&lt;&gt;"")+--($E16&lt;&gt;""))&gt;$B16,"GENTE DEMAIS",IF(AND($D16&lt;&gt;"",$E16&lt;&gt;"",OR(IFERROR(INDEX(Equipe_Afin,MATCH($D16,Equipe_Nome,0),MATCH($E16,Equipe_Nome,0)),"X")&lt;&gt;"X",IFERROR(INDEX(Equipe_Afin,MATCH($E16,Equipe_Nome,0),MATCH($D16,Equipe_Nome,0)),"X")&lt;&gt;"X")),"DUPLA VETADA",IF(OR(AND($D16&lt;&gt;"",IFERROR(INDEX(Equipe_Situacao,MATCH($D16,Equipe_Nome,0)),"Disponível")&lt;&gt;"Disponível"),AND($E16&lt;&gt;"",IFERROR(INDEX(Equipe_Situacao,MATCH($E16,Equipe_Nome,0)),"Disponível")&lt;&gt;"Disponível")),"INDISPONÍVEL",IF(OR(AND($D16&lt;&gt;"",IFERROR(INDEX(Equipe_NEsp,MATCH($D16,Equipe_Nome,0)),0)=0),AND($E16&lt;&gt;"",IFERROR(INDEX(Equipe_NEsp,MATCH($E16,Equipe_Nome,0)),0)=0)),"SEM AVALIAÇÃO",IF('Calc'!$Z26&gt;0,"FALTA HABILIDADE",IF(AND($B16&gt;=2,'Calc'!$AA26&gt;0),"ATENÇÃO","OK")))))))))</f>
        <v/>
      </c>
      <c r="G16" s="18">
        <f>IF($N16="","",IF($O16="","OK",LEFT($O16,LEN($O16)-3)))</f>
        <v/>
      </c>
      <c r="H16" s="20">
        <f>IF(OR($N16="",'Calc'!$B8&lt;&gt;"Sala cirúrgica"),"",COUNTIFS(Mapa_Sala,$N16,Mapa_Data,Data_Mapa,Mapa_MinOcup,"&gt;0"))</f>
        <v/>
      </c>
      <c r="I16" s="25">
        <f>IF(OR($N16="",'Calc'!$B8&lt;&gt;"Sala cirúrgica"),"",'Calc'!$AA8)</f>
        <v/>
      </c>
      <c r="J16" s="18">
        <f>IF($N16="","",IF(MAX('Calc_Salas'!$E$80:$E$92)=0,"—",IFERROR(TEXT(MOD(Turno_Ini+INDEX('Calc_Salas'!$C$80:$C$92,MATCH(LARGE('Calc_Salas'!$E$80:$E$92,1),'Calc_Salas'!$E$80:$E$92,0))/1440,1),"HH:MM")&amp;" → "&amp;TEXT(MOD(Turno_Ini+INDEX('Calc_Salas'!$D$80:$D$92,MATCH(LARGE('Calc_Salas'!$E$80:$E$92,1),'Calc_Salas'!$E$80:$E$92,0))/1440,1),"HH:MM")&amp;" ("&amp;LARGE('Calc_Salas'!$E$80:$E$92,1)&amp;" min)","—")))</f>
        <v/>
      </c>
      <c r="K16" s="20">
        <f>IF(OR($N16="",MAX('Calc_Salas'!$E$80:$E$92)=0),"",MAX('Calc_Salas'!$F$80:$F$92))</f>
        <v/>
      </c>
      <c r="L16" s="20">
        <f>IF(OR($N16="",'Calc'!$B8&lt;&gt;"Sala cirúrgica"),"",MAX('Calc_Salas'!$G$80:$G$92))</f>
        <v/>
      </c>
      <c r="M16" s="18">
        <f>IF($N16="","",IFERROR(INDEX(Sug_Nome,MATCH(LARGE('Calc'!K$38:K$67,1),'Calc'!K$38:K$67,0)),"—")&amp;IFERROR(" · "&amp;INDEX(Sug_Nome,MATCH(LARGE('Calc'!K$38:K$67,2),'Calc'!K$38:K$67,0)),"")&amp;IFERROR(" · "&amp;INDEX(Sug_Nome,MATCH(LARGE('Calc'!K$38:K$67,3),'Calc'!K$38:K$67,0)),""))</f>
        <v/>
      </c>
      <c r="N16" s="19">
        <f>IF('Calc'!$A8="","",'Calc'!$A8)</f>
        <v/>
      </c>
      <c r="O16" s="19">
        <f>IF($N16="","",IF(AND($F16="SEM EQUIPE",N($H16)&gt;0),"Sem equipe — "&amp;$H16&amp;" cirurgia(s) a remanejar | ","")&amp;IF($F16="SEM EQUIPE",IF(N($H16)&gt;0,"","Ambiente sem equipe | "),"")&amp;IF($F16="INCOMPLETO","Falta "&amp;($B16-(--($D16&lt;&gt;"")+--($E16&lt;&gt;"")))&amp;IF($B16-(--($D16&lt;&gt;"")+--($E16&lt;&gt;""))=1," técnico"," técnicos")&amp;" neste ambiente | ","")&amp;IF($F16="GENTE DEMAIS","Este ambiente é de "&amp;$B16&amp;IF($B16=1," técnico só"," técnicos")&amp;": tire o excedente | ","")&amp;IF($F16="DUPLA VETADA",$D16&amp;" e "&amp;$E16&amp;" não podem trabalhar juntas | ","")&amp;IF($F16="EXTRA","Técnico escalado em ambiente que não opera hoje | ","")&amp;IF(AND($F16="NÃO OPERA",N($H16)&gt;0),"Ambiente não opera hoje e tem cirurgia | ","")&amp;IF($F16="SEM AVALIAÇÃO","Técnico sem habilidade marcada na aba Equipe | ","")&amp;IF($F16="ATENÇÃO","Especialidade coberta por uma técnica só — se ela sair, a sala para | ","")&amp;IF(AND($F16&lt;&gt;"SEM AVALIAÇÃO",'Calc'!$AC26&lt;&gt;""),"Ninguém cobre: "&amp;LEFT('Calc'!$AC26,LEN('Calc'!$AC26)-3)&amp;" | ","")&amp;IF(AND($D16&lt;&gt;"",IFERROR(INDEX(Equipe_Situacao,MATCH($D16,Equipe_Nome,0)),"?")&lt;&gt;"Disponível"),$D16&amp;" não está disponível hoje ("&amp;IFERROR(INDEX(Equipe_Situacao,MATCH($D16,Equipe_Nome,0)),"?")&amp;") — troque | ","")&amp;IF(AND($E16&lt;&gt;"",IFERROR(INDEX(Equipe_Situacao,MATCH($E16,Equipe_Nome,0)),"?")&lt;&gt;"Disponível"),$E16&amp;" não está disponível hoje ("&amp;IFERROR(INDEX(Equipe_Situacao,MATCH($E16,Equipe_Nome,0)),"?")&amp;") — troque | ","")&amp;IF(OR(AND($D16&lt;&gt;"",COUNTIF(Pai_Tec1,$D16)+COUNTIF(Pai_Tec2,$D16)&gt;1),AND($E16&lt;&gt;"",COUNTIF(Pai_Tec1,$E16)+COUNTIF(Pai_Tec2,$E16)&gt;1)),"Técnico escalado em dois ambientes | ","")&amp;IF(AND($I16&lt;&gt;"",$I16&gt;1),"Ocupação acima do plantão | ",""))</f>
        <v/>
      </c>
    </row>
    <row r="17" ht="30" customHeight="1">
      <c r="A17" s="18">
        <f>IF($N17="","",IFERROR(INDEX(Postos_Nome,MATCH($N17,Postos_Cod,0)),$N17))</f>
        <v/>
      </c>
      <c r="B17" s="20">
        <f>IF($N17="","",'Calc'!$AD9)</f>
        <v/>
      </c>
      <c r="C17" s="18">
        <f>IF(OR($N17="",'Calc'!$AB27=""),"",LEFT('Calc'!$AB27,LEN('Calc'!$AB27)-3))</f>
        <v/>
      </c>
      <c r="D17" s="24" t="inlineStr">
        <is>
          <t>Kelly Marchi</t>
        </is>
      </c>
      <c r="E17" s="24" t="inlineStr">
        <is>
          <t>Vagner Sartori</t>
        </is>
      </c>
      <c r="F17" s="19">
        <f>IF($N17="","",IF($B17=0,IF(AND($D17="",$E17=""),"NÃO OPERA","EXTRA"),IF(AND($D17="",$E17=""),"SEM EQUIPE",IF((--($D17&lt;&gt;"")+--($E17&lt;&gt;""))&lt;$B17,"INCOMPLETO",IF((--($D17&lt;&gt;"")+--($E17&lt;&gt;""))&gt;$B17,"GENTE DEMAIS",IF(AND($D17&lt;&gt;"",$E17&lt;&gt;"",OR(IFERROR(INDEX(Equipe_Afin,MATCH($D17,Equipe_Nome,0),MATCH($E17,Equipe_Nome,0)),"X")&lt;&gt;"X",IFERROR(INDEX(Equipe_Afin,MATCH($E17,Equipe_Nome,0),MATCH($D17,Equipe_Nome,0)),"X")&lt;&gt;"X")),"DUPLA VETADA",IF(OR(AND($D17&lt;&gt;"",IFERROR(INDEX(Equipe_Situacao,MATCH($D17,Equipe_Nome,0)),"Disponível")&lt;&gt;"Disponível"),AND($E17&lt;&gt;"",IFERROR(INDEX(Equipe_Situacao,MATCH($E17,Equipe_Nome,0)),"Disponível")&lt;&gt;"Disponível")),"INDISPONÍVEL",IF(OR(AND($D17&lt;&gt;"",IFERROR(INDEX(Equipe_NEsp,MATCH($D17,Equipe_Nome,0)),0)=0),AND($E17&lt;&gt;"",IFERROR(INDEX(Equipe_NEsp,MATCH($E17,Equipe_Nome,0)),0)=0)),"SEM AVALIAÇÃO",IF('Calc'!$Z27&gt;0,"FALTA HABILIDADE",IF(AND($B17&gt;=2,'Calc'!$AA27&gt;0),"ATENÇÃO","OK")))))))))</f>
        <v/>
      </c>
      <c r="G17" s="18">
        <f>IF($N17="","",IF($O17="","OK",LEFT($O17,LEN($O17)-3)))</f>
        <v/>
      </c>
      <c r="H17" s="20">
        <f>IF(OR($N17="",'Calc'!$B9&lt;&gt;"Sala cirúrgica"),"",COUNTIFS(Mapa_Sala,$N17,Mapa_Data,Data_Mapa,Mapa_MinOcup,"&gt;0"))</f>
        <v/>
      </c>
      <c r="I17" s="25">
        <f>IF(OR($N17="",'Calc'!$B9&lt;&gt;"Sala cirúrgica"),"",'Calc'!$AA9)</f>
        <v/>
      </c>
      <c r="J17" s="18">
        <f>IF($N17="","",IF(MAX('Calc_Salas'!$E$93:$E$105)=0,"—",IFERROR(TEXT(MOD(Turno_Ini+INDEX('Calc_Salas'!$C$93:$C$105,MATCH(LARGE('Calc_Salas'!$E$93:$E$105,1),'Calc_Salas'!$E$93:$E$105,0))/1440,1),"HH:MM")&amp;" → "&amp;TEXT(MOD(Turno_Ini+INDEX('Calc_Salas'!$D$93:$D$105,MATCH(LARGE('Calc_Salas'!$E$93:$E$105,1),'Calc_Salas'!$E$93:$E$105,0))/1440,1),"HH:MM")&amp;" ("&amp;LARGE('Calc_Salas'!$E$93:$E$105,1)&amp;" min)","—")))</f>
        <v/>
      </c>
      <c r="K17" s="20">
        <f>IF(OR($N17="",MAX('Calc_Salas'!$E$93:$E$105)=0),"",MAX('Calc_Salas'!$F$93:$F$105))</f>
        <v/>
      </c>
      <c r="L17" s="20">
        <f>IF(OR($N17="",'Calc'!$B9&lt;&gt;"Sala cirúrgica"),"",MAX('Calc_Salas'!$G$93:$G$105))</f>
        <v/>
      </c>
      <c r="M17" s="18">
        <f>IF($N17="","",IFERROR(INDEX(Sug_Nome,MATCH(LARGE('Calc'!L$38:L$67,1),'Calc'!L$38:L$67,0)),"—")&amp;IFERROR(" · "&amp;INDEX(Sug_Nome,MATCH(LARGE('Calc'!L$38:L$67,2),'Calc'!L$38:L$67,0)),"")&amp;IFERROR(" · "&amp;INDEX(Sug_Nome,MATCH(LARGE('Calc'!L$38:L$67,3),'Calc'!L$38:L$67,0)),""))</f>
        <v/>
      </c>
      <c r="N17" s="19">
        <f>IF('Calc'!$A9="","",'Calc'!$A9)</f>
        <v/>
      </c>
      <c r="O17" s="19">
        <f>IF($N17="","",IF(AND($F17="SEM EQUIPE",N($H17)&gt;0),"Sem equipe — "&amp;$H17&amp;" cirurgia(s) a remanejar | ","")&amp;IF($F17="SEM EQUIPE",IF(N($H17)&gt;0,"","Ambiente sem equipe | "),"")&amp;IF($F17="INCOMPLETO","Falta "&amp;($B17-(--($D17&lt;&gt;"")+--($E17&lt;&gt;"")))&amp;IF($B17-(--($D17&lt;&gt;"")+--($E17&lt;&gt;""))=1," técnico"," técnicos")&amp;" neste ambiente | ","")&amp;IF($F17="GENTE DEMAIS","Este ambiente é de "&amp;$B17&amp;IF($B17=1," técnico só"," técnicos")&amp;": tire o excedente | ","")&amp;IF($F17="DUPLA VETADA",$D17&amp;" e "&amp;$E17&amp;" não podem trabalhar juntas | ","")&amp;IF($F17="EXTRA","Técnico escalado em ambiente que não opera hoje | ","")&amp;IF(AND($F17="NÃO OPERA",N($H17)&gt;0),"Ambiente não opera hoje e tem cirurgia | ","")&amp;IF($F17="SEM AVALIAÇÃO","Técnico sem habilidade marcada na aba Equipe | ","")&amp;IF($F17="ATENÇÃO","Especialidade coberta por uma técnica só — se ela sair, a sala para | ","")&amp;IF(AND($F17&lt;&gt;"SEM AVALIAÇÃO",'Calc'!$AC27&lt;&gt;""),"Ninguém cobre: "&amp;LEFT('Calc'!$AC27,LEN('Calc'!$AC27)-3)&amp;" | ","")&amp;IF(AND($D17&lt;&gt;"",IFERROR(INDEX(Equipe_Situacao,MATCH($D17,Equipe_Nome,0)),"?")&lt;&gt;"Disponível"),$D17&amp;" não está disponível hoje ("&amp;IFERROR(INDEX(Equipe_Situacao,MATCH($D17,Equipe_Nome,0)),"?")&amp;") — troque | ","")&amp;IF(AND($E17&lt;&gt;"",IFERROR(INDEX(Equipe_Situacao,MATCH($E17,Equipe_Nome,0)),"?")&lt;&gt;"Disponível"),$E17&amp;" não está disponível hoje ("&amp;IFERROR(INDEX(Equipe_Situacao,MATCH($E17,Equipe_Nome,0)),"?")&amp;") — troque | ","")&amp;IF(OR(AND($D17&lt;&gt;"",COUNTIF(Pai_Tec1,$D17)+COUNTIF(Pai_Tec2,$D17)&gt;1),AND($E17&lt;&gt;"",COUNTIF(Pai_Tec1,$E17)+COUNTIF(Pai_Tec2,$E17)&gt;1)),"Técnico escalado em dois ambientes | ","")&amp;IF(AND($I17&lt;&gt;"",$I17&gt;1),"Ocupação acima do plantão | ",""))</f>
        <v/>
      </c>
    </row>
    <row r="18" ht="30" customHeight="1">
      <c r="A18" s="18">
        <f>IF($N18="","",IFERROR(INDEX(Postos_Nome,MATCH($N18,Postos_Cod,0)),$N18))</f>
        <v/>
      </c>
      <c r="B18" s="20">
        <f>IF($N18="","",'Calc'!$AD10)</f>
        <v/>
      </c>
      <c r="C18" s="18">
        <f>IF(OR($N18="",'Calc'!$AB28=""),"",LEFT('Calc'!$AB28,LEN('Calc'!$AB28)-3))</f>
        <v/>
      </c>
      <c r="D18" s="24" t="inlineStr">
        <is>
          <t>Patrícia Zortéa</t>
        </is>
      </c>
      <c r="E18" s="24" t="n"/>
      <c r="F18" s="19">
        <f>IF($N18="","",IF($B18=0,IF(AND($D18="",$E18=""),"NÃO OPERA","EXTRA"),IF(AND($D18="",$E18=""),"SEM EQUIPE",IF((--($D18&lt;&gt;"")+--($E18&lt;&gt;""))&lt;$B18,"INCOMPLETO",IF((--($D18&lt;&gt;"")+--($E18&lt;&gt;""))&gt;$B18,"GENTE DEMAIS",IF(AND($D18&lt;&gt;"",$E18&lt;&gt;"",OR(IFERROR(INDEX(Equipe_Afin,MATCH($D18,Equipe_Nome,0),MATCH($E18,Equipe_Nome,0)),"X")&lt;&gt;"X",IFERROR(INDEX(Equipe_Afin,MATCH($E18,Equipe_Nome,0),MATCH($D18,Equipe_Nome,0)),"X")&lt;&gt;"X")),"DUPLA VETADA",IF(OR(AND($D18&lt;&gt;"",IFERROR(INDEX(Equipe_Situacao,MATCH($D18,Equipe_Nome,0)),"Disponível")&lt;&gt;"Disponível"),AND($E18&lt;&gt;"",IFERROR(INDEX(Equipe_Situacao,MATCH($E18,Equipe_Nome,0)),"Disponível")&lt;&gt;"Disponível")),"INDISPONÍVEL",IF(OR(AND($D18&lt;&gt;"",IFERROR(INDEX(Equipe_NEsp,MATCH($D18,Equipe_Nome,0)),0)=0),AND($E18&lt;&gt;"",IFERROR(INDEX(Equipe_NEsp,MATCH($E18,Equipe_Nome,0)),0)=0)),"SEM AVALIAÇÃO",IF('Calc'!$Z28&gt;0,"FALTA HABILIDADE",IF(AND($B18&gt;=2,'Calc'!$AA28&gt;0),"ATENÇÃO","OK")))))))))</f>
        <v/>
      </c>
      <c r="G18" s="18">
        <f>IF($N18="","",IF($O18="","OK",LEFT($O18,LEN($O18)-3)))</f>
        <v/>
      </c>
      <c r="H18" s="20">
        <f>IF(OR($N18="",'Calc'!$B10&lt;&gt;"Sala cirúrgica"),"",COUNTIFS(Mapa_Sala,$N18,Mapa_Data,Data_Mapa,Mapa_MinOcup,"&gt;0"))</f>
        <v/>
      </c>
      <c r="I18" s="25">
        <f>IF(OR($N18="",'Calc'!$B10&lt;&gt;"Sala cirúrgica"),"",'Calc'!$AA10)</f>
        <v/>
      </c>
      <c r="J18" s="18">
        <f>IF($N18="","",IF(MAX('Calc_Salas'!$E$106:$E$118)=0,"—",IFERROR(TEXT(MOD(Turno_Ini+INDEX('Calc_Salas'!$C$106:$C$118,MATCH(LARGE('Calc_Salas'!$E$106:$E$118,1),'Calc_Salas'!$E$106:$E$118,0))/1440,1),"HH:MM")&amp;" → "&amp;TEXT(MOD(Turno_Ini+INDEX('Calc_Salas'!$D$106:$D$118,MATCH(LARGE('Calc_Salas'!$E$106:$E$118,1),'Calc_Salas'!$E$106:$E$118,0))/1440,1),"HH:MM")&amp;" ("&amp;LARGE('Calc_Salas'!$E$106:$E$118,1)&amp;" min)","—")))</f>
        <v/>
      </c>
      <c r="K18" s="20">
        <f>IF(OR($N18="",MAX('Calc_Salas'!$E$106:$E$118)=0),"",MAX('Calc_Salas'!$F$106:$F$118))</f>
        <v/>
      </c>
      <c r="L18" s="20">
        <f>IF(OR($N18="",'Calc'!$B10&lt;&gt;"Sala cirúrgica"),"",MAX('Calc_Salas'!$G$106:$G$118))</f>
        <v/>
      </c>
      <c r="M18" s="18">
        <f>IF($N18="","",IFERROR(INDEX(Sug_Nome,MATCH(LARGE('Calc'!M$38:M$67,1),'Calc'!M$38:M$67,0)),"—")&amp;IFERROR(" · "&amp;INDEX(Sug_Nome,MATCH(LARGE('Calc'!M$38:M$67,2),'Calc'!M$38:M$67,0)),"")&amp;IFERROR(" · "&amp;INDEX(Sug_Nome,MATCH(LARGE('Calc'!M$38:M$67,3),'Calc'!M$38:M$67,0)),""))</f>
        <v/>
      </c>
      <c r="N18" s="19">
        <f>IF('Calc'!$A10="","",'Calc'!$A10)</f>
        <v/>
      </c>
      <c r="O18" s="19">
        <f>IF($N18="","",IF(AND($F18="SEM EQUIPE",N($H18)&gt;0),"Sem equipe — "&amp;$H18&amp;" cirurgia(s) a remanejar | ","")&amp;IF($F18="SEM EQUIPE",IF(N($H18)&gt;0,"","Ambiente sem equipe | "),"")&amp;IF($F18="INCOMPLETO","Falta "&amp;($B18-(--($D18&lt;&gt;"")+--($E18&lt;&gt;"")))&amp;IF($B18-(--($D18&lt;&gt;"")+--($E18&lt;&gt;""))=1," técnico"," técnicos")&amp;" neste ambiente | ","")&amp;IF($F18="GENTE DEMAIS","Este ambiente é de "&amp;$B18&amp;IF($B18=1," técnico só"," técnicos")&amp;": tire o excedente | ","")&amp;IF($F18="DUPLA VETADA",$D18&amp;" e "&amp;$E18&amp;" não podem trabalhar juntas | ","")&amp;IF($F18="EXTRA","Técnico escalado em ambiente que não opera hoje | ","")&amp;IF(AND($F18="NÃO OPERA",N($H18)&gt;0),"Ambiente não opera hoje e tem cirurgia | ","")&amp;IF($F18="SEM AVALIAÇÃO","Técnico sem habilidade marcada na aba Equipe | ","")&amp;IF($F18="ATENÇÃO","Especialidade coberta por uma técnica só — se ela sair, a sala para | ","")&amp;IF(AND($F18&lt;&gt;"SEM AVALIAÇÃO",'Calc'!$AC28&lt;&gt;""),"Ninguém cobre: "&amp;LEFT('Calc'!$AC28,LEN('Calc'!$AC28)-3)&amp;" | ","")&amp;IF(AND($D18&lt;&gt;"",IFERROR(INDEX(Equipe_Situacao,MATCH($D18,Equipe_Nome,0)),"?")&lt;&gt;"Disponível"),$D18&amp;" não está disponível hoje ("&amp;IFERROR(INDEX(Equipe_Situacao,MATCH($D18,Equipe_Nome,0)),"?")&amp;") — troque | ","")&amp;IF(AND($E18&lt;&gt;"",IFERROR(INDEX(Equipe_Situacao,MATCH($E18,Equipe_Nome,0)),"?")&lt;&gt;"Disponível"),$E18&amp;" não está disponível hoje ("&amp;IFERROR(INDEX(Equipe_Situacao,MATCH($E18,Equipe_Nome,0)),"?")&amp;") — troque | ","")&amp;IF(OR(AND($D18&lt;&gt;"",COUNTIF(Pai_Tec1,$D18)+COUNTIF(Pai_Tec2,$D18)&gt;1),AND($E18&lt;&gt;"",COUNTIF(Pai_Tec1,$E18)+COUNTIF(Pai_Tec2,$E18)&gt;1)),"Técnico escalado em dois ambientes | ","")&amp;IF(AND($I18&lt;&gt;"",$I18&gt;1),"Ocupação acima do plantão | ",""))</f>
        <v/>
      </c>
    </row>
    <row r="19" ht="30" customHeight="1">
      <c r="A19" s="18">
        <f>IF($N19="","",IFERROR(INDEX(Postos_Nome,MATCH($N19,Postos_Cod,0)),$N19))</f>
        <v/>
      </c>
      <c r="B19" s="20">
        <f>IF($N19="","",'Calc'!$AD11)</f>
        <v/>
      </c>
      <c r="C19" s="18">
        <f>IF(OR($N19="",'Calc'!$AB29=""),"",LEFT('Calc'!$AB29,LEN('Calc'!$AB29)-3))</f>
        <v/>
      </c>
      <c r="D19" s="24" t="n"/>
      <c r="E19" s="24" t="n"/>
      <c r="F19" s="19">
        <f>IF($N19="","",IF($B19=0,IF(AND($D19="",$E19=""),"NÃO OPERA","EXTRA"),IF(AND($D19="",$E19=""),"SEM EQUIPE",IF((--($D19&lt;&gt;"")+--($E19&lt;&gt;""))&lt;$B19,"INCOMPLETO",IF((--($D19&lt;&gt;"")+--($E19&lt;&gt;""))&gt;$B19,"GENTE DEMAIS",IF(AND($D19&lt;&gt;"",$E19&lt;&gt;"",OR(IFERROR(INDEX(Equipe_Afin,MATCH($D19,Equipe_Nome,0),MATCH($E19,Equipe_Nome,0)),"X")&lt;&gt;"X",IFERROR(INDEX(Equipe_Afin,MATCH($E19,Equipe_Nome,0),MATCH($D19,Equipe_Nome,0)),"X")&lt;&gt;"X")),"DUPLA VETADA",IF(OR(AND($D19&lt;&gt;"",IFERROR(INDEX(Equipe_Situacao,MATCH($D19,Equipe_Nome,0)),"Disponível")&lt;&gt;"Disponível"),AND($E19&lt;&gt;"",IFERROR(INDEX(Equipe_Situacao,MATCH($E19,Equipe_Nome,0)),"Disponível")&lt;&gt;"Disponível")),"INDISPONÍVEL",IF(OR(AND($D19&lt;&gt;"",IFERROR(INDEX(Equipe_NEsp,MATCH($D19,Equipe_Nome,0)),0)=0),AND($E19&lt;&gt;"",IFERROR(INDEX(Equipe_NEsp,MATCH($E19,Equipe_Nome,0)),0)=0)),"SEM AVALIAÇÃO",IF('Calc'!$Z29&gt;0,"FALTA HABILIDADE",IF(AND($B19&gt;=2,'Calc'!$AA29&gt;0),"ATENÇÃO","OK")))))))))</f>
        <v/>
      </c>
      <c r="G19" s="18">
        <f>IF($N19="","",IF($O19="","OK",LEFT($O19,LEN($O19)-3)))</f>
        <v/>
      </c>
      <c r="H19" s="20">
        <f>IF(OR($N19="",'Calc'!$B11&lt;&gt;"Sala cirúrgica"),"",COUNTIFS(Mapa_Sala,$N19,Mapa_Data,Data_Mapa,Mapa_MinOcup,"&gt;0"))</f>
        <v/>
      </c>
      <c r="I19" s="25">
        <f>IF(OR($N19="",'Calc'!$B11&lt;&gt;"Sala cirúrgica"),"",'Calc'!$AA11)</f>
        <v/>
      </c>
      <c r="J19" s="18">
        <f>IF($N19="","",IF(MAX('Calc_Salas'!$E$119:$E$131)=0,"—",IFERROR(TEXT(MOD(Turno_Ini+INDEX('Calc_Salas'!$C$119:$C$131,MATCH(LARGE('Calc_Salas'!$E$119:$E$131,1),'Calc_Salas'!$E$119:$E$131,0))/1440,1),"HH:MM")&amp;" → "&amp;TEXT(MOD(Turno_Ini+INDEX('Calc_Salas'!$D$119:$D$131,MATCH(LARGE('Calc_Salas'!$E$119:$E$131,1),'Calc_Salas'!$E$119:$E$131,0))/1440,1),"HH:MM")&amp;" ("&amp;LARGE('Calc_Salas'!$E$119:$E$131,1)&amp;" min)","—")))</f>
        <v/>
      </c>
      <c r="K19" s="20">
        <f>IF(OR($N19="",MAX('Calc_Salas'!$E$119:$E$131)=0),"",MAX('Calc_Salas'!$F$119:$F$131))</f>
        <v/>
      </c>
      <c r="L19" s="20">
        <f>IF(OR($N19="",'Calc'!$B11&lt;&gt;"Sala cirúrgica"),"",MAX('Calc_Salas'!$G$119:$G$131))</f>
        <v/>
      </c>
      <c r="M19" s="18">
        <f>IF($N19="","",IFERROR(INDEX(Sug_Nome,MATCH(LARGE('Calc'!N$38:N$67,1),'Calc'!N$38:N$67,0)),"—")&amp;IFERROR(" · "&amp;INDEX(Sug_Nome,MATCH(LARGE('Calc'!N$38:N$67,2),'Calc'!N$38:N$67,0)),"")&amp;IFERROR(" · "&amp;INDEX(Sug_Nome,MATCH(LARGE('Calc'!N$38:N$67,3),'Calc'!N$38:N$67,0)),""))</f>
        <v/>
      </c>
      <c r="N19" s="19">
        <f>IF('Calc'!$A11="","",'Calc'!$A11)</f>
        <v/>
      </c>
      <c r="O19" s="19">
        <f>IF($N19="","",IF(AND($F19="SEM EQUIPE",N($H19)&gt;0),"Sem equipe — "&amp;$H19&amp;" cirurgia(s) a remanejar | ","")&amp;IF($F19="SEM EQUIPE",IF(N($H19)&gt;0,"","Ambiente sem equipe | "),"")&amp;IF($F19="INCOMPLETO","Falta "&amp;($B19-(--($D19&lt;&gt;"")+--($E19&lt;&gt;"")))&amp;IF($B19-(--($D19&lt;&gt;"")+--($E19&lt;&gt;""))=1," técnico"," técnicos")&amp;" neste ambiente | ","")&amp;IF($F19="GENTE DEMAIS","Este ambiente é de "&amp;$B19&amp;IF($B19=1," técnico só"," técnicos")&amp;": tire o excedente | ","")&amp;IF($F19="DUPLA VETADA",$D19&amp;" e "&amp;$E19&amp;" não podem trabalhar juntas | ","")&amp;IF($F19="EXTRA","Técnico escalado em ambiente que não opera hoje | ","")&amp;IF(AND($F19="NÃO OPERA",N($H19)&gt;0),"Ambiente não opera hoje e tem cirurgia | ","")&amp;IF($F19="SEM AVALIAÇÃO","Técnico sem habilidade marcada na aba Equipe | ","")&amp;IF($F19="ATENÇÃO","Especialidade coberta por uma técnica só — se ela sair, a sala para | ","")&amp;IF(AND($F19&lt;&gt;"SEM AVALIAÇÃO",'Calc'!$AC29&lt;&gt;""),"Ninguém cobre: "&amp;LEFT('Calc'!$AC29,LEN('Calc'!$AC29)-3)&amp;" | ","")&amp;IF(AND($D19&lt;&gt;"",IFERROR(INDEX(Equipe_Situacao,MATCH($D19,Equipe_Nome,0)),"?")&lt;&gt;"Disponível"),$D19&amp;" não está disponível hoje ("&amp;IFERROR(INDEX(Equipe_Situacao,MATCH($D19,Equipe_Nome,0)),"?")&amp;") — troque | ","")&amp;IF(AND($E19&lt;&gt;"",IFERROR(INDEX(Equipe_Situacao,MATCH($E19,Equipe_Nome,0)),"?")&lt;&gt;"Disponível"),$E19&amp;" não está disponível hoje ("&amp;IFERROR(INDEX(Equipe_Situacao,MATCH($E19,Equipe_Nome,0)),"?")&amp;") — troque | ","")&amp;IF(OR(AND($D19&lt;&gt;"",COUNTIF(Pai_Tec1,$D19)+COUNTIF(Pai_Tec2,$D19)&gt;1),AND($E19&lt;&gt;"",COUNTIF(Pai_Tec1,$E19)+COUNTIF(Pai_Tec2,$E19)&gt;1)),"Técnico escalado em dois ambientes | ","")&amp;IF(AND($I19&lt;&gt;"",$I19&gt;1),"Ocupação acima do plantão | ",""))</f>
        <v/>
      </c>
    </row>
    <row r="20" ht="30" customHeight="1">
      <c r="A20" s="18">
        <f>IF($N20="","",IFERROR(INDEX(Postos_Nome,MATCH($N20,Postos_Cod,0)),$N20))</f>
        <v/>
      </c>
      <c r="B20" s="20">
        <f>IF($N20="","",'Calc'!$AD12)</f>
        <v/>
      </c>
      <c r="C20" s="18">
        <f>IF(OR($N20="",'Calc'!$AB30=""),"",LEFT('Calc'!$AB30,LEN('Calc'!$AB30)-3))</f>
        <v/>
      </c>
      <c r="D20" s="24" t="inlineStr">
        <is>
          <t>Nádia Fávero</t>
        </is>
      </c>
      <c r="E20" s="24" t="n"/>
      <c r="F20" s="19">
        <f>IF($N20="","",IF($B20=0,IF(AND($D20="",$E20=""),"NÃO OPERA","EXTRA"),IF(AND($D20="",$E20=""),"SEM EQUIPE",IF((--($D20&lt;&gt;"")+--($E20&lt;&gt;""))&lt;$B20,"INCOMPLETO",IF((--($D20&lt;&gt;"")+--($E20&lt;&gt;""))&gt;$B20,"GENTE DEMAIS",IF(AND($D20&lt;&gt;"",$E20&lt;&gt;"",OR(IFERROR(INDEX(Equipe_Afin,MATCH($D20,Equipe_Nome,0),MATCH($E20,Equipe_Nome,0)),"X")&lt;&gt;"X",IFERROR(INDEX(Equipe_Afin,MATCH($E20,Equipe_Nome,0),MATCH($D20,Equipe_Nome,0)),"X")&lt;&gt;"X")),"DUPLA VETADA",IF(OR(AND($D20&lt;&gt;"",IFERROR(INDEX(Equipe_Situacao,MATCH($D20,Equipe_Nome,0)),"Disponível")&lt;&gt;"Disponível"),AND($E20&lt;&gt;"",IFERROR(INDEX(Equipe_Situacao,MATCH($E20,Equipe_Nome,0)),"Disponível")&lt;&gt;"Disponível")),"INDISPONÍVEL",IF(OR(AND($D20&lt;&gt;"",IFERROR(INDEX(Equipe_NEsp,MATCH($D20,Equipe_Nome,0)),0)=0),AND($E20&lt;&gt;"",IFERROR(INDEX(Equipe_NEsp,MATCH($E20,Equipe_Nome,0)),0)=0)),"SEM AVALIAÇÃO",IF('Calc'!$Z30&gt;0,"FALTA HABILIDADE",IF(AND($B20&gt;=2,'Calc'!$AA30&gt;0),"ATENÇÃO","OK")))))))))</f>
        <v/>
      </c>
      <c r="G20" s="18">
        <f>IF($N20="","",IF($O20="","OK",LEFT($O20,LEN($O20)-3)))</f>
        <v/>
      </c>
      <c r="H20" s="20">
        <f>IF(OR($N20="",'Calc'!$B12&lt;&gt;"Sala cirúrgica"),"",COUNTIFS(Mapa_Sala,$N20,Mapa_Data,Data_Mapa,Mapa_MinOcup,"&gt;0"))</f>
        <v/>
      </c>
      <c r="I20" s="25">
        <f>IF(OR($N20="",'Calc'!$B12&lt;&gt;"Sala cirúrgica"),"",'Calc'!$AA12)</f>
        <v/>
      </c>
      <c r="J20" s="18">
        <f>IF($N20="","",IF(MAX('Calc_Salas'!$E$132:$E$144)=0,"—",IFERROR(TEXT(MOD(Turno_Ini+INDEX('Calc_Salas'!$C$132:$C$144,MATCH(LARGE('Calc_Salas'!$E$132:$E$144,1),'Calc_Salas'!$E$132:$E$144,0))/1440,1),"HH:MM")&amp;" → "&amp;TEXT(MOD(Turno_Ini+INDEX('Calc_Salas'!$D$132:$D$144,MATCH(LARGE('Calc_Salas'!$E$132:$E$144,1),'Calc_Salas'!$E$132:$E$144,0))/1440,1),"HH:MM")&amp;" ("&amp;LARGE('Calc_Salas'!$E$132:$E$144,1)&amp;" min)","—")))</f>
        <v/>
      </c>
      <c r="K20" s="20">
        <f>IF(OR($N20="",MAX('Calc_Salas'!$E$132:$E$144)=0),"",MAX('Calc_Salas'!$F$132:$F$144))</f>
        <v/>
      </c>
      <c r="L20" s="20">
        <f>IF(OR($N20="",'Calc'!$B12&lt;&gt;"Sala cirúrgica"),"",MAX('Calc_Salas'!$G$132:$G$144))</f>
        <v/>
      </c>
      <c r="M20" s="18">
        <f>IF($N20="","",IFERROR(INDEX(Sug_Nome,MATCH(LARGE('Calc'!O$38:O$67,1),'Calc'!O$38:O$67,0)),"—")&amp;IFERROR(" · "&amp;INDEX(Sug_Nome,MATCH(LARGE('Calc'!O$38:O$67,2),'Calc'!O$38:O$67,0)),"")&amp;IFERROR(" · "&amp;INDEX(Sug_Nome,MATCH(LARGE('Calc'!O$38:O$67,3),'Calc'!O$38:O$67,0)),""))</f>
        <v/>
      </c>
      <c r="N20" s="19">
        <f>IF('Calc'!$A12="","",'Calc'!$A12)</f>
        <v/>
      </c>
      <c r="O20" s="19">
        <f>IF($N20="","",IF(AND($F20="SEM EQUIPE",N($H20)&gt;0),"Sem equipe — "&amp;$H20&amp;" cirurgia(s) a remanejar | ","")&amp;IF($F20="SEM EQUIPE",IF(N($H20)&gt;0,"","Ambiente sem equipe | "),"")&amp;IF($F20="INCOMPLETO","Falta "&amp;($B20-(--($D20&lt;&gt;"")+--($E20&lt;&gt;"")))&amp;IF($B20-(--($D20&lt;&gt;"")+--($E20&lt;&gt;""))=1," técnico"," técnicos")&amp;" neste ambiente | ","")&amp;IF($F20="GENTE DEMAIS","Este ambiente é de "&amp;$B20&amp;IF($B20=1," técnico só"," técnicos")&amp;": tire o excedente | ","")&amp;IF($F20="DUPLA VETADA",$D20&amp;" e "&amp;$E20&amp;" não podem trabalhar juntas | ","")&amp;IF($F20="EXTRA","Técnico escalado em ambiente que não opera hoje | ","")&amp;IF(AND($F20="NÃO OPERA",N($H20)&gt;0),"Ambiente não opera hoje e tem cirurgia | ","")&amp;IF($F20="SEM AVALIAÇÃO","Técnico sem habilidade marcada na aba Equipe | ","")&amp;IF($F20="ATENÇÃO","Especialidade coberta por uma técnica só — se ela sair, a sala para | ","")&amp;IF(AND($F20&lt;&gt;"SEM AVALIAÇÃO",'Calc'!$AC30&lt;&gt;""),"Ninguém cobre: "&amp;LEFT('Calc'!$AC30,LEN('Calc'!$AC30)-3)&amp;" | ","")&amp;IF(AND($D20&lt;&gt;"",IFERROR(INDEX(Equipe_Situacao,MATCH($D20,Equipe_Nome,0)),"?")&lt;&gt;"Disponível"),$D20&amp;" não está disponível hoje ("&amp;IFERROR(INDEX(Equipe_Situacao,MATCH($D20,Equipe_Nome,0)),"?")&amp;") — troque | ","")&amp;IF(AND($E20&lt;&gt;"",IFERROR(INDEX(Equipe_Situacao,MATCH($E20,Equipe_Nome,0)),"?")&lt;&gt;"Disponível"),$E20&amp;" não está disponível hoje ("&amp;IFERROR(INDEX(Equipe_Situacao,MATCH($E20,Equipe_Nome,0)),"?")&amp;") — troque | ","")&amp;IF(OR(AND($D20&lt;&gt;"",COUNTIF(Pai_Tec1,$D20)+COUNTIF(Pai_Tec2,$D20)&gt;1),AND($E20&lt;&gt;"",COUNTIF(Pai_Tec1,$E20)+COUNTIF(Pai_Tec2,$E20)&gt;1)),"Técnico escalado em dois ambientes | ","")&amp;IF(AND($I20&lt;&gt;"",$I20&gt;1),"Ocupação acima do plantão | ",""))</f>
        <v/>
      </c>
    </row>
    <row r="21" ht="30" customHeight="1">
      <c r="A21" s="18">
        <f>IF($N21="","",IFERROR(INDEX(Postos_Nome,MATCH($N21,Postos_Cod,0)),$N21))</f>
        <v/>
      </c>
      <c r="B21" s="20">
        <f>IF($N21="","",'Calc'!$AD13)</f>
        <v/>
      </c>
      <c r="C21" s="18">
        <f>IF(OR($N21="",'Calc'!$AB31=""),"",LEFT('Calc'!$AB31,LEN('Calc'!$AB31)-3))</f>
        <v/>
      </c>
      <c r="D21" s="24" t="n"/>
      <c r="E21" s="24" t="n"/>
      <c r="F21" s="19">
        <f>IF($N21="","",IF($B21=0,IF(AND($D21="",$E21=""),"NÃO OPERA","EXTRA"),IF(AND($D21="",$E21=""),"SEM EQUIPE",IF((--($D21&lt;&gt;"")+--($E21&lt;&gt;""))&lt;$B21,"INCOMPLETO",IF((--($D21&lt;&gt;"")+--($E21&lt;&gt;""))&gt;$B21,"GENTE DEMAIS",IF(AND($D21&lt;&gt;"",$E21&lt;&gt;"",OR(IFERROR(INDEX(Equipe_Afin,MATCH($D21,Equipe_Nome,0),MATCH($E21,Equipe_Nome,0)),"X")&lt;&gt;"X",IFERROR(INDEX(Equipe_Afin,MATCH($E21,Equipe_Nome,0),MATCH($D21,Equipe_Nome,0)),"X")&lt;&gt;"X")),"DUPLA VETADA",IF(OR(AND($D21&lt;&gt;"",IFERROR(INDEX(Equipe_Situacao,MATCH($D21,Equipe_Nome,0)),"Disponível")&lt;&gt;"Disponível"),AND($E21&lt;&gt;"",IFERROR(INDEX(Equipe_Situacao,MATCH($E21,Equipe_Nome,0)),"Disponível")&lt;&gt;"Disponível")),"INDISPONÍVEL",IF(OR(AND($D21&lt;&gt;"",IFERROR(INDEX(Equipe_NEsp,MATCH($D21,Equipe_Nome,0)),0)=0),AND($E21&lt;&gt;"",IFERROR(INDEX(Equipe_NEsp,MATCH($E21,Equipe_Nome,0)),0)=0)),"SEM AVALIAÇÃO",IF('Calc'!$Z31&gt;0,"FALTA HABILIDADE",IF(AND($B21&gt;=2,'Calc'!$AA31&gt;0),"ATENÇÃO","OK")))))))))</f>
        <v/>
      </c>
      <c r="G21" s="18">
        <f>IF($N21="","",IF($O21="","OK",LEFT($O21,LEN($O21)-3)))</f>
        <v/>
      </c>
      <c r="H21" s="20">
        <f>IF(OR($N21="",'Calc'!$B13&lt;&gt;"Sala cirúrgica"),"",COUNTIFS(Mapa_Sala,$N21,Mapa_Data,Data_Mapa,Mapa_MinOcup,"&gt;0"))</f>
        <v/>
      </c>
      <c r="I21" s="25">
        <f>IF(OR($N21="",'Calc'!$B13&lt;&gt;"Sala cirúrgica"),"",'Calc'!$AA13)</f>
        <v/>
      </c>
      <c r="J21" s="18">
        <f>IF($N21="","",IF(MAX('Calc_Salas'!$E$145:$E$157)=0,"—",IFERROR(TEXT(MOD(Turno_Ini+INDEX('Calc_Salas'!$C$145:$C$157,MATCH(LARGE('Calc_Salas'!$E$145:$E$157,1),'Calc_Salas'!$E$145:$E$157,0))/1440,1),"HH:MM")&amp;" → "&amp;TEXT(MOD(Turno_Ini+INDEX('Calc_Salas'!$D$145:$D$157,MATCH(LARGE('Calc_Salas'!$E$145:$E$157,1),'Calc_Salas'!$E$145:$E$157,0))/1440,1),"HH:MM")&amp;" ("&amp;LARGE('Calc_Salas'!$E$145:$E$157,1)&amp;" min)","—")))</f>
        <v/>
      </c>
      <c r="K21" s="20">
        <f>IF(OR($N21="",MAX('Calc_Salas'!$E$145:$E$157)=0),"",MAX('Calc_Salas'!$F$145:$F$157))</f>
        <v/>
      </c>
      <c r="L21" s="20">
        <f>IF(OR($N21="",'Calc'!$B13&lt;&gt;"Sala cirúrgica"),"",MAX('Calc_Salas'!$G$145:$G$157))</f>
        <v/>
      </c>
      <c r="M21" s="18">
        <f>IF($N21="","",IFERROR(INDEX(Sug_Nome,MATCH(LARGE('Calc'!P$38:P$67,1),'Calc'!P$38:P$67,0)),"—")&amp;IFERROR(" · "&amp;INDEX(Sug_Nome,MATCH(LARGE('Calc'!P$38:P$67,2),'Calc'!P$38:P$67,0)),"")&amp;IFERROR(" · "&amp;INDEX(Sug_Nome,MATCH(LARGE('Calc'!P$38:P$67,3),'Calc'!P$38:P$67,0)),""))</f>
        <v/>
      </c>
      <c r="N21" s="19">
        <f>IF('Calc'!$A13="","",'Calc'!$A13)</f>
        <v/>
      </c>
      <c r="O21" s="19">
        <f>IF($N21="","",IF(AND($F21="SEM EQUIPE",N($H21)&gt;0),"Sem equipe — "&amp;$H21&amp;" cirurgia(s) a remanejar | ","")&amp;IF($F21="SEM EQUIPE",IF(N($H21)&gt;0,"","Ambiente sem equipe | "),"")&amp;IF($F21="INCOMPLETO","Falta "&amp;($B21-(--($D21&lt;&gt;"")+--($E21&lt;&gt;"")))&amp;IF($B21-(--($D21&lt;&gt;"")+--($E21&lt;&gt;""))=1," técnico"," técnicos")&amp;" neste ambiente | ","")&amp;IF($F21="GENTE DEMAIS","Este ambiente é de "&amp;$B21&amp;IF($B21=1," técnico só"," técnicos")&amp;": tire o excedente | ","")&amp;IF($F21="DUPLA VETADA",$D21&amp;" e "&amp;$E21&amp;" não podem trabalhar juntas | ","")&amp;IF($F21="EXTRA","Técnico escalado em ambiente que não opera hoje | ","")&amp;IF(AND($F21="NÃO OPERA",N($H21)&gt;0),"Ambiente não opera hoje e tem cirurgia | ","")&amp;IF($F21="SEM AVALIAÇÃO","Técnico sem habilidade marcada na aba Equipe | ","")&amp;IF($F21="ATENÇÃO","Especialidade coberta por uma técnica só — se ela sair, a sala para | ","")&amp;IF(AND($F21&lt;&gt;"SEM AVALIAÇÃO",'Calc'!$AC31&lt;&gt;""),"Ninguém cobre: "&amp;LEFT('Calc'!$AC31,LEN('Calc'!$AC31)-3)&amp;" | ","")&amp;IF(AND($D21&lt;&gt;"",IFERROR(INDEX(Equipe_Situacao,MATCH($D21,Equipe_Nome,0)),"?")&lt;&gt;"Disponível"),$D21&amp;" não está disponível hoje ("&amp;IFERROR(INDEX(Equipe_Situacao,MATCH($D21,Equipe_Nome,0)),"?")&amp;") — troque | ","")&amp;IF(AND($E21&lt;&gt;"",IFERROR(INDEX(Equipe_Situacao,MATCH($E21,Equipe_Nome,0)),"?")&lt;&gt;"Disponível"),$E21&amp;" não está disponível hoje ("&amp;IFERROR(INDEX(Equipe_Situacao,MATCH($E21,Equipe_Nome,0)),"?")&amp;") — troque | ","")&amp;IF(OR(AND($D21&lt;&gt;"",COUNTIF(Pai_Tec1,$D21)+COUNTIF(Pai_Tec2,$D21)&gt;1),AND($E21&lt;&gt;"",COUNTIF(Pai_Tec1,$E21)+COUNTIF(Pai_Tec2,$E21)&gt;1)),"Técnico escalado em dois ambientes | ","")&amp;IF(AND($I21&lt;&gt;"",$I21&gt;1),"Ocupação acima do plantão | ",""))</f>
        <v/>
      </c>
    </row>
    <row r="22" ht="30" customHeight="1">
      <c r="A22" s="18">
        <f>IF($N22="","",IFERROR(INDEX(Postos_Nome,MATCH($N22,Postos_Cod,0)),$N22))</f>
        <v/>
      </c>
      <c r="B22" s="20">
        <f>IF($N22="","",'Calc'!$AD14)</f>
        <v/>
      </c>
      <c r="C22" s="18">
        <f>IF(OR($N22="",'Calc'!$AB32=""),"",LEFT('Calc'!$AB32,LEN('Calc'!$AB32)-3))</f>
        <v/>
      </c>
      <c r="D22" s="24" t="n"/>
      <c r="E22" s="24" t="n"/>
      <c r="F22" s="19">
        <f>IF($N22="","",IF($B22=0,IF(AND($D22="",$E22=""),"NÃO OPERA","EXTRA"),IF(AND($D22="",$E22=""),"SEM EQUIPE",IF((--($D22&lt;&gt;"")+--($E22&lt;&gt;""))&lt;$B22,"INCOMPLETO",IF((--($D22&lt;&gt;"")+--($E22&lt;&gt;""))&gt;$B22,"GENTE DEMAIS",IF(AND($D22&lt;&gt;"",$E22&lt;&gt;"",OR(IFERROR(INDEX(Equipe_Afin,MATCH($D22,Equipe_Nome,0),MATCH($E22,Equipe_Nome,0)),"X")&lt;&gt;"X",IFERROR(INDEX(Equipe_Afin,MATCH($E22,Equipe_Nome,0),MATCH($D22,Equipe_Nome,0)),"X")&lt;&gt;"X")),"DUPLA VETADA",IF(OR(AND($D22&lt;&gt;"",IFERROR(INDEX(Equipe_Situacao,MATCH($D22,Equipe_Nome,0)),"Disponível")&lt;&gt;"Disponível"),AND($E22&lt;&gt;"",IFERROR(INDEX(Equipe_Situacao,MATCH($E22,Equipe_Nome,0)),"Disponível")&lt;&gt;"Disponível")),"INDISPONÍVEL",IF(OR(AND($D22&lt;&gt;"",IFERROR(INDEX(Equipe_NEsp,MATCH($D22,Equipe_Nome,0)),0)=0),AND($E22&lt;&gt;"",IFERROR(INDEX(Equipe_NEsp,MATCH($E22,Equipe_Nome,0)),0)=0)),"SEM AVALIAÇÃO",IF('Calc'!$Z32&gt;0,"FALTA HABILIDADE",IF(AND($B22&gt;=2,'Calc'!$AA32&gt;0),"ATENÇÃO","OK")))))))))</f>
        <v/>
      </c>
      <c r="G22" s="18">
        <f>IF($N22="","",IF($O22="","OK",LEFT($O22,LEN($O22)-3)))</f>
        <v/>
      </c>
      <c r="H22" s="20">
        <f>IF(OR($N22="",'Calc'!$B14&lt;&gt;"Sala cirúrgica"),"",COUNTIFS(Mapa_Sala,$N22,Mapa_Data,Data_Mapa,Mapa_MinOcup,"&gt;0"))</f>
        <v/>
      </c>
      <c r="I22" s="25">
        <f>IF(OR($N22="",'Calc'!$B14&lt;&gt;"Sala cirúrgica"),"",'Calc'!$AA14)</f>
        <v/>
      </c>
      <c r="J22" s="18">
        <f>IF($N22="","",IF(MAX('Calc_Salas'!$E$158:$E$170)=0,"—",IFERROR(TEXT(MOD(Turno_Ini+INDEX('Calc_Salas'!$C$158:$C$170,MATCH(LARGE('Calc_Salas'!$E$158:$E$170,1),'Calc_Salas'!$E$158:$E$170,0))/1440,1),"HH:MM")&amp;" → "&amp;TEXT(MOD(Turno_Ini+INDEX('Calc_Salas'!$D$158:$D$170,MATCH(LARGE('Calc_Salas'!$E$158:$E$170,1),'Calc_Salas'!$E$158:$E$170,0))/1440,1),"HH:MM")&amp;" ("&amp;LARGE('Calc_Salas'!$E$158:$E$170,1)&amp;" min)","—")))</f>
        <v/>
      </c>
      <c r="K22" s="20">
        <f>IF(OR($N22="",MAX('Calc_Salas'!$E$158:$E$170)=0),"",MAX('Calc_Salas'!$F$158:$F$170))</f>
        <v/>
      </c>
      <c r="L22" s="20">
        <f>IF(OR($N22="",'Calc'!$B14&lt;&gt;"Sala cirúrgica"),"",MAX('Calc_Salas'!$G$158:$G$170))</f>
        <v/>
      </c>
      <c r="M22" s="18">
        <f>IF($N22="","",IFERROR(INDEX(Sug_Nome,MATCH(LARGE('Calc'!Q$38:Q$67,1),'Calc'!Q$38:Q$67,0)),"—")&amp;IFERROR(" · "&amp;INDEX(Sug_Nome,MATCH(LARGE('Calc'!Q$38:Q$67,2),'Calc'!Q$38:Q$67,0)),"")&amp;IFERROR(" · "&amp;INDEX(Sug_Nome,MATCH(LARGE('Calc'!Q$38:Q$67,3),'Calc'!Q$38:Q$67,0)),""))</f>
        <v/>
      </c>
      <c r="N22" s="19">
        <f>IF('Calc'!$A14="","",'Calc'!$A14)</f>
        <v/>
      </c>
      <c r="O22" s="19">
        <f>IF($N22="","",IF(AND($F22="SEM EQUIPE",N($H22)&gt;0),"Sem equipe — "&amp;$H22&amp;" cirurgia(s) a remanejar | ","")&amp;IF($F22="SEM EQUIPE",IF(N($H22)&gt;0,"","Ambiente sem equipe | "),"")&amp;IF($F22="INCOMPLETO","Falta "&amp;($B22-(--($D22&lt;&gt;"")+--($E22&lt;&gt;"")))&amp;IF($B22-(--($D22&lt;&gt;"")+--($E22&lt;&gt;""))=1," técnico"," técnicos")&amp;" neste ambiente | ","")&amp;IF($F22="GENTE DEMAIS","Este ambiente é de "&amp;$B22&amp;IF($B22=1," técnico só"," técnicos")&amp;": tire o excedente | ","")&amp;IF($F22="DUPLA VETADA",$D22&amp;" e "&amp;$E22&amp;" não podem trabalhar juntas | ","")&amp;IF($F22="EXTRA","Técnico escalado em ambiente que não opera hoje | ","")&amp;IF(AND($F22="NÃO OPERA",N($H22)&gt;0),"Ambiente não opera hoje e tem cirurgia | ","")&amp;IF($F22="SEM AVALIAÇÃO","Técnico sem habilidade marcada na aba Equipe | ","")&amp;IF($F22="ATENÇÃO","Especialidade coberta por uma técnica só — se ela sair, a sala para | ","")&amp;IF(AND($F22&lt;&gt;"SEM AVALIAÇÃO",'Calc'!$AC32&lt;&gt;""),"Ninguém cobre: "&amp;LEFT('Calc'!$AC32,LEN('Calc'!$AC32)-3)&amp;" | ","")&amp;IF(AND($D22&lt;&gt;"",IFERROR(INDEX(Equipe_Situacao,MATCH($D22,Equipe_Nome,0)),"?")&lt;&gt;"Disponível"),$D22&amp;" não está disponível hoje ("&amp;IFERROR(INDEX(Equipe_Situacao,MATCH($D22,Equipe_Nome,0)),"?")&amp;") — troque | ","")&amp;IF(AND($E22&lt;&gt;"",IFERROR(INDEX(Equipe_Situacao,MATCH($E22,Equipe_Nome,0)),"?")&lt;&gt;"Disponível"),$E22&amp;" não está disponível hoje ("&amp;IFERROR(INDEX(Equipe_Situacao,MATCH($E22,Equipe_Nome,0)),"?")&amp;") — troque | ","")&amp;IF(OR(AND($D22&lt;&gt;"",COUNTIF(Pai_Tec1,$D22)+COUNTIF(Pai_Tec2,$D22)&gt;1),AND($E22&lt;&gt;"",COUNTIF(Pai_Tec1,$E22)+COUNTIF(Pai_Tec2,$E22)&gt;1)),"Técnico escalado em dois ambientes | ","")&amp;IF(AND($I22&lt;&gt;"",$I22&gt;1),"Ocupação acima do plantão | ",""))</f>
        <v/>
      </c>
    </row>
    <row r="23" ht="30" customHeight="1">
      <c r="A23" s="18">
        <f>IF($N23="","",IFERROR(INDEX(Postos_Nome,MATCH($N23,Postos_Cod,0)),$N23))</f>
        <v/>
      </c>
      <c r="B23" s="20">
        <f>IF($N23="","",'Calc'!$AD15)</f>
        <v/>
      </c>
      <c r="C23" s="18">
        <f>IF(OR($N23="",'Calc'!$AB33=""),"",LEFT('Calc'!$AB33,LEN('Calc'!$AB33)-3))</f>
        <v/>
      </c>
      <c r="D23" s="24" t="n"/>
      <c r="E23" s="24" t="n"/>
      <c r="F23" s="19">
        <f>IF($N23="","",IF($B23=0,IF(AND($D23="",$E23=""),"NÃO OPERA","EXTRA"),IF(AND($D23="",$E23=""),"SEM EQUIPE",IF((--($D23&lt;&gt;"")+--($E23&lt;&gt;""))&lt;$B23,"INCOMPLETO",IF((--($D23&lt;&gt;"")+--($E23&lt;&gt;""))&gt;$B23,"GENTE DEMAIS",IF(AND($D23&lt;&gt;"",$E23&lt;&gt;"",OR(IFERROR(INDEX(Equipe_Afin,MATCH($D23,Equipe_Nome,0),MATCH($E23,Equipe_Nome,0)),"X")&lt;&gt;"X",IFERROR(INDEX(Equipe_Afin,MATCH($E23,Equipe_Nome,0),MATCH($D23,Equipe_Nome,0)),"X")&lt;&gt;"X")),"DUPLA VETADA",IF(OR(AND($D23&lt;&gt;"",IFERROR(INDEX(Equipe_Situacao,MATCH($D23,Equipe_Nome,0)),"Disponível")&lt;&gt;"Disponível"),AND($E23&lt;&gt;"",IFERROR(INDEX(Equipe_Situacao,MATCH($E23,Equipe_Nome,0)),"Disponível")&lt;&gt;"Disponível")),"INDISPONÍVEL",IF(OR(AND($D23&lt;&gt;"",IFERROR(INDEX(Equipe_NEsp,MATCH($D23,Equipe_Nome,0)),0)=0),AND($E23&lt;&gt;"",IFERROR(INDEX(Equipe_NEsp,MATCH($E23,Equipe_Nome,0)),0)=0)),"SEM AVALIAÇÃO",IF('Calc'!$Z33&gt;0,"FALTA HABILIDADE",IF(AND($B23&gt;=2,'Calc'!$AA33&gt;0),"ATENÇÃO","OK")))))))))</f>
        <v/>
      </c>
      <c r="G23" s="18">
        <f>IF($N23="","",IF($O23="","OK",LEFT($O23,LEN($O23)-3)))</f>
        <v/>
      </c>
      <c r="H23" s="20">
        <f>IF(OR($N23="",'Calc'!$B15&lt;&gt;"Sala cirúrgica"),"",COUNTIFS(Mapa_Sala,$N23,Mapa_Data,Data_Mapa,Mapa_MinOcup,"&gt;0"))</f>
        <v/>
      </c>
      <c r="I23" s="25">
        <f>IF(OR($N23="",'Calc'!$B15&lt;&gt;"Sala cirúrgica"),"",'Calc'!$AA15)</f>
        <v/>
      </c>
      <c r="J23" s="18">
        <f>IF($N23="","",IF(MAX('Calc_Salas'!$E$171:$E$183)=0,"—",IFERROR(TEXT(MOD(Turno_Ini+INDEX('Calc_Salas'!$C$171:$C$183,MATCH(LARGE('Calc_Salas'!$E$171:$E$183,1),'Calc_Salas'!$E$171:$E$183,0))/1440,1),"HH:MM")&amp;" → "&amp;TEXT(MOD(Turno_Ini+INDEX('Calc_Salas'!$D$171:$D$183,MATCH(LARGE('Calc_Salas'!$E$171:$E$183,1),'Calc_Salas'!$E$171:$E$183,0))/1440,1),"HH:MM")&amp;" ("&amp;LARGE('Calc_Salas'!$E$171:$E$183,1)&amp;" min)","—")))</f>
        <v/>
      </c>
      <c r="K23" s="20">
        <f>IF(OR($N23="",MAX('Calc_Salas'!$E$171:$E$183)=0),"",MAX('Calc_Salas'!$F$171:$F$183))</f>
        <v/>
      </c>
      <c r="L23" s="20">
        <f>IF(OR($N23="",'Calc'!$B15&lt;&gt;"Sala cirúrgica"),"",MAX('Calc_Salas'!$G$171:$G$183))</f>
        <v/>
      </c>
      <c r="M23" s="18">
        <f>IF($N23="","",IFERROR(INDEX(Sug_Nome,MATCH(LARGE('Calc'!R$38:R$67,1),'Calc'!R$38:R$67,0)),"—")&amp;IFERROR(" · "&amp;INDEX(Sug_Nome,MATCH(LARGE('Calc'!R$38:R$67,2),'Calc'!R$38:R$67,0)),"")&amp;IFERROR(" · "&amp;INDEX(Sug_Nome,MATCH(LARGE('Calc'!R$38:R$67,3),'Calc'!R$38:R$67,0)),""))</f>
        <v/>
      </c>
      <c r="N23" s="19">
        <f>IF('Calc'!$A15="","",'Calc'!$A15)</f>
        <v/>
      </c>
      <c r="O23" s="19">
        <f>IF($N23="","",IF(AND($F23="SEM EQUIPE",N($H23)&gt;0),"Sem equipe — "&amp;$H23&amp;" cirurgia(s) a remanejar | ","")&amp;IF($F23="SEM EQUIPE",IF(N($H23)&gt;0,"","Ambiente sem equipe | "),"")&amp;IF($F23="INCOMPLETO","Falta "&amp;($B23-(--($D23&lt;&gt;"")+--($E23&lt;&gt;"")))&amp;IF($B23-(--($D23&lt;&gt;"")+--($E23&lt;&gt;""))=1," técnico"," técnicos")&amp;" neste ambiente | ","")&amp;IF($F23="GENTE DEMAIS","Este ambiente é de "&amp;$B23&amp;IF($B23=1," técnico só"," técnicos")&amp;": tire o excedente | ","")&amp;IF($F23="DUPLA VETADA",$D23&amp;" e "&amp;$E23&amp;" não podem trabalhar juntas | ","")&amp;IF($F23="EXTRA","Técnico escalado em ambiente que não opera hoje | ","")&amp;IF(AND($F23="NÃO OPERA",N($H23)&gt;0),"Ambiente não opera hoje e tem cirurgia | ","")&amp;IF($F23="SEM AVALIAÇÃO","Técnico sem habilidade marcada na aba Equipe | ","")&amp;IF($F23="ATENÇÃO","Especialidade coberta por uma técnica só — se ela sair, a sala para | ","")&amp;IF(AND($F23&lt;&gt;"SEM AVALIAÇÃO",'Calc'!$AC33&lt;&gt;""),"Ninguém cobre: "&amp;LEFT('Calc'!$AC33,LEN('Calc'!$AC33)-3)&amp;" | ","")&amp;IF(AND($D23&lt;&gt;"",IFERROR(INDEX(Equipe_Situacao,MATCH($D23,Equipe_Nome,0)),"?")&lt;&gt;"Disponível"),$D23&amp;" não está disponível hoje ("&amp;IFERROR(INDEX(Equipe_Situacao,MATCH($D23,Equipe_Nome,0)),"?")&amp;") — troque | ","")&amp;IF(AND($E23&lt;&gt;"",IFERROR(INDEX(Equipe_Situacao,MATCH($E23,Equipe_Nome,0)),"?")&lt;&gt;"Disponível"),$E23&amp;" não está disponível hoje ("&amp;IFERROR(INDEX(Equipe_Situacao,MATCH($E23,Equipe_Nome,0)),"?")&amp;") — troque | ","")&amp;IF(OR(AND($D23&lt;&gt;"",COUNTIF(Pai_Tec1,$D23)+COUNTIF(Pai_Tec2,$D23)&gt;1),AND($E23&lt;&gt;"",COUNTIF(Pai_Tec1,$E23)+COUNTIF(Pai_Tec2,$E23)&gt;1)),"Técnico escalado em dois ambientes | ","")&amp;IF(AND($I23&lt;&gt;"",$I23&gt;1),"Ocupação acima do plantão | ",""))</f>
        <v/>
      </c>
    </row>
    <row r="24" ht="30" customHeight="1">
      <c r="A24" s="18">
        <f>IF($N24="","",IFERROR(INDEX(Postos_Nome,MATCH($N24,Postos_Cod,0)),$N24))</f>
        <v/>
      </c>
      <c r="B24" s="20">
        <f>IF($N24="","",'Calc'!$AD16)</f>
        <v/>
      </c>
      <c r="C24" s="18">
        <f>IF(OR($N24="",'Calc'!$AB34=""),"",LEFT('Calc'!$AB34,LEN('Calc'!$AB34)-3))</f>
        <v/>
      </c>
      <c r="D24" s="24" t="n"/>
      <c r="E24" s="24" t="n"/>
      <c r="F24" s="19">
        <f>IF($N24="","",IF($B24=0,IF(AND($D24="",$E24=""),"NÃO OPERA","EXTRA"),IF(AND($D24="",$E24=""),"SEM EQUIPE",IF((--($D24&lt;&gt;"")+--($E24&lt;&gt;""))&lt;$B24,"INCOMPLETO",IF((--($D24&lt;&gt;"")+--($E24&lt;&gt;""))&gt;$B24,"GENTE DEMAIS",IF(AND($D24&lt;&gt;"",$E24&lt;&gt;"",OR(IFERROR(INDEX(Equipe_Afin,MATCH($D24,Equipe_Nome,0),MATCH($E24,Equipe_Nome,0)),"X")&lt;&gt;"X",IFERROR(INDEX(Equipe_Afin,MATCH($E24,Equipe_Nome,0),MATCH($D24,Equipe_Nome,0)),"X")&lt;&gt;"X")),"DUPLA VETADA",IF(OR(AND($D24&lt;&gt;"",IFERROR(INDEX(Equipe_Situacao,MATCH($D24,Equipe_Nome,0)),"Disponível")&lt;&gt;"Disponível"),AND($E24&lt;&gt;"",IFERROR(INDEX(Equipe_Situacao,MATCH($E24,Equipe_Nome,0)),"Disponível")&lt;&gt;"Disponível")),"INDISPONÍVEL",IF(OR(AND($D24&lt;&gt;"",IFERROR(INDEX(Equipe_NEsp,MATCH($D24,Equipe_Nome,0)),0)=0),AND($E24&lt;&gt;"",IFERROR(INDEX(Equipe_NEsp,MATCH($E24,Equipe_Nome,0)),0)=0)),"SEM AVALIAÇÃO",IF('Calc'!$Z34&gt;0,"FALTA HABILIDADE",IF(AND($B24&gt;=2,'Calc'!$AA34&gt;0),"ATENÇÃO","OK")))))))))</f>
        <v/>
      </c>
      <c r="G24" s="18">
        <f>IF($N24="","",IF($O24="","OK",LEFT($O24,LEN($O24)-3)))</f>
        <v/>
      </c>
      <c r="H24" s="20">
        <f>IF(OR($N24="",'Calc'!$B16&lt;&gt;"Sala cirúrgica"),"",COUNTIFS(Mapa_Sala,$N24,Mapa_Data,Data_Mapa,Mapa_MinOcup,"&gt;0"))</f>
        <v/>
      </c>
      <c r="I24" s="25">
        <f>IF(OR($N24="",'Calc'!$B16&lt;&gt;"Sala cirúrgica"),"",'Calc'!$AA16)</f>
        <v/>
      </c>
      <c r="J24" s="18">
        <f>IF($N24="","",IF(MAX('Calc_Salas'!$E$184:$E$196)=0,"—",IFERROR(TEXT(MOD(Turno_Ini+INDEX('Calc_Salas'!$C$184:$C$196,MATCH(LARGE('Calc_Salas'!$E$184:$E$196,1),'Calc_Salas'!$E$184:$E$196,0))/1440,1),"HH:MM")&amp;" → "&amp;TEXT(MOD(Turno_Ini+INDEX('Calc_Salas'!$D$184:$D$196,MATCH(LARGE('Calc_Salas'!$E$184:$E$196,1),'Calc_Salas'!$E$184:$E$196,0))/1440,1),"HH:MM")&amp;" ("&amp;LARGE('Calc_Salas'!$E$184:$E$196,1)&amp;" min)","—")))</f>
        <v/>
      </c>
      <c r="K24" s="20">
        <f>IF(OR($N24="",MAX('Calc_Salas'!$E$184:$E$196)=0),"",MAX('Calc_Salas'!$F$184:$F$196))</f>
        <v/>
      </c>
      <c r="L24" s="20">
        <f>IF(OR($N24="",'Calc'!$B16&lt;&gt;"Sala cirúrgica"),"",MAX('Calc_Salas'!$G$184:$G$196))</f>
        <v/>
      </c>
      <c r="M24" s="18">
        <f>IF($N24="","",IFERROR(INDEX(Sug_Nome,MATCH(LARGE('Calc'!S$38:S$67,1),'Calc'!S$38:S$67,0)),"—")&amp;IFERROR(" · "&amp;INDEX(Sug_Nome,MATCH(LARGE('Calc'!S$38:S$67,2),'Calc'!S$38:S$67,0)),"")&amp;IFERROR(" · "&amp;INDEX(Sug_Nome,MATCH(LARGE('Calc'!S$38:S$67,3),'Calc'!S$38:S$67,0)),""))</f>
        <v/>
      </c>
      <c r="N24" s="19">
        <f>IF('Calc'!$A16="","",'Calc'!$A16)</f>
        <v/>
      </c>
      <c r="O24" s="19">
        <f>IF($N24="","",IF(AND($F24="SEM EQUIPE",N($H24)&gt;0),"Sem equipe — "&amp;$H24&amp;" cirurgia(s) a remanejar | ","")&amp;IF($F24="SEM EQUIPE",IF(N($H24)&gt;0,"","Ambiente sem equipe | "),"")&amp;IF($F24="INCOMPLETO","Falta "&amp;($B24-(--($D24&lt;&gt;"")+--($E24&lt;&gt;"")))&amp;IF($B24-(--($D24&lt;&gt;"")+--($E24&lt;&gt;""))=1," técnico"," técnicos")&amp;" neste ambiente | ","")&amp;IF($F24="GENTE DEMAIS","Este ambiente é de "&amp;$B24&amp;IF($B24=1," técnico só"," técnicos")&amp;": tire o excedente | ","")&amp;IF($F24="DUPLA VETADA",$D24&amp;" e "&amp;$E24&amp;" não podem trabalhar juntas | ","")&amp;IF($F24="EXTRA","Técnico escalado em ambiente que não opera hoje | ","")&amp;IF(AND($F24="NÃO OPERA",N($H24)&gt;0),"Ambiente não opera hoje e tem cirurgia | ","")&amp;IF($F24="SEM AVALIAÇÃO","Técnico sem habilidade marcada na aba Equipe | ","")&amp;IF($F24="ATENÇÃO","Especialidade coberta por uma técnica só — se ela sair, a sala para | ","")&amp;IF(AND($F24&lt;&gt;"SEM AVALIAÇÃO",'Calc'!$AC34&lt;&gt;""),"Ninguém cobre: "&amp;LEFT('Calc'!$AC34,LEN('Calc'!$AC34)-3)&amp;" | ","")&amp;IF(AND($D24&lt;&gt;"",IFERROR(INDEX(Equipe_Situacao,MATCH($D24,Equipe_Nome,0)),"?")&lt;&gt;"Disponível"),$D24&amp;" não está disponível hoje ("&amp;IFERROR(INDEX(Equipe_Situacao,MATCH($D24,Equipe_Nome,0)),"?")&amp;") — troque | ","")&amp;IF(AND($E24&lt;&gt;"",IFERROR(INDEX(Equipe_Situacao,MATCH($E24,Equipe_Nome,0)),"?")&lt;&gt;"Disponível"),$E24&amp;" não está disponível hoje ("&amp;IFERROR(INDEX(Equipe_Situacao,MATCH($E24,Equipe_Nome,0)),"?")&amp;") — troque | ","")&amp;IF(OR(AND($D24&lt;&gt;"",COUNTIF(Pai_Tec1,$D24)+COUNTIF(Pai_Tec2,$D24)&gt;1),AND($E24&lt;&gt;"",COUNTIF(Pai_Tec1,$E24)+COUNTIF(Pai_Tec2,$E24)&gt;1)),"Técnico escalado em dois ambientes | ","")&amp;IF(AND($I24&lt;&gt;"",$I24&gt;1),"Ocupação acima do plantão | ",""))</f>
        <v/>
      </c>
    </row>
    <row r="25" ht="30" customHeight="1">
      <c r="A25" s="18">
        <f>IF($N25="","",IFERROR(INDEX(Postos_Nome,MATCH($N25,Postos_Cod,0)),$N25))</f>
        <v/>
      </c>
      <c r="B25" s="20">
        <f>IF($N25="","",'Calc'!$AD17)</f>
        <v/>
      </c>
      <c r="C25" s="18">
        <f>IF(OR($N25="",'Calc'!$AB35=""),"",LEFT('Calc'!$AB35,LEN('Calc'!$AB35)-3))</f>
        <v/>
      </c>
      <c r="D25" s="24" t="n"/>
      <c r="E25" s="24" t="n"/>
      <c r="F25" s="19">
        <f>IF($N25="","",IF($B25=0,IF(AND($D25="",$E25=""),"NÃO OPERA","EXTRA"),IF(AND($D25="",$E25=""),"SEM EQUIPE",IF((--($D25&lt;&gt;"")+--($E25&lt;&gt;""))&lt;$B25,"INCOMPLETO",IF((--($D25&lt;&gt;"")+--($E25&lt;&gt;""))&gt;$B25,"GENTE DEMAIS",IF(AND($D25&lt;&gt;"",$E25&lt;&gt;"",OR(IFERROR(INDEX(Equipe_Afin,MATCH($D25,Equipe_Nome,0),MATCH($E25,Equipe_Nome,0)),"X")&lt;&gt;"X",IFERROR(INDEX(Equipe_Afin,MATCH($E25,Equipe_Nome,0),MATCH($D25,Equipe_Nome,0)),"X")&lt;&gt;"X")),"DUPLA VETADA",IF(OR(AND($D25&lt;&gt;"",IFERROR(INDEX(Equipe_Situacao,MATCH($D25,Equipe_Nome,0)),"Disponível")&lt;&gt;"Disponível"),AND($E25&lt;&gt;"",IFERROR(INDEX(Equipe_Situacao,MATCH($E25,Equipe_Nome,0)),"Disponível")&lt;&gt;"Disponível")),"INDISPONÍVEL",IF(OR(AND($D25&lt;&gt;"",IFERROR(INDEX(Equipe_NEsp,MATCH($D25,Equipe_Nome,0)),0)=0),AND($E25&lt;&gt;"",IFERROR(INDEX(Equipe_NEsp,MATCH($E25,Equipe_Nome,0)),0)=0)),"SEM AVALIAÇÃO",IF('Calc'!$Z35&gt;0,"FALTA HABILIDADE",IF(AND($B25&gt;=2,'Calc'!$AA35&gt;0),"ATENÇÃO","OK")))))))))</f>
        <v/>
      </c>
      <c r="G25" s="18">
        <f>IF($N25="","",IF($O25="","OK",LEFT($O25,LEN($O25)-3)))</f>
        <v/>
      </c>
      <c r="H25" s="20">
        <f>IF(OR($N25="",'Calc'!$B17&lt;&gt;"Sala cirúrgica"),"",COUNTIFS(Mapa_Sala,$N25,Mapa_Data,Data_Mapa,Mapa_MinOcup,"&gt;0"))</f>
        <v/>
      </c>
      <c r="I25" s="25">
        <f>IF(OR($N25="",'Calc'!$B17&lt;&gt;"Sala cirúrgica"),"",'Calc'!$AA17)</f>
        <v/>
      </c>
      <c r="J25" s="18">
        <f>IF($N25="","",IF(MAX('Calc_Salas'!$E$197:$E$209)=0,"—",IFERROR(TEXT(MOD(Turno_Ini+INDEX('Calc_Salas'!$C$197:$C$209,MATCH(LARGE('Calc_Salas'!$E$197:$E$209,1),'Calc_Salas'!$E$197:$E$209,0))/1440,1),"HH:MM")&amp;" → "&amp;TEXT(MOD(Turno_Ini+INDEX('Calc_Salas'!$D$197:$D$209,MATCH(LARGE('Calc_Salas'!$E$197:$E$209,1),'Calc_Salas'!$E$197:$E$209,0))/1440,1),"HH:MM")&amp;" ("&amp;LARGE('Calc_Salas'!$E$197:$E$209,1)&amp;" min)","—")))</f>
        <v/>
      </c>
      <c r="K25" s="20">
        <f>IF(OR($N25="",MAX('Calc_Salas'!$E$197:$E$209)=0),"",MAX('Calc_Salas'!$F$197:$F$209))</f>
        <v/>
      </c>
      <c r="L25" s="20">
        <f>IF(OR($N25="",'Calc'!$B17&lt;&gt;"Sala cirúrgica"),"",MAX('Calc_Salas'!$G$197:$G$209))</f>
        <v/>
      </c>
      <c r="M25" s="18">
        <f>IF($N25="","",IFERROR(INDEX(Sug_Nome,MATCH(LARGE('Calc'!T$38:T$67,1),'Calc'!T$38:T$67,0)),"—")&amp;IFERROR(" · "&amp;INDEX(Sug_Nome,MATCH(LARGE('Calc'!T$38:T$67,2),'Calc'!T$38:T$67,0)),"")&amp;IFERROR(" · "&amp;INDEX(Sug_Nome,MATCH(LARGE('Calc'!T$38:T$67,3),'Calc'!T$38:T$67,0)),""))</f>
        <v/>
      </c>
      <c r="N25" s="19">
        <f>IF('Calc'!$A17="","",'Calc'!$A17)</f>
        <v/>
      </c>
      <c r="O25" s="19">
        <f>IF($N25="","",IF(AND($F25="SEM EQUIPE",N($H25)&gt;0),"Sem equipe — "&amp;$H25&amp;" cirurgia(s) a remanejar | ","")&amp;IF($F25="SEM EQUIPE",IF(N($H25)&gt;0,"","Ambiente sem equipe | "),"")&amp;IF($F25="INCOMPLETO","Falta "&amp;($B25-(--($D25&lt;&gt;"")+--($E25&lt;&gt;"")))&amp;IF($B25-(--($D25&lt;&gt;"")+--($E25&lt;&gt;""))=1," técnico"," técnicos")&amp;" neste ambiente | ","")&amp;IF($F25="GENTE DEMAIS","Este ambiente é de "&amp;$B25&amp;IF($B25=1," técnico só"," técnicos")&amp;": tire o excedente | ","")&amp;IF($F25="DUPLA VETADA",$D25&amp;" e "&amp;$E25&amp;" não podem trabalhar juntas | ","")&amp;IF($F25="EXTRA","Técnico escalado em ambiente que não opera hoje | ","")&amp;IF(AND($F25="NÃO OPERA",N($H25)&gt;0),"Ambiente não opera hoje e tem cirurgia | ","")&amp;IF($F25="SEM AVALIAÇÃO","Técnico sem habilidade marcada na aba Equipe | ","")&amp;IF($F25="ATENÇÃO","Especialidade coberta por uma técnica só — se ela sair, a sala para | ","")&amp;IF(AND($F25&lt;&gt;"SEM AVALIAÇÃO",'Calc'!$AC35&lt;&gt;""),"Ninguém cobre: "&amp;LEFT('Calc'!$AC35,LEN('Calc'!$AC35)-3)&amp;" | ","")&amp;IF(AND($D25&lt;&gt;"",IFERROR(INDEX(Equipe_Situacao,MATCH($D25,Equipe_Nome,0)),"?")&lt;&gt;"Disponível"),$D25&amp;" não está disponível hoje ("&amp;IFERROR(INDEX(Equipe_Situacao,MATCH($D25,Equipe_Nome,0)),"?")&amp;") — troque | ","")&amp;IF(AND($E25&lt;&gt;"",IFERROR(INDEX(Equipe_Situacao,MATCH($E25,Equipe_Nome,0)),"?")&lt;&gt;"Disponível"),$E25&amp;" não está disponível hoje ("&amp;IFERROR(INDEX(Equipe_Situacao,MATCH($E25,Equipe_Nome,0)),"?")&amp;") — troque | ","")&amp;IF(OR(AND($D25&lt;&gt;"",COUNTIF(Pai_Tec1,$D25)+COUNTIF(Pai_Tec2,$D25)&gt;1),AND($E25&lt;&gt;"",COUNTIF(Pai_Tec1,$E25)+COUNTIF(Pai_Tec2,$E25)&gt;1)),"Técnico escalado em dois ambientes | ","")&amp;IF(AND($I25&lt;&gt;"",$I25&gt;1),"Ocupação acima do plantão | ",""))</f>
        <v/>
      </c>
    </row>
    <row r="27">
      <c r="A27" s="9" t="inlineStr">
        <is>
          <t>3. EQUIPE HOJE — quem está disponível e onde está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4" customHeight="1">
      <c r="A28" s="7" t="inlineStr">
        <is>
          <t>Técnico</t>
        </is>
      </c>
      <c r="B28" s="7" t="inlineStr">
        <is>
          <t>Situação</t>
        </is>
      </c>
      <c r="C28" s="7" t="inlineStr">
        <is>
          <t>Ausente até</t>
        </is>
      </c>
      <c r="D28" s="7" t="inlineStr">
        <is>
          <t>Escalado em</t>
        </is>
      </c>
      <c r="E28" s="7" t="inlineStr">
        <is>
          <t>Nº de especialidades</t>
        </is>
      </c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>
      <c r="A29" s="14">
        <f>IF('Equipe'!$B$2="","",'Equipe'!$B$2)</f>
        <v/>
      </c>
      <c r="B29" s="19">
        <f>IF($A29="","",'Equipe'!$E$2)</f>
        <v/>
      </c>
      <c r="C29" s="26">
        <f>IF($A29="","",'Equipe'!$F$2)</f>
        <v/>
      </c>
      <c r="D29" s="19">
        <f>IF($A29="","",IFERROR(INDEX($A$10:$A$25,MATCH($A29,$D$10:$D$25,0)),IFERROR(INDEX($A$10:$A$25,MATCH($A29,$E$10:$E$25,0)),"—")))</f>
        <v/>
      </c>
      <c r="E29" s="20">
        <f>IF($A29="","",'Equipe'!$AB$2)</f>
        <v/>
      </c>
    </row>
    <row r="30">
      <c r="A30" s="14">
        <f>IF('Equipe'!$B$3="","",'Equipe'!$B$3)</f>
        <v/>
      </c>
      <c r="B30" s="19">
        <f>IF($A30="","",'Equipe'!$E$3)</f>
        <v/>
      </c>
      <c r="C30" s="26">
        <f>IF($A30="","",'Equipe'!$F$3)</f>
        <v/>
      </c>
      <c r="D30" s="19">
        <f>IF($A30="","",IFERROR(INDEX($A$10:$A$25,MATCH($A30,$D$10:$D$25,0)),IFERROR(INDEX($A$10:$A$25,MATCH($A30,$E$10:$E$25,0)),"—")))</f>
        <v/>
      </c>
      <c r="E30" s="20">
        <f>IF($A30="","",'Equipe'!$AB$3)</f>
        <v/>
      </c>
    </row>
    <row r="31">
      <c r="A31" s="14">
        <f>IF('Equipe'!$B$4="","",'Equipe'!$B$4)</f>
        <v/>
      </c>
      <c r="B31" s="19">
        <f>IF($A31="","",'Equipe'!$E$4)</f>
        <v/>
      </c>
      <c r="C31" s="26">
        <f>IF($A31="","",'Equipe'!$F$4)</f>
        <v/>
      </c>
      <c r="D31" s="19">
        <f>IF($A31="","",IFERROR(INDEX($A$10:$A$25,MATCH($A31,$D$10:$D$25,0)),IFERROR(INDEX($A$10:$A$25,MATCH($A31,$E$10:$E$25,0)),"—")))</f>
        <v/>
      </c>
      <c r="E31" s="20">
        <f>IF($A31="","",'Equipe'!$AB$4)</f>
        <v/>
      </c>
    </row>
    <row r="32">
      <c r="A32" s="14">
        <f>IF('Equipe'!$B$5="","",'Equipe'!$B$5)</f>
        <v/>
      </c>
      <c r="B32" s="19">
        <f>IF($A32="","",'Equipe'!$E$5)</f>
        <v/>
      </c>
      <c r="C32" s="26">
        <f>IF($A32="","",'Equipe'!$F$5)</f>
        <v/>
      </c>
      <c r="D32" s="19">
        <f>IF($A32="","",IFERROR(INDEX($A$10:$A$25,MATCH($A32,$D$10:$D$25,0)),IFERROR(INDEX($A$10:$A$25,MATCH($A32,$E$10:$E$25,0)),"—")))</f>
        <v/>
      </c>
      <c r="E32" s="20">
        <f>IF($A32="","",'Equipe'!$AB$5)</f>
        <v/>
      </c>
    </row>
    <row r="33">
      <c r="A33" s="14">
        <f>IF('Equipe'!$B$6="","",'Equipe'!$B$6)</f>
        <v/>
      </c>
      <c r="B33" s="19">
        <f>IF($A33="","",'Equipe'!$E$6)</f>
        <v/>
      </c>
      <c r="C33" s="26">
        <f>IF($A33="","",'Equipe'!$F$6)</f>
        <v/>
      </c>
      <c r="D33" s="19">
        <f>IF($A33="","",IFERROR(INDEX($A$10:$A$25,MATCH($A33,$D$10:$D$25,0)),IFERROR(INDEX($A$10:$A$25,MATCH($A33,$E$10:$E$25,0)),"—")))</f>
        <v/>
      </c>
      <c r="E33" s="20">
        <f>IF($A33="","",'Equipe'!$AB$6)</f>
        <v/>
      </c>
    </row>
    <row r="34">
      <c r="A34" s="14">
        <f>IF('Equipe'!$B$7="","",'Equipe'!$B$7)</f>
        <v/>
      </c>
      <c r="B34" s="19">
        <f>IF($A34="","",'Equipe'!$E$7)</f>
        <v/>
      </c>
      <c r="C34" s="26">
        <f>IF($A34="","",'Equipe'!$F$7)</f>
        <v/>
      </c>
      <c r="D34" s="19">
        <f>IF($A34="","",IFERROR(INDEX($A$10:$A$25,MATCH($A34,$D$10:$D$25,0)),IFERROR(INDEX($A$10:$A$25,MATCH($A34,$E$10:$E$25,0)),"—")))</f>
        <v/>
      </c>
      <c r="E34" s="20">
        <f>IF($A34="","",'Equipe'!$AB$7)</f>
        <v/>
      </c>
    </row>
    <row r="35">
      <c r="A35" s="14">
        <f>IF('Equipe'!$B$8="","",'Equipe'!$B$8)</f>
        <v/>
      </c>
      <c r="B35" s="19">
        <f>IF($A35="","",'Equipe'!$E$8)</f>
        <v/>
      </c>
      <c r="C35" s="26">
        <f>IF($A35="","",'Equipe'!$F$8)</f>
        <v/>
      </c>
      <c r="D35" s="19">
        <f>IF($A35="","",IFERROR(INDEX($A$10:$A$25,MATCH($A35,$D$10:$D$25,0)),IFERROR(INDEX($A$10:$A$25,MATCH($A35,$E$10:$E$25,0)),"—")))</f>
        <v/>
      </c>
      <c r="E35" s="20">
        <f>IF($A35="","",'Equipe'!$AB$8)</f>
        <v/>
      </c>
    </row>
    <row r="36">
      <c r="A36" s="14">
        <f>IF('Equipe'!$B$9="","",'Equipe'!$B$9)</f>
        <v/>
      </c>
      <c r="B36" s="19">
        <f>IF($A36="","",'Equipe'!$E$9)</f>
        <v/>
      </c>
      <c r="C36" s="26">
        <f>IF($A36="","",'Equipe'!$F$9)</f>
        <v/>
      </c>
      <c r="D36" s="19">
        <f>IF($A36="","",IFERROR(INDEX($A$10:$A$25,MATCH($A36,$D$10:$D$25,0)),IFERROR(INDEX($A$10:$A$25,MATCH($A36,$E$10:$E$25,0)),"—")))</f>
        <v/>
      </c>
      <c r="E36" s="20">
        <f>IF($A36="","",'Equipe'!$AB$9)</f>
        <v/>
      </c>
    </row>
    <row r="37">
      <c r="A37" s="14">
        <f>IF('Equipe'!$B$10="","",'Equipe'!$B$10)</f>
        <v/>
      </c>
      <c r="B37" s="19">
        <f>IF($A37="","",'Equipe'!$E$10)</f>
        <v/>
      </c>
      <c r="C37" s="26">
        <f>IF($A37="","",'Equipe'!$F$10)</f>
        <v/>
      </c>
      <c r="D37" s="19">
        <f>IF($A37="","",IFERROR(INDEX($A$10:$A$25,MATCH($A37,$D$10:$D$25,0)),IFERROR(INDEX($A$10:$A$25,MATCH($A37,$E$10:$E$25,0)),"—")))</f>
        <v/>
      </c>
      <c r="E37" s="20">
        <f>IF($A37="","",'Equipe'!$AB$10)</f>
        <v/>
      </c>
    </row>
    <row r="38">
      <c r="A38" s="14">
        <f>IF('Equipe'!$B$11="","",'Equipe'!$B$11)</f>
        <v/>
      </c>
      <c r="B38" s="19">
        <f>IF($A38="","",'Equipe'!$E$11)</f>
        <v/>
      </c>
      <c r="C38" s="26">
        <f>IF($A38="","",'Equipe'!$F$11)</f>
        <v/>
      </c>
      <c r="D38" s="19">
        <f>IF($A38="","",IFERROR(INDEX($A$10:$A$25,MATCH($A38,$D$10:$D$25,0)),IFERROR(INDEX($A$10:$A$25,MATCH($A38,$E$10:$E$25,0)),"—")))</f>
        <v/>
      </c>
      <c r="E38" s="20">
        <f>IF($A38="","",'Equipe'!$AB$11)</f>
        <v/>
      </c>
    </row>
    <row r="39">
      <c r="A39" s="14">
        <f>IF('Equipe'!$B$12="","",'Equipe'!$B$12)</f>
        <v/>
      </c>
      <c r="B39" s="19">
        <f>IF($A39="","",'Equipe'!$E$12)</f>
        <v/>
      </c>
      <c r="C39" s="26">
        <f>IF($A39="","",'Equipe'!$F$12)</f>
        <v/>
      </c>
      <c r="D39" s="19">
        <f>IF($A39="","",IFERROR(INDEX($A$10:$A$25,MATCH($A39,$D$10:$D$25,0)),IFERROR(INDEX($A$10:$A$25,MATCH($A39,$E$10:$E$25,0)),"—")))</f>
        <v/>
      </c>
      <c r="E39" s="20">
        <f>IF($A39="","",'Equipe'!$AB$12)</f>
        <v/>
      </c>
    </row>
    <row r="40">
      <c r="A40" s="14">
        <f>IF('Equipe'!$B$13="","",'Equipe'!$B$13)</f>
        <v/>
      </c>
      <c r="B40" s="19">
        <f>IF($A40="","",'Equipe'!$E$13)</f>
        <v/>
      </c>
      <c r="C40" s="26">
        <f>IF($A40="","",'Equipe'!$F$13)</f>
        <v/>
      </c>
      <c r="D40" s="19">
        <f>IF($A40="","",IFERROR(INDEX($A$10:$A$25,MATCH($A40,$D$10:$D$25,0)),IFERROR(INDEX($A$10:$A$25,MATCH($A40,$E$10:$E$25,0)),"—")))</f>
        <v/>
      </c>
      <c r="E40" s="20">
        <f>IF($A40="","",'Equipe'!$AB$13)</f>
        <v/>
      </c>
    </row>
    <row r="41">
      <c r="A41" s="14">
        <f>IF('Equipe'!$B$14="","",'Equipe'!$B$14)</f>
        <v/>
      </c>
      <c r="B41" s="19">
        <f>IF($A41="","",'Equipe'!$E$14)</f>
        <v/>
      </c>
      <c r="C41" s="26">
        <f>IF($A41="","",'Equipe'!$F$14)</f>
        <v/>
      </c>
      <c r="D41" s="19">
        <f>IF($A41="","",IFERROR(INDEX($A$10:$A$25,MATCH($A41,$D$10:$D$25,0)),IFERROR(INDEX($A$10:$A$25,MATCH($A41,$E$10:$E$25,0)),"—")))</f>
        <v/>
      </c>
      <c r="E41" s="20">
        <f>IF($A41="","",'Equipe'!$AB$14)</f>
        <v/>
      </c>
    </row>
    <row r="42">
      <c r="A42" s="14">
        <f>IF('Equipe'!$B$15="","",'Equipe'!$B$15)</f>
        <v/>
      </c>
      <c r="B42" s="19">
        <f>IF($A42="","",'Equipe'!$E$15)</f>
        <v/>
      </c>
      <c r="C42" s="26">
        <f>IF($A42="","",'Equipe'!$F$15)</f>
        <v/>
      </c>
      <c r="D42" s="19">
        <f>IF($A42="","",IFERROR(INDEX($A$10:$A$25,MATCH($A42,$D$10:$D$25,0)),IFERROR(INDEX($A$10:$A$25,MATCH($A42,$E$10:$E$25,0)),"—")))</f>
        <v/>
      </c>
      <c r="E42" s="20">
        <f>IF($A42="","",'Equipe'!$AB$15)</f>
        <v/>
      </c>
    </row>
    <row r="43">
      <c r="A43" s="14">
        <f>IF('Equipe'!$B$16="","",'Equipe'!$B$16)</f>
        <v/>
      </c>
      <c r="B43" s="19">
        <f>IF($A43="","",'Equipe'!$E$16)</f>
        <v/>
      </c>
      <c r="C43" s="26">
        <f>IF($A43="","",'Equipe'!$F$16)</f>
        <v/>
      </c>
      <c r="D43" s="19">
        <f>IF($A43="","",IFERROR(INDEX($A$10:$A$25,MATCH($A43,$D$10:$D$25,0)),IFERROR(INDEX($A$10:$A$25,MATCH($A43,$E$10:$E$25,0)),"—")))</f>
        <v/>
      </c>
      <c r="E43" s="20">
        <f>IF($A43="","",'Equipe'!$AB$16)</f>
        <v/>
      </c>
    </row>
    <row r="44">
      <c r="A44" s="14">
        <f>IF('Equipe'!$B$17="","",'Equipe'!$B$17)</f>
        <v/>
      </c>
      <c r="B44" s="19">
        <f>IF($A44="","",'Equipe'!$E$17)</f>
        <v/>
      </c>
      <c r="C44" s="26">
        <f>IF($A44="","",'Equipe'!$F$17)</f>
        <v/>
      </c>
      <c r="D44" s="19">
        <f>IF($A44="","",IFERROR(INDEX($A$10:$A$25,MATCH($A44,$D$10:$D$25,0)),IFERROR(INDEX($A$10:$A$25,MATCH($A44,$E$10:$E$25,0)),"—")))</f>
        <v/>
      </c>
      <c r="E44" s="20">
        <f>IF($A44="","",'Equipe'!$AB$17)</f>
        <v/>
      </c>
    </row>
    <row r="45">
      <c r="A45" s="14">
        <f>IF('Equipe'!$B$18="","",'Equipe'!$B$18)</f>
        <v/>
      </c>
      <c r="B45" s="19">
        <f>IF($A45="","",'Equipe'!$E$18)</f>
        <v/>
      </c>
      <c r="C45" s="26">
        <f>IF($A45="","",'Equipe'!$F$18)</f>
        <v/>
      </c>
      <c r="D45" s="19">
        <f>IF($A45="","",IFERROR(INDEX($A$10:$A$25,MATCH($A45,$D$10:$D$25,0)),IFERROR(INDEX($A$10:$A$25,MATCH($A45,$E$10:$E$25,0)),"—")))</f>
        <v/>
      </c>
      <c r="E45" s="20">
        <f>IF($A45="","",'Equipe'!$AB$18)</f>
        <v/>
      </c>
    </row>
    <row r="46">
      <c r="A46" s="14">
        <f>IF('Equipe'!$B$19="","",'Equipe'!$B$19)</f>
        <v/>
      </c>
      <c r="B46" s="19">
        <f>IF($A46="","",'Equipe'!$E$19)</f>
        <v/>
      </c>
      <c r="C46" s="26">
        <f>IF($A46="","",'Equipe'!$F$19)</f>
        <v/>
      </c>
      <c r="D46" s="19">
        <f>IF($A46="","",IFERROR(INDEX($A$10:$A$25,MATCH($A46,$D$10:$D$25,0)),IFERROR(INDEX($A$10:$A$25,MATCH($A46,$E$10:$E$25,0)),"—")))</f>
        <v/>
      </c>
      <c r="E46" s="20">
        <f>IF($A46="","",'Equipe'!$AB$19)</f>
        <v/>
      </c>
    </row>
    <row r="47">
      <c r="A47" s="14">
        <f>IF('Equipe'!$B$20="","",'Equipe'!$B$20)</f>
        <v/>
      </c>
      <c r="B47" s="19">
        <f>IF($A47="","",'Equipe'!$E$20)</f>
        <v/>
      </c>
      <c r="C47" s="26">
        <f>IF($A47="","",'Equipe'!$F$20)</f>
        <v/>
      </c>
      <c r="D47" s="19">
        <f>IF($A47="","",IFERROR(INDEX($A$10:$A$25,MATCH($A47,$D$10:$D$25,0)),IFERROR(INDEX($A$10:$A$25,MATCH($A47,$E$10:$E$25,0)),"—")))</f>
        <v/>
      </c>
      <c r="E47" s="20">
        <f>IF($A47="","",'Equipe'!$AB$20)</f>
        <v/>
      </c>
    </row>
    <row r="48">
      <c r="A48" s="14">
        <f>IF('Equipe'!$B$21="","",'Equipe'!$B$21)</f>
        <v/>
      </c>
      <c r="B48" s="19">
        <f>IF($A48="","",'Equipe'!$E$21)</f>
        <v/>
      </c>
      <c r="C48" s="26">
        <f>IF($A48="","",'Equipe'!$F$21)</f>
        <v/>
      </c>
      <c r="D48" s="19">
        <f>IF($A48="","",IFERROR(INDEX($A$10:$A$25,MATCH($A48,$D$10:$D$25,0)),IFERROR(INDEX($A$10:$A$25,MATCH($A48,$E$10:$E$25,0)),"—")))</f>
        <v/>
      </c>
      <c r="E48" s="20">
        <f>IF($A48="","",'Equipe'!$AB$21)</f>
        <v/>
      </c>
    </row>
    <row r="49">
      <c r="A49" s="14">
        <f>IF('Equipe'!$B$22="","",'Equipe'!$B$22)</f>
        <v/>
      </c>
      <c r="B49" s="19">
        <f>IF($A49="","",'Equipe'!$E$22)</f>
        <v/>
      </c>
      <c r="C49" s="26">
        <f>IF($A49="","",'Equipe'!$F$22)</f>
        <v/>
      </c>
      <c r="D49" s="19">
        <f>IF($A49="","",IFERROR(INDEX($A$10:$A$25,MATCH($A49,$D$10:$D$25,0)),IFERROR(INDEX($A$10:$A$25,MATCH($A49,$E$10:$E$25,0)),"—")))</f>
        <v/>
      </c>
      <c r="E49" s="20">
        <f>IF($A49="","",'Equipe'!$AB$22)</f>
        <v/>
      </c>
    </row>
    <row r="50">
      <c r="A50" s="14">
        <f>IF('Equipe'!$B$23="","",'Equipe'!$B$23)</f>
        <v/>
      </c>
      <c r="B50" s="19">
        <f>IF($A50="","",'Equipe'!$E$23)</f>
        <v/>
      </c>
      <c r="C50" s="26">
        <f>IF($A50="","",'Equipe'!$F$23)</f>
        <v/>
      </c>
      <c r="D50" s="19">
        <f>IF($A50="","",IFERROR(INDEX($A$10:$A$25,MATCH($A50,$D$10:$D$25,0)),IFERROR(INDEX($A$10:$A$25,MATCH($A50,$E$10:$E$25,0)),"—")))</f>
        <v/>
      </c>
      <c r="E50" s="20">
        <f>IF($A50="","",'Equipe'!$AB$23)</f>
        <v/>
      </c>
    </row>
    <row r="51">
      <c r="A51" s="14">
        <f>IF('Equipe'!$B$24="","",'Equipe'!$B$24)</f>
        <v/>
      </c>
      <c r="B51" s="19">
        <f>IF($A51="","",'Equipe'!$E$24)</f>
        <v/>
      </c>
      <c r="C51" s="26">
        <f>IF($A51="","",'Equipe'!$F$24)</f>
        <v/>
      </c>
      <c r="D51" s="19">
        <f>IF($A51="","",IFERROR(INDEX($A$10:$A$25,MATCH($A51,$D$10:$D$25,0)),IFERROR(INDEX($A$10:$A$25,MATCH($A51,$E$10:$E$25,0)),"—")))</f>
        <v/>
      </c>
      <c r="E51" s="20">
        <f>IF($A51="","",'Equipe'!$AB$24)</f>
        <v/>
      </c>
    </row>
    <row r="52">
      <c r="A52" s="14">
        <f>IF('Equipe'!$B$25="","",'Equipe'!$B$25)</f>
        <v/>
      </c>
      <c r="B52" s="19">
        <f>IF($A52="","",'Equipe'!$E$25)</f>
        <v/>
      </c>
      <c r="C52" s="26">
        <f>IF($A52="","",'Equipe'!$F$25)</f>
        <v/>
      </c>
      <c r="D52" s="19">
        <f>IF($A52="","",IFERROR(INDEX($A$10:$A$25,MATCH($A52,$D$10:$D$25,0)),IFERROR(INDEX($A$10:$A$25,MATCH($A52,$E$10:$E$25,0)),"—")))</f>
        <v/>
      </c>
      <c r="E52" s="20">
        <f>IF($A52="","",'Equipe'!$AB$25)</f>
        <v/>
      </c>
    </row>
    <row r="53">
      <c r="A53" s="14">
        <f>IF('Equipe'!$B$26="","",'Equipe'!$B$26)</f>
        <v/>
      </c>
      <c r="B53" s="19">
        <f>IF($A53="","",'Equipe'!$E$26)</f>
        <v/>
      </c>
      <c r="C53" s="26">
        <f>IF($A53="","",'Equipe'!$F$26)</f>
        <v/>
      </c>
      <c r="D53" s="19">
        <f>IF($A53="","",IFERROR(INDEX($A$10:$A$25,MATCH($A53,$D$10:$D$25,0)),IFERROR(INDEX($A$10:$A$25,MATCH($A53,$E$10:$E$25,0)),"—")))</f>
        <v/>
      </c>
      <c r="E53" s="20">
        <f>IF($A53="","",'Equipe'!$AB$26)</f>
        <v/>
      </c>
    </row>
    <row r="54">
      <c r="A54" s="14">
        <f>IF('Equipe'!$B$27="","",'Equipe'!$B$27)</f>
        <v/>
      </c>
      <c r="B54" s="19">
        <f>IF($A54="","",'Equipe'!$E$27)</f>
        <v/>
      </c>
      <c r="C54" s="26">
        <f>IF($A54="","",'Equipe'!$F$27)</f>
        <v/>
      </c>
      <c r="D54" s="19">
        <f>IF($A54="","",IFERROR(INDEX($A$10:$A$25,MATCH($A54,$D$10:$D$25,0)),IFERROR(INDEX($A$10:$A$25,MATCH($A54,$E$10:$E$25,0)),"—")))</f>
        <v/>
      </c>
      <c r="E54" s="20">
        <f>IF($A54="","",'Equipe'!$AB$27)</f>
        <v/>
      </c>
    </row>
    <row r="55">
      <c r="A55" s="14">
        <f>IF('Equipe'!$B$28="","",'Equipe'!$B$28)</f>
        <v/>
      </c>
      <c r="B55" s="19">
        <f>IF($A55="","",'Equipe'!$E$28)</f>
        <v/>
      </c>
      <c r="C55" s="26">
        <f>IF($A55="","",'Equipe'!$F$28)</f>
        <v/>
      </c>
      <c r="D55" s="19">
        <f>IF($A55="","",IFERROR(INDEX($A$10:$A$25,MATCH($A55,$D$10:$D$25,0)),IFERROR(INDEX($A$10:$A$25,MATCH($A55,$E$10:$E$25,0)),"—")))</f>
        <v/>
      </c>
      <c r="E55" s="20">
        <f>IF($A55="","",'Equipe'!$AB$28)</f>
        <v/>
      </c>
    </row>
    <row r="56">
      <c r="A56" s="14">
        <f>IF('Equipe'!$B$29="","",'Equipe'!$B$29)</f>
        <v/>
      </c>
      <c r="B56" s="19">
        <f>IF($A56="","",'Equipe'!$E$29)</f>
        <v/>
      </c>
      <c r="C56" s="26">
        <f>IF($A56="","",'Equipe'!$F$29)</f>
        <v/>
      </c>
      <c r="D56" s="19">
        <f>IF($A56="","",IFERROR(INDEX($A$10:$A$25,MATCH($A56,$D$10:$D$25,0)),IFERROR(INDEX($A$10:$A$25,MATCH($A56,$E$10:$E$25,0)),"—")))</f>
        <v/>
      </c>
      <c r="E56" s="20">
        <f>IF($A56="","",'Equipe'!$AB$29)</f>
        <v/>
      </c>
    </row>
    <row r="57">
      <c r="A57" s="14">
        <f>IF('Equipe'!$B$30="","",'Equipe'!$B$30)</f>
        <v/>
      </c>
      <c r="B57" s="19">
        <f>IF($A57="","",'Equipe'!$E$30)</f>
        <v/>
      </c>
      <c r="C57" s="26">
        <f>IF($A57="","",'Equipe'!$F$30)</f>
        <v/>
      </c>
      <c r="D57" s="19">
        <f>IF($A57="","",IFERROR(INDEX($A$10:$A$25,MATCH($A57,$D$10:$D$25,0)),IFERROR(INDEX($A$10:$A$25,MATCH($A57,$E$10:$E$25,0)),"—")))</f>
        <v/>
      </c>
      <c r="E57" s="20">
        <f>IF($A57="","",'Equipe'!$AB$30)</f>
        <v/>
      </c>
    </row>
    <row r="58">
      <c r="A58" s="14">
        <f>IF('Equipe'!$B$31="","",'Equipe'!$B$31)</f>
        <v/>
      </c>
      <c r="B58" s="19">
        <f>IF($A58="","",'Equipe'!$E$31)</f>
        <v/>
      </c>
      <c r="C58" s="26">
        <f>IF($A58="","",'Equipe'!$F$31)</f>
        <v/>
      </c>
      <c r="D58" s="19">
        <f>IF($A58="","",IFERROR(INDEX($A$10:$A$25,MATCH($A58,$D$10:$D$25,0)),IFERROR(INDEX($A$10:$A$25,MATCH($A58,$E$10:$E$25,0)),"—")))</f>
        <v/>
      </c>
      <c r="E58" s="20">
        <f>IF($A58="","",'Equipe'!$AB$31)</f>
        <v/>
      </c>
    </row>
    <row r="59">
      <c r="A59" s="9" t="inlineStr">
        <is>
          <t>4. VERIFICAÇÕES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 ht="20" customHeight="1">
      <c r="A60" s="7" t="inlineStr">
        <is>
          <t>Verificação</t>
        </is>
      </c>
      <c r="B60" s="7" t="inlineStr">
        <is>
          <t>Resultado</t>
        </is>
      </c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</row>
    <row r="61">
      <c r="A61" s="14" t="inlineStr">
        <is>
          <t>Habilidades marcadas na aba Equipe</t>
        </is>
      </c>
      <c r="B61" s="27">
        <f>IF(COUNTIF(Equipe_X,"X")=0,"PENDENTE: marque o X de cada técnico na aba Equipe","OK")</f>
        <v/>
      </c>
    </row>
    <row r="62">
      <c r="A62" s="14" t="inlineStr">
        <is>
          <t>Postos sem equipe</t>
        </is>
      </c>
      <c r="B62" s="27">
        <f>COUNTIF($F$10:$F$25,"SEM EQUIPE")</f>
        <v/>
      </c>
    </row>
    <row r="63">
      <c r="A63" s="14" t="inlineStr">
        <is>
          <t>Postos com equipe incompleta</t>
        </is>
      </c>
      <c r="B63" s="27">
        <f>COUNTIF($F$10:$F$25,"INCOMPLETO")</f>
        <v/>
      </c>
    </row>
    <row r="64">
      <c r="A64" s="14" t="inlineStr">
        <is>
          <t>Postos com especialidade sem ninguém que faça</t>
        </is>
      </c>
      <c r="B64" s="27">
        <f>COUNTIF($F$10:$F$25,"FALTA HABILIDADE")</f>
        <v/>
      </c>
    </row>
    <row r="65">
      <c r="A65" s="14" t="inlineStr">
        <is>
          <t>Ambientes com técnico a mais</t>
        </is>
      </c>
      <c r="B65" s="27">
        <f>COUNTIF($F$10:$F$25,"GENTE DEMAIS")</f>
        <v/>
      </c>
    </row>
    <row r="66">
      <c r="A66" s="14" t="inlineStr">
        <is>
          <t>Duplas que não podiam trabalhar juntas</t>
        </is>
      </c>
      <c r="B66" s="27">
        <f>COUNTIF($F$10:$F$25,"DUPLA VETADA")</f>
        <v/>
      </c>
    </row>
    <row r="67">
      <c r="A67" s="14" t="inlineStr">
        <is>
          <t>Técnicos sem afinidade com ninguém</t>
        </is>
      </c>
      <c r="B67" s="27">
        <f>SUMPRODUCT((Equipe_Nome&lt;&gt;"")*(Equipe_AfinN=0))</f>
        <v/>
      </c>
    </row>
    <row r="68">
      <c r="A68" s="14" t="inlineStr">
        <is>
          <t>Ambientes com alguém de folga/férias escalado</t>
        </is>
      </c>
      <c r="B68" s="27">
        <f>COUNTIF($F$10:$F$25,"INDISPONÍVEL")</f>
        <v/>
      </c>
    </row>
    <row r="69">
      <c r="A69" s="14" t="inlineStr">
        <is>
          <t>Técnicos escalados em mais de um posto</t>
        </is>
      </c>
      <c r="B69" s="27">
        <f>SUMPRODUCT((Pai_Tec1&lt;&gt;"")*(COUNTIF(Pai_Tec1,Pai_Tec1)+COUNTIF(Pai_Tec2,Pai_Tec1)&gt;1))</f>
        <v/>
      </c>
    </row>
    <row r="70">
      <c r="A70" s="14" t="inlineStr">
        <is>
          <t>Cirurgias com alerta no mapa</t>
        </is>
      </c>
      <c r="B70" s="27">
        <f>SUMPRODUCT((Mapa_Alerta&lt;&gt;"OK")*(Mapa_Alerta&lt;&gt;""))</f>
        <v/>
      </c>
    </row>
    <row r="71">
      <c r="A71" s="14" t="inlineStr">
        <is>
          <t>Ausências com técnico fora do cadastro</t>
        </is>
      </c>
      <c r="B71" s="27">
        <f>SUMPRODUCT((Aus_Tec&lt;&gt;"")*(COUNTIF(Equipe_Nome,Aus_Tec)=0))</f>
        <v/>
      </c>
    </row>
    <row r="72">
      <c r="A72" s="14" t="inlineStr">
        <is>
          <t>Ausências com data fim anterior ao início</t>
        </is>
      </c>
      <c r="B72" s="27">
        <f>SUMPRODUCT((Aus_Tec&lt;&gt;"")*(Aus_Fim&lt;Aus_Ini))</f>
        <v/>
      </c>
    </row>
    <row r="73">
      <c r="A73" s="14" t="inlineStr">
        <is>
          <t>Nomes repetidos no cadastro da equipe</t>
        </is>
      </c>
      <c r="B73" s="27">
        <f>IF(SUMPRODUCT((Equipe_Nome&lt;&gt;"")*1)-SUMPRODUCT((Equipe_Nome&lt;&gt;"")/COUNTIF(Equipe_Nome,Equipe_Nome&amp;""))&gt;0.0001,"ERRO: há nomes repetidos","OK")</f>
        <v/>
      </c>
    </row>
    <row r="74">
      <c r="A74" s="14" t="inlineStr">
        <is>
          <t>Postos / especialidades / técnicos no quadro</t>
        </is>
      </c>
      <c r="B74" s="27">
        <f>COUNTA(Postos_Cod)&amp;" / "&amp;COUNTA(Esp_Nome)&amp;" / "&amp;COUNTA(Equipe_Nome)</f>
        <v/>
      </c>
    </row>
    <row r="76">
      <c r="A76" s="9" t="inlineStr">
        <is>
          <t>COMO USAR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 ht="40" customHeight="1">
      <c r="A77" s="28" t="inlineStr">
        <is>
          <t>O mapa já vem pronto</t>
        </is>
      </c>
      <c r="B77" s="29" t="inlineStr">
        <is>
          <t>A importação da agenda distribui os técnicos pelos ambientes: quem está disponível no dia, respeitando o X de habilidade e a prioridade de cada posto. A dupla fica o turno inteiro no mesmo lugar.</t>
        </is>
      </c>
    </row>
    <row r="78" ht="40" customHeight="1">
      <c r="A78" s="28" t="inlineStr">
        <is>
          <t>Para trocar alguém</t>
        </is>
      </c>
      <c r="B78" s="29" t="inlineStr">
        <is>
          <t>Escolha outro nome nas células azuis (TÉCNICO 1 / TÉCNICO 2). A coluna Situação e a coluna Alertas reagem na hora; a última coluna mostra quem está livre e cobre mais aquele ambiente.</t>
        </is>
      </c>
    </row>
    <row r="79" ht="40" customHeight="1">
      <c r="A79" s="28" t="inlineStr">
        <is>
          <t>Nem todo lugar é dupla</t>
        </is>
      </c>
      <c r="B79" s="29" t="inlineStr">
        <is>
          <t>A coluna Técnicos diz quantos o ambiente pede hoje. Onde é uma pessoa só — box de preparo, sala de recém-nascido — a coluna TÉCNICO 2 aparece cinza e fica vazia; se alguém for posto ali, a Situação avisa GENTE DEMAIS.</t>
        </is>
      </c>
    </row>
    <row r="80" ht="40" customHeight="1">
      <c r="A80" s="28" t="inlineStr">
        <is>
          <t>Jogo de sala</t>
        </is>
      </c>
      <c r="B80" s="29" t="inlineStr">
        <is>
          <t>Sala vaga mostra o maior intervalo livre da sala, com horário, e Minutos livres diz o tamanho dele. Como a agenda do hospital já reserva a limpeza dentro do horário de cada cirurgia, o intervalo inteiro é aproveitável para um encaixe.</t>
        </is>
      </c>
    </row>
    <row r="81" ht="40" customHeight="1">
      <c r="A81" s="28" t="inlineStr">
        <is>
          <t>Trocar a data</t>
        </is>
      </c>
      <c r="B81" s="29" t="inlineStr">
        <is>
          <t>Troque a DATA aqui em cima: ausentes, vagas necessárias e agenda do dia se ajustam sozinhos. A distribuição dos técnicos, não — para redistribuir, importe a agenda de novo.</t>
        </is>
      </c>
    </row>
    <row r="82" ht="26" customHeight="1">
      <c r="A82" s="28" t="inlineStr">
        <is>
          <t>Habilidade</t>
        </is>
      </c>
      <c r="B82" s="29" t="inlineStr">
        <is>
          <t>Na aba Equipe, marque X na especialidade que a técnica faz. Sem X marcado, a Situação fica SEM AVALIAÇÃO.</t>
        </is>
      </c>
    </row>
    <row r="83" ht="40" customHeight="1">
      <c r="A83" s="28" t="inlineStr">
        <is>
          <t>Folgas e férias</t>
        </is>
      </c>
      <c r="B83" s="29" t="inlineStr">
        <is>
          <t>Vão para a aba Folgas e Férias, uma linha por período. O calendário ao lado mostra o período inteiro e quantos faltam em cada dia. Mudou a escala de folgas? Lance as linhas e importe a agenda de novo — enquanto não redistribuir, quem ficou de folga e continuou escalado aparece em INDISPONÍVEL, com o nome.</t>
        </is>
      </c>
    </row>
    <row r="84" ht="40" customHeight="1">
      <c r="A84" s="28" t="inlineStr">
        <is>
          <t>Quem pode com quem</t>
        </is>
      </c>
      <c r="B84" s="29" t="inlineStr">
        <is>
          <t>Na aba Equipe, à direita do X de habilidade, há uma matriz com os nomes na vertical e na horizontal: X quer dizer que as duas podem trabalhar juntas. Já vem toda marcada — apague o X da dupla que não pode (de um lado só basta). A distribuição nunca junta essas duas, e se você formar a dupla à mão o ambiente fica em DUPLA VETADA.</t>
        </is>
      </c>
    </row>
    <row r="85" ht="40" customHeight="1">
      <c r="A85" s="28" t="inlineStr">
        <is>
          <t>Situação</t>
        </is>
      </c>
      <c r="B85" s="29" t="inlineStr">
        <is>
          <t>OK = os dois cobrem tudo · ATENÇÃO = alguma especialidade coberta por um só · FALTA HABILIDADE = alguma especialidade sem ninguém · INCOMPLETO = falta técnico · DUPLA VETADA = os dois não podem trabalhar juntos · INDISPONÍVEL = alguém ali está de folga, férias ou atestado · SEM EQUIPE = ninguém escalado · NÃO OPERA = ambiente fechado nesse dia.</t>
        </is>
      </c>
    </row>
  </sheetData>
  <mergeCells count="9">
    <mergeCell ref="B78:M78"/>
    <mergeCell ref="B81:M81"/>
    <mergeCell ref="B80:M80"/>
    <mergeCell ref="B85:M85"/>
    <mergeCell ref="B84:M84"/>
    <mergeCell ref="B79:M79"/>
    <mergeCell ref="B82:M82"/>
    <mergeCell ref="B83:M83"/>
    <mergeCell ref="B77:M77"/>
  </mergeCells>
  <conditionalFormatting sqref="F10:F25">
    <cfRule type="cellIs" priority="1" operator="equal" dxfId="14">
      <formula>"OK"</formula>
    </cfRule>
    <cfRule type="cellIs" priority="2" operator="equal" dxfId="10">
      <formula>"ATENÇÃO"</formula>
    </cfRule>
    <cfRule type="cellIs" priority="3" operator="equal" dxfId="9">
      <formula>"FALTA HABILIDADE"</formula>
    </cfRule>
    <cfRule type="cellIs" priority="4" operator="equal" dxfId="9">
      <formula>"SEM EQUIPE"</formula>
    </cfRule>
    <cfRule type="cellIs" priority="5" operator="equal" dxfId="10">
      <formula>"INCOMPLETO"</formula>
    </cfRule>
    <cfRule type="cellIs" priority="6" operator="equal" dxfId="10">
      <formula>"EXTRA"</formula>
    </cfRule>
    <cfRule type="cellIs" priority="7" operator="equal" dxfId="9">
      <formula>"GENTE DEMAIS"</formula>
    </cfRule>
    <cfRule type="cellIs" priority="8" operator="equal" dxfId="9">
      <formula>"DUPLA VETADA"</formula>
    </cfRule>
    <cfRule type="cellIs" priority="9" operator="equal" dxfId="9">
      <formula>"INDISPONÍVEL"</formula>
    </cfRule>
    <cfRule type="cellIs" priority="10" operator="equal" dxfId="10">
      <formula>"SEM AVALIAÇÃO"</formula>
    </cfRule>
    <cfRule type="cellIs" priority="11" operator="equal" dxfId="15">
      <formula>"NÃO OPERA"</formula>
    </cfRule>
  </conditionalFormatting>
  <conditionalFormatting sqref="A10:B25">
    <cfRule type="expression" priority="12" dxfId="16">
      <formula>$F10="OK"</formula>
    </cfRule>
    <cfRule type="expression" priority="13" dxfId="17">
      <formula>OR($F10="ATENÇÃO",$F10="SEM AVALIAÇÃO",$F10="INCOMPLETO")</formula>
    </cfRule>
    <cfRule type="expression" priority="14" dxfId="18">
      <formula>OR($F10="SEM EQUIPE",$F10="FALTA HABILIDADE",$F10="GENTE DEMAIS",$F10="EXTRA",$F10="DUPLA VETADA",$F10="INDISPONÍVEL")</formula>
    </cfRule>
    <cfRule type="expression" priority="15" dxfId="19">
      <formula>$F10="NÃO OPERA"</formula>
    </cfRule>
  </conditionalFormatting>
  <conditionalFormatting sqref="G10:G25">
    <cfRule type="expression" priority="16" dxfId="9">
      <formula>AND($G10&lt;&gt;"",$G10&lt;&gt;"OK")</formula>
    </cfRule>
  </conditionalFormatting>
  <conditionalFormatting sqref="I10:I25">
    <cfRule type="expression" priority="17" dxfId="9">
      <formula>AND($I10&lt;&gt;"",$I10&gt;1)</formula>
    </cfRule>
  </conditionalFormatting>
  <conditionalFormatting sqref="J10:J25">
    <cfRule type="expression" priority="18" dxfId="14">
      <formula>AND($J10&lt;&gt;"",$J10&lt;&gt;"—")</formula>
    </cfRule>
  </conditionalFormatting>
  <conditionalFormatting sqref="E10:E25">
    <cfRule type="expression" priority="19" dxfId="15">
      <formula>AND($A10&lt;&gt;"",$B10&lt;2)</formula>
    </cfRule>
  </conditionalFormatting>
  <conditionalFormatting sqref="G6">
    <cfRule type="expression" priority="20" dxfId="9">
      <formula>$G$6&gt;0</formula>
    </cfRule>
  </conditionalFormatting>
  <conditionalFormatting sqref="I6">
    <cfRule type="expression" priority="21" dxfId="10">
      <formula>$I$6&gt;0</formula>
    </cfRule>
  </conditionalFormatting>
  <conditionalFormatting sqref="L10:L25">
    <cfRule type="expression" priority="22" dxfId="10">
      <formula>AND($L10&lt;&gt;"",$L10&gt;0)</formula>
    </cfRule>
  </conditionalFormatting>
  <conditionalFormatting sqref="H6">
    <cfRule type="expression" priority="23" dxfId="9">
      <formula>$H$6&gt;0</formula>
    </cfRule>
  </conditionalFormatting>
  <conditionalFormatting sqref="E6">
    <cfRule type="expression" priority="24" dxfId="14">
      <formula>$E$6&gt;=$F$6</formula>
    </cfRule>
  </conditionalFormatting>
  <conditionalFormatting sqref="B29:B58">
    <cfRule type="cellIs" priority="25" operator="equal" dxfId="14">
      <formula>"Disponível"</formula>
    </cfRule>
    <cfRule type="expression" priority="26" dxfId="10">
      <formula>AND($B29&lt;&gt;"",$B29&lt;&gt;"Disponível")</formula>
    </cfRule>
  </conditionalFormatting>
  <conditionalFormatting sqref="D29:D58">
    <cfRule type="cellIs" priority="27" operator="equal" dxfId="20">
      <formula>"—"</formula>
    </cfRule>
  </conditionalFormatting>
  <conditionalFormatting sqref="B61:B74">
    <cfRule type="expression" priority="28" dxfId="9">
      <formula>OR(LEFT($B61,4)="ERRO",LEFT($B61,8)="PENDENTE")</formula>
    </cfRule>
    <cfRule type="cellIs" priority="29" operator="equal" dxfId="14">
      <formula>"OK"</formula>
    </cfRule>
  </conditionalFormatting>
  <dataValidations count="1">
    <dataValidation sqref="D10:D25 E10:E25" showDropDown="0" showInputMessage="0" showErrorMessage="1" allowBlank="1" errorTitle="Técnico não cadastrado" error="Escolha um técnico da aba Equipe." type="list">
      <formula1>=Lista_Tecnicos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2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1" customWidth="1" min="4" max="4"/>
    <col width="26" customWidth="1" min="5" max="5"/>
    <col width="34" customWidth="1" min="6" max="6"/>
    <col width="15" customWidth="1" min="7" max="7"/>
    <col width="12" customWidth="1" min="8" max="8"/>
    <col width="12" customWidth="1" min="9" max="9"/>
    <col width="13" customWidth="1" min="10" max="10"/>
    <col width="11" customWidth="1" min="11" max="11"/>
    <col width="13" customWidth="1" min="12" max="12"/>
    <col width="15" customWidth="1" min="13" max="13"/>
    <col width="3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42" customHeight="1">
      <c r="A1" s="7" t="inlineStr">
        <is>
          <t>Data</t>
        </is>
      </c>
      <c r="B1" s="7" t="inlineStr">
        <is>
          <t>Sala</t>
        </is>
      </c>
      <c r="C1" s="7" t="inlineStr">
        <is>
          <t>Hora início</t>
        </is>
      </c>
      <c r="D1" s="7" t="inlineStr">
        <is>
          <t>Hora fim</t>
        </is>
      </c>
      <c r="E1" s="7" t="inlineStr">
        <is>
          <t>Especialidade</t>
        </is>
      </c>
      <c r="F1" s="7" t="inlineStr">
        <is>
          <t>Procedimento</t>
        </is>
      </c>
      <c r="G1" s="7" t="inlineStr">
        <is>
          <t>Cirurgião</t>
        </is>
      </c>
      <c r="H1" s="7" t="inlineStr">
        <is>
          <t>Status</t>
        </is>
      </c>
      <c r="I1" s="7" t="inlineStr">
        <is>
          <t>Duração (min)</t>
        </is>
      </c>
      <c r="J1" s="7" t="inlineStr">
        <is>
          <t>Min. ocupação</t>
        </is>
      </c>
      <c r="K1" s="7" t="inlineStr">
        <is>
          <t>Ordem na sala</t>
        </is>
      </c>
      <c r="L1" s="7" t="inlineStr">
        <is>
          <t>Sala liberada às</t>
        </is>
      </c>
      <c r="M1" s="7" t="inlineStr">
        <is>
          <t>Livre até a próxima (min)</t>
        </is>
      </c>
      <c r="N1" s="7" t="inlineStr">
        <is>
          <t>Alerta</t>
        </is>
      </c>
      <c r="O1" s="7" t="inlineStr">
        <is>
          <t>aux</t>
        </is>
      </c>
      <c r="P1" s="7" t="inlineStr">
        <is>
          <t>aux</t>
        </is>
      </c>
      <c r="Q1" s="7" t="inlineStr">
        <is>
          <t>aux</t>
        </is>
      </c>
      <c r="R1" s="7" t="inlineStr">
        <is>
          <t>aux</t>
        </is>
      </c>
      <c r="S1" s="7" t="inlineStr">
        <is>
          <t>aux</t>
        </is>
      </c>
      <c r="T1" s="7" t="inlineStr">
        <is>
          <t>aux</t>
        </is>
      </c>
    </row>
    <row r="2">
      <c r="A2" s="30" t="n">
        <v>46254</v>
      </c>
      <c r="B2" s="31" t="inlineStr">
        <is>
          <t>SO-01</t>
        </is>
      </c>
      <c r="C2" s="32" t="n">
        <v>0.2916666666666667</v>
      </c>
      <c r="D2" s="32" t="n">
        <v>0.3715277777777778</v>
      </c>
      <c r="E2" s="33" t="inlineStr">
        <is>
          <t>Ortopedia</t>
        </is>
      </c>
      <c r="F2" s="33" t="inlineStr">
        <is>
          <t>Artroplastia total de joelho</t>
        </is>
      </c>
      <c r="G2" s="33" t="inlineStr">
        <is>
          <t>Dr. Almeida</t>
        </is>
      </c>
      <c r="H2" s="31" t="inlineStr">
        <is>
          <t>Agendada</t>
        </is>
      </c>
      <c r="I2" s="20">
        <f>IF(OR($B2="",NOT(ISNUMBER($C2)),NOT(ISNUMBER($D2))),"",ROUND(MOD($D2-$C2,1)*1440,0))</f>
        <v/>
      </c>
      <c r="J2" s="20">
        <f>IF(NOT(ISNUMBER($I2)),0,IF(OR($I2&lt;=0,$H2="Cancelada",$H2="Suspensa"),0,$I2+Limpeza_Min))</f>
        <v/>
      </c>
      <c r="K2" s="20">
        <f>IF($J2&lt;=0,"",SUMPRODUCT((Mapa_Sala=$B2)*(Mapa_Data=$A2)*(Mapa_MinOcup&gt;0)*((Mapa_RelIni&lt;$P2)+((Mapa_RelIni=$P2)*(Mapa_Row&lt;=$S2)))))</f>
        <v/>
      </c>
      <c r="L2" s="34">
        <f>IF($J2&lt;=0,"",MOD(Turno_Ini+($Q2+Limpeza_Min)/1440,1))</f>
        <v/>
      </c>
      <c r="M2" s="20">
        <f>IF($J2&lt;=0,"",MAX(0,IFERROR(INDEX(Mapa_RelIni,MATCH($B2&amp;"#"&amp;$A2&amp;"#"&amp;($K2+1),Mapa_Chave,0)),Turno_Min)-($Q2+Limpeza_Min)))</f>
        <v/>
      </c>
      <c r="N2" s="14">
        <f>IF($B2="","",IF($O2="","OK",LEFT($O2,LEN($O2)-3)))</f>
        <v/>
      </c>
      <c r="O2" s="35">
        <f>IF($B2="","",IF(COUNTIF(Postos_Cod,$B2)=0,"Sala não cadastrada | ","")&amp;IF(AND(COUNTIF(Postos_Cod,$B2)&gt;0,IFERROR(INDEX(Postos_Tipo,MATCH($B2,Postos_Cod,0)),"")&lt;&gt;"Sala cirúrgica"),"Posto não é sala cirúrgica | ","")&amp;IF(COUNTIF(Esp_Nome,$E2)=0,"Especialidade não cadastrada | ","")&amp;IF(COUNTIF(Lista_StatusCir,$H2)=0,"Status inválido | ","")&amp;IF(OR(NOT(ISNUMBER($C2)),NOT(ISNUMBER($D2))),"Horário inválido | ","")&amp;IFERROR(IF(AND(ISNUMBER($C2),ISNUMBER($D2),MOD($D2-$C2,1)*1440&lt;=0),"Duração nula ou negativa | ",""),"")&amp;IF(AND($J2&gt;0,OR($P2&gt;=Turno_Min,$Q2&gt;Turno_Min)),"Fora da janela do plantão | ","")&amp;IF(AND($J2&gt;0,SUMPRODUCT((Mapa_Sala=$B2)*(Mapa_Data=$A2)*(Mapa_MinOcup&gt;0)*(Mapa_RelIni&lt;$Q2)*(Mapa_RelFim&gt;$P2))&gt;1),"Sobreposição de horário na sala | ","")&amp;IFERROR(IF(AND(ISNUMBER($I2),$I2&gt;0,COUNTIF(Esp_Nome,$E2)&gt;0,$I2&gt;3*INDEX(Esp_Dur,MATCH($E2,Esp_Nome,0))),"Duração atípica (&gt;3x a média) | ",""),""))</f>
        <v/>
      </c>
      <c r="P2" s="19">
        <f>IF(NOT(ISNUMBER($C2)),0,ROUND(MOD($C2-Turno_Ini,1)*1440,0))</f>
        <v/>
      </c>
      <c r="Q2" s="19">
        <f>IF($J2&lt;=0,0,$P2+$I2)</f>
        <v/>
      </c>
      <c r="R2" s="19">
        <f>IF($K2="","",$B2&amp;"#"&amp;$A2&amp;"#"&amp;$K2)</f>
        <v/>
      </c>
      <c r="S2" s="19">
        <f>ROW()</f>
        <v/>
      </c>
      <c r="T2" s="19">
        <f>IF($J2&lt;=0,0,MAX(0,MIN($P2+$I2+Limpeza_Min,Turno_Min,IFERROR(INDEX(Mapa_RelIni,MATCH($B2&amp;"#"&amp;$A2&amp;"#"&amp;($K2+1),Mapa_Chave,0)),Turno_Min))-MIN($P2,Turno_Min)))</f>
        <v/>
      </c>
    </row>
    <row r="3">
      <c r="A3" s="30" t="n">
        <v>46254</v>
      </c>
      <c r="B3" s="31" t="inlineStr">
        <is>
          <t>SO-01</t>
        </is>
      </c>
      <c r="C3" s="32" t="n">
        <v>0.3854166666666667</v>
      </c>
      <c r="D3" s="32" t="n">
        <v>0.4479166666666667</v>
      </c>
      <c r="E3" s="33" t="inlineStr">
        <is>
          <t>Traumatologia</t>
        </is>
      </c>
      <c r="F3" s="33" t="inlineStr">
        <is>
          <t>Redução de fratura de rádio</t>
        </is>
      </c>
      <c r="G3" s="33" t="inlineStr">
        <is>
          <t>Dr. Coelho</t>
        </is>
      </c>
      <c r="H3" s="31" t="inlineStr">
        <is>
          <t>Agendada</t>
        </is>
      </c>
      <c r="I3" s="20">
        <f>IF(OR($B3="",NOT(ISNUMBER($C3)),NOT(ISNUMBER($D3))),"",ROUND(MOD($D3-$C3,1)*1440,0))</f>
        <v/>
      </c>
      <c r="J3" s="20">
        <f>IF(NOT(ISNUMBER($I3)),0,IF(OR($I3&lt;=0,$H3="Cancelada",$H3="Suspensa"),0,$I3+Limpeza_Min))</f>
        <v/>
      </c>
      <c r="K3" s="20">
        <f>IF($J3&lt;=0,"",SUMPRODUCT((Mapa_Sala=$B3)*(Mapa_Data=$A3)*(Mapa_MinOcup&gt;0)*((Mapa_RelIni&lt;$P3)+((Mapa_RelIni=$P3)*(Mapa_Row&lt;=$S3)))))</f>
        <v/>
      </c>
      <c r="L3" s="34">
        <f>IF($J3&lt;=0,"",MOD(Turno_Ini+($Q3+Limpeza_Min)/1440,1))</f>
        <v/>
      </c>
      <c r="M3" s="20">
        <f>IF($J3&lt;=0,"",MAX(0,IFERROR(INDEX(Mapa_RelIni,MATCH($B3&amp;"#"&amp;$A3&amp;"#"&amp;($K3+1),Mapa_Chave,0)),Turno_Min)-($Q3+Limpeza_Min)))</f>
        <v/>
      </c>
      <c r="N3" s="14">
        <f>IF($B3="","",IF($O3="","OK",LEFT($O3,LEN($O3)-3)))</f>
        <v/>
      </c>
      <c r="O3" s="35">
        <f>IF($B3="","",IF(COUNTIF(Postos_Cod,$B3)=0,"Sala não cadastrada | ","")&amp;IF(AND(COUNTIF(Postos_Cod,$B3)&gt;0,IFERROR(INDEX(Postos_Tipo,MATCH($B3,Postos_Cod,0)),"")&lt;&gt;"Sala cirúrgica"),"Posto não é sala cirúrgica | ","")&amp;IF(COUNTIF(Esp_Nome,$E3)=0,"Especialidade não cadastrada | ","")&amp;IF(COUNTIF(Lista_StatusCir,$H3)=0,"Status inválido | ","")&amp;IF(OR(NOT(ISNUMBER($C3)),NOT(ISNUMBER($D3))),"Horário inválido | ","")&amp;IFERROR(IF(AND(ISNUMBER($C3),ISNUMBER($D3),MOD($D3-$C3,1)*1440&lt;=0),"Duração nula ou negativa | ",""),"")&amp;IF(AND($J3&gt;0,OR($P3&gt;=Turno_Min,$Q3&gt;Turno_Min)),"Fora da janela do plantão | ","")&amp;IF(AND($J3&gt;0,SUMPRODUCT((Mapa_Sala=$B3)*(Mapa_Data=$A3)*(Mapa_MinOcup&gt;0)*(Mapa_RelIni&lt;$Q3)*(Mapa_RelFim&gt;$P3))&gt;1),"Sobreposição de horário na sala | ","")&amp;IFERROR(IF(AND(ISNUMBER($I3),$I3&gt;0,COUNTIF(Esp_Nome,$E3)&gt;0,$I3&gt;3*INDEX(Esp_Dur,MATCH($E3,Esp_Nome,0))),"Duração atípica (&gt;3x a média) | ",""),""))</f>
        <v/>
      </c>
      <c r="P3" s="19">
        <f>IF(NOT(ISNUMBER($C3)),0,ROUND(MOD($C3-Turno_Ini,1)*1440,0))</f>
        <v/>
      </c>
      <c r="Q3" s="19">
        <f>IF($J3&lt;=0,0,$P3+$I3)</f>
        <v/>
      </c>
      <c r="R3" s="19">
        <f>IF($K3="","",$B3&amp;"#"&amp;$A3&amp;"#"&amp;$K3)</f>
        <v/>
      </c>
      <c r="S3" s="19">
        <f>ROW()</f>
        <v/>
      </c>
      <c r="T3" s="19">
        <f>IF($J3&lt;=0,0,MAX(0,MIN($P3+$I3+Limpeza_Min,Turno_Min,IFERROR(INDEX(Mapa_RelIni,MATCH($B3&amp;"#"&amp;$A3&amp;"#"&amp;($K3+1),Mapa_Chave,0)),Turno_Min))-MIN($P3,Turno_Min)))</f>
        <v/>
      </c>
    </row>
    <row r="4">
      <c r="A4" s="30" t="n">
        <v>46254</v>
      </c>
      <c r="B4" s="31" t="inlineStr">
        <is>
          <t>SO-02</t>
        </is>
      </c>
      <c r="C4" s="32" t="n">
        <v>0.2916666666666667</v>
      </c>
      <c r="D4" s="32" t="n">
        <v>0.3472222222222222</v>
      </c>
      <c r="E4" s="33" t="inlineStr">
        <is>
          <t>Cirurgia Geral</t>
        </is>
      </c>
      <c r="F4" s="33" t="inlineStr">
        <is>
          <t>Colecistectomia videolaparoscópica</t>
        </is>
      </c>
      <c r="G4" s="33" t="inlineStr">
        <is>
          <t>Dr. Coelho</t>
        </is>
      </c>
      <c r="H4" s="31" t="inlineStr">
        <is>
          <t>Agendada</t>
        </is>
      </c>
      <c r="I4" s="20">
        <f>IF(OR($B4="",NOT(ISNUMBER($C4)),NOT(ISNUMBER($D4))),"",ROUND(MOD($D4-$C4,1)*1440,0))</f>
        <v/>
      </c>
      <c r="J4" s="20">
        <f>IF(NOT(ISNUMBER($I4)),0,IF(OR($I4&lt;=0,$H4="Cancelada",$H4="Suspensa"),0,$I4+Limpeza_Min))</f>
        <v/>
      </c>
      <c r="K4" s="20">
        <f>IF($J4&lt;=0,"",SUMPRODUCT((Mapa_Sala=$B4)*(Mapa_Data=$A4)*(Mapa_MinOcup&gt;0)*((Mapa_RelIni&lt;$P4)+((Mapa_RelIni=$P4)*(Mapa_Row&lt;=$S4)))))</f>
        <v/>
      </c>
      <c r="L4" s="34">
        <f>IF($J4&lt;=0,"",MOD(Turno_Ini+($Q4+Limpeza_Min)/1440,1))</f>
        <v/>
      </c>
      <c r="M4" s="20">
        <f>IF($J4&lt;=0,"",MAX(0,IFERROR(INDEX(Mapa_RelIni,MATCH($B4&amp;"#"&amp;$A4&amp;"#"&amp;($K4+1),Mapa_Chave,0)),Turno_Min)-($Q4+Limpeza_Min)))</f>
        <v/>
      </c>
      <c r="N4" s="14">
        <f>IF($B4="","",IF($O4="","OK",LEFT($O4,LEN($O4)-3)))</f>
        <v/>
      </c>
      <c r="O4" s="35">
        <f>IF($B4="","",IF(COUNTIF(Postos_Cod,$B4)=0,"Sala não cadastrada | ","")&amp;IF(AND(COUNTIF(Postos_Cod,$B4)&gt;0,IFERROR(INDEX(Postos_Tipo,MATCH($B4,Postos_Cod,0)),"")&lt;&gt;"Sala cirúrgica"),"Posto não é sala cirúrgica | ","")&amp;IF(COUNTIF(Esp_Nome,$E4)=0,"Especialidade não cadastrada | ","")&amp;IF(COUNTIF(Lista_StatusCir,$H4)=0,"Status inválido | ","")&amp;IF(OR(NOT(ISNUMBER($C4)),NOT(ISNUMBER($D4))),"Horário inválido | ","")&amp;IFERROR(IF(AND(ISNUMBER($C4),ISNUMBER($D4),MOD($D4-$C4,1)*1440&lt;=0),"Duração nula ou negativa | ",""),"")&amp;IF(AND($J4&gt;0,OR($P4&gt;=Turno_Min,$Q4&gt;Turno_Min)),"Fora da janela do plantão | ","")&amp;IF(AND($J4&gt;0,SUMPRODUCT((Mapa_Sala=$B4)*(Mapa_Data=$A4)*(Mapa_MinOcup&gt;0)*(Mapa_RelIni&lt;$Q4)*(Mapa_RelFim&gt;$P4))&gt;1),"Sobreposição de horário na sala | ","")&amp;IFERROR(IF(AND(ISNUMBER($I4),$I4&gt;0,COUNTIF(Esp_Nome,$E4)&gt;0,$I4&gt;3*INDEX(Esp_Dur,MATCH($E4,Esp_Nome,0))),"Duração atípica (&gt;3x a média) | ",""),""))</f>
        <v/>
      </c>
      <c r="P4" s="19">
        <f>IF(NOT(ISNUMBER($C4)),0,ROUND(MOD($C4-Turno_Ini,1)*1440,0))</f>
        <v/>
      </c>
      <c r="Q4" s="19">
        <f>IF($J4&lt;=0,0,$P4+$I4)</f>
        <v/>
      </c>
      <c r="R4" s="19">
        <f>IF($K4="","",$B4&amp;"#"&amp;$A4&amp;"#"&amp;$K4)</f>
        <v/>
      </c>
      <c r="S4" s="19">
        <f>ROW()</f>
        <v/>
      </c>
      <c r="T4" s="19">
        <f>IF($J4&lt;=0,0,MAX(0,MIN($P4+$I4+Limpeza_Min,Turno_Min,IFERROR(INDEX(Mapa_RelIni,MATCH($B4&amp;"#"&amp;$A4&amp;"#"&amp;($K4+1),Mapa_Chave,0)),Turno_Min))-MIN($P4,Turno_Min)))</f>
        <v/>
      </c>
    </row>
    <row r="5">
      <c r="A5" s="30" t="n">
        <v>46254</v>
      </c>
      <c r="B5" s="31" t="inlineStr">
        <is>
          <t>SO-02</t>
        </is>
      </c>
      <c r="C5" s="32" t="n">
        <v>0.3611111111111111</v>
      </c>
      <c r="D5" s="32" t="n">
        <v>0.4583333333333333</v>
      </c>
      <c r="E5" s="33" t="inlineStr">
        <is>
          <t>Cirurgia Bariátrica</t>
        </is>
      </c>
      <c r="F5" s="33" t="inlineStr">
        <is>
          <t>Gastroplastia em Y de Roux</t>
        </is>
      </c>
      <c r="G5" s="33" t="inlineStr">
        <is>
          <t>Dr. Esteves</t>
        </is>
      </c>
      <c r="H5" s="31" t="inlineStr">
        <is>
          <t>Agendada</t>
        </is>
      </c>
      <c r="I5" s="20">
        <f>IF(OR($B5="",NOT(ISNUMBER($C5)),NOT(ISNUMBER($D5))),"",ROUND(MOD($D5-$C5,1)*1440,0))</f>
        <v/>
      </c>
      <c r="J5" s="20">
        <f>IF(NOT(ISNUMBER($I5)),0,IF(OR($I5&lt;=0,$H5="Cancelada",$H5="Suspensa"),0,$I5+Limpeza_Min))</f>
        <v/>
      </c>
      <c r="K5" s="20">
        <f>IF($J5&lt;=0,"",SUMPRODUCT((Mapa_Sala=$B5)*(Mapa_Data=$A5)*(Mapa_MinOcup&gt;0)*((Mapa_RelIni&lt;$P5)+((Mapa_RelIni=$P5)*(Mapa_Row&lt;=$S5)))))</f>
        <v/>
      </c>
      <c r="L5" s="34">
        <f>IF($J5&lt;=0,"",MOD(Turno_Ini+($Q5+Limpeza_Min)/1440,1))</f>
        <v/>
      </c>
      <c r="M5" s="20">
        <f>IF($J5&lt;=0,"",MAX(0,IFERROR(INDEX(Mapa_RelIni,MATCH($B5&amp;"#"&amp;$A5&amp;"#"&amp;($K5+1),Mapa_Chave,0)),Turno_Min)-($Q5+Limpeza_Min)))</f>
        <v/>
      </c>
      <c r="N5" s="14">
        <f>IF($B5="","",IF($O5="","OK",LEFT($O5,LEN($O5)-3)))</f>
        <v/>
      </c>
      <c r="O5" s="35">
        <f>IF($B5="","",IF(COUNTIF(Postos_Cod,$B5)=0,"Sala não cadastrada | ","")&amp;IF(AND(COUNTIF(Postos_Cod,$B5)&gt;0,IFERROR(INDEX(Postos_Tipo,MATCH($B5,Postos_Cod,0)),"")&lt;&gt;"Sala cirúrgica"),"Posto não é sala cirúrgica | ","")&amp;IF(COUNTIF(Esp_Nome,$E5)=0,"Especialidade não cadastrada | ","")&amp;IF(COUNTIF(Lista_StatusCir,$H5)=0,"Status inválido | ","")&amp;IF(OR(NOT(ISNUMBER($C5)),NOT(ISNUMBER($D5))),"Horário inválido | ","")&amp;IFERROR(IF(AND(ISNUMBER($C5),ISNUMBER($D5),MOD($D5-$C5,1)*1440&lt;=0),"Duração nula ou negativa | ",""),"")&amp;IF(AND($J5&gt;0,OR($P5&gt;=Turno_Min,$Q5&gt;Turno_Min)),"Fora da janela do plantão | ","")&amp;IF(AND($J5&gt;0,SUMPRODUCT((Mapa_Sala=$B5)*(Mapa_Data=$A5)*(Mapa_MinOcup&gt;0)*(Mapa_RelIni&lt;$Q5)*(Mapa_RelFim&gt;$P5))&gt;1),"Sobreposição de horário na sala | ","")&amp;IFERROR(IF(AND(ISNUMBER($I5),$I5&gt;0,COUNTIF(Esp_Nome,$E5)&gt;0,$I5&gt;3*INDEX(Esp_Dur,MATCH($E5,Esp_Nome,0))),"Duração atípica (&gt;3x a média) | ",""),""))</f>
        <v/>
      </c>
      <c r="P5" s="19">
        <f>IF(NOT(ISNUMBER($C5)),0,ROUND(MOD($C5-Turno_Ini,1)*1440,0))</f>
        <v/>
      </c>
      <c r="Q5" s="19">
        <f>IF($J5&lt;=0,0,$P5+$I5)</f>
        <v/>
      </c>
      <c r="R5" s="19">
        <f>IF($K5="","",$B5&amp;"#"&amp;$A5&amp;"#"&amp;$K5)</f>
        <v/>
      </c>
      <c r="S5" s="19">
        <f>ROW()</f>
        <v/>
      </c>
      <c r="T5" s="19">
        <f>IF($J5&lt;=0,0,MAX(0,MIN($P5+$I5+Limpeza_Min,Turno_Min,IFERROR(INDEX(Mapa_RelIni,MATCH($B5&amp;"#"&amp;$A5&amp;"#"&amp;($K5+1),Mapa_Chave,0)),Turno_Min))-MIN($P5,Turno_Min)))</f>
        <v/>
      </c>
    </row>
    <row r="6">
      <c r="A6" s="30" t="n">
        <v>46254</v>
      </c>
      <c r="B6" s="31" t="inlineStr">
        <is>
          <t>SO-03</t>
        </is>
      </c>
      <c r="C6" s="32" t="n">
        <v>0.2916666666666667</v>
      </c>
      <c r="D6" s="32" t="n">
        <v>0.4444444444444444</v>
      </c>
      <c r="E6" s="33" t="inlineStr">
        <is>
          <t>Neurocirurgia</t>
        </is>
      </c>
      <c r="F6" s="33" t="inlineStr">
        <is>
          <t>Craniotomia para tumor</t>
        </is>
      </c>
      <c r="G6" s="33" t="inlineStr">
        <is>
          <t>Dr. Esteves</t>
        </is>
      </c>
      <c r="H6" s="31" t="inlineStr">
        <is>
          <t>Agendada</t>
        </is>
      </c>
      <c r="I6" s="20">
        <f>IF(OR($B6="",NOT(ISNUMBER($C6)),NOT(ISNUMBER($D6))),"",ROUND(MOD($D6-$C6,1)*1440,0))</f>
        <v/>
      </c>
      <c r="J6" s="20">
        <f>IF(NOT(ISNUMBER($I6)),0,IF(OR($I6&lt;=0,$H6="Cancelada",$H6="Suspensa"),0,$I6+Limpeza_Min))</f>
        <v/>
      </c>
      <c r="K6" s="20">
        <f>IF($J6&lt;=0,"",SUMPRODUCT((Mapa_Sala=$B6)*(Mapa_Data=$A6)*(Mapa_MinOcup&gt;0)*((Mapa_RelIni&lt;$P6)+((Mapa_RelIni=$P6)*(Mapa_Row&lt;=$S6)))))</f>
        <v/>
      </c>
      <c r="L6" s="34">
        <f>IF($J6&lt;=0,"",MOD(Turno_Ini+($Q6+Limpeza_Min)/1440,1))</f>
        <v/>
      </c>
      <c r="M6" s="20">
        <f>IF($J6&lt;=0,"",MAX(0,IFERROR(INDEX(Mapa_RelIni,MATCH($B6&amp;"#"&amp;$A6&amp;"#"&amp;($K6+1),Mapa_Chave,0)),Turno_Min)-($Q6+Limpeza_Min)))</f>
        <v/>
      </c>
      <c r="N6" s="14">
        <f>IF($B6="","",IF($O6="","OK",LEFT($O6,LEN($O6)-3)))</f>
        <v/>
      </c>
      <c r="O6" s="35">
        <f>IF($B6="","",IF(COUNTIF(Postos_Cod,$B6)=0,"Sala não cadastrada | ","")&amp;IF(AND(COUNTIF(Postos_Cod,$B6)&gt;0,IFERROR(INDEX(Postos_Tipo,MATCH($B6,Postos_Cod,0)),"")&lt;&gt;"Sala cirúrgica"),"Posto não é sala cirúrgica | ","")&amp;IF(COUNTIF(Esp_Nome,$E6)=0,"Especialidade não cadastrada | ","")&amp;IF(COUNTIF(Lista_StatusCir,$H6)=0,"Status inválido | ","")&amp;IF(OR(NOT(ISNUMBER($C6)),NOT(ISNUMBER($D6))),"Horário inválido | ","")&amp;IFERROR(IF(AND(ISNUMBER($C6),ISNUMBER($D6),MOD($D6-$C6,1)*1440&lt;=0),"Duração nula ou negativa | ",""),"")&amp;IF(AND($J6&gt;0,OR($P6&gt;=Turno_Min,$Q6&gt;Turno_Min)),"Fora da janela do plantão | ","")&amp;IF(AND($J6&gt;0,SUMPRODUCT((Mapa_Sala=$B6)*(Mapa_Data=$A6)*(Mapa_MinOcup&gt;0)*(Mapa_RelIni&lt;$Q6)*(Mapa_RelFim&gt;$P6))&gt;1),"Sobreposição de horário na sala | ","")&amp;IFERROR(IF(AND(ISNUMBER($I6),$I6&gt;0,COUNTIF(Esp_Nome,$E6)&gt;0,$I6&gt;3*INDEX(Esp_Dur,MATCH($E6,Esp_Nome,0))),"Duração atípica (&gt;3x a média) | ",""),""))</f>
        <v/>
      </c>
      <c r="P6" s="19">
        <f>IF(NOT(ISNUMBER($C6)),0,ROUND(MOD($C6-Turno_Ini,1)*1440,0))</f>
        <v/>
      </c>
      <c r="Q6" s="19">
        <f>IF($J6&lt;=0,0,$P6+$I6)</f>
        <v/>
      </c>
      <c r="R6" s="19">
        <f>IF($K6="","",$B6&amp;"#"&amp;$A6&amp;"#"&amp;$K6)</f>
        <v/>
      </c>
      <c r="S6" s="19">
        <f>ROW()</f>
        <v/>
      </c>
      <c r="T6" s="19">
        <f>IF($J6&lt;=0,0,MAX(0,MIN($P6+$I6+Limpeza_Min,Turno_Min,IFERROR(INDEX(Mapa_RelIni,MATCH($B6&amp;"#"&amp;$A6&amp;"#"&amp;($K6+1),Mapa_Chave,0)),Turno_Min))-MIN($P6,Turno_Min)))</f>
        <v/>
      </c>
    </row>
    <row r="7">
      <c r="A7" s="30" t="n">
        <v>46254</v>
      </c>
      <c r="B7" s="31" t="inlineStr">
        <is>
          <t>SO-04</t>
        </is>
      </c>
      <c r="C7" s="32" t="n">
        <v>0.2916666666666667</v>
      </c>
      <c r="D7" s="32" t="n">
        <v>0.3576388888888889</v>
      </c>
      <c r="E7" s="33" t="inlineStr">
        <is>
          <t>Cirurgia Plástica</t>
        </is>
      </c>
      <c r="F7" s="33" t="inlineStr">
        <is>
          <t>Dermolipectomia abdominal</t>
        </is>
      </c>
      <c r="G7" s="33" t="inlineStr">
        <is>
          <t>Dra. Fialho</t>
        </is>
      </c>
      <c r="H7" s="31" t="inlineStr">
        <is>
          <t>Agendada</t>
        </is>
      </c>
      <c r="I7" s="20">
        <f>IF(OR($B7="",NOT(ISNUMBER($C7)),NOT(ISNUMBER($D7))),"",ROUND(MOD($D7-$C7,1)*1440,0))</f>
        <v/>
      </c>
      <c r="J7" s="20">
        <f>IF(NOT(ISNUMBER($I7)),0,IF(OR($I7&lt;=0,$H7="Cancelada",$H7="Suspensa"),0,$I7+Limpeza_Min))</f>
        <v/>
      </c>
      <c r="K7" s="20">
        <f>IF($J7&lt;=0,"",SUMPRODUCT((Mapa_Sala=$B7)*(Mapa_Data=$A7)*(Mapa_MinOcup&gt;0)*((Mapa_RelIni&lt;$P7)+((Mapa_RelIni=$P7)*(Mapa_Row&lt;=$S7)))))</f>
        <v/>
      </c>
      <c r="L7" s="34">
        <f>IF($J7&lt;=0,"",MOD(Turno_Ini+($Q7+Limpeza_Min)/1440,1))</f>
        <v/>
      </c>
      <c r="M7" s="20">
        <f>IF($J7&lt;=0,"",MAX(0,IFERROR(INDEX(Mapa_RelIni,MATCH($B7&amp;"#"&amp;$A7&amp;"#"&amp;($K7+1),Mapa_Chave,0)),Turno_Min)-($Q7+Limpeza_Min)))</f>
        <v/>
      </c>
      <c r="N7" s="14">
        <f>IF($B7="","",IF($O7="","OK",LEFT($O7,LEN($O7)-3)))</f>
        <v/>
      </c>
      <c r="O7" s="35">
        <f>IF($B7="","",IF(COUNTIF(Postos_Cod,$B7)=0,"Sala não cadastrada | ","")&amp;IF(AND(COUNTIF(Postos_Cod,$B7)&gt;0,IFERROR(INDEX(Postos_Tipo,MATCH($B7,Postos_Cod,0)),"")&lt;&gt;"Sala cirúrgica"),"Posto não é sala cirúrgica | ","")&amp;IF(COUNTIF(Esp_Nome,$E7)=0,"Especialidade não cadastrada | ","")&amp;IF(COUNTIF(Lista_StatusCir,$H7)=0,"Status inválido | ","")&amp;IF(OR(NOT(ISNUMBER($C7)),NOT(ISNUMBER($D7))),"Horário inválido | ","")&amp;IFERROR(IF(AND(ISNUMBER($C7),ISNUMBER($D7),MOD($D7-$C7,1)*1440&lt;=0),"Duração nula ou negativa | ",""),"")&amp;IF(AND($J7&gt;0,OR($P7&gt;=Turno_Min,$Q7&gt;Turno_Min)),"Fora da janela do plantão | ","")&amp;IF(AND($J7&gt;0,SUMPRODUCT((Mapa_Sala=$B7)*(Mapa_Data=$A7)*(Mapa_MinOcup&gt;0)*(Mapa_RelIni&lt;$Q7)*(Mapa_RelFim&gt;$P7))&gt;1),"Sobreposição de horário na sala | ","")&amp;IFERROR(IF(AND(ISNUMBER($I7),$I7&gt;0,COUNTIF(Esp_Nome,$E7)&gt;0,$I7&gt;3*INDEX(Esp_Dur,MATCH($E7,Esp_Nome,0))),"Duração atípica (&gt;3x a média) | ",""),""))</f>
        <v/>
      </c>
      <c r="P7" s="19">
        <f>IF(NOT(ISNUMBER($C7)),0,ROUND(MOD($C7-Turno_Ini,1)*1440,0))</f>
        <v/>
      </c>
      <c r="Q7" s="19">
        <f>IF($J7&lt;=0,0,$P7+$I7)</f>
        <v/>
      </c>
      <c r="R7" s="19">
        <f>IF($K7="","",$B7&amp;"#"&amp;$A7&amp;"#"&amp;$K7)</f>
        <v/>
      </c>
      <c r="S7" s="19">
        <f>ROW()</f>
        <v/>
      </c>
      <c r="T7" s="19">
        <f>IF($J7&lt;=0,0,MAX(0,MIN($P7+$I7+Limpeza_Min,Turno_Min,IFERROR(INDEX(Mapa_RelIni,MATCH($B7&amp;"#"&amp;$A7&amp;"#"&amp;($K7+1),Mapa_Chave,0)),Turno_Min))-MIN($P7,Turno_Min)))</f>
        <v/>
      </c>
    </row>
    <row r="8">
      <c r="A8" s="30" t="n">
        <v>46254</v>
      </c>
      <c r="B8" s="31" t="inlineStr">
        <is>
          <t>SO-04</t>
        </is>
      </c>
      <c r="C8" s="32" t="n">
        <v>0.3715277777777778</v>
      </c>
      <c r="D8" s="32" t="n">
        <v>0.4583333333333333</v>
      </c>
      <c r="E8" s="33" t="inlineStr">
        <is>
          <t>Cirurgia Vascular</t>
        </is>
      </c>
      <c r="F8" s="33" t="inlineStr">
        <is>
          <t>Safenectomia</t>
        </is>
      </c>
      <c r="G8" s="33" t="inlineStr">
        <is>
          <t>Dra. Hirano</t>
        </is>
      </c>
      <c r="H8" s="31" t="inlineStr">
        <is>
          <t>Agendada</t>
        </is>
      </c>
      <c r="I8" s="20">
        <f>IF(OR($B8="",NOT(ISNUMBER($C8)),NOT(ISNUMBER($D8))),"",ROUND(MOD($D8-$C8,1)*1440,0))</f>
        <v/>
      </c>
      <c r="J8" s="20">
        <f>IF(NOT(ISNUMBER($I8)),0,IF(OR($I8&lt;=0,$H8="Cancelada",$H8="Suspensa"),0,$I8+Limpeza_Min))</f>
        <v/>
      </c>
      <c r="K8" s="20">
        <f>IF($J8&lt;=0,"",SUMPRODUCT((Mapa_Sala=$B8)*(Mapa_Data=$A8)*(Mapa_MinOcup&gt;0)*((Mapa_RelIni&lt;$P8)+((Mapa_RelIni=$P8)*(Mapa_Row&lt;=$S8)))))</f>
        <v/>
      </c>
      <c r="L8" s="34">
        <f>IF($J8&lt;=0,"",MOD(Turno_Ini+($Q8+Limpeza_Min)/1440,1))</f>
        <v/>
      </c>
      <c r="M8" s="20">
        <f>IF($J8&lt;=0,"",MAX(0,IFERROR(INDEX(Mapa_RelIni,MATCH($B8&amp;"#"&amp;$A8&amp;"#"&amp;($K8+1),Mapa_Chave,0)),Turno_Min)-($Q8+Limpeza_Min)))</f>
        <v/>
      </c>
      <c r="N8" s="14">
        <f>IF($B8="","",IF($O8="","OK",LEFT($O8,LEN($O8)-3)))</f>
        <v/>
      </c>
      <c r="O8" s="35">
        <f>IF($B8="","",IF(COUNTIF(Postos_Cod,$B8)=0,"Sala não cadastrada | ","")&amp;IF(AND(COUNTIF(Postos_Cod,$B8)&gt;0,IFERROR(INDEX(Postos_Tipo,MATCH($B8,Postos_Cod,0)),"")&lt;&gt;"Sala cirúrgica"),"Posto não é sala cirúrgica | ","")&amp;IF(COUNTIF(Esp_Nome,$E8)=0,"Especialidade não cadastrada | ","")&amp;IF(COUNTIF(Lista_StatusCir,$H8)=0,"Status inválido | ","")&amp;IF(OR(NOT(ISNUMBER($C8)),NOT(ISNUMBER($D8))),"Horário inválido | ","")&amp;IFERROR(IF(AND(ISNUMBER($C8),ISNUMBER($D8),MOD($D8-$C8,1)*1440&lt;=0),"Duração nula ou negativa | ",""),"")&amp;IF(AND($J8&gt;0,OR($P8&gt;=Turno_Min,$Q8&gt;Turno_Min)),"Fora da janela do plantão | ","")&amp;IF(AND($J8&gt;0,SUMPRODUCT((Mapa_Sala=$B8)*(Mapa_Data=$A8)*(Mapa_MinOcup&gt;0)*(Mapa_RelIni&lt;$Q8)*(Mapa_RelFim&gt;$P8))&gt;1),"Sobreposição de horário na sala | ","")&amp;IFERROR(IF(AND(ISNUMBER($I8),$I8&gt;0,COUNTIF(Esp_Nome,$E8)&gt;0,$I8&gt;3*INDEX(Esp_Dur,MATCH($E8,Esp_Nome,0))),"Duração atípica (&gt;3x a média) | ",""),""))</f>
        <v/>
      </c>
      <c r="P8" s="19">
        <f>IF(NOT(ISNUMBER($C8)),0,ROUND(MOD($C8-Turno_Ini,1)*1440,0))</f>
        <v/>
      </c>
      <c r="Q8" s="19">
        <f>IF($J8&lt;=0,0,$P8+$I8)</f>
        <v/>
      </c>
      <c r="R8" s="19">
        <f>IF($K8="","",$B8&amp;"#"&amp;$A8&amp;"#"&amp;$K8)</f>
        <v/>
      </c>
      <c r="S8" s="19">
        <f>ROW()</f>
        <v/>
      </c>
      <c r="T8" s="19">
        <f>IF($J8&lt;=0,0,MAX(0,MIN($P8+$I8+Limpeza_Min,Turno_Min,IFERROR(INDEX(Mapa_RelIni,MATCH($B8&amp;"#"&amp;$A8&amp;"#"&amp;($K8+1),Mapa_Chave,0)),Turno_Min))-MIN($P8,Turno_Min)))</f>
        <v/>
      </c>
    </row>
    <row r="9">
      <c r="A9" s="30" t="n">
        <v>46254</v>
      </c>
      <c r="B9" s="31" t="inlineStr">
        <is>
          <t>SO-05</t>
        </is>
      </c>
      <c r="C9" s="32" t="n">
        <v>0.2916666666666667</v>
      </c>
      <c r="D9" s="32" t="n">
        <v>0.3576388888888889</v>
      </c>
      <c r="E9" s="33" t="inlineStr">
        <is>
          <t>Ginecologia</t>
        </is>
      </c>
      <c r="F9" s="33" t="inlineStr">
        <is>
          <t>Histerectomia total</t>
        </is>
      </c>
      <c r="G9" s="33" t="inlineStr">
        <is>
          <t>Dra. Hirano</t>
        </is>
      </c>
      <c r="H9" s="31" t="inlineStr">
        <is>
          <t>Agendada</t>
        </is>
      </c>
      <c r="I9" s="20">
        <f>IF(OR($B9="",NOT(ISNUMBER($C9)),NOT(ISNUMBER($D9))),"",ROUND(MOD($D9-$C9,1)*1440,0))</f>
        <v/>
      </c>
      <c r="J9" s="20">
        <f>IF(NOT(ISNUMBER($I9)),0,IF(OR($I9&lt;=0,$H9="Cancelada",$H9="Suspensa"),0,$I9+Limpeza_Min))</f>
        <v/>
      </c>
      <c r="K9" s="20">
        <f>IF($J9&lt;=0,"",SUMPRODUCT((Mapa_Sala=$B9)*(Mapa_Data=$A9)*(Mapa_MinOcup&gt;0)*((Mapa_RelIni&lt;$P9)+((Mapa_RelIni=$P9)*(Mapa_Row&lt;=$S9)))))</f>
        <v/>
      </c>
      <c r="L9" s="34">
        <f>IF($J9&lt;=0,"",MOD(Turno_Ini+($Q9+Limpeza_Min)/1440,1))</f>
        <v/>
      </c>
      <c r="M9" s="20">
        <f>IF($J9&lt;=0,"",MAX(0,IFERROR(INDEX(Mapa_RelIni,MATCH($B9&amp;"#"&amp;$A9&amp;"#"&amp;($K9+1),Mapa_Chave,0)),Turno_Min)-($Q9+Limpeza_Min)))</f>
        <v/>
      </c>
      <c r="N9" s="14">
        <f>IF($B9="","",IF($O9="","OK",LEFT($O9,LEN($O9)-3)))</f>
        <v/>
      </c>
      <c r="O9" s="35">
        <f>IF($B9="","",IF(COUNTIF(Postos_Cod,$B9)=0,"Sala não cadastrada | ","")&amp;IF(AND(COUNTIF(Postos_Cod,$B9)&gt;0,IFERROR(INDEX(Postos_Tipo,MATCH($B9,Postos_Cod,0)),"")&lt;&gt;"Sala cirúrgica"),"Posto não é sala cirúrgica | ","")&amp;IF(COUNTIF(Esp_Nome,$E9)=0,"Especialidade não cadastrada | ","")&amp;IF(COUNTIF(Lista_StatusCir,$H9)=0,"Status inválido | ","")&amp;IF(OR(NOT(ISNUMBER($C9)),NOT(ISNUMBER($D9))),"Horário inválido | ","")&amp;IFERROR(IF(AND(ISNUMBER($C9),ISNUMBER($D9),MOD($D9-$C9,1)*1440&lt;=0),"Duração nula ou negativa | ",""),"")&amp;IF(AND($J9&gt;0,OR($P9&gt;=Turno_Min,$Q9&gt;Turno_Min)),"Fora da janela do plantão | ","")&amp;IF(AND($J9&gt;0,SUMPRODUCT((Mapa_Sala=$B9)*(Mapa_Data=$A9)*(Mapa_MinOcup&gt;0)*(Mapa_RelIni&lt;$Q9)*(Mapa_RelFim&gt;$P9))&gt;1),"Sobreposição de horário na sala | ","")&amp;IFERROR(IF(AND(ISNUMBER($I9),$I9&gt;0,COUNTIF(Esp_Nome,$E9)&gt;0,$I9&gt;3*INDEX(Esp_Dur,MATCH($E9,Esp_Nome,0))),"Duração atípica (&gt;3x a média) | ",""),""))</f>
        <v/>
      </c>
      <c r="P9" s="19">
        <f>IF(NOT(ISNUMBER($C9)),0,ROUND(MOD($C9-Turno_Ini,1)*1440,0))</f>
        <v/>
      </c>
      <c r="Q9" s="19">
        <f>IF($J9&lt;=0,0,$P9+$I9)</f>
        <v/>
      </c>
      <c r="R9" s="19">
        <f>IF($K9="","",$B9&amp;"#"&amp;$A9&amp;"#"&amp;$K9)</f>
        <v/>
      </c>
      <c r="S9" s="19">
        <f>ROW()</f>
        <v/>
      </c>
      <c r="T9" s="19">
        <f>IF($J9&lt;=0,0,MAX(0,MIN($P9+$I9+Limpeza_Min,Turno_Min,IFERROR(INDEX(Mapa_RelIni,MATCH($B9&amp;"#"&amp;$A9&amp;"#"&amp;($K9+1),Mapa_Chave,0)),Turno_Min))-MIN($P9,Turno_Min)))</f>
        <v/>
      </c>
    </row>
    <row r="10">
      <c r="A10" s="30" t="n">
        <v>46254</v>
      </c>
      <c r="B10" s="31" t="inlineStr">
        <is>
          <t>SO-05</t>
        </is>
      </c>
      <c r="C10" s="32" t="n">
        <v>0.3715277777777778</v>
      </c>
      <c r="D10" s="32" t="n">
        <v>0.4340277777777778</v>
      </c>
      <c r="E10" s="33" t="inlineStr">
        <is>
          <t>Urologia</t>
        </is>
      </c>
      <c r="F10" s="33" t="inlineStr">
        <is>
          <t>Nefrolitotripsia</t>
        </is>
      </c>
      <c r="G10" s="33" t="inlineStr">
        <is>
          <t>Dra. Bernardes</t>
        </is>
      </c>
      <c r="H10" s="31" t="inlineStr">
        <is>
          <t>Agendada</t>
        </is>
      </c>
      <c r="I10" s="20">
        <f>IF(OR($B10="",NOT(ISNUMBER($C10)),NOT(ISNUMBER($D10))),"",ROUND(MOD($D10-$C10,1)*1440,0))</f>
        <v/>
      </c>
      <c r="J10" s="20">
        <f>IF(NOT(ISNUMBER($I10)),0,IF(OR($I10&lt;=0,$H10="Cancelada",$H10="Suspensa"),0,$I10+Limpeza_Min))</f>
        <v/>
      </c>
      <c r="K10" s="20">
        <f>IF($J10&lt;=0,"",SUMPRODUCT((Mapa_Sala=$B10)*(Mapa_Data=$A10)*(Mapa_MinOcup&gt;0)*((Mapa_RelIni&lt;$P10)+((Mapa_RelIni=$P10)*(Mapa_Row&lt;=$S10)))))</f>
        <v/>
      </c>
      <c r="L10" s="34">
        <f>IF($J10&lt;=0,"",MOD(Turno_Ini+($Q10+Limpeza_Min)/1440,1))</f>
        <v/>
      </c>
      <c r="M10" s="20">
        <f>IF($J10&lt;=0,"",MAX(0,IFERROR(INDEX(Mapa_RelIni,MATCH($B10&amp;"#"&amp;$A10&amp;"#"&amp;($K10+1),Mapa_Chave,0)),Turno_Min)-($Q10+Limpeza_Min)))</f>
        <v/>
      </c>
      <c r="N10" s="14">
        <f>IF($B10="","",IF($O10="","OK",LEFT($O10,LEN($O10)-3)))</f>
        <v/>
      </c>
      <c r="O10" s="35">
        <f>IF($B10="","",IF(COUNTIF(Postos_Cod,$B10)=0,"Sala não cadastrada | ","")&amp;IF(AND(COUNTIF(Postos_Cod,$B10)&gt;0,IFERROR(INDEX(Postos_Tipo,MATCH($B10,Postos_Cod,0)),"")&lt;&gt;"Sala cirúrgica"),"Posto não é sala cirúrgica | ","")&amp;IF(COUNTIF(Esp_Nome,$E10)=0,"Especialidade não cadastrada | ","")&amp;IF(COUNTIF(Lista_StatusCir,$H10)=0,"Status inválido | ","")&amp;IF(OR(NOT(ISNUMBER($C10)),NOT(ISNUMBER($D10))),"Horário inválido | ","")&amp;IFERROR(IF(AND(ISNUMBER($C10),ISNUMBER($D10),MOD($D10-$C10,1)*1440&lt;=0),"Duração nula ou negativa | ",""),"")&amp;IF(AND($J10&gt;0,OR($P10&gt;=Turno_Min,$Q10&gt;Turno_Min)),"Fora da janela do plantão | ","")&amp;IF(AND($J10&gt;0,SUMPRODUCT((Mapa_Sala=$B10)*(Mapa_Data=$A10)*(Mapa_MinOcup&gt;0)*(Mapa_RelIni&lt;$Q10)*(Mapa_RelFim&gt;$P10))&gt;1),"Sobreposição de horário na sala | ","")&amp;IFERROR(IF(AND(ISNUMBER($I10),$I10&gt;0,COUNTIF(Esp_Nome,$E10)&gt;0,$I10&gt;3*INDEX(Esp_Dur,MATCH($E10,Esp_Nome,0))),"Duração atípica (&gt;3x a média) | ",""),""))</f>
        <v/>
      </c>
      <c r="P10" s="19">
        <f>IF(NOT(ISNUMBER($C10)),0,ROUND(MOD($C10-Turno_Ini,1)*1440,0))</f>
        <v/>
      </c>
      <c r="Q10" s="19">
        <f>IF($J10&lt;=0,0,$P10+$I10)</f>
        <v/>
      </c>
      <c r="R10" s="19">
        <f>IF($K10="","",$B10&amp;"#"&amp;$A10&amp;"#"&amp;$K10)</f>
        <v/>
      </c>
      <c r="S10" s="19">
        <f>ROW()</f>
        <v/>
      </c>
      <c r="T10" s="19">
        <f>IF($J10&lt;=0,0,MAX(0,MIN($P10+$I10+Limpeza_Min,Turno_Min,IFERROR(INDEX(Mapa_RelIni,MATCH($B10&amp;"#"&amp;$A10&amp;"#"&amp;($K10+1),Mapa_Chave,0)),Turno_Min))-MIN($P10,Turno_Min)))</f>
        <v/>
      </c>
    </row>
    <row r="11">
      <c r="A11" s="30" t="n">
        <v>46254</v>
      </c>
      <c r="B11" s="31" t="inlineStr">
        <is>
          <t>SO-05</t>
        </is>
      </c>
      <c r="C11" s="32" t="n">
        <v>0.4479166666666667</v>
      </c>
      <c r="D11" s="32" t="n">
        <v>0.5034722222222222</v>
      </c>
      <c r="E11" s="33" t="inlineStr">
        <is>
          <t>Ginecologia</t>
        </is>
      </c>
      <c r="F11" s="33" t="inlineStr">
        <is>
          <t>Histerectomia total</t>
        </is>
      </c>
      <c r="G11" s="33" t="inlineStr">
        <is>
          <t>Dra. Delgado</t>
        </is>
      </c>
      <c r="H11" s="31" t="inlineStr">
        <is>
          <t>Agendada</t>
        </is>
      </c>
      <c r="I11" s="20">
        <f>IF(OR($B11="",NOT(ISNUMBER($C11)),NOT(ISNUMBER($D11))),"",ROUND(MOD($D11-$C11,1)*1440,0))</f>
        <v/>
      </c>
      <c r="J11" s="20">
        <f>IF(NOT(ISNUMBER($I11)),0,IF(OR($I11&lt;=0,$H11="Cancelada",$H11="Suspensa"),0,$I11+Limpeza_Min))</f>
        <v/>
      </c>
      <c r="K11" s="20">
        <f>IF($J11&lt;=0,"",SUMPRODUCT((Mapa_Sala=$B11)*(Mapa_Data=$A11)*(Mapa_MinOcup&gt;0)*((Mapa_RelIni&lt;$P11)+((Mapa_RelIni=$P11)*(Mapa_Row&lt;=$S11)))))</f>
        <v/>
      </c>
      <c r="L11" s="34">
        <f>IF($J11&lt;=0,"",MOD(Turno_Ini+($Q11+Limpeza_Min)/1440,1))</f>
        <v/>
      </c>
      <c r="M11" s="20">
        <f>IF($J11&lt;=0,"",MAX(0,IFERROR(INDEX(Mapa_RelIni,MATCH($B11&amp;"#"&amp;$A11&amp;"#"&amp;($K11+1),Mapa_Chave,0)),Turno_Min)-($Q11+Limpeza_Min)))</f>
        <v/>
      </c>
      <c r="N11" s="14">
        <f>IF($B11="","",IF($O11="","OK",LEFT($O11,LEN($O11)-3)))</f>
        <v/>
      </c>
      <c r="O11" s="35">
        <f>IF($B11="","",IF(COUNTIF(Postos_Cod,$B11)=0,"Sala não cadastrada | ","")&amp;IF(AND(COUNTIF(Postos_Cod,$B11)&gt;0,IFERROR(INDEX(Postos_Tipo,MATCH($B11,Postos_Cod,0)),"")&lt;&gt;"Sala cirúrgica"),"Posto não é sala cirúrgica | ","")&amp;IF(COUNTIF(Esp_Nome,$E11)=0,"Especialidade não cadastrada | ","")&amp;IF(COUNTIF(Lista_StatusCir,$H11)=0,"Status inválido | ","")&amp;IF(OR(NOT(ISNUMBER($C11)),NOT(ISNUMBER($D11))),"Horário inválido | ","")&amp;IFERROR(IF(AND(ISNUMBER($C11),ISNUMBER($D11),MOD($D11-$C11,1)*1440&lt;=0),"Duração nula ou negativa | ",""),"")&amp;IF(AND($J11&gt;0,OR($P11&gt;=Turno_Min,$Q11&gt;Turno_Min)),"Fora da janela do plantão | ","")&amp;IF(AND($J11&gt;0,SUMPRODUCT((Mapa_Sala=$B11)*(Mapa_Data=$A11)*(Mapa_MinOcup&gt;0)*(Mapa_RelIni&lt;$Q11)*(Mapa_RelFim&gt;$P11))&gt;1),"Sobreposição de horário na sala | ","")&amp;IFERROR(IF(AND(ISNUMBER($I11),$I11&gt;0,COUNTIF(Esp_Nome,$E11)&gt;0,$I11&gt;3*INDEX(Esp_Dur,MATCH($E11,Esp_Nome,0))),"Duração atípica (&gt;3x a média) | ",""),""))</f>
        <v/>
      </c>
      <c r="P11" s="19">
        <f>IF(NOT(ISNUMBER($C11)),0,ROUND(MOD($C11-Turno_Ini,1)*1440,0))</f>
        <v/>
      </c>
      <c r="Q11" s="19">
        <f>IF($J11&lt;=0,0,$P11+$I11)</f>
        <v/>
      </c>
      <c r="R11" s="19">
        <f>IF($K11="","",$B11&amp;"#"&amp;$A11&amp;"#"&amp;$K11)</f>
        <v/>
      </c>
      <c r="S11" s="19">
        <f>ROW()</f>
        <v/>
      </c>
      <c r="T11" s="19">
        <f>IF($J11&lt;=0,0,MAX(0,MIN($P11+$I11+Limpeza_Min,Turno_Min,IFERROR(INDEX(Mapa_RelIni,MATCH($B11&amp;"#"&amp;$A11&amp;"#"&amp;($K11+1),Mapa_Chave,0)),Turno_Min))-MIN($P11,Turno_Min)))</f>
        <v/>
      </c>
    </row>
    <row r="12">
      <c r="A12" s="30" t="n">
        <v>46254</v>
      </c>
      <c r="B12" s="31" t="inlineStr">
        <is>
          <t>SO-06</t>
        </is>
      </c>
      <c r="C12" s="32" t="n">
        <v>0.2916666666666667</v>
      </c>
      <c r="D12" s="32" t="n">
        <v>0.3368055555555556</v>
      </c>
      <c r="E12" s="33" t="inlineStr">
        <is>
          <t>Cesariana</t>
        </is>
      </c>
      <c r="F12" s="33" t="inlineStr">
        <is>
          <t>Cesariana</t>
        </is>
      </c>
      <c r="G12" s="33" t="inlineStr">
        <is>
          <t>Dr. Coelho</t>
        </is>
      </c>
      <c r="H12" s="31" t="inlineStr">
        <is>
          <t>Agendada</t>
        </is>
      </c>
      <c r="I12" s="20">
        <f>IF(OR($B12="",NOT(ISNUMBER($C12)),NOT(ISNUMBER($D12))),"",ROUND(MOD($D12-$C12,1)*1440,0))</f>
        <v/>
      </c>
      <c r="J12" s="20">
        <f>IF(NOT(ISNUMBER($I12)),0,IF(OR($I12&lt;=0,$H12="Cancelada",$H12="Suspensa"),0,$I12+Limpeza_Min))</f>
        <v/>
      </c>
      <c r="K12" s="20">
        <f>IF($J12&lt;=0,"",SUMPRODUCT((Mapa_Sala=$B12)*(Mapa_Data=$A12)*(Mapa_MinOcup&gt;0)*((Mapa_RelIni&lt;$P12)+((Mapa_RelIni=$P12)*(Mapa_Row&lt;=$S12)))))</f>
        <v/>
      </c>
      <c r="L12" s="34">
        <f>IF($J12&lt;=0,"",MOD(Turno_Ini+($Q12+Limpeza_Min)/1440,1))</f>
        <v/>
      </c>
      <c r="M12" s="20">
        <f>IF($J12&lt;=0,"",MAX(0,IFERROR(INDEX(Mapa_RelIni,MATCH($B12&amp;"#"&amp;$A12&amp;"#"&amp;($K12+1),Mapa_Chave,0)),Turno_Min)-($Q12+Limpeza_Min)))</f>
        <v/>
      </c>
      <c r="N12" s="14">
        <f>IF($B12="","",IF($O12="","OK",LEFT($O12,LEN($O12)-3)))</f>
        <v/>
      </c>
      <c r="O12" s="35">
        <f>IF($B12="","",IF(COUNTIF(Postos_Cod,$B12)=0,"Sala não cadastrada | ","")&amp;IF(AND(COUNTIF(Postos_Cod,$B12)&gt;0,IFERROR(INDEX(Postos_Tipo,MATCH($B12,Postos_Cod,0)),"")&lt;&gt;"Sala cirúrgica"),"Posto não é sala cirúrgica | ","")&amp;IF(COUNTIF(Esp_Nome,$E12)=0,"Especialidade não cadastrada | ","")&amp;IF(COUNTIF(Lista_StatusCir,$H12)=0,"Status inválido | ","")&amp;IF(OR(NOT(ISNUMBER($C12)),NOT(ISNUMBER($D12))),"Horário inválido | ","")&amp;IFERROR(IF(AND(ISNUMBER($C12),ISNUMBER($D12),MOD($D12-$C12,1)*1440&lt;=0),"Duração nula ou negativa | ",""),"")&amp;IF(AND($J12&gt;0,OR($P12&gt;=Turno_Min,$Q12&gt;Turno_Min)),"Fora da janela do plantão | ","")&amp;IF(AND($J12&gt;0,SUMPRODUCT((Mapa_Sala=$B12)*(Mapa_Data=$A12)*(Mapa_MinOcup&gt;0)*(Mapa_RelIni&lt;$Q12)*(Mapa_RelFim&gt;$P12))&gt;1),"Sobreposição de horário na sala | ","")&amp;IFERROR(IF(AND(ISNUMBER($I12),$I12&gt;0,COUNTIF(Esp_Nome,$E12)&gt;0,$I12&gt;3*INDEX(Esp_Dur,MATCH($E12,Esp_Nome,0))),"Duração atípica (&gt;3x a média) | ",""),""))</f>
        <v/>
      </c>
      <c r="P12" s="19">
        <f>IF(NOT(ISNUMBER($C12)),0,ROUND(MOD($C12-Turno_Ini,1)*1440,0))</f>
        <v/>
      </c>
      <c r="Q12" s="19">
        <f>IF($J12&lt;=0,0,$P12+$I12)</f>
        <v/>
      </c>
      <c r="R12" s="19">
        <f>IF($K12="","",$B12&amp;"#"&amp;$A12&amp;"#"&amp;$K12)</f>
        <v/>
      </c>
      <c r="S12" s="19">
        <f>ROW()</f>
        <v/>
      </c>
      <c r="T12" s="19">
        <f>IF($J12&lt;=0,0,MAX(0,MIN($P12+$I12+Limpeza_Min,Turno_Min,IFERROR(INDEX(Mapa_RelIni,MATCH($B12&amp;"#"&amp;$A12&amp;"#"&amp;($K12+1),Mapa_Chave,0)),Turno_Min))-MIN($P12,Turno_Min)))</f>
        <v/>
      </c>
    </row>
    <row r="13">
      <c r="A13" s="30" t="n">
        <v>46254</v>
      </c>
      <c r="B13" s="31" t="inlineStr">
        <is>
          <t>SO-06</t>
        </is>
      </c>
      <c r="C13" s="32" t="n">
        <v>0.3506944444444444</v>
      </c>
      <c r="D13" s="32" t="n">
        <v>0.3854166666666667</v>
      </c>
      <c r="E13" s="33" t="inlineStr">
        <is>
          <t>Cesariana</t>
        </is>
      </c>
      <c r="F13" s="33" t="inlineStr">
        <is>
          <t>Cesariana com laqueadura</t>
        </is>
      </c>
      <c r="G13" s="33" t="inlineStr">
        <is>
          <t>Dr. Esteves</t>
        </is>
      </c>
      <c r="H13" s="31" t="inlineStr">
        <is>
          <t>Agendada</t>
        </is>
      </c>
      <c r="I13" s="20">
        <f>IF(OR($B13="",NOT(ISNUMBER($C13)),NOT(ISNUMBER($D13))),"",ROUND(MOD($D13-$C13,1)*1440,0))</f>
        <v/>
      </c>
      <c r="J13" s="20">
        <f>IF(NOT(ISNUMBER($I13)),0,IF(OR($I13&lt;=0,$H13="Cancelada",$H13="Suspensa"),0,$I13+Limpeza_Min))</f>
        <v/>
      </c>
      <c r="K13" s="20">
        <f>IF($J13&lt;=0,"",SUMPRODUCT((Mapa_Sala=$B13)*(Mapa_Data=$A13)*(Mapa_MinOcup&gt;0)*((Mapa_RelIni&lt;$P13)+((Mapa_RelIni=$P13)*(Mapa_Row&lt;=$S13)))))</f>
        <v/>
      </c>
      <c r="L13" s="34">
        <f>IF($J13&lt;=0,"",MOD(Turno_Ini+($Q13+Limpeza_Min)/1440,1))</f>
        <v/>
      </c>
      <c r="M13" s="20">
        <f>IF($J13&lt;=0,"",MAX(0,IFERROR(INDEX(Mapa_RelIni,MATCH($B13&amp;"#"&amp;$A13&amp;"#"&amp;($K13+1),Mapa_Chave,0)),Turno_Min)-($Q13+Limpeza_Min)))</f>
        <v/>
      </c>
      <c r="N13" s="14">
        <f>IF($B13="","",IF($O13="","OK",LEFT($O13,LEN($O13)-3)))</f>
        <v/>
      </c>
      <c r="O13" s="35">
        <f>IF($B13="","",IF(COUNTIF(Postos_Cod,$B13)=0,"Sala não cadastrada | ","")&amp;IF(AND(COUNTIF(Postos_Cod,$B13)&gt;0,IFERROR(INDEX(Postos_Tipo,MATCH($B13,Postos_Cod,0)),"")&lt;&gt;"Sala cirúrgica"),"Posto não é sala cirúrgica | ","")&amp;IF(COUNTIF(Esp_Nome,$E13)=0,"Especialidade não cadastrada | ","")&amp;IF(COUNTIF(Lista_StatusCir,$H13)=0,"Status inválido | ","")&amp;IF(OR(NOT(ISNUMBER($C13)),NOT(ISNUMBER($D13))),"Horário inválido | ","")&amp;IFERROR(IF(AND(ISNUMBER($C13),ISNUMBER($D13),MOD($D13-$C13,1)*1440&lt;=0),"Duração nula ou negativa | ",""),"")&amp;IF(AND($J13&gt;0,OR($P13&gt;=Turno_Min,$Q13&gt;Turno_Min)),"Fora da janela do plantão | ","")&amp;IF(AND($J13&gt;0,SUMPRODUCT((Mapa_Sala=$B13)*(Mapa_Data=$A13)*(Mapa_MinOcup&gt;0)*(Mapa_RelIni&lt;$Q13)*(Mapa_RelFim&gt;$P13))&gt;1),"Sobreposição de horário na sala | ","")&amp;IFERROR(IF(AND(ISNUMBER($I13),$I13&gt;0,COUNTIF(Esp_Nome,$E13)&gt;0,$I13&gt;3*INDEX(Esp_Dur,MATCH($E13,Esp_Nome,0))),"Duração atípica (&gt;3x a média) | ",""),""))</f>
        <v/>
      </c>
      <c r="P13" s="19">
        <f>IF(NOT(ISNUMBER($C13)),0,ROUND(MOD($C13-Turno_Ini,1)*1440,0))</f>
        <v/>
      </c>
      <c r="Q13" s="19">
        <f>IF($J13&lt;=0,0,$P13+$I13)</f>
        <v/>
      </c>
      <c r="R13" s="19">
        <f>IF($K13="","",$B13&amp;"#"&amp;$A13&amp;"#"&amp;$K13)</f>
        <v/>
      </c>
      <c r="S13" s="19">
        <f>ROW()</f>
        <v/>
      </c>
      <c r="T13" s="19">
        <f>IF($J13&lt;=0,0,MAX(0,MIN($P13+$I13+Limpeza_Min,Turno_Min,IFERROR(INDEX(Mapa_RelIni,MATCH($B13&amp;"#"&amp;$A13&amp;"#"&amp;($K13+1),Mapa_Chave,0)),Turno_Min))-MIN($P13,Turno_Min)))</f>
        <v/>
      </c>
    </row>
    <row r="14">
      <c r="A14" s="30" t="n">
        <v>46254</v>
      </c>
      <c r="B14" s="31" t="inlineStr">
        <is>
          <t>SO-07</t>
        </is>
      </c>
      <c r="C14" s="32" t="n">
        <v>0.2916666666666667</v>
      </c>
      <c r="D14" s="32" t="n">
        <v>0.3611111111111111</v>
      </c>
      <c r="E14" s="33" t="inlineStr">
        <is>
          <t>Cirurgia Geral</t>
        </is>
      </c>
      <c r="F14" s="33" t="inlineStr">
        <is>
          <t>Colecistectomia videolaparoscópica</t>
        </is>
      </c>
      <c r="G14" s="33" t="inlineStr">
        <is>
          <t>Dr. Esteves</t>
        </is>
      </c>
      <c r="H14" s="31" t="inlineStr">
        <is>
          <t>Agendada</t>
        </is>
      </c>
      <c r="I14" s="20">
        <f>IF(OR($B14="",NOT(ISNUMBER($C14)),NOT(ISNUMBER($D14))),"",ROUND(MOD($D14-$C14,1)*1440,0))</f>
        <v/>
      </c>
      <c r="J14" s="20">
        <f>IF(NOT(ISNUMBER($I14)),0,IF(OR($I14&lt;=0,$H14="Cancelada",$H14="Suspensa"),0,$I14+Limpeza_Min))</f>
        <v/>
      </c>
      <c r="K14" s="20">
        <f>IF($J14&lt;=0,"",SUMPRODUCT((Mapa_Sala=$B14)*(Mapa_Data=$A14)*(Mapa_MinOcup&gt;0)*((Mapa_RelIni&lt;$P14)+((Mapa_RelIni=$P14)*(Mapa_Row&lt;=$S14)))))</f>
        <v/>
      </c>
      <c r="L14" s="34">
        <f>IF($J14&lt;=0,"",MOD(Turno_Ini+($Q14+Limpeza_Min)/1440,1))</f>
        <v/>
      </c>
      <c r="M14" s="20">
        <f>IF($J14&lt;=0,"",MAX(0,IFERROR(INDEX(Mapa_RelIni,MATCH($B14&amp;"#"&amp;$A14&amp;"#"&amp;($K14+1),Mapa_Chave,0)),Turno_Min)-($Q14+Limpeza_Min)))</f>
        <v/>
      </c>
      <c r="N14" s="14">
        <f>IF($B14="","",IF($O14="","OK",LEFT($O14,LEN($O14)-3)))</f>
        <v/>
      </c>
      <c r="O14" s="35">
        <f>IF($B14="","",IF(COUNTIF(Postos_Cod,$B14)=0,"Sala não cadastrada | ","")&amp;IF(AND(COUNTIF(Postos_Cod,$B14)&gt;0,IFERROR(INDEX(Postos_Tipo,MATCH($B14,Postos_Cod,0)),"")&lt;&gt;"Sala cirúrgica"),"Posto não é sala cirúrgica | ","")&amp;IF(COUNTIF(Esp_Nome,$E14)=0,"Especialidade não cadastrada | ","")&amp;IF(COUNTIF(Lista_StatusCir,$H14)=0,"Status inválido | ","")&amp;IF(OR(NOT(ISNUMBER($C14)),NOT(ISNUMBER($D14))),"Horário inválido | ","")&amp;IFERROR(IF(AND(ISNUMBER($C14),ISNUMBER($D14),MOD($D14-$C14,1)*1440&lt;=0),"Duração nula ou negativa | ",""),"")&amp;IF(AND($J14&gt;0,OR($P14&gt;=Turno_Min,$Q14&gt;Turno_Min)),"Fora da janela do plantão | ","")&amp;IF(AND($J14&gt;0,SUMPRODUCT((Mapa_Sala=$B14)*(Mapa_Data=$A14)*(Mapa_MinOcup&gt;0)*(Mapa_RelIni&lt;$Q14)*(Mapa_RelFim&gt;$P14))&gt;1),"Sobreposição de horário na sala | ","")&amp;IFERROR(IF(AND(ISNUMBER($I14),$I14&gt;0,COUNTIF(Esp_Nome,$E14)&gt;0,$I14&gt;3*INDEX(Esp_Dur,MATCH($E14,Esp_Nome,0))),"Duração atípica (&gt;3x a média) | ",""),""))</f>
        <v/>
      </c>
      <c r="P14" s="19">
        <f>IF(NOT(ISNUMBER($C14)),0,ROUND(MOD($C14-Turno_Ini,1)*1440,0))</f>
        <v/>
      </c>
      <c r="Q14" s="19">
        <f>IF($J14&lt;=0,0,$P14+$I14)</f>
        <v/>
      </c>
      <c r="R14" s="19">
        <f>IF($K14="","",$B14&amp;"#"&amp;$A14&amp;"#"&amp;$K14)</f>
        <v/>
      </c>
      <c r="S14" s="19">
        <f>ROW()</f>
        <v/>
      </c>
      <c r="T14" s="19">
        <f>IF($J14&lt;=0,0,MAX(0,MIN($P14+$I14+Limpeza_Min,Turno_Min,IFERROR(INDEX(Mapa_RelIni,MATCH($B14&amp;"#"&amp;$A14&amp;"#"&amp;($K14+1),Mapa_Chave,0)),Turno_Min))-MIN($P14,Turno_Min)))</f>
        <v/>
      </c>
    </row>
    <row r="15">
      <c r="A15" s="30" t="n">
        <v>46254</v>
      </c>
      <c r="B15" s="31" t="inlineStr">
        <is>
          <t>SO-08</t>
        </is>
      </c>
      <c r="C15" s="32" t="n">
        <v>0.2916666666666667</v>
      </c>
      <c r="D15" s="32" t="n">
        <v>0.3263888888888889</v>
      </c>
      <c r="E15" s="33" t="inlineStr">
        <is>
          <t>Oftalmologia</t>
        </is>
      </c>
      <c r="F15" s="33" t="inlineStr">
        <is>
          <t>Facectomia com implante de LIO</t>
        </is>
      </c>
      <c r="G15" s="33" t="inlineStr">
        <is>
          <t>Dra. Fialho</t>
        </is>
      </c>
      <c r="H15" s="31" t="inlineStr">
        <is>
          <t>Agendada</t>
        </is>
      </c>
      <c r="I15" s="20">
        <f>IF(OR($B15="",NOT(ISNUMBER($C15)),NOT(ISNUMBER($D15))),"",ROUND(MOD($D15-$C15,1)*1440,0))</f>
        <v/>
      </c>
      <c r="J15" s="20">
        <f>IF(NOT(ISNUMBER($I15)),0,IF(OR($I15&lt;=0,$H15="Cancelada",$H15="Suspensa"),0,$I15+Limpeza_Min))</f>
        <v/>
      </c>
      <c r="K15" s="20">
        <f>IF($J15&lt;=0,"",SUMPRODUCT((Mapa_Sala=$B15)*(Mapa_Data=$A15)*(Mapa_MinOcup&gt;0)*((Mapa_RelIni&lt;$P15)+((Mapa_RelIni=$P15)*(Mapa_Row&lt;=$S15)))))</f>
        <v/>
      </c>
      <c r="L15" s="34">
        <f>IF($J15&lt;=0,"",MOD(Turno_Ini+($Q15+Limpeza_Min)/1440,1))</f>
        <v/>
      </c>
      <c r="M15" s="20">
        <f>IF($J15&lt;=0,"",MAX(0,IFERROR(INDEX(Mapa_RelIni,MATCH($B15&amp;"#"&amp;$A15&amp;"#"&amp;($K15+1),Mapa_Chave,0)),Turno_Min)-($Q15+Limpeza_Min)))</f>
        <v/>
      </c>
      <c r="N15" s="14">
        <f>IF($B15="","",IF($O15="","OK",LEFT($O15,LEN($O15)-3)))</f>
        <v/>
      </c>
      <c r="O15" s="35">
        <f>IF($B15="","",IF(COUNTIF(Postos_Cod,$B15)=0,"Sala não cadastrada | ","")&amp;IF(AND(COUNTIF(Postos_Cod,$B15)&gt;0,IFERROR(INDEX(Postos_Tipo,MATCH($B15,Postos_Cod,0)),"")&lt;&gt;"Sala cirúrgica"),"Posto não é sala cirúrgica | ","")&amp;IF(COUNTIF(Esp_Nome,$E15)=0,"Especialidade não cadastrada | ","")&amp;IF(COUNTIF(Lista_StatusCir,$H15)=0,"Status inválido | ","")&amp;IF(OR(NOT(ISNUMBER($C15)),NOT(ISNUMBER($D15))),"Horário inválido | ","")&amp;IFERROR(IF(AND(ISNUMBER($C15),ISNUMBER($D15),MOD($D15-$C15,1)*1440&lt;=0),"Duração nula ou negativa | ",""),"")&amp;IF(AND($J15&gt;0,OR($P15&gt;=Turno_Min,$Q15&gt;Turno_Min)),"Fora da janela do plantão | ","")&amp;IF(AND($J15&gt;0,SUMPRODUCT((Mapa_Sala=$B15)*(Mapa_Data=$A15)*(Mapa_MinOcup&gt;0)*(Mapa_RelIni&lt;$Q15)*(Mapa_RelFim&gt;$P15))&gt;1),"Sobreposição de horário na sala | ","")&amp;IFERROR(IF(AND(ISNUMBER($I15),$I15&gt;0,COUNTIF(Esp_Nome,$E15)&gt;0,$I15&gt;3*INDEX(Esp_Dur,MATCH($E15,Esp_Nome,0))),"Duração atípica (&gt;3x a média) | ",""),""))</f>
        <v/>
      </c>
      <c r="P15" s="19">
        <f>IF(NOT(ISNUMBER($C15)),0,ROUND(MOD($C15-Turno_Ini,1)*1440,0))</f>
        <v/>
      </c>
      <c r="Q15" s="19">
        <f>IF($J15&lt;=0,0,$P15+$I15)</f>
        <v/>
      </c>
      <c r="R15" s="19">
        <f>IF($K15="","",$B15&amp;"#"&amp;$A15&amp;"#"&amp;$K15)</f>
        <v/>
      </c>
      <c r="S15" s="19">
        <f>ROW()</f>
        <v/>
      </c>
      <c r="T15" s="19">
        <f>IF($J15&lt;=0,0,MAX(0,MIN($P15+$I15+Limpeza_Min,Turno_Min,IFERROR(INDEX(Mapa_RelIni,MATCH($B15&amp;"#"&amp;$A15&amp;"#"&amp;($K15+1),Mapa_Chave,0)),Turno_Min))-MIN($P15,Turno_Min)))</f>
        <v/>
      </c>
    </row>
    <row r="16">
      <c r="A16" s="30" t="n">
        <v>46254</v>
      </c>
      <c r="B16" s="31" t="inlineStr">
        <is>
          <t>SO-08</t>
        </is>
      </c>
      <c r="C16" s="32" t="n">
        <v>0.3402777777777778</v>
      </c>
      <c r="D16" s="32" t="n">
        <v>0.3854166666666667</v>
      </c>
      <c r="E16" s="33" t="inlineStr">
        <is>
          <t>Otorrinolaringologia</t>
        </is>
      </c>
      <c r="F16" s="33" t="inlineStr">
        <is>
          <t>Septoplastia</t>
        </is>
      </c>
      <c r="G16" s="33" t="inlineStr">
        <is>
          <t>Dra. Hirano</t>
        </is>
      </c>
      <c r="H16" s="31" t="inlineStr">
        <is>
          <t>Agendada</t>
        </is>
      </c>
      <c r="I16" s="20">
        <f>IF(OR($B16="",NOT(ISNUMBER($C16)),NOT(ISNUMBER($D16))),"",ROUND(MOD($D16-$C16,1)*1440,0))</f>
        <v/>
      </c>
      <c r="J16" s="20">
        <f>IF(NOT(ISNUMBER($I16)),0,IF(OR($I16&lt;=0,$H16="Cancelada",$H16="Suspensa"),0,$I16+Limpeza_Min))</f>
        <v/>
      </c>
      <c r="K16" s="20">
        <f>IF($J16&lt;=0,"",SUMPRODUCT((Mapa_Sala=$B16)*(Mapa_Data=$A16)*(Mapa_MinOcup&gt;0)*((Mapa_RelIni&lt;$P16)+((Mapa_RelIni=$P16)*(Mapa_Row&lt;=$S16)))))</f>
        <v/>
      </c>
      <c r="L16" s="34">
        <f>IF($J16&lt;=0,"",MOD(Turno_Ini+($Q16+Limpeza_Min)/1440,1))</f>
        <v/>
      </c>
      <c r="M16" s="20">
        <f>IF($J16&lt;=0,"",MAX(0,IFERROR(INDEX(Mapa_RelIni,MATCH($B16&amp;"#"&amp;$A16&amp;"#"&amp;($K16+1),Mapa_Chave,0)),Turno_Min)-($Q16+Limpeza_Min)))</f>
        <v/>
      </c>
      <c r="N16" s="14">
        <f>IF($B16="","",IF($O16="","OK",LEFT($O16,LEN($O16)-3)))</f>
        <v/>
      </c>
      <c r="O16" s="35">
        <f>IF($B16="","",IF(COUNTIF(Postos_Cod,$B16)=0,"Sala não cadastrada | ","")&amp;IF(AND(COUNTIF(Postos_Cod,$B16)&gt;0,IFERROR(INDEX(Postos_Tipo,MATCH($B16,Postos_Cod,0)),"")&lt;&gt;"Sala cirúrgica"),"Posto não é sala cirúrgica | ","")&amp;IF(COUNTIF(Esp_Nome,$E16)=0,"Especialidade não cadastrada | ","")&amp;IF(COUNTIF(Lista_StatusCir,$H16)=0,"Status inválido | ","")&amp;IF(OR(NOT(ISNUMBER($C16)),NOT(ISNUMBER($D16))),"Horário inválido | ","")&amp;IFERROR(IF(AND(ISNUMBER($C16),ISNUMBER($D16),MOD($D16-$C16,1)*1440&lt;=0),"Duração nula ou negativa | ",""),"")&amp;IF(AND($J16&gt;0,OR($P16&gt;=Turno_Min,$Q16&gt;Turno_Min)),"Fora da janela do plantão | ","")&amp;IF(AND($J16&gt;0,SUMPRODUCT((Mapa_Sala=$B16)*(Mapa_Data=$A16)*(Mapa_MinOcup&gt;0)*(Mapa_RelIni&lt;$Q16)*(Mapa_RelFim&gt;$P16))&gt;1),"Sobreposição de horário na sala | ","")&amp;IFERROR(IF(AND(ISNUMBER($I16),$I16&gt;0,COUNTIF(Esp_Nome,$E16)&gt;0,$I16&gt;3*INDEX(Esp_Dur,MATCH($E16,Esp_Nome,0))),"Duração atípica (&gt;3x a média) | ",""),""))</f>
        <v/>
      </c>
      <c r="P16" s="19">
        <f>IF(NOT(ISNUMBER($C16)),0,ROUND(MOD($C16-Turno_Ini,1)*1440,0))</f>
        <v/>
      </c>
      <c r="Q16" s="19">
        <f>IF($J16&lt;=0,0,$P16+$I16)</f>
        <v/>
      </c>
      <c r="R16" s="19">
        <f>IF($K16="","",$B16&amp;"#"&amp;$A16&amp;"#"&amp;$K16)</f>
        <v/>
      </c>
      <c r="S16" s="19">
        <f>ROW()</f>
        <v/>
      </c>
      <c r="T16" s="19">
        <f>IF($J16&lt;=0,0,MAX(0,MIN($P16+$I16+Limpeza_Min,Turno_Min,IFERROR(INDEX(Mapa_RelIni,MATCH($B16&amp;"#"&amp;$A16&amp;"#"&amp;($K16+1),Mapa_Chave,0)),Turno_Min))-MIN($P16,Turno_Min)))</f>
        <v/>
      </c>
    </row>
    <row r="17">
      <c r="A17" s="30" t="n">
        <v>46254</v>
      </c>
      <c r="B17" s="31" t="inlineStr">
        <is>
          <t>SO-08</t>
        </is>
      </c>
      <c r="C17" s="32" t="n">
        <v>0.3993055555555556</v>
      </c>
      <c r="D17" s="32" t="n">
        <v>0.4791666666666667</v>
      </c>
      <c r="E17" s="33" t="inlineStr">
        <is>
          <t>Buco-Maxilo-Facial</t>
        </is>
      </c>
      <c r="F17" s="33" t="inlineStr">
        <is>
          <t>Osteotomia mandibular</t>
        </is>
      </c>
      <c r="G17" s="33" t="inlineStr">
        <is>
          <t>Dra. Bernardes</t>
        </is>
      </c>
      <c r="H17" s="31" t="inlineStr">
        <is>
          <t>Agendada</t>
        </is>
      </c>
      <c r="I17" s="20">
        <f>IF(OR($B17="",NOT(ISNUMBER($C17)),NOT(ISNUMBER($D17))),"",ROUND(MOD($D17-$C17,1)*1440,0))</f>
        <v/>
      </c>
      <c r="J17" s="20">
        <f>IF(NOT(ISNUMBER($I17)),0,IF(OR($I17&lt;=0,$H17="Cancelada",$H17="Suspensa"),0,$I17+Limpeza_Min))</f>
        <v/>
      </c>
      <c r="K17" s="20">
        <f>IF($J17&lt;=0,"",SUMPRODUCT((Mapa_Sala=$B17)*(Mapa_Data=$A17)*(Mapa_MinOcup&gt;0)*((Mapa_RelIni&lt;$P17)+((Mapa_RelIni=$P17)*(Mapa_Row&lt;=$S17)))))</f>
        <v/>
      </c>
      <c r="L17" s="34">
        <f>IF($J17&lt;=0,"",MOD(Turno_Ini+($Q17+Limpeza_Min)/1440,1))</f>
        <v/>
      </c>
      <c r="M17" s="20">
        <f>IF($J17&lt;=0,"",MAX(0,IFERROR(INDEX(Mapa_RelIni,MATCH($B17&amp;"#"&amp;$A17&amp;"#"&amp;($K17+1),Mapa_Chave,0)),Turno_Min)-($Q17+Limpeza_Min)))</f>
        <v/>
      </c>
      <c r="N17" s="14">
        <f>IF($B17="","",IF($O17="","OK",LEFT($O17,LEN($O17)-3)))</f>
        <v/>
      </c>
      <c r="O17" s="35">
        <f>IF($B17="","",IF(COUNTIF(Postos_Cod,$B17)=0,"Sala não cadastrada | ","")&amp;IF(AND(COUNTIF(Postos_Cod,$B17)&gt;0,IFERROR(INDEX(Postos_Tipo,MATCH($B17,Postos_Cod,0)),"")&lt;&gt;"Sala cirúrgica"),"Posto não é sala cirúrgica | ","")&amp;IF(COUNTIF(Esp_Nome,$E17)=0,"Especialidade não cadastrada | ","")&amp;IF(COUNTIF(Lista_StatusCir,$H17)=0,"Status inválido | ","")&amp;IF(OR(NOT(ISNUMBER($C17)),NOT(ISNUMBER($D17))),"Horário inválido | ","")&amp;IFERROR(IF(AND(ISNUMBER($C17),ISNUMBER($D17),MOD($D17-$C17,1)*1440&lt;=0),"Duração nula ou negativa | ",""),"")&amp;IF(AND($J17&gt;0,OR($P17&gt;=Turno_Min,$Q17&gt;Turno_Min)),"Fora da janela do plantão | ","")&amp;IF(AND($J17&gt;0,SUMPRODUCT((Mapa_Sala=$B17)*(Mapa_Data=$A17)*(Mapa_MinOcup&gt;0)*(Mapa_RelIni&lt;$Q17)*(Mapa_RelFim&gt;$P17))&gt;1),"Sobreposição de horário na sala | ","")&amp;IFERROR(IF(AND(ISNUMBER($I17),$I17&gt;0,COUNTIF(Esp_Nome,$E17)&gt;0,$I17&gt;3*INDEX(Esp_Dur,MATCH($E17,Esp_Nome,0))),"Duração atípica (&gt;3x a média) | ",""),""))</f>
        <v/>
      </c>
      <c r="P17" s="19">
        <f>IF(NOT(ISNUMBER($C17)),0,ROUND(MOD($C17-Turno_Ini,1)*1440,0))</f>
        <v/>
      </c>
      <c r="Q17" s="19">
        <f>IF($J17&lt;=0,0,$P17+$I17)</f>
        <v/>
      </c>
      <c r="R17" s="19">
        <f>IF($K17="","",$B17&amp;"#"&amp;$A17&amp;"#"&amp;$K17)</f>
        <v/>
      </c>
      <c r="S17" s="19">
        <f>ROW()</f>
        <v/>
      </c>
      <c r="T17" s="19">
        <f>IF($J17&lt;=0,0,MAX(0,MIN($P17+$I17+Limpeza_Min,Turno_Min,IFERROR(INDEX(Mapa_RelIni,MATCH($B17&amp;"#"&amp;$A17&amp;"#"&amp;($K17+1),Mapa_Chave,0)),Turno_Min))-MIN($P17,Turno_Min)))</f>
        <v/>
      </c>
    </row>
    <row r="18">
      <c r="A18" s="30" t="n">
        <v>46254</v>
      </c>
      <c r="B18" s="31" t="inlineStr">
        <is>
          <t>SO-08</t>
        </is>
      </c>
      <c r="C18" s="32" t="n">
        <v>0.4930555555555556</v>
      </c>
      <c r="D18" s="32" t="n">
        <v>0.5208333333333334</v>
      </c>
      <c r="E18" s="33" t="inlineStr">
        <is>
          <t>Oftalmologia</t>
        </is>
      </c>
      <c r="F18" s="33" t="inlineStr">
        <is>
          <t>Facectomia com implante de LIO</t>
        </is>
      </c>
      <c r="G18" s="33" t="inlineStr">
        <is>
          <t>Dra. Delgado</t>
        </is>
      </c>
      <c r="H18" s="31" t="inlineStr">
        <is>
          <t>Agendada</t>
        </is>
      </c>
      <c r="I18" s="20">
        <f>IF(OR($B18="",NOT(ISNUMBER($C18)),NOT(ISNUMBER($D18))),"",ROUND(MOD($D18-$C18,1)*1440,0))</f>
        <v/>
      </c>
      <c r="J18" s="20">
        <f>IF(NOT(ISNUMBER($I18)),0,IF(OR($I18&lt;=0,$H18="Cancelada",$H18="Suspensa"),0,$I18+Limpeza_Min))</f>
        <v/>
      </c>
      <c r="K18" s="20">
        <f>IF($J18&lt;=0,"",SUMPRODUCT((Mapa_Sala=$B18)*(Mapa_Data=$A18)*(Mapa_MinOcup&gt;0)*((Mapa_RelIni&lt;$P18)+((Mapa_RelIni=$P18)*(Mapa_Row&lt;=$S18)))))</f>
        <v/>
      </c>
      <c r="L18" s="34">
        <f>IF($J18&lt;=0,"",MOD(Turno_Ini+($Q18+Limpeza_Min)/1440,1))</f>
        <v/>
      </c>
      <c r="M18" s="20">
        <f>IF($J18&lt;=0,"",MAX(0,IFERROR(INDEX(Mapa_RelIni,MATCH($B18&amp;"#"&amp;$A18&amp;"#"&amp;($K18+1),Mapa_Chave,0)),Turno_Min)-($Q18+Limpeza_Min)))</f>
        <v/>
      </c>
      <c r="N18" s="14">
        <f>IF($B18="","",IF($O18="","OK",LEFT($O18,LEN($O18)-3)))</f>
        <v/>
      </c>
      <c r="O18" s="35">
        <f>IF($B18="","",IF(COUNTIF(Postos_Cod,$B18)=0,"Sala não cadastrada | ","")&amp;IF(AND(COUNTIF(Postos_Cod,$B18)&gt;0,IFERROR(INDEX(Postos_Tipo,MATCH($B18,Postos_Cod,0)),"")&lt;&gt;"Sala cirúrgica"),"Posto não é sala cirúrgica | ","")&amp;IF(COUNTIF(Esp_Nome,$E18)=0,"Especialidade não cadastrada | ","")&amp;IF(COUNTIF(Lista_StatusCir,$H18)=0,"Status inválido | ","")&amp;IF(OR(NOT(ISNUMBER($C18)),NOT(ISNUMBER($D18))),"Horário inválido | ","")&amp;IFERROR(IF(AND(ISNUMBER($C18),ISNUMBER($D18),MOD($D18-$C18,1)*1440&lt;=0),"Duração nula ou negativa | ",""),"")&amp;IF(AND($J18&gt;0,OR($P18&gt;=Turno_Min,$Q18&gt;Turno_Min)),"Fora da janela do plantão | ","")&amp;IF(AND($J18&gt;0,SUMPRODUCT((Mapa_Sala=$B18)*(Mapa_Data=$A18)*(Mapa_MinOcup&gt;0)*(Mapa_RelIni&lt;$Q18)*(Mapa_RelFim&gt;$P18))&gt;1),"Sobreposição de horário na sala | ","")&amp;IFERROR(IF(AND(ISNUMBER($I18),$I18&gt;0,COUNTIF(Esp_Nome,$E18)&gt;0,$I18&gt;3*INDEX(Esp_Dur,MATCH($E18,Esp_Nome,0))),"Duração atípica (&gt;3x a média) | ",""),""))</f>
        <v/>
      </c>
      <c r="P18" s="19">
        <f>IF(NOT(ISNUMBER($C18)),0,ROUND(MOD($C18-Turno_Ini,1)*1440,0))</f>
        <v/>
      </c>
      <c r="Q18" s="19">
        <f>IF($J18&lt;=0,0,$P18+$I18)</f>
        <v/>
      </c>
      <c r="R18" s="19">
        <f>IF($K18="","",$B18&amp;"#"&amp;$A18&amp;"#"&amp;$K18)</f>
        <v/>
      </c>
      <c r="S18" s="19">
        <f>ROW()</f>
        <v/>
      </c>
      <c r="T18" s="19">
        <f>IF($J18&lt;=0,0,MAX(0,MIN($P18+$I18+Limpeza_Min,Turno_Min,IFERROR(INDEX(Mapa_RelIni,MATCH($B18&amp;"#"&amp;$A18&amp;"#"&amp;($K18+1),Mapa_Chave,0)),Turno_Min))-MIN($P18,Turno_Min)))</f>
        <v/>
      </c>
    </row>
    <row r="19">
      <c r="A19" s="30" t="n"/>
      <c r="B19" s="31" t="n"/>
      <c r="C19" s="32" t="n"/>
      <c r="D19" s="32" t="n"/>
      <c r="E19" s="33" t="n"/>
      <c r="F19" s="33" t="n"/>
      <c r="G19" s="33" t="n"/>
      <c r="H19" s="31" t="n"/>
      <c r="I19" s="20">
        <f>IF(OR($B19="",NOT(ISNUMBER($C19)),NOT(ISNUMBER($D19))),"",ROUND(MOD($D19-$C19,1)*1440,0))</f>
        <v/>
      </c>
      <c r="J19" s="20">
        <f>IF(NOT(ISNUMBER($I19)),0,IF(OR($I19&lt;=0,$H19="Cancelada",$H19="Suspensa"),0,$I19+Limpeza_Min))</f>
        <v/>
      </c>
      <c r="K19" s="20">
        <f>IF($J19&lt;=0,"",SUMPRODUCT((Mapa_Sala=$B19)*(Mapa_Data=$A19)*(Mapa_MinOcup&gt;0)*((Mapa_RelIni&lt;$P19)+((Mapa_RelIni=$P19)*(Mapa_Row&lt;=$S19)))))</f>
        <v/>
      </c>
      <c r="L19" s="34">
        <f>IF($J19&lt;=0,"",MOD(Turno_Ini+($Q19+Limpeza_Min)/1440,1))</f>
        <v/>
      </c>
      <c r="M19" s="20">
        <f>IF($J19&lt;=0,"",MAX(0,IFERROR(INDEX(Mapa_RelIni,MATCH($B19&amp;"#"&amp;$A19&amp;"#"&amp;($K19+1),Mapa_Chave,0)),Turno_Min)-($Q19+Limpeza_Min)))</f>
        <v/>
      </c>
      <c r="N19" s="14">
        <f>IF($B19="","",IF($O19="","OK",LEFT($O19,LEN($O19)-3)))</f>
        <v/>
      </c>
      <c r="O19" s="35">
        <f>IF($B19="","",IF(COUNTIF(Postos_Cod,$B19)=0,"Sala não cadastrada | ","")&amp;IF(AND(COUNTIF(Postos_Cod,$B19)&gt;0,IFERROR(INDEX(Postos_Tipo,MATCH($B19,Postos_Cod,0)),"")&lt;&gt;"Sala cirúrgica"),"Posto não é sala cirúrgica | ","")&amp;IF(COUNTIF(Esp_Nome,$E19)=0,"Especialidade não cadastrada | ","")&amp;IF(COUNTIF(Lista_StatusCir,$H19)=0,"Status inválido | ","")&amp;IF(OR(NOT(ISNUMBER($C19)),NOT(ISNUMBER($D19))),"Horário inválido | ","")&amp;IFERROR(IF(AND(ISNUMBER($C19),ISNUMBER($D19),MOD($D19-$C19,1)*1440&lt;=0),"Duração nula ou negativa | ",""),"")&amp;IF(AND($J19&gt;0,OR($P19&gt;=Turno_Min,$Q19&gt;Turno_Min)),"Fora da janela do plantão | ","")&amp;IF(AND($J19&gt;0,SUMPRODUCT((Mapa_Sala=$B19)*(Mapa_Data=$A19)*(Mapa_MinOcup&gt;0)*(Mapa_RelIni&lt;$Q19)*(Mapa_RelFim&gt;$P19))&gt;1),"Sobreposição de horário na sala | ","")&amp;IFERROR(IF(AND(ISNUMBER($I19),$I19&gt;0,COUNTIF(Esp_Nome,$E19)&gt;0,$I19&gt;3*INDEX(Esp_Dur,MATCH($E19,Esp_Nome,0))),"Duração atípica (&gt;3x a média) | ",""),""))</f>
        <v/>
      </c>
      <c r="P19" s="19">
        <f>IF(NOT(ISNUMBER($C19)),0,ROUND(MOD($C19-Turno_Ini,1)*1440,0))</f>
        <v/>
      </c>
      <c r="Q19" s="19">
        <f>IF($J19&lt;=0,0,$P19+$I19)</f>
        <v/>
      </c>
      <c r="R19" s="19">
        <f>IF($K19="","",$B19&amp;"#"&amp;$A19&amp;"#"&amp;$K19)</f>
        <v/>
      </c>
      <c r="S19" s="19">
        <f>ROW()</f>
        <v/>
      </c>
      <c r="T19" s="19">
        <f>IF($J19&lt;=0,0,MAX(0,MIN($P19+$I19+Limpeza_Min,Turno_Min,IFERROR(INDEX(Mapa_RelIni,MATCH($B19&amp;"#"&amp;$A19&amp;"#"&amp;($K19+1),Mapa_Chave,0)),Turno_Min))-MIN($P19,Turno_Min)))</f>
        <v/>
      </c>
    </row>
    <row r="20">
      <c r="A20" s="30" t="n"/>
      <c r="B20" s="31" t="n"/>
      <c r="C20" s="32" t="n"/>
      <c r="D20" s="32" t="n"/>
      <c r="E20" s="33" t="n"/>
      <c r="F20" s="33" t="n"/>
      <c r="G20" s="33" t="n"/>
      <c r="H20" s="31" t="n"/>
      <c r="I20" s="20">
        <f>IF(OR($B20="",NOT(ISNUMBER($C20)),NOT(ISNUMBER($D20))),"",ROUND(MOD($D20-$C20,1)*1440,0))</f>
        <v/>
      </c>
      <c r="J20" s="20">
        <f>IF(NOT(ISNUMBER($I20)),0,IF(OR($I20&lt;=0,$H20="Cancelada",$H20="Suspensa"),0,$I20+Limpeza_Min))</f>
        <v/>
      </c>
      <c r="K20" s="20">
        <f>IF($J20&lt;=0,"",SUMPRODUCT((Mapa_Sala=$B20)*(Mapa_Data=$A20)*(Mapa_MinOcup&gt;0)*((Mapa_RelIni&lt;$P20)+((Mapa_RelIni=$P20)*(Mapa_Row&lt;=$S20)))))</f>
        <v/>
      </c>
      <c r="L20" s="34">
        <f>IF($J20&lt;=0,"",MOD(Turno_Ini+($Q20+Limpeza_Min)/1440,1))</f>
        <v/>
      </c>
      <c r="M20" s="20">
        <f>IF($J20&lt;=0,"",MAX(0,IFERROR(INDEX(Mapa_RelIni,MATCH($B20&amp;"#"&amp;$A20&amp;"#"&amp;($K20+1),Mapa_Chave,0)),Turno_Min)-($Q20+Limpeza_Min)))</f>
        <v/>
      </c>
      <c r="N20" s="14">
        <f>IF($B20="","",IF($O20="","OK",LEFT($O20,LEN($O20)-3)))</f>
        <v/>
      </c>
      <c r="O20" s="35">
        <f>IF($B20="","",IF(COUNTIF(Postos_Cod,$B20)=0,"Sala não cadastrada | ","")&amp;IF(AND(COUNTIF(Postos_Cod,$B20)&gt;0,IFERROR(INDEX(Postos_Tipo,MATCH($B20,Postos_Cod,0)),"")&lt;&gt;"Sala cirúrgica"),"Posto não é sala cirúrgica | ","")&amp;IF(COUNTIF(Esp_Nome,$E20)=0,"Especialidade não cadastrada | ","")&amp;IF(COUNTIF(Lista_StatusCir,$H20)=0,"Status inválido | ","")&amp;IF(OR(NOT(ISNUMBER($C20)),NOT(ISNUMBER($D20))),"Horário inválido | ","")&amp;IFERROR(IF(AND(ISNUMBER($C20),ISNUMBER($D20),MOD($D20-$C20,1)*1440&lt;=0),"Duração nula ou negativa | ",""),"")&amp;IF(AND($J20&gt;0,OR($P20&gt;=Turno_Min,$Q20&gt;Turno_Min)),"Fora da janela do plantão | ","")&amp;IF(AND($J20&gt;0,SUMPRODUCT((Mapa_Sala=$B20)*(Mapa_Data=$A20)*(Mapa_MinOcup&gt;0)*(Mapa_RelIni&lt;$Q20)*(Mapa_RelFim&gt;$P20))&gt;1),"Sobreposição de horário na sala | ","")&amp;IFERROR(IF(AND(ISNUMBER($I20),$I20&gt;0,COUNTIF(Esp_Nome,$E20)&gt;0,$I20&gt;3*INDEX(Esp_Dur,MATCH($E20,Esp_Nome,0))),"Duração atípica (&gt;3x a média) | ",""),""))</f>
        <v/>
      </c>
      <c r="P20" s="19">
        <f>IF(NOT(ISNUMBER($C20)),0,ROUND(MOD($C20-Turno_Ini,1)*1440,0))</f>
        <v/>
      </c>
      <c r="Q20" s="19">
        <f>IF($J20&lt;=0,0,$P20+$I20)</f>
        <v/>
      </c>
      <c r="R20" s="19">
        <f>IF($K20="","",$B20&amp;"#"&amp;$A20&amp;"#"&amp;$K20)</f>
        <v/>
      </c>
      <c r="S20" s="19">
        <f>ROW()</f>
        <v/>
      </c>
      <c r="T20" s="19">
        <f>IF($J20&lt;=0,0,MAX(0,MIN($P20+$I20+Limpeza_Min,Turno_Min,IFERROR(INDEX(Mapa_RelIni,MATCH($B20&amp;"#"&amp;$A20&amp;"#"&amp;($K20+1),Mapa_Chave,0)),Turno_Min))-MIN($P20,Turno_Min)))</f>
        <v/>
      </c>
    </row>
    <row r="21">
      <c r="A21" s="30" t="n"/>
      <c r="B21" s="31" t="n"/>
      <c r="C21" s="32" t="n"/>
      <c r="D21" s="32" t="n"/>
      <c r="E21" s="33" t="n"/>
      <c r="F21" s="33" t="n"/>
      <c r="G21" s="33" t="n"/>
      <c r="H21" s="31" t="n"/>
      <c r="I21" s="20">
        <f>IF(OR($B21="",NOT(ISNUMBER($C21)),NOT(ISNUMBER($D21))),"",ROUND(MOD($D21-$C21,1)*1440,0))</f>
        <v/>
      </c>
      <c r="J21" s="20">
        <f>IF(NOT(ISNUMBER($I21)),0,IF(OR($I21&lt;=0,$H21="Cancelada",$H21="Suspensa"),0,$I21+Limpeza_Min))</f>
        <v/>
      </c>
      <c r="K21" s="20">
        <f>IF($J21&lt;=0,"",SUMPRODUCT((Mapa_Sala=$B21)*(Mapa_Data=$A21)*(Mapa_MinOcup&gt;0)*((Mapa_RelIni&lt;$P21)+((Mapa_RelIni=$P21)*(Mapa_Row&lt;=$S21)))))</f>
        <v/>
      </c>
      <c r="L21" s="34">
        <f>IF($J21&lt;=0,"",MOD(Turno_Ini+($Q21+Limpeza_Min)/1440,1))</f>
        <v/>
      </c>
      <c r="M21" s="20">
        <f>IF($J21&lt;=0,"",MAX(0,IFERROR(INDEX(Mapa_RelIni,MATCH($B21&amp;"#"&amp;$A21&amp;"#"&amp;($K21+1),Mapa_Chave,0)),Turno_Min)-($Q21+Limpeza_Min)))</f>
        <v/>
      </c>
      <c r="N21" s="14">
        <f>IF($B21="","",IF($O21="","OK",LEFT($O21,LEN($O21)-3)))</f>
        <v/>
      </c>
      <c r="O21" s="35">
        <f>IF($B21="","",IF(COUNTIF(Postos_Cod,$B21)=0,"Sala não cadastrada | ","")&amp;IF(AND(COUNTIF(Postos_Cod,$B21)&gt;0,IFERROR(INDEX(Postos_Tipo,MATCH($B21,Postos_Cod,0)),"")&lt;&gt;"Sala cirúrgica"),"Posto não é sala cirúrgica | ","")&amp;IF(COUNTIF(Esp_Nome,$E21)=0,"Especialidade não cadastrada | ","")&amp;IF(COUNTIF(Lista_StatusCir,$H21)=0,"Status inválido | ","")&amp;IF(OR(NOT(ISNUMBER($C21)),NOT(ISNUMBER($D21))),"Horário inválido | ","")&amp;IFERROR(IF(AND(ISNUMBER($C21),ISNUMBER($D21),MOD($D21-$C21,1)*1440&lt;=0),"Duração nula ou negativa | ",""),"")&amp;IF(AND($J21&gt;0,OR($P21&gt;=Turno_Min,$Q21&gt;Turno_Min)),"Fora da janela do plantão | ","")&amp;IF(AND($J21&gt;0,SUMPRODUCT((Mapa_Sala=$B21)*(Mapa_Data=$A21)*(Mapa_MinOcup&gt;0)*(Mapa_RelIni&lt;$Q21)*(Mapa_RelFim&gt;$P21))&gt;1),"Sobreposição de horário na sala | ","")&amp;IFERROR(IF(AND(ISNUMBER($I21),$I21&gt;0,COUNTIF(Esp_Nome,$E21)&gt;0,$I21&gt;3*INDEX(Esp_Dur,MATCH($E21,Esp_Nome,0))),"Duração atípica (&gt;3x a média) | ",""),""))</f>
        <v/>
      </c>
      <c r="P21" s="19">
        <f>IF(NOT(ISNUMBER($C21)),0,ROUND(MOD($C21-Turno_Ini,1)*1440,0))</f>
        <v/>
      </c>
      <c r="Q21" s="19">
        <f>IF($J21&lt;=0,0,$P21+$I21)</f>
        <v/>
      </c>
      <c r="R21" s="19">
        <f>IF($K21="","",$B21&amp;"#"&amp;$A21&amp;"#"&amp;$K21)</f>
        <v/>
      </c>
      <c r="S21" s="19">
        <f>ROW()</f>
        <v/>
      </c>
      <c r="T21" s="19">
        <f>IF($J21&lt;=0,0,MAX(0,MIN($P21+$I21+Limpeza_Min,Turno_Min,IFERROR(INDEX(Mapa_RelIni,MATCH($B21&amp;"#"&amp;$A21&amp;"#"&amp;($K21+1),Mapa_Chave,0)),Turno_Min))-MIN($P21,Turno_Min)))</f>
        <v/>
      </c>
    </row>
    <row r="22">
      <c r="A22" s="30" t="n"/>
      <c r="B22" s="31" t="n"/>
      <c r="C22" s="32" t="n"/>
      <c r="D22" s="32" t="n"/>
      <c r="E22" s="33" t="n"/>
      <c r="F22" s="33" t="n"/>
      <c r="G22" s="33" t="n"/>
      <c r="H22" s="31" t="n"/>
      <c r="I22" s="20">
        <f>IF(OR($B22="",NOT(ISNUMBER($C22)),NOT(ISNUMBER($D22))),"",ROUND(MOD($D22-$C22,1)*1440,0))</f>
        <v/>
      </c>
      <c r="J22" s="20">
        <f>IF(NOT(ISNUMBER($I22)),0,IF(OR($I22&lt;=0,$H22="Cancelada",$H22="Suspensa"),0,$I22+Limpeza_Min))</f>
        <v/>
      </c>
      <c r="K22" s="20">
        <f>IF($J22&lt;=0,"",SUMPRODUCT((Mapa_Sala=$B22)*(Mapa_Data=$A22)*(Mapa_MinOcup&gt;0)*((Mapa_RelIni&lt;$P22)+((Mapa_RelIni=$P22)*(Mapa_Row&lt;=$S22)))))</f>
        <v/>
      </c>
      <c r="L22" s="34">
        <f>IF($J22&lt;=0,"",MOD(Turno_Ini+($Q22+Limpeza_Min)/1440,1))</f>
        <v/>
      </c>
      <c r="M22" s="20">
        <f>IF($J22&lt;=0,"",MAX(0,IFERROR(INDEX(Mapa_RelIni,MATCH($B22&amp;"#"&amp;$A22&amp;"#"&amp;($K22+1),Mapa_Chave,0)),Turno_Min)-($Q22+Limpeza_Min)))</f>
        <v/>
      </c>
      <c r="N22" s="14">
        <f>IF($B22="","",IF($O22="","OK",LEFT($O22,LEN($O22)-3)))</f>
        <v/>
      </c>
      <c r="O22" s="35">
        <f>IF($B22="","",IF(COUNTIF(Postos_Cod,$B22)=0,"Sala não cadastrada | ","")&amp;IF(AND(COUNTIF(Postos_Cod,$B22)&gt;0,IFERROR(INDEX(Postos_Tipo,MATCH($B22,Postos_Cod,0)),"")&lt;&gt;"Sala cirúrgica"),"Posto não é sala cirúrgica | ","")&amp;IF(COUNTIF(Esp_Nome,$E22)=0,"Especialidade não cadastrada | ","")&amp;IF(COUNTIF(Lista_StatusCir,$H22)=0,"Status inválido | ","")&amp;IF(OR(NOT(ISNUMBER($C22)),NOT(ISNUMBER($D22))),"Horário inválido | ","")&amp;IFERROR(IF(AND(ISNUMBER($C22),ISNUMBER($D22),MOD($D22-$C22,1)*1440&lt;=0),"Duração nula ou negativa | ",""),"")&amp;IF(AND($J22&gt;0,OR($P22&gt;=Turno_Min,$Q22&gt;Turno_Min)),"Fora da janela do plantão | ","")&amp;IF(AND($J22&gt;0,SUMPRODUCT((Mapa_Sala=$B22)*(Mapa_Data=$A22)*(Mapa_MinOcup&gt;0)*(Mapa_RelIni&lt;$Q22)*(Mapa_RelFim&gt;$P22))&gt;1),"Sobreposição de horário na sala | ","")&amp;IFERROR(IF(AND(ISNUMBER($I22),$I22&gt;0,COUNTIF(Esp_Nome,$E22)&gt;0,$I22&gt;3*INDEX(Esp_Dur,MATCH($E22,Esp_Nome,0))),"Duração atípica (&gt;3x a média) | ",""),""))</f>
        <v/>
      </c>
      <c r="P22" s="19">
        <f>IF(NOT(ISNUMBER($C22)),0,ROUND(MOD($C22-Turno_Ini,1)*1440,0))</f>
        <v/>
      </c>
      <c r="Q22" s="19">
        <f>IF($J22&lt;=0,0,$P22+$I22)</f>
        <v/>
      </c>
      <c r="R22" s="19">
        <f>IF($K22="","",$B22&amp;"#"&amp;$A22&amp;"#"&amp;$K22)</f>
        <v/>
      </c>
      <c r="S22" s="19">
        <f>ROW()</f>
        <v/>
      </c>
      <c r="T22" s="19">
        <f>IF($J22&lt;=0,0,MAX(0,MIN($P22+$I22+Limpeza_Min,Turno_Min,IFERROR(INDEX(Mapa_RelIni,MATCH($B22&amp;"#"&amp;$A22&amp;"#"&amp;($K22+1),Mapa_Chave,0)),Turno_Min))-MIN($P22,Turno_Min)))</f>
        <v/>
      </c>
    </row>
    <row r="23">
      <c r="A23" s="30" t="n"/>
      <c r="B23" s="31" t="n"/>
      <c r="C23" s="32" t="n"/>
      <c r="D23" s="32" t="n"/>
      <c r="E23" s="33" t="n"/>
      <c r="F23" s="33" t="n"/>
      <c r="G23" s="33" t="n"/>
      <c r="H23" s="31" t="n"/>
      <c r="I23" s="20">
        <f>IF(OR($B23="",NOT(ISNUMBER($C23)),NOT(ISNUMBER($D23))),"",ROUND(MOD($D23-$C23,1)*1440,0))</f>
        <v/>
      </c>
      <c r="J23" s="20">
        <f>IF(NOT(ISNUMBER($I23)),0,IF(OR($I23&lt;=0,$H23="Cancelada",$H23="Suspensa"),0,$I23+Limpeza_Min))</f>
        <v/>
      </c>
      <c r="K23" s="20">
        <f>IF($J23&lt;=0,"",SUMPRODUCT((Mapa_Sala=$B23)*(Mapa_Data=$A23)*(Mapa_MinOcup&gt;0)*((Mapa_RelIni&lt;$P23)+((Mapa_RelIni=$P23)*(Mapa_Row&lt;=$S23)))))</f>
        <v/>
      </c>
      <c r="L23" s="34">
        <f>IF($J23&lt;=0,"",MOD(Turno_Ini+($Q23+Limpeza_Min)/1440,1))</f>
        <v/>
      </c>
      <c r="M23" s="20">
        <f>IF($J23&lt;=0,"",MAX(0,IFERROR(INDEX(Mapa_RelIni,MATCH($B23&amp;"#"&amp;$A23&amp;"#"&amp;($K23+1),Mapa_Chave,0)),Turno_Min)-($Q23+Limpeza_Min)))</f>
        <v/>
      </c>
      <c r="N23" s="14">
        <f>IF($B23="","",IF($O23="","OK",LEFT($O23,LEN($O23)-3)))</f>
        <v/>
      </c>
      <c r="O23" s="35">
        <f>IF($B23="","",IF(COUNTIF(Postos_Cod,$B23)=0,"Sala não cadastrada | ","")&amp;IF(AND(COUNTIF(Postos_Cod,$B23)&gt;0,IFERROR(INDEX(Postos_Tipo,MATCH($B23,Postos_Cod,0)),"")&lt;&gt;"Sala cirúrgica"),"Posto não é sala cirúrgica | ","")&amp;IF(COUNTIF(Esp_Nome,$E23)=0,"Especialidade não cadastrada | ","")&amp;IF(COUNTIF(Lista_StatusCir,$H23)=0,"Status inválido | ","")&amp;IF(OR(NOT(ISNUMBER($C23)),NOT(ISNUMBER($D23))),"Horário inválido | ","")&amp;IFERROR(IF(AND(ISNUMBER($C23),ISNUMBER($D23),MOD($D23-$C23,1)*1440&lt;=0),"Duração nula ou negativa | ",""),"")&amp;IF(AND($J23&gt;0,OR($P23&gt;=Turno_Min,$Q23&gt;Turno_Min)),"Fora da janela do plantão | ","")&amp;IF(AND($J23&gt;0,SUMPRODUCT((Mapa_Sala=$B23)*(Mapa_Data=$A23)*(Mapa_MinOcup&gt;0)*(Mapa_RelIni&lt;$Q23)*(Mapa_RelFim&gt;$P23))&gt;1),"Sobreposição de horário na sala | ","")&amp;IFERROR(IF(AND(ISNUMBER($I23),$I23&gt;0,COUNTIF(Esp_Nome,$E23)&gt;0,$I23&gt;3*INDEX(Esp_Dur,MATCH($E23,Esp_Nome,0))),"Duração atípica (&gt;3x a média) | ",""),""))</f>
        <v/>
      </c>
      <c r="P23" s="19">
        <f>IF(NOT(ISNUMBER($C23)),0,ROUND(MOD($C23-Turno_Ini,1)*1440,0))</f>
        <v/>
      </c>
      <c r="Q23" s="19">
        <f>IF($J23&lt;=0,0,$P23+$I23)</f>
        <v/>
      </c>
      <c r="R23" s="19">
        <f>IF($K23="","",$B23&amp;"#"&amp;$A23&amp;"#"&amp;$K23)</f>
        <v/>
      </c>
      <c r="S23" s="19">
        <f>ROW()</f>
        <v/>
      </c>
      <c r="T23" s="19">
        <f>IF($J23&lt;=0,0,MAX(0,MIN($P23+$I23+Limpeza_Min,Turno_Min,IFERROR(INDEX(Mapa_RelIni,MATCH($B23&amp;"#"&amp;$A23&amp;"#"&amp;($K23+1),Mapa_Chave,0)),Turno_Min))-MIN($P23,Turno_Min)))</f>
        <v/>
      </c>
    </row>
    <row r="24">
      <c r="A24" s="30" t="n"/>
      <c r="B24" s="31" t="n"/>
      <c r="C24" s="32" t="n"/>
      <c r="D24" s="32" t="n"/>
      <c r="E24" s="33" t="n"/>
      <c r="F24" s="33" t="n"/>
      <c r="G24" s="33" t="n"/>
      <c r="H24" s="31" t="n"/>
      <c r="I24" s="20">
        <f>IF(OR($B24="",NOT(ISNUMBER($C24)),NOT(ISNUMBER($D24))),"",ROUND(MOD($D24-$C24,1)*1440,0))</f>
        <v/>
      </c>
      <c r="J24" s="20">
        <f>IF(NOT(ISNUMBER($I24)),0,IF(OR($I24&lt;=0,$H24="Cancelada",$H24="Suspensa"),0,$I24+Limpeza_Min))</f>
        <v/>
      </c>
      <c r="K24" s="20">
        <f>IF($J24&lt;=0,"",SUMPRODUCT((Mapa_Sala=$B24)*(Mapa_Data=$A24)*(Mapa_MinOcup&gt;0)*((Mapa_RelIni&lt;$P24)+((Mapa_RelIni=$P24)*(Mapa_Row&lt;=$S24)))))</f>
        <v/>
      </c>
      <c r="L24" s="34">
        <f>IF($J24&lt;=0,"",MOD(Turno_Ini+($Q24+Limpeza_Min)/1440,1))</f>
        <v/>
      </c>
      <c r="M24" s="20">
        <f>IF($J24&lt;=0,"",MAX(0,IFERROR(INDEX(Mapa_RelIni,MATCH($B24&amp;"#"&amp;$A24&amp;"#"&amp;($K24+1),Mapa_Chave,0)),Turno_Min)-($Q24+Limpeza_Min)))</f>
        <v/>
      </c>
      <c r="N24" s="14">
        <f>IF($B24="","",IF($O24="","OK",LEFT($O24,LEN($O24)-3)))</f>
        <v/>
      </c>
      <c r="O24" s="35">
        <f>IF($B24="","",IF(COUNTIF(Postos_Cod,$B24)=0,"Sala não cadastrada | ","")&amp;IF(AND(COUNTIF(Postos_Cod,$B24)&gt;0,IFERROR(INDEX(Postos_Tipo,MATCH($B24,Postos_Cod,0)),"")&lt;&gt;"Sala cirúrgica"),"Posto não é sala cirúrgica | ","")&amp;IF(COUNTIF(Esp_Nome,$E24)=0,"Especialidade não cadastrada | ","")&amp;IF(COUNTIF(Lista_StatusCir,$H24)=0,"Status inválido | ","")&amp;IF(OR(NOT(ISNUMBER($C24)),NOT(ISNUMBER($D24))),"Horário inválido | ","")&amp;IFERROR(IF(AND(ISNUMBER($C24),ISNUMBER($D24),MOD($D24-$C24,1)*1440&lt;=0),"Duração nula ou negativa | ",""),"")&amp;IF(AND($J24&gt;0,OR($P24&gt;=Turno_Min,$Q24&gt;Turno_Min)),"Fora da janela do plantão | ","")&amp;IF(AND($J24&gt;0,SUMPRODUCT((Mapa_Sala=$B24)*(Mapa_Data=$A24)*(Mapa_MinOcup&gt;0)*(Mapa_RelIni&lt;$Q24)*(Mapa_RelFim&gt;$P24))&gt;1),"Sobreposição de horário na sala | ","")&amp;IFERROR(IF(AND(ISNUMBER($I24),$I24&gt;0,COUNTIF(Esp_Nome,$E24)&gt;0,$I24&gt;3*INDEX(Esp_Dur,MATCH($E24,Esp_Nome,0))),"Duração atípica (&gt;3x a média) | ",""),""))</f>
        <v/>
      </c>
      <c r="P24" s="19">
        <f>IF(NOT(ISNUMBER($C24)),0,ROUND(MOD($C24-Turno_Ini,1)*1440,0))</f>
        <v/>
      </c>
      <c r="Q24" s="19">
        <f>IF($J24&lt;=0,0,$P24+$I24)</f>
        <v/>
      </c>
      <c r="R24" s="19">
        <f>IF($K24="","",$B24&amp;"#"&amp;$A24&amp;"#"&amp;$K24)</f>
        <v/>
      </c>
      <c r="S24" s="19">
        <f>ROW()</f>
        <v/>
      </c>
      <c r="T24" s="19">
        <f>IF($J24&lt;=0,0,MAX(0,MIN($P24+$I24+Limpeza_Min,Turno_Min,IFERROR(INDEX(Mapa_RelIni,MATCH($B24&amp;"#"&amp;$A24&amp;"#"&amp;($K24+1),Mapa_Chave,0)),Turno_Min))-MIN($P24,Turno_Min)))</f>
        <v/>
      </c>
    </row>
    <row r="25">
      <c r="A25" s="30" t="n"/>
      <c r="B25" s="31" t="n"/>
      <c r="C25" s="32" t="n"/>
      <c r="D25" s="32" t="n"/>
      <c r="E25" s="33" t="n"/>
      <c r="F25" s="33" t="n"/>
      <c r="G25" s="33" t="n"/>
      <c r="H25" s="31" t="n"/>
      <c r="I25" s="20">
        <f>IF(OR($B25="",NOT(ISNUMBER($C25)),NOT(ISNUMBER($D25))),"",ROUND(MOD($D25-$C25,1)*1440,0))</f>
        <v/>
      </c>
      <c r="J25" s="20">
        <f>IF(NOT(ISNUMBER($I25)),0,IF(OR($I25&lt;=0,$H25="Cancelada",$H25="Suspensa"),0,$I25+Limpeza_Min))</f>
        <v/>
      </c>
      <c r="K25" s="20">
        <f>IF($J25&lt;=0,"",SUMPRODUCT((Mapa_Sala=$B25)*(Mapa_Data=$A25)*(Mapa_MinOcup&gt;0)*((Mapa_RelIni&lt;$P25)+((Mapa_RelIni=$P25)*(Mapa_Row&lt;=$S25)))))</f>
        <v/>
      </c>
      <c r="L25" s="34">
        <f>IF($J25&lt;=0,"",MOD(Turno_Ini+($Q25+Limpeza_Min)/1440,1))</f>
        <v/>
      </c>
      <c r="M25" s="20">
        <f>IF($J25&lt;=0,"",MAX(0,IFERROR(INDEX(Mapa_RelIni,MATCH($B25&amp;"#"&amp;$A25&amp;"#"&amp;($K25+1),Mapa_Chave,0)),Turno_Min)-($Q25+Limpeza_Min)))</f>
        <v/>
      </c>
      <c r="N25" s="14">
        <f>IF($B25="","",IF($O25="","OK",LEFT($O25,LEN($O25)-3)))</f>
        <v/>
      </c>
      <c r="O25" s="35">
        <f>IF($B25="","",IF(COUNTIF(Postos_Cod,$B25)=0,"Sala não cadastrada | ","")&amp;IF(AND(COUNTIF(Postos_Cod,$B25)&gt;0,IFERROR(INDEX(Postos_Tipo,MATCH($B25,Postos_Cod,0)),"")&lt;&gt;"Sala cirúrgica"),"Posto não é sala cirúrgica | ","")&amp;IF(COUNTIF(Esp_Nome,$E25)=0,"Especialidade não cadastrada | ","")&amp;IF(COUNTIF(Lista_StatusCir,$H25)=0,"Status inválido | ","")&amp;IF(OR(NOT(ISNUMBER($C25)),NOT(ISNUMBER($D25))),"Horário inválido | ","")&amp;IFERROR(IF(AND(ISNUMBER($C25),ISNUMBER($D25),MOD($D25-$C25,1)*1440&lt;=0),"Duração nula ou negativa | ",""),"")&amp;IF(AND($J25&gt;0,OR($P25&gt;=Turno_Min,$Q25&gt;Turno_Min)),"Fora da janela do plantão | ","")&amp;IF(AND($J25&gt;0,SUMPRODUCT((Mapa_Sala=$B25)*(Mapa_Data=$A25)*(Mapa_MinOcup&gt;0)*(Mapa_RelIni&lt;$Q25)*(Mapa_RelFim&gt;$P25))&gt;1),"Sobreposição de horário na sala | ","")&amp;IFERROR(IF(AND(ISNUMBER($I25),$I25&gt;0,COUNTIF(Esp_Nome,$E25)&gt;0,$I25&gt;3*INDEX(Esp_Dur,MATCH($E25,Esp_Nome,0))),"Duração atípica (&gt;3x a média) | ",""),""))</f>
        <v/>
      </c>
      <c r="P25" s="19">
        <f>IF(NOT(ISNUMBER($C25)),0,ROUND(MOD($C25-Turno_Ini,1)*1440,0))</f>
        <v/>
      </c>
      <c r="Q25" s="19">
        <f>IF($J25&lt;=0,0,$P25+$I25)</f>
        <v/>
      </c>
      <c r="R25" s="19">
        <f>IF($K25="","",$B25&amp;"#"&amp;$A25&amp;"#"&amp;$K25)</f>
        <v/>
      </c>
      <c r="S25" s="19">
        <f>ROW()</f>
        <v/>
      </c>
      <c r="T25" s="19">
        <f>IF($J25&lt;=0,0,MAX(0,MIN($P25+$I25+Limpeza_Min,Turno_Min,IFERROR(INDEX(Mapa_RelIni,MATCH($B25&amp;"#"&amp;$A25&amp;"#"&amp;($K25+1),Mapa_Chave,0)),Turno_Min))-MIN($P25,Turno_Min)))</f>
        <v/>
      </c>
    </row>
    <row r="26">
      <c r="A26" s="30" t="n"/>
      <c r="B26" s="31" t="n"/>
      <c r="C26" s="32" t="n"/>
      <c r="D26" s="32" t="n"/>
      <c r="E26" s="33" t="n"/>
      <c r="F26" s="33" t="n"/>
      <c r="G26" s="33" t="n"/>
      <c r="H26" s="31" t="n"/>
      <c r="I26" s="20">
        <f>IF(OR($B26="",NOT(ISNUMBER($C26)),NOT(ISNUMBER($D26))),"",ROUND(MOD($D26-$C26,1)*1440,0))</f>
        <v/>
      </c>
      <c r="J26" s="20">
        <f>IF(NOT(ISNUMBER($I26)),0,IF(OR($I26&lt;=0,$H26="Cancelada",$H26="Suspensa"),0,$I26+Limpeza_Min))</f>
        <v/>
      </c>
      <c r="K26" s="20">
        <f>IF($J26&lt;=0,"",SUMPRODUCT((Mapa_Sala=$B26)*(Mapa_Data=$A26)*(Mapa_MinOcup&gt;0)*((Mapa_RelIni&lt;$P26)+((Mapa_RelIni=$P26)*(Mapa_Row&lt;=$S26)))))</f>
        <v/>
      </c>
      <c r="L26" s="34">
        <f>IF($J26&lt;=0,"",MOD(Turno_Ini+($Q26+Limpeza_Min)/1440,1))</f>
        <v/>
      </c>
      <c r="M26" s="20">
        <f>IF($J26&lt;=0,"",MAX(0,IFERROR(INDEX(Mapa_RelIni,MATCH($B26&amp;"#"&amp;$A26&amp;"#"&amp;($K26+1),Mapa_Chave,0)),Turno_Min)-($Q26+Limpeza_Min)))</f>
        <v/>
      </c>
      <c r="N26" s="14">
        <f>IF($B26="","",IF($O26="","OK",LEFT($O26,LEN($O26)-3)))</f>
        <v/>
      </c>
      <c r="O26" s="35">
        <f>IF($B26="","",IF(COUNTIF(Postos_Cod,$B26)=0,"Sala não cadastrada | ","")&amp;IF(AND(COUNTIF(Postos_Cod,$B26)&gt;0,IFERROR(INDEX(Postos_Tipo,MATCH($B26,Postos_Cod,0)),"")&lt;&gt;"Sala cirúrgica"),"Posto não é sala cirúrgica | ","")&amp;IF(COUNTIF(Esp_Nome,$E26)=0,"Especialidade não cadastrada | ","")&amp;IF(COUNTIF(Lista_StatusCir,$H26)=0,"Status inválido | ","")&amp;IF(OR(NOT(ISNUMBER($C26)),NOT(ISNUMBER($D26))),"Horário inválido | ","")&amp;IFERROR(IF(AND(ISNUMBER($C26),ISNUMBER($D26),MOD($D26-$C26,1)*1440&lt;=0),"Duração nula ou negativa | ",""),"")&amp;IF(AND($J26&gt;0,OR($P26&gt;=Turno_Min,$Q26&gt;Turno_Min)),"Fora da janela do plantão | ","")&amp;IF(AND($J26&gt;0,SUMPRODUCT((Mapa_Sala=$B26)*(Mapa_Data=$A26)*(Mapa_MinOcup&gt;0)*(Mapa_RelIni&lt;$Q26)*(Mapa_RelFim&gt;$P26))&gt;1),"Sobreposição de horário na sala | ","")&amp;IFERROR(IF(AND(ISNUMBER($I26),$I26&gt;0,COUNTIF(Esp_Nome,$E26)&gt;0,$I26&gt;3*INDEX(Esp_Dur,MATCH($E26,Esp_Nome,0))),"Duração atípica (&gt;3x a média) | ",""),""))</f>
        <v/>
      </c>
      <c r="P26" s="19">
        <f>IF(NOT(ISNUMBER($C26)),0,ROUND(MOD($C26-Turno_Ini,1)*1440,0))</f>
        <v/>
      </c>
      <c r="Q26" s="19">
        <f>IF($J26&lt;=0,0,$P26+$I26)</f>
        <v/>
      </c>
      <c r="R26" s="19">
        <f>IF($K26="","",$B26&amp;"#"&amp;$A26&amp;"#"&amp;$K26)</f>
        <v/>
      </c>
      <c r="S26" s="19">
        <f>ROW()</f>
        <v/>
      </c>
      <c r="T26" s="19">
        <f>IF($J26&lt;=0,0,MAX(0,MIN($P26+$I26+Limpeza_Min,Turno_Min,IFERROR(INDEX(Mapa_RelIni,MATCH($B26&amp;"#"&amp;$A26&amp;"#"&amp;($K26+1),Mapa_Chave,0)),Turno_Min))-MIN($P26,Turno_Min)))</f>
        <v/>
      </c>
    </row>
    <row r="27">
      <c r="A27" s="30" t="n"/>
      <c r="B27" s="31" t="n"/>
      <c r="C27" s="32" t="n"/>
      <c r="D27" s="32" t="n"/>
      <c r="E27" s="33" t="n"/>
      <c r="F27" s="33" t="n"/>
      <c r="G27" s="33" t="n"/>
      <c r="H27" s="31" t="n"/>
      <c r="I27" s="20">
        <f>IF(OR($B27="",NOT(ISNUMBER($C27)),NOT(ISNUMBER($D27))),"",ROUND(MOD($D27-$C27,1)*1440,0))</f>
        <v/>
      </c>
      <c r="J27" s="20">
        <f>IF(NOT(ISNUMBER($I27)),0,IF(OR($I27&lt;=0,$H27="Cancelada",$H27="Suspensa"),0,$I27+Limpeza_Min))</f>
        <v/>
      </c>
      <c r="K27" s="20">
        <f>IF($J27&lt;=0,"",SUMPRODUCT((Mapa_Sala=$B27)*(Mapa_Data=$A27)*(Mapa_MinOcup&gt;0)*((Mapa_RelIni&lt;$P27)+((Mapa_RelIni=$P27)*(Mapa_Row&lt;=$S27)))))</f>
        <v/>
      </c>
      <c r="L27" s="34">
        <f>IF($J27&lt;=0,"",MOD(Turno_Ini+($Q27+Limpeza_Min)/1440,1))</f>
        <v/>
      </c>
      <c r="M27" s="20">
        <f>IF($J27&lt;=0,"",MAX(0,IFERROR(INDEX(Mapa_RelIni,MATCH($B27&amp;"#"&amp;$A27&amp;"#"&amp;($K27+1),Mapa_Chave,0)),Turno_Min)-($Q27+Limpeza_Min)))</f>
        <v/>
      </c>
      <c r="N27" s="14">
        <f>IF($B27="","",IF($O27="","OK",LEFT($O27,LEN($O27)-3)))</f>
        <v/>
      </c>
      <c r="O27" s="35">
        <f>IF($B27="","",IF(COUNTIF(Postos_Cod,$B27)=0,"Sala não cadastrada | ","")&amp;IF(AND(COUNTIF(Postos_Cod,$B27)&gt;0,IFERROR(INDEX(Postos_Tipo,MATCH($B27,Postos_Cod,0)),"")&lt;&gt;"Sala cirúrgica"),"Posto não é sala cirúrgica | ","")&amp;IF(COUNTIF(Esp_Nome,$E27)=0,"Especialidade não cadastrada | ","")&amp;IF(COUNTIF(Lista_StatusCir,$H27)=0,"Status inválido | ","")&amp;IF(OR(NOT(ISNUMBER($C27)),NOT(ISNUMBER($D27))),"Horário inválido | ","")&amp;IFERROR(IF(AND(ISNUMBER($C27),ISNUMBER($D27),MOD($D27-$C27,1)*1440&lt;=0),"Duração nula ou negativa | ",""),"")&amp;IF(AND($J27&gt;0,OR($P27&gt;=Turno_Min,$Q27&gt;Turno_Min)),"Fora da janela do plantão | ","")&amp;IF(AND($J27&gt;0,SUMPRODUCT((Mapa_Sala=$B27)*(Mapa_Data=$A27)*(Mapa_MinOcup&gt;0)*(Mapa_RelIni&lt;$Q27)*(Mapa_RelFim&gt;$P27))&gt;1),"Sobreposição de horário na sala | ","")&amp;IFERROR(IF(AND(ISNUMBER($I27),$I27&gt;0,COUNTIF(Esp_Nome,$E27)&gt;0,$I27&gt;3*INDEX(Esp_Dur,MATCH($E27,Esp_Nome,0))),"Duração atípica (&gt;3x a média) | ",""),""))</f>
        <v/>
      </c>
      <c r="P27" s="19">
        <f>IF(NOT(ISNUMBER($C27)),0,ROUND(MOD($C27-Turno_Ini,1)*1440,0))</f>
        <v/>
      </c>
      <c r="Q27" s="19">
        <f>IF($J27&lt;=0,0,$P27+$I27)</f>
        <v/>
      </c>
      <c r="R27" s="19">
        <f>IF($K27="","",$B27&amp;"#"&amp;$A27&amp;"#"&amp;$K27)</f>
        <v/>
      </c>
      <c r="S27" s="19">
        <f>ROW()</f>
        <v/>
      </c>
      <c r="T27" s="19">
        <f>IF($J27&lt;=0,0,MAX(0,MIN($P27+$I27+Limpeza_Min,Turno_Min,IFERROR(INDEX(Mapa_RelIni,MATCH($B27&amp;"#"&amp;$A27&amp;"#"&amp;($K27+1),Mapa_Chave,0)),Turno_Min))-MIN($P27,Turno_Min)))</f>
        <v/>
      </c>
    </row>
    <row r="28">
      <c r="A28" s="30" t="n"/>
      <c r="B28" s="31" t="n"/>
      <c r="C28" s="32" t="n"/>
      <c r="D28" s="32" t="n"/>
      <c r="E28" s="33" t="n"/>
      <c r="F28" s="33" t="n"/>
      <c r="G28" s="33" t="n"/>
      <c r="H28" s="31" t="n"/>
      <c r="I28" s="20">
        <f>IF(OR($B28="",NOT(ISNUMBER($C28)),NOT(ISNUMBER($D28))),"",ROUND(MOD($D28-$C28,1)*1440,0))</f>
        <v/>
      </c>
      <c r="J28" s="20">
        <f>IF(NOT(ISNUMBER($I28)),0,IF(OR($I28&lt;=0,$H28="Cancelada",$H28="Suspensa"),0,$I28+Limpeza_Min))</f>
        <v/>
      </c>
      <c r="K28" s="20">
        <f>IF($J28&lt;=0,"",SUMPRODUCT((Mapa_Sala=$B28)*(Mapa_Data=$A28)*(Mapa_MinOcup&gt;0)*((Mapa_RelIni&lt;$P28)+((Mapa_RelIni=$P28)*(Mapa_Row&lt;=$S28)))))</f>
        <v/>
      </c>
      <c r="L28" s="34">
        <f>IF($J28&lt;=0,"",MOD(Turno_Ini+($Q28+Limpeza_Min)/1440,1))</f>
        <v/>
      </c>
      <c r="M28" s="20">
        <f>IF($J28&lt;=0,"",MAX(0,IFERROR(INDEX(Mapa_RelIni,MATCH($B28&amp;"#"&amp;$A28&amp;"#"&amp;($K28+1),Mapa_Chave,0)),Turno_Min)-($Q28+Limpeza_Min)))</f>
        <v/>
      </c>
      <c r="N28" s="14">
        <f>IF($B28="","",IF($O28="","OK",LEFT($O28,LEN($O28)-3)))</f>
        <v/>
      </c>
      <c r="O28" s="35">
        <f>IF($B28="","",IF(COUNTIF(Postos_Cod,$B28)=0,"Sala não cadastrada | ","")&amp;IF(AND(COUNTIF(Postos_Cod,$B28)&gt;0,IFERROR(INDEX(Postos_Tipo,MATCH($B28,Postos_Cod,0)),"")&lt;&gt;"Sala cirúrgica"),"Posto não é sala cirúrgica | ","")&amp;IF(COUNTIF(Esp_Nome,$E28)=0,"Especialidade não cadastrada | ","")&amp;IF(COUNTIF(Lista_StatusCir,$H28)=0,"Status inválido | ","")&amp;IF(OR(NOT(ISNUMBER($C28)),NOT(ISNUMBER($D28))),"Horário inválido | ","")&amp;IFERROR(IF(AND(ISNUMBER($C28),ISNUMBER($D28),MOD($D28-$C28,1)*1440&lt;=0),"Duração nula ou negativa | ",""),"")&amp;IF(AND($J28&gt;0,OR($P28&gt;=Turno_Min,$Q28&gt;Turno_Min)),"Fora da janela do plantão | ","")&amp;IF(AND($J28&gt;0,SUMPRODUCT((Mapa_Sala=$B28)*(Mapa_Data=$A28)*(Mapa_MinOcup&gt;0)*(Mapa_RelIni&lt;$Q28)*(Mapa_RelFim&gt;$P28))&gt;1),"Sobreposição de horário na sala | ","")&amp;IFERROR(IF(AND(ISNUMBER($I28),$I28&gt;0,COUNTIF(Esp_Nome,$E28)&gt;0,$I28&gt;3*INDEX(Esp_Dur,MATCH($E28,Esp_Nome,0))),"Duração atípica (&gt;3x a média) | ",""),""))</f>
        <v/>
      </c>
      <c r="P28" s="19">
        <f>IF(NOT(ISNUMBER($C28)),0,ROUND(MOD($C28-Turno_Ini,1)*1440,0))</f>
        <v/>
      </c>
      <c r="Q28" s="19">
        <f>IF($J28&lt;=0,0,$P28+$I28)</f>
        <v/>
      </c>
      <c r="R28" s="19">
        <f>IF($K28="","",$B28&amp;"#"&amp;$A28&amp;"#"&amp;$K28)</f>
        <v/>
      </c>
      <c r="S28" s="19">
        <f>ROW()</f>
        <v/>
      </c>
      <c r="T28" s="19">
        <f>IF($J28&lt;=0,0,MAX(0,MIN($P28+$I28+Limpeza_Min,Turno_Min,IFERROR(INDEX(Mapa_RelIni,MATCH($B28&amp;"#"&amp;$A28&amp;"#"&amp;($K28+1),Mapa_Chave,0)),Turno_Min))-MIN($P28,Turno_Min)))</f>
        <v/>
      </c>
    </row>
    <row r="29">
      <c r="A29" s="30" t="n"/>
      <c r="B29" s="31" t="n"/>
      <c r="C29" s="32" t="n"/>
      <c r="D29" s="32" t="n"/>
      <c r="E29" s="33" t="n"/>
      <c r="F29" s="33" t="n"/>
      <c r="G29" s="33" t="n"/>
      <c r="H29" s="31" t="n"/>
      <c r="I29" s="20">
        <f>IF(OR($B29="",NOT(ISNUMBER($C29)),NOT(ISNUMBER($D29))),"",ROUND(MOD($D29-$C29,1)*1440,0))</f>
        <v/>
      </c>
      <c r="J29" s="20">
        <f>IF(NOT(ISNUMBER($I29)),0,IF(OR($I29&lt;=0,$H29="Cancelada",$H29="Suspensa"),0,$I29+Limpeza_Min))</f>
        <v/>
      </c>
      <c r="K29" s="20">
        <f>IF($J29&lt;=0,"",SUMPRODUCT((Mapa_Sala=$B29)*(Mapa_Data=$A29)*(Mapa_MinOcup&gt;0)*((Mapa_RelIni&lt;$P29)+((Mapa_RelIni=$P29)*(Mapa_Row&lt;=$S29)))))</f>
        <v/>
      </c>
      <c r="L29" s="34">
        <f>IF($J29&lt;=0,"",MOD(Turno_Ini+($Q29+Limpeza_Min)/1440,1))</f>
        <v/>
      </c>
      <c r="M29" s="20">
        <f>IF($J29&lt;=0,"",MAX(0,IFERROR(INDEX(Mapa_RelIni,MATCH($B29&amp;"#"&amp;$A29&amp;"#"&amp;($K29+1),Mapa_Chave,0)),Turno_Min)-($Q29+Limpeza_Min)))</f>
        <v/>
      </c>
      <c r="N29" s="14">
        <f>IF($B29="","",IF($O29="","OK",LEFT($O29,LEN($O29)-3)))</f>
        <v/>
      </c>
      <c r="O29" s="35">
        <f>IF($B29="","",IF(COUNTIF(Postos_Cod,$B29)=0,"Sala não cadastrada | ","")&amp;IF(AND(COUNTIF(Postos_Cod,$B29)&gt;0,IFERROR(INDEX(Postos_Tipo,MATCH($B29,Postos_Cod,0)),"")&lt;&gt;"Sala cirúrgica"),"Posto não é sala cirúrgica | ","")&amp;IF(COUNTIF(Esp_Nome,$E29)=0,"Especialidade não cadastrada | ","")&amp;IF(COUNTIF(Lista_StatusCir,$H29)=0,"Status inválido | ","")&amp;IF(OR(NOT(ISNUMBER($C29)),NOT(ISNUMBER($D29))),"Horário inválido | ","")&amp;IFERROR(IF(AND(ISNUMBER($C29),ISNUMBER($D29),MOD($D29-$C29,1)*1440&lt;=0),"Duração nula ou negativa | ",""),"")&amp;IF(AND($J29&gt;0,OR($P29&gt;=Turno_Min,$Q29&gt;Turno_Min)),"Fora da janela do plantão | ","")&amp;IF(AND($J29&gt;0,SUMPRODUCT((Mapa_Sala=$B29)*(Mapa_Data=$A29)*(Mapa_MinOcup&gt;0)*(Mapa_RelIni&lt;$Q29)*(Mapa_RelFim&gt;$P29))&gt;1),"Sobreposição de horário na sala | ","")&amp;IFERROR(IF(AND(ISNUMBER($I29),$I29&gt;0,COUNTIF(Esp_Nome,$E29)&gt;0,$I29&gt;3*INDEX(Esp_Dur,MATCH($E29,Esp_Nome,0))),"Duração atípica (&gt;3x a média) | ",""),""))</f>
        <v/>
      </c>
      <c r="P29" s="19">
        <f>IF(NOT(ISNUMBER($C29)),0,ROUND(MOD($C29-Turno_Ini,1)*1440,0))</f>
        <v/>
      </c>
      <c r="Q29" s="19">
        <f>IF($J29&lt;=0,0,$P29+$I29)</f>
        <v/>
      </c>
      <c r="R29" s="19">
        <f>IF($K29="","",$B29&amp;"#"&amp;$A29&amp;"#"&amp;$K29)</f>
        <v/>
      </c>
      <c r="S29" s="19">
        <f>ROW()</f>
        <v/>
      </c>
      <c r="T29" s="19">
        <f>IF($J29&lt;=0,0,MAX(0,MIN($P29+$I29+Limpeza_Min,Turno_Min,IFERROR(INDEX(Mapa_RelIni,MATCH($B29&amp;"#"&amp;$A29&amp;"#"&amp;($K29+1),Mapa_Chave,0)),Turno_Min))-MIN($P29,Turno_Min)))</f>
        <v/>
      </c>
    </row>
    <row r="30">
      <c r="A30" s="30" t="n"/>
      <c r="B30" s="31" t="n"/>
      <c r="C30" s="32" t="n"/>
      <c r="D30" s="32" t="n"/>
      <c r="E30" s="33" t="n"/>
      <c r="F30" s="33" t="n"/>
      <c r="G30" s="33" t="n"/>
      <c r="H30" s="31" t="n"/>
      <c r="I30" s="20">
        <f>IF(OR($B30="",NOT(ISNUMBER($C30)),NOT(ISNUMBER($D30))),"",ROUND(MOD($D30-$C30,1)*1440,0))</f>
        <v/>
      </c>
      <c r="J30" s="20">
        <f>IF(NOT(ISNUMBER($I30)),0,IF(OR($I30&lt;=0,$H30="Cancelada",$H30="Suspensa"),0,$I30+Limpeza_Min))</f>
        <v/>
      </c>
      <c r="K30" s="20">
        <f>IF($J30&lt;=0,"",SUMPRODUCT((Mapa_Sala=$B30)*(Mapa_Data=$A30)*(Mapa_MinOcup&gt;0)*((Mapa_RelIni&lt;$P30)+((Mapa_RelIni=$P30)*(Mapa_Row&lt;=$S30)))))</f>
        <v/>
      </c>
      <c r="L30" s="34">
        <f>IF($J30&lt;=0,"",MOD(Turno_Ini+($Q30+Limpeza_Min)/1440,1))</f>
        <v/>
      </c>
      <c r="M30" s="20">
        <f>IF($J30&lt;=0,"",MAX(0,IFERROR(INDEX(Mapa_RelIni,MATCH($B30&amp;"#"&amp;$A30&amp;"#"&amp;($K30+1),Mapa_Chave,0)),Turno_Min)-($Q30+Limpeza_Min)))</f>
        <v/>
      </c>
      <c r="N30" s="14">
        <f>IF($B30="","",IF($O30="","OK",LEFT($O30,LEN($O30)-3)))</f>
        <v/>
      </c>
      <c r="O30" s="35">
        <f>IF($B30="","",IF(COUNTIF(Postos_Cod,$B30)=0,"Sala não cadastrada | ","")&amp;IF(AND(COUNTIF(Postos_Cod,$B30)&gt;0,IFERROR(INDEX(Postos_Tipo,MATCH($B30,Postos_Cod,0)),"")&lt;&gt;"Sala cirúrgica"),"Posto não é sala cirúrgica | ","")&amp;IF(COUNTIF(Esp_Nome,$E30)=0,"Especialidade não cadastrada | ","")&amp;IF(COUNTIF(Lista_StatusCir,$H30)=0,"Status inválido | ","")&amp;IF(OR(NOT(ISNUMBER($C30)),NOT(ISNUMBER($D30))),"Horário inválido | ","")&amp;IFERROR(IF(AND(ISNUMBER($C30),ISNUMBER($D30),MOD($D30-$C30,1)*1440&lt;=0),"Duração nula ou negativa | ",""),"")&amp;IF(AND($J30&gt;0,OR($P30&gt;=Turno_Min,$Q30&gt;Turno_Min)),"Fora da janela do plantão | ","")&amp;IF(AND($J30&gt;0,SUMPRODUCT((Mapa_Sala=$B30)*(Mapa_Data=$A30)*(Mapa_MinOcup&gt;0)*(Mapa_RelIni&lt;$Q30)*(Mapa_RelFim&gt;$P30))&gt;1),"Sobreposição de horário na sala | ","")&amp;IFERROR(IF(AND(ISNUMBER($I30),$I30&gt;0,COUNTIF(Esp_Nome,$E30)&gt;0,$I30&gt;3*INDEX(Esp_Dur,MATCH($E30,Esp_Nome,0))),"Duração atípica (&gt;3x a média) | ",""),""))</f>
        <v/>
      </c>
      <c r="P30" s="19">
        <f>IF(NOT(ISNUMBER($C30)),0,ROUND(MOD($C30-Turno_Ini,1)*1440,0))</f>
        <v/>
      </c>
      <c r="Q30" s="19">
        <f>IF($J30&lt;=0,0,$P30+$I30)</f>
        <v/>
      </c>
      <c r="R30" s="19">
        <f>IF($K30="","",$B30&amp;"#"&amp;$A30&amp;"#"&amp;$K30)</f>
        <v/>
      </c>
      <c r="S30" s="19">
        <f>ROW()</f>
        <v/>
      </c>
      <c r="T30" s="19">
        <f>IF($J30&lt;=0,0,MAX(0,MIN($P30+$I30+Limpeza_Min,Turno_Min,IFERROR(INDEX(Mapa_RelIni,MATCH($B30&amp;"#"&amp;$A30&amp;"#"&amp;($K30+1),Mapa_Chave,0)),Turno_Min))-MIN($P30,Turno_Min)))</f>
        <v/>
      </c>
    </row>
    <row r="31">
      <c r="A31" s="30" t="n"/>
      <c r="B31" s="31" t="n"/>
      <c r="C31" s="32" t="n"/>
      <c r="D31" s="32" t="n"/>
      <c r="E31" s="33" t="n"/>
      <c r="F31" s="33" t="n"/>
      <c r="G31" s="33" t="n"/>
      <c r="H31" s="31" t="n"/>
      <c r="I31" s="20">
        <f>IF(OR($B31="",NOT(ISNUMBER($C31)),NOT(ISNUMBER($D31))),"",ROUND(MOD($D31-$C31,1)*1440,0))</f>
        <v/>
      </c>
      <c r="J31" s="20">
        <f>IF(NOT(ISNUMBER($I31)),0,IF(OR($I31&lt;=0,$H31="Cancelada",$H31="Suspensa"),0,$I31+Limpeza_Min))</f>
        <v/>
      </c>
      <c r="K31" s="20">
        <f>IF($J31&lt;=0,"",SUMPRODUCT((Mapa_Sala=$B31)*(Mapa_Data=$A31)*(Mapa_MinOcup&gt;0)*((Mapa_RelIni&lt;$P31)+((Mapa_RelIni=$P31)*(Mapa_Row&lt;=$S31)))))</f>
        <v/>
      </c>
      <c r="L31" s="34">
        <f>IF($J31&lt;=0,"",MOD(Turno_Ini+($Q31+Limpeza_Min)/1440,1))</f>
        <v/>
      </c>
      <c r="M31" s="20">
        <f>IF($J31&lt;=0,"",MAX(0,IFERROR(INDEX(Mapa_RelIni,MATCH($B31&amp;"#"&amp;$A31&amp;"#"&amp;($K31+1),Mapa_Chave,0)),Turno_Min)-($Q31+Limpeza_Min)))</f>
        <v/>
      </c>
      <c r="N31" s="14">
        <f>IF($B31="","",IF($O31="","OK",LEFT($O31,LEN($O31)-3)))</f>
        <v/>
      </c>
      <c r="O31" s="35">
        <f>IF($B31="","",IF(COUNTIF(Postos_Cod,$B31)=0,"Sala não cadastrada | ","")&amp;IF(AND(COUNTIF(Postos_Cod,$B31)&gt;0,IFERROR(INDEX(Postos_Tipo,MATCH($B31,Postos_Cod,0)),"")&lt;&gt;"Sala cirúrgica"),"Posto não é sala cirúrgica | ","")&amp;IF(COUNTIF(Esp_Nome,$E31)=0,"Especialidade não cadastrada | ","")&amp;IF(COUNTIF(Lista_StatusCir,$H31)=0,"Status inválido | ","")&amp;IF(OR(NOT(ISNUMBER($C31)),NOT(ISNUMBER($D31))),"Horário inválido | ","")&amp;IFERROR(IF(AND(ISNUMBER($C31),ISNUMBER($D31),MOD($D31-$C31,1)*1440&lt;=0),"Duração nula ou negativa | ",""),"")&amp;IF(AND($J31&gt;0,OR($P31&gt;=Turno_Min,$Q31&gt;Turno_Min)),"Fora da janela do plantão | ","")&amp;IF(AND($J31&gt;0,SUMPRODUCT((Mapa_Sala=$B31)*(Mapa_Data=$A31)*(Mapa_MinOcup&gt;0)*(Mapa_RelIni&lt;$Q31)*(Mapa_RelFim&gt;$P31))&gt;1),"Sobreposição de horário na sala | ","")&amp;IFERROR(IF(AND(ISNUMBER($I31),$I31&gt;0,COUNTIF(Esp_Nome,$E31)&gt;0,$I31&gt;3*INDEX(Esp_Dur,MATCH($E31,Esp_Nome,0))),"Duração atípica (&gt;3x a média) | ",""),""))</f>
        <v/>
      </c>
      <c r="P31" s="19">
        <f>IF(NOT(ISNUMBER($C31)),0,ROUND(MOD($C31-Turno_Ini,1)*1440,0))</f>
        <v/>
      </c>
      <c r="Q31" s="19">
        <f>IF($J31&lt;=0,0,$P31+$I31)</f>
        <v/>
      </c>
      <c r="R31" s="19">
        <f>IF($K31="","",$B31&amp;"#"&amp;$A31&amp;"#"&amp;$K31)</f>
        <v/>
      </c>
      <c r="S31" s="19">
        <f>ROW()</f>
        <v/>
      </c>
      <c r="T31" s="19">
        <f>IF($J31&lt;=0,0,MAX(0,MIN($P31+$I31+Limpeza_Min,Turno_Min,IFERROR(INDEX(Mapa_RelIni,MATCH($B31&amp;"#"&amp;$A31&amp;"#"&amp;($K31+1),Mapa_Chave,0)),Turno_Min))-MIN($P31,Turno_Min)))</f>
        <v/>
      </c>
    </row>
    <row r="32">
      <c r="A32" s="30" t="n"/>
      <c r="B32" s="31" t="n"/>
      <c r="C32" s="32" t="n"/>
      <c r="D32" s="32" t="n"/>
      <c r="E32" s="33" t="n"/>
      <c r="F32" s="33" t="n"/>
      <c r="G32" s="33" t="n"/>
      <c r="H32" s="31" t="n"/>
      <c r="I32" s="20">
        <f>IF(OR($B32="",NOT(ISNUMBER($C32)),NOT(ISNUMBER($D32))),"",ROUND(MOD($D32-$C32,1)*1440,0))</f>
        <v/>
      </c>
      <c r="J32" s="20">
        <f>IF(NOT(ISNUMBER($I32)),0,IF(OR($I32&lt;=0,$H32="Cancelada",$H32="Suspensa"),0,$I32+Limpeza_Min))</f>
        <v/>
      </c>
      <c r="K32" s="20">
        <f>IF($J32&lt;=0,"",SUMPRODUCT((Mapa_Sala=$B32)*(Mapa_Data=$A32)*(Mapa_MinOcup&gt;0)*((Mapa_RelIni&lt;$P32)+((Mapa_RelIni=$P32)*(Mapa_Row&lt;=$S32)))))</f>
        <v/>
      </c>
      <c r="L32" s="34">
        <f>IF($J32&lt;=0,"",MOD(Turno_Ini+($Q32+Limpeza_Min)/1440,1))</f>
        <v/>
      </c>
      <c r="M32" s="20">
        <f>IF($J32&lt;=0,"",MAX(0,IFERROR(INDEX(Mapa_RelIni,MATCH($B32&amp;"#"&amp;$A32&amp;"#"&amp;($K32+1),Mapa_Chave,0)),Turno_Min)-($Q32+Limpeza_Min)))</f>
        <v/>
      </c>
      <c r="N32" s="14">
        <f>IF($B32="","",IF($O32="","OK",LEFT($O32,LEN($O32)-3)))</f>
        <v/>
      </c>
      <c r="O32" s="35">
        <f>IF($B32="","",IF(COUNTIF(Postos_Cod,$B32)=0,"Sala não cadastrada | ","")&amp;IF(AND(COUNTIF(Postos_Cod,$B32)&gt;0,IFERROR(INDEX(Postos_Tipo,MATCH($B32,Postos_Cod,0)),"")&lt;&gt;"Sala cirúrgica"),"Posto não é sala cirúrgica | ","")&amp;IF(COUNTIF(Esp_Nome,$E32)=0,"Especialidade não cadastrada | ","")&amp;IF(COUNTIF(Lista_StatusCir,$H32)=0,"Status inválido | ","")&amp;IF(OR(NOT(ISNUMBER($C32)),NOT(ISNUMBER($D32))),"Horário inválido | ","")&amp;IFERROR(IF(AND(ISNUMBER($C32),ISNUMBER($D32),MOD($D32-$C32,1)*1440&lt;=0),"Duração nula ou negativa | ",""),"")&amp;IF(AND($J32&gt;0,OR($P32&gt;=Turno_Min,$Q32&gt;Turno_Min)),"Fora da janela do plantão | ","")&amp;IF(AND($J32&gt;0,SUMPRODUCT((Mapa_Sala=$B32)*(Mapa_Data=$A32)*(Mapa_MinOcup&gt;0)*(Mapa_RelIni&lt;$Q32)*(Mapa_RelFim&gt;$P32))&gt;1),"Sobreposição de horário na sala | ","")&amp;IFERROR(IF(AND(ISNUMBER($I32),$I32&gt;0,COUNTIF(Esp_Nome,$E32)&gt;0,$I32&gt;3*INDEX(Esp_Dur,MATCH($E32,Esp_Nome,0))),"Duração atípica (&gt;3x a média) | ",""),""))</f>
        <v/>
      </c>
      <c r="P32" s="19">
        <f>IF(NOT(ISNUMBER($C32)),0,ROUND(MOD($C32-Turno_Ini,1)*1440,0))</f>
        <v/>
      </c>
      <c r="Q32" s="19">
        <f>IF($J32&lt;=0,0,$P32+$I32)</f>
        <v/>
      </c>
      <c r="R32" s="19">
        <f>IF($K32="","",$B32&amp;"#"&amp;$A32&amp;"#"&amp;$K32)</f>
        <v/>
      </c>
      <c r="S32" s="19">
        <f>ROW()</f>
        <v/>
      </c>
      <c r="T32" s="19">
        <f>IF($J32&lt;=0,0,MAX(0,MIN($P32+$I32+Limpeza_Min,Turno_Min,IFERROR(INDEX(Mapa_RelIni,MATCH($B32&amp;"#"&amp;$A32&amp;"#"&amp;($K32+1),Mapa_Chave,0)),Turno_Min))-MIN($P32,Turno_Min)))</f>
        <v/>
      </c>
    </row>
    <row r="33">
      <c r="A33" s="30" t="n"/>
      <c r="B33" s="31" t="n"/>
      <c r="C33" s="32" t="n"/>
      <c r="D33" s="32" t="n"/>
      <c r="E33" s="33" t="n"/>
      <c r="F33" s="33" t="n"/>
      <c r="G33" s="33" t="n"/>
      <c r="H33" s="31" t="n"/>
      <c r="I33" s="20">
        <f>IF(OR($B33="",NOT(ISNUMBER($C33)),NOT(ISNUMBER($D33))),"",ROUND(MOD($D33-$C33,1)*1440,0))</f>
        <v/>
      </c>
      <c r="J33" s="20">
        <f>IF(NOT(ISNUMBER($I33)),0,IF(OR($I33&lt;=0,$H33="Cancelada",$H33="Suspensa"),0,$I33+Limpeza_Min))</f>
        <v/>
      </c>
      <c r="K33" s="20">
        <f>IF($J33&lt;=0,"",SUMPRODUCT((Mapa_Sala=$B33)*(Mapa_Data=$A33)*(Mapa_MinOcup&gt;0)*((Mapa_RelIni&lt;$P33)+((Mapa_RelIni=$P33)*(Mapa_Row&lt;=$S33)))))</f>
        <v/>
      </c>
      <c r="L33" s="34">
        <f>IF($J33&lt;=0,"",MOD(Turno_Ini+($Q33+Limpeza_Min)/1440,1))</f>
        <v/>
      </c>
      <c r="M33" s="20">
        <f>IF($J33&lt;=0,"",MAX(0,IFERROR(INDEX(Mapa_RelIni,MATCH($B33&amp;"#"&amp;$A33&amp;"#"&amp;($K33+1),Mapa_Chave,0)),Turno_Min)-($Q33+Limpeza_Min)))</f>
        <v/>
      </c>
      <c r="N33" s="14">
        <f>IF($B33="","",IF($O33="","OK",LEFT($O33,LEN($O33)-3)))</f>
        <v/>
      </c>
      <c r="O33" s="35">
        <f>IF($B33="","",IF(COUNTIF(Postos_Cod,$B33)=0,"Sala não cadastrada | ","")&amp;IF(AND(COUNTIF(Postos_Cod,$B33)&gt;0,IFERROR(INDEX(Postos_Tipo,MATCH($B33,Postos_Cod,0)),"")&lt;&gt;"Sala cirúrgica"),"Posto não é sala cirúrgica | ","")&amp;IF(COUNTIF(Esp_Nome,$E33)=0,"Especialidade não cadastrada | ","")&amp;IF(COUNTIF(Lista_StatusCir,$H33)=0,"Status inválido | ","")&amp;IF(OR(NOT(ISNUMBER($C33)),NOT(ISNUMBER($D33))),"Horário inválido | ","")&amp;IFERROR(IF(AND(ISNUMBER($C33),ISNUMBER($D33),MOD($D33-$C33,1)*1440&lt;=0),"Duração nula ou negativa | ",""),"")&amp;IF(AND($J33&gt;0,OR($P33&gt;=Turno_Min,$Q33&gt;Turno_Min)),"Fora da janela do plantão | ","")&amp;IF(AND($J33&gt;0,SUMPRODUCT((Mapa_Sala=$B33)*(Mapa_Data=$A33)*(Mapa_MinOcup&gt;0)*(Mapa_RelIni&lt;$Q33)*(Mapa_RelFim&gt;$P33))&gt;1),"Sobreposição de horário na sala | ","")&amp;IFERROR(IF(AND(ISNUMBER($I33),$I33&gt;0,COUNTIF(Esp_Nome,$E33)&gt;0,$I33&gt;3*INDEX(Esp_Dur,MATCH($E33,Esp_Nome,0))),"Duração atípica (&gt;3x a média) | ",""),""))</f>
        <v/>
      </c>
      <c r="P33" s="19">
        <f>IF(NOT(ISNUMBER($C33)),0,ROUND(MOD($C33-Turno_Ini,1)*1440,0))</f>
        <v/>
      </c>
      <c r="Q33" s="19">
        <f>IF($J33&lt;=0,0,$P33+$I33)</f>
        <v/>
      </c>
      <c r="R33" s="19">
        <f>IF($K33="","",$B33&amp;"#"&amp;$A33&amp;"#"&amp;$K33)</f>
        <v/>
      </c>
      <c r="S33" s="19">
        <f>ROW()</f>
        <v/>
      </c>
      <c r="T33" s="19">
        <f>IF($J33&lt;=0,0,MAX(0,MIN($P33+$I33+Limpeza_Min,Turno_Min,IFERROR(INDEX(Mapa_RelIni,MATCH($B33&amp;"#"&amp;$A33&amp;"#"&amp;($K33+1),Mapa_Chave,0)),Turno_Min))-MIN($P33,Turno_Min)))</f>
        <v/>
      </c>
    </row>
    <row r="34">
      <c r="A34" s="30" t="n"/>
      <c r="B34" s="31" t="n"/>
      <c r="C34" s="32" t="n"/>
      <c r="D34" s="32" t="n"/>
      <c r="E34" s="33" t="n"/>
      <c r="F34" s="33" t="n"/>
      <c r="G34" s="33" t="n"/>
      <c r="H34" s="31" t="n"/>
      <c r="I34" s="20">
        <f>IF(OR($B34="",NOT(ISNUMBER($C34)),NOT(ISNUMBER($D34))),"",ROUND(MOD($D34-$C34,1)*1440,0))</f>
        <v/>
      </c>
      <c r="J34" s="20">
        <f>IF(NOT(ISNUMBER($I34)),0,IF(OR($I34&lt;=0,$H34="Cancelada",$H34="Suspensa"),0,$I34+Limpeza_Min))</f>
        <v/>
      </c>
      <c r="K34" s="20">
        <f>IF($J34&lt;=0,"",SUMPRODUCT((Mapa_Sala=$B34)*(Mapa_Data=$A34)*(Mapa_MinOcup&gt;0)*((Mapa_RelIni&lt;$P34)+((Mapa_RelIni=$P34)*(Mapa_Row&lt;=$S34)))))</f>
        <v/>
      </c>
      <c r="L34" s="34">
        <f>IF($J34&lt;=0,"",MOD(Turno_Ini+($Q34+Limpeza_Min)/1440,1))</f>
        <v/>
      </c>
      <c r="M34" s="20">
        <f>IF($J34&lt;=0,"",MAX(0,IFERROR(INDEX(Mapa_RelIni,MATCH($B34&amp;"#"&amp;$A34&amp;"#"&amp;($K34+1),Mapa_Chave,0)),Turno_Min)-($Q34+Limpeza_Min)))</f>
        <v/>
      </c>
      <c r="N34" s="14">
        <f>IF($B34="","",IF($O34="","OK",LEFT($O34,LEN($O34)-3)))</f>
        <v/>
      </c>
      <c r="O34" s="35">
        <f>IF($B34="","",IF(COUNTIF(Postos_Cod,$B34)=0,"Sala não cadastrada | ","")&amp;IF(AND(COUNTIF(Postos_Cod,$B34)&gt;0,IFERROR(INDEX(Postos_Tipo,MATCH($B34,Postos_Cod,0)),"")&lt;&gt;"Sala cirúrgica"),"Posto não é sala cirúrgica | ","")&amp;IF(COUNTIF(Esp_Nome,$E34)=0,"Especialidade não cadastrada | ","")&amp;IF(COUNTIF(Lista_StatusCir,$H34)=0,"Status inválido | ","")&amp;IF(OR(NOT(ISNUMBER($C34)),NOT(ISNUMBER($D34))),"Horário inválido | ","")&amp;IFERROR(IF(AND(ISNUMBER($C34),ISNUMBER($D34),MOD($D34-$C34,1)*1440&lt;=0),"Duração nula ou negativa | ",""),"")&amp;IF(AND($J34&gt;0,OR($P34&gt;=Turno_Min,$Q34&gt;Turno_Min)),"Fora da janela do plantão | ","")&amp;IF(AND($J34&gt;0,SUMPRODUCT((Mapa_Sala=$B34)*(Mapa_Data=$A34)*(Mapa_MinOcup&gt;0)*(Mapa_RelIni&lt;$Q34)*(Mapa_RelFim&gt;$P34))&gt;1),"Sobreposição de horário na sala | ","")&amp;IFERROR(IF(AND(ISNUMBER($I34),$I34&gt;0,COUNTIF(Esp_Nome,$E34)&gt;0,$I34&gt;3*INDEX(Esp_Dur,MATCH($E34,Esp_Nome,0))),"Duração atípica (&gt;3x a média) | ",""),""))</f>
        <v/>
      </c>
      <c r="P34" s="19">
        <f>IF(NOT(ISNUMBER($C34)),0,ROUND(MOD($C34-Turno_Ini,1)*1440,0))</f>
        <v/>
      </c>
      <c r="Q34" s="19">
        <f>IF($J34&lt;=0,0,$P34+$I34)</f>
        <v/>
      </c>
      <c r="R34" s="19">
        <f>IF($K34="","",$B34&amp;"#"&amp;$A34&amp;"#"&amp;$K34)</f>
        <v/>
      </c>
      <c r="S34" s="19">
        <f>ROW()</f>
        <v/>
      </c>
      <c r="T34" s="19">
        <f>IF($J34&lt;=0,0,MAX(0,MIN($P34+$I34+Limpeza_Min,Turno_Min,IFERROR(INDEX(Mapa_RelIni,MATCH($B34&amp;"#"&amp;$A34&amp;"#"&amp;($K34+1),Mapa_Chave,0)),Turno_Min))-MIN($P34,Turno_Min)))</f>
        <v/>
      </c>
    </row>
    <row r="35">
      <c r="A35" s="30" t="n"/>
      <c r="B35" s="31" t="n"/>
      <c r="C35" s="32" t="n"/>
      <c r="D35" s="32" t="n"/>
      <c r="E35" s="33" t="n"/>
      <c r="F35" s="33" t="n"/>
      <c r="G35" s="33" t="n"/>
      <c r="H35" s="31" t="n"/>
      <c r="I35" s="20">
        <f>IF(OR($B35="",NOT(ISNUMBER($C35)),NOT(ISNUMBER($D35))),"",ROUND(MOD($D35-$C35,1)*1440,0))</f>
        <v/>
      </c>
      <c r="J35" s="20">
        <f>IF(NOT(ISNUMBER($I35)),0,IF(OR($I35&lt;=0,$H35="Cancelada",$H35="Suspensa"),0,$I35+Limpeza_Min))</f>
        <v/>
      </c>
      <c r="K35" s="20">
        <f>IF($J35&lt;=0,"",SUMPRODUCT((Mapa_Sala=$B35)*(Mapa_Data=$A35)*(Mapa_MinOcup&gt;0)*((Mapa_RelIni&lt;$P35)+((Mapa_RelIni=$P35)*(Mapa_Row&lt;=$S35)))))</f>
        <v/>
      </c>
      <c r="L35" s="34">
        <f>IF($J35&lt;=0,"",MOD(Turno_Ini+($Q35+Limpeza_Min)/1440,1))</f>
        <v/>
      </c>
      <c r="M35" s="20">
        <f>IF($J35&lt;=0,"",MAX(0,IFERROR(INDEX(Mapa_RelIni,MATCH($B35&amp;"#"&amp;$A35&amp;"#"&amp;($K35+1),Mapa_Chave,0)),Turno_Min)-($Q35+Limpeza_Min)))</f>
        <v/>
      </c>
      <c r="N35" s="14">
        <f>IF($B35="","",IF($O35="","OK",LEFT($O35,LEN($O35)-3)))</f>
        <v/>
      </c>
      <c r="O35" s="35">
        <f>IF($B35="","",IF(COUNTIF(Postos_Cod,$B35)=0,"Sala não cadastrada | ","")&amp;IF(AND(COUNTIF(Postos_Cod,$B35)&gt;0,IFERROR(INDEX(Postos_Tipo,MATCH($B35,Postos_Cod,0)),"")&lt;&gt;"Sala cirúrgica"),"Posto não é sala cirúrgica | ","")&amp;IF(COUNTIF(Esp_Nome,$E35)=0,"Especialidade não cadastrada | ","")&amp;IF(COUNTIF(Lista_StatusCir,$H35)=0,"Status inválido | ","")&amp;IF(OR(NOT(ISNUMBER($C35)),NOT(ISNUMBER($D35))),"Horário inválido | ","")&amp;IFERROR(IF(AND(ISNUMBER($C35),ISNUMBER($D35),MOD($D35-$C35,1)*1440&lt;=0),"Duração nula ou negativa | ",""),"")&amp;IF(AND($J35&gt;0,OR($P35&gt;=Turno_Min,$Q35&gt;Turno_Min)),"Fora da janela do plantão | ","")&amp;IF(AND($J35&gt;0,SUMPRODUCT((Mapa_Sala=$B35)*(Mapa_Data=$A35)*(Mapa_MinOcup&gt;0)*(Mapa_RelIni&lt;$Q35)*(Mapa_RelFim&gt;$P35))&gt;1),"Sobreposição de horário na sala | ","")&amp;IFERROR(IF(AND(ISNUMBER($I35),$I35&gt;0,COUNTIF(Esp_Nome,$E35)&gt;0,$I35&gt;3*INDEX(Esp_Dur,MATCH($E35,Esp_Nome,0))),"Duração atípica (&gt;3x a média) | ",""),""))</f>
        <v/>
      </c>
      <c r="P35" s="19">
        <f>IF(NOT(ISNUMBER($C35)),0,ROUND(MOD($C35-Turno_Ini,1)*1440,0))</f>
        <v/>
      </c>
      <c r="Q35" s="19">
        <f>IF($J35&lt;=0,0,$P35+$I35)</f>
        <v/>
      </c>
      <c r="R35" s="19">
        <f>IF($K35="","",$B35&amp;"#"&amp;$A35&amp;"#"&amp;$K35)</f>
        <v/>
      </c>
      <c r="S35" s="19">
        <f>ROW()</f>
        <v/>
      </c>
      <c r="T35" s="19">
        <f>IF($J35&lt;=0,0,MAX(0,MIN($P35+$I35+Limpeza_Min,Turno_Min,IFERROR(INDEX(Mapa_RelIni,MATCH($B35&amp;"#"&amp;$A35&amp;"#"&amp;($K35+1),Mapa_Chave,0)),Turno_Min))-MIN($P35,Turno_Min)))</f>
        <v/>
      </c>
    </row>
    <row r="36">
      <c r="A36" s="30" t="n"/>
      <c r="B36" s="31" t="n"/>
      <c r="C36" s="32" t="n"/>
      <c r="D36" s="32" t="n"/>
      <c r="E36" s="33" t="n"/>
      <c r="F36" s="33" t="n"/>
      <c r="G36" s="33" t="n"/>
      <c r="H36" s="31" t="n"/>
      <c r="I36" s="20">
        <f>IF(OR($B36="",NOT(ISNUMBER($C36)),NOT(ISNUMBER($D36))),"",ROUND(MOD($D36-$C36,1)*1440,0))</f>
        <v/>
      </c>
      <c r="J36" s="20">
        <f>IF(NOT(ISNUMBER($I36)),0,IF(OR($I36&lt;=0,$H36="Cancelada",$H36="Suspensa"),0,$I36+Limpeza_Min))</f>
        <v/>
      </c>
      <c r="K36" s="20">
        <f>IF($J36&lt;=0,"",SUMPRODUCT((Mapa_Sala=$B36)*(Mapa_Data=$A36)*(Mapa_MinOcup&gt;0)*((Mapa_RelIni&lt;$P36)+((Mapa_RelIni=$P36)*(Mapa_Row&lt;=$S36)))))</f>
        <v/>
      </c>
      <c r="L36" s="34">
        <f>IF($J36&lt;=0,"",MOD(Turno_Ini+($Q36+Limpeza_Min)/1440,1))</f>
        <v/>
      </c>
      <c r="M36" s="20">
        <f>IF($J36&lt;=0,"",MAX(0,IFERROR(INDEX(Mapa_RelIni,MATCH($B36&amp;"#"&amp;$A36&amp;"#"&amp;($K36+1),Mapa_Chave,0)),Turno_Min)-($Q36+Limpeza_Min)))</f>
        <v/>
      </c>
      <c r="N36" s="14">
        <f>IF($B36="","",IF($O36="","OK",LEFT($O36,LEN($O36)-3)))</f>
        <v/>
      </c>
      <c r="O36" s="35">
        <f>IF($B36="","",IF(COUNTIF(Postos_Cod,$B36)=0,"Sala não cadastrada | ","")&amp;IF(AND(COUNTIF(Postos_Cod,$B36)&gt;0,IFERROR(INDEX(Postos_Tipo,MATCH($B36,Postos_Cod,0)),"")&lt;&gt;"Sala cirúrgica"),"Posto não é sala cirúrgica | ","")&amp;IF(COUNTIF(Esp_Nome,$E36)=0,"Especialidade não cadastrada | ","")&amp;IF(COUNTIF(Lista_StatusCir,$H36)=0,"Status inválido | ","")&amp;IF(OR(NOT(ISNUMBER($C36)),NOT(ISNUMBER($D36))),"Horário inválido | ","")&amp;IFERROR(IF(AND(ISNUMBER($C36),ISNUMBER($D36),MOD($D36-$C36,1)*1440&lt;=0),"Duração nula ou negativa | ",""),"")&amp;IF(AND($J36&gt;0,OR($P36&gt;=Turno_Min,$Q36&gt;Turno_Min)),"Fora da janela do plantão | ","")&amp;IF(AND($J36&gt;0,SUMPRODUCT((Mapa_Sala=$B36)*(Mapa_Data=$A36)*(Mapa_MinOcup&gt;0)*(Mapa_RelIni&lt;$Q36)*(Mapa_RelFim&gt;$P36))&gt;1),"Sobreposição de horário na sala | ","")&amp;IFERROR(IF(AND(ISNUMBER($I36),$I36&gt;0,COUNTIF(Esp_Nome,$E36)&gt;0,$I36&gt;3*INDEX(Esp_Dur,MATCH($E36,Esp_Nome,0))),"Duração atípica (&gt;3x a média) | ",""),""))</f>
        <v/>
      </c>
      <c r="P36" s="19">
        <f>IF(NOT(ISNUMBER($C36)),0,ROUND(MOD($C36-Turno_Ini,1)*1440,0))</f>
        <v/>
      </c>
      <c r="Q36" s="19">
        <f>IF($J36&lt;=0,0,$P36+$I36)</f>
        <v/>
      </c>
      <c r="R36" s="19">
        <f>IF($K36="","",$B36&amp;"#"&amp;$A36&amp;"#"&amp;$K36)</f>
        <v/>
      </c>
      <c r="S36" s="19">
        <f>ROW()</f>
        <v/>
      </c>
      <c r="T36" s="19">
        <f>IF($J36&lt;=0,0,MAX(0,MIN($P36+$I36+Limpeza_Min,Turno_Min,IFERROR(INDEX(Mapa_RelIni,MATCH($B36&amp;"#"&amp;$A36&amp;"#"&amp;($K36+1),Mapa_Chave,0)),Turno_Min))-MIN($P36,Turno_Min)))</f>
        <v/>
      </c>
    </row>
    <row r="37">
      <c r="A37" s="30" t="n"/>
      <c r="B37" s="31" t="n"/>
      <c r="C37" s="32" t="n"/>
      <c r="D37" s="32" t="n"/>
      <c r="E37" s="33" t="n"/>
      <c r="F37" s="33" t="n"/>
      <c r="G37" s="33" t="n"/>
      <c r="H37" s="31" t="n"/>
      <c r="I37" s="20">
        <f>IF(OR($B37="",NOT(ISNUMBER($C37)),NOT(ISNUMBER($D37))),"",ROUND(MOD($D37-$C37,1)*1440,0))</f>
        <v/>
      </c>
      <c r="J37" s="20">
        <f>IF(NOT(ISNUMBER($I37)),0,IF(OR($I37&lt;=0,$H37="Cancelada",$H37="Suspensa"),0,$I37+Limpeza_Min))</f>
        <v/>
      </c>
      <c r="K37" s="20">
        <f>IF($J37&lt;=0,"",SUMPRODUCT((Mapa_Sala=$B37)*(Mapa_Data=$A37)*(Mapa_MinOcup&gt;0)*((Mapa_RelIni&lt;$P37)+((Mapa_RelIni=$P37)*(Mapa_Row&lt;=$S37)))))</f>
        <v/>
      </c>
      <c r="L37" s="34">
        <f>IF($J37&lt;=0,"",MOD(Turno_Ini+($Q37+Limpeza_Min)/1440,1))</f>
        <v/>
      </c>
      <c r="M37" s="20">
        <f>IF($J37&lt;=0,"",MAX(0,IFERROR(INDEX(Mapa_RelIni,MATCH($B37&amp;"#"&amp;$A37&amp;"#"&amp;($K37+1),Mapa_Chave,0)),Turno_Min)-($Q37+Limpeza_Min)))</f>
        <v/>
      </c>
      <c r="N37" s="14">
        <f>IF($B37="","",IF($O37="","OK",LEFT($O37,LEN($O37)-3)))</f>
        <v/>
      </c>
      <c r="O37" s="35">
        <f>IF($B37="","",IF(COUNTIF(Postos_Cod,$B37)=0,"Sala não cadastrada | ","")&amp;IF(AND(COUNTIF(Postos_Cod,$B37)&gt;0,IFERROR(INDEX(Postos_Tipo,MATCH($B37,Postos_Cod,0)),"")&lt;&gt;"Sala cirúrgica"),"Posto não é sala cirúrgica | ","")&amp;IF(COUNTIF(Esp_Nome,$E37)=0,"Especialidade não cadastrada | ","")&amp;IF(COUNTIF(Lista_StatusCir,$H37)=0,"Status inválido | ","")&amp;IF(OR(NOT(ISNUMBER($C37)),NOT(ISNUMBER($D37))),"Horário inválido | ","")&amp;IFERROR(IF(AND(ISNUMBER($C37),ISNUMBER($D37),MOD($D37-$C37,1)*1440&lt;=0),"Duração nula ou negativa | ",""),"")&amp;IF(AND($J37&gt;0,OR($P37&gt;=Turno_Min,$Q37&gt;Turno_Min)),"Fora da janela do plantão | ","")&amp;IF(AND($J37&gt;0,SUMPRODUCT((Mapa_Sala=$B37)*(Mapa_Data=$A37)*(Mapa_MinOcup&gt;0)*(Mapa_RelIni&lt;$Q37)*(Mapa_RelFim&gt;$P37))&gt;1),"Sobreposição de horário na sala | ","")&amp;IFERROR(IF(AND(ISNUMBER($I37),$I37&gt;0,COUNTIF(Esp_Nome,$E37)&gt;0,$I37&gt;3*INDEX(Esp_Dur,MATCH($E37,Esp_Nome,0))),"Duração atípica (&gt;3x a média) | ",""),""))</f>
        <v/>
      </c>
      <c r="P37" s="19">
        <f>IF(NOT(ISNUMBER($C37)),0,ROUND(MOD($C37-Turno_Ini,1)*1440,0))</f>
        <v/>
      </c>
      <c r="Q37" s="19">
        <f>IF($J37&lt;=0,0,$P37+$I37)</f>
        <v/>
      </c>
      <c r="R37" s="19">
        <f>IF($K37="","",$B37&amp;"#"&amp;$A37&amp;"#"&amp;$K37)</f>
        <v/>
      </c>
      <c r="S37" s="19">
        <f>ROW()</f>
        <v/>
      </c>
      <c r="T37" s="19">
        <f>IF($J37&lt;=0,0,MAX(0,MIN($P37+$I37+Limpeza_Min,Turno_Min,IFERROR(INDEX(Mapa_RelIni,MATCH($B37&amp;"#"&amp;$A37&amp;"#"&amp;($K37+1),Mapa_Chave,0)),Turno_Min))-MIN($P37,Turno_Min)))</f>
        <v/>
      </c>
    </row>
    <row r="38">
      <c r="A38" s="30" t="n"/>
      <c r="B38" s="31" t="n"/>
      <c r="C38" s="32" t="n"/>
      <c r="D38" s="32" t="n"/>
      <c r="E38" s="33" t="n"/>
      <c r="F38" s="33" t="n"/>
      <c r="G38" s="33" t="n"/>
      <c r="H38" s="31" t="n"/>
      <c r="I38" s="20">
        <f>IF(OR($B38="",NOT(ISNUMBER($C38)),NOT(ISNUMBER($D38))),"",ROUND(MOD($D38-$C38,1)*1440,0))</f>
        <v/>
      </c>
      <c r="J38" s="20">
        <f>IF(NOT(ISNUMBER($I38)),0,IF(OR($I38&lt;=0,$H38="Cancelada",$H38="Suspensa"),0,$I38+Limpeza_Min))</f>
        <v/>
      </c>
      <c r="K38" s="20">
        <f>IF($J38&lt;=0,"",SUMPRODUCT((Mapa_Sala=$B38)*(Mapa_Data=$A38)*(Mapa_MinOcup&gt;0)*((Mapa_RelIni&lt;$P38)+((Mapa_RelIni=$P38)*(Mapa_Row&lt;=$S38)))))</f>
        <v/>
      </c>
      <c r="L38" s="34">
        <f>IF($J38&lt;=0,"",MOD(Turno_Ini+($Q38+Limpeza_Min)/1440,1))</f>
        <v/>
      </c>
      <c r="M38" s="20">
        <f>IF($J38&lt;=0,"",MAX(0,IFERROR(INDEX(Mapa_RelIni,MATCH($B38&amp;"#"&amp;$A38&amp;"#"&amp;($K38+1),Mapa_Chave,0)),Turno_Min)-($Q38+Limpeza_Min)))</f>
        <v/>
      </c>
      <c r="N38" s="14">
        <f>IF($B38="","",IF($O38="","OK",LEFT($O38,LEN($O38)-3)))</f>
        <v/>
      </c>
      <c r="O38" s="35">
        <f>IF($B38="","",IF(COUNTIF(Postos_Cod,$B38)=0,"Sala não cadastrada | ","")&amp;IF(AND(COUNTIF(Postos_Cod,$B38)&gt;0,IFERROR(INDEX(Postos_Tipo,MATCH($B38,Postos_Cod,0)),"")&lt;&gt;"Sala cirúrgica"),"Posto não é sala cirúrgica | ","")&amp;IF(COUNTIF(Esp_Nome,$E38)=0,"Especialidade não cadastrada | ","")&amp;IF(COUNTIF(Lista_StatusCir,$H38)=0,"Status inválido | ","")&amp;IF(OR(NOT(ISNUMBER($C38)),NOT(ISNUMBER($D38))),"Horário inválido | ","")&amp;IFERROR(IF(AND(ISNUMBER($C38),ISNUMBER($D38),MOD($D38-$C38,1)*1440&lt;=0),"Duração nula ou negativa | ",""),"")&amp;IF(AND($J38&gt;0,OR($P38&gt;=Turno_Min,$Q38&gt;Turno_Min)),"Fora da janela do plantão | ","")&amp;IF(AND($J38&gt;0,SUMPRODUCT((Mapa_Sala=$B38)*(Mapa_Data=$A38)*(Mapa_MinOcup&gt;0)*(Mapa_RelIni&lt;$Q38)*(Mapa_RelFim&gt;$P38))&gt;1),"Sobreposição de horário na sala | ","")&amp;IFERROR(IF(AND(ISNUMBER($I38),$I38&gt;0,COUNTIF(Esp_Nome,$E38)&gt;0,$I38&gt;3*INDEX(Esp_Dur,MATCH($E38,Esp_Nome,0))),"Duração atípica (&gt;3x a média) | ",""),""))</f>
        <v/>
      </c>
      <c r="P38" s="19">
        <f>IF(NOT(ISNUMBER($C38)),0,ROUND(MOD($C38-Turno_Ini,1)*1440,0))</f>
        <v/>
      </c>
      <c r="Q38" s="19">
        <f>IF($J38&lt;=0,0,$P38+$I38)</f>
        <v/>
      </c>
      <c r="R38" s="19">
        <f>IF($K38="","",$B38&amp;"#"&amp;$A38&amp;"#"&amp;$K38)</f>
        <v/>
      </c>
      <c r="S38" s="19">
        <f>ROW()</f>
        <v/>
      </c>
      <c r="T38" s="19">
        <f>IF($J38&lt;=0,0,MAX(0,MIN($P38+$I38+Limpeza_Min,Turno_Min,IFERROR(INDEX(Mapa_RelIni,MATCH($B38&amp;"#"&amp;$A38&amp;"#"&amp;($K38+1),Mapa_Chave,0)),Turno_Min))-MIN($P38,Turno_Min)))</f>
        <v/>
      </c>
    </row>
    <row r="39">
      <c r="A39" s="30" t="n"/>
      <c r="B39" s="31" t="n"/>
      <c r="C39" s="32" t="n"/>
      <c r="D39" s="32" t="n"/>
      <c r="E39" s="33" t="n"/>
      <c r="F39" s="33" t="n"/>
      <c r="G39" s="33" t="n"/>
      <c r="H39" s="31" t="n"/>
      <c r="I39" s="20">
        <f>IF(OR($B39="",NOT(ISNUMBER($C39)),NOT(ISNUMBER($D39))),"",ROUND(MOD($D39-$C39,1)*1440,0))</f>
        <v/>
      </c>
      <c r="J39" s="20">
        <f>IF(NOT(ISNUMBER($I39)),0,IF(OR($I39&lt;=0,$H39="Cancelada",$H39="Suspensa"),0,$I39+Limpeza_Min))</f>
        <v/>
      </c>
      <c r="K39" s="20">
        <f>IF($J39&lt;=0,"",SUMPRODUCT((Mapa_Sala=$B39)*(Mapa_Data=$A39)*(Mapa_MinOcup&gt;0)*((Mapa_RelIni&lt;$P39)+((Mapa_RelIni=$P39)*(Mapa_Row&lt;=$S39)))))</f>
        <v/>
      </c>
      <c r="L39" s="34">
        <f>IF($J39&lt;=0,"",MOD(Turno_Ini+($Q39+Limpeza_Min)/1440,1))</f>
        <v/>
      </c>
      <c r="M39" s="20">
        <f>IF($J39&lt;=0,"",MAX(0,IFERROR(INDEX(Mapa_RelIni,MATCH($B39&amp;"#"&amp;$A39&amp;"#"&amp;($K39+1),Mapa_Chave,0)),Turno_Min)-($Q39+Limpeza_Min)))</f>
        <v/>
      </c>
      <c r="N39" s="14">
        <f>IF($B39="","",IF($O39="","OK",LEFT($O39,LEN($O39)-3)))</f>
        <v/>
      </c>
      <c r="O39" s="35">
        <f>IF($B39="","",IF(COUNTIF(Postos_Cod,$B39)=0,"Sala não cadastrada | ","")&amp;IF(AND(COUNTIF(Postos_Cod,$B39)&gt;0,IFERROR(INDEX(Postos_Tipo,MATCH($B39,Postos_Cod,0)),"")&lt;&gt;"Sala cirúrgica"),"Posto não é sala cirúrgica | ","")&amp;IF(COUNTIF(Esp_Nome,$E39)=0,"Especialidade não cadastrada | ","")&amp;IF(COUNTIF(Lista_StatusCir,$H39)=0,"Status inválido | ","")&amp;IF(OR(NOT(ISNUMBER($C39)),NOT(ISNUMBER($D39))),"Horário inválido | ","")&amp;IFERROR(IF(AND(ISNUMBER($C39),ISNUMBER($D39),MOD($D39-$C39,1)*1440&lt;=0),"Duração nula ou negativa | ",""),"")&amp;IF(AND($J39&gt;0,OR($P39&gt;=Turno_Min,$Q39&gt;Turno_Min)),"Fora da janela do plantão | ","")&amp;IF(AND($J39&gt;0,SUMPRODUCT((Mapa_Sala=$B39)*(Mapa_Data=$A39)*(Mapa_MinOcup&gt;0)*(Mapa_RelIni&lt;$Q39)*(Mapa_RelFim&gt;$P39))&gt;1),"Sobreposição de horário na sala | ","")&amp;IFERROR(IF(AND(ISNUMBER($I39),$I39&gt;0,COUNTIF(Esp_Nome,$E39)&gt;0,$I39&gt;3*INDEX(Esp_Dur,MATCH($E39,Esp_Nome,0))),"Duração atípica (&gt;3x a média) | ",""),""))</f>
        <v/>
      </c>
      <c r="P39" s="19">
        <f>IF(NOT(ISNUMBER($C39)),0,ROUND(MOD($C39-Turno_Ini,1)*1440,0))</f>
        <v/>
      </c>
      <c r="Q39" s="19">
        <f>IF($J39&lt;=0,0,$P39+$I39)</f>
        <v/>
      </c>
      <c r="R39" s="19">
        <f>IF($K39="","",$B39&amp;"#"&amp;$A39&amp;"#"&amp;$K39)</f>
        <v/>
      </c>
      <c r="S39" s="19">
        <f>ROW()</f>
        <v/>
      </c>
      <c r="T39" s="19">
        <f>IF($J39&lt;=0,0,MAX(0,MIN($P39+$I39+Limpeza_Min,Turno_Min,IFERROR(INDEX(Mapa_RelIni,MATCH($B39&amp;"#"&amp;$A39&amp;"#"&amp;($K39+1),Mapa_Chave,0)),Turno_Min))-MIN($P39,Turno_Min)))</f>
        <v/>
      </c>
    </row>
    <row r="40">
      <c r="A40" s="30" t="n"/>
      <c r="B40" s="31" t="n"/>
      <c r="C40" s="32" t="n"/>
      <c r="D40" s="32" t="n"/>
      <c r="E40" s="33" t="n"/>
      <c r="F40" s="33" t="n"/>
      <c r="G40" s="33" t="n"/>
      <c r="H40" s="31" t="n"/>
      <c r="I40" s="20">
        <f>IF(OR($B40="",NOT(ISNUMBER($C40)),NOT(ISNUMBER($D40))),"",ROUND(MOD($D40-$C40,1)*1440,0))</f>
        <v/>
      </c>
      <c r="J40" s="20">
        <f>IF(NOT(ISNUMBER($I40)),0,IF(OR($I40&lt;=0,$H40="Cancelada",$H40="Suspensa"),0,$I40+Limpeza_Min))</f>
        <v/>
      </c>
      <c r="K40" s="20">
        <f>IF($J40&lt;=0,"",SUMPRODUCT((Mapa_Sala=$B40)*(Mapa_Data=$A40)*(Mapa_MinOcup&gt;0)*((Mapa_RelIni&lt;$P40)+((Mapa_RelIni=$P40)*(Mapa_Row&lt;=$S40)))))</f>
        <v/>
      </c>
      <c r="L40" s="34">
        <f>IF($J40&lt;=0,"",MOD(Turno_Ini+($Q40+Limpeza_Min)/1440,1))</f>
        <v/>
      </c>
      <c r="M40" s="20">
        <f>IF($J40&lt;=0,"",MAX(0,IFERROR(INDEX(Mapa_RelIni,MATCH($B40&amp;"#"&amp;$A40&amp;"#"&amp;($K40+1),Mapa_Chave,0)),Turno_Min)-($Q40+Limpeza_Min)))</f>
        <v/>
      </c>
      <c r="N40" s="14">
        <f>IF($B40="","",IF($O40="","OK",LEFT($O40,LEN($O40)-3)))</f>
        <v/>
      </c>
      <c r="O40" s="35">
        <f>IF($B40="","",IF(COUNTIF(Postos_Cod,$B40)=0,"Sala não cadastrada | ","")&amp;IF(AND(COUNTIF(Postos_Cod,$B40)&gt;0,IFERROR(INDEX(Postos_Tipo,MATCH($B40,Postos_Cod,0)),"")&lt;&gt;"Sala cirúrgica"),"Posto não é sala cirúrgica | ","")&amp;IF(COUNTIF(Esp_Nome,$E40)=0,"Especialidade não cadastrada | ","")&amp;IF(COUNTIF(Lista_StatusCir,$H40)=0,"Status inválido | ","")&amp;IF(OR(NOT(ISNUMBER($C40)),NOT(ISNUMBER($D40))),"Horário inválido | ","")&amp;IFERROR(IF(AND(ISNUMBER($C40),ISNUMBER($D40),MOD($D40-$C40,1)*1440&lt;=0),"Duração nula ou negativa | ",""),"")&amp;IF(AND($J40&gt;0,OR($P40&gt;=Turno_Min,$Q40&gt;Turno_Min)),"Fora da janela do plantão | ","")&amp;IF(AND($J40&gt;0,SUMPRODUCT((Mapa_Sala=$B40)*(Mapa_Data=$A40)*(Mapa_MinOcup&gt;0)*(Mapa_RelIni&lt;$Q40)*(Mapa_RelFim&gt;$P40))&gt;1),"Sobreposição de horário na sala | ","")&amp;IFERROR(IF(AND(ISNUMBER($I40),$I40&gt;0,COUNTIF(Esp_Nome,$E40)&gt;0,$I40&gt;3*INDEX(Esp_Dur,MATCH($E40,Esp_Nome,0))),"Duração atípica (&gt;3x a média) | ",""),""))</f>
        <v/>
      </c>
      <c r="P40" s="19">
        <f>IF(NOT(ISNUMBER($C40)),0,ROUND(MOD($C40-Turno_Ini,1)*1440,0))</f>
        <v/>
      </c>
      <c r="Q40" s="19">
        <f>IF($J40&lt;=0,0,$P40+$I40)</f>
        <v/>
      </c>
      <c r="R40" s="19">
        <f>IF($K40="","",$B40&amp;"#"&amp;$A40&amp;"#"&amp;$K40)</f>
        <v/>
      </c>
      <c r="S40" s="19">
        <f>ROW()</f>
        <v/>
      </c>
      <c r="T40" s="19">
        <f>IF($J40&lt;=0,0,MAX(0,MIN($P40+$I40+Limpeza_Min,Turno_Min,IFERROR(INDEX(Mapa_RelIni,MATCH($B40&amp;"#"&amp;$A40&amp;"#"&amp;($K40+1),Mapa_Chave,0)),Turno_Min))-MIN($P40,Turno_Min)))</f>
        <v/>
      </c>
    </row>
    <row r="41">
      <c r="A41" s="30" t="n"/>
      <c r="B41" s="31" t="n"/>
      <c r="C41" s="32" t="n"/>
      <c r="D41" s="32" t="n"/>
      <c r="E41" s="33" t="n"/>
      <c r="F41" s="33" t="n"/>
      <c r="G41" s="33" t="n"/>
      <c r="H41" s="31" t="n"/>
      <c r="I41" s="20">
        <f>IF(OR($B41="",NOT(ISNUMBER($C41)),NOT(ISNUMBER($D41))),"",ROUND(MOD($D41-$C41,1)*1440,0))</f>
        <v/>
      </c>
      <c r="J41" s="20">
        <f>IF(NOT(ISNUMBER($I41)),0,IF(OR($I41&lt;=0,$H41="Cancelada",$H41="Suspensa"),0,$I41+Limpeza_Min))</f>
        <v/>
      </c>
      <c r="K41" s="20">
        <f>IF($J41&lt;=0,"",SUMPRODUCT((Mapa_Sala=$B41)*(Mapa_Data=$A41)*(Mapa_MinOcup&gt;0)*((Mapa_RelIni&lt;$P41)+((Mapa_RelIni=$P41)*(Mapa_Row&lt;=$S41)))))</f>
        <v/>
      </c>
      <c r="L41" s="34">
        <f>IF($J41&lt;=0,"",MOD(Turno_Ini+($Q41+Limpeza_Min)/1440,1))</f>
        <v/>
      </c>
      <c r="M41" s="20">
        <f>IF($J41&lt;=0,"",MAX(0,IFERROR(INDEX(Mapa_RelIni,MATCH($B41&amp;"#"&amp;$A41&amp;"#"&amp;($K41+1),Mapa_Chave,0)),Turno_Min)-($Q41+Limpeza_Min)))</f>
        <v/>
      </c>
      <c r="N41" s="14">
        <f>IF($B41="","",IF($O41="","OK",LEFT($O41,LEN($O41)-3)))</f>
        <v/>
      </c>
      <c r="O41" s="35">
        <f>IF($B41="","",IF(COUNTIF(Postos_Cod,$B41)=0,"Sala não cadastrada | ","")&amp;IF(AND(COUNTIF(Postos_Cod,$B41)&gt;0,IFERROR(INDEX(Postos_Tipo,MATCH($B41,Postos_Cod,0)),"")&lt;&gt;"Sala cirúrgica"),"Posto não é sala cirúrgica | ","")&amp;IF(COUNTIF(Esp_Nome,$E41)=0,"Especialidade não cadastrada | ","")&amp;IF(COUNTIF(Lista_StatusCir,$H41)=0,"Status inválido | ","")&amp;IF(OR(NOT(ISNUMBER($C41)),NOT(ISNUMBER($D41))),"Horário inválido | ","")&amp;IFERROR(IF(AND(ISNUMBER($C41),ISNUMBER($D41),MOD($D41-$C41,1)*1440&lt;=0),"Duração nula ou negativa | ",""),"")&amp;IF(AND($J41&gt;0,OR($P41&gt;=Turno_Min,$Q41&gt;Turno_Min)),"Fora da janela do plantão | ","")&amp;IF(AND($J41&gt;0,SUMPRODUCT((Mapa_Sala=$B41)*(Mapa_Data=$A41)*(Mapa_MinOcup&gt;0)*(Mapa_RelIni&lt;$Q41)*(Mapa_RelFim&gt;$P41))&gt;1),"Sobreposição de horário na sala | ","")&amp;IFERROR(IF(AND(ISNUMBER($I41),$I41&gt;0,COUNTIF(Esp_Nome,$E41)&gt;0,$I41&gt;3*INDEX(Esp_Dur,MATCH($E41,Esp_Nome,0))),"Duração atípica (&gt;3x a média) | ",""),""))</f>
        <v/>
      </c>
      <c r="P41" s="19">
        <f>IF(NOT(ISNUMBER($C41)),0,ROUND(MOD($C41-Turno_Ini,1)*1440,0))</f>
        <v/>
      </c>
      <c r="Q41" s="19">
        <f>IF($J41&lt;=0,0,$P41+$I41)</f>
        <v/>
      </c>
      <c r="R41" s="19">
        <f>IF($K41="","",$B41&amp;"#"&amp;$A41&amp;"#"&amp;$K41)</f>
        <v/>
      </c>
      <c r="S41" s="19">
        <f>ROW()</f>
        <v/>
      </c>
      <c r="T41" s="19">
        <f>IF($J41&lt;=0,0,MAX(0,MIN($P41+$I41+Limpeza_Min,Turno_Min,IFERROR(INDEX(Mapa_RelIni,MATCH($B41&amp;"#"&amp;$A41&amp;"#"&amp;($K41+1),Mapa_Chave,0)),Turno_Min))-MIN($P41,Turno_Min)))</f>
        <v/>
      </c>
    </row>
    <row r="42">
      <c r="A42" s="30" t="n"/>
      <c r="B42" s="31" t="n"/>
      <c r="C42" s="32" t="n"/>
      <c r="D42" s="32" t="n"/>
      <c r="E42" s="33" t="n"/>
      <c r="F42" s="33" t="n"/>
      <c r="G42" s="33" t="n"/>
      <c r="H42" s="31" t="n"/>
      <c r="I42" s="20">
        <f>IF(OR($B42="",NOT(ISNUMBER($C42)),NOT(ISNUMBER($D42))),"",ROUND(MOD($D42-$C42,1)*1440,0))</f>
        <v/>
      </c>
      <c r="J42" s="20">
        <f>IF(NOT(ISNUMBER($I42)),0,IF(OR($I42&lt;=0,$H42="Cancelada",$H42="Suspensa"),0,$I42+Limpeza_Min))</f>
        <v/>
      </c>
      <c r="K42" s="20">
        <f>IF($J42&lt;=0,"",SUMPRODUCT((Mapa_Sala=$B42)*(Mapa_Data=$A42)*(Mapa_MinOcup&gt;0)*((Mapa_RelIni&lt;$P42)+((Mapa_RelIni=$P42)*(Mapa_Row&lt;=$S42)))))</f>
        <v/>
      </c>
      <c r="L42" s="34">
        <f>IF($J42&lt;=0,"",MOD(Turno_Ini+($Q42+Limpeza_Min)/1440,1))</f>
        <v/>
      </c>
      <c r="M42" s="20">
        <f>IF($J42&lt;=0,"",MAX(0,IFERROR(INDEX(Mapa_RelIni,MATCH($B42&amp;"#"&amp;$A42&amp;"#"&amp;($K42+1),Mapa_Chave,0)),Turno_Min)-($Q42+Limpeza_Min)))</f>
        <v/>
      </c>
      <c r="N42" s="14">
        <f>IF($B42="","",IF($O42="","OK",LEFT($O42,LEN($O42)-3)))</f>
        <v/>
      </c>
      <c r="O42" s="35">
        <f>IF($B42="","",IF(COUNTIF(Postos_Cod,$B42)=0,"Sala não cadastrada | ","")&amp;IF(AND(COUNTIF(Postos_Cod,$B42)&gt;0,IFERROR(INDEX(Postos_Tipo,MATCH($B42,Postos_Cod,0)),"")&lt;&gt;"Sala cirúrgica"),"Posto não é sala cirúrgica | ","")&amp;IF(COUNTIF(Esp_Nome,$E42)=0,"Especialidade não cadastrada | ","")&amp;IF(COUNTIF(Lista_StatusCir,$H42)=0,"Status inválido | ","")&amp;IF(OR(NOT(ISNUMBER($C42)),NOT(ISNUMBER($D42))),"Horário inválido | ","")&amp;IFERROR(IF(AND(ISNUMBER($C42),ISNUMBER($D42),MOD($D42-$C42,1)*1440&lt;=0),"Duração nula ou negativa | ",""),"")&amp;IF(AND($J42&gt;0,OR($P42&gt;=Turno_Min,$Q42&gt;Turno_Min)),"Fora da janela do plantão | ","")&amp;IF(AND($J42&gt;0,SUMPRODUCT((Mapa_Sala=$B42)*(Mapa_Data=$A42)*(Mapa_MinOcup&gt;0)*(Mapa_RelIni&lt;$Q42)*(Mapa_RelFim&gt;$P42))&gt;1),"Sobreposição de horário na sala | ","")&amp;IFERROR(IF(AND(ISNUMBER($I42),$I42&gt;0,COUNTIF(Esp_Nome,$E42)&gt;0,$I42&gt;3*INDEX(Esp_Dur,MATCH($E42,Esp_Nome,0))),"Duração atípica (&gt;3x a média) | ",""),""))</f>
        <v/>
      </c>
      <c r="P42" s="19">
        <f>IF(NOT(ISNUMBER($C42)),0,ROUND(MOD($C42-Turno_Ini,1)*1440,0))</f>
        <v/>
      </c>
      <c r="Q42" s="19">
        <f>IF($J42&lt;=0,0,$P42+$I42)</f>
        <v/>
      </c>
      <c r="R42" s="19">
        <f>IF($K42="","",$B42&amp;"#"&amp;$A42&amp;"#"&amp;$K42)</f>
        <v/>
      </c>
      <c r="S42" s="19">
        <f>ROW()</f>
        <v/>
      </c>
      <c r="T42" s="19">
        <f>IF($J42&lt;=0,0,MAX(0,MIN($P42+$I42+Limpeza_Min,Turno_Min,IFERROR(INDEX(Mapa_RelIni,MATCH($B42&amp;"#"&amp;$A42&amp;"#"&amp;($K42+1),Mapa_Chave,0)),Turno_Min))-MIN($P42,Turno_Min)))</f>
        <v/>
      </c>
    </row>
    <row r="43">
      <c r="A43" s="30" t="n"/>
      <c r="B43" s="31" t="n"/>
      <c r="C43" s="32" t="n"/>
      <c r="D43" s="32" t="n"/>
      <c r="E43" s="33" t="n"/>
      <c r="F43" s="33" t="n"/>
      <c r="G43" s="33" t="n"/>
      <c r="H43" s="31" t="n"/>
      <c r="I43" s="20">
        <f>IF(OR($B43="",NOT(ISNUMBER($C43)),NOT(ISNUMBER($D43))),"",ROUND(MOD($D43-$C43,1)*1440,0))</f>
        <v/>
      </c>
      <c r="J43" s="20">
        <f>IF(NOT(ISNUMBER($I43)),0,IF(OR($I43&lt;=0,$H43="Cancelada",$H43="Suspensa"),0,$I43+Limpeza_Min))</f>
        <v/>
      </c>
      <c r="K43" s="20">
        <f>IF($J43&lt;=0,"",SUMPRODUCT((Mapa_Sala=$B43)*(Mapa_Data=$A43)*(Mapa_MinOcup&gt;0)*((Mapa_RelIni&lt;$P43)+((Mapa_RelIni=$P43)*(Mapa_Row&lt;=$S43)))))</f>
        <v/>
      </c>
      <c r="L43" s="34">
        <f>IF($J43&lt;=0,"",MOD(Turno_Ini+($Q43+Limpeza_Min)/1440,1))</f>
        <v/>
      </c>
      <c r="M43" s="20">
        <f>IF($J43&lt;=0,"",MAX(0,IFERROR(INDEX(Mapa_RelIni,MATCH($B43&amp;"#"&amp;$A43&amp;"#"&amp;($K43+1),Mapa_Chave,0)),Turno_Min)-($Q43+Limpeza_Min)))</f>
        <v/>
      </c>
      <c r="N43" s="14">
        <f>IF($B43="","",IF($O43="","OK",LEFT($O43,LEN($O43)-3)))</f>
        <v/>
      </c>
      <c r="O43" s="35">
        <f>IF($B43="","",IF(COUNTIF(Postos_Cod,$B43)=0,"Sala não cadastrada | ","")&amp;IF(AND(COUNTIF(Postos_Cod,$B43)&gt;0,IFERROR(INDEX(Postos_Tipo,MATCH($B43,Postos_Cod,0)),"")&lt;&gt;"Sala cirúrgica"),"Posto não é sala cirúrgica | ","")&amp;IF(COUNTIF(Esp_Nome,$E43)=0,"Especialidade não cadastrada | ","")&amp;IF(COUNTIF(Lista_StatusCir,$H43)=0,"Status inválido | ","")&amp;IF(OR(NOT(ISNUMBER($C43)),NOT(ISNUMBER($D43))),"Horário inválido | ","")&amp;IFERROR(IF(AND(ISNUMBER($C43),ISNUMBER($D43),MOD($D43-$C43,1)*1440&lt;=0),"Duração nula ou negativa | ",""),"")&amp;IF(AND($J43&gt;0,OR($P43&gt;=Turno_Min,$Q43&gt;Turno_Min)),"Fora da janela do plantão | ","")&amp;IF(AND($J43&gt;0,SUMPRODUCT((Mapa_Sala=$B43)*(Mapa_Data=$A43)*(Mapa_MinOcup&gt;0)*(Mapa_RelIni&lt;$Q43)*(Mapa_RelFim&gt;$P43))&gt;1),"Sobreposição de horário na sala | ","")&amp;IFERROR(IF(AND(ISNUMBER($I43),$I43&gt;0,COUNTIF(Esp_Nome,$E43)&gt;0,$I43&gt;3*INDEX(Esp_Dur,MATCH($E43,Esp_Nome,0))),"Duração atípica (&gt;3x a média) | ",""),""))</f>
        <v/>
      </c>
      <c r="P43" s="19">
        <f>IF(NOT(ISNUMBER($C43)),0,ROUND(MOD($C43-Turno_Ini,1)*1440,0))</f>
        <v/>
      </c>
      <c r="Q43" s="19">
        <f>IF($J43&lt;=0,0,$P43+$I43)</f>
        <v/>
      </c>
      <c r="R43" s="19">
        <f>IF($K43="","",$B43&amp;"#"&amp;$A43&amp;"#"&amp;$K43)</f>
        <v/>
      </c>
      <c r="S43" s="19">
        <f>ROW()</f>
        <v/>
      </c>
      <c r="T43" s="19">
        <f>IF($J43&lt;=0,0,MAX(0,MIN($P43+$I43+Limpeza_Min,Turno_Min,IFERROR(INDEX(Mapa_RelIni,MATCH($B43&amp;"#"&amp;$A43&amp;"#"&amp;($K43+1),Mapa_Chave,0)),Turno_Min))-MIN($P43,Turno_Min)))</f>
        <v/>
      </c>
    </row>
    <row r="44">
      <c r="A44" s="30" t="n"/>
      <c r="B44" s="31" t="n"/>
      <c r="C44" s="32" t="n"/>
      <c r="D44" s="32" t="n"/>
      <c r="E44" s="33" t="n"/>
      <c r="F44" s="33" t="n"/>
      <c r="G44" s="33" t="n"/>
      <c r="H44" s="31" t="n"/>
      <c r="I44" s="20">
        <f>IF(OR($B44="",NOT(ISNUMBER($C44)),NOT(ISNUMBER($D44))),"",ROUND(MOD($D44-$C44,1)*1440,0))</f>
        <v/>
      </c>
      <c r="J44" s="20">
        <f>IF(NOT(ISNUMBER($I44)),0,IF(OR($I44&lt;=0,$H44="Cancelada",$H44="Suspensa"),0,$I44+Limpeza_Min))</f>
        <v/>
      </c>
      <c r="K44" s="20">
        <f>IF($J44&lt;=0,"",SUMPRODUCT((Mapa_Sala=$B44)*(Mapa_Data=$A44)*(Mapa_MinOcup&gt;0)*((Mapa_RelIni&lt;$P44)+((Mapa_RelIni=$P44)*(Mapa_Row&lt;=$S44)))))</f>
        <v/>
      </c>
      <c r="L44" s="34">
        <f>IF($J44&lt;=0,"",MOD(Turno_Ini+($Q44+Limpeza_Min)/1440,1))</f>
        <v/>
      </c>
      <c r="M44" s="20">
        <f>IF($J44&lt;=0,"",MAX(0,IFERROR(INDEX(Mapa_RelIni,MATCH($B44&amp;"#"&amp;$A44&amp;"#"&amp;($K44+1),Mapa_Chave,0)),Turno_Min)-($Q44+Limpeza_Min)))</f>
        <v/>
      </c>
      <c r="N44" s="14">
        <f>IF($B44="","",IF($O44="","OK",LEFT($O44,LEN($O44)-3)))</f>
        <v/>
      </c>
      <c r="O44" s="35">
        <f>IF($B44="","",IF(COUNTIF(Postos_Cod,$B44)=0,"Sala não cadastrada | ","")&amp;IF(AND(COUNTIF(Postos_Cod,$B44)&gt;0,IFERROR(INDEX(Postos_Tipo,MATCH($B44,Postos_Cod,0)),"")&lt;&gt;"Sala cirúrgica"),"Posto não é sala cirúrgica | ","")&amp;IF(COUNTIF(Esp_Nome,$E44)=0,"Especialidade não cadastrada | ","")&amp;IF(COUNTIF(Lista_StatusCir,$H44)=0,"Status inválido | ","")&amp;IF(OR(NOT(ISNUMBER($C44)),NOT(ISNUMBER($D44))),"Horário inválido | ","")&amp;IFERROR(IF(AND(ISNUMBER($C44),ISNUMBER($D44),MOD($D44-$C44,1)*1440&lt;=0),"Duração nula ou negativa | ",""),"")&amp;IF(AND($J44&gt;0,OR($P44&gt;=Turno_Min,$Q44&gt;Turno_Min)),"Fora da janela do plantão | ","")&amp;IF(AND($J44&gt;0,SUMPRODUCT((Mapa_Sala=$B44)*(Mapa_Data=$A44)*(Mapa_MinOcup&gt;0)*(Mapa_RelIni&lt;$Q44)*(Mapa_RelFim&gt;$P44))&gt;1),"Sobreposição de horário na sala | ","")&amp;IFERROR(IF(AND(ISNUMBER($I44),$I44&gt;0,COUNTIF(Esp_Nome,$E44)&gt;0,$I44&gt;3*INDEX(Esp_Dur,MATCH($E44,Esp_Nome,0))),"Duração atípica (&gt;3x a média) | ",""),""))</f>
        <v/>
      </c>
      <c r="P44" s="19">
        <f>IF(NOT(ISNUMBER($C44)),0,ROUND(MOD($C44-Turno_Ini,1)*1440,0))</f>
        <v/>
      </c>
      <c r="Q44" s="19">
        <f>IF($J44&lt;=0,0,$P44+$I44)</f>
        <v/>
      </c>
      <c r="R44" s="19">
        <f>IF($K44="","",$B44&amp;"#"&amp;$A44&amp;"#"&amp;$K44)</f>
        <v/>
      </c>
      <c r="S44" s="19">
        <f>ROW()</f>
        <v/>
      </c>
      <c r="T44" s="19">
        <f>IF($J44&lt;=0,0,MAX(0,MIN($P44+$I44+Limpeza_Min,Turno_Min,IFERROR(INDEX(Mapa_RelIni,MATCH($B44&amp;"#"&amp;$A44&amp;"#"&amp;($K44+1),Mapa_Chave,0)),Turno_Min))-MIN($P44,Turno_Min)))</f>
        <v/>
      </c>
    </row>
    <row r="45">
      <c r="A45" s="30" t="n"/>
      <c r="B45" s="31" t="n"/>
      <c r="C45" s="32" t="n"/>
      <c r="D45" s="32" t="n"/>
      <c r="E45" s="33" t="n"/>
      <c r="F45" s="33" t="n"/>
      <c r="G45" s="33" t="n"/>
      <c r="H45" s="31" t="n"/>
      <c r="I45" s="20">
        <f>IF(OR($B45="",NOT(ISNUMBER($C45)),NOT(ISNUMBER($D45))),"",ROUND(MOD($D45-$C45,1)*1440,0))</f>
        <v/>
      </c>
      <c r="J45" s="20">
        <f>IF(NOT(ISNUMBER($I45)),0,IF(OR($I45&lt;=0,$H45="Cancelada",$H45="Suspensa"),0,$I45+Limpeza_Min))</f>
        <v/>
      </c>
      <c r="K45" s="20">
        <f>IF($J45&lt;=0,"",SUMPRODUCT((Mapa_Sala=$B45)*(Mapa_Data=$A45)*(Mapa_MinOcup&gt;0)*((Mapa_RelIni&lt;$P45)+((Mapa_RelIni=$P45)*(Mapa_Row&lt;=$S45)))))</f>
        <v/>
      </c>
      <c r="L45" s="34">
        <f>IF($J45&lt;=0,"",MOD(Turno_Ini+($Q45+Limpeza_Min)/1440,1))</f>
        <v/>
      </c>
      <c r="M45" s="20">
        <f>IF($J45&lt;=0,"",MAX(0,IFERROR(INDEX(Mapa_RelIni,MATCH($B45&amp;"#"&amp;$A45&amp;"#"&amp;($K45+1),Mapa_Chave,0)),Turno_Min)-($Q45+Limpeza_Min)))</f>
        <v/>
      </c>
      <c r="N45" s="14">
        <f>IF($B45="","",IF($O45="","OK",LEFT($O45,LEN($O45)-3)))</f>
        <v/>
      </c>
      <c r="O45" s="35">
        <f>IF($B45="","",IF(COUNTIF(Postos_Cod,$B45)=0,"Sala não cadastrada | ","")&amp;IF(AND(COUNTIF(Postos_Cod,$B45)&gt;0,IFERROR(INDEX(Postos_Tipo,MATCH($B45,Postos_Cod,0)),"")&lt;&gt;"Sala cirúrgica"),"Posto não é sala cirúrgica | ","")&amp;IF(COUNTIF(Esp_Nome,$E45)=0,"Especialidade não cadastrada | ","")&amp;IF(COUNTIF(Lista_StatusCir,$H45)=0,"Status inválido | ","")&amp;IF(OR(NOT(ISNUMBER($C45)),NOT(ISNUMBER($D45))),"Horário inválido | ","")&amp;IFERROR(IF(AND(ISNUMBER($C45),ISNUMBER($D45),MOD($D45-$C45,1)*1440&lt;=0),"Duração nula ou negativa | ",""),"")&amp;IF(AND($J45&gt;0,OR($P45&gt;=Turno_Min,$Q45&gt;Turno_Min)),"Fora da janela do plantão | ","")&amp;IF(AND($J45&gt;0,SUMPRODUCT((Mapa_Sala=$B45)*(Mapa_Data=$A45)*(Mapa_MinOcup&gt;0)*(Mapa_RelIni&lt;$Q45)*(Mapa_RelFim&gt;$P45))&gt;1),"Sobreposição de horário na sala | ","")&amp;IFERROR(IF(AND(ISNUMBER($I45),$I45&gt;0,COUNTIF(Esp_Nome,$E45)&gt;0,$I45&gt;3*INDEX(Esp_Dur,MATCH($E45,Esp_Nome,0))),"Duração atípica (&gt;3x a média) | ",""),""))</f>
        <v/>
      </c>
      <c r="P45" s="19">
        <f>IF(NOT(ISNUMBER($C45)),0,ROUND(MOD($C45-Turno_Ini,1)*1440,0))</f>
        <v/>
      </c>
      <c r="Q45" s="19">
        <f>IF($J45&lt;=0,0,$P45+$I45)</f>
        <v/>
      </c>
      <c r="R45" s="19">
        <f>IF($K45="","",$B45&amp;"#"&amp;$A45&amp;"#"&amp;$K45)</f>
        <v/>
      </c>
      <c r="S45" s="19">
        <f>ROW()</f>
        <v/>
      </c>
      <c r="T45" s="19">
        <f>IF($J45&lt;=0,0,MAX(0,MIN($P45+$I45+Limpeza_Min,Turno_Min,IFERROR(INDEX(Mapa_RelIni,MATCH($B45&amp;"#"&amp;$A45&amp;"#"&amp;($K45+1),Mapa_Chave,0)),Turno_Min))-MIN($P45,Turno_Min)))</f>
        <v/>
      </c>
    </row>
    <row r="46">
      <c r="A46" s="30" t="n"/>
      <c r="B46" s="31" t="n"/>
      <c r="C46" s="32" t="n"/>
      <c r="D46" s="32" t="n"/>
      <c r="E46" s="33" t="n"/>
      <c r="F46" s="33" t="n"/>
      <c r="G46" s="33" t="n"/>
      <c r="H46" s="31" t="n"/>
      <c r="I46" s="20">
        <f>IF(OR($B46="",NOT(ISNUMBER($C46)),NOT(ISNUMBER($D46))),"",ROUND(MOD($D46-$C46,1)*1440,0))</f>
        <v/>
      </c>
      <c r="J46" s="20">
        <f>IF(NOT(ISNUMBER($I46)),0,IF(OR($I46&lt;=0,$H46="Cancelada",$H46="Suspensa"),0,$I46+Limpeza_Min))</f>
        <v/>
      </c>
      <c r="K46" s="20">
        <f>IF($J46&lt;=0,"",SUMPRODUCT((Mapa_Sala=$B46)*(Mapa_Data=$A46)*(Mapa_MinOcup&gt;0)*((Mapa_RelIni&lt;$P46)+((Mapa_RelIni=$P46)*(Mapa_Row&lt;=$S46)))))</f>
        <v/>
      </c>
      <c r="L46" s="34">
        <f>IF($J46&lt;=0,"",MOD(Turno_Ini+($Q46+Limpeza_Min)/1440,1))</f>
        <v/>
      </c>
      <c r="M46" s="20">
        <f>IF($J46&lt;=0,"",MAX(0,IFERROR(INDEX(Mapa_RelIni,MATCH($B46&amp;"#"&amp;$A46&amp;"#"&amp;($K46+1),Mapa_Chave,0)),Turno_Min)-($Q46+Limpeza_Min)))</f>
        <v/>
      </c>
      <c r="N46" s="14">
        <f>IF($B46="","",IF($O46="","OK",LEFT($O46,LEN($O46)-3)))</f>
        <v/>
      </c>
      <c r="O46" s="35">
        <f>IF($B46="","",IF(COUNTIF(Postos_Cod,$B46)=0,"Sala não cadastrada | ","")&amp;IF(AND(COUNTIF(Postos_Cod,$B46)&gt;0,IFERROR(INDEX(Postos_Tipo,MATCH($B46,Postos_Cod,0)),"")&lt;&gt;"Sala cirúrgica"),"Posto não é sala cirúrgica | ","")&amp;IF(COUNTIF(Esp_Nome,$E46)=0,"Especialidade não cadastrada | ","")&amp;IF(COUNTIF(Lista_StatusCir,$H46)=0,"Status inválido | ","")&amp;IF(OR(NOT(ISNUMBER($C46)),NOT(ISNUMBER($D46))),"Horário inválido | ","")&amp;IFERROR(IF(AND(ISNUMBER($C46),ISNUMBER($D46),MOD($D46-$C46,1)*1440&lt;=0),"Duração nula ou negativa | ",""),"")&amp;IF(AND($J46&gt;0,OR($P46&gt;=Turno_Min,$Q46&gt;Turno_Min)),"Fora da janela do plantão | ","")&amp;IF(AND($J46&gt;0,SUMPRODUCT((Mapa_Sala=$B46)*(Mapa_Data=$A46)*(Mapa_MinOcup&gt;0)*(Mapa_RelIni&lt;$Q46)*(Mapa_RelFim&gt;$P46))&gt;1),"Sobreposição de horário na sala | ","")&amp;IFERROR(IF(AND(ISNUMBER($I46),$I46&gt;0,COUNTIF(Esp_Nome,$E46)&gt;0,$I46&gt;3*INDEX(Esp_Dur,MATCH($E46,Esp_Nome,0))),"Duração atípica (&gt;3x a média) | ",""),""))</f>
        <v/>
      </c>
      <c r="P46" s="19">
        <f>IF(NOT(ISNUMBER($C46)),0,ROUND(MOD($C46-Turno_Ini,1)*1440,0))</f>
        <v/>
      </c>
      <c r="Q46" s="19">
        <f>IF($J46&lt;=0,0,$P46+$I46)</f>
        <v/>
      </c>
      <c r="R46" s="19">
        <f>IF($K46="","",$B46&amp;"#"&amp;$A46&amp;"#"&amp;$K46)</f>
        <v/>
      </c>
      <c r="S46" s="19">
        <f>ROW()</f>
        <v/>
      </c>
      <c r="T46" s="19">
        <f>IF($J46&lt;=0,0,MAX(0,MIN($P46+$I46+Limpeza_Min,Turno_Min,IFERROR(INDEX(Mapa_RelIni,MATCH($B46&amp;"#"&amp;$A46&amp;"#"&amp;($K46+1),Mapa_Chave,0)),Turno_Min))-MIN($P46,Turno_Min)))</f>
        <v/>
      </c>
    </row>
    <row r="47">
      <c r="A47" s="30" t="n"/>
      <c r="B47" s="31" t="n"/>
      <c r="C47" s="32" t="n"/>
      <c r="D47" s="32" t="n"/>
      <c r="E47" s="33" t="n"/>
      <c r="F47" s="33" t="n"/>
      <c r="G47" s="33" t="n"/>
      <c r="H47" s="31" t="n"/>
      <c r="I47" s="20">
        <f>IF(OR($B47="",NOT(ISNUMBER($C47)),NOT(ISNUMBER($D47))),"",ROUND(MOD($D47-$C47,1)*1440,0))</f>
        <v/>
      </c>
      <c r="J47" s="20">
        <f>IF(NOT(ISNUMBER($I47)),0,IF(OR($I47&lt;=0,$H47="Cancelada",$H47="Suspensa"),0,$I47+Limpeza_Min))</f>
        <v/>
      </c>
      <c r="K47" s="20">
        <f>IF($J47&lt;=0,"",SUMPRODUCT((Mapa_Sala=$B47)*(Mapa_Data=$A47)*(Mapa_MinOcup&gt;0)*((Mapa_RelIni&lt;$P47)+((Mapa_RelIni=$P47)*(Mapa_Row&lt;=$S47)))))</f>
        <v/>
      </c>
      <c r="L47" s="34">
        <f>IF($J47&lt;=0,"",MOD(Turno_Ini+($Q47+Limpeza_Min)/1440,1))</f>
        <v/>
      </c>
      <c r="M47" s="20">
        <f>IF($J47&lt;=0,"",MAX(0,IFERROR(INDEX(Mapa_RelIni,MATCH($B47&amp;"#"&amp;$A47&amp;"#"&amp;($K47+1),Mapa_Chave,0)),Turno_Min)-($Q47+Limpeza_Min)))</f>
        <v/>
      </c>
      <c r="N47" s="14">
        <f>IF($B47="","",IF($O47="","OK",LEFT($O47,LEN($O47)-3)))</f>
        <v/>
      </c>
      <c r="O47" s="35">
        <f>IF($B47="","",IF(COUNTIF(Postos_Cod,$B47)=0,"Sala não cadastrada | ","")&amp;IF(AND(COUNTIF(Postos_Cod,$B47)&gt;0,IFERROR(INDEX(Postos_Tipo,MATCH($B47,Postos_Cod,0)),"")&lt;&gt;"Sala cirúrgica"),"Posto não é sala cirúrgica | ","")&amp;IF(COUNTIF(Esp_Nome,$E47)=0,"Especialidade não cadastrada | ","")&amp;IF(COUNTIF(Lista_StatusCir,$H47)=0,"Status inválido | ","")&amp;IF(OR(NOT(ISNUMBER($C47)),NOT(ISNUMBER($D47))),"Horário inválido | ","")&amp;IFERROR(IF(AND(ISNUMBER($C47),ISNUMBER($D47),MOD($D47-$C47,1)*1440&lt;=0),"Duração nula ou negativa | ",""),"")&amp;IF(AND($J47&gt;0,OR($P47&gt;=Turno_Min,$Q47&gt;Turno_Min)),"Fora da janela do plantão | ","")&amp;IF(AND($J47&gt;0,SUMPRODUCT((Mapa_Sala=$B47)*(Mapa_Data=$A47)*(Mapa_MinOcup&gt;0)*(Mapa_RelIni&lt;$Q47)*(Mapa_RelFim&gt;$P47))&gt;1),"Sobreposição de horário na sala | ","")&amp;IFERROR(IF(AND(ISNUMBER($I47),$I47&gt;0,COUNTIF(Esp_Nome,$E47)&gt;0,$I47&gt;3*INDEX(Esp_Dur,MATCH($E47,Esp_Nome,0))),"Duração atípica (&gt;3x a média) | ",""),""))</f>
        <v/>
      </c>
      <c r="P47" s="19">
        <f>IF(NOT(ISNUMBER($C47)),0,ROUND(MOD($C47-Turno_Ini,1)*1440,0))</f>
        <v/>
      </c>
      <c r="Q47" s="19">
        <f>IF($J47&lt;=0,0,$P47+$I47)</f>
        <v/>
      </c>
      <c r="R47" s="19">
        <f>IF($K47="","",$B47&amp;"#"&amp;$A47&amp;"#"&amp;$K47)</f>
        <v/>
      </c>
      <c r="S47" s="19">
        <f>ROW()</f>
        <v/>
      </c>
      <c r="T47" s="19">
        <f>IF($J47&lt;=0,0,MAX(0,MIN($P47+$I47+Limpeza_Min,Turno_Min,IFERROR(INDEX(Mapa_RelIni,MATCH($B47&amp;"#"&amp;$A47&amp;"#"&amp;($K47+1),Mapa_Chave,0)),Turno_Min))-MIN($P47,Turno_Min)))</f>
        <v/>
      </c>
    </row>
    <row r="48">
      <c r="A48" s="30" t="n"/>
      <c r="B48" s="31" t="n"/>
      <c r="C48" s="32" t="n"/>
      <c r="D48" s="32" t="n"/>
      <c r="E48" s="33" t="n"/>
      <c r="F48" s="33" t="n"/>
      <c r="G48" s="33" t="n"/>
      <c r="H48" s="31" t="n"/>
      <c r="I48" s="20">
        <f>IF(OR($B48="",NOT(ISNUMBER($C48)),NOT(ISNUMBER($D48))),"",ROUND(MOD($D48-$C48,1)*1440,0))</f>
        <v/>
      </c>
      <c r="J48" s="20">
        <f>IF(NOT(ISNUMBER($I48)),0,IF(OR($I48&lt;=0,$H48="Cancelada",$H48="Suspensa"),0,$I48+Limpeza_Min))</f>
        <v/>
      </c>
      <c r="K48" s="20">
        <f>IF($J48&lt;=0,"",SUMPRODUCT((Mapa_Sala=$B48)*(Mapa_Data=$A48)*(Mapa_MinOcup&gt;0)*((Mapa_RelIni&lt;$P48)+((Mapa_RelIni=$P48)*(Mapa_Row&lt;=$S48)))))</f>
        <v/>
      </c>
      <c r="L48" s="34">
        <f>IF($J48&lt;=0,"",MOD(Turno_Ini+($Q48+Limpeza_Min)/1440,1))</f>
        <v/>
      </c>
      <c r="M48" s="20">
        <f>IF($J48&lt;=0,"",MAX(0,IFERROR(INDEX(Mapa_RelIni,MATCH($B48&amp;"#"&amp;$A48&amp;"#"&amp;($K48+1),Mapa_Chave,0)),Turno_Min)-($Q48+Limpeza_Min)))</f>
        <v/>
      </c>
      <c r="N48" s="14">
        <f>IF($B48="","",IF($O48="","OK",LEFT($O48,LEN($O48)-3)))</f>
        <v/>
      </c>
      <c r="O48" s="35">
        <f>IF($B48="","",IF(COUNTIF(Postos_Cod,$B48)=0,"Sala não cadastrada | ","")&amp;IF(AND(COUNTIF(Postos_Cod,$B48)&gt;0,IFERROR(INDEX(Postos_Tipo,MATCH($B48,Postos_Cod,0)),"")&lt;&gt;"Sala cirúrgica"),"Posto não é sala cirúrgica | ","")&amp;IF(COUNTIF(Esp_Nome,$E48)=0,"Especialidade não cadastrada | ","")&amp;IF(COUNTIF(Lista_StatusCir,$H48)=0,"Status inválido | ","")&amp;IF(OR(NOT(ISNUMBER($C48)),NOT(ISNUMBER($D48))),"Horário inválido | ","")&amp;IFERROR(IF(AND(ISNUMBER($C48),ISNUMBER($D48),MOD($D48-$C48,1)*1440&lt;=0),"Duração nula ou negativa | ",""),"")&amp;IF(AND($J48&gt;0,OR($P48&gt;=Turno_Min,$Q48&gt;Turno_Min)),"Fora da janela do plantão | ","")&amp;IF(AND($J48&gt;0,SUMPRODUCT((Mapa_Sala=$B48)*(Mapa_Data=$A48)*(Mapa_MinOcup&gt;0)*(Mapa_RelIni&lt;$Q48)*(Mapa_RelFim&gt;$P48))&gt;1),"Sobreposição de horário na sala | ","")&amp;IFERROR(IF(AND(ISNUMBER($I48),$I48&gt;0,COUNTIF(Esp_Nome,$E48)&gt;0,$I48&gt;3*INDEX(Esp_Dur,MATCH($E48,Esp_Nome,0))),"Duração atípica (&gt;3x a média) | ",""),""))</f>
        <v/>
      </c>
      <c r="P48" s="19">
        <f>IF(NOT(ISNUMBER($C48)),0,ROUND(MOD($C48-Turno_Ini,1)*1440,0))</f>
        <v/>
      </c>
      <c r="Q48" s="19">
        <f>IF($J48&lt;=0,0,$P48+$I48)</f>
        <v/>
      </c>
      <c r="R48" s="19">
        <f>IF($K48="","",$B48&amp;"#"&amp;$A48&amp;"#"&amp;$K48)</f>
        <v/>
      </c>
      <c r="S48" s="19">
        <f>ROW()</f>
        <v/>
      </c>
      <c r="T48" s="19">
        <f>IF($J48&lt;=0,0,MAX(0,MIN($P48+$I48+Limpeza_Min,Turno_Min,IFERROR(INDEX(Mapa_RelIni,MATCH($B48&amp;"#"&amp;$A48&amp;"#"&amp;($K48+1),Mapa_Chave,0)),Turno_Min))-MIN($P48,Turno_Min)))</f>
        <v/>
      </c>
    </row>
    <row r="49">
      <c r="A49" s="30" t="n"/>
      <c r="B49" s="31" t="n"/>
      <c r="C49" s="32" t="n"/>
      <c r="D49" s="32" t="n"/>
      <c r="E49" s="33" t="n"/>
      <c r="F49" s="33" t="n"/>
      <c r="G49" s="33" t="n"/>
      <c r="H49" s="31" t="n"/>
      <c r="I49" s="20">
        <f>IF(OR($B49="",NOT(ISNUMBER($C49)),NOT(ISNUMBER($D49))),"",ROUND(MOD($D49-$C49,1)*1440,0))</f>
        <v/>
      </c>
      <c r="J49" s="20">
        <f>IF(NOT(ISNUMBER($I49)),0,IF(OR($I49&lt;=0,$H49="Cancelada",$H49="Suspensa"),0,$I49+Limpeza_Min))</f>
        <v/>
      </c>
      <c r="K49" s="20">
        <f>IF($J49&lt;=0,"",SUMPRODUCT((Mapa_Sala=$B49)*(Mapa_Data=$A49)*(Mapa_MinOcup&gt;0)*((Mapa_RelIni&lt;$P49)+((Mapa_RelIni=$P49)*(Mapa_Row&lt;=$S49)))))</f>
        <v/>
      </c>
      <c r="L49" s="34">
        <f>IF($J49&lt;=0,"",MOD(Turno_Ini+($Q49+Limpeza_Min)/1440,1))</f>
        <v/>
      </c>
      <c r="M49" s="20">
        <f>IF($J49&lt;=0,"",MAX(0,IFERROR(INDEX(Mapa_RelIni,MATCH($B49&amp;"#"&amp;$A49&amp;"#"&amp;($K49+1),Mapa_Chave,0)),Turno_Min)-($Q49+Limpeza_Min)))</f>
        <v/>
      </c>
      <c r="N49" s="14">
        <f>IF($B49="","",IF($O49="","OK",LEFT($O49,LEN($O49)-3)))</f>
        <v/>
      </c>
      <c r="O49" s="35">
        <f>IF($B49="","",IF(COUNTIF(Postos_Cod,$B49)=0,"Sala não cadastrada | ","")&amp;IF(AND(COUNTIF(Postos_Cod,$B49)&gt;0,IFERROR(INDEX(Postos_Tipo,MATCH($B49,Postos_Cod,0)),"")&lt;&gt;"Sala cirúrgica"),"Posto não é sala cirúrgica | ","")&amp;IF(COUNTIF(Esp_Nome,$E49)=0,"Especialidade não cadastrada | ","")&amp;IF(COUNTIF(Lista_StatusCir,$H49)=0,"Status inválido | ","")&amp;IF(OR(NOT(ISNUMBER($C49)),NOT(ISNUMBER($D49))),"Horário inválido | ","")&amp;IFERROR(IF(AND(ISNUMBER($C49),ISNUMBER($D49),MOD($D49-$C49,1)*1440&lt;=0),"Duração nula ou negativa | ",""),"")&amp;IF(AND($J49&gt;0,OR($P49&gt;=Turno_Min,$Q49&gt;Turno_Min)),"Fora da janela do plantão | ","")&amp;IF(AND($J49&gt;0,SUMPRODUCT((Mapa_Sala=$B49)*(Mapa_Data=$A49)*(Mapa_MinOcup&gt;0)*(Mapa_RelIni&lt;$Q49)*(Mapa_RelFim&gt;$P49))&gt;1),"Sobreposição de horário na sala | ","")&amp;IFERROR(IF(AND(ISNUMBER($I49),$I49&gt;0,COUNTIF(Esp_Nome,$E49)&gt;0,$I49&gt;3*INDEX(Esp_Dur,MATCH($E49,Esp_Nome,0))),"Duração atípica (&gt;3x a média) | ",""),""))</f>
        <v/>
      </c>
      <c r="P49" s="19">
        <f>IF(NOT(ISNUMBER($C49)),0,ROUND(MOD($C49-Turno_Ini,1)*1440,0))</f>
        <v/>
      </c>
      <c r="Q49" s="19">
        <f>IF($J49&lt;=0,0,$P49+$I49)</f>
        <v/>
      </c>
      <c r="R49" s="19">
        <f>IF($K49="","",$B49&amp;"#"&amp;$A49&amp;"#"&amp;$K49)</f>
        <v/>
      </c>
      <c r="S49" s="19">
        <f>ROW()</f>
        <v/>
      </c>
      <c r="T49" s="19">
        <f>IF($J49&lt;=0,0,MAX(0,MIN($P49+$I49+Limpeza_Min,Turno_Min,IFERROR(INDEX(Mapa_RelIni,MATCH($B49&amp;"#"&amp;$A49&amp;"#"&amp;($K49+1),Mapa_Chave,0)),Turno_Min))-MIN($P49,Turno_Min)))</f>
        <v/>
      </c>
    </row>
    <row r="50">
      <c r="A50" s="30" t="n"/>
      <c r="B50" s="31" t="n"/>
      <c r="C50" s="32" t="n"/>
      <c r="D50" s="32" t="n"/>
      <c r="E50" s="33" t="n"/>
      <c r="F50" s="33" t="n"/>
      <c r="G50" s="33" t="n"/>
      <c r="H50" s="31" t="n"/>
      <c r="I50" s="20">
        <f>IF(OR($B50="",NOT(ISNUMBER($C50)),NOT(ISNUMBER($D50))),"",ROUND(MOD($D50-$C50,1)*1440,0))</f>
        <v/>
      </c>
      <c r="J50" s="20">
        <f>IF(NOT(ISNUMBER($I50)),0,IF(OR($I50&lt;=0,$H50="Cancelada",$H50="Suspensa"),0,$I50+Limpeza_Min))</f>
        <v/>
      </c>
      <c r="K50" s="20">
        <f>IF($J50&lt;=0,"",SUMPRODUCT((Mapa_Sala=$B50)*(Mapa_Data=$A50)*(Mapa_MinOcup&gt;0)*((Mapa_RelIni&lt;$P50)+((Mapa_RelIni=$P50)*(Mapa_Row&lt;=$S50)))))</f>
        <v/>
      </c>
      <c r="L50" s="34">
        <f>IF($J50&lt;=0,"",MOD(Turno_Ini+($Q50+Limpeza_Min)/1440,1))</f>
        <v/>
      </c>
      <c r="M50" s="20">
        <f>IF($J50&lt;=0,"",MAX(0,IFERROR(INDEX(Mapa_RelIni,MATCH($B50&amp;"#"&amp;$A50&amp;"#"&amp;($K50+1),Mapa_Chave,0)),Turno_Min)-($Q50+Limpeza_Min)))</f>
        <v/>
      </c>
      <c r="N50" s="14">
        <f>IF($B50="","",IF($O50="","OK",LEFT($O50,LEN($O50)-3)))</f>
        <v/>
      </c>
      <c r="O50" s="35">
        <f>IF($B50="","",IF(COUNTIF(Postos_Cod,$B50)=0,"Sala não cadastrada | ","")&amp;IF(AND(COUNTIF(Postos_Cod,$B50)&gt;0,IFERROR(INDEX(Postos_Tipo,MATCH($B50,Postos_Cod,0)),"")&lt;&gt;"Sala cirúrgica"),"Posto não é sala cirúrgica | ","")&amp;IF(COUNTIF(Esp_Nome,$E50)=0,"Especialidade não cadastrada | ","")&amp;IF(COUNTIF(Lista_StatusCir,$H50)=0,"Status inválido | ","")&amp;IF(OR(NOT(ISNUMBER($C50)),NOT(ISNUMBER($D50))),"Horário inválido | ","")&amp;IFERROR(IF(AND(ISNUMBER($C50),ISNUMBER($D50),MOD($D50-$C50,1)*1440&lt;=0),"Duração nula ou negativa | ",""),"")&amp;IF(AND($J50&gt;0,OR($P50&gt;=Turno_Min,$Q50&gt;Turno_Min)),"Fora da janela do plantão | ","")&amp;IF(AND($J50&gt;0,SUMPRODUCT((Mapa_Sala=$B50)*(Mapa_Data=$A50)*(Mapa_MinOcup&gt;0)*(Mapa_RelIni&lt;$Q50)*(Mapa_RelFim&gt;$P50))&gt;1),"Sobreposição de horário na sala | ","")&amp;IFERROR(IF(AND(ISNUMBER($I50),$I50&gt;0,COUNTIF(Esp_Nome,$E50)&gt;0,$I50&gt;3*INDEX(Esp_Dur,MATCH($E50,Esp_Nome,0))),"Duração atípica (&gt;3x a média) | ",""),""))</f>
        <v/>
      </c>
      <c r="P50" s="19">
        <f>IF(NOT(ISNUMBER($C50)),0,ROUND(MOD($C50-Turno_Ini,1)*1440,0))</f>
        <v/>
      </c>
      <c r="Q50" s="19">
        <f>IF($J50&lt;=0,0,$P50+$I50)</f>
        <v/>
      </c>
      <c r="R50" s="19">
        <f>IF($K50="","",$B50&amp;"#"&amp;$A50&amp;"#"&amp;$K50)</f>
        <v/>
      </c>
      <c r="S50" s="19">
        <f>ROW()</f>
        <v/>
      </c>
      <c r="T50" s="19">
        <f>IF($J50&lt;=0,0,MAX(0,MIN($P50+$I50+Limpeza_Min,Turno_Min,IFERROR(INDEX(Mapa_RelIni,MATCH($B50&amp;"#"&amp;$A50&amp;"#"&amp;($K50+1),Mapa_Chave,0)),Turno_Min))-MIN($P50,Turno_Min)))</f>
        <v/>
      </c>
    </row>
    <row r="51">
      <c r="A51" s="30" t="n"/>
      <c r="B51" s="31" t="n"/>
      <c r="C51" s="32" t="n"/>
      <c r="D51" s="32" t="n"/>
      <c r="E51" s="33" t="n"/>
      <c r="F51" s="33" t="n"/>
      <c r="G51" s="33" t="n"/>
      <c r="H51" s="31" t="n"/>
      <c r="I51" s="20">
        <f>IF(OR($B51="",NOT(ISNUMBER($C51)),NOT(ISNUMBER($D51))),"",ROUND(MOD($D51-$C51,1)*1440,0))</f>
        <v/>
      </c>
      <c r="J51" s="20">
        <f>IF(NOT(ISNUMBER($I51)),0,IF(OR($I51&lt;=0,$H51="Cancelada",$H51="Suspensa"),0,$I51+Limpeza_Min))</f>
        <v/>
      </c>
      <c r="K51" s="20">
        <f>IF($J51&lt;=0,"",SUMPRODUCT((Mapa_Sala=$B51)*(Mapa_Data=$A51)*(Mapa_MinOcup&gt;0)*((Mapa_RelIni&lt;$P51)+((Mapa_RelIni=$P51)*(Mapa_Row&lt;=$S51)))))</f>
        <v/>
      </c>
      <c r="L51" s="34">
        <f>IF($J51&lt;=0,"",MOD(Turno_Ini+($Q51+Limpeza_Min)/1440,1))</f>
        <v/>
      </c>
      <c r="M51" s="20">
        <f>IF($J51&lt;=0,"",MAX(0,IFERROR(INDEX(Mapa_RelIni,MATCH($B51&amp;"#"&amp;$A51&amp;"#"&amp;($K51+1),Mapa_Chave,0)),Turno_Min)-($Q51+Limpeza_Min)))</f>
        <v/>
      </c>
      <c r="N51" s="14">
        <f>IF($B51="","",IF($O51="","OK",LEFT($O51,LEN($O51)-3)))</f>
        <v/>
      </c>
      <c r="O51" s="35">
        <f>IF($B51="","",IF(COUNTIF(Postos_Cod,$B51)=0,"Sala não cadastrada | ","")&amp;IF(AND(COUNTIF(Postos_Cod,$B51)&gt;0,IFERROR(INDEX(Postos_Tipo,MATCH($B51,Postos_Cod,0)),"")&lt;&gt;"Sala cirúrgica"),"Posto não é sala cirúrgica | ","")&amp;IF(COUNTIF(Esp_Nome,$E51)=0,"Especialidade não cadastrada | ","")&amp;IF(COUNTIF(Lista_StatusCir,$H51)=0,"Status inválido | ","")&amp;IF(OR(NOT(ISNUMBER($C51)),NOT(ISNUMBER($D51))),"Horário inválido | ","")&amp;IFERROR(IF(AND(ISNUMBER($C51),ISNUMBER($D51),MOD($D51-$C51,1)*1440&lt;=0),"Duração nula ou negativa | ",""),"")&amp;IF(AND($J51&gt;0,OR($P51&gt;=Turno_Min,$Q51&gt;Turno_Min)),"Fora da janela do plantão | ","")&amp;IF(AND($J51&gt;0,SUMPRODUCT((Mapa_Sala=$B51)*(Mapa_Data=$A51)*(Mapa_MinOcup&gt;0)*(Mapa_RelIni&lt;$Q51)*(Mapa_RelFim&gt;$P51))&gt;1),"Sobreposição de horário na sala | ","")&amp;IFERROR(IF(AND(ISNUMBER($I51),$I51&gt;0,COUNTIF(Esp_Nome,$E51)&gt;0,$I51&gt;3*INDEX(Esp_Dur,MATCH($E51,Esp_Nome,0))),"Duração atípica (&gt;3x a média) | ",""),""))</f>
        <v/>
      </c>
      <c r="P51" s="19">
        <f>IF(NOT(ISNUMBER($C51)),0,ROUND(MOD($C51-Turno_Ini,1)*1440,0))</f>
        <v/>
      </c>
      <c r="Q51" s="19">
        <f>IF($J51&lt;=0,0,$P51+$I51)</f>
        <v/>
      </c>
      <c r="R51" s="19">
        <f>IF($K51="","",$B51&amp;"#"&amp;$A51&amp;"#"&amp;$K51)</f>
        <v/>
      </c>
      <c r="S51" s="19">
        <f>ROW()</f>
        <v/>
      </c>
      <c r="T51" s="19">
        <f>IF($J51&lt;=0,0,MAX(0,MIN($P51+$I51+Limpeza_Min,Turno_Min,IFERROR(INDEX(Mapa_RelIni,MATCH($B51&amp;"#"&amp;$A51&amp;"#"&amp;($K51+1),Mapa_Chave,0)),Turno_Min))-MIN($P51,Turno_Min)))</f>
        <v/>
      </c>
    </row>
    <row r="52">
      <c r="A52" s="30" t="n"/>
      <c r="B52" s="31" t="n"/>
      <c r="C52" s="32" t="n"/>
      <c r="D52" s="32" t="n"/>
      <c r="E52" s="33" t="n"/>
      <c r="F52" s="33" t="n"/>
      <c r="G52" s="33" t="n"/>
      <c r="H52" s="31" t="n"/>
      <c r="I52" s="20">
        <f>IF(OR($B52="",NOT(ISNUMBER($C52)),NOT(ISNUMBER($D52))),"",ROUND(MOD($D52-$C52,1)*1440,0))</f>
        <v/>
      </c>
      <c r="J52" s="20">
        <f>IF(NOT(ISNUMBER($I52)),0,IF(OR($I52&lt;=0,$H52="Cancelada",$H52="Suspensa"),0,$I52+Limpeza_Min))</f>
        <v/>
      </c>
      <c r="K52" s="20">
        <f>IF($J52&lt;=0,"",SUMPRODUCT((Mapa_Sala=$B52)*(Mapa_Data=$A52)*(Mapa_MinOcup&gt;0)*((Mapa_RelIni&lt;$P52)+((Mapa_RelIni=$P52)*(Mapa_Row&lt;=$S52)))))</f>
        <v/>
      </c>
      <c r="L52" s="34">
        <f>IF($J52&lt;=0,"",MOD(Turno_Ini+($Q52+Limpeza_Min)/1440,1))</f>
        <v/>
      </c>
      <c r="M52" s="20">
        <f>IF($J52&lt;=0,"",MAX(0,IFERROR(INDEX(Mapa_RelIni,MATCH($B52&amp;"#"&amp;$A52&amp;"#"&amp;($K52+1),Mapa_Chave,0)),Turno_Min)-($Q52+Limpeza_Min)))</f>
        <v/>
      </c>
      <c r="N52" s="14">
        <f>IF($B52="","",IF($O52="","OK",LEFT($O52,LEN($O52)-3)))</f>
        <v/>
      </c>
      <c r="O52" s="35">
        <f>IF($B52="","",IF(COUNTIF(Postos_Cod,$B52)=0,"Sala não cadastrada | ","")&amp;IF(AND(COUNTIF(Postos_Cod,$B52)&gt;0,IFERROR(INDEX(Postos_Tipo,MATCH($B52,Postos_Cod,0)),"")&lt;&gt;"Sala cirúrgica"),"Posto não é sala cirúrgica | ","")&amp;IF(COUNTIF(Esp_Nome,$E52)=0,"Especialidade não cadastrada | ","")&amp;IF(COUNTIF(Lista_StatusCir,$H52)=0,"Status inválido | ","")&amp;IF(OR(NOT(ISNUMBER($C52)),NOT(ISNUMBER($D52))),"Horário inválido | ","")&amp;IFERROR(IF(AND(ISNUMBER($C52),ISNUMBER($D52),MOD($D52-$C52,1)*1440&lt;=0),"Duração nula ou negativa | ",""),"")&amp;IF(AND($J52&gt;0,OR($P52&gt;=Turno_Min,$Q52&gt;Turno_Min)),"Fora da janela do plantão | ","")&amp;IF(AND($J52&gt;0,SUMPRODUCT((Mapa_Sala=$B52)*(Mapa_Data=$A52)*(Mapa_MinOcup&gt;0)*(Mapa_RelIni&lt;$Q52)*(Mapa_RelFim&gt;$P52))&gt;1),"Sobreposição de horário na sala | ","")&amp;IFERROR(IF(AND(ISNUMBER($I52),$I52&gt;0,COUNTIF(Esp_Nome,$E52)&gt;0,$I52&gt;3*INDEX(Esp_Dur,MATCH($E52,Esp_Nome,0))),"Duração atípica (&gt;3x a média) | ",""),""))</f>
        <v/>
      </c>
      <c r="P52" s="19">
        <f>IF(NOT(ISNUMBER($C52)),0,ROUND(MOD($C52-Turno_Ini,1)*1440,0))</f>
        <v/>
      </c>
      <c r="Q52" s="19">
        <f>IF($J52&lt;=0,0,$P52+$I52)</f>
        <v/>
      </c>
      <c r="R52" s="19">
        <f>IF($K52="","",$B52&amp;"#"&amp;$A52&amp;"#"&amp;$K52)</f>
        <v/>
      </c>
      <c r="S52" s="19">
        <f>ROW()</f>
        <v/>
      </c>
      <c r="T52" s="19">
        <f>IF($J52&lt;=0,0,MAX(0,MIN($P52+$I52+Limpeza_Min,Turno_Min,IFERROR(INDEX(Mapa_RelIni,MATCH($B52&amp;"#"&amp;$A52&amp;"#"&amp;($K52+1),Mapa_Chave,0)),Turno_Min))-MIN($P52,Turno_Min)))</f>
        <v/>
      </c>
    </row>
    <row r="53">
      <c r="A53" s="30" t="n"/>
      <c r="B53" s="31" t="n"/>
      <c r="C53" s="32" t="n"/>
      <c r="D53" s="32" t="n"/>
      <c r="E53" s="33" t="n"/>
      <c r="F53" s="33" t="n"/>
      <c r="G53" s="33" t="n"/>
      <c r="H53" s="31" t="n"/>
      <c r="I53" s="20">
        <f>IF(OR($B53="",NOT(ISNUMBER($C53)),NOT(ISNUMBER($D53))),"",ROUND(MOD($D53-$C53,1)*1440,0))</f>
        <v/>
      </c>
      <c r="J53" s="20">
        <f>IF(NOT(ISNUMBER($I53)),0,IF(OR($I53&lt;=0,$H53="Cancelada",$H53="Suspensa"),0,$I53+Limpeza_Min))</f>
        <v/>
      </c>
      <c r="K53" s="20">
        <f>IF($J53&lt;=0,"",SUMPRODUCT((Mapa_Sala=$B53)*(Mapa_Data=$A53)*(Mapa_MinOcup&gt;0)*((Mapa_RelIni&lt;$P53)+((Mapa_RelIni=$P53)*(Mapa_Row&lt;=$S53)))))</f>
        <v/>
      </c>
      <c r="L53" s="34">
        <f>IF($J53&lt;=0,"",MOD(Turno_Ini+($Q53+Limpeza_Min)/1440,1))</f>
        <v/>
      </c>
      <c r="M53" s="20">
        <f>IF($J53&lt;=0,"",MAX(0,IFERROR(INDEX(Mapa_RelIni,MATCH($B53&amp;"#"&amp;$A53&amp;"#"&amp;($K53+1),Mapa_Chave,0)),Turno_Min)-($Q53+Limpeza_Min)))</f>
        <v/>
      </c>
      <c r="N53" s="14">
        <f>IF($B53="","",IF($O53="","OK",LEFT($O53,LEN($O53)-3)))</f>
        <v/>
      </c>
      <c r="O53" s="35">
        <f>IF($B53="","",IF(COUNTIF(Postos_Cod,$B53)=0,"Sala não cadastrada | ","")&amp;IF(AND(COUNTIF(Postos_Cod,$B53)&gt;0,IFERROR(INDEX(Postos_Tipo,MATCH($B53,Postos_Cod,0)),"")&lt;&gt;"Sala cirúrgica"),"Posto não é sala cirúrgica | ","")&amp;IF(COUNTIF(Esp_Nome,$E53)=0,"Especialidade não cadastrada | ","")&amp;IF(COUNTIF(Lista_StatusCir,$H53)=0,"Status inválido | ","")&amp;IF(OR(NOT(ISNUMBER($C53)),NOT(ISNUMBER($D53))),"Horário inválido | ","")&amp;IFERROR(IF(AND(ISNUMBER($C53),ISNUMBER($D53),MOD($D53-$C53,1)*1440&lt;=0),"Duração nula ou negativa | ",""),"")&amp;IF(AND($J53&gt;0,OR($P53&gt;=Turno_Min,$Q53&gt;Turno_Min)),"Fora da janela do plantão | ","")&amp;IF(AND($J53&gt;0,SUMPRODUCT((Mapa_Sala=$B53)*(Mapa_Data=$A53)*(Mapa_MinOcup&gt;0)*(Mapa_RelIni&lt;$Q53)*(Mapa_RelFim&gt;$P53))&gt;1),"Sobreposição de horário na sala | ","")&amp;IFERROR(IF(AND(ISNUMBER($I53),$I53&gt;0,COUNTIF(Esp_Nome,$E53)&gt;0,$I53&gt;3*INDEX(Esp_Dur,MATCH($E53,Esp_Nome,0))),"Duração atípica (&gt;3x a média) | ",""),""))</f>
        <v/>
      </c>
      <c r="P53" s="19">
        <f>IF(NOT(ISNUMBER($C53)),0,ROUND(MOD($C53-Turno_Ini,1)*1440,0))</f>
        <v/>
      </c>
      <c r="Q53" s="19">
        <f>IF($J53&lt;=0,0,$P53+$I53)</f>
        <v/>
      </c>
      <c r="R53" s="19">
        <f>IF($K53="","",$B53&amp;"#"&amp;$A53&amp;"#"&amp;$K53)</f>
        <v/>
      </c>
      <c r="S53" s="19">
        <f>ROW()</f>
        <v/>
      </c>
      <c r="T53" s="19">
        <f>IF($J53&lt;=0,0,MAX(0,MIN($P53+$I53+Limpeza_Min,Turno_Min,IFERROR(INDEX(Mapa_RelIni,MATCH($B53&amp;"#"&amp;$A53&amp;"#"&amp;($K53+1),Mapa_Chave,0)),Turno_Min))-MIN($P53,Turno_Min)))</f>
        <v/>
      </c>
    </row>
    <row r="54">
      <c r="A54" s="30" t="n"/>
      <c r="B54" s="31" t="n"/>
      <c r="C54" s="32" t="n"/>
      <c r="D54" s="32" t="n"/>
      <c r="E54" s="33" t="n"/>
      <c r="F54" s="33" t="n"/>
      <c r="G54" s="33" t="n"/>
      <c r="H54" s="31" t="n"/>
      <c r="I54" s="20">
        <f>IF(OR($B54="",NOT(ISNUMBER($C54)),NOT(ISNUMBER($D54))),"",ROUND(MOD($D54-$C54,1)*1440,0))</f>
        <v/>
      </c>
      <c r="J54" s="20">
        <f>IF(NOT(ISNUMBER($I54)),0,IF(OR($I54&lt;=0,$H54="Cancelada",$H54="Suspensa"),0,$I54+Limpeza_Min))</f>
        <v/>
      </c>
      <c r="K54" s="20">
        <f>IF($J54&lt;=0,"",SUMPRODUCT((Mapa_Sala=$B54)*(Mapa_Data=$A54)*(Mapa_MinOcup&gt;0)*((Mapa_RelIni&lt;$P54)+((Mapa_RelIni=$P54)*(Mapa_Row&lt;=$S54)))))</f>
        <v/>
      </c>
      <c r="L54" s="34">
        <f>IF($J54&lt;=0,"",MOD(Turno_Ini+($Q54+Limpeza_Min)/1440,1))</f>
        <v/>
      </c>
      <c r="M54" s="20">
        <f>IF($J54&lt;=0,"",MAX(0,IFERROR(INDEX(Mapa_RelIni,MATCH($B54&amp;"#"&amp;$A54&amp;"#"&amp;($K54+1),Mapa_Chave,0)),Turno_Min)-($Q54+Limpeza_Min)))</f>
        <v/>
      </c>
      <c r="N54" s="14">
        <f>IF($B54="","",IF($O54="","OK",LEFT($O54,LEN($O54)-3)))</f>
        <v/>
      </c>
      <c r="O54" s="35">
        <f>IF($B54="","",IF(COUNTIF(Postos_Cod,$B54)=0,"Sala não cadastrada | ","")&amp;IF(AND(COUNTIF(Postos_Cod,$B54)&gt;0,IFERROR(INDEX(Postos_Tipo,MATCH($B54,Postos_Cod,0)),"")&lt;&gt;"Sala cirúrgica"),"Posto não é sala cirúrgica | ","")&amp;IF(COUNTIF(Esp_Nome,$E54)=0,"Especialidade não cadastrada | ","")&amp;IF(COUNTIF(Lista_StatusCir,$H54)=0,"Status inválido | ","")&amp;IF(OR(NOT(ISNUMBER($C54)),NOT(ISNUMBER($D54))),"Horário inválido | ","")&amp;IFERROR(IF(AND(ISNUMBER($C54),ISNUMBER($D54),MOD($D54-$C54,1)*1440&lt;=0),"Duração nula ou negativa | ",""),"")&amp;IF(AND($J54&gt;0,OR($P54&gt;=Turno_Min,$Q54&gt;Turno_Min)),"Fora da janela do plantão | ","")&amp;IF(AND($J54&gt;0,SUMPRODUCT((Mapa_Sala=$B54)*(Mapa_Data=$A54)*(Mapa_MinOcup&gt;0)*(Mapa_RelIni&lt;$Q54)*(Mapa_RelFim&gt;$P54))&gt;1),"Sobreposição de horário na sala | ","")&amp;IFERROR(IF(AND(ISNUMBER($I54),$I54&gt;0,COUNTIF(Esp_Nome,$E54)&gt;0,$I54&gt;3*INDEX(Esp_Dur,MATCH($E54,Esp_Nome,0))),"Duração atípica (&gt;3x a média) | ",""),""))</f>
        <v/>
      </c>
      <c r="P54" s="19">
        <f>IF(NOT(ISNUMBER($C54)),0,ROUND(MOD($C54-Turno_Ini,1)*1440,0))</f>
        <v/>
      </c>
      <c r="Q54" s="19">
        <f>IF($J54&lt;=0,0,$P54+$I54)</f>
        <v/>
      </c>
      <c r="R54" s="19">
        <f>IF($K54="","",$B54&amp;"#"&amp;$A54&amp;"#"&amp;$K54)</f>
        <v/>
      </c>
      <c r="S54" s="19">
        <f>ROW()</f>
        <v/>
      </c>
      <c r="T54" s="19">
        <f>IF($J54&lt;=0,0,MAX(0,MIN($P54+$I54+Limpeza_Min,Turno_Min,IFERROR(INDEX(Mapa_RelIni,MATCH($B54&amp;"#"&amp;$A54&amp;"#"&amp;($K54+1),Mapa_Chave,0)),Turno_Min))-MIN($P54,Turno_Min)))</f>
        <v/>
      </c>
    </row>
    <row r="55">
      <c r="A55" s="30" t="n"/>
      <c r="B55" s="31" t="n"/>
      <c r="C55" s="32" t="n"/>
      <c r="D55" s="32" t="n"/>
      <c r="E55" s="33" t="n"/>
      <c r="F55" s="33" t="n"/>
      <c r="G55" s="33" t="n"/>
      <c r="H55" s="31" t="n"/>
      <c r="I55" s="20">
        <f>IF(OR($B55="",NOT(ISNUMBER($C55)),NOT(ISNUMBER($D55))),"",ROUND(MOD($D55-$C55,1)*1440,0))</f>
        <v/>
      </c>
      <c r="J55" s="20">
        <f>IF(NOT(ISNUMBER($I55)),0,IF(OR($I55&lt;=0,$H55="Cancelada",$H55="Suspensa"),0,$I55+Limpeza_Min))</f>
        <v/>
      </c>
      <c r="K55" s="20">
        <f>IF($J55&lt;=0,"",SUMPRODUCT((Mapa_Sala=$B55)*(Mapa_Data=$A55)*(Mapa_MinOcup&gt;0)*((Mapa_RelIni&lt;$P55)+((Mapa_RelIni=$P55)*(Mapa_Row&lt;=$S55)))))</f>
        <v/>
      </c>
      <c r="L55" s="34">
        <f>IF($J55&lt;=0,"",MOD(Turno_Ini+($Q55+Limpeza_Min)/1440,1))</f>
        <v/>
      </c>
      <c r="M55" s="20">
        <f>IF($J55&lt;=0,"",MAX(0,IFERROR(INDEX(Mapa_RelIni,MATCH($B55&amp;"#"&amp;$A55&amp;"#"&amp;($K55+1),Mapa_Chave,0)),Turno_Min)-($Q55+Limpeza_Min)))</f>
        <v/>
      </c>
      <c r="N55" s="14">
        <f>IF($B55="","",IF($O55="","OK",LEFT($O55,LEN($O55)-3)))</f>
        <v/>
      </c>
      <c r="O55" s="35">
        <f>IF($B55="","",IF(COUNTIF(Postos_Cod,$B55)=0,"Sala não cadastrada | ","")&amp;IF(AND(COUNTIF(Postos_Cod,$B55)&gt;0,IFERROR(INDEX(Postos_Tipo,MATCH($B55,Postos_Cod,0)),"")&lt;&gt;"Sala cirúrgica"),"Posto não é sala cirúrgica | ","")&amp;IF(COUNTIF(Esp_Nome,$E55)=0,"Especialidade não cadastrada | ","")&amp;IF(COUNTIF(Lista_StatusCir,$H55)=0,"Status inválido | ","")&amp;IF(OR(NOT(ISNUMBER($C55)),NOT(ISNUMBER($D55))),"Horário inválido | ","")&amp;IFERROR(IF(AND(ISNUMBER($C55),ISNUMBER($D55),MOD($D55-$C55,1)*1440&lt;=0),"Duração nula ou negativa | ",""),"")&amp;IF(AND($J55&gt;0,OR($P55&gt;=Turno_Min,$Q55&gt;Turno_Min)),"Fora da janela do plantão | ","")&amp;IF(AND($J55&gt;0,SUMPRODUCT((Mapa_Sala=$B55)*(Mapa_Data=$A55)*(Mapa_MinOcup&gt;0)*(Mapa_RelIni&lt;$Q55)*(Mapa_RelFim&gt;$P55))&gt;1),"Sobreposição de horário na sala | ","")&amp;IFERROR(IF(AND(ISNUMBER($I55),$I55&gt;0,COUNTIF(Esp_Nome,$E55)&gt;0,$I55&gt;3*INDEX(Esp_Dur,MATCH($E55,Esp_Nome,0))),"Duração atípica (&gt;3x a média) | ",""),""))</f>
        <v/>
      </c>
      <c r="P55" s="19">
        <f>IF(NOT(ISNUMBER($C55)),0,ROUND(MOD($C55-Turno_Ini,1)*1440,0))</f>
        <v/>
      </c>
      <c r="Q55" s="19">
        <f>IF($J55&lt;=0,0,$P55+$I55)</f>
        <v/>
      </c>
      <c r="R55" s="19">
        <f>IF($K55="","",$B55&amp;"#"&amp;$A55&amp;"#"&amp;$K55)</f>
        <v/>
      </c>
      <c r="S55" s="19">
        <f>ROW()</f>
        <v/>
      </c>
      <c r="T55" s="19">
        <f>IF($J55&lt;=0,0,MAX(0,MIN($P55+$I55+Limpeza_Min,Turno_Min,IFERROR(INDEX(Mapa_RelIni,MATCH($B55&amp;"#"&amp;$A55&amp;"#"&amp;($K55+1),Mapa_Chave,0)),Turno_Min))-MIN($P55,Turno_Min)))</f>
        <v/>
      </c>
    </row>
    <row r="56">
      <c r="A56" s="30" t="n"/>
      <c r="B56" s="31" t="n"/>
      <c r="C56" s="32" t="n"/>
      <c r="D56" s="32" t="n"/>
      <c r="E56" s="33" t="n"/>
      <c r="F56" s="33" t="n"/>
      <c r="G56" s="33" t="n"/>
      <c r="H56" s="31" t="n"/>
      <c r="I56" s="20">
        <f>IF(OR($B56="",NOT(ISNUMBER($C56)),NOT(ISNUMBER($D56))),"",ROUND(MOD($D56-$C56,1)*1440,0))</f>
        <v/>
      </c>
      <c r="J56" s="20">
        <f>IF(NOT(ISNUMBER($I56)),0,IF(OR($I56&lt;=0,$H56="Cancelada",$H56="Suspensa"),0,$I56+Limpeza_Min))</f>
        <v/>
      </c>
      <c r="K56" s="20">
        <f>IF($J56&lt;=0,"",SUMPRODUCT((Mapa_Sala=$B56)*(Mapa_Data=$A56)*(Mapa_MinOcup&gt;0)*((Mapa_RelIni&lt;$P56)+((Mapa_RelIni=$P56)*(Mapa_Row&lt;=$S56)))))</f>
        <v/>
      </c>
      <c r="L56" s="34">
        <f>IF($J56&lt;=0,"",MOD(Turno_Ini+($Q56+Limpeza_Min)/1440,1))</f>
        <v/>
      </c>
      <c r="M56" s="20">
        <f>IF($J56&lt;=0,"",MAX(0,IFERROR(INDEX(Mapa_RelIni,MATCH($B56&amp;"#"&amp;$A56&amp;"#"&amp;($K56+1),Mapa_Chave,0)),Turno_Min)-($Q56+Limpeza_Min)))</f>
        <v/>
      </c>
      <c r="N56" s="14">
        <f>IF($B56="","",IF($O56="","OK",LEFT($O56,LEN($O56)-3)))</f>
        <v/>
      </c>
      <c r="O56" s="35">
        <f>IF($B56="","",IF(COUNTIF(Postos_Cod,$B56)=0,"Sala não cadastrada | ","")&amp;IF(AND(COUNTIF(Postos_Cod,$B56)&gt;0,IFERROR(INDEX(Postos_Tipo,MATCH($B56,Postos_Cod,0)),"")&lt;&gt;"Sala cirúrgica"),"Posto não é sala cirúrgica | ","")&amp;IF(COUNTIF(Esp_Nome,$E56)=0,"Especialidade não cadastrada | ","")&amp;IF(COUNTIF(Lista_StatusCir,$H56)=0,"Status inválido | ","")&amp;IF(OR(NOT(ISNUMBER($C56)),NOT(ISNUMBER($D56))),"Horário inválido | ","")&amp;IFERROR(IF(AND(ISNUMBER($C56),ISNUMBER($D56),MOD($D56-$C56,1)*1440&lt;=0),"Duração nula ou negativa | ",""),"")&amp;IF(AND($J56&gt;0,OR($P56&gt;=Turno_Min,$Q56&gt;Turno_Min)),"Fora da janela do plantão | ","")&amp;IF(AND($J56&gt;0,SUMPRODUCT((Mapa_Sala=$B56)*(Mapa_Data=$A56)*(Mapa_MinOcup&gt;0)*(Mapa_RelIni&lt;$Q56)*(Mapa_RelFim&gt;$P56))&gt;1),"Sobreposição de horário na sala | ","")&amp;IFERROR(IF(AND(ISNUMBER($I56),$I56&gt;0,COUNTIF(Esp_Nome,$E56)&gt;0,$I56&gt;3*INDEX(Esp_Dur,MATCH($E56,Esp_Nome,0))),"Duração atípica (&gt;3x a média) | ",""),""))</f>
        <v/>
      </c>
      <c r="P56" s="19">
        <f>IF(NOT(ISNUMBER($C56)),0,ROUND(MOD($C56-Turno_Ini,1)*1440,0))</f>
        <v/>
      </c>
      <c r="Q56" s="19">
        <f>IF($J56&lt;=0,0,$P56+$I56)</f>
        <v/>
      </c>
      <c r="R56" s="19">
        <f>IF($K56="","",$B56&amp;"#"&amp;$A56&amp;"#"&amp;$K56)</f>
        <v/>
      </c>
      <c r="S56" s="19">
        <f>ROW()</f>
        <v/>
      </c>
      <c r="T56" s="19">
        <f>IF($J56&lt;=0,0,MAX(0,MIN($P56+$I56+Limpeza_Min,Turno_Min,IFERROR(INDEX(Mapa_RelIni,MATCH($B56&amp;"#"&amp;$A56&amp;"#"&amp;($K56+1),Mapa_Chave,0)),Turno_Min))-MIN($P56,Turno_Min)))</f>
        <v/>
      </c>
    </row>
    <row r="57">
      <c r="A57" s="30" t="n"/>
      <c r="B57" s="31" t="n"/>
      <c r="C57" s="32" t="n"/>
      <c r="D57" s="32" t="n"/>
      <c r="E57" s="33" t="n"/>
      <c r="F57" s="33" t="n"/>
      <c r="G57" s="33" t="n"/>
      <c r="H57" s="31" t="n"/>
      <c r="I57" s="20">
        <f>IF(OR($B57="",NOT(ISNUMBER($C57)),NOT(ISNUMBER($D57))),"",ROUND(MOD($D57-$C57,1)*1440,0))</f>
        <v/>
      </c>
      <c r="J57" s="20">
        <f>IF(NOT(ISNUMBER($I57)),0,IF(OR($I57&lt;=0,$H57="Cancelada",$H57="Suspensa"),0,$I57+Limpeza_Min))</f>
        <v/>
      </c>
      <c r="K57" s="20">
        <f>IF($J57&lt;=0,"",SUMPRODUCT((Mapa_Sala=$B57)*(Mapa_Data=$A57)*(Mapa_MinOcup&gt;0)*((Mapa_RelIni&lt;$P57)+((Mapa_RelIni=$P57)*(Mapa_Row&lt;=$S57)))))</f>
        <v/>
      </c>
      <c r="L57" s="34">
        <f>IF($J57&lt;=0,"",MOD(Turno_Ini+($Q57+Limpeza_Min)/1440,1))</f>
        <v/>
      </c>
      <c r="M57" s="20">
        <f>IF($J57&lt;=0,"",MAX(0,IFERROR(INDEX(Mapa_RelIni,MATCH($B57&amp;"#"&amp;$A57&amp;"#"&amp;($K57+1),Mapa_Chave,0)),Turno_Min)-($Q57+Limpeza_Min)))</f>
        <v/>
      </c>
      <c r="N57" s="14">
        <f>IF($B57="","",IF($O57="","OK",LEFT($O57,LEN($O57)-3)))</f>
        <v/>
      </c>
      <c r="O57" s="35">
        <f>IF($B57="","",IF(COUNTIF(Postos_Cod,$B57)=0,"Sala não cadastrada | ","")&amp;IF(AND(COUNTIF(Postos_Cod,$B57)&gt;0,IFERROR(INDEX(Postos_Tipo,MATCH($B57,Postos_Cod,0)),"")&lt;&gt;"Sala cirúrgica"),"Posto não é sala cirúrgica | ","")&amp;IF(COUNTIF(Esp_Nome,$E57)=0,"Especialidade não cadastrada | ","")&amp;IF(COUNTIF(Lista_StatusCir,$H57)=0,"Status inválido | ","")&amp;IF(OR(NOT(ISNUMBER($C57)),NOT(ISNUMBER($D57))),"Horário inválido | ","")&amp;IFERROR(IF(AND(ISNUMBER($C57),ISNUMBER($D57),MOD($D57-$C57,1)*1440&lt;=0),"Duração nula ou negativa | ",""),"")&amp;IF(AND($J57&gt;0,OR($P57&gt;=Turno_Min,$Q57&gt;Turno_Min)),"Fora da janela do plantão | ","")&amp;IF(AND($J57&gt;0,SUMPRODUCT((Mapa_Sala=$B57)*(Mapa_Data=$A57)*(Mapa_MinOcup&gt;0)*(Mapa_RelIni&lt;$Q57)*(Mapa_RelFim&gt;$P57))&gt;1),"Sobreposição de horário na sala | ","")&amp;IFERROR(IF(AND(ISNUMBER($I57),$I57&gt;0,COUNTIF(Esp_Nome,$E57)&gt;0,$I57&gt;3*INDEX(Esp_Dur,MATCH($E57,Esp_Nome,0))),"Duração atípica (&gt;3x a média) | ",""),""))</f>
        <v/>
      </c>
      <c r="P57" s="19">
        <f>IF(NOT(ISNUMBER($C57)),0,ROUND(MOD($C57-Turno_Ini,1)*1440,0))</f>
        <v/>
      </c>
      <c r="Q57" s="19">
        <f>IF($J57&lt;=0,0,$P57+$I57)</f>
        <v/>
      </c>
      <c r="R57" s="19">
        <f>IF($K57="","",$B57&amp;"#"&amp;$A57&amp;"#"&amp;$K57)</f>
        <v/>
      </c>
      <c r="S57" s="19">
        <f>ROW()</f>
        <v/>
      </c>
      <c r="T57" s="19">
        <f>IF($J57&lt;=0,0,MAX(0,MIN($P57+$I57+Limpeza_Min,Turno_Min,IFERROR(INDEX(Mapa_RelIni,MATCH($B57&amp;"#"&amp;$A57&amp;"#"&amp;($K57+1),Mapa_Chave,0)),Turno_Min))-MIN($P57,Turno_Min)))</f>
        <v/>
      </c>
    </row>
    <row r="58">
      <c r="A58" s="30" t="n"/>
      <c r="B58" s="31" t="n"/>
      <c r="C58" s="32" t="n"/>
      <c r="D58" s="32" t="n"/>
      <c r="E58" s="33" t="n"/>
      <c r="F58" s="33" t="n"/>
      <c r="G58" s="33" t="n"/>
      <c r="H58" s="31" t="n"/>
      <c r="I58" s="20">
        <f>IF(OR($B58="",NOT(ISNUMBER($C58)),NOT(ISNUMBER($D58))),"",ROUND(MOD($D58-$C58,1)*1440,0))</f>
        <v/>
      </c>
      <c r="J58" s="20">
        <f>IF(NOT(ISNUMBER($I58)),0,IF(OR($I58&lt;=0,$H58="Cancelada",$H58="Suspensa"),0,$I58+Limpeza_Min))</f>
        <v/>
      </c>
      <c r="K58" s="20">
        <f>IF($J58&lt;=0,"",SUMPRODUCT((Mapa_Sala=$B58)*(Mapa_Data=$A58)*(Mapa_MinOcup&gt;0)*((Mapa_RelIni&lt;$P58)+((Mapa_RelIni=$P58)*(Mapa_Row&lt;=$S58)))))</f>
        <v/>
      </c>
      <c r="L58" s="34">
        <f>IF($J58&lt;=0,"",MOD(Turno_Ini+($Q58+Limpeza_Min)/1440,1))</f>
        <v/>
      </c>
      <c r="M58" s="20">
        <f>IF($J58&lt;=0,"",MAX(0,IFERROR(INDEX(Mapa_RelIni,MATCH($B58&amp;"#"&amp;$A58&amp;"#"&amp;($K58+1),Mapa_Chave,0)),Turno_Min)-($Q58+Limpeza_Min)))</f>
        <v/>
      </c>
      <c r="N58" s="14">
        <f>IF($B58="","",IF($O58="","OK",LEFT($O58,LEN($O58)-3)))</f>
        <v/>
      </c>
      <c r="O58" s="35">
        <f>IF($B58="","",IF(COUNTIF(Postos_Cod,$B58)=0,"Sala não cadastrada | ","")&amp;IF(AND(COUNTIF(Postos_Cod,$B58)&gt;0,IFERROR(INDEX(Postos_Tipo,MATCH($B58,Postos_Cod,0)),"")&lt;&gt;"Sala cirúrgica"),"Posto não é sala cirúrgica | ","")&amp;IF(COUNTIF(Esp_Nome,$E58)=0,"Especialidade não cadastrada | ","")&amp;IF(COUNTIF(Lista_StatusCir,$H58)=0,"Status inválido | ","")&amp;IF(OR(NOT(ISNUMBER($C58)),NOT(ISNUMBER($D58))),"Horário inválido | ","")&amp;IFERROR(IF(AND(ISNUMBER($C58),ISNUMBER($D58),MOD($D58-$C58,1)*1440&lt;=0),"Duração nula ou negativa | ",""),"")&amp;IF(AND($J58&gt;0,OR($P58&gt;=Turno_Min,$Q58&gt;Turno_Min)),"Fora da janela do plantão | ","")&amp;IF(AND($J58&gt;0,SUMPRODUCT((Mapa_Sala=$B58)*(Mapa_Data=$A58)*(Mapa_MinOcup&gt;0)*(Mapa_RelIni&lt;$Q58)*(Mapa_RelFim&gt;$P58))&gt;1),"Sobreposição de horário na sala | ","")&amp;IFERROR(IF(AND(ISNUMBER($I58),$I58&gt;0,COUNTIF(Esp_Nome,$E58)&gt;0,$I58&gt;3*INDEX(Esp_Dur,MATCH($E58,Esp_Nome,0))),"Duração atípica (&gt;3x a média) | ",""),""))</f>
        <v/>
      </c>
      <c r="P58" s="19">
        <f>IF(NOT(ISNUMBER($C58)),0,ROUND(MOD($C58-Turno_Ini,1)*1440,0))</f>
        <v/>
      </c>
      <c r="Q58" s="19">
        <f>IF($J58&lt;=0,0,$P58+$I58)</f>
        <v/>
      </c>
      <c r="R58" s="19">
        <f>IF($K58="","",$B58&amp;"#"&amp;$A58&amp;"#"&amp;$K58)</f>
        <v/>
      </c>
      <c r="S58" s="19">
        <f>ROW()</f>
        <v/>
      </c>
      <c r="T58" s="19">
        <f>IF($J58&lt;=0,0,MAX(0,MIN($P58+$I58+Limpeza_Min,Turno_Min,IFERROR(INDEX(Mapa_RelIni,MATCH($B58&amp;"#"&amp;$A58&amp;"#"&amp;($K58+1),Mapa_Chave,0)),Turno_Min))-MIN($P58,Turno_Min)))</f>
        <v/>
      </c>
    </row>
    <row r="59">
      <c r="A59" s="30" t="n"/>
      <c r="B59" s="31" t="n"/>
      <c r="C59" s="32" t="n"/>
      <c r="D59" s="32" t="n"/>
      <c r="E59" s="33" t="n"/>
      <c r="F59" s="33" t="n"/>
      <c r="G59" s="33" t="n"/>
      <c r="H59" s="31" t="n"/>
      <c r="I59" s="20">
        <f>IF(OR($B59="",NOT(ISNUMBER($C59)),NOT(ISNUMBER($D59))),"",ROUND(MOD($D59-$C59,1)*1440,0))</f>
        <v/>
      </c>
      <c r="J59" s="20">
        <f>IF(NOT(ISNUMBER($I59)),0,IF(OR($I59&lt;=0,$H59="Cancelada",$H59="Suspensa"),0,$I59+Limpeza_Min))</f>
        <v/>
      </c>
      <c r="K59" s="20">
        <f>IF($J59&lt;=0,"",SUMPRODUCT((Mapa_Sala=$B59)*(Mapa_Data=$A59)*(Mapa_MinOcup&gt;0)*((Mapa_RelIni&lt;$P59)+((Mapa_RelIni=$P59)*(Mapa_Row&lt;=$S59)))))</f>
        <v/>
      </c>
      <c r="L59" s="34">
        <f>IF($J59&lt;=0,"",MOD(Turno_Ini+($Q59+Limpeza_Min)/1440,1))</f>
        <v/>
      </c>
      <c r="M59" s="20">
        <f>IF($J59&lt;=0,"",MAX(0,IFERROR(INDEX(Mapa_RelIni,MATCH($B59&amp;"#"&amp;$A59&amp;"#"&amp;($K59+1),Mapa_Chave,0)),Turno_Min)-($Q59+Limpeza_Min)))</f>
        <v/>
      </c>
      <c r="N59" s="14">
        <f>IF($B59="","",IF($O59="","OK",LEFT($O59,LEN($O59)-3)))</f>
        <v/>
      </c>
      <c r="O59" s="35">
        <f>IF($B59="","",IF(COUNTIF(Postos_Cod,$B59)=0,"Sala não cadastrada | ","")&amp;IF(AND(COUNTIF(Postos_Cod,$B59)&gt;0,IFERROR(INDEX(Postos_Tipo,MATCH($B59,Postos_Cod,0)),"")&lt;&gt;"Sala cirúrgica"),"Posto não é sala cirúrgica | ","")&amp;IF(COUNTIF(Esp_Nome,$E59)=0,"Especialidade não cadastrada | ","")&amp;IF(COUNTIF(Lista_StatusCir,$H59)=0,"Status inválido | ","")&amp;IF(OR(NOT(ISNUMBER($C59)),NOT(ISNUMBER($D59))),"Horário inválido | ","")&amp;IFERROR(IF(AND(ISNUMBER($C59),ISNUMBER($D59),MOD($D59-$C59,1)*1440&lt;=0),"Duração nula ou negativa | ",""),"")&amp;IF(AND($J59&gt;0,OR($P59&gt;=Turno_Min,$Q59&gt;Turno_Min)),"Fora da janela do plantão | ","")&amp;IF(AND($J59&gt;0,SUMPRODUCT((Mapa_Sala=$B59)*(Mapa_Data=$A59)*(Mapa_MinOcup&gt;0)*(Mapa_RelIni&lt;$Q59)*(Mapa_RelFim&gt;$P59))&gt;1),"Sobreposição de horário na sala | ","")&amp;IFERROR(IF(AND(ISNUMBER($I59),$I59&gt;0,COUNTIF(Esp_Nome,$E59)&gt;0,$I59&gt;3*INDEX(Esp_Dur,MATCH($E59,Esp_Nome,0))),"Duração atípica (&gt;3x a média) | ",""),""))</f>
        <v/>
      </c>
      <c r="P59" s="19">
        <f>IF(NOT(ISNUMBER($C59)),0,ROUND(MOD($C59-Turno_Ini,1)*1440,0))</f>
        <v/>
      </c>
      <c r="Q59" s="19">
        <f>IF($J59&lt;=0,0,$P59+$I59)</f>
        <v/>
      </c>
      <c r="R59" s="19">
        <f>IF($K59="","",$B59&amp;"#"&amp;$A59&amp;"#"&amp;$K59)</f>
        <v/>
      </c>
      <c r="S59" s="19">
        <f>ROW()</f>
        <v/>
      </c>
      <c r="T59" s="19">
        <f>IF($J59&lt;=0,0,MAX(0,MIN($P59+$I59+Limpeza_Min,Turno_Min,IFERROR(INDEX(Mapa_RelIni,MATCH($B59&amp;"#"&amp;$A59&amp;"#"&amp;($K59+1),Mapa_Chave,0)),Turno_Min))-MIN($P59,Turno_Min)))</f>
        <v/>
      </c>
    </row>
    <row r="60">
      <c r="A60" s="30" t="n"/>
      <c r="B60" s="31" t="n"/>
      <c r="C60" s="32" t="n"/>
      <c r="D60" s="32" t="n"/>
      <c r="E60" s="33" t="n"/>
      <c r="F60" s="33" t="n"/>
      <c r="G60" s="33" t="n"/>
      <c r="H60" s="31" t="n"/>
      <c r="I60" s="20">
        <f>IF(OR($B60="",NOT(ISNUMBER($C60)),NOT(ISNUMBER($D60))),"",ROUND(MOD($D60-$C60,1)*1440,0))</f>
        <v/>
      </c>
      <c r="J60" s="20">
        <f>IF(NOT(ISNUMBER($I60)),0,IF(OR($I60&lt;=0,$H60="Cancelada",$H60="Suspensa"),0,$I60+Limpeza_Min))</f>
        <v/>
      </c>
      <c r="K60" s="20">
        <f>IF($J60&lt;=0,"",SUMPRODUCT((Mapa_Sala=$B60)*(Mapa_Data=$A60)*(Mapa_MinOcup&gt;0)*((Mapa_RelIni&lt;$P60)+((Mapa_RelIni=$P60)*(Mapa_Row&lt;=$S60)))))</f>
        <v/>
      </c>
      <c r="L60" s="34">
        <f>IF($J60&lt;=0,"",MOD(Turno_Ini+($Q60+Limpeza_Min)/1440,1))</f>
        <v/>
      </c>
      <c r="M60" s="20">
        <f>IF($J60&lt;=0,"",MAX(0,IFERROR(INDEX(Mapa_RelIni,MATCH($B60&amp;"#"&amp;$A60&amp;"#"&amp;($K60+1),Mapa_Chave,0)),Turno_Min)-($Q60+Limpeza_Min)))</f>
        <v/>
      </c>
      <c r="N60" s="14">
        <f>IF($B60="","",IF($O60="","OK",LEFT($O60,LEN($O60)-3)))</f>
        <v/>
      </c>
      <c r="O60" s="35">
        <f>IF($B60="","",IF(COUNTIF(Postos_Cod,$B60)=0,"Sala não cadastrada | ","")&amp;IF(AND(COUNTIF(Postos_Cod,$B60)&gt;0,IFERROR(INDEX(Postos_Tipo,MATCH($B60,Postos_Cod,0)),"")&lt;&gt;"Sala cirúrgica"),"Posto não é sala cirúrgica | ","")&amp;IF(COUNTIF(Esp_Nome,$E60)=0,"Especialidade não cadastrada | ","")&amp;IF(COUNTIF(Lista_StatusCir,$H60)=0,"Status inválido | ","")&amp;IF(OR(NOT(ISNUMBER($C60)),NOT(ISNUMBER($D60))),"Horário inválido | ","")&amp;IFERROR(IF(AND(ISNUMBER($C60),ISNUMBER($D60),MOD($D60-$C60,1)*1440&lt;=0),"Duração nula ou negativa | ",""),"")&amp;IF(AND($J60&gt;0,OR($P60&gt;=Turno_Min,$Q60&gt;Turno_Min)),"Fora da janela do plantão | ","")&amp;IF(AND($J60&gt;0,SUMPRODUCT((Mapa_Sala=$B60)*(Mapa_Data=$A60)*(Mapa_MinOcup&gt;0)*(Mapa_RelIni&lt;$Q60)*(Mapa_RelFim&gt;$P60))&gt;1),"Sobreposição de horário na sala | ","")&amp;IFERROR(IF(AND(ISNUMBER($I60),$I60&gt;0,COUNTIF(Esp_Nome,$E60)&gt;0,$I60&gt;3*INDEX(Esp_Dur,MATCH($E60,Esp_Nome,0))),"Duração atípica (&gt;3x a média) | ",""),""))</f>
        <v/>
      </c>
      <c r="P60" s="19">
        <f>IF(NOT(ISNUMBER($C60)),0,ROUND(MOD($C60-Turno_Ini,1)*1440,0))</f>
        <v/>
      </c>
      <c r="Q60" s="19">
        <f>IF($J60&lt;=0,0,$P60+$I60)</f>
        <v/>
      </c>
      <c r="R60" s="19">
        <f>IF($K60="","",$B60&amp;"#"&amp;$A60&amp;"#"&amp;$K60)</f>
        <v/>
      </c>
      <c r="S60" s="19">
        <f>ROW()</f>
        <v/>
      </c>
      <c r="T60" s="19">
        <f>IF($J60&lt;=0,0,MAX(0,MIN($P60+$I60+Limpeza_Min,Turno_Min,IFERROR(INDEX(Mapa_RelIni,MATCH($B60&amp;"#"&amp;$A60&amp;"#"&amp;($K60+1),Mapa_Chave,0)),Turno_Min))-MIN($P60,Turno_Min)))</f>
        <v/>
      </c>
    </row>
    <row r="61">
      <c r="A61" s="30" t="n"/>
      <c r="B61" s="31" t="n"/>
      <c r="C61" s="32" t="n"/>
      <c r="D61" s="32" t="n"/>
      <c r="E61" s="33" t="n"/>
      <c r="F61" s="33" t="n"/>
      <c r="G61" s="33" t="n"/>
      <c r="H61" s="31" t="n"/>
      <c r="I61" s="20">
        <f>IF(OR($B61="",NOT(ISNUMBER($C61)),NOT(ISNUMBER($D61))),"",ROUND(MOD($D61-$C61,1)*1440,0))</f>
        <v/>
      </c>
      <c r="J61" s="20">
        <f>IF(NOT(ISNUMBER($I61)),0,IF(OR($I61&lt;=0,$H61="Cancelada",$H61="Suspensa"),0,$I61+Limpeza_Min))</f>
        <v/>
      </c>
      <c r="K61" s="20">
        <f>IF($J61&lt;=0,"",SUMPRODUCT((Mapa_Sala=$B61)*(Mapa_Data=$A61)*(Mapa_MinOcup&gt;0)*((Mapa_RelIni&lt;$P61)+((Mapa_RelIni=$P61)*(Mapa_Row&lt;=$S61)))))</f>
        <v/>
      </c>
      <c r="L61" s="34">
        <f>IF($J61&lt;=0,"",MOD(Turno_Ini+($Q61+Limpeza_Min)/1440,1))</f>
        <v/>
      </c>
      <c r="M61" s="20">
        <f>IF($J61&lt;=0,"",MAX(0,IFERROR(INDEX(Mapa_RelIni,MATCH($B61&amp;"#"&amp;$A61&amp;"#"&amp;($K61+1),Mapa_Chave,0)),Turno_Min)-($Q61+Limpeza_Min)))</f>
        <v/>
      </c>
      <c r="N61" s="14">
        <f>IF($B61="","",IF($O61="","OK",LEFT($O61,LEN($O61)-3)))</f>
        <v/>
      </c>
      <c r="O61" s="35">
        <f>IF($B61="","",IF(COUNTIF(Postos_Cod,$B61)=0,"Sala não cadastrada | ","")&amp;IF(AND(COUNTIF(Postos_Cod,$B61)&gt;0,IFERROR(INDEX(Postos_Tipo,MATCH($B61,Postos_Cod,0)),"")&lt;&gt;"Sala cirúrgica"),"Posto não é sala cirúrgica | ","")&amp;IF(COUNTIF(Esp_Nome,$E61)=0,"Especialidade não cadastrada | ","")&amp;IF(COUNTIF(Lista_StatusCir,$H61)=0,"Status inválido | ","")&amp;IF(OR(NOT(ISNUMBER($C61)),NOT(ISNUMBER($D61))),"Horário inválido | ","")&amp;IFERROR(IF(AND(ISNUMBER($C61),ISNUMBER($D61),MOD($D61-$C61,1)*1440&lt;=0),"Duração nula ou negativa | ",""),"")&amp;IF(AND($J61&gt;0,OR($P61&gt;=Turno_Min,$Q61&gt;Turno_Min)),"Fora da janela do plantão | ","")&amp;IF(AND($J61&gt;0,SUMPRODUCT((Mapa_Sala=$B61)*(Mapa_Data=$A61)*(Mapa_MinOcup&gt;0)*(Mapa_RelIni&lt;$Q61)*(Mapa_RelFim&gt;$P61))&gt;1),"Sobreposição de horário na sala | ","")&amp;IFERROR(IF(AND(ISNUMBER($I61),$I61&gt;0,COUNTIF(Esp_Nome,$E61)&gt;0,$I61&gt;3*INDEX(Esp_Dur,MATCH($E61,Esp_Nome,0))),"Duração atípica (&gt;3x a média) | ",""),""))</f>
        <v/>
      </c>
      <c r="P61" s="19">
        <f>IF(NOT(ISNUMBER($C61)),0,ROUND(MOD($C61-Turno_Ini,1)*1440,0))</f>
        <v/>
      </c>
      <c r="Q61" s="19">
        <f>IF($J61&lt;=0,0,$P61+$I61)</f>
        <v/>
      </c>
      <c r="R61" s="19">
        <f>IF($K61="","",$B61&amp;"#"&amp;$A61&amp;"#"&amp;$K61)</f>
        <v/>
      </c>
      <c r="S61" s="19">
        <f>ROW()</f>
        <v/>
      </c>
      <c r="T61" s="19">
        <f>IF($J61&lt;=0,0,MAX(0,MIN($P61+$I61+Limpeza_Min,Turno_Min,IFERROR(INDEX(Mapa_RelIni,MATCH($B61&amp;"#"&amp;$A61&amp;"#"&amp;($K61+1),Mapa_Chave,0)),Turno_Min))-MIN($P61,Turno_Min)))</f>
        <v/>
      </c>
    </row>
    <row r="62">
      <c r="A62" s="30" t="n"/>
      <c r="B62" s="31" t="n"/>
      <c r="C62" s="32" t="n"/>
      <c r="D62" s="32" t="n"/>
      <c r="E62" s="33" t="n"/>
      <c r="F62" s="33" t="n"/>
      <c r="G62" s="33" t="n"/>
      <c r="H62" s="31" t="n"/>
      <c r="I62" s="20">
        <f>IF(OR($B62="",NOT(ISNUMBER($C62)),NOT(ISNUMBER($D62))),"",ROUND(MOD($D62-$C62,1)*1440,0))</f>
        <v/>
      </c>
      <c r="J62" s="20">
        <f>IF(NOT(ISNUMBER($I62)),0,IF(OR($I62&lt;=0,$H62="Cancelada",$H62="Suspensa"),0,$I62+Limpeza_Min))</f>
        <v/>
      </c>
      <c r="K62" s="20">
        <f>IF($J62&lt;=0,"",SUMPRODUCT((Mapa_Sala=$B62)*(Mapa_Data=$A62)*(Mapa_MinOcup&gt;0)*((Mapa_RelIni&lt;$P62)+((Mapa_RelIni=$P62)*(Mapa_Row&lt;=$S62)))))</f>
        <v/>
      </c>
      <c r="L62" s="34">
        <f>IF($J62&lt;=0,"",MOD(Turno_Ini+($Q62+Limpeza_Min)/1440,1))</f>
        <v/>
      </c>
      <c r="M62" s="20">
        <f>IF($J62&lt;=0,"",MAX(0,IFERROR(INDEX(Mapa_RelIni,MATCH($B62&amp;"#"&amp;$A62&amp;"#"&amp;($K62+1),Mapa_Chave,0)),Turno_Min)-($Q62+Limpeza_Min)))</f>
        <v/>
      </c>
      <c r="N62" s="14">
        <f>IF($B62="","",IF($O62="","OK",LEFT($O62,LEN($O62)-3)))</f>
        <v/>
      </c>
      <c r="O62" s="35">
        <f>IF($B62="","",IF(COUNTIF(Postos_Cod,$B62)=0,"Sala não cadastrada | ","")&amp;IF(AND(COUNTIF(Postos_Cod,$B62)&gt;0,IFERROR(INDEX(Postos_Tipo,MATCH($B62,Postos_Cod,0)),"")&lt;&gt;"Sala cirúrgica"),"Posto não é sala cirúrgica | ","")&amp;IF(COUNTIF(Esp_Nome,$E62)=0,"Especialidade não cadastrada | ","")&amp;IF(COUNTIF(Lista_StatusCir,$H62)=0,"Status inválido | ","")&amp;IF(OR(NOT(ISNUMBER($C62)),NOT(ISNUMBER($D62))),"Horário inválido | ","")&amp;IFERROR(IF(AND(ISNUMBER($C62),ISNUMBER($D62),MOD($D62-$C62,1)*1440&lt;=0),"Duração nula ou negativa | ",""),"")&amp;IF(AND($J62&gt;0,OR($P62&gt;=Turno_Min,$Q62&gt;Turno_Min)),"Fora da janela do plantão | ","")&amp;IF(AND($J62&gt;0,SUMPRODUCT((Mapa_Sala=$B62)*(Mapa_Data=$A62)*(Mapa_MinOcup&gt;0)*(Mapa_RelIni&lt;$Q62)*(Mapa_RelFim&gt;$P62))&gt;1),"Sobreposição de horário na sala | ","")&amp;IFERROR(IF(AND(ISNUMBER($I62),$I62&gt;0,COUNTIF(Esp_Nome,$E62)&gt;0,$I62&gt;3*INDEX(Esp_Dur,MATCH($E62,Esp_Nome,0))),"Duração atípica (&gt;3x a média) | ",""),""))</f>
        <v/>
      </c>
      <c r="P62" s="19">
        <f>IF(NOT(ISNUMBER($C62)),0,ROUND(MOD($C62-Turno_Ini,1)*1440,0))</f>
        <v/>
      </c>
      <c r="Q62" s="19">
        <f>IF($J62&lt;=0,0,$P62+$I62)</f>
        <v/>
      </c>
      <c r="R62" s="19">
        <f>IF($K62="","",$B62&amp;"#"&amp;$A62&amp;"#"&amp;$K62)</f>
        <v/>
      </c>
      <c r="S62" s="19">
        <f>ROW()</f>
        <v/>
      </c>
      <c r="T62" s="19">
        <f>IF($J62&lt;=0,0,MAX(0,MIN($P62+$I62+Limpeza_Min,Turno_Min,IFERROR(INDEX(Mapa_RelIni,MATCH($B62&amp;"#"&amp;$A62&amp;"#"&amp;($K62+1),Mapa_Chave,0)),Turno_Min))-MIN($P62,Turno_Min)))</f>
        <v/>
      </c>
    </row>
    <row r="63">
      <c r="A63" s="30" t="n"/>
      <c r="B63" s="31" t="n"/>
      <c r="C63" s="32" t="n"/>
      <c r="D63" s="32" t="n"/>
      <c r="E63" s="33" t="n"/>
      <c r="F63" s="33" t="n"/>
      <c r="G63" s="33" t="n"/>
      <c r="H63" s="31" t="n"/>
      <c r="I63" s="20">
        <f>IF(OR($B63="",NOT(ISNUMBER($C63)),NOT(ISNUMBER($D63))),"",ROUND(MOD($D63-$C63,1)*1440,0))</f>
        <v/>
      </c>
      <c r="J63" s="20">
        <f>IF(NOT(ISNUMBER($I63)),0,IF(OR($I63&lt;=0,$H63="Cancelada",$H63="Suspensa"),0,$I63+Limpeza_Min))</f>
        <v/>
      </c>
      <c r="K63" s="20">
        <f>IF($J63&lt;=0,"",SUMPRODUCT((Mapa_Sala=$B63)*(Mapa_Data=$A63)*(Mapa_MinOcup&gt;0)*((Mapa_RelIni&lt;$P63)+((Mapa_RelIni=$P63)*(Mapa_Row&lt;=$S63)))))</f>
        <v/>
      </c>
      <c r="L63" s="34">
        <f>IF($J63&lt;=0,"",MOD(Turno_Ini+($Q63+Limpeza_Min)/1440,1))</f>
        <v/>
      </c>
      <c r="M63" s="20">
        <f>IF($J63&lt;=0,"",MAX(0,IFERROR(INDEX(Mapa_RelIni,MATCH($B63&amp;"#"&amp;$A63&amp;"#"&amp;($K63+1),Mapa_Chave,0)),Turno_Min)-($Q63+Limpeza_Min)))</f>
        <v/>
      </c>
      <c r="N63" s="14">
        <f>IF($B63="","",IF($O63="","OK",LEFT($O63,LEN($O63)-3)))</f>
        <v/>
      </c>
      <c r="O63" s="35">
        <f>IF($B63="","",IF(COUNTIF(Postos_Cod,$B63)=0,"Sala não cadastrada | ","")&amp;IF(AND(COUNTIF(Postos_Cod,$B63)&gt;0,IFERROR(INDEX(Postos_Tipo,MATCH($B63,Postos_Cod,0)),"")&lt;&gt;"Sala cirúrgica"),"Posto não é sala cirúrgica | ","")&amp;IF(COUNTIF(Esp_Nome,$E63)=0,"Especialidade não cadastrada | ","")&amp;IF(COUNTIF(Lista_StatusCir,$H63)=0,"Status inválido | ","")&amp;IF(OR(NOT(ISNUMBER($C63)),NOT(ISNUMBER($D63))),"Horário inválido | ","")&amp;IFERROR(IF(AND(ISNUMBER($C63),ISNUMBER($D63),MOD($D63-$C63,1)*1440&lt;=0),"Duração nula ou negativa | ",""),"")&amp;IF(AND($J63&gt;0,OR($P63&gt;=Turno_Min,$Q63&gt;Turno_Min)),"Fora da janela do plantão | ","")&amp;IF(AND($J63&gt;0,SUMPRODUCT((Mapa_Sala=$B63)*(Mapa_Data=$A63)*(Mapa_MinOcup&gt;0)*(Mapa_RelIni&lt;$Q63)*(Mapa_RelFim&gt;$P63))&gt;1),"Sobreposição de horário na sala | ","")&amp;IFERROR(IF(AND(ISNUMBER($I63),$I63&gt;0,COUNTIF(Esp_Nome,$E63)&gt;0,$I63&gt;3*INDEX(Esp_Dur,MATCH($E63,Esp_Nome,0))),"Duração atípica (&gt;3x a média) | ",""),""))</f>
        <v/>
      </c>
      <c r="P63" s="19">
        <f>IF(NOT(ISNUMBER($C63)),0,ROUND(MOD($C63-Turno_Ini,1)*1440,0))</f>
        <v/>
      </c>
      <c r="Q63" s="19">
        <f>IF($J63&lt;=0,0,$P63+$I63)</f>
        <v/>
      </c>
      <c r="R63" s="19">
        <f>IF($K63="","",$B63&amp;"#"&amp;$A63&amp;"#"&amp;$K63)</f>
        <v/>
      </c>
      <c r="S63" s="19">
        <f>ROW()</f>
        <v/>
      </c>
      <c r="T63" s="19">
        <f>IF($J63&lt;=0,0,MAX(0,MIN($P63+$I63+Limpeza_Min,Turno_Min,IFERROR(INDEX(Mapa_RelIni,MATCH($B63&amp;"#"&amp;$A63&amp;"#"&amp;($K63+1),Mapa_Chave,0)),Turno_Min))-MIN($P63,Turno_Min)))</f>
        <v/>
      </c>
    </row>
    <row r="64">
      <c r="A64" s="30" t="n"/>
      <c r="B64" s="31" t="n"/>
      <c r="C64" s="32" t="n"/>
      <c r="D64" s="32" t="n"/>
      <c r="E64" s="33" t="n"/>
      <c r="F64" s="33" t="n"/>
      <c r="G64" s="33" t="n"/>
      <c r="H64" s="31" t="n"/>
      <c r="I64" s="20">
        <f>IF(OR($B64="",NOT(ISNUMBER($C64)),NOT(ISNUMBER($D64))),"",ROUND(MOD($D64-$C64,1)*1440,0))</f>
        <v/>
      </c>
      <c r="J64" s="20">
        <f>IF(NOT(ISNUMBER($I64)),0,IF(OR($I64&lt;=0,$H64="Cancelada",$H64="Suspensa"),0,$I64+Limpeza_Min))</f>
        <v/>
      </c>
      <c r="K64" s="20">
        <f>IF($J64&lt;=0,"",SUMPRODUCT((Mapa_Sala=$B64)*(Mapa_Data=$A64)*(Mapa_MinOcup&gt;0)*((Mapa_RelIni&lt;$P64)+((Mapa_RelIni=$P64)*(Mapa_Row&lt;=$S64)))))</f>
        <v/>
      </c>
      <c r="L64" s="34">
        <f>IF($J64&lt;=0,"",MOD(Turno_Ini+($Q64+Limpeza_Min)/1440,1))</f>
        <v/>
      </c>
      <c r="M64" s="20">
        <f>IF($J64&lt;=0,"",MAX(0,IFERROR(INDEX(Mapa_RelIni,MATCH($B64&amp;"#"&amp;$A64&amp;"#"&amp;($K64+1),Mapa_Chave,0)),Turno_Min)-($Q64+Limpeza_Min)))</f>
        <v/>
      </c>
      <c r="N64" s="14">
        <f>IF($B64="","",IF($O64="","OK",LEFT($O64,LEN($O64)-3)))</f>
        <v/>
      </c>
      <c r="O64" s="35">
        <f>IF($B64="","",IF(COUNTIF(Postos_Cod,$B64)=0,"Sala não cadastrada | ","")&amp;IF(AND(COUNTIF(Postos_Cod,$B64)&gt;0,IFERROR(INDEX(Postos_Tipo,MATCH($B64,Postos_Cod,0)),"")&lt;&gt;"Sala cirúrgica"),"Posto não é sala cirúrgica | ","")&amp;IF(COUNTIF(Esp_Nome,$E64)=0,"Especialidade não cadastrada | ","")&amp;IF(COUNTIF(Lista_StatusCir,$H64)=0,"Status inválido | ","")&amp;IF(OR(NOT(ISNUMBER($C64)),NOT(ISNUMBER($D64))),"Horário inválido | ","")&amp;IFERROR(IF(AND(ISNUMBER($C64),ISNUMBER($D64),MOD($D64-$C64,1)*1440&lt;=0),"Duração nula ou negativa | ",""),"")&amp;IF(AND($J64&gt;0,OR($P64&gt;=Turno_Min,$Q64&gt;Turno_Min)),"Fora da janela do plantão | ","")&amp;IF(AND($J64&gt;0,SUMPRODUCT((Mapa_Sala=$B64)*(Mapa_Data=$A64)*(Mapa_MinOcup&gt;0)*(Mapa_RelIni&lt;$Q64)*(Mapa_RelFim&gt;$P64))&gt;1),"Sobreposição de horário na sala | ","")&amp;IFERROR(IF(AND(ISNUMBER($I64),$I64&gt;0,COUNTIF(Esp_Nome,$E64)&gt;0,$I64&gt;3*INDEX(Esp_Dur,MATCH($E64,Esp_Nome,0))),"Duração atípica (&gt;3x a média) | ",""),""))</f>
        <v/>
      </c>
      <c r="P64" s="19">
        <f>IF(NOT(ISNUMBER($C64)),0,ROUND(MOD($C64-Turno_Ini,1)*1440,0))</f>
        <v/>
      </c>
      <c r="Q64" s="19">
        <f>IF($J64&lt;=0,0,$P64+$I64)</f>
        <v/>
      </c>
      <c r="R64" s="19">
        <f>IF($K64="","",$B64&amp;"#"&amp;$A64&amp;"#"&amp;$K64)</f>
        <v/>
      </c>
      <c r="S64" s="19">
        <f>ROW()</f>
        <v/>
      </c>
      <c r="T64" s="19">
        <f>IF($J64&lt;=0,0,MAX(0,MIN($P64+$I64+Limpeza_Min,Turno_Min,IFERROR(INDEX(Mapa_RelIni,MATCH($B64&amp;"#"&amp;$A64&amp;"#"&amp;($K64+1),Mapa_Chave,0)),Turno_Min))-MIN($P64,Turno_Min)))</f>
        <v/>
      </c>
    </row>
    <row r="65">
      <c r="A65" s="30" t="n"/>
      <c r="B65" s="31" t="n"/>
      <c r="C65" s="32" t="n"/>
      <c r="D65" s="32" t="n"/>
      <c r="E65" s="33" t="n"/>
      <c r="F65" s="33" t="n"/>
      <c r="G65" s="33" t="n"/>
      <c r="H65" s="31" t="n"/>
      <c r="I65" s="20">
        <f>IF(OR($B65="",NOT(ISNUMBER($C65)),NOT(ISNUMBER($D65))),"",ROUND(MOD($D65-$C65,1)*1440,0))</f>
        <v/>
      </c>
      <c r="J65" s="20">
        <f>IF(NOT(ISNUMBER($I65)),0,IF(OR($I65&lt;=0,$H65="Cancelada",$H65="Suspensa"),0,$I65+Limpeza_Min))</f>
        <v/>
      </c>
      <c r="K65" s="20">
        <f>IF($J65&lt;=0,"",SUMPRODUCT((Mapa_Sala=$B65)*(Mapa_Data=$A65)*(Mapa_MinOcup&gt;0)*((Mapa_RelIni&lt;$P65)+((Mapa_RelIni=$P65)*(Mapa_Row&lt;=$S65)))))</f>
        <v/>
      </c>
      <c r="L65" s="34">
        <f>IF($J65&lt;=0,"",MOD(Turno_Ini+($Q65+Limpeza_Min)/1440,1))</f>
        <v/>
      </c>
      <c r="M65" s="20">
        <f>IF($J65&lt;=0,"",MAX(0,IFERROR(INDEX(Mapa_RelIni,MATCH($B65&amp;"#"&amp;$A65&amp;"#"&amp;($K65+1),Mapa_Chave,0)),Turno_Min)-($Q65+Limpeza_Min)))</f>
        <v/>
      </c>
      <c r="N65" s="14">
        <f>IF($B65="","",IF($O65="","OK",LEFT($O65,LEN($O65)-3)))</f>
        <v/>
      </c>
      <c r="O65" s="35">
        <f>IF($B65="","",IF(COUNTIF(Postos_Cod,$B65)=0,"Sala não cadastrada | ","")&amp;IF(AND(COUNTIF(Postos_Cod,$B65)&gt;0,IFERROR(INDEX(Postos_Tipo,MATCH($B65,Postos_Cod,0)),"")&lt;&gt;"Sala cirúrgica"),"Posto não é sala cirúrgica | ","")&amp;IF(COUNTIF(Esp_Nome,$E65)=0,"Especialidade não cadastrada | ","")&amp;IF(COUNTIF(Lista_StatusCir,$H65)=0,"Status inválido | ","")&amp;IF(OR(NOT(ISNUMBER($C65)),NOT(ISNUMBER($D65))),"Horário inválido | ","")&amp;IFERROR(IF(AND(ISNUMBER($C65),ISNUMBER($D65),MOD($D65-$C65,1)*1440&lt;=0),"Duração nula ou negativa | ",""),"")&amp;IF(AND($J65&gt;0,OR($P65&gt;=Turno_Min,$Q65&gt;Turno_Min)),"Fora da janela do plantão | ","")&amp;IF(AND($J65&gt;0,SUMPRODUCT((Mapa_Sala=$B65)*(Mapa_Data=$A65)*(Mapa_MinOcup&gt;0)*(Mapa_RelIni&lt;$Q65)*(Mapa_RelFim&gt;$P65))&gt;1),"Sobreposição de horário na sala | ","")&amp;IFERROR(IF(AND(ISNUMBER($I65),$I65&gt;0,COUNTIF(Esp_Nome,$E65)&gt;0,$I65&gt;3*INDEX(Esp_Dur,MATCH($E65,Esp_Nome,0))),"Duração atípica (&gt;3x a média) | ",""),""))</f>
        <v/>
      </c>
      <c r="P65" s="19">
        <f>IF(NOT(ISNUMBER($C65)),0,ROUND(MOD($C65-Turno_Ini,1)*1440,0))</f>
        <v/>
      </c>
      <c r="Q65" s="19">
        <f>IF($J65&lt;=0,0,$P65+$I65)</f>
        <v/>
      </c>
      <c r="R65" s="19">
        <f>IF($K65="","",$B65&amp;"#"&amp;$A65&amp;"#"&amp;$K65)</f>
        <v/>
      </c>
      <c r="S65" s="19">
        <f>ROW()</f>
        <v/>
      </c>
      <c r="T65" s="19">
        <f>IF($J65&lt;=0,0,MAX(0,MIN($P65+$I65+Limpeza_Min,Turno_Min,IFERROR(INDEX(Mapa_RelIni,MATCH($B65&amp;"#"&amp;$A65&amp;"#"&amp;($K65+1),Mapa_Chave,0)),Turno_Min))-MIN($P65,Turno_Min)))</f>
        <v/>
      </c>
    </row>
    <row r="66">
      <c r="A66" s="30" t="n"/>
      <c r="B66" s="31" t="n"/>
      <c r="C66" s="32" t="n"/>
      <c r="D66" s="32" t="n"/>
      <c r="E66" s="33" t="n"/>
      <c r="F66" s="33" t="n"/>
      <c r="G66" s="33" t="n"/>
      <c r="H66" s="31" t="n"/>
      <c r="I66" s="20">
        <f>IF(OR($B66="",NOT(ISNUMBER($C66)),NOT(ISNUMBER($D66))),"",ROUND(MOD($D66-$C66,1)*1440,0))</f>
        <v/>
      </c>
      <c r="J66" s="20">
        <f>IF(NOT(ISNUMBER($I66)),0,IF(OR($I66&lt;=0,$H66="Cancelada",$H66="Suspensa"),0,$I66+Limpeza_Min))</f>
        <v/>
      </c>
      <c r="K66" s="20">
        <f>IF($J66&lt;=0,"",SUMPRODUCT((Mapa_Sala=$B66)*(Mapa_Data=$A66)*(Mapa_MinOcup&gt;0)*((Mapa_RelIni&lt;$P66)+((Mapa_RelIni=$P66)*(Mapa_Row&lt;=$S66)))))</f>
        <v/>
      </c>
      <c r="L66" s="34">
        <f>IF($J66&lt;=0,"",MOD(Turno_Ini+($Q66+Limpeza_Min)/1440,1))</f>
        <v/>
      </c>
      <c r="M66" s="20">
        <f>IF($J66&lt;=0,"",MAX(0,IFERROR(INDEX(Mapa_RelIni,MATCH($B66&amp;"#"&amp;$A66&amp;"#"&amp;($K66+1),Mapa_Chave,0)),Turno_Min)-($Q66+Limpeza_Min)))</f>
        <v/>
      </c>
      <c r="N66" s="14">
        <f>IF($B66="","",IF($O66="","OK",LEFT($O66,LEN($O66)-3)))</f>
        <v/>
      </c>
      <c r="O66" s="35">
        <f>IF($B66="","",IF(COUNTIF(Postos_Cod,$B66)=0,"Sala não cadastrada | ","")&amp;IF(AND(COUNTIF(Postos_Cod,$B66)&gt;0,IFERROR(INDEX(Postos_Tipo,MATCH($B66,Postos_Cod,0)),"")&lt;&gt;"Sala cirúrgica"),"Posto não é sala cirúrgica | ","")&amp;IF(COUNTIF(Esp_Nome,$E66)=0,"Especialidade não cadastrada | ","")&amp;IF(COUNTIF(Lista_StatusCir,$H66)=0,"Status inválido | ","")&amp;IF(OR(NOT(ISNUMBER($C66)),NOT(ISNUMBER($D66))),"Horário inválido | ","")&amp;IFERROR(IF(AND(ISNUMBER($C66),ISNUMBER($D66),MOD($D66-$C66,1)*1440&lt;=0),"Duração nula ou negativa | ",""),"")&amp;IF(AND($J66&gt;0,OR($P66&gt;=Turno_Min,$Q66&gt;Turno_Min)),"Fora da janela do plantão | ","")&amp;IF(AND($J66&gt;0,SUMPRODUCT((Mapa_Sala=$B66)*(Mapa_Data=$A66)*(Mapa_MinOcup&gt;0)*(Mapa_RelIni&lt;$Q66)*(Mapa_RelFim&gt;$P66))&gt;1),"Sobreposição de horário na sala | ","")&amp;IFERROR(IF(AND(ISNUMBER($I66),$I66&gt;0,COUNTIF(Esp_Nome,$E66)&gt;0,$I66&gt;3*INDEX(Esp_Dur,MATCH($E66,Esp_Nome,0))),"Duração atípica (&gt;3x a média) | ",""),""))</f>
        <v/>
      </c>
      <c r="P66" s="19">
        <f>IF(NOT(ISNUMBER($C66)),0,ROUND(MOD($C66-Turno_Ini,1)*1440,0))</f>
        <v/>
      </c>
      <c r="Q66" s="19">
        <f>IF($J66&lt;=0,0,$P66+$I66)</f>
        <v/>
      </c>
      <c r="R66" s="19">
        <f>IF($K66="","",$B66&amp;"#"&amp;$A66&amp;"#"&amp;$K66)</f>
        <v/>
      </c>
      <c r="S66" s="19">
        <f>ROW()</f>
        <v/>
      </c>
      <c r="T66" s="19">
        <f>IF($J66&lt;=0,0,MAX(0,MIN($P66+$I66+Limpeza_Min,Turno_Min,IFERROR(INDEX(Mapa_RelIni,MATCH($B66&amp;"#"&amp;$A66&amp;"#"&amp;($K66+1),Mapa_Chave,0)),Turno_Min))-MIN($P66,Turno_Min)))</f>
        <v/>
      </c>
    </row>
    <row r="67">
      <c r="A67" s="30" t="n"/>
      <c r="B67" s="31" t="n"/>
      <c r="C67" s="32" t="n"/>
      <c r="D67" s="32" t="n"/>
      <c r="E67" s="33" t="n"/>
      <c r="F67" s="33" t="n"/>
      <c r="G67" s="33" t="n"/>
      <c r="H67" s="31" t="n"/>
      <c r="I67" s="20">
        <f>IF(OR($B67="",NOT(ISNUMBER($C67)),NOT(ISNUMBER($D67))),"",ROUND(MOD($D67-$C67,1)*1440,0))</f>
        <v/>
      </c>
      <c r="J67" s="20">
        <f>IF(NOT(ISNUMBER($I67)),0,IF(OR($I67&lt;=0,$H67="Cancelada",$H67="Suspensa"),0,$I67+Limpeza_Min))</f>
        <v/>
      </c>
      <c r="K67" s="20">
        <f>IF($J67&lt;=0,"",SUMPRODUCT((Mapa_Sala=$B67)*(Mapa_Data=$A67)*(Mapa_MinOcup&gt;0)*((Mapa_RelIni&lt;$P67)+((Mapa_RelIni=$P67)*(Mapa_Row&lt;=$S67)))))</f>
        <v/>
      </c>
      <c r="L67" s="34">
        <f>IF($J67&lt;=0,"",MOD(Turno_Ini+($Q67+Limpeza_Min)/1440,1))</f>
        <v/>
      </c>
      <c r="M67" s="20">
        <f>IF($J67&lt;=0,"",MAX(0,IFERROR(INDEX(Mapa_RelIni,MATCH($B67&amp;"#"&amp;$A67&amp;"#"&amp;($K67+1),Mapa_Chave,0)),Turno_Min)-($Q67+Limpeza_Min)))</f>
        <v/>
      </c>
      <c r="N67" s="14">
        <f>IF($B67="","",IF($O67="","OK",LEFT($O67,LEN($O67)-3)))</f>
        <v/>
      </c>
      <c r="O67" s="35">
        <f>IF($B67="","",IF(COUNTIF(Postos_Cod,$B67)=0,"Sala não cadastrada | ","")&amp;IF(AND(COUNTIF(Postos_Cod,$B67)&gt;0,IFERROR(INDEX(Postos_Tipo,MATCH($B67,Postos_Cod,0)),"")&lt;&gt;"Sala cirúrgica"),"Posto não é sala cirúrgica | ","")&amp;IF(COUNTIF(Esp_Nome,$E67)=0,"Especialidade não cadastrada | ","")&amp;IF(COUNTIF(Lista_StatusCir,$H67)=0,"Status inválido | ","")&amp;IF(OR(NOT(ISNUMBER($C67)),NOT(ISNUMBER($D67))),"Horário inválido | ","")&amp;IFERROR(IF(AND(ISNUMBER($C67),ISNUMBER($D67),MOD($D67-$C67,1)*1440&lt;=0),"Duração nula ou negativa | ",""),"")&amp;IF(AND($J67&gt;0,OR($P67&gt;=Turno_Min,$Q67&gt;Turno_Min)),"Fora da janela do plantão | ","")&amp;IF(AND($J67&gt;0,SUMPRODUCT((Mapa_Sala=$B67)*(Mapa_Data=$A67)*(Mapa_MinOcup&gt;0)*(Mapa_RelIni&lt;$Q67)*(Mapa_RelFim&gt;$P67))&gt;1),"Sobreposição de horário na sala | ","")&amp;IFERROR(IF(AND(ISNUMBER($I67),$I67&gt;0,COUNTIF(Esp_Nome,$E67)&gt;0,$I67&gt;3*INDEX(Esp_Dur,MATCH($E67,Esp_Nome,0))),"Duração atípica (&gt;3x a média) | ",""),""))</f>
        <v/>
      </c>
      <c r="P67" s="19">
        <f>IF(NOT(ISNUMBER($C67)),0,ROUND(MOD($C67-Turno_Ini,1)*1440,0))</f>
        <v/>
      </c>
      <c r="Q67" s="19">
        <f>IF($J67&lt;=0,0,$P67+$I67)</f>
        <v/>
      </c>
      <c r="R67" s="19">
        <f>IF($K67="","",$B67&amp;"#"&amp;$A67&amp;"#"&amp;$K67)</f>
        <v/>
      </c>
      <c r="S67" s="19">
        <f>ROW()</f>
        <v/>
      </c>
      <c r="T67" s="19">
        <f>IF($J67&lt;=0,0,MAX(0,MIN($P67+$I67+Limpeza_Min,Turno_Min,IFERROR(INDEX(Mapa_RelIni,MATCH($B67&amp;"#"&amp;$A67&amp;"#"&amp;($K67+1),Mapa_Chave,0)),Turno_Min))-MIN($P67,Turno_Min)))</f>
        <v/>
      </c>
    </row>
    <row r="68">
      <c r="A68" s="30" t="n"/>
      <c r="B68" s="31" t="n"/>
      <c r="C68" s="32" t="n"/>
      <c r="D68" s="32" t="n"/>
      <c r="E68" s="33" t="n"/>
      <c r="F68" s="33" t="n"/>
      <c r="G68" s="33" t="n"/>
      <c r="H68" s="31" t="n"/>
      <c r="I68" s="20">
        <f>IF(OR($B68="",NOT(ISNUMBER($C68)),NOT(ISNUMBER($D68))),"",ROUND(MOD($D68-$C68,1)*1440,0))</f>
        <v/>
      </c>
      <c r="J68" s="20">
        <f>IF(NOT(ISNUMBER($I68)),0,IF(OR($I68&lt;=0,$H68="Cancelada",$H68="Suspensa"),0,$I68+Limpeza_Min))</f>
        <v/>
      </c>
      <c r="K68" s="20">
        <f>IF($J68&lt;=0,"",SUMPRODUCT((Mapa_Sala=$B68)*(Mapa_Data=$A68)*(Mapa_MinOcup&gt;0)*((Mapa_RelIni&lt;$P68)+((Mapa_RelIni=$P68)*(Mapa_Row&lt;=$S68)))))</f>
        <v/>
      </c>
      <c r="L68" s="34">
        <f>IF($J68&lt;=0,"",MOD(Turno_Ini+($Q68+Limpeza_Min)/1440,1))</f>
        <v/>
      </c>
      <c r="M68" s="20">
        <f>IF($J68&lt;=0,"",MAX(0,IFERROR(INDEX(Mapa_RelIni,MATCH($B68&amp;"#"&amp;$A68&amp;"#"&amp;($K68+1),Mapa_Chave,0)),Turno_Min)-($Q68+Limpeza_Min)))</f>
        <v/>
      </c>
      <c r="N68" s="14">
        <f>IF($B68="","",IF($O68="","OK",LEFT($O68,LEN($O68)-3)))</f>
        <v/>
      </c>
      <c r="O68" s="35">
        <f>IF($B68="","",IF(COUNTIF(Postos_Cod,$B68)=0,"Sala não cadastrada | ","")&amp;IF(AND(COUNTIF(Postos_Cod,$B68)&gt;0,IFERROR(INDEX(Postos_Tipo,MATCH($B68,Postos_Cod,0)),"")&lt;&gt;"Sala cirúrgica"),"Posto não é sala cirúrgica | ","")&amp;IF(COUNTIF(Esp_Nome,$E68)=0,"Especialidade não cadastrada | ","")&amp;IF(COUNTIF(Lista_StatusCir,$H68)=0,"Status inválido | ","")&amp;IF(OR(NOT(ISNUMBER($C68)),NOT(ISNUMBER($D68))),"Horário inválido | ","")&amp;IFERROR(IF(AND(ISNUMBER($C68),ISNUMBER($D68),MOD($D68-$C68,1)*1440&lt;=0),"Duração nula ou negativa | ",""),"")&amp;IF(AND($J68&gt;0,OR($P68&gt;=Turno_Min,$Q68&gt;Turno_Min)),"Fora da janela do plantão | ","")&amp;IF(AND($J68&gt;0,SUMPRODUCT((Mapa_Sala=$B68)*(Mapa_Data=$A68)*(Mapa_MinOcup&gt;0)*(Mapa_RelIni&lt;$Q68)*(Mapa_RelFim&gt;$P68))&gt;1),"Sobreposição de horário na sala | ","")&amp;IFERROR(IF(AND(ISNUMBER($I68),$I68&gt;0,COUNTIF(Esp_Nome,$E68)&gt;0,$I68&gt;3*INDEX(Esp_Dur,MATCH($E68,Esp_Nome,0))),"Duração atípica (&gt;3x a média) | ",""),""))</f>
        <v/>
      </c>
      <c r="P68" s="19">
        <f>IF(NOT(ISNUMBER($C68)),0,ROUND(MOD($C68-Turno_Ini,1)*1440,0))</f>
        <v/>
      </c>
      <c r="Q68" s="19">
        <f>IF($J68&lt;=0,0,$P68+$I68)</f>
        <v/>
      </c>
      <c r="R68" s="19">
        <f>IF($K68="","",$B68&amp;"#"&amp;$A68&amp;"#"&amp;$K68)</f>
        <v/>
      </c>
      <c r="S68" s="19">
        <f>ROW()</f>
        <v/>
      </c>
      <c r="T68" s="19">
        <f>IF($J68&lt;=0,0,MAX(0,MIN($P68+$I68+Limpeza_Min,Turno_Min,IFERROR(INDEX(Mapa_RelIni,MATCH($B68&amp;"#"&amp;$A68&amp;"#"&amp;($K68+1),Mapa_Chave,0)),Turno_Min))-MIN($P68,Turno_Min)))</f>
        <v/>
      </c>
    </row>
    <row r="69">
      <c r="A69" s="30" t="n"/>
      <c r="B69" s="31" t="n"/>
      <c r="C69" s="32" t="n"/>
      <c r="D69" s="32" t="n"/>
      <c r="E69" s="33" t="n"/>
      <c r="F69" s="33" t="n"/>
      <c r="G69" s="33" t="n"/>
      <c r="H69" s="31" t="n"/>
      <c r="I69" s="20">
        <f>IF(OR($B69="",NOT(ISNUMBER($C69)),NOT(ISNUMBER($D69))),"",ROUND(MOD($D69-$C69,1)*1440,0))</f>
        <v/>
      </c>
      <c r="J69" s="20">
        <f>IF(NOT(ISNUMBER($I69)),0,IF(OR($I69&lt;=0,$H69="Cancelada",$H69="Suspensa"),0,$I69+Limpeza_Min))</f>
        <v/>
      </c>
      <c r="K69" s="20">
        <f>IF($J69&lt;=0,"",SUMPRODUCT((Mapa_Sala=$B69)*(Mapa_Data=$A69)*(Mapa_MinOcup&gt;0)*((Mapa_RelIni&lt;$P69)+((Mapa_RelIni=$P69)*(Mapa_Row&lt;=$S69)))))</f>
        <v/>
      </c>
      <c r="L69" s="34">
        <f>IF($J69&lt;=0,"",MOD(Turno_Ini+($Q69+Limpeza_Min)/1440,1))</f>
        <v/>
      </c>
      <c r="M69" s="20">
        <f>IF($J69&lt;=0,"",MAX(0,IFERROR(INDEX(Mapa_RelIni,MATCH($B69&amp;"#"&amp;$A69&amp;"#"&amp;($K69+1),Mapa_Chave,0)),Turno_Min)-($Q69+Limpeza_Min)))</f>
        <v/>
      </c>
      <c r="N69" s="14">
        <f>IF($B69="","",IF($O69="","OK",LEFT($O69,LEN($O69)-3)))</f>
        <v/>
      </c>
      <c r="O69" s="35">
        <f>IF($B69="","",IF(COUNTIF(Postos_Cod,$B69)=0,"Sala não cadastrada | ","")&amp;IF(AND(COUNTIF(Postos_Cod,$B69)&gt;0,IFERROR(INDEX(Postos_Tipo,MATCH($B69,Postos_Cod,0)),"")&lt;&gt;"Sala cirúrgica"),"Posto não é sala cirúrgica | ","")&amp;IF(COUNTIF(Esp_Nome,$E69)=0,"Especialidade não cadastrada | ","")&amp;IF(COUNTIF(Lista_StatusCir,$H69)=0,"Status inválido | ","")&amp;IF(OR(NOT(ISNUMBER($C69)),NOT(ISNUMBER($D69))),"Horário inválido | ","")&amp;IFERROR(IF(AND(ISNUMBER($C69),ISNUMBER($D69),MOD($D69-$C69,1)*1440&lt;=0),"Duração nula ou negativa | ",""),"")&amp;IF(AND($J69&gt;0,OR($P69&gt;=Turno_Min,$Q69&gt;Turno_Min)),"Fora da janela do plantão | ","")&amp;IF(AND($J69&gt;0,SUMPRODUCT((Mapa_Sala=$B69)*(Mapa_Data=$A69)*(Mapa_MinOcup&gt;0)*(Mapa_RelIni&lt;$Q69)*(Mapa_RelFim&gt;$P69))&gt;1),"Sobreposição de horário na sala | ","")&amp;IFERROR(IF(AND(ISNUMBER($I69),$I69&gt;0,COUNTIF(Esp_Nome,$E69)&gt;0,$I69&gt;3*INDEX(Esp_Dur,MATCH($E69,Esp_Nome,0))),"Duração atípica (&gt;3x a média) | ",""),""))</f>
        <v/>
      </c>
      <c r="P69" s="19">
        <f>IF(NOT(ISNUMBER($C69)),0,ROUND(MOD($C69-Turno_Ini,1)*1440,0))</f>
        <v/>
      </c>
      <c r="Q69" s="19">
        <f>IF($J69&lt;=0,0,$P69+$I69)</f>
        <v/>
      </c>
      <c r="R69" s="19">
        <f>IF($K69="","",$B69&amp;"#"&amp;$A69&amp;"#"&amp;$K69)</f>
        <v/>
      </c>
      <c r="S69" s="19">
        <f>ROW()</f>
        <v/>
      </c>
      <c r="T69" s="19">
        <f>IF($J69&lt;=0,0,MAX(0,MIN($P69+$I69+Limpeza_Min,Turno_Min,IFERROR(INDEX(Mapa_RelIni,MATCH($B69&amp;"#"&amp;$A69&amp;"#"&amp;($K69+1),Mapa_Chave,0)),Turno_Min))-MIN($P69,Turno_Min)))</f>
        <v/>
      </c>
    </row>
    <row r="70">
      <c r="A70" s="30" t="n"/>
      <c r="B70" s="31" t="n"/>
      <c r="C70" s="32" t="n"/>
      <c r="D70" s="32" t="n"/>
      <c r="E70" s="33" t="n"/>
      <c r="F70" s="33" t="n"/>
      <c r="G70" s="33" t="n"/>
      <c r="H70" s="31" t="n"/>
      <c r="I70" s="20">
        <f>IF(OR($B70="",NOT(ISNUMBER($C70)),NOT(ISNUMBER($D70))),"",ROUND(MOD($D70-$C70,1)*1440,0))</f>
        <v/>
      </c>
      <c r="J70" s="20">
        <f>IF(NOT(ISNUMBER($I70)),0,IF(OR($I70&lt;=0,$H70="Cancelada",$H70="Suspensa"),0,$I70+Limpeza_Min))</f>
        <v/>
      </c>
      <c r="K70" s="20">
        <f>IF($J70&lt;=0,"",SUMPRODUCT((Mapa_Sala=$B70)*(Mapa_Data=$A70)*(Mapa_MinOcup&gt;0)*((Mapa_RelIni&lt;$P70)+((Mapa_RelIni=$P70)*(Mapa_Row&lt;=$S70)))))</f>
        <v/>
      </c>
      <c r="L70" s="34">
        <f>IF($J70&lt;=0,"",MOD(Turno_Ini+($Q70+Limpeza_Min)/1440,1))</f>
        <v/>
      </c>
      <c r="M70" s="20">
        <f>IF($J70&lt;=0,"",MAX(0,IFERROR(INDEX(Mapa_RelIni,MATCH($B70&amp;"#"&amp;$A70&amp;"#"&amp;($K70+1),Mapa_Chave,0)),Turno_Min)-($Q70+Limpeza_Min)))</f>
        <v/>
      </c>
      <c r="N70" s="14">
        <f>IF($B70="","",IF($O70="","OK",LEFT($O70,LEN($O70)-3)))</f>
        <v/>
      </c>
      <c r="O70" s="35">
        <f>IF($B70="","",IF(COUNTIF(Postos_Cod,$B70)=0,"Sala não cadastrada | ","")&amp;IF(AND(COUNTIF(Postos_Cod,$B70)&gt;0,IFERROR(INDEX(Postos_Tipo,MATCH($B70,Postos_Cod,0)),"")&lt;&gt;"Sala cirúrgica"),"Posto não é sala cirúrgica | ","")&amp;IF(COUNTIF(Esp_Nome,$E70)=0,"Especialidade não cadastrada | ","")&amp;IF(COUNTIF(Lista_StatusCir,$H70)=0,"Status inválido | ","")&amp;IF(OR(NOT(ISNUMBER($C70)),NOT(ISNUMBER($D70))),"Horário inválido | ","")&amp;IFERROR(IF(AND(ISNUMBER($C70),ISNUMBER($D70),MOD($D70-$C70,1)*1440&lt;=0),"Duração nula ou negativa | ",""),"")&amp;IF(AND($J70&gt;0,OR($P70&gt;=Turno_Min,$Q70&gt;Turno_Min)),"Fora da janela do plantão | ","")&amp;IF(AND($J70&gt;0,SUMPRODUCT((Mapa_Sala=$B70)*(Mapa_Data=$A70)*(Mapa_MinOcup&gt;0)*(Mapa_RelIni&lt;$Q70)*(Mapa_RelFim&gt;$P70))&gt;1),"Sobreposição de horário na sala | ","")&amp;IFERROR(IF(AND(ISNUMBER($I70),$I70&gt;0,COUNTIF(Esp_Nome,$E70)&gt;0,$I70&gt;3*INDEX(Esp_Dur,MATCH($E70,Esp_Nome,0))),"Duração atípica (&gt;3x a média) | ",""),""))</f>
        <v/>
      </c>
      <c r="P70" s="19">
        <f>IF(NOT(ISNUMBER($C70)),0,ROUND(MOD($C70-Turno_Ini,1)*1440,0))</f>
        <v/>
      </c>
      <c r="Q70" s="19">
        <f>IF($J70&lt;=0,0,$P70+$I70)</f>
        <v/>
      </c>
      <c r="R70" s="19">
        <f>IF($K70="","",$B70&amp;"#"&amp;$A70&amp;"#"&amp;$K70)</f>
        <v/>
      </c>
      <c r="S70" s="19">
        <f>ROW()</f>
        <v/>
      </c>
      <c r="T70" s="19">
        <f>IF($J70&lt;=0,0,MAX(0,MIN($P70+$I70+Limpeza_Min,Turno_Min,IFERROR(INDEX(Mapa_RelIni,MATCH($B70&amp;"#"&amp;$A70&amp;"#"&amp;($K70+1),Mapa_Chave,0)),Turno_Min))-MIN($P70,Turno_Min)))</f>
        <v/>
      </c>
    </row>
    <row r="71">
      <c r="A71" s="30" t="n"/>
      <c r="B71" s="31" t="n"/>
      <c r="C71" s="32" t="n"/>
      <c r="D71" s="32" t="n"/>
      <c r="E71" s="33" t="n"/>
      <c r="F71" s="33" t="n"/>
      <c r="G71" s="33" t="n"/>
      <c r="H71" s="31" t="n"/>
      <c r="I71" s="20">
        <f>IF(OR($B71="",NOT(ISNUMBER($C71)),NOT(ISNUMBER($D71))),"",ROUND(MOD($D71-$C71,1)*1440,0))</f>
        <v/>
      </c>
      <c r="J71" s="20">
        <f>IF(NOT(ISNUMBER($I71)),0,IF(OR($I71&lt;=0,$H71="Cancelada",$H71="Suspensa"),0,$I71+Limpeza_Min))</f>
        <v/>
      </c>
      <c r="K71" s="20">
        <f>IF($J71&lt;=0,"",SUMPRODUCT((Mapa_Sala=$B71)*(Mapa_Data=$A71)*(Mapa_MinOcup&gt;0)*((Mapa_RelIni&lt;$P71)+((Mapa_RelIni=$P71)*(Mapa_Row&lt;=$S71)))))</f>
        <v/>
      </c>
      <c r="L71" s="34">
        <f>IF($J71&lt;=0,"",MOD(Turno_Ini+($Q71+Limpeza_Min)/1440,1))</f>
        <v/>
      </c>
      <c r="M71" s="20">
        <f>IF($J71&lt;=0,"",MAX(0,IFERROR(INDEX(Mapa_RelIni,MATCH($B71&amp;"#"&amp;$A71&amp;"#"&amp;($K71+1),Mapa_Chave,0)),Turno_Min)-($Q71+Limpeza_Min)))</f>
        <v/>
      </c>
      <c r="N71" s="14">
        <f>IF($B71="","",IF($O71="","OK",LEFT($O71,LEN($O71)-3)))</f>
        <v/>
      </c>
      <c r="O71" s="35">
        <f>IF($B71="","",IF(COUNTIF(Postos_Cod,$B71)=0,"Sala não cadastrada | ","")&amp;IF(AND(COUNTIF(Postos_Cod,$B71)&gt;0,IFERROR(INDEX(Postos_Tipo,MATCH($B71,Postos_Cod,0)),"")&lt;&gt;"Sala cirúrgica"),"Posto não é sala cirúrgica | ","")&amp;IF(COUNTIF(Esp_Nome,$E71)=0,"Especialidade não cadastrada | ","")&amp;IF(COUNTIF(Lista_StatusCir,$H71)=0,"Status inválido | ","")&amp;IF(OR(NOT(ISNUMBER($C71)),NOT(ISNUMBER($D71))),"Horário inválido | ","")&amp;IFERROR(IF(AND(ISNUMBER($C71),ISNUMBER($D71),MOD($D71-$C71,1)*1440&lt;=0),"Duração nula ou negativa | ",""),"")&amp;IF(AND($J71&gt;0,OR($P71&gt;=Turno_Min,$Q71&gt;Turno_Min)),"Fora da janela do plantão | ","")&amp;IF(AND($J71&gt;0,SUMPRODUCT((Mapa_Sala=$B71)*(Mapa_Data=$A71)*(Mapa_MinOcup&gt;0)*(Mapa_RelIni&lt;$Q71)*(Mapa_RelFim&gt;$P71))&gt;1),"Sobreposição de horário na sala | ","")&amp;IFERROR(IF(AND(ISNUMBER($I71),$I71&gt;0,COUNTIF(Esp_Nome,$E71)&gt;0,$I71&gt;3*INDEX(Esp_Dur,MATCH($E71,Esp_Nome,0))),"Duração atípica (&gt;3x a média) | ",""),""))</f>
        <v/>
      </c>
      <c r="P71" s="19">
        <f>IF(NOT(ISNUMBER($C71)),0,ROUND(MOD($C71-Turno_Ini,1)*1440,0))</f>
        <v/>
      </c>
      <c r="Q71" s="19">
        <f>IF($J71&lt;=0,0,$P71+$I71)</f>
        <v/>
      </c>
      <c r="R71" s="19">
        <f>IF($K71="","",$B71&amp;"#"&amp;$A71&amp;"#"&amp;$K71)</f>
        <v/>
      </c>
      <c r="S71" s="19">
        <f>ROW()</f>
        <v/>
      </c>
      <c r="T71" s="19">
        <f>IF($J71&lt;=0,0,MAX(0,MIN($P71+$I71+Limpeza_Min,Turno_Min,IFERROR(INDEX(Mapa_RelIni,MATCH($B71&amp;"#"&amp;$A71&amp;"#"&amp;($K71+1),Mapa_Chave,0)),Turno_Min))-MIN($P71,Turno_Min)))</f>
        <v/>
      </c>
    </row>
    <row r="72">
      <c r="A72" s="30" t="n"/>
      <c r="B72" s="31" t="n"/>
      <c r="C72" s="32" t="n"/>
      <c r="D72" s="32" t="n"/>
      <c r="E72" s="33" t="n"/>
      <c r="F72" s="33" t="n"/>
      <c r="G72" s="33" t="n"/>
      <c r="H72" s="31" t="n"/>
      <c r="I72" s="20">
        <f>IF(OR($B72="",NOT(ISNUMBER($C72)),NOT(ISNUMBER($D72))),"",ROUND(MOD($D72-$C72,1)*1440,0))</f>
        <v/>
      </c>
      <c r="J72" s="20">
        <f>IF(NOT(ISNUMBER($I72)),0,IF(OR($I72&lt;=0,$H72="Cancelada",$H72="Suspensa"),0,$I72+Limpeza_Min))</f>
        <v/>
      </c>
      <c r="K72" s="20">
        <f>IF($J72&lt;=0,"",SUMPRODUCT((Mapa_Sala=$B72)*(Mapa_Data=$A72)*(Mapa_MinOcup&gt;0)*((Mapa_RelIni&lt;$P72)+((Mapa_RelIni=$P72)*(Mapa_Row&lt;=$S72)))))</f>
        <v/>
      </c>
      <c r="L72" s="34">
        <f>IF($J72&lt;=0,"",MOD(Turno_Ini+($Q72+Limpeza_Min)/1440,1))</f>
        <v/>
      </c>
      <c r="M72" s="20">
        <f>IF($J72&lt;=0,"",MAX(0,IFERROR(INDEX(Mapa_RelIni,MATCH($B72&amp;"#"&amp;$A72&amp;"#"&amp;($K72+1),Mapa_Chave,0)),Turno_Min)-($Q72+Limpeza_Min)))</f>
        <v/>
      </c>
      <c r="N72" s="14">
        <f>IF($B72="","",IF($O72="","OK",LEFT($O72,LEN($O72)-3)))</f>
        <v/>
      </c>
      <c r="O72" s="35">
        <f>IF($B72="","",IF(COUNTIF(Postos_Cod,$B72)=0,"Sala não cadastrada | ","")&amp;IF(AND(COUNTIF(Postos_Cod,$B72)&gt;0,IFERROR(INDEX(Postos_Tipo,MATCH($B72,Postos_Cod,0)),"")&lt;&gt;"Sala cirúrgica"),"Posto não é sala cirúrgica | ","")&amp;IF(COUNTIF(Esp_Nome,$E72)=0,"Especialidade não cadastrada | ","")&amp;IF(COUNTIF(Lista_StatusCir,$H72)=0,"Status inválido | ","")&amp;IF(OR(NOT(ISNUMBER($C72)),NOT(ISNUMBER($D72))),"Horário inválido | ","")&amp;IFERROR(IF(AND(ISNUMBER($C72),ISNUMBER($D72),MOD($D72-$C72,1)*1440&lt;=0),"Duração nula ou negativa | ",""),"")&amp;IF(AND($J72&gt;0,OR($P72&gt;=Turno_Min,$Q72&gt;Turno_Min)),"Fora da janela do plantão | ","")&amp;IF(AND($J72&gt;0,SUMPRODUCT((Mapa_Sala=$B72)*(Mapa_Data=$A72)*(Mapa_MinOcup&gt;0)*(Mapa_RelIni&lt;$Q72)*(Mapa_RelFim&gt;$P72))&gt;1),"Sobreposição de horário na sala | ","")&amp;IFERROR(IF(AND(ISNUMBER($I72),$I72&gt;0,COUNTIF(Esp_Nome,$E72)&gt;0,$I72&gt;3*INDEX(Esp_Dur,MATCH($E72,Esp_Nome,0))),"Duração atípica (&gt;3x a média) | ",""),""))</f>
        <v/>
      </c>
      <c r="P72" s="19">
        <f>IF(NOT(ISNUMBER($C72)),0,ROUND(MOD($C72-Turno_Ini,1)*1440,0))</f>
        <v/>
      </c>
      <c r="Q72" s="19">
        <f>IF($J72&lt;=0,0,$P72+$I72)</f>
        <v/>
      </c>
      <c r="R72" s="19">
        <f>IF($K72="","",$B72&amp;"#"&amp;$A72&amp;"#"&amp;$K72)</f>
        <v/>
      </c>
      <c r="S72" s="19">
        <f>ROW()</f>
        <v/>
      </c>
      <c r="T72" s="19">
        <f>IF($J72&lt;=0,0,MAX(0,MIN($P72+$I72+Limpeza_Min,Turno_Min,IFERROR(INDEX(Mapa_RelIni,MATCH($B72&amp;"#"&amp;$A72&amp;"#"&amp;($K72+1),Mapa_Chave,0)),Turno_Min))-MIN($P72,Turno_Min)))</f>
        <v/>
      </c>
    </row>
    <row r="73">
      <c r="A73" s="30" t="n"/>
      <c r="B73" s="31" t="n"/>
      <c r="C73" s="32" t="n"/>
      <c r="D73" s="32" t="n"/>
      <c r="E73" s="33" t="n"/>
      <c r="F73" s="33" t="n"/>
      <c r="G73" s="33" t="n"/>
      <c r="H73" s="31" t="n"/>
      <c r="I73" s="20">
        <f>IF(OR($B73="",NOT(ISNUMBER($C73)),NOT(ISNUMBER($D73))),"",ROUND(MOD($D73-$C73,1)*1440,0))</f>
        <v/>
      </c>
      <c r="J73" s="20">
        <f>IF(NOT(ISNUMBER($I73)),0,IF(OR($I73&lt;=0,$H73="Cancelada",$H73="Suspensa"),0,$I73+Limpeza_Min))</f>
        <v/>
      </c>
      <c r="K73" s="20">
        <f>IF($J73&lt;=0,"",SUMPRODUCT((Mapa_Sala=$B73)*(Mapa_Data=$A73)*(Mapa_MinOcup&gt;0)*((Mapa_RelIni&lt;$P73)+((Mapa_RelIni=$P73)*(Mapa_Row&lt;=$S73)))))</f>
        <v/>
      </c>
      <c r="L73" s="34">
        <f>IF($J73&lt;=0,"",MOD(Turno_Ini+($Q73+Limpeza_Min)/1440,1))</f>
        <v/>
      </c>
      <c r="M73" s="20">
        <f>IF($J73&lt;=0,"",MAX(0,IFERROR(INDEX(Mapa_RelIni,MATCH($B73&amp;"#"&amp;$A73&amp;"#"&amp;($K73+1),Mapa_Chave,0)),Turno_Min)-($Q73+Limpeza_Min)))</f>
        <v/>
      </c>
      <c r="N73" s="14">
        <f>IF($B73="","",IF($O73="","OK",LEFT($O73,LEN($O73)-3)))</f>
        <v/>
      </c>
      <c r="O73" s="35">
        <f>IF($B73="","",IF(COUNTIF(Postos_Cod,$B73)=0,"Sala não cadastrada | ","")&amp;IF(AND(COUNTIF(Postos_Cod,$B73)&gt;0,IFERROR(INDEX(Postos_Tipo,MATCH($B73,Postos_Cod,0)),"")&lt;&gt;"Sala cirúrgica"),"Posto não é sala cirúrgica | ","")&amp;IF(COUNTIF(Esp_Nome,$E73)=0,"Especialidade não cadastrada | ","")&amp;IF(COUNTIF(Lista_StatusCir,$H73)=0,"Status inválido | ","")&amp;IF(OR(NOT(ISNUMBER($C73)),NOT(ISNUMBER($D73))),"Horário inválido | ","")&amp;IFERROR(IF(AND(ISNUMBER($C73),ISNUMBER($D73),MOD($D73-$C73,1)*1440&lt;=0),"Duração nula ou negativa | ",""),"")&amp;IF(AND($J73&gt;0,OR($P73&gt;=Turno_Min,$Q73&gt;Turno_Min)),"Fora da janela do plantão | ","")&amp;IF(AND($J73&gt;0,SUMPRODUCT((Mapa_Sala=$B73)*(Mapa_Data=$A73)*(Mapa_MinOcup&gt;0)*(Mapa_RelIni&lt;$Q73)*(Mapa_RelFim&gt;$P73))&gt;1),"Sobreposição de horário na sala | ","")&amp;IFERROR(IF(AND(ISNUMBER($I73),$I73&gt;0,COUNTIF(Esp_Nome,$E73)&gt;0,$I73&gt;3*INDEX(Esp_Dur,MATCH($E73,Esp_Nome,0))),"Duração atípica (&gt;3x a média) | ",""),""))</f>
        <v/>
      </c>
      <c r="P73" s="19">
        <f>IF(NOT(ISNUMBER($C73)),0,ROUND(MOD($C73-Turno_Ini,1)*1440,0))</f>
        <v/>
      </c>
      <c r="Q73" s="19">
        <f>IF($J73&lt;=0,0,$P73+$I73)</f>
        <v/>
      </c>
      <c r="R73" s="19">
        <f>IF($K73="","",$B73&amp;"#"&amp;$A73&amp;"#"&amp;$K73)</f>
        <v/>
      </c>
      <c r="S73" s="19">
        <f>ROW()</f>
        <v/>
      </c>
      <c r="T73" s="19">
        <f>IF($J73&lt;=0,0,MAX(0,MIN($P73+$I73+Limpeza_Min,Turno_Min,IFERROR(INDEX(Mapa_RelIni,MATCH($B73&amp;"#"&amp;$A73&amp;"#"&amp;($K73+1),Mapa_Chave,0)),Turno_Min))-MIN($P73,Turno_Min)))</f>
        <v/>
      </c>
    </row>
    <row r="74">
      <c r="A74" s="30" t="n"/>
      <c r="B74" s="31" t="n"/>
      <c r="C74" s="32" t="n"/>
      <c r="D74" s="32" t="n"/>
      <c r="E74" s="33" t="n"/>
      <c r="F74" s="33" t="n"/>
      <c r="G74" s="33" t="n"/>
      <c r="H74" s="31" t="n"/>
      <c r="I74" s="20">
        <f>IF(OR($B74="",NOT(ISNUMBER($C74)),NOT(ISNUMBER($D74))),"",ROUND(MOD($D74-$C74,1)*1440,0))</f>
        <v/>
      </c>
      <c r="J74" s="20">
        <f>IF(NOT(ISNUMBER($I74)),0,IF(OR($I74&lt;=0,$H74="Cancelada",$H74="Suspensa"),0,$I74+Limpeza_Min))</f>
        <v/>
      </c>
      <c r="K74" s="20">
        <f>IF($J74&lt;=0,"",SUMPRODUCT((Mapa_Sala=$B74)*(Mapa_Data=$A74)*(Mapa_MinOcup&gt;0)*((Mapa_RelIni&lt;$P74)+((Mapa_RelIni=$P74)*(Mapa_Row&lt;=$S74)))))</f>
        <v/>
      </c>
      <c r="L74" s="34">
        <f>IF($J74&lt;=0,"",MOD(Turno_Ini+($Q74+Limpeza_Min)/1440,1))</f>
        <v/>
      </c>
      <c r="M74" s="20">
        <f>IF($J74&lt;=0,"",MAX(0,IFERROR(INDEX(Mapa_RelIni,MATCH($B74&amp;"#"&amp;$A74&amp;"#"&amp;($K74+1),Mapa_Chave,0)),Turno_Min)-($Q74+Limpeza_Min)))</f>
        <v/>
      </c>
      <c r="N74" s="14">
        <f>IF($B74="","",IF($O74="","OK",LEFT($O74,LEN($O74)-3)))</f>
        <v/>
      </c>
      <c r="O74" s="35">
        <f>IF($B74="","",IF(COUNTIF(Postos_Cod,$B74)=0,"Sala não cadastrada | ","")&amp;IF(AND(COUNTIF(Postos_Cod,$B74)&gt;0,IFERROR(INDEX(Postos_Tipo,MATCH($B74,Postos_Cod,0)),"")&lt;&gt;"Sala cirúrgica"),"Posto não é sala cirúrgica | ","")&amp;IF(COUNTIF(Esp_Nome,$E74)=0,"Especialidade não cadastrada | ","")&amp;IF(COUNTIF(Lista_StatusCir,$H74)=0,"Status inválido | ","")&amp;IF(OR(NOT(ISNUMBER($C74)),NOT(ISNUMBER($D74))),"Horário inválido | ","")&amp;IFERROR(IF(AND(ISNUMBER($C74),ISNUMBER($D74),MOD($D74-$C74,1)*1440&lt;=0),"Duração nula ou negativa | ",""),"")&amp;IF(AND($J74&gt;0,OR($P74&gt;=Turno_Min,$Q74&gt;Turno_Min)),"Fora da janela do plantão | ","")&amp;IF(AND($J74&gt;0,SUMPRODUCT((Mapa_Sala=$B74)*(Mapa_Data=$A74)*(Mapa_MinOcup&gt;0)*(Mapa_RelIni&lt;$Q74)*(Mapa_RelFim&gt;$P74))&gt;1),"Sobreposição de horário na sala | ","")&amp;IFERROR(IF(AND(ISNUMBER($I74),$I74&gt;0,COUNTIF(Esp_Nome,$E74)&gt;0,$I74&gt;3*INDEX(Esp_Dur,MATCH($E74,Esp_Nome,0))),"Duração atípica (&gt;3x a média) | ",""),""))</f>
        <v/>
      </c>
      <c r="P74" s="19">
        <f>IF(NOT(ISNUMBER($C74)),0,ROUND(MOD($C74-Turno_Ini,1)*1440,0))</f>
        <v/>
      </c>
      <c r="Q74" s="19">
        <f>IF($J74&lt;=0,0,$P74+$I74)</f>
        <v/>
      </c>
      <c r="R74" s="19">
        <f>IF($K74="","",$B74&amp;"#"&amp;$A74&amp;"#"&amp;$K74)</f>
        <v/>
      </c>
      <c r="S74" s="19">
        <f>ROW()</f>
        <v/>
      </c>
      <c r="T74" s="19">
        <f>IF($J74&lt;=0,0,MAX(0,MIN($P74+$I74+Limpeza_Min,Turno_Min,IFERROR(INDEX(Mapa_RelIni,MATCH($B74&amp;"#"&amp;$A74&amp;"#"&amp;($K74+1),Mapa_Chave,0)),Turno_Min))-MIN($P74,Turno_Min)))</f>
        <v/>
      </c>
    </row>
    <row r="75">
      <c r="A75" s="30" t="n"/>
      <c r="B75" s="31" t="n"/>
      <c r="C75" s="32" t="n"/>
      <c r="D75" s="32" t="n"/>
      <c r="E75" s="33" t="n"/>
      <c r="F75" s="33" t="n"/>
      <c r="G75" s="33" t="n"/>
      <c r="H75" s="31" t="n"/>
      <c r="I75" s="20">
        <f>IF(OR($B75="",NOT(ISNUMBER($C75)),NOT(ISNUMBER($D75))),"",ROUND(MOD($D75-$C75,1)*1440,0))</f>
        <v/>
      </c>
      <c r="J75" s="20">
        <f>IF(NOT(ISNUMBER($I75)),0,IF(OR($I75&lt;=0,$H75="Cancelada",$H75="Suspensa"),0,$I75+Limpeza_Min))</f>
        <v/>
      </c>
      <c r="K75" s="20">
        <f>IF($J75&lt;=0,"",SUMPRODUCT((Mapa_Sala=$B75)*(Mapa_Data=$A75)*(Mapa_MinOcup&gt;0)*((Mapa_RelIni&lt;$P75)+((Mapa_RelIni=$P75)*(Mapa_Row&lt;=$S75)))))</f>
        <v/>
      </c>
      <c r="L75" s="34">
        <f>IF($J75&lt;=0,"",MOD(Turno_Ini+($Q75+Limpeza_Min)/1440,1))</f>
        <v/>
      </c>
      <c r="M75" s="20">
        <f>IF($J75&lt;=0,"",MAX(0,IFERROR(INDEX(Mapa_RelIni,MATCH($B75&amp;"#"&amp;$A75&amp;"#"&amp;($K75+1),Mapa_Chave,0)),Turno_Min)-($Q75+Limpeza_Min)))</f>
        <v/>
      </c>
      <c r="N75" s="14">
        <f>IF($B75="","",IF($O75="","OK",LEFT($O75,LEN($O75)-3)))</f>
        <v/>
      </c>
      <c r="O75" s="35">
        <f>IF($B75="","",IF(COUNTIF(Postos_Cod,$B75)=0,"Sala não cadastrada | ","")&amp;IF(AND(COUNTIF(Postos_Cod,$B75)&gt;0,IFERROR(INDEX(Postos_Tipo,MATCH($B75,Postos_Cod,0)),"")&lt;&gt;"Sala cirúrgica"),"Posto não é sala cirúrgica | ","")&amp;IF(COUNTIF(Esp_Nome,$E75)=0,"Especialidade não cadastrada | ","")&amp;IF(COUNTIF(Lista_StatusCir,$H75)=0,"Status inválido | ","")&amp;IF(OR(NOT(ISNUMBER($C75)),NOT(ISNUMBER($D75))),"Horário inválido | ","")&amp;IFERROR(IF(AND(ISNUMBER($C75),ISNUMBER($D75),MOD($D75-$C75,1)*1440&lt;=0),"Duração nula ou negativa | ",""),"")&amp;IF(AND($J75&gt;0,OR($P75&gt;=Turno_Min,$Q75&gt;Turno_Min)),"Fora da janela do plantão | ","")&amp;IF(AND($J75&gt;0,SUMPRODUCT((Mapa_Sala=$B75)*(Mapa_Data=$A75)*(Mapa_MinOcup&gt;0)*(Mapa_RelIni&lt;$Q75)*(Mapa_RelFim&gt;$P75))&gt;1),"Sobreposição de horário na sala | ","")&amp;IFERROR(IF(AND(ISNUMBER($I75),$I75&gt;0,COUNTIF(Esp_Nome,$E75)&gt;0,$I75&gt;3*INDEX(Esp_Dur,MATCH($E75,Esp_Nome,0))),"Duração atípica (&gt;3x a média) | ",""),""))</f>
        <v/>
      </c>
      <c r="P75" s="19">
        <f>IF(NOT(ISNUMBER($C75)),0,ROUND(MOD($C75-Turno_Ini,1)*1440,0))</f>
        <v/>
      </c>
      <c r="Q75" s="19">
        <f>IF($J75&lt;=0,0,$P75+$I75)</f>
        <v/>
      </c>
      <c r="R75" s="19">
        <f>IF($K75="","",$B75&amp;"#"&amp;$A75&amp;"#"&amp;$K75)</f>
        <v/>
      </c>
      <c r="S75" s="19">
        <f>ROW()</f>
        <v/>
      </c>
      <c r="T75" s="19">
        <f>IF($J75&lt;=0,0,MAX(0,MIN($P75+$I75+Limpeza_Min,Turno_Min,IFERROR(INDEX(Mapa_RelIni,MATCH($B75&amp;"#"&amp;$A75&amp;"#"&amp;($K75+1),Mapa_Chave,0)),Turno_Min))-MIN($P75,Turno_Min)))</f>
        <v/>
      </c>
    </row>
    <row r="76">
      <c r="A76" s="30" t="n"/>
      <c r="B76" s="31" t="n"/>
      <c r="C76" s="32" t="n"/>
      <c r="D76" s="32" t="n"/>
      <c r="E76" s="33" t="n"/>
      <c r="F76" s="33" t="n"/>
      <c r="G76" s="33" t="n"/>
      <c r="H76" s="31" t="n"/>
      <c r="I76" s="20">
        <f>IF(OR($B76="",NOT(ISNUMBER($C76)),NOT(ISNUMBER($D76))),"",ROUND(MOD($D76-$C76,1)*1440,0))</f>
        <v/>
      </c>
      <c r="J76" s="20">
        <f>IF(NOT(ISNUMBER($I76)),0,IF(OR($I76&lt;=0,$H76="Cancelada",$H76="Suspensa"),0,$I76+Limpeza_Min))</f>
        <v/>
      </c>
      <c r="K76" s="20">
        <f>IF($J76&lt;=0,"",SUMPRODUCT((Mapa_Sala=$B76)*(Mapa_Data=$A76)*(Mapa_MinOcup&gt;0)*((Mapa_RelIni&lt;$P76)+((Mapa_RelIni=$P76)*(Mapa_Row&lt;=$S76)))))</f>
        <v/>
      </c>
      <c r="L76" s="34">
        <f>IF($J76&lt;=0,"",MOD(Turno_Ini+($Q76+Limpeza_Min)/1440,1))</f>
        <v/>
      </c>
      <c r="M76" s="20">
        <f>IF($J76&lt;=0,"",MAX(0,IFERROR(INDEX(Mapa_RelIni,MATCH($B76&amp;"#"&amp;$A76&amp;"#"&amp;($K76+1),Mapa_Chave,0)),Turno_Min)-($Q76+Limpeza_Min)))</f>
        <v/>
      </c>
      <c r="N76" s="14">
        <f>IF($B76="","",IF($O76="","OK",LEFT($O76,LEN($O76)-3)))</f>
        <v/>
      </c>
      <c r="O76" s="35">
        <f>IF($B76="","",IF(COUNTIF(Postos_Cod,$B76)=0,"Sala não cadastrada | ","")&amp;IF(AND(COUNTIF(Postos_Cod,$B76)&gt;0,IFERROR(INDEX(Postos_Tipo,MATCH($B76,Postos_Cod,0)),"")&lt;&gt;"Sala cirúrgica"),"Posto não é sala cirúrgica | ","")&amp;IF(COUNTIF(Esp_Nome,$E76)=0,"Especialidade não cadastrada | ","")&amp;IF(COUNTIF(Lista_StatusCir,$H76)=0,"Status inválido | ","")&amp;IF(OR(NOT(ISNUMBER($C76)),NOT(ISNUMBER($D76))),"Horário inválido | ","")&amp;IFERROR(IF(AND(ISNUMBER($C76),ISNUMBER($D76),MOD($D76-$C76,1)*1440&lt;=0),"Duração nula ou negativa | ",""),"")&amp;IF(AND($J76&gt;0,OR($P76&gt;=Turno_Min,$Q76&gt;Turno_Min)),"Fora da janela do plantão | ","")&amp;IF(AND($J76&gt;0,SUMPRODUCT((Mapa_Sala=$B76)*(Mapa_Data=$A76)*(Mapa_MinOcup&gt;0)*(Mapa_RelIni&lt;$Q76)*(Mapa_RelFim&gt;$P76))&gt;1),"Sobreposição de horário na sala | ","")&amp;IFERROR(IF(AND(ISNUMBER($I76),$I76&gt;0,COUNTIF(Esp_Nome,$E76)&gt;0,$I76&gt;3*INDEX(Esp_Dur,MATCH($E76,Esp_Nome,0))),"Duração atípica (&gt;3x a média) | ",""),""))</f>
        <v/>
      </c>
      <c r="P76" s="19">
        <f>IF(NOT(ISNUMBER($C76)),0,ROUND(MOD($C76-Turno_Ini,1)*1440,0))</f>
        <v/>
      </c>
      <c r="Q76" s="19">
        <f>IF($J76&lt;=0,0,$P76+$I76)</f>
        <v/>
      </c>
      <c r="R76" s="19">
        <f>IF($K76="","",$B76&amp;"#"&amp;$A76&amp;"#"&amp;$K76)</f>
        <v/>
      </c>
      <c r="S76" s="19">
        <f>ROW()</f>
        <v/>
      </c>
      <c r="T76" s="19">
        <f>IF($J76&lt;=0,0,MAX(0,MIN($P76+$I76+Limpeza_Min,Turno_Min,IFERROR(INDEX(Mapa_RelIni,MATCH($B76&amp;"#"&amp;$A76&amp;"#"&amp;($K76+1),Mapa_Chave,0)),Turno_Min))-MIN($P76,Turno_Min)))</f>
        <v/>
      </c>
    </row>
    <row r="77">
      <c r="A77" s="30" t="n"/>
      <c r="B77" s="31" t="n"/>
      <c r="C77" s="32" t="n"/>
      <c r="D77" s="32" t="n"/>
      <c r="E77" s="33" t="n"/>
      <c r="F77" s="33" t="n"/>
      <c r="G77" s="33" t="n"/>
      <c r="H77" s="31" t="n"/>
      <c r="I77" s="20">
        <f>IF(OR($B77="",NOT(ISNUMBER($C77)),NOT(ISNUMBER($D77))),"",ROUND(MOD($D77-$C77,1)*1440,0))</f>
        <v/>
      </c>
      <c r="J77" s="20">
        <f>IF(NOT(ISNUMBER($I77)),0,IF(OR($I77&lt;=0,$H77="Cancelada",$H77="Suspensa"),0,$I77+Limpeza_Min))</f>
        <v/>
      </c>
      <c r="K77" s="20">
        <f>IF($J77&lt;=0,"",SUMPRODUCT((Mapa_Sala=$B77)*(Mapa_Data=$A77)*(Mapa_MinOcup&gt;0)*((Mapa_RelIni&lt;$P77)+((Mapa_RelIni=$P77)*(Mapa_Row&lt;=$S77)))))</f>
        <v/>
      </c>
      <c r="L77" s="34">
        <f>IF($J77&lt;=0,"",MOD(Turno_Ini+($Q77+Limpeza_Min)/1440,1))</f>
        <v/>
      </c>
      <c r="M77" s="20">
        <f>IF($J77&lt;=0,"",MAX(0,IFERROR(INDEX(Mapa_RelIni,MATCH($B77&amp;"#"&amp;$A77&amp;"#"&amp;($K77+1),Mapa_Chave,0)),Turno_Min)-($Q77+Limpeza_Min)))</f>
        <v/>
      </c>
      <c r="N77" s="14">
        <f>IF($B77="","",IF($O77="","OK",LEFT($O77,LEN($O77)-3)))</f>
        <v/>
      </c>
      <c r="O77" s="35">
        <f>IF($B77="","",IF(COUNTIF(Postos_Cod,$B77)=0,"Sala não cadastrada | ","")&amp;IF(AND(COUNTIF(Postos_Cod,$B77)&gt;0,IFERROR(INDEX(Postos_Tipo,MATCH($B77,Postos_Cod,0)),"")&lt;&gt;"Sala cirúrgica"),"Posto não é sala cirúrgica | ","")&amp;IF(COUNTIF(Esp_Nome,$E77)=0,"Especialidade não cadastrada | ","")&amp;IF(COUNTIF(Lista_StatusCir,$H77)=0,"Status inválido | ","")&amp;IF(OR(NOT(ISNUMBER($C77)),NOT(ISNUMBER($D77))),"Horário inválido | ","")&amp;IFERROR(IF(AND(ISNUMBER($C77),ISNUMBER($D77),MOD($D77-$C77,1)*1440&lt;=0),"Duração nula ou negativa | ",""),"")&amp;IF(AND($J77&gt;0,OR($P77&gt;=Turno_Min,$Q77&gt;Turno_Min)),"Fora da janela do plantão | ","")&amp;IF(AND($J77&gt;0,SUMPRODUCT((Mapa_Sala=$B77)*(Mapa_Data=$A77)*(Mapa_MinOcup&gt;0)*(Mapa_RelIni&lt;$Q77)*(Mapa_RelFim&gt;$P77))&gt;1),"Sobreposição de horário na sala | ","")&amp;IFERROR(IF(AND(ISNUMBER($I77),$I77&gt;0,COUNTIF(Esp_Nome,$E77)&gt;0,$I77&gt;3*INDEX(Esp_Dur,MATCH($E77,Esp_Nome,0))),"Duração atípica (&gt;3x a média) | ",""),""))</f>
        <v/>
      </c>
      <c r="P77" s="19">
        <f>IF(NOT(ISNUMBER($C77)),0,ROUND(MOD($C77-Turno_Ini,1)*1440,0))</f>
        <v/>
      </c>
      <c r="Q77" s="19">
        <f>IF($J77&lt;=0,0,$P77+$I77)</f>
        <v/>
      </c>
      <c r="R77" s="19">
        <f>IF($K77="","",$B77&amp;"#"&amp;$A77&amp;"#"&amp;$K77)</f>
        <v/>
      </c>
      <c r="S77" s="19">
        <f>ROW()</f>
        <v/>
      </c>
      <c r="T77" s="19">
        <f>IF($J77&lt;=0,0,MAX(0,MIN($P77+$I77+Limpeza_Min,Turno_Min,IFERROR(INDEX(Mapa_RelIni,MATCH($B77&amp;"#"&amp;$A77&amp;"#"&amp;($K77+1),Mapa_Chave,0)),Turno_Min))-MIN($P77,Turno_Min)))</f>
        <v/>
      </c>
    </row>
    <row r="78">
      <c r="A78" s="30" t="n"/>
      <c r="B78" s="31" t="n"/>
      <c r="C78" s="32" t="n"/>
      <c r="D78" s="32" t="n"/>
      <c r="E78" s="33" t="n"/>
      <c r="F78" s="33" t="n"/>
      <c r="G78" s="33" t="n"/>
      <c r="H78" s="31" t="n"/>
      <c r="I78" s="20">
        <f>IF(OR($B78="",NOT(ISNUMBER($C78)),NOT(ISNUMBER($D78))),"",ROUND(MOD($D78-$C78,1)*1440,0))</f>
        <v/>
      </c>
      <c r="J78" s="20">
        <f>IF(NOT(ISNUMBER($I78)),0,IF(OR($I78&lt;=0,$H78="Cancelada",$H78="Suspensa"),0,$I78+Limpeza_Min))</f>
        <v/>
      </c>
      <c r="K78" s="20">
        <f>IF($J78&lt;=0,"",SUMPRODUCT((Mapa_Sala=$B78)*(Mapa_Data=$A78)*(Mapa_MinOcup&gt;0)*((Mapa_RelIni&lt;$P78)+((Mapa_RelIni=$P78)*(Mapa_Row&lt;=$S78)))))</f>
        <v/>
      </c>
      <c r="L78" s="34">
        <f>IF($J78&lt;=0,"",MOD(Turno_Ini+($Q78+Limpeza_Min)/1440,1))</f>
        <v/>
      </c>
      <c r="M78" s="20">
        <f>IF($J78&lt;=0,"",MAX(0,IFERROR(INDEX(Mapa_RelIni,MATCH($B78&amp;"#"&amp;$A78&amp;"#"&amp;($K78+1),Mapa_Chave,0)),Turno_Min)-($Q78+Limpeza_Min)))</f>
        <v/>
      </c>
      <c r="N78" s="14">
        <f>IF($B78="","",IF($O78="","OK",LEFT($O78,LEN($O78)-3)))</f>
        <v/>
      </c>
      <c r="O78" s="35">
        <f>IF($B78="","",IF(COUNTIF(Postos_Cod,$B78)=0,"Sala não cadastrada | ","")&amp;IF(AND(COUNTIF(Postos_Cod,$B78)&gt;0,IFERROR(INDEX(Postos_Tipo,MATCH($B78,Postos_Cod,0)),"")&lt;&gt;"Sala cirúrgica"),"Posto não é sala cirúrgica | ","")&amp;IF(COUNTIF(Esp_Nome,$E78)=0,"Especialidade não cadastrada | ","")&amp;IF(COUNTIF(Lista_StatusCir,$H78)=0,"Status inválido | ","")&amp;IF(OR(NOT(ISNUMBER($C78)),NOT(ISNUMBER($D78))),"Horário inválido | ","")&amp;IFERROR(IF(AND(ISNUMBER($C78),ISNUMBER($D78),MOD($D78-$C78,1)*1440&lt;=0),"Duração nula ou negativa | ",""),"")&amp;IF(AND($J78&gt;0,OR($P78&gt;=Turno_Min,$Q78&gt;Turno_Min)),"Fora da janela do plantão | ","")&amp;IF(AND($J78&gt;0,SUMPRODUCT((Mapa_Sala=$B78)*(Mapa_Data=$A78)*(Mapa_MinOcup&gt;0)*(Mapa_RelIni&lt;$Q78)*(Mapa_RelFim&gt;$P78))&gt;1),"Sobreposição de horário na sala | ","")&amp;IFERROR(IF(AND(ISNUMBER($I78),$I78&gt;0,COUNTIF(Esp_Nome,$E78)&gt;0,$I78&gt;3*INDEX(Esp_Dur,MATCH($E78,Esp_Nome,0))),"Duração atípica (&gt;3x a média) | ",""),""))</f>
        <v/>
      </c>
      <c r="P78" s="19">
        <f>IF(NOT(ISNUMBER($C78)),0,ROUND(MOD($C78-Turno_Ini,1)*1440,0))</f>
        <v/>
      </c>
      <c r="Q78" s="19">
        <f>IF($J78&lt;=0,0,$P78+$I78)</f>
        <v/>
      </c>
      <c r="R78" s="19">
        <f>IF($K78="","",$B78&amp;"#"&amp;$A78&amp;"#"&amp;$K78)</f>
        <v/>
      </c>
      <c r="S78" s="19">
        <f>ROW()</f>
        <v/>
      </c>
      <c r="T78" s="19">
        <f>IF($J78&lt;=0,0,MAX(0,MIN($P78+$I78+Limpeza_Min,Turno_Min,IFERROR(INDEX(Mapa_RelIni,MATCH($B78&amp;"#"&amp;$A78&amp;"#"&amp;($K78+1),Mapa_Chave,0)),Turno_Min))-MIN($P78,Turno_Min)))</f>
        <v/>
      </c>
    </row>
    <row r="79">
      <c r="A79" s="30" t="n"/>
      <c r="B79" s="31" t="n"/>
      <c r="C79" s="32" t="n"/>
      <c r="D79" s="32" t="n"/>
      <c r="E79" s="33" t="n"/>
      <c r="F79" s="33" t="n"/>
      <c r="G79" s="33" t="n"/>
      <c r="H79" s="31" t="n"/>
      <c r="I79" s="20">
        <f>IF(OR($B79="",NOT(ISNUMBER($C79)),NOT(ISNUMBER($D79))),"",ROUND(MOD($D79-$C79,1)*1440,0))</f>
        <v/>
      </c>
      <c r="J79" s="20">
        <f>IF(NOT(ISNUMBER($I79)),0,IF(OR($I79&lt;=0,$H79="Cancelada",$H79="Suspensa"),0,$I79+Limpeza_Min))</f>
        <v/>
      </c>
      <c r="K79" s="20">
        <f>IF($J79&lt;=0,"",SUMPRODUCT((Mapa_Sala=$B79)*(Mapa_Data=$A79)*(Mapa_MinOcup&gt;0)*((Mapa_RelIni&lt;$P79)+((Mapa_RelIni=$P79)*(Mapa_Row&lt;=$S79)))))</f>
        <v/>
      </c>
      <c r="L79" s="34">
        <f>IF($J79&lt;=0,"",MOD(Turno_Ini+($Q79+Limpeza_Min)/1440,1))</f>
        <v/>
      </c>
      <c r="M79" s="20">
        <f>IF($J79&lt;=0,"",MAX(0,IFERROR(INDEX(Mapa_RelIni,MATCH($B79&amp;"#"&amp;$A79&amp;"#"&amp;($K79+1),Mapa_Chave,0)),Turno_Min)-($Q79+Limpeza_Min)))</f>
        <v/>
      </c>
      <c r="N79" s="14">
        <f>IF($B79="","",IF($O79="","OK",LEFT($O79,LEN($O79)-3)))</f>
        <v/>
      </c>
      <c r="O79" s="35">
        <f>IF($B79="","",IF(COUNTIF(Postos_Cod,$B79)=0,"Sala não cadastrada | ","")&amp;IF(AND(COUNTIF(Postos_Cod,$B79)&gt;0,IFERROR(INDEX(Postos_Tipo,MATCH($B79,Postos_Cod,0)),"")&lt;&gt;"Sala cirúrgica"),"Posto não é sala cirúrgica | ","")&amp;IF(COUNTIF(Esp_Nome,$E79)=0,"Especialidade não cadastrada | ","")&amp;IF(COUNTIF(Lista_StatusCir,$H79)=0,"Status inválido | ","")&amp;IF(OR(NOT(ISNUMBER($C79)),NOT(ISNUMBER($D79))),"Horário inválido | ","")&amp;IFERROR(IF(AND(ISNUMBER($C79),ISNUMBER($D79),MOD($D79-$C79,1)*1440&lt;=0),"Duração nula ou negativa | ",""),"")&amp;IF(AND($J79&gt;0,OR($P79&gt;=Turno_Min,$Q79&gt;Turno_Min)),"Fora da janela do plantão | ","")&amp;IF(AND($J79&gt;0,SUMPRODUCT((Mapa_Sala=$B79)*(Mapa_Data=$A79)*(Mapa_MinOcup&gt;0)*(Mapa_RelIni&lt;$Q79)*(Mapa_RelFim&gt;$P79))&gt;1),"Sobreposição de horário na sala | ","")&amp;IFERROR(IF(AND(ISNUMBER($I79),$I79&gt;0,COUNTIF(Esp_Nome,$E79)&gt;0,$I79&gt;3*INDEX(Esp_Dur,MATCH($E79,Esp_Nome,0))),"Duração atípica (&gt;3x a média) | ",""),""))</f>
        <v/>
      </c>
      <c r="P79" s="19">
        <f>IF(NOT(ISNUMBER($C79)),0,ROUND(MOD($C79-Turno_Ini,1)*1440,0))</f>
        <v/>
      </c>
      <c r="Q79" s="19">
        <f>IF($J79&lt;=0,0,$P79+$I79)</f>
        <v/>
      </c>
      <c r="R79" s="19">
        <f>IF($K79="","",$B79&amp;"#"&amp;$A79&amp;"#"&amp;$K79)</f>
        <v/>
      </c>
      <c r="S79" s="19">
        <f>ROW()</f>
        <v/>
      </c>
      <c r="T79" s="19">
        <f>IF($J79&lt;=0,0,MAX(0,MIN($P79+$I79+Limpeza_Min,Turno_Min,IFERROR(INDEX(Mapa_RelIni,MATCH($B79&amp;"#"&amp;$A79&amp;"#"&amp;($K79+1),Mapa_Chave,0)),Turno_Min))-MIN($P79,Turno_Min)))</f>
        <v/>
      </c>
    </row>
    <row r="80">
      <c r="A80" s="30" t="n"/>
      <c r="B80" s="31" t="n"/>
      <c r="C80" s="32" t="n"/>
      <c r="D80" s="32" t="n"/>
      <c r="E80" s="33" t="n"/>
      <c r="F80" s="33" t="n"/>
      <c r="G80" s="33" t="n"/>
      <c r="H80" s="31" t="n"/>
      <c r="I80" s="20">
        <f>IF(OR($B80="",NOT(ISNUMBER($C80)),NOT(ISNUMBER($D80))),"",ROUND(MOD($D80-$C80,1)*1440,0))</f>
        <v/>
      </c>
      <c r="J80" s="20">
        <f>IF(NOT(ISNUMBER($I80)),0,IF(OR($I80&lt;=0,$H80="Cancelada",$H80="Suspensa"),0,$I80+Limpeza_Min))</f>
        <v/>
      </c>
      <c r="K80" s="20">
        <f>IF($J80&lt;=0,"",SUMPRODUCT((Mapa_Sala=$B80)*(Mapa_Data=$A80)*(Mapa_MinOcup&gt;0)*((Mapa_RelIni&lt;$P80)+((Mapa_RelIni=$P80)*(Mapa_Row&lt;=$S80)))))</f>
        <v/>
      </c>
      <c r="L80" s="34">
        <f>IF($J80&lt;=0,"",MOD(Turno_Ini+($Q80+Limpeza_Min)/1440,1))</f>
        <v/>
      </c>
      <c r="M80" s="20">
        <f>IF($J80&lt;=0,"",MAX(0,IFERROR(INDEX(Mapa_RelIni,MATCH($B80&amp;"#"&amp;$A80&amp;"#"&amp;($K80+1),Mapa_Chave,0)),Turno_Min)-($Q80+Limpeza_Min)))</f>
        <v/>
      </c>
      <c r="N80" s="14">
        <f>IF($B80="","",IF($O80="","OK",LEFT($O80,LEN($O80)-3)))</f>
        <v/>
      </c>
      <c r="O80" s="35">
        <f>IF($B80="","",IF(COUNTIF(Postos_Cod,$B80)=0,"Sala não cadastrada | ","")&amp;IF(AND(COUNTIF(Postos_Cod,$B80)&gt;0,IFERROR(INDEX(Postos_Tipo,MATCH($B80,Postos_Cod,0)),"")&lt;&gt;"Sala cirúrgica"),"Posto não é sala cirúrgica | ","")&amp;IF(COUNTIF(Esp_Nome,$E80)=0,"Especialidade não cadastrada | ","")&amp;IF(COUNTIF(Lista_StatusCir,$H80)=0,"Status inválido | ","")&amp;IF(OR(NOT(ISNUMBER($C80)),NOT(ISNUMBER($D80))),"Horário inválido | ","")&amp;IFERROR(IF(AND(ISNUMBER($C80),ISNUMBER($D80),MOD($D80-$C80,1)*1440&lt;=0),"Duração nula ou negativa | ",""),"")&amp;IF(AND($J80&gt;0,OR($P80&gt;=Turno_Min,$Q80&gt;Turno_Min)),"Fora da janela do plantão | ","")&amp;IF(AND($J80&gt;0,SUMPRODUCT((Mapa_Sala=$B80)*(Mapa_Data=$A80)*(Mapa_MinOcup&gt;0)*(Mapa_RelIni&lt;$Q80)*(Mapa_RelFim&gt;$P80))&gt;1),"Sobreposição de horário na sala | ","")&amp;IFERROR(IF(AND(ISNUMBER($I80),$I80&gt;0,COUNTIF(Esp_Nome,$E80)&gt;0,$I80&gt;3*INDEX(Esp_Dur,MATCH($E80,Esp_Nome,0))),"Duração atípica (&gt;3x a média) | ",""),""))</f>
        <v/>
      </c>
      <c r="P80" s="19">
        <f>IF(NOT(ISNUMBER($C80)),0,ROUND(MOD($C80-Turno_Ini,1)*1440,0))</f>
        <v/>
      </c>
      <c r="Q80" s="19">
        <f>IF($J80&lt;=0,0,$P80+$I80)</f>
        <v/>
      </c>
      <c r="R80" s="19">
        <f>IF($K80="","",$B80&amp;"#"&amp;$A80&amp;"#"&amp;$K80)</f>
        <v/>
      </c>
      <c r="S80" s="19">
        <f>ROW()</f>
        <v/>
      </c>
      <c r="T80" s="19">
        <f>IF($J80&lt;=0,0,MAX(0,MIN($P80+$I80+Limpeza_Min,Turno_Min,IFERROR(INDEX(Mapa_RelIni,MATCH($B80&amp;"#"&amp;$A80&amp;"#"&amp;($K80+1),Mapa_Chave,0)),Turno_Min))-MIN($P80,Turno_Min)))</f>
        <v/>
      </c>
    </row>
    <row r="81">
      <c r="A81" s="30" t="n"/>
      <c r="B81" s="31" t="n"/>
      <c r="C81" s="32" t="n"/>
      <c r="D81" s="32" t="n"/>
      <c r="E81" s="33" t="n"/>
      <c r="F81" s="33" t="n"/>
      <c r="G81" s="33" t="n"/>
      <c r="H81" s="31" t="n"/>
      <c r="I81" s="20">
        <f>IF(OR($B81="",NOT(ISNUMBER($C81)),NOT(ISNUMBER($D81))),"",ROUND(MOD($D81-$C81,1)*1440,0))</f>
        <v/>
      </c>
      <c r="J81" s="20">
        <f>IF(NOT(ISNUMBER($I81)),0,IF(OR($I81&lt;=0,$H81="Cancelada",$H81="Suspensa"),0,$I81+Limpeza_Min))</f>
        <v/>
      </c>
      <c r="K81" s="20">
        <f>IF($J81&lt;=0,"",SUMPRODUCT((Mapa_Sala=$B81)*(Mapa_Data=$A81)*(Mapa_MinOcup&gt;0)*((Mapa_RelIni&lt;$P81)+((Mapa_RelIni=$P81)*(Mapa_Row&lt;=$S81)))))</f>
        <v/>
      </c>
      <c r="L81" s="34">
        <f>IF($J81&lt;=0,"",MOD(Turno_Ini+($Q81+Limpeza_Min)/1440,1))</f>
        <v/>
      </c>
      <c r="M81" s="20">
        <f>IF($J81&lt;=0,"",MAX(0,IFERROR(INDEX(Mapa_RelIni,MATCH($B81&amp;"#"&amp;$A81&amp;"#"&amp;($K81+1),Mapa_Chave,0)),Turno_Min)-($Q81+Limpeza_Min)))</f>
        <v/>
      </c>
      <c r="N81" s="14">
        <f>IF($B81="","",IF($O81="","OK",LEFT($O81,LEN($O81)-3)))</f>
        <v/>
      </c>
      <c r="O81" s="35">
        <f>IF($B81="","",IF(COUNTIF(Postos_Cod,$B81)=0,"Sala não cadastrada | ","")&amp;IF(AND(COUNTIF(Postos_Cod,$B81)&gt;0,IFERROR(INDEX(Postos_Tipo,MATCH($B81,Postos_Cod,0)),"")&lt;&gt;"Sala cirúrgica"),"Posto não é sala cirúrgica | ","")&amp;IF(COUNTIF(Esp_Nome,$E81)=0,"Especialidade não cadastrada | ","")&amp;IF(COUNTIF(Lista_StatusCir,$H81)=0,"Status inválido | ","")&amp;IF(OR(NOT(ISNUMBER($C81)),NOT(ISNUMBER($D81))),"Horário inválido | ","")&amp;IFERROR(IF(AND(ISNUMBER($C81),ISNUMBER($D81),MOD($D81-$C81,1)*1440&lt;=0),"Duração nula ou negativa | ",""),"")&amp;IF(AND($J81&gt;0,OR($P81&gt;=Turno_Min,$Q81&gt;Turno_Min)),"Fora da janela do plantão | ","")&amp;IF(AND($J81&gt;0,SUMPRODUCT((Mapa_Sala=$B81)*(Mapa_Data=$A81)*(Mapa_MinOcup&gt;0)*(Mapa_RelIni&lt;$Q81)*(Mapa_RelFim&gt;$P81))&gt;1),"Sobreposição de horário na sala | ","")&amp;IFERROR(IF(AND(ISNUMBER($I81),$I81&gt;0,COUNTIF(Esp_Nome,$E81)&gt;0,$I81&gt;3*INDEX(Esp_Dur,MATCH($E81,Esp_Nome,0))),"Duração atípica (&gt;3x a média) | ",""),""))</f>
        <v/>
      </c>
      <c r="P81" s="19">
        <f>IF(NOT(ISNUMBER($C81)),0,ROUND(MOD($C81-Turno_Ini,1)*1440,0))</f>
        <v/>
      </c>
      <c r="Q81" s="19">
        <f>IF($J81&lt;=0,0,$P81+$I81)</f>
        <v/>
      </c>
      <c r="R81" s="19">
        <f>IF($K81="","",$B81&amp;"#"&amp;$A81&amp;"#"&amp;$K81)</f>
        <v/>
      </c>
      <c r="S81" s="19">
        <f>ROW()</f>
        <v/>
      </c>
      <c r="T81" s="19">
        <f>IF($J81&lt;=0,0,MAX(0,MIN($P81+$I81+Limpeza_Min,Turno_Min,IFERROR(INDEX(Mapa_RelIni,MATCH($B81&amp;"#"&amp;$A81&amp;"#"&amp;($K81+1),Mapa_Chave,0)),Turno_Min))-MIN($P81,Turno_Min)))</f>
        <v/>
      </c>
    </row>
    <row r="82">
      <c r="A82" s="30" t="n"/>
      <c r="B82" s="31" t="n"/>
      <c r="C82" s="32" t="n"/>
      <c r="D82" s="32" t="n"/>
      <c r="E82" s="33" t="n"/>
      <c r="F82" s="33" t="n"/>
      <c r="G82" s="33" t="n"/>
      <c r="H82" s="31" t="n"/>
      <c r="I82" s="20">
        <f>IF(OR($B82="",NOT(ISNUMBER($C82)),NOT(ISNUMBER($D82))),"",ROUND(MOD($D82-$C82,1)*1440,0))</f>
        <v/>
      </c>
      <c r="J82" s="20">
        <f>IF(NOT(ISNUMBER($I82)),0,IF(OR($I82&lt;=0,$H82="Cancelada",$H82="Suspensa"),0,$I82+Limpeza_Min))</f>
        <v/>
      </c>
      <c r="K82" s="20">
        <f>IF($J82&lt;=0,"",SUMPRODUCT((Mapa_Sala=$B82)*(Mapa_Data=$A82)*(Mapa_MinOcup&gt;0)*((Mapa_RelIni&lt;$P82)+((Mapa_RelIni=$P82)*(Mapa_Row&lt;=$S82)))))</f>
        <v/>
      </c>
      <c r="L82" s="34">
        <f>IF($J82&lt;=0,"",MOD(Turno_Ini+($Q82+Limpeza_Min)/1440,1))</f>
        <v/>
      </c>
      <c r="M82" s="20">
        <f>IF($J82&lt;=0,"",MAX(0,IFERROR(INDEX(Mapa_RelIni,MATCH($B82&amp;"#"&amp;$A82&amp;"#"&amp;($K82+1),Mapa_Chave,0)),Turno_Min)-($Q82+Limpeza_Min)))</f>
        <v/>
      </c>
      <c r="N82" s="14">
        <f>IF($B82="","",IF($O82="","OK",LEFT($O82,LEN($O82)-3)))</f>
        <v/>
      </c>
      <c r="O82" s="35">
        <f>IF($B82="","",IF(COUNTIF(Postos_Cod,$B82)=0,"Sala não cadastrada | ","")&amp;IF(AND(COUNTIF(Postos_Cod,$B82)&gt;0,IFERROR(INDEX(Postos_Tipo,MATCH($B82,Postos_Cod,0)),"")&lt;&gt;"Sala cirúrgica"),"Posto não é sala cirúrgica | ","")&amp;IF(COUNTIF(Esp_Nome,$E82)=0,"Especialidade não cadastrada | ","")&amp;IF(COUNTIF(Lista_StatusCir,$H82)=0,"Status inválido | ","")&amp;IF(OR(NOT(ISNUMBER($C82)),NOT(ISNUMBER($D82))),"Horário inválido | ","")&amp;IFERROR(IF(AND(ISNUMBER($C82),ISNUMBER($D82),MOD($D82-$C82,1)*1440&lt;=0),"Duração nula ou negativa | ",""),"")&amp;IF(AND($J82&gt;0,OR($P82&gt;=Turno_Min,$Q82&gt;Turno_Min)),"Fora da janela do plantão | ","")&amp;IF(AND($J82&gt;0,SUMPRODUCT((Mapa_Sala=$B82)*(Mapa_Data=$A82)*(Mapa_MinOcup&gt;0)*(Mapa_RelIni&lt;$Q82)*(Mapa_RelFim&gt;$P82))&gt;1),"Sobreposição de horário na sala | ","")&amp;IFERROR(IF(AND(ISNUMBER($I82),$I82&gt;0,COUNTIF(Esp_Nome,$E82)&gt;0,$I82&gt;3*INDEX(Esp_Dur,MATCH($E82,Esp_Nome,0))),"Duração atípica (&gt;3x a média) | ",""),""))</f>
        <v/>
      </c>
      <c r="P82" s="19">
        <f>IF(NOT(ISNUMBER($C82)),0,ROUND(MOD($C82-Turno_Ini,1)*1440,0))</f>
        <v/>
      </c>
      <c r="Q82" s="19">
        <f>IF($J82&lt;=0,0,$P82+$I82)</f>
        <v/>
      </c>
      <c r="R82" s="19">
        <f>IF($K82="","",$B82&amp;"#"&amp;$A82&amp;"#"&amp;$K82)</f>
        <v/>
      </c>
      <c r="S82" s="19">
        <f>ROW()</f>
        <v/>
      </c>
      <c r="T82" s="19">
        <f>IF($J82&lt;=0,0,MAX(0,MIN($P82+$I82+Limpeza_Min,Turno_Min,IFERROR(INDEX(Mapa_RelIni,MATCH($B82&amp;"#"&amp;$A82&amp;"#"&amp;($K82+1),Mapa_Chave,0)),Turno_Min))-MIN($P82,Turno_Min)))</f>
        <v/>
      </c>
    </row>
    <row r="83">
      <c r="A83" s="30" t="n"/>
      <c r="B83" s="31" t="n"/>
      <c r="C83" s="32" t="n"/>
      <c r="D83" s="32" t="n"/>
      <c r="E83" s="33" t="n"/>
      <c r="F83" s="33" t="n"/>
      <c r="G83" s="33" t="n"/>
      <c r="H83" s="31" t="n"/>
      <c r="I83" s="20">
        <f>IF(OR($B83="",NOT(ISNUMBER($C83)),NOT(ISNUMBER($D83))),"",ROUND(MOD($D83-$C83,1)*1440,0))</f>
        <v/>
      </c>
      <c r="J83" s="20">
        <f>IF(NOT(ISNUMBER($I83)),0,IF(OR($I83&lt;=0,$H83="Cancelada",$H83="Suspensa"),0,$I83+Limpeza_Min))</f>
        <v/>
      </c>
      <c r="K83" s="20">
        <f>IF($J83&lt;=0,"",SUMPRODUCT((Mapa_Sala=$B83)*(Mapa_Data=$A83)*(Mapa_MinOcup&gt;0)*((Mapa_RelIni&lt;$P83)+((Mapa_RelIni=$P83)*(Mapa_Row&lt;=$S83)))))</f>
        <v/>
      </c>
      <c r="L83" s="34">
        <f>IF($J83&lt;=0,"",MOD(Turno_Ini+($Q83+Limpeza_Min)/1440,1))</f>
        <v/>
      </c>
      <c r="M83" s="20">
        <f>IF($J83&lt;=0,"",MAX(0,IFERROR(INDEX(Mapa_RelIni,MATCH($B83&amp;"#"&amp;$A83&amp;"#"&amp;($K83+1),Mapa_Chave,0)),Turno_Min)-($Q83+Limpeza_Min)))</f>
        <v/>
      </c>
      <c r="N83" s="14">
        <f>IF($B83="","",IF($O83="","OK",LEFT($O83,LEN($O83)-3)))</f>
        <v/>
      </c>
      <c r="O83" s="35">
        <f>IF($B83="","",IF(COUNTIF(Postos_Cod,$B83)=0,"Sala não cadastrada | ","")&amp;IF(AND(COUNTIF(Postos_Cod,$B83)&gt;0,IFERROR(INDEX(Postos_Tipo,MATCH($B83,Postos_Cod,0)),"")&lt;&gt;"Sala cirúrgica"),"Posto não é sala cirúrgica | ","")&amp;IF(COUNTIF(Esp_Nome,$E83)=0,"Especialidade não cadastrada | ","")&amp;IF(COUNTIF(Lista_StatusCir,$H83)=0,"Status inválido | ","")&amp;IF(OR(NOT(ISNUMBER($C83)),NOT(ISNUMBER($D83))),"Horário inválido | ","")&amp;IFERROR(IF(AND(ISNUMBER($C83),ISNUMBER($D83),MOD($D83-$C83,1)*1440&lt;=0),"Duração nula ou negativa | ",""),"")&amp;IF(AND($J83&gt;0,OR($P83&gt;=Turno_Min,$Q83&gt;Turno_Min)),"Fora da janela do plantão | ","")&amp;IF(AND($J83&gt;0,SUMPRODUCT((Mapa_Sala=$B83)*(Mapa_Data=$A83)*(Mapa_MinOcup&gt;0)*(Mapa_RelIni&lt;$Q83)*(Mapa_RelFim&gt;$P83))&gt;1),"Sobreposição de horário na sala | ","")&amp;IFERROR(IF(AND(ISNUMBER($I83),$I83&gt;0,COUNTIF(Esp_Nome,$E83)&gt;0,$I83&gt;3*INDEX(Esp_Dur,MATCH($E83,Esp_Nome,0))),"Duração atípica (&gt;3x a média) | ",""),""))</f>
        <v/>
      </c>
      <c r="P83" s="19">
        <f>IF(NOT(ISNUMBER($C83)),0,ROUND(MOD($C83-Turno_Ini,1)*1440,0))</f>
        <v/>
      </c>
      <c r="Q83" s="19">
        <f>IF($J83&lt;=0,0,$P83+$I83)</f>
        <v/>
      </c>
      <c r="R83" s="19">
        <f>IF($K83="","",$B83&amp;"#"&amp;$A83&amp;"#"&amp;$K83)</f>
        <v/>
      </c>
      <c r="S83" s="19">
        <f>ROW()</f>
        <v/>
      </c>
      <c r="T83" s="19">
        <f>IF($J83&lt;=0,0,MAX(0,MIN($P83+$I83+Limpeza_Min,Turno_Min,IFERROR(INDEX(Mapa_RelIni,MATCH($B83&amp;"#"&amp;$A83&amp;"#"&amp;($K83+1),Mapa_Chave,0)),Turno_Min))-MIN($P83,Turno_Min)))</f>
        <v/>
      </c>
    </row>
    <row r="84">
      <c r="A84" s="30" t="n"/>
      <c r="B84" s="31" t="n"/>
      <c r="C84" s="32" t="n"/>
      <c r="D84" s="32" t="n"/>
      <c r="E84" s="33" t="n"/>
      <c r="F84" s="33" t="n"/>
      <c r="G84" s="33" t="n"/>
      <c r="H84" s="31" t="n"/>
      <c r="I84" s="20">
        <f>IF(OR($B84="",NOT(ISNUMBER($C84)),NOT(ISNUMBER($D84))),"",ROUND(MOD($D84-$C84,1)*1440,0))</f>
        <v/>
      </c>
      <c r="J84" s="20">
        <f>IF(NOT(ISNUMBER($I84)),0,IF(OR($I84&lt;=0,$H84="Cancelada",$H84="Suspensa"),0,$I84+Limpeza_Min))</f>
        <v/>
      </c>
      <c r="K84" s="20">
        <f>IF($J84&lt;=0,"",SUMPRODUCT((Mapa_Sala=$B84)*(Mapa_Data=$A84)*(Mapa_MinOcup&gt;0)*((Mapa_RelIni&lt;$P84)+((Mapa_RelIni=$P84)*(Mapa_Row&lt;=$S84)))))</f>
        <v/>
      </c>
      <c r="L84" s="34">
        <f>IF($J84&lt;=0,"",MOD(Turno_Ini+($Q84+Limpeza_Min)/1440,1))</f>
        <v/>
      </c>
      <c r="M84" s="20">
        <f>IF($J84&lt;=0,"",MAX(0,IFERROR(INDEX(Mapa_RelIni,MATCH($B84&amp;"#"&amp;$A84&amp;"#"&amp;($K84+1),Mapa_Chave,0)),Turno_Min)-($Q84+Limpeza_Min)))</f>
        <v/>
      </c>
      <c r="N84" s="14">
        <f>IF($B84="","",IF($O84="","OK",LEFT($O84,LEN($O84)-3)))</f>
        <v/>
      </c>
      <c r="O84" s="35">
        <f>IF($B84="","",IF(COUNTIF(Postos_Cod,$B84)=0,"Sala não cadastrada | ","")&amp;IF(AND(COUNTIF(Postos_Cod,$B84)&gt;0,IFERROR(INDEX(Postos_Tipo,MATCH($B84,Postos_Cod,0)),"")&lt;&gt;"Sala cirúrgica"),"Posto não é sala cirúrgica | ","")&amp;IF(COUNTIF(Esp_Nome,$E84)=0,"Especialidade não cadastrada | ","")&amp;IF(COUNTIF(Lista_StatusCir,$H84)=0,"Status inválido | ","")&amp;IF(OR(NOT(ISNUMBER($C84)),NOT(ISNUMBER($D84))),"Horário inválido | ","")&amp;IFERROR(IF(AND(ISNUMBER($C84),ISNUMBER($D84),MOD($D84-$C84,1)*1440&lt;=0),"Duração nula ou negativa | ",""),"")&amp;IF(AND($J84&gt;0,OR($P84&gt;=Turno_Min,$Q84&gt;Turno_Min)),"Fora da janela do plantão | ","")&amp;IF(AND($J84&gt;0,SUMPRODUCT((Mapa_Sala=$B84)*(Mapa_Data=$A84)*(Mapa_MinOcup&gt;0)*(Mapa_RelIni&lt;$Q84)*(Mapa_RelFim&gt;$P84))&gt;1),"Sobreposição de horário na sala | ","")&amp;IFERROR(IF(AND(ISNUMBER($I84),$I84&gt;0,COUNTIF(Esp_Nome,$E84)&gt;0,$I84&gt;3*INDEX(Esp_Dur,MATCH($E84,Esp_Nome,0))),"Duração atípica (&gt;3x a média) | ",""),""))</f>
        <v/>
      </c>
      <c r="P84" s="19">
        <f>IF(NOT(ISNUMBER($C84)),0,ROUND(MOD($C84-Turno_Ini,1)*1440,0))</f>
        <v/>
      </c>
      <c r="Q84" s="19">
        <f>IF($J84&lt;=0,0,$P84+$I84)</f>
        <v/>
      </c>
      <c r="R84" s="19">
        <f>IF($K84="","",$B84&amp;"#"&amp;$A84&amp;"#"&amp;$K84)</f>
        <v/>
      </c>
      <c r="S84" s="19">
        <f>ROW()</f>
        <v/>
      </c>
      <c r="T84" s="19">
        <f>IF($J84&lt;=0,0,MAX(0,MIN($P84+$I84+Limpeza_Min,Turno_Min,IFERROR(INDEX(Mapa_RelIni,MATCH($B84&amp;"#"&amp;$A84&amp;"#"&amp;($K84+1),Mapa_Chave,0)),Turno_Min))-MIN($P84,Turno_Min)))</f>
        <v/>
      </c>
    </row>
    <row r="85">
      <c r="A85" s="30" t="n"/>
      <c r="B85" s="31" t="n"/>
      <c r="C85" s="32" t="n"/>
      <c r="D85" s="32" t="n"/>
      <c r="E85" s="33" t="n"/>
      <c r="F85" s="33" t="n"/>
      <c r="G85" s="33" t="n"/>
      <c r="H85" s="31" t="n"/>
      <c r="I85" s="20">
        <f>IF(OR($B85="",NOT(ISNUMBER($C85)),NOT(ISNUMBER($D85))),"",ROUND(MOD($D85-$C85,1)*1440,0))</f>
        <v/>
      </c>
      <c r="J85" s="20">
        <f>IF(NOT(ISNUMBER($I85)),0,IF(OR($I85&lt;=0,$H85="Cancelada",$H85="Suspensa"),0,$I85+Limpeza_Min))</f>
        <v/>
      </c>
      <c r="K85" s="20">
        <f>IF($J85&lt;=0,"",SUMPRODUCT((Mapa_Sala=$B85)*(Mapa_Data=$A85)*(Mapa_MinOcup&gt;0)*((Mapa_RelIni&lt;$P85)+((Mapa_RelIni=$P85)*(Mapa_Row&lt;=$S85)))))</f>
        <v/>
      </c>
      <c r="L85" s="34">
        <f>IF($J85&lt;=0,"",MOD(Turno_Ini+($Q85+Limpeza_Min)/1440,1))</f>
        <v/>
      </c>
      <c r="M85" s="20">
        <f>IF($J85&lt;=0,"",MAX(0,IFERROR(INDEX(Mapa_RelIni,MATCH($B85&amp;"#"&amp;$A85&amp;"#"&amp;($K85+1),Mapa_Chave,0)),Turno_Min)-($Q85+Limpeza_Min)))</f>
        <v/>
      </c>
      <c r="N85" s="14">
        <f>IF($B85="","",IF($O85="","OK",LEFT($O85,LEN($O85)-3)))</f>
        <v/>
      </c>
      <c r="O85" s="35">
        <f>IF($B85="","",IF(COUNTIF(Postos_Cod,$B85)=0,"Sala não cadastrada | ","")&amp;IF(AND(COUNTIF(Postos_Cod,$B85)&gt;0,IFERROR(INDEX(Postos_Tipo,MATCH($B85,Postos_Cod,0)),"")&lt;&gt;"Sala cirúrgica"),"Posto não é sala cirúrgica | ","")&amp;IF(COUNTIF(Esp_Nome,$E85)=0,"Especialidade não cadastrada | ","")&amp;IF(COUNTIF(Lista_StatusCir,$H85)=0,"Status inválido | ","")&amp;IF(OR(NOT(ISNUMBER($C85)),NOT(ISNUMBER($D85))),"Horário inválido | ","")&amp;IFERROR(IF(AND(ISNUMBER($C85),ISNUMBER($D85),MOD($D85-$C85,1)*1440&lt;=0),"Duração nula ou negativa | ",""),"")&amp;IF(AND($J85&gt;0,OR($P85&gt;=Turno_Min,$Q85&gt;Turno_Min)),"Fora da janela do plantão | ","")&amp;IF(AND($J85&gt;0,SUMPRODUCT((Mapa_Sala=$B85)*(Mapa_Data=$A85)*(Mapa_MinOcup&gt;0)*(Mapa_RelIni&lt;$Q85)*(Mapa_RelFim&gt;$P85))&gt;1),"Sobreposição de horário na sala | ","")&amp;IFERROR(IF(AND(ISNUMBER($I85),$I85&gt;0,COUNTIF(Esp_Nome,$E85)&gt;0,$I85&gt;3*INDEX(Esp_Dur,MATCH($E85,Esp_Nome,0))),"Duração atípica (&gt;3x a média) | ",""),""))</f>
        <v/>
      </c>
      <c r="P85" s="19">
        <f>IF(NOT(ISNUMBER($C85)),0,ROUND(MOD($C85-Turno_Ini,1)*1440,0))</f>
        <v/>
      </c>
      <c r="Q85" s="19">
        <f>IF($J85&lt;=0,0,$P85+$I85)</f>
        <v/>
      </c>
      <c r="R85" s="19">
        <f>IF($K85="","",$B85&amp;"#"&amp;$A85&amp;"#"&amp;$K85)</f>
        <v/>
      </c>
      <c r="S85" s="19">
        <f>ROW()</f>
        <v/>
      </c>
      <c r="T85" s="19">
        <f>IF($J85&lt;=0,0,MAX(0,MIN($P85+$I85+Limpeza_Min,Turno_Min,IFERROR(INDEX(Mapa_RelIni,MATCH($B85&amp;"#"&amp;$A85&amp;"#"&amp;($K85+1),Mapa_Chave,0)),Turno_Min))-MIN($P85,Turno_Min)))</f>
        <v/>
      </c>
    </row>
    <row r="86">
      <c r="A86" s="30" t="n"/>
      <c r="B86" s="31" t="n"/>
      <c r="C86" s="32" t="n"/>
      <c r="D86" s="32" t="n"/>
      <c r="E86" s="33" t="n"/>
      <c r="F86" s="33" t="n"/>
      <c r="G86" s="33" t="n"/>
      <c r="H86" s="31" t="n"/>
      <c r="I86" s="20">
        <f>IF(OR($B86="",NOT(ISNUMBER($C86)),NOT(ISNUMBER($D86))),"",ROUND(MOD($D86-$C86,1)*1440,0))</f>
        <v/>
      </c>
      <c r="J86" s="20">
        <f>IF(NOT(ISNUMBER($I86)),0,IF(OR($I86&lt;=0,$H86="Cancelada",$H86="Suspensa"),0,$I86+Limpeza_Min))</f>
        <v/>
      </c>
      <c r="K86" s="20">
        <f>IF($J86&lt;=0,"",SUMPRODUCT((Mapa_Sala=$B86)*(Mapa_Data=$A86)*(Mapa_MinOcup&gt;0)*((Mapa_RelIni&lt;$P86)+((Mapa_RelIni=$P86)*(Mapa_Row&lt;=$S86)))))</f>
        <v/>
      </c>
      <c r="L86" s="34">
        <f>IF($J86&lt;=0,"",MOD(Turno_Ini+($Q86+Limpeza_Min)/1440,1))</f>
        <v/>
      </c>
      <c r="M86" s="20">
        <f>IF($J86&lt;=0,"",MAX(0,IFERROR(INDEX(Mapa_RelIni,MATCH($B86&amp;"#"&amp;$A86&amp;"#"&amp;($K86+1),Mapa_Chave,0)),Turno_Min)-($Q86+Limpeza_Min)))</f>
        <v/>
      </c>
      <c r="N86" s="14">
        <f>IF($B86="","",IF($O86="","OK",LEFT($O86,LEN($O86)-3)))</f>
        <v/>
      </c>
      <c r="O86" s="35">
        <f>IF($B86="","",IF(COUNTIF(Postos_Cod,$B86)=0,"Sala não cadastrada | ","")&amp;IF(AND(COUNTIF(Postos_Cod,$B86)&gt;0,IFERROR(INDEX(Postos_Tipo,MATCH($B86,Postos_Cod,0)),"")&lt;&gt;"Sala cirúrgica"),"Posto não é sala cirúrgica | ","")&amp;IF(COUNTIF(Esp_Nome,$E86)=0,"Especialidade não cadastrada | ","")&amp;IF(COUNTIF(Lista_StatusCir,$H86)=0,"Status inválido | ","")&amp;IF(OR(NOT(ISNUMBER($C86)),NOT(ISNUMBER($D86))),"Horário inválido | ","")&amp;IFERROR(IF(AND(ISNUMBER($C86),ISNUMBER($D86),MOD($D86-$C86,1)*1440&lt;=0),"Duração nula ou negativa | ",""),"")&amp;IF(AND($J86&gt;0,OR($P86&gt;=Turno_Min,$Q86&gt;Turno_Min)),"Fora da janela do plantão | ","")&amp;IF(AND($J86&gt;0,SUMPRODUCT((Mapa_Sala=$B86)*(Mapa_Data=$A86)*(Mapa_MinOcup&gt;0)*(Mapa_RelIni&lt;$Q86)*(Mapa_RelFim&gt;$P86))&gt;1),"Sobreposição de horário na sala | ","")&amp;IFERROR(IF(AND(ISNUMBER($I86),$I86&gt;0,COUNTIF(Esp_Nome,$E86)&gt;0,$I86&gt;3*INDEX(Esp_Dur,MATCH($E86,Esp_Nome,0))),"Duração atípica (&gt;3x a média) | ",""),""))</f>
        <v/>
      </c>
      <c r="P86" s="19">
        <f>IF(NOT(ISNUMBER($C86)),0,ROUND(MOD($C86-Turno_Ini,1)*1440,0))</f>
        <v/>
      </c>
      <c r="Q86" s="19">
        <f>IF($J86&lt;=0,0,$P86+$I86)</f>
        <v/>
      </c>
      <c r="R86" s="19">
        <f>IF($K86="","",$B86&amp;"#"&amp;$A86&amp;"#"&amp;$K86)</f>
        <v/>
      </c>
      <c r="S86" s="19">
        <f>ROW()</f>
        <v/>
      </c>
      <c r="T86" s="19">
        <f>IF($J86&lt;=0,0,MAX(0,MIN($P86+$I86+Limpeza_Min,Turno_Min,IFERROR(INDEX(Mapa_RelIni,MATCH($B86&amp;"#"&amp;$A86&amp;"#"&amp;($K86+1),Mapa_Chave,0)),Turno_Min))-MIN($P86,Turno_Min)))</f>
        <v/>
      </c>
    </row>
    <row r="87">
      <c r="A87" s="30" t="n"/>
      <c r="B87" s="31" t="n"/>
      <c r="C87" s="32" t="n"/>
      <c r="D87" s="32" t="n"/>
      <c r="E87" s="33" t="n"/>
      <c r="F87" s="33" t="n"/>
      <c r="G87" s="33" t="n"/>
      <c r="H87" s="31" t="n"/>
      <c r="I87" s="20">
        <f>IF(OR($B87="",NOT(ISNUMBER($C87)),NOT(ISNUMBER($D87))),"",ROUND(MOD($D87-$C87,1)*1440,0))</f>
        <v/>
      </c>
      <c r="J87" s="20">
        <f>IF(NOT(ISNUMBER($I87)),0,IF(OR($I87&lt;=0,$H87="Cancelada",$H87="Suspensa"),0,$I87+Limpeza_Min))</f>
        <v/>
      </c>
      <c r="K87" s="20">
        <f>IF($J87&lt;=0,"",SUMPRODUCT((Mapa_Sala=$B87)*(Mapa_Data=$A87)*(Mapa_MinOcup&gt;0)*((Mapa_RelIni&lt;$P87)+((Mapa_RelIni=$P87)*(Mapa_Row&lt;=$S87)))))</f>
        <v/>
      </c>
      <c r="L87" s="34">
        <f>IF($J87&lt;=0,"",MOD(Turno_Ini+($Q87+Limpeza_Min)/1440,1))</f>
        <v/>
      </c>
      <c r="M87" s="20">
        <f>IF($J87&lt;=0,"",MAX(0,IFERROR(INDEX(Mapa_RelIni,MATCH($B87&amp;"#"&amp;$A87&amp;"#"&amp;($K87+1),Mapa_Chave,0)),Turno_Min)-($Q87+Limpeza_Min)))</f>
        <v/>
      </c>
      <c r="N87" s="14">
        <f>IF($B87="","",IF($O87="","OK",LEFT($O87,LEN($O87)-3)))</f>
        <v/>
      </c>
      <c r="O87" s="35">
        <f>IF($B87="","",IF(COUNTIF(Postos_Cod,$B87)=0,"Sala não cadastrada | ","")&amp;IF(AND(COUNTIF(Postos_Cod,$B87)&gt;0,IFERROR(INDEX(Postos_Tipo,MATCH($B87,Postos_Cod,0)),"")&lt;&gt;"Sala cirúrgica"),"Posto não é sala cirúrgica | ","")&amp;IF(COUNTIF(Esp_Nome,$E87)=0,"Especialidade não cadastrada | ","")&amp;IF(COUNTIF(Lista_StatusCir,$H87)=0,"Status inválido | ","")&amp;IF(OR(NOT(ISNUMBER($C87)),NOT(ISNUMBER($D87))),"Horário inválido | ","")&amp;IFERROR(IF(AND(ISNUMBER($C87),ISNUMBER($D87),MOD($D87-$C87,1)*1440&lt;=0),"Duração nula ou negativa | ",""),"")&amp;IF(AND($J87&gt;0,OR($P87&gt;=Turno_Min,$Q87&gt;Turno_Min)),"Fora da janela do plantão | ","")&amp;IF(AND($J87&gt;0,SUMPRODUCT((Mapa_Sala=$B87)*(Mapa_Data=$A87)*(Mapa_MinOcup&gt;0)*(Mapa_RelIni&lt;$Q87)*(Mapa_RelFim&gt;$P87))&gt;1),"Sobreposição de horário na sala | ","")&amp;IFERROR(IF(AND(ISNUMBER($I87),$I87&gt;0,COUNTIF(Esp_Nome,$E87)&gt;0,$I87&gt;3*INDEX(Esp_Dur,MATCH($E87,Esp_Nome,0))),"Duração atípica (&gt;3x a média) | ",""),""))</f>
        <v/>
      </c>
      <c r="P87" s="19">
        <f>IF(NOT(ISNUMBER($C87)),0,ROUND(MOD($C87-Turno_Ini,1)*1440,0))</f>
        <v/>
      </c>
      <c r="Q87" s="19">
        <f>IF($J87&lt;=0,0,$P87+$I87)</f>
        <v/>
      </c>
      <c r="R87" s="19">
        <f>IF($K87="","",$B87&amp;"#"&amp;$A87&amp;"#"&amp;$K87)</f>
        <v/>
      </c>
      <c r="S87" s="19">
        <f>ROW()</f>
        <v/>
      </c>
      <c r="T87" s="19">
        <f>IF($J87&lt;=0,0,MAX(0,MIN($P87+$I87+Limpeza_Min,Turno_Min,IFERROR(INDEX(Mapa_RelIni,MATCH($B87&amp;"#"&amp;$A87&amp;"#"&amp;($K87+1),Mapa_Chave,0)),Turno_Min))-MIN($P87,Turno_Min)))</f>
        <v/>
      </c>
    </row>
    <row r="88">
      <c r="A88" s="30" t="n"/>
      <c r="B88" s="31" t="n"/>
      <c r="C88" s="32" t="n"/>
      <c r="D88" s="32" t="n"/>
      <c r="E88" s="33" t="n"/>
      <c r="F88" s="33" t="n"/>
      <c r="G88" s="33" t="n"/>
      <c r="H88" s="31" t="n"/>
      <c r="I88" s="20">
        <f>IF(OR($B88="",NOT(ISNUMBER($C88)),NOT(ISNUMBER($D88))),"",ROUND(MOD($D88-$C88,1)*1440,0))</f>
        <v/>
      </c>
      <c r="J88" s="20">
        <f>IF(NOT(ISNUMBER($I88)),0,IF(OR($I88&lt;=0,$H88="Cancelada",$H88="Suspensa"),0,$I88+Limpeza_Min))</f>
        <v/>
      </c>
      <c r="K88" s="20">
        <f>IF($J88&lt;=0,"",SUMPRODUCT((Mapa_Sala=$B88)*(Mapa_Data=$A88)*(Mapa_MinOcup&gt;0)*((Mapa_RelIni&lt;$P88)+((Mapa_RelIni=$P88)*(Mapa_Row&lt;=$S88)))))</f>
        <v/>
      </c>
      <c r="L88" s="34">
        <f>IF($J88&lt;=0,"",MOD(Turno_Ini+($Q88+Limpeza_Min)/1440,1))</f>
        <v/>
      </c>
      <c r="M88" s="20">
        <f>IF($J88&lt;=0,"",MAX(0,IFERROR(INDEX(Mapa_RelIni,MATCH($B88&amp;"#"&amp;$A88&amp;"#"&amp;($K88+1),Mapa_Chave,0)),Turno_Min)-($Q88+Limpeza_Min)))</f>
        <v/>
      </c>
      <c r="N88" s="14">
        <f>IF($B88="","",IF($O88="","OK",LEFT($O88,LEN($O88)-3)))</f>
        <v/>
      </c>
      <c r="O88" s="35">
        <f>IF($B88="","",IF(COUNTIF(Postos_Cod,$B88)=0,"Sala não cadastrada | ","")&amp;IF(AND(COUNTIF(Postos_Cod,$B88)&gt;0,IFERROR(INDEX(Postos_Tipo,MATCH($B88,Postos_Cod,0)),"")&lt;&gt;"Sala cirúrgica"),"Posto não é sala cirúrgica | ","")&amp;IF(COUNTIF(Esp_Nome,$E88)=0,"Especialidade não cadastrada | ","")&amp;IF(COUNTIF(Lista_StatusCir,$H88)=0,"Status inválido | ","")&amp;IF(OR(NOT(ISNUMBER($C88)),NOT(ISNUMBER($D88))),"Horário inválido | ","")&amp;IFERROR(IF(AND(ISNUMBER($C88),ISNUMBER($D88),MOD($D88-$C88,1)*1440&lt;=0),"Duração nula ou negativa | ",""),"")&amp;IF(AND($J88&gt;0,OR($P88&gt;=Turno_Min,$Q88&gt;Turno_Min)),"Fora da janela do plantão | ","")&amp;IF(AND($J88&gt;0,SUMPRODUCT((Mapa_Sala=$B88)*(Mapa_Data=$A88)*(Mapa_MinOcup&gt;0)*(Mapa_RelIni&lt;$Q88)*(Mapa_RelFim&gt;$P88))&gt;1),"Sobreposição de horário na sala | ","")&amp;IFERROR(IF(AND(ISNUMBER($I88),$I88&gt;0,COUNTIF(Esp_Nome,$E88)&gt;0,$I88&gt;3*INDEX(Esp_Dur,MATCH($E88,Esp_Nome,0))),"Duração atípica (&gt;3x a média) | ",""),""))</f>
        <v/>
      </c>
      <c r="P88" s="19">
        <f>IF(NOT(ISNUMBER($C88)),0,ROUND(MOD($C88-Turno_Ini,1)*1440,0))</f>
        <v/>
      </c>
      <c r="Q88" s="19">
        <f>IF($J88&lt;=0,0,$P88+$I88)</f>
        <v/>
      </c>
      <c r="R88" s="19">
        <f>IF($K88="","",$B88&amp;"#"&amp;$A88&amp;"#"&amp;$K88)</f>
        <v/>
      </c>
      <c r="S88" s="19">
        <f>ROW()</f>
        <v/>
      </c>
      <c r="T88" s="19">
        <f>IF($J88&lt;=0,0,MAX(0,MIN($P88+$I88+Limpeza_Min,Turno_Min,IFERROR(INDEX(Mapa_RelIni,MATCH($B88&amp;"#"&amp;$A88&amp;"#"&amp;($K88+1),Mapa_Chave,0)),Turno_Min))-MIN($P88,Turno_Min)))</f>
        <v/>
      </c>
    </row>
    <row r="89">
      <c r="A89" s="30" t="n"/>
      <c r="B89" s="31" t="n"/>
      <c r="C89" s="32" t="n"/>
      <c r="D89" s="32" t="n"/>
      <c r="E89" s="33" t="n"/>
      <c r="F89" s="33" t="n"/>
      <c r="G89" s="33" t="n"/>
      <c r="H89" s="31" t="n"/>
      <c r="I89" s="20">
        <f>IF(OR($B89="",NOT(ISNUMBER($C89)),NOT(ISNUMBER($D89))),"",ROUND(MOD($D89-$C89,1)*1440,0))</f>
        <v/>
      </c>
      <c r="J89" s="20">
        <f>IF(NOT(ISNUMBER($I89)),0,IF(OR($I89&lt;=0,$H89="Cancelada",$H89="Suspensa"),0,$I89+Limpeza_Min))</f>
        <v/>
      </c>
      <c r="K89" s="20">
        <f>IF($J89&lt;=0,"",SUMPRODUCT((Mapa_Sala=$B89)*(Mapa_Data=$A89)*(Mapa_MinOcup&gt;0)*((Mapa_RelIni&lt;$P89)+((Mapa_RelIni=$P89)*(Mapa_Row&lt;=$S89)))))</f>
        <v/>
      </c>
      <c r="L89" s="34">
        <f>IF($J89&lt;=0,"",MOD(Turno_Ini+($Q89+Limpeza_Min)/1440,1))</f>
        <v/>
      </c>
      <c r="M89" s="20">
        <f>IF($J89&lt;=0,"",MAX(0,IFERROR(INDEX(Mapa_RelIni,MATCH($B89&amp;"#"&amp;$A89&amp;"#"&amp;($K89+1),Mapa_Chave,0)),Turno_Min)-($Q89+Limpeza_Min)))</f>
        <v/>
      </c>
      <c r="N89" s="14">
        <f>IF($B89="","",IF($O89="","OK",LEFT($O89,LEN($O89)-3)))</f>
        <v/>
      </c>
      <c r="O89" s="35">
        <f>IF($B89="","",IF(COUNTIF(Postos_Cod,$B89)=0,"Sala não cadastrada | ","")&amp;IF(AND(COUNTIF(Postos_Cod,$B89)&gt;0,IFERROR(INDEX(Postos_Tipo,MATCH($B89,Postos_Cod,0)),"")&lt;&gt;"Sala cirúrgica"),"Posto não é sala cirúrgica | ","")&amp;IF(COUNTIF(Esp_Nome,$E89)=0,"Especialidade não cadastrada | ","")&amp;IF(COUNTIF(Lista_StatusCir,$H89)=0,"Status inválido | ","")&amp;IF(OR(NOT(ISNUMBER($C89)),NOT(ISNUMBER($D89))),"Horário inválido | ","")&amp;IFERROR(IF(AND(ISNUMBER($C89),ISNUMBER($D89),MOD($D89-$C89,1)*1440&lt;=0),"Duração nula ou negativa | ",""),"")&amp;IF(AND($J89&gt;0,OR($P89&gt;=Turno_Min,$Q89&gt;Turno_Min)),"Fora da janela do plantão | ","")&amp;IF(AND($J89&gt;0,SUMPRODUCT((Mapa_Sala=$B89)*(Mapa_Data=$A89)*(Mapa_MinOcup&gt;0)*(Mapa_RelIni&lt;$Q89)*(Mapa_RelFim&gt;$P89))&gt;1),"Sobreposição de horário na sala | ","")&amp;IFERROR(IF(AND(ISNUMBER($I89),$I89&gt;0,COUNTIF(Esp_Nome,$E89)&gt;0,$I89&gt;3*INDEX(Esp_Dur,MATCH($E89,Esp_Nome,0))),"Duração atípica (&gt;3x a média) | ",""),""))</f>
        <v/>
      </c>
      <c r="P89" s="19">
        <f>IF(NOT(ISNUMBER($C89)),0,ROUND(MOD($C89-Turno_Ini,1)*1440,0))</f>
        <v/>
      </c>
      <c r="Q89" s="19">
        <f>IF($J89&lt;=0,0,$P89+$I89)</f>
        <v/>
      </c>
      <c r="R89" s="19">
        <f>IF($K89="","",$B89&amp;"#"&amp;$A89&amp;"#"&amp;$K89)</f>
        <v/>
      </c>
      <c r="S89" s="19">
        <f>ROW()</f>
        <v/>
      </c>
      <c r="T89" s="19">
        <f>IF($J89&lt;=0,0,MAX(0,MIN($P89+$I89+Limpeza_Min,Turno_Min,IFERROR(INDEX(Mapa_RelIni,MATCH($B89&amp;"#"&amp;$A89&amp;"#"&amp;($K89+1),Mapa_Chave,0)),Turno_Min))-MIN($P89,Turno_Min)))</f>
        <v/>
      </c>
    </row>
    <row r="90">
      <c r="A90" s="30" t="n"/>
      <c r="B90" s="31" t="n"/>
      <c r="C90" s="32" t="n"/>
      <c r="D90" s="32" t="n"/>
      <c r="E90" s="33" t="n"/>
      <c r="F90" s="33" t="n"/>
      <c r="G90" s="33" t="n"/>
      <c r="H90" s="31" t="n"/>
      <c r="I90" s="20">
        <f>IF(OR($B90="",NOT(ISNUMBER($C90)),NOT(ISNUMBER($D90))),"",ROUND(MOD($D90-$C90,1)*1440,0))</f>
        <v/>
      </c>
      <c r="J90" s="20">
        <f>IF(NOT(ISNUMBER($I90)),0,IF(OR($I90&lt;=0,$H90="Cancelada",$H90="Suspensa"),0,$I90+Limpeza_Min))</f>
        <v/>
      </c>
      <c r="K90" s="20">
        <f>IF($J90&lt;=0,"",SUMPRODUCT((Mapa_Sala=$B90)*(Mapa_Data=$A90)*(Mapa_MinOcup&gt;0)*((Mapa_RelIni&lt;$P90)+((Mapa_RelIni=$P90)*(Mapa_Row&lt;=$S90)))))</f>
        <v/>
      </c>
      <c r="L90" s="34">
        <f>IF($J90&lt;=0,"",MOD(Turno_Ini+($Q90+Limpeza_Min)/1440,1))</f>
        <v/>
      </c>
      <c r="M90" s="20">
        <f>IF($J90&lt;=0,"",MAX(0,IFERROR(INDEX(Mapa_RelIni,MATCH($B90&amp;"#"&amp;$A90&amp;"#"&amp;($K90+1),Mapa_Chave,0)),Turno_Min)-($Q90+Limpeza_Min)))</f>
        <v/>
      </c>
      <c r="N90" s="14">
        <f>IF($B90="","",IF($O90="","OK",LEFT($O90,LEN($O90)-3)))</f>
        <v/>
      </c>
      <c r="O90" s="35">
        <f>IF($B90="","",IF(COUNTIF(Postos_Cod,$B90)=0,"Sala não cadastrada | ","")&amp;IF(AND(COUNTIF(Postos_Cod,$B90)&gt;0,IFERROR(INDEX(Postos_Tipo,MATCH($B90,Postos_Cod,0)),"")&lt;&gt;"Sala cirúrgica"),"Posto não é sala cirúrgica | ","")&amp;IF(COUNTIF(Esp_Nome,$E90)=0,"Especialidade não cadastrada | ","")&amp;IF(COUNTIF(Lista_StatusCir,$H90)=0,"Status inválido | ","")&amp;IF(OR(NOT(ISNUMBER($C90)),NOT(ISNUMBER($D90))),"Horário inválido | ","")&amp;IFERROR(IF(AND(ISNUMBER($C90),ISNUMBER($D90),MOD($D90-$C90,1)*1440&lt;=0),"Duração nula ou negativa | ",""),"")&amp;IF(AND($J90&gt;0,OR($P90&gt;=Turno_Min,$Q90&gt;Turno_Min)),"Fora da janela do plantão | ","")&amp;IF(AND($J90&gt;0,SUMPRODUCT((Mapa_Sala=$B90)*(Mapa_Data=$A90)*(Mapa_MinOcup&gt;0)*(Mapa_RelIni&lt;$Q90)*(Mapa_RelFim&gt;$P90))&gt;1),"Sobreposição de horário na sala | ","")&amp;IFERROR(IF(AND(ISNUMBER($I90),$I90&gt;0,COUNTIF(Esp_Nome,$E90)&gt;0,$I90&gt;3*INDEX(Esp_Dur,MATCH($E90,Esp_Nome,0))),"Duração atípica (&gt;3x a média) | ",""),""))</f>
        <v/>
      </c>
      <c r="P90" s="19">
        <f>IF(NOT(ISNUMBER($C90)),0,ROUND(MOD($C90-Turno_Ini,1)*1440,0))</f>
        <v/>
      </c>
      <c r="Q90" s="19">
        <f>IF($J90&lt;=0,0,$P90+$I90)</f>
        <v/>
      </c>
      <c r="R90" s="19">
        <f>IF($K90="","",$B90&amp;"#"&amp;$A90&amp;"#"&amp;$K90)</f>
        <v/>
      </c>
      <c r="S90" s="19">
        <f>ROW()</f>
        <v/>
      </c>
      <c r="T90" s="19">
        <f>IF($J90&lt;=0,0,MAX(0,MIN($P90+$I90+Limpeza_Min,Turno_Min,IFERROR(INDEX(Mapa_RelIni,MATCH($B90&amp;"#"&amp;$A90&amp;"#"&amp;($K90+1),Mapa_Chave,0)),Turno_Min))-MIN($P90,Turno_Min)))</f>
        <v/>
      </c>
    </row>
    <row r="91">
      <c r="A91" s="30" t="n"/>
      <c r="B91" s="31" t="n"/>
      <c r="C91" s="32" t="n"/>
      <c r="D91" s="32" t="n"/>
      <c r="E91" s="33" t="n"/>
      <c r="F91" s="33" t="n"/>
      <c r="G91" s="33" t="n"/>
      <c r="H91" s="31" t="n"/>
      <c r="I91" s="20">
        <f>IF(OR($B91="",NOT(ISNUMBER($C91)),NOT(ISNUMBER($D91))),"",ROUND(MOD($D91-$C91,1)*1440,0))</f>
        <v/>
      </c>
      <c r="J91" s="20">
        <f>IF(NOT(ISNUMBER($I91)),0,IF(OR($I91&lt;=0,$H91="Cancelada",$H91="Suspensa"),0,$I91+Limpeza_Min))</f>
        <v/>
      </c>
      <c r="K91" s="20">
        <f>IF($J91&lt;=0,"",SUMPRODUCT((Mapa_Sala=$B91)*(Mapa_Data=$A91)*(Mapa_MinOcup&gt;0)*((Mapa_RelIni&lt;$P91)+((Mapa_RelIni=$P91)*(Mapa_Row&lt;=$S91)))))</f>
        <v/>
      </c>
      <c r="L91" s="34">
        <f>IF($J91&lt;=0,"",MOD(Turno_Ini+($Q91+Limpeza_Min)/1440,1))</f>
        <v/>
      </c>
      <c r="M91" s="20">
        <f>IF($J91&lt;=0,"",MAX(0,IFERROR(INDEX(Mapa_RelIni,MATCH($B91&amp;"#"&amp;$A91&amp;"#"&amp;($K91+1),Mapa_Chave,0)),Turno_Min)-($Q91+Limpeza_Min)))</f>
        <v/>
      </c>
      <c r="N91" s="14">
        <f>IF($B91="","",IF($O91="","OK",LEFT($O91,LEN($O91)-3)))</f>
        <v/>
      </c>
      <c r="O91" s="35">
        <f>IF($B91="","",IF(COUNTIF(Postos_Cod,$B91)=0,"Sala não cadastrada | ","")&amp;IF(AND(COUNTIF(Postos_Cod,$B91)&gt;0,IFERROR(INDEX(Postos_Tipo,MATCH($B91,Postos_Cod,0)),"")&lt;&gt;"Sala cirúrgica"),"Posto não é sala cirúrgica | ","")&amp;IF(COUNTIF(Esp_Nome,$E91)=0,"Especialidade não cadastrada | ","")&amp;IF(COUNTIF(Lista_StatusCir,$H91)=0,"Status inválido | ","")&amp;IF(OR(NOT(ISNUMBER($C91)),NOT(ISNUMBER($D91))),"Horário inválido | ","")&amp;IFERROR(IF(AND(ISNUMBER($C91),ISNUMBER($D91),MOD($D91-$C91,1)*1440&lt;=0),"Duração nula ou negativa | ",""),"")&amp;IF(AND($J91&gt;0,OR($P91&gt;=Turno_Min,$Q91&gt;Turno_Min)),"Fora da janela do plantão | ","")&amp;IF(AND($J91&gt;0,SUMPRODUCT((Mapa_Sala=$B91)*(Mapa_Data=$A91)*(Mapa_MinOcup&gt;0)*(Mapa_RelIni&lt;$Q91)*(Mapa_RelFim&gt;$P91))&gt;1),"Sobreposição de horário na sala | ","")&amp;IFERROR(IF(AND(ISNUMBER($I91),$I91&gt;0,COUNTIF(Esp_Nome,$E91)&gt;0,$I91&gt;3*INDEX(Esp_Dur,MATCH($E91,Esp_Nome,0))),"Duração atípica (&gt;3x a média) | ",""),""))</f>
        <v/>
      </c>
      <c r="P91" s="19">
        <f>IF(NOT(ISNUMBER($C91)),0,ROUND(MOD($C91-Turno_Ini,1)*1440,0))</f>
        <v/>
      </c>
      <c r="Q91" s="19">
        <f>IF($J91&lt;=0,0,$P91+$I91)</f>
        <v/>
      </c>
      <c r="R91" s="19">
        <f>IF($K91="","",$B91&amp;"#"&amp;$A91&amp;"#"&amp;$K91)</f>
        <v/>
      </c>
      <c r="S91" s="19">
        <f>ROW()</f>
        <v/>
      </c>
      <c r="T91" s="19">
        <f>IF($J91&lt;=0,0,MAX(0,MIN($P91+$I91+Limpeza_Min,Turno_Min,IFERROR(INDEX(Mapa_RelIni,MATCH($B91&amp;"#"&amp;$A91&amp;"#"&amp;($K91+1),Mapa_Chave,0)),Turno_Min))-MIN($P91,Turno_Min)))</f>
        <v/>
      </c>
    </row>
    <row r="92">
      <c r="A92" s="30" t="n"/>
      <c r="B92" s="31" t="n"/>
      <c r="C92" s="32" t="n"/>
      <c r="D92" s="32" t="n"/>
      <c r="E92" s="33" t="n"/>
      <c r="F92" s="33" t="n"/>
      <c r="G92" s="33" t="n"/>
      <c r="H92" s="31" t="n"/>
      <c r="I92" s="20">
        <f>IF(OR($B92="",NOT(ISNUMBER($C92)),NOT(ISNUMBER($D92))),"",ROUND(MOD($D92-$C92,1)*1440,0))</f>
        <v/>
      </c>
      <c r="J92" s="20">
        <f>IF(NOT(ISNUMBER($I92)),0,IF(OR($I92&lt;=0,$H92="Cancelada",$H92="Suspensa"),0,$I92+Limpeza_Min))</f>
        <v/>
      </c>
      <c r="K92" s="20">
        <f>IF($J92&lt;=0,"",SUMPRODUCT((Mapa_Sala=$B92)*(Mapa_Data=$A92)*(Mapa_MinOcup&gt;0)*((Mapa_RelIni&lt;$P92)+((Mapa_RelIni=$P92)*(Mapa_Row&lt;=$S92)))))</f>
        <v/>
      </c>
      <c r="L92" s="34">
        <f>IF($J92&lt;=0,"",MOD(Turno_Ini+($Q92+Limpeza_Min)/1440,1))</f>
        <v/>
      </c>
      <c r="M92" s="20">
        <f>IF($J92&lt;=0,"",MAX(0,IFERROR(INDEX(Mapa_RelIni,MATCH($B92&amp;"#"&amp;$A92&amp;"#"&amp;($K92+1),Mapa_Chave,0)),Turno_Min)-($Q92+Limpeza_Min)))</f>
        <v/>
      </c>
      <c r="N92" s="14">
        <f>IF($B92="","",IF($O92="","OK",LEFT($O92,LEN($O92)-3)))</f>
        <v/>
      </c>
      <c r="O92" s="35">
        <f>IF($B92="","",IF(COUNTIF(Postos_Cod,$B92)=0,"Sala não cadastrada | ","")&amp;IF(AND(COUNTIF(Postos_Cod,$B92)&gt;0,IFERROR(INDEX(Postos_Tipo,MATCH($B92,Postos_Cod,0)),"")&lt;&gt;"Sala cirúrgica"),"Posto não é sala cirúrgica | ","")&amp;IF(COUNTIF(Esp_Nome,$E92)=0,"Especialidade não cadastrada | ","")&amp;IF(COUNTIF(Lista_StatusCir,$H92)=0,"Status inválido | ","")&amp;IF(OR(NOT(ISNUMBER($C92)),NOT(ISNUMBER($D92))),"Horário inválido | ","")&amp;IFERROR(IF(AND(ISNUMBER($C92),ISNUMBER($D92),MOD($D92-$C92,1)*1440&lt;=0),"Duração nula ou negativa | ",""),"")&amp;IF(AND($J92&gt;0,OR($P92&gt;=Turno_Min,$Q92&gt;Turno_Min)),"Fora da janela do plantão | ","")&amp;IF(AND($J92&gt;0,SUMPRODUCT((Mapa_Sala=$B92)*(Mapa_Data=$A92)*(Mapa_MinOcup&gt;0)*(Mapa_RelIni&lt;$Q92)*(Mapa_RelFim&gt;$P92))&gt;1),"Sobreposição de horário na sala | ","")&amp;IFERROR(IF(AND(ISNUMBER($I92),$I92&gt;0,COUNTIF(Esp_Nome,$E92)&gt;0,$I92&gt;3*INDEX(Esp_Dur,MATCH($E92,Esp_Nome,0))),"Duração atípica (&gt;3x a média) | ",""),""))</f>
        <v/>
      </c>
      <c r="P92" s="19">
        <f>IF(NOT(ISNUMBER($C92)),0,ROUND(MOD($C92-Turno_Ini,1)*1440,0))</f>
        <v/>
      </c>
      <c r="Q92" s="19">
        <f>IF($J92&lt;=0,0,$P92+$I92)</f>
        <v/>
      </c>
      <c r="R92" s="19">
        <f>IF($K92="","",$B92&amp;"#"&amp;$A92&amp;"#"&amp;$K92)</f>
        <v/>
      </c>
      <c r="S92" s="19">
        <f>ROW()</f>
        <v/>
      </c>
      <c r="T92" s="19">
        <f>IF($J92&lt;=0,0,MAX(0,MIN($P92+$I92+Limpeza_Min,Turno_Min,IFERROR(INDEX(Mapa_RelIni,MATCH($B92&amp;"#"&amp;$A92&amp;"#"&amp;($K92+1),Mapa_Chave,0)),Turno_Min))-MIN($P92,Turno_Min)))</f>
        <v/>
      </c>
    </row>
    <row r="93">
      <c r="A93" s="30" t="n"/>
      <c r="B93" s="31" t="n"/>
      <c r="C93" s="32" t="n"/>
      <c r="D93" s="32" t="n"/>
      <c r="E93" s="33" t="n"/>
      <c r="F93" s="33" t="n"/>
      <c r="G93" s="33" t="n"/>
      <c r="H93" s="31" t="n"/>
      <c r="I93" s="20">
        <f>IF(OR($B93="",NOT(ISNUMBER($C93)),NOT(ISNUMBER($D93))),"",ROUND(MOD($D93-$C93,1)*1440,0))</f>
        <v/>
      </c>
      <c r="J93" s="20">
        <f>IF(NOT(ISNUMBER($I93)),0,IF(OR($I93&lt;=0,$H93="Cancelada",$H93="Suspensa"),0,$I93+Limpeza_Min))</f>
        <v/>
      </c>
      <c r="K93" s="20">
        <f>IF($J93&lt;=0,"",SUMPRODUCT((Mapa_Sala=$B93)*(Mapa_Data=$A93)*(Mapa_MinOcup&gt;0)*((Mapa_RelIni&lt;$P93)+((Mapa_RelIni=$P93)*(Mapa_Row&lt;=$S93)))))</f>
        <v/>
      </c>
      <c r="L93" s="34">
        <f>IF($J93&lt;=0,"",MOD(Turno_Ini+($Q93+Limpeza_Min)/1440,1))</f>
        <v/>
      </c>
      <c r="M93" s="20">
        <f>IF($J93&lt;=0,"",MAX(0,IFERROR(INDEX(Mapa_RelIni,MATCH($B93&amp;"#"&amp;$A93&amp;"#"&amp;($K93+1),Mapa_Chave,0)),Turno_Min)-($Q93+Limpeza_Min)))</f>
        <v/>
      </c>
      <c r="N93" s="14">
        <f>IF($B93="","",IF($O93="","OK",LEFT($O93,LEN($O93)-3)))</f>
        <v/>
      </c>
      <c r="O93" s="35">
        <f>IF($B93="","",IF(COUNTIF(Postos_Cod,$B93)=0,"Sala não cadastrada | ","")&amp;IF(AND(COUNTIF(Postos_Cod,$B93)&gt;0,IFERROR(INDEX(Postos_Tipo,MATCH($B93,Postos_Cod,0)),"")&lt;&gt;"Sala cirúrgica"),"Posto não é sala cirúrgica | ","")&amp;IF(COUNTIF(Esp_Nome,$E93)=0,"Especialidade não cadastrada | ","")&amp;IF(COUNTIF(Lista_StatusCir,$H93)=0,"Status inválido | ","")&amp;IF(OR(NOT(ISNUMBER($C93)),NOT(ISNUMBER($D93))),"Horário inválido | ","")&amp;IFERROR(IF(AND(ISNUMBER($C93),ISNUMBER($D93),MOD($D93-$C93,1)*1440&lt;=0),"Duração nula ou negativa | ",""),"")&amp;IF(AND($J93&gt;0,OR($P93&gt;=Turno_Min,$Q93&gt;Turno_Min)),"Fora da janela do plantão | ","")&amp;IF(AND($J93&gt;0,SUMPRODUCT((Mapa_Sala=$B93)*(Mapa_Data=$A93)*(Mapa_MinOcup&gt;0)*(Mapa_RelIni&lt;$Q93)*(Mapa_RelFim&gt;$P93))&gt;1),"Sobreposição de horário na sala | ","")&amp;IFERROR(IF(AND(ISNUMBER($I93),$I93&gt;0,COUNTIF(Esp_Nome,$E93)&gt;0,$I93&gt;3*INDEX(Esp_Dur,MATCH($E93,Esp_Nome,0))),"Duração atípica (&gt;3x a média) | ",""),""))</f>
        <v/>
      </c>
      <c r="P93" s="19">
        <f>IF(NOT(ISNUMBER($C93)),0,ROUND(MOD($C93-Turno_Ini,1)*1440,0))</f>
        <v/>
      </c>
      <c r="Q93" s="19">
        <f>IF($J93&lt;=0,0,$P93+$I93)</f>
        <v/>
      </c>
      <c r="R93" s="19">
        <f>IF($K93="","",$B93&amp;"#"&amp;$A93&amp;"#"&amp;$K93)</f>
        <v/>
      </c>
      <c r="S93" s="19">
        <f>ROW()</f>
        <v/>
      </c>
      <c r="T93" s="19">
        <f>IF($J93&lt;=0,0,MAX(0,MIN($P93+$I93+Limpeza_Min,Turno_Min,IFERROR(INDEX(Mapa_RelIni,MATCH($B93&amp;"#"&amp;$A93&amp;"#"&amp;($K93+1),Mapa_Chave,0)),Turno_Min))-MIN($P93,Turno_Min)))</f>
        <v/>
      </c>
    </row>
    <row r="94">
      <c r="A94" s="30" t="n"/>
      <c r="B94" s="31" t="n"/>
      <c r="C94" s="32" t="n"/>
      <c r="D94" s="32" t="n"/>
      <c r="E94" s="33" t="n"/>
      <c r="F94" s="33" t="n"/>
      <c r="G94" s="33" t="n"/>
      <c r="H94" s="31" t="n"/>
      <c r="I94" s="20">
        <f>IF(OR($B94="",NOT(ISNUMBER($C94)),NOT(ISNUMBER($D94))),"",ROUND(MOD($D94-$C94,1)*1440,0))</f>
        <v/>
      </c>
      <c r="J94" s="20">
        <f>IF(NOT(ISNUMBER($I94)),0,IF(OR($I94&lt;=0,$H94="Cancelada",$H94="Suspensa"),0,$I94+Limpeza_Min))</f>
        <v/>
      </c>
      <c r="K94" s="20">
        <f>IF($J94&lt;=0,"",SUMPRODUCT((Mapa_Sala=$B94)*(Mapa_Data=$A94)*(Mapa_MinOcup&gt;0)*((Mapa_RelIni&lt;$P94)+((Mapa_RelIni=$P94)*(Mapa_Row&lt;=$S94)))))</f>
        <v/>
      </c>
      <c r="L94" s="34">
        <f>IF($J94&lt;=0,"",MOD(Turno_Ini+($Q94+Limpeza_Min)/1440,1))</f>
        <v/>
      </c>
      <c r="M94" s="20">
        <f>IF($J94&lt;=0,"",MAX(0,IFERROR(INDEX(Mapa_RelIni,MATCH($B94&amp;"#"&amp;$A94&amp;"#"&amp;($K94+1),Mapa_Chave,0)),Turno_Min)-($Q94+Limpeza_Min)))</f>
        <v/>
      </c>
      <c r="N94" s="14">
        <f>IF($B94="","",IF($O94="","OK",LEFT($O94,LEN($O94)-3)))</f>
        <v/>
      </c>
      <c r="O94" s="35">
        <f>IF($B94="","",IF(COUNTIF(Postos_Cod,$B94)=0,"Sala não cadastrada | ","")&amp;IF(AND(COUNTIF(Postos_Cod,$B94)&gt;0,IFERROR(INDEX(Postos_Tipo,MATCH($B94,Postos_Cod,0)),"")&lt;&gt;"Sala cirúrgica"),"Posto não é sala cirúrgica | ","")&amp;IF(COUNTIF(Esp_Nome,$E94)=0,"Especialidade não cadastrada | ","")&amp;IF(COUNTIF(Lista_StatusCir,$H94)=0,"Status inválido | ","")&amp;IF(OR(NOT(ISNUMBER($C94)),NOT(ISNUMBER($D94))),"Horário inválido | ","")&amp;IFERROR(IF(AND(ISNUMBER($C94),ISNUMBER($D94),MOD($D94-$C94,1)*1440&lt;=0),"Duração nula ou negativa | ",""),"")&amp;IF(AND($J94&gt;0,OR($P94&gt;=Turno_Min,$Q94&gt;Turno_Min)),"Fora da janela do plantão | ","")&amp;IF(AND($J94&gt;0,SUMPRODUCT((Mapa_Sala=$B94)*(Mapa_Data=$A94)*(Mapa_MinOcup&gt;0)*(Mapa_RelIni&lt;$Q94)*(Mapa_RelFim&gt;$P94))&gt;1),"Sobreposição de horário na sala | ","")&amp;IFERROR(IF(AND(ISNUMBER($I94),$I94&gt;0,COUNTIF(Esp_Nome,$E94)&gt;0,$I94&gt;3*INDEX(Esp_Dur,MATCH($E94,Esp_Nome,0))),"Duração atípica (&gt;3x a média) | ",""),""))</f>
        <v/>
      </c>
      <c r="P94" s="19">
        <f>IF(NOT(ISNUMBER($C94)),0,ROUND(MOD($C94-Turno_Ini,1)*1440,0))</f>
        <v/>
      </c>
      <c r="Q94" s="19">
        <f>IF($J94&lt;=0,0,$P94+$I94)</f>
        <v/>
      </c>
      <c r="R94" s="19">
        <f>IF($K94="","",$B94&amp;"#"&amp;$A94&amp;"#"&amp;$K94)</f>
        <v/>
      </c>
      <c r="S94" s="19">
        <f>ROW()</f>
        <v/>
      </c>
      <c r="T94" s="19">
        <f>IF($J94&lt;=0,0,MAX(0,MIN($P94+$I94+Limpeza_Min,Turno_Min,IFERROR(INDEX(Mapa_RelIni,MATCH($B94&amp;"#"&amp;$A94&amp;"#"&amp;($K94+1),Mapa_Chave,0)),Turno_Min))-MIN($P94,Turno_Min)))</f>
        <v/>
      </c>
    </row>
    <row r="95">
      <c r="A95" s="30" t="n"/>
      <c r="B95" s="31" t="n"/>
      <c r="C95" s="32" t="n"/>
      <c r="D95" s="32" t="n"/>
      <c r="E95" s="33" t="n"/>
      <c r="F95" s="33" t="n"/>
      <c r="G95" s="33" t="n"/>
      <c r="H95" s="31" t="n"/>
      <c r="I95" s="20">
        <f>IF(OR($B95="",NOT(ISNUMBER($C95)),NOT(ISNUMBER($D95))),"",ROUND(MOD($D95-$C95,1)*1440,0))</f>
        <v/>
      </c>
      <c r="J95" s="20">
        <f>IF(NOT(ISNUMBER($I95)),0,IF(OR($I95&lt;=0,$H95="Cancelada",$H95="Suspensa"),0,$I95+Limpeza_Min))</f>
        <v/>
      </c>
      <c r="K95" s="20">
        <f>IF($J95&lt;=0,"",SUMPRODUCT((Mapa_Sala=$B95)*(Mapa_Data=$A95)*(Mapa_MinOcup&gt;0)*((Mapa_RelIni&lt;$P95)+((Mapa_RelIni=$P95)*(Mapa_Row&lt;=$S95)))))</f>
        <v/>
      </c>
      <c r="L95" s="34">
        <f>IF($J95&lt;=0,"",MOD(Turno_Ini+($Q95+Limpeza_Min)/1440,1))</f>
        <v/>
      </c>
      <c r="M95" s="20">
        <f>IF($J95&lt;=0,"",MAX(0,IFERROR(INDEX(Mapa_RelIni,MATCH($B95&amp;"#"&amp;$A95&amp;"#"&amp;($K95+1),Mapa_Chave,0)),Turno_Min)-($Q95+Limpeza_Min)))</f>
        <v/>
      </c>
      <c r="N95" s="14">
        <f>IF($B95="","",IF($O95="","OK",LEFT($O95,LEN($O95)-3)))</f>
        <v/>
      </c>
      <c r="O95" s="35">
        <f>IF($B95="","",IF(COUNTIF(Postos_Cod,$B95)=0,"Sala não cadastrada | ","")&amp;IF(AND(COUNTIF(Postos_Cod,$B95)&gt;0,IFERROR(INDEX(Postos_Tipo,MATCH($B95,Postos_Cod,0)),"")&lt;&gt;"Sala cirúrgica"),"Posto não é sala cirúrgica | ","")&amp;IF(COUNTIF(Esp_Nome,$E95)=0,"Especialidade não cadastrada | ","")&amp;IF(COUNTIF(Lista_StatusCir,$H95)=0,"Status inválido | ","")&amp;IF(OR(NOT(ISNUMBER($C95)),NOT(ISNUMBER($D95))),"Horário inválido | ","")&amp;IFERROR(IF(AND(ISNUMBER($C95),ISNUMBER($D95),MOD($D95-$C95,1)*1440&lt;=0),"Duração nula ou negativa | ",""),"")&amp;IF(AND($J95&gt;0,OR($P95&gt;=Turno_Min,$Q95&gt;Turno_Min)),"Fora da janela do plantão | ","")&amp;IF(AND($J95&gt;0,SUMPRODUCT((Mapa_Sala=$B95)*(Mapa_Data=$A95)*(Mapa_MinOcup&gt;0)*(Mapa_RelIni&lt;$Q95)*(Mapa_RelFim&gt;$P95))&gt;1),"Sobreposição de horário na sala | ","")&amp;IFERROR(IF(AND(ISNUMBER($I95),$I95&gt;0,COUNTIF(Esp_Nome,$E95)&gt;0,$I95&gt;3*INDEX(Esp_Dur,MATCH($E95,Esp_Nome,0))),"Duração atípica (&gt;3x a média) | ",""),""))</f>
        <v/>
      </c>
      <c r="P95" s="19">
        <f>IF(NOT(ISNUMBER($C95)),0,ROUND(MOD($C95-Turno_Ini,1)*1440,0))</f>
        <v/>
      </c>
      <c r="Q95" s="19">
        <f>IF($J95&lt;=0,0,$P95+$I95)</f>
        <v/>
      </c>
      <c r="R95" s="19">
        <f>IF($K95="","",$B95&amp;"#"&amp;$A95&amp;"#"&amp;$K95)</f>
        <v/>
      </c>
      <c r="S95" s="19">
        <f>ROW()</f>
        <v/>
      </c>
      <c r="T95" s="19">
        <f>IF($J95&lt;=0,0,MAX(0,MIN($P95+$I95+Limpeza_Min,Turno_Min,IFERROR(INDEX(Mapa_RelIni,MATCH($B95&amp;"#"&amp;$A95&amp;"#"&amp;($K95+1),Mapa_Chave,0)),Turno_Min))-MIN($P95,Turno_Min)))</f>
        <v/>
      </c>
    </row>
    <row r="96">
      <c r="A96" s="30" t="n"/>
      <c r="B96" s="31" t="n"/>
      <c r="C96" s="32" t="n"/>
      <c r="D96" s="32" t="n"/>
      <c r="E96" s="33" t="n"/>
      <c r="F96" s="33" t="n"/>
      <c r="G96" s="33" t="n"/>
      <c r="H96" s="31" t="n"/>
      <c r="I96" s="20">
        <f>IF(OR($B96="",NOT(ISNUMBER($C96)),NOT(ISNUMBER($D96))),"",ROUND(MOD($D96-$C96,1)*1440,0))</f>
        <v/>
      </c>
      <c r="J96" s="20">
        <f>IF(NOT(ISNUMBER($I96)),0,IF(OR($I96&lt;=0,$H96="Cancelada",$H96="Suspensa"),0,$I96+Limpeza_Min))</f>
        <v/>
      </c>
      <c r="K96" s="20">
        <f>IF($J96&lt;=0,"",SUMPRODUCT((Mapa_Sala=$B96)*(Mapa_Data=$A96)*(Mapa_MinOcup&gt;0)*((Mapa_RelIni&lt;$P96)+((Mapa_RelIni=$P96)*(Mapa_Row&lt;=$S96)))))</f>
        <v/>
      </c>
      <c r="L96" s="34">
        <f>IF($J96&lt;=0,"",MOD(Turno_Ini+($Q96+Limpeza_Min)/1440,1))</f>
        <v/>
      </c>
      <c r="M96" s="20">
        <f>IF($J96&lt;=0,"",MAX(0,IFERROR(INDEX(Mapa_RelIni,MATCH($B96&amp;"#"&amp;$A96&amp;"#"&amp;($K96+1),Mapa_Chave,0)),Turno_Min)-($Q96+Limpeza_Min)))</f>
        <v/>
      </c>
      <c r="N96" s="14">
        <f>IF($B96="","",IF($O96="","OK",LEFT($O96,LEN($O96)-3)))</f>
        <v/>
      </c>
      <c r="O96" s="35">
        <f>IF($B96="","",IF(COUNTIF(Postos_Cod,$B96)=0,"Sala não cadastrada | ","")&amp;IF(AND(COUNTIF(Postos_Cod,$B96)&gt;0,IFERROR(INDEX(Postos_Tipo,MATCH($B96,Postos_Cod,0)),"")&lt;&gt;"Sala cirúrgica"),"Posto não é sala cirúrgica | ","")&amp;IF(COUNTIF(Esp_Nome,$E96)=0,"Especialidade não cadastrada | ","")&amp;IF(COUNTIF(Lista_StatusCir,$H96)=0,"Status inválido | ","")&amp;IF(OR(NOT(ISNUMBER($C96)),NOT(ISNUMBER($D96))),"Horário inválido | ","")&amp;IFERROR(IF(AND(ISNUMBER($C96),ISNUMBER($D96),MOD($D96-$C96,1)*1440&lt;=0),"Duração nula ou negativa | ",""),"")&amp;IF(AND($J96&gt;0,OR($P96&gt;=Turno_Min,$Q96&gt;Turno_Min)),"Fora da janela do plantão | ","")&amp;IF(AND($J96&gt;0,SUMPRODUCT((Mapa_Sala=$B96)*(Mapa_Data=$A96)*(Mapa_MinOcup&gt;0)*(Mapa_RelIni&lt;$Q96)*(Mapa_RelFim&gt;$P96))&gt;1),"Sobreposição de horário na sala | ","")&amp;IFERROR(IF(AND(ISNUMBER($I96),$I96&gt;0,COUNTIF(Esp_Nome,$E96)&gt;0,$I96&gt;3*INDEX(Esp_Dur,MATCH($E96,Esp_Nome,0))),"Duração atípica (&gt;3x a média) | ",""),""))</f>
        <v/>
      </c>
      <c r="P96" s="19">
        <f>IF(NOT(ISNUMBER($C96)),0,ROUND(MOD($C96-Turno_Ini,1)*1440,0))</f>
        <v/>
      </c>
      <c r="Q96" s="19">
        <f>IF($J96&lt;=0,0,$P96+$I96)</f>
        <v/>
      </c>
      <c r="R96" s="19">
        <f>IF($K96="","",$B96&amp;"#"&amp;$A96&amp;"#"&amp;$K96)</f>
        <v/>
      </c>
      <c r="S96" s="19">
        <f>ROW()</f>
        <v/>
      </c>
      <c r="T96" s="19">
        <f>IF($J96&lt;=0,0,MAX(0,MIN($P96+$I96+Limpeza_Min,Turno_Min,IFERROR(INDEX(Mapa_RelIni,MATCH($B96&amp;"#"&amp;$A96&amp;"#"&amp;($K96+1),Mapa_Chave,0)),Turno_Min))-MIN($P96,Turno_Min)))</f>
        <v/>
      </c>
    </row>
    <row r="97">
      <c r="A97" s="30" t="n"/>
      <c r="B97" s="31" t="n"/>
      <c r="C97" s="32" t="n"/>
      <c r="D97" s="32" t="n"/>
      <c r="E97" s="33" t="n"/>
      <c r="F97" s="33" t="n"/>
      <c r="G97" s="33" t="n"/>
      <c r="H97" s="31" t="n"/>
      <c r="I97" s="20">
        <f>IF(OR($B97="",NOT(ISNUMBER($C97)),NOT(ISNUMBER($D97))),"",ROUND(MOD($D97-$C97,1)*1440,0))</f>
        <v/>
      </c>
      <c r="J97" s="20">
        <f>IF(NOT(ISNUMBER($I97)),0,IF(OR($I97&lt;=0,$H97="Cancelada",$H97="Suspensa"),0,$I97+Limpeza_Min))</f>
        <v/>
      </c>
      <c r="K97" s="20">
        <f>IF($J97&lt;=0,"",SUMPRODUCT((Mapa_Sala=$B97)*(Mapa_Data=$A97)*(Mapa_MinOcup&gt;0)*((Mapa_RelIni&lt;$P97)+((Mapa_RelIni=$P97)*(Mapa_Row&lt;=$S97)))))</f>
        <v/>
      </c>
      <c r="L97" s="34">
        <f>IF($J97&lt;=0,"",MOD(Turno_Ini+($Q97+Limpeza_Min)/1440,1))</f>
        <v/>
      </c>
      <c r="M97" s="20">
        <f>IF($J97&lt;=0,"",MAX(0,IFERROR(INDEX(Mapa_RelIni,MATCH($B97&amp;"#"&amp;$A97&amp;"#"&amp;($K97+1),Mapa_Chave,0)),Turno_Min)-($Q97+Limpeza_Min)))</f>
        <v/>
      </c>
      <c r="N97" s="14">
        <f>IF($B97="","",IF($O97="","OK",LEFT($O97,LEN($O97)-3)))</f>
        <v/>
      </c>
      <c r="O97" s="35">
        <f>IF($B97="","",IF(COUNTIF(Postos_Cod,$B97)=0,"Sala não cadastrada | ","")&amp;IF(AND(COUNTIF(Postos_Cod,$B97)&gt;0,IFERROR(INDEX(Postos_Tipo,MATCH($B97,Postos_Cod,0)),"")&lt;&gt;"Sala cirúrgica"),"Posto não é sala cirúrgica | ","")&amp;IF(COUNTIF(Esp_Nome,$E97)=0,"Especialidade não cadastrada | ","")&amp;IF(COUNTIF(Lista_StatusCir,$H97)=0,"Status inválido | ","")&amp;IF(OR(NOT(ISNUMBER($C97)),NOT(ISNUMBER($D97))),"Horário inválido | ","")&amp;IFERROR(IF(AND(ISNUMBER($C97),ISNUMBER($D97),MOD($D97-$C97,1)*1440&lt;=0),"Duração nula ou negativa | ",""),"")&amp;IF(AND($J97&gt;0,OR($P97&gt;=Turno_Min,$Q97&gt;Turno_Min)),"Fora da janela do plantão | ","")&amp;IF(AND($J97&gt;0,SUMPRODUCT((Mapa_Sala=$B97)*(Mapa_Data=$A97)*(Mapa_MinOcup&gt;0)*(Mapa_RelIni&lt;$Q97)*(Mapa_RelFim&gt;$P97))&gt;1),"Sobreposição de horário na sala | ","")&amp;IFERROR(IF(AND(ISNUMBER($I97),$I97&gt;0,COUNTIF(Esp_Nome,$E97)&gt;0,$I97&gt;3*INDEX(Esp_Dur,MATCH($E97,Esp_Nome,0))),"Duração atípica (&gt;3x a média) | ",""),""))</f>
        <v/>
      </c>
      <c r="P97" s="19">
        <f>IF(NOT(ISNUMBER($C97)),0,ROUND(MOD($C97-Turno_Ini,1)*1440,0))</f>
        <v/>
      </c>
      <c r="Q97" s="19">
        <f>IF($J97&lt;=0,0,$P97+$I97)</f>
        <v/>
      </c>
      <c r="R97" s="19">
        <f>IF($K97="","",$B97&amp;"#"&amp;$A97&amp;"#"&amp;$K97)</f>
        <v/>
      </c>
      <c r="S97" s="19">
        <f>ROW()</f>
        <v/>
      </c>
      <c r="T97" s="19">
        <f>IF($J97&lt;=0,0,MAX(0,MIN($P97+$I97+Limpeza_Min,Turno_Min,IFERROR(INDEX(Mapa_RelIni,MATCH($B97&amp;"#"&amp;$A97&amp;"#"&amp;($K97+1),Mapa_Chave,0)),Turno_Min))-MIN($P97,Turno_Min)))</f>
        <v/>
      </c>
    </row>
    <row r="98">
      <c r="A98" s="30" t="n"/>
      <c r="B98" s="31" t="n"/>
      <c r="C98" s="32" t="n"/>
      <c r="D98" s="32" t="n"/>
      <c r="E98" s="33" t="n"/>
      <c r="F98" s="33" t="n"/>
      <c r="G98" s="33" t="n"/>
      <c r="H98" s="31" t="n"/>
      <c r="I98" s="20">
        <f>IF(OR($B98="",NOT(ISNUMBER($C98)),NOT(ISNUMBER($D98))),"",ROUND(MOD($D98-$C98,1)*1440,0))</f>
        <v/>
      </c>
      <c r="J98" s="20">
        <f>IF(NOT(ISNUMBER($I98)),0,IF(OR($I98&lt;=0,$H98="Cancelada",$H98="Suspensa"),0,$I98+Limpeza_Min))</f>
        <v/>
      </c>
      <c r="K98" s="20">
        <f>IF($J98&lt;=0,"",SUMPRODUCT((Mapa_Sala=$B98)*(Mapa_Data=$A98)*(Mapa_MinOcup&gt;0)*((Mapa_RelIni&lt;$P98)+((Mapa_RelIni=$P98)*(Mapa_Row&lt;=$S98)))))</f>
        <v/>
      </c>
      <c r="L98" s="34">
        <f>IF($J98&lt;=0,"",MOD(Turno_Ini+($Q98+Limpeza_Min)/1440,1))</f>
        <v/>
      </c>
      <c r="M98" s="20">
        <f>IF($J98&lt;=0,"",MAX(0,IFERROR(INDEX(Mapa_RelIni,MATCH($B98&amp;"#"&amp;$A98&amp;"#"&amp;($K98+1),Mapa_Chave,0)),Turno_Min)-($Q98+Limpeza_Min)))</f>
        <v/>
      </c>
      <c r="N98" s="14">
        <f>IF($B98="","",IF($O98="","OK",LEFT($O98,LEN($O98)-3)))</f>
        <v/>
      </c>
      <c r="O98" s="35">
        <f>IF($B98="","",IF(COUNTIF(Postos_Cod,$B98)=0,"Sala não cadastrada | ","")&amp;IF(AND(COUNTIF(Postos_Cod,$B98)&gt;0,IFERROR(INDEX(Postos_Tipo,MATCH($B98,Postos_Cod,0)),"")&lt;&gt;"Sala cirúrgica"),"Posto não é sala cirúrgica | ","")&amp;IF(COUNTIF(Esp_Nome,$E98)=0,"Especialidade não cadastrada | ","")&amp;IF(COUNTIF(Lista_StatusCir,$H98)=0,"Status inválido | ","")&amp;IF(OR(NOT(ISNUMBER($C98)),NOT(ISNUMBER($D98))),"Horário inválido | ","")&amp;IFERROR(IF(AND(ISNUMBER($C98),ISNUMBER($D98),MOD($D98-$C98,1)*1440&lt;=0),"Duração nula ou negativa | ",""),"")&amp;IF(AND($J98&gt;0,OR($P98&gt;=Turno_Min,$Q98&gt;Turno_Min)),"Fora da janela do plantão | ","")&amp;IF(AND($J98&gt;0,SUMPRODUCT((Mapa_Sala=$B98)*(Mapa_Data=$A98)*(Mapa_MinOcup&gt;0)*(Mapa_RelIni&lt;$Q98)*(Mapa_RelFim&gt;$P98))&gt;1),"Sobreposição de horário na sala | ","")&amp;IFERROR(IF(AND(ISNUMBER($I98),$I98&gt;0,COUNTIF(Esp_Nome,$E98)&gt;0,$I98&gt;3*INDEX(Esp_Dur,MATCH($E98,Esp_Nome,0))),"Duração atípica (&gt;3x a média) | ",""),""))</f>
        <v/>
      </c>
      <c r="P98" s="19">
        <f>IF(NOT(ISNUMBER($C98)),0,ROUND(MOD($C98-Turno_Ini,1)*1440,0))</f>
        <v/>
      </c>
      <c r="Q98" s="19">
        <f>IF($J98&lt;=0,0,$P98+$I98)</f>
        <v/>
      </c>
      <c r="R98" s="19">
        <f>IF($K98="","",$B98&amp;"#"&amp;$A98&amp;"#"&amp;$K98)</f>
        <v/>
      </c>
      <c r="S98" s="19">
        <f>ROW()</f>
        <v/>
      </c>
      <c r="T98" s="19">
        <f>IF($J98&lt;=0,0,MAX(0,MIN($P98+$I98+Limpeza_Min,Turno_Min,IFERROR(INDEX(Mapa_RelIni,MATCH($B98&amp;"#"&amp;$A98&amp;"#"&amp;($K98+1),Mapa_Chave,0)),Turno_Min))-MIN($P98,Turno_Min)))</f>
        <v/>
      </c>
    </row>
    <row r="99">
      <c r="A99" s="30" t="n"/>
      <c r="B99" s="31" t="n"/>
      <c r="C99" s="32" t="n"/>
      <c r="D99" s="32" t="n"/>
      <c r="E99" s="33" t="n"/>
      <c r="F99" s="33" t="n"/>
      <c r="G99" s="33" t="n"/>
      <c r="H99" s="31" t="n"/>
      <c r="I99" s="20">
        <f>IF(OR($B99="",NOT(ISNUMBER($C99)),NOT(ISNUMBER($D99))),"",ROUND(MOD($D99-$C99,1)*1440,0))</f>
        <v/>
      </c>
      <c r="J99" s="20">
        <f>IF(NOT(ISNUMBER($I99)),0,IF(OR($I99&lt;=0,$H99="Cancelada",$H99="Suspensa"),0,$I99+Limpeza_Min))</f>
        <v/>
      </c>
      <c r="K99" s="20">
        <f>IF($J99&lt;=0,"",SUMPRODUCT((Mapa_Sala=$B99)*(Mapa_Data=$A99)*(Mapa_MinOcup&gt;0)*((Mapa_RelIni&lt;$P99)+((Mapa_RelIni=$P99)*(Mapa_Row&lt;=$S99)))))</f>
        <v/>
      </c>
      <c r="L99" s="34">
        <f>IF($J99&lt;=0,"",MOD(Turno_Ini+($Q99+Limpeza_Min)/1440,1))</f>
        <v/>
      </c>
      <c r="M99" s="20">
        <f>IF($J99&lt;=0,"",MAX(0,IFERROR(INDEX(Mapa_RelIni,MATCH($B99&amp;"#"&amp;$A99&amp;"#"&amp;($K99+1),Mapa_Chave,0)),Turno_Min)-($Q99+Limpeza_Min)))</f>
        <v/>
      </c>
      <c r="N99" s="14">
        <f>IF($B99="","",IF($O99="","OK",LEFT($O99,LEN($O99)-3)))</f>
        <v/>
      </c>
      <c r="O99" s="35">
        <f>IF($B99="","",IF(COUNTIF(Postos_Cod,$B99)=0,"Sala não cadastrada | ","")&amp;IF(AND(COUNTIF(Postos_Cod,$B99)&gt;0,IFERROR(INDEX(Postos_Tipo,MATCH($B99,Postos_Cod,0)),"")&lt;&gt;"Sala cirúrgica"),"Posto não é sala cirúrgica | ","")&amp;IF(COUNTIF(Esp_Nome,$E99)=0,"Especialidade não cadastrada | ","")&amp;IF(COUNTIF(Lista_StatusCir,$H99)=0,"Status inválido | ","")&amp;IF(OR(NOT(ISNUMBER($C99)),NOT(ISNUMBER($D99))),"Horário inválido | ","")&amp;IFERROR(IF(AND(ISNUMBER($C99),ISNUMBER($D99),MOD($D99-$C99,1)*1440&lt;=0),"Duração nula ou negativa | ",""),"")&amp;IF(AND($J99&gt;0,OR($P99&gt;=Turno_Min,$Q99&gt;Turno_Min)),"Fora da janela do plantão | ","")&amp;IF(AND($J99&gt;0,SUMPRODUCT((Mapa_Sala=$B99)*(Mapa_Data=$A99)*(Mapa_MinOcup&gt;0)*(Mapa_RelIni&lt;$Q99)*(Mapa_RelFim&gt;$P99))&gt;1),"Sobreposição de horário na sala | ","")&amp;IFERROR(IF(AND(ISNUMBER($I99),$I99&gt;0,COUNTIF(Esp_Nome,$E99)&gt;0,$I99&gt;3*INDEX(Esp_Dur,MATCH($E99,Esp_Nome,0))),"Duração atípica (&gt;3x a média) | ",""),""))</f>
        <v/>
      </c>
      <c r="P99" s="19">
        <f>IF(NOT(ISNUMBER($C99)),0,ROUND(MOD($C99-Turno_Ini,1)*1440,0))</f>
        <v/>
      </c>
      <c r="Q99" s="19">
        <f>IF($J99&lt;=0,0,$P99+$I99)</f>
        <v/>
      </c>
      <c r="R99" s="19">
        <f>IF($K99="","",$B99&amp;"#"&amp;$A99&amp;"#"&amp;$K99)</f>
        <v/>
      </c>
      <c r="S99" s="19">
        <f>ROW()</f>
        <v/>
      </c>
      <c r="T99" s="19">
        <f>IF($J99&lt;=0,0,MAX(0,MIN($P99+$I99+Limpeza_Min,Turno_Min,IFERROR(INDEX(Mapa_RelIni,MATCH($B99&amp;"#"&amp;$A99&amp;"#"&amp;($K99+1),Mapa_Chave,0)),Turno_Min))-MIN($P99,Turno_Min)))</f>
        <v/>
      </c>
    </row>
    <row r="100">
      <c r="A100" s="30" t="n"/>
      <c r="B100" s="31" t="n"/>
      <c r="C100" s="32" t="n"/>
      <c r="D100" s="32" t="n"/>
      <c r="E100" s="33" t="n"/>
      <c r="F100" s="33" t="n"/>
      <c r="G100" s="33" t="n"/>
      <c r="H100" s="31" t="n"/>
      <c r="I100" s="20">
        <f>IF(OR($B100="",NOT(ISNUMBER($C100)),NOT(ISNUMBER($D100))),"",ROUND(MOD($D100-$C100,1)*1440,0))</f>
        <v/>
      </c>
      <c r="J100" s="20">
        <f>IF(NOT(ISNUMBER($I100)),0,IF(OR($I100&lt;=0,$H100="Cancelada",$H100="Suspensa"),0,$I100+Limpeza_Min))</f>
        <v/>
      </c>
      <c r="K100" s="20">
        <f>IF($J100&lt;=0,"",SUMPRODUCT((Mapa_Sala=$B100)*(Mapa_Data=$A100)*(Mapa_MinOcup&gt;0)*((Mapa_RelIni&lt;$P100)+((Mapa_RelIni=$P100)*(Mapa_Row&lt;=$S100)))))</f>
        <v/>
      </c>
      <c r="L100" s="34">
        <f>IF($J100&lt;=0,"",MOD(Turno_Ini+($Q100+Limpeza_Min)/1440,1))</f>
        <v/>
      </c>
      <c r="M100" s="20">
        <f>IF($J100&lt;=0,"",MAX(0,IFERROR(INDEX(Mapa_RelIni,MATCH($B100&amp;"#"&amp;$A100&amp;"#"&amp;($K100+1),Mapa_Chave,0)),Turno_Min)-($Q100+Limpeza_Min)))</f>
        <v/>
      </c>
      <c r="N100" s="14">
        <f>IF($B100="","",IF($O100="","OK",LEFT($O100,LEN($O100)-3)))</f>
        <v/>
      </c>
      <c r="O100" s="35">
        <f>IF($B100="","",IF(COUNTIF(Postos_Cod,$B100)=0,"Sala não cadastrada | ","")&amp;IF(AND(COUNTIF(Postos_Cod,$B100)&gt;0,IFERROR(INDEX(Postos_Tipo,MATCH($B100,Postos_Cod,0)),"")&lt;&gt;"Sala cirúrgica"),"Posto não é sala cirúrgica | ","")&amp;IF(COUNTIF(Esp_Nome,$E100)=0,"Especialidade não cadastrada | ","")&amp;IF(COUNTIF(Lista_StatusCir,$H100)=0,"Status inválido | ","")&amp;IF(OR(NOT(ISNUMBER($C100)),NOT(ISNUMBER($D100))),"Horário inválido | ","")&amp;IFERROR(IF(AND(ISNUMBER($C100),ISNUMBER($D100),MOD($D100-$C100,1)*1440&lt;=0),"Duração nula ou negativa | ",""),"")&amp;IF(AND($J100&gt;0,OR($P100&gt;=Turno_Min,$Q100&gt;Turno_Min)),"Fora da janela do plantão | ","")&amp;IF(AND($J100&gt;0,SUMPRODUCT((Mapa_Sala=$B100)*(Mapa_Data=$A100)*(Mapa_MinOcup&gt;0)*(Mapa_RelIni&lt;$Q100)*(Mapa_RelFim&gt;$P100))&gt;1),"Sobreposição de horário na sala | ","")&amp;IFERROR(IF(AND(ISNUMBER($I100),$I100&gt;0,COUNTIF(Esp_Nome,$E100)&gt;0,$I100&gt;3*INDEX(Esp_Dur,MATCH($E100,Esp_Nome,0))),"Duração atípica (&gt;3x a média) | ",""),""))</f>
        <v/>
      </c>
      <c r="P100" s="19">
        <f>IF(NOT(ISNUMBER($C100)),0,ROUND(MOD($C100-Turno_Ini,1)*1440,0))</f>
        <v/>
      </c>
      <c r="Q100" s="19">
        <f>IF($J100&lt;=0,0,$P100+$I100)</f>
        <v/>
      </c>
      <c r="R100" s="19">
        <f>IF($K100="","",$B100&amp;"#"&amp;$A100&amp;"#"&amp;$K100)</f>
        <v/>
      </c>
      <c r="S100" s="19">
        <f>ROW()</f>
        <v/>
      </c>
      <c r="T100" s="19">
        <f>IF($J100&lt;=0,0,MAX(0,MIN($P100+$I100+Limpeza_Min,Turno_Min,IFERROR(INDEX(Mapa_RelIni,MATCH($B100&amp;"#"&amp;$A100&amp;"#"&amp;($K100+1),Mapa_Chave,0)),Turno_Min))-MIN($P100,Turno_Min)))</f>
        <v/>
      </c>
    </row>
    <row r="101">
      <c r="A101" s="30" t="n"/>
      <c r="B101" s="31" t="n"/>
      <c r="C101" s="32" t="n"/>
      <c r="D101" s="32" t="n"/>
      <c r="E101" s="33" t="n"/>
      <c r="F101" s="33" t="n"/>
      <c r="G101" s="33" t="n"/>
      <c r="H101" s="31" t="n"/>
      <c r="I101" s="20">
        <f>IF(OR($B101="",NOT(ISNUMBER($C101)),NOT(ISNUMBER($D101))),"",ROUND(MOD($D101-$C101,1)*1440,0))</f>
        <v/>
      </c>
      <c r="J101" s="20">
        <f>IF(NOT(ISNUMBER($I101)),0,IF(OR($I101&lt;=0,$H101="Cancelada",$H101="Suspensa"),0,$I101+Limpeza_Min))</f>
        <v/>
      </c>
      <c r="K101" s="20">
        <f>IF($J101&lt;=0,"",SUMPRODUCT((Mapa_Sala=$B101)*(Mapa_Data=$A101)*(Mapa_MinOcup&gt;0)*((Mapa_RelIni&lt;$P101)+((Mapa_RelIni=$P101)*(Mapa_Row&lt;=$S101)))))</f>
        <v/>
      </c>
      <c r="L101" s="34">
        <f>IF($J101&lt;=0,"",MOD(Turno_Ini+($Q101+Limpeza_Min)/1440,1))</f>
        <v/>
      </c>
      <c r="M101" s="20">
        <f>IF($J101&lt;=0,"",MAX(0,IFERROR(INDEX(Mapa_RelIni,MATCH($B101&amp;"#"&amp;$A101&amp;"#"&amp;($K101+1),Mapa_Chave,0)),Turno_Min)-($Q101+Limpeza_Min)))</f>
        <v/>
      </c>
      <c r="N101" s="14">
        <f>IF($B101="","",IF($O101="","OK",LEFT($O101,LEN($O101)-3)))</f>
        <v/>
      </c>
      <c r="O101" s="35">
        <f>IF($B101="","",IF(COUNTIF(Postos_Cod,$B101)=0,"Sala não cadastrada | ","")&amp;IF(AND(COUNTIF(Postos_Cod,$B101)&gt;0,IFERROR(INDEX(Postos_Tipo,MATCH($B101,Postos_Cod,0)),"")&lt;&gt;"Sala cirúrgica"),"Posto não é sala cirúrgica | ","")&amp;IF(COUNTIF(Esp_Nome,$E101)=0,"Especialidade não cadastrada | ","")&amp;IF(COUNTIF(Lista_StatusCir,$H101)=0,"Status inválido | ","")&amp;IF(OR(NOT(ISNUMBER($C101)),NOT(ISNUMBER($D101))),"Horário inválido | ","")&amp;IFERROR(IF(AND(ISNUMBER($C101),ISNUMBER($D101),MOD($D101-$C101,1)*1440&lt;=0),"Duração nula ou negativa | ",""),"")&amp;IF(AND($J101&gt;0,OR($P101&gt;=Turno_Min,$Q101&gt;Turno_Min)),"Fora da janela do plantão | ","")&amp;IF(AND($J101&gt;0,SUMPRODUCT((Mapa_Sala=$B101)*(Mapa_Data=$A101)*(Mapa_MinOcup&gt;0)*(Mapa_RelIni&lt;$Q101)*(Mapa_RelFim&gt;$P101))&gt;1),"Sobreposição de horário na sala | ","")&amp;IFERROR(IF(AND(ISNUMBER($I101),$I101&gt;0,COUNTIF(Esp_Nome,$E101)&gt;0,$I101&gt;3*INDEX(Esp_Dur,MATCH($E101,Esp_Nome,0))),"Duração atípica (&gt;3x a média) | ",""),""))</f>
        <v/>
      </c>
      <c r="P101" s="19">
        <f>IF(NOT(ISNUMBER($C101)),0,ROUND(MOD($C101-Turno_Ini,1)*1440,0))</f>
        <v/>
      </c>
      <c r="Q101" s="19">
        <f>IF($J101&lt;=0,0,$P101+$I101)</f>
        <v/>
      </c>
      <c r="R101" s="19">
        <f>IF($K101="","",$B101&amp;"#"&amp;$A101&amp;"#"&amp;$K101)</f>
        <v/>
      </c>
      <c r="S101" s="19">
        <f>ROW()</f>
        <v/>
      </c>
      <c r="T101" s="19">
        <f>IF($J101&lt;=0,0,MAX(0,MIN($P101+$I101+Limpeza_Min,Turno_Min,IFERROR(INDEX(Mapa_RelIni,MATCH($B101&amp;"#"&amp;$A101&amp;"#"&amp;($K101+1),Mapa_Chave,0)),Turno_Min))-MIN($P101,Turno_Min)))</f>
        <v/>
      </c>
    </row>
    <row r="102">
      <c r="A102" s="30" t="n"/>
      <c r="B102" s="31" t="n"/>
      <c r="C102" s="32" t="n"/>
      <c r="D102" s="32" t="n"/>
      <c r="E102" s="33" t="n"/>
      <c r="F102" s="33" t="n"/>
      <c r="G102" s="33" t="n"/>
      <c r="H102" s="31" t="n"/>
      <c r="I102" s="20">
        <f>IF(OR($B102="",NOT(ISNUMBER($C102)),NOT(ISNUMBER($D102))),"",ROUND(MOD($D102-$C102,1)*1440,0))</f>
        <v/>
      </c>
      <c r="J102" s="20">
        <f>IF(NOT(ISNUMBER($I102)),0,IF(OR($I102&lt;=0,$H102="Cancelada",$H102="Suspensa"),0,$I102+Limpeza_Min))</f>
        <v/>
      </c>
      <c r="K102" s="20">
        <f>IF($J102&lt;=0,"",SUMPRODUCT((Mapa_Sala=$B102)*(Mapa_Data=$A102)*(Mapa_MinOcup&gt;0)*((Mapa_RelIni&lt;$P102)+((Mapa_RelIni=$P102)*(Mapa_Row&lt;=$S102)))))</f>
        <v/>
      </c>
      <c r="L102" s="34">
        <f>IF($J102&lt;=0,"",MOD(Turno_Ini+($Q102+Limpeza_Min)/1440,1))</f>
        <v/>
      </c>
      <c r="M102" s="20">
        <f>IF($J102&lt;=0,"",MAX(0,IFERROR(INDEX(Mapa_RelIni,MATCH($B102&amp;"#"&amp;$A102&amp;"#"&amp;($K102+1),Mapa_Chave,0)),Turno_Min)-($Q102+Limpeza_Min)))</f>
        <v/>
      </c>
      <c r="N102" s="14">
        <f>IF($B102="","",IF($O102="","OK",LEFT($O102,LEN($O102)-3)))</f>
        <v/>
      </c>
      <c r="O102" s="35">
        <f>IF($B102="","",IF(COUNTIF(Postos_Cod,$B102)=0,"Sala não cadastrada | ","")&amp;IF(AND(COUNTIF(Postos_Cod,$B102)&gt;0,IFERROR(INDEX(Postos_Tipo,MATCH($B102,Postos_Cod,0)),"")&lt;&gt;"Sala cirúrgica"),"Posto não é sala cirúrgica | ","")&amp;IF(COUNTIF(Esp_Nome,$E102)=0,"Especialidade não cadastrada | ","")&amp;IF(COUNTIF(Lista_StatusCir,$H102)=0,"Status inválido | ","")&amp;IF(OR(NOT(ISNUMBER($C102)),NOT(ISNUMBER($D102))),"Horário inválido | ","")&amp;IFERROR(IF(AND(ISNUMBER($C102),ISNUMBER($D102),MOD($D102-$C102,1)*1440&lt;=0),"Duração nula ou negativa | ",""),"")&amp;IF(AND($J102&gt;0,OR($P102&gt;=Turno_Min,$Q102&gt;Turno_Min)),"Fora da janela do plantão | ","")&amp;IF(AND($J102&gt;0,SUMPRODUCT((Mapa_Sala=$B102)*(Mapa_Data=$A102)*(Mapa_MinOcup&gt;0)*(Mapa_RelIni&lt;$Q102)*(Mapa_RelFim&gt;$P102))&gt;1),"Sobreposição de horário na sala | ","")&amp;IFERROR(IF(AND(ISNUMBER($I102),$I102&gt;0,COUNTIF(Esp_Nome,$E102)&gt;0,$I102&gt;3*INDEX(Esp_Dur,MATCH($E102,Esp_Nome,0))),"Duração atípica (&gt;3x a média) | ",""),""))</f>
        <v/>
      </c>
      <c r="P102" s="19">
        <f>IF(NOT(ISNUMBER($C102)),0,ROUND(MOD($C102-Turno_Ini,1)*1440,0))</f>
        <v/>
      </c>
      <c r="Q102" s="19">
        <f>IF($J102&lt;=0,0,$P102+$I102)</f>
        <v/>
      </c>
      <c r="R102" s="19">
        <f>IF($K102="","",$B102&amp;"#"&amp;$A102&amp;"#"&amp;$K102)</f>
        <v/>
      </c>
      <c r="S102" s="19">
        <f>ROW()</f>
        <v/>
      </c>
      <c r="T102" s="19">
        <f>IF($J102&lt;=0,0,MAX(0,MIN($P102+$I102+Limpeza_Min,Turno_Min,IFERROR(INDEX(Mapa_RelIni,MATCH($B102&amp;"#"&amp;$A102&amp;"#"&amp;($K102+1),Mapa_Chave,0)),Turno_Min))-MIN($P102,Turno_Min)))</f>
        <v/>
      </c>
    </row>
    <row r="103">
      <c r="A103" s="30" t="n"/>
      <c r="B103" s="31" t="n"/>
      <c r="C103" s="32" t="n"/>
      <c r="D103" s="32" t="n"/>
      <c r="E103" s="33" t="n"/>
      <c r="F103" s="33" t="n"/>
      <c r="G103" s="33" t="n"/>
      <c r="H103" s="31" t="n"/>
      <c r="I103" s="20">
        <f>IF(OR($B103="",NOT(ISNUMBER($C103)),NOT(ISNUMBER($D103))),"",ROUND(MOD($D103-$C103,1)*1440,0))</f>
        <v/>
      </c>
      <c r="J103" s="20">
        <f>IF(NOT(ISNUMBER($I103)),0,IF(OR($I103&lt;=0,$H103="Cancelada",$H103="Suspensa"),0,$I103+Limpeza_Min))</f>
        <v/>
      </c>
      <c r="K103" s="20">
        <f>IF($J103&lt;=0,"",SUMPRODUCT((Mapa_Sala=$B103)*(Mapa_Data=$A103)*(Mapa_MinOcup&gt;0)*((Mapa_RelIni&lt;$P103)+((Mapa_RelIni=$P103)*(Mapa_Row&lt;=$S103)))))</f>
        <v/>
      </c>
      <c r="L103" s="34">
        <f>IF($J103&lt;=0,"",MOD(Turno_Ini+($Q103+Limpeza_Min)/1440,1))</f>
        <v/>
      </c>
      <c r="M103" s="20">
        <f>IF($J103&lt;=0,"",MAX(0,IFERROR(INDEX(Mapa_RelIni,MATCH($B103&amp;"#"&amp;$A103&amp;"#"&amp;($K103+1),Mapa_Chave,0)),Turno_Min)-($Q103+Limpeza_Min)))</f>
        <v/>
      </c>
      <c r="N103" s="14">
        <f>IF($B103="","",IF($O103="","OK",LEFT($O103,LEN($O103)-3)))</f>
        <v/>
      </c>
      <c r="O103" s="35">
        <f>IF($B103="","",IF(COUNTIF(Postos_Cod,$B103)=0,"Sala não cadastrada | ","")&amp;IF(AND(COUNTIF(Postos_Cod,$B103)&gt;0,IFERROR(INDEX(Postos_Tipo,MATCH($B103,Postos_Cod,0)),"")&lt;&gt;"Sala cirúrgica"),"Posto não é sala cirúrgica | ","")&amp;IF(COUNTIF(Esp_Nome,$E103)=0,"Especialidade não cadastrada | ","")&amp;IF(COUNTIF(Lista_StatusCir,$H103)=0,"Status inválido | ","")&amp;IF(OR(NOT(ISNUMBER($C103)),NOT(ISNUMBER($D103))),"Horário inválido | ","")&amp;IFERROR(IF(AND(ISNUMBER($C103),ISNUMBER($D103),MOD($D103-$C103,1)*1440&lt;=0),"Duração nula ou negativa | ",""),"")&amp;IF(AND($J103&gt;0,OR($P103&gt;=Turno_Min,$Q103&gt;Turno_Min)),"Fora da janela do plantão | ","")&amp;IF(AND($J103&gt;0,SUMPRODUCT((Mapa_Sala=$B103)*(Mapa_Data=$A103)*(Mapa_MinOcup&gt;0)*(Mapa_RelIni&lt;$Q103)*(Mapa_RelFim&gt;$P103))&gt;1),"Sobreposição de horário na sala | ","")&amp;IFERROR(IF(AND(ISNUMBER($I103),$I103&gt;0,COUNTIF(Esp_Nome,$E103)&gt;0,$I103&gt;3*INDEX(Esp_Dur,MATCH($E103,Esp_Nome,0))),"Duração atípica (&gt;3x a média) | ",""),""))</f>
        <v/>
      </c>
      <c r="P103" s="19">
        <f>IF(NOT(ISNUMBER($C103)),0,ROUND(MOD($C103-Turno_Ini,1)*1440,0))</f>
        <v/>
      </c>
      <c r="Q103" s="19">
        <f>IF($J103&lt;=0,0,$P103+$I103)</f>
        <v/>
      </c>
      <c r="R103" s="19">
        <f>IF($K103="","",$B103&amp;"#"&amp;$A103&amp;"#"&amp;$K103)</f>
        <v/>
      </c>
      <c r="S103" s="19">
        <f>ROW()</f>
        <v/>
      </c>
      <c r="T103" s="19">
        <f>IF($J103&lt;=0,0,MAX(0,MIN($P103+$I103+Limpeza_Min,Turno_Min,IFERROR(INDEX(Mapa_RelIni,MATCH($B103&amp;"#"&amp;$A103&amp;"#"&amp;($K103+1),Mapa_Chave,0)),Turno_Min))-MIN($P103,Turno_Min)))</f>
        <v/>
      </c>
    </row>
    <row r="104">
      <c r="A104" s="30" t="n"/>
      <c r="B104" s="31" t="n"/>
      <c r="C104" s="32" t="n"/>
      <c r="D104" s="32" t="n"/>
      <c r="E104" s="33" t="n"/>
      <c r="F104" s="33" t="n"/>
      <c r="G104" s="33" t="n"/>
      <c r="H104" s="31" t="n"/>
      <c r="I104" s="20">
        <f>IF(OR($B104="",NOT(ISNUMBER($C104)),NOT(ISNUMBER($D104))),"",ROUND(MOD($D104-$C104,1)*1440,0))</f>
        <v/>
      </c>
      <c r="J104" s="20">
        <f>IF(NOT(ISNUMBER($I104)),0,IF(OR($I104&lt;=0,$H104="Cancelada",$H104="Suspensa"),0,$I104+Limpeza_Min))</f>
        <v/>
      </c>
      <c r="K104" s="20">
        <f>IF($J104&lt;=0,"",SUMPRODUCT((Mapa_Sala=$B104)*(Mapa_Data=$A104)*(Mapa_MinOcup&gt;0)*((Mapa_RelIni&lt;$P104)+((Mapa_RelIni=$P104)*(Mapa_Row&lt;=$S104)))))</f>
        <v/>
      </c>
      <c r="L104" s="34">
        <f>IF($J104&lt;=0,"",MOD(Turno_Ini+($Q104+Limpeza_Min)/1440,1))</f>
        <v/>
      </c>
      <c r="M104" s="20">
        <f>IF($J104&lt;=0,"",MAX(0,IFERROR(INDEX(Mapa_RelIni,MATCH($B104&amp;"#"&amp;$A104&amp;"#"&amp;($K104+1),Mapa_Chave,0)),Turno_Min)-($Q104+Limpeza_Min)))</f>
        <v/>
      </c>
      <c r="N104" s="14">
        <f>IF($B104="","",IF($O104="","OK",LEFT($O104,LEN($O104)-3)))</f>
        <v/>
      </c>
      <c r="O104" s="35">
        <f>IF($B104="","",IF(COUNTIF(Postos_Cod,$B104)=0,"Sala não cadastrada | ","")&amp;IF(AND(COUNTIF(Postos_Cod,$B104)&gt;0,IFERROR(INDEX(Postos_Tipo,MATCH($B104,Postos_Cod,0)),"")&lt;&gt;"Sala cirúrgica"),"Posto não é sala cirúrgica | ","")&amp;IF(COUNTIF(Esp_Nome,$E104)=0,"Especialidade não cadastrada | ","")&amp;IF(COUNTIF(Lista_StatusCir,$H104)=0,"Status inválido | ","")&amp;IF(OR(NOT(ISNUMBER($C104)),NOT(ISNUMBER($D104))),"Horário inválido | ","")&amp;IFERROR(IF(AND(ISNUMBER($C104),ISNUMBER($D104),MOD($D104-$C104,1)*1440&lt;=0),"Duração nula ou negativa | ",""),"")&amp;IF(AND($J104&gt;0,OR($P104&gt;=Turno_Min,$Q104&gt;Turno_Min)),"Fora da janela do plantão | ","")&amp;IF(AND($J104&gt;0,SUMPRODUCT((Mapa_Sala=$B104)*(Mapa_Data=$A104)*(Mapa_MinOcup&gt;0)*(Mapa_RelIni&lt;$Q104)*(Mapa_RelFim&gt;$P104))&gt;1),"Sobreposição de horário na sala | ","")&amp;IFERROR(IF(AND(ISNUMBER($I104),$I104&gt;0,COUNTIF(Esp_Nome,$E104)&gt;0,$I104&gt;3*INDEX(Esp_Dur,MATCH($E104,Esp_Nome,0))),"Duração atípica (&gt;3x a média) | ",""),""))</f>
        <v/>
      </c>
      <c r="P104" s="19">
        <f>IF(NOT(ISNUMBER($C104)),0,ROUND(MOD($C104-Turno_Ini,1)*1440,0))</f>
        <v/>
      </c>
      <c r="Q104" s="19">
        <f>IF($J104&lt;=0,0,$P104+$I104)</f>
        <v/>
      </c>
      <c r="R104" s="19">
        <f>IF($K104="","",$B104&amp;"#"&amp;$A104&amp;"#"&amp;$K104)</f>
        <v/>
      </c>
      <c r="S104" s="19">
        <f>ROW()</f>
        <v/>
      </c>
      <c r="T104" s="19">
        <f>IF($J104&lt;=0,0,MAX(0,MIN($P104+$I104+Limpeza_Min,Turno_Min,IFERROR(INDEX(Mapa_RelIni,MATCH($B104&amp;"#"&amp;$A104&amp;"#"&amp;($K104+1),Mapa_Chave,0)),Turno_Min))-MIN($P104,Turno_Min)))</f>
        <v/>
      </c>
    </row>
    <row r="105">
      <c r="A105" s="30" t="n"/>
      <c r="B105" s="31" t="n"/>
      <c r="C105" s="32" t="n"/>
      <c r="D105" s="32" t="n"/>
      <c r="E105" s="33" t="n"/>
      <c r="F105" s="33" t="n"/>
      <c r="G105" s="33" t="n"/>
      <c r="H105" s="31" t="n"/>
      <c r="I105" s="20">
        <f>IF(OR($B105="",NOT(ISNUMBER($C105)),NOT(ISNUMBER($D105))),"",ROUND(MOD($D105-$C105,1)*1440,0))</f>
        <v/>
      </c>
      <c r="J105" s="20">
        <f>IF(NOT(ISNUMBER($I105)),0,IF(OR($I105&lt;=0,$H105="Cancelada",$H105="Suspensa"),0,$I105+Limpeza_Min))</f>
        <v/>
      </c>
      <c r="K105" s="20">
        <f>IF($J105&lt;=0,"",SUMPRODUCT((Mapa_Sala=$B105)*(Mapa_Data=$A105)*(Mapa_MinOcup&gt;0)*((Mapa_RelIni&lt;$P105)+((Mapa_RelIni=$P105)*(Mapa_Row&lt;=$S105)))))</f>
        <v/>
      </c>
      <c r="L105" s="34">
        <f>IF($J105&lt;=0,"",MOD(Turno_Ini+($Q105+Limpeza_Min)/1440,1))</f>
        <v/>
      </c>
      <c r="M105" s="20">
        <f>IF($J105&lt;=0,"",MAX(0,IFERROR(INDEX(Mapa_RelIni,MATCH($B105&amp;"#"&amp;$A105&amp;"#"&amp;($K105+1),Mapa_Chave,0)),Turno_Min)-($Q105+Limpeza_Min)))</f>
        <v/>
      </c>
      <c r="N105" s="14">
        <f>IF($B105="","",IF($O105="","OK",LEFT($O105,LEN($O105)-3)))</f>
        <v/>
      </c>
      <c r="O105" s="35">
        <f>IF($B105="","",IF(COUNTIF(Postos_Cod,$B105)=0,"Sala não cadastrada | ","")&amp;IF(AND(COUNTIF(Postos_Cod,$B105)&gt;0,IFERROR(INDEX(Postos_Tipo,MATCH($B105,Postos_Cod,0)),"")&lt;&gt;"Sala cirúrgica"),"Posto não é sala cirúrgica | ","")&amp;IF(COUNTIF(Esp_Nome,$E105)=0,"Especialidade não cadastrada | ","")&amp;IF(COUNTIF(Lista_StatusCir,$H105)=0,"Status inválido | ","")&amp;IF(OR(NOT(ISNUMBER($C105)),NOT(ISNUMBER($D105))),"Horário inválido | ","")&amp;IFERROR(IF(AND(ISNUMBER($C105),ISNUMBER($D105),MOD($D105-$C105,1)*1440&lt;=0),"Duração nula ou negativa | ",""),"")&amp;IF(AND($J105&gt;0,OR($P105&gt;=Turno_Min,$Q105&gt;Turno_Min)),"Fora da janela do plantão | ","")&amp;IF(AND($J105&gt;0,SUMPRODUCT((Mapa_Sala=$B105)*(Mapa_Data=$A105)*(Mapa_MinOcup&gt;0)*(Mapa_RelIni&lt;$Q105)*(Mapa_RelFim&gt;$P105))&gt;1),"Sobreposição de horário na sala | ","")&amp;IFERROR(IF(AND(ISNUMBER($I105),$I105&gt;0,COUNTIF(Esp_Nome,$E105)&gt;0,$I105&gt;3*INDEX(Esp_Dur,MATCH($E105,Esp_Nome,0))),"Duração atípica (&gt;3x a média) | ",""),""))</f>
        <v/>
      </c>
      <c r="P105" s="19">
        <f>IF(NOT(ISNUMBER($C105)),0,ROUND(MOD($C105-Turno_Ini,1)*1440,0))</f>
        <v/>
      </c>
      <c r="Q105" s="19">
        <f>IF($J105&lt;=0,0,$P105+$I105)</f>
        <v/>
      </c>
      <c r="R105" s="19">
        <f>IF($K105="","",$B105&amp;"#"&amp;$A105&amp;"#"&amp;$K105)</f>
        <v/>
      </c>
      <c r="S105" s="19">
        <f>ROW()</f>
        <v/>
      </c>
      <c r="T105" s="19">
        <f>IF($J105&lt;=0,0,MAX(0,MIN($P105+$I105+Limpeza_Min,Turno_Min,IFERROR(INDEX(Mapa_RelIni,MATCH($B105&amp;"#"&amp;$A105&amp;"#"&amp;($K105+1),Mapa_Chave,0)),Turno_Min))-MIN($P105,Turno_Min)))</f>
        <v/>
      </c>
    </row>
    <row r="106">
      <c r="A106" s="30" t="n"/>
      <c r="B106" s="31" t="n"/>
      <c r="C106" s="32" t="n"/>
      <c r="D106" s="32" t="n"/>
      <c r="E106" s="33" t="n"/>
      <c r="F106" s="33" t="n"/>
      <c r="G106" s="33" t="n"/>
      <c r="H106" s="31" t="n"/>
      <c r="I106" s="20">
        <f>IF(OR($B106="",NOT(ISNUMBER($C106)),NOT(ISNUMBER($D106))),"",ROUND(MOD($D106-$C106,1)*1440,0))</f>
        <v/>
      </c>
      <c r="J106" s="20">
        <f>IF(NOT(ISNUMBER($I106)),0,IF(OR($I106&lt;=0,$H106="Cancelada",$H106="Suspensa"),0,$I106+Limpeza_Min))</f>
        <v/>
      </c>
      <c r="K106" s="20">
        <f>IF($J106&lt;=0,"",SUMPRODUCT((Mapa_Sala=$B106)*(Mapa_Data=$A106)*(Mapa_MinOcup&gt;0)*((Mapa_RelIni&lt;$P106)+((Mapa_RelIni=$P106)*(Mapa_Row&lt;=$S106)))))</f>
        <v/>
      </c>
      <c r="L106" s="34">
        <f>IF($J106&lt;=0,"",MOD(Turno_Ini+($Q106+Limpeza_Min)/1440,1))</f>
        <v/>
      </c>
      <c r="M106" s="20">
        <f>IF($J106&lt;=0,"",MAX(0,IFERROR(INDEX(Mapa_RelIni,MATCH($B106&amp;"#"&amp;$A106&amp;"#"&amp;($K106+1),Mapa_Chave,0)),Turno_Min)-($Q106+Limpeza_Min)))</f>
        <v/>
      </c>
      <c r="N106" s="14">
        <f>IF($B106="","",IF($O106="","OK",LEFT($O106,LEN($O106)-3)))</f>
        <v/>
      </c>
      <c r="O106" s="35">
        <f>IF($B106="","",IF(COUNTIF(Postos_Cod,$B106)=0,"Sala não cadastrada | ","")&amp;IF(AND(COUNTIF(Postos_Cod,$B106)&gt;0,IFERROR(INDEX(Postos_Tipo,MATCH($B106,Postos_Cod,0)),"")&lt;&gt;"Sala cirúrgica"),"Posto não é sala cirúrgica | ","")&amp;IF(COUNTIF(Esp_Nome,$E106)=0,"Especialidade não cadastrada | ","")&amp;IF(COUNTIF(Lista_StatusCir,$H106)=0,"Status inválido | ","")&amp;IF(OR(NOT(ISNUMBER($C106)),NOT(ISNUMBER($D106))),"Horário inválido | ","")&amp;IFERROR(IF(AND(ISNUMBER($C106),ISNUMBER($D106),MOD($D106-$C106,1)*1440&lt;=0),"Duração nula ou negativa | ",""),"")&amp;IF(AND($J106&gt;0,OR($P106&gt;=Turno_Min,$Q106&gt;Turno_Min)),"Fora da janela do plantão | ","")&amp;IF(AND($J106&gt;0,SUMPRODUCT((Mapa_Sala=$B106)*(Mapa_Data=$A106)*(Mapa_MinOcup&gt;0)*(Mapa_RelIni&lt;$Q106)*(Mapa_RelFim&gt;$P106))&gt;1),"Sobreposição de horário na sala | ","")&amp;IFERROR(IF(AND(ISNUMBER($I106),$I106&gt;0,COUNTIF(Esp_Nome,$E106)&gt;0,$I106&gt;3*INDEX(Esp_Dur,MATCH($E106,Esp_Nome,0))),"Duração atípica (&gt;3x a média) | ",""),""))</f>
        <v/>
      </c>
      <c r="P106" s="19">
        <f>IF(NOT(ISNUMBER($C106)),0,ROUND(MOD($C106-Turno_Ini,1)*1440,0))</f>
        <v/>
      </c>
      <c r="Q106" s="19">
        <f>IF($J106&lt;=0,0,$P106+$I106)</f>
        <v/>
      </c>
      <c r="R106" s="19">
        <f>IF($K106="","",$B106&amp;"#"&amp;$A106&amp;"#"&amp;$K106)</f>
        <v/>
      </c>
      <c r="S106" s="19">
        <f>ROW()</f>
        <v/>
      </c>
      <c r="T106" s="19">
        <f>IF($J106&lt;=0,0,MAX(0,MIN($P106+$I106+Limpeza_Min,Turno_Min,IFERROR(INDEX(Mapa_RelIni,MATCH($B106&amp;"#"&amp;$A106&amp;"#"&amp;($K106+1),Mapa_Chave,0)),Turno_Min))-MIN($P106,Turno_Min)))</f>
        <v/>
      </c>
    </row>
    <row r="107">
      <c r="A107" s="30" t="n"/>
      <c r="B107" s="31" t="n"/>
      <c r="C107" s="32" t="n"/>
      <c r="D107" s="32" t="n"/>
      <c r="E107" s="33" t="n"/>
      <c r="F107" s="33" t="n"/>
      <c r="G107" s="33" t="n"/>
      <c r="H107" s="31" t="n"/>
      <c r="I107" s="20">
        <f>IF(OR($B107="",NOT(ISNUMBER($C107)),NOT(ISNUMBER($D107))),"",ROUND(MOD($D107-$C107,1)*1440,0))</f>
        <v/>
      </c>
      <c r="J107" s="20">
        <f>IF(NOT(ISNUMBER($I107)),0,IF(OR($I107&lt;=0,$H107="Cancelada",$H107="Suspensa"),0,$I107+Limpeza_Min))</f>
        <v/>
      </c>
      <c r="K107" s="20">
        <f>IF($J107&lt;=0,"",SUMPRODUCT((Mapa_Sala=$B107)*(Mapa_Data=$A107)*(Mapa_MinOcup&gt;0)*((Mapa_RelIni&lt;$P107)+((Mapa_RelIni=$P107)*(Mapa_Row&lt;=$S107)))))</f>
        <v/>
      </c>
      <c r="L107" s="34">
        <f>IF($J107&lt;=0,"",MOD(Turno_Ini+($Q107+Limpeza_Min)/1440,1))</f>
        <v/>
      </c>
      <c r="M107" s="20">
        <f>IF($J107&lt;=0,"",MAX(0,IFERROR(INDEX(Mapa_RelIni,MATCH($B107&amp;"#"&amp;$A107&amp;"#"&amp;($K107+1),Mapa_Chave,0)),Turno_Min)-($Q107+Limpeza_Min)))</f>
        <v/>
      </c>
      <c r="N107" s="14">
        <f>IF($B107="","",IF($O107="","OK",LEFT($O107,LEN($O107)-3)))</f>
        <v/>
      </c>
      <c r="O107" s="35">
        <f>IF($B107="","",IF(COUNTIF(Postos_Cod,$B107)=0,"Sala não cadastrada | ","")&amp;IF(AND(COUNTIF(Postos_Cod,$B107)&gt;0,IFERROR(INDEX(Postos_Tipo,MATCH($B107,Postos_Cod,0)),"")&lt;&gt;"Sala cirúrgica"),"Posto não é sala cirúrgica | ","")&amp;IF(COUNTIF(Esp_Nome,$E107)=0,"Especialidade não cadastrada | ","")&amp;IF(COUNTIF(Lista_StatusCir,$H107)=0,"Status inválido | ","")&amp;IF(OR(NOT(ISNUMBER($C107)),NOT(ISNUMBER($D107))),"Horário inválido | ","")&amp;IFERROR(IF(AND(ISNUMBER($C107),ISNUMBER($D107),MOD($D107-$C107,1)*1440&lt;=0),"Duração nula ou negativa | ",""),"")&amp;IF(AND($J107&gt;0,OR($P107&gt;=Turno_Min,$Q107&gt;Turno_Min)),"Fora da janela do plantão | ","")&amp;IF(AND($J107&gt;0,SUMPRODUCT((Mapa_Sala=$B107)*(Mapa_Data=$A107)*(Mapa_MinOcup&gt;0)*(Mapa_RelIni&lt;$Q107)*(Mapa_RelFim&gt;$P107))&gt;1),"Sobreposição de horário na sala | ","")&amp;IFERROR(IF(AND(ISNUMBER($I107),$I107&gt;0,COUNTIF(Esp_Nome,$E107)&gt;0,$I107&gt;3*INDEX(Esp_Dur,MATCH($E107,Esp_Nome,0))),"Duração atípica (&gt;3x a média) | ",""),""))</f>
        <v/>
      </c>
      <c r="P107" s="19">
        <f>IF(NOT(ISNUMBER($C107)),0,ROUND(MOD($C107-Turno_Ini,1)*1440,0))</f>
        <v/>
      </c>
      <c r="Q107" s="19">
        <f>IF($J107&lt;=0,0,$P107+$I107)</f>
        <v/>
      </c>
      <c r="R107" s="19">
        <f>IF($K107="","",$B107&amp;"#"&amp;$A107&amp;"#"&amp;$K107)</f>
        <v/>
      </c>
      <c r="S107" s="19">
        <f>ROW()</f>
        <v/>
      </c>
      <c r="T107" s="19">
        <f>IF($J107&lt;=0,0,MAX(0,MIN($P107+$I107+Limpeza_Min,Turno_Min,IFERROR(INDEX(Mapa_RelIni,MATCH($B107&amp;"#"&amp;$A107&amp;"#"&amp;($K107+1),Mapa_Chave,0)),Turno_Min))-MIN($P107,Turno_Min)))</f>
        <v/>
      </c>
    </row>
    <row r="108">
      <c r="A108" s="30" t="n"/>
      <c r="B108" s="31" t="n"/>
      <c r="C108" s="32" t="n"/>
      <c r="D108" s="32" t="n"/>
      <c r="E108" s="33" t="n"/>
      <c r="F108" s="33" t="n"/>
      <c r="G108" s="33" t="n"/>
      <c r="H108" s="31" t="n"/>
      <c r="I108" s="20">
        <f>IF(OR($B108="",NOT(ISNUMBER($C108)),NOT(ISNUMBER($D108))),"",ROUND(MOD($D108-$C108,1)*1440,0))</f>
        <v/>
      </c>
      <c r="J108" s="20">
        <f>IF(NOT(ISNUMBER($I108)),0,IF(OR($I108&lt;=0,$H108="Cancelada",$H108="Suspensa"),0,$I108+Limpeza_Min))</f>
        <v/>
      </c>
      <c r="K108" s="20">
        <f>IF($J108&lt;=0,"",SUMPRODUCT((Mapa_Sala=$B108)*(Mapa_Data=$A108)*(Mapa_MinOcup&gt;0)*((Mapa_RelIni&lt;$P108)+((Mapa_RelIni=$P108)*(Mapa_Row&lt;=$S108)))))</f>
        <v/>
      </c>
      <c r="L108" s="34">
        <f>IF($J108&lt;=0,"",MOD(Turno_Ini+($Q108+Limpeza_Min)/1440,1))</f>
        <v/>
      </c>
      <c r="M108" s="20">
        <f>IF($J108&lt;=0,"",MAX(0,IFERROR(INDEX(Mapa_RelIni,MATCH($B108&amp;"#"&amp;$A108&amp;"#"&amp;($K108+1),Mapa_Chave,0)),Turno_Min)-($Q108+Limpeza_Min)))</f>
        <v/>
      </c>
      <c r="N108" s="14">
        <f>IF($B108="","",IF($O108="","OK",LEFT($O108,LEN($O108)-3)))</f>
        <v/>
      </c>
      <c r="O108" s="35">
        <f>IF($B108="","",IF(COUNTIF(Postos_Cod,$B108)=0,"Sala não cadastrada | ","")&amp;IF(AND(COUNTIF(Postos_Cod,$B108)&gt;0,IFERROR(INDEX(Postos_Tipo,MATCH($B108,Postos_Cod,0)),"")&lt;&gt;"Sala cirúrgica"),"Posto não é sala cirúrgica | ","")&amp;IF(COUNTIF(Esp_Nome,$E108)=0,"Especialidade não cadastrada | ","")&amp;IF(COUNTIF(Lista_StatusCir,$H108)=0,"Status inválido | ","")&amp;IF(OR(NOT(ISNUMBER($C108)),NOT(ISNUMBER($D108))),"Horário inválido | ","")&amp;IFERROR(IF(AND(ISNUMBER($C108),ISNUMBER($D108),MOD($D108-$C108,1)*1440&lt;=0),"Duração nula ou negativa | ",""),"")&amp;IF(AND($J108&gt;0,OR($P108&gt;=Turno_Min,$Q108&gt;Turno_Min)),"Fora da janela do plantão | ","")&amp;IF(AND($J108&gt;0,SUMPRODUCT((Mapa_Sala=$B108)*(Mapa_Data=$A108)*(Mapa_MinOcup&gt;0)*(Mapa_RelIni&lt;$Q108)*(Mapa_RelFim&gt;$P108))&gt;1),"Sobreposição de horário na sala | ","")&amp;IFERROR(IF(AND(ISNUMBER($I108),$I108&gt;0,COUNTIF(Esp_Nome,$E108)&gt;0,$I108&gt;3*INDEX(Esp_Dur,MATCH($E108,Esp_Nome,0))),"Duração atípica (&gt;3x a média) | ",""),""))</f>
        <v/>
      </c>
      <c r="P108" s="19">
        <f>IF(NOT(ISNUMBER($C108)),0,ROUND(MOD($C108-Turno_Ini,1)*1440,0))</f>
        <v/>
      </c>
      <c r="Q108" s="19">
        <f>IF($J108&lt;=0,0,$P108+$I108)</f>
        <v/>
      </c>
      <c r="R108" s="19">
        <f>IF($K108="","",$B108&amp;"#"&amp;$A108&amp;"#"&amp;$K108)</f>
        <v/>
      </c>
      <c r="S108" s="19">
        <f>ROW()</f>
        <v/>
      </c>
      <c r="T108" s="19">
        <f>IF($J108&lt;=0,0,MAX(0,MIN($P108+$I108+Limpeza_Min,Turno_Min,IFERROR(INDEX(Mapa_RelIni,MATCH($B108&amp;"#"&amp;$A108&amp;"#"&amp;($K108+1),Mapa_Chave,0)),Turno_Min))-MIN($P108,Turno_Min)))</f>
        <v/>
      </c>
    </row>
    <row r="109">
      <c r="A109" s="30" t="n"/>
      <c r="B109" s="31" t="n"/>
      <c r="C109" s="32" t="n"/>
      <c r="D109" s="32" t="n"/>
      <c r="E109" s="33" t="n"/>
      <c r="F109" s="33" t="n"/>
      <c r="G109" s="33" t="n"/>
      <c r="H109" s="31" t="n"/>
      <c r="I109" s="20">
        <f>IF(OR($B109="",NOT(ISNUMBER($C109)),NOT(ISNUMBER($D109))),"",ROUND(MOD($D109-$C109,1)*1440,0))</f>
        <v/>
      </c>
      <c r="J109" s="20">
        <f>IF(NOT(ISNUMBER($I109)),0,IF(OR($I109&lt;=0,$H109="Cancelada",$H109="Suspensa"),0,$I109+Limpeza_Min))</f>
        <v/>
      </c>
      <c r="K109" s="20">
        <f>IF($J109&lt;=0,"",SUMPRODUCT((Mapa_Sala=$B109)*(Mapa_Data=$A109)*(Mapa_MinOcup&gt;0)*((Mapa_RelIni&lt;$P109)+((Mapa_RelIni=$P109)*(Mapa_Row&lt;=$S109)))))</f>
        <v/>
      </c>
      <c r="L109" s="34">
        <f>IF($J109&lt;=0,"",MOD(Turno_Ini+($Q109+Limpeza_Min)/1440,1))</f>
        <v/>
      </c>
      <c r="M109" s="20">
        <f>IF($J109&lt;=0,"",MAX(0,IFERROR(INDEX(Mapa_RelIni,MATCH($B109&amp;"#"&amp;$A109&amp;"#"&amp;($K109+1),Mapa_Chave,0)),Turno_Min)-($Q109+Limpeza_Min)))</f>
        <v/>
      </c>
      <c r="N109" s="14">
        <f>IF($B109="","",IF($O109="","OK",LEFT($O109,LEN($O109)-3)))</f>
        <v/>
      </c>
      <c r="O109" s="35">
        <f>IF($B109="","",IF(COUNTIF(Postos_Cod,$B109)=0,"Sala não cadastrada | ","")&amp;IF(AND(COUNTIF(Postos_Cod,$B109)&gt;0,IFERROR(INDEX(Postos_Tipo,MATCH($B109,Postos_Cod,0)),"")&lt;&gt;"Sala cirúrgica"),"Posto não é sala cirúrgica | ","")&amp;IF(COUNTIF(Esp_Nome,$E109)=0,"Especialidade não cadastrada | ","")&amp;IF(COUNTIF(Lista_StatusCir,$H109)=0,"Status inválido | ","")&amp;IF(OR(NOT(ISNUMBER($C109)),NOT(ISNUMBER($D109))),"Horário inválido | ","")&amp;IFERROR(IF(AND(ISNUMBER($C109),ISNUMBER($D109),MOD($D109-$C109,1)*1440&lt;=0),"Duração nula ou negativa | ",""),"")&amp;IF(AND($J109&gt;0,OR($P109&gt;=Turno_Min,$Q109&gt;Turno_Min)),"Fora da janela do plantão | ","")&amp;IF(AND($J109&gt;0,SUMPRODUCT((Mapa_Sala=$B109)*(Mapa_Data=$A109)*(Mapa_MinOcup&gt;0)*(Mapa_RelIni&lt;$Q109)*(Mapa_RelFim&gt;$P109))&gt;1),"Sobreposição de horário na sala | ","")&amp;IFERROR(IF(AND(ISNUMBER($I109),$I109&gt;0,COUNTIF(Esp_Nome,$E109)&gt;0,$I109&gt;3*INDEX(Esp_Dur,MATCH($E109,Esp_Nome,0))),"Duração atípica (&gt;3x a média) | ",""),""))</f>
        <v/>
      </c>
      <c r="P109" s="19">
        <f>IF(NOT(ISNUMBER($C109)),0,ROUND(MOD($C109-Turno_Ini,1)*1440,0))</f>
        <v/>
      </c>
      <c r="Q109" s="19">
        <f>IF($J109&lt;=0,0,$P109+$I109)</f>
        <v/>
      </c>
      <c r="R109" s="19">
        <f>IF($K109="","",$B109&amp;"#"&amp;$A109&amp;"#"&amp;$K109)</f>
        <v/>
      </c>
      <c r="S109" s="19">
        <f>ROW()</f>
        <v/>
      </c>
      <c r="T109" s="19">
        <f>IF($J109&lt;=0,0,MAX(0,MIN($P109+$I109+Limpeza_Min,Turno_Min,IFERROR(INDEX(Mapa_RelIni,MATCH($B109&amp;"#"&amp;$A109&amp;"#"&amp;($K109+1),Mapa_Chave,0)),Turno_Min))-MIN($P109,Turno_Min)))</f>
        <v/>
      </c>
    </row>
    <row r="110">
      <c r="A110" s="30" t="n"/>
      <c r="B110" s="31" t="n"/>
      <c r="C110" s="32" t="n"/>
      <c r="D110" s="32" t="n"/>
      <c r="E110" s="33" t="n"/>
      <c r="F110" s="33" t="n"/>
      <c r="G110" s="33" t="n"/>
      <c r="H110" s="31" t="n"/>
      <c r="I110" s="20">
        <f>IF(OR($B110="",NOT(ISNUMBER($C110)),NOT(ISNUMBER($D110))),"",ROUND(MOD($D110-$C110,1)*1440,0))</f>
        <v/>
      </c>
      <c r="J110" s="20">
        <f>IF(NOT(ISNUMBER($I110)),0,IF(OR($I110&lt;=0,$H110="Cancelada",$H110="Suspensa"),0,$I110+Limpeza_Min))</f>
        <v/>
      </c>
      <c r="K110" s="20">
        <f>IF($J110&lt;=0,"",SUMPRODUCT((Mapa_Sala=$B110)*(Mapa_Data=$A110)*(Mapa_MinOcup&gt;0)*((Mapa_RelIni&lt;$P110)+((Mapa_RelIni=$P110)*(Mapa_Row&lt;=$S110)))))</f>
        <v/>
      </c>
      <c r="L110" s="34">
        <f>IF($J110&lt;=0,"",MOD(Turno_Ini+($Q110+Limpeza_Min)/1440,1))</f>
        <v/>
      </c>
      <c r="M110" s="20">
        <f>IF($J110&lt;=0,"",MAX(0,IFERROR(INDEX(Mapa_RelIni,MATCH($B110&amp;"#"&amp;$A110&amp;"#"&amp;($K110+1),Mapa_Chave,0)),Turno_Min)-($Q110+Limpeza_Min)))</f>
        <v/>
      </c>
      <c r="N110" s="14">
        <f>IF($B110="","",IF($O110="","OK",LEFT($O110,LEN($O110)-3)))</f>
        <v/>
      </c>
      <c r="O110" s="35">
        <f>IF($B110="","",IF(COUNTIF(Postos_Cod,$B110)=0,"Sala não cadastrada | ","")&amp;IF(AND(COUNTIF(Postos_Cod,$B110)&gt;0,IFERROR(INDEX(Postos_Tipo,MATCH($B110,Postos_Cod,0)),"")&lt;&gt;"Sala cirúrgica"),"Posto não é sala cirúrgica | ","")&amp;IF(COUNTIF(Esp_Nome,$E110)=0,"Especialidade não cadastrada | ","")&amp;IF(COUNTIF(Lista_StatusCir,$H110)=0,"Status inválido | ","")&amp;IF(OR(NOT(ISNUMBER($C110)),NOT(ISNUMBER($D110))),"Horário inválido | ","")&amp;IFERROR(IF(AND(ISNUMBER($C110),ISNUMBER($D110),MOD($D110-$C110,1)*1440&lt;=0),"Duração nula ou negativa | ",""),"")&amp;IF(AND($J110&gt;0,OR($P110&gt;=Turno_Min,$Q110&gt;Turno_Min)),"Fora da janela do plantão | ","")&amp;IF(AND($J110&gt;0,SUMPRODUCT((Mapa_Sala=$B110)*(Mapa_Data=$A110)*(Mapa_MinOcup&gt;0)*(Mapa_RelIni&lt;$Q110)*(Mapa_RelFim&gt;$P110))&gt;1),"Sobreposição de horário na sala | ","")&amp;IFERROR(IF(AND(ISNUMBER($I110),$I110&gt;0,COUNTIF(Esp_Nome,$E110)&gt;0,$I110&gt;3*INDEX(Esp_Dur,MATCH($E110,Esp_Nome,0))),"Duração atípica (&gt;3x a média) | ",""),""))</f>
        <v/>
      </c>
      <c r="P110" s="19">
        <f>IF(NOT(ISNUMBER($C110)),0,ROUND(MOD($C110-Turno_Ini,1)*1440,0))</f>
        <v/>
      </c>
      <c r="Q110" s="19">
        <f>IF($J110&lt;=0,0,$P110+$I110)</f>
        <v/>
      </c>
      <c r="R110" s="19">
        <f>IF($K110="","",$B110&amp;"#"&amp;$A110&amp;"#"&amp;$K110)</f>
        <v/>
      </c>
      <c r="S110" s="19">
        <f>ROW()</f>
        <v/>
      </c>
      <c r="T110" s="19">
        <f>IF($J110&lt;=0,0,MAX(0,MIN($P110+$I110+Limpeza_Min,Turno_Min,IFERROR(INDEX(Mapa_RelIni,MATCH($B110&amp;"#"&amp;$A110&amp;"#"&amp;($K110+1),Mapa_Chave,0)),Turno_Min))-MIN($P110,Turno_Min)))</f>
        <v/>
      </c>
    </row>
    <row r="111">
      <c r="A111" s="30" t="n"/>
      <c r="B111" s="31" t="n"/>
      <c r="C111" s="32" t="n"/>
      <c r="D111" s="32" t="n"/>
      <c r="E111" s="33" t="n"/>
      <c r="F111" s="33" t="n"/>
      <c r="G111" s="33" t="n"/>
      <c r="H111" s="31" t="n"/>
      <c r="I111" s="20">
        <f>IF(OR($B111="",NOT(ISNUMBER($C111)),NOT(ISNUMBER($D111))),"",ROUND(MOD($D111-$C111,1)*1440,0))</f>
        <v/>
      </c>
      <c r="J111" s="20">
        <f>IF(NOT(ISNUMBER($I111)),0,IF(OR($I111&lt;=0,$H111="Cancelada",$H111="Suspensa"),0,$I111+Limpeza_Min))</f>
        <v/>
      </c>
      <c r="K111" s="20">
        <f>IF($J111&lt;=0,"",SUMPRODUCT((Mapa_Sala=$B111)*(Mapa_Data=$A111)*(Mapa_MinOcup&gt;0)*((Mapa_RelIni&lt;$P111)+((Mapa_RelIni=$P111)*(Mapa_Row&lt;=$S111)))))</f>
        <v/>
      </c>
      <c r="L111" s="34">
        <f>IF($J111&lt;=0,"",MOD(Turno_Ini+($Q111+Limpeza_Min)/1440,1))</f>
        <v/>
      </c>
      <c r="M111" s="20">
        <f>IF($J111&lt;=0,"",MAX(0,IFERROR(INDEX(Mapa_RelIni,MATCH($B111&amp;"#"&amp;$A111&amp;"#"&amp;($K111+1),Mapa_Chave,0)),Turno_Min)-($Q111+Limpeza_Min)))</f>
        <v/>
      </c>
      <c r="N111" s="14">
        <f>IF($B111="","",IF($O111="","OK",LEFT($O111,LEN($O111)-3)))</f>
        <v/>
      </c>
      <c r="O111" s="35">
        <f>IF($B111="","",IF(COUNTIF(Postos_Cod,$B111)=0,"Sala não cadastrada | ","")&amp;IF(AND(COUNTIF(Postos_Cod,$B111)&gt;0,IFERROR(INDEX(Postos_Tipo,MATCH($B111,Postos_Cod,0)),"")&lt;&gt;"Sala cirúrgica"),"Posto não é sala cirúrgica | ","")&amp;IF(COUNTIF(Esp_Nome,$E111)=0,"Especialidade não cadastrada | ","")&amp;IF(COUNTIF(Lista_StatusCir,$H111)=0,"Status inválido | ","")&amp;IF(OR(NOT(ISNUMBER($C111)),NOT(ISNUMBER($D111))),"Horário inválido | ","")&amp;IFERROR(IF(AND(ISNUMBER($C111),ISNUMBER($D111),MOD($D111-$C111,1)*1440&lt;=0),"Duração nula ou negativa | ",""),"")&amp;IF(AND($J111&gt;0,OR($P111&gt;=Turno_Min,$Q111&gt;Turno_Min)),"Fora da janela do plantão | ","")&amp;IF(AND($J111&gt;0,SUMPRODUCT((Mapa_Sala=$B111)*(Mapa_Data=$A111)*(Mapa_MinOcup&gt;0)*(Mapa_RelIni&lt;$Q111)*(Mapa_RelFim&gt;$P111))&gt;1),"Sobreposição de horário na sala | ","")&amp;IFERROR(IF(AND(ISNUMBER($I111),$I111&gt;0,COUNTIF(Esp_Nome,$E111)&gt;0,$I111&gt;3*INDEX(Esp_Dur,MATCH($E111,Esp_Nome,0))),"Duração atípica (&gt;3x a média) | ",""),""))</f>
        <v/>
      </c>
      <c r="P111" s="19">
        <f>IF(NOT(ISNUMBER($C111)),0,ROUND(MOD($C111-Turno_Ini,1)*1440,0))</f>
        <v/>
      </c>
      <c r="Q111" s="19">
        <f>IF($J111&lt;=0,0,$P111+$I111)</f>
        <v/>
      </c>
      <c r="R111" s="19">
        <f>IF($K111="","",$B111&amp;"#"&amp;$A111&amp;"#"&amp;$K111)</f>
        <v/>
      </c>
      <c r="S111" s="19">
        <f>ROW()</f>
        <v/>
      </c>
      <c r="T111" s="19">
        <f>IF($J111&lt;=0,0,MAX(0,MIN($P111+$I111+Limpeza_Min,Turno_Min,IFERROR(INDEX(Mapa_RelIni,MATCH($B111&amp;"#"&amp;$A111&amp;"#"&amp;($K111+1),Mapa_Chave,0)),Turno_Min))-MIN($P111,Turno_Min)))</f>
        <v/>
      </c>
    </row>
    <row r="112">
      <c r="A112" s="30" t="n"/>
      <c r="B112" s="31" t="n"/>
      <c r="C112" s="32" t="n"/>
      <c r="D112" s="32" t="n"/>
      <c r="E112" s="33" t="n"/>
      <c r="F112" s="33" t="n"/>
      <c r="G112" s="33" t="n"/>
      <c r="H112" s="31" t="n"/>
      <c r="I112" s="20">
        <f>IF(OR($B112="",NOT(ISNUMBER($C112)),NOT(ISNUMBER($D112))),"",ROUND(MOD($D112-$C112,1)*1440,0))</f>
        <v/>
      </c>
      <c r="J112" s="20">
        <f>IF(NOT(ISNUMBER($I112)),0,IF(OR($I112&lt;=0,$H112="Cancelada",$H112="Suspensa"),0,$I112+Limpeza_Min))</f>
        <v/>
      </c>
      <c r="K112" s="20">
        <f>IF($J112&lt;=0,"",SUMPRODUCT((Mapa_Sala=$B112)*(Mapa_Data=$A112)*(Mapa_MinOcup&gt;0)*((Mapa_RelIni&lt;$P112)+((Mapa_RelIni=$P112)*(Mapa_Row&lt;=$S112)))))</f>
        <v/>
      </c>
      <c r="L112" s="34">
        <f>IF($J112&lt;=0,"",MOD(Turno_Ini+($Q112+Limpeza_Min)/1440,1))</f>
        <v/>
      </c>
      <c r="M112" s="20">
        <f>IF($J112&lt;=0,"",MAX(0,IFERROR(INDEX(Mapa_RelIni,MATCH($B112&amp;"#"&amp;$A112&amp;"#"&amp;($K112+1),Mapa_Chave,0)),Turno_Min)-($Q112+Limpeza_Min)))</f>
        <v/>
      </c>
      <c r="N112" s="14">
        <f>IF($B112="","",IF($O112="","OK",LEFT($O112,LEN($O112)-3)))</f>
        <v/>
      </c>
      <c r="O112" s="35">
        <f>IF($B112="","",IF(COUNTIF(Postos_Cod,$B112)=0,"Sala não cadastrada | ","")&amp;IF(AND(COUNTIF(Postos_Cod,$B112)&gt;0,IFERROR(INDEX(Postos_Tipo,MATCH($B112,Postos_Cod,0)),"")&lt;&gt;"Sala cirúrgica"),"Posto não é sala cirúrgica | ","")&amp;IF(COUNTIF(Esp_Nome,$E112)=0,"Especialidade não cadastrada | ","")&amp;IF(COUNTIF(Lista_StatusCir,$H112)=0,"Status inválido | ","")&amp;IF(OR(NOT(ISNUMBER($C112)),NOT(ISNUMBER($D112))),"Horário inválido | ","")&amp;IFERROR(IF(AND(ISNUMBER($C112),ISNUMBER($D112),MOD($D112-$C112,1)*1440&lt;=0),"Duração nula ou negativa | ",""),"")&amp;IF(AND($J112&gt;0,OR($P112&gt;=Turno_Min,$Q112&gt;Turno_Min)),"Fora da janela do plantão | ","")&amp;IF(AND($J112&gt;0,SUMPRODUCT((Mapa_Sala=$B112)*(Mapa_Data=$A112)*(Mapa_MinOcup&gt;0)*(Mapa_RelIni&lt;$Q112)*(Mapa_RelFim&gt;$P112))&gt;1),"Sobreposição de horário na sala | ","")&amp;IFERROR(IF(AND(ISNUMBER($I112),$I112&gt;0,COUNTIF(Esp_Nome,$E112)&gt;0,$I112&gt;3*INDEX(Esp_Dur,MATCH($E112,Esp_Nome,0))),"Duração atípica (&gt;3x a média) | ",""),""))</f>
        <v/>
      </c>
      <c r="P112" s="19">
        <f>IF(NOT(ISNUMBER($C112)),0,ROUND(MOD($C112-Turno_Ini,1)*1440,0))</f>
        <v/>
      </c>
      <c r="Q112" s="19">
        <f>IF($J112&lt;=0,0,$P112+$I112)</f>
        <v/>
      </c>
      <c r="R112" s="19">
        <f>IF($K112="","",$B112&amp;"#"&amp;$A112&amp;"#"&amp;$K112)</f>
        <v/>
      </c>
      <c r="S112" s="19">
        <f>ROW()</f>
        <v/>
      </c>
      <c r="T112" s="19">
        <f>IF($J112&lt;=0,0,MAX(0,MIN($P112+$I112+Limpeza_Min,Turno_Min,IFERROR(INDEX(Mapa_RelIni,MATCH($B112&amp;"#"&amp;$A112&amp;"#"&amp;($K112+1),Mapa_Chave,0)),Turno_Min))-MIN($P112,Turno_Min)))</f>
        <v/>
      </c>
    </row>
    <row r="113">
      <c r="A113" s="30" t="n"/>
      <c r="B113" s="31" t="n"/>
      <c r="C113" s="32" t="n"/>
      <c r="D113" s="32" t="n"/>
      <c r="E113" s="33" t="n"/>
      <c r="F113" s="33" t="n"/>
      <c r="G113" s="33" t="n"/>
      <c r="H113" s="31" t="n"/>
      <c r="I113" s="20">
        <f>IF(OR($B113="",NOT(ISNUMBER($C113)),NOT(ISNUMBER($D113))),"",ROUND(MOD($D113-$C113,1)*1440,0))</f>
        <v/>
      </c>
      <c r="J113" s="20">
        <f>IF(NOT(ISNUMBER($I113)),0,IF(OR($I113&lt;=0,$H113="Cancelada",$H113="Suspensa"),0,$I113+Limpeza_Min))</f>
        <v/>
      </c>
      <c r="K113" s="20">
        <f>IF($J113&lt;=0,"",SUMPRODUCT((Mapa_Sala=$B113)*(Mapa_Data=$A113)*(Mapa_MinOcup&gt;0)*((Mapa_RelIni&lt;$P113)+((Mapa_RelIni=$P113)*(Mapa_Row&lt;=$S113)))))</f>
        <v/>
      </c>
      <c r="L113" s="34">
        <f>IF($J113&lt;=0,"",MOD(Turno_Ini+($Q113+Limpeza_Min)/1440,1))</f>
        <v/>
      </c>
      <c r="M113" s="20">
        <f>IF($J113&lt;=0,"",MAX(0,IFERROR(INDEX(Mapa_RelIni,MATCH($B113&amp;"#"&amp;$A113&amp;"#"&amp;($K113+1),Mapa_Chave,0)),Turno_Min)-($Q113+Limpeza_Min)))</f>
        <v/>
      </c>
      <c r="N113" s="14">
        <f>IF($B113="","",IF($O113="","OK",LEFT($O113,LEN($O113)-3)))</f>
        <v/>
      </c>
      <c r="O113" s="35">
        <f>IF($B113="","",IF(COUNTIF(Postos_Cod,$B113)=0,"Sala não cadastrada | ","")&amp;IF(AND(COUNTIF(Postos_Cod,$B113)&gt;0,IFERROR(INDEX(Postos_Tipo,MATCH($B113,Postos_Cod,0)),"")&lt;&gt;"Sala cirúrgica"),"Posto não é sala cirúrgica | ","")&amp;IF(COUNTIF(Esp_Nome,$E113)=0,"Especialidade não cadastrada | ","")&amp;IF(COUNTIF(Lista_StatusCir,$H113)=0,"Status inválido | ","")&amp;IF(OR(NOT(ISNUMBER($C113)),NOT(ISNUMBER($D113))),"Horário inválido | ","")&amp;IFERROR(IF(AND(ISNUMBER($C113),ISNUMBER($D113),MOD($D113-$C113,1)*1440&lt;=0),"Duração nula ou negativa | ",""),"")&amp;IF(AND($J113&gt;0,OR($P113&gt;=Turno_Min,$Q113&gt;Turno_Min)),"Fora da janela do plantão | ","")&amp;IF(AND($J113&gt;0,SUMPRODUCT((Mapa_Sala=$B113)*(Mapa_Data=$A113)*(Mapa_MinOcup&gt;0)*(Mapa_RelIni&lt;$Q113)*(Mapa_RelFim&gt;$P113))&gt;1),"Sobreposição de horário na sala | ","")&amp;IFERROR(IF(AND(ISNUMBER($I113),$I113&gt;0,COUNTIF(Esp_Nome,$E113)&gt;0,$I113&gt;3*INDEX(Esp_Dur,MATCH($E113,Esp_Nome,0))),"Duração atípica (&gt;3x a média) | ",""),""))</f>
        <v/>
      </c>
      <c r="P113" s="19">
        <f>IF(NOT(ISNUMBER($C113)),0,ROUND(MOD($C113-Turno_Ini,1)*1440,0))</f>
        <v/>
      </c>
      <c r="Q113" s="19">
        <f>IF($J113&lt;=0,0,$P113+$I113)</f>
        <v/>
      </c>
      <c r="R113" s="19">
        <f>IF($K113="","",$B113&amp;"#"&amp;$A113&amp;"#"&amp;$K113)</f>
        <v/>
      </c>
      <c r="S113" s="19">
        <f>ROW()</f>
        <v/>
      </c>
      <c r="T113" s="19">
        <f>IF($J113&lt;=0,0,MAX(0,MIN($P113+$I113+Limpeza_Min,Turno_Min,IFERROR(INDEX(Mapa_RelIni,MATCH($B113&amp;"#"&amp;$A113&amp;"#"&amp;($K113+1),Mapa_Chave,0)),Turno_Min))-MIN($P113,Turno_Min)))</f>
        <v/>
      </c>
    </row>
    <row r="114">
      <c r="A114" s="30" t="n"/>
      <c r="B114" s="31" t="n"/>
      <c r="C114" s="32" t="n"/>
      <c r="D114" s="32" t="n"/>
      <c r="E114" s="33" t="n"/>
      <c r="F114" s="33" t="n"/>
      <c r="G114" s="33" t="n"/>
      <c r="H114" s="31" t="n"/>
      <c r="I114" s="20">
        <f>IF(OR($B114="",NOT(ISNUMBER($C114)),NOT(ISNUMBER($D114))),"",ROUND(MOD($D114-$C114,1)*1440,0))</f>
        <v/>
      </c>
      <c r="J114" s="20">
        <f>IF(NOT(ISNUMBER($I114)),0,IF(OR($I114&lt;=0,$H114="Cancelada",$H114="Suspensa"),0,$I114+Limpeza_Min))</f>
        <v/>
      </c>
      <c r="K114" s="20">
        <f>IF($J114&lt;=0,"",SUMPRODUCT((Mapa_Sala=$B114)*(Mapa_Data=$A114)*(Mapa_MinOcup&gt;0)*((Mapa_RelIni&lt;$P114)+((Mapa_RelIni=$P114)*(Mapa_Row&lt;=$S114)))))</f>
        <v/>
      </c>
      <c r="L114" s="34">
        <f>IF($J114&lt;=0,"",MOD(Turno_Ini+($Q114+Limpeza_Min)/1440,1))</f>
        <v/>
      </c>
      <c r="M114" s="20">
        <f>IF($J114&lt;=0,"",MAX(0,IFERROR(INDEX(Mapa_RelIni,MATCH($B114&amp;"#"&amp;$A114&amp;"#"&amp;($K114+1),Mapa_Chave,0)),Turno_Min)-($Q114+Limpeza_Min)))</f>
        <v/>
      </c>
      <c r="N114" s="14">
        <f>IF($B114="","",IF($O114="","OK",LEFT($O114,LEN($O114)-3)))</f>
        <v/>
      </c>
      <c r="O114" s="35">
        <f>IF($B114="","",IF(COUNTIF(Postos_Cod,$B114)=0,"Sala não cadastrada | ","")&amp;IF(AND(COUNTIF(Postos_Cod,$B114)&gt;0,IFERROR(INDEX(Postos_Tipo,MATCH($B114,Postos_Cod,0)),"")&lt;&gt;"Sala cirúrgica"),"Posto não é sala cirúrgica | ","")&amp;IF(COUNTIF(Esp_Nome,$E114)=0,"Especialidade não cadastrada | ","")&amp;IF(COUNTIF(Lista_StatusCir,$H114)=0,"Status inválido | ","")&amp;IF(OR(NOT(ISNUMBER($C114)),NOT(ISNUMBER($D114))),"Horário inválido | ","")&amp;IFERROR(IF(AND(ISNUMBER($C114),ISNUMBER($D114),MOD($D114-$C114,1)*1440&lt;=0),"Duração nula ou negativa | ",""),"")&amp;IF(AND($J114&gt;0,OR($P114&gt;=Turno_Min,$Q114&gt;Turno_Min)),"Fora da janela do plantão | ","")&amp;IF(AND($J114&gt;0,SUMPRODUCT((Mapa_Sala=$B114)*(Mapa_Data=$A114)*(Mapa_MinOcup&gt;0)*(Mapa_RelIni&lt;$Q114)*(Mapa_RelFim&gt;$P114))&gt;1),"Sobreposição de horário na sala | ","")&amp;IFERROR(IF(AND(ISNUMBER($I114),$I114&gt;0,COUNTIF(Esp_Nome,$E114)&gt;0,$I114&gt;3*INDEX(Esp_Dur,MATCH($E114,Esp_Nome,0))),"Duração atípica (&gt;3x a média) | ",""),""))</f>
        <v/>
      </c>
      <c r="P114" s="19">
        <f>IF(NOT(ISNUMBER($C114)),0,ROUND(MOD($C114-Turno_Ini,1)*1440,0))</f>
        <v/>
      </c>
      <c r="Q114" s="19">
        <f>IF($J114&lt;=0,0,$P114+$I114)</f>
        <v/>
      </c>
      <c r="R114" s="19">
        <f>IF($K114="","",$B114&amp;"#"&amp;$A114&amp;"#"&amp;$K114)</f>
        <v/>
      </c>
      <c r="S114" s="19">
        <f>ROW()</f>
        <v/>
      </c>
      <c r="T114" s="19">
        <f>IF($J114&lt;=0,0,MAX(0,MIN($P114+$I114+Limpeza_Min,Turno_Min,IFERROR(INDEX(Mapa_RelIni,MATCH($B114&amp;"#"&amp;$A114&amp;"#"&amp;($K114+1),Mapa_Chave,0)),Turno_Min))-MIN($P114,Turno_Min)))</f>
        <v/>
      </c>
    </row>
    <row r="115">
      <c r="A115" s="30" t="n"/>
      <c r="B115" s="31" t="n"/>
      <c r="C115" s="32" t="n"/>
      <c r="D115" s="32" t="n"/>
      <c r="E115" s="33" t="n"/>
      <c r="F115" s="33" t="n"/>
      <c r="G115" s="33" t="n"/>
      <c r="H115" s="31" t="n"/>
      <c r="I115" s="20">
        <f>IF(OR($B115="",NOT(ISNUMBER($C115)),NOT(ISNUMBER($D115))),"",ROUND(MOD($D115-$C115,1)*1440,0))</f>
        <v/>
      </c>
      <c r="J115" s="20">
        <f>IF(NOT(ISNUMBER($I115)),0,IF(OR($I115&lt;=0,$H115="Cancelada",$H115="Suspensa"),0,$I115+Limpeza_Min))</f>
        <v/>
      </c>
      <c r="K115" s="20">
        <f>IF($J115&lt;=0,"",SUMPRODUCT((Mapa_Sala=$B115)*(Mapa_Data=$A115)*(Mapa_MinOcup&gt;0)*((Mapa_RelIni&lt;$P115)+((Mapa_RelIni=$P115)*(Mapa_Row&lt;=$S115)))))</f>
        <v/>
      </c>
      <c r="L115" s="34">
        <f>IF($J115&lt;=0,"",MOD(Turno_Ini+($Q115+Limpeza_Min)/1440,1))</f>
        <v/>
      </c>
      <c r="M115" s="20">
        <f>IF($J115&lt;=0,"",MAX(0,IFERROR(INDEX(Mapa_RelIni,MATCH($B115&amp;"#"&amp;$A115&amp;"#"&amp;($K115+1),Mapa_Chave,0)),Turno_Min)-($Q115+Limpeza_Min)))</f>
        <v/>
      </c>
      <c r="N115" s="14">
        <f>IF($B115="","",IF($O115="","OK",LEFT($O115,LEN($O115)-3)))</f>
        <v/>
      </c>
      <c r="O115" s="35">
        <f>IF($B115="","",IF(COUNTIF(Postos_Cod,$B115)=0,"Sala não cadastrada | ","")&amp;IF(AND(COUNTIF(Postos_Cod,$B115)&gt;0,IFERROR(INDEX(Postos_Tipo,MATCH($B115,Postos_Cod,0)),"")&lt;&gt;"Sala cirúrgica"),"Posto não é sala cirúrgica | ","")&amp;IF(COUNTIF(Esp_Nome,$E115)=0,"Especialidade não cadastrada | ","")&amp;IF(COUNTIF(Lista_StatusCir,$H115)=0,"Status inválido | ","")&amp;IF(OR(NOT(ISNUMBER($C115)),NOT(ISNUMBER($D115))),"Horário inválido | ","")&amp;IFERROR(IF(AND(ISNUMBER($C115),ISNUMBER($D115),MOD($D115-$C115,1)*1440&lt;=0),"Duração nula ou negativa | ",""),"")&amp;IF(AND($J115&gt;0,OR($P115&gt;=Turno_Min,$Q115&gt;Turno_Min)),"Fora da janela do plantão | ","")&amp;IF(AND($J115&gt;0,SUMPRODUCT((Mapa_Sala=$B115)*(Mapa_Data=$A115)*(Mapa_MinOcup&gt;0)*(Mapa_RelIni&lt;$Q115)*(Mapa_RelFim&gt;$P115))&gt;1),"Sobreposição de horário na sala | ","")&amp;IFERROR(IF(AND(ISNUMBER($I115),$I115&gt;0,COUNTIF(Esp_Nome,$E115)&gt;0,$I115&gt;3*INDEX(Esp_Dur,MATCH($E115,Esp_Nome,0))),"Duração atípica (&gt;3x a média) | ",""),""))</f>
        <v/>
      </c>
      <c r="P115" s="19">
        <f>IF(NOT(ISNUMBER($C115)),0,ROUND(MOD($C115-Turno_Ini,1)*1440,0))</f>
        <v/>
      </c>
      <c r="Q115" s="19">
        <f>IF($J115&lt;=0,0,$P115+$I115)</f>
        <v/>
      </c>
      <c r="R115" s="19">
        <f>IF($K115="","",$B115&amp;"#"&amp;$A115&amp;"#"&amp;$K115)</f>
        <v/>
      </c>
      <c r="S115" s="19">
        <f>ROW()</f>
        <v/>
      </c>
      <c r="T115" s="19">
        <f>IF($J115&lt;=0,0,MAX(0,MIN($P115+$I115+Limpeza_Min,Turno_Min,IFERROR(INDEX(Mapa_RelIni,MATCH($B115&amp;"#"&amp;$A115&amp;"#"&amp;($K115+1),Mapa_Chave,0)),Turno_Min))-MIN($P115,Turno_Min)))</f>
        <v/>
      </c>
    </row>
    <row r="116">
      <c r="A116" s="30" t="n"/>
      <c r="B116" s="31" t="n"/>
      <c r="C116" s="32" t="n"/>
      <c r="D116" s="32" t="n"/>
      <c r="E116" s="33" t="n"/>
      <c r="F116" s="33" t="n"/>
      <c r="G116" s="33" t="n"/>
      <c r="H116" s="31" t="n"/>
      <c r="I116" s="20">
        <f>IF(OR($B116="",NOT(ISNUMBER($C116)),NOT(ISNUMBER($D116))),"",ROUND(MOD($D116-$C116,1)*1440,0))</f>
        <v/>
      </c>
      <c r="J116" s="20">
        <f>IF(NOT(ISNUMBER($I116)),0,IF(OR($I116&lt;=0,$H116="Cancelada",$H116="Suspensa"),0,$I116+Limpeza_Min))</f>
        <v/>
      </c>
      <c r="K116" s="20">
        <f>IF($J116&lt;=0,"",SUMPRODUCT((Mapa_Sala=$B116)*(Mapa_Data=$A116)*(Mapa_MinOcup&gt;0)*((Mapa_RelIni&lt;$P116)+((Mapa_RelIni=$P116)*(Mapa_Row&lt;=$S116)))))</f>
        <v/>
      </c>
      <c r="L116" s="34">
        <f>IF($J116&lt;=0,"",MOD(Turno_Ini+($Q116+Limpeza_Min)/1440,1))</f>
        <v/>
      </c>
      <c r="M116" s="20">
        <f>IF($J116&lt;=0,"",MAX(0,IFERROR(INDEX(Mapa_RelIni,MATCH($B116&amp;"#"&amp;$A116&amp;"#"&amp;($K116+1),Mapa_Chave,0)),Turno_Min)-($Q116+Limpeza_Min)))</f>
        <v/>
      </c>
      <c r="N116" s="14">
        <f>IF($B116="","",IF($O116="","OK",LEFT($O116,LEN($O116)-3)))</f>
        <v/>
      </c>
      <c r="O116" s="35">
        <f>IF($B116="","",IF(COUNTIF(Postos_Cod,$B116)=0,"Sala não cadastrada | ","")&amp;IF(AND(COUNTIF(Postos_Cod,$B116)&gt;0,IFERROR(INDEX(Postos_Tipo,MATCH($B116,Postos_Cod,0)),"")&lt;&gt;"Sala cirúrgica"),"Posto não é sala cirúrgica | ","")&amp;IF(COUNTIF(Esp_Nome,$E116)=0,"Especialidade não cadastrada | ","")&amp;IF(COUNTIF(Lista_StatusCir,$H116)=0,"Status inválido | ","")&amp;IF(OR(NOT(ISNUMBER($C116)),NOT(ISNUMBER($D116))),"Horário inválido | ","")&amp;IFERROR(IF(AND(ISNUMBER($C116),ISNUMBER($D116),MOD($D116-$C116,1)*1440&lt;=0),"Duração nula ou negativa | ",""),"")&amp;IF(AND($J116&gt;0,OR($P116&gt;=Turno_Min,$Q116&gt;Turno_Min)),"Fora da janela do plantão | ","")&amp;IF(AND($J116&gt;0,SUMPRODUCT((Mapa_Sala=$B116)*(Mapa_Data=$A116)*(Mapa_MinOcup&gt;0)*(Mapa_RelIni&lt;$Q116)*(Mapa_RelFim&gt;$P116))&gt;1),"Sobreposição de horário na sala | ","")&amp;IFERROR(IF(AND(ISNUMBER($I116),$I116&gt;0,COUNTIF(Esp_Nome,$E116)&gt;0,$I116&gt;3*INDEX(Esp_Dur,MATCH($E116,Esp_Nome,0))),"Duração atípica (&gt;3x a média) | ",""),""))</f>
        <v/>
      </c>
      <c r="P116" s="19">
        <f>IF(NOT(ISNUMBER($C116)),0,ROUND(MOD($C116-Turno_Ini,1)*1440,0))</f>
        <v/>
      </c>
      <c r="Q116" s="19">
        <f>IF($J116&lt;=0,0,$P116+$I116)</f>
        <v/>
      </c>
      <c r="R116" s="19">
        <f>IF($K116="","",$B116&amp;"#"&amp;$A116&amp;"#"&amp;$K116)</f>
        <v/>
      </c>
      <c r="S116" s="19">
        <f>ROW()</f>
        <v/>
      </c>
      <c r="T116" s="19">
        <f>IF($J116&lt;=0,0,MAX(0,MIN($P116+$I116+Limpeza_Min,Turno_Min,IFERROR(INDEX(Mapa_RelIni,MATCH($B116&amp;"#"&amp;$A116&amp;"#"&amp;($K116+1),Mapa_Chave,0)),Turno_Min))-MIN($P116,Turno_Min)))</f>
        <v/>
      </c>
    </row>
    <row r="117">
      <c r="A117" s="30" t="n"/>
      <c r="B117" s="31" t="n"/>
      <c r="C117" s="32" t="n"/>
      <c r="D117" s="32" t="n"/>
      <c r="E117" s="33" t="n"/>
      <c r="F117" s="33" t="n"/>
      <c r="G117" s="33" t="n"/>
      <c r="H117" s="31" t="n"/>
      <c r="I117" s="20">
        <f>IF(OR($B117="",NOT(ISNUMBER($C117)),NOT(ISNUMBER($D117))),"",ROUND(MOD($D117-$C117,1)*1440,0))</f>
        <v/>
      </c>
      <c r="J117" s="20">
        <f>IF(NOT(ISNUMBER($I117)),0,IF(OR($I117&lt;=0,$H117="Cancelada",$H117="Suspensa"),0,$I117+Limpeza_Min))</f>
        <v/>
      </c>
      <c r="K117" s="20">
        <f>IF($J117&lt;=0,"",SUMPRODUCT((Mapa_Sala=$B117)*(Mapa_Data=$A117)*(Mapa_MinOcup&gt;0)*((Mapa_RelIni&lt;$P117)+((Mapa_RelIni=$P117)*(Mapa_Row&lt;=$S117)))))</f>
        <v/>
      </c>
      <c r="L117" s="34">
        <f>IF($J117&lt;=0,"",MOD(Turno_Ini+($Q117+Limpeza_Min)/1440,1))</f>
        <v/>
      </c>
      <c r="M117" s="20">
        <f>IF($J117&lt;=0,"",MAX(0,IFERROR(INDEX(Mapa_RelIni,MATCH($B117&amp;"#"&amp;$A117&amp;"#"&amp;($K117+1),Mapa_Chave,0)),Turno_Min)-($Q117+Limpeza_Min)))</f>
        <v/>
      </c>
      <c r="N117" s="14">
        <f>IF($B117="","",IF($O117="","OK",LEFT($O117,LEN($O117)-3)))</f>
        <v/>
      </c>
      <c r="O117" s="35">
        <f>IF($B117="","",IF(COUNTIF(Postos_Cod,$B117)=0,"Sala não cadastrada | ","")&amp;IF(AND(COUNTIF(Postos_Cod,$B117)&gt;0,IFERROR(INDEX(Postos_Tipo,MATCH($B117,Postos_Cod,0)),"")&lt;&gt;"Sala cirúrgica"),"Posto não é sala cirúrgica | ","")&amp;IF(COUNTIF(Esp_Nome,$E117)=0,"Especialidade não cadastrada | ","")&amp;IF(COUNTIF(Lista_StatusCir,$H117)=0,"Status inválido | ","")&amp;IF(OR(NOT(ISNUMBER($C117)),NOT(ISNUMBER($D117))),"Horário inválido | ","")&amp;IFERROR(IF(AND(ISNUMBER($C117),ISNUMBER($D117),MOD($D117-$C117,1)*1440&lt;=0),"Duração nula ou negativa | ",""),"")&amp;IF(AND($J117&gt;0,OR($P117&gt;=Turno_Min,$Q117&gt;Turno_Min)),"Fora da janela do plantão | ","")&amp;IF(AND($J117&gt;0,SUMPRODUCT((Mapa_Sala=$B117)*(Mapa_Data=$A117)*(Mapa_MinOcup&gt;0)*(Mapa_RelIni&lt;$Q117)*(Mapa_RelFim&gt;$P117))&gt;1),"Sobreposição de horário na sala | ","")&amp;IFERROR(IF(AND(ISNUMBER($I117),$I117&gt;0,COUNTIF(Esp_Nome,$E117)&gt;0,$I117&gt;3*INDEX(Esp_Dur,MATCH($E117,Esp_Nome,0))),"Duração atípica (&gt;3x a média) | ",""),""))</f>
        <v/>
      </c>
      <c r="P117" s="19">
        <f>IF(NOT(ISNUMBER($C117)),0,ROUND(MOD($C117-Turno_Ini,1)*1440,0))</f>
        <v/>
      </c>
      <c r="Q117" s="19">
        <f>IF($J117&lt;=0,0,$P117+$I117)</f>
        <v/>
      </c>
      <c r="R117" s="19">
        <f>IF($K117="","",$B117&amp;"#"&amp;$A117&amp;"#"&amp;$K117)</f>
        <v/>
      </c>
      <c r="S117" s="19">
        <f>ROW()</f>
        <v/>
      </c>
      <c r="T117" s="19">
        <f>IF($J117&lt;=0,0,MAX(0,MIN($P117+$I117+Limpeza_Min,Turno_Min,IFERROR(INDEX(Mapa_RelIni,MATCH($B117&amp;"#"&amp;$A117&amp;"#"&amp;($K117+1),Mapa_Chave,0)),Turno_Min))-MIN($P117,Turno_Min)))</f>
        <v/>
      </c>
    </row>
    <row r="118">
      <c r="A118" s="30" t="n"/>
      <c r="B118" s="31" t="n"/>
      <c r="C118" s="32" t="n"/>
      <c r="D118" s="32" t="n"/>
      <c r="E118" s="33" t="n"/>
      <c r="F118" s="33" t="n"/>
      <c r="G118" s="33" t="n"/>
      <c r="H118" s="31" t="n"/>
      <c r="I118" s="20">
        <f>IF(OR($B118="",NOT(ISNUMBER($C118)),NOT(ISNUMBER($D118))),"",ROUND(MOD($D118-$C118,1)*1440,0))</f>
        <v/>
      </c>
      <c r="J118" s="20">
        <f>IF(NOT(ISNUMBER($I118)),0,IF(OR($I118&lt;=0,$H118="Cancelada",$H118="Suspensa"),0,$I118+Limpeza_Min))</f>
        <v/>
      </c>
      <c r="K118" s="20">
        <f>IF($J118&lt;=0,"",SUMPRODUCT((Mapa_Sala=$B118)*(Mapa_Data=$A118)*(Mapa_MinOcup&gt;0)*((Mapa_RelIni&lt;$P118)+((Mapa_RelIni=$P118)*(Mapa_Row&lt;=$S118)))))</f>
        <v/>
      </c>
      <c r="L118" s="34">
        <f>IF($J118&lt;=0,"",MOD(Turno_Ini+($Q118+Limpeza_Min)/1440,1))</f>
        <v/>
      </c>
      <c r="M118" s="20">
        <f>IF($J118&lt;=0,"",MAX(0,IFERROR(INDEX(Mapa_RelIni,MATCH($B118&amp;"#"&amp;$A118&amp;"#"&amp;($K118+1),Mapa_Chave,0)),Turno_Min)-($Q118+Limpeza_Min)))</f>
        <v/>
      </c>
      <c r="N118" s="14">
        <f>IF($B118="","",IF($O118="","OK",LEFT($O118,LEN($O118)-3)))</f>
        <v/>
      </c>
      <c r="O118" s="35">
        <f>IF($B118="","",IF(COUNTIF(Postos_Cod,$B118)=0,"Sala não cadastrada | ","")&amp;IF(AND(COUNTIF(Postos_Cod,$B118)&gt;0,IFERROR(INDEX(Postos_Tipo,MATCH($B118,Postos_Cod,0)),"")&lt;&gt;"Sala cirúrgica"),"Posto não é sala cirúrgica | ","")&amp;IF(COUNTIF(Esp_Nome,$E118)=0,"Especialidade não cadastrada | ","")&amp;IF(COUNTIF(Lista_StatusCir,$H118)=0,"Status inválido | ","")&amp;IF(OR(NOT(ISNUMBER($C118)),NOT(ISNUMBER($D118))),"Horário inválido | ","")&amp;IFERROR(IF(AND(ISNUMBER($C118),ISNUMBER($D118),MOD($D118-$C118,1)*1440&lt;=0),"Duração nula ou negativa | ",""),"")&amp;IF(AND($J118&gt;0,OR($P118&gt;=Turno_Min,$Q118&gt;Turno_Min)),"Fora da janela do plantão | ","")&amp;IF(AND($J118&gt;0,SUMPRODUCT((Mapa_Sala=$B118)*(Mapa_Data=$A118)*(Mapa_MinOcup&gt;0)*(Mapa_RelIni&lt;$Q118)*(Mapa_RelFim&gt;$P118))&gt;1),"Sobreposição de horário na sala | ","")&amp;IFERROR(IF(AND(ISNUMBER($I118),$I118&gt;0,COUNTIF(Esp_Nome,$E118)&gt;0,$I118&gt;3*INDEX(Esp_Dur,MATCH($E118,Esp_Nome,0))),"Duração atípica (&gt;3x a média) | ",""),""))</f>
        <v/>
      </c>
      <c r="P118" s="19">
        <f>IF(NOT(ISNUMBER($C118)),0,ROUND(MOD($C118-Turno_Ini,1)*1440,0))</f>
        <v/>
      </c>
      <c r="Q118" s="19">
        <f>IF($J118&lt;=0,0,$P118+$I118)</f>
        <v/>
      </c>
      <c r="R118" s="19">
        <f>IF($K118="","",$B118&amp;"#"&amp;$A118&amp;"#"&amp;$K118)</f>
        <v/>
      </c>
      <c r="S118" s="19">
        <f>ROW()</f>
        <v/>
      </c>
      <c r="T118" s="19">
        <f>IF($J118&lt;=0,0,MAX(0,MIN($P118+$I118+Limpeza_Min,Turno_Min,IFERROR(INDEX(Mapa_RelIni,MATCH($B118&amp;"#"&amp;$A118&amp;"#"&amp;($K118+1),Mapa_Chave,0)),Turno_Min))-MIN($P118,Turno_Min)))</f>
        <v/>
      </c>
    </row>
    <row r="119">
      <c r="A119" s="30" t="n"/>
      <c r="B119" s="31" t="n"/>
      <c r="C119" s="32" t="n"/>
      <c r="D119" s="32" t="n"/>
      <c r="E119" s="33" t="n"/>
      <c r="F119" s="33" t="n"/>
      <c r="G119" s="33" t="n"/>
      <c r="H119" s="31" t="n"/>
      <c r="I119" s="20">
        <f>IF(OR($B119="",NOT(ISNUMBER($C119)),NOT(ISNUMBER($D119))),"",ROUND(MOD($D119-$C119,1)*1440,0))</f>
        <v/>
      </c>
      <c r="J119" s="20">
        <f>IF(NOT(ISNUMBER($I119)),0,IF(OR($I119&lt;=0,$H119="Cancelada",$H119="Suspensa"),0,$I119+Limpeza_Min))</f>
        <v/>
      </c>
      <c r="K119" s="20">
        <f>IF($J119&lt;=0,"",SUMPRODUCT((Mapa_Sala=$B119)*(Mapa_Data=$A119)*(Mapa_MinOcup&gt;0)*((Mapa_RelIni&lt;$P119)+((Mapa_RelIni=$P119)*(Mapa_Row&lt;=$S119)))))</f>
        <v/>
      </c>
      <c r="L119" s="34">
        <f>IF($J119&lt;=0,"",MOD(Turno_Ini+($Q119+Limpeza_Min)/1440,1))</f>
        <v/>
      </c>
      <c r="M119" s="20">
        <f>IF($J119&lt;=0,"",MAX(0,IFERROR(INDEX(Mapa_RelIni,MATCH($B119&amp;"#"&amp;$A119&amp;"#"&amp;($K119+1),Mapa_Chave,0)),Turno_Min)-($Q119+Limpeza_Min)))</f>
        <v/>
      </c>
      <c r="N119" s="14">
        <f>IF($B119="","",IF($O119="","OK",LEFT($O119,LEN($O119)-3)))</f>
        <v/>
      </c>
      <c r="O119" s="35">
        <f>IF($B119="","",IF(COUNTIF(Postos_Cod,$B119)=0,"Sala não cadastrada | ","")&amp;IF(AND(COUNTIF(Postos_Cod,$B119)&gt;0,IFERROR(INDEX(Postos_Tipo,MATCH($B119,Postos_Cod,0)),"")&lt;&gt;"Sala cirúrgica"),"Posto não é sala cirúrgica | ","")&amp;IF(COUNTIF(Esp_Nome,$E119)=0,"Especialidade não cadastrada | ","")&amp;IF(COUNTIF(Lista_StatusCir,$H119)=0,"Status inválido | ","")&amp;IF(OR(NOT(ISNUMBER($C119)),NOT(ISNUMBER($D119))),"Horário inválido | ","")&amp;IFERROR(IF(AND(ISNUMBER($C119),ISNUMBER($D119),MOD($D119-$C119,1)*1440&lt;=0),"Duração nula ou negativa | ",""),"")&amp;IF(AND($J119&gt;0,OR($P119&gt;=Turno_Min,$Q119&gt;Turno_Min)),"Fora da janela do plantão | ","")&amp;IF(AND($J119&gt;0,SUMPRODUCT((Mapa_Sala=$B119)*(Mapa_Data=$A119)*(Mapa_MinOcup&gt;0)*(Mapa_RelIni&lt;$Q119)*(Mapa_RelFim&gt;$P119))&gt;1),"Sobreposição de horário na sala | ","")&amp;IFERROR(IF(AND(ISNUMBER($I119),$I119&gt;0,COUNTIF(Esp_Nome,$E119)&gt;0,$I119&gt;3*INDEX(Esp_Dur,MATCH($E119,Esp_Nome,0))),"Duração atípica (&gt;3x a média) | ",""),""))</f>
        <v/>
      </c>
      <c r="P119" s="19">
        <f>IF(NOT(ISNUMBER($C119)),0,ROUND(MOD($C119-Turno_Ini,1)*1440,0))</f>
        <v/>
      </c>
      <c r="Q119" s="19">
        <f>IF($J119&lt;=0,0,$P119+$I119)</f>
        <v/>
      </c>
      <c r="R119" s="19">
        <f>IF($K119="","",$B119&amp;"#"&amp;$A119&amp;"#"&amp;$K119)</f>
        <v/>
      </c>
      <c r="S119" s="19">
        <f>ROW()</f>
        <v/>
      </c>
      <c r="T119" s="19">
        <f>IF($J119&lt;=0,0,MAX(0,MIN($P119+$I119+Limpeza_Min,Turno_Min,IFERROR(INDEX(Mapa_RelIni,MATCH($B119&amp;"#"&amp;$A119&amp;"#"&amp;($K119+1),Mapa_Chave,0)),Turno_Min))-MIN($P119,Turno_Min)))</f>
        <v/>
      </c>
    </row>
    <row r="120">
      <c r="A120" s="30" t="n"/>
      <c r="B120" s="31" t="n"/>
      <c r="C120" s="32" t="n"/>
      <c r="D120" s="32" t="n"/>
      <c r="E120" s="33" t="n"/>
      <c r="F120" s="33" t="n"/>
      <c r="G120" s="33" t="n"/>
      <c r="H120" s="31" t="n"/>
      <c r="I120" s="20">
        <f>IF(OR($B120="",NOT(ISNUMBER($C120)),NOT(ISNUMBER($D120))),"",ROUND(MOD($D120-$C120,1)*1440,0))</f>
        <v/>
      </c>
      <c r="J120" s="20">
        <f>IF(NOT(ISNUMBER($I120)),0,IF(OR($I120&lt;=0,$H120="Cancelada",$H120="Suspensa"),0,$I120+Limpeza_Min))</f>
        <v/>
      </c>
      <c r="K120" s="20">
        <f>IF($J120&lt;=0,"",SUMPRODUCT((Mapa_Sala=$B120)*(Mapa_Data=$A120)*(Mapa_MinOcup&gt;0)*((Mapa_RelIni&lt;$P120)+((Mapa_RelIni=$P120)*(Mapa_Row&lt;=$S120)))))</f>
        <v/>
      </c>
      <c r="L120" s="34">
        <f>IF($J120&lt;=0,"",MOD(Turno_Ini+($Q120+Limpeza_Min)/1440,1))</f>
        <v/>
      </c>
      <c r="M120" s="20">
        <f>IF($J120&lt;=0,"",MAX(0,IFERROR(INDEX(Mapa_RelIni,MATCH($B120&amp;"#"&amp;$A120&amp;"#"&amp;($K120+1),Mapa_Chave,0)),Turno_Min)-($Q120+Limpeza_Min)))</f>
        <v/>
      </c>
      <c r="N120" s="14">
        <f>IF($B120="","",IF($O120="","OK",LEFT($O120,LEN($O120)-3)))</f>
        <v/>
      </c>
      <c r="O120" s="35">
        <f>IF($B120="","",IF(COUNTIF(Postos_Cod,$B120)=0,"Sala não cadastrada | ","")&amp;IF(AND(COUNTIF(Postos_Cod,$B120)&gt;0,IFERROR(INDEX(Postos_Tipo,MATCH($B120,Postos_Cod,0)),"")&lt;&gt;"Sala cirúrgica"),"Posto não é sala cirúrgica | ","")&amp;IF(COUNTIF(Esp_Nome,$E120)=0,"Especialidade não cadastrada | ","")&amp;IF(COUNTIF(Lista_StatusCir,$H120)=0,"Status inválido | ","")&amp;IF(OR(NOT(ISNUMBER($C120)),NOT(ISNUMBER($D120))),"Horário inválido | ","")&amp;IFERROR(IF(AND(ISNUMBER($C120),ISNUMBER($D120),MOD($D120-$C120,1)*1440&lt;=0),"Duração nula ou negativa | ",""),"")&amp;IF(AND($J120&gt;0,OR($P120&gt;=Turno_Min,$Q120&gt;Turno_Min)),"Fora da janela do plantão | ","")&amp;IF(AND($J120&gt;0,SUMPRODUCT((Mapa_Sala=$B120)*(Mapa_Data=$A120)*(Mapa_MinOcup&gt;0)*(Mapa_RelIni&lt;$Q120)*(Mapa_RelFim&gt;$P120))&gt;1),"Sobreposição de horário na sala | ","")&amp;IFERROR(IF(AND(ISNUMBER($I120),$I120&gt;0,COUNTIF(Esp_Nome,$E120)&gt;0,$I120&gt;3*INDEX(Esp_Dur,MATCH($E120,Esp_Nome,0))),"Duração atípica (&gt;3x a média) | ",""),""))</f>
        <v/>
      </c>
      <c r="P120" s="19">
        <f>IF(NOT(ISNUMBER($C120)),0,ROUND(MOD($C120-Turno_Ini,1)*1440,0))</f>
        <v/>
      </c>
      <c r="Q120" s="19">
        <f>IF($J120&lt;=0,0,$P120+$I120)</f>
        <v/>
      </c>
      <c r="R120" s="19">
        <f>IF($K120="","",$B120&amp;"#"&amp;$A120&amp;"#"&amp;$K120)</f>
        <v/>
      </c>
      <c r="S120" s="19">
        <f>ROW()</f>
        <v/>
      </c>
      <c r="T120" s="19">
        <f>IF($J120&lt;=0,0,MAX(0,MIN($P120+$I120+Limpeza_Min,Turno_Min,IFERROR(INDEX(Mapa_RelIni,MATCH($B120&amp;"#"&amp;$A120&amp;"#"&amp;($K120+1),Mapa_Chave,0)),Turno_Min))-MIN($P120,Turno_Min)))</f>
        <v/>
      </c>
    </row>
    <row r="121">
      <c r="A121" s="30" t="n"/>
      <c r="B121" s="31" t="n"/>
      <c r="C121" s="32" t="n"/>
      <c r="D121" s="32" t="n"/>
      <c r="E121" s="33" t="n"/>
      <c r="F121" s="33" t="n"/>
      <c r="G121" s="33" t="n"/>
      <c r="H121" s="31" t="n"/>
      <c r="I121" s="20">
        <f>IF(OR($B121="",NOT(ISNUMBER($C121)),NOT(ISNUMBER($D121))),"",ROUND(MOD($D121-$C121,1)*1440,0))</f>
        <v/>
      </c>
      <c r="J121" s="20">
        <f>IF(NOT(ISNUMBER($I121)),0,IF(OR($I121&lt;=0,$H121="Cancelada",$H121="Suspensa"),0,$I121+Limpeza_Min))</f>
        <v/>
      </c>
      <c r="K121" s="20">
        <f>IF($J121&lt;=0,"",SUMPRODUCT((Mapa_Sala=$B121)*(Mapa_Data=$A121)*(Mapa_MinOcup&gt;0)*((Mapa_RelIni&lt;$P121)+((Mapa_RelIni=$P121)*(Mapa_Row&lt;=$S121)))))</f>
        <v/>
      </c>
      <c r="L121" s="34">
        <f>IF($J121&lt;=0,"",MOD(Turno_Ini+($Q121+Limpeza_Min)/1440,1))</f>
        <v/>
      </c>
      <c r="M121" s="20">
        <f>IF($J121&lt;=0,"",MAX(0,IFERROR(INDEX(Mapa_RelIni,MATCH($B121&amp;"#"&amp;$A121&amp;"#"&amp;($K121+1),Mapa_Chave,0)),Turno_Min)-($Q121+Limpeza_Min)))</f>
        <v/>
      </c>
      <c r="N121" s="14">
        <f>IF($B121="","",IF($O121="","OK",LEFT($O121,LEN($O121)-3)))</f>
        <v/>
      </c>
      <c r="O121" s="35">
        <f>IF($B121="","",IF(COUNTIF(Postos_Cod,$B121)=0,"Sala não cadastrada | ","")&amp;IF(AND(COUNTIF(Postos_Cod,$B121)&gt;0,IFERROR(INDEX(Postos_Tipo,MATCH($B121,Postos_Cod,0)),"")&lt;&gt;"Sala cirúrgica"),"Posto não é sala cirúrgica | ","")&amp;IF(COUNTIF(Esp_Nome,$E121)=0,"Especialidade não cadastrada | ","")&amp;IF(COUNTIF(Lista_StatusCir,$H121)=0,"Status inválido | ","")&amp;IF(OR(NOT(ISNUMBER($C121)),NOT(ISNUMBER($D121))),"Horário inválido | ","")&amp;IFERROR(IF(AND(ISNUMBER($C121),ISNUMBER($D121),MOD($D121-$C121,1)*1440&lt;=0),"Duração nula ou negativa | ",""),"")&amp;IF(AND($J121&gt;0,OR($P121&gt;=Turno_Min,$Q121&gt;Turno_Min)),"Fora da janela do plantão | ","")&amp;IF(AND($J121&gt;0,SUMPRODUCT((Mapa_Sala=$B121)*(Mapa_Data=$A121)*(Mapa_MinOcup&gt;0)*(Mapa_RelIni&lt;$Q121)*(Mapa_RelFim&gt;$P121))&gt;1),"Sobreposição de horário na sala | ","")&amp;IFERROR(IF(AND(ISNUMBER($I121),$I121&gt;0,COUNTIF(Esp_Nome,$E121)&gt;0,$I121&gt;3*INDEX(Esp_Dur,MATCH($E121,Esp_Nome,0))),"Duração atípica (&gt;3x a média) | ",""),""))</f>
        <v/>
      </c>
      <c r="P121" s="19">
        <f>IF(NOT(ISNUMBER($C121)),0,ROUND(MOD($C121-Turno_Ini,1)*1440,0))</f>
        <v/>
      </c>
      <c r="Q121" s="19">
        <f>IF($J121&lt;=0,0,$P121+$I121)</f>
        <v/>
      </c>
      <c r="R121" s="19">
        <f>IF($K121="","",$B121&amp;"#"&amp;$A121&amp;"#"&amp;$K121)</f>
        <v/>
      </c>
      <c r="S121" s="19">
        <f>ROW()</f>
        <v/>
      </c>
      <c r="T121" s="19">
        <f>IF($J121&lt;=0,0,MAX(0,MIN($P121+$I121+Limpeza_Min,Turno_Min,IFERROR(INDEX(Mapa_RelIni,MATCH($B121&amp;"#"&amp;$A121&amp;"#"&amp;($K121+1),Mapa_Chave,0)),Turno_Min))-MIN($P121,Turno_Min)))</f>
        <v/>
      </c>
    </row>
    <row r="122">
      <c r="A122" s="30" t="n"/>
      <c r="B122" s="31" t="n"/>
      <c r="C122" s="32" t="n"/>
      <c r="D122" s="32" t="n"/>
      <c r="E122" s="33" t="n"/>
      <c r="F122" s="33" t="n"/>
      <c r="G122" s="33" t="n"/>
      <c r="H122" s="31" t="n"/>
      <c r="I122" s="20">
        <f>IF(OR($B122="",NOT(ISNUMBER($C122)),NOT(ISNUMBER($D122))),"",ROUND(MOD($D122-$C122,1)*1440,0))</f>
        <v/>
      </c>
      <c r="J122" s="20">
        <f>IF(NOT(ISNUMBER($I122)),0,IF(OR($I122&lt;=0,$H122="Cancelada",$H122="Suspensa"),0,$I122+Limpeza_Min))</f>
        <v/>
      </c>
      <c r="K122" s="20">
        <f>IF($J122&lt;=0,"",SUMPRODUCT((Mapa_Sala=$B122)*(Mapa_Data=$A122)*(Mapa_MinOcup&gt;0)*((Mapa_RelIni&lt;$P122)+((Mapa_RelIni=$P122)*(Mapa_Row&lt;=$S122)))))</f>
        <v/>
      </c>
      <c r="L122" s="34">
        <f>IF($J122&lt;=0,"",MOD(Turno_Ini+($Q122+Limpeza_Min)/1440,1))</f>
        <v/>
      </c>
      <c r="M122" s="20">
        <f>IF($J122&lt;=0,"",MAX(0,IFERROR(INDEX(Mapa_RelIni,MATCH($B122&amp;"#"&amp;$A122&amp;"#"&amp;($K122+1),Mapa_Chave,0)),Turno_Min)-($Q122+Limpeza_Min)))</f>
        <v/>
      </c>
      <c r="N122" s="14">
        <f>IF($B122="","",IF($O122="","OK",LEFT($O122,LEN($O122)-3)))</f>
        <v/>
      </c>
      <c r="O122" s="35">
        <f>IF($B122="","",IF(COUNTIF(Postos_Cod,$B122)=0,"Sala não cadastrada | ","")&amp;IF(AND(COUNTIF(Postos_Cod,$B122)&gt;0,IFERROR(INDEX(Postos_Tipo,MATCH($B122,Postos_Cod,0)),"")&lt;&gt;"Sala cirúrgica"),"Posto não é sala cirúrgica | ","")&amp;IF(COUNTIF(Esp_Nome,$E122)=0,"Especialidade não cadastrada | ","")&amp;IF(COUNTIF(Lista_StatusCir,$H122)=0,"Status inválido | ","")&amp;IF(OR(NOT(ISNUMBER($C122)),NOT(ISNUMBER($D122))),"Horário inválido | ","")&amp;IFERROR(IF(AND(ISNUMBER($C122),ISNUMBER($D122),MOD($D122-$C122,1)*1440&lt;=0),"Duração nula ou negativa | ",""),"")&amp;IF(AND($J122&gt;0,OR($P122&gt;=Turno_Min,$Q122&gt;Turno_Min)),"Fora da janela do plantão | ","")&amp;IF(AND($J122&gt;0,SUMPRODUCT((Mapa_Sala=$B122)*(Mapa_Data=$A122)*(Mapa_MinOcup&gt;0)*(Mapa_RelIni&lt;$Q122)*(Mapa_RelFim&gt;$P122))&gt;1),"Sobreposição de horário na sala | ","")&amp;IFERROR(IF(AND(ISNUMBER($I122),$I122&gt;0,COUNTIF(Esp_Nome,$E122)&gt;0,$I122&gt;3*INDEX(Esp_Dur,MATCH($E122,Esp_Nome,0))),"Duração atípica (&gt;3x a média) | ",""),""))</f>
        <v/>
      </c>
      <c r="P122" s="19">
        <f>IF(NOT(ISNUMBER($C122)),0,ROUND(MOD($C122-Turno_Ini,1)*1440,0))</f>
        <v/>
      </c>
      <c r="Q122" s="19">
        <f>IF($J122&lt;=0,0,$P122+$I122)</f>
        <v/>
      </c>
      <c r="R122" s="19">
        <f>IF($K122="","",$B122&amp;"#"&amp;$A122&amp;"#"&amp;$K122)</f>
        <v/>
      </c>
      <c r="S122" s="19">
        <f>ROW()</f>
        <v/>
      </c>
      <c r="T122" s="19">
        <f>IF($J122&lt;=0,0,MAX(0,MIN($P122+$I122+Limpeza_Min,Turno_Min,IFERROR(INDEX(Mapa_RelIni,MATCH($B122&amp;"#"&amp;$A122&amp;"#"&amp;($K122+1),Mapa_Chave,0)),Turno_Min))-MIN($P122,Turno_Min)))</f>
        <v/>
      </c>
    </row>
    <row r="123">
      <c r="A123" s="30" t="n"/>
      <c r="B123" s="31" t="n"/>
      <c r="C123" s="32" t="n"/>
      <c r="D123" s="32" t="n"/>
      <c r="E123" s="33" t="n"/>
      <c r="F123" s="33" t="n"/>
      <c r="G123" s="33" t="n"/>
      <c r="H123" s="31" t="n"/>
      <c r="I123" s="20">
        <f>IF(OR($B123="",NOT(ISNUMBER($C123)),NOT(ISNUMBER($D123))),"",ROUND(MOD($D123-$C123,1)*1440,0))</f>
        <v/>
      </c>
      <c r="J123" s="20">
        <f>IF(NOT(ISNUMBER($I123)),0,IF(OR($I123&lt;=0,$H123="Cancelada",$H123="Suspensa"),0,$I123+Limpeza_Min))</f>
        <v/>
      </c>
      <c r="K123" s="20">
        <f>IF($J123&lt;=0,"",SUMPRODUCT((Mapa_Sala=$B123)*(Mapa_Data=$A123)*(Mapa_MinOcup&gt;0)*((Mapa_RelIni&lt;$P123)+((Mapa_RelIni=$P123)*(Mapa_Row&lt;=$S123)))))</f>
        <v/>
      </c>
      <c r="L123" s="34">
        <f>IF($J123&lt;=0,"",MOD(Turno_Ini+($Q123+Limpeza_Min)/1440,1))</f>
        <v/>
      </c>
      <c r="M123" s="20">
        <f>IF($J123&lt;=0,"",MAX(0,IFERROR(INDEX(Mapa_RelIni,MATCH($B123&amp;"#"&amp;$A123&amp;"#"&amp;($K123+1),Mapa_Chave,0)),Turno_Min)-($Q123+Limpeza_Min)))</f>
        <v/>
      </c>
      <c r="N123" s="14">
        <f>IF($B123="","",IF($O123="","OK",LEFT($O123,LEN($O123)-3)))</f>
        <v/>
      </c>
      <c r="O123" s="35">
        <f>IF($B123="","",IF(COUNTIF(Postos_Cod,$B123)=0,"Sala não cadastrada | ","")&amp;IF(AND(COUNTIF(Postos_Cod,$B123)&gt;0,IFERROR(INDEX(Postos_Tipo,MATCH($B123,Postos_Cod,0)),"")&lt;&gt;"Sala cirúrgica"),"Posto não é sala cirúrgica | ","")&amp;IF(COUNTIF(Esp_Nome,$E123)=0,"Especialidade não cadastrada | ","")&amp;IF(COUNTIF(Lista_StatusCir,$H123)=0,"Status inválido | ","")&amp;IF(OR(NOT(ISNUMBER($C123)),NOT(ISNUMBER($D123))),"Horário inválido | ","")&amp;IFERROR(IF(AND(ISNUMBER($C123),ISNUMBER($D123),MOD($D123-$C123,1)*1440&lt;=0),"Duração nula ou negativa | ",""),"")&amp;IF(AND($J123&gt;0,OR($P123&gt;=Turno_Min,$Q123&gt;Turno_Min)),"Fora da janela do plantão | ","")&amp;IF(AND($J123&gt;0,SUMPRODUCT((Mapa_Sala=$B123)*(Mapa_Data=$A123)*(Mapa_MinOcup&gt;0)*(Mapa_RelIni&lt;$Q123)*(Mapa_RelFim&gt;$P123))&gt;1),"Sobreposição de horário na sala | ","")&amp;IFERROR(IF(AND(ISNUMBER($I123),$I123&gt;0,COUNTIF(Esp_Nome,$E123)&gt;0,$I123&gt;3*INDEX(Esp_Dur,MATCH($E123,Esp_Nome,0))),"Duração atípica (&gt;3x a média) | ",""),""))</f>
        <v/>
      </c>
      <c r="P123" s="19">
        <f>IF(NOT(ISNUMBER($C123)),0,ROUND(MOD($C123-Turno_Ini,1)*1440,0))</f>
        <v/>
      </c>
      <c r="Q123" s="19">
        <f>IF($J123&lt;=0,0,$P123+$I123)</f>
        <v/>
      </c>
      <c r="R123" s="19">
        <f>IF($K123="","",$B123&amp;"#"&amp;$A123&amp;"#"&amp;$K123)</f>
        <v/>
      </c>
      <c r="S123" s="19">
        <f>ROW()</f>
        <v/>
      </c>
      <c r="T123" s="19">
        <f>IF($J123&lt;=0,0,MAX(0,MIN($P123+$I123+Limpeza_Min,Turno_Min,IFERROR(INDEX(Mapa_RelIni,MATCH($B123&amp;"#"&amp;$A123&amp;"#"&amp;($K123+1),Mapa_Chave,0)),Turno_Min))-MIN($P123,Turno_Min)))</f>
        <v/>
      </c>
    </row>
    <row r="124">
      <c r="A124" s="30" t="n"/>
      <c r="B124" s="31" t="n"/>
      <c r="C124" s="32" t="n"/>
      <c r="D124" s="32" t="n"/>
      <c r="E124" s="33" t="n"/>
      <c r="F124" s="33" t="n"/>
      <c r="G124" s="33" t="n"/>
      <c r="H124" s="31" t="n"/>
      <c r="I124" s="20">
        <f>IF(OR($B124="",NOT(ISNUMBER($C124)),NOT(ISNUMBER($D124))),"",ROUND(MOD($D124-$C124,1)*1440,0))</f>
        <v/>
      </c>
      <c r="J124" s="20">
        <f>IF(NOT(ISNUMBER($I124)),0,IF(OR($I124&lt;=0,$H124="Cancelada",$H124="Suspensa"),0,$I124+Limpeza_Min))</f>
        <v/>
      </c>
      <c r="K124" s="20">
        <f>IF($J124&lt;=0,"",SUMPRODUCT((Mapa_Sala=$B124)*(Mapa_Data=$A124)*(Mapa_MinOcup&gt;0)*((Mapa_RelIni&lt;$P124)+((Mapa_RelIni=$P124)*(Mapa_Row&lt;=$S124)))))</f>
        <v/>
      </c>
      <c r="L124" s="34">
        <f>IF($J124&lt;=0,"",MOD(Turno_Ini+($Q124+Limpeza_Min)/1440,1))</f>
        <v/>
      </c>
      <c r="M124" s="20">
        <f>IF($J124&lt;=0,"",MAX(0,IFERROR(INDEX(Mapa_RelIni,MATCH($B124&amp;"#"&amp;$A124&amp;"#"&amp;($K124+1),Mapa_Chave,0)),Turno_Min)-($Q124+Limpeza_Min)))</f>
        <v/>
      </c>
      <c r="N124" s="14">
        <f>IF($B124="","",IF($O124="","OK",LEFT($O124,LEN($O124)-3)))</f>
        <v/>
      </c>
      <c r="O124" s="35">
        <f>IF($B124="","",IF(COUNTIF(Postos_Cod,$B124)=0,"Sala não cadastrada | ","")&amp;IF(AND(COUNTIF(Postos_Cod,$B124)&gt;0,IFERROR(INDEX(Postos_Tipo,MATCH($B124,Postos_Cod,0)),"")&lt;&gt;"Sala cirúrgica"),"Posto não é sala cirúrgica | ","")&amp;IF(COUNTIF(Esp_Nome,$E124)=0,"Especialidade não cadastrada | ","")&amp;IF(COUNTIF(Lista_StatusCir,$H124)=0,"Status inválido | ","")&amp;IF(OR(NOT(ISNUMBER($C124)),NOT(ISNUMBER($D124))),"Horário inválido | ","")&amp;IFERROR(IF(AND(ISNUMBER($C124),ISNUMBER($D124),MOD($D124-$C124,1)*1440&lt;=0),"Duração nula ou negativa | ",""),"")&amp;IF(AND($J124&gt;0,OR($P124&gt;=Turno_Min,$Q124&gt;Turno_Min)),"Fora da janela do plantão | ","")&amp;IF(AND($J124&gt;0,SUMPRODUCT((Mapa_Sala=$B124)*(Mapa_Data=$A124)*(Mapa_MinOcup&gt;0)*(Mapa_RelIni&lt;$Q124)*(Mapa_RelFim&gt;$P124))&gt;1),"Sobreposição de horário na sala | ","")&amp;IFERROR(IF(AND(ISNUMBER($I124),$I124&gt;0,COUNTIF(Esp_Nome,$E124)&gt;0,$I124&gt;3*INDEX(Esp_Dur,MATCH($E124,Esp_Nome,0))),"Duração atípica (&gt;3x a média) | ",""),""))</f>
        <v/>
      </c>
      <c r="P124" s="19">
        <f>IF(NOT(ISNUMBER($C124)),0,ROUND(MOD($C124-Turno_Ini,1)*1440,0))</f>
        <v/>
      </c>
      <c r="Q124" s="19">
        <f>IF($J124&lt;=0,0,$P124+$I124)</f>
        <v/>
      </c>
      <c r="R124" s="19">
        <f>IF($K124="","",$B124&amp;"#"&amp;$A124&amp;"#"&amp;$K124)</f>
        <v/>
      </c>
      <c r="S124" s="19">
        <f>ROW()</f>
        <v/>
      </c>
      <c r="T124" s="19">
        <f>IF($J124&lt;=0,0,MAX(0,MIN($P124+$I124+Limpeza_Min,Turno_Min,IFERROR(INDEX(Mapa_RelIni,MATCH($B124&amp;"#"&amp;$A124&amp;"#"&amp;($K124+1),Mapa_Chave,0)),Turno_Min))-MIN($P124,Turno_Min)))</f>
        <v/>
      </c>
    </row>
    <row r="125">
      <c r="A125" s="30" t="n"/>
      <c r="B125" s="31" t="n"/>
      <c r="C125" s="32" t="n"/>
      <c r="D125" s="32" t="n"/>
      <c r="E125" s="33" t="n"/>
      <c r="F125" s="33" t="n"/>
      <c r="G125" s="33" t="n"/>
      <c r="H125" s="31" t="n"/>
      <c r="I125" s="20">
        <f>IF(OR($B125="",NOT(ISNUMBER($C125)),NOT(ISNUMBER($D125))),"",ROUND(MOD($D125-$C125,1)*1440,0))</f>
        <v/>
      </c>
      <c r="J125" s="20">
        <f>IF(NOT(ISNUMBER($I125)),0,IF(OR($I125&lt;=0,$H125="Cancelada",$H125="Suspensa"),0,$I125+Limpeza_Min))</f>
        <v/>
      </c>
      <c r="K125" s="20">
        <f>IF($J125&lt;=0,"",SUMPRODUCT((Mapa_Sala=$B125)*(Mapa_Data=$A125)*(Mapa_MinOcup&gt;0)*((Mapa_RelIni&lt;$P125)+((Mapa_RelIni=$P125)*(Mapa_Row&lt;=$S125)))))</f>
        <v/>
      </c>
      <c r="L125" s="34">
        <f>IF($J125&lt;=0,"",MOD(Turno_Ini+($Q125+Limpeza_Min)/1440,1))</f>
        <v/>
      </c>
      <c r="M125" s="20">
        <f>IF($J125&lt;=0,"",MAX(0,IFERROR(INDEX(Mapa_RelIni,MATCH($B125&amp;"#"&amp;$A125&amp;"#"&amp;($K125+1),Mapa_Chave,0)),Turno_Min)-($Q125+Limpeza_Min)))</f>
        <v/>
      </c>
      <c r="N125" s="14">
        <f>IF($B125="","",IF($O125="","OK",LEFT($O125,LEN($O125)-3)))</f>
        <v/>
      </c>
      <c r="O125" s="35">
        <f>IF($B125="","",IF(COUNTIF(Postos_Cod,$B125)=0,"Sala não cadastrada | ","")&amp;IF(AND(COUNTIF(Postos_Cod,$B125)&gt;0,IFERROR(INDEX(Postos_Tipo,MATCH($B125,Postos_Cod,0)),"")&lt;&gt;"Sala cirúrgica"),"Posto não é sala cirúrgica | ","")&amp;IF(COUNTIF(Esp_Nome,$E125)=0,"Especialidade não cadastrada | ","")&amp;IF(COUNTIF(Lista_StatusCir,$H125)=0,"Status inválido | ","")&amp;IF(OR(NOT(ISNUMBER($C125)),NOT(ISNUMBER($D125))),"Horário inválido | ","")&amp;IFERROR(IF(AND(ISNUMBER($C125),ISNUMBER($D125),MOD($D125-$C125,1)*1440&lt;=0),"Duração nula ou negativa | ",""),"")&amp;IF(AND($J125&gt;0,OR($P125&gt;=Turno_Min,$Q125&gt;Turno_Min)),"Fora da janela do plantão | ","")&amp;IF(AND($J125&gt;0,SUMPRODUCT((Mapa_Sala=$B125)*(Mapa_Data=$A125)*(Mapa_MinOcup&gt;0)*(Mapa_RelIni&lt;$Q125)*(Mapa_RelFim&gt;$P125))&gt;1),"Sobreposição de horário na sala | ","")&amp;IFERROR(IF(AND(ISNUMBER($I125),$I125&gt;0,COUNTIF(Esp_Nome,$E125)&gt;0,$I125&gt;3*INDEX(Esp_Dur,MATCH($E125,Esp_Nome,0))),"Duração atípica (&gt;3x a média) | ",""),""))</f>
        <v/>
      </c>
      <c r="P125" s="19">
        <f>IF(NOT(ISNUMBER($C125)),0,ROUND(MOD($C125-Turno_Ini,1)*1440,0))</f>
        <v/>
      </c>
      <c r="Q125" s="19">
        <f>IF($J125&lt;=0,0,$P125+$I125)</f>
        <v/>
      </c>
      <c r="R125" s="19">
        <f>IF($K125="","",$B125&amp;"#"&amp;$A125&amp;"#"&amp;$K125)</f>
        <v/>
      </c>
      <c r="S125" s="19">
        <f>ROW()</f>
        <v/>
      </c>
      <c r="T125" s="19">
        <f>IF($J125&lt;=0,0,MAX(0,MIN($P125+$I125+Limpeza_Min,Turno_Min,IFERROR(INDEX(Mapa_RelIni,MATCH($B125&amp;"#"&amp;$A125&amp;"#"&amp;($K125+1),Mapa_Chave,0)),Turno_Min))-MIN($P125,Turno_Min)))</f>
        <v/>
      </c>
    </row>
    <row r="126">
      <c r="A126" s="30" t="n"/>
      <c r="B126" s="31" t="n"/>
      <c r="C126" s="32" t="n"/>
      <c r="D126" s="32" t="n"/>
      <c r="E126" s="33" t="n"/>
      <c r="F126" s="33" t="n"/>
      <c r="G126" s="33" t="n"/>
      <c r="H126" s="31" t="n"/>
      <c r="I126" s="20">
        <f>IF(OR($B126="",NOT(ISNUMBER($C126)),NOT(ISNUMBER($D126))),"",ROUND(MOD($D126-$C126,1)*1440,0))</f>
        <v/>
      </c>
      <c r="J126" s="20">
        <f>IF(NOT(ISNUMBER($I126)),0,IF(OR($I126&lt;=0,$H126="Cancelada",$H126="Suspensa"),0,$I126+Limpeza_Min))</f>
        <v/>
      </c>
      <c r="K126" s="20">
        <f>IF($J126&lt;=0,"",SUMPRODUCT((Mapa_Sala=$B126)*(Mapa_Data=$A126)*(Mapa_MinOcup&gt;0)*((Mapa_RelIni&lt;$P126)+((Mapa_RelIni=$P126)*(Mapa_Row&lt;=$S126)))))</f>
        <v/>
      </c>
      <c r="L126" s="34">
        <f>IF($J126&lt;=0,"",MOD(Turno_Ini+($Q126+Limpeza_Min)/1440,1))</f>
        <v/>
      </c>
      <c r="M126" s="20">
        <f>IF($J126&lt;=0,"",MAX(0,IFERROR(INDEX(Mapa_RelIni,MATCH($B126&amp;"#"&amp;$A126&amp;"#"&amp;($K126+1),Mapa_Chave,0)),Turno_Min)-($Q126+Limpeza_Min)))</f>
        <v/>
      </c>
      <c r="N126" s="14">
        <f>IF($B126="","",IF($O126="","OK",LEFT($O126,LEN($O126)-3)))</f>
        <v/>
      </c>
      <c r="O126" s="35">
        <f>IF($B126="","",IF(COUNTIF(Postos_Cod,$B126)=0,"Sala não cadastrada | ","")&amp;IF(AND(COUNTIF(Postos_Cod,$B126)&gt;0,IFERROR(INDEX(Postos_Tipo,MATCH($B126,Postos_Cod,0)),"")&lt;&gt;"Sala cirúrgica"),"Posto não é sala cirúrgica | ","")&amp;IF(COUNTIF(Esp_Nome,$E126)=0,"Especialidade não cadastrada | ","")&amp;IF(COUNTIF(Lista_StatusCir,$H126)=0,"Status inválido | ","")&amp;IF(OR(NOT(ISNUMBER($C126)),NOT(ISNUMBER($D126))),"Horário inválido | ","")&amp;IFERROR(IF(AND(ISNUMBER($C126),ISNUMBER($D126),MOD($D126-$C126,1)*1440&lt;=0),"Duração nula ou negativa | ",""),"")&amp;IF(AND($J126&gt;0,OR($P126&gt;=Turno_Min,$Q126&gt;Turno_Min)),"Fora da janela do plantão | ","")&amp;IF(AND($J126&gt;0,SUMPRODUCT((Mapa_Sala=$B126)*(Mapa_Data=$A126)*(Mapa_MinOcup&gt;0)*(Mapa_RelIni&lt;$Q126)*(Mapa_RelFim&gt;$P126))&gt;1),"Sobreposição de horário na sala | ","")&amp;IFERROR(IF(AND(ISNUMBER($I126),$I126&gt;0,COUNTIF(Esp_Nome,$E126)&gt;0,$I126&gt;3*INDEX(Esp_Dur,MATCH($E126,Esp_Nome,0))),"Duração atípica (&gt;3x a média) | ",""),""))</f>
        <v/>
      </c>
      <c r="P126" s="19">
        <f>IF(NOT(ISNUMBER($C126)),0,ROUND(MOD($C126-Turno_Ini,1)*1440,0))</f>
        <v/>
      </c>
      <c r="Q126" s="19">
        <f>IF($J126&lt;=0,0,$P126+$I126)</f>
        <v/>
      </c>
      <c r="R126" s="19">
        <f>IF($K126="","",$B126&amp;"#"&amp;$A126&amp;"#"&amp;$K126)</f>
        <v/>
      </c>
      <c r="S126" s="19">
        <f>ROW()</f>
        <v/>
      </c>
      <c r="T126" s="19">
        <f>IF($J126&lt;=0,0,MAX(0,MIN($P126+$I126+Limpeza_Min,Turno_Min,IFERROR(INDEX(Mapa_RelIni,MATCH($B126&amp;"#"&amp;$A126&amp;"#"&amp;($K126+1),Mapa_Chave,0)),Turno_Min))-MIN($P126,Turno_Min)))</f>
        <v/>
      </c>
    </row>
    <row r="127">
      <c r="A127" s="30" t="n"/>
      <c r="B127" s="31" t="n"/>
      <c r="C127" s="32" t="n"/>
      <c r="D127" s="32" t="n"/>
      <c r="E127" s="33" t="n"/>
      <c r="F127" s="33" t="n"/>
      <c r="G127" s="33" t="n"/>
      <c r="H127" s="31" t="n"/>
      <c r="I127" s="20">
        <f>IF(OR($B127="",NOT(ISNUMBER($C127)),NOT(ISNUMBER($D127))),"",ROUND(MOD($D127-$C127,1)*1440,0))</f>
        <v/>
      </c>
      <c r="J127" s="20">
        <f>IF(NOT(ISNUMBER($I127)),0,IF(OR($I127&lt;=0,$H127="Cancelada",$H127="Suspensa"),0,$I127+Limpeza_Min))</f>
        <v/>
      </c>
      <c r="K127" s="20">
        <f>IF($J127&lt;=0,"",SUMPRODUCT((Mapa_Sala=$B127)*(Mapa_Data=$A127)*(Mapa_MinOcup&gt;0)*((Mapa_RelIni&lt;$P127)+((Mapa_RelIni=$P127)*(Mapa_Row&lt;=$S127)))))</f>
        <v/>
      </c>
      <c r="L127" s="34">
        <f>IF($J127&lt;=0,"",MOD(Turno_Ini+($Q127+Limpeza_Min)/1440,1))</f>
        <v/>
      </c>
      <c r="M127" s="20">
        <f>IF($J127&lt;=0,"",MAX(0,IFERROR(INDEX(Mapa_RelIni,MATCH($B127&amp;"#"&amp;$A127&amp;"#"&amp;($K127+1),Mapa_Chave,0)),Turno_Min)-($Q127+Limpeza_Min)))</f>
        <v/>
      </c>
      <c r="N127" s="14">
        <f>IF($B127="","",IF($O127="","OK",LEFT($O127,LEN($O127)-3)))</f>
        <v/>
      </c>
      <c r="O127" s="35">
        <f>IF($B127="","",IF(COUNTIF(Postos_Cod,$B127)=0,"Sala não cadastrada | ","")&amp;IF(AND(COUNTIF(Postos_Cod,$B127)&gt;0,IFERROR(INDEX(Postos_Tipo,MATCH($B127,Postos_Cod,0)),"")&lt;&gt;"Sala cirúrgica"),"Posto não é sala cirúrgica | ","")&amp;IF(COUNTIF(Esp_Nome,$E127)=0,"Especialidade não cadastrada | ","")&amp;IF(COUNTIF(Lista_StatusCir,$H127)=0,"Status inválido | ","")&amp;IF(OR(NOT(ISNUMBER($C127)),NOT(ISNUMBER($D127))),"Horário inválido | ","")&amp;IFERROR(IF(AND(ISNUMBER($C127),ISNUMBER($D127),MOD($D127-$C127,1)*1440&lt;=0),"Duração nula ou negativa | ",""),"")&amp;IF(AND($J127&gt;0,OR($P127&gt;=Turno_Min,$Q127&gt;Turno_Min)),"Fora da janela do plantão | ","")&amp;IF(AND($J127&gt;0,SUMPRODUCT((Mapa_Sala=$B127)*(Mapa_Data=$A127)*(Mapa_MinOcup&gt;0)*(Mapa_RelIni&lt;$Q127)*(Mapa_RelFim&gt;$P127))&gt;1),"Sobreposição de horário na sala | ","")&amp;IFERROR(IF(AND(ISNUMBER($I127),$I127&gt;0,COUNTIF(Esp_Nome,$E127)&gt;0,$I127&gt;3*INDEX(Esp_Dur,MATCH($E127,Esp_Nome,0))),"Duração atípica (&gt;3x a média) | ",""),""))</f>
        <v/>
      </c>
      <c r="P127" s="19">
        <f>IF(NOT(ISNUMBER($C127)),0,ROUND(MOD($C127-Turno_Ini,1)*1440,0))</f>
        <v/>
      </c>
      <c r="Q127" s="19">
        <f>IF($J127&lt;=0,0,$P127+$I127)</f>
        <v/>
      </c>
      <c r="R127" s="19">
        <f>IF($K127="","",$B127&amp;"#"&amp;$A127&amp;"#"&amp;$K127)</f>
        <v/>
      </c>
      <c r="S127" s="19">
        <f>ROW()</f>
        <v/>
      </c>
      <c r="T127" s="19">
        <f>IF($J127&lt;=0,0,MAX(0,MIN($P127+$I127+Limpeza_Min,Turno_Min,IFERROR(INDEX(Mapa_RelIni,MATCH($B127&amp;"#"&amp;$A127&amp;"#"&amp;($K127+1),Mapa_Chave,0)),Turno_Min))-MIN($P127,Turno_Min)))</f>
        <v/>
      </c>
    </row>
    <row r="128">
      <c r="A128" s="30" t="n"/>
      <c r="B128" s="31" t="n"/>
      <c r="C128" s="32" t="n"/>
      <c r="D128" s="32" t="n"/>
      <c r="E128" s="33" t="n"/>
      <c r="F128" s="33" t="n"/>
      <c r="G128" s="33" t="n"/>
      <c r="H128" s="31" t="n"/>
      <c r="I128" s="20">
        <f>IF(OR($B128="",NOT(ISNUMBER($C128)),NOT(ISNUMBER($D128))),"",ROUND(MOD($D128-$C128,1)*1440,0))</f>
        <v/>
      </c>
      <c r="J128" s="20">
        <f>IF(NOT(ISNUMBER($I128)),0,IF(OR($I128&lt;=0,$H128="Cancelada",$H128="Suspensa"),0,$I128+Limpeza_Min))</f>
        <v/>
      </c>
      <c r="K128" s="20">
        <f>IF($J128&lt;=0,"",SUMPRODUCT((Mapa_Sala=$B128)*(Mapa_Data=$A128)*(Mapa_MinOcup&gt;0)*((Mapa_RelIni&lt;$P128)+((Mapa_RelIni=$P128)*(Mapa_Row&lt;=$S128)))))</f>
        <v/>
      </c>
      <c r="L128" s="34">
        <f>IF($J128&lt;=0,"",MOD(Turno_Ini+($Q128+Limpeza_Min)/1440,1))</f>
        <v/>
      </c>
      <c r="M128" s="20">
        <f>IF($J128&lt;=0,"",MAX(0,IFERROR(INDEX(Mapa_RelIni,MATCH($B128&amp;"#"&amp;$A128&amp;"#"&amp;($K128+1),Mapa_Chave,0)),Turno_Min)-($Q128+Limpeza_Min)))</f>
        <v/>
      </c>
      <c r="N128" s="14">
        <f>IF($B128="","",IF($O128="","OK",LEFT($O128,LEN($O128)-3)))</f>
        <v/>
      </c>
      <c r="O128" s="35">
        <f>IF($B128="","",IF(COUNTIF(Postos_Cod,$B128)=0,"Sala não cadastrada | ","")&amp;IF(AND(COUNTIF(Postos_Cod,$B128)&gt;0,IFERROR(INDEX(Postos_Tipo,MATCH($B128,Postos_Cod,0)),"")&lt;&gt;"Sala cirúrgica"),"Posto não é sala cirúrgica | ","")&amp;IF(COUNTIF(Esp_Nome,$E128)=0,"Especialidade não cadastrada | ","")&amp;IF(COUNTIF(Lista_StatusCir,$H128)=0,"Status inválido | ","")&amp;IF(OR(NOT(ISNUMBER($C128)),NOT(ISNUMBER($D128))),"Horário inválido | ","")&amp;IFERROR(IF(AND(ISNUMBER($C128),ISNUMBER($D128),MOD($D128-$C128,1)*1440&lt;=0),"Duração nula ou negativa | ",""),"")&amp;IF(AND($J128&gt;0,OR($P128&gt;=Turno_Min,$Q128&gt;Turno_Min)),"Fora da janela do plantão | ","")&amp;IF(AND($J128&gt;0,SUMPRODUCT((Mapa_Sala=$B128)*(Mapa_Data=$A128)*(Mapa_MinOcup&gt;0)*(Mapa_RelIni&lt;$Q128)*(Mapa_RelFim&gt;$P128))&gt;1),"Sobreposição de horário na sala | ","")&amp;IFERROR(IF(AND(ISNUMBER($I128),$I128&gt;0,COUNTIF(Esp_Nome,$E128)&gt;0,$I128&gt;3*INDEX(Esp_Dur,MATCH($E128,Esp_Nome,0))),"Duração atípica (&gt;3x a média) | ",""),""))</f>
        <v/>
      </c>
      <c r="P128" s="19">
        <f>IF(NOT(ISNUMBER($C128)),0,ROUND(MOD($C128-Turno_Ini,1)*1440,0))</f>
        <v/>
      </c>
      <c r="Q128" s="19">
        <f>IF($J128&lt;=0,0,$P128+$I128)</f>
        <v/>
      </c>
      <c r="R128" s="19">
        <f>IF($K128="","",$B128&amp;"#"&amp;$A128&amp;"#"&amp;$K128)</f>
        <v/>
      </c>
      <c r="S128" s="19">
        <f>ROW()</f>
        <v/>
      </c>
      <c r="T128" s="19">
        <f>IF($J128&lt;=0,0,MAX(0,MIN($P128+$I128+Limpeza_Min,Turno_Min,IFERROR(INDEX(Mapa_RelIni,MATCH($B128&amp;"#"&amp;$A128&amp;"#"&amp;($K128+1),Mapa_Chave,0)),Turno_Min))-MIN($P128,Turno_Min)))</f>
        <v/>
      </c>
    </row>
    <row r="129">
      <c r="A129" s="30" t="n"/>
      <c r="B129" s="31" t="n"/>
      <c r="C129" s="32" t="n"/>
      <c r="D129" s="32" t="n"/>
      <c r="E129" s="33" t="n"/>
      <c r="F129" s="33" t="n"/>
      <c r="G129" s="33" t="n"/>
      <c r="H129" s="31" t="n"/>
      <c r="I129" s="20">
        <f>IF(OR($B129="",NOT(ISNUMBER($C129)),NOT(ISNUMBER($D129))),"",ROUND(MOD($D129-$C129,1)*1440,0))</f>
        <v/>
      </c>
      <c r="J129" s="20">
        <f>IF(NOT(ISNUMBER($I129)),0,IF(OR($I129&lt;=0,$H129="Cancelada",$H129="Suspensa"),0,$I129+Limpeza_Min))</f>
        <v/>
      </c>
      <c r="K129" s="20">
        <f>IF($J129&lt;=0,"",SUMPRODUCT((Mapa_Sala=$B129)*(Mapa_Data=$A129)*(Mapa_MinOcup&gt;0)*((Mapa_RelIni&lt;$P129)+((Mapa_RelIni=$P129)*(Mapa_Row&lt;=$S129)))))</f>
        <v/>
      </c>
      <c r="L129" s="34">
        <f>IF($J129&lt;=0,"",MOD(Turno_Ini+($Q129+Limpeza_Min)/1440,1))</f>
        <v/>
      </c>
      <c r="M129" s="20">
        <f>IF($J129&lt;=0,"",MAX(0,IFERROR(INDEX(Mapa_RelIni,MATCH($B129&amp;"#"&amp;$A129&amp;"#"&amp;($K129+1),Mapa_Chave,0)),Turno_Min)-($Q129+Limpeza_Min)))</f>
        <v/>
      </c>
      <c r="N129" s="14">
        <f>IF($B129="","",IF($O129="","OK",LEFT($O129,LEN($O129)-3)))</f>
        <v/>
      </c>
      <c r="O129" s="35">
        <f>IF($B129="","",IF(COUNTIF(Postos_Cod,$B129)=0,"Sala não cadastrada | ","")&amp;IF(AND(COUNTIF(Postos_Cod,$B129)&gt;0,IFERROR(INDEX(Postos_Tipo,MATCH($B129,Postos_Cod,0)),"")&lt;&gt;"Sala cirúrgica"),"Posto não é sala cirúrgica | ","")&amp;IF(COUNTIF(Esp_Nome,$E129)=0,"Especialidade não cadastrada | ","")&amp;IF(COUNTIF(Lista_StatusCir,$H129)=0,"Status inválido | ","")&amp;IF(OR(NOT(ISNUMBER($C129)),NOT(ISNUMBER($D129))),"Horário inválido | ","")&amp;IFERROR(IF(AND(ISNUMBER($C129),ISNUMBER($D129),MOD($D129-$C129,1)*1440&lt;=0),"Duração nula ou negativa | ",""),"")&amp;IF(AND($J129&gt;0,OR($P129&gt;=Turno_Min,$Q129&gt;Turno_Min)),"Fora da janela do plantão | ","")&amp;IF(AND($J129&gt;0,SUMPRODUCT((Mapa_Sala=$B129)*(Mapa_Data=$A129)*(Mapa_MinOcup&gt;0)*(Mapa_RelIni&lt;$Q129)*(Mapa_RelFim&gt;$P129))&gt;1),"Sobreposição de horário na sala | ","")&amp;IFERROR(IF(AND(ISNUMBER($I129),$I129&gt;0,COUNTIF(Esp_Nome,$E129)&gt;0,$I129&gt;3*INDEX(Esp_Dur,MATCH($E129,Esp_Nome,0))),"Duração atípica (&gt;3x a média) | ",""),""))</f>
        <v/>
      </c>
      <c r="P129" s="19">
        <f>IF(NOT(ISNUMBER($C129)),0,ROUND(MOD($C129-Turno_Ini,1)*1440,0))</f>
        <v/>
      </c>
      <c r="Q129" s="19">
        <f>IF($J129&lt;=0,0,$P129+$I129)</f>
        <v/>
      </c>
      <c r="R129" s="19">
        <f>IF($K129="","",$B129&amp;"#"&amp;$A129&amp;"#"&amp;$K129)</f>
        <v/>
      </c>
      <c r="S129" s="19">
        <f>ROW()</f>
        <v/>
      </c>
      <c r="T129" s="19">
        <f>IF($J129&lt;=0,0,MAX(0,MIN($P129+$I129+Limpeza_Min,Turno_Min,IFERROR(INDEX(Mapa_RelIni,MATCH($B129&amp;"#"&amp;$A129&amp;"#"&amp;($K129+1),Mapa_Chave,0)),Turno_Min))-MIN($P129,Turno_Min)))</f>
        <v/>
      </c>
    </row>
    <row r="130">
      <c r="A130" s="30" t="n"/>
      <c r="B130" s="31" t="n"/>
      <c r="C130" s="32" t="n"/>
      <c r="D130" s="32" t="n"/>
      <c r="E130" s="33" t="n"/>
      <c r="F130" s="33" t="n"/>
      <c r="G130" s="33" t="n"/>
      <c r="H130" s="31" t="n"/>
      <c r="I130" s="20">
        <f>IF(OR($B130="",NOT(ISNUMBER($C130)),NOT(ISNUMBER($D130))),"",ROUND(MOD($D130-$C130,1)*1440,0))</f>
        <v/>
      </c>
      <c r="J130" s="20">
        <f>IF(NOT(ISNUMBER($I130)),0,IF(OR($I130&lt;=0,$H130="Cancelada",$H130="Suspensa"),0,$I130+Limpeza_Min))</f>
        <v/>
      </c>
      <c r="K130" s="20">
        <f>IF($J130&lt;=0,"",SUMPRODUCT((Mapa_Sala=$B130)*(Mapa_Data=$A130)*(Mapa_MinOcup&gt;0)*((Mapa_RelIni&lt;$P130)+((Mapa_RelIni=$P130)*(Mapa_Row&lt;=$S130)))))</f>
        <v/>
      </c>
      <c r="L130" s="34">
        <f>IF($J130&lt;=0,"",MOD(Turno_Ini+($Q130+Limpeza_Min)/1440,1))</f>
        <v/>
      </c>
      <c r="M130" s="20">
        <f>IF($J130&lt;=0,"",MAX(0,IFERROR(INDEX(Mapa_RelIni,MATCH($B130&amp;"#"&amp;$A130&amp;"#"&amp;($K130+1),Mapa_Chave,0)),Turno_Min)-($Q130+Limpeza_Min)))</f>
        <v/>
      </c>
      <c r="N130" s="14">
        <f>IF($B130="","",IF($O130="","OK",LEFT($O130,LEN($O130)-3)))</f>
        <v/>
      </c>
      <c r="O130" s="35">
        <f>IF($B130="","",IF(COUNTIF(Postos_Cod,$B130)=0,"Sala não cadastrada | ","")&amp;IF(AND(COUNTIF(Postos_Cod,$B130)&gt;0,IFERROR(INDEX(Postos_Tipo,MATCH($B130,Postos_Cod,0)),"")&lt;&gt;"Sala cirúrgica"),"Posto não é sala cirúrgica | ","")&amp;IF(COUNTIF(Esp_Nome,$E130)=0,"Especialidade não cadastrada | ","")&amp;IF(COUNTIF(Lista_StatusCir,$H130)=0,"Status inválido | ","")&amp;IF(OR(NOT(ISNUMBER($C130)),NOT(ISNUMBER($D130))),"Horário inválido | ","")&amp;IFERROR(IF(AND(ISNUMBER($C130),ISNUMBER($D130),MOD($D130-$C130,1)*1440&lt;=0),"Duração nula ou negativa | ",""),"")&amp;IF(AND($J130&gt;0,OR($P130&gt;=Turno_Min,$Q130&gt;Turno_Min)),"Fora da janela do plantão | ","")&amp;IF(AND($J130&gt;0,SUMPRODUCT((Mapa_Sala=$B130)*(Mapa_Data=$A130)*(Mapa_MinOcup&gt;0)*(Mapa_RelIni&lt;$Q130)*(Mapa_RelFim&gt;$P130))&gt;1),"Sobreposição de horário na sala | ","")&amp;IFERROR(IF(AND(ISNUMBER($I130),$I130&gt;0,COUNTIF(Esp_Nome,$E130)&gt;0,$I130&gt;3*INDEX(Esp_Dur,MATCH($E130,Esp_Nome,0))),"Duração atípica (&gt;3x a média) | ",""),""))</f>
        <v/>
      </c>
      <c r="P130" s="19">
        <f>IF(NOT(ISNUMBER($C130)),0,ROUND(MOD($C130-Turno_Ini,1)*1440,0))</f>
        <v/>
      </c>
      <c r="Q130" s="19">
        <f>IF($J130&lt;=0,0,$P130+$I130)</f>
        <v/>
      </c>
      <c r="R130" s="19">
        <f>IF($K130="","",$B130&amp;"#"&amp;$A130&amp;"#"&amp;$K130)</f>
        <v/>
      </c>
      <c r="S130" s="19">
        <f>ROW()</f>
        <v/>
      </c>
      <c r="T130" s="19">
        <f>IF($J130&lt;=0,0,MAX(0,MIN($P130+$I130+Limpeza_Min,Turno_Min,IFERROR(INDEX(Mapa_RelIni,MATCH($B130&amp;"#"&amp;$A130&amp;"#"&amp;($K130+1),Mapa_Chave,0)),Turno_Min))-MIN($P130,Turno_Min)))</f>
        <v/>
      </c>
    </row>
    <row r="131">
      <c r="A131" s="30" t="n"/>
      <c r="B131" s="31" t="n"/>
      <c r="C131" s="32" t="n"/>
      <c r="D131" s="32" t="n"/>
      <c r="E131" s="33" t="n"/>
      <c r="F131" s="33" t="n"/>
      <c r="G131" s="33" t="n"/>
      <c r="H131" s="31" t="n"/>
      <c r="I131" s="20">
        <f>IF(OR($B131="",NOT(ISNUMBER($C131)),NOT(ISNUMBER($D131))),"",ROUND(MOD($D131-$C131,1)*1440,0))</f>
        <v/>
      </c>
      <c r="J131" s="20">
        <f>IF(NOT(ISNUMBER($I131)),0,IF(OR($I131&lt;=0,$H131="Cancelada",$H131="Suspensa"),0,$I131+Limpeza_Min))</f>
        <v/>
      </c>
      <c r="K131" s="20">
        <f>IF($J131&lt;=0,"",SUMPRODUCT((Mapa_Sala=$B131)*(Mapa_Data=$A131)*(Mapa_MinOcup&gt;0)*((Mapa_RelIni&lt;$P131)+((Mapa_RelIni=$P131)*(Mapa_Row&lt;=$S131)))))</f>
        <v/>
      </c>
      <c r="L131" s="34">
        <f>IF($J131&lt;=0,"",MOD(Turno_Ini+($Q131+Limpeza_Min)/1440,1))</f>
        <v/>
      </c>
      <c r="M131" s="20">
        <f>IF($J131&lt;=0,"",MAX(0,IFERROR(INDEX(Mapa_RelIni,MATCH($B131&amp;"#"&amp;$A131&amp;"#"&amp;($K131+1),Mapa_Chave,0)),Turno_Min)-($Q131+Limpeza_Min)))</f>
        <v/>
      </c>
      <c r="N131" s="14">
        <f>IF($B131="","",IF($O131="","OK",LEFT($O131,LEN($O131)-3)))</f>
        <v/>
      </c>
      <c r="O131" s="35">
        <f>IF($B131="","",IF(COUNTIF(Postos_Cod,$B131)=0,"Sala não cadastrada | ","")&amp;IF(AND(COUNTIF(Postos_Cod,$B131)&gt;0,IFERROR(INDEX(Postos_Tipo,MATCH($B131,Postos_Cod,0)),"")&lt;&gt;"Sala cirúrgica"),"Posto não é sala cirúrgica | ","")&amp;IF(COUNTIF(Esp_Nome,$E131)=0,"Especialidade não cadastrada | ","")&amp;IF(COUNTIF(Lista_StatusCir,$H131)=0,"Status inválido | ","")&amp;IF(OR(NOT(ISNUMBER($C131)),NOT(ISNUMBER($D131))),"Horário inválido | ","")&amp;IFERROR(IF(AND(ISNUMBER($C131),ISNUMBER($D131),MOD($D131-$C131,1)*1440&lt;=0),"Duração nula ou negativa | ",""),"")&amp;IF(AND($J131&gt;0,OR($P131&gt;=Turno_Min,$Q131&gt;Turno_Min)),"Fora da janela do plantão | ","")&amp;IF(AND($J131&gt;0,SUMPRODUCT((Mapa_Sala=$B131)*(Mapa_Data=$A131)*(Mapa_MinOcup&gt;0)*(Mapa_RelIni&lt;$Q131)*(Mapa_RelFim&gt;$P131))&gt;1),"Sobreposição de horário na sala | ","")&amp;IFERROR(IF(AND(ISNUMBER($I131),$I131&gt;0,COUNTIF(Esp_Nome,$E131)&gt;0,$I131&gt;3*INDEX(Esp_Dur,MATCH($E131,Esp_Nome,0))),"Duração atípica (&gt;3x a média) | ",""),""))</f>
        <v/>
      </c>
      <c r="P131" s="19">
        <f>IF(NOT(ISNUMBER($C131)),0,ROUND(MOD($C131-Turno_Ini,1)*1440,0))</f>
        <v/>
      </c>
      <c r="Q131" s="19">
        <f>IF($J131&lt;=0,0,$P131+$I131)</f>
        <v/>
      </c>
      <c r="R131" s="19">
        <f>IF($K131="","",$B131&amp;"#"&amp;$A131&amp;"#"&amp;$K131)</f>
        <v/>
      </c>
      <c r="S131" s="19">
        <f>ROW()</f>
        <v/>
      </c>
      <c r="T131" s="19">
        <f>IF($J131&lt;=0,0,MAX(0,MIN($P131+$I131+Limpeza_Min,Turno_Min,IFERROR(INDEX(Mapa_RelIni,MATCH($B131&amp;"#"&amp;$A131&amp;"#"&amp;($K131+1),Mapa_Chave,0)),Turno_Min))-MIN($P131,Turno_Min)))</f>
        <v/>
      </c>
    </row>
    <row r="132">
      <c r="A132" s="30" t="n"/>
      <c r="B132" s="31" t="n"/>
      <c r="C132" s="32" t="n"/>
      <c r="D132" s="32" t="n"/>
      <c r="E132" s="33" t="n"/>
      <c r="F132" s="33" t="n"/>
      <c r="G132" s="33" t="n"/>
      <c r="H132" s="31" t="n"/>
      <c r="I132" s="20">
        <f>IF(OR($B132="",NOT(ISNUMBER($C132)),NOT(ISNUMBER($D132))),"",ROUND(MOD($D132-$C132,1)*1440,0))</f>
        <v/>
      </c>
      <c r="J132" s="20">
        <f>IF(NOT(ISNUMBER($I132)),0,IF(OR($I132&lt;=0,$H132="Cancelada",$H132="Suspensa"),0,$I132+Limpeza_Min))</f>
        <v/>
      </c>
      <c r="K132" s="20">
        <f>IF($J132&lt;=0,"",SUMPRODUCT((Mapa_Sala=$B132)*(Mapa_Data=$A132)*(Mapa_MinOcup&gt;0)*((Mapa_RelIni&lt;$P132)+((Mapa_RelIni=$P132)*(Mapa_Row&lt;=$S132)))))</f>
        <v/>
      </c>
      <c r="L132" s="34">
        <f>IF($J132&lt;=0,"",MOD(Turno_Ini+($Q132+Limpeza_Min)/1440,1))</f>
        <v/>
      </c>
      <c r="M132" s="20">
        <f>IF($J132&lt;=0,"",MAX(0,IFERROR(INDEX(Mapa_RelIni,MATCH($B132&amp;"#"&amp;$A132&amp;"#"&amp;($K132+1),Mapa_Chave,0)),Turno_Min)-($Q132+Limpeza_Min)))</f>
        <v/>
      </c>
      <c r="N132" s="14">
        <f>IF($B132="","",IF($O132="","OK",LEFT($O132,LEN($O132)-3)))</f>
        <v/>
      </c>
      <c r="O132" s="35">
        <f>IF($B132="","",IF(COUNTIF(Postos_Cod,$B132)=0,"Sala não cadastrada | ","")&amp;IF(AND(COUNTIF(Postos_Cod,$B132)&gt;0,IFERROR(INDEX(Postos_Tipo,MATCH($B132,Postos_Cod,0)),"")&lt;&gt;"Sala cirúrgica"),"Posto não é sala cirúrgica | ","")&amp;IF(COUNTIF(Esp_Nome,$E132)=0,"Especialidade não cadastrada | ","")&amp;IF(COUNTIF(Lista_StatusCir,$H132)=0,"Status inválido | ","")&amp;IF(OR(NOT(ISNUMBER($C132)),NOT(ISNUMBER($D132))),"Horário inválido | ","")&amp;IFERROR(IF(AND(ISNUMBER($C132),ISNUMBER($D132),MOD($D132-$C132,1)*1440&lt;=0),"Duração nula ou negativa | ",""),"")&amp;IF(AND($J132&gt;0,OR($P132&gt;=Turno_Min,$Q132&gt;Turno_Min)),"Fora da janela do plantão | ","")&amp;IF(AND($J132&gt;0,SUMPRODUCT((Mapa_Sala=$B132)*(Mapa_Data=$A132)*(Mapa_MinOcup&gt;0)*(Mapa_RelIni&lt;$Q132)*(Mapa_RelFim&gt;$P132))&gt;1),"Sobreposição de horário na sala | ","")&amp;IFERROR(IF(AND(ISNUMBER($I132),$I132&gt;0,COUNTIF(Esp_Nome,$E132)&gt;0,$I132&gt;3*INDEX(Esp_Dur,MATCH($E132,Esp_Nome,0))),"Duração atípica (&gt;3x a média) | ",""),""))</f>
        <v/>
      </c>
      <c r="P132" s="19">
        <f>IF(NOT(ISNUMBER($C132)),0,ROUND(MOD($C132-Turno_Ini,1)*1440,0))</f>
        <v/>
      </c>
      <c r="Q132" s="19">
        <f>IF($J132&lt;=0,0,$P132+$I132)</f>
        <v/>
      </c>
      <c r="R132" s="19">
        <f>IF($K132="","",$B132&amp;"#"&amp;$A132&amp;"#"&amp;$K132)</f>
        <v/>
      </c>
      <c r="S132" s="19">
        <f>ROW()</f>
        <v/>
      </c>
      <c r="T132" s="19">
        <f>IF($J132&lt;=0,0,MAX(0,MIN($P132+$I132+Limpeza_Min,Turno_Min,IFERROR(INDEX(Mapa_RelIni,MATCH($B132&amp;"#"&amp;$A132&amp;"#"&amp;($K132+1),Mapa_Chave,0)),Turno_Min))-MIN($P132,Turno_Min)))</f>
        <v/>
      </c>
    </row>
    <row r="133">
      <c r="A133" s="30" t="n"/>
      <c r="B133" s="31" t="n"/>
      <c r="C133" s="32" t="n"/>
      <c r="D133" s="32" t="n"/>
      <c r="E133" s="33" t="n"/>
      <c r="F133" s="33" t="n"/>
      <c r="G133" s="33" t="n"/>
      <c r="H133" s="31" t="n"/>
      <c r="I133" s="20">
        <f>IF(OR($B133="",NOT(ISNUMBER($C133)),NOT(ISNUMBER($D133))),"",ROUND(MOD($D133-$C133,1)*1440,0))</f>
        <v/>
      </c>
      <c r="J133" s="20">
        <f>IF(NOT(ISNUMBER($I133)),0,IF(OR($I133&lt;=0,$H133="Cancelada",$H133="Suspensa"),0,$I133+Limpeza_Min))</f>
        <v/>
      </c>
      <c r="K133" s="20">
        <f>IF($J133&lt;=0,"",SUMPRODUCT((Mapa_Sala=$B133)*(Mapa_Data=$A133)*(Mapa_MinOcup&gt;0)*((Mapa_RelIni&lt;$P133)+((Mapa_RelIni=$P133)*(Mapa_Row&lt;=$S133)))))</f>
        <v/>
      </c>
      <c r="L133" s="34">
        <f>IF($J133&lt;=0,"",MOD(Turno_Ini+($Q133+Limpeza_Min)/1440,1))</f>
        <v/>
      </c>
      <c r="M133" s="20">
        <f>IF($J133&lt;=0,"",MAX(0,IFERROR(INDEX(Mapa_RelIni,MATCH($B133&amp;"#"&amp;$A133&amp;"#"&amp;($K133+1),Mapa_Chave,0)),Turno_Min)-($Q133+Limpeza_Min)))</f>
        <v/>
      </c>
      <c r="N133" s="14">
        <f>IF($B133="","",IF($O133="","OK",LEFT($O133,LEN($O133)-3)))</f>
        <v/>
      </c>
      <c r="O133" s="35">
        <f>IF($B133="","",IF(COUNTIF(Postos_Cod,$B133)=0,"Sala não cadastrada | ","")&amp;IF(AND(COUNTIF(Postos_Cod,$B133)&gt;0,IFERROR(INDEX(Postos_Tipo,MATCH($B133,Postos_Cod,0)),"")&lt;&gt;"Sala cirúrgica"),"Posto não é sala cirúrgica | ","")&amp;IF(COUNTIF(Esp_Nome,$E133)=0,"Especialidade não cadastrada | ","")&amp;IF(COUNTIF(Lista_StatusCir,$H133)=0,"Status inválido | ","")&amp;IF(OR(NOT(ISNUMBER($C133)),NOT(ISNUMBER($D133))),"Horário inválido | ","")&amp;IFERROR(IF(AND(ISNUMBER($C133),ISNUMBER($D133),MOD($D133-$C133,1)*1440&lt;=0),"Duração nula ou negativa | ",""),"")&amp;IF(AND($J133&gt;0,OR($P133&gt;=Turno_Min,$Q133&gt;Turno_Min)),"Fora da janela do plantão | ","")&amp;IF(AND($J133&gt;0,SUMPRODUCT((Mapa_Sala=$B133)*(Mapa_Data=$A133)*(Mapa_MinOcup&gt;0)*(Mapa_RelIni&lt;$Q133)*(Mapa_RelFim&gt;$P133))&gt;1),"Sobreposição de horário na sala | ","")&amp;IFERROR(IF(AND(ISNUMBER($I133),$I133&gt;0,COUNTIF(Esp_Nome,$E133)&gt;0,$I133&gt;3*INDEX(Esp_Dur,MATCH($E133,Esp_Nome,0))),"Duração atípica (&gt;3x a média) | ",""),""))</f>
        <v/>
      </c>
      <c r="P133" s="19">
        <f>IF(NOT(ISNUMBER($C133)),0,ROUND(MOD($C133-Turno_Ini,1)*1440,0))</f>
        <v/>
      </c>
      <c r="Q133" s="19">
        <f>IF($J133&lt;=0,0,$P133+$I133)</f>
        <v/>
      </c>
      <c r="R133" s="19">
        <f>IF($K133="","",$B133&amp;"#"&amp;$A133&amp;"#"&amp;$K133)</f>
        <v/>
      </c>
      <c r="S133" s="19">
        <f>ROW()</f>
        <v/>
      </c>
      <c r="T133" s="19">
        <f>IF($J133&lt;=0,0,MAX(0,MIN($P133+$I133+Limpeza_Min,Turno_Min,IFERROR(INDEX(Mapa_RelIni,MATCH($B133&amp;"#"&amp;$A133&amp;"#"&amp;($K133+1),Mapa_Chave,0)),Turno_Min))-MIN($P133,Turno_Min)))</f>
        <v/>
      </c>
    </row>
    <row r="134">
      <c r="A134" s="30" t="n"/>
      <c r="B134" s="31" t="n"/>
      <c r="C134" s="32" t="n"/>
      <c r="D134" s="32" t="n"/>
      <c r="E134" s="33" t="n"/>
      <c r="F134" s="33" t="n"/>
      <c r="G134" s="33" t="n"/>
      <c r="H134" s="31" t="n"/>
      <c r="I134" s="20">
        <f>IF(OR($B134="",NOT(ISNUMBER($C134)),NOT(ISNUMBER($D134))),"",ROUND(MOD($D134-$C134,1)*1440,0))</f>
        <v/>
      </c>
      <c r="J134" s="20">
        <f>IF(NOT(ISNUMBER($I134)),0,IF(OR($I134&lt;=0,$H134="Cancelada",$H134="Suspensa"),0,$I134+Limpeza_Min))</f>
        <v/>
      </c>
      <c r="K134" s="20">
        <f>IF($J134&lt;=0,"",SUMPRODUCT((Mapa_Sala=$B134)*(Mapa_Data=$A134)*(Mapa_MinOcup&gt;0)*((Mapa_RelIni&lt;$P134)+((Mapa_RelIni=$P134)*(Mapa_Row&lt;=$S134)))))</f>
        <v/>
      </c>
      <c r="L134" s="34">
        <f>IF($J134&lt;=0,"",MOD(Turno_Ini+($Q134+Limpeza_Min)/1440,1))</f>
        <v/>
      </c>
      <c r="M134" s="20">
        <f>IF($J134&lt;=0,"",MAX(0,IFERROR(INDEX(Mapa_RelIni,MATCH($B134&amp;"#"&amp;$A134&amp;"#"&amp;($K134+1),Mapa_Chave,0)),Turno_Min)-($Q134+Limpeza_Min)))</f>
        <v/>
      </c>
      <c r="N134" s="14">
        <f>IF($B134="","",IF($O134="","OK",LEFT($O134,LEN($O134)-3)))</f>
        <v/>
      </c>
      <c r="O134" s="35">
        <f>IF($B134="","",IF(COUNTIF(Postos_Cod,$B134)=0,"Sala não cadastrada | ","")&amp;IF(AND(COUNTIF(Postos_Cod,$B134)&gt;0,IFERROR(INDEX(Postos_Tipo,MATCH($B134,Postos_Cod,0)),"")&lt;&gt;"Sala cirúrgica"),"Posto não é sala cirúrgica | ","")&amp;IF(COUNTIF(Esp_Nome,$E134)=0,"Especialidade não cadastrada | ","")&amp;IF(COUNTIF(Lista_StatusCir,$H134)=0,"Status inválido | ","")&amp;IF(OR(NOT(ISNUMBER($C134)),NOT(ISNUMBER($D134))),"Horário inválido | ","")&amp;IFERROR(IF(AND(ISNUMBER($C134),ISNUMBER($D134),MOD($D134-$C134,1)*1440&lt;=0),"Duração nula ou negativa | ",""),"")&amp;IF(AND($J134&gt;0,OR($P134&gt;=Turno_Min,$Q134&gt;Turno_Min)),"Fora da janela do plantão | ","")&amp;IF(AND($J134&gt;0,SUMPRODUCT((Mapa_Sala=$B134)*(Mapa_Data=$A134)*(Mapa_MinOcup&gt;0)*(Mapa_RelIni&lt;$Q134)*(Mapa_RelFim&gt;$P134))&gt;1),"Sobreposição de horário na sala | ","")&amp;IFERROR(IF(AND(ISNUMBER($I134),$I134&gt;0,COUNTIF(Esp_Nome,$E134)&gt;0,$I134&gt;3*INDEX(Esp_Dur,MATCH($E134,Esp_Nome,0))),"Duração atípica (&gt;3x a média) | ",""),""))</f>
        <v/>
      </c>
      <c r="P134" s="19">
        <f>IF(NOT(ISNUMBER($C134)),0,ROUND(MOD($C134-Turno_Ini,1)*1440,0))</f>
        <v/>
      </c>
      <c r="Q134" s="19">
        <f>IF($J134&lt;=0,0,$P134+$I134)</f>
        <v/>
      </c>
      <c r="R134" s="19">
        <f>IF($K134="","",$B134&amp;"#"&amp;$A134&amp;"#"&amp;$K134)</f>
        <v/>
      </c>
      <c r="S134" s="19">
        <f>ROW()</f>
        <v/>
      </c>
      <c r="T134" s="19">
        <f>IF($J134&lt;=0,0,MAX(0,MIN($P134+$I134+Limpeza_Min,Turno_Min,IFERROR(INDEX(Mapa_RelIni,MATCH($B134&amp;"#"&amp;$A134&amp;"#"&amp;($K134+1),Mapa_Chave,0)),Turno_Min))-MIN($P134,Turno_Min)))</f>
        <v/>
      </c>
    </row>
    <row r="135">
      <c r="A135" s="30" t="n"/>
      <c r="B135" s="31" t="n"/>
      <c r="C135" s="32" t="n"/>
      <c r="D135" s="32" t="n"/>
      <c r="E135" s="33" t="n"/>
      <c r="F135" s="33" t="n"/>
      <c r="G135" s="33" t="n"/>
      <c r="H135" s="31" t="n"/>
      <c r="I135" s="20">
        <f>IF(OR($B135="",NOT(ISNUMBER($C135)),NOT(ISNUMBER($D135))),"",ROUND(MOD($D135-$C135,1)*1440,0))</f>
        <v/>
      </c>
      <c r="J135" s="20">
        <f>IF(NOT(ISNUMBER($I135)),0,IF(OR($I135&lt;=0,$H135="Cancelada",$H135="Suspensa"),0,$I135+Limpeza_Min))</f>
        <v/>
      </c>
      <c r="K135" s="20">
        <f>IF($J135&lt;=0,"",SUMPRODUCT((Mapa_Sala=$B135)*(Mapa_Data=$A135)*(Mapa_MinOcup&gt;0)*((Mapa_RelIni&lt;$P135)+((Mapa_RelIni=$P135)*(Mapa_Row&lt;=$S135)))))</f>
        <v/>
      </c>
      <c r="L135" s="34">
        <f>IF($J135&lt;=0,"",MOD(Turno_Ini+($Q135+Limpeza_Min)/1440,1))</f>
        <v/>
      </c>
      <c r="M135" s="20">
        <f>IF($J135&lt;=0,"",MAX(0,IFERROR(INDEX(Mapa_RelIni,MATCH($B135&amp;"#"&amp;$A135&amp;"#"&amp;($K135+1),Mapa_Chave,0)),Turno_Min)-($Q135+Limpeza_Min)))</f>
        <v/>
      </c>
      <c r="N135" s="14">
        <f>IF($B135="","",IF($O135="","OK",LEFT($O135,LEN($O135)-3)))</f>
        <v/>
      </c>
      <c r="O135" s="35">
        <f>IF($B135="","",IF(COUNTIF(Postos_Cod,$B135)=0,"Sala não cadastrada | ","")&amp;IF(AND(COUNTIF(Postos_Cod,$B135)&gt;0,IFERROR(INDEX(Postos_Tipo,MATCH($B135,Postos_Cod,0)),"")&lt;&gt;"Sala cirúrgica"),"Posto não é sala cirúrgica | ","")&amp;IF(COUNTIF(Esp_Nome,$E135)=0,"Especialidade não cadastrada | ","")&amp;IF(COUNTIF(Lista_StatusCir,$H135)=0,"Status inválido | ","")&amp;IF(OR(NOT(ISNUMBER($C135)),NOT(ISNUMBER($D135))),"Horário inválido | ","")&amp;IFERROR(IF(AND(ISNUMBER($C135),ISNUMBER($D135),MOD($D135-$C135,1)*1440&lt;=0),"Duração nula ou negativa | ",""),"")&amp;IF(AND($J135&gt;0,OR($P135&gt;=Turno_Min,$Q135&gt;Turno_Min)),"Fora da janela do plantão | ","")&amp;IF(AND($J135&gt;0,SUMPRODUCT((Mapa_Sala=$B135)*(Mapa_Data=$A135)*(Mapa_MinOcup&gt;0)*(Mapa_RelIni&lt;$Q135)*(Mapa_RelFim&gt;$P135))&gt;1),"Sobreposição de horário na sala | ","")&amp;IFERROR(IF(AND(ISNUMBER($I135),$I135&gt;0,COUNTIF(Esp_Nome,$E135)&gt;0,$I135&gt;3*INDEX(Esp_Dur,MATCH($E135,Esp_Nome,0))),"Duração atípica (&gt;3x a média) | ",""),""))</f>
        <v/>
      </c>
      <c r="P135" s="19">
        <f>IF(NOT(ISNUMBER($C135)),0,ROUND(MOD($C135-Turno_Ini,1)*1440,0))</f>
        <v/>
      </c>
      <c r="Q135" s="19">
        <f>IF($J135&lt;=0,0,$P135+$I135)</f>
        <v/>
      </c>
      <c r="R135" s="19">
        <f>IF($K135="","",$B135&amp;"#"&amp;$A135&amp;"#"&amp;$K135)</f>
        <v/>
      </c>
      <c r="S135" s="19">
        <f>ROW()</f>
        <v/>
      </c>
      <c r="T135" s="19">
        <f>IF($J135&lt;=0,0,MAX(0,MIN($P135+$I135+Limpeza_Min,Turno_Min,IFERROR(INDEX(Mapa_RelIni,MATCH($B135&amp;"#"&amp;$A135&amp;"#"&amp;($K135+1),Mapa_Chave,0)),Turno_Min))-MIN($P135,Turno_Min)))</f>
        <v/>
      </c>
    </row>
    <row r="136">
      <c r="A136" s="30" t="n"/>
      <c r="B136" s="31" t="n"/>
      <c r="C136" s="32" t="n"/>
      <c r="D136" s="32" t="n"/>
      <c r="E136" s="33" t="n"/>
      <c r="F136" s="33" t="n"/>
      <c r="G136" s="33" t="n"/>
      <c r="H136" s="31" t="n"/>
      <c r="I136" s="20">
        <f>IF(OR($B136="",NOT(ISNUMBER($C136)),NOT(ISNUMBER($D136))),"",ROUND(MOD($D136-$C136,1)*1440,0))</f>
        <v/>
      </c>
      <c r="J136" s="20">
        <f>IF(NOT(ISNUMBER($I136)),0,IF(OR($I136&lt;=0,$H136="Cancelada",$H136="Suspensa"),0,$I136+Limpeza_Min))</f>
        <v/>
      </c>
      <c r="K136" s="20">
        <f>IF($J136&lt;=0,"",SUMPRODUCT((Mapa_Sala=$B136)*(Mapa_Data=$A136)*(Mapa_MinOcup&gt;0)*((Mapa_RelIni&lt;$P136)+((Mapa_RelIni=$P136)*(Mapa_Row&lt;=$S136)))))</f>
        <v/>
      </c>
      <c r="L136" s="34">
        <f>IF($J136&lt;=0,"",MOD(Turno_Ini+($Q136+Limpeza_Min)/1440,1))</f>
        <v/>
      </c>
      <c r="M136" s="20">
        <f>IF($J136&lt;=0,"",MAX(0,IFERROR(INDEX(Mapa_RelIni,MATCH($B136&amp;"#"&amp;$A136&amp;"#"&amp;($K136+1),Mapa_Chave,0)),Turno_Min)-($Q136+Limpeza_Min)))</f>
        <v/>
      </c>
      <c r="N136" s="14">
        <f>IF($B136="","",IF($O136="","OK",LEFT($O136,LEN($O136)-3)))</f>
        <v/>
      </c>
      <c r="O136" s="35">
        <f>IF($B136="","",IF(COUNTIF(Postos_Cod,$B136)=0,"Sala não cadastrada | ","")&amp;IF(AND(COUNTIF(Postos_Cod,$B136)&gt;0,IFERROR(INDEX(Postos_Tipo,MATCH($B136,Postos_Cod,0)),"")&lt;&gt;"Sala cirúrgica"),"Posto não é sala cirúrgica | ","")&amp;IF(COUNTIF(Esp_Nome,$E136)=0,"Especialidade não cadastrada | ","")&amp;IF(COUNTIF(Lista_StatusCir,$H136)=0,"Status inválido | ","")&amp;IF(OR(NOT(ISNUMBER($C136)),NOT(ISNUMBER($D136))),"Horário inválido | ","")&amp;IFERROR(IF(AND(ISNUMBER($C136),ISNUMBER($D136),MOD($D136-$C136,1)*1440&lt;=0),"Duração nula ou negativa | ",""),"")&amp;IF(AND($J136&gt;0,OR($P136&gt;=Turno_Min,$Q136&gt;Turno_Min)),"Fora da janela do plantão | ","")&amp;IF(AND($J136&gt;0,SUMPRODUCT((Mapa_Sala=$B136)*(Mapa_Data=$A136)*(Mapa_MinOcup&gt;0)*(Mapa_RelIni&lt;$Q136)*(Mapa_RelFim&gt;$P136))&gt;1),"Sobreposição de horário na sala | ","")&amp;IFERROR(IF(AND(ISNUMBER($I136),$I136&gt;0,COUNTIF(Esp_Nome,$E136)&gt;0,$I136&gt;3*INDEX(Esp_Dur,MATCH($E136,Esp_Nome,0))),"Duração atípica (&gt;3x a média) | ",""),""))</f>
        <v/>
      </c>
      <c r="P136" s="19">
        <f>IF(NOT(ISNUMBER($C136)),0,ROUND(MOD($C136-Turno_Ini,1)*1440,0))</f>
        <v/>
      </c>
      <c r="Q136" s="19">
        <f>IF($J136&lt;=0,0,$P136+$I136)</f>
        <v/>
      </c>
      <c r="R136" s="19">
        <f>IF($K136="","",$B136&amp;"#"&amp;$A136&amp;"#"&amp;$K136)</f>
        <v/>
      </c>
      <c r="S136" s="19">
        <f>ROW()</f>
        <v/>
      </c>
      <c r="T136" s="19">
        <f>IF($J136&lt;=0,0,MAX(0,MIN($P136+$I136+Limpeza_Min,Turno_Min,IFERROR(INDEX(Mapa_RelIni,MATCH($B136&amp;"#"&amp;$A136&amp;"#"&amp;($K136+1),Mapa_Chave,0)),Turno_Min))-MIN($P136,Turno_Min)))</f>
        <v/>
      </c>
    </row>
    <row r="137">
      <c r="A137" s="30" t="n"/>
      <c r="B137" s="31" t="n"/>
      <c r="C137" s="32" t="n"/>
      <c r="D137" s="32" t="n"/>
      <c r="E137" s="33" t="n"/>
      <c r="F137" s="33" t="n"/>
      <c r="G137" s="33" t="n"/>
      <c r="H137" s="31" t="n"/>
      <c r="I137" s="20">
        <f>IF(OR($B137="",NOT(ISNUMBER($C137)),NOT(ISNUMBER($D137))),"",ROUND(MOD($D137-$C137,1)*1440,0))</f>
        <v/>
      </c>
      <c r="J137" s="20">
        <f>IF(NOT(ISNUMBER($I137)),0,IF(OR($I137&lt;=0,$H137="Cancelada",$H137="Suspensa"),0,$I137+Limpeza_Min))</f>
        <v/>
      </c>
      <c r="K137" s="20">
        <f>IF($J137&lt;=0,"",SUMPRODUCT((Mapa_Sala=$B137)*(Mapa_Data=$A137)*(Mapa_MinOcup&gt;0)*((Mapa_RelIni&lt;$P137)+((Mapa_RelIni=$P137)*(Mapa_Row&lt;=$S137)))))</f>
        <v/>
      </c>
      <c r="L137" s="34">
        <f>IF($J137&lt;=0,"",MOD(Turno_Ini+($Q137+Limpeza_Min)/1440,1))</f>
        <v/>
      </c>
      <c r="M137" s="20">
        <f>IF($J137&lt;=0,"",MAX(0,IFERROR(INDEX(Mapa_RelIni,MATCH($B137&amp;"#"&amp;$A137&amp;"#"&amp;($K137+1),Mapa_Chave,0)),Turno_Min)-($Q137+Limpeza_Min)))</f>
        <v/>
      </c>
      <c r="N137" s="14">
        <f>IF($B137="","",IF($O137="","OK",LEFT($O137,LEN($O137)-3)))</f>
        <v/>
      </c>
      <c r="O137" s="35">
        <f>IF($B137="","",IF(COUNTIF(Postos_Cod,$B137)=0,"Sala não cadastrada | ","")&amp;IF(AND(COUNTIF(Postos_Cod,$B137)&gt;0,IFERROR(INDEX(Postos_Tipo,MATCH($B137,Postos_Cod,0)),"")&lt;&gt;"Sala cirúrgica"),"Posto não é sala cirúrgica | ","")&amp;IF(COUNTIF(Esp_Nome,$E137)=0,"Especialidade não cadastrada | ","")&amp;IF(COUNTIF(Lista_StatusCir,$H137)=0,"Status inválido | ","")&amp;IF(OR(NOT(ISNUMBER($C137)),NOT(ISNUMBER($D137))),"Horário inválido | ","")&amp;IFERROR(IF(AND(ISNUMBER($C137),ISNUMBER($D137),MOD($D137-$C137,1)*1440&lt;=0),"Duração nula ou negativa | ",""),"")&amp;IF(AND($J137&gt;0,OR($P137&gt;=Turno_Min,$Q137&gt;Turno_Min)),"Fora da janela do plantão | ","")&amp;IF(AND($J137&gt;0,SUMPRODUCT((Mapa_Sala=$B137)*(Mapa_Data=$A137)*(Mapa_MinOcup&gt;0)*(Mapa_RelIni&lt;$Q137)*(Mapa_RelFim&gt;$P137))&gt;1),"Sobreposição de horário na sala | ","")&amp;IFERROR(IF(AND(ISNUMBER($I137),$I137&gt;0,COUNTIF(Esp_Nome,$E137)&gt;0,$I137&gt;3*INDEX(Esp_Dur,MATCH($E137,Esp_Nome,0))),"Duração atípica (&gt;3x a média) | ",""),""))</f>
        <v/>
      </c>
      <c r="P137" s="19">
        <f>IF(NOT(ISNUMBER($C137)),0,ROUND(MOD($C137-Turno_Ini,1)*1440,0))</f>
        <v/>
      </c>
      <c r="Q137" s="19">
        <f>IF($J137&lt;=0,0,$P137+$I137)</f>
        <v/>
      </c>
      <c r="R137" s="19">
        <f>IF($K137="","",$B137&amp;"#"&amp;$A137&amp;"#"&amp;$K137)</f>
        <v/>
      </c>
      <c r="S137" s="19">
        <f>ROW()</f>
        <v/>
      </c>
      <c r="T137" s="19">
        <f>IF($J137&lt;=0,0,MAX(0,MIN($P137+$I137+Limpeza_Min,Turno_Min,IFERROR(INDEX(Mapa_RelIni,MATCH($B137&amp;"#"&amp;$A137&amp;"#"&amp;($K137+1),Mapa_Chave,0)),Turno_Min))-MIN($P137,Turno_Min)))</f>
        <v/>
      </c>
    </row>
    <row r="138">
      <c r="A138" s="30" t="n"/>
      <c r="B138" s="31" t="n"/>
      <c r="C138" s="32" t="n"/>
      <c r="D138" s="32" t="n"/>
      <c r="E138" s="33" t="n"/>
      <c r="F138" s="33" t="n"/>
      <c r="G138" s="33" t="n"/>
      <c r="H138" s="31" t="n"/>
      <c r="I138" s="20">
        <f>IF(OR($B138="",NOT(ISNUMBER($C138)),NOT(ISNUMBER($D138))),"",ROUND(MOD($D138-$C138,1)*1440,0))</f>
        <v/>
      </c>
      <c r="J138" s="20">
        <f>IF(NOT(ISNUMBER($I138)),0,IF(OR($I138&lt;=0,$H138="Cancelada",$H138="Suspensa"),0,$I138+Limpeza_Min))</f>
        <v/>
      </c>
      <c r="K138" s="20">
        <f>IF($J138&lt;=0,"",SUMPRODUCT((Mapa_Sala=$B138)*(Mapa_Data=$A138)*(Mapa_MinOcup&gt;0)*((Mapa_RelIni&lt;$P138)+((Mapa_RelIni=$P138)*(Mapa_Row&lt;=$S138)))))</f>
        <v/>
      </c>
      <c r="L138" s="34">
        <f>IF($J138&lt;=0,"",MOD(Turno_Ini+($Q138+Limpeza_Min)/1440,1))</f>
        <v/>
      </c>
      <c r="M138" s="20">
        <f>IF($J138&lt;=0,"",MAX(0,IFERROR(INDEX(Mapa_RelIni,MATCH($B138&amp;"#"&amp;$A138&amp;"#"&amp;($K138+1),Mapa_Chave,0)),Turno_Min)-($Q138+Limpeza_Min)))</f>
        <v/>
      </c>
      <c r="N138" s="14">
        <f>IF($B138="","",IF($O138="","OK",LEFT($O138,LEN($O138)-3)))</f>
        <v/>
      </c>
      <c r="O138" s="35">
        <f>IF($B138="","",IF(COUNTIF(Postos_Cod,$B138)=0,"Sala não cadastrada | ","")&amp;IF(AND(COUNTIF(Postos_Cod,$B138)&gt;0,IFERROR(INDEX(Postos_Tipo,MATCH($B138,Postos_Cod,0)),"")&lt;&gt;"Sala cirúrgica"),"Posto não é sala cirúrgica | ","")&amp;IF(COUNTIF(Esp_Nome,$E138)=0,"Especialidade não cadastrada | ","")&amp;IF(COUNTIF(Lista_StatusCir,$H138)=0,"Status inválido | ","")&amp;IF(OR(NOT(ISNUMBER($C138)),NOT(ISNUMBER($D138))),"Horário inválido | ","")&amp;IFERROR(IF(AND(ISNUMBER($C138),ISNUMBER($D138),MOD($D138-$C138,1)*1440&lt;=0),"Duração nula ou negativa | ",""),"")&amp;IF(AND($J138&gt;0,OR($P138&gt;=Turno_Min,$Q138&gt;Turno_Min)),"Fora da janela do plantão | ","")&amp;IF(AND($J138&gt;0,SUMPRODUCT((Mapa_Sala=$B138)*(Mapa_Data=$A138)*(Mapa_MinOcup&gt;0)*(Mapa_RelIni&lt;$Q138)*(Mapa_RelFim&gt;$P138))&gt;1),"Sobreposição de horário na sala | ","")&amp;IFERROR(IF(AND(ISNUMBER($I138),$I138&gt;0,COUNTIF(Esp_Nome,$E138)&gt;0,$I138&gt;3*INDEX(Esp_Dur,MATCH($E138,Esp_Nome,0))),"Duração atípica (&gt;3x a média) | ",""),""))</f>
        <v/>
      </c>
      <c r="P138" s="19">
        <f>IF(NOT(ISNUMBER($C138)),0,ROUND(MOD($C138-Turno_Ini,1)*1440,0))</f>
        <v/>
      </c>
      <c r="Q138" s="19">
        <f>IF($J138&lt;=0,0,$P138+$I138)</f>
        <v/>
      </c>
      <c r="R138" s="19">
        <f>IF($K138="","",$B138&amp;"#"&amp;$A138&amp;"#"&amp;$K138)</f>
        <v/>
      </c>
      <c r="S138" s="19">
        <f>ROW()</f>
        <v/>
      </c>
      <c r="T138" s="19">
        <f>IF($J138&lt;=0,0,MAX(0,MIN($P138+$I138+Limpeza_Min,Turno_Min,IFERROR(INDEX(Mapa_RelIni,MATCH($B138&amp;"#"&amp;$A138&amp;"#"&amp;($K138+1),Mapa_Chave,0)),Turno_Min))-MIN($P138,Turno_Min)))</f>
        <v/>
      </c>
    </row>
    <row r="139">
      <c r="A139" s="30" t="n"/>
      <c r="B139" s="31" t="n"/>
      <c r="C139" s="32" t="n"/>
      <c r="D139" s="32" t="n"/>
      <c r="E139" s="33" t="n"/>
      <c r="F139" s="33" t="n"/>
      <c r="G139" s="33" t="n"/>
      <c r="H139" s="31" t="n"/>
      <c r="I139" s="20">
        <f>IF(OR($B139="",NOT(ISNUMBER($C139)),NOT(ISNUMBER($D139))),"",ROUND(MOD($D139-$C139,1)*1440,0))</f>
        <v/>
      </c>
      <c r="J139" s="20">
        <f>IF(NOT(ISNUMBER($I139)),0,IF(OR($I139&lt;=0,$H139="Cancelada",$H139="Suspensa"),0,$I139+Limpeza_Min))</f>
        <v/>
      </c>
      <c r="K139" s="20">
        <f>IF($J139&lt;=0,"",SUMPRODUCT((Mapa_Sala=$B139)*(Mapa_Data=$A139)*(Mapa_MinOcup&gt;0)*((Mapa_RelIni&lt;$P139)+((Mapa_RelIni=$P139)*(Mapa_Row&lt;=$S139)))))</f>
        <v/>
      </c>
      <c r="L139" s="34">
        <f>IF($J139&lt;=0,"",MOD(Turno_Ini+($Q139+Limpeza_Min)/1440,1))</f>
        <v/>
      </c>
      <c r="M139" s="20">
        <f>IF($J139&lt;=0,"",MAX(0,IFERROR(INDEX(Mapa_RelIni,MATCH($B139&amp;"#"&amp;$A139&amp;"#"&amp;($K139+1),Mapa_Chave,0)),Turno_Min)-($Q139+Limpeza_Min)))</f>
        <v/>
      </c>
      <c r="N139" s="14">
        <f>IF($B139="","",IF($O139="","OK",LEFT($O139,LEN($O139)-3)))</f>
        <v/>
      </c>
      <c r="O139" s="35">
        <f>IF($B139="","",IF(COUNTIF(Postos_Cod,$B139)=0,"Sala não cadastrada | ","")&amp;IF(AND(COUNTIF(Postos_Cod,$B139)&gt;0,IFERROR(INDEX(Postos_Tipo,MATCH($B139,Postos_Cod,0)),"")&lt;&gt;"Sala cirúrgica"),"Posto não é sala cirúrgica | ","")&amp;IF(COUNTIF(Esp_Nome,$E139)=0,"Especialidade não cadastrada | ","")&amp;IF(COUNTIF(Lista_StatusCir,$H139)=0,"Status inválido | ","")&amp;IF(OR(NOT(ISNUMBER($C139)),NOT(ISNUMBER($D139))),"Horário inválido | ","")&amp;IFERROR(IF(AND(ISNUMBER($C139),ISNUMBER($D139),MOD($D139-$C139,1)*1440&lt;=0),"Duração nula ou negativa | ",""),"")&amp;IF(AND($J139&gt;0,OR($P139&gt;=Turno_Min,$Q139&gt;Turno_Min)),"Fora da janela do plantão | ","")&amp;IF(AND($J139&gt;0,SUMPRODUCT((Mapa_Sala=$B139)*(Mapa_Data=$A139)*(Mapa_MinOcup&gt;0)*(Mapa_RelIni&lt;$Q139)*(Mapa_RelFim&gt;$P139))&gt;1),"Sobreposição de horário na sala | ","")&amp;IFERROR(IF(AND(ISNUMBER($I139),$I139&gt;0,COUNTIF(Esp_Nome,$E139)&gt;0,$I139&gt;3*INDEX(Esp_Dur,MATCH($E139,Esp_Nome,0))),"Duração atípica (&gt;3x a média) | ",""),""))</f>
        <v/>
      </c>
      <c r="P139" s="19">
        <f>IF(NOT(ISNUMBER($C139)),0,ROUND(MOD($C139-Turno_Ini,1)*1440,0))</f>
        <v/>
      </c>
      <c r="Q139" s="19">
        <f>IF($J139&lt;=0,0,$P139+$I139)</f>
        <v/>
      </c>
      <c r="R139" s="19">
        <f>IF($K139="","",$B139&amp;"#"&amp;$A139&amp;"#"&amp;$K139)</f>
        <v/>
      </c>
      <c r="S139" s="19">
        <f>ROW()</f>
        <v/>
      </c>
      <c r="T139" s="19">
        <f>IF($J139&lt;=0,0,MAX(0,MIN($P139+$I139+Limpeza_Min,Turno_Min,IFERROR(INDEX(Mapa_RelIni,MATCH($B139&amp;"#"&amp;$A139&amp;"#"&amp;($K139+1),Mapa_Chave,0)),Turno_Min))-MIN($P139,Turno_Min)))</f>
        <v/>
      </c>
    </row>
    <row r="140">
      <c r="A140" s="30" t="n"/>
      <c r="B140" s="31" t="n"/>
      <c r="C140" s="32" t="n"/>
      <c r="D140" s="32" t="n"/>
      <c r="E140" s="33" t="n"/>
      <c r="F140" s="33" t="n"/>
      <c r="G140" s="33" t="n"/>
      <c r="H140" s="31" t="n"/>
      <c r="I140" s="20">
        <f>IF(OR($B140="",NOT(ISNUMBER($C140)),NOT(ISNUMBER($D140))),"",ROUND(MOD($D140-$C140,1)*1440,0))</f>
        <v/>
      </c>
      <c r="J140" s="20">
        <f>IF(NOT(ISNUMBER($I140)),0,IF(OR($I140&lt;=0,$H140="Cancelada",$H140="Suspensa"),0,$I140+Limpeza_Min))</f>
        <v/>
      </c>
      <c r="K140" s="20">
        <f>IF($J140&lt;=0,"",SUMPRODUCT((Mapa_Sala=$B140)*(Mapa_Data=$A140)*(Mapa_MinOcup&gt;0)*((Mapa_RelIni&lt;$P140)+((Mapa_RelIni=$P140)*(Mapa_Row&lt;=$S140)))))</f>
        <v/>
      </c>
      <c r="L140" s="34">
        <f>IF($J140&lt;=0,"",MOD(Turno_Ini+($Q140+Limpeza_Min)/1440,1))</f>
        <v/>
      </c>
      <c r="M140" s="20">
        <f>IF($J140&lt;=0,"",MAX(0,IFERROR(INDEX(Mapa_RelIni,MATCH($B140&amp;"#"&amp;$A140&amp;"#"&amp;($K140+1),Mapa_Chave,0)),Turno_Min)-($Q140+Limpeza_Min)))</f>
        <v/>
      </c>
      <c r="N140" s="14">
        <f>IF($B140="","",IF($O140="","OK",LEFT($O140,LEN($O140)-3)))</f>
        <v/>
      </c>
      <c r="O140" s="35">
        <f>IF($B140="","",IF(COUNTIF(Postos_Cod,$B140)=0,"Sala não cadastrada | ","")&amp;IF(AND(COUNTIF(Postos_Cod,$B140)&gt;0,IFERROR(INDEX(Postos_Tipo,MATCH($B140,Postos_Cod,0)),"")&lt;&gt;"Sala cirúrgica"),"Posto não é sala cirúrgica | ","")&amp;IF(COUNTIF(Esp_Nome,$E140)=0,"Especialidade não cadastrada | ","")&amp;IF(COUNTIF(Lista_StatusCir,$H140)=0,"Status inválido | ","")&amp;IF(OR(NOT(ISNUMBER($C140)),NOT(ISNUMBER($D140))),"Horário inválido | ","")&amp;IFERROR(IF(AND(ISNUMBER($C140),ISNUMBER($D140),MOD($D140-$C140,1)*1440&lt;=0),"Duração nula ou negativa | ",""),"")&amp;IF(AND($J140&gt;0,OR($P140&gt;=Turno_Min,$Q140&gt;Turno_Min)),"Fora da janela do plantão | ","")&amp;IF(AND($J140&gt;0,SUMPRODUCT((Mapa_Sala=$B140)*(Mapa_Data=$A140)*(Mapa_MinOcup&gt;0)*(Mapa_RelIni&lt;$Q140)*(Mapa_RelFim&gt;$P140))&gt;1),"Sobreposição de horário na sala | ","")&amp;IFERROR(IF(AND(ISNUMBER($I140),$I140&gt;0,COUNTIF(Esp_Nome,$E140)&gt;0,$I140&gt;3*INDEX(Esp_Dur,MATCH($E140,Esp_Nome,0))),"Duração atípica (&gt;3x a média) | ",""),""))</f>
        <v/>
      </c>
      <c r="P140" s="19">
        <f>IF(NOT(ISNUMBER($C140)),0,ROUND(MOD($C140-Turno_Ini,1)*1440,0))</f>
        <v/>
      </c>
      <c r="Q140" s="19">
        <f>IF($J140&lt;=0,0,$P140+$I140)</f>
        <v/>
      </c>
      <c r="R140" s="19">
        <f>IF($K140="","",$B140&amp;"#"&amp;$A140&amp;"#"&amp;$K140)</f>
        <v/>
      </c>
      <c r="S140" s="19">
        <f>ROW()</f>
        <v/>
      </c>
      <c r="T140" s="19">
        <f>IF($J140&lt;=0,0,MAX(0,MIN($P140+$I140+Limpeza_Min,Turno_Min,IFERROR(INDEX(Mapa_RelIni,MATCH($B140&amp;"#"&amp;$A140&amp;"#"&amp;($K140+1),Mapa_Chave,0)),Turno_Min))-MIN($P140,Turno_Min)))</f>
        <v/>
      </c>
    </row>
    <row r="141">
      <c r="A141" s="30" t="n"/>
      <c r="B141" s="31" t="n"/>
      <c r="C141" s="32" t="n"/>
      <c r="D141" s="32" t="n"/>
      <c r="E141" s="33" t="n"/>
      <c r="F141" s="33" t="n"/>
      <c r="G141" s="33" t="n"/>
      <c r="H141" s="31" t="n"/>
      <c r="I141" s="20">
        <f>IF(OR($B141="",NOT(ISNUMBER($C141)),NOT(ISNUMBER($D141))),"",ROUND(MOD($D141-$C141,1)*1440,0))</f>
        <v/>
      </c>
      <c r="J141" s="20">
        <f>IF(NOT(ISNUMBER($I141)),0,IF(OR($I141&lt;=0,$H141="Cancelada",$H141="Suspensa"),0,$I141+Limpeza_Min))</f>
        <v/>
      </c>
      <c r="K141" s="20">
        <f>IF($J141&lt;=0,"",SUMPRODUCT((Mapa_Sala=$B141)*(Mapa_Data=$A141)*(Mapa_MinOcup&gt;0)*((Mapa_RelIni&lt;$P141)+((Mapa_RelIni=$P141)*(Mapa_Row&lt;=$S141)))))</f>
        <v/>
      </c>
      <c r="L141" s="34">
        <f>IF($J141&lt;=0,"",MOD(Turno_Ini+($Q141+Limpeza_Min)/1440,1))</f>
        <v/>
      </c>
      <c r="M141" s="20">
        <f>IF($J141&lt;=0,"",MAX(0,IFERROR(INDEX(Mapa_RelIni,MATCH($B141&amp;"#"&amp;$A141&amp;"#"&amp;($K141+1),Mapa_Chave,0)),Turno_Min)-($Q141+Limpeza_Min)))</f>
        <v/>
      </c>
      <c r="N141" s="14">
        <f>IF($B141="","",IF($O141="","OK",LEFT($O141,LEN($O141)-3)))</f>
        <v/>
      </c>
      <c r="O141" s="35">
        <f>IF($B141="","",IF(COUNTIF(Postos_Cod,$B141)=0,"Sala não cadastrada | ","")&amp;IF(AND(COUNTIF(Postos_Cod,$B141)&gt;0,IFERROR(INDEX(Postos_Tipo,MATCH($B141,Postos_Cod,0)),"")&lt;&gt;"Sala cirúrgica"),"Posto não é sala cirúrgica | ","")&amp;IF(COUNTIF(Esp_Nome,$E141)=0,"Especialidade não cadastrada | ","")&amp;IF(COUNTIF(Lista_StatusCir,$H141)=0,"Status inválido | ","")&amp;IF(OR(NOT(ISNUMBER($C141)),NOT(ISNUMBER($D141))),"Horário inválido | ","")&amp;IFERROR(IF(AND(ISNUMBER($C141),ISNUMBER($D141),MOD($D141-$C141,1)*1440&lt;=0),"Duração nula ou negativa | ",""),"")&amp;IF(AND($J141&gt;0,OR($P141&gt;=Turno_Min,$Q141&gt;Turno_Min)),"Fora da janela do plantão | ","")&amp;IF(AND($J141&gt;0,SUMPRODUCT((Mapa_Sala=$B141)*(Mapa_Data=$A141)*(Mapa_MinOcup&gt;0)*(Mapa_RelIni&lt;$Q141)*(Mapa_RelFim&gt;$P141))&gt;1),"Sobreposição de horário na sala | ","")&amp;IFERROR(IF(AND(ISNUMBER($I141),$I141&gt;0,COUNTIF(Esp_Nome,$E141)&gt;0,$I141&gt;3*INDEX(Esp_Dur,MATCH($E141,Esp_Nome,0))),"Duração atípica (&gt;3x a média) | ",""),""))</f>
        <v/>
      </c>
      <c r="P141" s="19">
        <f>IF(NOT(ISNUMBER($C141)),0,ROUND(MOD($C141-Turno_Ini,1)*1440,0))</f>
        <v/>
      </c>
      <c r="Q141" s="19">
        <f>IF($J141&lt;=0,0,$P141+$I141)</f>
        <v/>
      </c>
      <c r="R141" s="19">
        <f>IF($K141="","",$B141&amp;"#"&amp;$A141&amp;"#"&amp;$K141)</f>
        <v/>
      </c>
      <c r="S141" s="19">
        <f>ROW()</f>
        <v/>
      </c>
      <c r="T141" s="19">
        <f>IF($J141&lt;=0,0,MAX(0,MIN($P141+$I141+Limpeza_Min,Turno_Min,IFERROR(INDEX(Mapa_RelIni,MATCH($B141&amp;"#"&amp;$A141&amp;"#"&amp;($K141+1),Mapa_Chave,0)),Turno_Min))-MIN($P141,Turno_Min)))</f>
        <v/>
      </c>
    </row>
    <row r="142">
      <c r="A142" s="30" t="n"/>
      <c r="B142" s="31" t="n"/>
      <c r="C142" s="32" t="n"/>
      <c r="D142" s="32" t="n"/>
      <c r="E142" s="33" t="n"/>
      <c r="F142" s="33" t="n"/>
      <c r="G142" s="33" t="n"/>
      <c r="H142" s="31" t="n"/>
      <c r="I142" s="20">
        <f>IF(OR($B142="",NOT(ISNUMBER($C142)),NOT(ISNUMBER($D142))),"",ROUND(MOD($D142-$C142,1)*1440,0))</f>
        <v/>
      </c>
      <c r="J142" s="20">
        <f>IF(NOT(ISNUMBER($I142)),0,IF(OR($I142&lt;=0,$H142="Cancelada",$H142="Suspensa"),0,$I142+Limpeza_Min))</f>
        <v/>
      </c>
      <c r="K142" s="20">
        <f>IF($J142&lt;=0,"",SUMPRODUCT((Mapa_Sala=$B142)*(Mapa_Data=$A142)*(Mapa_MinOcup&gt;0)*((Mapa_RelIni&lt;$P142)+((Mapa_RelIni=$P142)*(Mapa_Row&lt;=$S142)))))</f>
        <v/>
      </c>
      <c r="L142" s="34">
        <f>IF($J142&lt;=0,"",MOD(Turno_Ini+($Q142+Limpeza_Min)/1440,1))</f>
        <v/>
      </c>
      <c r="M142" s="20">
        <f>IF($J142&lt;=0,"",MAX(0,IFERROR(INDEX(Mapa_RelIni,MATCH($B142&amp;"#"&amp;$A142&amp;"#"&amp;($K142+1),Mapa_Chave,0)),Turno_Min)-($Q142+Limpeza_Min)))</f>
        <v/>
      </c>
      <c r="N142" s="14">
        <f>IF($B142="","",IF($O142="","OK",LEFT($O142,LEN($O142)-3)))</f>
        <v/>
      </c>
      <c r="O142" s="35">
        <f>IF($B142="","",IF(COUNTIF(Postos_Cod,$B142)=0,"Sala não cadastrada | ","")&amp;IF(AND(COUNTIF(Postos_Cod,$B142)&gt;0,IFERROR(INDEX(Postos_Tipo,MATCH($B142,Postos_Cod,0)),"")&lt;&gt;"Sala cirúrgica"),"Posto não é sala cirúrgica | ","")&amp;IF(COUNTIF(Esp_Nome,$E142)=0,"Especialidade não cadastrada | ","")&amp;IF(COUNTIF(Lista_StatusCir,$H142)=0,"Status inválido | ","")&amp;IF(OR(NOT(ISNUMBER($C142)),NOT(ISNUMBER($D142))),"Horário inválido | ","")&amp;IFERROR(IF(AND(ISNUMBER($C142),ISNUMBER($D142),MOD($D142-$C142,1)*1440&lt;=0),"Duração nula ou negativa | ",""),"")&amp;IF(AND($J142&gt;0,OR($P142&gt;=Turno_Min,$Q142&gt;Turno_Min)),"Fora da janela do plantão | ","")&amp;IF(AND($J142&gt;0,SUMPRODUCT((Mapa_Sala=$B142)*(Mapa_Data=$A142)*(Mapa_MinOcup&gt;0)*(Mapa_RelIni&lt;$Q142)*(Mapa_RelFim&gt;$P142))&gt;1),"Sobreposição de horário na sala | ","")&amp;IFERROR(IF(AND(ISNUMBER($I142),$I142&gt;0,COUNTIF(Esp_Nome,$E142)&gt;0,$I142&gt;3*INDEX(Esp_Dur,MATCH($E142,Esp_Nome,0))),"Duração atípica (&gt;3x a média) | ",""),""))</f>
        <v/>
      </c>
      <c r="P142" s="19">
        <f>IF(NOT(ISNUMBER($C142)),0,ROUND(MOD($C142-Turno_Ini,1)*1440,0))</f>
        <v/>
      </c>
      <c r="Q142" s="19">
        <f>IF($J142&lt;=0,0,$P142+$I142)</f>
        <v/>
      </c>
      <c r="R142" s="19">
        <f>IF($K142="","",$B142&amp;"#"&amp;$A142&amp;"#"&amp;$K142)</f>
        <v/>
      </c>
      <c r="S142" s="19">
        <f>ROW()</f>
        <v/>
      </c>
      <c r="T142" s="19">
        <f>IF($J142&lt;=0,0,MAX(0,MIN($P142+$I142+Limpeza_Min,Turno_Min,IFERROR(INDEX(Mapa_RelIni,MATCH($B142&amp;"#"&amp;$A142&amp;"#"&amp;($K142+1),Mapa_Chave,0)),Turno_Min))-MIN($P142,Turno_Min)))</f>
        <v/>
      </c>
    </row>
    <row r="143">
      <c r="A143" s="30" t="n"/>
      <c r="B143" s="31" t="n"/>
      <c r="C143" s="32" t="n"/>
      <c r="D143" s="32" t="n"/>
      <c r="E143" s="33" t="n"/>
      <c r="F143" s="33" t="n"/>
      <c r="G143" s="33" t="n"/>
      <c r="H143" s="31" t="n"/>
      <c r="I143" s="20">
        <f>IF(OR($B143="",NOT(ISNUMBER($C143)),NOT(ISNUMBER($D143))),"",ROUND(MOD($D143-$C143,1)*1440,0))</f>
        <v/>
      </c>
      <c r="J143" s="20">
        <f>IF(NOT(ISNUMBER($I143)),0,IF(OR($I143&lt;=0,$H143="Cancelada",$H143="Suspensa"),0,$I143+Limpeza_Min))</f>
        <v/>
      </c>
      <c r="K143" s="20">
        <f>IF($J143&lt;=0,"",SUMPRODUCT((Mapa_Sala=$B143)*(Mapa_Data=$A143)*(Mapa_MinOcup&gt;0)*((Mapa_RelIni&lt;$P143)+((Mapa_RelIni=$P143)*(Mapa_Row&lt;=$S143)))))</f>
        <v/>
      </c>
      <c r="L143" s="34">
        <f>IF($J143&lt;=0,"",MOD(Turno_Ini+($Q143+Limpeza_Min)/1440,1))</f>
        <v/>
      </c>
      <c r="M143" s="20">
        <f>IF($J143&lt;=0,"",MAX(0,IFERROR(INDEX(Mapa_RelIni,MATCH($B143&amp;"#"&amp;$A143&amp;"#"&amp;($K143+1),Mapa_Chave,0)),Turno_Min)-($Q143+Limpeza_Min)))</f>
        <v/>
      </c>
      <c r="N143" s="14">
        <f>IF($B143="","",IF($O143="","OK",LEFT($O143,LEN($O143)-3)))</f>
        <v/>
      </c>
      <c r="O143" s="35">
        <f>IF($B143="","",IF(COUNTIF(Postos_Cod,$B143)=0,"Sala não cadastrada | ","")&amp;IF(AND(COUNTIF(Postos_Cod,$B143)&gt;0,IFERROR(INDEX(Postos_Tipo,MATCH($B143,Postos_Cod,0)),"")&lt;&gt;"Sala cirúrgica"),"Posto não é sala cirúrgica | ","")&amp;IF(COUNTIF(Esp_Nome,$E143)=0,"Especialidade não cadastrada | ","")&amp;IF(COUNTIF(Lista_StatusCir,$H143)=0,"Status inválido | ","")&amp;IF(OR(NOT(ISNUMBER($C143)),NOT(ISNUMBER($D143))),"Horário inválido | ","")&amp;IFERROR(IF(AND(ISNUMBER($C143),ISNUMBER($D143),MOD($D143-$C143,1)*1440&lt;=0),"Duração nula ou negativa | ",""),"")&amp;IF(AND($J143&gt;0,OR($P143&gt;=Turno_Min,$Q143&gt;Turno_Min)),"Fora da janela do plantão | ","")&amp;IF(AND($J143&gt;0,SUMPRODUCT((Mapa_Sala=$B143)*(Mapa_Data=$A143)*(Mapa_MinOcup&gt;0)*(Mapa_RelIni&lt;$Q143)*(Mapa_RelFim&gt;$P143))&gt;1),"Sobreposição de horário na sala | ","")&amp;IFERROR(IF(AND(ISNUMBER($I143),$I143&gt;0,COUNTIF(Esp_Nome,$E143)&gt;0,$I143&gt;3*INDEX(Esp_Dur,MATCH($E143,Esp_Nome,0))),"Duração atípica (&gt;3x a média) | ",""),""))</f>
        <v/>
      </c>
      <c r="P143" s="19">
        <f>IF(NOT(ISNUMBER($C143)),0,ROUND(MOD($C143-Turno_Ini,1)*1440,0))</f>
        <v/>
      </c>
      <c r="Q143" s="19">
        <f>IF($J143&lt;=0,0,$P143+$I143)</f>
        <v/>
      </c>
      <c r="R143" s="19">
        <f>IF($K143="","",$B143&amp;"#"&amp;$A143&amp;"#"&amp;$K143)</f>
        <v/>
      </c>
      <c r="S143" s="19">
        <f>ROW()</f>
        <v/>
      </c>
      <c r="T143" s="19">
        <f>IF($J143&lt;=0,0,MAX(0,MIN($P143+$I143+Limpeza_Min,Turno_Min,IFERROR(INDEX(Mapa_RelIni,MATCH($B143&amp;"#"&amp;$A143&amp;"#"&amp;($K143+1),Mapa_Chave,0)),Turno_Min))-MIN($P143,Turno_Min)))</f>
        <v/>
      </c>
    </row>
    <row r="144">
      <c r="A144" s="30" t="n"/>
      <c r="B144" s="31" t="n"/>
      <c r="C144" s="32" t="n"/>
      <c r="D144" s="32" t="n"/>
      <c r="E144" s="33" t="n"/>
      <c r="F144" s="33" t="n"/>
      <c r="G144" s="33" t="n"/>
      <c r="H144" s="31" t="n"/>
      <c r="I144" s="20">
        <f>IF(OR($B144="",NOT(ISNUMBER($C144)),NOT(ISNUMBER($D144))),"",ROUND(MOD($D144-$C144,1)*1440,0))</f>
        <v/>
      </c>
      <c r="J144" s="20">
        <f>IF(NOT(ISNUMBER($I144)),0,IF(OR($I144&lt;=0,$H144="Cancelada",$H144="Suspensa"),0,$I144+Limpeza_Min))</f>
        <v/>
      </c>
      <c r="K144" s="20">
        <f>IF($J144&lt;=0,"",SUMPRODUCT((Mapa_Sala=$B144)*(Mapa_Data=$A144)*(Mapa_MinOcup&gt;0)*((Mapa_RelIni&lt;$P144)+((Mapa_RelIni=$P144)*(Mapa_Row&lt;=$S144)))))</f>
        <v/>
      </c>
      <c r="L144" s="34">
        <f>IF($J144&lt;=0,"",MOD(Turno_Ini+($Q144+Limpeza_Min)/1440,1))</f>
        <v/>
      </c>
      <c r="M144" s="20">
        <f>IF($J144&lt;=0,"",MAX(0,IFERROR(INDEX(Mapa_RelIni,MATCH($B144&amp;"#"&amp;$A144&amp;"#"&amp;($K144+1),Mapa_Chave,0)),Turno_Min)-($Q144+Limpeza_Min)))</f>
        <v/>
      </c>
      <c r="N144" s="14">
        <f>IF($B144="","",IF($O144="","OK",LEFT($O144,LEN($O144)-3)))</f>
        <v/>
      </c>
      <c r="O144" s="35">
        <f>IF($B144="","",IF(COUNTIF(Postos_Cod,$B144)=0,"Sala não cadastrada | ","")&amp;IF(AND(COUNTIF(Postos_Cod,$B144)&gt;0,IFERROR(INDEX(Postos_Tipo,MATCH($B144,Postos_Cod,0)),"")&lt;&gt;"Sala cirúrgica"),"Posto não é sala cirúrgica | ","")&amp;IF(COUNTIF(Esp_Nome,$E144)=0,"Especialidade não cadastrada | ","")&amp;IF(COUNTIF(Lista_StatusCir,$H144)=0,"Status inválido | ","")&amp;IF(OR(NOT(ISNUMBER($C144)),NOT(ISNUMBER($D144))),"Horário inválido | ","")&amp;IFERROR(IF(AND(ISNUMBER($C144),ISNUMBER($D144),MOD($D144-$C144,1)*1440&lt;=0),"Duração nula ou negativa | ",""),"")&amp;IF(AND($J144&gt;0,OR($P144&gt;=Turno_Min,$Q144&gt;Turno_Min)),"Fora da janela do plantão | ","")&amp;IF(AND($J144&gt;0,SUMPRODUCT((Mapa_Sala=$B144)*(Mapa_Data=$A144)*(Mapa_MinOcup&gt;0)*(Mapa_RelIni&lt;$Q144)*(Mapa_RelFim&gt;$P144))&gt;1),"Sobreposição de horário na sala | ","")&amp;IFERROR(IF(AND(ISNUMBER($I144),$I144&gt;0,COUNTIF(Esp_Nome,$E144)&gt;0,$I144&gt;3*INDEX(Esp_Dur,MATCH($E144,Esp_Nome,0))),"Duração atípica (&gt;3x a média) | ",""),""))</f>
        <v/>
      </c>
      <c r="P144" s="19">
        <f>IF(NOT(ISNUMBER($C144)),0,ROUND(MOD($C144-Turno_Ini,1)*1440,0))</f>
        <v/>
      </c>
      <c r="Q144" s="19">
        <f>IF($J144&lt;=0,0,$P144+$I144)</f>
        <v/>
      </c>
      <c r="R144" s="19">
        <f>IF($K144="","",$B144&amp;"#"&amp;$A144&amp;"#"&amp;$K144)</f>
        <v/>
      </c>
      <c r="S144" s="19">
        <f>ROW()</f>
        <v/>
      </c>
      <c r="T144" s="19">
        <f>IF($J144&lt;=0,0,MAX(0,MIN($P144+$I144+Limpeza_Min,Turno_Min,IFERROR(INDEX(Mapa_RelIni,MATCH($B144&amp;"#"&amp;$A144&amp;"#"&amp;($K144+1),Mapa_Chave,0)),Turno_Min))-MIN($P144,Turno_Min)))</f>
        <v/>
      </c>
    </row>
    <row r="145">
      <c r="A145" s="30" t="n"/>
      <c r="B145" s="31" t="n"/>
      <c r="C145" s="32" t="n"/>
      <c r="D145" s="32" t="n"/>
      <c r="E145" s="33" t="n"/>
      <c r="F145" s="33" t="n"/>
      <c r="G145" s="33" t="n"/>
      <c r="H145" s="31" t="n"/>
      <c r="I145" s="20">
        <f>IF(OR($B145="",NOT(ISNUMBER($C145)),NOT(ISNUMBER($D145))),"",ROUND(MOD($D145-$C145,1)*1440,0))</f>
        <v/>
      </c>
      <c r="J145" s="20">
        <f>IF(NOT(ISNUMBER($I145)),0,IF(OR($I145&lt;=0,$H145="Cancelada",$H145="Suspensa"),0,$I145+Limpeza_Min))</f>
        <v/>
      </c>
      <c r="K145" s="20">
        <f>IF($J145&lt;=0,"",SUMPRODUCT((Mapa_Sala=$B145)*(Mapa_Data=$A145)*(Mapa_MinOcup&gt;0)*((Mapa_RelIni&lt;$P145)+((Mapa_RelIni=$P145)*(Mapa_Row&lt;=$S145)))))</f>
        <v/>
      </c>
      <c r="L145" s="34">
        <f>IF($J145&lt;=0,"",MOD(Turno_Ini+($Q145+Limpeza_Min)/1440,1))</f>
        <v/>
      </c>
      <c r="M145" s="20">
        <f>IF($J145&lt;=0,"",MAX(0,IFERROR(INDEX(Mapa_RelIni,MATCH($B145&amp;"#"&amp;$A145&amp;"#"&amp;($K145+1),Mapa_Chave,0)),Turno_Min)-($Q145+Limpeza_Min)))</f>
        <v/>
      </c>
      <c r="N145" s="14">
        <f>IF($B145="","",IF($O145="","OK",LEFT($O145,LEN($O145)-3)))</f>
        <v/>
      </c>
      <c r="O145" s="35">
        <f>IF($B145="","",IF(COUNTIF(Postos_Cod,$B145)=0,"Sala não cadastrada | ","")&amp;IF(AND(COUNTIF(Postos_Cod,$B145)&gt;0,IFERROR(INDEX(Postos_Tipo,MATCH($B145,Postos_Cod,0)),"")&lt;&gt;"Sala cirúrgica"),"Posto não é sala cirúrgica | ","")&amp;IF(COUNTIF(Esp_Nome,$E145)=0,"Especialidade não cadastrada | ","")&amp;IF(COUNTIF(Lista_StatusCir,$H145)=0,"Status inválido | ","")&amp;IF(OR(NOT(ISNUMBER($C145)),NOT(ISNUMBER($D145))),"Horário inválido | ","")&amp;IFERROR(IF(AND(ISNUMBER($C145),ISNUMBER($D145),MOD($D145-$C145,1)*1440&lt;=0),"Duração nula ou negativa | ",""),"")&amp;IF(AND($J145&gt;0,OR($P145&gt;=Turno_Min,$Q145&gt;Turno_Min)),"Fora da janela do plantão | ","")&amp;IF(AND($J145&gt;0,SUMPRODUCT((Mapa_Sala=$B145)*(Mapa_Data=$A145)*(Mapa_MinOcup&gt;0)*(Mapa_RelIni&lt;$Q145)*(Mapa_RelFim&gt;$P145))&gt;1),"Sobreposição de horário na sala | ","")&amp;IFERROR(IF(AND(ISNUMBER($I145),$I145&gt;0,COUNTIF(Esp_Nome,$E145)&gt;0,$I145&gt;3*INDEX(Esp_Dur,MATCH($E145,Esp_Nome,0))),"Duração atípica (&gt;3x a média) | ",""),""))</f>
        <v/>
      </c>
      <c r="P145" s="19">
        <f>IF(NOT(ISNUMBER($C145)),0,ROUND(MOD($C145-Turno_Ini,1)*1440,0))</f>
        <v/>
      </c>
      <c r="Q145" s="19">
        <f>IF($J145&lt;=0,0,$P145+$I145)</f>
        <v/>
      </c>
      <c r="R145" s="19">
        <f>IF($K145="","",$B145&amp;"#"&amp;$A145&amp;"#"&amp;$K145)</f>
        <v/>
      </c>
      <c r="S145" s="19">
        <f>ROW()</f>
        <v/>
      </c>
      <c r="T145" s="19">
        <f>IF($J145&lt;=0,0,MAX(0,MIN($P145+$I145+Limpeza_Min,Turno_Min,IFERROR(INDEX(Mapa_RelIni,MATCH($B145&amp;"#"&amp;$A145&amp;"#"&amp;($K145+1),Mapa_Chave,0)),Turno_Min))-MIN($P145,Turno_Min)))</f>
        <v/>
      </c>
    </row>
    <row r="146">
      <c r="A146" s="30" t="n"/>
      <c r="B146" s="31" t="n"/>
      <c r="C146" s="32" t="n"/>
      <c r="D146" s="32" t="n"/>
      <c r="E146" s="33" t="n"/>
      <c r="F146" s="33" t="n"/>
      <c r="G146" s="33" t="n"/>
      <c r="H146" s="31" t="n"/>
      <c r="I146" s="20">
        <f>IF(OR($B146="",NOT(ISNUMBER($C146)),NOT(ISNUMBER($D146))),"",ROUND(MOD($D146-$C146,1)*1440,0))</f>
        <v/>
      </c>
      <c r="J146" s="20">
        <f>IF(NOT(ISNUMBER($I146)),0,IF(OR($I146&lt;=0,$H146="Cancelada",$H146="Suspensa"),0,$I146+Limpeza_Min))</f>
        <v/>
      </c>
      <c r="K146" s="20">
        <f>IF($J146&lt;=0,"",SUMPRODUCT((Mapa_Sala=$B146)*(Mapa_Data=$A146)*(Mapa_MinOcup&gt;0)*((Mapa_RelIni&lt;$P146)+((Mapa_RelIni=$P146)*(Mapa_Row&lt;=$S146)))))</f>
        <v/>
      </c>
      <c r="L146" s="34">
        <f>IF($J146&lt;=0,"",MOD(Turno_Ini+($Q146+Limpeza_Min)/1440,1))</f>
        <v/>
      </c>
      <c r="M146" s="20">
        <f>IF($J146&lt;=0,"",MAX(0,IFERROR(INDEX(Mapa_RelIni,MATCH($B146&amp;"#"&amp;$A146&amp;"#"&amp;($K146+1),Mapa_Chave,0)),Turno_Min)-($Q146+Limpeza_Min)))</f>
        <v/>
      </c>
      <c r="N146" s="14">
        <f>IF($B146="","",IF($O146="","OK",LEFT($O146,LEN($O146)-3)))</f>
        <v/>
      </c>
      <c r="O146" s="35">
        <f>IF($B146="","",IF(COUNTIF(Postos_Cod,$B146)=0,"Sala não cadastrada | ","")&amp;IF(AND(COUNTIF(Postos_Cod,$B146)&gt;0,IFERROR(INDEX(Postos_Tipo,MATCH($B146,Postos_Cod,0)),"")&lt;&gt;"Sala cirúrgica"),"Posto não é sala cirúrgica | ","")&amp;IF(COUNTIF(Esp_Nome,$E146)=0,"Especialidade não cadastrada | ","")&amp;IF(COUNTIF(Lista_StatusCir,$H146)=0,"Status inválido | ","")&amp;IF(OR(NOT(ISNUMBER($C146)),NOT(ISNUMBER($D146))),"Horário inválido | ","")&amp;IFERROR(IF(AND(ISNUMBER($C146),ISNUMBER($D146),MOD($D146-$C146,1)*1440&lt;=0),"Duração nula ou negativa | ",""),"")&amp;IF(AND($J146&gt;0,OR($P146&gt;=Turno_Min,$Q146&gt;Turno_Min)),"Fora da janela do plantão | ","")&amp;IF(AND($J146&gt;0,SUMPRODUCT((Mapa_Sala=$B146)*(Mapa_Data=$A146)*(Mapa_MinOcup&gt;0)*(Mapa_RelIni&lt;$Q146)*(Mapa_RelFim&gt;$P146))&gt;1),"Sobreposição de horário na sala | ","")&amp;IFERROR(IF(AND(ISNUMBER($I146),$I146&gt;0,COUNTIF(Esp_Nome,$E146)&gt;0,$I146&gt;3*INDEX(Esp_Dur,MATCH($E146,Esp_Nome,0))),"Duração atípica (&gt;3x a média) | ",""),""))</f>
        <v/>
      </c>
      <c r="P146" s="19">
        <f>IF(NOT(ISNUMBER($C146)),0,ROUND(MOD($C146-Turno_Ini,1)*1440,0))</f>
        <v/>
      </c>
      <c r="Q146" s="19">
        <f>IF($J146&lt;=0,0,$P146+$I146)</f>
        <v/>
      </c>
      <c r="R146" s="19">
        <f>IF($K146="","",$B146&amp;"#"&amp;$A146&amp;"#"&amp;$K146)</f>
        <v/>
      </c>
      <c r="S146" s="19">
        <f>ROW()</f>
        <v/>
      </c>
      <c r="T146" s="19">
        <f>IF($J146&lt;=0,0,MAX(0,MIN($P146+$I146+Limpeza_Min,Turno_Min,IFERROR(INDEX(Mapa_RelIni,MATCH($B146&amp;"#"&amp;$A146&amp;"#"&amp;($K146+1),Mapa_Chave,0)),Turno_Min))-MIN($P146,Turno_Min)))</f>
        <v/>
      </c>
    </row>
    <row r="147">
      <c r="A147" s="30" t="n"/>
      <c r="B147" s="31" t="n"/>
      <c r="C147" s="32" t="n"/>
      <c r="D147" s="32" t="n"/>
      <c r="E147" s="33" t="n"/>
      <c r="F147" s="33" t="n"/>
      <c r="G147" s="33" t="n"/>
      <c r="H147" s="31" t="n"/>
      <c r="I147" s="20">
        <f>IF(OR($B147="",NOT(ISNUMBER($C147)),NOT(ISNUMBER($D147))),"",ROUND(MOD($D147-$C147,1)*1440,0))</f>
        <v/>
      </c>
      <c r="J147" s="20">
        <f>IF(NOT(ISNUMBER($I147)),0,IF(OR($I147&lt;=0,$H147="Cancelada",$H147="Suspensa"),0,$I147+Limpeza_Min))</f>
        <v/>
      </c>
      <c r="K147" s="20">
        <f>IF($J147&lt;=0,"",SUMPRODUCT((Mapa_Sala=$B147)*(Mapa_Data=$A147)*(Mapa_MinOcup&gt;0)*((Mapa_RelIni&lt;$P147)+((Mapa_RelIni=$P147)*(Mapa_Row&lt;=$S147)))))</f>
        <v/>
      </c>
      <c r="L147" s="34">
        <f>IF($J147&lt;=0,"",MOD(Turno_Ini+($Q147+Limpeza_Min)/1440,1))</f>
        <v/>
      </c>
      <c r="M147" s="20">
        <f>IF($J147&lt;=0,"",MAX(0,IFERROR(INDEX(Mapa_RelIni,MATCH($B147&amp;"#"&amp;$A147&amp;"#"&amp;($K147+1),Mapa_Chave,0)),Turno_Min)-($Q147+Limpeza_Min)))</f>
        <v/>
      </c>
      <c r="N147" s="14">
        <f>IF($B147="","",IF($O147="","OK",LEFT($O147,LEN($O147)-3)))</f>
        <v/>
      </c>
      <c r="O147" s="35">
        <f>IF($B147="","",IF(COUNTIF(Postos_Cod,$B147)=0,"Sala não cadastrada | ","")&amp;IF(AND(COUNTIF(Postos_Cod,$B147)&gt;0,IFERROR(INDEX(Postos_Tipo,MATCH($B147,Postos_Cod,0)),"")&lt;&gt;"Sala cirúrgica"),"Posto não é sala cirúrgica | ","")&amp;IF(COUNTIF(Esp_Nome,$E147)=0,"Especialidade não cadastrada | ","")&amp;IF(COUNTIF(Lista_StatusCir,$H147)=0,"Status inválido | ","")&amp;IF(OR(NOT(ISNUMBER($C147)),NOT(ISNUMBER($D147))),"Horário inválido | ","")&amp;IFERROR(IF(AND(ISNUMBER($C147),ISNUMBER($D147),MOD($D147-$C147,1)*1440&lt;=0),"Duração nula ou negativa | ",""),"")&amp;IF(AND($J147&gt;0,OR($P147&gt;=Turno_Min,$Q147&gt;Turno_Min)),"Fora da janela do plantão | ","")&amp;IF(AND($J147&gt;0,SUMPRODUCT((Mapa_Sala=$B147)*(Mapa_Data=$A147)*(Mapa_MinOcup&gt;0)*(Mapa_RelIni&lt;$Q147)*(Mapa_RelFim&gt;$P147))&gt;1),"Sobreposição de horário na sala | ","")&amp;IFERROR(IF(AND(ISNUMBER($I147),$I147&gt;0,COUNTIF(Esp_Nome,$E147)&gt;0,$I147&gt;3*INDEX(Esp_Dur,MATCH($E147,Esp_Nome,0))),"Duração atípica (&gt;3x a média) | ",""),""))</f>
        <v/>
      </c>
      <c r="P147" s="19">
        <f>IF(NOT(ISNUMBER($C147)),0,ROUND(MOD($C147-Turno_Ini,1)*1440,0))</f>
        <v/>
      </c>
      <c r="Q147" s="19">
        <f>IF($J147&lt;=0,0,$P147+$I147)</f>
        <v/>
      </c>
      <c r="R147" s="19">
        <f>IF($K147="","",$B147&amp;"#"&amp;$A147&amp;"#"&amp;$K147)</f>
        <v/>
      </c>
      <c r="S147" s="19">
        <f>ROW()</f>
        <v/>
      </c>
      <c r="T147" s="19">
        <f>IF($J147&lt;=0,0,MAX(0,MIN($P147+$I147+Limpeza_Min,Turno_Min,IFERROR(INDEX(Mapa_RelIni,MATCH($B147&amp;"#"&amp;$A147&amp;"#"&amp;($K147+1),Mapa_Chave,0)),Turno_Min))-MIN($P147,Turno_Min)))</f>
        <v/>
      </c>
    </row>
    <row r="148">
      <c r="A148" s="30" t="n"/>
      <c r="B148" s="31" t="n"/>
      <c r="C148" s="32" t="n"/>
      <c r="D148" s="32" t="n"/>
      <c r="E148" s="33" t="n"/>
      <c r="F148" s="33" t="n"/>
      <c r="G148" s="33" t="n"/>
      <c r="H148" s="31" t="n"/>
      <c r="I148" s="20">
        <f>IF(OR($B148="",NOT(ISNUMBER($C148)),NOT(ISNUMBER($D148))),"",ROUND(MOD($D148-$C148,1)*1440,0))</f>
        <v/>
      </c>
      <c r="J148" s="20">
        <f>IF(NOT(ISNUMBER($I148)),0,IF(OR($I148&lt;=0,$H148="Cancelada",$H148="Suspensa"),0,$I148+Limpeza_Min))</f>
        <v/>
      </c>
      <c r="K148" s="20">
        <f>IF($J148&lt;=0,"",SUMPRODUCT((Mapa_Sala=$B148)*(Mapa_Data=$A148)*(Mapa_MinOcup&gt;0)*((Mapa_RelIni&lt;$P148)+((Mapa_RelIni=$P148)*(Mapa_Row&lt;=$S148)))))</f>
        <v/>
      </c>
      <c r="L148" s="34">
        <f>IF($J148&lt;=0,"",MOD(Turno_Ini+($Q148+Limpeza_Min)/1440,1))</f>
        <v/>
      </c>
      <c r="M148" s="20">
        <f>IF($J148&lt;=0,"",MAX(0,IFERROR(INDEX(Mapa_RelIni,MATCH($B148&amp;"#"&amp;$A148&amp;"#"&amp;($K148+1),Mapa_Chave,0)),Turno_Min)-($Q148+Limpeza_Min)))</f>
        <v/>
      </c>
      <c r="N148" s="14">
        <f>IF($B148="","",IF($O148="","OK",LEFT($O148,LEN($O148)-3)))</f>
        <v/>
      </c>
      <c r="O148" s="35">
        <f>IF($B148="","",IF(COUNTIF(Postos_Cod,$B148)=0,"Sala não cadastrada | ","")&amp;IF(AND(COUNTIF(Postos_Cod,$B148)&gt;0,IFERROR(INDEX(Postos_Tipo,MATCH($B148,Postos_Cod,0)),"")&lt;&gt;"Sala cirúrgica"),"Posto não é sala cirúrgica | ","")&amp;IF(COUNTIF(Esp_Nome,$E148)=0,"Especialidade não cadastrada | ","")&amp;IF(COUNTIF(Lista_StatusCir,$H148)=0,"Status inválido | ","")&amp;IF(OR(NOT(ISNUMBER($C148)),NOT(ISNUMBER($D148))),"Horário inválido | ","")&amp;IFERROR(IF(AND(ISNUMBER($C148),ISNUMBER($D148),MOD($D148-$C148,1)*1440&lt;=0),"Duração nula ou negativa | ",""),"")&amp;IF(AND($J148&gt;0,OR($P148&gt;=Turno_Min,$Q148&gt;Turno_Min)),"Fora da janela do plantão | ","")&amp;IF(AND($J148&gt;0,SUMPRODUCT((Mapa_Sala=$B148)*(Mapa_Data=$A148)*(Mapa_MinOcup&gt;0)*(Mapa_RelIni&lt;$Q148)*(Mapa_RelFim&gt;$P148))&gt;1),"Sobreposição de horário na sala | ","")&amp;IFERROR(IF(AND(ISNUMBER($I148),$I148&gt;0,COUNTIF(Esp_Nome,$E148)&gt;0,$I148&gt;3*INDEX(Esp_Dur,MATCH($E148,Esp_Nome,0))),"Duração atípica (&gt;3x a média) | ",""),""))</f>
        <v/>
      </c>
      <c r="P148" s="19">
        <f>IF(NOT(ISNUMBER($C148)),0,ROUND(MOD($C148-Turno_Ini,1)*1440,0))</f>
        <v/>
      </c>
      <c r="Q148" s="19">
        <f>IF($J148&lt;=0,0,$P148+$I148)</f>
        <v/>
      </c>
      <c r="R148" s="19">
        <f>IF($K148="","",$B148&amp;"#"&amp;$A148&amp;"#"&amp;$K148)</f>
        <v/>
      </c>
      <c r="S148" s="19">
        <f>ROW()</f>
        <v/>
      </c>
      <c r="T148" s="19">
        <f>IF($J148&lt;=0,0,MAX(0,MIN($P148+$I148+Limpeza_Min,Turno_Min,IFERROR(INDEX(Mapa_RelIni,MATCH($B148&amp;"#"&amp;$A148&amp;"#"&amp;($K148+1),Mapa_Chave,0)),Turno_Min))-MIN($P148,Turno_Min)))</f>
        <v/>
      </c>
    </row>
    <row r="149">
      <c r="A149" s="30" t="n"/>
      <c r="B149" s="31" t="n"/>
      <c r="C149" s="32" t="n"/>
      <c r="D149" s="32" t="n"/>
      <c r="E149" s="33" t="n"/>
      <c r="F149" s="33" t="n"/>
      <c r="G149" s="33" t="n"/>
      <c r="H149" s="31" t="n"/>
      <c r="I149" s="20">
        <f>IF(OR($B149="",NOT(ISNUMBER($C149)),NOT(ISNUMBER($D149))),"",ROUND(MOD($D149-$C149,1)*1440,0))</f>
        <v/>
      </c>
      <c r="J149" s="20">
        <f>IF(NOT(ISNUMBER($I149)),0,IF(OR($I149&lt;=0,$H149="Cancelada",$H149="Suspensa"),0,$I149+Limpeza_Min))</f>
        <v/>
      </c>
      <c r="K149" s="20">
        <f>IF($J149&lt;=0,"",SUMPRODUCT((Mapa_Sala=$B149)*(Mapa_Data=$A149)*(Mapa_MinOcup&gt;0)*((Mapa_RelIni&lt;$P149)+((Mapa_RelIni=$P149)*(Mapa_Row&lt;=$S149)))))</f>
        <v/>
      </c>
      <c r="L149" s="34">
        <f>IF($J149&lt;=0,"",MOD(Turno_Ini+($Q149+Limpeza_Min)/1440,1))</f>
        <v/>
      </c>
      <c r="M149" s="20">
        <f>IF($J149&lt;=0,"",MAX(0,IFERROR(INDEX(Mapa_RelIni,MATCH($B149&amp;"#"&amp;$A149&amp;"#"&amp;($K149+1),Mapa_Chave,0)),Turno_Min)-($Q149+Limpeza_Min)))</f>
        <v/>
      </c>
      <c r="N149" s="14">
        <f>IF($B149="","",IF($O149="","OK",LEFT($O149,LEN($O149)-3)))</f>
        <v/>
      </c>
      <c r="O149" s="35">
        <f>IF($B149="","",IF(COUNTIF(Postos_Cod,$B149)=0,"Sala não cadastrada | ","")&amp;IF(AND(COUNTIF(Postos_Cod,$B149)&gt;0,IFERROR(INDEX(Postos_Tipo,MATCH($B149,Postos_Cod,0)),"")&lt;&gt;"Sala cirúrgica"),"Posto não é sala cirúrgica | ","")&amp;IF(COUNTIF(Esp_Nome,$E149)=0,"Especialidade não cadastrada | ","")&amp;IF(COUNTIF(Lista_StatusCir,$H149)=0,"Status inválido | ","")&amp;IF(OR(NOT(ISNUMBER($C149)),NOT(ISNUMBER($D149))),"Horário inválido | ","")&amp;IFERROR(IF(AND(ISNUMBER($C149),ISNUMBER($D149),MOD($D149-$C149,1)*1440&lt;=0),"Duração nula ou negativa | ",""),"")&amp;IF(AND($J149&gt;0,OR($P149&gt;=Turno_Min,$Q149&gt;Turno_Min)),"Fora da janela do plantão | ","")&amp;IF(AND($J149&gt;0,SUMPRODUCT((Mapa_Sala=$B149)*(Mapa_Data=$A149)*(Mapa_MinOcup&gt;0)*(Mapa_RelIni&lt;$Q149)*(Mapa_RelFim&gt;$P149))&gt;1),"Sobreposição de horário na sala | ","")&amp;IFERROR(IF(AND(ISNUMBER($I149),$I149&gt;0,COUNTIF(Esp_Nome,$E149)&gt;0,$I149&gt;3*INDEX(Esp_Dur,MATCH($E149,Esp_Nome,0))),"Duração atípica (&gt;3x a média) | ",""),""))</f>
        <v/>
      </c>
      <c r="P149" s="19">
        <f>IF(NOT(ISNUMBER($C149)),0,ROUND(MOD($C149-Turno_Ini,1)*1440,0))</f>
        <v/>
      </c>
      <c r="Q149" s="19">
        <f>IF($J149&lt;=0,0,$P149+$I149)</f>
        <v/>
      </c>
      <c r="R149" s="19">
        <f>IF($K149="","",$B149&amp;"#"&amp;$A149&amp;"#"&amp;$K149)</f>
        <v/>
      </c>
      <c r="S149" s="19">
        <f>ROW()</f>
        <v/>
      </c>
      <c r="T149" s="19">
        <f>IF($J149&lt;=0,0,MAX(0,MIN($P149+$I149+Limpeza_Min,Turno_Min,IFERROR(INDEX(Mapa_RelIni,MATCH($B149&amp;"#"&amp;$A149&amp;"#"&amp;($K149+1),Mapa_Chave,0)),Turno_Min))-MIN($P149,Turno_Min)))</f>
        <v/>
      </c>
    </row>
    <row r="150">
      <c r="A150" s="30" t="n"/>
      <c r="B150" s="31" t="n"/>
      <c r="C150" s="32" t="n"/>
      <c r="D150" s="32" t="n"/>
      <c r="E150" s="33" t="n"/>
      <c r="F150" s="33" t="n"/>
      <c r="G150" s="33" t="n"/>
      <c r="H150" s="31" t="n"/>
      <c r="I150" s="20">
        <f>IF(OR($B150="",NOT(ISNUMBER($C150)),NOT(ISNUMBER($D150))),"",ROUND(MOD($D150-$C150,1)*1440,0))</f>
        <v/>
      </c>
      <c r="J150" s="20">
        <f>IF(NOT(ISNUMBER($I150)),0,IF(OR($I150&lt;=0,$H150="Cancelada",$H150="Suspensa"),0,$I150+Limpeza_Min))</f>
        <v/>
      </c>
      <c r="K150" s="20">
        <f>IF($J150&lt;=0,"",SUMPRODUCT((Mapa_Sala=$B150)*(Mapa_Data=$A150)*(Mapa_MinOcup&gt;0)*((Mapa_RelIni&lt;$P150)+((Mapa_RelIni=$P150)*(Mapa_Row&lt;=$S150)))))</f>
        <v/>
      </c>
      <c r="L150" s="34">
        <f>IF($J150&lt;=0,"",MOD(Turno_Ini+($Q150+Limpeza_Min)/1440,1))</f>
        <v/>
      </c>
      <c r="M150" s="20">
        <f>IF($J150&lt;=0,"",MAX(0,IFERROR(INDEX(Mapa_RelIni,MATCH($B150&amp;"#"&amp;$A150&amp;"#"&amp;($K150+1),Mapa_Chave,0)),Turno_Min)-($Q150+Limpeza_Min)))</f>
        <v/>
      </c>
      <c r="N150" s="14">
        <f>IF($B150="","",IF($O150="","OK",LEFT($O150,LEN($O150)-3)))</f>
        <v/>
      </c>
      <c r="O150" s="35">
        <f>IF($B150="","",IF(COUNTIF(Postos_Cod,$B150)=0,"Sala não cadastrada | ","")&amp;IF(AND(COUNTIF(Postos_Cod,$B150)&gt;0,IFERROR(INDEX(Postos_Tipo,MATCH($B150,Postos_Cod,0)),"")&lt;&gt;"Sala cirúrgica"),"Posto não é sala cirúrgica | ","")&amp;IF(COUNTIF(Esp_Nome,$E150)=0,"Especialidade não cadastrada | ","")&amp;IF(COUNTIF(Lista_StatusCir,$H150)=0,"Status inválido | ","")&amp;IF(OR(NOT(ISNUMBER($C150)),NOT(ISNUMBER($D150))),"Horário inválido | ","")&amp;IFERROR(IF(AND(ISNUMBER($C150),ISNUMBER($D150),MOD($D150-$C150,1)*1440&lt;=0),"Duração nula ou negativa | ",""),"")&amp;IF(AND($J150&gt;0,OR($P150&gt;=Turno_Min,$Q150&gt;Turno_Min)),"Fora da janela do plantão | ","")&amp;IF(AND($J150&gt;0,SUMPRODUCT((Mapa_Sala=$B150)*(Mapa_Data=$A150)*(Mapa_MinOcup&gt;0)*(Mapa_RelIni&lt;$Q150)*(Mapa_RelFim&gt;$P150))&gt;1),"Sobreposição de horário na sala | ","")&amp;IFERROR(IF(AND(ISNUMBER($I150),$I150&gt;0,COUNTIF(Esp_Nome,$E150)&gt;0,$I150&gt;3*INDEX(Esp_Dur,MATCH($E150,Esp_Nome,0))),"Duração atípica (&gt;3x a média) | ",""),""))</f>
        <v/>
      </c>
      <c r="P150" s="19">
        <f>IF(NOT(ISNUMBER($C150)),0,ROUND(MOD($C150-Turno_Ini,1)*1440,0))</f>
        <v/>
      </c>
      <c r="Q150" s="19">
        <f>IF($J150&lt;=0,0,$P150+$I150)</f>
        <v/>
      </c>
      <c r="R150" s="19">
        <f>IF($K150="","",$B150&amp;"#"&amp;$A150&amp;"#"&amp;$K150)</f>
        <v/>
      </c>
      <c r="S150" s="19">
        <f>ROW()</f>
        <v/>
      </c>
      <c r="T150" s="19">
        <f>IF($J150&lt;=0,0,MAX(0,MIN($P150+$I150+Limpeza_Min,Turno_Min,IFERROR(INDEX(Mapa_RelIni,MATCH($B150&amp;"#"&amp;$A150&amp;"#"&amp;($K150+1),Mapa_Chave,0)),Turno_Min))-MIN($P150,Turno_Min)))</f>
        <v/>
      </c>
    </row>
    <row r="151">
      <c r="A151" s="30" t="n"/>
      <c r="B151" s="31" t="n"/>
      <c r="C151" s="32" t="n"/>
      <c r="D151" s="32" t="n"/>
      <c r="E151" s="33" t="n"/>
      <c r="F151" s="33" t="n"/>
      <c r="G151" s="33" t="n"/>
      <c r="H151" s="31" t="n"/>
      <c r="I151" s="20">
        <f>IF(OR($B151="",NOT(ISNUMBER($C151)),NOT(ISNUMBER($D151))),"",ROUND(MOD($D151-$C151,1)*1440,0))</f>
        <v/>
      </c>
      <c r="J151" s="20">
        <f>IF(NOT(ISNUMBER($I151)),0,IF(OR($I151&lt;=0,$H151="Cancelada",$H151="Suspensa"),0,$I151+Limpeza_Min))</f>
        <v/>
      </c>
      <c r="K151" s="20">
        <f>IF($J151&lt;=0,"",SUMPRODUCT((Mapa_Sala=$B151)*(Mapa_Data=$A151)*(Mapa_MinOcup&gt;0)*((Mapa_RelIni&lt;$P151)+((Mapa_RelIni=$P151)*(Mapa_Row&lt;=$S151)))))</f>
        <v/>
      </c>
      <c r="L151" s="34">
        <f>IF($J151&lt;=0,"",MOD(Turno_Ini+($Q151+Limpeza_Min)/1440,1))</f>
        <v/>
      </c>
      <c r="M151" s="20">
        <f>IF($J151&lt;=0,"",MAX(0,IFERROR(INDEX(Mapa_RelIni,MATCH($B151&amp;"#"&amp;$A151&amp;"#"&amp;($K151+1),Mapa_Chave,0)),Turno_Min)-($Q151+Limpeza_Min)))</f>
        <v/>
      </c>
      <c r="N151" s="14">
        <f>IF($B151="","",IF($O151="","OK",LEFT($O151,LEN($O151)-3)))</f>
        <v/>
      </c>
      <c r="O151" s="35">
        <f>IF($B151="","",IF(COUNTIF(Postos_Cod,$B151)=0,"Sala não cadastrada | ","")&amp;IF(AND(COUNTIF(Postos_Cod,$B151)&gt;0,IFERROR(INDEX(Postos_Tipo,MATCH($B151,Postos_Cod,0)),"")&lt;&gt;"Sala cirúrgica"),"Posto não é sala cirúrgica | ","")&amp;IF(COUNTIF(Esp_Nome,$E151)=0,"Especialidade não cadastrada | ","")&amp;IF(COUNTIF(Lista_StatusCir,$H151)=0,"Status inválido | ","")&amp;IF(OR(NOT(ISNUMBER($C151)),NOT(ISNUMBER($D151))),"Horário inválido | ","")&amp;IFERROR(IF(AND(ISNUMBER($C151),ISNUMBER($D151),MOD($D151-$C151,1)*1440&lt;=0),"Duração nula ou negativa | ",""),"")&amp;IF(AND($J151&gt;0,OR($P151&gt;=Turno_Min,$Q151&gt;Turno_Min)),"Fora da janela do plantão | ","")&amp;IF(AND($J151&gt;0,SUMPRODUCT((Mapa_Sala=$B151)*(Mapa_Data=$A151)*(Mapa_MinOcup&gt;0)*(Mapa_RelIni&lt;$Q151)*(Mapa_RelFim&gt;$P151))&gt;1),"Sobreposição de horário na sala | ","")&amp;IFERROR(IF(AND(ISNUMBER($I151),$I151&gt;0,COUNTIF(Esp_Nome,$E151)&gt;0,$I151&gt;3*INDEX(Esp_Dur,MATCH($E151,Esp_Nome,0))),"Duração atípica (&gt;3x a média) | ",""),""))</f>
        <v/>
      </c>
      <c r="P151" s="19">
        <f>IF(NOT(ISNUMBER($C151)),0,ROUND(MOD($C151-Turno_Ini,1)*1440,0))</f>
        <v/>
      </c>
      <c r="Q151" s="19">
        <f>IF($J151&lt;=0,0,$P151+$I151)</f>
        <v/>
      </c>
      <c r="R151" s="19">
        <f>IF($K151="","",$B151&amp;"#"&amp;$A151&amp;"#"&amp;$K151)</f>
        <v/>
      </c>
      <c r="S151" s="19">
        <f>ROW()</f>
        <v/>
      </c>
      <c r="T151" s="19">
        <f>IF($J151&lt;=0,0,MAX(0,MIN($P151+$I151+Limpeza_Min,Turno_Min,IFERROR(INDEX(Mapa_RelIni,MATCH($B151&amp;"#"&amp;$A151&amp;"#"&amp;($K151+1),Mapa_Chave,0)),Turno_Min))-MIN($P151,Turno_Min)))</f>
        <v/>
      </c>
    </row>
    <row r="152">
      <c r="A152" s="30" t="n"/>
      <c r="B152" s="31" t="n"/>
      <c r="C152" s="32" t="n"/>
      <c r="D152" s="32" t="n"/>
      <c r="E152" s="33" t="n"/>
      <c r="F152" s="33" t="n"/>
      <c r="G152" s="33" t="n"/>
      <c r="H152" s="31" t="n"/>
      <c r="I152" s="20">
        <f>IF(OR($B152="",NOT(ISNUMBER($C152)),NOT(ISNUMBER($D152))),"",ROUND(MOD($D152-$C152,1)*1440,0))</f>
        <v/>
      </c>
      <c r="J152" s="20">
        <f>IF(NOT(ISNUMBER($I152)),0,IF(OR($I152&lt;=0,$H152="Cancelada",$H152="Suspensa"),0,$I152+Limpeza_Min))</f>
        <v/>
      </c>
      <c r="K152" s="20">
        <f>IF($J152&lt;=0,"",SUMPRODUCT((Mapa_Sala=$B152)*(Mapa_Data=$A152)*(Mapa_MinOcup&gt;0)*((Mapa_RelIni&lt;$P152)+((Mapa_RelIni=$P152)*(Mapa_Row&lt;=$S152)))))</f>
        <v/>
      </c>
      <c r="L152" s="34">
        <f>IF($J152&lt;=0,"",MOD(Turno_Ini+($Q152+Limpeza_Min)/1440,1))</f>
        <v/>
      </c>
      <c r="M152" s="20">
        <f>IF($J152&lt;=0,"",MAX(0,IFERROR(INDEX(Mapa_RelIni,MATCH($B152&amp;"#"&amp;$A152&amp;"#"&amp;($K152+1),Mapa_Chave,0)),Turno_Min)-($Q152+Limpeza_Min)))</f>
        <v/>
      </c>
      <c r="N152" s="14">
        <f>IF($B152="","",IF($O152="","OK",LEFT($O152,LEN($O152)-3)))</f>
        <v/>
      </c>
      <c r="O152" s="35">
        <f>IF($B152="","",IF(COUNTIF(Postos_Cod,$B152)=0,"Sala não cadastrada | ","")&amp;IF(AND(COUNTIF(Postos_Cod,$B152)&gt;0,IFERROR(INDEX(Postos_Tipo,MATCH($B152,Postos_Cod,0)),"")&lt;&gt;"Sala cirúrgica"),"Posto não é sala cirúrgica | ","")&amp;IF(COUNTIF(Esp_Nome,$E152)=0,"Especialidade não cadastrada | ","")&amp;IF(COUNTIF(Lista_StatusCir,$H152)=0,"Status inválido | ","")&amp;IF(OR(NOT(ISNUMBER($C152)),NOT(ISNUMBER($D152))),"Horário inválido | ","")&amp;IFERROR(IF(AND(ISNUMBER($C152),ISNUMBER($D152),MOD($D152-$C152,1)*1440&lt;=0),"Duração nula ou negativa | ",""),"")&amp;IF(AND($J152&gt;0,OR($P152&gt;=Turno_Min,$Q152&gt;Turno_Min)),"Fora da janela do plantão | ","")&amp;IF(AND($J152&gt;0,SUMPRODUCT((Mapa_Sala=$B152)*(Mapa_Data=$A152)*(Mapa_MinOcup&gt;0)*(Mapa_RelIni&lt;$Q152)*(Mapa_RelFim&gt;$P152))&gt;1),"Sobreposição de horário na sala | ","")&amp;IFERROR(IF(AND(ISNUMBER($I152),$I152&gt;0,COUNTIF(Esp_Nome,$E152)&gt;0,$I152&gt;3*INDEX(Esp_Dur,MATCH($E152,Esp_Nome,0))),"Duração atípica (&gt;3x a média) | ",""),""))</f>
        <v/>
      </c>
      <c r="P152" s="19">
        <f>IF(NOT(ISNUMBER($C152)),0,ROUND(MOD($C152-Turno_Ini,1)*1440,0))</f>
        <v/>
      </c>
      <c r="Q152" s="19">
        <f>IF($J152&lt;=0,0,$P152+$I152)</f>
        <v/>
      </c>
      <c r="R152" s="19">
        <f>IF($K152="","",$B152&amp;"#"&amp;$A152&amp;"#"&amp;$K152)</f>
        <v/>
      </c>
      <c r="S152" s="19">
        <f>ROW()</f>
        <v/>
      </c>
      <c r="T152" s="19">
        <f>IF($J152&lt;=0,0,MAX(0,MIN($P152+$I152+Limpeza_Min,Turno_Min,IFERROR(INDEX(Mapa_RelIni,MATCH($B152&amp;"#"&amp;$A152&amp;"#"&amp;($K152+1),Mapa_Chave,0)),Turno_Min))-MIN($P152,Turno_Min)))</f>
        <v/>
      </c>
    </row>
    <row r="153">
      <c r="A153" s="30" t="n"/>
      <c r="B153" s="31" t="n"/>
      <c r="C153" s="32" t="n"/>
      <c r="D153" s="32" t="n"/>
      <c r="E153" s="33" t="n"/>
      <c r="F153" s="33" t="n"/>
      <c r="G153" s="33" t="n"/>
      <c r="H153" s="31" t="n"/>
      <c r="I153" s="20">
        <f>IF(OR($B153="",NOT(ISNUMBER($C153)),NOT(ISNUMBER($D153))),"",ROUND(MOD($D153-$C153,1)*1440,0))</f>
        <v/>
      </c>
      <c r="J153" s="20">
        <f>IF(NOT(ISNUMBER($I153)),0,IF(OR($I153&lt;=0,$H153="Cancelada",$H153="Suspensa"),0,$I153+Limpeza_Min))</f>
        <v/>
      </c>
      <c r="K153" s="20">
        <f>IF($J153&lt;=0,"",SUMPRODUCT((Mapa_Sala=$B153)*(Mapa_Data=$A153)*(Mapa_MinOcup&gt;0)*((Mapa_RelIni&lt;$P153)+((Mapa_RelIni=$P153)*(Mapa_Row&lt;=$S153)))))</f>
        <v/>
      </c>
      <c r="L153" s="34">
        <f>IF($J153&lt;=0,"",MOD(Turno_Ini+($Q153+Limpeza_Min)/1440,1))</f>
        <v/>
      </c>
      <c r="M153" s="20">
        <f>IF($J153&lt;=0,"",MAX(0,IFERROR(INDEX(Mapa_RelIni,MATCH($B153&amp;"#"&amp;$A153&amp;"#"&amp;($K153+1),Mapa_Chave,0)),Turno_Min)-($Q153+Limpeza_Min)))</f>
        <v/>
      </c>
      <c r="N153" s="14">
        <f>IF($B153="","",IF($O153="","OK",LEFT($O153,LEN($O153)-3)))</f>
        <v/>
      </c>
      <c r="O153" s="35">
        <f>IF($B153="","",IF(COUNTIF(Postos_Cod,$B153)=0,"Sala não cadastrada | ","")&amp;IF(AND(COUNTIF(Postos_Cod,$B153)&gt;0,IFERROR(INDEX(Postos_Tipo,MATCH($B153,Postos_Cod,0)),"")&lt;&gt;"Sala cirúrgica"),"Posto não é sala cirúrgica | ","")&amp;IF(COUNTIF(Esp_Nome,$E153)=0,"Especialidade não cadastrada | ","")&amp;IF(COUNTIF(Lista_StatusCir,$H153)=0,"Status inválido | ","")&amp;IF(OR(NOT(ISNUMBER($C153)),NOT(ISNUMBER($D153))),"Horário inválido | ","")&amp;IFERROR(IF(AND(ISNUMBER($C153),ISNUMBER($D153),MOD($D153-$C153,1)*1440&lt;=0),"Duração nula ou negativa | ",""),"")&amp;IF(AND($J153&gt;0,OR($P153&gt;=Turno_Min,$Q153&gt;Turno_Min)),"Fora da janela do plantão | ","")&amp;IF(AND($J153&gt;0,SUMPRODUCT((Mapa_Sala=$B153)*(Mapa_Data=$A153)*(Mapa_MinOcup&gt;0)*(Mapa_RelIni&lt;$Q153)*(Mapa_RelFim&gt;$P153))&gt;1),"Sobreposição de horário na sala | ","")&amp;IFERROR(IF(AND(ISNUMBER($I153),$I153&gt;0,COUNTIF(Esp_Nome,$E153)&gt;0,$I153&gt;3*INDEX(Esp_Dur,MATCH($E153,Esp_Nome,0))),"Duração atípica (&gt;3x a média) | ",""),""))</f>
        <v/>
      </c>
      <c r="P153" s="19">
        <f>IF(NOT(ISNUMBER($C153)),0,ROUND(MOD($C153-Turno_Ini,1)*1440,0))</f>
        <v/>
      </c>
      <c r="Q153" s="19">
        <f>IF($J153&lt;=0,0,$P153+$I153)</f>
        <v/>
      </c>
      <c r="R153" s="19">
        <f>IF($K153="","",$B153&amp;"#"&amp;$A153&amp;"#"&amp;$K153)</f>
        <v/>
      </c>
      <c r="S153" s="19">
        <f>ROW()</f>
        <v/>
      </c>
      <c r="T153" s="19">
        <f>IF($J153&lt;=0,0,MAX(0,MIN($P153+$I153+Limpeza_Min,Turno_Min,IFERROR(INDEX(Mapa_RelIni,MATCH($B153&amp;"#"&amp;$A153&amp;"#"&amp;($K153+1),Mapa_Chave,0)),Turno_Min))-MIN($P153,Turno_Min)))</f>
        <v/>
      </c>
    </row>
    <row r="154">
      <c r="A154" s="30" t="n"/>
      <c r="B154" s="31" t="n"/>
      <c r="C154" s="32" t="n"/>
      <c r="D154" s="32" t="n"/>
      <c r="E154" s="33" t="n"/>
      <c r="F154" s="33" t="n"/>
      <c r="G154" s="33" t="n"/>
      <c r="H154" s="31" t="n"/>
      <c r="I154" s="20">
        <f>IF(OR($B154="",NOT(ISNUMBER($C154)),NOT(ISNUMBER($D154))),"",ROUND(MOD($D154-$C154,1)*1440,0))</f>
        <v/>
      </c>
      <c r="J154" s="20">
        <f>IF(NOT(ISNUMBER($I154)),0,IF(OR($I154&lt;=0,$H154="Cancelada",$H154="Suspensa"),0,$I154+Limpeza_Min))</f>
        <v/>
      </c>
      <c r="K154" s="20">
        <f>IF($J154&lt;=0,"",SUMPRODUCT((Mapa_Sala=$B154)*(Mapa_Data=$A154)*(Mapa_MinOcup&gt;0)*((Mapa_RelIni&lt;$P154)+((Mapa_RelIni=$P154)*(Mapa_Row&lt;=$S154)))))</f>
        <v/>
      </c>
      <c r="L154" s="34">
        <f>IF($J154&lt;=0,"",MOD(Turno_Ini+($Q154+Limpeza_Min)/1440,1))</f>
        <v/>
      </c>
      <c r="M154" s="20">
        <f>IF($J154&lt;=0,"",MAX(0,IFERROR(INDEX(Mapa_RelIni,MATCH($B154&amp;"#"&amp;$A154&amp;"#"&amp;($K154+1),Mapa_Chave,0)),Turno_Min)-($Q154+Limpeza_Min)))</f>
        <v/>
      </c>
      <c r="N154" s="14">
        <f>IF($B154="","",IF($O154="","OK",LEFT($O154,LEN($O154)-3)))</f>
        <v/>
      </c>
      <c r="O154" s="35">
        <f>IF($B154="","",IF(COUNTIF(Postos_Cod,$B154)=0,"Sala não cadastrada | ","")&amp;IF(AND(COUNTIF(Postos_Cod,$B154)&gt;0,IFERROR(INDEX(Postos_Tipo,MATCH($B154,Postos_Cod,0)),"")&lt;&gt;"Sala cirúrgica"),"Posto não é sala cirúrgica | ","")&amp;IF(COUNTIF(Esp_Nome,$E154)=0,"Especialidade não cadastrada | ","")&amp;IF(COUNTIF(Lista_StatusCir,$H154)=0,"Status inválido | ","")&amp;IF(OR(NOT(ISNUMBER($C154)),NOT(ISNUMBER($D154))),"Horário inválido | ","")&amp;IFERROR(IF(AND(ISNUMBER($C154),ISNUMBER($D154),MOD($D154-$C154,1)*1440&lt;=0),"Duração nula ou negativa | ",""),"")&amp;IF(AND($J154&gt;0,OR($P154&gt;=Turno_Min,$Q154&gt;Turno_Min)),"Fora da janela do plantão | ","")&amp;IF(AND($J154&gt;0,SUMPRODUCT((Mapa_Sala=$B154)*(Mapa_Data=$A154)*(Mapa_MinOcup&gt;0)*(Mapa_RelIni&lt;$Q154)*(Mapa_RelFim&gt;$P154))&gt;1),"Sobreposição de horário na sala | ","")&amp;IFERROR(IF(AND(ISNUMBER($I154),$I154&gt;0,COUNTIF(Esp_Nome,$E154)&gt;0,$I154&gt;3*INDEX(Esp_Dur,MATCH($E154,Esp_Nome,0))),"Duração atípica (&gt;3x a média) | ",""),""))</f>
        <v/>
      </c>
      <c r="P154" s="19">
        <f>IF(NOT(ISNUMBER($C154)),0,ROUND(MOD($C154-Turno_Ini,1)*1440,0))</f>
        <v/>
      </c>
      <c r="Q154" s="19">
        <f>IF($J154&lt;=0,0,$P154+$I154)</f>
        <v/>
      </c>
      <c r="R154" s="19">
        <f>IF($K154="","",$B154&amp;"#"&amp;$A154&amp;"#"&amp;$K154)</f>
        <v/>
      </c>
      <c r="S154" s="19">
        <f>ROW()</f>
        <v/>
      </c>
      <c r="T154" s="19">
        <f>IF($J154&lt;=0,0,MAX(0,MIN($P154+$I154+Limpeza_Min,Turno_Min,IFERROR(INDEX(Mapa_RelIni,MATCH($B154&amp;"#"&amp;$A154&amp;"#"&amp;($K154+1),Mapa_Chave,0)),Turno_Min))-MIN($P154,Turno_Min)))</f>
        <v/>
      </c>
    </row>
    <row r="155">
      <c r="A155" s="30" t="n"/>
      <c r="B155" s="31" t="n"/>
      <c r="C155" s="32" t="n"/>
      <c r="D155" s="32" t="n"/>
      <c r="E155" s="33" t="n"/>
      <c r="F155" s="33" t="n"/>
      <c r="G155" s="33" t="n"/>
      <c r="H155" s="31" t="n"/>
      <c r="I155" s="20">
        <f>IF(OR($B155="",NOT(ISNUMBER($C155)),NOT(ISNUMBER($D155))),"",ROUND(MOD($D155-$C155,1)*1440,0))</f>
        <v/>
      </c>
      <c r="J155" s="20">
        <f>IF(NOT(ISNUMBER($I155)),0,IF(OR($I155&lt;=0,$H155="Cancelada",$H155="Suspensa"),0,$I155+Limpeza_Min))</f>
        <v/>
      </c>
      <c r="K155" s="20">
        <f>IF($J155&lt;=0,"",SUMPRODUCT((Mapa_Sala=$B155)*(Mapa_Data=$A155)*(Mapa_MinOcup&gt;0)*((Mapa_RelIni&lt;$P155)+((Mapa_RelIni=$P155)*(Mapa_Row&lt;=$S155)))))</f>
        <v/>
      </c>
      <c r="L155" s="34">
        <f>IF($J155&lt;=0,"",MOD(Turno_Ini+($Q155+Limpeza_Min)/1440,1))</f>
        <v/>
      </c>
      <c r="M155" s="20">
        <f>IF($J155&lt;=0,"",MAX(0,IFERROR(INDEX(Mapa_RelIni,MATCH($B155&amp;"#"&amp;$A155&amp;"#"&amp;($K155+1),Mapa_Chave,0)),Turno_Min)-($Q155+Limpeza_Min)))</f>
        <v/>
      </c>
      <c r="N155" s="14">
        <f>IF($B155="","",IF($O155="","OK",LEFT($O155,LEN($O155)-3)))</f>
        <v/>
      </c>
      <c r="O155" s="35">
        <f>IF($B155="","",IF(COUNTIF(Postos_Cod,$B155)=0,"Sala não cadastrada | ","")&amp;IF(AND(COUNTIF(Postos_Cod,$B155)&gt;0,IFERROR(INDEX(Postos_Tipo,MATCH($B155,Postos_Cod,0)),"")&lt;&gt;"Sala cirúrgica"),"Posto não é sala cirúrgica | ","")&amp;IF(COUNTIF(Esp_Nome,$E155)=0,"Especialidade não cadastrada | ","")&amp;IF(COUNTIF(Lista_StatusCir,$H155)=0,"Status inválido | ","")&amp;IF(OR(NOT(ISNUMBER($C155)),NOT(ISNUMBER($D155))),"Horário inválido | ","")&amp;IFERROR(IF(AND(ISNUMBER($C155),ISNUMBER($D155),MOD($D155-$C155,1)*1440&lt;=0),"Duração nula ou negativa | ",""),"")&amp;IF(AND($J155&gt;0,OR($P155&gt;=Turno_Min,$Q155&gt;Turno_Min)),"Fora da janela do plantão | ","")&amp;IF(AND($J155&gt;0,SUMPRODUCT((Mapa_Sala=$B155)*(Mapa_Data=$A155)*(Mapa_MinOcup&gt;0)*(Mapa_RelIni&lt;$Q155)*(Mapa_RelFim&gt;$P155))&gt;1),"Sobreposição de horário na sala | ","")&amp;IFERROR(IF(AND(ISNUMBER($I155),$I155&gt;0,COUNTIF(Esp_Nome,$E155)&gt;0,$I155&gt;3*INDEX(Esp_Dur,MATCH($E155,Esp_Nome,0))),"Duração atípica (&gt;3x a média) | ",""),""))</f>
        <v/>
      </c>
      <c r="P155" s="19">
        <f>IF(NOT(ISNUMBER($C155)),0,ROUND(MOD($C155-Turno_Ini,1)*1440,0))</f>
        <v/>
      </c>
      <c r="Q155" s="19">
        <f>IF($J155&lt;=0,0,$P155+$I155)</f>
        <v/>
      </c>
      <c r="R155" s="19">
        <f>IF($K155="","",$B155&amp;"#"&amp;$A155&amp;"#"&amp;$K155)</f>
        <v/>
      </c>
      <c r="S155" s="19">
        <f>ROW()</f>
        <v/>
      </c>
      <c r="T155" s="19">
        <f>IF($J155&lt;=0,0,MAX(0,MIN($P155+$I155+Limpeza_Min,Turno_Min,IFERROR(INDEX(Mapa_RelIni,MATCH($B155&amp;"#"&amp;$A155&amp;"#"&amp;($K155+1),Mapa_Chave,0)),Turno_Min))-MIN($P155,Turno_Min)))</f>
        <v/>
      </c>
    </row>
    <row r="156">
      <c r="A156" s="30" t="n"/>
      <c r="B156" s="31" t="n"/>
      <c r="C156" s="32" t="n"/>
      <c r="D156" s="32" t="n"/>
      <c r="E156" s="33" t="n"/>
      <c r="F156" s="33" t="n"/>
      <c r="G156" s="33" t="n"/>
      <c r="H156" s="31" t="n"/>
      <c r="I156" s="20">
        <f>IF(OR($B156="",NOT(ISNUMBER($C156)),NOT(ISNUMBER($D156))),"",ROUND(MOD($D156-$C156,1)*1440,0))</f>
        <v/>
      </c>
      <c r="J156" s="20">
        <f>IF(NOT(ISNUMBER($I156)),0,IF(OR($I156&lt;=0,$H156="Cancelada",$H156="Suspensa"),0,$I156+Limpeza_Min))</f>
        <v/>
      </c>
      <c r="K156" s="20">
        <f>IF($J156&lt;=0,"",SUMPRODUCT((Mapa_Sala=$B156)*(Mapa_Data=$A156)*(Mapa_MinOcup&gt;0)*((Mapa_RelIni&lt;$P156)+((Mapa_RelIni=$P156)*(Mapa_Row&lt;=$S156)))))</f>
        <v/>
      </c>
      <c r="L156" s="34">
        <f>IF($J156&lt;=0,"",MOD(Turno_Ini+($Q156+Limpeza_Min)/1440,1))</f>
        <v/>
      </c>
      <c r="M156" s="20">
        <f>IF($J156&lt;=0,"",MAX(0,IFERROR(INDEX(Mapa_RelIni,MATCH($B156&amp;"#"&amp;$A156&amp;"#"&amp;($K156+1),Mapa_Chave,0)),Turno_Min)-($Q156+Limpeza_Min)))</f>
        <v/>
      </c>
      <c r="N156" s="14">
        <f>IF($B156="","",IF($O156="","OK",LEFT($O156,LEN($O156)-3)))</f>
        <v/>
      </c>
      <c r="O156" s="35">
        <f>IF($B156="","",IF(COUNTIF(Postos_Cod,$B156)=0,"Sala não cadastrada | ","")&amp;IF(AND(COUNTIF(Postos_Cod,$B156)&gt;0,IFERROR(INDEX(Postos_Tipo,MATCH($B156,Postos_Cod,0)),"")&lt;&gt;"Sala cirúrgica"),"Posto não é sala cirúrgica | ","")&amp;IF(COUNTIF(Esp_Nome,$E156)=0,"Especialidade não cadastrada | ","")&amp;IF(COUNTIF(Lista_StatusCir,$H156)=0,"Status inválido | ","")&amp;IF(OR(NOT(ISNUMBER($C156)),NOT(ISNUMBER($D156))),"Horário inválido | ","")&amp;IFERROR(IF(AND(ISNUMBER($C156),ISNUMBER($D156),MOD($D156-$C156,1)*1440&lt;=0),"Duração nula ou negativa | ",""),"")&amp;IF(AND($J156&gt;0,OR($P156&gt;=Turno_Min,$Q156&gt;Turno_Min)),"Fora da janela do plantão | ","")&amp;IF(AND($J156&gt;0,SUMPRODUCT((Mapa_Sala=$B156)*(Mapa_Data=$A156)*(Mapa_MinOcup&gt;0)*(Mapa_RelIni&lt;$Q156)*(Mapa_RelFim&gt;$P156))&gt;1),"Sobreposição de horário na sala | ","")&amp;IFERROR(IF(AND(ISNUMBER($I156),$I156&gt;0,COUNTIF(Esp_Nome,$E156)&gt;0,$I156&gt;3*INDEX(Esp_Dur,MATCH($E156,Esp_Nome,0))),"Duração atípica (&gt;3x a média) | ",""),""))</f>
        <v/>
      </c>
      <c r="P156" s="19">
        <f>IF(NOT(ISNUMBER($C156)),0,ROUND(MOD($C156-Turno_Ini,1)*1440,0))</f>
        <v/>
      </c>
      <c r="Q156" s="19">
        <f>IF($J156&lt;=0,0,$P156+$I156)</f>
        <v/>
      </c>
      <c r="R156" s="19">
        <f>IF($K156="","",$B156&amp;"#"&amp;$A156&amp;"#"&amp;$K156)</f>
        <v/>
      </c>
      <c r="S156" s="19">
        <f>ROW()</f>
        <v/>
      </c>
      <c r="T156" s="19">
        <f>IF($J156&lt;=0,0,MAX(0,MIN($P156+$I156+Limpeza_Min,Turno_Min,IFERROR(INDEX(Mapa_RelIni,MATCH($B156&amp;"#"&amp;$A156&amp;"#"&amp;($K156+1),Mapa_Chave,0)),Turno_Min))-MIN($P156,Turno_Min)))</f>
        <v/>
      </c>
    </row>
    <row r="157">
      <c r="A157" s="30" t="n"/>
      <c r="B157" s="31" t="n"/>
      <c r="C157" s="32" t="n"/>
      <c r="D157" s="32" t="n"/>
      <c r="E157" s="33" t="n"/>
      <c r="F157" s="33" t="n"/>
      <c r="G157" s="33" t="n"/>
      <c r="H157" s="31" t="n"/>
      <c r="I157" s="20">
        <f>IF(OR($B157="",NOT(ISNUMBER($C157)),NOT(ISNUMBER($D157))),"",ROUND(MOD($D157-$C157,1)*1440,0))</f>
        <v/>
      </c>
      <c r="J157" s="20">
        <f>IF(NOT(ISNUMBER($I157)),0,IF(OR($I157&lt;=0,$H157="Cancelada",$H157="Suspensa"),0,$I157+Limpeza_Min))</f>
        <v/>
      </c>
      <c r="K157" s="20">
        <f>IF($J157&lt;=0,"",SUMPRODUCT((Mapa_Sala=$B157)*(Mapa_Data=$A157)*(Mapa_MinOcup&gt;0)*((Mapa_RelIni&lt;$P157)+((Mapa_RelIni=$P157)*(Mapa_Row&lt;=$S157)))))</f>
        <v/>
      </c>
      <c r="L157" s="34">
        <f>IF($J157&lt;=0,"",MOD(Turno_Ini+($Q157+Limpeza_Min)/1440,1))</f>
        <v/>
      </c>
      <c r="M157" s="20">
        <f>IF($J157&lt;=0,"",MAX(0,IFERROR(INDEX(Mapa_RelIni,MATCH($B157&amp;"#"&amp;$A157&amp;"#"&amp;($K157+1),Mapa_Chave,0)),Turno_Min)-($Q157+Limpeza_Min)))</f>
        <v/>
      </c>
      <c r="N157" s="14">
        <f>IF($B157="","",IF($O157="","OK",LEFT($O157,LEN($O157)-3)))</f>
        <v/>
      </c>
      <c r="O157" s="35">
        <f>IF($B157="","",IF(COUNTIF(Postos_Cod,$B157)=0,"Sala não cadastrada | ","")&amp;IF(AND(COUNTIF(Postos_Cod,$B157)&gt;0,IFERROR(INDEX(Postos_Tipo,MATCH($B157,Postos_Cod,0)),"")&lt;&gt;"Sala cirúrgica"),"Posto não é sala cirúrgica | ","")&amp;IF(COUNTIF(Esp_Nome,$E157)=0,"Especialidade não cadastrada | ","")&amp;IF(COUNTIF(Lista_StatusCir,$H157)=0,"Status inválido | ","")&amp;IF(OR(NOT(ISNUMBER($C157)),NOT(ISNUMBER($D157))),"Horário inválido | ","")&amp;IFERROR(IF(AND(ISNUMBER($C157),ISNUMBER($D157),MOD($D157-$C157,1)*1440&lt;=0),"Duração nula ou negativa | ",""),"")&amp;IF(AND($J157&gt;0,OR($P157&gt;=Turno_Min,$Q157&gt;Turno_Min)),"Fora da janela do plantão | ","")&amp;IF(AND($J157&gt;0,SUMPRODUCT((Mapa_Sala=$B157)*(Mapa_Data=$A157)*(Mapa_MinOcup&gt;0)*(Mapa_RelIni&lt;$Q157)*(Mapa_RelFim&gt;$P157))&gt;1),"Sobreposição de horário na sala | ","")&amp;IFERROR(IF(AND(ISNUMBER($I157),$I157&gt;0,COUNTIF(Esp_Nome,$E157)&gt;0,$I157&gt;3*INDEX(Esp_Dur,MATCH($E157,Esp_Nome,0))),"Duração atípica (&gt;3x a média) | ",""),""))</f>
        <v/>
      </c>
      <c r="P157" s="19">
        <f>IF(NOT(ISNUMBER($C157)),0,ROUND(MOD($C157-Turno_Ini,1)*1440,0))</f>
        <v/>
      </c>
      <c r="Q157" s="19">
        <f>IF($J157&lt;=0,0,$P157+$I157)</f>
        <v/>
      </c>
      <c r="R157" s="19">
        <f>IF($K157="","",$B157&amp;"#"&amp;$A157&amp;"#"&amp;$K157)</f>
        <v/>
      </c>
      <c r="S157" s="19">
        <f>ROW()</f>
        <v/>
      </c>
      <c r="T157" s="19">
        <f>IF($J157&lt;=0,0,MAX(0,MIN($P157+$I157+Limpeza_Min,Turno_Min,IFERROR(INDEX(Mapa_RelIni,MATCH($B157&amp;"#"&amp;$A157&amp;"#"&amp;($K157+1),Mapa_Chave,0)),Turno_Min))-MIN($P157,Turno_Min)))</f>
        <v/>
      </c>
    </row>
    <row r="158">
      <c r="A158" s="30" t="n"/>
      <c r="B158" s="31" t="n"/>
      <c r="C158" s="32" t="n"/>
      <c r="D158" s="32" t="n"/>
      <c r="E158" s="33" t="n"/>
      <c r="F158" s="33" t="n"/>
      <c r="G158" s="33" t="n"/>
      <c r="H158" s="31" t="n"/>
      <c r="I158" s="20">
        <f>IF(OR($B158="",NOT(ISNUMBER($C158)),NOT(ISNUMBER($D158))),"",ROUND(MOD($D158-$C158,1)*1440,0))</f>
        <v/>
      </c>
      <c r="J158" s="20">
        <f>IF(NOT(ISNUMBER($I158)),0,IF(OR($I158&lt;=0,$H158="Cancelada",$H158="Suspensa"),0,$I158+Limpeza_Min))</f>
        <v/>
      </c>
      <c r="K158" s="20">
        <f>IF($J158&lt;=0,"",SUMPRODUCT((Mapa_Sala=$B158)*(Mapa_Data=$A158)*(Mapa_MinOcup&gt;0)*((Mapa_RelIni&lt;$P158)+((Mapa_RelIni=$P158)*(Mapa_Row&lt;=$S158)))))</f>
        <v/>
      </c>
      <c r="L158" s="34">
        <f>IF($J158&lt;=0,"",MOD(Turno_Ini+($Q158+Limpeza_Min)/1440,1))</f>
        <v/>
      </c>
      <c r="M158" s="20">
        <f>IF($J158&lt;=0,"",MAX(0,IFERROR(INDEX(Mapa_RelIni,MATCH($B158&amp;"#"&amp;$A158&amp;"#"&amp;($K158+1),Mapa_Chave,0)),Turno_Min)-($Q158+Limpeza_Min)))</f>
        <v/>
      </c>
      <c r="N158" s="14">
        <f>IF($B158="","",IF($O158="","OK",LEFT($O158,LEN($O158)-3)))</f>
        <v/>
      </c>
      <c r="O158" s="35">
        <f>IF($B158="","",IF(COUNTIF(Postos_Cod,$B158)=0,"Sala não cadastrada | ","")&amp;IF(AND(COUNTIF(Postos_Cod,$B158)&gt;0,IFERROR(INDEX(Postos_Tipo,MATCH($B158,Postos_Cod,0)),"")&lt;&gt;"Sala cirúrgica"),"Posto não é sala cirúrgica | ","")&amp;IF(COUNTIF(Esp_Nome,$E158)=0,"Especialidade não cadastrada | ","")&amp;IF(COUNTIF(Lista_StatusCir,$H158)=0,"Status inválido | ","")&amp;IF(OR(NOT(ISNUMBER($C158)),NOT(ISNUMBER($D158))),"Horário inválido | ","")&amp;IFERROR(IF(AND(ISNUMBER($C158),ISNUMBER($D158),MOD($D158-$C158,1)*1440&lt;=0),"Duração nula ou negativa | ",""),"")&amp;IF(AND($J158&gt;0,OR($P158&gt;=Turno_Min,$Q158&gt;Turno_Min)),"Fora da janela do plantão | ","")&amp;IF(AND($J158&gt;0,SUMPRODUCT((Mapa_Sala=$B158)*(Mapa_Data=$A158)*(Mapa_MinOcup&gt;0)*(Mapa_RelIni&lt;$Q158)*(Mapa_RelFim&gt;$P158))&gt;1),"Sobreposição de horário na sala | ","")&amp;IFERROR(IF(AND(ISNUMBER($I158),$I158&gt;0,COUNTIF(Esp_Nome,$E158)&gt;0,$I158&gt;3*INDEX(Esp_Dur,MATCH($E158,Esp_Nome,0))),"Duração atípica (&gt;3x a média) | ",""),""))</f>
        <v/>
      </c>
      <c r="P158" s="19">
        <f>IF(NOT(ISNUMBER($C158)),0,ROUND(MOD($C158-Turno_Ini,1)*1440,0))</f>
        <v/>
      </c>
      <c r="Q158" s="19">
        <f>IF($J158&lt;=0,0,$P158+$I158)</f>
        <v/>
      </c>
      <c r="R158" s="19">
        <f>IF($K158="","",$B158&amp;"#"&amp;$A158&amp;"#"&amp;$K158)</f>
        <v/>
      </c>
      <c r="S158" s="19">
        <f>ROW()</f>
        <v/>
      </c>
      <c r="T158" s="19">
        <f>IF($J158&lt;=0,0,MAX(0,MIN($P158+$I158+Limpeza_Min,Turno_Min,IFERROR(INDEX(Mapa_RelIni,MATCH($B158&amp;"#"&amp;$A158&amp;"#"&amp;($K158+1),Mapa_Chave,0)),Turno_Min))-MIN($P158,Turno_Min)))</f>
        <v/>
      </c>
    </row>
    <row r="159">
      <c r="A159" s="30" t="n"/>
      <c r="B159" s="31" t="n"/>
      <c r="C159" s="32" t="n"/>
      <c r="D159" s="32" t="n"/>
      <c r="E159" s="33" t="n"/>
      <c r="F159" s="33" t="n"/>
      <c r="G159" s="33" t="n"/>
      <c r="H159" s="31" t="n"/>
      <c r="I159" s="20">
        <f>IF(OR($B159="",NOT(ISNUMBER($C159)),NOT(ISNUMBER($D159))),"",ROUND(MOD($D159-$C159,1)*1440,0))</f>
        <v/>
      </c>
      <c r="J159" s="20">
        <f>IF(NOT(ISNUMBER($I159)),0,IF(OR($I159&lt;=0,$H159="Cancelada",$H159="Suspensa"),0,$I159+Limpeza_Min))</f>
        <v/>
      </c>
      <c r="K159" s="20">
        <f>IF($J159&lt;=0,"",SUMPRODUCT((Mapa_Sala=$B159)*(Mapa_Data=$A159)*(Mapa_MinOcup&gt;0)*((Mapa_RelIni&lt;$P159)+((Mapa_RelIni=$P159)*(Mapa_Row&lt;=$S159)))))</f>
        <v/>
      </c>
      <c r="L159" s="34">
        <f>IF($J159&lt;=0,"",MOD(Turno_Ini+($Q159+Limpeza_Min)/1440,1))</f>
        <v/>
      </c>
      <c r="M159" s="20">
        <f>IF($J159&lt;=0,"",MAX(0,IFERROR(INDEX(Mapa_RelIni,MATCH($B159&amp;"#"&amp;$A159&amp;"#"&amp;($K159+1),Mapa_Chave,0)),Turno_Min)-($Q159+Limpeza_Min)))</f>
        <v/>
      </c>
      <c r="N159" s="14">
        <f>IF($B159="","",IF($O159="","OK",LEFT($O159,LEN($O159)-3)))</f>
        <v/>
      </c>
      <c r="O159" s="35">
        <f>IF($B159="","",IF(COUNTIF(Postos_Cod,$B159)=0,"Sala não cadastrada | ","")&amp;IF(AND(COUNTIF(Postos_Cod,$B159)&gt;0,IFERROR(INDEX(Postos_Tipo,MATCH($B159,Postos_Cod,0)),"")&lt;&gt;"Sala cirúrgica"),"Posto não é sala cirúrgica | ","")&amp;IF(COUNTIF(Esp_Nome,$E159)=0,"Especialidade não cadastrada | ","")&amp;IF(COUNTIF(Lista_StatusCir,$H159)=0,"Status inválido | ","")&amp;IF(OR(NOT(ISNUMBER($C159)),NOT(ISNUMBER($D159))),"Horário inválido | ","")&amp;IFERROR(IF(AND(ISNUMBER($C159),ISNUMBER($D159),MOD($D159-$C159,1)*1440&lt;=0),"Duração nula ou negativa | ",""),"")&amp;IF(AND($J159&gt;0,OR($P159&gt;=Turno_Min,$Q159&gt;Turno_Min)),"Fora da janela do plantão | ","")&amp;IF(AND($J159&gt;0,SUMPRODUCT((Mapa_Sala=$B159)*(Mapa_Data=$A159)*(Mapa_MinOcup&gt;0)*(Mapa_RelIni&lt;$Q159)*(Mapa_RelFim&gt;$P159))&gt;1),"Sobreposição de horário na sala | ","")&amp;IFERROR(IF(AND(ISNUMBER($I159),$I159&gt;0,COUNTIF(Esp_Nome,$E159)&gt;0,$I159&gt;3*INDEX(Esp_Dur,MATCH($E159,Esp_Nome,0))),"Duração atípica (&gt;3x a média) | ",""),""))</f>
        <v/>
      </c>
      <c r="P159" s="19">
        <f>IF(NOT(ISNUMBER($C159)),0,ROUND(MOD($C159-Turno_Ini,1)*1440,0))</f>
        <v/>
      </c>
      <c r="Q159" s="19">
        <f>IF($J159&lt;=0,0,$P159+$I159)</f>
        <v/>
      </c>
      <c r="R159" s="19">
        <f>IF($K159="","",$B159&amp;"#"&amp;$A159&amp;"#"&amp;$K159)</f>
        <v/>
      </c>
      <c r="S159" s="19">
        <f>ROW()</f>
        <v/>
      </c>
      <c r="T159" s="19">
        <f>IF($J159&lt;=0,0,MAX(0,MIN($P159+$I159+Limpeza_Min,Turno_Min,IFERROR(INDEX(Mapa_RelIni,MATCH($B159&amp;"#"&amp;$A159&amp;"#"&amp;($K159+1),Mapa_Chave,0)),Turno_Min))-MIN($P159,Turno_Min)))</f>
        <v/>
      </c>
    </row>
    <row r="160">
      <c r="A160" s="30" t="n"/>
      <c r="B160" s="31" t="n"/>
      <c r="C160" s="32" t="n"/>
      <c r="D160" s="32" t="n"/>
      <c r="E160" s="33" t="n"/>
      <c r="F160" s="33" t="n"/>
      <c r="G160" s="33" t="n"/>
      <c r="H160" s="31" t="n"/>
      <c r="I160" s="20">
        <f>IF(OR($B160="",NOT(ISNUMBER($C160)),NOT(ISNUMBER($D160))),"",ROUND(MOD($D160-$C160,1)*1440,0))</f>
        <v/>
      </c>
      <c r="J160" s="20">
        <f>IF(NOT(ISNUMBER($I160)),0,IF(OR($I160&lt;=0,$H160="Cancelada",$H160="Suspensa"),0,$I160+Limpeza_Min))</f>
        <v/>
      </c>
      <c r="K160" s="20">
        <f>IF($J160&lt;=0,"",SUMPRODUCT((Mapa_Sala=$B160)*(Mapa_Data=$A160)*(Mapa_MinOcup&gt;0)*((Mapa_RelIni&lt;$P160)+((Mapa_RelIni=$P160)*(Mapa_Row&lt;=$S160)))))</f>
        <v/>
      </c>
      <c r="L160" s="34">
        <f>IF($J160&lt;=0,"",MOD(Turno_Ini+($Q160+Limpeza_Min)/1440,1))</f>
        <v/>
      </c>
      <c r="M160" s="20">
        <f>IF($J160&lt;=0,"",MAX(0,IFERROR(INDEX(Mapa_RelIni,MATCH($B160&amp;"#"&amp;$A160&amp;"#"&amp;($K160+1),Mapa_Chave,0)),Turno_Min)-($Q160+Limpeza_Min)))</f>
        <v/>
      </c>
      <c r="N160" s="14">
        <f>IF($B160="","",IF($O160="","OK",LEFT($O160,LEN($O160)-3)))</f>
        <v/>
      </c>
      <c r="O160" s="35">
        <f>IF($B160="","",IF(COUNTIF(Postos_Cod,$B160)=0,"Sala não cadastrada | ","")&amp;IF(AND(COUNTIF(Postos_Cod,$B160)&gt;0,IFERROR(INDEX(Postos_Tipo,MATCH($B160,Postos_Cod,0)),"")&lt;&gt;"Sala cirúrgica"),"Posto não é sala cirúrgica | ","")&amp;IF(COUNTIF(Esp_Nome,$E160)=0,"Especialidade não cadastrada | ","")&amp;IF(COUNTIF(Lista_StatusCir,$H160)=0,"Status inválido | ","")&amp;IF(OR(NOT(ISNUMBER($C160)),NOT(ISNUMBER($D160))),"Horário inválido | ","")&amp;IFERROR(IF(AND(ISNUMBER($C160),ISNUMBER($D160),MOD($D160-$C160,1)*1440&lt;=0),"Duração nula ou negativa | ",""),"")&amp;IF(AND($J160&gt;0,OR($P160&gt;=Turno_Min,$Q160&gt;Turno_Min)),"Fora da janela do plantão | ","")&amp;IF(AND($J160&gt;0,SUMPRODUCT((Mapa_Sala=$B160)*(Mapa_Data=$A160)*(Mapa_MinOcup&gt;0)*(Mapa_RelIni&lt;$Q160)*(Mapa_RelFim&gt;$P160))&gt;1),"Sobreposição de horário na sala | ","")&amp;IFERROR(IF(AND(ISNUMBER($I160),$I160&gt;0,COUNTIF(Esp_Nome,$E160)&gt;0,$I160&gt;3*INDEX(Esp_Dur,MATCH($E160,Esp_Nome,0))),"Duração atípica (&gt;3x a média) | ",""),""))</f>
        <v/>
      </c>
      <c r="P160" s="19">
        <f>IF(NOT(ISNUMBER($C160)),0,ROUND(MOD($C160-Turno_Ini,1)*1440,0))</f>
        <v/>
      </c>
      <c r="Q160" s="19">
        <f>IF($J160&lt;=0,0,$P160+$I160)</f>
        <v/>
      </c>
      <c r="R160" s="19">
        <f>IF($K160="","",$B160&amp;"#"&amp;$A160&amp;"#"&amp;$K160)</f>
        <v/>
      </c>
      <c r="S160" s="19">
        <f>ROW()</f>
        <v/>
      </c>
      <c r="T160" s="19">
        <f>IF($J160&lt;=0,0,MAX(0,MIN($P160+$I160+Limpeza_Min,Turno_Min,IFERROR(INDEX(Mapa_RelIni,MATCH($B160&amp;"#"&amp;$A160&amp;"#"&amp;($K160+1),Mapa_Chave,0)),Turno_Min))-MIN($P160,Turno_Min)))</f>
        <v/>
      </c>
    </row>
    <row r="161">
      <c r="A161" s="30" t="n"/>
      <c r="B161" s="31" t="n"/>
      <c r="C161" s="32" t="n"/>
      <c r="D161" s="32" t="n"/>
      <c r="E161" s="33" t="n"/>
      <c r="F161" s="33" t="n"/>
      <c r="G161" s="33" t="n"/>
      <c r="H161" s="31" t="n"/>
      <c r="I161" s="20">
        <f>IF(OR($B161="",NOT(ISNUMBER($C161)),NOT(ISNUMBER($D161))),"",ROUND(MOD($D161-$C161,1)*1440,0))</f>
        <v/>
      </c>
      <c r="J161" s="20">
        <f>IF(NOT(ISNUMBER($I161)),0,IF(OR($I161&lt;=0,$H161="Cancelada",$H161="Suspensa"),0,$I161+Limpeza_Min))</f>
        <v/>
      </c>
      <c r="K161" s="20">
        <f>IF($J161&lt;=0,"",SUMPRODUCT((Mapa_Sala=$B161)*(Mapa_Data=$A161)*(Mapa_MinOcup&gt;0)*((Mapa_RelIni&lt;$P161)+((Mapa_RelIni=$P161)*(Mapa_Row&lt;=$S161)))))</f>
        <v/>
      </c>
      <c r="L161" s="34">
        <f>IF($J161&lt;=0,"",MOD(Turno_Ini+($Q161+Limpeza_Min)/1440,1))</f>
        <v/>
      </c>
      <c r="M161" s="20">
        <f>IF($J161&lt;=0,"",MAX(0,IFERROR(INDEX(Mapa_RelIni,MATCH($B161&amp;"#"&amp;$A161&amp;"#"&amp;($K161+1),Mapa_Chave,0)),Turno_Min)-($Q161+Limpeza_Min)))</f>
        <v/>
      </c>
      <c r="N161" s="14">
        <f>IF($B161="","",IF($O161="","OK",LEFT($O161,LEN($O161)-3)))</f>
        <v/>
      </c>
      <c r="O161" s="35">
        <f>IF($B161="","",IF(COUNTIF(Postos_Cod,$B161)=0,"Sala não cadastrada | ","")&amp;IF(AND(COUNTIF(Postos_Cod,$B161)&gt;0,IFERROR(INDEX(Postos_Tipo,MATCH($B161,Postos_Cod,0)),"")&lt;&gt;"Sala cirúrgica"),"Posto não é sala cirúrgica | ","")&amp;IF(COUNTIF(Esp_Nome,$E161)=0,"Especialidade não cadastrada | ","")&amp;IF(COUNTIF(Lista_StatusCir,$H161)=0,"Status inválido | ","")&amp;IF(OR(NOT(ISNUMBER($C161)),NOT(ISNUMBER($D161))),"Horário inválido | ","")&amp;IFERROR(IF(AND(ISNUMBER($C161),ISNUMBER($D161),MOD($D161-$C161,1)*1440&lt;=0),"Duração nula ou negativa | ",""),"")&amp;IF(AND($J161&gt;0,OR($P161&gt;=Turno_Min,$Q161&gt;Turno_Min)),"Fora da janela do plantão | ","")&amp;IF(AND($J161&gt;0,SUMPRODUCT((Mapa_Sala=$B161)*(Mapa_Data=$A161)*(Mapa_MinOcup&gt;0)*(Mapa_RelIni&lt;$Q161)*(Mapa_RelFim&gt;$P161))&gt;1),"Sobreposição de horário na sala | ","")&amp;IFERROR(IF(AND(ISNUMBER($I161),$I161&gt;0,COUNTIF(Esp_Nome,$E161)&gt;0,$I161&gt;3*INDEX(Esp_Dur,MATCH($E161,Esp_Nome,0))),"Duração atípica (&gt;3x a média) | ",""),""))</f>
        <v/>
      </c>
      <c r="P161" s="19">
        <f>IF(NOT(ISNUMBER($C161)),0,ROUND(MOD($C161-Turno_Ini,1)*1440,0))</f>
        <v/>
      </c>
      <c r="Q161" s="19">
        <f>IF($J161&lt;=0,0,$P161+$I161)</f>
        <v/>
      </c>
      <c r="R161" s="19">
        <f>IF($K161="","",$B161&amp;"#"&amp;$A161&amp;"#"&amp;$K161)</f>
        <v/>
      </c>
      <c r="S161" s="19">
        <f>ROW()</f>
        <v/>
      </c>
      <c r="T161" s="19">
        <f>IF($J161&lt;=0,0,MAX(0,MIN($P161+$I161+Limpeza_Min,Turno_Min,IFERROR(INDEX(Mapa_RelIni,MATCH($B161&amp;"#"&amp;$A161&amp;"#"&amp;($K161+1),Mapa_Chave,0)),Turno_Min))-MIN($P161,Turno_Min)))</f>
        <v/>
      </c>
    </row>
    <row r="162">
      <c r="A162" s="30" t="n"/>
      <c r="B162" s="31" t="n"/>
      <c r="C162" s="32" t="n"/>
      <c r="D162" s="32" t="n"/>
      <c r="E162" s="33" t="n"/>
      <c r="F162" s="33" t="n"/>
      <c r="G162" s="33" t="n"/>
      <c r="H162" s="31" t="n"/>
      <c r="I162" s="20">
        <f>IF(OR($B162="",NOT(ISNUMBER($C162)),NOT(ISNUMBER($D162))),"",ROUND(MOD($D162-$C162,1)*1440,0))</f>
        <v/>
      </c>
      <c r="J162" s="20">
        <f>IF(NOT(ISNUMBER($I162)),0,IF(OR($I162&lt;=0,$H162="Cancelada",$H162="Suspensa"),0,$I162+Limpeza_Min))</f>
        <v/>
      </c>
      <c r="K162" s="20">
        <f>IF($J162&lt;=0,"",SUMPRODUCT((Mapa_Sala=$B162)*(Mapa_Data=$A162)*(Mapa_MinOcup&gt;0)*((Mapa_RelIni&lt;$P162)+((Mapa_RelIni=$P162)*(Mapa_Row&lt;=$S162)))))</f>
        <v/>
      </c>
      <c r="L162" s="34">
        <f>IF($J162&lt;=0,"",MOD(Turno_Ini+($Q162+Limpeza_Min)/1440,1))</f>
        <v/>
      </c>
      <c r="M162" s="20">
        <f>IF($J162&lt;=0,"",MAX(0,IFERROR(INDEX(Mapa_RelIni,MATCH($B162&amp;"#"&amp;$A162&amp;"#"&amp;($K162+1),Mapa_Chave,0)),Turno_Min)-($Q162+Limpeza_Min)))</f>
        <v/>
      </c>
      <c r="N162" s="14">
        <f>IF($B162="","",IF($O162="","OK",LEFT($O162,LEN($O162)-3)))</f>
        <v/>
      </c>
      <c r="O162" s="35">
        <f>IF($B162="","",IF(COUNTIF(Postos_Cod,$B162)=0,"Sala não cadastrada | ","")&amp;IF(AND(COUNTIF(Postos_Cod,$B162)&gt;0,IFERROR(INDEX(Postos_Tipo,MATCH($B162,Postos_Cod,0)),"")&lt;&gt;"Sala cirúrgica"),"Posto não é sala cirúrgica | ","")&amp;IF(COUNTIF(Esp_Nome,$E162)=0,"Especialidade não cadastrada | ","")&amp;IF(COUNTIF(Lista_StatusCir,$H162)=0,"Status inválido | ","")&amp;IF(OR(NOT(ISNUMBER($C162)),NOT(ISNUMBER($D162))),"Horário inválido | ","")&amp;IFERROR(IF(AND(ISNUMBER($C162),ISNUMBER($D162),MOD($D162-$C162,1)*1440&lt;=0),"Duração nula ou negativa | ",""),"")&amp;IF(AND($J162&gt;0,OR($P162&gt;=Turno_Min,$Q162&gt;Turno_Min)),"Fora da janela do plantão | ","")&amp;IF(AND($J162&gt;0,SUMPRODUCT((Mapa_Sala=$B162)*(Mapa_Data=$A162)*(Mapa_MinOcup&gt;0)*(Mapa_RelIni&lt;$Q162)*(Mapa_RelFim&gt;$P162))&gt;1),"Sobreposição de horário na sala | ","")&amp;IFERROR(IF(AND(ISNUMBER($I162),$I162&gt;0,COUNTIF(Esp_Nome,$E162)&gt;0,$I162&gt;3*INDEX(Esp_Dur,MATCH($E162,Esp_Nome,0))),"Duração atípica (&gt;3x a média) | ",""),""))</f>
        <v/>
      </c>
      <c r="P162" s="19">
        <f>IF(NOT(ISNUMBER($C162)),0,ROUND(MOD($C162-Turno_Ini,1)*1440,0))</f>
        <v/>
      </c>
      <c r="Q162" s="19">
        <f>IF($J162&lt;=0,0,$P162+$I162)</f>
        <v/>
      </c>
      <c r="R162" s="19">
        <f>IF($K162="","",$B162&amp;"#"&amp;$A162&amp;"#"&amp;$K162)</f>
        <v/>
      </c>
      <c r="S162" s="19">
        <f>ROW()</f>
        <v/>
      </c>
      <c r="T162" s="19">
        <f>IF($J162&lt;=0,0,MAX(0,MIN($P162+$I162+Limpeza_Min,Turno_Min,IFERROR(INDEX(Mapa_RelIni,MATCH($B162&amp;"#"&amp;$A162&amp;"#"&amp;($K162+1),Mapa_Chave,0)),Turno_Min))-MIN($P162,Turno_Min)))</f>
        <v/>
      </c>
    </row>
    <row r="163">
      <c r="A163" s="30" t="n"/>
      <c r="B163" s="31" t="n"/>
      <c r="C163" s="32" t="n"/>
      <c r="D163" s="32" t="n"/>
      <c r="E163" s="33" t="n"/>
      <c r="F163" s="33" t="n"/>
      <c r="G163" s="33" t="n"/>
      <c r="H163" s="31" t="n"/>
      <c r="I163" s="20">
        <f>IF(OR($B163="",NOT(ISNUMBER($C163)),NOT(ISNUMBER($D163))),"",ROUND(MOD($D163-$C163,1)*1440,0))</f>
        <v/>
      </c>
      <c r="J163" s="20">
        <f>IF(NOT(ISNUMBER($I163)),0,IF(OR($I163&lt;=0,$H163="Cancelada",$H163="Suspensa"),0,$I163+Limpeza_Min))</f>
        <v/>
      </c>
      <c r="K163" s="20">
        <f>IF($J163&lt;=0,"",SUMPRODUCT((Mapa_Sala=$B163)*(Mapa_Data=$A163)*(Mapa_MinOcup&gt;0)*((Mapa_RelIni&lt;$P163)+((Mapa_RelIni=$P163)*(Mapa_Row&lt;=$S163)))))</f>
        <v/>
      </c>
      <c r="L163" s="34">
        <f>IF($J163&lt;=0,"",MOD(Turno_Ini+($Q163+Limpeza_Min)/1440,1))</f>
        <v/>
      </c>
      <c r="M163" s="20">
        <f>IF($J163&lt;=0,"",MAX(0,IFERROR(INDEX(Mapa_RelIni,MATCH($B163&amp;"#"&amp;$A163&amp;"#"&amp;($K163+1),Mapa_Chave,0)),Turno_Min)-($Q163+Limpeza_Min)))</f>
        <v/>
      </c>
      <c r="N163" s="14">
        <f>IF($B163="","",IF($O163="","OK",LEFT($O163,LEN($O163)-3)))</f>
        <v/>
      </c>
      <c r="O163" s="35">
        <f>IF($B163="","",IF(COUNTIF(Postos_Cod,$B163)=0,"Sala não cadastrada | ","")&amp;IF(AND(COUNTIF(Postos_Cod,$B163)&gt;0,IFERROR(INDEX(Postos_Tipo,MATCH($B163,Postos_Cod,0)),"")&lt;&gt;"Sala cirúrgica"),"Posto não é sala cirúrgica | ","")&amp;IF(COUNTIF(Esp_Nome,$E163)=0,"Especialidade não cadastrada | ","")&amp;IF(COUNTIF(Lista_StatusCir,$H163)=0,"Status inválido | ","")&amp;IF(OR(NOT(ISNUMBER($C163)),NOT(ISNUMBER($D163))),"Horário inválido | ","")&amp;IFERROR(IF(AND(ISNUMBER($C163),ISNUMBER($D163),MOD($D163-$C163,1)*1440&lt;=0),"Duração nula ou negativa | ",""),"")&amp;IF(AND($J163&gt;0,OR($P163&gt;=Turno_Min,$Q163&gt;Turno_Min)),"Fora da janela do plantão | ","")&amp;IF(AND($J163&gt;0,SUMPRODUCT((Mapa_Sala=$B163)*(Mapa_Data=$A163)*(Mapa_MinOcup&gt;0)*(Mapa_RelIni&lt;$Q163)*(Mapa_RelFim&gt;$P163))&gt;1),"Sobreposição de horário na sala | ","")&amp;IFERROR(IF(AND(ISNUMBER($I163),$I163&gt;0,COUNTIF(Esp_Nome,$E163)&gt;0,$I163&gt;3*INDEX(Esp_Dur,MATCH($E163,Esp_Nome,0))),"Duração atípica (&gt;3x a média) | ",""),""))</f>
        <v/>
      </c>
      <c r="P163" s="19">
        <f>IF(NOT(ISNUMBER($C163)),0,ROUND(MOD($C163-Turno_Ini,1)*1440,0))</f>
        <v/>
      </c>
      <c r="Q163" s="19">
        <f>IF($J163&lt;=0,0,$P163+$I163)</f>
        <v/>
      </c>
      <c r="R163" s="19">
        <f>IF($K163="","",$B163&amp;"#"&amp;$A163&amp;"#"&amp;$K163)</f>
        <v/>
      </c>
      <c r="S163" s="19">
        <f>ROW()</f>
        <v/>
      </c>
      <c r="T163" s="19">
        <f>IF($J163&lt;=0,0,MAX(0,MIN($P163+$I163+Limpeza_Min,Turno_Min,IFERROR(INDEX(Mapa_RelIni,MATCH($B163&amp;"#"&amp;$A163&amp;"#"&amp;($K163+1),Mapa_Chave,0)),Turno_Min))-MIN($P163,Turno_Min)))</f>
        <v/>
      </c>
    </row>
    <row r="164">
      <c r="A164" s="30" t="n"/>
      <c r="B164" s="31" t="n"/>
      <c r="C164" s="32" t="n"/>
      <c r="D164" s="32" t="n"/>
      <c r="E164" s="33" t="n"/>
      <c r="F164" s="33" t="n"/>
      <c r="G164" s="33" t="n"/>
      <c r="H164" s="31" t="n"/>
      <c r="I164" s="20">
        <f>IF(OR($B164="",NOT(ISNUMBER($C164)),NOT(ISNUMBER($D164))),"",ROUND(MOD($D164-$C164,1)*1440,0))</f>
        <v/>
      </c>
      <c r="J164" s="20">
        <f>IF(NOT(ISNUMBER($I164)),0,IF(OR($I164&lt;=0,$H164="Cancelada",$H164="Suspensa"),0,$I164+Limpeza_Min))</f>
        <v/>
      </c>
      <c r="K164" s="20">
        <f>IF($J164&lt;=0,"",SUMPRODUCT((Mapa_Sala=$B164)*(Mapa_Data=$A164)*(Mapa_MinOcup&gt;0)*((Mapa_RelIni&lt;$P164)+((Mapa_RelIni=$P164)*(Mapa_Row&lt;=$S164)))))</f>
        <v/>
      </c>
      <c r="L164" s="34">
        <f>IF($J164&lt;=0,"",MOD(Turno_Ini+($Q164+Limpeza_Min)/1440,1))</f>
        <v/>
      </c>
      <c r="M164" s="20">
        <f>IF($J164&lt;=0,"",MAX(0,IFERROR(INDEX(Mapa_RelIni,MATCH($B164&amp;"#"&amp;$A164&amp;"#"&amp;($K164+1),Mapa_Chave,0)),Turno_Min)-($Q164+Limpeza_Min)))</f>
        <v/>
      </c>
      <c r="N164" s="14">
        <f>IF($B164="","",IF($O164="","OK",LEFT($O164,LEN($O164)-3)))</f>
        <v/>
      </c>
      <c r="O164" s="35">
        <f>IF($B164="","",IF(COUNTIF(Postos_Cod,$B164)=0,"Sala não cadastrada | ","")&amp;IF(AND(COUNTIF(Postos_Cod,$B164)&gt;0,IFERROR(INDEX(Postos_Tipo,MATCH($B164,Postos_Cod,0)),"")&lt;&gt;"Sala cirúrgica"),"Posto não é sala cirúrgica | ","")&amp;IF(COUNTIF(Esp_Nome,$E164)=0,"Especialidade não cadastrada | ","")&amp;IF(COUNTIF(Lista_StatusCir,$H164)=0,"Status inválido | ","")&amp;IF(OR(NOT(ISNUMBER($C164)),NOT(ISNUMBER($D164))),"Horário inválido | ","")&amp;IFERROR(IF(AND(ISNUMBER($C164),ISNUMBER($D164),MOD($D164-$C164,1)*1440&lt;=0),"Duração nula ou negativa | ",""),"")&amp;IF(AND($J164&gt;0,OR($P164&gt;=Turno_Min,$Q164&gt;Turno_Min)),"Fora da janela do plantão | ","")&amp;IF(AND($J164&gt;0,SUMPRODUCT((Mapa_Sala=$B164)*(Mapa_Data=$A164)*(Mapa_MinOcup&gt;0)*(Mapa_RelIni&lt;$Q164)*(Mapa_RelFim&gt;$P164))&gt;1),"Sobreposição de horário na sala | ","")&amp;IFERROR(IF(AND(ISNUMBER($I164),$I164&gt;0,COUNTIF(Esp_Nome,$E164)&gt;0,$I164&gt;3*INDEX(Esp_Dur,MATCH($E164,Esp_Nome,0))),"Duração atípica (&gt;3x a média) | ",""),""))</f>
        <v/>
      </c>
      <c r="P164" s="19">
        <f>IF(NOT(ISNUMBER($C164)),0,ROUND(MOD($C164-Turno_Ini,1)*1440,0))</f>
        <v/>
      </c>
      <c r="Q164" s="19">
        <f>IF($J164&lt;=0,0,$P164+$I164)</f>
        <v/>
      </c>
      <c r="R164" s="19">
        <f>IF($K164="","",$B164&amp;"#"&amp;$A164&amp;"#"&amp;$K164)</f>
        <v/>
      </c>
      <c r="S164" s="19">
        <f>ROW()</f>
        <v/>
      </c>
      <c r="T164" s="19">
        <f>IF($J164&lt;=0,0,MAX(0,MIN($P164+$I164+Limpeza_Min,Turno_Min,IFERROR(INDEX(Mapa_RelIni,MATCH($B164&amp;"#"&amp;$A164&amp;"#"&amp;($K164+1),Mapa_Chave,0)),Turno_Min))-MIN($P164,Turno_Min)))</f>
        <v/>
      </c>
    </row>
    <row r="165">
      <c r="A165" s="30" t="n"/>
      <c r="B165" s="31" t="n"/>
      <c r="C165" s="32" t="n"/>
      <c r="D165" s="32" t="n"/>
      <c r="E165" s="33" t="n"/>
      <c r="F165" s="33" t="n"/>
      <c r="G165" s="33" t="n"/>
      <c r="H165" s="31" t="n"/>
      <c r="I165" s="20">
        <f>IF(OR($B165="",NOT(ISNUMBER($C165)),NOT(ISNUMBER($D165))),"",ROUND(MOD($D165-$C165,1)*1440,0))</f>
        <v/>
      </c>
      <c r="J165" s="20">
        <f>IF(NOT(ISNUMBER($I165)),0,IF(OR($I165&lt;=0,$H165="Cancelada",$H165="Suspensa"),0,$I165+Limpeza_Min))</f>
        <v/>
      </c>
      <c r="K165" s="20">
        <f>IF($J165&lt;=0,"",SUMPRODUCT((Mapa_Sala=$B165)*(Mapa_Data=$A165)*(Mapa_MinOcup&gt;0)*((Mapa_RelIni&lt;$P165)+((Mapa_RelIni=$P165)*(Mapa_Row&lt;=$S165)))))</f>
        <v/>
      </c>
      <c r="L165" s="34">
        <f>IF($J165&lt;=0,"",MOD(Turno_Ini+($Q165+Limpeza_Min)/1440,1))</f>
        <v/>
      </c>
      <c r="M165" s="20">
        <f>IF($J165&lt;=0,"",MAX(0,IFERROR(INDEX(Mapa_RelIni,MATCH($B165&amp;"#"&amp;$A165&amp;"#"&amp;($K165+1),Mapa_Chave,0)),Turno_Min)-($Q165+Limpeza_Min)))</f>
        <v/>
      </c>
      <c r="N165" s="14">
        <f>IF($B165="","",IF($O165="","OK",LEFT($O165,LEN($O165)-3)))</f>
        <v/>
      </c>
      <c r="O165" s="35">
        <f>IF($B165="","",IF(COUNTIF(Postos_Cod,$B165)=0,"Sala não cadastrada | ","")&amp;IF(AND(COUNTIF(Postos_Cod,$B165)&gt;0,IFERROR(INDEX(Postos_Tipo,MATCH($B165,Postos_Cod,0)),"")&lt;&gt;"Sala cirúrgica"),"Posto não é sala cirúrgica | ","")&amp;IF(COUNTIF(Esp_Nome,$E165)=0,"Especialidade não cadastrada | ","")&amp;IF(COUNTIF(Lista_StatusCir,$H165)=0,"Status inválido | ","")&amp;IF(OR(NOT(ISNUMBER($C165)),NOT(ISNUMBER($D165))),"Horário inválido | ","")&amp;IFERROR(IF(AND(ISNUMBER($C165),ISNUMBER($D165),MOD($D165-$C165,1)*1440&lt;=0),"Duração nula ou negativa | ",""),"")&amp;IF(AND($J165&gt;0,OR($P165&gt;=Turno_Min,$Q165&gt;Turno_Min)),"Fora da janela do plantão | ","")&amp;IF(AND($J165&gt;0,SUMPRODUCT((Mapa_Sala=$B165)*(Mapa_Data=$A165)*(Mapa_MinOcup&gt;0)*(Mapa_RelIni&lt;$Q165)*(Mapa_RelFim&gt;$P165))&gt;1),"Sobreposição de horário na sala | ","")&amp;IFERROR(IF(AND(ISNUMBER($I165),$I165&gt;0,COUNTIF(Esp_Nome,$E165)&gt;0,$I165&gt;3*INDEX(Esp_Dur,MATCH($E165,Esp_Nome,0))),"Duração atípica (&gt;3x a média) | ",""),""))</f>
        <v/>
      </c>
      <c r="P165" s="19">
        <f>IF(NOT(ISNUMBER($C165)),0,ROUND(MOD($C165-Turno_Ini,1)*1440,0))</f>
        <v/>
      </c>
      <c r="Q165" s="19">
        <f>IF($J165&lt;=0,0,$P165+$I165)</f>
        <v/>
      </c>
      <c r="R165" s="19">
        <f>IF($K165="","",$B165&amp;"#"&amp;$A165&amp;"#"&amp;$K165)</f>
        <v/>
      </c>
      <c r="S165" s="19">
        <f>ROW()</f>
        <v/>
      </c>
      <c r="T165" s="19">
        <f>IF($J165&lt;=0,0,MAX(0,MIN($P165+$I165+Limpeza_Min,Turno_Min,IFERROR(INDEX(Mapa_RelIni,MATCH($B165&amp;"#"&amp;$A165&amp;"#"&amp;($K165+1),Mapa_Chave,0)),Turno_Min))-MIN($P165,Turno_Min)))</f>
        <v/>
      </c>
    </row>
    <row r="166">
      <c r="A166" s="30" t="n"/>
      <c r="B166" s="31" t="n"/>
      <c r="C166" s="32" t="n"/>
      <c r="D166" s="32" t="n"/>
      <c r="E166" s="33" t="n"/>
      <c r="F166" s="33" t="n"/>
      <c r="G166" s="33" t="n"/>
      <c r="H166" s="31" t="n"/>
      <c r="I166" s="20">
        <f>IF(OR($B166="",NOT(ISNUMBER($C166)),NOT(ISNUMBER($D166))),"",ROUND(MOD($D166-$C166,1)*1440,0))</f>
        <v/>
      </c>
      <c r="J166" s="20">
        <f>IF(NOT(ISNUMBER($I166)),0,IF(OR($I166&lt;=0,$H166="Cancelada",$H166="Suspensa"),0,$I166+Limpeza_Min))</f>
        <v/>
      </c>
      <c r="K166" s="20">
        <f>IF($J166&lt;=0,"",SUMPRODUCT((Mapa_Sala=$B166)*(Mapa_Data=$A166)*(Mapa_MinOcup&gt;0)*((Mapa_RelIni&lt;$P166)+((Mapa_RelIni=$P166)*(Mapa_Row&lt;=$S166)))))</f>
        <v/>
      </c>
      <c r="L166" s="34">
        <f>IF($J166&lt;=0,"",MOD(Turno_Ini+($Q166+Limpeza_Min)/1440,1))</f>
        <v/>
      </c>
      <c r="M166" s="20">
        <f>IF($J166&lt;=0,"",MAX(0,IFERROR(INDEX(Mapa_RelIni,MATCH($B166&amp;"#"&amp;$A166&amp;"#"&amp;($K166+1),Mapa_Chave,0)),Turno_Min)-($Q166+Limpeza_Min)))</f>
        <v/>
      </c>
      <c r="N166" s="14">
        <f>IF($B166="","",IF($O166="","OK",LEFT($O166,LEN($O166)-3)))</f>
        <v/>
      </c>
      <c r="O166" s="35">
        <f>IF($B166="","",IF(COUNTIF(Postos_Cod,$B166)=0,"Sala não cadastrada | ","")&amp;IF(AND(COUNTIF(Postos_Cod,$B166)&gt;0,IFERROR(INDEX(Postos_Tipo,MATCH($B166,Postos_Cod,0)),"")&lt;&gt;"Sala cirúrgica"),"Posto não é sala cirúrgica | ","")&amp;IF(COUNTIF(Esp_Nome,$E166)=0,"Especialidade não cadastrada | ","")&amp;IF(COUNTIF(Lista_StatusCir,$H166)=0,"Status inválido | ","")&amp;IF(OR(NOT(ISNUMBER($C166)),NOT(ISNUMBER($D166))),"Horário inválido | ","")&amp;IFERROR(IF(AND(ISNUMBER($C166),ISNUMBER($D166),MOD($D166-$C166,1)*1440&lt;=0),"Duração nula ou negativa | ",""),"")&amp;IF(AND($J166&gt;0,OR($P166&gt;=Turno_Min,$Q166&gt;Turno_Min)),"Fora da janela do plantão | ","")&amp;IF(AND($J166&gt;0,SUMPRODUCT((Mapa_Sala=$B166)*(Mapa_Data=$A166)*(Mapa_MinOcup&gt;0)*(Mapa_RelIni&lt;$Q166)*(Mapa_RelFim&gt;$P166))&gt;1),"Sobreposição de horário na sala | ","")&amp;IFERROR(IF(AND(ISNUMBER($I166),$I166&gt;0,COUNTIF(Esp_Nome,$E166)&gt;0,$I166&gt;3*INDEX(Esp_Dur,MATCH($E166,Esp_Nome,0))),"Duração atípica (&gt;3x a média) | ",""),""))</f>
        <v/>
      </c>
      <c r="P166" s="19">
        <f>IF(NOT(ISNUMBER($C166)),0,ROUND(MOD($C166-Turno_Ini,1)*1440,0))</f>
        <v/>
      </c>
      <c r="Q166" s="19">
        <f>IF($J166&lt;=0,0,$P166+$I166)</f>
        <v/>
      </c>
      <c r="R166" s="19">
        <f>IF($K166="","",$B166&amp;"#"&amp;$A166&amp;"#"&amp;$K166)</f>
        <v/>
      </c>
      <c r="S166" s="19">
        <f>ROW()</f>
        <v/>
      </c>
      <c r="T166" s="19">
        <f>IF($J166&lt;=0,0,MAX(0,MIN($P166+$I166+Limpeza_Min,Turno_Min,IFERROR(INDEX(Mapa_RelIni,MATCH($B166&amp;"#"&amp;$A166&amp;"#"&amp;($K166+1),Mapa_Chave,0)),Turno_Min))-MIN($P166,Turno_Min)))</f>
        <v/>
      </c>
    </row>
    <row r="167">
      <c r="A167" s="30" t="n"/>
      <c r="B167" s="31" t="n"/>
      <c r="C167" s="32" t="n"/>
      <c r="D167" s="32" t="n"/>
      <c r="E167" s="33" t="n"/>
      <c r="F167" s="33" t="n"/>
      <c r="G167" s="33" t="n"/>
      <c r="H167" s="31" t="n"/>
      <c r="I167" s="20">
        <f>IF(OR($B167="",NOT(ISNUMBER($C167)),NOT(ISNUMBER($D167))),"",ROUND(MOD($D167-$C167,1)*1440,0))</f>
        <v/>
      </c>
      <c r="J167" s="20">
        <f>IF(NOT(ISNUMBER($I167)),0,IF(OR($I167&lt;=0,$H167="Cancelada",$H167="Suspensa"),0,$I167+Limpeza_Min))</f>
        <v/>
      </c>
      <c r="K167" s="20">
        <f>IF($J167&lt;=0,"",SUMPRODUCT((Mapa_Sala=$B167)*(Mapa_Data=$A167)*(Mapa_MinOcup&gt;0)*((Mapa_RelIni&lt;$P167)+((Mapa_RelIni=$P167)*(Mapa_Row&lt;=$S167)))))</f>
        <v/>
      </c>
      <c r="L167" s="34">
        <f>IF($J167&lt;=0,"",MOD(Turno_Ini+($Q167+Limpeza_Min)/1440,1))</f>
        <v/>
      </c>
      <c r="M167" s="20">
        <f>IF($J167&lt;=0,"",MAX(0,IFERROR(INDEX(Mapa_RelIni,MATCH($B167&amp;"#"&amp;$A167&amp;"#"&amp;($K167+1),Mapa_Chave,0)),Turno_Min)-($Q167+Limpeza_Min)))</f>
        <v/>
      </c>
      <c r="N167" s="14">
        <f>IF($B167="","",IF($O167="","OK",LEFT($O167,LEN($O167)-3)))</f>
        <v/>
      </c>
      <c r="O167" s="35">
        <f>IF($B167="","",IF(COUNTIF(Postos_Cod,$B167)=0,"Sala não cadastrada | ","")&amp;IF(AND(COUNTIF(Postos_Cod,$B167)&gt;0,IFERROR(INDEX(Postos_Tipo,MATCH($B167,Postos_Cod,0)),"")&lt;&gt;"Sala cirúrgica"),"Posto não é sala cirúrgica | ","")&amp;IF(COUNTIF(Esp_Nome,$E167)=0,"Especialidade não cadastrada | ","")&amp;IF(COUNTIF(Lista_StatusCir,$H167)=0,"Status inválido | ","")&amp;IF(OR(NOT(ISNUMBER($C167)),NOT(ISNUMBER($D167))),"Horário inválido | ","")&amp;IFERROR(IF(AND(ISNUMBER($C167),ISNUMBER($D167),MOD($D167-$C167,1)*1440&lt;=0),"Duração nula ou negativa | ",""),"")&amp;IF(AND($J167&gt;0,OR($P167&gt;=Turno_Min,$Q167&gt;Turno_Min)),"Fora da janela do plantão | ","")&amp;IF(AND($J167&gt;0,SUMPRODUCT((Mapa_Sala=$B167)*(Mapa_Data=$A167)*(Mapa_MinOcup&gt;0)*(Mapa_RelIni&lt;$Q167)*(Mapa_RelFim&gt;$P167))&gt;1),"Sobreposição de horário na sala | ","")&amp;IFERROR(IF(AND(ISNUMBER($I167),$I167&gt;0,COUNTIF(Esp_Nome,$E167)&gt;0,$I167&gt;3*INDEX(Esp_Dur,MATCH($E167,Esp_Nome,0))),"Duração atípica (&gt;3x a média) | ",""),""))</f>
        <v/>
      </c>
      <c r="P167" s="19">
        <f>IF(NOT(ISNUMBER($C167)),0,ROUND(MOD($C167-Turno_Ini,1)*1440,0))</f>
        <v/>
      </c>
      <c r="Q167" s="19">
        <f>IF($J167&lt;=0,0,$P167+$I167)</f>
        <v/>
      </c>
      <c r="R167" s="19">
        <f>IF($K167="","",$B167&amp;"#"&amp;$A167&amp;"#"&amp;$K167)</f>
        <v/>
      </c>
      <c r="S167" s="19">
        <f>ROW()</f>
        <v/>
      </c>
      <c r="T167" s="19">
        <f>IF($J167&lt;=0,0,MAX(0,MIN($P167+$I167+Limpeza_Min,Turno_Min,IFERROR(INDEX(Mapa_RelIni,MATCH($B167&amp;"#"&amp;$A167&amp;"#"&amp;($K167+1),Mapa_Chave,0)),Turno_Min))-MIN($P167,Turno_Min)))</f>
        <v/>
      </c>
    </row>
    <row r="168">
      <c r="A168" s="30" t="n"/>
      <c r="B168" s="31" t="n"/>
      <c r="C168" s="32" t="n"/>
      <c r="D168" s="32" t="n"/>
      <c r="E168" s="33" t="n"/>
      <c r="F168" s="33" t="n"/>
      <c r="G168" s="33" t="n"/>
      <c r="H168" s="31" t="n"/>
      <c r="I168" s="20">
        <f>IF(OR($B168="",NOT(ISNUMBER($C168)),NOT(ISNUMBER($D168))),"",ROUND(MOD($D168-$C168,1)*1440,0))</f>
        <v/>
      </c>
      <c r="J168" s="20">
        <f>IF(NOT(ISNUMBER($I168)),0,IF(OR($I168&lt;=0,$H168="Cancelada",$H168="Suspensa"),0,$I168+Limpeza_Min))</f>
        <v/>
      </c>
      <c r="K168" s="20">
        <f>IF($J168&lt;=0,"",SUMPRODUCT((Mapa_Sala=$B168)*(Mapa_Data=$A168)*(Mapa_MinOcup&gt;0)*((Mapa_RelIni&lt;$P168)+((Mapa_RelIni=$P168)*(Mapa_Row&lt;=$S168)))))</f>
        <v/>
      </c>
      <c r="L168" s="34">
        <f>IF($J168&lt;=0,"",MOD(Turno_Ini+($Q168+Limpeza_Min)/1440,1))</f>
        <v/>
      </c>
      <c r="M168" s="20">
        <f>IF($J168&lt;=0,"",MAX(0,IFERROR(INDEX(Mapa_RelIni,MATCH($B168&amp;"#"&amp;$A168&amp;"#"&amp;($K168+1),Mapa_Chave,0)),Turno_Min)-($Q168+Limpeza_Min)))</f>
        <v/>
      </c>
      <c r="N168" s="14">
        <f>IF($B168="","",IF($O168="","OK",LEFT($O168,LEN($O168)-3)))</f>
        <v/>
      </c>
      <c r="O168" s="35">
        <f>IF($B168="","",IF(COUNTIF(Postos_Cod,$B168)=0,"Sala não cadastrada | ","")&amp;IF(AND(COUNTIF(Postos_Cod,$B168)&gt;0,IFERROR(INDEX(Postos_Tipo,MATCH($B168,Postos_Cod,0)),"")&lt;&gt;"Sala cirúrgica"),"Posto não é sala cirúrgica | ","")&amp;IF(COUNTIF(Esp_Nome,$E168)=0,"Especialidade não cadastrada | ","")&amp;IF(COUNTIF(Lista_StatusCir,$H168)=0,"Status inválido | ","")&amp;IF(OR(NOT(ISNUMBER($C168)),NOT(ISNUMBER($D168))),"Horário inválido | ","")&amp;IFERROR(IF(AND(ISNUMBER($C168),ISNUMBER($D168),MOD($D168-$C168,1)*1440&lt;=0),"Duração nula ou negativa | ",""),"")&amp;IF(AND($J168&gt;0,OR($P168&gt;=Turno_Min,$Q168&gt;Turno_Min)),"Fora da janela do plantão | ","")&amp;IF(AND($J168&gt;0,SUMPRODUCT((Mapa_Sala=$B168)*(Mapa_Data=$A168)*(Mapa_MinOcup&gt;0)*(Mapa_RelIni&lt;$Q168)*(Mapa_RelFim&gt;$P168))&gt;1),"Sobreposição de horário na sala | ","")&amp;IFERROR(IF(AND(ISNUMBER($I168),$I168&gt;0,COUNTIF(Esp_Nome,$E168)&gt;0,$I168&gt;3*INDEX(Esp_Dur,MATCH($E168,Esp_Nome,0))),"Duração atípica (&gt;3x a média) | ",""),""))</f>
        <v/>
      </c>
      <c r="P168" s="19">
        <f>IF(NOT(ISNUMBER($C168)),0,ROUND(MOD($C168-Turno_Ini,1)*1440,0))</f>
        <v/>
      </c>
      <c r="Q168" s="19">
        <f>IF($J168&lt;=0,0,$P168+$I168)</f>
        <v/>
      </c>
      <c r="R168" s="19">
        <f>IF($K168="","",$B168&amp;"#"&amp;$A168&amp;"#"&amp;$K168)</f>
        <v/>
      </c>
      <c r="S168" s="19">
        <f>ROW()</f>
        <v/>
      </c>
      <c r="T168" s="19">
        <f>IF($J168&lt;=0,0,MAX(0,MIN($P168+$I168+Limpeza_Min,Turno_Min,IFERROR(INDEX(Mapa_RelIni,MATCH($B168&amp;"#"&amp;$A168&amp;"#"&amp;($K168+1),Mapa_Chave,0)),Turno_Min))-MIN($P168,Turno_Min)))</f>
        <v/>
      </c>
    </row>
    <row r="169">
      <c r="A169" s="30" t="n"/>
      <c r="B169" s="31" t="n"/>
      <c r="C169" s="32" t="n"/>
      <c r="D169" s="32" t="n"/>
      <c r="E169" s="33" t="n"/>
      <c r="F169" s="33" t="n"/>
      <c r="G169" s="33" t="n"/>
      <c r="H169" s="31" t="n"/>
      <c r="I169" s="20">
        <f>IF(OR($B169="",NOT(ISNUMBER($C169)),NOT(ISNUMBER($D169))),"",ROUND(MOD($D169-$C169,1)*1440,0))</f>
        <v/>
      </c>
      <c r="J169" s="20">
        <f>IF(NOT(ISNUMBER($I169)),0,IF(OR($I169&lt;=0,$H169="Cancelada",$H169="Suspensa"),0,$I169+Limpeza_Min))</f>
        <v/>
      </c>
      <c r="K169" s="20">
        <f>IF($J169&lt;=0,"",SUMPRODUCT((Mapa_Sala=$B169)*(Mapa_Data=$A169)*(Mapa_MinOcup&gt;0)*((Mapa_RelIni&lt;$P169)+((Mapa_RelIni=$P169)*(Mapa_Row&lt;=$S169)))))</f>
        <v/>
      </c>
      <c r="L169" s="34">
        <f>IF($J169&lt;=0,"",MOD(Turno_Ini+($Q169+Limpeza_Min)/1440,1))</f>
        <v/>
      </c>
      <c r="M169" s="20">
        <f>IF($J169&lt;=0,"",MAX(0,IFERROR(INDEX(Mapa_RelIni,MATCH($B169&amp;"#"&amp;$A169&amp;"#"&amp;($K169+1),Mapa_Chave,0)),Turno_Min)-($Q169+Limpeza_Min)))</f>
        <v/>
      </c>
      <c r="N169" s="14">
        <f>IF($B169="","",IF($O169="","OK",LEFT($O169,LEN($O169)-3)))</f>
        <v/>
      </c>
      <c r="O169" s="35">
        <f>IF($B169="","",IF(COUNTIF(Postos_Cod,$B169)=0,"Sala não cadastrada | ","")&amp;IF(AND(COUNTIF(Postos_Cod,$B169)&gt;0,IFERROR(INDEX(Postos_Tipo,MATCH($B169,Postos_Cod,0)),"")&lt;&gt;"Sala cirúrgica"),"Posto não é sala cirúrgica | ","")&amp;IF(COUNTIF(Esp_Nome,$E169)=0,"Especialidade não cadastrada | ","")&amp;IF(COUNTIF(Lista_StatusCir,$H169)=0,"Status inválido | ","")&amp;IF(OR(NOT(ISNUMBER($C169)),NOT(ISNUMBER($D169))),"Horário inválido | ","")&amp;IFERROR(IF(AND(ISNUMBER($C169),ISNUMBER($D169),MOD($D169-$C169,1)*1440&lt;=0),"Duração nula ou negativa | ",""),"")&amp;IF(AND($J169&gt;0,OR($P169&gt;=Turno_Min,$Q169&gt;Turno_Min)),"Fora da janela do plantão | ","")&amp;IF(AND($J169&gt;0,SUMPRODUCT((Mapa_Sala=$B169)*(Mapa_Data=$A169)*(Mapa_MinOcup&gt;0)*(Mapa_RelIni&lt;$Q169)*(Mapa_RelFim&gt;$P169))&gt;1),"Sobreposição de horário na sala | ","")&amp;IFERROR(IF(AND(ISNUMBER($I169),$I169&gt;0,COUNTIF(Esp_Nome,$E169)&gt;0,$I169&gt;3*INDEX(Esp_Dur,MATCH($E169,Esp_Nome,0))),"Duração atípica (&gt;3x a média) | ",""),""))</f>
        <v/>
      </c>
      <c r="P169" s="19">
        <f>IF(NOT(ISNUMBER($C169)),0,ROUND(MOD($C169-Turno_Ini,1)*1440,0))</f>
        <v/>
      </c>
      <c r="Q169" s="19">
        <f>IF($J169&lt;=0,0,$P169+$I169)</f>
        <v/>
      </c>
      <c r="R169" s="19">
        <f>IF($K169="","",$B169&amp;"#"&amp;$A169&amp;"#"&amp;$K169)</f>
        <v/>
      </c>
      <c r="S169" s="19">
        <f>ROW()</f>
        <v/>
      </c>
      <c r="T169" s="19">
        <f>IF($J169&lt;=0,0,MAX(0,MIN($P169+$I169+Limpeza_Min,Turno_Min,IFERROR(INDEX(Mapa_RelIni,MATCH($B169&amp;"#"&amp;$A169&amp;"#"&amp;($K169+1),Mapa_Chave,0)),Turno_Min))-MIN($P169,Turno_Min)))</f>
        <v/>
      </c>
    </row>
    <row r="170">
      <c r="A170" s="30" t="n"/>
      <c r="B170" s="31" t="n"/>
      <c r="C170" s="32" t="n"/>
      <c r="D170" s="32" t="n"/>
      <c r="E170" s="33" t="n"/>
      <c r="F170" s="33" t="n"/>
      <c r="G170" s="33" t="n"/>
      <c r="H170" s="31" t="n"/>
      <c r="I170" s="20">
        <f>IF(OR($B170="",NOT(ISNUMBER($C170)),NOT(ISNUMBER($D170))),"",ROUND(MOD($D170-$C170,1)*1440,0))</f>
        <v/>
      </c>
      <c r="J170" s="20">
        <f>IF(NOT(ISNUMBER($I170)),0,IF(OR($I170&lt;=0,$H170="Cancelada",$H170="Suspensa"),0,$I170+Limpeza_Min))</f>
        <v/>
      </c>
      <c r="K170" s="20">
        <f>IF($J170&lt;=0,"",SUMPRODUCT((Mapa_Sala=$B170)*(Mapa_Data=$A170)*(Mapa_MinOcup&gt;0)*((Mapa_RelIni&lt;$P170)+((Mapa_RelIni=$P170)*(Mapa_Row&lt;=$S170)))))</f>
        <v/>
      </c>
      <c r="L170" s="34">
        <f>IF($J170&lt;=0,"",MOD(Turno_Ini+($Q170+Limpeza_Min)/1440,1))</f>
        <v/>
      </c>
      <c r="M170" s="20">
        <f>IF($J170&lt;=0,"",MAX(0,IFERROR(INDEX(Mapa_RelIni,MATCH($B170&amp;"#"&amp;$A170&amp;"#"&amp;($K170+1),Mapa_Chave,0)),Turno_Min)-($Q170+Limpeza_Min)))</f>
        <v/>
      </c>
      <c r="N170" s="14">
        <f>IF($B170="","",IF($O170="","OK",LEFT($O170,LEN($O170)-3)))</f>
        <v/>
      </c>
      <c r="O170" s="35">
        <f>IF($B170="","",IF(COUNTIF(Postos_Cod,$B170)=0,"Sala não cadastrada | ","")&amp;IF(AND(COUNTIF(Postos_Cod,$B170)&gt;0,IFERROR(INDEX(Postos_Tipo,MATCH($B170,Postos_Cod,0)),"")&lt;&gt;"Sala cirúrgica"),"Posto não é sala cirúrgica | ","")&amp;IF(COUNTIF(Esp_Nome,$E170)=0,"Especialidade não cadastrada | ","")&amp;IF(COUNTIF(Lista_StatusCir,$H170)=0,"Status inválido | ","")&amp;IF(OR(NOT(ISNUMBER($C170)),NOT(ISNUMBER($D170))),"Horário inválido | ","")&amp;IFERROR(IF(AND(ISNUMBER($C170),ISNUMBER($D170),MOD($D170-$C170,1)*1440&lt;=0),"Duração nula ou negativa | ",""),"")&amp;IF(AND($J170&gt;0,OR($P170&gt;=Turno_Min,$Q170&gt;Turno_Min)),"Fora da janela do plantão | ","")&amp;IF(AND($J170&gt;0,SUMPRODUCT((Mapa_Sala=$B170)*(Mapa_Data=$A170)*(Mapa_MinOcup&gt;0)*(Mapa_RelIni&lt;$Q170)*(Mapa_RelFim&gt;$P170))&gt;1),"Sobreposição de horário na sala | ","")&amp;IFERROR(IF(AND(ISNUMBER($I170),$I170&gt;0,COUNTIF(Esp_Nome,$E170)&gt;0,$I170&gt;3*INDEX(Esp_Dur,MATCH($E170,Esp_Nome,0))),"Duração atípica (&gt;3x a média) | ",""),""))</f>
        <v/>
      </c>
      <c r="P170" s="19">
        <f>IF(NOT(ISNUMBER($C170)),0,ROUND(MOD($C170-Turno_Ini,1)*1440,0))</f>
        <v/>
      </c>
      <c r="Q170" s="19">
        <f>IF($J170&lt;=0,0,$P170+$I170)</f>
        <v/>
      </c>
      <c r="R170" s="19">
        <f>IF($K170="","",$B170&amp;"#"&amp;$A170&amp;"#"&amp;$K170)</f>
        <v/>
      </c>
      <c r="S170" s="19">
        <f>ROW()</f>
        <v/>
      </c>
      <c r="T170" s="19">
        <f>IF($J170&lt;=0,0,MAX(0,MIN($P170+$I170+Limpeza_Min,Turno_Min,IFERROR(INDEX(Mapa_RelIni,MATCH($B170&amp;"#"&amp;$A170&amp;"#"&amp;($K170+1),Mapa_Chave,0)),Turno_Min))-MIN($P170,Turno_Min)))</f>
        <v/>
      </c>
    </row>
    <row r="171">
      <c r="A171" s="30" t="n"/>
      <c r="B171" s="31" t="n"/>
      <c r="C171" s="32" t="n"/>
      <c r="D171" s="32" t="n"/>
      <c r="E171" s="33" t="n"/>
      <c r="F171" s="33" t="n"/>
      <c r="G171" s="33" t="n"/>
      <c r="H171" s="31" t="n"/>
      <c r="I171" s="20">
        <f>IF(OR($B171="",NOT(ISNUMBER($C171)),NOT(ISNUMBER($D171))),"",ROUND(MOD($D171-$C171,1)*1440,0))</f>
        <v/>
      </c>
      <c r="J171" s="20">
        <f>IF(NOT(ISNUMBER($I171)),0,IF(OR($I171&lt;=0,$H171="Cancelada",$H171="Suspensa"),0,$I171+Limpeza_Min))</f>
        <v/>
      </c>
      <c r="K171" s="20">
        <f>IF($J171&lt;=0,"",SUMPRODUCT((Mapa_Sala=$B171)*(Mapa_Data=$A171)*(Mapa_MinOcup&gt;0)*((Mapa_RelIni&lt;$P171)+((Mapa_RelIni=$P171)*(Mapa_Row&lt;=$S171)))))</f>
        <v/>
      </c>
      <c r="L171" s="34">
        <f>IF($J171&lt;=0,"",MOD(Turno_Ini+($Q171+Limpeza_Min)/1440,1))</f>
        <v/>
      </c>
      <c r="M171" s="20">
        <f>IF($J171&lt;=0,"",MAX(0,IFERROR(INDEX(Mapa_RelIni,MATCH($B171&amp;"#"&amp;$A171&amp;"#"&amp;($K171+1),Mapa_Chave,0)),Turno_Min)-($Q171+Limpeza_Min)))</f>
        <v/>
      </c>
      <c r="N171" s="14">
        <f>IF($B171="","",IF($O171="","OK",LEFT($O171,LEN($O171)-3)))</f>
        <v/>
      </c>
      <c r="O171" s="35">
        <f>IF($B171="","",IF(COUNTIF(Postos_Cod,$B171)=0,"Sala não cadastrada | ","")&amp;IF(AND(COUNTIF(Postos_Cod,$B171)&gt;0,IFERROR(INDEX(Postos_Tipo,MATCH($B171,Postos_Cod,0)),"")&lt;&gt;"Sala cirúrgica"),"Posto não é sala cirúrgica | ","")&amp;IF(COUNTIF(Esp_Nome,$E171)=0,"Especialidade não cadastrada | ","")&amp;IF(COUNTIF(Lista_StatusCir,$H171)=0,"Status inválido | ","")&amp;IF(OR(NOT(ISNUMBER($C171)),NOT(ISNUMBER($D171))),"Horário inválido | ","")&amp;IFERROR(IF(AND(ISNUMBER($C171),ISNUMBER($D171),MOD($D171-$C171,1)*1440&lt;=0),"Duração nula ou negativa | ",""),"")&amp;IF(AND($J171&gt;0,OR($P171&gt;=Turno_Min,$Q171&gt;Turno_Min)),"Fora da janela do plantão | ","")&amp;IF(AND($J171&gt;0,SUMPRODUCT((Mapa_Sala=$B171)*(Mapa_Data=$A171)*(Mapa_MinOcup&gt;0)*(Mapa_RelIni&lt;$Q171)*(Mapa_RelFim&gt;$P171))&gt;1),"Sobreposição de horário na sala | ","")&amp;IFERROR(IF(AND(ISNUMBER($I171),$I171&gt;0,COUNTIF(Esp_Nome,$E171)&gt;0,$I171&gt;3*INDEX(Esp_Dur,MATCH($E171,Esp_Nome,0))),"Duração atípica (&gt;3x a média) | ",""),""))</f>
        <v/>
      </c>
      <c r="P171" s="19">
        <f>IF(NOT(ISNUMBER($C171)),0,ROUND(MOD($C171-Turno_Ini,1)*1440,0))</f>
        <v/>
      </c>
      <c r="Q171" s="19">
        <f>IF($J171&lt;=0,0,$P171+$I171)</f>
        <v/>
      </c>
      <c r="R171" s="19">
        <f>IF($K171="","",$B171&amp;"#"&amp;$A171&amp;"#"&amp;$K171)</f>
        <v/>
      </c>
      <c r="S171" s="19">
        <f>ROW()</f>
        <v/>
      </c>
      <c r="T171" s="19">
        <f>IF($J171&lt;=0,0,MAX(0,MIN($P171+$I171+Limpeza_Min,Turno_Min,IFERROR(INDEX(Mapa_RelIni,MATCH($B171&amp;"#"&amp;$A171&amp;"#"&amp;($K171+1),Mapa_Chave,0)),Turno_Min))-MIN($P171,Turno_Min)))</f>
        <v/>
      </c>
    </row>
    <row r="172">
      <c r="A172" s="30" t="n"/>
      <c r="B172" s="31" t="n"/>
      <c r="C172" s="32" t="n"/>
      <c r="D172" s="32" t="n"/>
      <c r="E172" s="33" t="n"/>
      <c r="F172" s="33" t="n"/>
      <c r="G172" s="33" t="n"/>
      <c r="H172" s="31" t="n"/>
      <c r="I172" s="20">
        <f>IF(OR($B172="",NOT(ISNUMBER($C172)),NOT(ISNUMBER($D172))),"",ROUND(MOD($D172-$C172,1)*1440,0))</f>
        <v/>
      </c>
      <c r="J172" s="20">
        <f>IF(NOT(ISNUMBER($I172)),0,IF(OR($I172&lt;=0,$H172="Cancelada",$H172="Suspensa"),0,$I172+Limpeza_Min))</f>
        <v/>
      </c>
      <c r="K172" s="20">
        <f>IF($J172&lt;=0,"",SUMPRODUCT((Mapa_Sala=$B172)*(Mapa_Data=$A172)*(Mapa_MinOcup&gt;0)*((Mapa_RelIni&lt;$P172)+((Mapa_RelIni=$P172)*(Mapa_Row&lt;=$S172)))))</f>
        <v/>
      </c>
      <c r="L172" s="34">
        <f>IF($J172&lt;=0,"",MOD(Turno_Ini+($Q172+Limpeza_Min)/1440,1))</f>
        <v/>
      </c>
      <c r="M172" s="20">
        <f>IF($J172&lt;=0,"",MAX(0,IFERROR(INDEX(Mapa_RelIni,MATCH($B172&amp;"#"&amp;$A172&amp;"#"&amp;($K172+1),Mapa_Chave,0)),Turno_Min)-($Q172+Limpeza_Min)))</f>
        <v/>
      </c>
      <c r="N172" s="14">
        <f>IF($B172="","",IF($O172="","OK",LEFT($O172,LEN($O172)-3)))</f>
        <v/>
      </c>
      <c r="O172" s="35">
        <f>IF($B172="","",IF(COUNTIF(Postos_Cod,$B172)=0,"Sala não cadastrada | ","")&amp;IF(AND(COUNTIF(Postos_Cod,$B172)&gt;0,IFERROR(INDEX(Postos_Tipo,MATCH($B172,Postos_Cod,0)),"")&lt;&gt;"Sala cirúrgica"),"Posto não é sala cirúrgica | ","")&amp;IF(COUNTIF(Esp_Nome,$E172)=0,"Especialidade não cadastrada | ","")&amp;IF(COUNTIF(Lista_StatusCir,$H172)=0,"Status inválido | ","")&amp;IF(OR(NOT(ISNUMBER($C172)),NOT(ISNUMBER($D172))),"Horário inválido | ","")&amp;IFERROR(IF(AND(ISNUMBER($C172),ISNUMBER($D172),MOD($D172-$C172,1)*1440&lt;=0),"Duração nula ou negativa | ",""),"")&amp;IF(AND($J172&gt;0,OR($P172&gt;=Turno_Min,$Q172&gt;Turno_Min)),"Fora da janela do plantão | ","")&amp;IF(AND($J172&gt;0,SUMPRODUCT((Mapa_Sala=$B172)*(Mapa_Data=$A172)*(Mapa_MinOcup&gt;0)*(Mapa_RelIni&lt;$Q172)*(Mapa_RelFim&gt;$P172))&gt;1),"Sobreposição de horário na sala | ","")&amp;IFERROR(IF(AND(ISNUMBER($I172),$I172&gt;0,COUNTIF(Esp_Nome,$E172)&gt;0,$I172&gt;3*INDEX(Esp_Dur,MATCH($E172,Esp_Nome,0))),"Duração atípica (&gt;3x a média) | ",""),""))</f>
        <v/>
      </c>
      <c r="P172" s="19">
        <f>IF(NOT(ISNUMBER($C172)),0,ROUND(MOD($C172-Turno_Ini,1)*1440,0))</f>
        <v/>
      </c>
      <c r="Q172" s="19">
        <f>IF($J172&lt;=0,0,$P172+$I172)</f>
        <v/>
      </c>
      <c r="R172" s="19">
        <f>IF($K172="","",$B172&amp;"#"&amp;$A172&amp;"#"&amp;$K172)</f>
        <v/>
      </c>
      <c r="S172" s="19">
        <f>ROW()</f>
        <v/>
      </c>
      <c r="T172" s="19">
        <f>IF($J172&lt;=0,0,MAX(0,MIN($P172+$I172+Limpeza_Min,Turno_Min,IFERROR(INDEX(Mapa_RelIni,MATCH($B172&amp;"#"&amp;$A172&amp;"#"&amp;($K172+1),Mapa_Chave,0)),Turno_Min))-MIN($P172,Turno_Min)))</f>
        <v/>
      </c>
    </row>
    <row r="173">
      <c r="A173" s="30" t="n"/>
      <c r="B173" s="31" t="n"/>
      <c r="C173" s="32" t="n"/>
      <c r="D173" s="32" t="n"/>
      <c r="E173" s="33" t="n"/>
      <c r="F173" s="33" t="n"/>
      <c r="G173" s="33" t="n"/>
      <c r="H173" s="31" t="n"/>
      <c r="I173" s="20">
        <f>IF(OR($B173="",NOT(ISNUMBER($C173)),NOT(ISNUMBER($D173))),"",ROUND(MOD($D173-$C173,1)*1440,0))</f>
        <v/>
      </c>
      <c r="J173" s="20">
        <f>IF(NOT(ISNUMBER($I173)),0,IF(OR($I173&lt;=0,$H173="Cancelada",$H173="Suspensa"),0,$I173+Limpeza_Min))</f>
        <v/>
      </c>
      <c r="K173" s="20">
        <f>IF($J173&lt;=0,"",SUMPRODUCT((Mapa_Sala=$B173)*(Mapa_Data=$A173)*(Mapa_MinOcup&gt;0)*((Mapa_RelIni&lt;$P173)+((Mapa_RelIni=$P173)*(Mapa_Row&lt;=$S173)))))</f>
        <v/>
      </c>
      <c r="L173" s="34">
        <f>IF($J173&lt;=0,"",MOD(Turno_Ini+($Q173+Limpeza_Min)/1440,1))</f>
        <v/>
      </c>
      <c r="M173" s="20">
        <f>IF($J173&lt;=0,"",MAX(0,IFERROR(INDEX(Mapa_RelIni,MATCH($B173&amp;"#"&amp;$A173&amp;"#"&amp;($K173+1),Mapa_Chave,0)),Turno_Min)-($Q173+Limpeza_Min)))</f>
        <v/>
      </c>
      <c r="N173" s="14">
        <f>IF($B173="","",IF($O173="","OK",LEFT($O173,LEN($O173)-3)))</f>
        <v/>
      </c>
      <c r="O173" s="35">
        <f>IF($B173="","",IF(COUNTIF(Postos_Cod,$B173)=0,"Sala não cadastrada | ","")&amp;IF(AND(COUNTIF(Postos_Cod,$B173)&gt;0,IFERROR(INDEX(Postos_Tipo,MATCH($B173,Postos_Cod,0)),"")&lt;&gt;"Sala cirúrgica"),"Posto não é sala cirúrgica | ","")&amp;IF(COUNTIF(Esp_Nome,$E173)=0,"Especialidade não cadastrada | ","")&amp;IF(COUNTIF(Lista_StatusCir,$H173)=0,"Status inválido | ","")&amp;IF(OR(NOT(ISNUMBER($C173)),NOT(ISNUMBER($D173))),"Horário inválido | ","")&amp;IFERROR(IF(AND(ISNUMBER($C173),ISNUMBER($D173),MOD($D173-$C173,1)*1440&lt;=0),"Duração nula ou negativa | ",""),"")&amp;IF(AND($J173&gt;0,OR($P173&gt;=Turno_Min,$Q173&gt;Turno_Min)),"Fora da janela do plantão | ","")&amp;IF(AND($J173&gt;0,SUMPRODUCT((Mapa_Sala=$B173)*(Mapa_Data=$A173)*(Mapa_MinOcup&gt;0)*(Mapa_RelIni&lt;$Q173)*(Mapa_RelFim&gt;$P173))&gt;1),"Sobreposição de horário na sala | ","")&amp;IFERROR(IF(AND(ISNUMBER($I173),$I173&gt;0,COUNTIF(Esp_Nome,$E173)&gt;0,$I173&gt;3*INDEX(Esp_Dur,MATCH($E173,Esp_Nome,0))),"Duração atípica (&gt;3x a média) | ",""),""))</f>
        <v/>
      </c>
      <c r="P173" s="19">
        <f>IF(NOT(ISNUMBER($C173)),0,ROUND(MOD($C173-Turno_Ini,1)*1440,0))</f>
        <v/>
      </c>
      <c r="Q173" s="19">
        <f>IF($J173&lt;=0,0,$P173+$I173)</f>
        <v/>
      </c>
      <c r="R173" s="19">
        <f>IF($K173="","",$B173&amp;"#"&amp;$A173&amp;"#"&amp;$K173)</f>
        <v/>
      </c>
      <c r="S173" s="19">
        <f>ROW()</f>
        <v/>
      </c>
      <c r="T173" s="19">
        <f>IF($J173&lt;=0,0,MAX(0,MIN($P173+$I173+Limpeza_Min,Turno_Min,IFERROR(INDEX(Mapa_RelIni,MATCH($B173&amp;"#"&amp;$A173&amp;"#"&amp;($K173+1),Mapa_Chave,0)),Turno_Min))-MIN($P173,Turno_Min)))</f>
        <v/>
      </c>
    </row>
    <row r="174">
      <c r="A174" s="30" t="n"/>
      <c r="B174" s="31" t="n"/>
      <c r="C174" s="32" t="n"/>
      <c r="D174" s="32" t="n"/>
      <c r="E174" s="33" t="n"/>
      <c r="F174" s="33" t="n"/>
      <c r="G174" s="33" t="n"/>
      <c r="H174" s="31" t="n"/>
      <c r="I174" s="20">
        <f>IF(OR($B174="",NOT(ISNUMBER($C174)),NOT(ISNUMBER($D174))),"",ROUND(MOD($D174-$C174,1)*1440,0))</f>
        <v/>
      </c>
      <c r="J174" s="20">
        <f>IF(NOT(ISNUMBER($I174)),0,IF(OR($I174&lt;=0,$H174="Cancelada",$H174="Suspensa"),0,$I174+Limpeza_Min))</f>
        <v/>
      </c>
      <c r="K174" s="20">
        <f>IF($J174&lt;=0,"",SUMPRODUCT((Mapa_Sala=$B174)*(Mapa_Data=$A174)*(Mapa_MinOcup&gt;0)*((Mapa_RelIni&lt;$P174)+((Mapa_RelIni=$P174)*(Mapa_Row&lt;=$S174)))))</f>
        <v/>
      </c>
      <c r="L174" s="34">
        <f>IF($J174&lt;=0,"",MOD(Turno_Ini+($Q174+Limpeza_Min)/1440,1))</f>
        <v/>
      </c>
      <c r="M174" s="20">
        <f>IF($J174&lt;=0,"",MAX(0,IFERROR(INDEX(Mapa_RelIni,MATCH($B174&amp;"#"&amp;$A174&amp;"#"&amp;($K174+1),Mapa_Chave,0)),Turno_Min)-($Q174+Limpeza_Min)))</f>
        <v/>
      </c>
      <c r="N174" s="14">
        <f>IF($B174="","",IF($O174="","OK",LEFT($O174,LEN($O174)-3)))</f>
        <v/>
      </c>
      <c r="O174" s="35">
        <f>IF($B174="","",IF(COUNTIF(Postos_Cod,$B174)=0,"Sala não cadastrada | ","")&amp;IF(AND(COUNTIF(Postos_Cod,$B174)&gt;0,IFERROR(INDEX(Postos_Tipo,MATCH($B174,Postos_Cod,0)),"")&lt;&gt;"Sala cirúrgica"),"Posto não é sala cirúrgica | ","")&amp;IF(COUNTIF(Esp_Nome,$E174)=0,"Especialidade não cadastrada | ","")&amp;IF(COUNTIF(Lista_StatusCir,$H174)=0,"Status inválido | ","")&amp;IF(OR(NOT(ISNUMBER($C174)),NOT(ISNUMBER($D174))),"Horário inválido | ","")&amp;IFERROR(IF(AND(ISNUMBER($C174),ISNUMBER($D174),MOD($D174-$C174,1)*1440&lt;=0),"Duração nula ou negativa | ",""),"")&amp;IF(AND($J174&gt;0,OR($P174&gt;=Turno_Min,$Q174&gt;Turno_Min)),"Fora da janela do plantão | ","")&amp;IF(AND($J174&gt;0,SUMPRODUCT((Mapa_Sala=$B174)*(Mapa_Data=$A174)*(Mapa_MinOcup&gt;0)*(Mapa_RelIni&lt;$Q174)*(Mapa_RelFim&gt;$P174))&gt;1),"Sobreposição de horário na sala | ","")&amp;IFERROR(IF(AND(ISNUMBER($I174),$I174&gt;0,COUNTIF(Esp_Nome,$E174)&gt;0,$I174&gt;3*INDEX(Esp_Dur,MATCH($E174,Esp_Nome,0))),"Duração atípica (&gt;3x a média) | ",""),""))</f>
        <v/>
      </c>
      <c r="P174" s="19">
        <f>IF(NOT(ISNUMBER($C174)),0,ROUND(MOD($C174-Turno_Ini,1)*1440,0))</f>
        <v/>
      </c>
      <c r="Q174" s="19">
        <f>IF($J174&lt;=0,0,$P174+$I174)</f>
        <v/>
      </c>
      <c r="R174" s="19">
        <f>IF($K174="","",$B174&amp;"#"&amp;$A174&amp;"#"&amp;$K174)</f>
        <v/>
      </c>
      <c r="S174" s="19">
        <f>ROW()</f>
        <v/>
      </c>
      <c r="T174" s="19">
        <f>IF($J174&lt;=0,0,MAX(0,MIN($P174+$I174+Limpeza_Min,Turno_Min,IFERROR(INDEX(Mapa_RelIni,MATCH($B174&amp;"#"&amp;$A174&amp;"#"&amp;($K174+1),Mapa_Chave,0)),Turno_Min))-MIN($P174,Turno_Min)))</f>
        <v/>
      </c>
    </row>
    <row r="175">
      <c r="A175" s="30" t="n"/>
      <c r="B175" s="31" t="n"/>
      <c r="C175" s="32" t="n"/>
      <c r="D175" s="32" t="n"/>
      <c r="E175" s="33" t="n"/>
      <c r="F175" s="33" t="n"/>
      <c r="G175" s="33" t="n"/>
      <c r="H175" s="31" t="n"/>
      <c r="I175" s="20">
        <f>IF(OR($B175="",NOT(ISNUMBER($C175)),NOT(ISNUMBER($D175))),"",ROUND(MOD($D175-$C175,1)*1440,0))</f>
        <v/>
      </c>
      <c r="J175" s="20">
        <f>IF(NOT(ISNUMBER($I175)),0,IF(OR($I175&lt;=0,$H175="Cancelada",$H175="Suspensa"),0,$I175+Limpeza_Min))</f>
        <v/>
      </c>
      <c r="K175" s="20">
        <f>IF($J175&lt;=0,"",SUMPRODUCT((Mapa_Sala=$B175)*(Mapa_Data=$A175)*(Mapa_MinOcup&gt;0)*((Mapa_RelIni&lt;$P175)+((Mapa_RelIni=$P175)*(Mapa_Row&lt;=$S175)))))</f>
        <v/>
      </c>
      <c r="L175" s="34">
        <f>IF($J175&lt;=0,"",MOD(Turno_Ini+($Q175+Limpeza_Min)/1440,1))</f>
        <v/>
      </c>
      <c r="M175" s="20">
        <f>IF($J175&lt;=0,"",MAX(0,IFERROR(INDEX(Mapa_RelIni,MATCH($B175&amp;"#"&amp;$A175&amp;"#"&amp;($K175+1),Mapa_Chave,0)),Turno_Min)-($Q175+Limpeza_Min)))</f>
        <v/>
      </c>
      <c r="N175" s="14">
        <f>IF($B175="","",IF($O175="","OK",LEFT($O175,LEN($O175)-3)))</f>
        <v/>
      </c>
      <c r="O175" s="35">
        <f>IF($B175="","",IF(COUNTIF(Postos_Cod,$B175)=0,"Sala não cadastrada | ","")&amp;IF(AND(COUNTIF(Postos_Cod,$B175)&gt;0,IFERROR(INDEX(Postos_Tipo,MATCH($B175,Postos_Cod,0)),"")&lt;&gt;"Sala cirúrgica"),"Posto não é sala cirúrgica | ","")&amp;IF(COUNTIF(Esp_Nome,$E175)=0,"Especialidade não cadastrada | ","")&amp;IF(COUNTIF(Lista_StatusCir,$H175)=0,"Status inválido | ","")&amp;IF(OR(NOT(ISNUMBER($C175)),NOT(ISNUMBER($D175))),"Horário inválido | ","")&amp;IFERROR(IF(AND(ISNUMBER($C175),ISNUMBER($D175),MOD($D175-$C175,1)*1440&lt;=0),"Duração nula ou negativa | ",""),"")&amp;IF(AND($J175&gt;0,OR($P175&gt;=Turno_Min,$Q175&gt;Turno_Min)),"Fora da janela do plantão | ","")&amp;IF(AND($J175&gt;0,SUMPRODUCT((Mapa_Sala=$B175)*(Mapa_Data=$A175)*(Mapa_MinOcup&gt;0)*(Mapa_RelIni&lt;$Q175)*(Mapa_RelFim&gt;$P175))&gt;1),"Sobreposição de horário na sala | ","")&amp;IFERROR(IF(AND(ISNUMBER($I175),$I175&gt;0,COUNTIF(Esp_Nome,$E175)&gt;0,$I175&gt;3*INDEX(Esp_Dur,MATCH($E175,Esp_Nome,0))),"Duração atípica (&gt;3x a média) | ",""),""))</f>
        <v/>
      </c>
      <c r="P175" s="19">
        <f>IF(NOT(ISNUMBER($C175)),0,ROUND(MOD($C175-Turno_Ini,1)*1440,0))</f>
        <v/>
      </c>
      <c r="Q175" s="19">
        <f>IF($J175&lt;=0,0,$P175+$I175)</f>
        <v/>
      </c>
      <c r="R175" s="19">
        <f>IF($K175="","",$B175&amp;"#"&amp;$A175&amp;"#"&amp;$K175)</f>
        <v/>
      </c>
      <c r="S175" s="19">
        <f>ROW()</f>
        <v/>
      </c>
      <c r="T175" s="19">
        <f>IF($J175&lt;=0,0,MAX(0,MIN($P175+$I175+Limpeza_Min,Turno_Min,IFERROR(INDEX(Mapa_RelIni,MATCH($B175&amp;"#"&amp;$A175&amp;"#"&amp;($K175+1),Mapa_Chave,0)),Turno_Min))-MIN($P175,Turno_Min)))</f>
        <v/>
      </c>
    </row>
    <row r="176">
      <c r="A176" s="30" t="n"/>
      <c r="B176" s="31" t="n"/>
      <c r="C176" s="32" t="n"/>
      <c r="D176" s="32" t="n"/>
      <c r="E176" s="33" t="n"/>
      <c r="F176" s="33" t="n"/>
      <c r="G176" s="33" t="n"/>
      <c r="H176" s="31" t="n"/>
      <c r="I176" s="20">
        <f>IF(OR($B176="",NOT(ISNUMBER($C176)),NOT(ISNUMBER($D176))),"",ROUND(MOD($D176-$C176,1)*1440,0))</f>
        <v/>
      </c>
      <c r="J176" s="20">
        <f>IF(NOT(ISNUMBER($I176)),0,IF(OR($I176&lt;=0,$H176="Cancelada",$H176="Suspensa"),0,$I176+Limpeza_Min))</f>
        <v/>
      </c>
      <c r="K176" s="20">
        <f>IF($J176&lt;=0,"",SUMPRODUCT((Mapa_Sala=$B176)*(Mapa_Data=$A176)*(Mapa_MinOcup&gt;0)*((Mapa_RelIni&lt;$P176)+((Mapa_RelIni=$P176)*(Mapa_Row&lt;=$S176)))))</f>
        <v/>
      </c>
      <c r="L176" s="34">
        <f>IF($J176&lt;=0,"",MOD(Turno_Ini+($Q176+Limpeza_Min)/1440,1))</f>
        <v/>
      </c>
      <c r="M176" s="20">
        <f>IF($J176&lt;=0,"",MAX(0,IFERROR(INDEX(Mapa_RelIni,MATCH($B176&amp;"#"&amp;$A176&amp;"#"&amp;($K176+1),Mapa_Chave,0)),Turno_Min)-($Q176+Limpeza_Min)))</f>
        <v/>
      </c>
      <c r="N176" s="14">
        <f>IF($B176="","",IF($O176="","OK",LEFT($O176,LEN($O176)-3)))</f>
        <v/>
      </c>
      <c r="O176" s="35">
        <f>IF($B176="","",IF(COUNTIF(Postos_Cod,$B176)=0,"Sala não cadastrada | ","")&amp;IF(AND(COUNTIF(Postos_Cod,$B176)&gt;0,IFERROR(INDEX(Postos_Tipo,MATCH($B176,Postos_Cod,0)),"")&lt;&gt;"Sala cirúrgica"),"Posto não é sala cirúrgica | ","")&amp;IF(COUNTIF(Esp_Nome,$E176)=0,"Especialidade não cadastrada | ","")&amp;IF(COUNTIF(Lista_StatusCir,$H176)=0,"Status inválido | ","")&amp;IF(OR(NOT(ISNUMBER($C176)),NOT(ISNUMBER($D176))),"Horário inválido | ","")&amp;IFERROR(IF(AND(ISNUMBER($C176),ISNUMBER($D176),MOD($D176-$C176,1)*1440&lt;=0),"Duração nula ou negativa | ",""),"")&amp;IF(AND($J176&gt;0,OR($P176&gt;=Turno_Min,$Q176&gt;Turno_Min)),"Fora da janela do plantão | ","")&amp;IF(AND($J176&gt;0,SUMPRODUCT((Mapa_Sala=$B176)*(Mapa_Data=$A176)*(Mapa_MinOcup&gt;0)*(Mapa_RelIni&lt;$Q176)*(Mapa_RelFim&gt;$P176))&gt;1),"Sobreposição de horário na sala | ","")&amp;IFERROR(IF(AND(ISNUMBER($I176),$I176&gt;0,COUNTIF(Esp_Nome,$E176)&gt;0,$I176&gt;3*INDEX(Esp_Dur,MATCH($E176,Esp_Nome,0))),"Duração atípica (&gt;3x a média) | ",""),""))</f>
        <v/>
      </c>
      <c r="P176" s="19">
        <f>IF(NOT(ISNUMBER($C176)),0,ROUND(MOD($C176-Turno_Ini,1)*1440,0))</f>
        <v/>
      </c>
      <c r="Q176" s="19">
        <f>IF($J176&lt;=0,0,$P176+$I176)</f>
        <v/>
      </c>
      <c r="R176" s="19">
        <f>IF($K176="","",$B176&amp;"#"&amp;$A176&amp;"#"&amp;$K176)</f>
        <v/>
      </c>
      <c r="S176" s="19">
        <f>ROW()</f>
        <v/>
      </c>
      <c r="T176" s="19">
        <f>IF($J176&lt;=0,0,MAX(0,MIN($P176+$I176+Limpeza_Min,Turno_Min,IFERROR(INDEX(Mapa_RelIni,MATCH($B176&amp;"#"&amp;$A176&amp;"#"&amp;($K176+1),Mapa_Chave,0)),Turno_Min))-MIN($P176,Turno_Min)))</f>
        <v/>
      </c>
    </row>
    <row r="177">
      <c r="A177" s="30" t="n"/>
      <c r="B177" s="31" t="n"/>
      <c r="C177" s="32" t="n"/>
      <c r="D177" s="32" t="n"/>
      <c r="E177" s="33" t="n"/>
      <c r="F177" s="33" t="n"/>
      <c r="G177" s="33" t="n"/>
      <c r="H177" s="31" t="n"/>
      <c r="I177" s="20">
        <f>IF(OR($B177="",NOT(ISNUMBER($C177)),NOT(ISNUMBER($D177))),"",ROUND(MOD($D177-$C177,1)*1440,0))</f>
        <v/>
      </c>
      <c r="J177" s="20">
        <f>IF(NOT(ISNUMBER($I177)),0,IF(OR($I177&lt;=0,$H177="Cancelada",$H177="Suspensa"),0,$I177+Limpeza_Min))</f>
        <v/>
      </c>
      <c r="K177" s="20">
        <f>IF($J177&lt;=0,"",SUMPRODUCT((Mapa_Sala=$B177)*(Mapa_Data=$A177)*(Mapa_MinOcup&gt;0)*((Mapa_RelIni&lt;$P177)+((Mapa_RelIni=$P177)*(Mapa_Row&lt;=$S177)))))</f>
        <v/>
      </c>
      <c r="L177" s="34">
        <f>IF($J177&lt;=0,"",MOD(Turno_Ini+($Q177+Limpeza_Min)/1440,1))</f>
        <v/>
      </c>
      <c r="M177" s="20">
        <f>IF($J177&lt;=0,"",MAX(0,IFERROR(INDEX(Mapa_RelIni,MATCH($B177&amp;"#"&amp;$A177&amp;"#"&amp;($K177+1),Mapa_Chave,0)),Turno_Min)-($Q177+Limpeza_Min)))</f>
        <v/>
      </c>
      <c r="N177" s="14">
        <f>IF($B177="","",IF($O177="","OK",LEFT($O177,LEN($O177)-3)))</f>
        <v/>
      </c>
      <c r="O177" s="35">
        <f>IF($B177="","",IF(COUNTIF(Postos_Cod,$B177)=0,"Sala não cadastrada | ","")&amp;IF(AND(COUNTIF(Postos_Cod,$B177)&gt;0,IFERROR(INDEX(Postos_Tipo,MATCH($B177,Postos_Cod,0)),"")&lt;&gt;"Sala cirúrgica"),"Posto não é sala cirúrgica | ","")&amp;IF(COUNTIF(Esp_Nome,$E177)=0,"Especialidade não cadastrada | ","")&amp;IF(COUNTIF(Lista_StatusCir,$H177)=0,"Status inválido | ","")&amp;IF(OR(NOT(ISNUMBER($C177)),NOT(ISNUMBER($D177))),"Horário inválido | ","")&amp;IFERROR(IF(AND(ISNUMBER($C177),ISNUMBER($D177),MOD($D177-$C177,1)*1440&lt;=0),"Duração nula ou negativa | ",""),"")&amp;IF(AND($J177&gt;0,OR($P177&gt;=Turno_Min,$Q177&gt;Turno_Min)),"Fora da janela do plantão | ","")&amp;IF(AND($J177&gt;0,SUMPRODUCT((Mapa_Sala=$B177)*(Mapa_Data=$A177)*(Mapa_MinOcup&gt;0)*(Mapa_RelIni&lt;$Q177)*(Mapa_RelFim&gt;$P177))&gt;1),"Sobreposição de horário na sala | ","")&amp;IFERROR(IF(AND(ISNUMBER($I177),$I177&gt;0,COUNTIF(Esp_Nome,$E177)&gt;0,$I177&gt;3*INDEX(Esp_Dur,MATCH($E177,Esp_Nome,0))),"Duração atípica (&gt;3x a média) | ",""),""))</f>
        <v/>
      </c>
      <c r="P177" s="19">
        <f>IF(NOT(ISNUMBER($C177)),0,ROUND(MOD($C177-Turno_Ini,1)*1440,0))</f>
        <v/>
      </c>
      <c r="Q177" s="19">
        <f>IF($J177&lt;=0,0,$P177+$I177)</f>
        <v/>
      </c>
      <c r="R177" s="19">
        <f>IF($K177="","",$B177&amp;"#"&amp;$A177&amp;"#"&amp;$K177)</f>
        <v/>
      </c>
      <c r="S177" s="19">
        <f>ROW()</f>
        <v/>
      </c>
      <c r="T177" s="19">
        <f>IF($J177&lt;=0,0,MAX(0,MIN($P177+$I177+Limpeza_Min,Turno_Min,IFERROR(INDEX(Mapa_RelIni,MATCH($B177&amp;"#"&amp;$A177&amp;"#"&amp;($K177+1),Mapa_Chave,0)),Turno_Min))-MIN($P177,Turno_Min)))</f>
        <v/>
      </c>
    </row>
    <row r="178">
      <c r="A178" s="30" t="n"/>
      <c r="B178" s="31" t="n"/>
      <c r="C178" s="32" t="n"/>
      <c r="D178" s="32" t="n"/>
      <c r="E178" s="33" t="n"/>
      <c r="F178" s="33" t="n"/>
      <c r="G178" s="33" t="n"/>
      <c r="H178" s="31" t="n"/>
      <c r="I178" s="20">
        <f>IF(OR($B178="",NOT(ISNUMBER($C178)),NOT(ISNUMBER($D178))),"",ROUND(MOD($D178-$C178,1)*1440,0))</f>
        <v/>
      </c>
      <c r="J178" s="20">
        <f>IF(NOT(ISNUMBER($I178)),0,IF(OR($I178&lt;=0,$H178="Cancelada",$H178="Suspensa"),0,$I178+Limpeza_Min))</f>
        <v/>
      </c>
      <c r="K178" s="20">
        <f>IF($J178&lt;=0,"",SUMPRODUCT((Mapa_Sala=$B178)*(Mapa_Data=$A178)*(Mapa_MinOcup&gt;0)*((Mapa_RelIni&lt;$P178)+((Mapa_RelIni=$P178)*(Mapa_Row&lt;=$S178)))))</f>
        <v/>
      </c>
      <c r="L178" s="34">
        <f>IF($J178&lt;=0,"",MOD(Turno_Ini+($Q178+Limpeza_Min)/1440,1))</f>
        <v/>
      </c>
      <c r="M178" s="20">
        <f>IF($J178&lt;=0,"",MAX(0,IFERROR(INDEX(Mapa_RelIni,MATCH($B178&amp;"#"&amp;$A178&amp;"#"&amp;($K178+1),Mapa_Chave,0)),Turno_Min)-($Q178+Limpeza_Min)))</f>
        <v/>
      </c>
      <c r="N178" s="14">
        <f>IF($B178="","",IF($O178="","OK",LEFT($O178,LEN($O178)-3)))</f>
        <v/>
      </c>
      <c r="O178" s="35">
        <f>IF($B178="","",IF(COUNTIF(Postos_Cod,$B178)=0,"Sala não cadastrada | ","")&amp;IF(AND(COUNTIF(Postos_Cod,$B178)&gt;0,IFERROR(INDEX(Postos_Tipo,MATCH($B178,Postos_Cod,0)),"")&lt;&gt;"Sala cirúrgica"),"Posto não é sala cirúrgica | ","")&amp;IF(COUNTIF(Esp_Nome,$E178)=0,"Especialidade não cadastrada | ","")&amp;IF(COUNTIF(Lista_StatusCir,$H178)=0,"Status inválido | ","")&amp;IF(OR(NOT(ISNUMBER($C178)),NOT(ISNUMBER($D178))),"Horário inválido | ","")&amp;IFERROR(IF(AND(ISNUMBER($C178),ISNUMBER($D178),MOD($D178-$C178,1)*1440&lt;=0),"Duração nula ou negativa | ",""),"")&amp;IF(AND($J178&gt;0,OR($P178&gt;=Turno_Min,$Q178&gt;Turno_Min)),"Fora da janela do plantão | ","")&amp;IF(AND($J178&gt;0,SUMPRODUCT((Mapa_Sala=$B178)*(Mapa_Data=$A178)*(Mapa_MinOcup&gt;0)*(Mapa_RelIni&lt;$Q178)*(Mapa_RelFim&gt;$P178))&gt;1),"Sobreposição de horário na sala | ","")&amp;IFERROR(IF(AND(ISNUMBER($I178),$I178&gt;0,COUNTIF(Esp_Nome,$E178)&gt;0,$I178&gt;3*INDEX(Esp_Dur,MATCH($E178,Esp_Nome,0))),"Duração atípica (&gt;3x a média) | ",""),""))</f>
        <v/>
      </c>
      <c r="P178" s="19">
        <f>IF(NOT(ISNUMBER($C178)),0,ROUND(MOD($C178-Turno_Ini,1)*1440,0))</f>
        <v/>
      </c>
      <c r="Q178" s="19">
        <f>IF($J178&lt;=0,0,$P178+$I178)</f>
        <v/>
      </c>
      <c r="R178" s="19">
        <f>IF($K178="","",$B178&amp;"#"&amp;$A178&amp;"#"&amp;$K178)</f>
        <v/>
      </c>
      <c r="S178" s="19">
        <f>ROW()</f>
        <v/>
      </c>
      <c r="T178" s="19">
        <f>IF($J178&lt;=0,0,MAX(0,MIN($P178+$I178+Limpeza_Min,Turno_Min,IFERROR(INDEX(Mapa_RelIni,MATCH($B178&amp;"#"&amp;$A178&amp;"#"&amp;($K178+1),Mapa_Chave,0)),Turno_Min))-MIN($P178,Turno_Min)))</f>
        <v/>
      </c>
    </row>
    <row r="179">
      <c r="A179" s="30" t="n"/>
      <c r="B179" s="31" t="n"/>
      <c r="C179" s="32" t="n"/>
      <c r="D179" s="32" t="n"/>
      <c r="E179" s="33" t="n"/>
      <c r="F179" s="33" t="n"/>
      <c r="G179" s="33" t="n"/>
      <c r="H179" s="31" t="n"/>
      <c r="I179" s="20">
        <f>IF(OR($B179="",NOT(ISNUMBER($C179)),NOT(ISNUMBER($D179))),"",ROUND(MOD($D179-$C179,1)*1440,0))</f>
        <v/>
      </c>
      <c r="J179" s="20">
        <f>IF(NOT(ISNUMBER($I179)),0,IF(OR($I179&lt;=0,$H179="Cancelada",$H179="Suspensa"),0,$I179+Limpeza_Min))</f>
        <v/>
      </c>
      <c r="K179" s="20">
        <f>IF($J179&lt;=0,"",SUMPRODUCT((Mapa_Sala=$B179)*(Mapa_Data=$A179)*(Mapa_MinOcup&gt;0)*((Mapa_RelIni&lt;$P179)+((Mapa_RelIni=$P179)*(Mapa_Row&lt;=$S179)))))</f>
        <v/>
      </c>
      <c r="L179" s="34">
        <f>IF($J179&lt;=0,"",MOD(Turno_Ini+($Q179+Limpeza_Min)/1440,1))</f>
        <v/>
      </c>
      <c r="M179" s="20">
        <f>IF($J179&lt;=0,"",MAX(0,IFERROR(INDEX(Mapa_RelIni,MATCH($B179&amp;"#"&amp;$A179&amp;"#"&amp;($K179+1),Mapa_Chave,0)),Turno_Min)-($Q179+Limpeza_Min)))</f>
        <v/>
      </c>
      <c r="N179" s="14">
        <f>IF($B179="","",IF($O179="","OK",LEFT($O179,LEN($O179)-3)))</f>
        <v/>
      </c>
      <c r="O179" s="35">
        <f>IF($B179="","",IF(COUNTIF(Postos_Cod,$B179)=0,"Sala não cadastrada | ","")&amp;IF(AND(COUNTIF(Postos_Cod,$B179)&gt;0,IFERROR(INDEX(Postos_Tipo,MATCH($B179,Postos_Cod,0)),"")&lt;&gt;"Sala cirúrgica"),"Posto não é sala cirúrgica | ","")&amp;IF(COUNTIF(Esp_Nome,$E179)=0,"Especialidade não cadastrada | ","")&amp;IF(COUNTIF(Lista_StatusCir,$H179)=0,"Status inválido | ","")&amp;IF(OR(NOT(ISNUMBER($C179)),NOT(ISNUMBER($D179))),"Horário inválido | ","")&amp;IFERROR(IF(AND(ISNUMBER($C179),ISNUMBER($D179),MOD($D179-$C179,1)*1440&lt;=0),"Duração nula ou negativa | ",""),"")&amp;IF(AND($J179&gt;0,OR($P179&gt;=Turno_Min,$Q179&gt;Turno_Min)),"Fora da janela do plantão | ","")&amp;IF(AND($J179&gt;0,SUMPRODUCT((Mapa_Sala=$B179)*(Mapa_Data=$A179)*(Mapa_MinOcup&gt;0)*(Mapa_RelIni&lt;$Q179)*(Mapa_RelFim&gt;$P179))&gt;1),"Sobreposição de horário na sala | ","")&amp;IFERROR(IF(AND(ISNUMBER($I179),$I179&gt;0,COUNTIF(Esp_Nome,$E179)&gt;0,$I179&gt;3*INDEX(Esp_Dur,MATCH($E179,Esp_Nome,0))),"Duração atípica (&gt;3x a média) | ",""),""))</f>
        <v/>
      </c>
      <c r="P179" s="19">
        <f>IF(NOT(ISNUMBER($C179)),0,ROUND(MOD($C179-Turno_Ini,1)*1440,0))</f>
        <v/>
      </c>
      <c r="Q179" s="19">
        <f>IF($J179&lt;=0,0,$P179+$I179)</f>
        <v/>
      </c>
      <c r="R179" s="19">
        <f>IF($K179="","",$B179&amp;"#"&amp;$A179&amp;"#"&amp;$K179)</f>
        <v/>
      </c>
      <c r="S179" s="19">
        <f>ROW()</f>
        <v/>
      </c>
      <c r="T179" s="19">
        <f>IF($J179&lt;=0,0,MAX(0,MIN($P179+$I179+Limpeza_Min,Turno_Min,IFERROR(INDEX(Mapa_RelIni,MATCH($B179&amp;"#"&amp;$A179&amp;"#"&amp;($K179+1),Mapa_Chave,0)),Turno_Min))-MIN($P179,Turno_Min)))</f>
        <v/>
      </c>
    </row>
    <row r="180">
      <c r="A180" s="30" t="n"/>
      <c r="B180" s="31" t="n"/>
      <c r="C180" s="32" t="n"/>
      <c r="D180" s="32" t="n"/>
      <c r="E180" s="33" t="n"/>
      <c r="F180" s="33" t="n"/>
      <c r="G180" s="33" t="n"/>
      <c r="H180" s="31" t="n"/>
      <c r="I180" s="20">
        <f>IF(OR($B180="",NOT(ISNUMBER($C180)),NOT(ISNUMBER($D180))),"",ROUND(MOD($D180-$C180,1)*1440,0))</f>
        <v/>
      </c>
      <c r="J180" s="20">
        <f>IF(NOT(ISNUMBER($I180)),0,IF(OR($I180&lt;=0,$H180="Cancelada",$H180="Suspensa"),0,$I180+Limpeza_Min))</f>
        <v/>
      </c>
      <c r="K180" s="20">
        <f>IF($J180&lt;=0,"",SUMPRODUCT((Mapa_Sala=$B180)*(Mapa_Data=$A180)*(Mapa_MinOcup&gt;0)*((Mapa_RelIni&lt;$P180)+((Mapa_RelIni=$P180)*(Mapa_Row&lt;=$S180)))))</f>
        <v/>
      </c>
      <c r="L180" s="34">
        <f>IF($J180&lt;=0,"",MOD(Turno_Ini+($Q180+Limpeza_Min)/1440,1))</f>
        <v/>
      </c>
      <c r="M180" s="20">
        <f>IF($J180&lt;=0,"",MAX(0,IFERROR(INDEX(Mapa_RelIni,MATCH($B180&amp;"#"&amp;$A180&amp;"#"&amp;($K180+1),Mapa_Chave,0)),Turno_Min)-($Q180+Limpeza_Min)))</f>
        <v/>
      </c>
      <c r="N180" s="14">
        <f>IF($B180="","",IF($O180="","OK",LEFT($O180,LEN($O180)-3)))</f>
        <v/>
      </c>
      <c r="O180" s="35">
        <f>IF($B180="","",IF(COUNTIF(Postos_Cod,$B180)=0,"Sala não cadastrada | ","")&amp;IF(AND(COUNTIF(Postos_Cod,$B180)&gt;0,IFERROR(INDEX(Postos_Tipo,MATCH($B180,Postos_Cod,0)),"")&lt;&gt;"Sala cirúrgica"),"Posto não é sala cirúrgica | ","")&amp;IF(COUNTIF(Esp_Nome,$E180)=0,"Especialidade não cadastrada | ","")&amp;IF(COUNTIF(Lista_StatusCir,$H180)=0,"Status inválido | ","")&amp;IF(OR(NOT(ISNUMBER($C180)),NOT(ISNUMBER($D180))),"Horário inválido | ","")&amp;IFERROR(IF(AND(ISNUMBER($C180),ISNUMBER($D180),MOD($D180-$C180,1)*1440&lt;=0),"Duração nula ou negativa | ",""),"")&amp;IF(AND($J180&gt;0,OR($P180&gt;=Turno_Min,$Q180&gt;Turno_Min)),"Fora da janela do plantão | ","")&amp;IF(AND($J180&gt;0,SUMPRODUCT((Mapa_Sala=$B180)*(Mapa_Data=$A180)*(Mapa_MinOcup&gt;0)*(Mapa_RelIni&lt;$Q180)*(Mapa_RelFim&gt;$P180))&gt;1),"Sobreposição de horário na sala | ","")&amp;IFERROR(IF(AND(ISNUMBER($I180),$I180&gt;0,COUNTIF(Esp_Nome,$E180)&gt;0,$I180&gt;3*INDEX(Esp_Dur,MATCH($E180,Esp_Nome,0))),"Duração atípica (&gt;3x a média) | ",""),""))</f>
        <v/>
      </c>
      <c r="P180" s="19">
        <f>IF(NOT(ISNUMBER($C180)),0,ROUND(MOD($C180-Turno_Ini,1)*1440,0))</f>
        <v/>
      </c>
      <c r="Q180" s="19">
        <f>IF($J180&lt;=0,0,$P180+$I180)</f>
        <v/>
      </c>
      <c r="R180" s="19">
        <f>IF($K180="","",$B180&amp;"#"&amp;$A180&amp;"#"&amp;$K180)</f>
        <v/>
      </c>
      <c r="S180" s="19">
        <f>ROW()</f>
        <v/>
      </c>
      <c r="T180" s="19">
        <f>IF($J180&lt;=0,0,MAX(0,MIN($P180+$I180+Limpeza_Min,Turno_Min,IFERROR(INDEX(Mapa_RelIni,MATCH($B180&amp;"#"&amp;$A180&amp;"#"&amp;($K180+1),Mapa_Chave,0)),Turno_Min))-MIN($P180,Turno_Min)))</f>
        <v/>
      </c>
    </row>
    <row r="181">
      <c r="A181" s="30" t="n"/>
      <c r="B181" s="31" t="n"/>
      <c r="C181" s="32" t="n"/>
      <c r="D181" s="32" t="n"/>
      <c r="E181" s="33" t="n"/>
      <c r="F181" s="33" t="n"/>
      <c r="G181" s="33" t="n"/>
      <c r="H181" s="31" t="n"/>
      <c r="I181" s="20">
        <f>IF(OR($B181="",NOT(ISNUMBER($C181)),NOT(ISNUMBER($D181))),"",ROUND(MOD($D181-$C181,1)*1440,0))</f>
        <v/>
      </c>
      <c r="J181" s="20">
        <f>IF(NOT(ISNUMBER($I181)),0,IF(OR($I181&lt;=0,$H181="Cancelada",$H181="Suspensa"),0,$I181+Limpeza_Min))</f>
        <v/>
      </c>
      <c r="K181" s="20">
        <f>IF($J181&lt;=0,"",SUMPRODUCT((Mapa_Sala=$B181)*(Mapa_Data=$A181)*(Mapa_MinOcup&gt;0)*((Mapa_RelIni&lt;$P181)+((Mapa_RelIni=$P181)*(Mapa_Row&lt;=$S181)))))</f>
        <v/>
      </c>
      <c r="L181" s="34">
        <f>IF($J181&lt;=0,"",MOD(Turno_Ini+($Q181+Limpeza_Min)/1440,1))</f>
        <v/>
      </c>
      <c r="M181" s="20">
        <f>IF($J181&lt;=0,"",MAX(0,IFERROR(INDEX(Mapa_RelIni,MATCH($B181&amp;"#"&amp;$A181&amp;"#"&amp;($K181+1),Mapa_Chave,0)),Turno_Min)-($Q181+Limpeza_Min)))</f>
        <v/>
      </c>
      <c r="N181" s="14">
        <f>IF($B181="","",IF($O181="","OK",LEFT($O181,LEN($O181)-3)))</f>
        <v/>
      </c>
      <c r="O181" s="35">
        <f>IF($B181="","",IF(COUNTIF(Postos_Cod,$B181)=0,"Sala não cadastrada | ","")&amp;IF(AND(COUNTIF(Postos_Cod,$B181)&gt;0,IFERROR(INDEX(Postos_Tipo,MATCH($B181,Postos_Cod,0)),"")&lt;&gt;"Sala cirúrgica"),"Posto não é sala cirúrgica | ","")&amp;IF(COUNTIF(Esp_Nome,$E181)=0,"Especialidade não cadastrada | ","")&amp;IF(COUNTIF(Lista_StatusCir,$H181)=0,"Status inválido | ","")&amp;IF(OR(NOT(ISNUMBER($C181)),NOT(ISNUMBER($D181))),"Horário inválido | ","")&amp;IFERROR(IF(AND(ISNUMBER($C181),ISNUMBER($D181),MOD($D181-$C181,1)*1440&lt;=0),"Duração nula ou negativa | ",""),"")&amp;IF(AND($J181&gt;0,OR($P181&gt;=Turno_Min,$Q181&gt;Turno_Min)),"Fora da janela do plantão | ","")&amp;IF(AND($J181&gt;0,SUMPRODUCT((Mapa_Sala=$B181)*(Mapa_Data=$A181)*(Mapa_MinOcup&gt;0)*(Mapa_RelIni&lt;$Q181)*(Mapa_RelFim&gt;$P181))&gt;1),"Sobreposição de horário na sala | ","")&amp;IFERROR(IF(AND(ISNUMBER($I181),$I181&gt;0,COUNTIF(Esp_Nome,$E181)&gt;0,$I181&gt;3*INDEX(Esp_Dur,MATCH($E181,Esp_Nome,0))),"Duração atípica (&gt;3x a média) | ",""),""))</f>
        <v/>
      </c>
      <c r="P181" s="19">
        <f>IF(NOT(ISNUMBER($C181)),0,ROUND(MOD($C181-Turno_Ini,1)*1440,0))</f>
        <v/>
      </c>
      <c r="Q181" s="19">
        <f>IF($J181&lt;=0,0,$P181+$I181)</f>
        <v/>
      </c>
      <c r="R181" s="19">
        <f>IF($K181="","",$B181&amp;"#"&amp;$A181&amp;"#"&amp;$K181)</f>
        <v/>
      </c>
      <c r="S181" s="19">
        <f>ROW()</f>
        <v/>
      </c>
      <c r="T181" s="19">
        <f>IF($J181&lt;=0,0,MAX(0,MIN($P181+$I181+Limpeza_Min,Turno_Min,IFERROR(INDEX(Mapa_RelIni,MATCH($B181&amp;"#"&amp;$A181&amp;"#"&amp;($K181+1),Mapa_Chave,0)),Turno_Min))-MIN($P181,Turno_Min)))</f>
        <v/>
      </c>
    </row>
    <row r="182">
      <c r="A182" s="30" t="n"/>
      <c r="B182" s="31" t="n"/>
      <c r="C182" s="32" t="n"/>
      <c r="D182" s="32" t="n"/>
      <c r="E182" s="33" t="n"/>
      <c r="F182" s="33" t="n"/>
      <c r="G182" s="33" t="n"/>
      <c r="H182" s="31" t="n"/>
      <c r="I182" s="20">
        <f>IF(OR($B182="",NOT(ISNUMBER($C182)),NOT(ISNUMBER($D182))),"",ROUND(MOD($D182-$C182,1)*1440,0))</f>
        <v/>
      </c>
      <c r="J182" s="20">
        <f>IF(NOT(ISNUMBER($I182)),0,IF(OR($I182&lt;=0,$H182="Cancelada",$H182="Suspensa"),0,$I182+Limpeza_Min))</f>
        <v/>
      </c>
      <c r="K182" s="20">
        <f>IF($J182&lt;=0,"",SUMPRODUCT((Mapa_Sala=$B182)*(Mapa_Data=$A182)*(Mapa_MinOcup&gt;0)*((Mapa_RelIni&lt;$P182)+((Mapa_RelIni=$P182)*(Mapa_Row&lt;=$S182)))))</f>
        <v/>
      </c>
      <c r="L182" s="34">
        <f>IF($J182&lt;=0,"",MOD(Turno_Ini+($Q182+Limpeza_Min)/1440,1))</f>
        <v/>
      </c>
      <c r="M182" s="20">
        <f>IF($J182&lt;=0,"",MAX(0,IFERROR(INDEX(Mapa_RelIni,MATCH($B182&amp;"#"&amp;$A182&amp;"#"&amp;($K182+1),Mapa_Chave,0)),Turno_Min)-($Q182+Limpeza_Min)))</f>
        <v/>
      </c>
      <c r="N182" s="14">
        <f>IF($B182="","",IF($O182="","OK",LEFT($O182,LEN($O182)-3)))</f>
        <v/>
      </c>
      <c r="O182" s="35">
        <f>IF($B182="","",IF(COUNTIF(Postos_Cod,$B182)=0,"Sala não cadastrada | ","")&amp;IF(AND(COUNTIF(Postos_Cod,$B182)&gt;0,IFERROR(INDEX(Postos_Tipo,MATCH($B182,Postos_Cod,0)),"")&lt;&gt;"Sala cirúrgica"),"Posto não é sala cirúrgica | ","")&amp;IF(COUNTIF(Esp_Nome,$E182)=0,"Especialidade não cadastrada | ","")&amp;IF(COUNTIF(Lista_StatusCir,$H182)=0,"Status inválido | ","")&amp;IF(OR(NOT(ISNUMBER($C182)),NOT(ISNUMBER($D182))),"Horário inválido | ","")&amp;IFERROR(IF(AND(ISNUMBER($C182),ISNUMBER($D182),MOD($D182-$C182,1)*1440&lt;=0),"Duração nula ou negativa | ",""),"")&amp;IF(AND($J182&gt;0,OR($P182&gt;=Turno_Min,$Q182&gt;Turno_Min)),"Fora da janela do plantão | ","")&amp;IF(AND($J182&gt;0,SUMPRODUCT((Mapa_Sala=$B182)*(Mapa_Data=$A182)*(Mapa_MinOcup&gt;0)*(Mapa_RelIni&lt;$Q182)*(Mapa_RelFim&gt;$P182))&gt;1),"Sobreposição de horário na sala | ","")&amp;IFERROR(IF(AND(ISNUMBER($I182),$I182&gt;0,COUNTIF(Esp_Nome,$E182)&gt;0,$I182&gt;3*INDEX(Esp_Dur,MATCH($E182,Esp_Nome,0))),"Duração atípica (&gt;3x a média) | ",""),""))</f>
        <v/>
      </c>
      <c r="P182" s="19">
        <f>IF(NOT(ISNUMBER($C182)),0,ROUND(MOD($C182-Turno_Ini,1)*1440,0))</f>
        <v/>
      </c>
      <c r="Q182" s="19">
        <f>IF($J182&lt;=0,0,$P182+$I182)</f>
        <v/>
      </c>
      <c r="R182" s="19">
        <f>IF($K182="","",$B182&amp;"#"&amp;$A182&amp;"#"&amp;$K182)</f>
        <v/>
      </c>
      <c r="S182" s="19">
        <f>ROW()</f>
        <v/>
      </c>
      <c r="T182" s="19">
        <f>IF($J182&lt;=0,0,MAX(0,MIN($P182+$I182+Limpeza_Min,Turno_Min,IFERROR(INDEX(Mapa_RelIni,MATCH($B182&amp;"#"&amp;$A182&amp;"#"&amp;($K182+1),Mapa_Chave,0)),Turno_Min))-MIN($P182,Turno_Min)))</f>
        <v/>
      </c>
    </row>
    <row r="183">
      <c r="A183" s="30" t="n"/>
      <c r="B183" s="31" t="n"/>
      <c r="C183" s="32" t="n"/>
      <c r="D183" s="32" t="n"/>
      <c r="E183" s="33" t="n"/>
      <c r="F183" s="33" t="n"/>
      <c r="G183" s="33" t="n"/>
      <c r="H183" s="31" t="n"/>
      <c r="I183" s="20">
        <f>IF(OR($B183="",NOT(ISNUMBER($C183)),NOT(ISNUMBER($D183))),"",ROUND(MOD($D183-$C183,1)*1440,0))</f>
        <v/>
      </c>
      <c r="J183" s="20">
        <f>IF(NOT(ISNUMBER($I183)),0,IF(OR($I183&lt;=0,$H183="Cancelada",$H183="Suspensa"),0,$I183+Limpeza_Min))</f>
        <v/>
      </c>
      <c r="K183" s="20">
        <f>IF($J183&lt;=0,"",SUMPRODUCT((Mapa_Sala=$B183)*(Mapa_Data=$A183)*(Mapa_MinOcup&gt;0)*((Mapa_RelIni&lt;$P183)+((Mapa_RelIni=$P183)*(Mapa_Row&lt;=$S183)))))</f>
        <v/>
      </c>
      <c r="L183" s="34">
        <f>IF($J183&lt;=0,"",MOD(Turno_Ini+($Q183+Limpeza_Min)/1440,1))</f>
        <v/>
      </c>
      <c r="M183" s="20">
        <f>IF($J183&lt;=0,"",MAX(0,IFERROR(INDEX(Mapa_RelIni,MATCH($B183&amp;"#"&amp;$A183&amp;"#"&amp;($K183+1),Mapa_Chave,0)),Turno_Min)-($Q183+Limpeza_Min)))</f>
        <v/>
      </c>
      <c r="N183" s="14">
        <f>IF($B183="","",IF($O183="","OK",LEFT($O183,LEN($O183)-3)))</f>
        <v/>
      </c>
      <c r="O183" s="35">
        <f>IF($B183="","",IF(COUNTIF(Postos_Cod,$B183)=0,"Sala não cadastrada | ","")&amp;IF(AND(COUNTIF(Postos_Cod,$B183)&gt;0,IFERROR(INDEX(Postos_Tipo,MATCH($B183,Postos_Cod,0)),"")&lt;&gt;"Sala cirúrgica"),"Posto não é sala cirúrgica | ","")&amp;IF(COUNTIF(Esp_Nome,$E183)=0,"Especialidade não cadastrada | ","")&amp;IF(COUNTIF(Lista_StatusCir,$H183)=0,"Status inválido | ","")&amp;IF(OR(NOT(ISNUMBER($C183)),NOT(ISNUMBER($D183))),"Horário inválido | ","")&amp;IFERROR(IF(AND(ISNUMBER($C183),ISNUMBER($D183),MOD($D183-$C183,1)*1440&lt;=0),"Duração nula ou negativa | ",""),"")&amp;IF(AND($J183&gt;0,OR($P183&gt;=Turno_Min,$Q183&gt;Turno_Min)),"Fora da janela do plantão | ","")&amp;IF(AND($J183&gt;0,SUMPRODUCT((Mapa_Sala=$B183)*(Mapa_Data=$A183)*(Mapa_MinOcup&gt;0)*(Mapa_RelIni&lt;$Q183)*(Mapa_RelFim&gt;$P183))&gt;1),"Sobreposição de horário na sala | ","")&amp;IFERROR(IF(AND(ISNUMBER($I183),$I183&gt;0,COUNTIF(Esp_Nome,$E183)&gt;0,$I183&gt;3*INDEX(Esp_Dur,MATCH($E183,Esp_Nome,0))),"Duração atípica (&gt;3x a média) | ",""),""))</f>
        <v/>
      </c>
      <c r="P183" s="19">
        <f>IF(NOT(ISNUMBER($C183)),0,ROUND(MOD($C183-Turno_Ini,1)*1440,0))</f>
        <v/>
      </c>
      <c r="Q183" s="19">
        <f>IF($J183&lt;=0,0,$P183+$I183)</f>
        <v/>
      </c>
      <c r="R183" s="19">
        <f>IF($K183="","",$B183&amp;"#"&amp;$A183&amp;"#"&amp;$K183)</f>
        <v/>
      </c>
      <c r="S183" s="19">
        <f>ROW()</f>
        <v/>
      </c>
      <c r="T183" s="19">
        <f>IF($J183&lt;=0,0,MAX(0,MIN($P183+$I183+Limpeza_Min,Turno_Min,IFERROR(INDEX(Mapa_RelIni,MATCH($B183&amp;"#"&amp;$A183&amp;"#"&amp;($K183+1),Mapa_Chave,0)),Turno_Min))-MIN($P183,Turno_Min)))</f>
        <v/>
      </c>
    </row>
    <row r="184">
      <c r="A184" s="30" t="n"/>
      <c r="B184" s="31" t="n"/>
      <c r="C184" s="32" t="n"/>
      <c r="D184" s="32" t="n"/>
      <c r="E184" s="33" t="n"/>
      <c r="F184" s="33" t="n"/>
      <c r="G184" s="33" t="n"/>
      <c r="H184" s="31" t="n"/>
      <c r="I184" s="20">
        <f>IF(OR($B184="",NOT(ISNUMBER($C184)),NOT(ISNUMBER($D184))),"",ROUND(MOD($D184-$C184,1)*1440,0))</f>
        <v/>
      </c>
      <c r="J184" s="20">
        <f>IF(NOT(ISNUMBER($I184)),0,IF(OR($I184&lt;=0,$H184="Cancelada",$H184="Suspensa"),0,$I184+Limpeza_Min))</f>
        <v/>
      </c>
      <c r="K184" s="20">
        <f>IF($J184&lt;=0,"",SUMPRODUCT((Mapa_Sala=$B184)*(Mapa_Data=$A184)*(Mapa_MinOcup&gt;0)*((Mapa_RelIni&lt;$P184)+((Mapa_RelIni=$P184)*(Mapa_Row&lt;=$S184)))))</f>
        <v/>
      </c>
      <c r="L184" s="34">
        <f>IF($J184&lt;=0,"",MOD(Turno_Ini+($Q184+Limpeza_Min)/1440,1))</f>
        <v/>
      </c>
      <c r="M184" s="20">
        <f>IF($J184&lt;=0,"",MAX(0,IFERROR(INDEX(Mapa_RelIni,MATCH($B184&amp;"#"&amp;$A184&amp;"#"&amp;($K184+1),Mapa_Chave,0)),Turno_Min)-($Q184+Limpeza_Min)))</f>
        <v/>
      </c>
      <c r="N184" s="14">
        <f>IF($B184="","",IF($O184="","OK",LEFT($O184,LEN($O184)-3)))</f>
        <v/>
      </c>
      <c r="O184" s="35">
        <f>IF($B184="","",IF(COUNTIF(Postos_Cod,$B184)=0,"Sala não cadastrada | ","")&amp;IF(AND(COUNTIF(Postos_Cod,$B184)&gt;0,IFERROR(INDEX(Postos_Tipo,MATCH($B184,Postos_Cod,0)),"")&lt;&gt;"Sala cirúrgica"),"Posto não é sala cirúrgica | ","")&amp;IF(COUNTIF(Esp_Nome,$E184)=0,"Especialidade não cadastrada | ","")&amp;IF(COUNTIF(Lista_StatusCir,$H184)=0,"Status inválido | ","")&amp;IF(OR(NOT(ISNUMBER($C184)),NOT(ISNUMBER($D184))),"Horário inválido | ","")&amp;IFERROR(IF(AND(ISNUMBER($C184),ISNUMBER($D184),MOD($D184-$C184,1)*1440&lt;=0),"Duração nula ou negativa | ",""),"")&amp;IF(AND($J184&gt;0,OR($P184&gt;=Turno_Min,$Q184&gt;Turno_Min)),"Fora da janela do plantão | ","")&amp;IF(AND($J184&gt;0,SUMPRODUCT((Mapa_Sala=$B184)*(Mapa_Data=$A184)*(Mapa_MinOcup&gt;0)*(Mapa_RelIni&lt;$Q184)*(Mapa_RelFim&gt;$P184))&gt;1),"Sobreposição de horário na sala | ","")&amp;IFERROR(IF(AND(ISNUMBER($I184),$I184&gt;0,COUNTIF(Esp_Nome,$E184)&gt;0,$I184&gt;3*INDEX(Esp_Dur,MATCH($E184,Esp_Nome,0))),"Duração atípica (&gt;3x a média) | ",""),""))</f>
        <v/>
      </c>
      <c r="P184" s="19">
        <f>IF(NOT(ISNUMBER($C184)),0,ROUND(MOD($C184-Turno_Ini,1)*1440,0))</f>
        <v/>
      </c>
      <c r="Q184" s="19">
        <f>IF($J184&lt;=0,0,$P184+$I184)</f>
        <v/>
      </c>
      <c r="R184" s="19">
        <f>IF($K184="","",$B184&amp;"#"&amp;$A184&amp;"#"&amp;$K184)</f>
        <v/>
      </c>
      <c r="S184" s="19">
        <f>ROW()</f>
        <v/>
      </c>
      <c r="T184" s="19">
        <f>IF($J184&lt;=0,0,MAX(0,MIN($P184+$I184+Limpeza_Min,Turno_Min,IFERROR(INDEX(Mapa_RelIni,MATCH($B184&amp;"#"&amp;$A184&amp;"#"&amp;($K184+1),Mapa_Chave,0)),Turno_Min))-MIN($P184,Turno_Min)))</f>
        <v/>
      </c>
    </row>
    <row r="185">
      <c r="A185" s="30" t="n"/>
      <c r="B185" s="31" t="n"/>
      <c r="C185" s="32" t="n"/>
      <c r="D185" s="32" t="n"/>
      <c r="E185" s="33" t="n"/>
      <c r="F185" s="33" t="n"/>
      <c r="G185" s="33" t="n"/>
      <c r="H185" s="31" t="n"/>
      <c r="I185" s="20">
        <f>IF(OR($B185="",NOT(ISNUMBER($C185)),NOT(ISNUMBER($D185))),"",ROUND(MOD($D185-$C185,1)*1440,0))</f>
        <v/>
      </c>
      <c r="J185" s="20">
        <f>IF(NOT(ISNUMBER($I185)),0,IF(OR($I185&lt;=0,$H185="Cancelada",$H185="Suspensa"),0,$I185+Limpeza_Min))</f>
        <v/>
      </c>
      <c r="K185" s="20">
        <f>IF($J185&lt;=0,"",SUMPRODUCT((Mapa_Sala=$B185)*(Mapa_Data=$A185)*(Mapa_MinOcup&gt;0)*((Mapa_RelIni&lt;$P185)+((Mapa_RelIni=$P185)*(Mapa_Row&lt;=$S185)))))</f>
        <v/>
      </c>
      <c r="L185" s="34">
        <f>IF($J185&lt;=0,"",MOD(Turno_Ini+($Q185+Limpeza_Min)/1440,1))</f>
        <v/>
      </c>
      <c r="M185" s="20">
        <f>IF($J185&lt;=0,"",MAX(0,IFERROR(INDEX(Mapa_RelIni,MATCH($B185&amp;"#"&amp;$A185&amp;"#"&amp;($K185+1),Mapa_Chave,0)),Turno_Min)-($Q185+Limpeza_Min)))</f>
        <v/>
      </c>
      <c r="N185" s="14">
        <f>IF($B185="","",IF($O185="","OK",LEFT($O185,LEN($O185)-3)))</f>
        <v/>
      </c>
      <c r="O185" s="35">
        <f>IF($B185="","",IF(COUNTIF(Postos_Cod,$B185)=0,"Sala não cadastrada | ","")&amp;IF(AND(COUNTIF(Postos_Cod,$B185)&gt;0,IFERROR(INDEX(Postos_Tipo,MATCH($B185,Postos_Cod,0)),"")&lt;&gt;"Sala cirúrgica"),"Posto não é sala cirúrgica | ","")&amp;IF(COUNTIF(Esp_Nome,$E185)=0,"Especialidade não cadastrada | ","")&amp;IF(COUNTIF(Lista_StatusCir,$H185)=0,"Status inválido | ","")&amp;IF(OR(NOT(ISNUMBER($C185)),NOT(ISNUMBER($D185))),"Horário inválido | ","")&amp;IFERROR(IF(AND(ISNUMBER($C185),ISNUMBER($D185),MOD($D185-$C185,1)*1440&lt;=0),"Duração nula ou negativa | ",""),"")&amp;IF(AND($J185&gt;0,OR($P185&gt;=Turno_Min,$Q185&gt;Turno_Min)),"Fora da janela do plantão | ","")&amp;IF(AND($J185&gt;0,SUMPRODUCT((Mapa_Sala=$B185)*(Mapa_Data=$A185)*(Mapa_MinOcup&gt;0)*(Mapa_RelIni&lt;$Q185)*(Mapa_RelFim&gt;$P185))&gt;1),"Sobreposição de horário na sala | ","")&amp;IFERROR(IF(AND(ISNUMBER($I185),$I185&gt;0,COUNTIF(Esp_Nome,$E185)&gt;0,$I185&gt;3*INDEX(Esp_Dur,MATCH($E185,Esp_Nome,0))),"Duração atípica (&gt;3x a média) | ",""),""))</f>
        <v/>
      </c>
      <c r="P185" s="19">
        <f>IF(NOT(ISNUMBER($C185)),0,ROUND(MOD($C185-Turno_Ini,1)*1440,0))</f>
        <v/>
      </c>
      <c r="Q185" s="19">
        <f>IF($J185&lt;=0,0,$P185+$I185)</f>
        <v/>
      </c>
      <c r="R185" s="19">
        <f>IF($K185="","",$B185&amp;"#"&amp;$A185&amp;"#"&amp;$K185)</f>
        <v/>
      </c>
      <c r="S185" s="19">
        <f>ROW()</f>
        <v/>
      </c>
      <c r="T185" s="19">
        <f>IF($J185&lt;=0,0,MAX(0,MIN($P185+$I185+Limpeza_Min,Turno_Min,IFERROR(INDEX(Mapa_RelIni,MATCH($B185&amp;"#"&amp;$A185&amp;"#"&amp;($K185+1),Mapa_Chave,0)),Turno_Min))-MIN($P185,Turno_Min)))</f>
        <v/>
      </c>
    </row>
    <row r="186">
      <c r="A186" s="30" t="n"/>
      <c r="B186" s="31" t="n"/>
      <c r="C186" s="32" t="n"/>
      <c r="D186" s="32" t="n"/>
      <c r="E186" s="33" t="n"/>
      <c r="F186" s="33" t="n"/>
      <c r="G186" s="33" t="n"/>
      <c r="H186" s="31" t="n"/>
      <c r="I186" s="20">
        <f>IF(OR($B186="",NOT(ISNUMBER($C186)),NOT(ISNUMBER($D186))),"",ROUND(MOD($D186-$C186,1)*1440,0))</f>
        <v/>
      </c>
      <c r="J186" s="20">
        <f>IF(NOT(ISNUMBER($I186)),0,IF(OR($I186&lt;=0,$H186="Cancelada",$H186="Suspensa"),0,$I186+Limpeza_Min))</f>
        <v/>
      </c>
      <c r="K186" s="20">
        <f>IF($J186&lt;=0,"",SUMPRODUCT((Mapa_Sala=$B186)*(Mapa_Data=$A186)*(Mapa_MinOcup&gt;0)*((Mapa_RelIni&lt;$P186)+((Mapa_RelIni=$P186)*(Mapa_Row&lt;=$S186)))))</f>
        <v/>
      </c>
      <c r="L186" s="34">
        <f>IF($J186&lt;=0,"",MOD(Turno_Ini+($Q186+Limpeza_Min)/1440,1))</f>
        <v/>
      </c>
      <c r="M186" s="20">
        <f>IF($J186&lt;=0,"",MAX(0,IFERROR(INDEX(Mapa_RelIni,MATCH($B186&amp;"#"&amp;$A186&amp;"#"&amp;($K186+1),Mapa_Chave,0)),Turno_Min)-($Q186+Limpeza_Min)))</f>
        <v/>
      </c>
      <c r="N186" s="14">
        <f>IF($B186="","",IF($O186="","OK",LEFT($O186,LEN($O186)-3)))</f>
        <v/>
      </c>
      <c r="O186" s="35">
        <f>IF($B186="","",IF(COUNTIF(Postos_Cod,$B186)=0,"Sala não cadastrada | ","")&amp;IF(AND(COUNTIF(Postos_Cod,$B186)&gt;0,IFERROR(INDEX(Postos_Tipo,MATCH($B186,Postos_Cod,0)),"")&lt;&gt;"Sala cirúrgica"),"Posto não é sala cirúrgica | ","")&amp;IF(COUNTIF(Esp_Nome,$E186)=0,"Especialidade não cadastrada | ","")&amp;IF(COUNTIF(Lista_StatusCir,$H186)=0,"Status inválido | ","")&amp;IF(OR(NOT(ISNUMBER($C186)),NOT(ISNUMBER($D186))),"Horário inválido | ","")&amp;IFERROR(IF(AND(ISNUMBER($C186),ISNUMBER($D186),MOD($D186-$C186,1)*1440&lt;=0),"Duração nula ou negativa | ",""),"")&amp;IF(AND($J186&gt;0,OR($P186&gt;=Turno_Min,$Q186&gt;Turno_Min)),"Fora da janela do plantão | ","")&amp;IF(AND($J186&gt;0,SUMPRODUCT((Mapa_Sala=$B186)*(Mapa_Data=$A186)*(Mapa_MinOcup&gt;0)*(Mapa_RelIni&lt;$Q186)*(Mapa_RelFim&gt;$P186))&gt;1),"Sobreposição de horário na sala | ","")&amp;IFERROR(IF(AND(ISNUMBER($I186),$I186&gt;0,COUNTIF(Esp_Nome,$E186)&gt;0,$I186&gt;3*INDEX(Esp_Dur,MATCH($E186,Esp_Nome,0))),"Duração atípica (&gt;3x a média) | ",""),""))</f>
        <v/>
      </c>
      <c r="P186" s="19">
        <f>IF(NOT(ISNUMBER($C186)),0,ROUND(MOD($C186-Turno_Ini,1)*1440,0))</f>
        <v/>
      </c>
      <c r="Q186" s="19">
        <f>IF($J186&lt;=0,0,$P186+$I186)</f>
        <v/>
      </c>
      <c r="R186" s="19">
        <f>IF($K186="","",$B186&amp;"#"&amp;$A186&amp;"#"&amp;$K186)</f>
        <v/>
      </c>
      <c r="S186" s="19">
        <f>ROW()</f>
        <v/>
      </c>
      <c r="T186" s="19">
        <f>IF($J186&lt;=0,0,MAX(0,MIN($P186+$I186+Limpeza_Min,Turno_Min,IFERROR(INDEX(Mapa_RelIni,MATCH($B186&amp;"#"&amp;$A186&amp;"#"&amp;($K186+1),Mapa_Chave,0)),Turno_Min))-MIN($P186,Turno_Min)))</f>
        <v/>
      </c>
    </row>
    <row r="187">
      <c r="A187" s="30" t="n"/>
      <c r="B187" s="31" t="n"/>
      <c r="C187" s="32" t="n"/>
      <c r="D187" s="32" t="n"/>
      <c r="E187" s="33" t="n"/>
      <c r="F187" s="33" t="n"/>
      <c r="G187" s="33" t="n"/>
      <c r="H187" s="31" t="n"/>
      <c r="I187" s="20">
        <f>IF(OR($B187="",NOT(ISNUMBER($C187)),NOT(ISNUMBER($D187))),"",ROUND(MOD($D187-$C187,1)*1440,0))</f>
        <v/>
      </c>
      <c r="J187" s="20">
        <f>IF(NOT(ISNUMBER($I187)),0,IF(OR($I187&lt;=0,$H187="Cancelada",$H187="Suspensa"),0,$I187+Limpeza_Min))</f>
        <v/>
      </c>
      <c r="K187" s="20">
        <f>IF($J187&lt;=0,"",SUMPRODUCT((Mapa_Sala=$B187)*(Mapa_Data=$A187)*(Mapa_MinOcup&gt;0)*((Mapa_RelIni&lt;$P187)+((Mapa_RelIni=$P187)*(Mapa_Row&lt;=$S187)))))</f>
        <v/>
      </c>
      <c r="L187" s="34">
        <f>IF($J187&lt;=0,"",MOD(Turno_Ini+($Q187+Limpeza_Min)/1440,1))</f>
        <v/>
      </c>
      <c r="M187" s="20">
        <f>IF($J187&lt;=0,"",MAX(0,IFERROR(INDEX(Mapa_RelIni,MATCH($B187&amp;"#"&amp;$A187&amp;"#"&amp;($K187+1),Mapa_Chave,0)),Turno_Min)-($Q187+Limpeza_Min)))</f>
        <v/>
      </c>
      <c r="N187" s="14">
        <f>IF($B187="","",IF($O187="","OK",LEFT($O187,LEN($O187)-3)))</f>
        <v/>
      </c>
      <c r="O187" s="35">
        <f>IF($B187="","",IF(COUNTIF(Postos_Cod,$B187)=0,"Sala não cadastrada | ","")&amp;IF(AND(COUNTIF(Postos_Cod,$B187)&gt;0,IFERROR(INDEX(Postos_Tipo,MATCH($B187,Postos_Cod,0)),"")&lt;&gt;"Sala cirúrgica"),"Posto não é sala cirúrgica | ","")&amp;IF(COUNTIF(Esp_Nome,$E187)=0,"Especialidade não cadastrada | ","")&amp;IF(COUNTIF(Lista_StatusCir,$H187)=0,"Status inválido | ","")&amp;IF(OR(NOT(ISNUMBER($C187)),NOT(ISNUMBER($D187))),"Horário inválido | ","")&amp;IFERROR(IF(AND(ISNUMBER($C187),ISNUMBER($D187),MOD($D187-$C187,1)*1440&lt;=0),"Duração nula ou negativa | ",""),"")&amp;IF(AND($J187&gt;0,OR($P187&gt;=Turno_Min,$Q187&gt;Turno_Min)),"Fora da janela do plantão | ","")&amp;IF(AND($J187&gt;0,SUMPRODUCT((Mapa_Sala=$B187)*(Mapa_Data=$A187)*(Mapa_MinOcup&gt;0)*(Mapa_RelIni&lt;$Q187)*(Mapa_RelFim&gt;$P187))&gt;1),"Sobreposição de horário na sala | ","")&amp;IFERROR(IF(AND(ISNUMBER($I187),$I187&gt;0,COUNTIF(Esp_Nome,$E187)&gt;0,$I187&gt;3*INDEX(Esp_Dur,MATCH($E187,Esp_Nome,0))),"Duração atípica (&gt;3x a média) | ",""),""))</f>
        <v/>
      </c>
      <c r="P187" s="19">
        <f>IF(NOT(ISNUMBER($C187)),0,ROUND(MOD($C187-Turno_Ini,1)*1440,0))</f>
        <v/>
      </c>
      <c r="Q187" s="19">
        <f>IF($J187&lt;=0,0,$P187+$I187)</f>
        <v/>
      </c>
      <c r="R187" s="19">
        <f>IF($K187="","",$B187&amp;"#"&amp;$A187&amp;"#"&amp;$K187)</f>
        <v/>
      </c>
      <c r="S187" s="19">
        <f>ROW()</f>
        <v/>
      </c>
      <c r="T187" s="19">
        <f>IF($J187&lt;=0,0,MAX(0,MIN($P187+$I187+Limpeza_Min,Turno_Min,IFERROR(INDEX(Mapa_RelIni,MATCH($B187&amp;"#"&amp;$A187&amp;"#"&amp;($K187+1),Mapa_Chave,0)),Turno_Min))-MIN($P187,Turno_Min)))</f>
        <v/>
      </c>
    </row>
    <row r="188">
      <c r="A188" s="30" t="n"/>
      <c r="B188" s="31" t="n"/>
      <c r="C188" s="32" t="n"/>
      <c r="D188" s="32" t="n"/>
      <c r="E188" s="33" t="n"/>
      <c r="F188" s="33" t="n"/>
      <c r="G188" s="33" t="n"/>
      <c r="H188" s="31" t="n"/>
      <c r="I188" s="20">
        <f>IF(OR($B188="",NOT(ISNUMBER($C188)),NOT(ISNUMBER($D188))),"",ROUND(MOD($D188-$C188,1)*1440,0))</f>
        <v/>
      </c>
      <c r="J188" s="20">
        <f>IF(NOT(ISNUMBER($I188)),0,IF(OR($I188&lt;=0,$H188="Cancelada",$H188="Suspensa"),0,$I188+Limpeza_Min))</f>
        <v/>
      </c>
      <c r="K188" s="20">
        <f>IF($J188&lt;=0,"",SUMPRODUCT((Mapa_Sala=$B188)*(Mapa_Data=$A188)*(Mapa_MinOcup&gt;0)*((Mapa_RelIni&lt;$P188)+((Mapa_RelIni=$P188)*(Mapa_Row&lt;=$S188)))))</f>
        <v/>
      </c>
      <c r="L188" s="34">
        <f>IF($J188&lt;=0,"",MOD(Turno_Ini+($Q188+Limpeza_Min)/1440,1))</f>
        <v/>
      </c>
      <c r="M188" s="20">
        <f>IF($J188&lt;=0,"",MAX(0,IFERROR(INDEX(Mapa_RelIni,MATCH($B188&amp;"#"&amp;$A188&amp;"#"&amp;($K188+1),Mapa_Chave,0)),Turno_Min)-($Q188+Limpeza_Min)))</f>
        <v/>
      </c>
      <c r="N188" s="14">
        <f>IF($B188="","",IF($O188="","OK",LEFT($O188,LEN($O188)-3)))</f>
        <v/>
      </c>
      <c r="O188" s="35">
        <f>IF($B188="","",IF(COUNTIF(Postos_Cod,$B188)=0,"Sala não cadastrada | ","")&amp;IF(AND(COUNTIF(Postos_Cod,$B188)&gt;0,IFERROR(INDEX(Postos_Tipo,MATCH($B188,Postos_Cod,0)),"")&lt;&gt;"Sala cirúrgica"),"Posto não é sala cirúrgica | ","")&amp;IF(COUNTIF(Esp_Nome,$E188)=0,"Especialidade não cadastrada | ","")&amp;IF(COUNTIF(Lista_StatusCir,$H188)=0,"Status inválido | ","")&amp;IF(OR(NOT(ISNUMBER($C188)),NOT(ISNUMBER($D188))),"Horário inválido | ","")&amp;IFERROR(IF(AND(ISNUMBER($C188),ISNUMBER($D188),MOD($D188-$C188,1)*1440&lt;=0),"Duração nula ou negativa | ",""),"")&amp;IF(AND($J188&gt;0,OR($P188&gt;=Turno_Min,$Q188&gt;Turno_Min)),"Fora da janela do plantão | ","")&amp;IF(AND($J188&gt;0,SUMPRODUCT((Mapa_Sala=$B188)*(Mapa_Data=$A188)*(Mapa_MinOcup&gt;0)*(Mapa_RelIni&lt;$Q188)*(Mapa_RelFim&gt;$P188))&gt;1),"Sobreposição de horário na sala | ","")&amp;IFERROR(IF(AND(ISNUMBER($I188),$I188&gt;0,COUNTIF(Esp_Nome,$E188)&gt;0,$I188&gt;3*INDEX(Esp_Dur,MATCH($E188,Esp_Nome,0))),"Duração atípica (&gt;3x a média) | ",""),""))</f>
        <v/>
      </c>
      <c r="P188" s="19">
        <f>IF(NOT(ISNUMBER($C188)),0,ROUND(MOD($C188-Turno_Ini,1)*1440,0))</f>
        <v/>
      </c>
      <c r="Q188" s="19">
        <f>IF($J188&lt;=0,0,$P188+$I188)</f>
        <v/>
      </c>
      <c r="R188" s="19">
        <f>IF($K188="","",$B188&amp;"#"&amp;$A188&amp;"#"&amp;$K188)</f>
        <v/>
      </c>
      <c r="S188" s="19">
        <f>ROW()</f>
        <v/>
      </c>
      <c r="T188" s="19">
        <f>IF($J188&lt;=0,0,MAX(0,MIN($P188+$I188+Limpeza_Min,Turno_Min,IFERROR(INDEX(Mapa_RelIni,MATCH($B188&amp;"#"&amp;$A188&amp;"#"&amp;($K188+1),Mapa_Chave,0)),Turno_Min))-MIN($P188,Turno_Min)))</f>
        <v/>
      </c>
    </row>
    <row r="189">
      <c r="A189" s="30" t="n"/>
      <c r="B189" s="31" t="n"/>
      <c r="C189" s="32" t="n"/>
      <c r="D189" s="32" t="n"/>
      <c r="E189" s="33" t="n"/>
      <c r="F189" s="33" t="n"/>
      <c r="G189" s="33" t="n"/>
      <c r="H189" s="31" t="n"/>
      <c r="I189" s="20">
        <f>IF(OR($B189="",NOT(ISNUMBER($C189)),NOT(ISNUMBER($D189))),"",ROUND(MOD($D189-$C189,1)*1440,0))</f>
        <v/>
      </c>
      <c r="J189" s="20">
        <f>IF(NOT(ISNUMBER($I189)),0,IF(OR($I189&lt;=0,$H189="Cancelada",$H189="Suspensa"),0,$I189+Limpeza_Min))</f>
        <v/>
      </c>
      <c r="K189" s="20">
        <f>IF($J189&lt;=0,"",SUMPRODUCT((Mapa_Sala=$B189)*(Mapa_Data=$A189)*(Mapa_MinOcup&gt;0)*((Mapa_RelIni&lt;$P189)+((Mapa_RelIni=$P189)*(Mapa_Row&lt;=$S189)))))</f>
        <v/>
      </c>
      <c r="L189" s="34">
        <f>IF($J189&lt;=0,"",MOD(Turno_Ini+($Q189+Limpeza_Min)/1440,1))</f>
        <v/>
      </c>
      <c r="M189" s="20">
        <f>IF($J189&lt;=0,"",MAX(0,IFERROR(INDEX(Mapa_RelIni,MATCH($B189&amp;"#"&amp;$A189&amp;"#"&amp;($K189+1),Mapa_Chave,0)),Turno_Min)-($Q189+Limpeza_Min)))</f>
        <v/>
      </c>
      <c r="N189" s="14">
        <f>IF($B189="","",IF($O189="","OK",LEFT($O189,LEN($O189)-3)))</f>
        <v/>
      </c>
      <c r="O189" s="35">
        <f>IF($B189="","",IF(COUNTIF(Postos_Cod,$B189)=0,"Sala não cadastrada | ","")&amp;IF(AND(COUNTIF(Postos_Cod,$B189)&gt;0,IFERROR(INDEX(Postos_Tipo,MATCH($B189,Postos_Cod,0)),"")&lt;&gt;"Sala cirúrgica"),"Posto não é sala cirúrgica | ","")&amp;IF(COUNTIF(Esp_Nome,$E189)=0,"Especialidade não cadastrada | ","")&amp;IF(COUNTIF(Lista_StatusCir,$H189)=0,"Status inválido | ","")&amp;IF(OR(NOT(ISNUMBER($C189)),NOT(ISNUMBER($D189))),"Horário inválido | ","")&amp;IFERROR(IF(AND(ISNUMBER($C189),ISNUMBER($D189),MOD($D189-$C189,1)*1440&lt;=0),"Duração nula ou negativa | ",""),"")&amp;IF(AND($J189&gt;0,OR($P189&gt;=Turno_Min,$Q189&gt;Turno_Min)),"Fora da janela do plantão | ","")&amp;IF(AND($J189&gt;0,SUMPRODUCT((Mapa_Sala=$B189)*(Mapa_Data=$A189)*(Mapa_MinOcup&gt;0)*(Mapa_RelIni&lt;$Q189)*(Mapa_RelFim&gt;$P189))&gt;1),"Sobreposição de horário na sala | ","")&amp;IFERROR(IF(AND(ISNUMBER($I189),$I189&gt;0,COUNTIF(Esp_Nome,$E189)&gt;0,$I189&gt;3*INDEX(Esp_Dur,MATCH($E189,Esp_Nome,0))),"Duração atípica (&gt;3x a média) | ",""),""))</f>
        <v/>
      </c>
      <c r="P189" s="19">
        <f>IF(NOT(ISNUMBER($C189)),0,ROUND(MOD($C189-Turno_Ini,1)*1440,0))</f>
        <v/>
      </c>
      <c r="Q189" s="19">
        <f>IF($J189&lt;=0,0,$P189+$I189)</f>
        <v/>
      </c>
      <c r="R189" s="19">
        <f>IF($K189="","",$B189&amp;"#"&amp;$A189&amp;"#"&amp;$K189)</f>
        <v/>
      </c>
      <c r="S189" s="19">
        <f>ROW()</f>
        <v/>
      </c>
      <c r="T189" s="19">
        <f>IF($J189&lt;=0,0,MAX(0,MIN($P189+$I189+Limpeza_Min,Turno_Min,IFERROR(INDEX(Mapa_RelIni,MATCH($B189&amp;"#"&amp;$A189&amp;"#"&amp;($K189+1),Mapa_Chave,0)),Turno_Min))-MIN($P189,Turno_Min)))</f>
        <v/>
      </c>
    </row>
    <row r="190">
      <c r="A190" s="30" t="n"/>
      <c r="B190" s="31" t="n"/>
      <c r="C190" s="32" t="n"/>
      <c r="D190" s="32" t="n"/>
      <c r="E190" s="33" t="n"/>
      <c r="F190" s="33" t="n"/>
      <c r="G190" s="33" t="n"/>
      <c r="H190" s="31" t="n"/>
      <c r="I190" s="20">
        <f>IF(OR($B190="",NOT(ISNUMBER($C190)),NOT(ISNUMBER($D190))),"",ROUND(MOD($D190-$C190,1)*1440,0))</f>
        <v/>
      </c>
      <c r="J190" s="20">
        <f>IF(NOT(ISNUMBER($I190)),0,IF(OR($I190&lt;=0,$H190="Cancelada",$H190="Suspensa"),0,$I190+Limpeza_Min))</f>
        <v/>
      </c>
      <c r="K190" s="20">
        <f>IF($J190&lt;=0,"",SUMPRODUCT((Mapa_Sala=$B190)*(Mapa_Data=$A190)*(Mapa_MinOcup&gt;0)*((Mapa_RelIni&lt;$P190)+((Mapa_RelIni=$P190)*(Mapa_Row&lt;=$S190)))))</f>
        <v/>
      </c>
      <c r="L190" s="34">
        <f>IF($J190&lt;=0,"",MOD(Turno_Ini+($Q190+Limpeza_Min)/1440,1))</f>
        <v/>
      </c>
      <c r="M190" s="20">
        <f>IF($J190&lt;=0,"",MAX(0,IFERROR(INDEX(Mapa_RelIni,MATCH($B190&amp;"#"&amp;$A190&amp;"#"&amp;($K190+1),Mapa_Chave,0)),Turno_Min)-($Q190+Limpeza_Min)))</f>
        <v/>
      </c>
      <c r="N190" s="14">
        <f>IF($B190="","",IF($O190="","OK",LEFT($O190,LEN($O190)-3)))</f>
        <v/>
      </c>
      <c r="O190" s="35">
        <f>IF($B190="","",IF(COUNTIF(Postos_Cod,$B190)=0,"Sala não cadastrada | ","")&amp;IF(AND(COUNTIF(Postos_Cod,$B190)&gt;0,IFERROR(INDEX(Postos_Tipo,MATCH($B190,Postos_Cod,0)),"")&lt;&gt;"Sala cirúrgica"),"Posto não é sala cirúrgica | ","")&amp;IF(COUNTIF(Esp_Nome,$E190)=0,"Especialidade não cadastrada | ","")&amp;IF(COUNTIF(Lista_StatusCir,$H190)=0,"Status inválido | ","")&amp;IF(OR(NOT(ISNUMBER($C190)),NOT(ISNUMBER($D190))),"Horário inválido | ","")&amp;IFERROR(IF(AND(ISNUMBER($C190),ISNUMBER($D190),MOD($D190-$C190,1)*1440&lt;=0),"Duração nula ou negativa | ",""),"")&amp;IF(AND($J190&gt;0,OR($P190&gt;=Turno_Min,$Q190&gt;Turno_Min)),"Fora da janela do plantão | ","")&amp;IF(AND($J190&gt;0,SUMPRODUCT((Mapa_Sala=$B190)*(Mapa_Data=$A190)*(Mapa_MinOcup&gt;0)*(Mapa_RelIni&lt;$Q190)*(Mapa_RelFim&gt;$P190))&gt;1),"Sobreposição de horário na sala | ","")&amp;IFERROR(IF(AND(ISNUMBER($I190),$I190&gt;0,COUNTIF(Esp_Nome,$E190)&gt;0,$I190&gt;3*INDEX(Esp_Dur,MATCH($E190,Esp_Nome,0))),"Duração atípica (&gt;3x a média) | ",""),""))</f>
        <v/>
      </c>
      <c r="P190" s="19">
        <f>IF(NOT(ISNUMBER($C190)),0,ROUND(MOD($C190-Turno_Ini,1)*1440,0))</f>
        <v/>
      </c>
      <c r="Q190" s="19">
        <f>IF($J190&lt;=0,0,$P190+$I190)</f>
        <v/>
      </c>
      <c r="R190" s="19">
        <f>IF($K190="","",$B190&amp;"#"&amp;$A190&amp;"#"&amp;$K190)</f>
        <v/>
      </c>
      <c r="S190" s="19">
        <f>ROW()</f>
        <v/>
      </c>
      <c r="T190" s="19">
        <f>IF($J190&lt;=0,0,MAX(0,MIN($P190+$I190+Limpeza_Min,Turno_Min,IFERROR(INDEX(Mapa_RelIni,MATCH($B190&amp;"#"&amp;$A190&amp;"#"&amp;($K190+1),Mapa_Chave,0)),Turno_Min))-MIN($P190,Turno_Min)))</f>
        <v/>
      </c>
    </row>
    <row r="191">
      <c r="A191" s="30" t="n"/>
      <c r="B191" s="31" t="n"/>
      <c r="C191" s="32" t="n"/>
      <c r="D191" s="32" t="n"/>
      <c r="E191" s="33" t="n"/>
      <c r="F191" s="33" t="n"/>
      <c r="G191" s="33" t="n"/>
      <c r="H191" s="31" t="n"/>
      <c r="I191" s="20">
        <f>IF(OR($B191="",NOT(ISNUMBER($C191)),NOT(ISNUMBER($D191))),"",ROUND(MOD($D191-$C191,1)*1440,0))</f>
        <v/>
      </c>
      <c r="J191" s="20">
        <f>IF(NOT(ISNUMBER($I191)),0,IF(OR($I191&lt;=0,$H191="Cancelada",$H191="Suspensa"),0,$I191+Limpeza_Min))</f>
        <v/>
      </c>
      <c r="K191" s="20">
        <f>IF($J191&lt;=0,"",SUMPRODUCT((Mapa_Sala=$B191)*(Mapa_Data=$A191)*(Mapa_MinOcup&gt;0)*((Mapa_RelIni&lt;$P191)+((Mapa_RelIni=$P191)*(Mapa_Row&lt;=$S191)))))</f>
        <v/>
      </c>
      <c r="L191" s="34">
        <f>IF($J191&lt;=0,"",MOD(Turno_Ini+($Q191+Limpeza_Min)/1440,1))</f>
        <v/>
      </c>
      <c r="M191" s="20">
        <f>IF($J191&lt;=0,"",MAX(0,IFERROR(INDEX(Mapa_RelIni,MATCH($B191&amp;"#"&amp;$A191&amp;"#"&amp;($K191+1),Mapa_Chave,0)),Turno_Min)-($Q191+Limpeza_Min)))</f>
        <v/>
      </c>
      <c r="N191" s="14">
        <f>IF($B191="","",IF($O191="","OK",LEFT($O191,LEN($O191)-3)))</f>
        <v/>
      </c>
      <c r="O191" s="35">
        <f>IF($B191="","",IF(COUNTIF(Postos_Cod,$B191)=0,"Sala não cadastrada | ","")&amp;IF(AND(COUNTIF(Postos_Cod,$B191)&gt;0,IFERROR(INDEX(Postos_Tipo,MATCH($B191,Postos_Cod,0)),"")&lt;&gt;"Sala cirúrgica"),"Posto não é sala cirúrgica | ","")&amp;IF(COUNTIF(Esp_Nome,$E191)=0,"Especialidade não cadastrada | ","")&amp;IF(COUNTIF(Lista_StatusCir,$H191)=0,"Status inválido | ","")&amp;IF(OR(NOT(ISNUMBER($C191)),NOT(ISNUMBER($D191))),"Horário inválido | ","")&amp;IFERROR(IF(AND(ISNUMBER($C191),ISNUMBER($D191),MOD($D191-$C191,1)*1440&lt;=0),"Duração nula ou negativa | ",""),"")&amp;IF(AND($J191&gt;0,OR($P191&gt;=Turno_Min,$Q191&gt;Turno_Min)),"Fora da janela do plantão | ","")&amp;IF(AND($J191&gt;0,SUMPRODUCT((Mapa_Sala=$B191)*(Mapa_Data=$A191)*(Mapa_MinOcup&gt;0)*(Mapa_RelIni&lt;$Q191)*(Mapa_RelFim&gt;$P191))&gt;1),"Sobreposição de horário na sala | ","")&amp;IFERROR(IF(AND(ISNUMBER($I191),$I191&gt;0,COUNTIF(Esp_Nome,$E191)&gt;0,$I191&gt;3*INDEX(Esp_Dur,MATCH($E191,Esp_Nome,0))),"Duração atípica (&gt;3x a média) | ",""),""))</f>
        <v/>
      </c>
      <c r="P191" s="19">
        <f>IF(NOT(ISNUMBER($C191)),0,ROUND(MOD($C191-Turno_Ini,1)*1440,0))</f>
        <v/>
      </c>
      <c r="Q191" s="19">
        <f>IF($J191&lt;=0,0,$P191+$I191)</f>
        <v/>
      </c>
      <c r="R191" s="19">
        <f>IF($K191="","",$B191&amp;"#"&amp;$A191&amp;"#"&amp;$K191)</f>
        <v/>
      </c>
      <c r="S191" s="19">
        <f>ROW()</f>
        <v/>
      </c>
      <c r="T191" s="19">
        <f>IF($J191&lt;=0,0,MAX(0,MIN($P191+$I191+Limpeza_Min,Turno_Min,IFERROR(INDEX(Mapa_RelIni,MATCH($B191&amp;"#"&amp;$A191&amp;"#"&amp;($K191+1),Mapa_Chave,0)),Turno_Min))-MIN($P191,Turno_Min)))</f>
        <v/>
      </c>
    </row>
    <row r="192">
      <c r="A192" s="30" t="n"/>
      <c r="B192" s="31" t="n"/>
      <c r="C192" s="32" t="n"/>
      <c r="D192" s="32" t="n"/>
      <c r="E192" s="33" t="n"/>
      <c r="F192" s="33" t="n"/>
      <c r="G192" s="33" t="n"/>
      <c r="H192" s="31" t="n"/>
      <c r="I192" s="20">
        <f>IF(OR($B192="",NOT(ISNUMBER($C192)),NOT(ISNUMBER($D192))),"",ROUND(MOD($D192-$C192,1)*1440,0))</f>
        <v/>
      </c>
      <c r="J192" s="20">
        <f>IF(NOT(ISNUMBER($I192)),0,IF(OR($I192&lt;=0,$H192="Cancelada",$H192="Suspensa"),0,$I192+Limpeza_Min))</f>
        <v/>
      </c>
      <c r="K192" s="20">
        <f>IF($J192&lt;=0,"",SUMPRODUCT((Mapa_Sala=$B192)*(Mapa_Data=$A192)*(Mapa_MinOcup&gt;0)*((Mapa_RelIni&lt;$P192)+((Mapa_RelIni=$P192)*(Mapa_Row&lt;=$S192)))))</f>
        <v/>
      </c>
      <c r="L192" s="34">
        <f>IF($J192&lt;=0,"",MOD(Turno_Ini+($Q192+Limpeza_Min)/1440,1))</f>
        <v/>
      </c>
      <c r="M192" s="20">
        <f>IF($J192&lt;=0,"",MAX(0,IFERROR(INDEX(Mapa_RelIni,MATCH($B192&amp;"#"&amp;$A192&amp;"#"&amp;($K192+1),Mapa_Chave,0)),Turno_Min)-($Q192+Limpeza_Min)))</f>
        <v/>
      </c>
      <c r="N192" s="14">
        <f>IF($B192="","",IF($O192="","OK",LEFT($O192,LEN($O192)-3)))</f>
        <v/>
      </c>
      <c r="O192" s="35">
        <f>IF($B192="","",IF(COUNTIF(Postos_Cod,$B192)=0,"Sala não cadastrada | ","")&amp;IF(AND(COUNTIF(Postos_Cod,$B192)&gt;0,IFERROR(INDEX(Postos_Tipo,MATCH($B192,Postos_Cod,0)),"")&lt;&gt;"Sala cirúrgica"),"Posto não é sala cirúrgica | ","")&amp;IF(COUNTIF(Esp_Nome,$E192)=0,"Especialidade não cadastrada | ","")&amp;IF(COUNTIF(Lista_StatusCir,$H192)=0,"Status inválido | ","")&amp;IF(OR(NOT(ISNUMBER($C192)),NOT(ISNUMBER($D192))),"Horário inválido | ","")&amp;IFERROR(IF(AND(ISNUMBER($C192),ISNUMBER($D192),MOD($D192-$C192,1)*1440&lt;=0),"Duração nula ou negativa | ",""),"")&amp;IF(AND($J192&gt;0,OR($P192&gt;=Turno_Min,$Q192&gt;Turno_Min)),"Fora da janela do plantão | ","")&amp;IF(AND($J192&gt;0,SUMPRODUCT((Mapa_Sala=$B192)*(Mapa_Data=$A192)*(Mapa_MinOcup&gt;0)*(Mapa_RelIni&lt;$Q192)*(Mapa_RelFim&gt;$P192))&gt;1),"Sobreposição de horário na sala | ","")&amp;IFERROR(IF(AND(ISNUMBER($I192),$I192&gt;0,COUNTIF(Esp_Nome,$E192)&gt;0,$I192&gt;3*INDEX(Esp_Dur,MATCH($E192,Esp_Nome,0))),"Duração atípica (&gt;3x a média) | ",""),""))</f>
        <v/>
      </c>
      <c r="P192" s="19">
        <f>IF(NOT(ISNUMBER($C192)),0,ROUND(MOD($C192-Turno_Ini,1)*1440,0))</f>
        <v/>
      </c>
      <c r="Q192" s="19">
        <f>IF($J192&lt;=0,0,$P192+$I192)</f>
        <v/>
      </c>
      <c r="R192" s="19">
        <f>IF($K192="","",$B192&amp;"#"&amp;$A192&amp;"#"&amp;$K192)</f>
        <v/>
      </c>
      <c r="S192" s="19">
        <f>ROW()</f>
        <v/>
      </c>
      <c r="T192" s="19">
        <f>IF($J192&lt;=0,0,MAX(0,MIN($P192+$I192+Limpeza_Min,Turno_Min,IFERROR(INDEX(Mapa_RelIni,MATCH($B192&amp;"#"&amp;$A192&amp;"#"&amp;($K192+1),Mapa_Chave,0)),Turno_Min))-MIN($P192,Turno_Min)))</f>
        <v/>
      </c>
    </row>
    <row r="193">
      <c r="A193" s="30" t="n"/>
      <c r="B193" s="31" t="n"/>
      <c r="C193" s="32" t="n"/>
      <c r="D193" s="32" t="n"/>
      <c r="E193" s="33" t="n"/>
      <c r="F193" s="33" t="n"/>
      <c r="G193" s="33" t="n"/>
      <c r="H193" s="31" t="n"/>
      <c r="I193" s="20">
        <f>IF(OR($B193="",NOT(ISNUMBER($C193)),NOT(ISNUMBER($D193))),"",ROUND(MOD($D193-$C193,1)*1440,0))</f>
        <v/>
      </c>
      <c r="J193" s="20">
        <f>IF(NOT(ISNUMBER($I193)),0,IF(OR($I193&lt;=0,$H193="Cancelada",$H193="Suspensa"),0,$I193+Limpeza_Min))</f>
        <v/>
      </c>
      <c r="K193" s="20">
        <f>IF($J193&lt;=0,"",SUMPRODUCT((Mapa_Sala=$B193)*(Mapa_Data=$A193)*(Mapa_MinOcup&gt;0)*((Mapa_RelIni&lt;$P193)+((Mapa_RelIni=$P193)*(Mapa_Row&lt;=$S193)))))</f>
        <v/>
      </c>
      <c r="L193" s="34">
        <f>IF($J193&lt;=0,"",MOD(Turno_Ini+($Q193+Limpeza_Min)/1440,1))</f>
        <v/>
      </c>
      <c r="M193" s="20">
        <f>IF($J193&lt;=0,"",MAX(0,IFERROR(INDEX(Mapa_RelIni,MATCH($B193&amp;"#"&amp;$A193&amp;"#"&amp;($K193+1),Mapa_Chave,0)),Turno_Min)-($Q193+Limpeza_Min)))</f>
        <v/>
      </c>
      <c r="N193" s="14">
        <f>IF($B193="","",IF($O193="","OK",LEFT($O193,LEN($O193)-3)))</f>
        <v/>
      </c>
      <c r="O193" s="35">
        <f>IF($B193="","",IF(COUNTIF(Postos_Cod,$B193)=0,"Sala não cadastrada | ","")&amp;IF(AND(COUNTIF(Postos_Cod,$B193)&gt;0,IFERROR(INDEX(Postos_Tipo,MATCH($B193,Postos_Cod,0)),"")&lt;&gt;"Sala cirúrgica"),"Posto não é sala cirúrgica | ","")&amp;IF(COUNTIF(Esp_Nome,$E193)=0,"Especialidade não cadastrada | ","")&amp;IF(COUNTIF(Lista_StatusCir,$H193)=0,"Status inválido | ","")&amp;IF(OR(NOT(ISNUMBER($C193)),NOT(ISNUMBER($D193))),"Horário inválido | ","")&amp;IFERROR(IF(AND(ISNUMBER($C193),ISNUMBER($D193),MOD($D193-$C193,1)*1440&lt;=0),"Duração nula ou negativa | ",""),"")&amp;IF(AND($J193&gt;0,OR($P193&gt;=Turno_Min,$Q193&gt;Turno_Min)),"Fora da janela do plantão | ","")&amp;IF(AND($J193&gt;0,SUMPRODUCT((Mapa_Sala=$B193)*(Mapa_Data=$A193)*(Mapa_MinOcup&gt;0)*(Mapa_RelIni&lt;$Q193)*(Mapa_RelFim&gt;$P193))&gt;1),"Sobreposição de horário na sala | ","")&amp;IFERROR(IF(AND(ISNUMBER($I193),$I193&gt;0,COUNTIF(Esp_Nome,$E193)&gt;0,$I193&gt;3*INDEX(Esp_Dur,MATCH($E193,Esp_Nome,0))),"Duração atípica (&gt;3x a média) | ",""),""))</f>
        <v/>
      </c>
      <c r="P193" s="19">
        <f>IF(NOT(ISNUMBER($C193)),0,ROUND(MOD($C193-Turno_Ini,1)*1440,0))</f>
        <v/>
      </c>
      <c r="Q193" s="19">
        <f>IF($J193&lt;=0,0,$P193+$I193)</f>
        <v/>
      </c>
      <c r="R193" s="19">
        <f>IF($K193="","",$B193&amp;"#"&amp;$A193&amp;"#"&amp;$K193)</f>
        <v/>
      </c>
      <c r="S193" s="19">
        <f>ROW()</f>
        <v/>
      </c>
      <c r="T193" s="19">
        <f>IF($J193&lt;=0,0,MAX(0,MIN($P193+$I193+Limpeza_Min,Turno_Min,IFERROR(INDEX(Mapa_RelIni,MATCH($B193&amp;"#"&amp;$A193&amp;"#"&amp;($K193+1),Mapa_Chave,0)),Turno_Min))-MIN($P193,Turno_Min)))</f>
        <v/>
      </c>
    </row>
    <row r="194">
      <c r="A194" s="30" t="n"/>
      <c r="B194" s="31" t="n"/>
      <c r="C194" s="32" t="n"/>
      <c r="D194" s="32" t="n"/>
      <c r="E194" s="33" t="n"/>
      <c r="F194" s="33" t="n"/>
      <c r="G194" s="33" t="n"/>
      <c r="H194" s="31" t="n"/>
      <c r="I194" s="20">
        <f>IF(OR($B194="",NOT(ISNUMBER($C194)),NOT(ISNUMBER($D194))),"",ROUND(MOD($D194-$C194,1)*1440,0))</f>
        <v/>
      </c>
      <c r="J194" s="20">
        <f>IF(NOT(ISNUMBER($I194)),0,IF(OR($I194&lt;=0,$H194="Cancelada",$H194="Suspensa"),0,$I194+Limpeza_Min))</f>
        <v/>
      </c>
      <c r="K194" s="20">
        <f>IF($J194&lt;=0,"",SUMPRODUCT((Mapa_Sala=$B194)*(Mapa_Data=$A194)*(Mapa_MinOcup&gt;0)*((Mapa_RelIni&lt;$P194)+((Mapa_RelIni=$P194)*(Mapa_Row&lt;=$S194)))))</f>
        <v/>
      </c>
      <c r="L194" s="34">
        <f>IF($J194&lt;=0,"",MOD(Turno_Ini+($Q194+Limpeza_Min)/1440,1))</f>
        <v/>
      </c>
      <c r="M194" s="20">
        <f>IF($J194&lt;=0,"",MAX(0,IFERROR(INDEX(Mapa_RelIni,MATCH($B194&amp;"#"&amp;$A194&amp;"#"&amp;($K194+1),Mapa_Chave,0)),Turno_Min)-($Q194+Limpeza_Min)))</f>
        <v/>
      </c>
      <c r="N194" s="14">
        <f>IF($B194="","",IF($O194="","OK",LEFT($O194,LEN($O194)-3)))</f>
        <v/>
      </c>
      <c r="O194" s="35">
        <f>IF($B194="","",IF(COUNTIF(Postos_Cod,$B194)=0,"Sala não cadastrada | ","")&amp;IF(AND(COUNTIF(Postos_Cod,$B194)&gt;0,IFERROR(INDEX(Postos_Tipo,MATCH($B194,Postos_Cod,0)),"")&lt;&gt;"Sala cirúrgica"),"Posto não é sala cirúrgica | ","")&amp;IF(COUNTIF(Esp_Nome,$E194)=0,"Especialidade não cadastrada | ","")&amp;IF(COUNTIF(Lista_StatusCir,$H194)=0,"Status inválido | ","")&amp;IF(OR(NOT(ISNUMBER($C194)),NOT(ISNUMBER($D194))),"Horário inválido | ","")&amp;IFERROR(IF(AND(ISNUMBER($C194),ISNUMBER($D194),MOD($D194-$C194,1)*1440&lt;=0),"Duração nula ou negativa | ",""),"")&amp;IF(AND($J194&gt;0,OR($P194&gt;=Turno_Min,$Q194&gt;Turno_Min)),"Fora da janela do plantão | ","")&amp;IF(AND($J194&gt;0,SUMPRODUCT((Mapa_Sala=$B194)*(Mapa_Data=$A194)*(Mapa_MinOcup&gt;0)*(Mapa_RelIni&lt;$Q194)*(Mapa_RelFim&gt;$P194))&gt;1),"Sobreposição de horário na sala | ","")&amp;IFERROR(IF(AND(ISNUMBER($I194),$I194&gt;0,COUNTIF(Esp_Nome,$E194)&gt;0,$I194&gt;3*INDEX(Esp_Dur,MATCH($E194,Esp_Nome,0))),"Duração atípica (&gt;3x a média) | ",""),""))</f>
        <v/>
      </c>
      <c r="P194" s="19">
        <f>IF(NOT(ISNUMBER($C194)),0,ROUND(MOD($C194-Turno_Ini,1)*1440,0))</f>
        <v/>
      </c>
      <c r="Q194" s="19">
        <f>IF($J194&lt;=0,0,$P194+$I194)</f>
        <v/>
      </c>
      <c r="R194" s="19">
        <f>IF($K194="","",$B194&amp;"#"&amp;$A194&amp;"#"&amp;$K194)</f>
        <v/>
      </c>
      <c r="S194" s="19">
        <f>ROW()</f>
        <v/>
      </c>
      <c r="T194" s="19">
        <f>IF($J194&lt;=0,0,MAX(0,MIN($P194+$I194+Limpeza_Min,Turno_Min,IFERROR(INDEX(Mapa_RelIni,MATCH($B194&amp;"#"&amp;$A194&amp;"#"&amp;($K194+1),Mapa_Chave,0)),Turno_Min))-MIN($P194,Turno_Min)))</f>
        <v/>
      </c>
    </row>
    <row r="195">
      <c r="A195" s="30" t="n"/>
      <c r="B195" s="31" t="n"/>
      <c r="C195" s="32" t="n"/>
      <c r="D195" s="32" t="n"/>
      <c r="E195" s="33" t="n"/>
      <c r="F195" s="33" t="n"/>
      <c r="G195" s="33" t="n"/>
      <c r="H195" s="31" t="n"/>
      <c r="I195" s="20">
        <f>IF(OR($B195="",NOT(ISNUMBER($C195)),NOT(ISNUMBER($D195))),"",ROUND(MOD($D195-$C195,1)*1440,0))</f>
        <v/>
      </c>
      <c r="J195" s="20">
        <f>IF(NOT(ISNUMBER($I195)),0,IF(OR($I195&lt;=0,$H195="Cancelada",$H195="Suspensa"),0,$I195+Limpeza_Min))</f>
        <v/>
      </c>
      <c r="K195" s="20">
        <f>IF($J195&lt;=0,"",SUMPRODUCT((Mapa_Sala=$B195)*(Mapa_Data=$A195)*(Mapa_MinOcup&gt;0)*((Mapa_RelIni&lt;$P195)+((Mapa_RelIni=$P195)*(Mapa_Row&lt;=$S195)))))</f>
        <v/>
      </c>
      <c r="L195" s="34">
        <f>IF($J195&lt;=0,"",MOD(Turno_Ini+($Q195+Limpeza_Min)/1440,1))</f>
        <v/>
      </c>
      <c r="M195" s="20">
        <f>IF($J195&lt;=0,"",MAX(0,IFERROR(INDEX(Mapa_RelIni,MATCH($B195&amp;"#"&amp;$A195&amp;"#"&amp;($K195+1),Mapa_Chave,0)),Turno_Min)-($Q195+Limpeza_Min)))</f>
        <v/>
      </c>
      <c r="N195" s="14">
        <f>IF($B195="","",IF($O195="","OK",LEFT($O195,LEN($O195)-3)))</f>
        <v/>
      </c>
      <c r="O195" s="35">
        <f>IF($B195="","",IF(COUNTIF(Postos_Cod,$B195)=0,"Sala não cadastrada | ","")&amp;IF(AND(COUNTIF(Postos_Cod,$B195)&gt;0,IFERROR(INDEX(Postos_Tipo,MATCH($B195,Postos_Cod,0)),"")&lt;&gt;"Sala cirúrgica"),"Posto não é sala cirúrgica | ","")&amp;IF(COUNTIF(Esp_Nome,$E195)=0,"Especialidade não cadastrada | ","")&amp;IF(COUNTIF(Lista_StatusCir,$H195)=0,"Status inválido | ","")&amp;IF(OR(NOT(ISNUMBER($C195)),NOT(ISNUMBER($D195))),"Horário inválido | ","")&amp;IFERROR(IF(AND(ISNUMBER($C195),ISNUMBER($D195),MOD($D195-$C195,1)*1440&lt;=0),"Duração nula ou negativa | ",""),"")&amp;IF(AND($J195&gt;0,OR($P195&gt;=Turno_Min,$Q195&gt;Turno_Min)),"Fora da janela do plantão | ","")&amp;IF(AND($J195&gt;0,SUMPRODUCT((Mapa_Sala=$B195)*(Mapa_Data=$A195)*(Mapa_MinOcup&gt;0)*(Mapa_RelIni&lt;$Q195)*(Mapa_RelFim&gt;$P195))&gt;1),"Sobreposição de horário na sala | ","")&amp;IFERROR(IF(AND(ISNUMBER($I195),$I195&gt;0,COUNTIF(Esp_Nome,$E195)&gt;0,$I195&gt;3*INDEX(Esp_Dur,MATCH($E195,Esp_Nome,0))),"Duração atípica (&gt;3x a média) | ",""),""))</f>
        <v/>
      </c>
      <c r="P195" s="19">
        <f>IF(NOT(ISNUMBER($C195)),0,ROUND(MOD($C195-Turno_Ini,1)*1440,0))</f>
        <v/>
      </c>
      <c r="Q195" s="19">
        <f>IF($J195&lt;=0,0,$P195+$I195)</f>
        <v/>
      </c>
      <c r="R195" s="19">
        <f>IF($K195="","",$B195&amp;"#"&amp;$A195&amp;"#"&amp;$K195)</f>
        <v/>
      </c>
      <c r="S195" s="19">
        <f>ROW()</f>
        <v/>
      </c>
      <c r="T195" s="19">
        <f>IF($J195&lt;=0,0,MAX(0,MIN($P195+$I195+Limpeza_Min,Turno_Min,IFERROR(INDEX(Mapa_RelIni,MATCH($B195&amp;"#"&amp;$A195&amp;"#"&amp;($K195+1),Mapa_Chave,0)),Turno_Min))-MIN($P195,Turno_Min)))</f>
        <v/>
      </c>
    </row>
    <row r="196">
      <c r="A196" s="30" t="n"/>
      <c r="B196" s="31" t="n"/>
      <c r="C196" s="32" t="n"/>
      <c r="D196" s="32" t="n"/>
      <c r="E196" s="33" t="n"/>
      <c r="F196" s="33" t="n"/>
      <c r="G196" s="33" t="n"/>
      <c r="H196" s="31" t="n"/>
      <c r="I196" s="20">
        <f>IF(OR($B196="",NOT(ISNUMBER($C196)),NOT(ISNUMBER($D196))),"",ROUND(MOD($D196-$C196,1)*1440,0))</f>
        <v/>
      </c>
      <c r="J196" s="20">
        <f>IF(NOT(ISNUMBER($I196)),0,IF(OR($I196&lt;=0,$H196="Cancelada",$H196="Suspensa"),0,$I196+Limpeza_Min))</f>
        <v/>
      </c>
      <c r="K196" s="20">
        <f>IF($J196&lt;=0,"",SUMPRODUCT((Mapa_Sala=$B196)*(Mapa_Data=$A196)*(Mapa_MinOcup&gt;0)*((Mapa_RelIni&lt;$P196)+((Mapa_RelIni=$P196)*(Mapa_Row&lt;=$S196)))))</f>
        <v/>
      </c>
      <c r="L196" s="34">
        <f>IF($J196&lt;=0,"",MOD(Turno_Ini+($Q196+Limpeza_Min)/1440,1))</f>
        <v/>
      </c>
      <c r="M196" s="20">
        <f>IF($J196&lt;=0,"",MAX(0,IFERROR(INDEX(Mapa_RelIni,MATCH($B196&amp;"#"&amp;$A196&amp;"#"&amp;($K196+1),Mapa_Chave,0)),Turno_Min)-($Q196+Limpeza_Min)))</f>
        <v/>
      </c>
      <c r="N196" s="14">
        <f>IF($B196="","",IF($O196="","OK",LEFT($O196,LEN($O196)-3)))</f>
        <v/>
      </c>
      <c r="O196" s="35">
        <f>IF($B196="","",IF(COUNTIF(Postos_Cod,$B196)=0,"Sala não cadastrada | ","")&amp;IF(AND(COUNTIF(Postos_Cod,$B196)&gt;0,IFERROR(INDEX(Postos_Tipo,MATCH($B196,Postos_Cod,0)),"")&lt;&gt;"Sala cirúrgica"),"Posto não é sala cirúrgica | ","")&amp;IF(COUNTIF(Esp_Nome,$E196)=0,"Especialidade não cadastrada | ","")&amp;IF(COUNTIF(Lista_StatusCir,$H196)=0,"Status inválido | ","")&amp;IF(OR(NOT(ISNUMBER($C196)),NOT(ISNUMBER($D196))),"Horário inválido | ","")&amp;IFERROR(IF(AND(ISNUMBER($C196),ISNUMBER($D196),MOD($D196-$C196,1)*1440&lt;=0),"Duração nula ou negativa | ",""),"")&amp;IF(AND($J196&gt;0,OR($P196&gt;=Turno_Min,$Q196&gt;Turno_Min)),"Fora da janela do plantão | ","")&amp;IF(AND($J196&gt;0,SUMPRODUCT((Mapa_Sala=$B196)*(Mapa_Data=$A196)*(Mapa_MinOcup&gt;0)*(Mapa_RelIni&lt;$Q196)*(Mapa_RelFim&gt;$P196))&gt;1),"Sobreposição de horário na sala | ","")&amp;IFERROR(IF(AND(ISNUMBER($I196),$I196&gt;0,COUNTIF(Esp_Nome,$E196)&gt;0,$I196&gt;3*INDEX(Esp_Dur,MATCH($E196,Esp_Nome,0))),"Duração atípica (&gt;3x a média) | ",""),""))</f>
        <v/>
      </c>
      <c r="P196" s="19">
        <f>IF(NOT(ISNUMBER($C196)),0,ROUND(MOD($C196-Turno_Ini,1)*1440,0))</f>
        <v/>
      </c>
      <c r="Q196" s="19">
        <f>IF($J196&lt;=0,0,$P196+$I196)</f>
        <v/>
      </c>
      <c r="R196" s="19">
        <f>IF($K196="","",$B196&amp;"#"&amp;$A196&amp;"#"&amp;$K196)</f>
        <v/>
      </c>
      <c r="S196" s="19">
        <f>ROW()</f>
        <v/>
      </c>
      <c r="T196" s="19">
        <f>IF($J196&lt;=0,0,MAX(0,MIN($P196+$I196+Limpeza_Min,Turno_Min,IFERROR(INDEX(Mapa_RelIni,MATCH($B196&amp;"#"&amp;$A196&amp;"#"&amp;($K196+1),Mapa_Chave,0)),Turno_Min))-MIN($P196,Turno_Min)))</f>
        <v/>
      </c>
    </row>
    <row r="197">
      <c r="A197" s="30" t="n"/>
      <c r="B197" s="31" t="n"/>
      <c r="C197" s="32" t="n"/>
      <c r="D197" s="32" t="n"/>
      <c r="E197" s="33" t="n"/>
      <c r="F197" s="33" t="n"/>
      <c r="G197" s="33" t="n"/>
      <c r="H197" s="31" t="n"/>
      <c r="I197" s="20">
        <f>IF(OR($B197="",NOT(ISNUMBER($C197)),NOT(ISNUMBER($D197))),"",ROUND(MOD($D197-$C197,1)*1440,0))</f>
        <v/>
      </c>
      <c r="J197" s="20">
        <f>IF(NOT(ISNUMBER($I197)),0,IF(OR($I197&lt;=0,$H197="Cancelada",$H197="Suspensa"),0,$I197+Limpeza_Min))</f>
        <v/>
      </c>
      <c r="K197" s="20">
        <f>IF($J197&lt;=0,"",SUMPRODUCT((Mapa_Sala=$B197)*(Mapa_Data=$A197)*(Mapa_MinOcup&gt;0)*((Mapa_RelIni&lt;$P197)+((Mapa_RelIni=$P197)*(Mapa_Row&lt;=$S197)))))</f>
        <v/>
      </c>
      <c r="L197" s="34">
        <f>IF($J197&lt;=0,"",MOD(Turno_Ini+($Q197+Limpeza_Min)/1440,1))</f>
        <v/>
      </c>
      <c r="M197" s="20">
        <f>IF($J197&lt;=0,"",MAX(0,IFERROR(INDEX(Mapa_RelIni,MATCH($B197&amp;"#"&amp;$A197&amp;"#"&amp;($K197+1),Mapa_Chave,0)),Turno_Min)-($Q197+Limpeza_Min)))</f>
        <v/>
      </c>
      <c r="N197" s="14">
        <f>IF($B197="","",IF($O197="","OK",LEFT($O197,LEN($O197)-3)))</f>
        <v/>
      </c>
      <c r="O197" s="35">
        <f>IF($B197="","",IF(COUNTIF(Postos_Cod,$B197)=0,"Sala não cadastrada | ","")&amp;IF(AND(COUNTIF(Postos_Cod,$B197)&gt;0,IFERROR(INDEX(Postos_Tipo,MATCH($B197,Postos_Cod,0)),"")&lt;&gt;"Sala cirúrgica"),"Posto não é sala cirúrgica | ","")&amp;IF(COUNTIF(Esp_Nome,$E197)=0,"Especialidade não cadastrada | ","")&amp;IF(COUNTIF(Lista_StatusCir,$H197)=0,"Status inválido | ","")&amp;IF(OR(NOT(ISNUMBER($C197)),NOT(ISNUMBER($D197))),"Horário inválido | ","")&amp;IFERROR(IF(AND(ISNUMBER($C197),ISNUMBER($D197),MOD($D197-$C197,1)*1440&lt;=0),"Duração nula ou negativa | ",""),"")&amp;IF(AND($J197&gt;0,OR($P197&gt;=Turno_Min,$Q197&gt;Turno_Min)),"Fora da janela do plantão | ","")&amp;IF(AND($J197&gt;0,SUMPRODUCT((Mapa_Sala=$B197)*(Mapa_Data=$A197)*(Mapa_MinOcup&gt;0)*(Mapa_RelIni&lt;$Q197)*(Mapa_RelFim&gt;$P197))&gt;1),"Sobreposição de horário na sala | ","")&amp;IFERROR(IF(AND(ISNUMBER($I197),$I197&gt;0,COUNTIF(Esp_Nome,$E197)&gt;0,$I197&gt;3*INDEX(Esp_Dur,MATCH($E197,Esp_Nome,0))),"Duração atípica (&gt;3x a média) | ",""),""))</f>
        <v/>
      </c>
      <c r="P197" s="19">
        <f>IF(NOT(ISNUMBER($C197)),0,ROUND(MOD($C197-Turno_Ini,1)*1440,0))</f>
        <v/>
      </c>
      <c r="Q197" s="19">
        <f>IF($J197&lt;=0,0,$P197+$I197)</f>
        <v/>
      </c>
      <c r="R197" s="19">
        <f>IF($K197="","",$B197&amp;"#"&amp;$A197&amp;"#"&amp;$K197)</f>
        <v/>
      </c>
      <c r="S197" s="19">
        <f>ROW()</f>
        <v/>
      </c>
      <c r="T197" s="19">
        <f>IF($J197&lt;=0,0,MAX(0,MIN($P197+$I197+Limpeza_Min,Turno_Min,IFERROR(INDEX(Mapa_RelIni,MATCH($B197&amp;"#"&amp;$A197&amp;"#"&amp;($K197+1),Mapa_Chave,0)),Turno_Min))-MIN($P197,Turno_Min)))</f>
        <v/>
      </c>
    </row>
    <row r="198">
      <c r="A198" s="30" t="n"/>
      <c r="B198" s="31" t="n"/>
      <c r="C198" s="32" t="n"/>
      <c r="D198" s="32" t="n"/>
      <c r="E198" s="33" t="n"/>
      <c r="F198" s="33" t="n"/>
      <c r="G198" s="33" t="n"/>
      <c r="H198" s="31" t="n"/>
      <c r="I198" s="20">
        <f>IF(OR($B198="",NOT(ISNUMBER($C198)),NOT(ISNUMBER($D198))),"",ROUND(MOD($D198-$C198,1)*1440,0))</f>
        <v/>
      </c>
      <c r="J198" s="20">
        <f>IF(NOT(ISNUMBER($I198)),0,IF(OR($I198&lt;=0,$H198="Cancelada",$H198="Suspensa"),0,$I198+Limpeza_Min))</f>
        <v/>
      </c>
      <c r="K198" s="20">
        <f>IF($J198&lt;=0,"",SUMPRODUCT((Mapa_Sala=$B198)*(Mapa_Data=$A198)*(Mapa_MinOcup&gt;0)*((Mapa_RelIni&lt;$P198)+((Mapa_RelIni=$P198)*(Mapa_Row&lt;=$S198)))))</f>
        <v/>
      </c>
      <c r="L198" s="34">
        <f>IF($J198&lt;=0,"",MOD(Turno_Ini+($Q198+Limpeza_Min)/1440,1))</f>
        <v/>
      </c>
      <c r="M198" s="20">
        <f>IF($J198&lt;=0,"",MAX(0,IFERROR(INDEX(Mapa_RelIni,MATCH($B198&amp;"#"&amp;$A198&amp;"#"&amp;($K198+1),Mapa_Chave,0)),Turno_Min)-($Q198+Limpeza_Min)))</f>
        <v/>
      </c>
      <c r="N198" s="14">
        <f>IF($B198="","",IF($O198="","OK",LEFT($O198,LEN($O198)-3)))</f>
        <v/>
      </c>
      <c r="O198" s="35">
        <f>IF($B198="","",IF(COUNTIF(Postos_Cod,$B198)=0,"Sala não cadastrada | ","")&amp;IF(AND(COUNTIF(Postos_Cod,$B198)&gt;0,IFERROR(INDEX(Postos_Tipo,MATCH($B198,Postos_Cod,0)),"")&lt;&gt;"Sala cirúrgica"),"Posto não é sala cirúrgica | ","")&amp;IF(COUNTIF(Esp_Nome,$E198)=0,"Especialidade não cadastrada | ","")&amp;IF(COUNTIF(Lista_StatusCir,$H198)=0,"Status inválido | ","")&amp;IF(OR(NOT(ISNUMBER($C198)),NOT(ISNUMBER($D198))),"Horário inválido | ","")&amp;IFERROR(IF(AND(ISNUMBER($C198),ISNUMBER($D198),MOD($D198-$C198,1)*1440&lt;=0),"Duração nula ou negativa | ",""),"")&amp;IF(AND($J198&gt;0,OR($P198&gt;=Turno_Min,$Q198&gt;Turno_Min)),"Fora da janela do plantão | ","")&amp;IF(AND($J198&gt;0,SUMPRODUCT((Mapa_Sala=$B198)*(Mapa_Data=$A198)*(Mapa_MinOcup&gt;0)*(Mapa_RelIni&lt;$Q198)*(Mapa_RelFim&gt;$P198))&gt;1),"Sobreposição de horário na sala | ","")&amp;IFERROR(IF(AND(ISNUMBER($I198),$I198&gt;0,COUNTIF(Esp_Nome,$E198)&gt;0,$I198&gt;3*INDEX(Esp_Dur,MATCH($E198,Esp_Nome,0))),"Duração atípica (&gt;3x a média) | ",""),""))</f>
        <v/>
      </c>
      <c r="P198" s="19">
        <f>IF(NOT(ISNUMBER($C198)),0,ROUND(MOD($C198-Turno_Ini,1)*1440,0))</f>
        <v/>
      </c>
      <c r="Q198" s="19">
        <f>IF($J198&lt;=0,0,$P198+$I198)</f>
        <v/>
      </c>
      <c r="R198" s="19">
        <f>IF($K198="","",$B198&amp;"#"&amp;$A198&amp;"#"&amp;$K198)</f>
        <v/>
      </c>
      <c r="S198" s="19">
        <f>ROW()</f>
        <v/>
      </c>
      <c r="T198" s="19">
        <f>IF($J198&lt;=0,0,MAX(0,MIN($P198+$I198+Limpeza_Min,Turno_Min,IFERROR(INDEX(Mapa_RelIni,MATCH($B198&amp;"#"&amp;$A198&amp;"#"&amp;($K198+1),Mapa_Chave,0)),Turno_Min))-MIN($P198,Turno_Min)))</f>
        <v/>
      </c>
    </row>
    <row r="199">
      <c r="A199" s="30" t="n"/>
      <c r="B199" s="31" t="n"/>
      <c r="C199" s="32" t="n"/>
      <c r="D199" s="32" t="n"/>
      <c r="E199" s="33" t="n"/>
      <c r="F199" s="33" t="n"/>
      <c r="G199" s="33" t="n"/>
      <c r="H199" s="31" t="n"/>
      <c r="I199" s="20">
        <f>IF(OR($B199="",NOT(ISNUMBER($C199)),NOT(ISNUMBER($D199))),"",ROUND(MOD($D199-$C199,1)*1440,0))</f>
        <v/>
      </c>
      <c r="J199" s="20">
        <f>IF(NOT(ISNUMBER($I199)),0,IF(OR($I199&lt;=0,$H199="Cancelada",$H199="Suspensa"),0,$I199+Limpeza_Min))</f>
        <v/>
      </c>
      <c r="K199" s="20">
        <f>IF($J199&lt;=0,"",SUMPRODUCT((Mapa_Sala=$B199)*(Mapa_Data=$A199)*(Mapa_MinOcup&gt;0)*((Mapa_RelIni&lt;$P199)+((Mapa_RelIni=$P199)*(Mapa_Row&lt;=$S199)))))</f>
        <v/>
      </c>
      <c r="L199" s="34">
        <f>IF($J199&lt;=0,"",MOD(Turno_Ini+($Q199+Limpeza_Min)/1440,1))</f>
        <v/>
      </c>
      <c r="M199" s="20">
        <f>IF($J199&lt;=0,"",MAX(0,IFERROR(INDEX(Mapa_RelIni,MATCH($B199&amp;"#"&amp;$A199&amp;"#"&amp;($K199+1),Mapa_Chave,0)),Turno_Min)-($Q199+Limpeza_Min)))</f>
        <v/>
      </c>
      <c r="N199" s="14">
        <f>IF($B199="","",IF($O199="","OK",LEFT($O199,LEN($O199)-3)))</f>
        <v/>
      </c>
      <c r="O199" s="35">
        <f>IF($B199="","",IF(COUNTIF(Postos_Cod,$B199)=0,"Sala não cadastrada | ","")&amp;IF(AND(COUNTIF(Postos_Cod,$B199)&gt;0,IFERROR(INDEX(Postos_Tipo,MATCH($B199,Postos_Cod,0)),"")&lt;&gt;"Sala cirúrgica"),"Posto não é sala cirúrgica | ","")&amp;IF(COUNTIF(Esp_Nome,$E199)=0,"Especialidade não cadastrada | ","")&amp;IF(COUNTIF(Lista_StatusCir,$H199)=0,"Status inválido | ","")&amp;IF(OR(NOT(ISNUMBER($C199)),NOT(ISNUMBER($D199))),"Horário inválido | ","")&amp;IFERROR(IF(AND(ISNUMBER($C199),ISNUMBER($D199),MOD($D199-$C199,1)*1440&lt;=0),"Duração nula ou negativa | ",""),"")&amp;IF(AND($J199&gt;0,OR($P199&gt;=Turno_Min,$Q199&gt;Turno_Min)),"Fora da janela do plantão | ","")&amp;IF(AND($J199&gt;0,SUMPRODUCT((Mapa_Sala=$B199)*(Mapa_Data=$A199)*(Mapa_MinOcup&gt;0)*(Mapa_RelIni&lt;$Q199)*(Mapa_RelFim&gt;$P199))&gt;1),"Sobreposição de horário na sala | ","")&amp;IFERROR(IF(AND(ISNUMBER($I199),$I199&gt;0,COUNTIF(Esp_Nome,$E199)&gt;0,$I199&gt;3*INDEX(Esp_Dur,MATCH($E199,Esp_Nome,0))),"Duração atípica (&gt;3x a média) | ",""),""))</f>
        <v/>
      </c>
      <c r="P199" s="19">
        <f>IF(NOT(ISNUMBER($C199)),0,ROUND(MOD($C199-Turno_Ini,1)*1440,0))</f>
        <v/>
      </c>
      <c r="Q199" s="19">
        <f>IF($J199&lt;=0,0,$P199+$I199)</f>
        <v/>
      </c>
      <c r="R199" s="19">
        <f>IF($K199="","",$B199&amp;"#"&amp;$A199&amp;"#"&amp;$K199)</f>
        <v/>
      </c>
      <c r="S199" s="19">
        <f>ROW()</f>
        <v/>
      </c>
      <c r="T199" s="19">
        <f>IF($J199&lt;=0,0,MAX(0,MIN($P199+$I199+Limpeza_Min,Turno_Min,IFERROR(INDEX(Mapa_RelIni,MATCH($B199&amp;"#"&amp;$A199&amp;"#"&amp;($K199+1),Mapa_Chave,0)),Turno_Min))-MIN($P199,Turno_Min)))</f>
        <v/>
      </c>
    </row>
    <row r="200">
      <c r="A200" s="30" t="n"/>
      <c r="B200" s="31" t="n"/>
      <c r="C200" s="32" t="n"/>
      <c r="D200" s="32" t="n"/>
      <c r="E200" s="33" t="n"/>
      <c r="F200" s="33" t="n"/>
      <c r="G200" s="33" t="n"/>
      <c r="H200" s="31" t="n"/>
      <c r="I200" s="20">
        <f>IF(OR($B200="",NOT(ISNUMBER($C200)),NOT(ISNUMBER($D200))),"",ROUND(MOD($D200-$C200,1)*1440,0))</f>
        <v/>
      </c>
      <c r="J200" s="20">
        <f>IF(NOT(ISNUMBER($I200)),0,IF(OR($I200&lt;=0,$H200="Cancelada",$H200="Suspensa"),0,$I200+Limpeza_Min))</f>
        <v/>
      </c>
      <c r="K200" s="20">
        <f>IF($J200&lt;=0,"",SUMPRODUCT((Mapa_Sala=$B200)*(Mapa_Data=$A200)*(Mapa_MinOcup&gt;0)*((Mapa_RelIni&lt;$P200)+((Mapa_RelIni=$P200)*(Mapa_Row&lt;=$S200)))))</f>
        <v/>
      </c>
      <c r="L200" s="34">
        <f>IF($J200&lt;=0,"",MOD(Turno_Ini+($Q200+Limpeza_Min)/1440,1))</f>
        <v/>
      </c>
      <c r="M200" s="20">
        <f>IF($J200&lt;=0,"",MAX(0,IFERROR(INDEX(Mapa_RelIni,MATCH($B200&amp;"#"&amp;$A200&amp;"#"&amp;($K200+1),Mapa_Chave,0)),Turno_Min)-($Q200+Limpeza_Min)))</f>
        <v/>
      </c>
      <c r="N200" s="14">
        <f>IF($B200="","",IF($O200="","OK",LEFT($O200,LEN($O200)-3)))</f>
        <v/>
      </c>
      <c r="O200" s="35">
        <f>IF($B200="","",IF(COUNTIF(Postos_Cod,$B200)=0,"Sala não cadastrada | ","")&amp;IF(AND(COUNTIF(Postos_Cod,$B200)&gt;0,IFERROR(INDEX(Postos_Tipo,MATCH($B200,Postos_Cod,0)),"")&lt;&gt;"Sala cirúrgica"),"Posto não é sala cirúrgica | ","")&amp;IF(COUNTIF(Esp_Nome,$E200)=0,"Especialidade não cadastrada | ","")&amp;IF(COUNTIF(Lista_StatusCir,$H200)=0,"Status inválido | ","")&amp;IF(OR(NOT(ISNUMBER($C200)),NOT(ISNUMBER($D200))),"Horário inválido | ","")&amp;IFERROR(IF(AND(ISNUMBER($C200),ISNUMBER($D200),MOD($D200-$C200,1)*1440&lt;=0),"Duração nula ou negativa | ",""),"")&amp;IF(AND($J200&gt;0,OR($P200&gt;=Turno_Min,$Q200&gt;Turno_Min)),"Fora da janela do plantão | ","")&amp;IF(AND($J200&gt;0,SUMPRODUCT((Mapa_Sala=$B200)*(Mapa_Data=$A200)*(Mapa_MinOcup&gt;0)*(Mapa_RelIni&lt;$Q200)*(Mapa_RelFim&gt;$P200))&gt;1),"Sobreposição de horário na sala | ","")&amp;IFERROR(IF(AND(ISNUMBER($I200),$I200&gt;0,COUNTIF(Esp_Nome,$E200)&gt;0,$I200&gt;3*INDEX(Esp_Dur,MATCH($E200,Esp_Nome,0))),"Duração atípica (&gt;3x a média) | ",""),""))</f>
        <v/>
      </c>
      <c r="P200" s="19">
        <f>IF(NOT(ISNUMBER($C200)),0,ROUND(MOD($C200-Turno_Ini,1)*1440,0))</f>
        <v/>
      </c>
      <c r="Q200" s="19">
        <f>IF($J200&lt;=0,0,$P200+$I200)</f>
        <v/>
      </c>
      <c r="R200" s="19">
        <f>IF($K200="","",$B200&amp;"#"&amp;$A200&amp;"#"&amp;$K200)</f>
        <v/>
      </c>
      <c r="S200" s="19">
        <f>ROW()</f>
        <v/>
      </c>
      <c r="T200" s="19">
        <f>IF($J200&lt;=0,0,MAX(0,MIN($P200+$I200+Limpeza_Min,Turno_Min,IFERROR(INDEX(Mapa_RelIni,MATCH($B200&amp;"#"&amp;$A200&amp;"#"&amp;($K200+1),Mapa_Chave,0)),Turno_Min))-MIN($P200,Turno_Min)))</f>
        <v/>
      </c>
    </row>
    <row r="201">
      <c r="A201" s="30" t="n"/>
      <c r="B201" s="31" t="n"/>
      <c r="C201" s="32" t="n"/>
      <c r="D201" s="32" t="n"/>
      <c r="E201" s="33" t="n"/>
      <c r="F201" s="33" t="n"/>
      <c r="G201" s="33" t="n"/>
      <c r="H201" s="31" t="n"/>
      <c r="I201" s="20">
        <f>IF(OR($B201="",NOT(ISNUMBER($C201)),NOT(ISNUMBER($D201))),"",ROUND(MOD($D201-$C201,1)*1440,0))</f>
        <v/>
      </c>
      <c r="J201" s="20">
        <f>IF(NOT(ISNUMBER($I201)),0,IF(OR($I201&lt;=0,$H201="Cancelada",$H201="Suspensa"),0,$I201+Limpeza_Min))</f>
        <v/>
      </c>
      <c r="K201" s="20">
        <f>IF($J201&lt;=0,"",SUMPRODUCT((Mapa_Sala=$B201)*(Mapa_Data=$A201)*(Mapa_MinOcup&gt;0)*((Mapa_RelIni&lt;$P201)+((Mapa_RelIni=$P201)*(Mapa_Row&lt;=$S201)))))</f>
        <v/>
      </c>
      <c r="L201" s="34">
        <f>IF($J201&lt;=0,"",MOD(Turno_Ini+($Q201+Limpeza_Min)/1440,1))</f>
        <v/>
      </c>
      <c r="M201" s="20">
        <f>IF($J201&lt;=0,"",MAX(0,IFERROR(INDEX(Mapa_RelIni,MATCH($B201&amp;"#"&amp;$A201&amp;"#"&amp;($K201+1),Mapa_Chave,0)),Turno_Min)-($Q201+Limpeza_Min)))</f>
        <v/>
      </c>
      <c r="N201" s="14">
        <f>IF($B201="","",IF($O201="","OK",LEFT($O201,LEN($O201)-3)))</f>
        <v/>
      </c>
      <c r="O201" s="35">
        <f>IF($B201="","",IF(COUNTIF(Postos_Cod,$B201)=0,"Sala não cadastrada | ","")&amp;IF(AND(COUNTIF(Postos_Cod,$B201)&gt;0,IFERROR(INDEX(Postos_Tipo,MATCH($B201,Postos_Cod,0)),"")&lt;&gt;"Sala cirúrgica"),"Posto não é sala cirúrgica | ","")&amp;IF(COUNTIF(Esp_Nome,$E201)=0,"Especialidade não cadastrada | ","")&amp;IF(COUNTIF(Lista_StatusCir,$H201)=0,"Status inválido | ","")&amp;IF(OR(NOT(ISNUMBER($C201)),NOT(ISNUMBER($D201))),"Horário inválido | ","")&amp;IFERROR(IF(AND(ISNUMBER($C201),ISNUMBER($D201),MOD($D201-$C201,1)*1440&lt;=0),"Duração nula ou negativa | ",""),"")&amp;IF(AND($J201&gt;0,OR($P201&gt;=Turno_Min,$Q201&gt;Turno_Min)),"Fora da janela do plantão | ","")&amp;IF(AND($J201&gt;0,SUMPRODUCT((Mapa_Sala=$B201)*(Mapa_Data=$A201)*(Mapa_MinOcup&gt;0)*(Mapa_RelIni&lt;$Q201)*(Mapa_RelFim&gt;$P201))&gt;1),"Sobreposição de horário na sala | ","")&amp;IFERROR(IF(AND(ISNUMBER($I201),$I201&gt;0,COUNTIF(Esp_Nome,$E201)&gt;0,$I201&gt;3*INDEX(Esp_Dur,MATCH($E201,Esp_Nome,0))),"Duração atípica (&gt;3x a média) | ",""),""))</f>
        <v/>
      </c>
      <c r="P201" s="19">
        <f>IF(NOT(ISNUMBER($C201)),0,ROUND(MOD($C201-Turno_Ini,1)*1440,0))</f>
        <v/>
      </c>
      <c r="Q201" s="19">
        <f>IF($J201&lt;=0,0,$P201+$I201)</f>
        <v/>
      </c>
      <c r="R201" s="19">
        <f>IF($K201="","",$B201&amp;"#"&amp;$A201&amp;"#"&amp;$K201)</f>
        <v/>
      </c>
      <c r="S201" s="19">
        <f>ROW()</f>
        <v/>
      </c>
      <c r="T201" s="19">
        <f>IF($J201&lt;=0,0,MAX(0,MIN($P201+$I201+Limpeza_Min,Turno_Min,IFERROR(INDEX(Mapa_RelIni,MATCH($B201&amp;"#"&amp;$A201&amp;"#"&amp;($K201+1),Mapa_Chave,0)),Turno_Min))-MIN($P201,Turno_Min)))</f>
        <v/>
      </c>
    </row>
  </sheetData>
  <autoFilter ref="A1:N201"/>
  <conditionalFormatting sqref="N2:N201">
    <cfRule type="expression" priority="1" dxfId="9">
      <formula>AND($N2&lt;&gt;"",$N2&lt;&gt;"OK")</formula>
    </cfRule>
  </conditionalFormatting>
  <conditionalFormatting sqref="H2:H201">
    <cfRule type="expression" priority="2" dxfId="15">
      <formula>OR($H2="Cancelada",$H2="Suspensa")</formula>
    </cfRule>
  </conditionalFormatting>
  <conditionalFormatting sqref="M2:M201">
    <cfRule type="expression" priority="3" dxfId="14">
      <formula>AND($M2&lt;&gt;"",$M2&gt;=Janela_Min)</formula>
    </cfRule>
  </conditionalFormatting>
  <dataValidations count="4">
    <dataValidation sqref="B2:B201" showDropDown="0" showInputMessage="0" showErrorMessage="1" allowBlank="1" type="list">
      <formula1>=Lista_Postos</formula1>
    </dataValidation>
    <dataValidation sqref="E2:E201" showDropDown="0" showInputMessage="0" showErrorMessage="1" allowBlank="1" type="list">
      <formula1>=Lista_Especialidades</formula1>
    </dataValidation>
    <dataValidation sqref="H2:H201" showDropDown="0" showInputMessage="0" showErrorMessage="1" allowBlank="1" type="list">
      <formula1>=Lista_StatusCir</formula1>
    </dataValidation>
    <dataValidation sqref="C2:D201" showDropDown="0" showInputMessage="0" showErrorMessage="1" allowBlank="1" errorTitle="Horário inválido" error="Informe um horário no formato HH:MM." type="time" operator="between">
      <formula1>TIME(0,0,0)</formula1>
      <formula2>TIME(23,59,0)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4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7" customWidth="1" min="5" max="5"/>
    <col width="12" customWidth="1" min="6" max="6"/>
    <col width="24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10" customWidth="1" min="28" max="28"/>
    <col hidden="1" width="13" customWidth="1" min="29" max="29"/>
    <col hidden="1" width="13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  <col width="3.6" customWidth="1" min="52" max="52"/>
    <col width="3.6" customWidth="1" min="53" max="53"/>
    <col width="3.6" customWidth="1" min="54" max="54"/>
    <col width="3.6" customWidth="1" min="55" max="55"/>
    <col width="3.6" customWidth="1" min="56" max="56"/>
    <col width="3.6" customWidth="1" min="57" max="57"/>
    <col width="3.6" customWidth="1" min="58" max="58"/>
    <col width="3.6" customWidth="1" min="59" max="59"/>
    <col width="3.6" customWidth="1" min="60" max="60"/>
  </cols>
  <sheetData>
    <row r="1" ht="170" customHeight="1">
      <c r="A1" s="7" t="inlineStr">
        <is>
          <t>Matrícula</t>
        </is>
      </c>
      <c r="B1" s="7" t="inlineStr">
        <is>
          <t>Nome do técnico</t>
        </is>
      </c>
      <c r="C1" s="7" t="inlineStr">
        <is>
          <t>COREN</t>
        </is>
      </c>
      <c r="D1" s="7" t="inlineStr">
        <is>
          <t>Status</t>
        </is>
      </c>
      <c r="E1" s="7" t="inlineStr">
        <is>
          <t>SITUAÇÃO NA DATA</t>
        </is>
      </c>
      <c r="F1" s="7" t="inlineStr">
        <is>
          <t>Ausente até</t>
        </is>
      </c>
      <c r="G1" s="7" t="inlineStr">
        <is>
          <t>Observação</t>
        </is>
      </c>
      <c r="H1" s="36">
        <f>IF('Configuração'!$B$22="","",'Configuração'!$B$22)</f>
        <v/>
      </c>
      <c r="I1" s="36">
        <f>IF('Configuração'!$B$23="","",'Configuração'!$B$23)</f>
        <v/>
      </c>
      <c r="J1" s="36">
        <f>IF('Configuração'!$B$24="","",'Configuração'!$B$24)</f>
        <v/>
      </c>
      <c r="K1" s="36">
        <f>IF('Configuração'!$B$25="","",'Configuração'!$B$25)</f>
        <v/>
      </c>
      <c r="L1" s="36">
        <f>IF('Configuração'!$B$26="","",'Configuração'!$B$26)</f>
        <v/>
      </c>
      <c r="M1" s="36">
        <f>IF('Configuração'!$B$27="","",'Configuração'!$B$27)</f>
        <v/>
      </c>
      <c r="N1" s="36">
        <f>IF('Configuração'!$B$28="","",'Configuração'!$B$28)</f>
        <v/>
      </c>
      <c r="O1" s="36">
        <f>IF('Configuração'!$B$29="","",'Configuração'!$B$29)</f>
        <v/>
      </c>
      <c r="P1" s="36">
        <f>IF('Configuração'!$B$30="","",'Configuração'!$B$30)</f>
        <v/>
      </c>
      <c r="Q1" s="36">
        <f>IF('Configuração'!$B$31="","",'Configuração'!$B$31)</f>
        <v/>
      </c>
      <c r="R1" s="36">
        <f>IF('Configuração'!$B$32="","",'Configuração'!$B$32)</f>
        <v/>
      </c>
      <c r="S1" s="36">
        <f>IF('Configuração'!$B$33="","",'Configuração'!$B$33)</f>
        <v/>
      </c>
      <c r="T1" s="36">
        <f>IF('Configuração'!$B$34="","",'Configuração'!$B$34)</f>
        <v/>
      </c>
      <c r="U1" s="36">
        <f>IF('Configuração'!$B$35="","",'Configuração'!$B$35)</f>
        <v/>
      </c>
      <c r="V1" s="36">
        <f>IF('Configuração'!$B$36="","",'Configuração'!$B$36)</f>
        <v/>
      </c>
      <c r="W1" s="36">
        <f>IF('Configuração'!$B$37="","",'Configuração'!$B$37)</f>
        <v/>
      </c>
      <c r="X1" s="36">
        <f>IF('Configuração'!$B$38="","",'Configuração'!$B$38)</f>
        <v/>
      </c>
      <c r="Y1" s="36">
        <f>IF('Configuração'!$B$39="","",'Configuração'!$B$39)</f>
        <v/>
      </c>
      <c r="Z1" s="36">
        <f>IF('Configuração'!$B$40="","",'Configuração'!$B$40)</f>
        <v/>
      </c>
      <c r="AA1" s="36">
        <f>IF('Configuração'!$B$41="","",'Configuração'!$B$41)</f>
        <v/>
      </c>
      <c r="AB1" s="7" t="inlineStr">
        <is>
          <t>Nº de especialidades</t>
        </is>
      </c>
      <c r="AC1" s="7" t="inlineStr">
        <is>
          <t>aux_curto</t>
        </is>
      </c>
      <c r="AD1" s="37" t="inlineStr">
        <is>
          <t>aux_afin</t>
        </is>
      </c>
      <c r="AE1" s="38">
        <f>IF($B$2="","",$AC$2)</f>
        <v/>
      </c>
      <c r="AF1" s="38">
        <f>IF($B$3="","",$AC$3)</f>
        <v/>
      </c>
      <c r="AG1" s="38">
        <f>IF($B$4="","",$AC$4)</f>
        <v/>
      </c>
      <c r="AH1" s="38">
        <f>IF($B$5="","",$AC$5)</f>
        <v/>
      </c>
      <c r="AI1" s="38">
        <f>IF($B$6="","",$AC$6)</f>
        <v/>
      </c>
      <c r="AJ1" s="38">
        <f>IF($B$7="","",$AC$7)</f>
        <v/>
      </c>
      <c r="AK1" s="38">
        <f>IF($B$8="","",$AC$8)</f>
        <v/>
      </c>
      <c r="AL1" s="38">
        <f>IF($B$9="","",$AC$9)</f>
        <v/>
      </c>
      <c r="AM1" s="38">
        <f>IF($B$10="","",$AC$10)</f>
        <v/>
      </c>
      <c r="AN1" s="38">
        <f>IF($B$11="","",$AC$11)</f>
        <v/>
      </c>
      <c r="AO1" s="38">
        <f>IF($B$12="","",$AC$12)</f>
        <v/>
      </c>
      <c r="AP1" s="38">
        <f>IF($B$13="","",$AC$13)</f>
        <v/>
      </c>
      <c r="AQ1" s="38">
        <f>IF($B$14="","",$AC$14)</f>
        <v/>
      </c>
      <c r="AR1" s="38">
        <f>IF($B$15="","",$AC$15)</f>
        <v/>
      </c>
      <c r="AS1" s="38">
        <f>IF($B$16="","",$AC$16)</f>
        <v/>
      </c>
      <c r="AT1" s="38">
        <f>IF($B$17="","",$AC$17)</f>
        <v/>
      </c>
      <c r="AU1" s="38">
        <f>IF($B$18="","",$AC$18)</f>
        <v/>
      </c>
      <c r="AV1" s="38">
        <f>IF($B$19="","",$AC$19)</f>
        <v/>
      </c>
      <c r="AW1" s="38">
        <f>IF($B$20="","",$AC$20)</f>
        <v/>
      </c>
      <c r="AX1" s="38">
        <f>IF($B$21="","",$AC$21)</f>
        <v/>
      </c>
      <c r="AY1" s="38">
        <f>IF($B$22="","",$AC$22)</f>
        <v/>
      </c>
      <c r="AZ1" s="38">
        <f>IF($B$23="","",$AC$23)</f>
        <v/>
      </c>
      <c r="BA1" s="38">
        <f>IF($B$24="","",$AC$24)</f>
        <v/>
      </c>
      <c r="BB1" s="38">
        <f>IF($B$25="","",$AC$25)</f>
        <v/>
      </c>
      <c r="BC1" s="38">
        <f>IF($B$26="","",$AC$26)</f>
        <v/>
      </c>
      <c r="BD1" s="38">
        <f>IF($B$27="","",$AC$27)</f>
        <v/>
      </c>
      <c r="BE1" s="38">
        <f>IF($B$28="","",$AC$28)</f>
        <v/>
      </c>
      <c r="BF1" s="38">
        <f>IF($B$29="","",$AC$29)</f>
        <v/>
      </c>
      <c r="BG1" s="38">
        <f>IF($B$30="","",$AC$30)</f>
        <v/>
      </c>
      <c r="BH1" s="38">
        <f>IF($B$31="","",$AC$31)</f>
        <v/>
      </c>
    </row>
    <row r="2">
      <c r="A2" s="31" t="inlineStr">
        <is>
          <t>TEC-001</t>
        </is>
      </c>
      <c r="B2" s="33" t="inlineStr">
        <is>
          <t>Adriana Salvi</t>
        </is>
      </c>
      <c r="C2" s="31" t="inlineStr"/>
      <c r="D2" s="31" t="inlineStr">
        <is>
          <t>Ativo</t>
        </is>
      </c>
      <c r="E2" s="19">
        <f>IF($B2="","",IF($D2&lt;&gt;"Ativo",$D2,IFERROR(INDEX(Aus_Tipo,MATCH($B2,Aus_Ativa,0)),"Disponível")))</f>
        <v/>
      </c>
      <c r="F2" s="26">
        <f>IF(OR($B2="",$E2="Disponível"),"",IFERROR(INDEX(Aus_Fim,MATCH($B2,Aus_Ativa,0)),""))</f>
        <v/>
      </c>
      <c r="G2" s="33" t="n"/>
      <c r="H2" s="39" t="inlineStr">
        <is>
          <t>X</t>
        </is>
      </c>
      <c r="I2" s="39" t="inlineStr">
        <is>
          <t>X</t>
        </is>
      </c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inlineStr">
        <is>
          <t>X</t>
        </is>
      </c>
      <c r="X2" s="39" t="n"/>
      <c r="Y2" s="39" t="n"/>
      <c r="Z2" s="39" t="n"/>
      <c r="AA2" s="39" t="n"/>
      <c r="AB2" s="20">
        <f>IF($B2="","",COUNTIF($H2:$AA2,"X"))</f>
        <v/>
      </c>
      <c r="AC2" s="35">
        <f>IF($B2="","",LEFT($B2,FIND(" ",$B2&amp;" ")-1)&amp;IF(TRIM(RIGHT(SUBSTITUTE(TRIM($B2)," ",REPT(" ",99)),99))=LEFT($B2,FIND(" ",$B2&amp;" ")-1),""," "&amp;LEFT(TRIM(RIGHT(SUBSTITUTE(TRIM($B2)," ",REPT(" ",99)),99)),1)&amp;"."))</f>
        <v/>
      </c>
      <c r="AD2" s="35">
        <f>IF($B2="","",COUNTIF($AE2:$BH2,"X"))</f>
        <v/>
      </c>
      <c r="AE2" s="40" t="inlineStr">
        <is>
          <t>—</t>
        </is>
      </c>
      <c r="AF2" s="39" t="inlineStr">
        <is>
          <t>X</t>
        </is>
      </c>
      <c r="AG2" s="39" t="inlineStr">
        <is>
          <t>X</t>
        </is>
      </c>
      <c r="AH2" s="39" t="inlineStr">
        <is>
          <t>X</t>
        </is>
      </c>
      <c r="AI2" s="39" t="inlineStr">
        <is>
          <t>X</t>
        </is>
      </c>
      <c r="AJ2" s="39" t="inlineStr">
        <is>
          <t>X</t>
        </is>
      </c>
      <c r="AK2" s="39" t="inlineStr">
        <is>
          <t>X</t>
        </is>
      </c>
      <c r="AL2" s="39" t="inlineStr">
        <is>
          <t>X</t>
        </is>
      </c>
      <c r="AM2" s="39" t="inlineStr">
        <is>
          <t>X</t>
        </is>
      </c>
      <c r="AN2" s="39" t="inlineStr">
        <is>
          <t>X</t>
        </is>
      </c>
      <c r="AO2" s="39" t="inlineStr">
        <is>
          <t>X</t>
        </is>
      </c>
      <c r="AP2" s="39" t="inlineStr">
        <is>
          <t>X</t>
        </is>
      </c>
      <c r="AQ2" s="39" t="inlineStr">
        <is>
          <t>X</t>
        </is>
      </c>
      <c r="AR2" s="39" t="inlineStr">
        <is>
          <t>X</t>
        </is>
      </c>
      <c r="AS2" s="39" t="inlineStr">
        <is>
          <t>X</t>
        </is>
      </c>
      <c r="AT2" s="39" t="inlineStr">
        <is>
          <t>X</t>
        </is>
      </c>
      <c r="AU2" s="39" t="inlineStr">
        <is>
          <t>X</t>
        </is>
      </c>
      <c r="AV2" s="39" t="inlineStr">
        <is>
          <t>X</t>
        </is>
      </c>
      <c r="AW2" s="39" t="inlineStr">
        <is>
          <t>X</t>
        </is>
      </c>
      <c r="AX2" s="39" t="inlineStr">
        <is>
          <t>X</t>
        </is>
      </c>
      <c r="AY2" s="39" t="inlineStr">
        <is>
          <t>X</t>
        </is>
      </c>
      <c r="AZ2" s="39" t="inlineStr">
        <is>
          <t>X</t>
        </is>
      </c>
      <c r="BA2" s="39" t="inlineStr">
        <is>
          <t>X</t>
        </is>
      </c>
      <c r="BB2" s="39" t="inlineStr">
        <is>
          <t>X</t>
        </is>
      </c>
      <c r="BC2" s="39" t="inlineStr">
        <is>
          <t>X</t>
        </is>
      </c>
      <c r="BD2" s="39" t="inlineStr">
        <is>
          <t>X</t>
        </is>
      </c>
      <c r="BE2" s="39" t="inlineStr">
        <is>
          <t>X</t>
        </is>
      </c>
      <c r="BF2" s="39" t="inlineStr">
        <is>
          <t>X</t>
        </is>
      </c>
      <c r="BG2" s="39" t="inlineStr">
        <is>
          <t>X</t>
        </is>
      </c>
      <c r="BH2" s="39" t="inlineStr">
        <is>
          <t>X</t>
        </is>
      </c>
    </row>
    <row r="3">
      <c r="A3" s="31" t="inlineStr">
        <is>
          <t>TEC-002</t>
        </is>
      </c>
      <c r="B3" s="33" t="inlineStr">
        <is>
          <t>Bruna Cordeiro</t>
        </is>
      </c>
      <c r="C3" s="31" t="inlineStr"/>
      <c r="D3" s="31" t="inlineStr">
        <is>
          <t>Ativo</t>
        </is>
      </c>
      <c r="E3" s="19">
        <f>IF($B3="","",IF($D3&lt;&gt;"Ativo",$D3,IFERROR(INDEX(Aus_Tipo,MATCH($B3,Aus_Ativa,0)),"Disponível")))</f>
        <v/>
      </c>
      <c r="F3" s="26">
        <f>IF(OR($B3="",$E3="Disponível"),"",IFERROR(INDEX(Aus_Fim,MATCH($B3,Aus_Ativa,0)),""))</f>
        <v/>
      </c>
      <c r="G3" s="33" t="n"/>
      <c r="H3" s="39" t="inlineStr">
        <is>
          <t>X</t>
        </is>
      </c>
      <c r="I3" s="39" t="inlineStr">
        <is>
          <t>X</t>
        </is>
      </c>
      <c r="J3" s="39" t="inlineStr">
        <is>
          <t>X</t>
        </is>
      </c>
      <c r="K3" s="39" t="n"/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20">
        <f>IF($B3="","",COUNTIF($H3:$AA3,"X"))</f>
        <v/>
      </c>
      <c r="AC3" s="35">
        <f>IF($B3="","",LEFT($B3,FIND(" ",$B3&amp;" ")-1)&amp;IF(TRIM(RIGHT(SUBSTITUTE(TRIM($B3)," ",REPT(" ",99)),99))=LEFT($B3,FIND(" ",$B3&amp;" ")-1),""," "&amp;LEFT(TRIM(RIGHT(SUBSTITUTE(TRIM($B3)," ",REPT(" ",99)),99)),1)&amp;"."))</f>
        <v/>
      </c>
      <c r="AD3" s="35">
        <f>IF($B3="","",COUNTIF($AE3:$BH3,"X"))</f>
        <v/>
      </c>
      <c r="AE3" s="39" t="inlineStr">
        <is>
          <t>X</t>
        </is>
      </c>
      <c r="AF3" s="40" t="inlineStr">
        <is>
          <t>—</t>
        </is>
      </c>
      <c r="AG3" s="39" t="inlineStr">
        <is>
          <t>X</t>
        </is>
      </c>
      <c r="AH3" s="39" t="inlineStr">
        <is>
          <t>X</t>
        </is>
      </c>
      <c r="AI3" s="39" t="inlineStr">
        <is>
          <t>X</t>
        </is>
      </c>
      <c r="AJ3" s="39" t="inlineStr">
        <is>
          <t>X</t>
        </is>
      </c>
      <c r="AK3" s="39" t="inlineStr">
        <is>
          <t>X</t>
        </is>
      </c>
      <c r="AL3" s="39" t="inlineStr">
        <is>
          <t>X</t>
        </is>
      </c>
      <c r="AM3" s="39" t="inlineStr">
        <is>
          <t>X</t>
        </is>
      </c>
      <c r="AN3" s="39" t="inlineStr">
        <is>
          <t>X</t>
        </is>
      </c>
      <c r="AO3" s="39" t="inlineStr">
        <is>
          <t>X</t>
        </is>
      </c>
      <c r="AP3" s="39" t="inlineStr">
        <is>
          <t>X</t>
        </is>
      </c>
      <c r="AQ3" s="39" t="inlineStr">
        <is>
          <t>X</t>
        </is>
      </c>
      <c r="AR3" s="39" t="inlineStr">
        <is>
          <t>X</t>
        </is>
      </c>
      <c r="AS3" s="39" t="inlineStr">
        <is>
          <t>X</t>
        </is>
      </c>
      <c r="AT3" s="39" t="inlineStr">
        <is>
          <t>X</t>
        </is>
      </c>
      <c r="AU3" s="39" t="inlineStr">
        <is>
          <t>X</t>
        </is>
      </c>
      <c r="AV3" s="39" t="inlineStr">
        <is>
          <t>X</t>
        </is>
      </c>
      <c r="AW3" s="39" t="inlineStr">
        <is>
          <t>X</t>
        </is>
      </c>
      <c r="AX3" s="39" t="inlineStr">
        <is>
          <t>X</t>
        </is>
      </c>
      <c r="AY3" s="39" t="inlineStr">
        <is>
          <t>X</t>
        </is>
      </c>
      <c r="AZ3" s="39" t="inlineStr">
        <is>
          <t>X</t>
        </is>
      </c>
      <c r="BA3" s="39" t="inlineStr">
        <is>
          <t>X</t>
        </is>
      </c>
      <c r="BB3" s="39" t="inlineStr">
        <is>
          <t>X</t>
        </is>
      </c>
      <c r="BC3" s="39" t="inlineStr">
        <is>
          <t>X</t>
        </is>
      </c>
      <c r="BD3" s="39" t="inlineStr">
        <is>
          <t>X</t>
        </is>
      </c>
      <c r="BE3" s="39" t="inlineStr">
        <is>
          <t>X</t>
        </is>
      </c>
      <c r="BF3" s="39" t="inlineStr">
        <is>
          <t>X</t>
        </is>
      </c>
      <c r="BG3" s="39" t="inlineStr">
        <is>
          <t>X</t>
        </is>
      </c>
      <c r="BH3" s="39" t="inlineStr">
        <is>
          <t>X</t>
        </is>
      </c>
    </row>
    <row r="4">
      <c r="A4" s="31" t="inlineStr">
        <is>
          <t>TEC-003</t>
        </is>
      </c>
      <c r="B4" s="33" t="inlineStr">
        <is>
          <t>Camila Bertoldi</t>
        </is>
      </c>
      <c r="C4" s="31" t="inlineStr"/>
      <c r="D4" s="31" t="inlineStr">
        <is>
          <t>Ativo</t>
        </is>
      </c>
      <c r="E4" s="19">
        <f>IF($B4="","",IF($D4&lt;&gt;"Ativo",$D4,IFERROR(INDEX(Aus_Tipo,MATCH($B4,Aus_Ativa,0)),"Disponível")))</f>
        <v/>
      </c>
      <c r="F4" s="26">
        <f>IF(OR($B4="",$E4="Disponível"),"",IFERROR(INDEX(Aus_Fim,MATCH($B4,Aus_Ativa,0)),""))</f>
        <v/>
      </c>
      <c r="G4" s="33" t="n"/>
      <c r="H4" s="39" t="n"/>
      <c r="I4" s="39" t="n"/>
      <c r="J4" s="39" t="inlineStr">
        <is>
          <t>X</t>
        </is>
      </c>
      <c r="K4" s="39" t="inlineStr">
        <is>
          <t>X</t>
        </is>
      </c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inlineStr">
        <is>
          <t>X</t>
        </is>
      </c>
      <c r="X4" s="39" t="n"/>
      <c r="Y4" s="39" t="n"/>
      <c r="Z4" s="39" t="n"/>
      <c r="AA4" s="39" t="n"/>
      <c r="AB4" s="20">
        <f>IF($B4="","",COUNTIF($H4:$AA4,"X"))</f>
        <v/>
      </c>
      <c r="AC4" s="35">
        <f>IF($B4="","",LEFT($B4,FIND(" ",$B4&amp;" ")-1)&amp;IF(TRIM(RIGHT(SUBSTITUTE(TRIM($B4)," ",REPT(" ",99)),99))=LEFT($B4,FIND(" ",$B4&amp;" ")-1),""," "&amp;LEFT(TRIM(RIGHT(SUBSTITUTE(TRIM($B4)," ",REPT(" ",99)),99)),1)&amp;"."))</f>
        <v/>
      </c>
      <c r="AD4" s="35">
        <f>IF($B4="","",COUNTIF($AE4:$BH4,"X"))</f>
        <v/>
      </c>
      <c r="AE4" s="39" t="inlineStr">
        <is>
          <t>X</t>
        </is>
      </c>
      <c r="AF4" s="39" t="inlineStr">
        <is>
          <t>X</t>
        </is>
      </c>
      <c r="AG4" s="40" t="inlineStr">
        <is>
          <t>—</t>
        </is>
      </c>
      <c r="AH4" s="39" t="inlineStr">
        <is>
          <t>X</t>
        </is>
      </c>
      <c r="AI4" s="39" t="inlineStr">
        <is>
          <t>X</t>
        </is>
      </c>
      <c r="AJ4" s="39" t="inlineStr">
        <is>
          <t>X</t>
        </is>
      </c>
      <c r="AK4" s="39" t="inlineStr">
        <is>
          <t>X</t>
        </is>
      </c>
      <c r="AL4" s="39" t="inlineStr">
        <is>
          <t>X</t>
        </is>
      </c>
      <c r="AM4" s="39" t="inlineStr">
        <is>
          <t>X</t>
        </is>
      </c>
      <c r="AN4" s="39" t="inlineStr">
        <is>
          <t>X</t>
        </is>
      </c>
      <c r="AO4" s="39" t="inlineStr">
        <is>
          <t>X</t>
        </is>
      </c>
      <c r="AP4" s="39" t="inlineStr">
        <is>
          <t>X</t>
        </is>
      </c>
      <c r="AQ4" s="39" t="inlineStr">
        <is>
          <t>X</t>
        </is>
      </c>
      <c r="AR4" s="39" t="inlineStr">
        <is>
          <t>X</t>
        </is>
      </c>
      <c r="AS4" s="39" t="inlineStr">
        <is>
          <t>X</t>
        </is>
      </c>
      <c r="AT4" s="39" t="inlineStr">
        <is>
          <t>X</t>
        </is>
      </c>
      <c r="AU4" s="39" t="inlineStr">
        <is>
          <t>X</t>
        </is>
      </c>
      <c r="AV4" s="39" t="n"/>
      <c r="AW4" s="39" t="inlineStr">
        <is>
          <t>X</t>
        </is>
      </c>
      <c r="AX4" s="39" t="inlineStr">
        <is>
          <t>X</t>
        </is>
      </c>
      <c r="AY4" s="39" t="inlineStr">
        <is>
          <t>X</t>
        </is>
      </c>
      <c r="AZ4" s="39" t="inlineStr">
        <is>
          <t>X</t>
        </is>
      </c>
      <c r="BA4" s="39" t="inlineStr">
        <is>
          <t>X</t>
        </is>
      </c>
      <c r="BB4" s="39" t="inlineStr">
        <is>
          <t>X</t>
        </is>
      </c>
      <c r="BC4" s="39" t="inlineStr">
        <is>
          <t>X</t>
        </is>
      </c>
      <c r="BD4" s="39" t="inlineStr">
        <is>
          <t>X</t>
        </is>
      </c>
      <c r="BE4" s="39" t="inlineStr">
        <is>
          <t>X</t>
        </is>
      </c>
      <c r="BF4" s="39" t="inlineStr">
        <is>
          <t>X</t>
        </is>
      </c>
      <c r="BG4" s="39" t="inlineStr">
        <is>
          <t>X</t>
        </is>
      </c>
      <c r="BH4" s="39" t="inlineStr">
        <is>
          <t>X</t>
        </is>
      </c>
    </row>
    <row r="5">
      <c r="A5" s="31" t="inlineStr">
        <is>
          <t>TEC-004</t>
        </is>
      </c>
      <c r="B5" s="33" t="inlineStr">
        <is>
          <t>Daiane Prestes</t>
        </is>
      </c>
      <c r="C5" s="31" t="inlineStr"/>
      <c r="D5" s="31" t="inlineStr">
        <is>
          <t>Ativo</t>
        </is>
      </c>
      <c r="E5" s="19">
        <f>IF($B5="","",IF($D5&lt;&gt;"Ativo",$D5,IFERROR(INDEX(Aus_Tipo,MATCH($B5,Aus_Ativa,0)),"Disponível")))</f>
        <v/>
      </c>
      <c r="F5" s="26">
        <f>IF(OR($B5="",$E5="Disponível"),"",IFERROR(INDEX(Aus_Fim,MATCH($B5,Aus_Ativa,0)),""))</f>
        <v/>
      </c>
      <c r="G5" s="33" t="n"/>
      <c r="H5" s="39" t="n"/>
      <c r="I5" s="39" t="n"/>
      <c r="J5" s="39" t="inlineStr">
        <is>
          <t>X</t>
        </is>
      </c>
      <c r="K5" s="39" t="n"/>
      <c r="L5" s="39" t="inlineStr">
        <is>
          <t>X</t>
        </is>
      </c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inlineStr">
        <is>
          <t>X</t>
        </is>
      </c>
      <c r="X5" s="39" t="n"/>
      <c r="Y5" s="39" t="n"/>
      <c r="Z5" s="39" t="n"/>
      <c r="AA5" s="39" t="n"/>
      <c r="AB5" s="20">
        <f>IF($B5="","",COUNTIF($H5:$AA5,"X"))</f>
        <v/>
      </c>
      <c r="AC5" s="35">
        <f>IF($B5="","",LEFT($B5,FIND(" ",$B5&amp;" ")-1)&amp;IF(TRIM(RIGHT(SUBSTITUTE(TRIM($B5)," ",REPT(" ",99)),99))=LEFT($B5,FIND(" ",$B5&amp;" ")-1),""," "&amp;LEFT(TRIM(RIGHT(SUBSTITUTE(TRIM($B5)," ",REPT(" ",99)),99)),1)&amp;"."))</f>
        <v/>
      </c>
      <c r="AD5" s="35">
        <f>IF($B5="","",COUNTIF($AE5:$BH5,"X"))</f>
        <v/>
      </c>
      <c r="AE5" s="39" t="inlineStr">
        <is>
          <t>X</t>
        </is>
      </c>
      <c r="AF5" s="39" t="inlineStr">
        <is>
          <t>X</t>
        </is>
      </c>
      <c r="AG5" s="39" t="inlineStr">
        <is>
          <t>X</t>
        </is>
      </c>
      <c r="AH5" s="40" t="inlineStr">
        <is>
          <t>—</t>
        </is>
      </c>
      <c r="AI5" s="39" t="inlineStr">
        <is>
          <t>X</t>
        </is>
      </c>
      <c r="AJ5" s="39" t="inlineStr">
        <is>
          <t>X</t>
        </is>
      </c>
      <c r="AK5" s="39" t="inlineStr">
        <is>
          <t>X</t>
        </is>
      </c>
      <c r="AL5" s="39" t="inlineStr">
        <is>
          <t>X</t>
        </is>
      </c>
      <c r="AM5" s="39" t="inlineStr">
        <is>
          <t>X</t>
        </is>
      </c>
      <c r="AN5" s="39" t="inlineStr">
        <is>
          <t>X</t>
        </is>
      </c>
      <c r="AO5" s="39" t="inlineStr">
        <is>
          <t>X</t>
        </is>
      </c>
      <c r="AP5" s="39" t="inlineStr">
        <is>
          <t>X</t>
        </is>
      </c>
      <c r="AQ5" s="39" t="inlineStr">
        <is>
          <t>X</t>
        </is>
      </c>
      <c r="AR5" s="39" t="inlineStr">
        <is>
          <t>X</t>
        </is>
      </c>
      <c r="AS5" s="39" t="inlineStr">
        <is>
          <t>X</t>
        </is>
      </c>
      <c r="AT5" s="39" t="inlineStr">
        <is>
          <t>X</t>
        </is>
      </c>
      <c r="AU5" s="39" t="inlineStr">
        <is>
          <t>X</t>
        </is>
      </c>
      <c r="AV5" s="39" t="inlineStr">
        <is>
          <t>X</t>
        </is>
      </c>
      <c r="AW5" s="39" t="inlineStr">
        <is>
          <t>X</t>
        </is>
      </c>
      <c r="AX5" s="39" t="inlineStr">
        <is>
          <t>X</t>
        </is>
      </c>
      <c r="AY5" s="39" t="inlineStr">
        <is>
          <t>X</t>
        </is>
      </c>
      <c r="AZ5" s="39" t="inlineStr">
        <is>
          <t>X</t>
        </is>
      </c>
      <c r="BA5" s="39" t="inlineStr">
        <is>
          <t>X</t>
        </is>
      </c>
      <c r="BB5" s="39" t="inlineStr">
        <is>
          <t>X</t>
        </is>
      </c>
      <c r="BC5" s="39" t="inlineStr">
        <is>
          <t>X</t>
        </is>
      </c>
      <c r="BD5" s="39" t="inlineStr">
        <is>
          <t>X</t>
        </is>
      </c>
      <c r="BE5" s="39" t="inlineStr">
        <is>
          <t>X</t>
        </is>
      </c>
      <c r="BF5" s="39" t="inlineStr">
        <is>
          <t>X</t>
        </is>
      </c>
      <c r="BG5" s="39" t="inlineStr">
        <is>
          <t>X</t>
        </is>
      </c>
      <c r="BH5" s="39" t="inlineStr">
        <is>
          <t>X</t>
        </is>
      </c>
    </row>
    <row r="6">
      <c r="A6" s="31" t="inlineStr">
        <is>
          <t>TEC-005</t>
        </is>
      </c>
      <c r="B6" s="33" t="inlineStr">
        <is>
          <t>Elaine Mafra</t>
        </is>
      </c>
      <c r="C6" s="31" t="inlineStr"/>
      <c r="D6" s="31" t="inlineStr">
        <is>
          <t>Ativo</t>
        </is>
      </c>
      <c r="E6" s="19">
        <f>IF($B6="","",IF($D6&lt;&gt;"Ativo",$D6,IFERROR(INDEX(Aus_Tipo,MATCH($B6,Aus_Ativa,0)),"Disponível")))</f>
        <v/>
      </c>
      <c r="F6" s="26">
        <f>IF(OR($B6="",$E6="Disponível"),"",IFERROR(INDEX(Aus_Fim,MATCH($B6,Aus_Ativa,0)),""))</f>
        <v/>
      </c>
      <c r="G6" s="33" t="n"/>
      <c r="H6" s="39" t="n"/>
      <c r="I6" s="39" t="n"/>
      <c r="J6" s="39" t="inlineStr">
        <is>
          <t>X</t>
        </is>
      </c>
      <c r="K6" s="39" t="n"/>
      <c r="L6" s="39" t="n"/>
      <c r="M6" s="39" t="inlineStr">
        <is>
          <t>X</t>
        </is>
      </c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20">
        <f>IF($B6="","",COUNTIF($H6:$AA6,"X"))</f>
        <v/>
      </c>
      <c r="AC6" s="35">
        <f>IF($B6="","",LEFT($B6,FIND(" ",$B6&amp;" ")-1)&amp;IF(TRIM(RIGHT(SUBSTITUTE(TRIM($B6)," ",REPT(" ",99)),99))=LEFT($B6,FIND(" ",$B6&amp;" ")-1),""," "&amp;LEFT(TRIM(RIGHT(SUBSTITUTE(TRIM($B6)," ",REPT(" ",99)),99)),1)&amp;"."))</f>
        <v/>
      </c>
      <c r="AD6" s="35">
        <f>IF($B6="","",COUNTIF($AE6:$BH6,"X"))</f>
        <v/>
      </c>
      <c r="AE6" s="39" t="inlineStr">
        <is>
          <t>X</t>
        </is>
      </c>
      <c r="AF6" s="39" t="inlineStr">
        <is>
          <t>X</t>
        </is>
      </c>
      <c r="AG6" s="39" t="inlineStr">
        <is>
          <t>X</t>
        </is>
      </c>
      <c r="AH6" s="39" t="inlineStr">
        <is>
          <t>X</t>
        </is>
      </c>
      <c r="AI6" s="40" t="inlineStr">
        <is>
          <t>—</t>
        </is>
      </c>
      <c r="AJ6" s="39" t="inlineStr">
        <is>
          <t>X</t>
        </is>
      </c>
      <c r="AK6" s="39" t="inlineStr">
        <is>
          <t>X</t>
        </is>
      </c>
      <c r="AL6" s="39" t="inlineStr">
        <is>
          <t>X</t>
        </is>
      </c>
      <c r="AM6" s="39" t="inlineStr">
        <is>
          <t>X</t>
        </is>
      </c>
      <c r="AN6" s="39" t="inlineStr">
        <is>
          <t>X</t>
        </is>
      </c>
      <c r="AO6" s="39" t="inlineStr">
        <is>
          <t>X</t>
        </is>
      </c>
      <c r="AP6" s="39" t="inlineStr">
        <is>
          <t>X</t>
        </is>
      </c>
      <c r="AQ6" s="39" t="inlineStr">
        <is>
          <t>X</t>
        </is>
      </c>
      <c r="AR6" s="39" t="inlineStr">
        <is>
          <t>X</t>
        </is>
      </c>
      <c r="AS6" s="39" t="inlineStr">
        <is>
          <t>X</t>
        </is>
      </c>
      <c r="AT6" s="39" t="inlineStr">
        <is>
          <t>X</t>
        </is>
      </c>
      <c r="AU6" s="39" t="inlineStr">
        <is>
          <t>X</t>
        </is>
      </c>
      <c r="AV6" s="39" t="inlineStr">
        <is>
          <t>X</t>
        </is>
      </c>
      <c r="AW6" s="39" t="inlineStr">
        <is>
          <t>X</t>
        </is>
      </c>
      <c r="AX6" s="39" t="inlineStr">
        <is>
          <t>X</t>
        </is>
      </c>
      <c r="AY6" s="39" t="inlineStr">
        <is>
          <t>X</t>
        </is>
      </c>
      <c r="AZ6" s="39" t="inlineStr">
        <is>
          <t>X</t>
        </is>
      </c>
      <c r="BA6" s="39" t="inlineStr">
        <is>
          <t>X</t>
        </is>
      </c>
      <c r="BB6" s="39" t="inlineStr">
        <is>
          <t>X</t>
        </is>
      </c>
      <c r="BC6" s="39" t="inlineStr">
        <is>
          <t>X</t>
        </is>
      </c>
      <c r="BD6" s="39" t="inlineStr">
        <is>
          <t>X</t>
        </is>
      </c>
      <c r="BE6" s="39" t="inlineStr">
        <is>
          <t>X</t>
        </is>
      </c>
      <c r="BF6" s="39" t="inlineStr">
        <is>
          <t>X</t>
        </is>
      </c>
      <c r="BG6" s="39" t="inlineStr">
        <is>
          <t>X</t>
        </is>
      </c>
      <c r="BH6" s="39" t="inlineStr">
        <is>
          <t>X</t>
        </is>
      </c>
    </row>
    <row r="7">
      <c r="A7" s="31" t="inlineStr">
        <is>
          <t>TEC-006</t>
        </is>
      </c>
      <c r="B7" s="33" t="inlineStr">
        <is>
          <t>Fernanda Klein</t>
        </is>
      </c>
      <c r="C7" s="31" t="inlineStr"/>
      <c r="D7" s="31" t="inlineStr">
        <is>
          <t>Ativo</t>
        </is>
      </c>
      <c r="E7" s="19">
        <f>IF($B7="","",IF($D7&lt;&gt;"Ativo",$D7,IFERROR(INDEX(Aus_Tipo,MATCH($B7,Aus_Ativa,0)),"Disponível")))</f>
        <v/>
      </c>
      <c r="F7" s="26">
        <f>IF(OR($B7="",$E7="Disponível"),"",IFERROR(INDEX(Aus_Fim,MATCH($B7,Aus_Ativa,0)),""))</f>
        <v/>
      </c>
      <c r="G7" s="33" t="n"/>
      <c r="H7" s="39" t="inlineStr">
        <is>
          <t>X</t>
        </is>
      </c>
      <c r="I7" s="39" t="n"/>
      <c r="J7" s="39" t="n"/>
      <c r="K7" s="39" t="n"/>
      <c r="L7" s="39" t="n"/>
      <c r="M7" s="39" t="inlineStr">
        <is>
          <t>X</t>
        </is>
      </c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inlineStr">
        <is>
          <t>X</t>
        </is>
      </c>
      <c r="X7" s="39" t="n"/>
      <c r="Y7" s="39" t="n"/>
      <c r="Z7" s="39" t="n"/>
      <c r="AA7" s="39" t="n"/>
      <c r="AB7" s="20">
        <f>IF($B7="","",COUNTIF($H7:$AA7,"X"))</f>
        <v/>
      </c>
      <c r="AC7" s="35">
        <f>IF($B7="","",LEFT($B7,FIND(" ",$B7&amp;" ")-1)&amp;IF(TRIM(RIGHT(SUBSTITUTE(TRIM($B7)," ",REPT(" ",99)),99))=LEFT($B7,FIND(" ",$B7&amp;" ")-1),""," "&amp;LEFT(TRIM(RIGHT(SUBSTITUTE(TRIM($B7)," ",REPT(" ",99)),99)),1)&amp;"."))</f>
        <v/>
      </c>
      <c r="AD7" s="35">
        <f>IF($B7="","",COUNTIF($AE7:$BH7,"X"))</f>
        <v/>
      </c>
      <c r="AE7" s="39" t="inlineStr">
        <is>
          <t>X</t>
        </is>
      </c>
      <c r="AF7" s="39" t="inlineStr">
        <is>
          <t>X</t>
        </is>
      </c>
      <c r="AG7" s="39" t="inlineStr">
        <is>
          <t>X</t>
        </is>
      </c>
      <c r="AH7" s="39" t="inlineStr">
        <is>
          <t>X</t>
        </is>
      </c>
      <c r="AI7" s="39" t="inlineStr">
        <is>
          <t>X</t>
        </is>
      </c>
      <c r="AJ7" s="40" t="inlineStr">
        <is>
          <t>—</t>
        </is>
      </c>
      <c r="AK7" s="39" t="inlineStr">
        <is>
          <t>X</t>
        </is>
      </c>
      <c r="AL7" s="39" t="inlineStr">
        <is>
          <t>X</t>
        </is>
      </c>
      <c r="AM7" s="39" t="inlineStr">
        <is>
          <t>X</t>
        </is>
      </c>
      <c r="AN7" s="39" t="inlineStr">
        <is>
          <t>X</t>
        </is>
      </c>
      <c r="AO7" s="39" t="inlineStr">
        <is>
          <t>X</t>
        </is>
      </c>
      <c r="AP7" s="39" t="inlineStr">
        <is>
          <t>X</t>
        </is>
      </c>
      <c r="AQ7" s="39" t="inlineStr">
        <is>
          <t>X</t>
        </is>
      </c>
      <c r="AR7" s="39" t="inlineStr">
        <is>
          <t>X</t>
        </is>
      </c>
      <c r="AS7" s="39" t="inlineStr">
        <is>
          <t>X</t>
        </is>
      </c>
      <c r="AT7" s="39" t="inlineStr">
        <is>
          <t>X</t>
        </is>
      </c>
      <c r="AU7" s="39" t="inlineStr">
        <is>
          <t>X</t>
        </is>
      </c>
      <c r="AV7" s="39" t="inlineStr">
        <is>
          <t>X</t>
        </is>
      </c>
      <c r="AW7" s="39" t="inlineStr">
        <is>
          <t>X</t>
        </is>
      </c>
      <c r="AX7" s="39" t="inlineStr">
        <is>
          <t>X</t>
        </is>
      </c>
      <c r="AY7" s="39" t="inlineStr">
        <is>
          <t>X</t>
        </is>
      </c>
      <c r="AZ7" s="39" t="inlineStr">
        <is>
          <t>X</t>
        </is>
      </c>
      <c r="BA7" s="39" t="inlineStr">
        <is>
          <t>X</t>
        </is>
      </c>
      <c r="BB7" s="39" t="inlineStr">
        <is>
          <t>X</t>
        </is>
      </c>
      <c r="BC7" s="39" t="inlineStr">
        <is>
          <t>X</t>
        </is>
      </c>
      <c r="BD7" s="39" t="inlineStr">
        <is>
          <t>X</t>
        </is>
      </c>
      <c r="BE7" s="39" t="inlineStr">
        <is>
          <t>X</t>
        </is>
      </c>
      <c r="BF7" s="39" t="inlineStr">
        <is>
          <t>X</t>
        </is>
      </c>
      <c r="BG7" s="39" t="inlineStr">
        <is>
          <t>X</t>
        </is>
      </c>
      <c r="BH7" s="39" t="inlineStr">
        <is>
          <t>X</t>
        </is>
      </c>
    </row>
    <row r="8">
      <c r="A8" s="31" t="inlineStr">
        <is>
          <t>TEC-007</t>
        </is>
      </c>
      <c r="B8" s="33" t="inlineStr">
        <is>
          <t>Gisele Antunes</t>
        </is>
      </c>
      <c r="C8" s="31" t="inlineStr"/>
      <c r="D8" s="31" t="inlineStr">
        <is>
          <t>Ativo</t>
        </is>
      </c>
      <c r="E8" s="19">
        <f>IF($B8="","",IF($D8&lt;&gt;"Ativo",$D8,IFERROR(INDEX(Aus_Tipo,MATCH($B8,Aus_Ativa,0)),"Disponível")))</f>
        <v/>
      </c>
      <c r="F8" s="26">
        <f>IF(OR($B8="",$E8="Disponível"),"",IFERROR(INDEX(Aus_Fim,MATCH($B8,Aus_Ativa,0)),""))</f>
        <v/>
      </c>
      <c r="G8" s="33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inlineStr">
        <is>
          <t>X</t>
        </is>
      </c>
      <c r="U8" s="39" t="inlineStr">
        <is>
          <t>X</t>
        </is>
      </c>
      <c r="V8" s="39" t="n"/>
      <c r="W8" s="39" t="n"/>
      <c r="X8" s="39" t="n"/>
      <c r="Y8" s="39" t="n"/>
      <c r="Z8" s="39" t="n"/>
      <c r="AA8" s="39" t="n"/>
      <c r="AB8" s="20">
        <f>IF($B8="","",COUNTIF($H8:$AA8,"X"))</f>
        <v/>
      </c>
      <c r="AC8" s="35">
        <f>IF($B8="","",LEFT($B8,FIND(" ",$B8&amp;" ")-1)&amp;IF(TRIM(RIGHT(SUBSTITUTE(TRIM($B8)," ",REPT(" ",99)),99))=LEFT($B8,FIND(" ",$B8&amp;" ")-1),""," "&amp;LEFT(TRIM(RIGHT(SUBSTITUTE(TRIM($B8)," ",REPT(" ",99)),99)),1)&amp;"."))</f>
        <v/>
      </c>
      <c r="AD8" s="35">
        <f>IF($B8="","",COUNTIF($AE8:$BH8,"X"))</f>
        <v/>
      </c>
      <c r="AE8" s="39" t="inlineStr">
        <is>
          <t>X</t>
        </is>
      </c>
      <c r="AF8" s="39" t="inlineStr">
        <is>
          <t>X</t>
        </is>
      </c>
      <c r="AG8" s="39" t="inlineStr">
        <is>
          <t>X</t>
        </is>
      </c>
      <c r="AH8" s="39" t="inlineStr">
        <is>
          <t>X</t>
        </is>
      </c>
      <c r="AI8" s="39" t="inlineStr">
        <is>
          <t>X</t>
        </is>
      </c>
      <c r="AJ8" s="39" t="inlineStr">
        <is>
          <t>X</t>
        </is>
      </c>
      <c r="AK8" s="40" t="inlineStr">
        <is>
          <t>—</t>
        </is>
      </c>
      <c r="AL8" s="39" t="inlineStr">
        <is>
          <t>X</t>
        </is>
      </c>
      <c r="AM8" s="39" t="inlineStr">
        <is>
          <t>X</t>
        </is>
      </c>
      <c r="AN8" s="39" t="inlineStr">
        <is>
          <t>X</t>
        </is>
      </c>
      <c r="AO8" s="39" t="inlineStr">
        <is>
          <t>X</t>
        </is>
      </c>
      <c r="AP8" s="39" t="inlineStr">
        <is>
          <t>X</t>
        </is>
      </c>
      <c r="AQ8" s="39" t="inlineStr">
        <is>
          <t>X</t>
        </is>
      </c>
      <c r="AR8" s="39" t="inlineStr">
        <is>
          <t>X</t>
        </is>
      </c>
      <c r="AS8" s="39" t="inlineStr">
        <is>
          <t>X</t>
        </is>
      </c>
      <c r="AT8" s="39" t="inlineStr">
        <is>
          <t>X</t>
        </is>
      </c>
      <c r="AU8" s="39" t="inlineStr">
        <is>
          <t>X</t>
        </is>
      </c>
      <c r="AV8" s="39" t="inlineStr">
        <is>
          <t>X</t>
        </is>
      </c>
      <c r="AW8" s="39" t="inlineStr">
        <is>
          <t>X</t>
        </is>
      </c>
      <c r="AX8" s="39" t="inlineStr">
        <is>
          <t>X</t>
        </is>
      </c>
      <c r="AY8" s="39" t="inlineStr">
        <is>
          <t>X</t>
        </is>
      </c>
      <c r="AZ8" s="39" t="inlineStr">
        <is>
          <t>X</t>
        </is>
      </c>
      <c r="BA8" s="39" t="inlineStr">
        <is>
          <t>X</t>
        </is>
      </c>
      <c r="BB8" s="39" t="inlineStr">
        <is>
          <t>X</t>
        </is>
      </c>
      <c r="BC8" s="39" t="inlineStr">
        <is>
          <t>X</t>
        </is>
      </c>
      <c r="BD8" s="39" t="inlineStr">
        <is>
          <t>X</t>
        </is>
      </c>
      <c r="BE8" s="39" t="inlineStr">
        <is>
          <t>X</t>
        </is>
      </c>
      <c r="BF8" s="39" t="inlineStr">
        <is>
          <t>X</t>
        </is>
      </c>
      <c r="BG8" s="39" t="inlineStr">
        <is>
          <t>X</t>
        </is>
      </c>
      <c r="BH8" s="39" t="inlineStr">
        <is>
          <t>X</t>
        </is>
      </c>
    </row>
    <row r="9">
      <c r="A9" s="31" t="inlineStr">
        <is>
          <t>TEC-008</t>
        </is>
      </c>
      <c r="B9" s="33" t="inlineStr">
        <is>
          <t>Heloísa Perin</t>
        </is>
      </c>
      <c r="C9" s="31" t="inlineStr"/>
      <c r="D9" s="31" t="inlineStr">
        <is>
          <t>Ativo</t>
        </is>
      </c>
      <c r="E9" s="19">
        <f>IF($B9="","",IF($D9&lt;&gt;"Ativo",$D9,IFERROR(INDEX(Aus_Tipo,MATCH($B9,Aus_Ativa,0)),"Disponível")))</f>
        <v/>
      </c>
      <c r="F9" s="26">
        <f>IF(OR($B9="",$E9="Disponível"),"",IFERROR(INDEX(Aus_Fim,MATCH($B9,Aus_Ativa,0)),""))</f>
        <v/>
      </c>
      <c r="G9" s="33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inlineStr">
        <is>
          <t>X</t>
        </is>
      </c>
      <c r="T9" s="39" t="inlineStr">
        <is>
          <t>X</t>
        </is>
      </c>
      <c r="U9" s="39" t="n"/>
      <c r="V9" s="39" t="n"/>
      <c r="W9" s="39" t="inlineStr">
        <is>
          <t>X</t>
        </is>
      </c>
      <c r="X9" s="39" t="n"/>
      <c r="Y9" s="39" t="n"/>
      <c r="Z9" s="39" t="n"/>
      <c r="AA9" s="39" t="n"/>
      <c r="AB9" s="20">
        <f>IF($B9="","",COUNTIF($H9:$AA9,"X"))</f>
        <v/>
      </c>
      <c r="AC9" s="35">
        <f>IF($B9="","",LEFT($B9,FIND(" ",$B9&amp;" ")-1)&amp;IF(TRIM(RIGHT(SUBSTITUTE(TRIM($B9)," ",REPT(" ",99)),99))=LEFT($B9,FIND(" ",$B9&amp;" ")-1),""," "&amp;LEFT(TRIM(RIGHT(SUBSTITUTE(TRIM($B9)," ",REPT(" ",99)),99)),1)&amp;"."))</f>
        <v/>
      </c>
      <c r="AD9" s="35">
        <f>IF($B9="","",COUNTIF($AE9:$BH9,"X"))</f>
        <v/>
      </c>
      <c r="AE9" s="39" t="inlineStr">
        <is>
          <t>X</t>
        </is>
      </c>
      <c r="AF9" s="39" t="inlineStr">
        <is>
          <t>X</t>
        </is>
      </c>
      <c r="AG9" s="39" t="inlineStr">
        <is>
          <t>X</t>
        </is>
      </c>
      <c r="AH9" s="39" t="inlineStr">
        <is>
          <t>X</t>
        </is>
      </c>
      <c r="AI9" s="39" t="inlineStr">
        <is>
          <t>X</t>
        </is>
      </c>
      <c r="AJ9" s="39" t="inlineStr">
        <is>
          <t>X</t>
        </is>
      </c>
      <c r="AK9" s="39" t="inlineStr">
        <is>
          <t>X</t>
        </is>
      </c>
      <c r="AL9" s="40" t="inlineStr">
        <is>
          <t>—</t>
        </is>
      </c>
      <c r="AM9" s="39" t="inlineStr">
        <is>
          <t>X</t>
        </is>
      </c>
      <c r="AN9" s="39" t="inlineStr">
        <is>
          <t>X</t>
        </is>
      </c>
      <c r="AO9" s="39" t="inlineStr">
        <is>
          <t>X</t>
        </is>
      </c>
      <c r="AP9" s="39" t="inlineStr">
        <is>
          <t>X</t>
        </is>
      </c>
      <c r="AQ9" s="39" t="inlineStr">
        <is>
          <t>X</t>
        </is>
      </c>
      <c r="AR9" s="39" t="inlineStr">
        <is>
          <t>X</t>
        </is>
      </c>
      <c r="AS9" s="39" t="inlineStr">
        <is>
          <t>X</t>
        </is>
      </c>
      <c r="AT9" s="39" t="inlineStr">
        <is>
          <t>X</t>
        </is>
      </c>
      <c r="AU9" s="39" t="inlineStr">
        <is>
          <t>X</t>
        </is>
      </c>
      <c r="AV9" s="39" t="inlineStr">
        <is>
          <t>X</t>
        </is>
      </c>
      <c r="AW9" s="39" t="inlineStr">
        <is>
          <t>X</t>
        </is>
      </c>
      <c r="AX9" s="39" t="inlineStr">
        <is>
          <t>X</t>
        </is>
      </c>
      <c r="AY9" s="39" t="inlineStr">
        <is>
          <t>X</t>
        </is>
      </c>
      <c r="AZ9" s="39" t="inlineStr">
        <is>
          <t>X</t>
        </is>
      </c>
      <c r="BA9" s="39" t="inlineStr">
        <is>
          <t>X</t>
        </is>
      </c>
      <c r="BB9" s="39" t="inlineStr">
        <is>
          <t>X</t>
        </is>
      </c>
      <c r="BC9" s="39" t="inlineStr">
        <is>
          <t>X</t>
        </is>
      </c>
      <c r="BD9" s="39" t="inlineStr">
        <is>
          <t>X</t>
        </is>
      </c>
      <c r="BE9" s="39" t="inlineStr">
        <is>
          <t>X</t>
        </is>
      </c>
      <c r="BF9" s="39" t="inlineStr">
        <is>
          <t>X</t>
        </is>
      </c>
      <c r="BG9" s="39" t="inlineStr">
        <is>
          <t>X</t>
        </is>
      </c>
      <c r="BH9" s="39" t="inlineStr">
        <is>
          <t>X</t>
        </is>
      </c>
    </row>
    <row r="10">
      <c r="A10" s="31" t="inlineStr">
        <is>
          <t>TEC-009</t>
        </is>
      </c>
      <c r="B10" s="33" t="inlineStr">
        <is>
          <t>Ismael Kanitz</t>
        </is>
      </c>
      <c r="C10" s="31" t="inlineStr"/>
      <c r="D10" s="31" t="inlineStr">
        <is>
          <t>Ativo</t>
        </is>
      </c>
      <c r="E10" s="19">
        <f>IF($B10="","",IF($D10&lt;&gt;"Ativo",$D10,IFERROR(INDEX(Aus_Tipo,MATCH($B10,Aus_Ativa,0)),"Disponível")))</f>
        <v/>
      </c>
      <c r="F10" s="26">
        <f>IF(OR($B10="",$E10="Disponível"),"",IFERROR(INDEX(Aus_Fim,MATCH($B10,Aus_Ativa,0)),""))</f>
        <v/>
      </c>
      <c r="G10" s="33" t="n"/>
      <c r="H10" s="39" t="n"/>
      <c r="I10" s="39" t="n"/>
      <c r="J10" s="39" t="n"/>
      <c r="K10" s="39" t="n"/>
      <c r="L10" s="39" t="n"/>
      <c r="M10" s="39" t="n"/>
      <c r="N10" s="39" t="n"/>
      <c r="O10" s="39" t="inlineStr">
        <is>
          <t>X</t>
        </is>
      </c>
      <c r="P10" s="39" t="inlineStr">
        <is>
          <t>X</t>
        </is>
      </c>
      <c r="Q10" s="39" t="n"/>
      <c r="R10" s="39" t="n"/>
      <c r="S10" s="39" t="n"/>
      <c r="T10" s="39" t="n"/>
      <c r="U10" s="39" t="n"/>
      <c r="V10" s="39" t="n"/>
      <c r="W10" s="39" t="inlineStr">
        <is>
          <t>X</t>
        </is>
      </c>
      <c r="X10" s="39" t="n"/>
      <c r="Y10" s="39" t="n"/>
      <c r="Z10" s="39" t="n"/>
      <c r="AA10" s="39" t="n"/>
      <c r="AB10" s="20">
        <f>IF($B10="","",COUNTIF($H10:$AA10,"X"))</f>
        <v/>
      </c>
      <c r="AC10" s="35">
        <f>IF($B10="","",LEFT($B10,FIND(" ",$B10&amp;" ")-1)&amp;IF(TRIM(RIGHT(SUBSTITUTE(TRIM($B10)," ",REPT(" ",99)),99))=LEFT($B10,FIND(" ",$B10&amp;" ")-1),""," "&amp;LEFT(TRIM(RIGHT(SUBSTITUTE(TRIM($B10)," ",REPT(" ",99)),99)),1)&amp;"."))</f>
        <v/>
      </c>
      <c r="AD10" s="35">
        <f>IF($B10="","",COUNTIF($AE10:$BH10,"X"))</f>
        <v/>
      </c>
      <c r="AE10" s="39" t="inlineStr">
        <is>
          <t>X</t>
        </is>
      </c>
      <c r="AF10" s="39" t="inlineStr">
        <is>
          <t>X</t>
        </is>
      </c>
      <c r="AG10" s="39" t="inlineStr">
        <is>
          <t>X</t>
        </is>
      </c>
      <c r="AH10" s="39" t="inlineStr">
        <is>
          <t>X</t>
        </is>
      </c>
      <c r="AI10" s="39" t="inlineStr">
        <is>
          <t>X</t>
        </is>
      </c>
      <c r="AJ10" s="39" t="inlineStr">
        <is>
          <t>X</t>
        </is>
      </c>
      <c r="AK10" s="39" t="inlineStr">
        <is>
          <t>X</t>
        </is>
      </c>
      <c r="AL10" s="39" t="inlineStr">
        <is>
          <t>X</t>
        </is>
      </c>
      <c r="AM10" s="40" t="inlineStr">
        <is>
          <t>—</t>
        </is>
      </c>
      <c r="AN10" s="39" t="inlineStr">
        <is>
          <t>X</t>
        </is>
      </c>
      <c r="AO10" s="39" t="inlineStr">
        <is>
          <t>X</t>
        </is>
      </c>
      <c r="AP10" s="39" t="inlineStr">
        <is>
          <t>X</t>
        </is>
      </c>
      <c r="AQ10" s="39" t="inlineStr">
        <is>
          <t>X</t>
        </is>
      </c>
      <c r="AR10" s="39" t="inlineStr">
        <is>
          <t>X</t>
        </is>
      </c>
      <c r="AS10" s="39" t="inlineStr">
        <is>
          <t>X</t>
        </is>
      </c>
      <c r="AT10" s="39" t="inlineStr">
        <is>
          <t>X</t>
        </is>
      </c>
      <c r="AU10" s="39" t="inlineStr">
        <is>
          <t>X</t>
        </is>
      </c>
      <c r="AV10" s="39" t="inlineStr">
        <is>
          <t>X</t>
        </is>
      </c>
      <c r="AW10" s="39" t="inlineStr">
        <is>
          <t>X</t>
        </is>
      </c>
      <c r="AX10" s="39" t="inlineStr">
        <is>
          <t>X</t>
        </is>
      </c>
      <c r="AY10" s="39" t="inlineStr">
        <is>
          <t>X</t>
        </is>
      </c>
      <c r="AZ10" s="39" t="inlineStr">
        <is>
          <t>X</t>
        </is>
      </c>
      <c r="BA10" s="39" t="inlineStr">
        <is>
          <t>X</t>
        </is>
      </c>
      <c r="BB10" s="39" t="inlineStr">
        <is>
          <t>X</t>
        </is>
      </c>
      <c r="BC10" s="39" t="inlineStr">
        <is>
          <t>X</t>
        </is>
      </c>
      <c r="BD10" s="39" t="inlineStr">
        <is>
          <t>X</t>
        </is>
      </c>
      <c r="BE10" s="39" t="inlineStr">
        <is>
          <t>X</t>
        </is>
      </c>
      <c r="BF10" s="39" t="inlineStr">
        <is>
          <t>X</t>
        </is>
      </c>
      <c r="BG10" s="39" t="inlineStr">
        <is>
          <t>X</t>
        </is>
      </c>
      <c r="BH10" s="39" t="inlineStr">
        <is>
          <t>X</t>
        </is>
      </c>
    </row>
    <row r="11">
      <c r="A11" s="31" t="inlineStr">
        <is>
          <t>TEC-010</t>
        </is>
      </c>
      <c r="B11" s="33" t="inlineStr">
        <is>
          <t>Joana Belincanta</t>
        </is>
      </c>
      <c r="C11" s="31" t="inlineStr"/>
      <c r="D11" s="31" t="inlineStr">
        <is>
          <t>Ativo</t>
        </is>
      </c>
      <c r="E11" s="19">
        <f>IF($B11="","",IF($D11&lt;&gt;"Ativo",$D11,IFERROR(INDEX(Aus_Tipo,MATCH($B11,Aus_Ativa,0)),"Disponível")))</f>
        <v/>
      </c>
      <c r="F11" s="26">
        <f>IF(OR($B11="",$E11="Disponível"),"",IFERROR(INDEX(Aus_Fim,MATCH($B11,Aus_Ativa,0)),""))</f>
        <v/>
      </c>
      <c r="G11" s="33" t="n"/>
      <c r="H11" s="39" t="n"/>
      <c r="I11" s="39" t="n"/>
      <c r="J11" s="39" t="n"/>
      <c r="K11" s="39" t="n"/>
      <c r="L11" s="39" t="n"/>
      <c r="M11" s="39" t="n"/>
      <c r="N11" s="39" t="inlineStr">
        <is>
          <t>X</t>
        </is>
      </c>
      <c r="O11" s="39" t="inlineStr">
        <is>
          <t>X</t>
        </is>
      </c>
      <c r="P11" s="39" t="inlineStr">
        <is>
          <t>X</t>
        </is>
      </c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20">
        <f>IF($B11="","",COUNTIF($H11:$AA11,"X"))</f>
        <v/>
      </c>
      <c r="AC11" s="35">
        <f>IF($B11="","",LEFT($B11,FIND(" ",$B11&amp;" ")-1)&amp;IF(TRIM(RIGHT(SUBSTITUTE(TRIM($B11)," ",REPT(" ",99)),99))=LEFT($B11,FIND(" ",$B11&amp;" ")-1),""," "&amp;LEFT(TRIM(RIGHT(SUBSTITUTE(TRIM($B11)," ",REPT(" ",99)),99)),1)&amp;"."))</f>
        <v/>
      </c>
      <c r="AD11" s="35">
        <f>IF($B11="","",COUNTIF($AE11:$BH11,"X"))</f>
        <v/>
      </c>
      <c r="AE11" s="39" t="inlineStr">
        <is>
          <t>X</t>
        </is>
      </c>
      <c r="AF11" s="39" t="inlineStr">
        <is>
          <t>X</t>
        </is>
      </c>
      <c r="AG11" s="39" t="inlineStr">
        <is>
          <t>X</t>
        </is>
      </c>
      <c r="AH11" s="39" t="inlineStr">
        <is>
          <t>X</t>
        </is>
      </c>
      <c r="AI11" s="39" t="inlineStr">
        <is>
          <t>X</t>
        </is>
      </c>
      <c r="AJ11" s="39" t="inlineStr">
        <is>
          <t>X</t>
        </is>
      </c>
      <c r="AK11" s="39" t="inlineStr">
        <is>
          <t>X</t>
        </is>
      </c>
      <c r="AL11" s="39" t="inlineStr">
        <is>
          <t>X</t>
        </is>
      </c>
      <c r="AM11" s="39" t="inlineStr">
        <is>
          <t>X</t>
        </is>
      </c>
      <c r="AN11" s="40" t="inlineStr">
        <is>
          <t>—</t>
        </is>
      </c>
      <c r="AO11" s="39" t="inlineStr">
        <is>
          <t>X</t>
        </is>
      </c>
      <c r="AP11" s="39" t="inlineStr">
        <is>
          <t>X</t>
        </is>
      </c>
      <c r="AQ11" s="39" t="inlineStr">
        <is>
          <t>X</t>
        </is>
      </c>
      <c r="AR11" s="39" t="inlineStr">
        <is>
          <t>X</t>
        </is>
      </c>
      <c r="AS11" s="39" t="inlineStr">
        <is>
          <t>X</t>
        </is>
      </c>
      <c r="AT11" s="39" t="inlineStr">
        <is>
          <t>X</t>
        </is>
      </c>
      <c r="AU11" s="39" t="inlineStr">
        <is>
          <t>X</t>
        </is>
      </c>
      <c r="AV11" s="39" t="inlineStr">
        <is>
          <t>X</t>
        </is>
      </c>
      <c r="AW11" s="39" t="inlineStr">
        <is>
          <t>X</t>
        </is>
      </c>
      <c r="AX11" s="39" t="inlineStr">
        <is>
          <t>X</t>
        </is>
      </c>
      <c r="AY11" s="39" t="inlineStr">
        <is>
          <t>X</t>
        </is>
      </c>
      <c r="AZ11" s="39" t="inlineStr">
        <is>
          <t>X</t>
        </is>
      </c>
      <c r="BA11" s="39" t="inlineStr">
        <is>
          <t>X</t>
        </is>
      </c>
      <c r="BB11" s="39" t="inlineStr">
        <is>
          <t>X</t>
        </is>
      </c>
      <c r="BC11" s="39" t="inlineStr">
        <is>
          <t>X</t>
        </is>
      </c>
      <c r="BD11" s="39" t="inlineStr">
        <is>
          <t>X</t>
        </is>
      </c>
      <c r="BE11" s="39" t="inlineStr">
        <is>
          <t>X</t>
        </is>
      </c>
      <c r="BF11" s="39" t="inlineStr">
        <is>
          <t>X</t>
        </is>
      </c>
      <c r="BG11" s="39" t="inlineStr">
        <is>
          <t>X</t>
        </is>
      </c>
      <c r="BH11" s="39" t="inlineStr">
        <is>
          <t>X</t>
        </is>
      </c>
    </row>
    <row r="12">
      <c r="A12" s="31" t="inlineStr">
        <is>
          <t>TEC-011</t>
        </is>
      </c>
      <c r="B12" s="33" t="inlineStr">
        <is>
          <t>Kelly Marchi</t>
        </is>
      </c>
      <c r="C12" s="31" t="inlineStr"/>
      <c r="D12" s="31" t="inlineStr">
        <is>
          <t>Ativo</t>
        </is>
      </c>
      <c r="E12" s="19">
        <f>IF($B12="","",IF($D12&lt;&gt;"Ativo",$D12,IFERROR(INDEX(Aus_Tipo,MATCH($B12,Aus_Ativa,0)),"Disponível")))</f>
        <v/>
      </c>
      <c r="F12" s="26">
        <f>IF(OR($B12="",$E12="Disponível"),"",IFERROR(INDEX(Aus_Fim,MATCH($B12,Aus_Ativa,0)),""))</f>
        <v/>
      </c>
      <c r="G12" s="33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inlineStr">
        <is>
          <t>X</t>
        </is>
      </c>
      <c r="R12" s="39" t="inlineStr">
        <is>
          <t>X</t>
        </is>
      </c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20">
        <f>IF($B12="","",COUNTIF($H12:$AA12,"X"))</f>
        <v/>
      </c>
      <c r="AC12" s="35">
        <f>IF($B12="","",LEFT($B12,FIND(" ",$B12&amp;" ")-1)&amp;IF(TRIM(RIGHT(SUBSTITUTE(TRIM($B12)," ",REPT(" ",99)),99))=LEFT($B12,FIND(" ",$B12&amp;" ")-1),""," "&amp;LEFT(TRIM(RIGHT(SUBSTITUTE(TRIM($B12)," ",REPT(" ",99)),99)),1)&amp;"."))</f>
        <v/>
      </c>
      <c r="AD12" s="35">
        <f>IF($B12="","",COUNTIF($AE12:$BH12,"X"))</f>
        <v/>
      </c>
      <c r="AE12" s="39" t="inlineStr">
        <is>
          <t>X</t>
        </is>
      </c>
      <c r="AF12" s="39" t="inlineStr">
        <is>
          <t>X</t>
        </is>
      </c>
      <c r="AG12" s="39" t="inlineStr">
        <is>
          <t>X</t>
        </is>
      </c>
      <c r="AH12" s="39" t="inlineStr">
        <is>
          <t>X</t>
        </is>
      </c>
      <c r="AI12" s="39" t="inlineStr">
        <is>
          <t>X</t>
        </is>
      </c>
      <c r="AJ12" s="39" t="inlineStr">
        <is>
          <t>X</t>
        </is>
      </c>
      <c r="AK12" s="39" t="inlineStr">
        <is>
          <t>X</t>
        </is>
      </c>
      <c r="AL12" s="39" t="inlineStr">
        <is>
          <t>X</t>
        </is>
      </c>
      <c r="AM12" s="39" t="inlineStr">
        <is>
          <t>X</t>
        </is>
      </c>
      <c r="AN12" s="39" t="inlineStr">
        <is>
          <t>X</t>
        </is>
      </c>
      <c r="AO12" s="40" t="inlineStr">
        <is>
          <t>—</t>
        </is>
      </c>
      <c r="AP12" s="39" t="inlineStr">
        <is>
          <t>X</t>
        </is>
      </c>
      <c r="AQ12" s="39" t="inlineStr">
        <is>
          <t>X</t>
        </is>
      </c>
      <c r="AR12" s="39" t="inlineStr">
        <is>
          <t>X</t>
        </is>
      </c>
      <c r="AS12" s="39" t="inlineStr">
        <is>
          <t>X</t>
        </is>
      </c>
      <c r="AT12" s="39" t="inlineStr">
        <is>
          <t>X</t>
        </is>
      </c>
      <c r="AU12" s="39" t="inlineStr">
        <is>
          <t>X</t>
        </is>
      </c>
      <c r="AV12" s="39" t="inlineStr">
        <is>
          <t>X</t>
        </is>
      </c>
      <c r="AW12" s="39" t="inlineStr">
        <is>
          <t>X</t>
        </is>
      </c>
      <c r="AX12" s="39" t="inlineStr">
        <is>
          <t>X</t>
        </is>
      </c>
      <c r="AY12" s="39" t="inlineStr">
        <is>
          <t>X</t>
        </is>
      </c>
      <c r="AZ12" s="39" t="inlineStr">
        <is>
          <t>X</t>
        </is>
      </c>
      <c r="BA12" s="39" t="inlineStr">
        <is>
          <t>X</t>
        </is>
      </c>
      <c r="BB12" s="39" t="inlineStr">
        <is>
          <t>X</t>
        </is>
      </c>
      <c r="BC12" s="39" t="inlineStr">
        <is>
          <t>X</t>
        </is>
      </c>
      <c r="BD12" s="39" t="inlineStr">
        <is>
          <t>X</t>
        </is>
      </c>
      <c r="BE12" s="39" t="inlineStr">
        <is>
          <t>X</t>
        </is>
      </c>
      <c r="BF12" s="39" t="inlineStr">
        <is>
          <t>X</t>
        </is>
      </c>
      <c r="BG12" s="39" t="inlineStr">
        <is>
          <t>X</t>
        </is>
      </c>
      <c r="BH12" s="39" t="inlineStr">
        <is>
          <t>X</t>
        </is>
      </c>
    </row>
    <row r="13">
      <c r="A13" s="31" t="inlineStr">
        <is>
          <t>TEC-012</t>
        </is>
      </c>
      <c r="B13" s="33" t="inlineStr">
        <is>
          <t>Luciano Bordin</t>
        </is>
      </c>
      <c r="C13" s="31" t="inlineStr"/>
      <c r="D13" s="31" t="inlineStr">
        <is>
          <t>Ativo</t>
        </is>
      </c>
      <c r="E13" s="19">
        <f>IF($B13="","",IF($D13&lt;&gt;"Ativo",$D13,IFERROR(INDEX(Aus_Tipo,MATCH($B13,Aus_Ativa,0)),"Disponível")))</f>
        <v/>
      </c>
      <c r="F13" s="26">
        <f>IF(OR($B13="",$E13="Disponível"),"",IFERROR(INDEX(Aus_Fim,MATCH($B13,Aus_Ativa,0)),""))</f>
        <v/>
      </c>
      <c r="G13" s="33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inlineStr">
        <is>
          <t>X</t>
        </is>
      </c>
      <c r="R13" s="39" t="inlineStr">
        <is>
          <t>X</t>
        </is>
      </c>
      <c r="S13" s="39" t="n"/>
      <c r="T13" s="39" t="n"/>
      <c r="U13" s="39" t="n"/>
      <c r="V13" s="39" t="n"/>
      <c r="W13" s="39" t="inlineStr">
        <is>
          <t>X</t>
        </is>
      </c>
      <c r="X13" s="39" t="n"/>
      <c r="Y13" s="39" t="n"/>
      <c r="Z13" s="39" t="n"/>
      <c r="AA13" s="39" t="n"/>
      <c r="AB13" s="20">
        <f>IF($B13="","",COUNTIF($H13:$AA13,"X"))</f>
        <v/>
      </c>
      <c r="AC13" s="35">
        <f>IF($B13="","",LEFT($B13,FIND(" ",$B13&amp;" ")-1)&amp;IF(TRIM(RIGHT(SUBSTITUTE(TRIM($B13)," ",REPT(" ",99)),99))=LEFT($B13,FIND(" ",$B13&amp;" ")-1),""," "&amp;LEFT(TRIM(RIGHT(SUBSTITUTE(TRIM($B13)," ",REPT(" ",99)),99)),1)&amp;"."))</f>
        <v/>
      </c>
      <c r="AD13" s="35">
        <f>IF($B13="","",COUNTIF($AE13:$BH13,"X"))</f>
        <v/>
      </c>
      <c r="AE13" s="39" t="inlineStr">
        <is>
          <t>X</t>
        </is>
      </c>
      <c r="AF13" s="39" t="inlineStr">
        <is>
          <t>X</t>
        </is>
      </c>
      <c r="AG13" s="39" t="inlineStr">
        <is>
          <t>X</t>
        </is>
      </c>
      <c r="AH13" s="39" t="inlineStr">
        <is>
          <t>X</t>
        </is>
      </c>
      <c r="AI13" s="39" t="inlineStr">
        <is>
          <t>X</t>
        </is>
      </c>
      <c r="AJ13" s="39" t="inlineStr">
        <is>
          <t>X</t>
        </is>
      </c>
      <c r="AK13" s="39" t="inlineStr">
        <is>
          <t>X</t>
        </is>
      </c>
      <c r="AL13" s="39" t="inlineStr">
        <is>
          <t>X</t>
        </is>
      </c>
      <c r="AM13" s="39" t="inlineStr">
        <is>
          <t>X</t>
        </is>
      </c>
      <c r="AN13" s="39" t="inlineStr">
        <is>
          <t>X</t>
        </is>
      </c>
      <c r="AO13" s="39" t="inlineStr">
        <is>
          <t>X</t>
        </is>
      </c>
      <c r="AP13" s="40" t="inlineStr">
        <is>
          <t>—</t>
        </is>
      </c>
      <c r="AQ13" s="39" t="inlineStr">
        <is>
          <t>X</t>
        </is>
      </c>
      <c r="AR13" s="39" t="inlineStr">
        <is>
          <t>X</t>
        </is>
      </c>
      <c r="AS13" s="39" t="inlineStr">
        <is>
          <t>X</t>
        </is>
      </c>
      <c r="AT13" s="39" t="inlineStr">
        <is>
          <t>X</t>
        </is>
      </c>
      <c r="AU13" s="39" t="inlineStr">
        <is>
          <t>X</t>
        </is>
      </c>
      <c r="AV13" s="39" t="inlineStr">
        <is>
          <t>X</t>
        </is>
      </c>
      <c r="AW13" s="39" t="inlineStr">
        <is>
          <t>X</t>
        </is>
      </c>
      <c r="AX13" s="39" t="inlineStr">
        <is>
          <t>X</t>
        </is>
      </c>
      <c r="AY13" s="39" t="inlineStr">
        <is>
          <t>X</t>
        </is>
      </c>
      <c r="AZ13" s="39" t="inlineStr">
        <is>
          <t>X</t>
        </is>
      </c>
      <c r="BA13" s="39" t="inlineStr">
        <is>
          <t>X</t>
        </is>
      </c>
      <c r="BB13" s="39" t="inlineStr">
        <is>
          <t>X</t>
        </is>
      </c>
      <c r="BC13" s="39" t="inlineStr">
        <is>
          <t>X</t>
        </is>
      </c>
      <c r="BD13" s="39" t="inlineStr">
        <is>
          <t>X</t>
        </is>
      </c>
      <c r="BE13" s="39" t="inlineStr">
        <is>
          <t>X</t>
        </is>
      </c>
      <c r="BF13" s="39" t="inlineStr">
        <is>
          <t>X</t>
        </is>
      </c>
      <c r="BG13" s="39" t="inlineStr">
        <is>
          <t>X</t>
        </is>
      </c>
      <c r="BH13" s="39" t="inlineStr">
        <is>
          <t>X</t>
        </is>
      </c>
    </row>
    <row r="14">
      <c r="A14" s="31" t="inlineStr">
        <is>
          <t>TEC-013</t>
        </is>
      </c>
      <c r="B14" s="33" t="inlineStr">
        <is>
          <t>Marcia Tonet</t>
        </is>
      </c>
      <c r="C14" s="31" t="inlineStr"/>
      <c r="D14" s="31" t="inlineStr">
        <is>
          <t>Ativo</t>
        </is>
      </c>
      <c r="E14" s="19">
        <f>IF($B14="","",IF($D14&lt;&gt;"Ativo",$D14,IFERROR(INDEX(Aus_Tipo,MATCH($B14,Aus_Ativa,0)),"Disponível")))</f>
        <v/>
      </c>
      <c r="F14" s="26">
        <f>IF(OR($B14="",$E14="Disponível"),"",IFERROR(INDEX(Aus_Fim,MATCH($B14,Aus_Ativa,0)),""))</f>
        <v/>
      </c>
      <c r="G14" s="33" t="n"/>
      <c r="H14" s="39" t="n"/>
      <c r="I14" s="39" t="n"/>
      <c r="J14" s="39" t="n"/>
      <c r="K14" s="39" t="n"/>
      <c r="L14" s="39" t="n"/>
      <c r="M14" s="39" t="n"/>
      <c r="N14" s="39" t="inlineStr">
        <is>
          <t>X</t>
        </is>
      </c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inlineStr">
        <is>
          <t>X</t>
        </is>
      </c>
      <c r="Y14" s="39" t="n"/>
      <c r="Z14" s="39" t="n"/>
      <c r="AA14" s="39" t="n"/>
      <c r="AB14" s="20">
        <f>IF($B14="","",COUNTIF($H14:$AA14,"X"))</f>
        <v/>
      </c>
      <c r="AC14" s="35">
        <f>IF($B14="","",LEFT($B14,FIND(" ",$B14&amp;" ")-1)&amp;IF(TRIM(RIGHT(SUBSTITUTE(TRIM($B14)," ",REPT(" ",99)),99))=LEFT($B14,FIND(" ",$B14&amp;" ")-1),""," "&amp;LEFT(TRIM(RIGHT(SUBSTITUTE(TRIM($B14)," ",REPT(" ",99)),99)),1)&amp;"."))</f>
        <v/>
      </c>
      <c r="AD14" s="35">
        <f>IF($B14="","",COUNTIF($AE14:$BH14,"X"))</f>
        <v/>
      </c>
      <c r="AE14" s="39" t="inlineStr">
        <is>
          <t>X</t>
        </is>
      </c>
      <c r="AF14" s="39" t="inlineStr">
        <is>
          <t>X</t>
        </is>
      </c>
      <c r="AG14" s="39" t="inlineStr">
        <is>
          <t>X</t>
        </is>
      </c>
      <c r="AH14" s="39" t="inlineStr">
        <is>
          <t>X</t>
        </is>
      </c>
      <c r="AI14" s="39" t="inlineStr">
        <is>
          <t>X</t>
        </is>
      </c>
      <c r="AJ14" s="39" t="inlineStr">
        <is>
          <t>X</t>
        </is>
      </c>
      <c r="AK14" s="39" t="inlineStr">
        <is>
          <t>X</t>
        </is>
      </c>
      <c r="AL14" s="39" t="inlineStr">
        <is>
          <t>X</t>
        </is>
      </c>
      <c r="AM14" s="39" t="inlineStr">
        <is>
          <t>X</t>
        </is>
      </c>
      <c r="AN14" s="39" t="inlineStr">
        <is>
          <t>X</t>
        </is>
      </c>
      <c r="AO14" s="39" t="inlineStr">
        <is>
          <t>X</t>
        </is>
      </c>
      <c r="AP14" s="39" t="inlineStr">
        <is>
          <t>X</t>
        </is>
      </c>
      <c r="AQ14" s="40" t="inlineStr">
        <is>
          <t>—</t>
        </is>
      </c>
      <c r="AR14" s="39" t="inlineStr">
        <is>
          <t>X</t>
        </is>
      </c>
      <c r="AS14" s="39" t="n"/>
      <c r="AT14" s="39" t="inlineStr">
        <is>
          <t>X</t>
        </is>
      </c>
      <c r="AU14" s="39" t="inlineStr">
        <is>
          <t>X</t>
        </is>
      </c>
      <c r="AV14" s="39" t="inlineStr">
        <is>
          <t>X</t>
        </is>
      </c>
      <c r="AW14" s="39" t="inlineStr">
        <is>
          <t>X</t>
        </is>
      </c>
      <c r="AX14" s="39" t="inlineStr">
        <is>
          <t>X</t>
        </is>
      </c>
      <c r="AY14" s="39" t="inlineStr">
        <is>
          <t>X</t>
        </is>
      </c>
      <c r="AZ14" s="39" t="inlineStr">
        <is>
          <t>X</t>
        </is>
      </c>
      <c r="BA14" s="39" t="inlineStr">
        <is>
          <t>X</t>
        </is>
      </c>
      <c r="BB14" s="39" t="inlineStr">
        <is>
          <t>X</t>
        </is>
      </c>
      <c r="BC14" s="39" t="inlineStr">
        <is>
          <t>X</t>
        </is>
      </c>
      <c r="BD14" s="39" t="inlineStr">
        <is>
          <t>X</t>
        </is>
      </c>
      <c r="BE14" s="39" t="inlineStr">
        <is>
          <t>X</t>
        </is>
      </c>
      <c r="BF14" s="39" t="inlineStr">
        <is>
          <t>X</t>
        </is>
      </c>
      <c r="BG14" s="39" t="inlineStr">
        <is>
          <t>X</t>
        </is>
      </c>
      <c r="BH14" s="39" t="inlineStr">
        <is>
          <t>X</t>
        </is>
      </c>
    </row>
    <row r="15">
      <c r="A15" s="31" t="inlineStr">
        <is>
          <t>TEC-014</t>
        </is>
      </c>
      <c r="B15" s="33" t="inlineStr">
        <is>
          <t>Nádia Fávero</t>
        </is>
      </c>
      <c r="C15" s="31" t="inlineStr"/>
      <c r="D15" s="31" t="inlineStr">
        <is>
          <t>Ativo</t>
        </is>
      </c>
      <c r="E15" s="19">
        <f>IF($B15="","",IF($D15&lt;&gt;"Ativo",$D15,IFERROR(INDEX(Aus_Tipo,MATCH($B15,Aus_Ativa,0)),"Disponível")))</f>
        <v/>
      </c>
      <c r="F15" s="26">
        <f>IF(OR($B15="",$E15="Disponível"),"",IFERROR(INDEX(Aus_Fim,MATCH($B15,Aus_Ativa,0)),""))</f>
        <v/>
      </c>
      <c r="G15" s="33" t="n"/>
      <c r="H15" s="39" t="n"/>
      <c r="I15" s="39" t="n"/>
      <c r="J15" s="39" t="n"/>
      <c r="K15" s="39" t="n"/>
      <c r="L15" s="39" t="n"/>
      <c r="M15" s="39" t="n"/>
      <c r="N15" s="39" t="inlineStr">
        <is>
          <t>X</t>
        </is>
      </c>
      <c r="O15" s="39" t="inlineStr">
        <is>
          <t>X</t>
        </is>
      </c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inlineStr">
        <is>
          <t>X</t>
        </is>
      </c>
      <c r="Y15" s="39" t="n"/>
      <c r="Z15" s="39" t="n"/>
      <c r="AA15" s="39" t="n"/>
      <c r="AB15" s="20">
        <f>IF($B15="","",COUNTIF($H15:$AA15,"X"))</f>
        <v/>
      </c>
      <c r="AC15" s="35">
        <f>IF($B15="","",LEFT($B15,FIND(" ",$B15&amp;" ")-1)&amp;IF(TRIM(RIGHT(SUBSTITUTE(TRIM($B15)," ",REPT(" ",99)),99))=LEFT($B15,FIND(" ",$B15&amp;" ")-1),""," "&amp;LEFT(TRIM(RIGHT(SUBSTITUTE(TRIM($B15)," ",REPT(" ",99)),99)),1)&amp;"."))</f>
        <v/>
      </c>
      <c r="AD15" s="35">
        <f>IF($B15="","",COUNTIF($AE15:$BH15,"X"))</f>
        <v/>
      </c>
      <c r="AE15" s="39" t="inlineStr">
        <is>
          <t>X</t>
        </is>
      </c>
      <c r="AF15" s="39" t="inlineStr">
        <is>
          <t>X</t>
        </is>
      </c>
      <c r="AG15" s="39" t="inlineStr">
        <is>
          <t>X</t>
        </is>
      </c>
      <c r="AH15" s="39" t="inlineStr">
        <is>
          <t>X</t>
        </is>
      </c>
      <c r="AI15" s="39" t="inlineStr">
        <is>
          <t>X</t>
        </is>
      </c>
      <c r="AJ15" s="39" t="inlineStr">
        <is>
          <t>X</t>
        </is>
      </c>
      <c r="AK15" s="39" t="inlineStr">
        <is>
          <t>X</t>
        </is>
      </c>
      <c r="AL15" s="39" t="inlineStr">
        <is>
          <t>X</t>
        </is>
      </c>
      <c r="AM15" s="39" t="inlineStr">
        <is>
          <t>X</t>
        </is>
      </c>
      <c r="AN15" s="39" t="inlineStr">
        <is>
          <t>X</t>
        </is>
      </c>
      <c r="AO15" s="39" t="inlineStr">
        <is>
          <t>X</t>
        </is>
      </c>
      <c r="AP15" s="39" t="inlineStr">
        <is>
          <t>X</t>
        </is>
      </c>
      <c r="AQ15" s="39" t="inlineStr">
        <is>
          <t>X</t>
        </is>
      </c>
      <c r="AR15" s="40" t="inlineStr">
        <is>
          <t>—</t>
        </is>
      </c>
      <c r="AS15" s="39" t="inlineStr">
        <is>
          <t>X</t>
        </is>
      </c>
      <c r="AT15" s="39" t="inlineStr">
        <is>
          <t>X</t>
        </is>
      </c>
      <c r="AU15" s="39" t="inlineStr">
        <is>
          <t>X</t>
        </is>
      </c>
      <c r="AV15" s="39" t="inlineStr">
        <is>
          <t>X</t>
        </is>
      </c>
      <c r="AW15" s="39" t="inlineStr">
        <is>
          <t>X</t>
        </is>
      </c>
      <c r="AX15" s="39" t="inlineStr">
        <is>
          <t>X</t>
        </is>
      </c>
      <c r="AY15" s="39" t="inlineStr">
        <is>
          <t>X</t>
        </is>
      </c>
      <c r="AZ15" s="39" t="inlineStr">
        <is>
          <t>X</t>
        </is>
      </c>
      <c r="BA15" s="39" t="inlineStr">
        <is>
          <t>X</t>
        </is>
      </c>
      <c r="BB15" s="39" t="inlineStr">
        <is>
          <t>X</t>
        </is>
      </c>
      <c r="BC15" s="39" t="inlineStr">
        <is>
          <t>X</t>
        </is>
      </c>
      <c r="BD15" s="39" t="inlineStr">
        <is>
          <t>X</t>
        </is>
      </c>
      <c r="BE15" s="39" t="inlineStr">
        <is>
          <t>X</t>
        </is>
      </c>
      <c r="BF15" s="39" t="inlineStr">
        <is>
          <t>X</t>
        </is>
      </c>
      <c r="BG15" s="39" t="inlineStr">
        <is>
          <t>X</t>
        </is>
      </c>
      <c r="BH15" s="39" t="inlineStr">
        <is>
          <t>X</t>
        </is>
      </c>
    </row>
    <row r="16">
      <c r="A16" s="31" t="inlineStr">
        <is>
          <t>TEC-015</t>
        </is>
      </c>
      <c r="B16" s="33" t="inlineStr">
        <is>
          <t>Odair Bianchi</t>
        </is>
      </c>
      <c r="C16" s="31" t="inlineStr"/>
      <c r="D16" s="31" t="inlineStr">
        <is>
          <t>Ativo</t>
        </is>
      </c>
      <c r="E16" s="19">
        <f>IF($B16="","",IF($D16&lt;&gt;"Ativo",$D16,IFERROR(INDEX(Aus_Tipo,MATCH($B16,Aus_Ativa,0)),"Disponível")))</f>
        <v/>
      </c>
      <c r="F16" s="26">
        <f>IF(OR($B16="",$E16="Disponível"),"",IFERROR(INDEX(Aus_Fim,MATCH($B16,Aus_Ativa,0)),""))</f>
        <v/>
      </c>
      <c r="G16" s="33" t="n"/>
      <c r="H16" s="39" t="n"/>
      <c r="I16" s="39" t="n"/>
      <c r="J16" s="39" t="inlineStr">
        <is>
          <t>X</t>
        </is>
      </c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inlineStr">
        <is>
          <t>X</t>
        </is>
      </c>
      <c r="X16" s="39" t="n"/>
      <c r="Y16" s="39" t="n"/>
      <c r="Z16" s="39" t="n"/>
      <c r="AA16" s="39" t="n"/>
      <c r="AB16" s="20">
        <f>IF($B16="","",COUNTIF($H16:$AA16,"X"))</f>
        <v/>
      </c>
      <c r="AC16" s="35">
        <f>IF($B16="","",LEFT($B16,FIND(" ",$B16&amp;" ")-1)&amp;IF(TRIM(RIGHT(SUBSTITUTE(TRIM($B16)," ",REPT(" ",99)),99))=LEFT($B16,FIND(" ",$B16&amp;" ")-1),""," "&amp;LEFT(TRIM(RIGHT(SUBSTITUTE(TRIM($B16)," ",REPT(" ",99)),99)),1)&amp;"."))</f>
        <v/>
      </c>
      <c r="AD16" s="35">
        <f>IF($B16="","",COUNTIF($AE16:$BH16,"X"))</f>
        <v/>
      </c>
      <c r="AE16" s="39" t="inlineStr">
        <is>
          <t>X</t>
        </is>
      </c>
      <c r="AF16" s="39" t="inlineStr">
        <is>
          <t>X</t>
        </is>
      </c>
      <c r="AG16" s="39" t="inlineStr">
        <is>
          <t>X</t>
        </is>
      </c>
      <c r="AH16" s="39" t="inlineStr">
        <is>
          <t>X</t>
        </is>
      </c>
      <c r="AI16" s="39" t="inlineStr">
        <is>
          <t>X</t>
        </is>
      </c>
      <c r="AJ16" s="39" t="inlineStr">
        <is>
          <t>X</t>
        </is>
      </c>
      <c r="AK16" s="39" t="inlineStr">
        <is>
          <t>X</t>
        </is>
      </c>
      <c r="AL16" s="39" t="inlineStr">
        <is>
          <t>X</t>
        </is>
      </c>
      <c r="AM16" s="39" t="inlineStr">
        <is>
          <t>X</t>
        </is>
      </c>
      <c r="AN16" s="39" t="inlineStr">
        <is>
          <t>X</t>
        </is>
      </c>
      <c r="AO16" s="39" t="inlineStr">
        <is>
          <t>X</t>
        </is>
      </c>
      <c r="AP16" s="39" t="inlineStr">
        <is>
          <t>X</t>
        </is>
      </c>
      <c r="AQ16" s="39" t="n"/>
      <c r="AR16" s="39" t="inlineStr">
        <is>
          <t>X</t>
        </is>
      </c>
      <c r="AS16" s="40" t="inlineStr">
        <is>
          <t>—</t>
        </is>
      </c>
      <c r="AT16" s="39" t="inlineStr">
        <is>
          <t>X</t>
        </is>
      </c>
      <c r="AU16" s="39" t="inlineStr">
        <is>
          <t>X</t>
        </is>
      </c>
      <c r="AV16" s="39" t="inlineStr">
        <is>
          <t>X</t>
        </is>
      </c>
      <c r="AW16" s="39" t="inlineStr">
        <is>
          <t>X</t>
        </is>
      </c>
      <c r="AX16" s="39" t="inlineStr">
        <is>
          <t>X</t>
        </is>
      </c>
      <c r="AY16" s="39" t="inlineStr">
        <is>
          <t>X</t>
        </is>
      </c>
      <c r="AZ16" s="39" t="inlineStr">
        <is>
          <t>X</t>
        </is>
      </c>
      <c r="BA16" s="39" t="inlineStr">
        <is>
          <t>X</t>
        </is>
      </c>
      <c r="BB16" s="39" t="inlineStr">
        <is>
          <t>X</t>
        </is>
      </c>
      <c r="BC16" s="39" t="inlineStr">
        <is>
          <t>X</t>
        </is>
      </c>
      <c r="BD16" s="39" t="inlineStr">
        <is>
          <t>X</t>
        </is>
      </c>
      <c r="BE16" s="39" t="inlineStr">
        <is>
          <t>X</t>
        </is>
      </c>
      <c r="BF16" s="39" t="inlineStr">
        <is>
          <t>X</t>
        </is>
      </c>
      <c r="BG16" s="39" t="inlineStr">
        <is>
          <t>X</t>
        </is>
      </c>
      <c r="BH16" s="39" t="inlineStr">
        <is>
          <t>X</t>
        </is>
      </c>
    </row>
    <row r="17">
      <c r="A17" s="31" t="inlineStr">
        <is>
          <t>TEC-016</t>
        </is>
      </c>
      <c r="B17" s="33" t="inlineStr">
        <is>
          <t>Patrícia Zortéa</t>
        </is>
      </c>
      <c r="C17" s="31" t="inlineStr"/>
      <c r="D17" s="31" t="inlineStr">
        <is>
          <t>Ativo</t>
        </is>
      </c>
      <c r="E17" s="19">
        <f>IF($B17="","",IF($D17&lt;&gt;"Ativo",$D17,IFERROR(INDEX(Aus_Tipo,MATCH($B17,Aus_Ativa,0)),"Disponível")))</f>
        <v/>
      </c>
      <c r="F17" s="26">
        <f>IF(OR($B17="",$E17="Disponível"),"",IFERROR(INDEX(Aus_Fim,MATCH($B17,Aus_Ativa,0)),""))</f>
        <v/>
      </c>
      <c r="G17" s="33" t="n"/>
      <c r="H17" s="39" t="inlineStr">
        <is>
          <t>X</t>
        </is>
      </c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inlineStr">
        <is>
          <t>X</t>
        </is>
      </c>
      <c r="X17" s="39" t="n"/>
      <c r="Y17" s="39" t="n"/>
      <c r="Z17" s="39" t="n"/>
      <c r="AA17" s="39" t="n"/>
      <c r="AB17" s="20">
        <f>IF($B17="","",COUNTIF($H17:$AA17,"X"))</f>
        <v/>
      </c>
      <c r="AC17" s="35">
        <f>IF($B17="","",LEFT($B17,FIND(" ",$B17&amp;" ")-1)&amp;IF(TRIM(RIGHT(SUBSTITUTE(TRIM($B17)," ",REPT(" ",99)),99))=LEFT($B17,FIND(" ",$B17&amp;" ")-1),""," "&amp;LEFT(TRIM(RIGHT(SUBSTITUTE(TRIM($B17)," ",REPT(" ",99)),99)),1)&amp;"."))</f>
        <v/>
      </c>
      <c r="AD17" s="35">
        <f>IF($B17="","",COUNTIF($AE17:$BH17,"X"))</f>
        <v/>
      </c>
      <c r="AE17" s="39" t="inlineStr">
        <is>
          <t>X</t>
        </is>
      </c>
      <c r="AF17" s="39" t="inlineStr">
        <is>
          <t>X</t>
        </is>
      </c>
      <c r="AG17" s="39" t="inlineStr">
        <is>
          <t>X</t>
        </is>
      </c>
      <c r="AH17" s="39" t="inlineStr">
        <is>
          <t>X</t>
        </is>
      </c>
      <c r="AI17" s="39" t="inlineStr">
        <is>
          <t>X</t>
        </is>
      </c>
      <c r="AJ17" s="39" t="inlineStr">
        <is>
          <t>X</t>
        </is>
      </c>
      <c r="AK17" s="39" t="inlineStr">
        <is>
          <t>X</t>
        </is>
      </c>
      <c r="AL17" s="39" t="inlineStr">
        <is>
          <t>X</t>
        </is>
      </c>
      <c r="AM17" s="39" t="inlineStr">
        <is>
          <t>X</t>
        </is>
      </c>
      <c r="AN17" s="39" t="inlineStr">
        <is>
          <t>X</t>
        </is>
      </c>
      <c r="AO17" s="39" t="inlineStr">
        <is>
          <t>X</t>
        </is>
      </c>
      <c r="AP17" s="39" t="inlineStr">
        <is>
          <t>X</t>
        </is>
      </c>
      <c r="AQ17" s="39" t="inlineStr">
        <is>
          <t>X</t>
        </is>
      </c>
      <c r="AR17" s="39" t="inlineStr">
        <is>
          <t>X</t>
        </is>
      </c>
      <c r="AS17" s="39" t="inlineStr">
        <is>
          <t>X</t>
        </is>
      </c>
      <c r="AT17" s="40" t="inlineStr">
        <is>
          <t>—</t>
        </is>
      </c>
      <c r="AU17" s="39" t="inlineStr">
        <is>
          <t>X</t>
        </is>
      </c>
      <c r="AV17" s="39" t="inlineStr">
        <is>
          <t>X</t>
        </is>
      </c>
      <c r="AW17" s="39" t="inlineStr">
        <is>
          <t>X</t>
        </is>
      </c>
      <c r="AX17" s="39" t="inlineStr">
        <is>
          <t>X</t>
        </is>
      </c>
      <c r="AY17" s="39" t="inlineStr">
        <is>
          <t>X</t>
        </is>
      </c>
      <c r="AZ17" s="39" t="inlineStr">
        <is>
          <t>X</t>
        </is>
      </c>
      <c r="BA17" s="39" t="inlineStr">
        <is>
          <t>X</t>
        </is>
      </c>
      <c r="BB17" s="39" t="inlineStr">
        <is>
          <t>X</t>
        </is>
      </c>
      <c r="BC17" s="39" t="inlineStr">
        <is>
          <t>X</t>
        </is>
      </c>
      <c r="BD17" s="39" t="inlineStr">
        <is>
          <t>X</t>
        </is>
      </c>
      <c r="BE17" s="39" t="inlineStr">
        <is>
          <t>X</t>
        </is>
      </c>
      <c r="BF17" s="39" t="inlineStr">
        <is>
          <t>X</t>
        </is>
      </c>
      <c r="BG17" s="39" t="inlineStr">
        <is>
          <t>X</t>
        </is>
      </c>
      <c r="BH17" s="39" t="inlineStr">
        <is>
          <t>X</t>
        </is>
      </c>
    </row>
    <row r="18">
      <c r="A18" s="31" t="inlineStr">
        <is>
          <t>TEC-017</t>
        </is>
      </c>
      <c r="B18" s="33" t="inlineStr">
        <is>
          <t>Rafaela Gubert</t>
        </is>
      </c>
      <c r="C18" s="31" t="inlineStr"/>
      <c r="D18" s="31" t="inlineStr">
        <is>
          <t>Ativo</t>
        </is>
      </c>
      <c r="E18" s="19">
        <f>IF($B18="","",IF($D18&lt;&gt;"Ativo",$D18,IFERROR(INDEX(Aus_Tipo,MATCH($B18,Aus_Ativa,0)),"Disponível")))</f>
        <v/>
      </c>
      <c r="F18" s="26">
        <f>IF(OR($B18="",$E18="Disponível"),"",IFERROR(INDEX(Aus_Fim,MATCH($B18,Aus_Ativa,0)),""))</f>
        <v/>
      </c>
      <c r="G18" s="33" t="n"/>
      <c r="H18" s="39" t="n"/>
      <c r="I18" s="39" t="n"/>
      <c r="J18" s="39" t="n"/>
      <c r="K18" s="39" t="n"/>
      <c r="L18" s="39" t="n"/>
      <c r="M18" s="39" t="n"/>
      <c r="N18" s="39" t="inlineStr">
        <is>
          <t>X</t>
        </is>
      </c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inlineStr">
        <is>
          <t>X</t>
        </is>
      </c>
      <c r="Y18" s="39" t="n"/>
      <c r="Z18" s="39" t="n"/>
      <c r="AA18" s="39" t="n"/>
      <c r="AB18" s="20">
        <f>IF($B18="","",COUNTIF($H18:$AA18,"X"))</f>
        <v/>
      </c>
      <c r="AC18" s="35">
        <f>IF($B18="","",LEFT($B18,FIND(" ",$B18&amp;" ")-1)&amp;IF(TRIM(RIGHT(SUBSTITUTE(TRIM($B18)," ",REPT(" ",99)),99))=LEFT($B18,FIND(" ",$B18&amp;" ")-1),""," "&amp;LEFT(TRIM(RIGHT(SUBSTITUTE(TRIM($B18)," ",REPT(" ",99)),99)),1)&amp;"."))</f>
        <v/>
      </c>
      <c r="AD18" s="35">
        <f>IF($B18="","",COUNTIF($AE18:$BH18,"X"))</f>
        <v/>
      </c>
      <c r="AE18" s="39" t="inlineStr">
        <is>
          <t>X</t>
        </is>
      </c>
      <c r="AF18" s="39" t="inlineStr">
        <is>
          <t>X</t>
        </is>
      </c>
      <c r="AG18" s="39" t="inlineStr">
        <is>
          <t>X</t>
        </is>
      </c>
      <c r="AH18" s="39" t="inlineStr">
        <is>
          <t>X</t>
        </is>
      </c>
      <c r="AI18" s="39" t="inlineStr">
        <is>
          <t>X</t>
        </is>
      </c>
      <c r="AJ18" s="39" t="inlineStr">
        <is>
          <t>X</t>
        </is>
      </c>
      <c r="AK18" s="39" t="inlineStr">
        <is>
          <t>X</t>
        </is>
      </c>
      <c r="AL18" s="39" t="inlineStr">
        <is>
          <t>X</t>
        </is>
      </c>
      <c r="AM18" s="39" t="inlineStr">
        <is>
          <t>X</t>
        </is>
      </c>
      <c r="AN18" s="39" t="inlineStr">
        <is>
          <t>X</t>
        </is>
      </c>
      <c r="AO18" s="39" t="inlineStr">
        <is>
          <t>X</t>
        </is>
      </c>
      <c r="AP18" s="39" t="inlineStr">
        <is>
          <t>X</t>
        </is>
      </c>
      <c r="AQ18" s="39" t="inlineStr">
        <is>
          <t>X</t>
        </is>
      </c>
      <c r="AR18" s="39" t="inlineStr">
        <is>
          <t>X</t>
        </is>
      </c>
      <c r="AS18" s="39" t="inlineStr">
        <is>
          <t>X</t>
        </is>
      </c>
      <c r="AT18" s="39" t="inlineStr">
        <is>
          <t>X</t>
        </is>
      </c>
      <c r="AU18" s="40" t="inlineStr">
        <is>
          <t>—</t>
        </is>
      </c>
      <c r="AV18" s="39" t="inlineStr">
        <is>
          <t>X</t>
        </is>
      </c>
      <c r="AW18" s="39" t="inlineStr">
        <is>
          <t>X</t>
        </is>
      </c>
      <c r="AX18" s="39" t="inlineStr">
        <is>
          <t>X</t>
        </is>
      </c>
      <c r="AY18" s="39" t="inlineStr">
        <is>
          <t>X</t>
        </is>
      </c>
      <c r="AZ18" s="39" t="inlineStr">
        <is>
          <t>X</t>
        </is>
      </c>
      <c r="BA18" s="39" t="inlineStr">
        <is>
          <t>X</t>
        </is>
      </c>
      <c r="BB18" s="39" t="inlineStr">
        <is>
          <t>X</t>
        </is>
      </c>
      <c r="BC18" s="39" t="inlineStr">
        <is>
          <t>X</t>
        </is>
      </c>
      <c r="BD18" s="39" t="inlineStr">
        <is>
          <t>X</t>
        </is>
      </c>
      <c r="BE18" s="39" t="inlineStr">
        <is>
          <t>X</t>
        </is>
      </c>
      <c r="BF18" s="39" t="inlineStr">
        <is>
          <t>X</t>
        </is>
      </c>
      <c r="BG18" s="39" t="inlineStr">
        <is>
          <t>X</t>
        </is>
      </c>
      <c r="BH18" s="39" t="inlineStr">
        <is>
          <t>X</t>
        </is>
      </c>
    </row>
    <row r="19">
      <c r="A19" s="31" t="inlineStr">
        <is>
          <t>TEC-018</t>
        </is>
      </c>
      <c r="B19" s="33" t="inlineStr">
        <is>
          <t>Simone Dalpra</t>
        </is>
      </c>
      <c r="C19" s="31" t="inlineStr"/>
      <c r="D19" s="31" t="inlineStr">
        <is>
          <t>Ativo</t>
        </is>
      </c>
      <c r="E19" s="19">
        <f>IF($B19="","",IF($D19&lt;&gt;"Ativo",$D19,IFERROR(INDEX(Aus_Tipo,MATCH($B19,Aus_Ativa,0)),"Disponível")))</f>
        <v/>
      </c>
      <c r="F19" s="26">
        <f>IF(OR($B19="",$E19="Disponível"),"",IFERROR(INDEX(Aus_Fim,MATCH($B19,Aus_Ativa,0)),""))</f>
        <v/>
      </c>
      <c r="G19" s="33" t="n"/>
      <c r="H19" s="39" t="n"/>
      <c r="I19" s="39" t="n"/>
      <c r="J19" s="39" t="inlineStr">
        <is>
          <t>X</t>
        </is>
      </c>
      <c r="K19" s="39" t="inlineStr">
        <is>
          <t>X</t>
        </is>
      </c>
      <c r="L19" s="39" t="inlineStr">
        <is>
          <t>X</t>
        </is>
      </c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20">
        <f>IF($B19="","",COUNTIF($H19:$AA19,"X"))</f>
        <v/>
      </c>
      <c r="AC19" s="35">
        <f>IF($B19="","",LEFT($B19,FIND(" ",$B19&amp;" ")-1)&amp;IF(TRIM(RIGHT(SUBSTITUTE(TRIM($B19)," ",REPT(" ",99)),99))=LEFT($B19,FIND(" ",$B19&amp;" ")-1),""," "&amp;LEFT(TRIM(RIGHT(SUBSTITUTE(TRIM($B19)," ",REPT(" ",99)),99)),1)&amp;"."))</f>
        <v/>
      </c>
      <c r="AD19" s="35">
        <f>IF($B19="","",COUNTIF($AE19:$BH19,"X"))</f>
        <v/>
      </c>
      <c r="AE19" s="39" t="inlineStr">
        <is>
          <t>X</t>
        </is>
      </c>
      <c r="AF19" s="39" t="inlineStr">
        <is>
          <t>X</t>
        </is>
      </c>
      <c r="AG19" s="39" t="n"/>
      <c r="AH19" s="39" t="inlineStr">
        <is>
          <t>X</t>
        </is>
      </c>
      <c r="AI19" s="39" t="inlineStr">
        <is>
          <t>X</t>
        </is>
      </c>
      <c r="AJ19" s="39" t="inlineStr">
        <is>
          <t>X</t>
        </is>
      </c>
      <c r="AK19" s="39" t="inlineStr">
        <is>
          <t>X</t>
        </is>
      </c>
      <c r="AL19" s="39" t="inlineStr">
        <is>
          <t>X</t>
        </is>
      </c>
      <c r="AM19" s="39" t="inlineStr">
        <is>
          <t>X</t>
        </is>
      </c>
      <c r="AN19" s="39" t="inlineStr">
        <is>
          <t>X</t>
        </is>
      </c>
      <c r="AO19" s="39" t="inlineStr">
        <is>
          <t>X</t>
        </is>
      </c>
      <c r="AP19" s="39" t="inlineStr">
        <is>
          <t>X</t>
        </is>
      </c>
      <c r="AQ19" s="39" t="inlineStr">
        <is>
          <t>X</t>
        </is>
      </c>
      <c r="AR19" s="39" t="inlineStr">
        <is>
          <t>X</t>
        </is>
      </c>
      <c r="AS19" s="39" t="inlineStr">
        <is>
          <t>X</t>
        </is>
      </c>
      <c r="AT19" s="39" t="inlineStr">
        <is>
          <t>X</t>
        </is>
      </c>
      <c r="AU19" s="39" t="inlineStr">
        <is>
          <t>X</t>
        </is>
      </c>
      <c r="AV19" s="40" t="inlineStr">
        <is>
          <t>—</t>
        </is>
      </c>
      <c r="AW19" s="39" t="inlineStr">
        <is>
          <t>X</t>
        </is>
      </c>
      <c r="AX19" s="39" t="inlineStr">
        <is>
          <t>X</t>
        </is>
      </c>
      <c r="AY19" s="39" t="inlineStr">
        <is>
          <t>X</t>
        </is>
      </c>
      <c r="AZ19" s="39" t="inlineStr">
        <is>
          <t>X</t>
        </is>
      </c>
      <c r="BA19" s="39" t="inlineStr">
        <is>
          <t>X</t>
        </is>
      </c>
      <c r="BB19" s="39" t="inlineStr">
        <is>
          <t>X</t>
        </is>
      </c>
      <c r="BC19" s="39" t="inlineStr">
        <is>
          <t>X</t>
        </is>
      </c>
      <c r="BD19" s="39" t="inlineStr">
        <is>
          <t>X</t>
        </is>
      </c>
      <c r="BE19" s="39" t="inlineStr">
        <is>
          <t>X</t>
        </is>
      </c>
      <c r="BF19" s="39" t="inlineStr">
        <is>
          <t>X</t>
        </is>
      </c>
      <c r="BG19" s="39" t="inlineStr">
        <is>
          <t>X</t>
        </is>
      </c>
      <c r="BH19" s="39" t="inlineStr">
        <is>
          <t>X</t>
        </is>
      </c>
    </row>
    <row r="20">
      <c r="A20" s="31" t="inlineStr">
        <is>
          <t>TEC-019</t>
        </is>
      </c>
      <c r="B20" s="33" t="inlineStr">
        <is>
          <t>Tatiane Bolzan</t>
        </is>
      </c>
      <c r="C20" s="31" t="inlineStr"/>
      <c r="D20" s="31" t="inlineStr">
        <is>
          <t>Ativo</t>
        </is>
      </c>
      <c r="E20" s="19">
        <f>IF($B20="","",IF($D20&lt;&gt;"Ativo",$D20,IFERROR(INDEX(Aus_Tipo,MATCH($B20,Aus_Ativa,0)),"Disponível")))</f>
        <v/>
      </c>
      <c r="F20" s="26">
        <f>IF(OR($B20="",$E20="Disponível"),"",IFERROR(INDEX(Aus_Fim,MATCH($B20,Aus_Ativa,0)),""))</f>
        <v/>
      </c>
      <c r="G20" s="33" t="n"/>
      <c r="H20" s="39" t="inlineStr">
        <is>
          <t>X</t>
        </is>
      </c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inlineStr">
        <is>
          <t>X</t>
        </is>
      </c>
      <c r="V20" s="39" t="n"/>
      <c r="W20" s="39" t="n"/>
      <c r="X20" s="39" t="n"/>
      <c r="Y20" s="39" t="n"/>
      <c r="Z20" s="39" t="n"/>
      <c r="AA20" s="39" t="n"/>
      <c r="AB20" s="20">
        <f>IF($B20="","",COUNTIF($H20:$AA20,"X"))</f>
        <v/>
      </c>
      <c r="AC20" s="35">
        <f>IF($B20="","",LEFT($B20,FIND(" ",$B20&amp;" ")-1)&amp;IF(TRIM(RIGHT(SUBSTITUTE(TRIM($B20)," ",REPT(" ",99)),99))=LEFT($B20,FIND(" ",$B20&amp;" ")-1),""," "&amp;LEFT(TRIM(RIGHT(SUBSTITUTE(TRIM($B20)," ",REPT(" ",99)),99)),1)&amp;"."))</f>
        <v/>
      </c>
      <c r="AD20" s="35">
        <f>IF($B20="","",COUNTIF($AE20:$BH20,"X"))</f>
        <v/>
      </c>
      <c r="AE20" s="39" t="inlineStr">
        <is>
          <t>X</t>
        </is>
      </c>
      <c r="AF20" s="39" t="inlineStr">
        <is>
          <t>X</t>
        </is>
      </c>
      <c r="AG20" s="39" t="inlineStr">
        <is>
          <t>X</t>
        </is>
      </c>
      <c r="AH20" s="39" t="inlineStr">
        <is>
          <t>X</t>
        </is>
      </c>
      <c r="AI20" s="39" t="inlineStr">
        <is>
          <t>X</t>
        </is>
      </c>
      <c r="AJ20" s="39" t="inlineStr">
        <is>
          <t>X</t>
        </is>
      </c>
      <c r="AK20" s="39" t="inlineStr">
        <is>
          <t>X</t>
        </is>
      </c>
      <c r="AL20" s="39" t="inlineStr">
        <is>
          <t>X</t>
        </is>
      </c>
      <c r="AM20" s="39" t="inlineStr">
        <is>
          <t>X</t>
        </is>
      </c>
      <c r="AN20" s="39" t="inlineStr">
        <is>
          <t>X</t>
        </is>
      </c>
      <c r="AO20" s="39" t="inlineStr">
        <is>
          <t>X</t>
        </is>
      </c>
      <c r="AP20" s="39" t="inlineStr">
        <is>
          <t>X</t>
        </is>
      </c>
      <c r="AQ20" s="39" t="inlineStr">
        <is>
          <t>X</t>
        </is>
      </c>
      <c r="AR20" s="39" t="inlineStr">
        <is>
          <t>X</t>
        </is>
      </c>
      <c r="AS20" s="39" t="inlineStr">
        <is>
          <t>X</t>
        </is>
      </c>
      <c r="AT20" s="39" t="inlineStr">
        <is>
          <t>X</t>
        </is>
      </c>
      <c r="AU20" s="39" t="inlineStr">
        <is>
          <t>X</t>
        </is>
      </c>
      <c r="AV20" s="39" t="inlineStr">
        <is>
          <t>X</t>
        </is>
      </c>
      <c r="AW20" s="40" t="inlineStr">
        <is>
          <t>—</t>
        </is>
      </c>
      <c r="AX20" s="39" t="inlineStr">
        <is>
          <t>X</t>
        </is>
      </c>
      <c r="AY20" s="39" t="inlineStr">
        <is>
          <t>X</t>
        </is>
      </c>
      <c r="AZ20" s="39" t="inlineStr">
        <is>
          <t>X</t>
        </is>
      </c>
      <c r="BA20" s="39" t="inlineStr">
        <is>
          <t>X</t>
        </is>
      </c>
      <c r="BB20" s="39" t="inlineStr">
        <is>
          <t>X</t>
        </is>
      </c>
      <c r="BC20" s="39" t="inlineStr">
        <is>
          <t>X</t>
        </is>
      </c>
      <c r="BD20" s="39" t="inlineStr">
        <is>
          <t>X</t>
        </is>
      </c>
      <c r="BE20" s="39" t="inlineStr">
        <is>
          <t>X</t>
        </is>
      </c>
      <c r="BF20" s="39" t="inlineStr">
        <is>
          <t>X</t>
        </is>
      </c>
      <c r="BG20" s="39" t="inlineStr">
        <is>
          <t>X</t>
        </is>
      </c>
      <c r="BH20" s="39" t="inlineStr">
        <is>
          <t>X</t>
        </is>
      </c>
    </row>
    <row r="21">
      <c r="A21" s="31" t="inlineStr">
        <is>
          <t>TEC-020</t>
        </is>
      </c>
      <c r="B21" s="33" t="inlineStr">
        <is>
          <t>Vagner Sartori</t>
        </is>
      </c>
      <c r="C21" s="31" t="inlineStr"/>
      <c r="D21" s="31" t="inlineStr">
        <is>
          <t>Ativo</t>
        </is>
      </c>
      <c r="E21" s="19">
        <f>IF($B21="","",IF($D21&lt;&gt;"Ativo",$D21,IFERROR(INDEX(Aus_Tipo,MATCH($B21,Aus_Ativa,0)),"Disponível")))</f>
        <v/>
      </c>
      <c r="F21" s="26">
        <f>IF(OR($B21="",$E21="Disponível"),"",IFERROR(INDEX(Aus_Fim,MATCH($B21,Aus_Ativa,0)),""))</f>
        <v/>
      </c>
      <c r="G21" s="33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inlineStr">
        <is>
          <t>X</t>
        </is>
      </c>
      <c r="R21" s="39" t="inlineStr">
        <is>
          <t>X</t>
        </is>
      </c>
      <c r="S21" s="39" t="inlineStr">
        <is>
          <t>X</t>
        </is>
      </c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20">
        <f>IF($B21="","",COUNTIF($H21:$AA21,"X"))</f>
        <v/>
      </c>
      <c r="AC21" s="35">
        <f>IF($B21="","",LEFT($B21,FIND(" ",$B21&amp;" ")-1)&amp;IF(TRIM(RIGHT(SUBSTITUTE(TRIM($B21)," ",REPT(" ",99)),99))=LEFT($B21,FIND(" ",$B21&amp;" ")-1),""," "&amp;LEFT(TRIM(RIGHT(SUBSTITUTE(TRIM($B21)," ",REPT(" ",99)),99)),1)&amp;"."))</f>
        <v/>
      </c>
      <c r="AD21" s="35">
        <f>IF($B21="","",COUNTIF($AE21:$BH21,"X"))</f>
        <v/>
      </c>
      <c r="AE21" s="39" t="inlineStr">
        <is>
          <t>X</t>
        </is>
      </c>
      <c r="AF21" s="39" t="inlineStr">
        <is>
          <t>X</t>
        </is>
      </c>
      <c r="AG21" s="39" t="inlineStr">
        <is>
          <t>X</t>
        </is>
      </c>
      <c r="AH21" s="39" t="inlineStr">
        <is>
          <t>X</t>
        </is>
      </c>
      <c r="AI21" s="39" t="inlineStr">
        <is>
          <t>X</t>
        </is>
      </c>
      <c r="AJ21" s="39" t="inlineStr">
        <is>
          <t>X</t>
        </is>
      </c>
      <c r="AK21" s="39" t="inlineStr">
        <is>
          <t>X</t>
        </is>
      </c>
      <c r="AL21" s="39" t="inlineStr">
        <is>
          <t>X</t>
        </is>
      </c>
      <c r="AM21" s="39" t="inlineStr">
        <is>
          <t>X</t>
        </is>
      </c>
      <c r="AN21" s="39" t="inlineStr">
        <is>
          <t>X</t>
        </is>
      </c>
      <c r="AO21" s="39" t="inlineStr">
        <is>
          <t>X</t>
        </is>
      </c>
      <c r="AP21" s="39" t="inlineStr">
        <is>
          <t>X</t>
        </is>
      </c>
      <c r="AQ21" s="39" t="inlineStr">
        <is>
          <t>X</t>
        </is>
      </c>
      <c r="AR21" s="39" t="inlineStr">
        <is>
          <t>X</t>
        </is>
      </c>
      <c r="AS21" s="39" t="inlineStr">
        <is>
          <t>X</t>
        </is>
      </c>
      <c r="AT21" s="39" t="inlineStr">
        <is>
          <t>X</t>
        </is>
      </c>
      <c r="AU21" s="39" t="inlineStr">
        <is>
          <t>X</t>
        </is>
      </c>
      <c r="AV21" s="39" t="inlineStr">
        <is>
          <t>X</t>
        </is>
      </c>
      <c r="AW21" s="39" t="inlineStr">
        <is>
          <t>X</t>
        </is>
      </c>
      <c r="AX21" s="40" t="inlineStr">
        <is>
          <t>—</t>
        </is>
      </c>
      <c r="AY21" s="39" t="inlineStr">
        <is>
          <t>X</t>
        </is>
      </c>
      <c r="AZ21" s="39" t="inlineStr">
        <is>
          <t>X</t>
        </is>
      </c>
      <c r="BA21" s="39" t="inlineStr">
        <is>
          <t>X</t>
        </is>
      </c>
      <c r="BB21" s="39" t="inlineStr">
        <is>
          <t>X</t>
        </is>
      </c>
      <c r="BC21" s="39" t="inlineStr">
        <is>
          <t>X</t>
        </is>
      </c>
      <c r="BD21" s="39" t="inlineStr">
        <is>
          <t>X</t>
        </is>
      </c>
      <c r="BE21" s="39" t="inlineStr">
        <is>
          <t>X</t>
        </is>
      </c>
      <c r="BF21" s="39" t="inlineStr">
        <is>
          <t>X</t>
        </is>
      </c>
      <c r="BG21" s="39" t="inlineStr">
        <is>
          <t>X</t>
        </is>
      </c>
      <c r="BH21" s="39" t="inlineStr">
        <is>
          <t>X</t>
        </is>
      </c>
    </row>
    <row r="22">
      <c r="A22" s="31" t="inlineStr">
        <is>
          <t>TEC-021</t>
        </is>
      </c>
      <c r="B22" s="33" t="inlineStr">
        <is>
          <t>Wanessa Piccoli</t>
        </is>
      </c>
      <c r="C22" s="31" t="inlineStr"/>
      <c r="D22" s="31" t="inlineStr">
        <is>
          <t>Ativo</t>
        </is>
      </c>
      <c r="E22" s="19">
        <f>IF($B22="","",IF($D22&lt;&gt;"Ativo",$D22,IFERROR(INDEX(Aus_Tipo,MATCH($B22,Aus_Ativa,0)),"Disponível")))</f>
        <v/>
      </c>
      <c r="F22" s="26">
        <f>IF(OR($B22="",$E22="Disponível"),"",IFERROR(INDEX(Aus_Fim,MATCH($B22,Aus_Ativa,0)),""))</f>
        <v/>
      </c>
      <c r="G22" s="33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inlineStr">
        <is>
          <t>X</t>
        </is>
      </c>
      <c r="R22" s="39" t="n"/>
      <c r="S22" s="39" t="n"/>
      <c r="T22" s="39" t="inlineStr">
        <is>
          <t>X</t>
        </is>
      </c>
      <c r="U22" s="39" t="n"/>
      <c r="V22" s="39" t="n"/>
      <c r="W22" s="39" t="n"/>
      <c r="X22" s="39" t="n"/>
      <c r="Y22" s="39" t="n"/>
      <c r="Z22" s="39" t="n"/>
      <c r="AA22" s="39" t="n"/>
      <c r="AB22" s="20">
        <f>IF($B22="","",COUNTIF($H22:$AA22,"X"))</f>
        <v/>
      </c>
      <c r="AC22" s="35">
        <f>IF($B22="","",LEFT($B22,FIND(" ",$B22&amp;" ")-1)&amp;IF(TRIM(RIGHT(SUBSTITUTE(TRIM($B22)," ",REPT(" ",99)),99))=LEFT($B22,FIND(" ",$B22&amp;" ")-1),""," "&amp;LEFT(TRIM(RIGHT(SUBSTITUTE(TRIM($B22)," ",REPT(" ",99)),99)),1)&amp;"."))</f>
        <v/>
      </c>
      <c r="AD22" s="35">
        <f>IF($B22="","",COUNTIF($AE22:$BH22,"X"))</f>
        <v/>
      </c>
      <c r="AE22" s="39" t="inlineStr">
        <is>
          <t>X</t>
        </is>
      </c>
      <c r="AF22" s="39" t="inlineStr">
        <is>
          <t>X</t>
        </is>
      </c>
      <c r="AG22" s="39" t="inlineStr">
        <is>
          <t>X</t>
        </is>
      </c>
      <c r="AH22" s="39" t="inlineStr">
        <is>
          <t>X</t>
        </is>
      </c>
      <c r="AI22" s="39" t="inlineStr">
        <is>
          <t>X</t>
        </is>
      </c>
      <c r="AJ22" s="39" t="inlineStr">
        <is>
          <t>X</t>
        </is>
      </c>
      <c r="AK22" s="39" t="inlineStr">
        <is>
          <t>X</t>
        </is>
      </c>
      <c r="AL22" s="39" t="inlineStr">
        <is>
          <t>X</t>
        </is>
      </c>
      <c r="AM22" s="39" t="inlineStr">
        <is>
          <t>X</t>
        </is>
      </c>
      <c r="AN22" s="39" t="inlineStr">
        <is>
          <t>X</t>
        </is>
      </c>
      <c r="AO22" s="39" t="inlineStr">
        <is>
          <t>X</t>
        </is>
      </c>
      <c r="AP22" s="39" t="inlineStr">
        <is>
          <t>X</t>
        </is>
      </c>
      <c r="AQ22" s="39" t="inlineStr">
        <is>
          <t>X</t>
        </is>
      </c>
      <c r="AR22" s="39" t="inlineStr">
        <is>
          <t>X</t>
        </is>
      </c>
      <c r="AS22" s="39" t="inlineStr">
        <is>
          <t>X</t>
        </is>
      </c>
      <c r="AT22" s="39" t="inlineStr">
        <is>
          <t>X</t>
        </is>
      </c>
      <c r="AU22" s="39" t="inlineStr">
        <is>
          <t>X</t>
        </is>
      </c>
      <c r="AV22" s="39" t="inlineStr">
        <is>
          <t>X</t>
        </is>
      </c>
      <c r="AW22" s="39" t="inlineStr">
        <is>
          <t>X</t>
        </is>
      </c>
      <c r="AX22" s="39" t="inlineStr">
        <is>
          <t>X</t>
        </is>
      </c>
      <c r="AY22" s="40" t="inlineStr">
        <is>
          <t>—</t>
        </is>
      </c>
      <c r="AZ22" s="39" t="inlineStr">
        <is>
          <t>X</t>
        </is>
      </c>
      <c r="BA22" s="39" t="inlineStr">
        <is>
          <t>X</t>
        </is>
      </c>
      <c r="BB22" s="39" t="inlineStr">
        <is>
          <t>X</t>
        </is>
      </c>
      <c r="BC22" s="39" t="inlineStr">
        <is>
          <t>X</t>
        </is>
      </c>
      <c r="BD22" s="39" t="inlineStr">
        <is>
          <t>X</t>
        </is>
      </c>
      <c r="BE22" s="39" t="inlineStr">
        <is>
          <t>X</t>
        </is>
      </c>
      <c r="BF22" s="39" t="inlineStr">
        <is>
          <t>X</t>
        </is>
      </c>
      <c r="BG22" s="39" t="inlineStr">
        <is>
          <t>X</t>
        </is>
      </c>
      <c r="BH22" s="39" t="inlineStr">
        <is>
          <t>X</t>
        </is>
      </c>
    </row>
    <row r="23">
      <c r="A23" s="31" t="inlineStr">
        <is>
          <t>TEC-022</t>
        </is>
      </c>
      <c r="B23" s="33" t="inlineStr">
        <is>
          <t>Zuleide Marcon</t>
        </is>
      </c>
      <c r="C23" s="31" t="inlineStr"/>
      <c r="D23" s="31" t="inlineStr">
        <is>
          <t>Ativo</t>
        </is>
      </c>
      <c r="E23" s="19">
        <f>IF($B23="","",IF($D23&lt;&gt;"Ativo",$D23,IFERROR(INDEX(Aus_Tipo,MATCH($B23,Aus_Ativa,0)),"Disponível")))</f>
        <v/>
      </c>
      <c r="F23" s="26">
        <f>IF(OR($B23="",$E23="Disponível"),"",IFERROR(INDEX(Aus_Fim,MATCH($B23,Aus_Ativa,0)),""))</f>
        <v/>
      </c>
      <c r="G23" s="33" t="n"/>
      <c r="H23" s="39" t="n"/>
      <c r="I23" s="39" t="n"/>
      <c r="J23" s="39" t="inlineStr">
        <is>
          <t>X</t>
        </is>
      </c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inlineStr">
        <is>
          <t>X</t>
        </is>
      </c>
      <c r="X23" s="39" t="inlineStr">
        <is>
          <t>X</t>
        </is>
      </c>
      <c r="Y23" s="39" t="n"/>
      <c r="Z23" s="39" t="n"/>
      <c r="AA23" s="39" t="n"/>
      <c r="AB23" s="20">
        <f>IF($B23="","",COUNTIF($H23:$AA23,"X"))</f>
        <v/>
      </c>
      <c r="AC23" s="35">
        <f>IF($B23="","",LEFT($B23,FIND(" ",$B23&amp;" ")-1)&amp;IF(TRIM(RIGHT(SUBSTITUTE(TRIM($B23)," ",REPT(" ",99)),99))=LEFT($B23,FIND(" ",$B23&amp;" ")-1),""," "&amp;LEFT(TRIM(RIGHT(SUBSTITUTE(TRIM($B23)," ",REPT(" ",99)),99)),1)&amp;"."))</f>
        <v/>
      </c>
      <c r="AD23" s="35">
        <f>IF($B23="","",COUNTIF($AE23:$BH23,"X"))</f>
        <v/>
      </c>
      <c r="AE23" s="39" t="inlineStr">
        <is>
          <t>X</t>
        </is>
      </c>
      <c r="AF23" s="39" t="inlineStr">
        <is>
          <t>X</t>
        </is>
      </c>
      <c r="AG23" s="39" t="inlineStr">
        <is>
          <t>X</t>
        </is>
      </c>
      <c r="AH23" s="39" t="inlineStr">
        <is>
          <t>X</t>
        </is>
      </c>
      <c r="AI23" s="39" t="inlineStr">
        <is>
          <t>X</t>
        </is>
      </c>
      <c r="AJ23" s="39" t="inlineStr">
        <is>
          <t>X</t>
        </is>
      </c>
      <c r="AK23" s="39" t="inlineStr">
        <is>
          <t>X</t>
        </is>
      </c>
      <c r="AL23" s="39" t="inlineStr">
        <is>
          <t>X</t>
        </is>
      </c>
      <c r="AM23" s="39" t="inlineStr">
        <is>
          <t>X</t>
        </is>
      </c>
      <c r="AN23" s="39" t="inlineStr">
        <is>
          <t>X</t>
        </is>
      </c>
      <c r="AO23" s="39" t="inlineStr">
        <is>
          <t>X</t>
        </is>
      </c>
      <c r="AP23" s="39" t="inlineStr">
        <is>
          <t>X</t>
        </is>
      </c>
      <c r="AQ23" s="39" t="inlineStr">
        <is>
          <t>X</t>
        </is>
      </c>
      <c r="AR23" s="39" t="inlineStr">
        <is>
          <t>X</t>
        </is>
      </c>
      <c r="AS23" s="39" t="inlineStr">
        <is>
          <t>X</t>
        </is>
      </c>
      <c r="AT23" s="39" t="inlineStr">
        <is>
          <t>X</t>
        </is>
      </c>
      <c r="AU23" s="39" t="inlineStr">
        <is>
          <t>X</t>
        </is>
      </c>
      <c r="AV23" s="39" t="inlineStr">
        <is>
          <t>X</t>
        </is>
      </c>
      <c r="AW23" s="39" t="inlineStr">
        <is>
          <t>X</t>
        </is>
      </c>
      <c r="AX23" s="39" t="inlineStr">
        <is>
          <t>X</t>
        </is>
      </c>
      <c r="AY23" s="39" t="inlineStr">
        <is>
          <t>X</t>
        </is>
      </c>
      <c r="AZ23" s="40" t="inlineStr">
        <is>
          <t>—</t>
        </is>
      </c>
      <c r="BA23" s="39" t="inlineStr">
        <is>
          <t>X</t>
        </is>
      </c>
      <c r="BB23" s="39" t="inlineStr">
        <is>
          <t>X</t>
        </is>
      </c>
      <c r="BC23" s="39" t="inlineStr">
        <is>
          <t>X</t>
        </is>
      </c>
      <c r="BD23" s="39" t="inlineStr">
        <is>
          <t>X</t>
        </is>
      </c>
      <c r="BE23" s="39" t="inlineStr">
        <is>
          <t>X</t>
        </is>
      </c>
      <c r="BF23" s="39" t="inlineStr">
        <is>
          <t>X</t>
        </is>
      </c>
      <c r="BG23" s="39" t="inlineStr">
        <is>
          <t>X</t>
        </is>
      </c>
      <c r="BH23" s="39" t="inlineStr">
        <is>
          <t>X</t>
        </is>
      </c>
    </row>
    <row r="24">
      <c r="A24" s="31" t="n"/>
      <c r="B24" s="33" t="n"/>
      <c r="C24" s="31" t="n"/>
      <c r="D24" s="31" t="n"/>
      <c r="E24" s="19">
        <f>IF($B24="","",IF($D24&lt;&gt;"Ativo",$D24,IFERROR(INDEX(Aus_Tipo,MATCH($B24,Aus_Ativa,0)),"Disponível")))</f>
        <v/>
      </c>
      <c r="F24" s="26">
        <f>IF(OR($B24="",$E24="Disponível"),"",IFERROR(INDEX(Aus_Fim,MATCH($B24,Aus_Ativa,0)),""))</f>
        <v/>
      </c>
      <c r="G24" s="33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20">
        <f>IF($B24="","",COUNTIF($H24:$AA24,"X"))</f>
        <v/>
      </c>
      <c r="AC24" s="35">
        <f>IF($B24="","",LEFT($B24,FIND(" ",$B24&amp;" ")-1)&amp;IF(TRIM(RIGHT(SUBSTITUTE(TRIM($B24)," ",REPT(" ",99)),99))=LEFT($B24,FIND(" ",$B24&amp;" ")-1),""," "&amp;LEFT(TRIM(RIGHT(SUBSTITUTE(TRIM($B24)," ",REPT(" ",99)),99)),1)&amp;"."))</f>
        <v/>
      </c>
      <c r="AD24" s="35">
        <f>IF($B24="","",COUNTIF($AE24:$BH24,"X"))</f>
        <v/>
      </c>
      <c r="AE24" s="39" t="inlineStr">
        <is>
          <t>X</t>
        </is>
      </c>
      <c r="AF24" s="39" t="inlineStr">
        <is>
          <t>X</t>
        </is>
      </c>
      <c r="AG24" s="39" t="inlineStr">
        <is>
          <t>X</t>
        </is>
      </c>
      <c r="AH24" s="39" t="inlineStr">
        <is>
          <t>X</t>
        </is>
      </c>
      <c r="AI24" s="39" t="inlineStr">
        <is>
          <t>X</t>
        </is>
      </c>
      <c r="AJ24" s="39" t="inlineStr">
        <is>
          <t>X</t>
        </is>
      </c>
      <c r="AK24" s="39" t="inlineStr">
        <is>
          <t>X</t>
        </is>
      </c>
      <c r="AL24" s="39" t="inlineStr">
        <is>
          <t>X</t>
        </is>
      </c>
      <c r="AM24" s="39" t="inlineStr">
        <is>
          <t>X</t>
        </is>
      </c>
      <c r="AN24" s="39" t="inlineStr">
        <is>
          <t>X</t>
        </is>
      </c>
      <c r="AO24" s="39" t="inlineStr">
        <is>
          <t>X</t>
        </is>
      </c>
      <c r="AP24" s="39" t="inlineStr">
        <is>
          <t>X</t>
        </is>
      </c>
      <c r="AQ24" s="39" t="inlineStr">
        <is>
          <t>X</t>
        </is>
      </c>
      <c r="AR24" s="39" t="inlineStr">
        <is>
          <t>X</t>
        </is>
      </c>
      <c r="AS24" s="39" t="inlineStr">
        <is>
          <t>X</t>
        </is>
      </c>
      <c r="AT24" s="39" t="inlineStr">
        <is>
          <t>X</t>
        </is>
      </c>
      <c r="AU24" s="39" t="inlineStr">
        <is>
          <t>X</t>
        </is>
      </c>
      <c r="AV24" s="39" t="inlineStr">
        <is>
          <t>X</t>
        </is>
      </c>
      <c r="AW24" s="39" t="inlineStr">
        <is>
          <t>X</t>
        </is>
      </c>
      <c r="AX24" s="39" t="inlineStr">
        <is>
          <t>X</t>
        </is>
      </c>
      <c r="AY24" s="39" t="inlineStr">
        <is>
          <t>X</t>
        </is>
      </c>
      <c r="AZ24" s="39" t="inlineStr">
        <is>
          <t>X</t>
        </is>
      </c>
      <c r="BA24" s="40" t="inlineStr">
        <is>
          <t>—</t>
        </is>
      </c>
      <c r="BB24" s="39" t="inlineStr">
        <is>
          <t>X</t>
        </is>
      </c>
      <c r="BC24" s="39" t="inlineStr">
        <is>
          <t>X</t>
        </is>
      </c>
      <c r="BD24" s="39" t="inlineStr">
        <is>
          <t>X</t>
        </is>
      </c>
      <c r="BE24" s="39" t="inlineStr">
        <is>
          <t>X</t>
        </is>
      </c>
      <c r="BF24" s="39" t="inlineStr">
        <is>
          <t>X</t>
        </is>
      </c>
      <c r="BG24" s="39" t="inlineStr">
        <is>
          <t>X</t>
        </is>
      </c>
      <c r="BH24" s="39" t="inlineStr">
        <is>
          <t>X</t>
        </is>
      </c>
    </row>
    <row r="25">
      <c r="A25" s="31" t="n"/>
      <c r="B25" s="33" t="n"/>
      <c r="C25" s="31" t="n"/>
      <c r="D25" s="31" t="n"/>
      <c r="E25" s="19">
        <f>IF($B25="","",IF($D25&lt;&gt;"Ativo",$D25,IFERROR(INDEX(Aus_Tipo,MATCH($B25,Aus_Ativa,0)),"Disponível")))</f>
        <v/>
      </c>
      <c r="F25" s="26">
        <f>IF(OR($B25="",$E25="Disponível"),"",IFERROR(INDEX(Aus_Fim,MATCH($B25,Aus_Ativa,0)),""))</f>
        <v/>
      </c>
      <c r="G25" s="33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20">
        <f>IF($B25="","",COUNTIF($H25:$AA25,"X"))</f>
        <v/>
      </c>
      <c r="AC25" s="35">
        <f>IF($B25="","",LEFT($B25,FIND(" ",$B25&amp;" ")-1)&amp;IF(TRIM(RIGHT(SUBSTITUTE(TRIM($B25)," ",REPT(" ",99)),99))=LEFT($B25,FIND(" ",$B25&amp;" ")-1),""," "&amp;LEFT(TRIM(RIGHT(SUBSTITUTE(TRIM($B25)," ",REPT(" ",99)),99)),1)&amp;"."))</f>
        <v/>
      </c>
      <c r="AD25" s="35">
        <f>IF($B25="","",COUNTIF($AE25:$BH25,"X"))</f>
        <v/>
      </c>
      <c r="AE25" s="39" t="inlineStr">
        <is>
          <t>X</t>
        </is>
      </c>
      <c r="AF25" s="39" t="inlineStr">
        <is>
          <t>X</t>
        </is>
      </c>
      <c r="AG25" s="39" t="inlineStr">
        <is>
          <t>X</t>
        </is>
      </c>
      <c r="AH25" s="39" t="inlineStr">
        <is>
          <t>X</t>
        </is>
      </c>
      <c r="AI25" s="39" t="inlineStr">
        <is>
          <t>X</t>
        </is>
      </c>
      <c r="AJ25" s="39" t="inlineStr">
        <is>
          <t>X</t>
        </is>
      </c>
      <c r="AK25" s="39" t="inlineStr">
        <is>
          <t>X</t>
        </is>
      </c>
      <c r="AL25" s="39" t="inlineStr">
        <is>
          <t>X</t>
        </is>
      </c>
      <c r="AM25" s="39" t="inlineStr">
        <is>
          <t>X</t>
        </is>
      </c>
      <c r="AN25" s="39" t="inlineStr">
        <is>
          <t>X</t>
        </is>
      </c>
      <c r="AO25" s="39" t="inlineStr">
        <is>
          <t>X</t>
        </is>
      </c>
      <c r="AP25" s="39" t="inlineStr">
        <is>
          <t>X</t>
        </is>
      </c>
      <c r="AQ25" s="39" t="inlineStr">
        <is>
          <t>X</t>
        </is>
      </c>
      <c r="AR25" s="39" t="inlineStr">
        <is>
          <t>X</t>
        </is>
      </c>
      <c r="AS25" s="39" t="inlineStr">
        <is>
          <t>X</t>
        </is>
      </c>
      <c r="AT25" s="39" t="inlineStr">
        <is>
          <t>X</t>
        </is>
      </c>
      <c r="AU25" s="39" t="inlineStr">
        <is>
          <t>X</t>
        </is>
      </c>
      <c r="AV25" s="39" t="inlineStr">
        <is>
          <t>X</t>
        </is>
      </c>
      <c r="AW25" s="39" t="inlineStr">
        <is>
          <t>X</t>
        </is>
      </c>
      <c r="AX25" s="39" t="inlineStr">
        <is>
          <t>X</t>
        </is>
      </c>
      <c r="AY25" s="39" t="inlineStr">
        <is>
          <t>X</t>
        </is>
      </c>
      <c r="AZ25" s="39" t="inlineStr">
        <is>
          <t>X</t>
        </is>
      </c>
      <c r="BA25" s="39" t="inlineStr">
        <is>
          <t>X</t>
        </is>
      </c>
      <c r="BB25" s="40" t="inlineStr">
        <is>
          <t>—</t>
        </is>
      </c>
      <c r="BC25" s="39" t="inlineStr">
        <is>
          <t>X</t>
        </is>
      </c>
      <c r="BD25" s="39" t="inlineStr">
        <is>
          <t>X</t>
        </is>
      </c>
      <c r="BE25" s="39" t="inlineStr">
        <is>
          <t>X</t>
        </is>
      </c>
      <c r="BF25" s="39" t="inlineStr">
        <is>
          <t>X</t>
        </is>
      </c>
      <c r="BG25" s="39" t="inlineStr">
        <is>
          <t>X</t>
        </is>
      </c>
      <c r="BH25" s="39" t="inlineStr">
        <is>
          <t>X</t>
        </is>
      </c>
    </row>
    <row r="26">
      <c r="A26" s="31" t="n"/>
      <c r="B26" s="33" t="n"/>
      <c r="C26" s="31" t="n"/>
      <c r="D26" s="31" t="n"/>
      <c r="E26" s="19">
        <f>IF($B26="","",IF($D26&lt;&gt;"Ativo",$D26,IFERROR(INDEX(Aus_Tipo,MATCH($B26,Aus_Ativa,0)),"Disponível")))</f>
        <v/>
      </c>
      <c r="F26" s="26">
        <f>IF(OR($B26="",$E26="Disponível"),"",IFERROR(INDEX(Aus_Fim,MATCH($B26,Aus_Ativa,0)),""))</f>
        <v/>
      </c>
      <c r="G26" s="33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20">
        <f>IF($B26="","",COUNTIF($H26:$AA26,"X"))</f>
        <v/>
      </c>
      <c r="AC26" s="35">
        <f>IF($B26="","",LEFT($B26,FIND(" ",$B26&amp;" ")-1)&amp;IF(TRIM(RIGHT(SUBSTITUTE(TRIM($B26)," ",REPT(" ",99)),99))=LEFT($B26,FIND(" ",$B26&amp;" ")-1),""," "&amp;LEFT(TRIM(RIGHT(SUBSTITUTE(TRIM($B26)," ",REPT(" ",99)),99)),1)&amp;"."))</f>
        <v/>
      </c>
      <c r="AD26" s="35">
        <f>IF($B26="","",COUNTIF($AE26:$BH26,"X"))</f>
        <v/>
      </c>
      <c r="AE26" s="39" t="inlineStr">
        <is>
          <t>X</t>
        </is>
      </c>
      <c r="AF26" s="39" t="inlineStr">
        <is>
          <t>X</t>
        </is>
      </c>
      <c r="AG26" s="39" t="inlineStr">
        <is>
          <t>X</t>
        </is>
      </c>
      <c r="AH26" s="39" t="inlineStr">
        <is>
          <t>X</t>
        </is>
      </c>
      <c r="AI26" s="39" t="inlineStr">
        <is>
          <t>X</t>
        </is>
      </c>
      <c r="AJ26" s="39" t="inlineStr">
        <is>
          <t>X</t>
        </is>
      </c>
      <c r="AK26" s="39" t="inlineStr">
        <is>
          <t>X</t>
        </is>
      </c>
      <c r="AL26" s="39" t="inlineStr">
        <is>
          <t>X</t>
        </is>
      </c>
      <c r="AM26" s="39" t="inlineStr">
        <is>
          <t>X</t>
        </is>
      </c>
      <c r="AN26" s="39" t="inlineStr">
        <is>
          <t>X</t>
        </is>
      </c>
      <c r="AO26" s="39" t="inlineStr">
        <is>
          <t>X</t>
        </is>
      </c>
      <c r="AP26" s="39" t="inlineStr">
        <is>
          <t>X</t>
        </is>
      </c>
      <c r="AQ26" s="39" t="inlineStr">
        <is>
          <t>X</t>
        </is>
      </c>
      <c r="AR26" s="39" t="inlineStr">
        <is>
          <t>X</t>
        </is>
      </c>
      <c r="AS26" s="39" t="inlineStr">
        <is>
          <t>X</t>
        </is>
      </c>
      <c r="AT26" s="39" t="inlineStr">
        <is>
          <t>X</t>
        </is>
      </c>
      <c r="AU26" s="39" t="inlineStr">
        <is>
          <t>X</t>
        </is>
      </c>
      <c r="AV26" s="39" t="inlineStr">
        <is>
          <t>X</t>
        </is>
      </c>
      <c r="AW26" s="39" t="inlineStr">
        <is>
          <t>X</t>
        </is>
      </c>
      <c r="AX26" s="39" t="inlineStr">
        <is>
          <t>X</t>
        </is>
      </c>
      <c r="AY26" s="39" t="inlineStr">
        <is>
          <t>X</t>
        </is>
      </c>
      <c r="AZ26" s="39" t="inlineStr">
        <is>
          <t>X</t>
        </is>
      </c>
      <c r="BA26" s="39" t="inlineStr">
        <is>
          <t>X</t>
        </is>
      </c>
      <c r="BB26" s="39" t="inlineStr">
        <is>
          <t>X</t>
        </is>
      </c>
      <c r="BC26" s="40" t="inlineStr">
        <is>
          <t>—</t>
        </is>
      </c>
      <c r="BD26" s="39" t="inlineStr">
        <is>
          <t>X</t>
        </is>
      </c>
      <c r="BE26" s="39" t="inlineStr">
        <is>
          <t>X</t>
        </is>
      </c>
      <c r="BF26" s="39" t="inlineStr">
        <is>
          <t>X</t>
        </is>
      </c>
      <c r="BG26" s="39" t="inlineStr">
        <is>
          <t>X</t>
        </is>
      </c>
      <c r="BH26" s="39" t="inlineStr">
        <is>
          <t>X</t>
        </is>
      </c>
    </row>
    <row r="27">
      <c r="A27" s="31" t="n"/>
      <c r="B27" s="33" t="n"/>
      <c r="C27" s="31" t="n"/>
      <c r="D27" s="31" t="n"/>
      <c r="E27" s="19">
        <f>IF($B27="","",IF($D27&lt;&gt;"Ativo",$D27,IFERROR(INDEX(Aus_Tipo,MATCH($B27,Aus_Ativa,0)),"Disponível")))</f>
        <v/>
      </c>
      <c r="F27" s="26">
        <f>IF(OR($B27="",$E27="Disponível"),"",IFERROR(INDEX(Aus_Fim,MATCH($B27,Aus_Ativa,0)),""))</f>
        <v/>
      </c>
      <c r="G27" s="33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20">
        <f>IF($B27="","",COUNTIF($H27:$AA27,"X"))</f>
        <v/>
      </c>
      <c r="AC27" s="35">
        <f>IF($B27="","",LEFT($B27,FIND(" ",$B27&amp;" ")-1)&amp;IF(TRIM(RIGHT(SUBSTITUTE(TRIM($B27)," ",REPT(" ",99)),99))=LEFT($B27,FIND(" ",$B27&amp;" ")-1),""," "&amp;LEFT(TRIM(RIGHT(SUBSTITUTE(TRIM($B27)," ",REPT(" ",99)),99)),1)&amp;"."))</f>
        <v/>
      </c>
      <c r="AD27" s="35">
        <f>IF($B27="","",COUNTIF($AE27:$BH27,"X"))</f>
        <v/>
      </c>
      <c r="AE27" s="39" t="inlineStr">
        <is>
          <t>X</t>
        </is>
      </c>
      <c r="AF27" s="39" t="inlineStr">
        <is>
          <t>X</t>
        </is>
      </c>
      <c r="AG27" s="39" t="inlineStr">
        <is>
          <t>X</t>
        </is>
      </c>
      <c r="AH27" s="39" t="inlineStr">
        <is>
          <t>X</t>
        </is>
      </c>
      <c r="AI27" s="39" t="inlineStr">
        <is>
          <t>X</t>
        </is>
      </c>
      <c r="AJ27" s="39" t="inlineStr">
        <is>
          <t>X</t>
        </is>
      </c>
      <c r="AK27" s="39" t="inlineStr">
        <is>
          <t>X</t>
        </is>
      </c>
      <c r="AL27" s="39" t="inlineStr">
        <is>
          <t>X</t>
        </is>
      </c>
      <c r="AM27" s="39" t="inlineStr">
        <is>
          <t>X</t>
        </is>
      </c>
      <c r="AN27" s="39" t="inlineStr">
        <is>
          <t>X</t>
        </is>
      </c>
      <c r="AO27" s="39" t="inlineStr">
        <is>
          <t>X</t>
        </is>
      </c>
      <c r="AP27" s="39" t="inlineStr">
        <is>
          <t>X</t>
        </is>
      </c>
      <c r="AQ27" s="39" t="inlineStr">
        <is>
          <t>X</t>
        </is>
      </c>
      <c r="AR27" s="39" t="inlineStr">
        <is>
          <t>X</t>
        </is>
      </c>
      <c r="AS27" s="39" t="inlineStr">
        <is>
          <t>X</t>
        </is>
      </c>
      <c r="AT27" s="39" t="inlineStr">
        <is>
          <t>X</t>
        </is>
      </c>
      <c r="AU27" s="39" t="inlineStr">
        <is>
          <t>X</t>
        </is>
      </c>
      <c r="AV27" s="39" t="inlineStr">
        <is>
          <t>X</t>
        </is>
      </c>
      <c r="AW27" s="39" t="inlineStr">
        <is>
          <t>X</t>
        </is>
      </c>
      <c r="AX27" s="39" t="inlineStr">
        <is>
          <t>X</t>
        </is>
      </c>
      <c r="AY27" s="39" t="inlineStr">
        <is>
          <t>X</t>
        </is>
      </c>
      <c r="AZ27" s="39" t="inlineStr">
        <is>
          <t>X</t>
        </is>
      </c>
      <c r="BA27" s="39" t="inlineStr">
        <is>
          <t>X</t>
        </is>
      </c>
      <c r="BB27" s="39" t="inlineStr">
        <is>
          <t>X</t>
        </is>
      </c>
      <c r="BC27" s="39" t="inlineStr">
        <is>
          <t>X</t>
        </is>
      </c>
      <c r="BD27" s="40" t="inlineStr">
        <is>
          <t>—</t>
        </is>
      </c>
      <c r="BE27" s="39" t="inlineStr">
        <is>
          <t>X</t>
        </is>
      </c>
      <c r="BF27" s="39" t="inlineStr">
        <is>
          <t>X</t>
        </is>
      </c>
      <c r="BG27" s="39" t="inlineStr">
        <is>
          <t>X</t>
        </is>
      </c>
      <c r="BH27" s="39" t="inlineStr">
        <is>
          <t>X</t>
        </is>
      </c>
    </row>
    <row r="28">
      <c r="A28" s="31" t="n"/>
      <c r="B28" s="33" t="n"/>
      <c r="C28" s="31" t="n"/>
      <c r="D28" s="31" t="n"/>
      <c r="E28" s="19">
        <f>IF($B28="","",IF($D28&lt;&gt;"Ativo",$D28,IFERROR(INDEX(Aus_Tipo,MATCH($B28,Aus_Ativa,0)),"Disponível")))</f>
        <v/>
      </c>
      <c r="F28" s="26">
        <f>IF(OR($B28="",$E28="Disponível"),"",IFERROR(INDEX(Aus_Fim,MATCH($B28,Aus_Ativa,0)),""))</f>
        <v/>
      </c>
      <c r="G28" s="33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20">
        <f>IF($B28="","",COUNTIF($H28:$AA28,"X"))</f>
        <v/>
      </c>
      <c r="AC28" s="35">
        <f>IF($B28="","",LEFT($B28,FIND(" ",$B28&amp;" ")-1)&amp;IF(TRIM(RIGHT(SUBSTITUTE(TRIM($B28)," ",REPT(" ",99)),99))=LEFT($B28,FIND(" ",$B28&amp;" ")-1),""," "&amp;LEFT(TRIM(RIGHT(SUBSTITUTE(TRIM($B28)," ",REPT(" ",99)),99)),1)&amp;"."))</f>
        <v/>
      </c>
      <c r="AD28" s="35">
        <f>IF($B28="","",COUNTIF($AE28:$BH28,"X"))</f>
        <v/>
      </c>
      <c r="AE28" s="39" t="inlineStr">
        <is>
          <t>X</t>
        </is>
      </c>
      <c r="AF28" s="39" t="inlineStr">
        <is>
          <t>X</t>
        </is>
      </c>
      <c r="AG28" s="39" t="inlineStr">
        <is>
          <t>X</t>
        </is>
      </c>
      <c r="AH28" s="39" t="inlineStr">
        <is>
          <t>X</t>
        </is>
      </c>
      <c r="AI28" s="39" t="inlineStr">
        <is>
          <t>X</t>
        </is>
      </c>
      <c r="AJ28" s="39" t="inlineStr">
        <is>
          <t>X</t>
        </is>
      </c>
      <c r="AK28" s="39" t="inlineStr">
        <is>
          <t>X</t>
        </is>
      </c>
      <c r="AL28" s="39" t="inlineStr">
        <is>
          <t>X</t>
        </is>
      </c>
      <c r="AM28" s="39" t="inlineStr">
        <is>
          <t>X</t>
        </is>
      </c>
      <c r="AN28" s="39" t="inlineStr">
        <is>
          <t>X</t>
        </is>
      </c>
      <c r="AO28" s="39" t="inlineStr">
        <is>
          <t>X</t>
        </is>
      </c>
      <c r="AP28" s="39" t="inlineStr">
        <is>
          <t>X</t>
        </is>
      </c>
      <c r="AQ28" s="39" t="inlineStr">
        <is>
          <t>X</t>
        </is>
      </c>
      <c r="AR28" s="39" t="inlineStr">
        <is>
          <t>X</t>
        </is>
      </c>
      <c r="AS28" s="39" t="inlineStr">
        <is>
          <t>X</t>
        </is>
      </c>
      <c r="AT28" s="39" t="inlineStr">
        <is>
          <t>X</t>
        </is>
      </c>
      <c r="AU28" s="39" t="inlineStr">
        <is>
          <t>X</t>
        </is>
      </c>
      <c r="AV28" s="39" t="inlineStr">
        <is>
          <t>X</t>
        </is>
      </c>
      <c r="AW28" s="39" t="inlineStr">
        <is>
          <t>X</t>
        </is>
      </c>
      <c r="AX28" s="39" t="inlineStr">
        <is>
          <t>X</t>
        </is>
      </c>
      <c r="AY28" s="39" t="inlineStr">
        <is>
          <t>X</t>
        </is>
      </c>
      <c r="AZ28" s="39" t="inlineStr">
        <is>
          <t>X</t>
        </is>
      </c>
      <c r="BA28" s="39" t="inlineStr">
        <is>
          <t>X</t>
        </is>
      </c>
      <c r="BB28" s="39" t="inlineStr">
        <is>
          <t>X</t>
        </is>
      </c>
      <c r="BC28" s="39" t="inlineStr">
        <is>
          <t>X</t>
        </is>
      </c>
      <c r="BD28" s="39" t="inlineStr">
        <is>
          <t>X</t>
        </is>
      </c>
      <c r="BE28" s="40" t="inlineStr">
        <is>
          <t>—</t>
        </is>
      </c>
      <c r="BF28" s="39" t="inlineStr">
        <is>
          <t>X</t>
        </is>
      </c>
      <c r="BG28" s="39" t="inlineStr">
        <is>
          <t>X</t>
        </is>
      </c>
      <c r="BH28" s="39" t="inlineStr">
        <is>
          <t>X</t>
        </is>
      </c>
    </row>
    <row r="29">
      <c r="A29" s="31" t="n"/>
      <c r="B29" s="33" t="n"/>
      <c r="C29" s="31" t="n"/>
      <c r="D29" s="31" t="n"/>
      <c r="E29" s="19">
        <f>IF($B29="","",IF($D29&lt;&gt;"Ativo",$D29,IFERROR(INDEX(Aus_Tipo,MATCH($B29,Aus_Ativa,0)),"Disponível")))</f>
        <v/>
      </c>
      <c r="F29" s="26">
        <f>IF(OR($B29="",$E29="Disponível"),"",IFERROR(INDEX(Aus_Fim,MATCH($B29,Aus_Ativa,0)),""))</f>
        <v/>
      </c>
      <c r="G29" s="33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20">
        <f>IF($B29="","",COUNTIF($H29:$AA29,"X"))</f>
        <v/>
      </c>
      <c r="AC29" s="35">
        <f>IF($B29="","",LEFT($B29,FIND(" ",$B29&amp;" ")-1)&amp;IF(TRIM(RIGHT(SUBSTITUTE(TRIM($B29)," ",REPT(" ",99)),99))=LEFT($B29,FIND(" ",$B29&amp;" ")-1),""," "&amp;LEFT(TRIM(RIGHT(SUBSTITUTE(TRIM($B29)," ",REPT(" ",99)),99)),1)&amp;"."))</f>
        <v/>
      </c>
      <c r="AD29" s="35">
        <f>IF($B29="","",COUNTIF($AE29:$BH29,"X"))</f>
        <v/>
      </c>
      <c r="AE29" s="39" t="inlineStr">
        <is>
          <t>X</t>
        </is>
      </c>
      <c r="AF29" s="39" t="inlineStr">
        <is>
          <t>X</t>
        </is>
      </c>
      <c r="AG29" s="39" t="inlineStr">
        <is>
          <t>X</t>
        </is>
      </c>
      <c r="AH29" s="39" t="inlineStr">
        <is>
          <t>X</t>
        </is>
      </c>
      <c r="AI29" s="39" t="inlineStr">
        <is>
          <t>X</t>
        </is>
      </c>
      <c r="AJ29" s="39" t="inlineStr">
        <is>
          <t>X</t>
        </is>
      </c>
      <c r="AK29" s="39" t="inlineStr">
        <is>
          <t>X</t>
        </is>
      </c>
      <c r="AL29" s="39" t="inlineStr">
        <is>
          <t>X</t>
        </is>
      </c>
      <c r="AM29" s="39" t="inlineStr">
        <is>
          <t>X</t>
        </is>
      </c>
      <c r="AN29" s="39" t="inlineStr">
        <is>
          <t>X</t>
        </is>
      </c>
      <c r="AO29" s="39" t="inlineStr">
        <is>
          <t>X</t>
        </is>
      </c>
      <c r="AP29" s="39" t="inlineStr">
        <is>
          <t>X</t>
        </is>
      </c>
      <c r="AQ29" s="39" t="inlineStr">
        <is>
          <t>X</t>
        </is>
      </c>
      <c r="AR29" s="39" t="inlineStr">
        <is>
          <t>X</t>
        </is>
      </c>
      <c r="AS29" s="39" t="inlineStr">
        <is>
          <t>X</t>
        </is>
      </c>
      <c r="AT29" s="39" t="inlineStr">
        <is>
          <t>X</t>
        </is>
      </c>
      <c r="AU29" s="39" t="inlineStr">
        <is>
          <t>X</t>
        </is>
      </c>
      <c r="AV29" s="39" t="inlineStr">
        <is>
          <t>X</t>
        </is>
      </c>
      <c r="AW29" s="39" t="inlineStr">
        <is>
          <t>X</t>
        </is>
      </c>
      <c r="AX29" s="39" t="inlineStr">
        <is>
          <t>X</t>
        </is>
      </c>
      <c r="AY29" s="39" t="inlineStr">
        <is>
          <t>X</t>
        </is>
      </c>
      <c r="AZ29" s="39" t="inlineStr">
        <is>
          <t>X</t>
        </is>
      </c>
      <c r="BA29" s="39" t="inlineStr">
        <is>
          <t>X</t>
        </is>
      </c>
      <c r="BB29" s="39" t="inlineStr">
        <is>
          <t>X</t>
        </is>
      </c>
      <c r="BC29" s="39" t="inlineStr">
        <is>
          <t>X</t>
        </is>
      </c>
      <c r="BD29" s="39" t="inlineStr">
        <is>
          <t>X</t>
        </is>
      </c>
      <c r="BE29" s="39" t="inlineStr">
        <is>
          <t>X</t>
        </is>
      </c>
      <c r="BF29" s="40" t="inlineStr">
        <is>
          <t>—</t>
        </is>
      </c>
      <c r="BG29" s="39" t="inlineStr">
        <is>
          <t>X</t>
        </is>
      </c>
      <c r="BH29" s="39" t="inlineStr">
        <is>
          <t>X</t>
        </is>
      </c>
    </row>
    <row r="30">
      <c r="A30" s="31" t="n"/>
      <c r="B30" s="33" t="n"/>
      <c r="C30" s="31" t="n"/>
      <c r="D30" s="31" t="n"/>
      <c r="E30" s="19">
        <f>IF($B30="","",IF($D30&lt;&gt;"Ativo",$D30,IFERROR(INDEX(Aus_Tipo,MATCH($B30,Aus_Ativa,0)),"Disponível")))</f>
        <v/>
      </c>
      <c r="F30" s="26">
        <f>IF(OR($B30="",$E30="Disponível"),"",IFERROR(INDEX(Aus_Fim,MATCH($B30,Aus_Ativa,0)),""))</f>
        <v/>
      </c>
      <c r="G30" s="33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20">
        <f>IF($B30="","",COUNTIF($H30:$AA30,"X"))</f>
        <v/>
      </c>
      <c r="AC30" s="35">
        <f>IF($B30="","",LEFT($B30,FIND(" ",$B30&amp;" ")-1)&amp;IF(TRIM(RIGHT(SUBSTITUTE(TRIM($B30)," ",REPT(" ",99)),99))=LEFT($B30,FIND(" ",$B30&amp;" ")-1),""," "&amp;LEFT(TRIM(RIGHT(SUBSTITUTE(TRIM($B30)," ",REPT(" ",99)),99)),1)&amp;"."))</f>
        <v/>
      </c>
      <c r="AD30" s="35">
        <f>IF($B30="","",COUNTIF($AE30:$BH30,"X"))</f>
        <v/>
      </c>
      <c r="AE30" s="39" t="inlineStr">
        <is>
          <t>X</t>
        </is>
      </c>
      <c r="AF30" s="39" t="inlineStr">
        <is>
          <t>X</t>
        </is>
      </c>
      <c r="AG30" s="39" t="inlineStr">
        <is>
          <t>X</t>
        </is>
      </c>
      <c r="AH30" s="39" t="inlineStr">
        <is>
          <t>X</t>
        </is>
      </c>
      <c r="AI30" s="39" t="inlineStr">
        <is>
          <t>X</t>
        </is>
      </c>
      <c r="AJ30" s="39" t="inlineStr">
        <is>
          <t>X</t>
        </is>
      </c>
      <c r="AK30" s="39" t="inlineStr">
        <is>
          <t>X</t>
        </is>
      </c>
      <c r="AL30" s="39" t="inlineStr">
        <is>
          <t>X</t>
        </is>
      </c>
      <c r="AM30" s="39" t="inlineStr">
        <is>
          <t>X</t>
        </is>
      </c>
      <c r="AN30" s="39" t="inlineStr">
        <is>
          <t>X</t>
        </is>
      </c>
      <c r="AO30" s="39" t="inlineStr">
        <is>
          <t>X</t>
        </is>
      </c>
      <c r="AP30" s="39" t="inlineStr">
        <is>
          <t>X</t>
        </is>
      </c>
      <c r="AQ30" s="39" t="inlineStr">
        <is>
          <t>X</t>
        </is>
      </c>
      <c r="AR30" s="39" t="inlineStr">
        <is>
          <t>X</t>
        </is>
      </c>
      <c r="AS30" s="39" t="inlineStr">
        <is>
          <t>X</t>
        </is>
      </c>
      <c r="AT30" s="39" t="inlineStr">
        <is>
          <t>X</t>
        </is>
      </c>
      <c r="AU30" s="39" t="inlineStr">
        <is>
          <t>X</t>
        </is>
      </c>
      <c r="AV30" s="39" t="inlineStr">
        <is>
          <t>X</t>
        </is>
      </c>
      <c r="AW30" s="39" t="inlineStr">
        <is>
          <t>X</t>
        </is>
      </c>
      <c r="AX30" s="39" t="inlineStr">
        <is>
          <t>X</t>
        </is>
      </c>
      <c r="AY30" s="39" t="inlineStr">
        <is>
          <t>X</t>
        </is>
      </c>
      <c r="AZ30" s="39" t="inlineStr">
        <is>
          <t>X</t>
        </is>
      </c>
      <c r="BA30" s="39" t="inlineStr">
        <is>
          <t>X</t>
        </is>
      </c>
      <c r="BB30" s="39" t="inlineStr">
        <is>
          <t>X</t>
        </is>
      </c>
      <c r="BC30" s="39" t="inlineStr">
        <is>
          <t>X</t>
        </is>
      </c>
      <c r="BD30" s="39" t="inlineStr">
        <is>
          <t>X</t>
        </is>
      </c>
      <c r="BE30" s="39" t="inlineStr">
        <is>
          <t>X</t>
        </is>
      </c>
      <c r="BF30" s="39" t="inlineStr">
        <is>
          <t>X</t>
        </is>
      </c>
      <c r="BG30" s="40" t="inlineStr">
        <is>
          <t>—</t>
        </is>
      </c>
      <c r="BH30" s="39" t="inlineStr">
        <is>
          <t>X</t>
        </is>
      </c>
    </row>
    <row r="31">
      <c r="A31" s="31" t="n"/>
      <c r="B31" s="33" t="n"/>
      <c r="C31" s="31" t="n"/>
      <c r="D31" s="31" t="n"/>
      <c r="E31" s="19">
        <f>IF($B31="","",IF($D31&lt;&gt;"Ativo",$D31,IFERROR(INDEX(Aus_Tipo,MATCH($B31,Aus_Ativa,0)),"Disponível")))</f>
        <v/>
      </c>
      <c r="F31" s="26">
        <f>IF(OR($B31="",$E31="Disponível"),"",IFERROR(INDEX(Aus_Fim,MATCH($B31,Aus_Ativa,0)),""))</f>
        <v/>
      </c>
      <c r="G31" s="33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20">
        <f>IF($B31="","",COUNTIF($H31:$AA31,"X"))</f>
        <v/>
      </c>
      <c r="AC31" s="35">
        <f>IF($B31="","",LEFT($B31,FIND(" ",$B31&amp;" ")-1)&amp;IF(TRIM(RIGHT(SUBSTITUTE(TRIM($B31)," ",REPT(" ",99)),99))=LEFT($B31,FIND(" ",$B31&amp;" ")-1),""," "&amp;LEFT(TRIM(RIGHT(SUBSTITUTE(TRIM($B31)," ",REPT(" ",99)),99)),1)&amp;"."))</f>
        <v/>
      </c>
      <c r="AD31" s="35">
        <f>IF($B31="","",COUNTIF($AE31:$BH31,"X"))</f>
        <v/>
      </c>
      <c r="AE31" s="39" t="inlineStr">
        <is>
          <t>X</t>
        </is>
      </c>
      <c r="AF31" s="39" t="inlineStr">
        <is>
          <t>X</t>
        </is>
      </c>
      <c r="AG31" s="39" t="inlineStr">
        <is>
          <t>X</t>
        </is>
      </c>
      <c r="AH31" s="39" t="inlineStr">
        <is>
          <t>X</t>
        </is>
      </c>
      <c r="AI31" s="39" t="inlineStr">
        <is>
          <t>X</t>
        </is>
      </c>
      <c r="AJ31" s="39" t="inlineStr">
        <is>
          <t>X</t>
        </is>
      </c>
      <c r="AK31" s="39" t="inlineStr">
        <is>
          <t>X</t>
        </is>
      </c>
      <c r="AL31" s="39" t="inlineStr">
        <is>
          <t>X</t>
        </is>
      </c>
      <c r="AM31" s="39" t="inlineStr">
        <is>
          <t>X</t>
        </is>
      </c>
      <c r="AN31" s="39" t="inlineStr">
        <is>
          <t>X</t>
        </is>
      </c>
      <c r="AO31" s="39" t="inlineStr">
        <is>
          <t>X</t>
        </is>
      </c>
      <c r="AP31" s="39" t="inlineStr">
        <is>
          <t>X</t>
        </is>
      </c>
      <c r="AQ31" s="39" t="inlineStr">
        <is>
          <t>X</t>
        </is>
      </c>
      <c r="AR31" s="39" t="inlineStr">
        <is>
          <t>X</t>
        </is>
      </c>
      <c r="AS31" s="39" t="inlineStr">
        <is>
          <t>X</t>
        </is>
      </c>
      <c r="AT31" s="39" t="inlineStr">
        <is>
          <t>X</t>
        </is>
      </c>
      <c r="AU31" s="39" t="inlineStr">
        <is>
          <t>X</t>
        </is>
      </c>
      <c r="AV31" s="39" t="inlineStr">
        <is>
          <t>X</t>
        </is>
      </c>
      <c r="AW31" s="39" t="inlineStr">
        <is>
          <t>X</t>
        </is>
      </c>
      <c r="AX31" s="39" t="inlineStr">
        <is>
          <t>X</t>
        </is>
      </c>
      <c r="AY31" s="39" t="inlineStr">
        <is>
          <t>X</t>
        </is>
      </c>
      <c r="AZ31" s="39" t="inlineStr">
        <is>
          <t>X</t>
        </is>
      </c>
      <c r="BA31" s="39" t="inlineStr">
        <is>
          <t>X</t>
        </is>
      </c>
      <c r="BB31" s="39" t="inlineStr">
        <is>
          <t>X</t>
        </is>
      </c>
      <c r="BC31" s="39" t="inlineStr">
        <is>
          <t>X</t>
        </is>
      </c>
      <c r="BD31" s="39" t="inlineStr">
        <is>
          <t>X</t>
        </is>
      </c>
      <c r="BE31" s="39" t="inlineStr">
        <is>
          <t>X</t>
        </is>
      </c>
      <c r="BF31" s="39" t="inlineStr">
        <is>
          <t>X</t>
        </is>
      </c>
      <c r="BG31" s="39" t="inlineStr">
        <is>
          <t>X</t>
        </is>
      </c>
      <c r="BH31" s="40" t="inlineStr">
        <is>
          <t>—</t>
        </is>
      </c>
    </row>
    <row r="32">
      <c r="A32" s="2" t="inlineStr">
        <is>
          <t>Marque X na especialidade que a técnica faz; deixe em branco onde não faz.</t>
        </is>
      </c>
    </row>
    <row r="33">
      <c r="A33" s="2" t="inlineStr">
        <is>
          <t>Marque X na especialidade que o técnico faz. Célula em branco = não faz (ou ainda não avaliado). As colunas vêm da lista de especialidades da aba Configuração.</t>
        </is>
      </c>
    </row>
    <row r="34">
      <c r="A34" s="2" t="inlineStr">
        <is>
          <t>AFINIDADE — a matriz à direita cruza os nomes: X quer dizer que as duas podem trabalhar juntas. Ela já vem toda marcada; apague o X onde a dupla não pode. Basta apagar de um lado, a planilha lê os dois. A distribuição nunca forma essas duplas, e se você formar uma à mão o ambiente fica em DUPLA VETADA no Mapa do Dia.</t>
        </is>
      </c>
    </row>
  </sheetData>
  <autoFilter ref="A1:G31"/>
  <conditionalFormatting sqref="H2:AA31">
    <cfRule type="cellIs" priority="1" operator="equal" dxfId="14">
      <formula>"X"</formula>
    </cfRule>
  </conditionalFormatting>
  <conditionalFormatting sqref="AE2:BH31">
    <cfRule type="expression" priority="2" dxfId="9" stopIfTrue="1">
      <formula>AND($B2&lt;&gt;"",INDEX(Equipe_Nome,COLUMN()-30)&lt;&gt;"",COLUMN()-ROW()&lt;&gt;29,OR(AE2&lt;&gt;"X",INDEX(Equipe_Afin,COLUMN()-30,ROW()-1)&lt;&gt;"X"))</formula>
    </cfRule>
    <cfRule type="expression" priority="3" dxfId="14">
      <formula>AND($B2&lt;&gt;"",INDEX(Equipe_Nome,COLUMN()-30)&lt;&gt;"",AE2="X")</formula>
    </cfRule>
  </conditionalFormatting>
  <conditionalFormatting sqref="E2:E31">
    <cfRule type="cellIs" priority="4" operator="equal" dxfId="14">
      <formula>"Disponível"</formula>
    </cfRule>
    <cfRule type="expression" priority="5" dxfId="10">
      <formula>AND($E2&lt;&gt;"",$E2&lt;&gt;"Disponível")</formula>
    </cfRule>
  </conditionalFormatting>
  <dataValidations count="3">
    <dataValidation sqref="H2:AA31" showDropDown="0" showInputMessage="0" showErrorMessage="1" allowBlank="1" errorTitle="Marque apenas X" error="Use X para indicar que o técnico faz essa especialidade; deixe em branco se não faz." type="list">
      <formula1>"X"</formula1>
    </dataValidation>
    <dataValidation sqref="AE2:BH31" showDropDown="0" showInputMessage="0" showErrorMessage="1" allowBlank="1" errorTitle="Marque apenas X" error="X = as duas podem trabalhar juntas. Apague a célula para dizer que não podem." type="list">
      <formula1>"X"</formula1>
    </dataValidation>
    <dataValidation sqref="D2:D31" showDropDown="0" showInputMessage="0" showErrorMessage="1" allowBlank="1" type="list">
      <formula1>=Lista_StatusCad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7" customWidth="1" min="5" max="5"/>
    <col width="26" customWidth="1" min="6" max="6"/>
    <col hidden="1" width="9" customWidth="1" min="7" max="7"/>
    <col hidden="1" width="8" customWidth="1" min="8" max="8"/>
    <col width="30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  <col width="4.4" customWidth="1" min="36" max="36"/>
    <col width="4.4" customWidth="1" min="37" max="37"/>
    <col width="4.4" customWidth="1" min="38" max="38"/>
    <col width="4.4" customWidth="1" min="39" max="39"/>
    <col width="4.4" customWidth="1" min="40" max="40"/>
  </cols>
  <sheetData>
    <row r="1" ht="22" customHeight="1">
      <c r="A1" s="7" t="inlineStr">
        <is>
          <t>Técnico</t>
        </is>
      </c>
      <c r="B1" s="7" t="inlineStr">
        <is>
          <t>Tipo</t>
        </is>
      </c>
      <c r="C1" s="7" t="inlineStr">
        <is>
          <t>Data início</t>
        </is>
      </c>
      <c r="D1" s="7" t="inlineStr">
        <is>
          <t>Data fim</t>
        </is>
      </c>
      <c r="E1" s="7" t="inlineStr">
        <is>
          <t>Dias</t>
        </is>
      </c>
      <c r="F1" s="7" t="inlineStr">
        <is>
          <t>Observação</t>
        </is>
      </c>
      <c r="G1" s="7" t="inlineStr">
        <is>
          <t>aux_ativa</t>
        </is>
      </c>
      <c r="H1" s="7" t="inlineStr">
        <is>
          <t>aux_cod</t>
        </is>
      </c>
      <c r="I1" s="11" t="inlineStr">
        <is>
          <t>Técnico</t>
        </is>
      </c>
      <c r="J1" s="41">
        <f>Periodo_Ini</f>
        <v/>
      </c>
      <c r="K1" s="41">
        <f>J1+1</f>
        <v/>
      </c>
      <c r="L1" s="41">
        <f>K1+1</f>
        <v/>
      </c>
      <c r="M1" s="41">
        <f>L1+1</f>
        <v/>
      </c>
      <c r="N1" s="41">
        <f>M1+1</f>
        <v/>
      </c>
      <c r="O1" s="41">
        <f>N1+1</f>
        <v/>
      </c>
      <c r="P1" s="41">
        <f>O1+1</f>
        <v/>
      </c>
      <c r="Q1" s="41">
        <f>P1+1</f>
        <v/>
      </c>
      <c r="R1" s="41">
        <f>Q1+1</f>
        <v/>
      </c>
      <c r="S1" s="41">
        <f>R1+1</f>
        <v/>
      </c>
      <c r="T1" s="41">
        <f>S1+1</f>
        <v/>
      </c>
      <c r="U1" s="41">
        <f>T1+1</f>
        <v/>
      </c>
      <c r="V1" s="41">
        <f>U1+1</f>
        <v/>
      </c>
      <c r="W1" s="41">
        <f>V1+1</f>
        <v/>
      </c>
      <c r="X1" s="41">
        <f>W1+1</f>
        <v/>
      </c>
      <c r="Y1" s="41">
        <f>X1+1</f>
        <v/>
      </c>
      <c r="Z1" s="41">
        <f>Y1+1</f>
        <v/>
      </c>
      <c r="AA1" s="41">
        <f>Z1+1</f>
        <v/>
      </c>
      <c r="AB1" s="41">
        <f>AA1+1</f>
        <v/>
      </c>
      <c r="AC1" s="41">
        <f>AB1+1</f>
        <v/>
      </c>
      <c r="AD1" s="41">
        <f>AC1+1</f>
        <v/>
      </c>
      <c r="AE1" s="41">
        <f>AD1+1</f>
        <v/>
      </c>
      <c r="AF1" s="41">
        <f>AE1+1</f>
        <v/>
      </c>
      <c r="AG1" s="41">
        <f>AF1+1</f>
        <v/>
      </c>
      <c r="AH1" s="41">
        <f>AG1+1</f>
        <v/>
      </c>
      <c r="AI1" s="41">
        <f>AH1+1</f>
        <v/>
      </c>
      <c r="AJ1" s="41">
        <f>AI1+1</f>
        <v/>
      </c>
      <c r="AK1" s="41">
        <f>AJ1+1</f>
        <v/>
      </c>
      <c r="AL1" s="41">
        <f>AK1+1</f>
        <v/>
      </c>
      <c r="AM1" s="41">
        <f>AL1+1</f>
        <v/>
      </c>
      <c r="AN1" s="41">
        <f>AM1+1</f>
        <v/>
      </c>
    </row>
    <row r="2">
      <c r="A2" s="33" t="inlineStr">
        <is>
          <t>Zuleide Marcon</t>
        </is>
      </c>
      <c r="B2" s="31" t="inlineStr">
        <is>
          <t>Férias</t>
        </is>
      </c>
      <c r="C2" s="30" t="n">
        <v>46244</v>
      </c>
      <c r="D2" s="30" t="n">
        <v>46258</v>
      </c>
      <c r="E2" s="20">
        <f>IF(OR($A2="",NOT(ISNUMBER($C2)),NOT(ISNUMBER($D2))),"",$D2-$C2+1)</f>
        <v/>
      </c>
      <c r="F2" s="33" t="inlineStr">
        <is>
          <t>Férias programadas</t>
        </is>
      </c>
      <c r="G2" s="35">
        <f>IF(AND($A2&lt;&gt;"",ISNUMBER($C2),ISNUMBER($D2),$C2&lt;=Data_Mapa,$D2&gt;=Data_Mapa),$A2,"")</f>
        <v/>
      </c>
      <c r="H2" s="35">
        <f>IF($A2="",0,IFERROR(MATCH($B2,Aus_Tipos,0),0))</f>
        <v/>
      </c>
      <c r="J2" s="42">
        <f>IF(J1="","",CHOOSE(WEEKDAY(J1),"dom","seg","ter","qua","qui","sex","sáb"))</f>
        <v/>
      </c>
      <c r="K2" s="42">
        <f>IF(K1="","",CHOOSE(WEEKDAY(K1),"dom","seg","ter","qua","qui","sex","sáb"))</f>
        <v/>
      </c>
      <c r="L2" s="42">
        <f>IF(L1="","",CHOOSE(WEEKDAY(L1),"dom","seg","ter","qua","qui","sex","sáb"))</f>
        <v/>
      </c>
      <c r="M2" s="42">
        <f>IF(M1="","",CHOOSE(WEEKDAY(M1),"dom","seg","ter","qua","qui","sex","sáb"))</f>
        <v/>
      </c>
      <c r="N2" s="42">
        <f>IF(N1="","",CHOOSE(WEEKDAY(N1),"dom","seg","ter","qua","qui","sex","sáb"))</f>
        <v/>
      </c>
      <c r="O2" s="42">
        <f>IF(O1="","",CHOOSE(WEEKDAY(O1),"dom","seg","ter","qua","qui","sex","sáb"))</f>
        <v/>
      </c>
      <c r="P2" s="42">
        <f>IF(P1="","",CHOOSE(WEEKDAY(P1),"dom","seg","ter","qua","qui","sex","sáb"))</f>
        <v/>
      </c>
      <c r="Q2" s="42">
        <f>IF(Q1="","",CHOOSE(WEEKDAY(Q1),"dom","seg","ter","qua","qui","sex","sáb"))</f>
        <v/>
      </c>
      <c r="R2" s="42">
        <f>IF(R1="","",CHOOSE(WEEKDAY(R1),"dom","seg","ter","qua","qui","sex","sáb"))</f>
        <v/>
      </c>
      <c r="S2" s="42">
        <f>IF(S1="","",CHOOSE(WEEKDAY(S1),"dom","seg","ter","qua","qui","sex","sáb"))</f>
        <v/>
      </c>
      <c r="T2" s="42">
        <f>IF(T1="","",CHOOSE(WEEKDAY(T1),"dom","seg","ter","qua","qui","sex","sáb"))</f>
        <v/>
      </c>
      <c r="U2" s="42">
        <f>IF(U1="","",CHOOSE(WEEKDAY(U1),"dom","seg","ter","qua","qui","sex","sáb"))</f>
        <v/>
      </c>
      <c r="V2" s="42">
        <f>IF(V1="","",CHOOSE(WEEKDAY(V1),"dom","seg","ter","qua","qui","sex","sáb"))</f>
        <v/>
      </c>
      <c r="W2" s="42">
        <f>IF(W1="","",CHOOSE(WEEKDAY(W1),"dom","seg","ter","qua","qui","sex","sáb"))</f>
        <v/>
      </c>
      <c r="X2" s="42">
        <f>IF(X1="","",CHOOSE(WEEKDAY(X1),"dom","seg","ter","qua","qui","sex","sáb"))</f>
        <v/>
      </c>
      <c r="Y2" s="42">
        <f>IF(Y1="","",CHOOSE(WEEKDAY(Y1),"dom","seg","ter","qua","qui","sex","sáb"))</f>
        <v/>
      </c>
      <c r="Z2" s="42">
        <f>IF(Z1="","",CHOOSE(WEEKDAY(Z1),"dom","seg","ter","qua","qui","sex","sáb"))</f>
        <v/>
      </c>
      <c r="AA2" s="42">
        <f>IF(AA1="","",CHOOSE(WEEKDAY(AA1),"dom","seg","ter","qua","qui","sex","sáb"))</f>
        <v/>
      </c>
      <c r="AB2" s="42">
        <f>IF(AB1="","",CHOOSE(WEEKDAY(AB1),"dom","seg","ter","qua","qui","sex","sáb"))</f>
        <v/>
      </c>
      <c r="AC2" s="42">
        <f>IF(AC1="","",CHOOSE(WEEKDAY(AC1),"dom","seg","ter","qua","qui","sex","sáb"))</f>
        <v/>
      </c>
      <c r="AD2" s="42">
        <f>IF(AD1="","",CHOOSE(WEEKDAY(AD1),"dom","seg","ter","qua","qui","sex","sáb"))</f>
        <v/>
      </c>
      <c r="AE2" s="42">
        <f>IF(AE1="","",CHOOSE(WEEKDAY(AE1),"dom","seg","ter","qua","qui","sex","sáb"))</f>
        <v/>
      </c>
      <c r="AF2" s="42">
        <f>IF(AF1="","",CHOOSE(WEEKDAY(AF1),"dom","seg","ter","qua","qui","sex","sáb"))</f>
        <v/>
      </c>
      <c r="AG2" s="42">
        <f>IF(AG1="","",CHOOSE(WEEKDAY(AG1),"dom","seg","ter","qua","qui","sex","sáb"))</f>
        <v/>
      </c>
      <c r="AH2" s="42">
        <f>IF(AH1="","",CHOOSE(WEEKDAY(AH1),"dom","seg","ter","qua","qui","sex","sáb"))</f>
        <v/>
      </c>
      <c r="AI2" s="42">
        <f>IF(AI1="","",CHOOSE(WEEKDAY(AI1),"dom","seg","ter","qua","qui","sex","sáb"))</f>
        <v/>
      </c>
      <c r="AJ2" s="42">
        <f>IF(AJ1="","",CHOOSE(WEEKDAY(AJ1),"dom","seg","ter","qua","qui","sex","sáb"))</f>
        <v/>
      </c>
      <c r="AK2" s="42">
        <f>IF(AK1="","",CHOOSE(WEEKDAY(AK1),"dom","seg","ter","qua","qui","sex","sáb"))</f>
        <v/>
      </c>
      <c r="AL2" s="42">
        <f>IF(AL1="","",CHOOSE(WEEKDAY(AL1),"dom","seg","ter","qua","qui","sex","sáb"))</f>
        <v/>
      </c>
      <c r="AM2" s="42">
        <f>IF(AM1="","",CHOOSE(WEEKDAY(AM1),"dom","seg","ter","qua","qui","sex","sáb"))</f>
        <v/>
      </c>
      <c r="AN2" s="42">
        <f>IF(AN1="","",CHOOSE(WEEKDAY(AN1),"dom","seg","ter","qua","qui","sex","sáb"))</f>
        <v/>
      </c>
    </row>
    <row r="3">
      <c r="A3" s="33" t="inlineStr">
        <is>
          <t>Ismael Kanitz</t>
        </is>
      </c>
      <c r="B3" s="31" t="inlineStr">
        <is>
          <t>Férias</t>
        </is>
      </c>
      <c r="C3" s="30" t="n">
        <v>46240</v>
      </c>
      <c r="D3" s="30" t="n">
        <v>46254</v>
      </c>
      <c r="E3" s="20">
        <f>IF(OR($A3="",NOT(ISNUMBER($C3)),NOT(ISNUMBER($D3))),"",$D3-$C3+1)</f>
        <v/>
      </c>
      <c r="F3" s="33" t="inlineStr">
        <is>
          <t>Férias programadas</t>
        </is>
      </c>
      <c r="G3" s="35">
        <f>IF(AND($A3&lt;&gt;"",ISNUMBER($C3),ISNUMBER($D3),$C3&lt;=Data_Mapa,$D3&gt;=Data_Mapa),$A3,"")</f>
        <v/>
      </c>
      <c r="H3" s="35">
        <f>IF($A3="",0,IFERROR(MATCH($B3,Aus_Tipos,0),0))</f>
        <v/>
      </c>
      <c r="I3" s="43">
        <f>IF('Equipe'!$B$2="","",'Equipe'!$B$2)</f>
        <v/>
      </c>
      <c r="J3" s="44">
        <f>IF(OR($I3="",J$1=""),"",IF(SUMPRODUCT((Aus_Tec=$I3)*(Aus_Ini&lt;=J$1)*(Aus_Fim&gt;=J$1)*(Aus_Cod&gt;0))=0,"",IF(SUMPRODUCT((Aus_Tec=$I3)*(Aus_Ini&lt;=J$1)*(Aus_Fim&gt;=J$1)*(Aus_Cod&gt;0))&gt;1,"!",IFERROR(INDEX(Aus_Siglas,SUMPRODUCT((Aus_Tec=$I3)*(Aus_Ini&lt;=J$1)*(Aus_Fim&gt;=J$1)*Aus_Cod)),"!"))))</f>
        <v/>
      </c>
      <c r="K3" s="44">
        <f>IF(OR($I3="",K$1=""),"",IF(SUMPRODUCT((Aus_Tec=$I3)*(Aus_Ini&lt;=K$1)*(Aus_Fim&gt;=K$1)*(Aus_Cod&gt;0))=0,"",IF(SUMPRODUCT((Aus_Tec=$I3)*(Aus_Ini&lt;=K$1)*(Aus_Fim&gt;=K$1)*(Aus_Cod&gt;0))&gt;1,"!",IFERROR(INDEX(Aus_Siglas,SUMPRODUCT((Aus_Tec=$I3)*(Aus_Ini&lt;=K$1)*(Aus_Fim&gt;=K$1)*Aus_Cod)),"!"))))</f>
        <v/>
      </c>
      <c r="L3" s="44">
        <f>IF(OR($I3="",L$1=""),"",IF(SUMPRODUCT((Aus_Tec=$I3)*(Aus_Ini&lt;=L$1)*(Aus_Fim&gt;=L$1)*(Aus_Cod&gt;0))=0,"",IF(SUMPRODUCT((Aus_Tec=$I3)*(Aus_Ini&lt;=L$1)*(Aus_Fim&gt;=L$1)*(Aus_Cod&gt;0))&gt;1,"!",IFERROR(INDEX(Aus_Siglas,SUMPRODUCT((Aus_Tec=$I3)*(Aus_Ini&lt;=L$1)*(Aus_Fim&gt;=L$1)*Aus_Cod)),"!"))))</f>
        <v/>
      </c>
      <c r="M3" s="44">
        <f>IF(OR($I3="",M$1=""),"",IF(SUMPRODUCT((Aus_Tec=$I3)*(Aus_Ini&lt;=M$1)*(Aus_Fim&gt;=M$1)*(Aus_Cod&gt;0))=0,"",IF(SUMPRODUCT((Aus_Tec=$I3)*(Aus_Ini&lt;=M$1)*(Aus_Fim&gt;=M$1)*(Aus_Cod&gt;0))&gt;1,"!",IFERROR(INDEX(Aus_Siglas,SUMPRODUCT((Aus_Tec=$I3)*(Aus_Ini&lt;=M$1)*(Aus_Fim&gt;=M$1)*Aus_Cod)),"!"))))</f>
        <v/>
      </c>
      <c r="N3" s="44">
        <f>IF(OR($I3="",N$1=""),"",IF(SUMPRODUCT((Aus_Tec=$I3)*(Aus_Ini&lt;=N$1)*(Aus_Fim&gt;=N$1)*(Aus_Cod&gt;0))=0,"",IF(SUMPRODUCT((Aus_Tec=$I3)*(Aus_Ini&lt;=N$1)*(Aus_Fim&gt;=N$1)*(Aus_Cod&gt;0))&gt;1,"!",IFERROR(INDEX(Aus_Siglas,SUMPRODUCT((Aus_Tec=$I3)*(Aus_Ini&lt;=N$1)*(Aus_Fim&gt;=N$1)*Aus_Cod)),"!"))))</f>
        <v/>
      </c>
      <c r="O3" s="44">
        <f>IF(OR($I3="",O$1=""),"",IF(SUMPRODUCT((Aus_Tec=$I3)*(Aus_Ini&lt;=O$1)*(Aus_Fim&gt;=O$1)*(Aus_Cod&gt;0))=0,"",IF(SUMPRODUCT((Aus_Tec=$I3)*(Aus_Ini&lt;=O$1)*(Aus_Fim&gt;=O$1)*(Aus_Cod&gt;0))&gt;1,"!",IFERROR(INDEX(Aus_Siglas,SUMPRODUCT((Aus_Tec=$I3)*(Aus_Ini&lt;=O$1)*(Aus_Fim&gt;=O$1)*Aus_Cod)),"!"))))</f>
        <v/>
      </c>
      <c r="P3" s="44">
        <f>IF(OR($I3="",P$1=""),"",IF(SUMPRODUCT((Aus_Tec=$I3)*(Aus_Ini&lt;=P$1)*(Aus_Fim&gt;=P$1)*(Aus_Cod&gt;0))=0,"",IF(SUMPRODUCT((Aus_Tec=$I3)*(Aus_Ini&lt;=P$1)*(Aus_Fim&gt;=P$1)*(Aus_Cod&gt;0))&gt;1,"!",IFERROR(INDEX(Aus_Siglas,SUMPRODUCT((Aus_Tec=$I3)*(Aus_Ini&lt;=P$1)*(Aus_Fim&gt;=P$1)*Aus_Cod)),"!"))))</f>
        <v/>
      </c>
      <c r="Q3" s="44">
        <f>IF(OR($I3="",Q$1=""),"",IF(SUMPRODUCT((Aus_Tec=$I3)*(Aus_Ini&lt;=Q$1)*(Aus_Fim&gt;=Q$1)*(Aus_Cod&gt;0))=0,"",IF(SUMPRODUCT((Aus_Tec=$I3)*(Aus_Ini&lt;=Q$1)*(Aus_Fim&gt;=Q$1)*(Aus_Cod&gt;0))&gt;1,"!",IFERROR(INDEX(Aus_Siglas,SUMPRODUCT((Aus_Tec=$I3)*(Aus_Ini&lt;=Q$1)*(Aus_Fim&gt;=Q$1)*Aus_Cod)),"!"))))</f>
        <v/>
      </c>
      <c r="R3" s="44">
        <f>IF(OR($I3="",R$1=""),"",IF(SUMPRODUCT((Aus_Tec=$I3)*(Aus_Ini&lt;=R$1)*(Aus_Fim&gt;=R$1)*(Aus_Cod&gt;0))=0,"",IF(SUMPRODUCT((Aus_Tec=$I3)*(Aus_Ini&lt;=R$1)*(Aus_Fim&gt;=R$1)*(Aus_Cod&gt;0))&gt;1,"!",IFERROR(INDEX(Aus_Siglas,SUMPRODUCT((Aus_Tec=$I3)*(Aus_Ini&lt;=R$1)*(Aus_Fim&gt;=R$1)*Aus_Cod)),"!"))))</f>
        <v/>
      </c>
      <c r="S3" s="44">
        <f>IF(OR($I3="",S$1=""),"",IF(SUMPRODUCT((Aus_Tec=$I3)*(Aus_Ini&lt;=S$1)*(Aus_Fim&gt;=S$1)*(Aus_Cod&gt;0))=0,"",IF(SUMPRODUCT((Aus_Tec=$I3)*(Aus_Ini&lt;=S$1)*(Aus_Fim&gt;=S$1)*(Aus_Cod&gt;0))&gt;1,"!",IFERROR(INDEX(Aus_Siglas,SUMPRODUCT((Aus_Tec=$I3)*(Aus_Ini&lt;=S$1)*(Aus_Fim&gt;=S$1)*Aus_Cod)),"!"))))</f>
        <v/>
      </c>
      <c r="T3" s="44">
        <f>IF(OR($I3="",T$1=""),"",IF(SUMPRODUCT((Aus_Tec=$I3)*(Aus_Ini&lt;=T$1)*(Aus_Fim&gt;=T$1)*(Aus_Cod&gt;0))=0,"",IF(SUMPRODUCT((Aus_Tec=$I3)*(Aus_Ini&lt;=T$1)*(Aus_Fim&gt;=T$1)*(Aus_Cod&gt;0))&gt;1,"!",IFERROR(INDEX(Aus_Siglas,SUMPRODUCT((Aus_Tec=$I3)*(Aus_Ini&lt;=T$1)*(Aus_Fim&gt;=T$1)*Aus_Cod)),"!"))))</f>
        <v/>
      </c>
      <c r="U3" s="44">
        <f>IF(OR($I3="",U$1=""),"",IF(SUMPRODUCT((Aus_Tec=$I3)*(Aus_Ini&lt;=U$1)*(Aus_Fim&gt;=U$1)*(Aus_Cod&gt;0))=0,"",IF(SUMPRODUCT((Aus_Tec=$I3)*(Aus_Ini&lt;=U$1)*(Aus_Fim&gt;=U$1)*(Aus_Cod&gt;0))&gt;1,"!",IFERROR(INDEX(Aus_Siglas,SUMPRODUCT((Aus_Tec=$I3)*(Aus_Ini&lt;=U$1)*(Aus_Fim&gt;=U$1)*Aus_Cod)),"!"))))</f>
        <v/>
      </c>
      <c r="V3" s="44">
        <f>IF(OR($I3="",V$1=""),"",IF(SUMPRODUCT((Aus_Tec=$I3)*(Aus_Ini&lt;=V$1)*(Aus_Fim&gt;=V$1)*(Aus_Cod&gt;0))=0,"",IF(SUMPRODUCT((Aus_Tec=$I3)*(Aus_Ini&lt;=V$1)*(Aus_Fim&gt;=V$1)*(Aus_Cod&gt;0))&gt;1,"!",IFERROR(INDEX(Aus_Siglas,SUMPRODUCT((Aus_Tec=$I3)*(Aus_Ini&lt;=V$1)*(Aus_Fim&gt;=V$1)*Aus_Cod)),"!"))))</f>
        <v/>
      </c>
      <c r="W3" s="44">
        <f>IF(OR($I3="",W$1=""),"",IF(SUMPRODUCT((Aus_Tec=$I3)*(Aus_Ini&lt;=W$1)*(Aus_Fim&gt;=W$1)*(Aus_Cod&gt;0))=0,"",IF(SUMPRODUCT((Aus_Tec=$I3)*(Aus_Ini&lt;=W$1)*(Aus_Fim&gt;=W$1)*(Aus_Cod&gt;0))&gt;1,"!",IFERROR(INDEX(Aus_Siglas,SUMPRODUCT((Aus_Tec=$I3)*(Aus_Ini&lt;=W$1)*(Aus_Fim&gt;=W$1)*Aus_Cod)),"!"))))</f>
        <v/>
      </c>
      <c r="X3" s="44">
        <f>IF(OR($I3="",X$1=""),"",IF(SUMPRODUCT((Aus_Tec=$I3)*(Aus_Ini&lt;=X$1)*(Aus_Fim&gt;=X$1)*(Aus_Cod&gt;0))=0,"",IF(SUMPRODUCT((Aus_Tec=$I3)*(Aus_Ini&lt;=X$1)*(Aus_Fim&gt;=X$1)*(Aus_Cod&gt;0))&gt;1,"!",IFERROR(INDEX(Aus_Siglas,SUMPRODUCT((Aus_Tec=$I3)*(Aus_Ini&lt;=X$1)*(Aus_Fim&gt;=X$1)*Aus_Cod)),"!"))))</f>
        <v/>
      </c>
      <c r="Y3" s="44">
        <f>IF(OR($I3="",Y$1=""),"",IF(SUMPRODUCT((Aus_Tec=$I3)*(Aus_Ini&lt;=Y$1)*(Aus_Fim&gt;=Y$1)*(Aus_Cod&gt;0))=0,"",IF(SUMPRODUCT((Aus_Tec=$I3)*(Aus_Ini&lt;=Y$1)*(Aus_Fim&gt;=Y$1)*(Aus_Cod&gt;0))&gt;1,"!",IFERROR(INDEX(Aus_Siglas,SUMPRODUCT((Aus_Tec=$I3)*(Aus_Ini&lt;=Y$1)*(Aus_Fim&gt;=Y$1)*Aus_Cod)),"!"))))</f>
        <v/>
      </c>
      <c r="Z3" s="44">
        <f>IF(OR($I3="",Z$1=""),"",IF(SUMPRODUCT((Aus_Tec=$I3)*(Aus_Ini&lt;=Z$1)*(Aus_Fim&gt;=Z$1)*(Aus_Cod&gt;0))=0,"",IF(SUMPRODUCT((Aus_Tec=$I3)*(Aus_Ini&lt;=Z$1)*(Aus_Fim&gt;=Z$1)*(Aus_Cod&gt;0))&gt;1,"!",IFERROR(INDEX(Aus_Siglas,SUMPRODUCT((Aus_Tec=$I3)*(Aus_Ini&lt;=Z$1)*(Aus_Fim&gt;=Z$1)*Aus_Cod)),"!"))))</f>
        <v/>
      </c>
      <c r="AA3" s="44">
        <f>IF(OR($I3="",AA$1=""),"",IF(SUMPRODUCT((Aus_Tec=$I3)*(Aus_Ini&lt;=AA$1)*(Aus_Fim&gt;=AA$1)*(Aus_Cod&gt;0))=0,"",IF(SUMPRODUCT((Aus_Tec=$I3)*(Aus_Ini&lt;=AA$1)*(Aus_Fim&gt;=AA$1)*(Aus_Cod&gt;0))&gt;1,"!",IFERROR(INDEX(Aus_Siglas,SUMPRODUCT((Aus_Tec=$I3)*(Aus_Ini&lt;=AA$1)*(Aus_Fim&gt;=AA$1)*Aus_Cod)),"!"))))</f>
        <v/>
      </c>
      <c r="AB3" s="44">
        <f>IF(OR($I3="",AB$1=""),"",IF(SUMPRODUCT((Aus_Tec=$I3)*(Aus_Ini&lt;=AB$1)*(Aus_Fim&gt;=AB$1)*(Aus_Cod&gt;0))=0,"",IF(SUMPRODUCT((Aus_Tec=$I3)*(Aus_Ini&lt;=AB$1)*(Aus_Fim&gt;=AB$1)*(Aus_Cod&gt;0))&gt;1,"!",IFERROR(INDEX(Aus_Siglas,SUMPRODUCT((Aus_Tec=$I3)*(Aus_Ini&lt;=AB$1)*(Aus_Fim&gt;=AB$1)*Aus_Cod)),"!"))))</f>
        <v/>
      </c>
      <c r="AC3" s="44">
        <f>IF(OR($I3="",AC$1=""),"",IF(SUMPRODUCT((Aus_Tec=$I3)*(Aus_Ini&lt;=AC$1)*(Aus_Fim&gt;=AC$1)*(Aus_Cod&gt;0))=0,"",IF(SUMPRODUCT((Aus_Tec=$I3)*(Aus_Ini&lt;=AC$1)*(Aus_Fim&gt;=AC$1)*(Aus_Cod&gt;0))&gt;1,"!",IFERROR(INDEX(Aus_Siglas,SUMPRODUCT((Aus_Tec=$I3)*(Aus_Ini&lt;=AC$1)*(Aus_Fim&gt;=AC$1)*Aus_Cod)),"!"))))</f>
        <v/>
      </c>
      <c r="AD3" s="44">
        <f>IF(OR($I3="",AD$1=""),"",IF(SUMPRODUCT((Aus_Tec=$I3)*(Aus_Ini&lt;=AD$1)*(Aus_Fim&gt;=AD$1)*(Aus_Cod&gt;0))=0,"",IF(SUMPRODUCT((Aus_Tec=$I3)*(Aus_Ini&lt;=AD$1)*(Aus_Fim&gt;=AD$1)*(Aus_Cod&gt;0))&gt;1,"!",IFERROR(INDEX(Aus_Siglas,SUMPRODUCT((Aus_Tec=$I3)*(Aus_Ini&lt;=AD$1)*(Aus_Fim&gt;=AD$1)*Aus_Cod)),"!"))))</f>
        <v/>
      </c>
      <c r="AE3" s="44">
        <f>IF(OR($I3="",AE$1=""),"",IF(SUMPRODUCT((Aus_Tec=$I3)*(Aus_Ini&lt;=AE$1)*(Aus_Fim&gt;=AE$1)*(Aus_Cod&gt;0))=0,"",IF(SUMPRODUCT((Aus_Tec=$I3)*(Aus_Ini&lt;=AE$1)*(Aus_Fim&gt;=AE$1)*(Aus_Cod&gt;0))&gt;1,"!",IFERROR(INDEX(Aus_Siglas,SUMPRODUCT((Aus_Tec=$I3)*(Aus_Ini&lt;=AE$1)*(Aus_Fim&gt;=AE$1)*Aus_Cod)),"!"))))</f>
        <v/>
      </c>
      <c r="AF3" s="44">
        <f>IF(OR($I3="",AF$1=""),"",IF(SUMPRODUCT((Aus_Tec=$I3)*(Aus_Ini&lt;=AF$1)*(Aus_Fim&gt;=AF$1)*(Aus_Cod&gt;0))=0,"",IF(SUMPRODUCT((Aus_Tec=$I3)*(Aus_Ini&lt;=AF$1)*(Aus_Fim&gt;=AF$1)*(Aus_Cod&gt;0))&gt;1,"!",IFERROR(INDEX(Aus_Siglas,SUMPRODUCT((Aus_Tec=$I3)*(Aus_Ini&lt;=AF$1)*(Aus_Fim&gt;=AF$1)*Aus_Cod)),"!"))))</f>
        <v/>
      </c>
      <c r="AG3" s="44">
        <f>IF(OR($I3="",AG$1=""),"",IF(SUMPRODUCT((Aus_Tec=$I3)*(Aus_Ini&lt;=AG$1)*(Aus_Fim&gt;=AG$1)*(Aus_Cod&gt;0))=0,"",IF(SUMPRODUCT((Aus_Tec=$I3)*(Aus_Ini&lt;=AG$1)*(Aus_Fim&gt;=AG$1)*(Aus_Cod&gt;0))&gt;1,"!",IFERROR(INDEX(Aus_Siglas,SUMPRODUCT((Aus_Tec=$I3)*(Aus_Ini&lt;=AG$1)*(Aus_Fim&gt;=AG$1)*Aus_Cod)),"!"))))</f>
        <v/>
      </c>
      <c r="AH3" s="44">
        <f>IF(OR($I3="",AH$1=""),"",IF(SUMPRODUCT((Aus_Tec=$I3)*(Aus_Ini&lt;=AH$1)*(Aus_Fim&gt;=AH$1)*(Aus_Cod&gt;0))=0,"",IF(SUMPRODUCT((Aus_Tec=$I3)*(Aus_Ini&lt;=AH$1)*(Aus_Fim&gt;=AH$1)*(Aus_Cod&gt;0))&gt;1,"!",IFERROR(INDEX(Aus_Siglas,SUMPRODUCT((Aus_Tec=$I3)*(Aus_Ini&lt;=AH$1)*(Aus_Fim&gt;=AH$1)*Aus_Cod)),"!"))))</f>
        <v/>
      </c>
      <c r="AI3" s="44">
        <f>IF(OR($I3="",AI$1=""),"",IF(SUMPRODUCT((Aus_Tec=$I3)*(Aus_Ini&lt;=AI$1)*(Aus_Fim&gt;=AI$1)*(Aus_Cod&gt;0))=0,"",IF(SUMPRODUCT((Aus_Tec=$I3)*(Aus_Ini&lt;=AI$1)*(Aus_Fim&gt;=AI$1)*(Aus_Cod&gt;0))&gt;1,"!",IFERROR(INDEX(Aus_Siglas,SUMPRODUCT((Aus_Tec=$I3)*(Aus_Ini&lt;=AI$1)*(Aus_Fim&gt;=AI$1)*Aus_Cod)),"!"))))</f>
        <v/>
      </c>
      <c r="AJ3" s="44">
        <f>IF(OR($I3="",AJ$1=""),"",IF(SUMPRODUCT((Aus_Tec=$I3)*(Aus_Ini&lt;=AJ$1)*(Aus_Fim&gt;=AJ$1)*(Aus_Cod&gt;0))=0,"",IF(SUMPRODUCT((Aus_Tec=$I3)*(Aus_Ini&lt;=AJ$1)*(Aus_Fim&gt;=AJ$1)*(Aus_Cod&gt;0))&gt;1,"!",IFERROR(INDEX(Aus_Siglas,SUMPRODUCT((Aus_Tec=$I3)*(Aus_Ini&lt;=AJ$1)*(Aus_Fim&gt;=AJ$1)*Aus_Cod)),"!"))))</f>
        <v/>
      </c>
      <c r="AK3" s="44">
        <f>IF(OR($I3="",AK$1=""),"",IF(SUMPRODUCT((Aus_Tec=$I3)*(Aus_Ini&lt;=AK$1)*(Aus_Fim&gt;=AK$1)*(Aus_Cod&gt;0))=0,"",IF(SUMPRODUCT((Aus_Tec=$I3)*(Aus_Ini&lt;=AK$1)*(Aus_Fim&gt;=AK$1)*(Aus_Cod&gt;0))&gt;1,"!",IFERROR(INDEX(Aus_Siglas,SUMPRODUCT((Aus_Tec=$I3)*(Aus_Ini&lt;=AK$1)*(Aus_Fim&gt;=AK$1)*Aus_Cod)),"!"))))</f>
        <v/>
      </c>
      <c r="AL3" s="44">
        <f>IF(OR($I3="",AL$1=""),"",IF(SUMPRODUCT((Aus_Tec=$I3)*(Aus_Ini&lt;=AL$1)*(Aus_Fim&gt;=AL$1)*(Aus_Cod&gt;0))=0,"",IF(SUMPRODUCT((Aus_Tec=$I3)*(Aus_Ini&lt;=AL$1)*(Aus_Fim&gt;=AL$1)*(Aus_Cod&gt;0))&gt;1,"!",IFERROR(INDEX(Aus_Siglas,SUMPRODUCT((Aus_Tec=$I3)*(Aus_Ini&lt;=AL$1)*(Aus_Fim&gt;=AL$1)*Aus_Cod)),"!"))))</f>
        <v/>
      </c>
      <c r="AM3" s="44">
        <f>IF(OR($I3="",AM$1=""),"",IF(SUMPRODUCT((Aus_Tec=$I3)*(Aus_Ini&lt;=AM$1)*(Aus_Fim&gt;=AM$1)*(Aus_Cod&gt;0))=0,"",IF(SUMPRODUCT((Aus_Tec=$I3)*(Aus_Ini&lt;=AM$1)*(Aus_Fim&gt;=AM$1)*(Aus_Cod&gt;0))&gt;1,"!",IFERROR(INDEX(Aus_Siglas,SUMPRODUCT((Aus_Tec=$I3)*(Aus_Ini&lt;=AM$1)*(Aus_Fim&gt;=AM$1)*Aus_Cod)),"!"))))</f>
        <v/>
      </c>
      <c r="AN3" s="44">
        <f>IF(OR($I3="",AN$1=""),"",IF(SUMPRODUCT((Aus_Tec=$I3)*(Aus_Ini&lt;=AN$1)*(Aus_Fim&gt;=AN$1)*(Aus_Cod&gt;0))=0,"",IF(SUMPRODUCT((Aus_Tec=$I3)*(Aus_Ini&lt;=AN$1)*(Aus_Fim&gt;=AN$1)*(Aus_Cod&gt;0))&gt;1,"!",IFERROR(INDEX(Aus_Siglas,SUMPRODUCT((Aus_Tec=$I3)*(Aus_Ini&lt;=AN$1)*(Aus_Fim&gt;=AN$1)*Aus_Cod)),"!"))))</f>
        <v/>
      </c>
    </row>
    <row r="4">
      <c r="A4" s="33" t="inlineStr">
        <is>
          <t>Wanessa Piccoli</t>
        </is>
      </c>
      <c r="B4" s="31" t="inlineStr">
        <is>
          <t>Atestado</t>
        </is>
      </c>
      <c r="C4" s="30" t="n">
        <v>46253</v>
      </c>
      <c r="D4" s="30" t="n">
        <v>46255</v>
      </c>
      <c r="E4" s="20">
        <f>IF(OR($A4="",NOT(ISNUMBER($C4)),NOT(ISNUMBER($D4))),"",$D4-$C4+1)</f>
        <v/>
      </c>
      <c r="F4" s="33" t="inlineStr">
        <is>
          <t>Atestado médico</t>
        </is>
      </c>
      <c r="G4" s="35">
        <f>IF(AND($A4&lt;&gt;"",ISNUMBER($C4),ISNUMBER($D4),$C4&lt;=Data_Mapa,$D4&gt;=Data_Mapa),$A4,"")</f>
        <v/>
      </c>
      <c r="H4" s="35">
        <f>IF($A4="",0,IFERROR(MATCH($B4,Aus_Tipos,0),0))</f>
        <v/>
      </c>
      <c r="I4" s="43">
        <f>IF('Equipe'!$B$3="","",'Equipe'!$B$3)</f>
        <v/>
      </c>
      <c r="J4" s="44">
        <f>IF(OR($I4="",J$1=""),"",IF(SUMPRODUCT((Aus_Tec=$I4)*(Aus_Ini&lt;=J$1)*(Aus_Fim&gt;=J$1)*(Aus_Cod&gt;0))=0,"",IF(SUMPRODUCT((Aus_Tec=$I4)*(Aus_Ini&lt;=J$1)*(Aus_Fim&gt;=J$1)*(Aus_Cod&gt;0))&gt;1,"!",IFERROR(INDEX(Aus_Siglas,SUMPRODUCT((Aus_Tec=$I4)*(Aus_Ini&lt;=J$1)*(Aus_Fim&gt;=J$1)*Aus_Cod)),"!"))))</f>
        <v/>
      </c>
      <c r="K4" s="44">
        <f>IF(OR($I4="",K$1=""),"",IF(SUMPRODUCT((Aus_Tec=$I4)*(Aus_Ini&lt;=K$1)*(Aus_Fim&gt;=K$1)*(Aus_Cod&gt;0))=0,"",IF(SUMPRODUCT((Aus_Tec=$I4)*(Aus_Ini&lt;=K$1)*(Aus_Fim&gt;=K$1)*(Aus_Cod&gt;0))&gt;1,"!",IFERROR(INDEX(Aus_Siglas,SUMPRODUCT((Aus_Tec=$I4)*(Aus_Ini&lt;=K$1)*(Aus_Fim&gt;=K$1)*Aus_Cod)),"!"))))</f>
        <v/>
      </c>
      <c r="L4" s="44">
        <f>IF(OR($I4="",L$1=""),"",IF(SUMPRODUCT((Aus_Tec=$I4)*(Aus_Ini&lt;=L$1)*(Aus_Fim&gt;=L$1)*(Aus_Cod&gt;0))=0,"",IF(SUMPRODUCT((Aus_Tec=$I4)*(Aus_Ini&lt;=L$1)*(Aus_Fim&gt;=L$1)*(Aus_Cod&gt;0))&gt;1,"!",IFERROR(INDEX(Aus_Siglas,SUMPRODUCT((Aus_Tec=$I4)*(Aus_Ini&lt;=L$1)*(Aus_Fim&gt;=L$1)*Aus_Cod)),"!"))))</f>
        <v/>
      </c>
      <c r="M4" s="44">
        <f>IF(OR($I4="",M$1=""),"",IF(SUMPRODUCT((Aus_Tec=$I4)*(Aus_Ini&lt;=M$1)*(Aus_Fim&gt;=M$1)*(Aus_Cod&gt;0))=0,"",IF(SUMPRODUCT((Aus_Tec=$I4)*(Aus_Ini&lt;=M$1)*(Aus_Fim&gt;=M$1)*(Aus_Cod&gt;0))&gt;1,"!",IFERROR(INDEX(Aus_Siglas,SUMPRODUCT((Aus_Tec=$I4)*(Aus_Ini&lt;=M$1)*(Aus_Fim&gt;=M$1)*Aus_Cod)),"!"))))</f>
        <v/>
      </c>
      <c r="N4" s="44">
        <f>IF(OR($I4="",N$1=""),"",IF(SUMPRODUCT((Aus_Tec=$I4)*(Aus_Ini&lt;=N$1)*(Aus_Fim&gt;=N$1)*(Aus_Cod&gt;0))=0,"",IF(SUMPRODUCT((Aus_Tec=$I4)*(Aus_Ini&lt;=N$1)*(Aus_Fim&gt;=N$1)*(Aus_Cod&gt;0))&gt;1,"!",IFERROR(INDEX(Aus_Siglas,SUMPRODUCT((Aus_Tec=$I4)*(Aus_Ini&lt;=N$1)*(Aus_Fim&gt;=N$1)*Aus_Cod)),"!"))))</f>
        <v/>
      </c>
      <c r="O4" s="44">
        <f>IF(OR($I4="",O$1=""),"",IF(SUMPRODUCT((Aus_Tec=$I4)*(Aus_Ini&lt;=O$1)*(Aus_Fim&gt;=O$1)*(Aus_Cod&gt;0))=0,"",IF(SUMPRODUCT((Aus_Tec=$I4)*(Aus_Ini&lt;=O$1)*(Aus_Fim&gt;=O$1)*(Aus_Cod&gt;0))&gt;1,"!",IFERROR(INDEX(Aus_Siglas,SUMPRODUCT((Aus_Tec=$I4)*(Aus_Ini&lt;=O$1)*(Aus_Fim&gt;=O$1)*Aus_Cod)),"!"))))</f>
        <v/>
      </c>
      <c r="P4" s="44">
        <f>IF(OR($I4="",P$1=""),"",IF(SUMPRODUCT((Aus_Tec=$I4)*(Aus_Ini&lt;=P$1)*(Aus_Fim&gt;=P$1)*(Aus_Cod&gt;0))=0,"",IF(SUMPRODUCT((Aus_Tec=$I4)*(Aus_Ini&lt;=P$1)*(Aus_Fim&gt;=P$1)*(Aus_Cod&gt;0))&gt;1,"!",IFERROR(INDEX(Aus_Siglas,SUMPRODUCT((Aus_Tec=$I4)*(Aus_Ini&lt;=P$1)*(Aus_Fim&gt;=P$1)*Aus_Cod)),"!"))))</f>
        <v/>
      </c>
      <c r="Q4" s="44">
        <f>IF(OR($I4="",Q$1=""),"",IF(SUMPRODUCT((Aus_Tec=$I4)*(Aus_Ini&lt;=Q$1)*(Aus_Fim&gt;=Q$1)*(Aus_Cod&gt;0))=0,"",IF(SUMPRODUCT((Aus_Tec=$I4)*(Aus_Ini&lt;=Q$1)*(Aus_Fim&gt;=Q$1)*(Aus_Cod&gt;0))&gt;1,"!",IFERROR(INDEX(Aus_Siglas,SUMPRODUCT((Aus_Tec=$I4)*(Aus_Ini&lt;=Q$1)*(Aus_Fim&gt;=Q$1)*Aus_Cod)),"!"))))</f>
        <v/>
      </c>
      <c r="R4" s="44">
        <f>IF(OR($I4="",R$1=""),"",IF(SUMPRODUCT((Aus_Tec=$I4)*(Aus_Ini&lt;=R$1)*(Aus_Fim&gt;=R$1)*(Aus_Cod&gt;0))=0,"",IF(SUMPRODUCT((Aus_Tec=$I4)*(Aus_Ini&lt;=R$1)*(Aus_Fim&gt;=R$1)*(Aus_Cod&gt;0))&gt;1,"!",IFERROR(INDEX(Aus_Siglas,SUMPRODUCT((Aus_Tec=$I4)*(Aus_Ini&lt;=R$1)*(Aus_Fim&gt;=R$1)*Aus_Cod)),"!"))))</f>
        <v/>
      </c>
      <c r="S4" s="44">
        <f>IF(OR($I4="",S$1=""),"",IF(SUMPRODUCT((Aus_Tec=$I4)*(Aus_Ini&lt;=S$1)*(Aus_Fim&gt;=S$1)*(Aus_Cod&gt;0))=0,"",IF(SUMPRODUCT((Aus_Tec=$I4)*(Aus_Ini&lt;=S$1)*(Aus_Fim&gt;=S$1)*(Aus_Cod&gt;0))&gt;1,"!",IFERROR(INDEX(Aus_Siglas,SUMPRODUCT((Aus_Tec=$I4)*(Aus_Ini&lt;=S$1)*(Aus_Fim&gt;=S$1)*Aus_Cod)),"!"))))</f>
        <v/>
      </c>
      <c r="T4" s="44">
        <f>IF(OR($I4="",T$1=""),"",IF(SUMPRODUCT((Aus_Tec=$I4)*(Aus_Ini&lt;=T$1)*(Aus_Fim&gt;=T$1)*(Aus_Cod&gt;0))=0,"",IF(SUMPRODUCT((Aus_Tec=$I4)*(Aus_Ini&lt;=T$1)*(Aus_Fim&gt;=T$1)*(Aus_Cod&gt;0))&gt;1,"!",IFERROR(INDEX(Aus_Siglas,SUMPRODUCT((Aus_Tec=$I4)*(Aus_Ini&lt;=T$1)*(Aus_Fim&gt;=T$1)*Aus_Cod)),"!"))))</f>
        <v/>
      </c>
      <c r="U4" s="44">
        <f>IF(OR($I4="",U$1=""),"",IF(SUMPRODUCT((Aus_Tec=$I4)*(Aus_Ini&lt;=U$1)*(Aus_Fim&gt;=U$1)*(Aus_Cod&gt;0))=0,"",IF(SUMPRODUCT((Aus_Tec=$I4)*(Aus_Ini&lt;=U$1)*(Aus_Fim&gt;=U$1)*(Aus_Cod&gt;0))&gt;1,"!",IFERROR(INDEX(Aus_Siglas,SUMPRODUCT((Aus_Tec=$I4)*(Aus_Ini&lt;=U$1)*(Aus_Fim&gt;=U$1)*Aus_Cod)),"!"))))</f>
        <v/>
      </c>
      <c r="V4" s="44">
        <f>IF(OR($I4="",V$1=""),"",IF(SUMPRODUCT((Aus_Tec=$I4)*(Aus_Ini&lt;=V$1)*(Aus_Fim&gt;=V$1)*(Aus_Cod&gt;0))=0,"",IF(SUMPRODUCT((Aus_Tec=$I4)*(Aus_Ini&lt;=V$1)*(Aus_Fim&gt;=V$1)*(Aus_Cod&gt;0))&gt;1,"!",IFERROR(INDEX(Aus_Siglas,SUMPRODUCT((Aus_Tec=$I4)*(Aus_Ini&lt;=V$1)*(Aus_Fim&gt;=V$1)*Aus_Cod)),"!"))))</f>
        <v/>
      </c>
      <c r="W4" s="44">
        <f>IF(OR($I4="",W$1=""),"",IF(SUMPRODUCT((Aus_Tec=$I4)*(Aus_Ini&lt;=W$1)*(Aus_Fim&gt;=W$1)*(Aus_Cod&gt;0))=0,"",IF(SUMPRODUCT((Aus_Tec=$I4)*(Aus_Ini&lt;=W$1)*(Aus_Fim&gt;=W$1)*(Aus_Cod&gt;0))&gt;1,"!",IFERROR(INDEX(Aus_Siglas,SUMPRODUCT((Aus_Tec=$I4)*(Aus_Ini&lt;=W$1)*(Aus_Fim&gt;=W$1)*Aus_Cod)),"!"))))</f>
        <v/>
      </c>
      <c r="X4" s="44">
        <f>IF(OR($I4="",X$1=""),"",IF(SUMPRODUCT((Aus_Tec=$I4)*(Aus_Ini&lt;=X$1)*(Aus_Fim&gt;=X$1)*(Aus_Cod&gt;0))=0,"",IF(SUMPRODUCT((Aus_Tec=$I4)*(Aus_Ini&lt;=X$1)*(Aus_Fim&gt;=X$1)*(Aus_Cod&gt;0))&gt;1,"!",IFERROR(INDEX(Aus_Siglas,SUMPRODUCT((Aus_Tec=$I4)*(Aus_Ini&lt;=X$1)*(Aus_Fim&gt;=X$1)*Aus_Cod)),"!"))))</f>
        <v/>
      </c>
      <c r="Y4" s="44">
        <f>IF(OR($I4="",Y$1=""),"",IF(SUMPRODUCT((Aus_Tec=$I4)*(Aus_Ini&lt;=Y$1)*(Aus_Fim&gt;=Y$1)*(Aus_Cod&gt;0))=0,"",IF(SUMPRODUCT((Aus_Tec=$I4)*(Aus_Ini&lt;=Y$1)*(Aus_Fim&gt;=Y$1)*(Aus_Cod&gt;0))&gt;1,"!",IFERROR(INDEX(Aus_Siglas,SUMPRODUCT((Aus_Tec=$I4)*(Aus_Ini&lt;=Y$1)*(Aus_Fim&gt;=Y$1)*Aus_Cod)),"!"))))</f>
        <v/>
      </c>
      <c r="Z4" s="44">
        <f>IF(OR($I4="",Z$1=""),"",IF(SUMPRODUCT((Aus_Tec=$I4)*(Aus_Ini&lt;=Z$1)*(Aus_Fim&gt;=Z$1)*(Aus_Cod&gt;0))=0,"",IF(SUMPRODUCT((Aus_Tec=$I4)*(Aus_Ini&lt;=Z$1)*(Aus_Fim&gt;=Z$1)*(Aus_Cod&gt;0))&gt;1,"!",IFERROR(INDEX(Aus_Siglas,SUMPRODUCT((Aus_Tec=$I4)*(Aus_Ini&lt;=Z$1)*(Aus_Fim&gt;=Z$1)*Aus_Cod)),"!"))))</f>
        <v/>
      </c>
      <c r="AA4" s="44">
        <f>IF(OR($I4="",AA$1=""),"",IF(SUMPRODUCT((Aus_Tec=$I4)*(Aus_Ini&lt;=AA$1)*(Aus_Fim&gt;=AA$1)*(Aus_Cod&gt;0))=0,"",IF(SUMPRODUCT((Aus_Tec=$I4)*(Aus_Ini&lt;=AA$1)*(Aus_Fim&gt;=AA$1)*(Aus_Cod&gt;0))&gt;1,"!",IFERROR(INDEX(Aus_Siglas,SUMPRODUCT((Aus_Tec=$I4)*(Aus_Ini&lt;=AA$1)*(Aus_Fim&gt;=AA$1)*Aus_Cod)),"!"))))</f>
        <v/>
      </c>
      <c r="AB4" s="44">
        <f>IF(OR($I4="",AB$1=""),"",IF(SUMPRODUCT((Aus_Tec=$I4)*(Aus_Ini&lt;=AB$1)*(Aus_Fim&gt;=AB$1)*(Aus_Cod&gt;0))=0,"",IF(SUMPRODUCT((Aus_Tec=$I4)*(Aus_Ini&lt;=AB$1)*(Aus_Fim&gt;=AB$1)*(Aus_Cod&gt;0))&gt;1,"!",IFERROR(INDEX(Aus_Siglas,SUMPRODUCT((Aus_Tec=$I4)*(Aus_Ini&lt;=AB$1)*(Aus_Fim&gt;=AB$1)*Aus_Cod)),"!"))))</f>
        <v/>
      </c>
      <c r="AC4" s="44">
        <f>IF(OR($I4="",AC$1=""),"",IF(SUMPRODUCT((Aus_Tec=$I4)*(Aus_Ini&lt;=AC$1)*(Aus_Fim&gt;=AC$1)*(Aus_Cod&gt;0))=0,"",IF(SUMPRODUCT((Aus_Tec=$I4)*(Aus_Ini&lt;=AC$1)*(Aus_Fim&gt;=AC$1)*(Aus_Cod&gt;0))&gt;1,"!",IFERROR(INDEX(Aus_Siglas,SUMPRODUCT((Aus_Tec=$I4)*(Aus_Ini&lt;=AC$1)*(Aus_Fim&gt;=AC$1)*Aus_Cod)),"!"))))</f>
        <v/>
      </c>
      <c r="AD4" s="44">
        <f>IF(OR($I4="",AD$1=""),"",IF(SUMPRODUCT((Aus_Tec=$I4)*(Aus_Ini&lt;=AD$1)*(Aus_Fim&gt;=AD$1)*(Aus_Cod&gt;0))=0,"",IF(SUMPRODUCT((Aus_Tec=$I4)*(Aus_Ini&lt;=AD$1)*(Aus_Fim&gt;=AD$1)*(Aus_Cod&gt;0))&gt;1,"!",IFERROR(INDEX(Aus_Siglas,SUMPRODUCT((Aus_Tec=$I4)*(Aus_Ini&lt;=AD$1)*(Aus_Fim&gt;=AD$1)*Aus_Cod)),"!"))))</f>
        <v/>
      </c>
      <c r="AE4" s="44">
        <f>IF(OR($I4="",AE$1=""),"",IF(SUMPRODUCT((Aus_Tec=$I4)*(Aus_Ini&lt;=AE$1)*(Aus_Fim&gt;=AE$1)*(Aus_Cod&gt;0))=0,"",IF(SUMPRODUCT((Aus_Tec=$I4)*(Aus_Ini&lt;=AE$1)*(Aus_Fim&gt;=AE$1)*(Aus_Cod&gt;0))&gt;1,"!",IFERROR(INDEX(Aus_Siglas,SUMPRODUCT((Aus_Tec=$I4)*(Aus_Ini&lt;=AE$1)*(Aus_Fim&gt;=AE$1)*Aus_Cod)),"!"))))</f>
        <v/>
      </c>
      <c r="AF4" s="44">
        <f>IF(OR($I4="",AF$1=""),"",IF(SUMPRODUCT((Aus_Tec=$I4)*(Aus_Ini&lt;=AF$1)*(Aus_Fim&gt;=AF$1)*(Aus_Cod&gt;0))=0,"",IF(SUMPRODUCT((Aus_Tec=$I4)*(Aus_Ini&lt;=AF$1)*(Aus_Fim&gt;=AF$1)*(Aus_Cod&gt;0))&gt;1,"!",IFERROR(INDEX(Aus_Siglas,SUMPRODUCT((Aus_Tec=$I4)*(Aus_Ini&lt;=AF$1)*(Aus_Fim&gt;=AF$1)*Aus_Cod)),"!"))))</f>
        <v/>
      </c>
      <c r="AG4" s="44">
        <f>IF(OR($I4="",AG$1=""),"",IF(SUMPRODUCT((Aus_Tec=$I4)*(Aus_Ini&lt;=AG$1)*(Aus_Fim&gt;=AG$1)*(Aus_Cod&gt;0))=0,"",IF(SUMPRODUCT((Aus_Tec=$I4)*(Aus_Ini&lt;=AG$1)*(Aus_Fim&gt;=AG$1)*(Aus_Cod&gt;0))&gt;1,"!",IFERROR(INDEX(Aus_Siglas,SUMPRODUCT((Aus_Tec=$I4)*(Aus_Ini&lt;=AG$1)*(Aus_Fim&gt;=AG$1)*Aus_Cod)),"!"))))</f>
        <v/>
      </c>
      <c r="AH4" s="44">
        <f>IF(OR($I4="",AH$1=""),"",IF(SUMPRODUCT((Aus_Tec=$I4)*(Aus_Ini&lt;=AH$1)*(Aus_Fim&gt;=AH$1)*(Aus_Cod&gt;0))=0,"",IF(SUMPRODUCT((Aus_Tec=$I4)*(Aus_Ini&lt;=AH$1)*(Aus_Fim&gt;=AH$1)*(Aus_Cod&gt;0))&gt;1,"!",IFERROR(INDEX(Aus_Siglas,SUMPRODUCT((Aus_Tec=$I4)*(Aus_Ini&lt;=AH$1)*(Aus_Fim&gt;=AH$1)*Aus_Cod)),"!"))))</f>
        <v/>
      </c>
      <c r="AI4" s="44">
        <f>IF(OR($I4="",AI$1=""),"",IF(SUMPRODUCT((Aus_Tec=$I4)*(Aus_Ini&lt;=AI$1)*(Aus_Fim&gt;=AI$1)*(Aus_Cod&gt;0))=0,"",IF(SUMPRODUCT((Aus_Tec=$I4)*(Aus_Ini&lt;=AI$1)*(Aus_Fim&gt;=AI$1)*(Aus_Cod&gt;0))&gt;1,"!",IFERROR(INDEX(Aus_Siglas,SUMPRODUCT((Aus_Tec=$I4)*(Aus_Ini&lt;=AI$1)*(Aus_Fim&gt;=AI$1)*Aus_Cod)),"!"))))</f>
        <v/>
      </c>
      <c r="AJ4" s="44">
        <f>IF(OR($I4="",AJ$1=""),"",IF(SUMPRODUCT((Aus_Tec=$I4)*(Aus_Ini&lt;=AJ$1)*(Aus_Fim&gt;=AJ$1)*(Aus_Cod&gt;0))=0,"",IF(SUMPRODUCT((Aus_Tec=$I4)*(Aus_Ini&lt;=AJ$1)*(Aus_Fim&gt;=AJ$1)*(Aus_Cod&gt;0))&gt;1,"!",IFERROR(INDEX(Aus_Siglas,SUMPRODUCT((Aus_Tec=$I4)*(Aus_Ini&lt;=AJ$1)*(Aus_Fim&gt;=AJ$1)*Aus_Cod)),"!"))))</f>
        <v/>
      </c>
      <c r="AK4" s="44">
        <f>IF(OR($I4="",AK$1=""),"",IF(SUMPRODUCT((Aus_Tec=$I4)*(Aus_Ini&lt;=AK$1)*(Aus_Fim&gt;=AK$1)*(Aus_Cod&gt;0))=0,"",IF(SUMPRODUCT((Aus_Tec=$I4)*(Aus_Ini&lt;=AK$1)*(Aus_Fim&gt;=AK$1)*(Aus_Cod&gt;0))&gt;1,"!",IFERROR(INDEX(Aus_Siglas,SUMPRODUCT((Aus_Tec=$I4)*(Aus_Ini&lt;=AK$1)*(Aus_Fim&gt;=AK$1)*Aus_Cod)),"!"))))</f>
        <v/>
      </c>
      <c r="AL4" s="44">
        <f>IF(OR($I4="",AL$1=""),"",IF(SUMPRODUCT((Aus_Tec=$I4)*(Aus_Ini&lt;=AL$1)*(Aus_Fim&gt;=AL$1)*(Aus_Cod&gt;0))=0,"",IF(SUMPRODUCT((Aus_Tec=$I4)*(Aus_Ini&lt;=AL$1)*(Aus_Fim&gt;=AL$1)*(Aus_Cod&gt;0))&gt;1,"!",IFERROR(INDEX(Aus_Siglas,SUMPRODUCT((Aus_Tec=$I4)*(Aus_Ini&lt;=AL$1)*(Aus_Fim&gt;=AL$1)*Aus_Cod)),"!"))))</f>
        <v/>
      </c>
      <c r="AM4" s="44">
        <f>IF(OR($I4="",AM$1=""),"",IF(SUMPRODUCT((Aus_Tec=$I4)*(Aus_Ini&lt;=AM$1)*(Aus_Fim&gt;=AM$1)*(Aus_Cod&gt;0))=0,"",IF(SUMPRODUCT((Aus_Tec=$I4)*(Aus_Ini&lt;=AM$1)*(Aus_Fim&gt;=AM$1)*(Aus_Cod&gt;0))&gt;1,"!",IFERROR(INDEX(Aus_Siglas,SUMPRODUCT((Aus_Tec=$I4)*(Aus_Ini&lt;=AM$1)*(Aus_Fim&gt;=AM$1)*Aus_Cod)),"!"))))</f>
        <v/>
      </c>
      <c r="AN4" s="44">
        <f>IF(OR($I4="",AN$1=""),"",IF(SUMPRODUCT((Aus_Tec=$I4)*(Aus_Ini&lt;=AN$1)*(Aus_Fim&gt;=AN$1)*(Aus_Cod&gt;0))=0,"",IF(SUMPRODUCT((Aus_Tec=$I4)*(Aus_Ini&lt;=AN$1)*(Aus_Fim&gt;=AN$1)*(Aus_Cod&gt;0))&gt;1,"!",IFERROR(INDEX(Aus_Siglas,SUMPRODUCT((Aus_Tec=$I4)*(Aus_Ini&lt;=AN$1)*(Aus_Fim&gt;=AN$1)*Aus_Cod)),"!"))))</f>
        <v/>
      </c>
    </row>
    <row r="5">
      <c r="A5" s="33" t="inlineStr">
        <is>
          <t>Elaine Mafra</t>
        </is>
      </c>
      <c r="B5" s="31" t="inlineStr">
        <is>
          <t>Folga</t>
        </is>
      </c>
      <c r="C5" s="30" t="n">
        <v>46254</v>
      </c>
      <c r="D5" s="30" t="n">
        <v>46254</v>
      </c>
      <c r="E5" s="20">
        <f>IF(OR($A5="",NOT(ISNUMBER($C5)),NOT(ISNUMBER($D5))),"",$D5-$C5+1)</f>
        <v/>
      </c>
      <c r="F5" s="33" t="inlineStr"/>
      <c r="G5" s="35">
        <f>IF(AND($A5&lt;&gt;"",ISNUMBER($C5),ISNUMBER($D5),$C5&lt;=Data_Mapa,$D5&gt;=Data_Mapa),$A5,"")</f>
        <v/>
      </c>
      <c r="H5" s="35">
        <f>IF($A5="",0,IFERROR(MATCH($B5,Aus_Tipos,0),0))</f>
        <v/>
      </c>
      <c r="I5" s="43">
        <f>IF('Equipe'!$B$4="","",'Equipe'!$B$4)</f>
        <v/>
      </c>
      <c r="J5" s="44">
        <f>IF(OR($I5="",J$1=""),"",IF(SUMPRODUCT((Aus_Tec=$I5)*(Aus_Ini&lt;=J$1)*(Aus_Fim&gt;=J$1)*(Aus_Cod&gt;0))=0,"",IF(SUMPRODUCT((Aus_Tec=$I5)*(Aus_Ini&lt;=J$1)*(Aus_Fim&gt;=J$1)*(Aus_Cod&gt;0))&gt;1,"!",IFERROR(INDEX(Aus_Siglas,SUMPRODUCT((Aus_Tec=$I5)*(Aus_Ini&lt;=J$1)*(Aus_Fim&gt;=J$1)*Aus_Cod)),"!"))))</f>
        <v/>
      </c>
      <c r="K5" s="44">
        <f>IF(OR($I5="",K$1=""),"",IF(SUMPRODUCT((Aus_Tec=$I5)*(Aus_Ini&lt;=K$1)*(Aus_Fim&gt;=K$1)*(Aus_Cod&gt;0))=0,"",IF(SUMPRODUCT((Aus_Tec=$I5)*(Aus_Ini&lt;=K$1)*(Aus_Fim&gt;=K$1)*(Aus_Cod&gt;0))&gt;1,"!",IFERROR(INDEX(Aus_Siglas,SUMPRODUCT((Aus_Tec=$I5)*(Aus_Ini&lt;=K$1)*(Aus_Fim&gt;=K$1)*Aus_Cod)),"!"))))</f>
        <v/>
      </c>
      <c r="L5" s="44">
        <f>IF(OR($I5="",L$1=""),"",IF(SUMPRODUCT((Aus_Tec=$I5)*(Aus_Ini&lt;=L$1)*(Aus_Fim&gt;=L$1)*(Aus_Cod&gt;0))=0,"",IF(SUMPRODUCT((Aus_Tec=$I5)*(Aus_Ini&lt;=L$1)*(Aus_Fim&gt;=L$1)*(Aus_Cod&gt;0))&gt;1,"!",IFERROR(INDEX(Aus_Siglas,SUMPRODUCT((Aus_Tec=$I5)*(Aus_Ini&lt;=L$1)*(Aus_Fim&gt;=L$1)*Aus_Cod)),"!"))))</f>
        <v/>
      </c>
      <c r="M5" s="44">
        <f>IF(OR($I5="",M$1=""),"",IF(SUMPRODUCT((Aus_Tec=$I5)*(Aus_Ini&lt;=M$1)*(Aus_Fim&gt;=M$1)*(Aus_Cod&gt;0))=0,"",IF(SUMPRODUCT((Aus_Tec=$I5)*(Aus_Ini&lt;=M$1)*(Aus_Fim&gt;=M$1)*(Aus_Cod&gt;0))&gt;1,"!",IFERROR(INDEX(Aus_Siglas,SUMPRODUCT((Aus_Tec=$I5)*(Aus_Ini&lt;=M$1)*(Aus_Fim&gt;=M$1)*Aus_Cod)),"!"))))</f>
        <v/>
      </c>
      <c r="N5" s="44">
        <f>IF(OR($I5="",N$1=""),"",IF(SUMPRODUCT((Aus_Tec=$I5)*(Aus_Ini&lt;=N$1)*(Aus_Fim&gt;=N$1)*(Aus_Cod&gt;0))=0,"",IF(SUMPRODUCT((Aus_Tec=$I5)*(Aus_Ini&lt;=N$1)*(Aus_Fim&gt;=N$1)*(Aus_Cod&gt;0))&gt;1,"!",IFERROR(INDEX(Aus_Siglas,SUMPRODUCT((Aus_Tec=$I5)*(Aus_Ini&lt;=N$1)*(Aus_Fim&gt;=N$1)*Aus_Cod)),"!"))))</f>
        <v/>
      </c>
      <c r="O5" s="44">
        <f>IF(OR($I5="",O$1=""),"",IF(SUMPRODUCT((Aus_Tec=$I5)*(Aus_Ini&lt;=O$1)*(Aus_Fim&gt;=O$1)*(Aus_Cod&gt;0))=0,"",IF(SUMPRODUCT((Aus_Tec=$I5)*(Aus_Ini&lt;=O$1)*(Aus_Fim&gt;=O$1)*(Aus_Cod&gt;0))&gt;1,"!",IFERROR(INDEX(Aus_Siglas,SUMPRODUCT((Aus_Tec=$I5)*(Aus_Ini&lt;=O$1)*(Aus_Fim&gt;=O$1)*Aus_Cod)),"!"))))</f>
        <v/>
      </c>
      <c r="P5" s="44">
        <f>IF(OR($I5="",P$1=""),"",IF(SUMPRODUCT((Aus_Tec=$I5)*(Aus_Ini&lt;=P$1)*(Aus_Fim&gt;=P$1)*(Aus_Cod&gt;0))=0,"",IF(SUMPRODUCT((Aus_Tec=$I5)*(Aus_Ini&lt;=P$1)*(Aus_Fim&gt;=P$1)*(Aus_Cod&gt;0))&gt;1,"!",IFERROR(INDEX(Aus_Siglas,SUMPRODUCT((Aus_Tec=$I5)*(Aus_Ini&lt;=P$1)*(Aus_Fim&gt;=P$1)*Aus_Cod)),"!"))))</f>
        <v/>
      </c>
      <c r="Q5" s="44">
        <f>IF(OR($I5="",Q$1=""),"",IF(SUMPRODUCT((Aus_Tec=$I5)*(Aus_Ini&lt;=Q$1)*(Aus_Fim&gt;=Q$1)*(Aus_Cod&gt;0))=0,"",IF(SUMPRODUCT((Aus_Tec=$I5)*(Aus_Ini&lt;=Q$1)*(Aus_Fim&gt;=Q$1)*(Aus_Cod&gt;0))&gt;1,"!",IFERROR(INDEX(Aus_Siglas,SUMPRODUCT((Aus_Tec=$I5)*(Aus_Ini&lt;=Q$1)*(Aus_Fim&gt;=Q$1)*Aus_Cod)),"!"))))</f>
        <v/>
      </c>
      <c r="R5" s="44">
        <f>IF(OR($I5="",R$1=""),"",IF(SUMPRODUCT((Aus_Tec=$I5)*(Aus_Ini&lt;=R$1)*(Aus_Fim&gt;=R$1)*(Aus_Cod&gt;0))=0,"",IF(SUMPRODUCT((Aus_Tec=$I5)*(Aus_Ini&lt;=R$1)*(Aus_Fim&gt;=R$1)*(Aus_Cod&gt;0))&gt;1,"!",IFERROR(INDEX(Aus_Siglas,SUMPRODUCT((Aus_Tec=$I5)*(Aus_Ini&lt;=R$1)*(Aus_Fim&gt;=R$1)*Aus_Cod)),"!"))))</f>
        <v/>
      </c>
      <c r="S5" s="44">
        <f>IF(OR($I5="",S$1=""),"",IF(SUMPRODUCT((Aus_Tec=$I5)*(Aus_Ini&lt;=S$1)*(Aus_Fim&gt;=S$1)*(Aus_Cod&gt;0))=0,"",IF(SUMPRODUCT((Aus_Tec=$I5)*(Aus_Ini&lt;=S$1)*(Aus_Fim&gt;=S$1)*(Aus_Cod&gt;0))&gt;1,"!",IFERROR(INDEX(Aus_Siglas,SUMPRODUCT((Aus_Tec=$I5)*(Aus_Ini&lt;=S$1)*(Aus_Fim&gt;=S$1)*Aus_Cod)),"!"))))</f>
        <v/>
      </c>
      <c r="T5" s="44">
        <f>IF(OR($I5="",T$1=""),"",IF(SUMPRODUCT((Aus_Tec=$I5)*(Aus_Ini&lt;=T$1)*(Aus_Fim&gt;=T$1)*(Aus_Cod&gt;0))=0,"",IF(SUMPRODUCT((Aus_Tec=$I5)*(Aus_Ini&lt;=T$1)*(Aus_Fim&gt;=T$1)*(Aus_Cod&gt;0))&gt;1,"!",IFERROR(INDEX(Aus_Siglas,SUMPRODUCT((Aus_Tec=$I5)*(Aus_Ini&lt;=T$1)*(Aus_Fim&gt;=T$1)*Aus_Cod)),"!"))))</f>
        <v/>
      </c>
      <c r="U5" s="44">
        <f>IF(OR($I5="",U$1=""),"",IF(SUMPRODUCT((Aus_Tec=$I5)*(Aus_Ini&lt;=U$1)*(Aus_Fim&gt;=U$1)*(Aus_Cod&gt;0))=0,"",IF(SUMPRODUCT((Aus_Tec=$I5)*(Aus_Ini&lt;=U$1)*(Aus_Fim&gt;=U$1)*(Aus_Cod&gt;0))&gt;1,"!",IFERROR(INDEX(Aus_Siglas,SUMPRODUCT((Aus_Tec=$I5)*(Aus_Ini&lt;=U$1)*(Aus_Fim&gt;=U$1)*Aus_Cod)),"!"))))</f>
        <v/>
      </c>
      <c r="V5" s="44">
        <f>IF(OR($I5="",V$1=""),"",IF(SUMPRODUCT((Aus_Tec=$I5)*(Aus_Ini&lt;=V$1)*(Aus_Fim&gt;=V$1)*(Aus_Cod&gt;0))=0,"",IF(SUMPRODUCT((Aus_Tec=$I5)*(Aus_Ini&lt;=V$1)*(Aus_Fim&gt;=V$1)*(Aus_Cod&gt;0))&gt;1,"!",IFERROR(INDEX(Aus_Siglas,SUMPRODUCT((Aus_Tec=$I5)*(Aus_Ini&lt;=V$1)*(Aus_Fim&gt;=V$1)*Aus_Cod)),"!"))))</f>
        <v/>
      </c>
      <c r="W5" s="44">
        <f>IF(OR($I5="",W$1=""),"",IF(SUMPRODUCT((Aus_Tec=$I5)*(Aus_Ini&lt;=W$1)*(Aus_Fim&gt;=W$1)*(Aus_Cod&gt;0))=0,"",IF(SUMPRODUCT((Aus_Tec=$I5)*(Aus_Ini&lt;=W$1)*(Aus_Fim&gt;=W$1)*(Aus_Cod&gt;0))&gt;1,"!",IFERROR(INDEX(Aus_Siglas,SUMPRODUCT((Aus_Tec=$I5)*(Aus_Ini&lt;=W$1)*(Aus_Fim&gt;=W$1)*Aus_Cod)),"!"))))</f>
        <v/>
      </c>
      <c r="X5" s="44">
        <f>IF(OR($I5="",X$1=""),"",IF(SUMPRODUCT((Aus_Tec=$I5)*(Aus_Ini&lt;=X$1)*(Aus_Fim&gt;=X$1)*(Aus_Cod&gt;0))=0,"",IF(SUMPRODUCT((Aus_Tec=$I5)*(Aus_Ini&lt;=X$1)*(Aus_Fim&gt;=X$1)*(Aus_Cod&gt;0))&gt;1,"!",IFERROR(INDEX(Aus_Siglas,SUMPRODUCT((Aus_Tec=$I5)*(Aus_Ini&lt;=X$1)*(Aus_Fim&gt;=X$1)*Aus_Cod)),"!"))))</f>
        <v/>
      </c>
      <c r="Y5" s="44">
        <f>IF(OR($I5="",Y$1=""),"",IF(SUMPRODUCT((Aus_Tec=$I5)*(Aus_Ini&lt;=Y$1)*(Aus_Fim&gt;=Y$1)*(Aus_Cod&gt;0))=0,"",IF(SUMPRODUCT((Aus_Tec=$I5)*(Aus_Ini&lt;=Y$1)*(Aus_Fim&gt;=Y$1)*(Aus_Cod&gt;0))&gt;1,"!",IFERROR(INDEX(Aus_Siglas,SUMPRODUCT((Aus_Tec=$I5)*(Aus_Ini&lt;=Y$1)*(Aus_Fim&gt;=Y$1)*Aus_Cod)),"!"))))</f>
        <v/>
      </c>
      <c r="Z5" s="44">
        <f>IF(OR($I5="",Z$1=""),"",IF(SUMPRODUCT((Aus_Tec=$I5)*(Aus_Ini&lt;=Z$1)*(Aus_Fim&gt;=Z$1)*(Aus_Cod&gt;0))=0,"",IF(SUMPRODUCT((Aus_Tec=$I5)*(Aus_Ini&lt;=Z$1)*(Aus_Fim&gt;=Z$1)*(Aus_Cod&gt;0))&gt;1,"!",IFERROR(INDEX(Aus_Siglas,SUMPRODUCT((Aus_Tec=$I5)*(Aus_Ini&lt;=Z$1)*(Aus_Fim&gt;=Z$1)*Aus_Cod)),"!"))))</f>
        <v/>
      </c>
      <c r="AA5" s="44">
        <f>IF(OR($I5="",AA$1=""),"",IF(SUMPRODUCT((Aus_Tec=$I5)*(Aus_Ini&lt;=AA$1)*(Aus_Fim&gt;=AA$1)*(Aus_Cod&gt;0))=0,"",IF(SUMPRODUCT((Aus_Tec=$I5)*(Aus_Ini&lt;=AA$1)*(Aus_Fim&gt;=AA$1)*(Aus_Cod&gt;0))&gt;1,"!",IFERROR(INDEX(Aus_Siglas,SUMPRODUCT((Aus_Tec=$I5)*(Aus_Ini&lt;=AA$1)*(Aus_Fim&gt;=AA$1)*Aus_Cod)),"!"))))</f>
        <v/>
      </c>
      <c r="AB5" s="44">
        <f>IF(OR($I5="",AB$1=""),"",IF(SUMPRODUCT((Aus_Tec=$I5)*(Aus_Ini&lt;=AB$1)*(Aus_Fim&gt;=AB$1)*(Aus_Cod&gt;0))=0,"",IF(SUMPRODUCT((Aus_Tec=$I5)*(Aus_Ini&lt;=AB$1)*(Aus_Fim&gt;=AB$1)*(Aus_Cod&gt;0))&gt;1,"!",IFERROR(INDEX(Aus_Siglas,SUMPRODUCT((Aus_Tec=$I5)*(Aus_Ini&lt;=AB$1)*(Aus_Fim&gt;=AB$1)*Aus_Cod)),"!"))))</f>
        <v/>
      </c>
      <c r="AC5" s="44">
        <f>IF(OR($I5="",AC$1=""),"",IF(SUMPRODUCT((Aus_Tec=$I5)*(Aus_Ini&lt;=AC$1)*(Aus_Fim&gt;=AC$1)*(Aus_Cod&gt;0))=0,"",IF(SUMPRODUCT((Aus_Tec=$I5)*(Aus_Ini&lt;=AC$1)*(Aus_Fim&gt;=AC$1)*(Aus_Cod&gt;0))&gt;1,"!",IFERROR(INDEX(Aus_Siglas,SUMPRODUCT((Aus_Tec=$I5)*(Aus_Ini&lt;=AC$1)*(Aus_Fim&gt;=AC$1)*Aus_Cod)),"!"))))</f>
        <v/>
      </c>
      <c r="AD5" s="44">
        <f>IF(OR($I5="",AD$1=""),"",IF(SUMPRODUCT((Aus_Tec=$I5)*(Aus_Ini&lt;=AD$1)*(Aus_Fim&gt;=AD$1)*(Aus_Cod&gt;0))=0,"",IF(SUMPRODUCT((Aus_Tec=$I5)*(Aus_Ini&lt;=AD$1)*(Aus_Fim&gt;=AD$1)*(Aus_Cod&gt;0))&gt;1,"!",IFERROR(INDEX(Aus_Siglas,SUMPRODUCT((Aus_Tec=$I5)*(Aus_Ini&lt;=AD$1)*(Aus_Fim&gt;=AD$1)*Aus_Cod)),"!"))))</f>
        <v/>
      </c>
      <c r="AE5" s="44">
        <f>IF(OR($I5="",AE$1=""),"",IF(SUMPRODUCT((Aus_Tec=$I5)*(Aus_Ini&lt;=AE$1)*(Aus_Fim&gt;=AE$1)*(Aus_Cod&gt;0))=0,"",IF(SUMPRODUCT((Aus_Tec=$I5)*(Aus_Ini&lt;=AE$1)*(Aus_Fim&gt;=AE$1)*(Aus_Cod&gt;0))&gt;1,"!",IFERROR(INDEX(Aus_Siglas,SUMPRODUCT((Aus_Tec=$I5)*(Aus_Ini&lt;=AE$1)*(Aus_Fim&gt;=AE$1)*Aus_Cod)),"!"))))</f>
        <v/>
      </c>
      <c r="AF5" s="44">
        <f>IF(OR($I5="",AF$1=""),"",IF(SUMPRODUCT((Aus_Tec=$I5)*(Aus_Ini&lt;=AF$1)*(Aus_Fim&gt;=AF$1)*(Aus_Cod&gt;0))=0,"",IF(SUMPRODUCT((Aus_Tec=$I5)*(Aus_Ini&lt;=AF$1)*(Aus_Fim&gt;=AF$1)*(Aus_Cod&gt;0))&gt;1,"!",IFERROR(INDEX(Aus_Siglas,SUMPRODUCT((Aus_Tec=$I5)*(Aus_Ini&lt;=AF$1)*(Aus_Fim&gt;=AF$1)*Aus_Cod)),"!"))))</f>
        <v/>
      </c>
      <c r="AG5" s="44">
        <f>IF(OR($I5="",AG$1=""),"",IF(SUMPRODUCT((Aus_Tec=$I5)*(Aus_Ini&lt;=AG$1)*(Aus_Fim&gt;=AG$1)*(Aus_Cod&gt;0))=0,"",IF(SUMPRODUCT((Aus_Tec=$I5)*(Aus_Ini&lt;=AG$1)*(Aus_Fim&gt;=AG$1)*(Aus_Cod&gt;0))&gt;1,"!",IFERROR(INDEX(Aus_Siglas,SUMPRODUCT((Aus_Tec=$I5)*(Aus_Ini&lt;=AG$1)*(Aus_Fim&gt;=AG$1)*Aus_Cod)),"!"))))</f>
        <v/>
      </c>
      <c r="AH5" s="44">
        <f>IF(OR($I5="",AH$1=""),"",IF(SUMPRODUCT((Aus_Tec=$I5)*(Aus_Ini&lt;=AH$1)*(Aus_Fim&gt;=AH$1)*(Aus_Cod&gt;0))=0,"",IF(SUMPRODUCT((Aus_Tec=$I5)*(Aus_Ini&lt;=AH$1)*(Aus_Fim&gt;=AH$1)*(Aus_Cod&gt;0))&gt;1,"!",IFERROR(INDEX(Aus_Siglas,SUMPRODUCT((Aus_Tec=$I5)*(Aus_Ini&lt;=AH$1)*(Aus_Fim&gt;=AH$1)*Aus_Cod)),"!"))))</f>
        <v/>
      </c>
      <c r="AI5" s="44">
        <f>IF(OR($I5="",AI$1=""),"",IF(SUMPRODUCT((Aus_Tec=$I5)*(Aus_Ini&lt;=AI$1)*(Aus_Fim&gt;=AI$1)*(Aus_Cod&gt;0))=0,"",IF(SUMPRODUCT((Aus_Tec=$I5)*(Aus_Ini&lt;=AI$1)*(Aus_Fim&gt;=AI$1)*(Aus_Cod&gt;0))&gt;1,"!",IFERROR(INDEX(Aus_Siglas,SUMPRODUCT((Aus_Tec=$I5)*(Aus_Ini&lt;=AI$1)*(Aus_Fim&gt;=AI$1)*Aus_Cod)),"!"))))</f>
        <v/>
      </c>
      <c r="AJ5" s="44">
        <f>IF(OR($I5="",AJ$1=""),"",IF(SUMPRODUCT((Aus_Tec=$I5)*(Aus_Ini&lt;=AJ$1)*(Aus_Fim&gt;=AJ$1)*(Aus_Cod&gt;0))=0,"",IF(SUMPRODUCT((Aus_Tec=$I5)*(Aus_Ini&lt;=AJ$1)*(Aus_Fim&gt;=AJ$1)*(Aus_Cod&gt;0))&gt;1,"!",IFERROR(INDEX(Aus_Siglas,SUMPRODUCT((Aus_Tec=$I5)*(Aus_Ini&lt;=AJ$1)*(Aus_Fim&gt;=AJ$1)*Aus_Cod)),"!"))))</f>
        <v/>
      </c>
      <c r="AK5" s="44">
        <f>IF(OR($I5="",AK$1=""),"",IF(SUMPRODUCT((Aus_Tec=$I5)*(Aus_Ini&lt;=AK$1)*(Aus_Fim&gt;=AK$1)*(Aus_Cod&gt;0))=0,"",IF(SUMPRODUCT((Aus_Tec=$I5)*(Aus_Ini&lt;=AK$1)*(Aus_Fim&gt;=AK$1)*(Aus_Cod&gt;0))&gt;1,"!",IFERROR(INDEX(Aus_Siglas,SUMPRODUCT((Aus_Tec=$I5)*(Aus_Ini&lt;=AK$1)*(Aus_Fim&gt;=AK$1)*Aus_Cod)),"!"))))</f>
        <v/>
      </c>
      <c r="AL5" s="44">
        <f>IF(OR($I5="",AL$1=""),"",IF(SUMPRODUCT((Aus_Tec=$I5)*(Aus_Ini&lt;=AL$1)*(Aus_Fim&gt;=AL$1)*(Aus_Cod&gt;0))=0,"",IF(SUMPRODUCT((Aus_Tec=$I5)*(Aus_Ini&lt;=AL$1)*(Aus_Fim&gt;=AL$1)*(Aus_Cod&gt;0))&gt;1,"!",IFERROR(INDEX(Aus_Siglas,SUMPRODUCT((Aus_Tec=$I5)*(Aus_Ini&lt;=AL$1)*(Aus_Fim&gt;=AL$1)*Aus_Cod)),"!"))))</f>
        <v/>
      </c>
      <c r="AM5" s="44">
        <f>IF(OR($I5="",AM$1=""),"",IF(SUMPRODUCT((Aus_Tec=$I5)*(Aus_Ini&lt;=AM$1)*(Aus_Fim&gt;=AM$1)*(Aus_Cod&gt;0))=0,"",IF(SUMPRODUCT((Aus_Tec=$I5)*(Aus_Ini&lt;=AM$1)*(Aus_Fim&gt;=AM$1)*(Aus_Cod&gt;0))&gt;1,"!",IFERROR(INDEX(Aus_Siglas,SUMPRODUCT((Aus_Tec=$I5)*(Aus_Ini&lt;=AM$1)*(Aus_Fim&gt;=AM$1)*Aus_Cod)),"!"))))</f>
        <v/>
      </c>
      <c r="AN5" s="44">
        <f>IF(OR($I5="",AN$1=""),"",IF(SUMPRODUCT((Aus_Tec=$I5)*(Aus_Ini&lt;=AN$1)*(Aus_Fim&gt;=AN$1)*(Aus_Cod&gt;0))=0,"",IF(SUMPRODUCT((Aus_Tec=$I5)*(Aus_Ini&lt;=AN$1)*(Aus_Fim&gt;=AN$1)*(Aus_Cod&gt;0))&gt;1,"!",IFERROR(INDEX(Aus_Siglas,SUMPRODUCT((Aus_Tec=$I5)*(Aus_Ini&lt;=AN$1)*(Aus_Fim&gt;=AN$1)*Aus_Cod)),"!"))))</f>
        <v/>
      </c>
    </row>
    <row r="6">
      <c r="A6" s="33" t="inlineStr">
        <is>
          <t>Adriana Salvi</t>
        </is>
      </c>
      <c r="B6" s="31" t="inlineStr">
        <is>
          <t>Folga</t>
        </is>
      </c>
      <c r="C6" s="30" t="n">
        <v>46246</v>
      </c>
      <c r="D6" s="30" t="n">
        <v>46246</v>
      </c>
      <c r="E6" s="20">
        <f>IF(OR($A6="",NOT(ISNUMBER($C6)),NOT(ISNUMBER($D6))),"",$D6-$C6+1)</f>
        <v/>
      </c>
      <c r="F6" s="33" t="inlineStr"/>
      <c r="G6" s="35">
        <f>IF(AND($A6&lt;&gt;"",ISNUMBER($C6),ISNUMBER($D6),$C6&lt;=Data_Mapa,$D6&gt;=Data_Mapa),$A6,"")</f>
        <v/>
      </c>
      <c r="H6" s="35">
        <f>IF($A6="",0,IFERROR(MATCH($B6,Aus_Tipos,0),0))</f>
        <v/>
      </c>
      <c r="I6" s="43">
        <f>IF('Equipe'!$B$5="","",'Equipe'!$B$5)</f>
        <v/>
      </c>
      <c r="J6" s="44">
        <f>IF(OR($I6="",J$1=""),"",IF(SUMPRODUCT((Aus_Tec=$I6)*(Aus_Ini&lt;=J$1)*(Aus_Fim&gt;=J$1)*(Aus_Cod&gt;0))=0,"",IF(SUMPRODUCT((Aus_Tec=$I6)*(Aus_Ini&lt;=J$1)*(Aus_Fim&gt;=J$1)*(Aus_Cod&gt;0))&gt;1,"!",IFERROR(INDEX(Aus_Siglas,SUMPRODUCT((Aus_Tec=$I6)*(Aus_Ini&lt;=J$1)*(Aus_Fim&gt;=J$1)*Aus_Cod)),"!"))))</f>
        <v/>
      </c>
      <c r="K6" s="44">
        <f>IF(OR($I6="",K$1=""),"",IF(SUMPRODUCT((Aus_Tec=$I6)*(Aus_Ini&lt;=K$1)*(Aus_Fim&gt;=K$1)*(Aus_Cod&gt;0))=0,"",IF(SUMPRODUCT((Aus_Tec=$I6)*(Aus_Ini&lt;=K$1)*(Aus_Fim&gt;=K$1)*(Aus_Cod&gt;0))&gt;1,"!",IFERROR(INDEX(Aus_Siglas,SUMPRODUCT((Aus_Tec=$I6)*(Aus_Ini&lt;=K$1)*(Aus_Fim&gt;=K$1)*Aus_Cod)),"!"))))</f>
        <v/>
      </c>
      <c r="L6" s="44">
        <f>IF(OR($I6="",L$1=""),"",IF(SUMPRODUCT((Aus_Tec=$I6)*(Aus_Ini&lt;=L$1)*(Aus_Fim&gt;=L$1)*(Aus_Cod&gt;0))=0,"",IF(SUMPRODUCT((Aus_Tec=$I6)*(Aus_Ini&lt;=L$1)*(Aus_Fim&gt;=L$1)*(Aus_Cod&gt;0))&gt;1,"!",IFERROR(INDEX(Aus_Siglas,SUMPRODUCT((Aus_Tec=$I6)*(Aus_Ini&lt;=L$1)*(Aus_Fim&gt;=L$1)*Aus_Cod)),"!"))))</f>
        <v/>
      </c>
      <c r="M6" s="44">
        <f>IF(OR($I6="",M$1=""),"",IF(SUMPRODUCT((Aus_Tec=$I6)*(Aus_Ini&lt;=M$1)*(Aus_Fim&gt;=M$1)*(Aus_Cod&gt;0))=0,"",IF(SUMPRODUCT((Aus_Tec=$I6)*(Aus_Ini&lt;=M$1)*(Aus_Fim&gt;=M$1)*(Aus_Cod&gt;0))&gt;1,"!",IFERROR(INDEX(Aus_Siglas,SUMPRODUCT((Aus_Tec=$I6)*(Aus_Ini&lt;=M$1)*(Aus_Fim&gt;=M$1)*Aus_Cod)),"!"))))</f>
        <v/>
      </c>
      <c r="N6" s="44">
        <f>IF(OR($I6="",N$1=""),"",IF(SUMPRODUCT((Aus_Tec=$I6)*(Aus_Ini&lt;=N$1)*(Aus_Fim&gt;=N$1)*(Aus_Cod&gt;0))=0,"",IF(SUMPRODUCT((Aus_Tec=$I6)*(Aus_Ini&lt;=N$1)*(Aus_Fim&gt;=N$1)*(Aus_Cod&gt;0))&gt;1,"!",IFERROR(INDEX(Aus_Siglas,SUMPRODUCT((Aus_Tec=$I6)*(Aus_Ini&lt;=N$1)*(Aus_Fim&gt;=N$1)*Aus_Cod)),"!"))))</f>
        <v/>
      </c>
      <c r="O6" s="44">
        <f>IF(OR($I6="",O$1=""),"",IF(SUMPRODUCT((Aus_Tec=$I6)*(Aus_Ini&lt;=O$1)*(Aus_Fim&gt;=O$1)*(Aus_Cod&gt;0))=0,"",IF(SUMPRODUCT((Aus_Tec=$I6)*(Aus_Ini&lt;=O$1)*(Aus_Fim&gt;=O$1)*(Aus_Cod&gt;0))&gt;1,"!",IFERROR(INDEX(Aus_Siglas,SUMPRODUCT((Aus_Tec=$I6)*(Aus_Ini&lt;=O$1)*(Aus_Fim&gt;=O$1)*Aus_Cod)),"!"))))</f>
        <v/>
      </c>
      <c r="P6" s="44">
        <f>IF(OR($I6="",P$1=""),"",IF(SUMPRODUCT((Aus_Tec=$I6)*(Aus_Ini&lt;=P$1)*(Aus_Fim&gt;=P$1)*(Aus_Cod&gt;0))=0,"",IF(SUMPRODUCT((Aus_Tec=$I6)*(Aus_Ini&lt;=P$1)*(Aus_Fim&gt;=P$1)*(Aus_Cod&gt;0))&gt;1,"!",IFERROR(INDEX(Aus_Siglas,SUMPRODUCT((Aus_Tec=$I6)*(Aus_Ini&lt;=P$1)*(Aus_Fim&gt;=P$1)*Aus_Cod)),"!"))))</f>
        <v/>
      </c>
      <c r="Q6" s="44">
        <f>IF(OR($I6="",Q$1=""),"",IF(SUMPRODUCT((Aus_Tec=$I6)*(Aus_Ini&lt;=Q$1)*(Aus_Fim&gt;=Q$1)*(Aus_Cod&gt;0))=0,"",IF(SUMPRODUCT((Aus_Tec=$I6)*(Aus_Ini&lt;=Q$1)*(Aus_Fim&gt;=Q$1)*(Aus_Cod&gt;0))&gt;1,"!",IFERROR(INDEX(Aus_Siglas,SUMPRODUCT((Aus_Tec=$I6)*(Aus_Ini&lt;=Q$1)*(Aus_Fim&gt;=Q$1)*Aus_Cod)),"!"))))</f>
        <v/>
      </c>
      <c r="R6" s="44">
        <f>IF(OR($I6="",R$1=""),"",IF(SUMPRODUCT((Aus_Tec=$I6)*(Aus_Ini&lt;=R$1)*(Aus_Fim&gt;=R$1)*(Aus_Cod&gt;0))=0,"",IF(SUMPRODUCT((Aus_Tec=$I6)*(Aus_Ini&lt;=R$1)*(Aus_Fim&gt;=R$1)*(Aus_Cod&gt;0))&gt;1,"!",IFERROR(INDEX(Aus_Siglas,SUMPRODUCT((Aus_Tec=$I6)*(Aus_Ini&lt;=R$1)*(Aus_Fim&gt;=R$1)*Aus_Cod)),"!"))))</f>
        <v/>
      </c>
      <c r="S6" s="44">
        <f>IF(OR($I6="",S$1=""),"",IF(SUMPRODUCT((Aus_Tec=$I6)*(Aus_Ini&lt;=S$1)*(Aus_Fim&gt;=S$1)*(Aus_Cod&gt;0))=0,"",IF(SUMPRODUCT((Aus_Tec=$I6)*(Aus_Ini&lt;=S$1)*(Aus_Fim&gt;=S$1)*(Aus_Cod&gt;0))&gt;1,"!",IFERROR(INDEX(Aus_Siglas,SUMPRODUCT((Aus_Tec=$I6)*(Aus_Ini&lt;=S$1)*(Aus_Fim&gt;=S$1)*Aus_Cod)),"!"))))</f>
        <v/>
      </c>
      <c r="T6" s="44">
        <f>IF(OR($I6="",T$1=""),"",IF(SUMPRODUCT((Aus_Tec=$I6)*(Aus_Ini&lt;=T$1)*(Aus_Fim&gt;=T$1)*(Aus_Cod&gt;0))=0,"",IF(SUMPRODUCT((Aus_Tec=$I6)*(Aus_Ini&lt;=T$1)*(Aus_Fim&gt;=T$1)*(Aus_Cod&gt;0))&gt;1,"!",IFERROR(INDEX(Aus_Siglas,SUMPRODUCT((Aus_Tec=$I6)*(Aus_Ini&lt;=T$1)*(Aus_Fim&gt;=T$1)*Aus_Cod)),"!"))))</f>
        <v/>
      </c>
      <c r="U6" s="44">
        <f>IF(OR($I6="",U$1=""),"",IF(SUMPRODUCT((Aus_Tec=$I6)*(Aus_Ini&lt;=U$1)*(Aus_Fim&gt;=U$1)*(Aus_Cod&gt;0))=0,"",IF(SUMPRODUCT((Aus_Tec=$I6)*(Aus_Ini&lt;=U$1)*(Aus_Fim&gt;=U$1)*(Aus_Cod&gt;0))&gt;1,"!",IFERROR(INDEX(Aus_Siglas,SUMPRODUCT((Aus_Tec=$I6)*(Aus_Ini&lt;=U$1)*(Aus_Fim&gt;=U$1)*Aus_Cod)),"!"))))</f>
        <v/>
      </c>
      <c r="V6" s="44">
        <f>IF(OR($I6="",V$1=""),"",IF(SUMPRODUCT((Aus_Tec=$I6)*(Aus_Ini&lt;=V$1)*(Aus_Fim&gt;=V$1)*(Aus_Cod&gt;0))=0,"",IF(SUMPRODUCT((Aus_Tec=$I6)*(Aus_Ini&lt;=V$1)*(Aus_Fim&gt;=V$1)*(Aus_Cod&gt;0))&gt;1,"!",IFERROR(INDEX(Aus_Siglas,SUMPRODUCT((Aus_Tec=$I6)*(Aus_Ini&lt;=V$1)*(Aus_Fim&gt;=V$1)*Aus_Cod)),"!"))))</f>
        <v/>
      </c>
      <c r="W6" s="44">
        <f>IF(OR($I6="",W$1=""),"",IF(SUMPRODUCT((Aus_Tec=$I6)*(Aus_Ini&lt;=W$1)*(Aus_Fim&gt;=W$1)*(Aus_Cod&gt;0))=0,"",IF(SUMPRODUCT((Aus_Tec=$I6)*(Aus_Ini&lt;=W$1)*(Aus_Fim&gt;=W$1)*(Aus_Cod&gt;0))&gt;1,"!",IFERROR(INDEX(Aus_Siglas,SUMPRODUCT((Aus_Tec=$I6)*(Aus_Ini&lt;=W$1)*(Aus_Fim&gt;=W$1)*Aus_Cod)),"!"))))</f>
        <v/>
      </c>
      <c r="X6" s="44">
        <f>IF(OR($I6="",X$1=""),"",IF(SUMPRODUCT((Aus_Tec=$I6)*(Aus_Ini&lt;=X$1)*(Aus_Fim&gt;=X$1)*(Aus_Cod&gt;0))=0,"",IF(SUMPRODUCT((Aus_Tec=$I6)*(Aus_Ini&lt;=X$1)*(Aus_Fim&gt;=X$1)*(Aus_Cod&gt;0))&gt;1,"!",IFERROR(INDEX(Aus_Siglas,SUMPRODUCT((Aus_Tec=$I6)*(Aus_Ini&lt;=X$1)*(Aus_Fim&gt;=X$1)*Aus_Cod)),"!"))))</f>
        <v/>
      </c>
      <c r="Y6" s="44">
        <f>IF(OR($I6="",Y$1=""),"",IF(SUMPRODUCT((Aus_Tec=$I6)*(Aus_Ini&lt;=Y$1)*(Aus_Fim&gt;=Y$1)*(Aus_Cod&gt;0))=0,"",IF(SUMPRODUCT((Aus_Tec=$I6)*(Aus_Ini&lt;=Y$1)*(Aus_Fim&gt;=Y$1)*(Aus_Cod&gt;0))&gt;1,"!",IFERROR(INDEX(Aus_Siglas,SUMPRODUCT((Aus_Tec=$I6)*(Aus_Ini&lt;=Y$1)*(Aus_Fim&gt;=Y$1)*Aus_Cod)),"!"))))</f>
        <v/>
      </c>
      <c r="Z6" s="44">
        <f>IF(OR($I6="",Z$1=""),"",IF(SUMPRODUCT((Aus_Tec=$I6)*(Aus_Ini&lt;=Z$1)*(Aus_Fim&gt;=Z$1)*(Aus_Cod&gt;0))=0,"",IF(SUMPRODUCT((Aus_Tec=$I6)*(Aus_Ini&lt;=Z$1)*(Aus_Fim&gt;=Z$1)*(Aus_Cod&gt;0))&gt;1,"!",IFERROR(INDEX(Aus_Siglas,SUMPRODUCT((Aus_Tec=$I6)*(Aus_Ini&lt;=Z$1)*(Aus_Fim&gt;=Z$1)*Aus_Cod)),"!"))))</f>
        <v/>
      </c>
      <c r="AA6" s="44">
        <f>IF(OR($I6="",AA$1=""),"",IF(SUMPRODUCT((Aus_Tec=$I6)*(Aus_Ini&lt;=AA$1)*(Aus_Fim&gt;=AA$1)*(Aus_Cod&gt;0))=0,"",IF(SUMPRODUCT((Aus_Tec=$I6)*(Aus_Ini&lt;=AA$1)*(Aus_Fim&gt;=AA$1)*(Aus_Cod&gt;0))&gt;1,"!",IFERROR(INDEX(Aus_Siglas,SUMPRODUCT((Aus_Tec=$I6)*(Aus_Ini&lt;=AA$1)*(Aus_Fim&gt;=AA$1)*Aus_Cod)),"!"))))</f>
        <v/>
      </c>
      <c r="AB6" s="44">
        <f>IF(OR($I6="",AB$1=""),"",IF(SUMPRODUCT((Aus_Tec=$I6)*(Aus_Ini&lt;=AB$1)*(Aus_Fim&gt;=AB$1)*(Aus_Cod&gt;0))=0,"",IF(SUMPRODUCT((Aus_Tec=$I6)*(Aus_Ini&lt;=AB$1)*(Aus_Fim&gt;=AB$1)*(Aus_Cod&gt;0))&gt;1,"!",IFERROR(INDEX(Aus_Siglas,SUMPRODUCT((Aus_Tec=$I6)*(Aus_Ini&lt;=AB$1)*(Aus_Fim&gt;=AB$1)*Aus_Cod)),"!"))))</f>
        <v/>
      </c>
      <c r="AC6" s="44">
        <f>IF(OR($I6="",AC$1=""),"",IF(SUMPRODUCT((Aus_Tec=$I6)*(Aus_Ini&lt;=AC$1)*(Aus_Fim&gt;=AC$1)*(Aus_Cod&gt;0))=0,"",IF(SUMPRODUCT((Aus_Tec=$I6)*(Aus_Ini&lt;=AC$1)*(Aus_Fim&gt;=AC$1)*(Aus_Cod&gt;0))&gt;1,"!",IFERROR(INDEX(Aus_Siglas,SUMPRODUCT((Aus_Tec=$I6)*(Aus_Ini&lt;=AC$1)*(Aus_Fim&gt;=AC$1)*Aus_Cod)),"!"))))</f>
        <v/>
      </c>
      <c r="AD6" s="44">
        <f>IF(OR($I6="",AD$1=""),"",IF(SUMPRODUCT((Aus_Tec=$I6)*(Aus_Ini&lt;=AD$1)*(Aus_Fim&gt;=AD$1)*(Aus_Cod&gt;0))=0,"",IF(SUMPRODUCT((Aus_Tec=$I6)*(Aus_Ini&lt;=AD$1)*(Aus_Fim&gt;=AD$1)*(Aus_Cod&gt;0))&gt;1,"!",IFERROR(INDEX(Aus_Siglas,SUMPRODUCT((Aus_Tec=$I6)*(Aus_Ini&lt;=AD$1)*(Aus_Fim&gt;=AD$1)*Aus_Cod)),"!"))))</f>
        <v/>
      </c>
      <c r="AE6" s="44">
        <f>IF(OR($I6="",AE$1=""),"",IF(SUMPRODUCT((Aus_Tec=$I6)*(Aus_Ini&lt;=AE$1)*(Aus_Fim&gt;=AE$1)*(Aus_Cod&gt;0))=0,"",IF(SUMPRODUCT((Aus_Tec=$I6)*(Aus_Ini&lt;=AE$1)*(Aus_Fim&gt;=AE$1)*(Aus_Cod&gt;0))&gt;1,"!",IFERROR(INDEX(Aus_Siglas,SUMPRODUCT((Aus_Tec=$I6)*(Aus_Ini&lt;=AE$1)*(Aus_Fim&gt;=AE$1)*Aus_Cod)),"!"))))</f>
        <v/>
      </c>
      <c r="AF6" s="44">
        <f>IF(OR($I6="",AF$1=""),"",IF(SUMPRODUCT((Aus_Tec=$I6)*(Aus_Ini&lt;=AF$1)*(Aus_Fim&gt;=AF$1)*(Aus_Cod&gt;0))=0,"",IF(SUMPRODUCT((Aus_Tec=$I6)*(Aus_Ini&lt;=AF$1)*(Aus_Fim&gt;=AF$1)*(Aus_Cod&gt;0))&gt;1,"!",IFERROR(INDEX(Aus_Siglas,SUMPRODUCT((Aus_Tec=$I6)*(Aus_Ini&lt;=AF$1)*(Aus_Fim&gt;=AF$1)*Aus_Cod)),"!"))))</f>
        <v/>
      </c>
      <c r="AG6" s="44">
        <f>IF(OR($I6="",AG$1=""),"",IF(SUMPRODUCT((Aus_Tec=$I6)*(Aus_Ini&lt;=AG$1)*(Aus_Fim&gt;=AG$1)*(Aus_Cod&gt;0))=0,"",IF(SUMPRODUCT((Aus_Tec=$I6)*(Aus_Ini&lt;=AG$1)*(Aus_Fim&gt;=AG$1)*(Aus_Cod&gt;0))&gt;1,"!",IFERROR(INDEX(Aus_Siglas,SUMPRODUCT((Aus_Tec=$I6)*(Aus_Ini&lt;=AG$1)*(Aus_Fim&gt;=AG$1)*Aus_Cod)),"!"))))</f>
        <v/>
      </c>
      <c r="AH6" s="44">
        <f>IF(OR($I6="",AH$1=""),"",IF(SUMPRODUCT((Aus_Tec=$I6)*(Aus_Ini&lt;=AH$1)*(Aus_Fim&gt;=AH$1)*(Aus_Cod&gt;0))=0,"",IF(SUMPRODUCT((Aus_Tec=$I6)*(Aus_Ini&lt;=AH$1)*(Aus_Fim&gt;=AH$1)*(Aus_Cod&gt;0))&gt;1,"!",IFERROR(INDEX(Aus_Siglas,SUMPRODUCT((Aus_Tec=$I6)*(Aus_Ini&lt;=AH$1)*(Aus_Fim&gt;=AH$1)*Aus_Cod)),"!"))))</f>
        <v/>
      </c>
      <c r="AI6" s="44">
        <f>IF(OR($I6="",AI$1=""),"",IF(SUMPRODUCT((Aus_Tec=$I6)*(Aus_Ini&lt;=AI$1)*(Aus_Fim&gt;=AI$1)*(Aus_Cod&gt;0))=0,"",IF(SUMPRODUCT((Aus_Tec=$I6)*(Aus_Ini&lt;=AI$1)*(Aus_Fim&gt;=AI$1)*(Aus_Cod&gt;0))&gt;1,"!",IFERROR(INDEX(Aus_Siglas,SUMPRODUCT((Aus_Tec=$I6)*(Aus_Ini&lt;=AI$1)*(Aus_Fim&gt;=AI$1)*Aus_Cod)),"!"))))</f>
        <v/>
      </c>
      <c r="AJ6" s="44">
        <f>IF(OR($I6="",AJ$1=""),"",IF(SUMPRODUCT((Aus_Tec=$I6)*(Aus_Ini&lt;=AJ$1)*(Aus_Fim&gt;=AJ$1)*(Aus_Cod&gt;0))=0,"",IF(SUMPRODUCT((Aus_Tec=$I6)*(Aus_Ini&lt;=AJ$1)*(Aus_Fim&gt;=AJ$1)*(Aus_Cod&gt;0))&gt;1,"!",IFERROR(INDEX(Aus_Siglas,SUMPRODUCT((Aus_Tec=$I6)*(Aus_Ini&lt;=AJ$1)*(Aus_Fim&gt;=AJ$1)*Aus_Cod)),"!"))))</f>
        <v/>
      </c>
      <c r="AK6" s="44">
        <f>IF(OR($I6="",AK$1=""),"",IF(SUMPRODUCT((Aus_Tec=$I6)*(Aus_Ini&lt;=AK$1)*(Aus_Fim&gt;=AK$1)*(Aus_Cod&gt;0))=0,"",IF(SUMPRODUCT((Aus_Tec=$I6)*(Aus_Ini&lt;=AK$1)*(Aus_Fim&gt;=AK$1)*(Aus_Cod&gt;0))&gt;1,"!",IFERROR(INDEX(Aus_Siglas,SUMPRODUCT((Aus_Tec=$I6)*(Aus_Ini&lt;=AK$1)*(Aus_Fim&gt;=AK$1)*Aus_Cod)),"!"))))</f>
        <v/>
      </c>
      <c r="AL6" s="44">
        <f>IF(OR($I6="",AL$1=""),"",IF(SUMPRODUCT((Aus_Tec=$I6)*(Aus_Ini&lt;=AL$1)*(Aus_Fim&gt;=AL$1)*(Aus_Cod&gt;0))=0,"",IF(SUMPRODUCT((Aus_Tec=$I6)*(Aus_Ini&lt;=AL$1)*(Aus_Fim&gt;=AL$1)*(Aus_Cod&gt;0))&gt;1,"!",IFERROR(INDEX(Aus_Siglas,SUMPRODUCT((Aus_Tec=$I6)*(Aus_Ini&lt;=AL$1)*(Aus_Fim&gt;=AL$1)*Aus_Cod)),"!"))))</f>
        <v/>
      </c>
      <c r="AM6" s="44">
        <f>IF(OR($I6="",AM$1=""),"",IF(SUMPRODUCT((Aus_Tec=$I6)*(Aus_Ini&lt;=AM$1)*(Aus_Fim&gt;=AM$1)*(Aus_Cod&gt;0))=0,"",IF(SUMPRODUCT((Aus_Tec=$I6)*(Aus_Ini&lt;=AM$1)*(Aus_Fim&gt;=AM$1)*(Aus_Cod&gt;0))&gt;1,"!",IFERROR(INDEX(Aus_Siglas,SUMPRODUCT((Aus_Tec=$I6)*(Aus_Ini&lt;=AM$1)*(Aus_Fim&gt;=AM$1)*Aus_Cod)),"!"))))</f>
        <v/>
      </c>
      <c r="AN6" s="44">
        <f>IF(OR($I6="",AN$1=""),"",IF(SUMPRODUCT((Aus_Tec=$I6)*(Aus_Ini&lt;=AN$1)*(Aus_Fim&gt;=AN$1)*(Aus_Cod&gt;0))=0,"",IF(SUMPRODUCT((Aus_Tec=$I6)*(Aus_Ini&lt;=AN$1)*(Aus_Fim&gt;=AN$1)*(Aus_Cod&gt;0))&gt;1,"!",IFERROR(INDEX(Aus_Siglas,SUMPRODUCT((Aus_Tec=$I6)*(Aus_Ini&lt;=AN$1)*(Aus_Fim&gt;=AN$1)*Aus_Cod)),"!"))))</f>
        <v/>
      </c>
    </row>
    <row r="7">
      <c r="A7" s="33" t="inlineStr">
        <is>
          <t>Bruna Cordeiro</t>
        </is>
      </c>
      <c r="B7" s="31" t="inlineStr">
        <is>
          <t>Folga</t>
        </is>
      </c>
      <c r="C7" s="30" t="n">
        <v>46247</v>
      </c>
      <c r="D7" s="30" t="n">
        <v>46247</v>
      </c>
      <c r="E7" s="20">
        <f>IF(OR($A7="",NOT(ISNUMBER($C7)),NOT(ISNUMBER($D7))),"",$D7-$C7+1)</f>
        <v/>
      </c>
      <c r="F7" s="33" t="inlineStr"/>
      <c r="G7" s="35">
        <f>IF(AND($A7&lt;&gt;"",ISNUMBER($C7),ISNUMBER($D7),$C7&lt;=Data_Mapa,$D7&gt;=Data_Mapa),$A7,"")</f>
        <v/>
      </c>
      <c r="H7" s="35">
        <f>IF($A7="",0,IFERROR(MATCH($B7,Aus_Tipos,0),0))</f>
        <v/>
      </c>
      <c r="I7" s="43">
        <f>IF('Equipe'!$B$6="","",'Equipe'!$B$6)</f>
        <v/>
      </c>
      <c r="J7" s="44">
        <f>IF(OR($I7="",J$1=""),"",IF(SUMPRODUCT((Aus_Tec=$I7)*(Aus_Ini&lt;=J$1)*(Aus_Fim&gt;=J$1)*(Aus_Cod&gt;0))=0,"",IF(SUMPRODUCT((Aus_Tec=$I7)*(Aus_Ini&lt;=J$1)*(Aus_Fim&gt;=J$1)*(Aus_Cod&gt;0))&gt;1,"!",IFERROR(INDEX(Aus_Siglas,SUMPRODUCT((Aus_Tec=$I7)*(Aus_Ini&lt;=J$1)*(Aus_Fim&gt;=J$1)*Aus_Cod)),"!"))))</f>
        <v/>
      </c>
      <c r="K7" s="44">
        <f>IF(OR($I7="",K$1=""),"",IF(SUMPRODUCT((Aus_Tec=$I7)*(Aus_Ini&lt;=K$1)*(Aus_Fim&gt;=K$1)*(Aus_Cod&gt;0))=0,"",IF(SUMPRODUCT((Aus_Tec=$I7)*(Aus_Ini&lt;=K$1)*(Aus_Fim&gt;=K$1)*(Aus_Cod&gt;0))&gt;1,"!",IFERROR(INDEX(Aus_Siglas,SUMPRODUCT((Aus_Tec=$I7)*(Aus_Ini&lt;=K$1)*(Aus_Fim&gt;=K$1)*Aus_Cod)),"!"))))</f>
        <v/>
      </c>
      <c r="L7" s="44">
        <f>IF(OR($I7="",L$1=""),"",IF(SUMPRODUCT((Aus_Tec=$I7)*(Aus_Ini&lt;=L$1)*(Aus_Fim&gt;=L$1)*(Aus_Cod&gt;0))=0,"",IF(SUMPRODUCT((Aus_Tec=$I7)*(Aus_Ini&lt;=L$1)*(Aus_Fim&gt;=L$1)*(Aus_Cod&gt;0))&gt;1,"!",IFERROR(INDEX(Aus_Siglas,SUMPRODUCT((Aus_Tec=$I7)*(Aus_Ini&lt;=L$1)*(Aus_Fim&gt;=L$1)*Aus_Cod)),"!"))))</f>
        <v/>
      </c>
      <c r="M7" s="44">
        <f>IF(OR($I7="",M$1=""),"",IF(SUMPRODUCT((Aus_Tec=$I7)*(Aus_Ini&lt;=M$1)*(Aus_Fim&gt;=M$1)*(Aus_Cod&gt;0))=0,"",IF(SUMPRODUCT((Aus_Tec=$I7)*(Aus_Ini&lt;=M$1)*(Aus_Fim&gt;=M$1)*(Aus_Cod&gt;0))&gt;1,"!",IFERROR(INDEX(Aus_Siglas,SUMPRODUCT((Aus_Tec=$I7)*(Aus_Ini&lt;=M$1)*(Aus_Fim&gt;=M$1)*Aus_Cod)),"!"))))</f>
        <v/>
      </c>
      <c r="N7" s="44">
        <f>IF(OR($I7="",N$1=""),"",IF(SUMPRODUCT((Aus_Tec=$I7)*(Aus_Ini&lt;=N$1)*(Aus_Fim&gt;=N$1)*(Aus_Cod&gt;0))=0,"",IF(SUMPRODUCT((Aus_Tec=$I7)*(Aus_Ini&lt;=N$1)*(Aus_Fim&gt;=N$1)*(Aus_Cod&gt;0))&gt;1,"!",IFERROR(INDEX(Aus_Siglas,SUMPRODUCT((Aus_Tec=$I7)*(Aus_Ini&lt;=N$1)*(Aus_Fim&gt;=N$1)*Aus_Cod)),"!"))))</f>
        <v/>
      </c>
      <c r="O7" s="44">
        <f>IF(OR($I7="",O$1=""),"",IF(SUMPRODUCT((Aus_Tec=$I7)*(Aus_Ini&lt;=O$1)*(Aus_Fim&gt;=O$1)*(Aus_Cod&gt;0))=0,"",IF(SUMPRODUCT((Aus_Tec=$I7)*(Aus_Ini&lt;=O$1)*(Aus_Fim&gt;=O$1)*(Aus_Cod&gt;0))&gt;1,"!",IFERROR(INDEX(Aus_Siglas,SUMPRODUCT((Aus_Tec=$I7)*(Aus_Ini&lt;=O$1)*(Aus_Fim&gt;=O$1)*Aus_Cod)),"!"))))</f>
        <v/>
      </c>
      <c r="P7" s="44">
        <f>IF(OR($I7="",P$1=""),"",IF(SUMPRODUCT((Aus_Tec=$I7)*(Aus_Ini&lt;=P$1)*(Aus_Fim&gt;=P$1)*(Aus_Cod&gt;0))=0,"",IF(SUMPRODUCT((Aus_Tec=$I7)*(Aus_Ini&lt;=P$1)*(Aus_Fim&gt;=P$1)*(Aus_Cod&gt;0))&gt;1,"!",IFERROR(INDEX(Aus_Siglas,SUMPRODUCT((Aus_Tec=$I7)*(Aus_Ini&lt;=P$1)*(Aus_Fim&gt;=P$1)*Aus_Cod)),"!"))))</f>
        <v/>
      </c>
      <c r="Q7" s="44">
        <f>IF(OR($I7="",Q$1=""),"",IF(SUMPRODUCT((Aus_Tec=$I7)*(Aus_Ini&lt;=Q$1)*(Aus_Fim&gt;=Q$1)*(Aus_Cod&gt;0))=0,"",IF(SUMPRODUCT((Aus_Tec=$I7)*(Aus_Ini&lt;=Q$1)*(Aus_Fim&gt;=Q$1)*(Aus_Cod&gt;0))&gt;1,"!",IFERROR(INDEX(Aus_Siglas,SUMPRODUCT((Aus_Tec=$I7)*(Aus_Ini&lt;=Q$1)*(Aus_Fim&gt;=Q$1)*Aus_Cod)),"!"))))</f>
        <v/>
      </c>
      <c r="R7" s="44">
        <f>IF(OR($I7="",R$1=""),"",IF(SUMPRODUCT((Aus_Tec=$I7)*(Aus_Ini&lt;=R$1)*(Aus_Fim&gt;=R$1)*(Aus_Cod&gt;0))=0,"",IF(SUMPRODUCT((Aus_Tec=$I7)*(Aus_Ini&lt;=R$1)*(Aus_Fim&gt;=R$1)*(Aus_Cod&gt;0))&gt;1,"!",IFERROR(INDEX(Aus_Siglas,SUMPRODUCT((Aus_Tec=$I7)*(Aus_Ini&lt;=R$1)*(Aus_Fim&gt;=R$1)*Aus_Cod)),"!"))))</f>
        <v/>
      </c>
      <c r="S7" s="44">
        <f>IF(OR($I7="",S$1=""),"",IF(SUMPRODUCT((Aus_Tec=$I7)*(Aus_Ini&lt;=S$1)*(Aus_Fim&gt;=S$1)*(Aus_Cod&gt;0))=0,"",IF(SUMPRODUCT((Aus_Tec=$I7)*(Aus_Ini&lt;=S$1)*(Aus_Fim&gt;=S$1)*(Aus_Cod&gt;0))&gt;1,"!",IFERROR(INDEX(Aus_Siglas,SUMPRODUCT((Aus_Tec=$I7)*(Aus_Ini&lt;=S$1)*(Aus_Fim&gt;=S$1)*Aus_Cod)),"!"))))</f>
        <v/>
      </c>
      <c r="T7" s="44">
        <f>IF(OR($I7="",T$1=""),"",IF(SUMPRODUCT((Aus_Tec=$I7)*(Aus_Ini&lt;=T$1)*(Aus_Fim&gt;=T$1)*(Aus_Cod&gt;0))=0,"",IF(SUMPRODUCT((Aus_Tec=$I7)*(Aus_Ini&lt;=T$1)*(Aus_Fim&gt;=T$1)*(Aus_Cod&gt;0))&gt;1,"!",IFERROR(INDEX(Aus_Siglas,SUMPRODUCT((Aus_Tec=$I7)*(Aus_Ini&lt;=T$1)*(Aus_Fim&gt;=T$1)*Aus_Cod)),"!"))))</f>
        <v/>
      </c>
      <c r="U7" s="44">
        <f>IF(OR($I7="",U$1=""),"",IF(SUMPRODUCT((Aus_Tec=$I7)*(Aus_Ini&lt;=U$1)*(Aus_Fim&gt;=U$1)*(Aus_Cod&gt;0))=0,"",IF(SUMPRODUCT((Aus_Tec=$I7)*(Aus_Ini&lt;=U$1)*(Aus_Fim&gt;=U$1)*(Aus_Cod&gt;0))&gt;1,"!",IFERROR(INDEX(Aus_Siglas,SUMPRODUCT((Aus_Tec=$I7)*(Aus_Ini&lt;=U$1)*(Aus_Fim&gt;=U$1)*Aus_Cod)),"!"))))</f>
        <v/>
      </c>
      <c r="V7" s="44">
        <f>IF(OR($I7="",V$1=""),"",IF(SUMPRODUCT((Aus_Tec=$I7)*(Aus_Ini&lt;=V$1)*(Aus_Fim&gt;=V$1)*(Aus_Cod&gt;0))=0,"",IF(SUMPRODUCT((Aus_Tec=$I7)*(Aus_Ini&lt;=V$1)*(Aus_Fim&gt;=V$1)*(Aus_Cod&gt;0))&gt;1,"!",IFERROR(INDEX(Aus_Siglas,SUMPRODUCT((Aus_Tec=$I7)*(Aus_Ini&lt;=V$1)*(Aus_Fim&gt;=V$1)*Aus_Cod)),"!"))))</f>
        <v/>
      </c>
      <c r="W7" s="44">
        <f>IF(OR($I7="",W$1=""),"",IF(SUMPRODUCT((Aus_Tec=$I7)*(Aus_Ini&lt;=W$1)*(Aus_Fim&gt;=W$1)*(Aus_Cod&gt;0))=0,"",IF(SUMPRODUCT((Aus_Tec=$I7)*(Aus_Ini&lt;=W$1)*(Aus_Fim&gt;=W$1)*(Aus_Cod&gt;0))&gt;1,"!",IFERROR(INDEX(Aus_Siglas,SUMPRODUCT((Aus_Tec=$I7)*(Aus_Ini&lt;=W$1)*(Aus_Fim&gt;=W$1)*Aus_Cod)),"!"))))</f>
        <v/>
      </c>
      <c r="X7" s="44">
        <f>IF(OR($I7="",X$1=""),"",IF(SUMPRODUCT((Aus_Tec=$I7)*(Aus_Ini&lt;=X$1)*(Aus_Fim&gt;=X$1)*(Aus_Cod&gt;0))=0,"",IF(SUMPRODUCT((Aus_Tec=$I7)*(Aus_Ini&lt;=X$1)*(Aus_Fim&gt;=X$1)*(Aus_Cod&gt;0))&gt;1,"!",IFERROR(INDEX(Aus_Siglas,SUMPRODUCT((Aus_Tec=$I7)*(Aus_Ini&lt;=X$1)*(Aus_Fim&gt;=X$1)*Aus_Cod)),"!"))))</f>
        <v/>
      </c>
      <c r="Y7" s="44">
        <f>IF(OR($I7="",Y$1=""),"",IF(SUMPRODUCT((Aus_Tec=$I7)*(Aus_Ini&lt;=Y$1)*(Aus_Fim&gt;=Y$1)*(Aus_Cod&gt;0))=0,"",IF(SUMPRODUCT((Aus_Tec=$I7)*(Aus_Ini&lt;=Y$1)*(Aus_Fim&gt;=Y$1)*(Aus_Cod&gt;0))&gt;1,"!",IFERROR(INDEX(Aus_Siglas,SUMPRODUCT((Aus_Tec=$I7)*(Aus_Ini&lt;=Y$1)*(Aus_Fim&gt;=Y$1)*Aus_Cod)),"!"))))</f>
        <v/>
      </c>
      <c r="Z7" s="44">
        <f>IF(OR($I7="",Z$1=""),"",IF(SUMPRODUCT((Aus_Tec=$I7)*(Aus_Ini&lt;=Z$1)*(Aus_Fim&gt;=Z$1)*(Aus_Cod&gt;0))=0,"",IF(SUMPRODUCT((Aus_Tec=$I7)*(Aus_Ini&lt;=Z$1)*(Aus_Fim&gt;=Z$1)*(Aus_Cod&gt;0))&gt;1,"!",IFERROR(INDEX(Aus_Siglas,SUMPRODUCT((Aus_Tec=$I7)*(Aus_Ini&lt;=Z$1)*(Aus_Fim&gt;=Z$1)*Aus_Cod)),"!"))))</f>
        <v/>
      </c>
      <c r="AA7" s="44">
        <f>IF(OR($I7="",AA$1=""),"",IF(SUMPRODUCT((Aus_Tec=$I7)*(Aus_Ini&lt;=AA$1)*(Aus_Fim&gt;=AA$1)*(Aus_Cod&gt;0))=0,"",IF(SUMPRODUCT((Aus_Tec=$I7)*(Aus_Ini&lt;=AA$1)*(Aus_Fim&gt;=AA$1)*(Aus_Cod&gt;0))&gt;1,"!",IFERROR(INDEX(Aus_Siglas,SUMPRODUCT((Aus_Tec=$I7)*(Aus_Ini&lt;=AA$1)*(Aus_Fim&gt;=AA$1)*Aus_Cod)),"!"))))</f>
        <v/>
      </c>
      <c r="AB7" s="44">
        <f>IF(OR($I7="",AB$1=""),"",IF(SUMPRODUCT((Aus_Tec=$I7)*(Aus_Ini&lt;=AB$1)*(Aus_Fim&gt;=AB$1)*(Aus_Cod&gt;0))=0,"",IF(SUMPRODUCT((Aus_Tec=$I7)*(Aus_Ini&lt;=AB$1)*(Aus_Fim&gt;=AB$1)*(Aus_Cod&gt;0))&gt;1,"!",IFERROR(INDEX(Aus_Siglas,SUMPRODUCT((Aus_Tec=$I7)*(Aus_Ini&lt;=AB$1)*(Aus_Fim&gt;=AB$1)*Aus_Cod)),"!"))))</f>
        <v/>
      </c>
      <c r="AC7" s="44">
        <f>IF(OR($I7="",AC$1=""),"",IF(SUMPRODUCT((Aus_Tec=$I7)*(Aus_Ini&lt;=AC$1)*(Aus_Fim&gt;=AC$1)*(Aus_Cod&gt;0))=0,"",IF(SUMPRODUCT((Aus_Tec=$I7)*(Aus_Ini&lt;=AC$1)*(Aus_Fim&gt;=AC$1)*(Aus_Cod&gt;0))&gt;1,"!",IFERROR(INDEX(Aus_Siglas,SUMPRODUCT((Aus_Tec=$I7)*(Aus_Ini&lt;=AC$1)*(Aus_Fim&gt;=AC$1)*Aus_Cod)),"!"))))</f>
        <v/>
      </c>
      <c r="AD7" s="44">
        <f>IF(OR($I7="",AD$1=""),"",IF(SUMPRODUCT((Aus_Tec=$I7)*(Aus_Ini&lt;=AD$1)*(Aus_Fim&gt;=AD$1)*(Aus_Cod&gt;0))=0,"",IF(SUMPRODUCT((Aus_Tec=$I7)*(Aus_Ini&lt;=AD$1)*(Aus_Fim&gt;=AD$1)*(Aus_Cod&gt;0))&gt;1,"!",IFERROR(INDEX(Aus_Siglas,SUMPRODUCT((Aus_Tec=$I7)*(Aus_Ini&lt;=AD$1)*(Aus_Fim&gt;=AD$1)*Aus_Cod)),"!"))))</f>
        <v/>
      </c>
      <c r="AE7" s="44">
        <f>IF(OR($I7="",AE$1=""),"",IF(SUMPRODUCT((Aus_Tec=$I7)*(Aus_Ini&lt;=AE$1)*(Aus_Fim&gt;=AE$1)*(Aus_Cod&gt;0))=0,"",IF(SUMPRODUCT((Aus_Tec=$I7)*(Aus_Ini&lt;=AE$1)*(Aus_Fim&gt;=AE$1)*(Aus_Cod&gt;0))&gt;1,"!",IFERROR(INDEX(Aus_Siglas,SUMPRODUCT((Aus_Tec=$I7)*(Aus_Ini&lt;=AE$1)*(Aus_Fim&gt;=AE$1)*Aus_Cod)),"!"))))</f>
        <v/>
      </c>
      <c r="AF7" s="44">
        <f>IF(OR($I7="",AF$1=""),"",IF(SUMPRODUCT((Aus_Tec=$I7)*(Aus_Ini&lt;=AF$1)*(Aus_Fim&gt;=AF$1)*(Aus_Cod&gt;0))=0,"",IF(SUMPRODUCT((Aus_Tec=$I7)*(Aus_Ini&lt;=AF$1)*(Aus_Fim&gt;=AF$1)*(Aus_Cod&gt;0))&gt;1,"!",IFERROR(INDEX(Aus_Siglas,SUMPRODUCT((Aus_Tec=$I7)*(Aus_Ini&lt;=AF$1)*(Aus_Fim&gt;=AF$1)*Aus_Cod)),"!"))))</f>
        <v/>
      </c>
      <c r="AG7" s="44">
        <f>IF(OR($I7="",AG$1=""),"",IF(SUMPRODUCT((Aus_Tec=$I7)*(Aus_Ini&lt;=AG$1)*(Aus_Fim&gt;=AG$1)*(Aus_Cod&gt;0))=0,"",IF(SUMPRODUCT((Aus_Tec=$I7)*(Aus_Ini&lt;=AG$1)*(Aus_Fim&gt;=AG$1)*(Aus_Cod&gt;0))&gt;1,"!",IFERROR(INDEX(Aus_Siglas,SUMPRODUCT((Aus_Tec=$I7)*(Aus_Ini&lt;=AG$1)*(Aus_Fim&gt;=AG$1)*Aus_Cod)),"!"))))</f>
        <v/>
      </c>
      <c r="AH7" s="44">
        <f>IF(OR($I7="",AH$1=""),"",IF(SUMPRODUCT((Aus_Tec=$I7)*(Aus_Ini&lt;=AH$1)*(Aus_Fim&gt;=AH$1)*(Aus_Cod&gt;0))=0,"",IF(SUMPRODUCT((Aus_Tec=$I7)*(Aus_Ini&lt;=AH$1)*(Aus_Fim&gt;=AH$1)*(Aus_Cod&gt;0))&gt;1,"!",IFERROR(INDEX(Aus_Siglas,SUMPRODUCT((Aus_Tec=$I7)*(Aus_Ini&lt;=AH$1)*(Aus_Fim&gt;=AH$1)*Aus_Cod)),"!"))))</f>
        <v/>
      </c>
      <c r="AI7" s="44">
        <f>IF(OR($I7="",AI$1=""),"",IF(SUMPRODUCT((Aus_Tec=$I7)*(Aus_Ini&lt;=AI$1)*(Aus_Fim&gt;=AI$1)*(Aus_Cod&gt;0))=0,"",IF(SUMPRODUCT((Aus_Tec=$I7)*(Aus_Ini&lt;=AI$1)*(Aus_Fim&gt;=AI$1)*(Aus_Cod&gt;0))&gt;1,"!",IFERROR(INDEX(Aus_Siglas,SUMPRODUCT((Aus_Tec=$I7)*(Aus_Ini&lt;=AI$1)*(Aus_Fim&gt;=AI$1)*Aus_Cod)),"!"))))</f>
        <v/>
      </c>
      <c r="AJ7" s="44">
        <f>IF(OR($I7="",AJ$1=""),"",IF(SUMPRODUCT((Aus_Tec=$I7)*(Aus_Ini&lt;=AJ$1)*(Aus_Fim&gt;=AJ$1)*(Aus_Cod&gt;0))=0,"",IF(SUMPRODUCT((Aus_Tec=$I7)*(Aus_Ini&lt;=AJ$1)*(Aus_Fim&gt;=AJ$1)*(Aus_Cod&gt;0))&gt;1,"!",IFERROR(INDEX(Aus_Siglas,SUMPRODUCT((Aus_Tec=$I7)*(Aus_Ini&lt;=AJ$1)*(Aus_Fim&gt;=AJ$1)*Aus_Cod)),"!"))))</f>
        <v/>
      </c>
      <c r="AK7" s="44">
        <f>IF(OR($I7="",AK$1=""),"",IF(SUMPRODUCT((Aus_Tec=$I7)*(Aus_Ini&lt;=AK$1)*(Aus_Fim&gt;=AK$1)*(Aus_Cod&gt;0))=0,"",IF(SUMPRODUCT((Aus_Tec=$I7)*(Aus_Ini&lt;=AK$1)*(Aus_Fim&gt;=AK$1)*(Aus_Cod&gt;0))&gt;1,"!",IFERROR(INDEX(Aus_Siglas,SUMPRODUCT((Aus_Tec=$I7)*(Aus_Ini&lt;=AK$1)*(Aus_Fim&gt;=AK$1)*Aus_Cod)),"!"))))</f>
        <v/>
      </c>
      <c r="AL7" s="44">
        <f>IF(OR($I7="",AL$1=""),"",IF(SUMPRODUCT((Aus_Tec=$I7)*(Aus_Ini&lt;=AL$1)*(Aus_Fim&gt;=AL$1)*(Aus_Cod&gt;0))=0,"",IF(SUMPRODUCT((Aus_Tec=$I7)*(Aus_Ini&lt;=AL$1)*(Aus_Fim&gt;=AL$1)*(Aus_Cod&gt;0))&gt;1,"!",IFERROR(INDEX(Aus_Siglas,SUMPRODUCT((Aus_Tec=$I7)*(Aus_Ini&lt;=AL$1)*(Aus_Fim&gt;=AL$1)*Aus_Cod)),"!"))))</f>
        <v/>
      </c>
      <c r="AM7" s="44">
        <f>IF(OR($I7="",AM$1=""),"",IF(SUMPRODUCT((Aus_Tec=$I7)*(Aus_Ini&lt;=AM$1)*(Aus_Fim&gt;=AM$1)*(Aus_Cod&gt;0))=0,"",IF(SUMPRODUCT((Aus_Tec=$I7)*(Aus_Ini&lt;=AM$1)*(Aus_Fim&gt;=AM$1)*(Aus_Cod&gt;0))&gt;1,"!",IFERROR(INDEX(Aus_Siglas,SUMPRODUCT((Aus_Tec=$I7)*(Aus_Ini&lt;=AM$1)*(Aus_Fim&gt;=AM$1)*Aus_Cod)),"!"))))</f>
        <v/>
      </c>
      <c r="AN7" s="44">
        <f>IF(OR($I7="",AN$1=""),"",IF(SUMPRODUCT((Aus_Tec=$I7)*(Aus_Ini&lt;=AN$1)*(Aus_Fim&gt;=AN$1)*(Aus_Cod&gt;0))=0,"",IF(SUMPRODUCT((Aus_Tec=$I7)*(Aus_Ini&lt;=AN$1)*(Aus_Fim&gt;=AN$1)*(Aus_Cod&gt;0))&gt;1,"!",IFERROR(INDEX(Aus_Siglas,SUMPRODUCT((Aus_Tec=$I7)*(Aus_Ini&lt;=AN$1)*(Aus_Fim&gt;=AN$1)*Aus_Cod)),"!"))))</f>
        <v/>
      </c>
    </row>
    <row r="8">
      <c r="A8" s="33" t="inlineStr">
        <is>
          <t>Camila Bertoldi</t>
        </is>
      </c>
      <c r="B8" s="31" t="inlineStr">
        <is>
          <t>Folga</t>
        </is>
      </c>
      <c r="C8" s="30" t="n">
        <v>46251</v>
      </c>
      <c r="D8" s="30" t="n">
        <v>46251</v>
      </c>
      <c r="E8" s="20">
        <f>IF(OR($A8="",NOT(ISNUMBER($C8)),NOT(ISNUMBER($D8))),"",$D8-$C8+1)</f>
        <v/>
      </c>
      <c r="F8" s="33" t="inlineStr"/>
      <c r="G8" s="35">
        <f>IF(AND($A8&lt;&gt;"",ISNUMBER($C8),ISNUMBER($D8),$C8&lt;=Data_Mapa,$D8&gt;=Data_Mapa),$A8,"")</f>
        <v/>
      </c>
      <c r="H8" s="35">
        <f>IF($A8="",0,IFERROR(MATCH($B8,Aus_Tipos,0),0))</f>
        <v/>
      </c>
      <c r="I8" s="43">
        <f>IF('Equipe'!$B$7="","",'Equipe'!$B$7)</f>
        <v/>
      </c>
      <c r="J8" s="44">
        <f>IF(OR($I8="",J$1=""),"",IF(SUMPRODUCT((Aus_Tec=$I8)*(Aus_Ini&lt;=J$1)*(Aus_Fim&gt;=J$1)*(Aus_Cod&gt;0))=0,"",IF(SUMPRODUCT((Aus_Tec=$I8)*(Aus_Ini&lt;=J$1)*(Aus_Fim&gt;=J$1)*(Aus_Cod&gt;0))&gt;1,"!",IFERROR(INDEX(Aus_Siglas,SUMPRODUCT((Aus_Tec=$I8)*(Aus_Ini&lt;=J$1)*(Aus_Fim&gt;=J$1)*Aus_Cod)),"!"))))</f>
        <v/>
      </c>
      <c r="K8" s="44">
        <f>IF(OR($I8="",K$1=""),"",IF(SUMPRODUCT((Aus_Tec=$I8)*(Aus_Ini&lt;=K$1)*(Aus_Fim&gt;=K$1)*(Aus_Cod&gt;0))=0,"",IF(SUMPRODUCT((Aus_Tec=$I8)*(Aus_Ini&lt;=K$1)*(Aus_Fim&gt;=K$1)*(Aus_Cod&gt;0))&gt;1,"!",IFERROR(INDEX(Aus_Siglas,SUMPRODUCT((Aus_Tec=$I8)*(Aus_Ini&lt;=K$1)*(Aus_Fim&gt;=K$1)*Aus_Cod)),"!"))))</f>
        <v/>
      </c>
      <c r="L8" s="44">
        <f>IF(OR($I8="",L$1=""),"",IF(SUMPRODUCT((Aus_Tec=$I8)*(Aus_Ini&lt;=L$1)*(Aus_Fim&gt;=L$1)*(Aus_Cod&gt;0))=0,"",IF(SUMPRODUCT((Aus_Tec=$I8)*(Aus_Ini&lt;=L$1)*(Aus_Fim&gt;=L$1)*(Aus_Cod&gt;0))&gt;1,"!",IFERROR(INDEX(Aus_Siglas,SUMPRODUCT((Aus_Tec=$I8)*(Aus_Ini&lt;=L$1)*(Aus_Fim&gt;=L$1)*Aus_Cod)),"!"))))</f>
        <v/>
      </c>
      <c r="M8" s="44">
        <f>IF(OR($I8="",M$1=""),"",IF(SUMPRODUCT((Aus_Tec=$I8)*(Aus_Ini&lt;=M$1)*(Aus_Fim&gt;=M$1)*(Aus_Cod&gt;0))=0,"",IF(SUMPRODUCT((Aus_Tec=$I8)*(Aus_Ini&lt;=M$1)*(Aus_Fim&gt;=M$1)*(Aus_Cod&gt;0))&gt;1,"!",IFERROR(INDEX(Aus_Siglas,SUMPRODUCT((Aus_Tec=$I8)*(Aus_Ini&lt;=M$1)*(Aus_Fim&gt;=M$1)*Aus_Cod)),"!"))))</f>
        <v/>
      </c>
      <c r="N8" s="44">
        <f>IF(OR($I8="",N$1=""),"",IF(SUMPRODUCT((Aus_Tec=$I8)*(Aus_Ini&lt;=N$1)*(Aus_Fim&gt;=N$1)*(Aus_Cod&gt;0))=0,"",IF(SUMPRODUCT((Aus_Tec=$I8)*(Aus_Ini&lt;=N$1)*(Aus_Fim&gt;=N$1)*(Aus_Cod&gt;0))&gt;1,"!",IFERROR(INDEX(Aus_Siglas,SUMPRODUCT((Aus_Tec=$I8)*(Aus_Ini&lt;=N$1)*(Aus_Fim&gt;=N$1)*Aus_Cod)),"!"))))</f>
        <v/>
      </c>
      <c r="O8" s="44">
        <f>IF(OR($I8="",O$1=""),"",IF(SUMPRODUCT((Aus_Tec=$I8)*(Aus_Ini&lt;=O$1)*(Aus_Fim&gt;=O$1)*(Aus_Cod&gt;0))=0,"",IF(SUMPRODUCT((Aus_Tec=$I8)*(Aus_Ini&lt;=O$1)*(Aus_Fim&gt;=O$1)*(Aus_Cod&gt;0))&gt;1,"!",IFERROR(INDEX(Aus_Siglas,SUMPRODUCT((Aus_Tec=$I8)*(Aus_Ini&lt;=O$1)*(Aus_Fim&gt;=O$1)*Aus_Cod)),"!"))))</f>
        <v/>
      </c>
      <c r="P8" s="44">
        <f>IF(OR($I8="",P$1=""),"",IF(SUMPRODUCT((Aus_Tec=$I8)*(Aus_Ini&lt;=P$1)*(Aus_Fim&gt;=P$1)*(Aus_Cod&gt;0))=0,"",IF(SUMPRODUCT((Aus_Tec=$I8)*(Aus_Ini&lt;=P$1)*(Aus_Fim&gt;=P$1)*(Aus_Cod&gt;0))&gt;1,"!",IFERROR(INDEX(Aus_Siglas,SUMPRODUCT((Aus_Tec=$I8)*(Aus_Ini&lt;=P$1)*(Aus_Fim&gt;=P$1)*Aus_Cod)),"!"))))</f>
        <v/>
      </c>
      <c r="Q8" s="44">
        <f>IF(OR($I8="",Q$1=""),"",IF(SUMPRODUCT((Aus_Tec=$I8)*(Aus_Ini&lt;=Q$1)*(Aus_Fim&gt;=Q$1)*(Aus_Cod&gt;0))=0,"",IF(SUMPRODUCT((Aus_Tec=$I8)*(Aus_Ini&lt;=Q$1)*(Aus_Fim&gt;=Q$1)*(Aus_Cod&gt;0))&gt;1,"!",IFERROR(INDEX(Aus_Siglas,SUMPRODUCT((Aus_Tec=$I8)*(Aus_Ini&lt;=Q$1)*(Aus_Fim&gt;=Q$1)*Aus_Cod)),"!"))))</f>
        <v/>
      </c>
      <c r="R8" s="44">
        <f>IF(OR($I8="",R$1=""),"",IF(SUMPRODUCT((Aus_Tec=$I8)*(Aus_Ini&lt;=R$1)*(Aus_Fim&gt;=R$1)*(Aus_Cod&gt;0))=0,"",IF(SUMPRODUCT((Aus_Tec=$I8)*(Aus_Ini&lt;=R$1)*(Aus_Fim&gt;=R$1)*(Aus_Cod&gt;0))&gt;1,"!",IFERROR(INDEX(Aus_Siglas,SUMPRODUCT((Aus_Tec=$I8)*(Aus_Ini&lt;=R$1)*(Aus_Fim&gt;=R$1)*Aus_Cod)),"!"))))</f>
        <v/>
      </c>
      <c r="S8" s="44">
        <f>IF(OR($I8="",S$1=""),"",IF(SUMPRODUCT((Aus_Tec=$I8)*(Aus_Ini&lt;=S$1)*(Aus_Fim&gt;=S$1)*(Aus_Cod&gt;0))=0,"",IF(SUMPRODUCT((Aus_Tec=$I8)*(Aus_Ini&lt;=S$1)*(Aus_Fim&gt;=S$1)*(Aus_Cod&gt;0))&gt;1,"!",IFERROR(INDEX(Aus_Siglas,SUMPRODUCT((Aus_Tec=$I8)*(Aus_Ini&lt;=S$1)*(Aus_Fim&gt;=S$1)*Aus_Cod)),"!"))))</f>
        <v/>
      </c>
      <c r="T8" s="44">
        <f>IF(OR($I8="",T$1=""),"",IF(SUMPRODUCT((Aus_Tec=$I8)*(Aus_Ini&lt;=T$1)*(Aus_Fim&gt;=T$1)*(Aus_Cod&gt;0))=0,"",IF(SUMPRODUCT((Aus_Tec=$I8)*(Aus_Ini&lt;=T$1)*(Aus_Fim&gt;=T$1)*(Aus_Cod&gt;0))&gt;1,"!",IFERROR(INDEX(Aus_Siglas,SUMPRODUCT((Aus_Tec=$I8)*(Aus_Ini&lt;=T$1)*(Aus_Fim&gt;=T$1)*Aus_Cod)),"!"))))</f>
        <v/>
      </c>
      <c r="U8" s="44">
        <f>IF(OR($I8="",U$1=""),"",IF(SUMPRODUCT((Aus_Tec=$I8)*(Aus_Ini&lt;=U$1)*(Aus_Fim&gt;=U$1)*(Aus_Cod&gt;0))=0,"",IF(SUMPRODUCT((Aus_Tec=$I8)*(Aus_Ini&lt;=U$1)*(Aus_Fim&gt;=U$1)*(Aus_Cod&gt;0))&gt;1,"!",IFERROR(INDEX(Aus_Siglas,SUMPRODUCT((Aus_Tec=$I8)*(Aus_Ini&lt;=U$1)*(Aus_Fim&gt;=U$1)*Aus_Cod)),"!"))))</f>
        <v/>
      </c>
      <c r="V8" s="44">
        <f>IF(OR($I8="",V$1=""),"",IF(SUMPRODUCT((Aus_Tec=$I8)*(Aus_Ini&lt;=V$1)*(Aus_Fim&gt;=V$1)*(Aus_Cod&gt;0))=0,"",IF(SUMPRODUCT((Aus_Tec=$I8)*(Aus_Ini&lt;=V$1)*(Aus_Fim&gt;=V$1)*(Aus_Cod&gt;0))&gt;1,"!",IFERROR(INDEX(Aus_Siglas,SUMPRODUCT((Aus_Tec=$I8)*(Aus_Ini&lt;=V$1)*(Aus_Fim&gt;=V$1)*Aus_Cod)),"!"))))</f>
        <v/>
      </c>
      <c r="W8" s="44">
        <f>IF(OR($I8="",W$1=""),"",IF(SUMPRODUCT((Aus_Tec=$I8)*(Aus_Ini&lt;=W$1)*(Aus_Fim&gt;=W$1)*(Aus_Cod&gt;0))=0,"",IF(SUMPRODUCT((Aus_Tec=$I8)*(Aus_Ini&lt;=W$1)*(Aus_Fim&gt;=W$1)*(Aus_Cod&gt;0))&gt;1,"!",IFERROR(INDEX(Aus_Siglas,SUMPRODUCT((Aus_Tec=$I8)*(Aus_Ini&lt;=W$1)*(Aus_Fim&gt;=W$1)*Aus_Cod)),"!"))))</f>
        <v/>
      </c>
      <c r="X8" s="44">
        <f>IF(OR($I8="",X$1=""),"",IF(SUMPRODUCT((Aus_Tec=$I8)*(Aus_Ini&lt;=X$1)*(Aus_Fim&gt;=X$1)*(Aus_Cod&gt;0))=0,"",IF(SUMPRODUCT((Aus_Tec=$I8)*(Aus_Ini&lt;=X$1)*(Aus_Fim&gt;=X$1)*(Aus_Cod&gt;0))&gt;1,"!",IFERROR(INDEX(Aus_Siglas,SUMPRODUCT((Aus_Tec=$I8)*(Aus_Ini&lt;=X$1)*(Aus_Fim&gt;=X$1)*Aus_Cod)),"!"))))</f>
        <v/>
      </c>
      <c r="Y8" s="44">
        <f>IF(OR($I8="",Y$1=""),"",IF(SUMPRODUCT((Aus_Tec=$I8)*(Aus_Ini&lt;=Y$1)*(Aus_Fim&gt;=Y$1)*(Aus_Cod&gt;0))=0,"",IF(SUMPRODUCT((Aus_Tec=$I8)*(Aus_Ini&lt;=Y$1)*(Aus_Fim&gt;=Y$1)*(Aus_Cod&gt;0))&gt;1,"!",IFERROR(INDEX(Aus_Siglas,SUMPRODUCT((Aus_Tec=$I8)*(Aus_Ini&lt;=Y$1)*(Aus_Fim&gt;=Y$1)*Aus_Cod)),"!"))))</f>
        <v/>
      </c>
      <c r="Z8" s="44">
        <f>IF(OR($I8="",Z$1=""),"",IF(SUMPRODUCT((Aus_Tec=$I8)*(Aus_Ini&lt;=Z$1)*(Aus_Fim&gt;=Z$1)*(Aus_Cod&gt;0))=0,"",IF(SUMPRODUCT((Aus_Tec=$I8)*(Aus_Ini&lt;=Z$1)*(Aus_Fim&gt;=Z$1)*(Aus_Cod&gt;0))&gt;1,"!",IFERROR(INDEX(Aus_Siglas,SUMPRODUCT((Aus_Tec=$I8)*(Aus_Ini&lt;=Z$1)*(Aus_Fim&gt;=Z$1)*Aus_Cod)),"!"))))</f>
        <v/>
      </c>
      <c r="AA8" s="44">
        <f>IF(OR($I8="",AA$1=""),"",IF(SUMPRODUCT((Aus_Tec=$I8)*(Aus_Ini&lt;=AA$1)*(Aus_Fim&gt;=AA$1)*(Aus_Cod&gt;0))=0,"",IF(SUMPRODUCT((Aus_Tec=$I8)*(Aus_Ini&lt;=AA$1)*(Aus_Fim&gt;=AA$1)*(Aus_Cod&gt;0))&gt;1,"!",IFERROR(INDEX(Aus_Siglas,SUMPRODUCT((Aus_Tec=$I8)*(Aus_Ini&lt;=AA$1)*(Aus_Fim&gt;=AA$1)*Aus_Cod)),"!"))))</f>
        <v/>
      </c>
      <c r="AB8" s="44">
        <f>IF(OR($I8="",AB$1=""),"",IF(SUMPRODUCT((Aus_Tec=$I8)*(Aus_Ini&lt;=AB$1)*(Aus_Fim&gt;=AB$1)*(Aus_Cod&gt;0))=0,"",IF(SUMPRODUCT((Aus_Tec=$I8)*(Aus_Ini&lt;=AB$1)*(Aus_Fim&gt;=AB$1)*(Aus_Cod&gt;0))&gt;1,"!",IFERROR(INDEX(Aus_Siglas,SUMPRODUCT((Aus_Tec=$I8)*(Aus_Ini&lt;=AB$1)*(Aus_Fim&gt;=AB$1)*Aus_Cod)),"!"))))</f>
        <v/>
      </c>
      <c r="AC8" s="44">
        <f>IF(OR($I8="",AC$1=""),"",IF(SUMPRODUCT((Aus_Tec=$I8)*(Aus_Ini&lt;=AC$1)*(Aus_Fim&gt;=AC$1)*(Aus_Cod&gt;0))=0,"",IF(SUMPRODUCT((Aus_Tec=$I8)*(Aus_Ini&lt;=AC$1)*(Aus_Fim&gt;=AC$1)*(Aus_Cod&gt;0))&gt;1,"!",IFERROR(INDEX(Aus_Siglas,SUMPRODUCT((Aus_Tec=$I8)*(Aus_Ini&lt;=AC$1)*(Aus_Fim&gt;=AC$1)*Aus_Cod)),"!"))))</f>
        <v/>
      </c>
      <c r="AD8" s="44">
        <f>IF(OR($I8="",AD$1=""),"",IF(SUMPRODUCT((Aus_Tec=$I8)*(Aus_Ini&lt;=AD$1)*(Aus_Fim&gt;=AD$1)*(Aus_Cod&gt;0))=0,"",IF(SUMPRODUCT((Aus_Tec=$I8)*(Aus_Ini&lt;=AD$1)*(Aus_Fim&gt;=AD$1)*(Aus_Cod&gt;0))&gt;1,"!",IFERROR(INDEX(Aus_Siglas,SUMPRODUCT((Aus_Tec=$I8)*(Aus_Ini&lt;=AD$1)*(Aus_Fim&gt;=AD$1)*Aus_Cod)),"!"))))</f>
        <v/>
      </c>
      <c r="AE8" s="44">
        <f>IF(OR($I8="",AE$1=""),"",IF(SUMPRODUCT((Aus_Tec=$I8)*(Aus_Ini&lt;=AE$1)*(Aus_Fim&gt;=AE$1)*(Aus_Cod&gt;0))=0,"",IF(SUMPRODUCT((Aus_Tec=$I8)*(Aus_Ini&lt;=AE$1)*(Aus_Fim&gt;=AE$1)*(Aus_Cod&gt;0))&gt;1,"!",IFERROR(INDEX(Aus_Siglas,SUMPRODUCT((Aus_Tec=$I8)*(Aus_Ini&lt;=AE$1)*(Aus_Fim&gt;=AE$1)*Aus_Cod)),"!"))))</f>
        <v/>
      </c>
      <c r="AF8" s="44">
        <f>IF(OR($I8="",AF$1=""),"",IF(SUMPRODUCT((Aus_Tec=$I8)*(Aus_Ini&lt;=AF$1)*(Aus_Fim&gt;=AF$1)*(Aus_Cod&gt;0))=0,"",IF(SUMPRODUCT((Aus_Tec=$I8)*(Aus_Ini&lt;=AF$1)*(Aus_Fim&gt;=AF$1)*(Aus_Cod&gt;0))&gt;1,"!",IFERROR(INDEX(Aus_Siglas,SUMPRODUCT((Aus_Tec=$I8)*(Aus_Ini&lt;=AF$1)*(Aus_Fim&gt;=AF$1)*Aus_Cod)),"!"))))</f>
        <v/>
      </c>
      <c r="AG8" s="44">
        <f>IF(OR($I8="",AG$1=""),"",IF(SUMPRODUCT((Aus_Tec=$I8)*(Aus_Ini&lt;=AG$1)*(Aus_Fim&gt;=AG$1)*(Aus_Cod&gt;0))=0,"",IF(SUMPRODUCT((Aus_Tec=$I8)*(Aus_Ini&lt;=AG$1)*(Aus_Fim&gt;=AG$1)*(Aus_Cod&gt;0))&gt;1,"!",IFERROR(INDEX(Aus_Siglas,SUMPRODUCT((Aus_Tec=$I8)*(Aus_Ini&lt;=AG$1)*(Aus_Fim&gt;=AG$1)*Aus_Cod)),"!"))))</f>
        <v/>
      </c>
      <c r="AH8" s="44">
        <f>IF(OR($I8="",AH$1=""),"",IF(SUMPRODUCT((Aus_Tec=$I8)*(Aus_Ini&lt;=AH$1)*(Aus_Fim&gt;=AH$1)*(Aus_Cod&gt;0))=0,"",IF(SUMPRODUCT((Aus_Tec=$I8)*(Aus_Ini&lt;=AH$1)*(Aus_Fim&gt;=AH$1)*(Aus_Cod&gt;0))&gt;1,"!",IFERROR(INDEX(Aus_Siglas,SUMPRODUCT((Aus_Tec=$I8)*(Aus_Ini&lt;=AH$1)*(Aus_Fim&gt;=AH$1)*Aus_Cod)),"!"))))</f>
        <v/>
      </c>
      <c r="AI8" s="44">
        <f>IF(OR($I8="",AI$1=""),"",IF(SUMPRODUCT((Aus_Tec=$I8)*(Aus_Ini&lt;=AI$1)*(Aus_Fim&gt;=AI$1)*(Aus_Cod&gt;0))=0,"",IF(SUMPRODUCT((Aus_Tec=$I8)*(Aus_Ini&lt;=AI$1)*(Aus_Fim&gt;=AI$1)*(Aus_Cod&gt;0))&gt;1,"!",IFERROR(INDEX(Aus_Siglas,SUMPRODUCT((Aus_Tec=$I8)*(Aus_Ini&lt;=AI$1)*(Aus_Fim&gt;=AI$1)*Aus_Cod)),"!"))))</f>
        <v/>
      </c>
      <c r="AJ8" s="44">
        <f>IF(OR($I8="",AJ$1=""),"",IF(SUMPRODUCT((Aus_Tec=$I8)*(Aus_Ini&lt;=AJ$1)*(Aus_Fim&gt;=AJ$1)*(Aus_Cod&gt;0))=0,"",IF(SUMPRODUCT((Aus_Tec=$I8)*(Aus_Ini&lt;=AJ$1)*(Aus_Fim&gt;=AJ$1)*(Aus_Cod&gt;0))&gt;1,"!",IFERROR(INDEX(Aus_Siglas,SUMPRODUCT((Aus_Tec=$I8)*(Aus_Ini&lt;=AJ$1)*(Aus_Fim&gt;=AJ$1)*Aus_Cod)),"!"))))</f>
        <v/>
      </c>
      <c r="AK8" s="44">
        <f>IF(OR($I8="",AK$1=""),"",IF(SUMPRODUCT((Aus_Tec=$I8)*(Aus_Ini&lt;=AK$1)*(Aus_Fim&gt;=AK$1)*(Aus_Cod&gt;0))=0,"",IF(SUMPRODUCT((Aus_Tec=$I8)*(Aus_Ini&lt;=AK$1)*(Aus_Fim&gt;=AK$1)*(Aus_Cod&gt;0))&gt;1,"!",IFERROR(INDEX(Aus_Siglas,SUMPRODUCT((Aus_Tec=$I8)*(Aus_Ini&lt;=AK$1)*(Aus_Fim&gt;=AK$1)*Aus_Cod)),"!"))))</f>
        <v/>
      </c>
      <c r="AL8" s="44">
        <f>IF(OR($I8="",AL$1=""),"",IF(SUMPRODUCT((Aus_Tec=$I8)*(Aus_Ini&lt;=AL$1)*(Aus_Fim&gt;=AL$1)*(Aus_Cod&gt;0))=0,"",IF(SUMPRODUCT((Aus_Tec=$I8)*(Aus_Ini&lt;=AL$1)*(Aus_Fim&gt;=AL$1)*(Aus_Cod&gt;0))&gt;1,"!",IFERROR(INDEX(Aus_Siglas,SUMPRODUCT((Aus_Tec=$I8)*(Aus_Ini&lt;=AL$1)*(Aus_Fim&gt;=AL$1)*Aus_Cod)),"!"))))</f>
        <v/>
      </c>
      <c r="AM8" s="44">
        <f>IF(OR($I8="",AM$1=""),"",IF(SUMPRODUCT((Aus_Tec=$I8)*(Aus_Ini&lt;=AM$1)*(Aus_Fim&gt;=AM$1)*(Aus_Cod&gt;0))=0,"",IF(SUMPRODUCT((Aus_Tec=$I8)*(Aus_Ini&lt;=AM$1)*(Aus_Fim&gt;=AM$1)*(Aus_Cod&gt;0))&gt;1,"!",IFERROR(INDEX(Aus_Siglas,SUMPRODUCT((Aus_Tec=$I8)*(Aus_Ini&lt;=AM$1)*(Aus_Fim&gt;=AM$1)*Aus_Cod)),"!"))))</f>
        <v/>
      </c>
      <c r="AN8" s="44">
        <f>IF(OR($I8="",AN$1=""),"",IF(SUMPRODUCT((Aus_Tec=$I8)*(Aus_Ini&lt;=AN$1)*(Aus_Fim&gt;=AN$1)*(Aus_Cod&gt;0))=0,"",IF(SUMPRODUCT((Aus_Tec=$I8)*(Aus_Ini&lt;=AN$1)*(Aus_Fim&gt;=AN$1)*(Aus_Cod&gt;0))&gt;1,"!",IFERROR(INDEX(Aus_Siglas,SUMPRODUCT((Aus_Tec=$I8)*(Aus_Ini&lt;=AN$1)*(Aus_Fim&gt;=AN$1)*Aus_Cod)),"!"))))</f>
        <v/>
      </c>
    </row>
    <row r="9">
      <c r="A9" s="33" t="inlineStr">
        <is>
          <t>Daiane Prestes</t>
        </is>
      </c>
      <c r="B9" s="31" t="inlineStr">
        <is>
          <t>Folga</t>
        </is>
      </c>
      <c r="C9" s="30" t="n">
        <v>46252</v>
      </c>
      <c r="D9" s="30" t="n">
        <v>46252</v>
      </c>
      <c r="E9" s="20">
        <f>IF(OR($A9="",NOT(ISNUMBER($C9)),NOT(ISNUMBER($D9))),"",$D9-$C9+1)</f>
        <v/>
      </c>
      <c r="F9" s="33" t="inlineStr"/>
      <c r="G9" s="35">
        <f>IF(AND($A9&lt;&gt;"",ISNUMBER($C9),ISNUMBER($D9),$C9&lt;=Data_Mapa,$D9&gt;=Data_Mapa),$A9,"")</f>
        <v/>
      </c>
      <c r="H9" s="35">
        <f>IF($A9="",0,IFERROR(MATCH($B9,Aus_Tipos,0),0))</f>
        <v/>
      </c>
      <c r="I9" s="43">
        <f>IF('Equipe'!$B$8="","",'Equipe'!$B$8)</f>
        <v/>
      </c>
      <c r="J9" s="44">
        <f>IF(OR($I9="",J$1=""),"",IF(SUMPRODUCT((Aus_Tec=$I9)*(Aus_Ini&lt;=J$1)*(Aus_Fim&gt;=J$1)*(Aus_Cod&gt;0))=0,"",IF(SUMPRODUCT((Aus_Tec=$I9)*(Aus_Ini&lt;=J$1)*(Aus_Fim&gt;=J$1)*(Aus_Cod&gt;0))&gt;1,"!",IFERROR(INDEX(Aus_Siglas,SUMPRODUCT((Aus_Tec=$I9)*(Aus_Ini&lt;=J$1)*(Aus_Fim&gt;=J$1)*Aus_Cod)),"!"))))</f>
        <v/>
      </c>
      <c r="K9" s="44">
        <f>IF(OR($I9="",K$1=""),"",IF(SUMPRODUCT((Aus_Tec=$I9)*(Aus_Ini&lt;=K$1)*(Aus_Fim&gt;=K$1)*(Aus_Cod&gt;0))=0,"",IF(SUMPRODUCT((Aus_Tec=$I9)*(Aus_Ini&lt;=K$1)*(Aus_Fim&gt;=K$1)*(Aus_Cod&gt;0))&gt;1,"!",IFERROR(INDEX(Aus_Siglas,SUMPRODUCT((Aus_Tec=$I9)*(Aus_Ini&lt;=K$1)*(Aus_Fim&gt;=K$1)*Aus_Cod)),"!"))))</f>
        <v/>
      </c>
      <c r="L9" s="44">
        <f>IF(OR($I9="",L$1=""),"",IF(SUMPRODUCT((Aus_Tec=$I9)*(Aus_Ini&lt;=L$1)*(Aus_Fim&gt;=L$1)*(Aus_Cod&gt;0))=0,"",IF(SUMPRODUCT((Aus_Tec=$I9)*(Aus_Ini&lt;=L$1)*(Aus_Fim&gt;=L$1)*(Aus_Cod&gt;0))&gt;1,"!",IFERROR(INDEX(Aus_Siglas,SUMPRODUCT((Aus_Tec=$I9)*(Aus_Ini&lt;=L$1)*(Aus_Fim&gt;=L$1)*Aus_Cod)),"!"))))</f>
        <v/>
      </c>
      <c r="M9" s="44">
        <f>IF(OR($I9="",M$1=""),"",IF(SUMPRODUCT((Aus_Tec=$I9)*(Aus_Ini&lt;=M$1)*(Aus_Fim&gt;=M$1)*(Aus_Cod&gt;0))=0,"",IF(SUMPRODUCT((Aus_Tec=$I9)*(Aus_Ini&lt;=M$1)*(Aus_Fim&gt;=M$1)*(Aus_Cod&gt;0))&gt;1,"!",IFERROR(INDEX(Aus_Siglas,SUMPRODUCT((Aus_Tec=$I9)*(Aus_Ini&lt;=M$1)*(Aus_Fim&gt;=M$1)*Aus_Cod)),"!"))))</f>
        <v/>
      </c>
      <c r="N9" s="44">
        <f>IF(OR($I9="",N$1=""),"",IF(SUMPRODUCT((Aus_Tec=$I9)*(Aus_Ini&lt;=N$1)*(Aus_Fim&gt;=N$1)*(Aus_Cod&gt;0))=0,"",IF(SUMPRODUCT((Aus_Tec=$I9)*(Aus_Ini&lt;=N$1)*(Aus_Fim&gt;=N$1)*(Aus_Cod&gt;0))&gt;1,"!",IFERROR(INDEX(Aus_Siglas,SUMPRODUCT((Aus_Tec=$I9)*(Aus_Ini&lt;=N$1)*(Aus_Fim&gt;=N$1)*Aus_Cod)),"!"))))</f>
        <v/>
      </c>
      <c r="O9" s="44">
        <f>IF(OR($I9="",O$1=""),"",IF(SUMPRODUCT((Aus_Tec=$I9)*(Aus_Ini&lt;=O$1)*(Aus_Fim&gt;=O$1)*(Aus_Cod&gt;0))=0,"",IF(SUMPRODUCT((Aus_Tec=$I9)*(Aus_Ini&lt;=O$1)*(Aus_Fim&gt;=O$1)*(Aus_Cod&gt;0))&gt;1,"!",IFERROR(INDEX(Aus_Siglas,SUMPRODUCT((Aus_Tec=$I9)*(Aus_Ini&lt;=O$1)*(Aus_Fim&gt;=O$1)*Aus_Cod)),"!"))))</f>
        <v/>
      </c>
      <c r="P9" s="44">
        <f>IF(OR($I9="",P$1=""),"",IF(SUMPRODUCT((Aus_Tec=$I9)*(Aus_Ini&lt;=P$1)*(Aus_Fim&gt;=P$1)*(Aus_Cod&gt;0))=0,"",IF(SUMPRODUCT((Aus_Tec=$I9)*(Aus_Ini&lt;=P$1)*(Aus_Fim&gt;=P$1)*(Aus_Cod&gt;0))&gt;1,"!",IFERROR(INDEX(Aus_Siglas,SUMPRODUCT((Aus_Tec=$I9)*(Aus_Ini&lt;=P$1)*(Aus_Fim&gt;=P$1)*Aus_Cod)),"!"))))</f>
        <v/>
      </c>
      <c r="Q9" s="44">
        <f>IF(OR($I9="",Q$1=""),"",IF(SUMPRODUCT((Aus_Tec=$I9)*(Aus_Ini&lt;=Q$1)*(Aus_Fim&gt;=Q$1)*(Aus_Cod&gt;0))=0,"",IF(SUMPRODUCT((Aus_Tec=$I9)*(Aus_Ini&lt;=Q$1)*(Aus_Fim&gt;=Q$1)*(Aus_Cod&gt;0))&gt;1,"!",IFERROR(INDEX(Aus_Siglas,SUMPRODUCT((Aus_Tec=$I9)*(Aus_Ini&lt;=Q$1)*(Aus_Fim&gt;=Q$1)*Aus_Cod)),"!"))))</f>
        <v/>
      </c>
      <c r="R9" s="44">
        <f>IF(OR($I9="",R$1=""),"",IF(SUMPRODUCT((Aus_Tec=$I9)*(Aus_Ini&lt;=R$1)*(Aus_Fim&gt;=R$1)*(Aus_Cod&gt;0))=0,"",IF(SUMPRODUCT((Aus_Tec=$I9)*(Aus_Ini&lt;=R$1)*(Aus_Fim&gt;=R$1)*(Aus_Cod&gt;0))&gt;1,"!",IFERROR(INDEX(Aus_Siglas,SUMPRODUCT((Aus_Tec=$I9)*(Aus_Ini&lt;=R$1)*(Aus_Fim&gt;=R$1)*Aus_Cod)),"!"))))</f>
        <v/>
      </c>
      <c r="S9" s="44">
        <f>IF(OR($I9="",S$1=""),"",IF(SUMPRODUCT((Aus_Tec=$I9)*(Aus_Ini&lt;=S$1)*(Aus_Fim&gt;=S$1)*(Aus_Cod&gt;0))=0,"",IF(SUMPRODUCT((Aus_Tec=$I9)*(Aus_Ini&lt;=S$1)*(Aus_Fim&gt;=S$1)*(Aus_Cod&gt;0))&gt;1,"!",IFERROR(INDEX(Aus_Siglas,SUMPRODUCT((Aus_Tec=$I9)*(Aus_Ini&lt;=S$1)*(Aus_Fim&gt;=S$1)*Aus_Cod)),"!"))))</f>
        <v/>
      </c>
      <c r="T9" s="44">
        <f>IF(OR($I9="",T$1=""),"",IF(SUMPRODUCT((Aus_Tec=$I9)*(Aus_Ini&lt;=T$1)*(Aus_Fim&gt;=T$1)*(Aus_Cod&gt;0))=0,"",IF(SUMPRODUCT((Aus_Tec=$I9)*(Aus_Ini&lt;=T$1)*(Aus_Fim&gt;=T$1)*(Aus_Cod&gt;0))&gt;1,"!",IFERROR(INDEX(Aus_Siglas,SUMPRODUCT((Aus_Tec=$I9)*(Aus_Ini&lt;=T$1)*(Aus_Fim&gt;=T$1)*Aus_Cod)),"!"))))</f>
        <v/>
      </c>
      <c r="U9" s="44">
        <f>IF(OR($I9="",U$1=""),"",IF(SUMPRODUCT((Aus_Tec=$I9)*(Aus_Ini&lt;=U$1)*(Aus_Fim&gt;=U$1)*(Aus_Cod&gt;0))=0,"",IF(SUMPRODUCT((Aus_Tec=$I9)*(Aus_Ini&lt;=U$1)*(Aus_Fim&gt;=U$1)*(Aus_Cod&gt;0))&gt;1,"!",IFERROR(INDEX(Aus_Siglas,SUMPRODUCT((Aus_Tec=$I9)*(Aus_Ini&lt;=U$1)*(Aus_Fim&gt;=U$1)*Aus_Cod)),"!"))))</f>
        <v/>
      </c>
      <c r="V9" s="44">
        <f>IF(OR($I9="",V$1=""),"",IF(SUMPRODUCT((Aus_Tec=$I9)*(Aus_Ini&lt;=V$1)*(Aus_Fim&gt;=V$1)*(Aus_Cod&gt;0))=0,"",IF(SUMPRODUCT((Aus_Tec=$I9)*(Aus_Ini&lt;=V$1)*(Aus_Fim&gt;=V$1)*(Aus_Cod&gt;0))&gt;1,"!",IFERROR(INDEX(Aus_Siglas,SUMPRODUCT((Aus_Tec=$I9)*(Aus_Ini&lt;=V$1)*(Aus_Fim&gt;=V$1)*Aus_Cod)),"!"))))</f>
        <v/>
      </c>
      <c r="W9" s="44">
        <f>IF(OR($I9="",W$1=""),"",IF(SUMPRODUCT((Aus_Tec=$I9)*(Aus_Ini&lt;=W$1)*(Aus_Fim&gt;=W$1)*(Aus_Cod&gt;0))=0,"",IF(SUMPRODUCT((Aus_Tec=$I9)*(Aus_Ini&lt;=W$1)*(Aus_Fim&gt;=W$1)*(Aus_Cod&gt;0))&gt;1,"!",IFERROR(INDEX(Aus_Siglas,SUMPRODUCT((Aus_Tec=$I9)*(Aus_Ini&lt;=W$1)*(Aus_Fim&gt;=W$1)*Aus_Cod)),"!"))))</f>
        <v/>
      </c>
      <c r="X9" s="44">
        <f>IF(OR($I9="",X$1=""),"",IF(SUMPRODUCT((Aus_Tec=$I9)*(Aus_Ini&lt;=X$1)*(Aus_Fim&gt;=X$1)*(Aus_Cod&gt;0))=0,"",IF(SUMPRODUCT((Aus_Tec=$I9)*(Aus_Ini&lt;=X$1)*(Aus_Fim&gt;=X$1)*(Aus_Cod&gt;0))&gt;1,"!",IFERROR(INDEX(Aus_Siglas,SUMPRODUCT((Aus_Tec=$I9)*(Aus_Ini&lt;=X$1)*(Aus_Fim&gt;=X$1)*Aus_Cod)),"!"))))</f>
        <v/>
      </c>
      <c r="Y9" s="44">
        <f>IF(OR($I9="",Y$1=""),"",IF(SUMPRODUCT((Aus_Tec=$I9)*(Aus_Ini&lt;=Y$1)*(Aus_Fim&gt;=Y$1)*(Aus_Cod&gt;0))=0,"",IF(SUMPRODUCT((Aus_Tec=$I9)*(Aus_Ini&lt;=Y$1)*(Aus_Fim&gt;=Y$1)*(Aus_Cod&gt;0))&gt;1,"!",IFERROR(INDEX(Aus_Siglas,SUMPRODUCT((Aus_Tec=$I9)*(Aus_Ini&lt;=Y$1)*(Aus_Fim&gt;=Y$1)*Aus_Cod)),"!"))))</f>
        <v/>
      </c>
      <c r="Z9" s="44">
        <f>IF(OR($I9="",Z$1=""),"",IF(SUMPRODUCT((Aus_Tec=$I9)*(Aus_Ini&lt;=Z$1)*(Aus_Fim&gt;=Z$1)*(Aus_Cod&gt;0))=0,"",IF(SUMPRODUCT((Aus_Tec=$I9)*(Aus_Ini&lt;=Z$1)*(Aus_Fim&gt;=Z$1)*(Aus_Cod&gt;0))&gt;1,"!",IFERROR(INDEX(Aus_Siglas,SUMPRODUCT((Aus_Tec=$I9)*(Aus_Ini&lt;=Z$1)*(Aus_Fim&gt;=Z$1)*Aus_Cod)),"!"))))</f>
        <v/>
      </c>
      <c r="AA9" s="44">
        <f>IF(OR($I9="",AA$1=""),"",IF(SUMPRODUCT((Aus_Tec=$I9)*(Aus_Ini&lt;=AA$1)*(Aus_Fim&gt;=AA$1)*(Aus_Cod&gt;0))=0,"",IF(SUMPRODUCT((Aus_Tec=$I9)*(Aus_Ini&lt;=AA$1)*(Aus_Fim&gt;=AA$1)*(Aus_Cod&gt;0))&gt;1,"!",IFERROR(INDEX(Aus_Siglas,SUMPRODUCT((Aus_Tec=$I9)*(Aus_Ini&lt;=AA$1)*(Aus_Fim&gt;=AA$1)*Aus_Cod)),"!"))))</f>
        <v/>
      </c>
      <c r="AB9" s="44">
        <f>IF(OR($I9="",AB$1=""),"",IF(SUMPRODUCT((Aus_Tec=$I9)*(Aus_Ini&lt;=AB$1)*(Aus_Fim&gt;=AB$1)*(Aus_Cod&gt;0))=0,"",IF(SUMPRODUCT((Aus_Tec=$I9)*(Aus_Ini&lt;=AB$1)*(Aus_Fim&gt;=AB$1)*(Aus_Cod&gt;0))&gt;1,"!",IFERROR(INDEX(Aus_Siglas,SUMPRODUCT((Aus_Tec=$I9)*(Aus_Ini&lt;=AB$1)*(Aus_Fim&gt;=AB$1)*Aus_Cod)),"!"))))</f>
        <v/>
      </c>
      <c r="AC9" s="44">
        <f>IF(OR($I9="",AC$1=""),"",IF(SUMPRODUCT((Aus_Tec=$I9)*(Aus_Ini&lt;=AC$1)*(Aus_Fim&gt;=AC$1)*(Aus_Cod&gt;0))=0,"",IF(SUMPRODUCT((Aus_Tec=$I9)*(Aus_Ini&lt;=AC$1)*(Aus_Fim&gt;=AC$1)*(Aus_Cod&gt;0))&gt;1,"!",IFERROR(INDEX(Aus_Siglas,SUMPRODUCT((Aus_Tec=$I9)*(Aus_Ini&lt;=AC$1)*(Aus_Fim&gt;=AC$1)*Aus_Cod)),"!"))))</f>
        <v/>
      </c>
      <c r="AD9" s="44">
        <f>IF(OR($I9="",AD$1=""),"",IF(SUMPRODUCT((Aus_Tec=$I9)*(Aus_Ini&lt;=AD$1)*(Aus_Fim&gt;=AD$1)*(Aus_Cod&gt;0))=0,"",IF(SUMPRODUCT((Aus_Tec=$I9)*(Aus_Ini&lt;=AD$1)*(Aus_Fim&gt;=AD$1)*(Aus_Cod&gt;0))&gt;1,"!",IFERROR(INDEX(Aus_Siglas,SUMPRODUCT((Aus_Tec=$I9)*(Aus_Ini&lt;=AD$1)*(Aus_Fim&gt;=AD$1)*Aus_Cod)),"!"))))</f>
        <v/>
      </c>
      <c r="AE9" s="44">
        <f>IF(OR($I9="",AE$1=""),"",IF(SUMPRODUCT((Aus_Tec=$I9)*(Aus_Ini&lt;=AE$1)*(Aus_Fim&gt;=AE$1)*(Aus_Cod&gt;0))=0,"",IF(SUMPRODUCT((Aus_Tec=$I9)*(Aus_Ini&lt;=AE$1)*(Aus_Fim&gt;=AE$1)*(Aus_Cod&gt;0))&gt;1,"!",IFERROR(INDEX(Aus_Siglas,SUMPRODUCT((Aus_Tec=$I9)*(Aus_Ini&lt;=AE$1)*(Aus_Fim&gt;=AE$1)*Aus_Cod)),"!"))))</f>
        <v/>
      </c>
      <c r="AF9" s="44">
        <f>IF(OR($I9="",AF$1=""),"",IF(SUMPRODUCT((Aus_Tec=$I9)*(Aus_Ini&lt;=AF$1)*(Aus_Fim&gt;=AF$1)*(Aus_Cod&gt;0))=0,"",IF(SUMPRODUCT((Aus_Tec=$I9)*(Aus_Ini&lt;=AF$1)*(Aus_Fim&gt;=AF$1)*(Aus_Cod&gt;0))&gt;1,"!",IFERROR(INDEX(Aus_Siglas,SUMPRODUCT((Aus_Tec=$I9)*(Aus_Ini&lt;=AF$1)*(Aus_Fim&gt;=AF$1)*Aus_Cod)),"!"))))</f>
        <v/>
      </c>
      <c r="AG9" s="44">
        <f>IF(OR($I9="",AG$1=""),"",IF(SUMPRODUCT((Aus_Tec=$I9)*(Aus_Ini&lt;=AG$1)*(Aus_Fim&gt;=AG$1)*(Aus_Cod&gt;0))=0,"",IF(SUMPRODUCT((Aus_Tec=$I9)*(Aus_Ini&lt;=AG$1)*(Aus_Fim&gt;=AG$1)*(Aus_Cod&gt;0))&gt;1,"!",IFERROR(INDEX(Aus_Siglas,SUMPRODUCT((Aus_Tec=$I9)*(Aus_Ini&lt;=AG$1)*(Aus_Fim&gt;=AG$1)*Aus_Cod)),"!"))))</f>
        <v/>
      </c>
      <c r="AH9" s="44">
        <f>IF(OR($I9="",AH$1=""),"",IF(SUMPRODUCT((Aus_Tec=$I9)*(Aus_Ini&lt;=AH$1)*(Aus_Fim&gt;=AH$1)*(Aus_Cod&gt;0))=0,"",IF(SUMPRODUCT((Aus_Tec=$I9)*(Aus_Ini&lt;=AH$1)*(Aus_Fim&gt;=AH$1)*(Aus_Cod&gt;0))&gt;1,"!",IFERROR(INDEX(Aus_Siglas,SUMPRODUCT((Aus_Tec=$I9)*(Aus_Ini&lt;=AH$1)*(Aus_Fim&gt;=AH$1)*Aus_Cod)),"!"))))</f>
        <v/>
      </c>
      <c r="AI9" s="44">
        <f>IF(OR($I9="",AI$1=""),"",IF(SUMPRODUCT((Aus_Tec=$I9)*(Aus_Ini&lt;=AI$1)*(Aus_Fim&gt;=AI$1)*(Aus_Cod&gt;0))=0,"",IF(SUMPRODUCT((Aus_Tec=$I9)*(Aus_Ini&lt;=AI$1)*(Aus_Fim&gt;=AI$1)*(Aus_Cod&gt;0))&gt;1,"!",IFERROR(INDEX(Aus_Siglas,SUMPRODUCT((Aus_Tec=$I9)*(Aus_Ini&lt;=AI$1)*(Aus_Fim&gt;=AI$1)*Aus_Cod)),"!"))))</f>
        <v/>
      </c>
      <c r="AJ9" s="44">
        <f>IF(OR($I9="",AJ$1=""),"",IF(SUMPRODUCT((Aus_Tec=$I9)*(Aus_Ini&lt;=AJ$1)*(Aus_Fim&gt;=AJ$1)*(Aus_Cod&gt;0))=0,"",IF(SUMPRODUCT((Aus_Tec=$I9)*(Aus_Ini&lt;=AJ$1)*(Aus_Fim&gt;=AJ$1)*(Aus_Cod&gt;0))&gt;1,"!",IFERROR(INDEX(Aus_Siglas,SUMPRODUCT((Aus_Tec=$I9)*(Aus_Ini&lt;=AJ$1)*(Aus_Fim&gt;=AJ$1)*Aus_Cod)),"!"))))</f>
        <v/>
      </c>
      <c r="AK9" s="44">
        <f>IF(OR($I9="",AK$1=""),"",IF(SUMPRODUCT((Aus_Tec=$I9)*(Aus_Ini&lt;=AK$1)*(Aus_Fim&gt;=AK$1)*(Aus_Cod&gt;0))=0,"",IF(SUMPRODUCT((Aus_Tec=$I9)*(Aus_Ini&lt;=AK$1)*(Aus_Fim&gt;=AK$1)*(Aus_Cod&gt;0))&gt;1,"!",IFERROR(INDEX(Aus_Siglas,SUMPRODUCT((Aus_Tec=$I9)*(Aus_Ini&lt;=AK$1)*(Aus_Fim&gt;=AK$1)*Aus_Cod)),"!"))))</f>
        <v/>
      </c>
      <c r="AL9" s="44">
        <f>IF(OR($I9="",AL$1=""),"",IF(SUMPRODUCT((Aus_Tec=$I9)*(Aus_Ini&lt;=AL$1)*(Aus_Fim&gt;=AL$1)*(Aus_Cod&gt;0))=0,"",IF(SUMPRODUCT((Aus_Tec=$I9)*(Aus_Ini&lt;=AL$1)*(Aus_Fim&gt;=AL$1)*(Aus_Cod&gt;0))&gt;1,"!",IFERROR(INDEX(Aus_Siglas,SUMPRODUCT((Aus_Tec=$I9)*(Aus_Ini&lt;=AL$1)*(Aus_Fim&gt;=AL$1)*Aus_Cod)),"!"))))</f>
        <v/>
      </c>
      <c r="AM9" s="44">
        <f>IF(OR($I9="",AM$1=""),"",IF(SUMPRODUCT((Aus_Tec=$I9)*(Aus_Ini&lt;=AM$1)*(Aus_Fim&gt;=AM$1)*(Aus_Cod&gt;0))=0,"",IF(SUMPRODUCT((Aus_Tec=$I9)*(Aus_Ini&lt;=AM$1)*(Aus_Fim&gt;=AM$1)*(Aus_Cod&gt;0))&gt;1,"!",IFERROR(INDEX(Aus_Siglas,SUMPRODUCT((Aus_Tec=$I9)*(Aus_Ini&lt;=AM$1)*(Aus_Fim&gt;=AM$1)*Aus_Cod)),"!"))))</f>
        <v/>
      </c>
      <c r="AN9" s="44">
        <f>IF(OR($I9="",AN$1=""),"",IF(SUMPRODUCT((Aus_Tec=$I9)*(Aus_Ini&lt;=AN$1)*(Aus_Fim&gt;=AN$1)*(Aus_Cod&gt;0))=0,"",IF(SUMPRODUCT((Aus_Tec=$I9)*(Aus_Ini&lt;=AN$1)*(Aus_Fim&gt;=AN$1)*(Aus_Cod&gt;0))&gt;1,"!",IFERROR(INDEX(Aus_Siglas,SUMPRODUCT((Aus_Tec=$I9)*(Aus_Ini&lt;=AN$1)*(Aus_Fim&gt;=AN$1)*Aus_Cod)),"!"))))</f>
        <v/>
      </c>
    </row>
    <row r="10">
      <c r="A10" s="33" t="inlineStr">
        <is>
          <t>Gisele Antunes</t>
        </is>
      </c>
      <c r="B10" s="31" t="inlineStr">
        <is>
          <t>Treinamento</t>
        </is>
      </c>
      <c r="C10" s="30" t="n">
        <v>46260</v>
      </c>
      <c r="D10" s="30" t="n">
        <v>46261</v>
      </c>
      <c r="E10" s="20">
        <f>IF(OR($A10="",NOT(ISNUMBER($C10)),NOT(ISNUMBER($D10))),"",$D10-$C10+1)</f>
        <v/>
      </c>
      <c r="F10" s="33" t="inlineStr">
        <is>
          <t>Curso de CME</t>
        </is>
      </c>
      <c r="G10" s="35">
        <f>IF(AND($A10&lt;&gt;"",ISNUMBER($C10),ISNUMBER($D10),$C10&lt;=Data_Mapa,$D10&gt;=Data_Mapa),$A10,"")</f>
        <v/>
      </c>
      <c r="H10" s="35">
        <f>IF($A10="",0,IFERROR(MATCH($B10,Aus_Tipos,0),0))</f>
        <v/>
      </c>
      <c r="I10" s="43">
        <f>IF('Equipe'!$B$9="","",'Equipe'!$B$9)</f>
        <v/>
      </c>
      <c r="J10" s="44">
        <f>IF(OR($I10="",J$1=""),"",IF(SUMPRODUCT((Aus_Tec=$I10)*(Aus_Ini&lt;=J$1)*(Aus_Fim&gt;=J$1)*(Aus_Cod&gt;0))=0,"",IF(SUMPRODUCT((Aus_Tec=$I10)*(Aus_Ini&lt;=J$1)*(Aus_Fim&gt;=J$1)*(Aus_Cod&gt;0))&gt;1,"!",IFERROR(INDEX(Aus_Siglas,SUMPRODUCT((Aus_Tec=$I10)*(Aus_Ini&lt;=J$1)*(Aus_Fim&gt;=J$1)*Aus_Cod)),"!"))))</f>
        <v/>
      </c>
      <c r="K10" s="44">
        <f>IF(OR($I10="",K$1=""),"",IF(SUMPRODUCT((Aus_Tec=$I10)*(Aus_Ini&lt;=K$1)*(Aus_Fim&gt;=K$1)*(Aus_Cod&gt;0))=0,"",IF(SUMPRODUCT((Aus_Tec=$I10)*(Aus_Ini&lt;=K$1)*(Aus_Fim&gt;=K$1)*(Aus_Cod&gt;0))&gt;1,"!",IFERROR(INDEX(Aus_Siglas,SUMPRODUCT((Aus_Tec=$I10)*(Aus_Ini&lt;=K$1)*(Aus_Fim&gt;=K$1)*Aus_Cod)),"!"))))</f>
        <v/>
      </c>
      <c r="L10" s="44">
        <f>IF(OR($I10="",L$1=""),"",IF(SUMPRODUCT((Aus_Tec=$I10)*(Aus_Ini&lt;=L$1)*(Aus_Fim&gt;=L$1)*(Aus_Cod&gt;0))=0,"",IF(SUMPRODUCT((Aus_Tec=$I10)*(Aus_Ini&lt;=L$1)*(Aus_Fim&gt;=L$1)*(Aus_Cod&gt;0))&gt;1,"!",IFERROR(INDEX(Aus_Siglas,SUMPRODUCT((Aus_Tec=$I10)*(Aus_Ini&lt;=L$1)*(Aus_Fim&gt;=L$1)*Aus_Cod)),"!"))))</f>
        <v/>
      </c>
      <c r="M10" s="44">
        <f>IF(OR($I10="",M$1=""),"",IF(SUMPRODUCT((Aus_Tec=$I10)*(Aus_Ini&lt;=M$1)*(Aus_Fim&gt;=M$1)*(Aus_Cod&gt;0))=0,"",IF(SUMPRODUCT((Aus_Tec=$I10)*(Aus_Ini&lt;=M$1)*(Aus_Fim&gt;=M$1)*(Aus_Cod&gt;0))&gt;1,"!",IFERROR(INDEX(Aus_Siglas,SUMPRODUCT((Aus_Tec=$I10)*(Aus_Ini&lt;=M$1)*(Aus_Fim&gt;=M$1)*Aus_Cod)),"!"))))</f>
        <v/>
      </c>
      <c r="N10" s="44">
        <f>IF(OR($I10="",N$1=""),"",IF(SUMPRODUCT((Aus_Tec=$I10)*(Aus_Ini&lt;=N$1)*(Aus_Fim&gt;=N$1)*(Aus_Cod&gt;0))=0,"",IF(SUMPRODUCT((Aus_Tec=$I10)*(Aus_Ini&lt;=N$1)*(Aus_Fim&gt;=N$1)*(Aus_Cod&gt;0))&gt;1,"!",IFERROR(INDEX(Aus_Siglas,SUMPRODUCT((Aus_Tec=$I10)*(Aus_Ini&lt;=N$1)*(Aus_Fim&gt;=N$1)*Aus_Cod)),"!"))))</f>
        <v/>
      </c>
      <c r="O10" s="44">
        <f>IF(OR($I10="",O$1=""),"",IF(SUMPRODUCT((Aus_Tec=$I10)*(Aus_Ini&lt;=O$1)*(Aus_Fim&gt;=O$1)*(Aus_Cod&gt;0))=0,"",IF(SUMPRODUCT((Aus_Tec=$I10)*(Aus_Ini&lt;=O$1)*(Aus_Fim&gt;=O$1)*(Aus_Cod&gt;0))&gt;1,"!",IFERROR(INDEX(Aus_Siglas,SUMPRODUCT((Aus_Tec=$I10)*(Aus_Ini&lt;=O$1)*(Aus_Fim&gt;=O$1)*Aus_Cod)),"!"))))</f>
        <v/>
      </c>
      <c r="P10" s="44">
        <f>IF(OR($I10="",P$1=""),"",IF(SUMPRODUCT((Aus_Tec=$I10)*(Aus_Ini&lt;=P$1)*(Aus_Fim&gt;=P$1)*(Aus_Cod&gt;0))=0,"",IF(SUMPRODUCT((Aus_Tec=$I10)*(Aus_Ini&lt;=P$1)*(Aus_Fim&gt;=P$1)*(Aus_Cod&gt;0))&gt;1,"!",IFERROR(INDEX(Aus_Siglas,SUMPRODUCT((Aus_Tec=$I10)*(Aus_Ini&lt;=P$1)*(Aus_Fim&gt;=P$1)*Aus_Cod)),"!"))))</f>
        <v/>
      </c>
      <c r="Q10" s="44">
        <f>IF(OR($I10="",Q$1=""),"",IF(SUMPRODUCT((Aus_Tec=$I10)*(Aus_Ini&lt;=Q$1)*(Aus_Fim&gt;=Q$1)*(Aus_Cod&gt;0))=0,"",IF(SUMPRODUCT((Aus_Tec=$I10)*(Aus_Ini&lt;=Q$1)*(Aus_Fim&gt;=Q$1)*(Aus_Cod&gt;0))&gt;1,"!",IFERROR(INDEX(Aus_Siglas,SUMPRODUCT((Aus_Tec=$I10)*(Aus_Ini&lt;=Q$1)*(Aus_Fim&gt;=Q$1)*Aus_Cod)),"!"))))</f>
        <v/>
      </c>
      <c r="R10" s="44">
        <f>IF(OR($I10="",R$1=""),"",IF(SUMPRODUCT((Aus_Tec=$I10)*(Aus_Ini&lt;=R$1)*(Aus_Fim&gt;=R$1)*(Aus_Cod&gt;0))=0,"",IF(SUMPRODUCT((Aus_Tec=$I10)*(Aus_Ini&lt;=R$1)*(Aus_Fim&gt;=R$1)*(Aus_Cod&gt;0))&gt;1,"!",IFERROR(INDEX(Aus_Siglas,SUMPRODUCT((Aus_Tec=$I10)*(Aus_Ini&lt;=R$1)*(Aus_Fim&gt;=R$1)*Aus_Cod)),"!"))))</f>
        <v/>
      </c>
      <c r="S10" s="44">
        <f>IF(OR($I10="",S$1=""),"",IF(SUMPRODUCT((Aus_Tec=$I10)*(Aus_Ini&lt;=S$1)*(Aus_Fim&gt;=S$1)*(Aus_Cod&gt;0))=0,"",IF(SUMPRODUCT((Aus_Tec=$I10)*(Aus_Ini&lt;=S$1)*(Aus_Fim&gt;=S$1)*(Aus_Cod&gt;0))&gt;1,"!",IFERROR(INDEX(Aus_Siglas,SUMPRODUCT((Aus_Tec=$I10)*(Aus_Ini&lt;=S$1)*(Aus_Fim&gt;=S$1)*Aus_Cod)),"!"))))</f>
        <v/>
      </c>
      <c r="T10" s="44">
        <f>IF(OR($I10="",T$1=""),"",IF(SUMPRODUCT((Aus_Tec=$I10)*(Aus_Ini&lt;=T$1)*(Aus_Fim&gt;=T$1)*(Aus_Cod&gt;0))=0,"",IF(SUMPRODUCT((Aus_Tec=$I10)*(Aus_Ini&lt;=T$1)*(Aus_Fim&gt;=T$1)*(Aus_Cod&gt;0))&gt;1,"!",IFERROR(INDEX(Aus_Siglas,SUMPRODUCT((Aus_Tec=$I10)*(Aus_Ini&lt;=T$1)*(Aus_Fim&gt;=T$1)*Aus_Cod)),"!"))))</f>
        <v/>
      </c>
      <c r="U10" s="44">
        <f>IF(OR($I10="",U$1=""),"",IF(SUMPRODUCT((Aus_Tec=$I10)*(Aus_Ini&lt;=U$1)*(Aus_Fim&gt;=U$1)*(Aus_Cod&gt;0))=0,"",IF(SUMPRODUCT((Aus_Tec=$I10)*(Aus_Ini&lt;=U$1)*(Aus_Fim&gt;=U$1)*(Aus_Cod&gt;0))&gt;1,"!",IFERROR(INDEX(Aus_Siglas,SUMPRODUCT((Aus_Tec=$I10)*(Aus_Ini&lt;=U$1)*(Aus_Fim&gt;=U$1)*Aus_Cod)),"!"))))</f>
        <v/>
      </c>
      <c r="V10" s="44">
        <f>IF(OR($I10="",V$1=""),"",IF(SUMPRODUCT((Aus_Tec=$I10)*(Aus_Ini&lt;=V$1)*(Aus_Fim&gt;=V$1)*(Aus_Cod&gt;0))=0,"",IF(SUMPRODUCT((Aus_Tec=$I10)*(Aus_Ini&lt;=V$1)*(Aus_Fim&gt;=V$1)*(Aus_Cod&gt;0))&gt;1,"!",IFERROR(INDEX(Aus_Siglas,SUMPRODUCT((Aus_Tec=$I10)*(Aus_Ini&lt;=V$1)*(Aus_Fim&gt;=V$1)*Aus_Cod)),"!"))))</f>
        <v/>
      </c>
      <c r="W10" s="44">
        <f>IF(OR($I10="",W$1=""),"",IF(SUMPRODUCT((Aus_Tec=$I10)*(Aus_Ini&lt;=W$1)*(Aus_Fim&gt;=W$1)*(Aus_Cod&gt;0))=0,"",IF(SUMPRODUCT((Aus_Tec=$I10)*(Aus_Ini&lt;=W$1)*(Aus_Fim&gt;=W$1)*(Aus_Cod&gt;0))&gt;1,"!",IFERROR(INDEX(Aus_Siglas,SUMPRODUCT((Aus_Tec=$I10)*(Aus_Ini&lt;=W$1)*(Aus_Fim&gt;=W$1)*Aus_Cod)),"!"))))</f>
        <v/>
      </c>
      <c r="X10" s="44">
        <f>IF(OR($I10="",X$1=""),"",IF(SUMPRODUCT((Aus_Tec=$I10)*(Aus_Ini&lt;=X$1)*(Aus_Fim&gt;=X$1)*(Aus_Cod&gt;0))=0,"",IF(SUMPRODUCT((Aus_Tec=$I10)*(Aus_Ini&lt;=X$1)*(Aus_Fim&gt;=X$1)*(Aus_Cod&gt;0))&gt;1,"!",IFERROR(INDEX(Aus_Siglas,SUMPRODUCT((Aus_Tec=$I10)*(Aus_Ini&lt;=X$1)*(Aus_Fim&gt;=X$1)*Aus_Cod)),"!"))))</f>
        <v/>
      </c>
      <c r="Y10" s="44">
        <f>IF(OR($I10="",Y$1=""),"",IF(SUMPRODUCT((Aus_Tec=$I10)*(Aus_Ini&lt;=Y$1)*(Aus_Fim&gt;=Y$1)*(Aus_Cod&gt;0))=0,"",IF(SUMPRODUCT((Aus_Tec=$I10)*(Aus_Ini&lt;=Y$1)*(Aus_Fim&gt;=Y$1)*(Aus_Cod&gt;0))&gt;1,"!",IFERROR(INDEX(Aus_Siglas,SUMPRODUCT((Aus_Tec=$I10)*(Aus_Ini&lt;=Y$1)*(Aus_Fim&gt;=Y$1)*Aus_Cod)),"!"))))</f>
        <v/>
      </c>
      <c r="Z10" s="44">
        <f>IF(OR($I10="",Z$1=""),"",IF(SUMPRODUCT((Aus_Tec=$I10)*(Aus_Ini&lt;=Z$1)*(Aus_Fim&gt;=Z$1)*(Aus_Cod&gt;0))=0,"",IF(SUMPRODUCT((Aus_Tec=$I10)*(Aus_Ini&lt;=Z$1)*(Aus_Fim&gt;=Z$1)*(Aus_Cod&gt;0))&gt;1,"!",IFERROR(INDEX(Aus_Siglas,SUMPRODUCT((Aus_Tec=$I10)*(Aus_Ini&lt;=Z$1)*(Aus_Fim&gt;=Z$1)*Aus_Cod)),"!"))))</f>
        <v/>
      </c>
      <c r="AA10" s="44">
        <f>IF(OR($I10="",AA$1=""),"",IF(SUMPRODUCT((Aus_Tec=$I10)*(Aus_Ini&lt;=AA$1)*(Aus_Fim&gt;=AA$1)*(Aus_Cod&gt;0))=0,"",IF(SUMPRODUCT((Aus_Tec=$I10)*(Aus_Ini&lt;=AA$1)*(Aus_Fim&gt;=AA$1)*(Aus_Cod&gt;0))&gt;1,"!",IFERROR(INDEX(Aus_Siglas,SUMPRODUCT((Aus_Tec=$I10)*(Aus_Ini&lt;=AA$1)*(Aus_Fim&gt;=AA$1)*Aus_Cod)),"!"))))</f>
        <v/>
      </c>
      <c r="AB10" s="44">
        <f>IF(OR($I10="",AB$1=""),"",IF(SUMPRODUCT((Aus_Tec=$I10)*(Aus_Ini&lt;=AB$1)*(Aus_Fim&gt;=AB$1)*(Aus_Cod&gt;0))=0,"",IF(SUMPRODUCT((Aus_Tec=$I10)*(Aus_Ini&lt;=AB$1)*(Aus_Fim&gt;=AB$1)*(Aus_Cod&gt;0))&gt;1,"!",IFERROR(INDEX(Aus_Siglas,SUMPRODUCT((Aus_Tec=$I10)*(Aus_Ini&lt;=AB$1)*(Aus_Fim&gt;=AB$1)*Aus_Cod)),"!"))))</f>
        <v/>
      </c>
      <c r="AC10" s="44">
        <f>IF(OR($I10="",AC$1=""),"",IF(SUMPRODUCT((Aus_Tec=$I10)*(Aus_Ini&lt;=AC$1)*(Aus_Fim&gt;=AC$1)*(Aus_Cod&gt;0))=0,"",IF(SUMPRODUCT((Aus_Tec=$I10)*(Aus_Ini&lt;=AC$1)*(Aus_Fim&gt;=AC$1)*(Aus_Cod&gt;0))&gt;1,"!",IFERROR(INDEX(Aus_Siglas,SUMPRODUCT((Aus_Tec=$I10)*(Aus_Ini&lt;=AC$1)*(Aus_Fim&gt;=AC$1)*Aus_Cod)),"!"))))</f>
        <v/>
      </c>
      <c r="AD10" s="44">
        <f>IF(OR($I10="",AD$1=""),"",IF(SUMPRODUCT((Aus_Tec=$I10)*(Aus_Ini&lt;=AD$1)*(Aus_Fim&gt;=AD$1)*(Aus_Cod&gt;0))=0,"",IF(SUMPRODUCT((Aus_Tec=$I10)*(Aus_Ini&lt;=AD$1)*(Aus_Fim&gt;=AD$1)*(Aus_Cod&gt;0))&gt;1,"!",IFERROR(INDEX(Aus_Siglas,SUMPRODUCT((Aus_Tec=$I10)*(Aus_Ini&lt;=AD$1)*(Aus_Fim&gt;=AD$1)*Aus_Cod)),"!"))))</f>
        <v/>
      </c>
      <c r="AE10" s="44">
        <f>IF(OR($I10="",AE$1=""),"",IF(SUMPRODUCT((Aus_Tec=$I10)*(Aus_Ini&lt;=AE$1)*(Aus_Fim&gt;=AE$1)*(Aus_Cod&gt;0))=0,"",IF(SUMPRODUCT((Aus_Tec=$I10)*(Aus_Ini&lt;=AE$1)*(Aus_Fim&gt;=AE$1)*(Aus_Cod&gt;0))&gt;1,"!",IFERROR(INDEX(Aus_Siglas,SUMPRODUCT((Aus_Tec=$I10)*(Aus_Ini&lt;=AE$1)*(Aus_Fim&gt;=AE$1)*Aus_Cod)),"!"))))</f>
        <v/>
      </c>
      <c r="AF10" s="44">
        <f>IF(OR($I10="",AF$1=""),"",IF(SUMPRODUCT((Aus_Tec=$I10)*(Aus_Ini&lt;=AF$1)*(Aus_Fim&gt;=AF$1)*(Aus_Cod&gt;0))=0,"",IF(SUMPRODUCT((Aus_Tec=$I10)*(Aus_Ini&lt;=AF$1)*(Aus_Fim&gt;=AF$1)*(Aus_Cod&gt;0))&gt;1,"!",IFERROR(INDEX(Aus_Siglas,SUMPRODUCT((Aus_Tec=$I10)*(Aus_Ini&lt;=AF$1)*(Aus_Fim&gt;=AF$1)*Aus_Cod)),"!"))))</f>
        <v/>
      </c>
      <c r="AG10" s="44">
        <f>IF(OR($I10="",AG$1=""),"",IF(SUMPRODUCT((Aus_Tec=$I10)*(Aus_Ini&lt;=AG$1)*(Aus_Fim&gt;=AG$1)*(Aus_Cod&gt;0))=0,"",IF(SUMPRODUCT((Aus_Tec=$I10)*(Aus_Ini&lt;=AG$1)*(Aus_Fim&gt;=AG$1)*(Aus_Cod&gt;0))&gt;1,"!",IFERROR(INDEX(Aus_Siglas,SUMPRODUCT((Aus_Tec=$I10)*(Aus_Ini&lt;=AG$1)*(Aus_Fim&gt;=AG$1)*Aus_Cod)),"!"))))</f>
        <v/>
      </c>
      <c r="AH10" s="44">
        <f>IF(OR($I10="",AH$1=""),"",IF(SUMPRODUCT((Aus_Tec=$I10)*(Aus_Ini&lt;=AH$1)*(Aus_Fim&gt;=AH$1)*(Aus_Cod&gt;0))=0,"",IF(SUMPRODUCT((Aus_Tec=$I10)*(Aus_Ini&lt;=AH$1)*(Aus_Fim&gt;=AH$1)*(Aus_Cod&gt;0))&gt;1,"!",IFERROR(INDEX(Aus_Siglas,SUMPRODUCT((Aus_Tec=$I10)*(Aus_Ini&lt;=AH$1)*(Aus_Fim&gt;=AH$1)*Aus_Cod)),"!"))))</f>
        <v/>
      </c>
      <c r="AI10" s="44">
        <f>IF(OR($I10="",AI$1=""),"",IF(SUMPRODUCT((Aus_Tec=$I10)*(Aus_Ini&lt;=AI$1)*(Aus_Fim&gt;=AI$1)*(Aus_Cod&gt;0))=0,"",IF(SUMPRODUCT((Aus_Tec=$I10)*(Aus_Ini&lt;=AI$1)*(Aus_Fim&gt;=AI$1)*(Aus_Cod&gt;0))&gt;1,"!",IFERROR(INDEX(Aus_Siglas,SUMPRODUCT((Aus_Tec=$I10)*(Aus_Ini&lt;=AI$1)*(Aus_Fim&gt;=AI$1)*Aus_Cod)),"!"))))</f>
        <v/>
      </c>
      <c r="AJ10" s="44">
        <f>IF(OR($I10="",AJ$1=""),"",IF(SUMPRODUCT((Aus_Tec=$I10)*(Aus_Ini&lt;=AJ$1)*(Aus_Fim&gt;=AJ$1)*(Aus_Cod&gt;0))=0,"",IF(SUMPRODUCT((Aus_Tec=$I10)*(Aus_Ini&lt;=AJ$1)*(Aus_Fim&gt;=AJ$1)*(Aus_Cod&gt;0))&gt;1,"!",IFERROR(INDEX(Aus_Siglas,SUMPRODUCT((Aus_Tec=$I10)*(Aus_Ini&lt;=AJ$1)*(Aus_Fim&gt;=AJ$1)*Aus_Cod)),"!"))))</f>
        <v/>
      </c>
      <c r="AK10" s="44">
        <f>IF(OR($I10="",AK$1=""),"",IF(SUMPRODUCT((Aus_Tec=$I10)*(Aus_Ini&lt;=AK$1)*(Aus_Fim&gt;=AK$1)*(Aus_Cod&gt;0))=0,"",IF(SUMPRODUCT((Aus_Tec=$I10)*(Aus_Ini&lt;=AK$1)*(Aus_Fim&gt;=AK$1)*(Aus_Cod&gt;0))&gt;1,"!",IFERROR(INDEX(Aus_Siglas,SUMPRODUCT((Aus_Tec=$I10)*(Aus_Ini&lt;=AK$1)*(Aus_Fim&gt;=AK$1)*Aus_Cod)),"!"))))</f>
        <v/>
      </c>
      <c r="AL10" s="44">
        <f>IF(OR($I10="",AL$1=""),"",IF(SUMPRODUCT((Aus_Tec=$I10)*(Aus_Ini&lt;=AL$1)*(Aus_Fim&gt;=AL$1)*(Aus_Cod&gt;0))=0,"",IF(SUMPRODUCT((Aus_Tec=$I10)*(Aus_Ini&lt;=AL$1)*(Aus_Fim&gt;=AL$1)*(Aus_Cod&gt;0))&gt;1,"!",IFERROR(INDEX(Aus_Siglas,SUMPRODUCT((Aus_Tec=$I10)*(Aus_Ini&lt;=AL$1)*(Aus_Fim&gt;=AL$1)*Aus_Cod)),"!"))))</f>
        <v/>
      </c>
      <c r="AM10" s="44">
        <f>IF(OR($I10="",AM$1=""),"",IF(SUMPRODUCT((Aus_Tec=$I10)*(Aus_Ini&lt;=AM$1)*(Aus_Fim&gt;=AM$1)*(Aus_Cod&gt;0))=0,"",IF(SUMPRODUCT((Aus_Tec=$I10)*(Aus_Ini&lt;=AM$1)*(Aus_Fim&gt;=AM$1)*(Aus_Cod&gt;0))&gt;1,"!",IFERROR(INDEX(Aus_Siglas,SUMPRODUCT((Aus_Tec=$I10)*(Aus_Ini&lt;=AM$1)*(Aus_Fim&gt;=AM$1)*Aus_Cod)),"!"))))</f>
        <v/>
      </c>
      <c r="AN10" s="44">
        <f>IF(OR($I10="",AN$1=""),"",IF(SUMPRODUCT((Aus_Tec=$I10)*(Aus_Ini&lt;=AN$1)*(Aus_Fim&gt;=AN$1)*(Aus_Cod&gt;0))=0,"",IF(SUMPRODUCT((Aus_Tec=$I10)*(Aus_Ini&lt;=AN$1)*(Aus_Fim&gt;=AN$1)*(Aus_Cod&gt;0))&gt;1,"!",IFERROR(INDEX(Aus_Siglas,SUMPRODUCT((Aus_Tec=$I10)*(Aus_Ini&lt;=AN$1)*(Aus_Fim&gt;=AN$1)*Aus_Cod)),"!"))))</f>
        <v/>
      </c>
    </row>
    <row r="11">
      <c r="A11" s="33" t="inlineStr">
        <is>
          <t>Odair Bianchi</t>
        </is>
      </c>
      <c r="B11" s="31" t="inlineStr">
        <is>
          <t>Licença</t>
        </is>
      </c>
      <c r="C11" s="30" t="n">
        <v>46262</v>
      </c>
      <c r="D11" s="30" t="n">
        <v>46265</v>
      </c>
      <c r="E11" s="20">
        <f>IF(OR($A11="",NOT(ISNUMBER($C11)),NOT(ISNUMBER($D11))),"",$D11-$C11+1)</f>
        <v/>
      </c>
      <c r="F11" s="33" t="inlineStr"/>
      <c r="G11" s="35">
        <f>IF(AND($A11&lt;&gt;"",ISNUMBER($C11),ISNUMBER($D11),$C11&lt;=Data_Mapa,$D11&gt;=Data_Mapa),$A11,"")</f>
        <v/>
      </c>
      <c r="H11" s="35">
        <f>IF($A11="",0,IFERROR(MATCH($B11,Aus_Tipos,0),0))</f>
        <v/>
      </c>
      <c r="I11" s="43">
        <f>IF('Equipe'!$B$10="","",'Equipe'!$B$10)</f>
        <v/>
      </c>
      <c r="J11" s="44">
        <f>IF(OR($I11="",J$1=""),"",IF(SUMPRODUCT((Aus_Tec=$I11)*(Aus_Ini&lt;=J$1)*(Aus_Fim&gt;=J$1)*(Aus_Cod&gt;0))=0,"",IF(SUMPRODUCT((Aus_Tec=$I11)*(Aus_Ini&lt;=J$1)*(Aus_Fim&gt;=J$1)*(Aus_Cod&gt;0))&gt;1,"!",IFERROR(INDEX(Aus_Siglas,SUMPRODUCT((Aus_Tec=$I11)*(Aus_Ini&lt;=J$1)*(Aus_Fim&gt;=J$1)*Aus_Cod)),"!"))))</f>
        <v/>
      </c>
      <c r="K11" s="44">
        <f>IF(OR($I11="",K$1=""),"",IF(SUMPRODUCT((Aus_Tec=$I11)*(Aus_Ini&lt;=K$1)*(Aus_Fim&gt;=K$1)*(Aus_Cod&gt;0))=0,"",IF(SUMPRODUCT((Aus_Tec=$I11)*(Aus_Ini&lt;=K$1)*(Aus_Fim&gt;=K$1)*(Aus_Cod&gt;0))&gt;1,"!",IFERROR(INDEX(Aus_Siglas,SUMPRODUCT((Aus_Tec=$I11)*(Aus_Ini&lt;=K$1)*(Aus_Fim&gt;=K$1)*Aus_Cod)),"!"))))</f>
        <v/>
      </c>
      <c r="L11" s="44">
        <f>IF(OR($I11="",L$1=""),"",IF(SUMPRODUCT((Aus_Tec=$I11)*(Aus_Ini&lt;=L$1)*(Aus_Fim&gt;=L$1)*(Aus_Cod&gt;0))=0,"",IF(SUMPRODUCT((Aus_Tec=$I11)*(Aus_Ini&lt;=L$1)*(Aus_Fim&gt;=L$1)*(Aus_Cod&gt;0))&gt;1,"!",IFERROR(INDEX(Aus_Siglas,SUMPRODUCT((Aus_Tec=$I11)*(Aus_Ini&lt;=L$1)*(Aus_Fim&gt;=L$1)*Aus_Cod)),"!"))))</f>
        <v/>
      </c>
      <c r="M11" s="44">
        <f>IF(OR($I11="",M$1=""),"",IF(SUMPRODUCT((Aus_Tec=$I11)*(Aus_Ini&lt;=M$1)*(Aus_Fim&gt;=M$1)*(Aus_Cod&gt;0))=0,"",IF(SUMPRODUCT((Aus_Tec=$I11)*(Aus_Ini&lt;=M$1)*(Aus_Fim&gt;=M$1)*(Aus_Cod&gt;0))&gt;1,"!",IFERROR(INDEX(Aus_Siglas,SUMPRODUCT((Aus_Tec=$I11)*(Aus_Ini&lt;=M$1)*(Aus_Fim&gt;=M$1)*Aus_Cod)),"!"))))</f>
        <v/>
      </c>
      <c r="N11" s="44">
        <f>IF(OR($I11="",N$1=""),"",IF(SUMPRODUCT((Aus_Tec=$I11)*(Aus_Ini&lt;=N$1)*(Aus_Fim&gt;=N$1)*(Aus_Cod&gt;0))=0,"",IF(SUMPRODUCT((Aus_Tec=$I11)*(Aus_Ini&lt;=N$1)*(Aus_Fim&gt;=N$1)*(Aus_Cod&gt;0))&gt;1,"!",IFERROR(INDEX(Aus_Siglas,SUMPRODUCT((Aus_Tec=$I11)*(Aus_Ini&lt;=N$1)*(Aus_Fim&gt;=N$1)*Aus_Cod)),"!"))))</f>
        <v/>
      </c>
      <c r="O11" s="44">
        <f>IF(OR($I11="",O$1=""),"",IF(SUMPRODUCT((Aus_Tec=$I11)*(Aus_Ini&lt;=O$1)*(Aus_Fim&gt;=O$1)*(Aus_Cod&gt;0))=0,"",IF(SUMPRODUCT((Aus_Tec=$I11)*(Aus_Ini&lt;=O$1)*(Aus_Fim&gt;=O$1)*(Aus_Cod&gt;0))&gt;1,"!",IFERROR(INDEX(Aus_Siglas,SUMPRODUCT((Aus_Tec=$I11)*(Aus_Ini&lt;=O$1)*(Aus_Fim&gt;=O$1)*Aus_Cod)),"!"))))</f>
        <v/>
      </c>
      <c r="P11" s="44">
        <f>IF(OR($I11="",P$1=""),"",IF(SUMPRODUCT((Aus_Tec=$I11)*(Aus_Ini&lt;=P$1)*(Aus_Fim&gt;=P$1)*(Aus_Cod&gt;0))=0,"",IF(SUMPRODUCT((Aus_Tec=$I11)*(Aus_Ini&lt;=P$1)*(Aus_Fim&gt;=P$1)*(Aus_Cod&gt;0))&gt;1,"!",IFERROR(INDEX(Aus_Siglas,SUMPRODUCT((Aus_Tec=$I11)*(Aus_Ini&lt;=P$1)*(Aus_Fim&gt;=P$1)*Aus_Cod)),"!"))))</f>
        <v/>
      </c>
      <c r="Q11" s="44">
        <f>IF(OR($I11="",Q$1=""),"",IF(SUMPRODUCT((Aus_Tec=$I11)*(Aus_Ini&lt;=Q$1)*(Aus_Fim&gt;=Q$1)*(Aus_Cod&gt;0))=0,"",IF(SUMPRODUCT((Aus_Tec=$I11)*(Aus_Ini&lt;=Q$1)*(Aus_Fim&gt;=Q$1)*(Aus_Cod&gt;0))&gt;1,"!",IFERROR(INDEX(Aus_Siglas,SUMPRODUCT((Aus_Tec=$I11)*(Aus_Ini&lt;=Q$1)*(Aus_Fim&gt;=Q$1)*Aus_Cod)),"!"))))</f>
        <v/>
      </c>
      <c r="R11" s="44">
        <f>IF(OR($I11="",R$1=""),"",IF(SUMPRODUCT((Aus_Tec=$I11)*(Aus_Ini&lt;=R$1)*(Aus_Fim&gt;=R$1)*(Aus_Cod&gt;0))=0,"",IF(SUMPRODUCT((Aus_Tec=$I11)*(Aus_Ini&lt;=R$1)*(Aus_Fim&gt;=R$1)*(Aus_Cod&gt;0))&gt;1,"!",IFERROR(INDEX(Aus_Siglas,SUMPRODUCT((Aus_Tec=$I11)*(Aus_Ini&lt;=R$1)*(Aus_Fim&gt;=R$1)*Aus_Cod)),"!"))))</f>
        <v/>
      </c>
      <c r="S11" s="44">
        <f>IF(OR($I11="",S$1=""),"",IF(SUMPRODUCT((Aus_Tec=$I11)*(Aus_Ini&lt;=S$1)*(Aus_Fim&gt;=S$1)*(Aus_Cod&gt;0))=0,"",IF(SUMPRODUCT((Aus_Tec=$I11)*(Aus_Ini&lt;=S$1)*(Aus_Fim&gt;=S$1)*(Aus_Cod&gt;0))&gt;1,"!",IFERROR(INDEX(Aus_Siglas,SUMPRODUCT((Aus_Tec=$I11)*(Aus_Ini&lt;=S$1)*(Aus_Fim&gt;=S$1)*Aus_Cod)),"!"))))</f>
        <v/>
      </c>
      <c r="T11" s="44">
        <f>IF(OR($I11="",T$1=""),"",IF(SUMPRODUCT((Aus_Tec=$I11)*(Aus_Ini&lt;=T$1)*(Aus_Fim&gt;=T$1)*(Aus_Cod&gt;0))=0,"",IF(SUMPRODUCT((Aus_Tec=$I11)*(Aus_Ini&lt;=T$1)*(Aus_Fim&gt;=T$1)*(Aus_Cod&gt;0))&gt;1,"!",IFERROR(INDEX(Aus_Siglas,SUMPRODUCT((Aus_Tec=$I11)*(Aus_Ini&lt;=T$1)*(Aus_Fim&gt;=T$1)*Aus_Cod)),"!"))))</f>
        <v/>
      </c>
      <c r="U11" s="44">
        <f>IF(OR($I11="",U$1=""),"",IF(SUMPRODUCT((Aus_Tec=$I11)*(Aus_Ini&lt;=U$1)*(Aus_Fim&gt;=U$1)*(Aus_Cod&gt;0))=0,"",IF(SUMPRODUCT((Aus_Tec=$I11)*(Aus_Ini&lt;=U$1)*(Aus_Fim&gt;=U$1)*(Aus_Cod&gt;0))&gt;1,"!",IFERROR(INDEX(Aus_Siglas,SUMPRODUCT((Aus_Tec=$I11)*(Aus_Ini&lt;=U$1)*(Aus_Fim&gt;=U$1)*Aus_Cod)),"!"))))</f>
        <v/>
      </c>
      <c r="V11" s="44">
        <f>IF(OR($I11="",V$1=""),"",IF(SUMPRODUCT((Aus_Tec=$I11)*(Aus_Ini&lt;=V$1)*(Aus_Fim&gt;=V$1)*(Aus_Cod&gt;0))=0,"",IF(SUMPRODUCT((Aus_Tec=$I11)*(Aus_Ini&lt;=V$1)*(Aus_Fim&gt;=V$1)*(Aus_Cod&gt;0))&gt;1,"!",IFERROR(INDEX(Aus_Siglas,SUMPRODUCT((Aus_Tec=$I11)*(Aus_Ini&lt;=V$1)*(Aus_Fim&gt;=V$1)*Aus_Cod)),"!"))))</f>
        <v/>
      </c>
      <c r="W11" s="44">
        <f>IF(OR($I11="",W$1=""),"",IF(SUMPRODUCT((Aus_Tec=$I11)*(Aus_Ini&lt;=W$1)*(Aus_Fim&gt;=W$1)*(Aus_Cod&gt;0))=0,"",IF(SUMPRODUCT((Aus_Tec=$I11)*(Aus_Ini&lt;=W$1)*(Aus_Fim&gt;=W$1)*(Aus_Cod&gt;0))&gt;1,"!",IFERROR(INDEX(Aus_Siglas,SUMPRODUCT((Aus_Tec=$I11)*(Aus_Ini&lt;=W$1)*(Aus_Fim&gt;=W$1)*Aus_Cod)),"!"))))</f>
        <v/>
      </c>
      <c r="X11" s="44">
        <f>IF(OR($I11="",X$1=""),"",IF(SUMPRODUCT((Aus_Tec=$I11)*(Aus_Ini&lt;=X$1)*(Aus_Fim&gt;=X$1)*(Aus_Cod&gt;0))=0,"",IF(SUMPRODUCT((Aus_Tec=$I11)*(Aus_Ini&lt;=X$1)*(Aus_Fim&gt;=X$1)*(Aus_Cod&gt;0))&gt;1,"!",IFERROR(INDEX(Aus_Siglas,SUMPRODUCT((Aus_Tec=$I11)*(Aus_Ini&lt;=X$1)*(Aus_Fim&gt;=X$1)*Aus_Cod)),"!"))))</f>
        <v/>
      </c>
      <c r="Y11" s="44">
        <f>IF(OR($I11="",Y$1=""),"",IF(SUMPRODUCT((Aus_Tec=$I11)*(Aus_Ini&lt;=Y$1)*(Aus_Fim&gt;=Y$1)*(Aus_Cod&gt;0))=0,"",IF(SUMPRODUCT((Aus_Tec=$I11)*(Aus_Ini&lt;=Y$1)*(Aus_Fim&gt;=Y$1)*(Aus_Cod&gt;0))&gt;1,"!",IFERROR(INDEX(Aus_Siglas,SUMPRODUCT((Aus_Tec=$I11)*(Aus_Ini&lt;=Y$1)*(Aus_Fim&gt;=Y$1)*Aus_Cod)),"!"))))</f>
        <v/>
      </c>
      <c r="Z11" s="44">
        <f>IF(OR($I11="",Z$1=""),"",IF(SUMPRODUCT((Aus_Tec=$I11)*(Aus_Ini&lt;=Z$1)*(Aus_Fim&gt;=Z$1)*(Aus_Cod&gt;0))=0,"",IF(SUMPRODUCT((Aus_Tec=$I11)*(Aus_Ini&lt;=Z$1)*(Aus_Fim&gt;=Z$1)*(Aus_Cod&gt;0))&gt;1,"!",IFERROR(INDEX(Aus_Siglas,SUMPRODUCT((Aus_Tec=$I11)*(Aus_Ini&lt;=Z$1)*(Aus_Fim&gt;=Z$1)*Aus_Cod)),"!"))))</f>
        <v/>
      </c>
      <c r="AA11" s="44">
        <f>IF(OR($I11="",AA$1=""),"",IF(SUMPRODUCT((Aus_Tec=$I11)*(Aus_Ini&lt;=AA$1)*(Aus_Fim&gt;=AA$1)*(Aus_Cod&gt;0))=0,"",IF(SUMPRODUCT((Aus_Tec=$I11)*(Aus_Ini&lt;=AA$1)*(Aus_Fim&gt;=AA$1)*(Aus_Cod&gt;0))&gt;1,"!",IFERROR(INDEX(Aus_Siglas,SUMPRODUCT((Aus_Tec=$I11)*(Aus_Ini&lt;=AA$1)*(Aus_Fim&gt;=AA$1)*Aus_Cod)),"!"))))</f>
        <v/>
      </c>
      <c r="AB11" s="44">
        <f>IF(OR($I11="",AB$1=""),"",IF(SUMPRODUCT((Aus_Tec=$I11)*(Aus_Ini&lt;=AB$1)*(Aus_Fim&gt;=AB$1)*(Aus_Cod&gt;0))=0,"",IF(SUMPRODUCT((Aus_Tec=$I11)*(Aus_Ini&lt;=AB$1)*(Aus_Fim&gt;=AB$1)*(Aus_Cod&gt;0))&gt;1,"!",IFERROR(INDEX(Aus_Siglas,SUMPRODUCT((Aus_Tec=$I11)*(Aus_Ini&lt;=AB$1)*(Aus_Fim&gt;=AB$1)*Aus_Cod)),"!"))))</f>
        <v/>
      </c>
      <c r="AC11" s="44">
        <f>IF(OR($I11="",AC$1=""),"",IF(SUMPRODUCT((Aus_Tec=$I11)*(Aus_Ini&lt;=AC$1)*(Aus_Fim&gt;=AC$1)*(Aus_Cod&gt;0))=0,"",IF(SUMPRODUCT((Aus_Tec=$I11)*(Aus_Ini&lt;=AC$1)*(Aus_Fim&gt;=AC$1)*(Aus_Cod&gt;0))&gt;1,"!",IFERROR(INDEX(Aus_Siglas,SUMPRODUCT((Aus_Tec=$I11)*(Aus_Ini&lt;=AC$1)*(Aus_Fim&gt;=AC$1)*Aus_Cod)),"!"))))</f>
        <v/>
      </c>
      <c r="AD11" s="44">
        <f>IF(OR($I11="",AD$1=""),"",IF(SUMPRODUCT((Aus_Tec=$I11)*(Aus_Ini&lt;=AD$1)*(Aus_Fim&gt;=AD$1)*(Aus_Cod&gt;0))=0,"",IF(SUMPRODUCT((Aus_Tec=$I11)*(Aus_Ini&lt;=AD$1)*(Aus_Fim&gt;=AD$1)*(Aus_Cod&gt;0))&gt;1,"!",IFERROR(INDEX(Aus_Siglas,SUMPRODUCT((Aus_Tec=$I11)*(Aus_Ini&lt;=AD$1)*(Aus_Fim&gt;=AD$1)*Aus_Cod)),"!"))))</f>
        <v/>
      </c>
      <c r="AE11" s="44">
        <f>IF(OR($I11="",AE$1=""),"",IF(SUMPRODUCT((Aus_Tec=$I11)*(Aus_Ini&lt;=AE$1)*(Aus_Fim&gt;=AE$1)*(Aus_Cod&gt;0))=0,"",IF(SUMPRODUCT((Aus_Tec=$I11)*(Aus_Ini&lt;=AE$1)*(Aus_Fim&gt;=AE$1)*(Aus_Cod&gt;0))&gt;1,"!",IFERROR(INDEX(Aus_Siglas,SUMPRODUCT((Aus_Tec=$I11)*(Aus_Ini&lt;=AE$1)*(Aus_Fim&gt;=AE$1)*Aus_Cod)),"!"))))</f>
        <v/>
      </c>
      <c r="AF11" s="44">
        <f>IF(OR($I11="",AF$1=""),"",IF(SUMPRODUCT((Aus_Tec=$I11)*(Aus_Ini&lt;=AF$1)*(Aus_Fim&gt;=AF$1)*(Aus_Cod&gt;0))=0,"",IF(SUMPRODUCT((Aus_Tec=$I11)*(Aus_Ini&lt;=AF$1)*(Aus_Fim&gt;=AF$1)*(Aus_Cod&gt;0))&gt;1,"!",IFERROR(INDEX(Aus_Siglas,SUMPRODUCT((Aus_Tec=$I11)*(Aus_Ini&lt;=AF$1)*(Aus_Fim&gt;=AF$1)*Aus_Cod)),"!"))))</f>
        <v/>
      </c>
      <c r="AG11" s="44">
        <f>IF(OR($I11="",AG$1=""),"",IF(SUMPRODUCT((Aus_Tec=$I11)*(Aus_Ini&lt;=AG$1)*(Aus_Fim&gt;=AG$1)*(Aus_Cod&gt;0))=0,"",IF(SUMPRODUCT((Aus_Tec=$I11)*(Aus_Ini&lt;=AG$1)*(Aus_Fim&gt;=AG$1)*(Aus_Cod&gt;0))&gt;1,"!",IFERROR(INDEX(Aus_Siglas,SUMPRODUCT((Aus_Tec=$I11)*(Aus_Ini&lt;=AG$1)*(Aus_Fim&gt;=AG$1)*Aus_Cod)),"!"))))</f>
        <v/>
      </c>
      <c r="AH11" s="44">
        <f>IF(OR($I11="",AH$1=""),"",IF(SUMPRODUCT((Aus_Tec=$I11)*(Aus_Ini&lt;=AH$1)*(Aus_Fim&gt;=AH$1)*(Aus_Cod&gt;0))=0,"",IF(SUMPRODUCT((Aus_Tec=$I11)*(Aus_Ini&lt;=AH$1)*(Aus_Fim&gt;=AH$1)*(Aus_Cod&gt;0))&gt;1,"!",IFERROR(INDEX(Aus_Siglas,SUMPRODUCT((Aus_Tec=$I11)*(Aus_Ini&lt;=AH$1)*(Aus_Fim&gt;=AH$1)*Aus_Cod)),"!"))))</f>
        <v/>
      </c>
      <c r="AI11" s="44">
        <f>IF(OR($I11="",AI$1=""),"",IF(SUMPRODUCT((Aus_Tec=$I11)*(Aus_Ini&lt;=AI$1)*(Aus_Fim&gt;=AI$1)*(Aus_Cod&gt;0))=0,"",IF(SUMPRODUCT((Aus_Tec=$I11)*(Aus_Ini&lt;=AI$1)*(Aus_Fim&gt;=AI$1)*(Aus_Cod&gt;0))&gt;1,"!",IFERROR(INDEX(Aus_Siglas,SUMPRODUCT((Aus_Tec=$I11)*(Aus_Ini&lt;=AI$1)*(Aus_Fim&gt;=AI$1)*Aus_Cod)),"!"))))</f>
        <v/>
      </c>
      <c r="AJ11" s="44">
        <f>IF(OR($I11="",AJ$1=""),"",IF(SUMPRODUCT((Aus_Tec=$I11)*(Aus_Ini&lt;=AJ$1)*(Aus_Fim&gt;=AJ$1)*(Aus_Cod&gt;0))=0,"",IF(SUMPRODUCT((Aus_Tec=$I11)*(Aus_Ini&lt;=AJ$1)*(Aus_Fim&gt;=AJ$1)*(Aus_Cod&gt;0))&gt;1,"!",IFERROR(INDEX(Aus_Siglas,SUMPRODUCT((Aus_Tec=$I11)*(Aus_Ini&lt;=AJ$1)*(Aus_Fim&gt;=AJ$1)*Aus_Cod)),"!"))))</f>
        <v/>
      </c>
      <c r="AK11" s="44">
        <f>IF(OR($I11="",AK$1=""),"",IF(SUMPRODUCT((Aus_Tec=$I11)*(Aus_Ini&lt;=AK$1)*(Aus_Fim&gt;=AK$1)*(Aus_Cod&gt;0))=0,"",IF(SUMPRODUCT((Aus_Tec=$I11)*(Aus_Ini&lt;=AK$1)*(Aus_Fim&gt;=AK$1)*(Aus_Cod&gt;0))&gt;1,"!",IFERROR(INDEX(Aus_Siglas,SUMPRODUCT((Aus_Tec=$I11)*(Aus_Ini&lt;=AK$1)*(Aus_Fim&gt;=AK$1)*Aus_Cod)),"!"))))</f>
        <v/>
      </c>
      <c r="AL11" s="44">
        <f>IF(OR($I11="",AL$1=""),"",IF(SUMPRODUCT((Aus_Tec=$I11)*(Aus_Ini&lt;=AL$1)*(Aus_Fim&gt;=AL$1)*(Aus_Cod&gt;0))=0,"",IF(SUMPRODUCT((Aus_Tec=$I11)*(Aus_Ini&lt;=AL$1)*(Aus_Fim&gt;=AL$1)*(Aus_Cod&gt;0))&gt;1,"!",IFERROR(INDEX(Aus_Siglas,SUMPRODUCT((Aus_Tec=$I11)*(Aus_Ini&lt;=AL$1)*(Aus_Fim&gt;=AL$1)*Aus_Cod)),"!"))))</f>
        <v/>
      </c>
      <c r="AM11" s="44">
        <f>IF(OR($I11="",AM$1=""),"",IF(SUMPRODUCT((Aus_Tec=$I11)*(Aus_Ini&lt;=AM$1)*(Aus_Fim&gt;=AM$1)*(Aus_Cod&gt;0))=0,"",IF(SUMPRODUCT((Aus_Tec=$I11)*(Aus_Ini&lt;=AM$1)*(Aus_Fim&gt;=AM$1)*(Aus_Cod&gt;0))&gt;1,"!",IFERROR(INDEX(Aus_Siglas,SUMPRODUCT((Aus_Tec=$I11)*(Aus_Ini&lt;=AM$1)*(Aus_Fim&gt;=AM$1)*Aus_Cod)),"!"))))</f>
        <v/>
      </c>
      <c r="AN11" s="44">
        <f>IF(OR($I11="",AN$1=""),"",IF(SUMPRODUCT((Aus_Tec=$I11)*(Aus_Ini&lt;=AN$1)*(Aus_Fim&gt;=AN$1)*(Aus_Cod&gt;0))=0,"",IF(SUMPRODUCT((Aus_Tec=$I11)*(Aus_Ini&lt;=AN$1)*(Aus_Fim&gt;=AN$1)*(Aus_Cod&gt;0))&gt;1,"!",IFERROR(INDEX(Aus_Siglas,SUMPRODUCT((Aus_Tec=$I11)*(Aus_Ini&lt;=AN$1)*(Aus_Fim&gt;=AN$1)*Aus_Cod)),"!"))))</f>
        <v/>
      </c>
    </row>
    <row r="12">
      <c r="A12" s="33" t="n"/>
      <c r="B12" s="31" t="n"/>
      <c r="C12" s="30" t="n"/>
      <c r="D12" s="30" t="n"/>
      <c r="E12" s="20">
        <f>IF(OR($A12="",NOT(ISNUMBER($C12)),NOT(ISNUMBER($D12))),"",$D12-$C12+1)</f>
        <v/>
      </c>
      <c r="F12" s="33" t="n"/>
      <c r="G12" s="35">
        <f>IF(AND($A12&lt;&gt;"",ISNUMBER($C12),ISNUMBER($D12),$C12&lt;=Data_Mapa,$D12&gt;=Data_Mapa),$A12,"")</f>
        <v/>
      </c>
      <c r="H12" s="35">
        <f>IF($A12="",0,IFERROR(MATCH($B12,Aus_Tipos,0),0))</f>
        <v/>
      </c>
      <c r="I12" s="43">
        <f>IF('Equipe'!$B$11="","",'Equipe'!$B$11)</f>
        <v/>
      </c>
      <c r="J12" s="44">
        <f>IF(OR($I12="",J$1=""),"",IF(SUMPRODUCT((Aus_Tec=$I12)*(Aus_Ini&lt;=J$1)*(Aus_Fim&gt;=J$1)*(Aus_Cod&gt;0))=0,"",IF(SUMPRODUCT((Aus_Tec=$I12)*(Aus_Ini&lt;=J$1)*(Aus_Fim&gt;=J$1)*(Aus_Cod&gt;0))&gt;1,"!",IFERROR(INDEX(Aus_Siglas,SUMPRODUCT((Aus_Tec=$I12)*(Aus_Ini&lt;=J$1)*(Aus_Fim&gt;=J$1)*Aus_Cod)),"!"))))</f>
        <v/>
      </c>
      <c r="K12" s="44">
        <f>IF(OR($I12="",K$1=""),"",IF(SUMPRODUCT((Aus_Tec=$I12)*(Aus_Ini&lt;=K$1)*(Aus_Fim&gt;=K$1)*(Aus_Cod&gt;0))=0,"",IF(SUMPRODUCT((Aus_Tec=$I12)*(Aus_Ini&lt;=K$1)*(Aus_Fim&gt;=K$1)*(Aus_Cod&gt;0))&gt;1,"!",IFERROR(INDEX(Aus_Siglas,SUMPRODUCT((Aus_Tec=$I12)*(Aus_Ini&lt;=K$1)*(Aus_Fim&gt;=K$1)*Aus_Cod)),"!"))))</f>
        <v/>
      </c>
      <c r="L12" s="44">
        <f>IF(OR($I12="",L$1=""),"",IF(SUMPRODUCT((Aus_Tec=$I12)*(Aus_Ini&lt;=L$1)*(Aus_Fim&gt;=L$1)*(Aus_Cod&gt;0))=0,"",IF(SUMPRODUCT((Aus_Tec=$I12)*(Aus_Ini&lt;=L$1)*(Aus_Fim&gt;=L$1)*(Aus_Cod&gt;0))&gt;1,"!",IFERROR(INDEX(Aus_Siglas,SUMPRODUCT((Aus_Tec=$I12)*(Aus_Ini&lt;=L$1)*(Aus_Fim&gt;=L$1)*Aus_Cod)),"!"))))</f>
        <v/>
      </c>
      <c r="M12" s="44">
        <f>IF(OR($I12="",M$1=""),"",IF(SUMPRODUCT((Aus_Tec=$I12)*(Aus_Ini&lt;=M$1)*(Aus_Fim&gt;=M$1)*(Aus_Cod&gt;0))=0,"",IF(SUMPRODUCT((Aus_Tec=$I12)*(Aus_Ini&lt;=M$1)*(Aus_Fim&gt;=M$1)*(Aus_Cod&gt;0))&gt;1,"!",IFERROR(INDEX(Aus_Siglas,SUMPRODUCT((Aus_Tec=$I12)*(Aus_Ini&lt;=M$1)*(Aus_Fim&gt;=M$1)*Aus_Cod)),"!"))))</f>
        <v/>
      </c>
      <c r="N12" s="44">
        <f>IF(OR($I12="",N$1=""),"",IF(SUMPRODUCT((Aus_Tec=$I12)*(Aus_Ini&lt;=N$1)*(Aus_Fim&gt;=N$1)*(Aus_Cod&gt;0))=0,"",IF(SUMPRODUCT((Aus_Tec=$I12)*(Aus_Ini&lt;=N$1)*(Aus_Fim&gt;=N$1)*(Aus_Cod&gt;0))&gt;1,"!",IFERROR(INDEX(Aus_Siglas,SUMPRODUCT((Aus_Tec=$I12)*(Aus_Ini&lt;=N$1)*(Aus_Fim&gt;=N$1)*Aus_Cod)),"!"))))</f>
        <v/>
      </c>
      <c r="O12" s="44">
        <f>IF(OR($I12="",O$1=""),"",IF(SUMPRODUCT((Aus_Tec=$I12)*(Aus_Ini&lt;=O$1)*(Aus_Fim&gt;=O$1)*(Aus_Cod&gt;0))=0,"",IF(SUMPRODUCT((Aus_Tec=$I12)*(Aus_Ini&lt;=O$1)*(Aus_Fim&gt;=O$1)*(Aus_Cod&gt;0))&gt;1,"!",IFERROR(INDEX(Aus_Siglas,SUMPRODUCT((Aus_Tec=$I12)*(Aus_Ini&lt;=O$1)*(Aus_Fim&gt;=O$1)*Aus_Cod)),"!"))))</f>
        <v/>
      </c>
      <c r="P12" s="44">
        <f>IF(OR($I12="",P$1=""),"",IF(SUMPRODUCT((Aus_Tec=$I12)*(Aus_Ini&lt;=P$1)*(Aus_Fim&gt;=P$1)*(Aus_Cod&gt;0))=0,"",IF(SUMPRODUCT((Aus_Tec=$I12)*(Aus_Ini&lt;=P$1)*(Aus_Fim&gt;=P$1)*(Aus_Cod&gt;0))&gt;1,"!",IFERROR(INDEX(Aus_Siglas,SUMPRODUCT((Aus_Tec=$I12)*(Aus_Ini&lt;=P$1)*(Aus_Fim&gt;=P$1)*Aus_Cod)),"!"))))</f>
        <v/>
      </c>
      <c r="Q12" s="44">
        <f>IF(OR($I12="",Q$1=""),"",IF(SUMPRODUCT((Aus_Tec=$I12)*(Aus_Ini&lt;=Q$1)*(Aus_Fim&gt;=Q$1)*(Aus_Cod&gt;0))=0,"",IF(SUMPRODUCT((Aus_Tec=$I12)*(Aus_Ini&lt;=Q$1)*(Aus_Fim&gt;=Q$1)*(Aus_Cod&gt;0))&gt;1,"!",IFERROR(INDEX(Aus_Siglas,SUMPRODUCT((Aus_Tec=$I12)*(Aus_Ini&lt;=Q$1)*(Aus_Fim&gt;=Q$1)*Aus_Cod)),"!"))))</f>
        <v/>
      </c>
      <c r="R12" s="44">
        <f>IF(OR($I12="",R$1=""),"",IF(SUMPRODUCT((Aus_Tec=$I12)*(Aus_Ini&lt;=R$1)*(Aus_Fim&gt;=R$1)*(Aus_Cod&gt;0))=0,"",IF(SUMPRODUCT((Aus_Tec=$I12)*(Aus_Ini&lt;=R$1)*(Aus_Fim&gt;=R$1)*(Aus_Cod&gt;0))&gt;1,"!",IFERROR(INDEX(Aus_Siglas,SUMPRODUCT((Aus_Tec=$I12)*(Aus_Ini&lt;=R$1)*(Aus_Fim&gt;=R$1)*Aus_Cod)),"!"))))</f>
        <v/>
      </c>
      <c r="S12" s="44">
        <f>IF(OR($I12="",S$1=""),"",IF(SUMPRODUCT((Aus_Tec=$I12)*(Aus_Ini&lt;=S$1)*(Aus_Fim&gt;=S$1)*(Aus_Cod&gt;0))=0,"",IF(SUMPRODUCT((Aus_Tec=$I12)*(Aus_Ini&lt;=S$1)*(Aus_Fim&gt;=S$1)*(Aus_Cod&gt;0))&gt;1,"!",IFERROR(INDEX(Aus_Siglas,SUMPRODUCT((Aus_Tec=$I12)*(Aus_Ini&lt;=S$1)*(Aus_Fim&gt;=S$1)*Aus_Cod)),"!"))))</f>
        <v/>
      </c>
      <c r="T12" s="44">
        <f>IF(OR($I12="",T$1=""),"",IF(SUMPRODUCT((Aus_Tec=$I12)*(Aus_Ini&lt;=T$1)*(Aus_Fim&gt;=T$1)*(Aus_Cod&gt;0))=0,"",IF(SUMPRODUCT((Aus_Tec=$I12)*(Aus_Ini&lt;=T$1)*(Aus_Fim&gt;=T$1)*(Aus_Cod&gt;0))&gt;1,"!",IFERROR(INDEX(Aus_Siglas,SUMPRODUCT((Aus_Tec=$I12)*(Aus_Ini&lt;=T$1)*(Aus_Fim&gt;=T$1)*Aus_Cod)),"!"))))</f>
        <v/>
      </c>
      <c r="U12" s="44">
        <f>IF(OR($I12="",U$1=""),"",IF(SUMPRODUCT((Aus_Tec=$I12)*(Aus_Ini&lt;=U$1)*(Aus_Fim&gt;=U$1)*(Aus_Cod&gt;0))=0,"",IF(SUMPRODUCT((Aus_Tec=$I12)*(Aus_Ini&lt;=U$1)*(Aus_Fim&gt;=U$1)*(Aus_Cod&gt;0))&gt;1,"!",IFERROR(INDEX(Aus_Siglas,SUMPRODUCT((Aus_Tec=$I12)*(Aus_Ini&lt;=U$1)*(Aus_Fim&gt;=U$1)*Aus_Cod)),"!"))))</f>
        <v/>
      </c>
      <c r="V12" s="44">
        <f>IF(OR($I12="",V$1=""),"",IF(SUMPRODUCT((Aus_Tec=$I12)*(Aus_Ini&lt;=V$1)*(Aus_Fim&gt;=V$1)*(Aus_Cod&gt;0))=0,"",IF(SUMPRODUCT((Aus_Tec=$I12)*(Aus_Ini&lt;=V$1)*(Aus_Fim&gt;=V$1)*(Aus_Cod&gt;0))&gt;1,"!",IFERROR(INDEX(Aus_Siglas,SUMPRODUCT((Aus_Tec=$I12)*(Aus_Ini&lt;=V$1)*(Aus_Fim&gt;=V$1)*Aus_Cod)),"!"))))</f>
        <v/>
      </c>
      <c r="W12" s="44">
        <f>IF(OR($I12="",W$1=""),"",IF(SUMPRODUCT((Aus_Tec=$I12)*(Aus_Ini&lt;=W$1)*(Aus_Fim&gt;=W$1)*(Aus_Cod&gt;0))=0,"",IF(SUMPRODUCT((Aus_Tec=$I12)*(Aus_Ini&lt;=W$1)*(Aus_Fim&gt;=W$1)*(Aus_Cod&gt;0))&gt;1,"!",IFERROR(INDEX(Aus_Siglas,SUMPRODUCT((Aus_Tec=$I12)*(Aus_Ini&lt;=W$1)*(Aus_Fim&gt;=W$1)*Aus_Cod)),"!"))))</f>
        <v/>
      </c>
      <c r="X12" s="44">
        <f>IF(OR($I12="",X$1=""),"",IF(SUMPRODUCT((Aus_Tec=$I12)*(Aus_Ini&lt;=X$1)*(Aus_Fim&gt;=X$1)*(Aus_Cod&gt;0))=0,"",IF(SUMPRODUCT((Aus_Tec=$I12)*(Aus_Ini&lt;=X$1)*(Aus_Fim&gt;=X$1)*(Aus_Cod&gt;0))&gt;1,"!",IFERROR(INDEX(Aus_Siglas,SUMPRODUCT((Aus_Tec=$I12)*(Aus_Ini&lt;=X$1)*(Aus_Fim&gt;=X$1)*Aus_Cod)),"!"))))</f>
        <v/>
      </c>
      <c r="Y12" s="44">
        <f>IF(OR($I12="",Y$1=""),"",IF(SUMPRODUCT((Aus_Tec=$I12)*(Aus_Ini&lt;=Y$1)*(Aus_Fim&gt;=Y$1)*(Aus_Cod&gt;0))=0,"",IF(SUMPRODUCT((Aus_Tec=$I12)*(Aus_Ini&lt;=Y$1)*(Aus_Fim&gt;=Y$1)*(Aus_Cod&gt;0))&gt;1,"!",IFERROR(INDEX(Aus_Siglas,SUMPRODUCT((Aus_Tec=$I12)*(Aus_Ini&lt;=Y$1)*(Aus_Fim&gt;=Y$1)*Aus_Cod)),"!"))))</f>
        <v/>
      </c>
      <c r="Z12" s="44">
        <f>IF(OR($I12="",Z$1=""),"",IF(SUMPRODUCT((Aus_Tec=$I12)*(Aus_Ini&lt;=Z$1)*(Aus_Fim&gt;=Z$1)*(Aus_Cod&gt;0))=0,"",IF(SUMPRODUCT((Aus_Tec=$I12)*(Aus_Ini&lt;=Z$1)*(Aus_Fim&gt;=Z$1)*(Aus_Cod&gt;0))&gt;1,"!",IFERROR(INDEX(Aus_Siglas,SUMPRODUCT((Aus_Tec=$I12)*(Aus_Ini&lt;=Z$1)*(Aus_Fim&gt;=Z$1)*Aus_Cod)),"!"))))</f>
        <v/>
      </c>
      <c r="AA12" s="44">
        <f>IF(OR($I12="",AA$1=""),"",IF(SUMPRODUCT((Aus_Tec=$I12)*(Aus_Ini&lt;=AA$1)*(Aus_Fim&gt;=AA$1)*(Aus_Cod&gt;0))=0,"",IF(SUMPRODUCT((Aus_Tec=$I12)*(Aus_Ini&lt;=AA$1)*(Aus_Fim&gt;=AA$1)*(Aus_Cod&gt;0))&gt;1,"!",IFERROR(INDEX(Aus_Siglas,SUMPRODUCT((Aus_Tec=$I12)*(Aus_Ini&lt;=AA$1)*(Aus_Fim&gt;=AA$1)*Aus_Cod)),"!"))))</f>
        <v/>
      </c>
      <c r="AB12" s="44">
        <f>IF(OR($I12="",AB$1=""),"",IF(SUMPRODUCT((Aus_Tec=$I12)*(Aus_Ini&lt;=AB$1)*(Aus_Fim&gt;=AB$1)*(Aus_Cod&gt;0))=0,"",IF(SUMPRODUCT((Aus_Tec=$I12)*(Aus_Ini&lt;=AB$1)*(Aus_Fim&gt;=AB$1)*(Aus_Cod&gt;0))&gt;1,"!",IFERROR(INDEX(Aus_Siglas,SUMPRODUCT((Aus_Tec=$I12)*(Aus_Ini&lt;=AB$1)*(Aus_Fim&gt;=AB$1)*Aus_Cod)),"!"))))</f>
        <v/>
      </c>
      <c r="AC12" s="44">
        <f>IF(OR($I12="",AC$1=""),"",IF(SUMPRODUCT((Aus_Tec=$I12)*(Aus_Ini&lt;=AC$1)*(Aus_Fim&gt;=AC$1)*(Aus_Cod&gt;0))=0,"",IF(SUMPRODUCT((Aus_Tec=$I12)*(Aus_Ini&lt;=AC$1)*(Aus_Fim&gt;=AC$1)*(Aus_Cod&gt;0))&gt;1,"!",IFERROR(INDEX(Aus_Siglas,SUMPRODUCT((Aus_Tec=$I12)*(Aus_Ini&lt;=AC$1)*(Aus_Fim&gt;=AC$1)*Aus_Cod)),"!"))))</f>
        <v/>
      </c>
      <c r="AD12" s="44">
        <f>IF(OR($I12="",AD$1=""),"",IF(SUMPRODUCT((Aus_Tec=$I12)*(Aus_Ini&lt;=AD$1)*(Aus_Fim&gt;=AD$1)*(Aus_Cod&gt;0))=0,"",IF(SUMPRODUCT((Aus_Tec=$I12)*(Aus_Ini&lt;=AD$1)*(Aus_Fim&gt;=AD$1)*(Aus_Cod&gt;0))&gt;1,"!",IFERROR(INDEX(Aus_Siglas,SUMPRODUCT((Aus_Tec=$I12)*(Aus_Ini&lt;=AD$1)*(Aus_Fim&gt;=AD$1)*Aus_Cod)),"!"))))</f>
        <v/>
      </c>
      <c r="AE12" s="44">
        <f>IF(OR($I12="",AE$1=""),"",IF(SUMPRODUCT((Aus_Tec=$I12)*(Aus_Ini&lt;=AE$1)*(Aus_Fim&gt;=AE$1)*(Aus_Cod&gt;0))=0,"",IF(SUMPRODUCT((Aus_Tec=$I12)*(Aus_Ini&lt;=AE$1)*(Aus_Fim&gt;=AE$1)*(Aus_Cod&gt;0))&gt;1,"!",IFERROR(INDEX(Aus_Siglas,SUMPRODUCT((Aus_Tec=$I12)*(Aus_Ini&lt;=AE$1)*(Aus_Fim&gt;=AE$1)*Aus_Cod)),"!"))))</f>
        <v/>
      </c>
      <c r="AF12" s="44">
        <f>IF(OR($I12="",AF$1=""),"",IF(SUMPRODUCT((Aus_Tec=$I12)*(Aus_Ini&lt;=AF$1)*(Aus_Fim&gt;=AF$1)*(Aus_Cod&gt;0))=0,"",IF(SUMPRODUCT((Aus_Tec=$I12)*(Aus_Ini&lt;=AF$1)*(Aus_Fim&gt;=AF$1)*(Aus_Cod&gt;0))&gt;1,"!",IFERROR(INDEX(Aus_Siglas,SUMPRODUCT((Aus_Tec=$I12)*(Aus_Ini&lt;=AF$1)*(Aus_Fim&gt;=AF$1)*Aus_Cod)),"!"))))</f>
        <v/>
      </c>
      <c r="AG12" s="44">
        <f>IF(OR($I12="",AG$1=""),"",IF(SUMPRODUCT((Aus_Tec=$I12)*(Aus_Ini&lt;=AG$1)*(Aus_Fim&gt;=AG$1)*(Aus_Cod&gt;0))=0,"",IF(SUMPRODUCT((Aus_Tec=$I12)*(Aus_Ini&lt;=AG$1)*(Aus_Fim&gt;=AG$1)*(Aus_Cod&gt;0))&gt;1,"!",IFERROR(INDEX(Aus_Siglas,SUMPRODUCT((Aus_Tec=$I12)*(Aus_Ini&lt;=AG$1)*(Aus_Fim&gt;=AG$1)*Aus_Cod)),"!"))))</f>
        <v/>
      </c>
      <c r="AH12" s="44">
        <f>IF(OR($I12="",AH$1=""),"",IF(SUMPRODUCT((Aus_Tec=$I12)*(Aus_Ini&lt;=AH$1)*(Aus_Fim&gt;=AH$1)*(Aus_Cod&gt;0))=0,"",IF(SUMPRODUCT((Aus_Tec=$I12)*(Aus_Ini&lt;=AH$1)*(Aus_Fim&gt;=AH$1)*(Aus_Cod&gt;0))&gt;1,"!",IFERROR(INDEX(Aus_Siglas,SUMPRODUCT((Aus_Tec=$I12)*(Aus_Ini&lt;=AH$1)*(Aus_Fim&gt;=AH$1)*Aus_Cod)),"!"))))</f>
        <v/>
      </c>
      <c r="AI12" s="44">
        <f>IF(OR($I12="",AI$1=""),"",IF(SUMPRODUCT((Aus_Tec=$I12)*(Aus_Ini&lt;=AI$1)*(Aus_Fim&gt;=AI$1)*(Aus_Cod&gt;0))=0,"",IF(SUMPRODUCT((Aus_Tec=$I12)*(Aus_Ini&lt;=AI$1)*(Aus_Fim&gt;=AI$1)*(Aus_Cod&gt;0))&gt;1,"!",IFERROR(INDEX(Aus_Siglas,SUMPRODUCT((Aus_Tec=$I12)*(Aus_Ini&lt;=AI$1)*(Aus_Fim&gt;=AI$1)*Aus_Cod)),"!"))))</f>
        <v/>
      </c>
      <c r="AJ12" s="44">
        <f>IF(OR($I12="",AJ$1=""),"",IF(SUMPRODUCT((Aus_Tec=$I12)*(Aus_Ini&lt;=AJ$1)*(Aus_Fim&gt;=AJ$1)*(Aus_Cod&gt;0))=0,"",IF(SUMPRODUCT((Aus_Tec=$I12)*(Aus_Ini&lt;=AJ$1)*(Aus_Fim&gt;=AJ$1)*(Aus_Cod&gt;0))&gt;1,"!",IFERROR(INDEX(Aus_Siglas,SUMPRODUCT((Aus_Tec=$I12)*(Aus_Ini&lt;=AJ$1)*(Aus_Fim&gt;=AJ$1)*Aus_Cod)),"!"))))</f>
        <v/>
      </c>
      <c r="AK12" s="44">
        <f>IF(OR($I12="",AK$1=""),"",IF(SUMPRODUCT((Aus_Tec=$I12)*(Aus_Ini&lt;=AK$1)*(Aus_Fim&gt;=AK$1)*(Aus_Cod&gt;0))=0,"",IF(SUMPRODUCT((Aus_Tec=$I12)*(Aus_Ini&lt;=AK$1)*(Aus_Fim&gt;=AK$1)*(Aus_Cod&gt;0))&gt;1,"!",IFERROR(INDEX(Aus_Siglas,SUMPRODUCT((Aus_Tec=$I12)*(Aus_Ini&lt;=AK$1)*(Aus_Fim&gt;=AK$1)*Aus_Cod)),"!"))))</f>
        <v/>
      </c>
      <c r="AL12" s="44">
        <f>IF(OR($I12="",AL$1=""),"",IF(SUMPRODUCT((Aus_Tec=$I12)*(Aus_Ini&lt;=AL$1)*(Aus_Fim&gt;=AL$1)*(Aus_Cod&gt;0))=0,"",IF(SUMPRODUCT((Aus_Tec=$I12)*(Aus_Ini&lt;=AL$1)*(Aus_Fim&gt;=AL$1)*(Aus_Cod&gt;0))&gt;1,"!",IFERROR(INDEX(Aus_Siglas,SUMPRODUCT((Aus_Tec=$I12)*(Aus_Ini&lt;=AL$1)*(Aus_Fim&gt;=AL$1)*Aus_Cod)),"!"))))</f>
        <v/>
      </c>
      <c r="AM12" s="44">
        <f>IF(OR($I12="",AM$1=""),"",IF(SUMPRODUCT((Aus_Tec=$I12)*(Aus_Ini&lt;=AM$1)*(Aus_Fim&gt;=AM$1)*(Aus_Cod&gt;0))=0,"",IF(SUMPRODUCT((Aus_Tec=$I12)*(Aus_Ini&lt;=AM$1)*(Aus_Fim&gt;=AM$1)*(Aus_Cod&gt;0))&gt;1,"!",IFERROR(INDEX(Aus_Siglas,SUMPRODUCT((Aus_Tec=$I12)*(Aus_Ini&lt;=AM$1)*(Aus_Fim&gt;=AM$1)*Aus_Cod)),"!"))))</f>
        <v/>
      </c>
      <c r="AN12" s="44">
        <f>IF(OR($I12="",AN$1=""),"",IF(SUMPRODUCT((Aus_Tec=$I12)*(Aus_Ini&lt;=AN$1)*(Aus_Fim&gt;=AN$1)*(Aus_Cod&gt;0))=0,"",IF(SUMPRODUCT((Aus_Tec=$I12)*(Aus_Ini&lt;=AN$1)*(Aus_Fim&gt;=AN$1)*(Aus_Cod&gt;0))&gt;1,"!",IFERROR(INDEX(Aus_Siglas,SUMPRODUCT((Aus_Tec=$I12)*(Aus_Ini&lt;=AN$1)*(Aus_Fim&gt;=AN$1)*Aus_Cod)),"!"))))</f>
        <v/>
      </c>
    </row>
    <row r="13">
      <c r="A13" s="33" t="n"/>
      <c r="B13" s="31" t="n"/>
      <c r="C13" s="30" t="n"/>
      <c r="D13" s="30" t="n"/>
      <c r="E13" s="20">
        <f>IF(OR($A13="",NOT(ISNUMBER($C13)),NOT(ISNUMBER($D13))),"",$D13-$C13+1)</f>
        <v/>
      </c>
      <c r="F13" s="33" t="n"/>
      <c r="G13" s="35">
        <f>IF(AND($A13&lt;&gt;"",ISNUMBER($C13),ISNUMBER($D13),$C13&lt;=Data_Mapa,$D13&gt;=Data_Mapa),$A13,"")</f>
        <v/>
      </c>
      <c r="H13" s="35">
        <f>IF($A13="",0,IFERROR(MATCH($B13,Aus_Tipos,0),0))</f>
        <v/>
      </c>
      <c r="I13" s="43">
        <f>IF('Equipe'!$B$12="","",'Equipe'!$B$12)</f>
        <v/>
      </c>
      <c r="J13" s="44">
        <f>IF(OR($I13="",J$1=""),"",IF(SUMPRODUCT((Aus_Tec=$I13)*(Aus_Ini&lt;=J$1)*(Aus_Fim&gt;=J$1)*(Aus_Cod&gt;0))=0,"",IF(SUMPRODUCT((Aus_Tec=$I13)*(Aus_Ini&lt;=J$1)*(Aus_Fim&gt;=J$1)*(Aus_Cod&gt;0))&gt;1,"!",IFERROR(INDEX(Aus_Siglas,SUMPRODUCT((Aus_Tec=$I13)*(Aus_Ini&lt;=J$1)*(Aus_Fim&gt;=J$1)*Aus_Cod)),"!"))))</f>
        <v/>
      </c>
      <c r="K13" s="44">
        <f>IF(OR($I13="",K$1=""),"",IF(SUMPRODUCT((Aus_Tec=$I13)*(Aus_Ini&lt;=K$1)*(Aus_Fim&gt;=K$1)*(Aus_Cod&gt;0))=0,"",IF(SUMPRODUCT((Aus_Tec=$I13)*(Aus_Ini&lt;=K$1)*(Aus_Fim&gt;=K$1)*(Aus_Cod&gt;0))&gt;1,"!",IFERROR(INDEX(Aus_Siglas,SUMPRODUCT((Aus_Tec=$I13)*(Aus_Ini&lt;=K$1)*(Aus_Fim&gt;=K$1)*Aus_Cod)),"!"))))</f>
        <v/>
      </c>
      <c r="L13" s="44">
        <f>IF(OR($I13="",L$1=""),"",IF(SUMPRODUCT((Aus_Tec=$I13)*(Aus_Ini&lt;=L$1)*(Aus_Fim&gt;=L$1)*(Aus_Cod&gt;0))=0,"",IF(SUMPRODUCT((Aus_Tec=$I13)*(Aus_Ini&lt;=L$1)*(Aus_Fim&gt;=L$1)*(Aus_Cod&gt;0))&gt;1,"!",IFERROR(INDEX(Aus_Siglas,SUMPRODUCT((Aus_Tec=$I13)*(Aus_Ini&lt;=L$1)*(Aus_Fim&gt;=L$1)*Aus_Cod)),"!"))))</f>
        <v/>
      </c>
      <c r="M13" s="44">
        <f>IF(OR($I13="",M$1=""),"",IF(SUMPRODUCT((Aus_Tec=$I13)*(Aus_Ini&lt;=M$1)*(Aus_Fim&gt;=M$1)*(Aus_Cod&gt;0))=0,"",IF(SUMPRODUCT((Aus_Tec=$I13)*(Aus_Ini&lt;=M$1)*(Aus_Fim&gt;=M$1)*(Aus_Cod&gt;0))&gt;1,"!",IFERROR(INDEX(Aus_Siglas,SUMPRODUCT((Aus_Tec=$I13)*(Aus_Ini&lt;=M$1)*(Aus_Fim&gt;=M$1)*Aus_Cod)),"!"))))</f>
        <v/>
      </c>
      <c r="N13" s="44">
        <f>IF(OR($I13="",N$1=""),"",IF(SUMPRODUCT((Aus_Tec=$I13)*(Aus_Ini&lt;=N$1)*(Aus_Fim&gt;=N$1)*(Aus_Cod&gt;0))=0,"",IF(SUMPRODUCT((Aus_Tec=$I13)*(Aus_Ini&lt;=N$1)*(Aus_Fim&gt;=N$1)*(Aus_Cod&gt;0))&gt;1,"!",IFERROR(INDEX(Aus_Siglas,SUMPRODUCT((Aus_Tec=$I13)*(Aus_Ini&lt;=N$1)*(Aus_Fim&gt;=N$1)*Aus_Cod)),"!"))))</f>
        <v/>
      </c>
      <c r="O13" s="44">
        <f>IF(OR($I13="",O$1=""),"",IF(SUMPRODUCT((Aus_Tec=$I13)*(Aus_Ini&lt;=O$1)*(Aus_Fim&gt;=O$1)*(Aus_Cod&gt;0))=0,"",IF(SUMPRODUCT((Aus_Tec=$I13)*(Aus_Ini&lt;=O$1)*(Aus_Fim&gt;=O$1)*(Aus_Cod&gt;0))&gt;1,"!",IFERROR(INDEX(Aus_Siglas,SUMPRODUCT((Aus_Tec=$I13)*(Aus_Ini&lt;=O$1)*(Aus_Fim&gt;=O$1)*Aus_Cod)),"!"))))</f>
        <v/>
      </c>
      <c r="P13" s="44">
        <f>IF(OR($I13="",P$1=""),"",IF(SUMPRODUCT((Aus_Tec=$I13)*(Aus_Ini&lt;=P$1)*(Aus_Fim&gt;=P$1)*(Aus_Cod&gt;0))=0,"",IF(SUMPRODUCT((Aus_Tec=$I13)*(Aus_Ini&lt;=P$1)*(Aus_Fim&gt;=P$1)*(Aus_Cod&gt;0))&gt;1,"!",IFERROR(INDEX(Aus_Siglas,SUMPRODUCT((Aus_Tec=$I13)*(Aus_Ini&lt;=P$1)*(Aus_Fim&gt;=P$1)*Aus_Cod)),"!"))))</f>
        <v/>
      </c>
      <c r="Q13" s="44">
        <f>IF(OR($I13="",Q$1=""),"",IF(SUMPRODUCT((Aus_Tec=$I13)*(Aus_Ini&lt;=Q$1)*(Aus_Fim&gt;=Q$1)*(Aus_Cod&gt;0))=0,"",IF(SUMPRODUCT((Aus_Tec=$I13)*(Aus_Ini&lt;=Q$1)*(Aus_Fim&gt;=Q$1)*(Aus_Cod&gt;0))&gt;1,"!",IFERROR(INDEX(Aus_Siglas,SUMPRODUCT((Aus_Tec=$I13)*(Aus_Ini&lt;=Q$1)*(Aus_Fim&gt;=Q$1)*Aus_Cod)),"!"))))</f>
        <v/>
      </c>
      <c r="R13" s="44">
        <f>IF(OR($I13="",R$1=""),"",IF(SUMPRODUCT((Aus_Tec=$I13)*(Aus_Ini&lt;=R$1)*(Aus_Fim&gt;=R$1)*(Aus_Cod&gt;0))=0,"",IF(SUMPRODUCT((Aus_Tec=$I13)*(Aus_Ini&lt;=R$1)*(Aus_Fim&gt;=R$1)*(Aus_Cod&gt;0))&gt;1,"!",IFERROR(INDEX(Aus_Siglas,SUMPRODUCT((Aus_Tec=$I13)*(Aus_Ini&lt;=R$1)*(Aus_Fim&gt;=R$1)*Aus_Cod)),"!"))))</f>
        <v/>
      </c>
      <c r="S13" s="44">
        <f>IF(OR($I13="",S$1=""),"",IF(SUMPRODUCT((Aus_Tec=$I13)*(Aus_Ini&lt;=S$1)*(Aus_Fim&gt;=S$1)*(Aus_Cod&gt;0))=0,"",IF(SUMPRODUCT((Aus_Tec=$I13)*(Aus_Ini&lt;=S$1)*(Aus_Fim&gt;=S$1)*(Aus_Cod&gt;0))&gt;1,"!",IFERROR(INDEX(Aus_Siglas,SUMPRODUCT((Aus_Tec=$I13)*(Aus_Ini&lt;=S$1)*(Aus_Fim&gt;=S$1)*Aus_Cod)),"!"))))</f>
        <v/>
      </c>
      <c r="T13" s="44">
        <f>IF(OR($I13="",T$1=""),"",IF(SUMPRODUCT((Aus_Tec=$I13)*(Aus_Ini&lt;=T$1)*(Aus_Fim&gt;=T$1)*(Aus_Cod&gt;0))=0,"",IF(SUMPRODUCT((Aus_Tec=$I13)*(Aus_Ini&lt;=T$1)*(Aus_Fim&gt;=T$1)*(Aus_Cod&gt;0))&gt;1,"!",IFERROR(INDEX(Aus_Siglas,SUMPRODUCT((Aus_Tec=$I13)*(Aus_Ini&lt;=T$1)*(Aus_Fim&gt;=T$1)*Aus_Cod)),"!"))))</f>
        <v/>
      </c>
      <c r="U13" s="44">
        <f>IF(OR($I13="",U$1=""),"",IF(SUMPRODUCT((Aus_Tec=$I13)*(Aus_Ini&lt;=U$1)*(Aus_Fim&gt;=U$1)*(Aus_Cod&gt;0))=0,"",IF(SUMPRODUCT((Aus_Tec=$I13)*(Aus_Ini&lt;=U$1)*(Aus_Fim&gt;=U$1)*(Aus_Cod&gt;0))&gt;1,"!",IFERROR(INDEX(Aus_Siglas,SUMPRODUCT((Aus_Tec=$I13)*(Aus_Ini&lt;=U$1)*(Aus_Fim&gt;=U$1)*Aus_Cod)),"!"))))</f>
        <v/>
      </c>
      <c r="V13" s="44">
        <f>IF(OR($I13="",V$1=""),"",IF(SUMPRODUCT((Aus_Tec=$I13)*(Aus_Ini&lt;=V$1)*(Aus_Fim&gt;=V$1)*(Aus_Cod&gt;0))=0,"",IF(SUMPRODUCT((Aus_Tec=$I13)*(Aus_Ini&lt;=V$1)*(Aus_Fim&gt;=V$1)*(Aus_Cod&gt;0))&gt;1,"!",IFERROR(INDEX(Aus_Siglas,SUMPRODUCT((Aus_Tec=$I13)*(Aus_Ini&lt;=V$1)*(Aus_Fim&gt;=V$1)*Aus_Cod)),"!"))))</f>
        <v/>
      </c>
      <c r="W13" s="44">
        <f>IF(OR($I13="",W$1=""),"",IF(SUMPRODUCT((Aus_Tec=$I13)*(Aus_Ini&lt;=W$1)*(Aus_Fim&gt;=W$1)*(Aus_Cod&gt;0))=0,"",IF(SUMPRODUCT((Aus_Tec=$I13)*(Aus_Ini&lt;=W$1)*(Aus_Fim&gt;=W$1)*(Aus_Cod&gt;0))&gt;1,"!",IFERROR(INDEX(Aus_Siglas,SUMPRODUCT((Aus_Tec=$I13)*(Aus_Ini&lt;=W$1)*(Aus_Fim&gt;=W$1)*Aus_Cod)),"!"))))</f>
        <v/>
      </c>
      <c r="X13" s="44">
        <f>IF(OR($I13="",X$1=""),"",IF(SUMPRODUCT((Aus_Tec=$I13)*(Aus_Ini&lt;=X$1)*(Aus_Fim&gt;=X$1)*(Aus_Cod&gt;0))=0,"",IF(SUMPRODUCT((Aus_Tec=$I13)*(Aus_Ini&lt;=X$1)*(Aus_Fim&gt;=X$1)*(Aus_Cod&gt;0))&gt;1,"!",IFERROR(INDEX(Aus_Siglas,SUMPRODUCT((Aus_Tec=$I13)*(Aus_Ini&lt;=X$1)*(Aus_Fim&gt;=X$1)*Aus_Cod)),"!"))))</f>
        <v/>
      </c>
      <c r="Y13" s="44">
        <f>IF(OR($I13="",Y$1=""),"",IF(SUMPRODUCT((Aus_Tec=$I13)*(Aus_Ini&lt;=Y$1)*(Aus_Fim&gt;=Y$1)*(Aus_Cod&gt;0))=0,"",IF(SUMPRODUCT((Aus_Tec=$I13)*(Aus_Ini&lt;=Y$1)*(Aus_Fim&gt;=Y$1)*(Aus_Cod&gt;0))&gt;1,"!",IFERROR(INDEX(Aus_Siglas,SUMPRODUCT((Aus_Tec=$I13)*(Aus_Ini&lt;=Y$1)*(Aus_Fim&gt;=Y$1)*Aus_Cod)),"!"))))</f>
        <v/>
      </c>
      <c r="Z13" s="44">
        <f>IF(OR($I13="",Z$1=""),"",IF(SUMPRODUCT((Aus_Tec=$I13)*(Aus_Ini&lt;=Z$1)*(Aus_Fim&gt;=Z$1)*(Aus_Cod&gt;0))=0,"",IF(SUMPRODUCT((Aus_Tec=$I13)*(Aus_Ini&lt;=Z$1)*(Aus_Fim&gt;=Z$1)*(Aus_Cod&gt;0))&gt;1,"!",IFERROR(INDEX(Aus_Siglas,SUMPRODUCT((Aus_Tec=$I13)*(Aus_Ini&lt;=Z$1)*(Aus_Fim&gt;=Z$1)*Aus_Cod)),"!"))))</f>
        <v/>
      </c>
      <c r="AA13" s="44">
        <f>IF(OR($I13="",AA$1=""),"",IF(SUMPRODUCT((Aus_Tec=$I13)*(Aus_Ini&lt;=AA$1)*(Aus_Fim&gt;=AA$1)*(Aus_Cod&gt;0))=0,"",IF(SUMPRODUCT((Aus_Tec=$I13)*(Aus_Ini&lt;=AA$1)*(Aus_Fim&gt;=AA$1)*(Aus_Cod&gt;0))&gt;1,"!",IFERROR(INDEX(Aus_Siglas,SUMPRODUCT((Aus_Tec=$I13)*(Aus_Ini&lt;=AA$1)*(Aus_Fim&gt;=AA$1)*Aus_Cod)),"!"))))</f>
        <v/>
      </c>
      <c r="AB13" s="44">
        <f>IF(OR($I13="",AB$1=""),"",IF(SUMPRODUCT((Aus_Tec=$I13)*(Aus_Ini&lt;=AB$1)*(Aus_Fim&gt;=AB$1)*(Aus_Cod&gt;0))=0,"",IF(SUMPRODUCT((Aus_Tec=$I13)*(Aus_Ini&lt;=AB$1)*(Aus_Fim&gt;=AB$1)*(Aus_Cod&gt;0))&gt;1,"!",IFERROR(INDEX(Aus_Siglas,SUMPRODUCT((Aus_Tec=$I13)*(Aus_Ini&lt;=AB$1)*(Aus_Fim&gt;=AB$1)*Aus_Cod)),"!"))))</f>
        <v/>
      </c>
      <c r="AC13" s="44">
        <f>IF(OR($I13="",AC$1=""),"",IF(SUMPRODUCT((Aus_Tec=$I13)*(Aus_Ini&lt;=AC$1)*(Aus_Fim&gt;=AC$1)*(Aus_Cod&gt;0))=0,"",IF(SUMPRODUCT((Aus_Tec=$I13)*(Aus_Ini&lt;=AC$1)*(Aus_Fim&gt;=AC$1)*(Aus_Cod&gt;0))&gt;1,"!",IFERROR(INDEX(Aus_Siglas,SUMPRODUCT((Aus_Tec=$I13)*(Aus_Ini&lt;=AC$1)*(Aus_Fim&gt;=AC$1)*Aus_Cod)),"!"))))</f>
        <v/>
      </c>
      <c r="AD13" s="44">
        <f>IF(OR($I13="",AD$1=""),"",IF(SUMPRODUCT((Aus_Tec=$I13)*(Aus_Ini&lt;=AD$1)*(Aus_Fim&gt;=AD$1)*(Aus_Cod&gt;0))=0,"",IF(SUMPRODUCT((Aus_Tec=$I13)*(Aus_Ini&lt;=AD$1)*(Aus_Fim&gt;=AD$1)*(Aus_Cod&gt;0))&gt;1,"!",IFERROR(INDEX(Aus_Siglas,SUMPRODUCT((Aus_Tec=$I13)*(Aus_Ini&lt;=AD$1)*(Aus_Fim&gt;=AD$1)*Aus_Cod)),"!"))))</f>
        <v/>
      </c>
      <c r="AE13" s="44">
        <f>IF(OR($I13="",AE$1=""),"",IF(SUMPRODUCT((Aus_Tec=$I13)*(Aus_Ini&lt;=AE$1)*(Aus_Fim&gt;=AE$1)*(Aus_Cod&gt;0))=0,"",IF(SUMPRODUCT((Aus_Tec=$I13)*(Aus_Ini&lt;=AE$1)*(Aus_Fim&gt;=AE$1)*(Aus_Cod&gt;0))&gt;1,"!",IFERROR(INDEX(Aus_Siglas,SUMPRODUCT((Aus_Tec=$I13)*(Aus_Ini&lt;=AE$1)*(Aus_Fim&gt;=AE$1)*Aus_Cod)),"!"))))</f>
        <v/>
      </c>
      <c r="AF13" s="44">
        <f>IF(OR($I13="",AF$1=""),"",IF(SUMPRODUCT((Aus_Tec=$I13)*(Aus_Ini&lt;=AF$1)*(Aus_Fim&gt;=AF$1)*(Aus_Cod&gt;0))=0,"",IF(SUMPRODUCT((Aus_Tec=$I13)*(Aus_Ini&lt;=AF$1)*(Aus_Fim&gt;=AF$1)*(Aus_Cod&gt;0))&gt;1,"!",IFERROR(INDEX(Aus_Siglas,SUMPRODUCT((Aus_Tec=$I13)*(Aus_Ini&lt;=AF$1)*(Aus_Fim&gt;=AF$1)*Aus_Cod)),"!"))))</f>
        <v/>
      </c>
      <c r="AG13" s="44">
        <f>IF(OR($I13="",AG$1=""),"",IF(SUMPRODUCT((Aus_Tec=$I13)*(Aus_Ini&lt;=AG$1)*(Aus_Fim&gt;=AG$1)*(Aus_Cod&gt;0))=0,"",IF(SUMPRODUCT((Aus_Tec=$I13)*(Aus_Ini&lt;=AG$1)*(Aus_Fim&gt;=AG$1)*(Aus_Cod&gt;0))&gt;1,"!",IFERROR(INDEX(Aus_Siglas,SUMPRODUCT((Aus_Tec=$I13)*(Aus_Ini&lt;=AG$1)*(Aus_Fim&gt;=AG$1)*Aus_Cod)),"!"))))</f>
        <v/>
      </c>
      <c r="AH13" s="44">
        <f>IF(OR($I13="",AH$1=""),"",IF(SUMPRODUCT((Aus_Tec=$I13)*(Aus_Ini&lt;=AH$1)*(Aus_Fim&gt;=AH$1)*(Aus_Cod&gt;0))=0,"",IF(SUMPRODUCT((Aus_Tec=$I13)*(Aus_Ini&lt;=AH$1)*(Aus_Fim&gt;=AH$1)*(Aus_Cod&gt;0))&gt;1,"!",IFERROR(INDEX(Aus_Siglas,SUMPRODUCT((Aus_Tec=$I13)*(Aus_Ini&lt;=AH$1)*(Aus_Fim&gt;=AH$1)*Aus_Cod)),"!"))))</f>
        <v/>
      </c>
      <c r="AI13" s="44">
        <f>IF(OR($I13="",AI$1=""),"",IF(SUMPRODUCT((Aus_Tec=$I13)*(Aus_Ini&lt;=AI$1)*(Aus_Fim&gt;=AI$1)*(Aus_Cod&gt;0))=0,"",IF(SUMPRODUCT((Aus_Tec=$I13)*(Aus_Ini&lt;=AI$1)*(Aus_Fim&gt;=AI$1)*(Aus_Cod&gt;0))&gt;1,"!",IFERROR(INDEX(Aus_Siglas,SUMPRODUCT((Aus_Tec=$I13)*(Aus_Ini&lt;=AI$1)*(Aus_Fim&gt;=AI$1)*Aus_Cod)),"!"))))</f>
        <v/>
      </c>
      <c r="AJ13" s="44">
        <f>IF(OR($I13="",AJ$1=""),"",IF(SUMPRODUCT((Aus_Tec=$I13)*(Aus_Ini&lt;=AJ$1)*(Aus_Fim&gt;=AJ$1)*(Aus_Cod&gt;0))=0,"",IF(SUMPRODUCT((Aus_Tec=$I13)*(Aus_Ini&lt;=AJ$1)*(Aus_Fim&gt;=AJ$1)*(Aus_Cod&gt;0))&gt;1,"!",IFERROR(INDEX(Aus_Siglas,SUMPRODUCT((Aus_Tec=$I13)*(Aus_Ini&lt;=AJ$1)*(Aus_Fim&gt;=AJ$1)*Aus_Cod)),"!"))))</f>
        <v/>
      </c>
      <c r="AK13" s="44">
        <f>IF(OR($I13="",AK$1=""),"",IF(SUMPRODUCT((Aus_Tec=$I13)*(Aus_Ini&lt;=AK$1)*(Aus_Fim&gt;=AK$1)*(Aus_Cod&gt;0))=0,"",IF(SUMPRODUCT((Aus_Tec=$I13)*(Aus_Ini&lt;=AK$1)*(Aus_Fim&gt;=AK$1)*(Aus_Cod&gt;0))&gt;1,"!",IFERROR(INDEX(Aus_Siglas,SUMPRODUCT((Aus_Tec=$I13)*(Aus_Ini&lt;=AK$1)*(Aus_Fim&gt;=AK$1)*Aus_Cod)),"!"))))</f>
        <v/>
      </c>
      <c r="AL13" s="44">
        <f>IF(OR($I13="",AL$1=""),"",IF(SUMPRODUCT((Aus_Tec=$I13)*(Aus_Ini&lt;=AL$1)*(Aus_Fim&gt;=AL$1)*(Aus_Cod&gt;0))=0,"",IF(SUMPRODUCT((Aus_Tec=$I13)*(Aus_Ini&lt;=AL$1)*(Aus_Fim&gt;=AL$1)*(Aus_Cod&gt;0))&gt;1,"!",IFERROR(INDEX(Aus_Siglas,SUMPRODUCT((Aus_Tec=$I13)*(Aus_Ini&lt;=AL$1)*(Aus_Fim&gt;=AL$1)*Aus_Cod)),"!"))))</f>
        <v/>
      </c>
      <c r="AM13" s="44">
        <f>IF(OR($I13="",AM$1=""),"",IF(SUMPRODUCT((Aus_Tec=$I13)*(Aus_Ini&lt;=AM$1)*(Aus_Fim&gt;=AM$1)*(Aus_Cod&gt;0))=0,"",IF(SUMPRODUCT((Aus_Tec=$I13)*(Aus_Ini&lt;=AM$1)*(Aus_Fim&gt;=AM$1)*(Aus_Cod&gt;0))&gt;1,"!",IFERROR(INDEX(Aus_Siglas,SUMPRODUCT((Aus_Tec=$I13)*(Aus_Ini&lt;=AM$1)*(Aus_Fim&gt;=AM$1)*Aus_Cod)),"!"))))</f>
        <v/>
      </c>
      <c r="AN13" s="44">
        <f>IF(OR($I13="",AN$1=""),"",IF(SUMPRODUCT((Aus_Tec=$I13)*(Aus_Ini&lt;=AN$1)*(Aus_Fim&gt;=AN$1)*(Aus_Cod&gt;0))=0,"",IF(SUMPRODUCT((Aus_Tec=$I13)*(Aus_Ini&lt;=AN$1)*(Aus_Fim&gt;=AN$1)*(Aus_Cod&gt;0))&gt;1,"!",IFERROR(INDEX(Aus_Siglas,SUMPRODUCT((Aus_Tec=$I13)*(Aus_Ini&lt;=AN$1)*(Aus_Fim&gt;=AN$1)*Aus_Cod)),"!"))))</f>
        <v/>
      </c>
    </row>
    <row r="14">
      <c r="A14" s="33" t="n"/>
      <c r="B14" s="31" t="n"/>
      <c r="C14" s="30" t="n"/>
      <c r="D14" s="30" t="n"/>
      <c r="E14" s="20">
        <f>IF(OR($A14="",NOT(ISNUMBER($C14)),NOT(ISNUMBER($D14))),"",$D14-$C14+1)</f>
        <v/>
      </c>
      <c r="F14" s="33" t="n"/>
      <c r="G14" s="35">
        <f>IF(AND($A14&lt;&gt;"",ISNUMBER($C14),ISNUMBER($D14),$C14&lt;=Data_Mapa,$D14&gt;=Data_Mapa),$A14,"")</f>
        <v/>
      </c>
      <c r="H14" s="35">
        <f>IF($A14="",0,IFERROR(MATCH($B14,Aus_Tipos,0),0))</f>
        <v/>
      </c>
      <c r="I14" s="43">
        <f>IF('Equipe'!$B$13="","",'Equipe'!$B$13)</f>
        <v/>
      </c>
      <c r="J14" s="44">
        <f>IF(OR($I14="",J$1=""),"",IF(SUMPRODUCT((Aus_Tec=$I14)*(Aus_Ini&lt;=J$1)*(Aus_Fim&gt;=J$1)*(Aus_Cod&gt;0))=0,"",IF(SUMPRODUCT((Aus_Tec=$I14)*(Aus_Ini&lt;=J$1)*(Aus_Fim&gt;=J$1)*(Aus_Cod&gt;0))&gt;1,"!",IFERROR(INDEX(Aus_Siglas,SUMPRODUCT((Aus_Tec=$I14)*(Aus_Ini&lt;=J$1)*(Aus_Fim&gt;=J$1)*Aus_Cod)),"!"))))</f>
        <v/>
      </c>
      <c r="K14" s="44">
        <f>IF(OR($I14="",K$1=""),"",IF(SUMPRODUCT((Aus_Tec=$I14)*(Aus_Ini&lt;=K$1)*(Aus_Fim&gt;=K$1)*(Aus_Cod&gt;0))=0,"",IF(SUMPRODUCT((Aus_Tec=$I14)*(Aus_Ini&lt;=K$1)*(Aus_Fim&gt;=K$1)*(Aus_Cod&gt;0))&gt;1,"!",IFERROR(INDEX(Aus_Siglas,SUMPRODUCT((Aus_Tec=$I14)*(Aus_Ini&lt;=K$1)*(Aus_Fim&gt;=K$1)*Aus_Cod)),"!"))))</f>
        <v/>
      </c>
      <c r="L14" s="44">
        <f>IF(OR($I14="",L$1=""),"",IF(SUMPRODUCT((Aus_Tec=$I14)*(Aus_Ini&lt;=L$1)*(Aus_Fim&gt;=L$1)*(Aus_Cod&gt;0))=0,"",IF(SUMPRODUCT((Aus_Tec=$I14)*(Aus_Ini&lt;=L$1)*(Aus_Fim&gt;=L$1)*(Aus_Cod&gt;0))&gt;1,"!",IFERROR(INDEX(Aus_Siglas,SUMPRODUCT((Aus_Tec=$I14)*(Aus_Ini&lt;=L$1)*(Aus_Fim&gt;=L$1)*Aus_Cod)),"!"))))</f>
        <v/>
      </c>
      <c r="M14" s="44">
        <f>IF(OR($I14="",M$1=""),"",IF(SUMPRODUCT((Aus_Tec=$I14)*(Aus_Ini&lt;=M$1)*(Aus_Fim&gt;=M$1)*(Aus_Cod&gt;0))=0,"",IF(SUMPRODUCT((Aus_Tec=$I14)*(Aus_Ini&lt;=M$1)*(Aus_Fim&gt;=M$1)*(Aus_Cod&gt;0))&gt;1,"!",IFERROR(INDEX(Aus_Siglas,SUMPRODUCT((Aus_Tec=$I14)*(Aus_Ini&lt;=M$1)*(Aus_Fim&gt;=M$1)*Aus_Cod)),"!"))))</f>
        <v/>
      </c>
      <c r="N14" s="44">
        <f>IF(OR($I14="",N$1=""),"",IF(SUMPRODUCT((Aus_Tec=$I14)*(Aus_Ini&lt;=N$1)*(Aus_Fim&gt;=N$1)*(Aus_Cod&gt;0))=0,"",IF(SUMPRODUCT((Aus_Tec=$I14)*(Aus_Ini&lt;=N$1)*(Aus_Fim&gt;=N$1)*(Aus_Cod&gt;0))&gt;1,"!",IFERROR(INDEX(Aus_Siglas,SUMPRODUCT((Aus_Tec=$I14)*(Aus_Ini&lt;=N$1)*(Aus_Fim&gt;=N$1)*Aus_Cod)),"!"))))</f>
        <v/>
      </c>
      <c r="O14" s="44">
        <f>IF(OR($I14="",O$1=""),"",IF(SUMPRODUCT((Aus_Tec=$I14)*(Aus_Ini&lt;=O$1)*(Aus_Fim&gt;=O$1)*(Aus_Cod&gt;0))=0,"",IF(SUMPRODUCT((Aus_Tec=$I14)*(Aus_Ini&lt;=O$1)*(Aus_Fim&gt;=O$1)*(Aus_Cod&gt;0))&gt;1,"!",IFERROR(INDEX(Aus_Siglas,SUMPRODUCT((Aus_Tec=$I14)*(Aus_Ini&lt;=O$1)*(Aus_Fim&gt;=O$1)*Aus_Cod)),"!"))))</f>
        <v/>
      </c>
      <c r="P14" s="44">
        <f>IF(OR($I14="",P$1=""),"",IF(SUMPRODUCT((Aus_Tec=$I14)*(Aus_Ini&lt;=P$1)*(Aus_Fim&gt;=P$1)*(Aus_Cod&gt;0))=0,"",IF(SUMPRODUCT((Aus_Tec=$I14)*(Aus_Ini&lt;=P$1)*(Aus_Fim&gt;=P$1)*(Aus_Cod&gt;0))&gt;1,"!",IFERROR(INDEX(Aus_Siglas,SUMPRODUCT((Aus_Tec=$I14)*(Aus_Ini&lt;=P$1)*(Aus_Fim&gt;=P$1)*Aus_Cod)),"!"))))</f>
        <v/>
      </c>
      <c r="Q14" s="44">
        <f>IF(OR($I14="",Q$1=""),"",IF(SUMPRODUCT((Aus_Tec=$I14)*(Aus_Ini&lt;=Q$1)*(Aus_Fim&gt;=Q$1)*(Aus_Cod&gt;0))=0,"",IF(SUMPRODUCT((Aus_Tec=$I14)*(Aus_Ini&lt;=Q$1)*(Aus_Fim&gt;=Q$1)*(Aus_Cod&gt;0))&gt;1,"!",IFERROR(INDEX(Aus_Siglas,SUMPRODUCT((Aus_Tec=$I14)*(Aus_Ini&lt;=Q$1)*(Aus_Fim&gt;=Q$1)*Aus_Cod)),"!"))))</f>
        <v/>
      </c>
      <c r="R14" s="44">
        <f>IF(OR($I14="",R$1=""),"",IF(SUMPRODUCT((Aus_Tec=$I14)*(Aus_Ini&lt;=R$1)*(Aus_Fim&gt;=R$1)*(Aus_Cod&gt;0))=0,"",IF(SUMPRODUCT((Aus_Tec=$I14)*(Aus_Ini&lt;=R$1)*(Aus_Fim&gt;=R$1)*(Aus_Cod&gt;0))&gt;1,"!",IFERROR(INDEX(Aus_Siglas,SUMPRODUCT((Aus_Tec=$I14)*(Aus_Ini&lt;=R$1)*(Aus_Fim&gt;=R$1)*Aus_Cod)),"!"))))</f>
        <v/>
      </c>
      <c r="S14" s="44">
        <f>IF(OR($I14="",S$1=""),"",IF(SUMPRODUCT((Aus_Tec=$I14)*(Aus_Ini&lt;=S$1)*(Aus_Fim&gt;=S$1)*(Aus_Cod&gt;0))=0,"",IF(SUMPRODUCT((Aus_Tec=$I14)*(Aus_Ini&lt;=S$1)*(Aus_Fim&gt;=S$1)*(Aus_Cod&gt;0))&gt;1,"!",IFERROR(INDEX(Aus_Siglas,SUMPRODUCT((Aus_Tec=$I14)*(Aus_Ini&lt;=S$1)*(Aus_Fim&gt;=S$1)*Aus_Cod)),"!"))))</f>
        <v/>
      </c>
      <c r="T14" s="44">
        <f>IF(OR($I14="",T$1=""),"",IF(SUMPRODUCT((Aus_Tec=$I14)*(Aus_Ini&lt;=T$1)*(Aus_Fim&gt;=T$1)*(Aus_Cod&gt;0))=0,"",IF(SUMPRODUCT((Aus_Tec=$I14)*(Aus_Ini&lt;=T$1)*(Aus_Fim&gt;=T$1)*(Aus_Cod&gt;0))&gt;1,"!",IFERROR(INDEX(Aus_Siglas,SUMPRODUCT((Aus_Tec=$I14)*(Aus_Ini&lt;=T$1)*(Aus_Fim&gt;=T$1)*Aus_Cod)),"!"))))</f>
        <v/>
      </c>
      <c r="U14" s="44">
        <f>IF(OR($I14="",U$1=""),"",IF(SUMPRODUCT((Aus_Tec=$I14)*(Aus_Ini&lt;=U$1)*(Aus_Fim&gt;=U$1)*(Aus_Cod&gt;0))=0,"",IF(SUMPRODUCT((Aus_Tec=$I14)*(Aus_Ini&lt;=U$1)*(Aus_Fim&gt;=U$1)*(Aus_Cod&gt;0))&gt;1,"!",IFERROR(INDEX(Aus_Siglas,SUMPRODUCT((Aus_Tec=$I14)*(Aus_Ini&lt;=U$1)*(Aus_Fim&gt;=U$1)*Aus_Cod)),"!"))))</f>
        <v/>
      </c>
      <c r="V14" s="44">
        <f>IF(OR($I14="",V$1=""),"",IF(SUMPRODUCT((Aus_Tec=$I14)*(Aus_Ini&lt;=V$1)*(Aus_Fim&gt;=V$1)*(Aus_Cod&gt;0))=0,"",IF(SUMPRODUCT((Aus_Tec=$I14)*(Aus_Ini&lt;=V$1)*(Aus_Fim&gt;=V$1)*(Aus_Cod&gt;0))&gt;1,"!",IFERROR(INDEX(Aus_Siglas,SUMPRODUCT((Aus_Tec=$I14)*(Aus_Ini&lt;=V$1)*(Aus_Fim&gt;=V$1)*Aus_Cod)),"!"))))</f>
        <v/>
      </c>
      <c r="W14" s="44">
        <f>IF(OR($I14="",W$1=""),"",IF(SUMPRODUCT((Aus_Tec=$I14)*(Aus_Ini&lt;=W$1)*(Aus_Fim&gt;=W$1)*(Aus_Cod&gt;0))=0,"",IF(SUMPRODUCT((Aus_Tec=$I14)*(Aus_Ini&lt;=W$1)*(Aus_Fim&gt;=W$1)*(Aus_Cod&gt;0))&gt;1,"!",IFERROR(INDEX(Aus_Siglas,SUMPRODUCT((Aus_Tec=$I14)*(Aus_Ini&lt;=W$1)*(Aus_Fim&gt;=W$1)*Aus_Cod)),"!"))))</f>
        <v/>
      </c>
      <c r="X14" s="44">
        <f>IF(OR($I14="",X$1=""),"",IF(SUMPRODUCT((Aus_Tec=$I14)*(Aus_Ini&lt;=X$1)*(Aus_Fim&gt;=X$1)*(Aus_Cod&gt;0))=0,"",IF(SUMPRODUCT((Aus_Tec=$I14)*(Aus_Ini&lt;=X$1)*(Aus_Fim&gt;=X$1)*(Aus_Cod&gt;0))&gt;1,"!",IFERROR(INDEX(Aus_Siglas,SUMPRODUCT((Aus_Tec=$I14)*(Aus_Ini&lt;=X$1)*(Aus_Fim&gt;=X$1)*Aus_Cod)),"!"))))</f>
        <v/>
      </c>
      <c r="Y14" s="44">
        <f>IF(OR($I14="",Y$1=""),"",IF(SUMPRODUCT((Aus_Tec=$I14)*(Aus_Ini&lt;=Y$1)*(Aus_Fim&gt;=Y$1)*(Aus_Cod&gt;0))=0,"",IF(SUMPRODUCT((Aus_Tec=$I14)*(Aus_Ini&lt;=Y$1)*(Aus_Fim&gt;=Y$1)*(Aus_Cod&gt;0))&gt;1,"!",IFERROR(INDEX(Aus_Siglas,SUMPRODUCT((Aus_Tec=$I14)*(Aus_Ini&lt;=Y$1)*(Aus_Fim&gt;=Y$1)*Aus_Cod)),"!"))))</f>
        <v/>
      </c>
      <c r="Z14" s="44">
        <f>IF(OR($I14="",Z$1=""),"",IF(SUMPRODUCT((Aus_Tec=$I14)*(Aus_Ini&lt;=Z$1)*(Aus_Fim&gt;=Z$1)*(Aus_Cod&gt;0))=0,"",IF(SUMPRODUCT((Aus_Tec=$I14)*(Aus_Ini&lt;=Z$1)*(Aus_Fim&gt;=Z$1)*(Aus_Cod&gt;0))&gt;1,"!",IFERROR(INDEX(Aus_Siglas,SUMPRODUCT((Aus_Tec=$I14)*(Aus_Ini&lt;=Z$1)*(Aus_Fim&gt;=Z$1)*Aus_Cod)),"!"))))</f>
        <v/>
      </c>
      <c r="AA14" s="44">
        <f>IF(OR($I14="",AA$1=""),"",IF(SUMPRODUCT((Aus_Tec=$I14)*(Aus_Ini&lt;=AA$1)*(Aus_Fim&gt;=AA$1)*(Aus_Cod&gt;0))=0,"",IF(SUMPRODUCT((Aus_Tec=$I14)*(Aus_Ini&lt;=AA$1)*(Aus_Fim&gt;=AA$1)*(Aus_Cod&gt;0))&gt;1,"!",IFERROR(INDEX(Aus_Siglas,SUMPRODUCT((Aus_Tec=$I14)*(Aus_Ini&lt;=AA$1)*(Aus_Fim&gt;=AA$1)*Aus_Cod)),"!"))))</f>
        <v/>
      </c>
      <c r="AB14" s="44">
        <f>IF(OR($I14="",AB$1=""),"",IF(SUMPRODUCT((Aus_Tec=$I14)*(Aus_Ini&lt;=AB$1)*(Aus_Fim&gt;=AB$1)*(Aus_Cod&gt;0))=0,"",IF(SUMPRODUCT((Aus_Tec=$I14)*(Aus_Ini&lt;=AB$1)*(Aus_Fim&gt;=AB$1)*(Aus_Cod&gt;0))&gt;1,"!",IFERROR(INDEX(Aus_Siglas,SUMPRODUCT((Aus_Tec=$I14)*(Aus_Ini&lt;=AB$1)*(Aus_Fim&gt;=AB$1)*Aus_Cod)),"!"))))</f>
        <v/>
      </c>
      <c r="AC14" s="44">
        <f>IF(OR($I14="",AC$1=""),"",IF(SUMPRODUCT((Aus_Tec=$I14)*(Aus_Ini&lt;=AC$1)*(Aus_Fim&gt;=AC$1)*(Aus_Cod&gt;0))=0,"",IF(SUMPRODUCT((Aus_Tec=$I14)*(Aus_Ini&lt;=AC$1)*(Aus_Fim&gt;=AC$1)*(Aus_Cod&gt;0))&gt;1,"!",IFERROR(INDEX(Aus_Siglas,SUMPRODUCT((Aus_Tec=$I14)*(Aus_Ini&lt;=AC$1)*(Aus_Fim&gt;=AC$1)*Aus_Cod)),"!"))))</f>
        <v/>
      </c>
      <c r="AD14" s="44">
        <f>IF(OR($I14="",AD$1=""),"",IF(SUMPRODUCT((Aus_Tec=$I14)*(Aus_Ini&lt;=AD$1)*(Aus_Fim&gt;=AD$1)*(Aus_Cod&gt;0))=0,"",IF(SUMPRODUCT((Aus_Tec=$I14)*(Aus_Ini&lt;=AD$1)*(Aus_Fim&gt;=AD$1)*(Aus_Cod&gt;0))&gt;1,"!",IFERROR(INDEX(Aus_Siglas,SUMPRODUCT((Aus_Tec=$I14)*(Aus_Ini&lt;=AD$1)*(Aus_Fim&gt;=AD$1)*Aus_Cod)),"!"))))</f>
        <v/>
      </c>
      <c r="AE14" s="44">
        <f>IF(OR($I14="",AE$1=""),"",IF(SUMPRODUCT((Aus_Tec=$I14)*(Aus_Ini&lt;=AE$1)*(Aus_Fim&gt;=AE$1)*(Aus_Cod&gt;0))=0,"",IF(SUMPRODUCT((Aus_Tec=$I14)*(Aus_Ini&lt;=AE$1)*(Aus_Fim&gt;=AE$1)*(Aus_Cod&gt;0))&gt;1,"!",IFERROR(INDEX(Aus_Siglas,SUMPRODUCT((Aus_Tec=$I14)*(Aus_Ini&lt;=AE$1)*(Aus_Fim&gt;=AE$1)*Aus_Cod)),"!"))))</f>
        <v/>
      </c>
      <c r="AF14" s="44">
        <f>IF(OR($I14="",AF$1=""),"",IF(SUMPRODUCT((Aus_Tec=$I14)*(Aus_Ini&lt;=AF$1)*(Aus_Fim&gt;=AF$1)*(Aus_Cod&gt;0))=0,"",IF(SUMPRODUCT((Aus_Tec=$I14)*(Aus_Ini&lt;=AF$1)*(Aus_Fim&gt;=AF$1)*(Aus_Cod&gt;0))&gt;1,"!",IFERROR(INDEX(Aus_Siglas,SUMPRODUCT((Aus_Tec=$I14)*(Aus_Ini&lt;=AF$1)*(Aus_Fim&gt;=AF$1)*Aus_Cod)),"!"))))</f>
        <v/>
      </c>
      <c r="AG14" s="44">
        <f>IF(OR($I14="",AG$1=""),"",IF(SUMPRODUCT((Aus_Tec=$I14)*(Aus_Ini&lt;=AG$1)*(Aus_Fim&gt;=AG$1)*(Aus_Cod&gt;0))=0,"",IF(SUMPRODUCT((Aus_Tec=$I14)*(Aus_Ini&lt;=AG$1)*(Aus_Fim&gt;=AG$1)*(Aus_Cod&gt;0))&gt;1,"!",IFERROR(INDEX(Aus_Siglas,SUMPRODUCT((Aus_Tec=$I14)*(Aus_Ini&lt;=AG$1)*(Aus_Fim&gt;=AG$1)*Aus_Cod)),"!"))))</f>
        <v/>
      </c>
      <c r="AH14" s="44">
        <f>IF(OR($I14="",AH$1=""),"",IF(SUMPRODUCT((Aus_Tec=$I14)*(Aus_Ini&lt;=AH$1)*(Aus_Fim&gt;=AH$1)*(Aus_Cod&gt;0))=0,"",IF(SUMPRODUCT((Aus_Tec=$I14)*(Aus_Ini&lt;=AH$1)*(Aus_Fim&gt;=AH$1)*(Aus_Cod&gt;0))&gt;1,"!",IFERROR(INDEX(Aus_Siglas,SUMPRODUCT((Aus_Tec=$I14)*(Aus_Ini&lt;=AH$1)*(Aus_Fim&gt;=AH$1)*Aus_Cod)),"!"))))</f>
        <v/>
      </c>
      <c r="AI14" s="44">
        <f>IF(OR($I14="",AI$1=""),"",IF(SUMPRODUCT((Aus_Tec=$I14)*(Aus_Ini&lt;=AI$1)*(Aus_Fim&gt;=AI$1)*(Aus_Cod&gt;0))=0,"",IF(SUMPRODUCT((Aus_Tec=$I14)*(Aus_Ini&lt;=AI$1)*(Aus_Fim&gt;=AI$1)*(Aus_Cod&gt;0))&gt;1,"!",IFERROR(INDEX(Aus_Siglas,SUMPRODUCT((Aus_Tec=$I14)*(Aus_Ini&lt;=AI$1)*(Aus_Fim&gt;=AI$1)*Aus_Cod)),"!"))))</f>
        <v/>
      </c>
      <c r="AJ14" s="44">
        <f>IF(OR($I14="",AJ$1=""),"",IF(SUMPRODUCT((Aus_Tec=$I14)*(Aus_Ini&lt;=AJ$1)*(Aus_Fim&gt;=AJ$1)*(Aus_Cod&gt;0))=0,"",IF(SUMPRODUCT((Aus_Tec=$I14)*(Aus_Ini&lt;=AJ$1)*(Aus_Fim&gt;=AJ$1)*(Aus_Cod&gt;0))&gt;1,"!",IFERROR(INDEX(Aus_Siglas,SUMPRODUCT((Aus_Tec=$I14)*(Aus_Ini&lt;=AJ$1)*(Aus_Fim&gt;=AJ$1)*Aus_Cod)),"!"))))</f>
        <v/>
      </c>
      <c r="AK14" s="44">
        <f>IF(OR($I14="",AK$1=""),"",IF(SUMPRODUCT((Aus_Tec=$I14)*(Aus_Ini&lt;=AK$1)*(Aus_Fim&gt;=AK$1)*(Aus_Cod&gt;0))=0,"",IF(SUMPRODUCT((Aus_Tec=$I14)*(Aus_Ini&lt;=AK$1)*(Aus_Fim&gt;=AK$1)*(Aus_Cod&gt;0))&gt;1,"!",IFERROR(INDEX(Aus_Siglas,SUMPRODUCT((Aus_Tec=$I14)*(Aus_Ini&lt;=AK$1)*(Aus_Fim&gt;=AK$1)*Aus_Cod)),"!"))))</f>
        <v/>
      </c>
      <c r="AL14" s="44">
        <f>IF(OR($I14="",AL$1=""),"",IF(SUMPRODUCT((Aus_Tec=$I14)*(Aus_Ini&lt;=AL$1)*(Aus_Fim&gt;=AL$1)*(Aus_Cod&gt;0))=0,"",IF(SUMPRODUCT((Aus_Tec=$I14)*(Aus_Ini&lt;=AL$1)*(Aus_Fim&gt;=AL$1)*(Aus_Cod&gt;0))&gt;1,"!",IFERROR(INDEX(Aus_Siglas,SUMPRODUCT((Aus_Tec=$I14)*(Aus_Ini&lt;=AL$1)*(Aus_Fim&gt;=AL$1)*Aus_Cod)),"!"))))</f>
        <v/>
      </c>
      <c r="AM14" s="44">
        <f>IF(OR($I14="",AM$1=""),"",IF(SUMPRODUCT((Aus_Tec=$I14)*(Aus_Ini&lt;=AM$1)*(Aus_Fim&gt;=AM$1)*(Aus_Cod&gt;0))=0,"",IF(SUMPRODUCT((Aus_Tec=$I14)*(Aus_Ini&lt;=AM$1)*(Aus_Fim&gt;=AM$1)*(Aus_Cod&gt;0))&gt;1,"!",IFERROR(INDEX(Aus_Siglas,SUMPRODUCT((Aus_Tec=$I14)*(Aus_Ini&lt;=AM$1)*(Aus_Fim&gt;=AM$1)*Aus_Cod)),"!"))))</f>
        <v/>
      </c>
      <c r="AN14" s="44">
        <f>IF(OR($I14="",AN$1=""),"",IF(SUMPRODUCT((Aus_Tec=$I14)*(Aus_Ini&lt;=AN$1)*(Aus_Fim&gt;=AN$1)*(Aus_Cod&gt;0))=0,"",IF(SUMPRODUCT((Aus_Tec=$I14)*(Aus_Ini&lt;=AN$1)*(Aus_Fim&gt;=AN$1)*(Aus_Cod&gt;0))&gt;1,"!",IFERROR(INDEX(Aus_Siglas,SUMPRODUCT((Aus_Tec=$I14)*(Aus_Ini&lt;=AN$1)*(Aus_Fim&gt;=AN$1)*Aus_Cod)),"!"))))</f>
        <v/>
      </c>
    </row>
    <row r="15">
      <c r="A15" s="33" t="n"/>
      <c r="B15" s="31" t="n"/>
      <c r="C15" s="30" t="n"/>
      <c r="D15" s="30" t="n"/>
      <c r="E15" s="20">
        <f>IF(OR($A15="",NOT(ISNUMBER($C15)),NOT(ISNUMBER($D15))),"",$D15-$C15+1)</f>
        <v/>
      </c>
      <c r="F15" s="33" t="n"/>
      <c r="G15" s="35">
        <f>IF(AND($A15&lt;&gt;"",ISNUMBER($C15),ISNUMBER($D15),$C15&lt;=Data_Mapa,$D15&gt;=Data_Mapa),$A15,"")</f>
        <v/>
      </c>
      <c r="H15" s="35">
        <f>IF($A15="",0,IFERROR(MATCH($B15,Aus_Tipos,0),0))</f>
        <v/>
      </c>
      <c r="I15" s="43">
        <f>IF('Equipe'!$B$14="","",'Equipe'!$B$14)</f>
        <v/>
      </c>
      <c r="J15" s="44">
        <f>IF(OR($I15="",J$1=""),"",IF(SUMPRODUCT((Aus_Tec=$I15)*(Aus_Ini&lt;=J$1)*(Aus_Fim&gt;=J$1)*(Aus_Cod&gt;0))=0,"",IF(SUMPRODUCT((Aus_Tec=$I15)*(Aus_Ini&lt;=J$1)*(Aus_Fim&gt;=J$1)*(Aus_Cod&gt;0))&gt;1,"!",IFERROR(INDEX(Aus_Siglas,SUMPRODUCT((Aus_Tec=$I15)*(Aus_Ini&lt;=J$1)*(Aus_Fim&gt;=J$1)*Aus_Cod)),"!"))))</f>
        <v/>
      </c>
      <c r="K15" s="44">
        <f>IF(OR($I15="",K$1=""),"",IF(SUMPRODUCT((Aus_Tec=$I15)*(Aus_Ini&lt;=K$1)*(Aus_Fim&gt;=K$1)*(Aus_Cod&gt;0))=0,"",IF(SUMPRODUCT((Aus_Tec=$I15)*(Aus_Ini&lt;=K$1)*(Aus_Fim&gt;=K$1)*(Aus_Cod&gt;0))&gt;1,"!",IFERROR(INDEX(Aus_Siglas,SUMPRODUCT((Aus_Tec=$I15)*(Aus_Ini&lt;=K$1)*(Aus_Fim&gt;=K$1)*Aus_Cod)),"!"))))</f>
        <v/>
      </c>
      <c r="L15" s="44">
        <f>IF(OR($I15="",L$1=""),"",IF(SUMPRODUCT((Aus_Tec=$I15)*(Aus_Ini&lt;=L$1)*(Aus_Fim&gt;=L$1)*(Aus_Cod&gt;0))=0,"",IF(SUMPRODUCT((Aus_Tec=$I15)*(Aus_Ini&lt;=L$1)*(Aus_Fim&gt;=L$1)*(Aus_Cod&gt;0))&gt;1,"!",IFERROR(INDEX(Aus_Siglas,SUMPRODUCT((Aus_Tec=$I15)*(Aus_Ini&lt;=L$1)*(Aus_Fim&gt;=L$1)*Aus_Cod)),"!"))))</f>
        <v/>
      </c>
      <c r="M15" s="44">
        <f>IF(OR($I15="",M$1=""),"",IF(SUMPRODUCT((Aus_Tec=$I15)*(Aus_Ini&lt;=M$1)*(Aus_Fim&gt;=M$1)*(Aus_Cod&gt;0))=0,"",IF(SUMPRODUCT((Aus_Tec=$I15)*(Aus_Ini&lt;=M$1)*(Aus_Fim&gt;=M$1)*(Aus_Cod&gt;0))&gt;1,"!",IFERROR(INDEX(Aus_Siglas,SUMPRODUCT((Aus_Tec=$I15)*(Aus_Ini&lt;=M$1)*(Aus_Fim&gt;=M$1)*Aus_Cod)),"!"))))</f>
        <v/>
      </c>
      <c r="N15" s="44">
        <f>IF(OR($I15="",N$1=""),"",IF(SUMPRODUCT((Aus_Tec=$I15)*(Aus_Ini&lt;=N$1)*(Aus_Fim&gt;=N$1)*(Aus_Cod&gt;0))=0,"",IF(SUMPRODUCT((Aus_Tec=$I15)*(Aus_Ini&lt;=N$1)*(Aus_Fim&gt;=N$1)*(Aus_Cod&gt;0))&gt;1,"!",IFERROR(INDEX(Aus_Siglas,SUMPRODUCT((Aus_Tec=$I15)*(Aus_Ini&lt;=N$1)*(Aus_Fim&gt;=N$1)*Aus_Cod)),"!"))))</f>
        <v/>
      </c>
      <c r="O15" s="44">
        <f>IF(OR($I15="",O$1=""),"",IF(SUMPRODUCT((Aus_Tec=$I15)*(Aus_Ini&lt;=O$1)*(Aus_Fim&gt;=O$1)*(Aus_Cod&gt;0))=0,"",IF(SUMPRODUCT((Aus_Tec=$I15)*(Aus_Ini&lt;=O$1)*(Aus_Fim&gt;=O$1)*(Aus_Cod&gt;0))&gt;1,"!",IFERROR(INDEX(Aus_Siglas,SUMPRODUCT((Aus_Tec=$I15)*(Aus_Ini&lt;=O$1)*(Aus_Fim&gt;=O$1)*Aus_Cod)),"!"))))</f>
        <v/>
      </c>
      <c r="P15" s="44">
        <f>IF(OR($I15="",P$1=""),"",IF(SUMPRODUCT((Aus_Tec=$I15)*(Aus_Ini&lt;=P$1)*(Aus_Fim&gt;=P$1)*(Aus_Cod&gt;0))=0,"",IF(SUMPRODUCT((Aus_Tec=$I15)*(Aus_Ini&lt;=P$1)*(Aus_Fim&gt;=P$1)*(Aus_Cod&gt;0))&gt;1,"!",IFERROR(INDEX(Aus_Siglas,SUMPRODUCT((Aus_Tec=$I15)*(Aus_Ini&lt;=P$1)*(Aus_Fim&gt;=P$1)*Aus_Cod)),"!"))))</f>
        <v/>
      </c>
      <c r="Q15" s="44">
        <f>IF(OR($I15="",Q$1=""),"",IF(SUMPRODUCT((Aus_Tec=$I15)*(Aus_Ini&lt;=Q$1)*(Aus_Fim&gt;=Q$1)*(Aus_Cod&gt;0))=0,"",IF(SUMPRODUCT((Aus_Tec=$I15)*(Aus_Ini&lt;=Q$1)*(Aus_Fim&gt;=Q$1)*(Aus_Cod&gt;0))&gt;1,"!",IFERROR(INDEX(Aus_Siglas,SUMPRODUCT((Aus_Tec=$I15)*(Aus_Ini&lt;=Q$1)*(Aus_Fim&gt;=Q$1)*Aus_Cod)),"!"))))</f>
        <v/>
      </c>
      <c r="R15" s="44">
        <f>IF(OR($I15="",R$1=""),"",IF(SUMPRODUCT((Aus_Tec=$I15)*(Aus_Ini&lt;=R$1)*(Aus_Fim&gt;=R$1)*(Aus_Cod&gt;0))=0,"",IF(SUMPRODUCT((Aus_Tec=$I15)*(Aus_Ini&lt;=R$1)*(Aus_Fim&gt;=R$1)*(Aus_Cod&gt;0))&gt;1,"!",IFERROR(INDEX(Aus_Siglas,SUMPRODUCT((Aus_Tec=$I15)*(Aus_Ini&lt;=R$1)*(Aus_Fim&gt;=R$1)*Aus_Cod)),"!"))))</f>
        <v/>
      </c>
      <c r="S15" s="44">
        <f>IF(OR($I15="",S$1=""),"",IF(SUMPRODUCT((Aus_Tec=$I15)*(Aus_Ini&lt;=S$1)*(Aus_Fim&gt;=S$1)*(Aus_Cod&gt;0))=0,"",IF(SUMPRODUCT((Aus_Tec=$I15)*(Aus_Ini&lt;=S$1)*(Aus_Fim&gt;=S$1)*(Aus_Cod&gt;0))&gt;1,"!",IFERROR(INDEX(Aus_Siglas,SUMPRODUCT((Aus_Tec=$I15)*(Aus_Ini&lt;=S$1)*(Aus_Fim&gt;=S$1)*Aus_Cod)),"!"))))</f>
        <v/>
      </c>
      <c r="T15" s="44">
        <f>IF(OR($I15="",T$1=""),"",IF(SUMPRODUCT((Aus_Tec=$I15)*(Aus_Ini&lt;=T$1)*(Aus_Fim&gt;=T$1)*(Aus_Cod&gt;0))=0,"",IF(SUMPRODUCT((Aus_Tec=$I15)*(Aus_Ini&lt;=T$1)*(Aus_Fim&gt;=T$1)*(Aus_Cod&gt;0))&gt;1,"!",IFERROR(INDEX(Aus_Siglas,SUMPRODUCT((Aus_Tec=$I15)*(Aus_Ini&lt;=T$1)*(Aus_Fim&gt;=T$1)*Aus_Cod)),"!"))))</f>
        <v/>
      </c>
      <c r="U15" s="44">
        <f>IF(OR($I15="",U$1=""),"",IF(SUMPRODUCT((Aus_Tec=$I15)*(Aus_Ini&lt;=U$1)*(Aus_Fim&gt;=U$1)*(Aus_Cod&gt;0))=0,"",IF(SUMPRODUCT((Aus_Tec=$I15)*(Aus_Ini&lt;=U$1)*(Aus_Fim&gt;=U$1)*(Aus_Cod&gt;0))&gt;1,"!",IFERROR(INDEX(Aus_Siglas,SUMPRODUCT((Aus_Tec=$I15)*(Aus_Ini&lt;=U$1)*(Aus_Fim&gt;=U$1)*Aus_Cod)),"!"))))</f>
        <v/>
      </c>
      <c r="V15" s="44">
        <f>IF(OR($I15="",V$1=""),"",IF(SUMPRODUCT((Aus_Tec=$I15)*(Aus_Ini&lt;=V$1)*(Aus_Fim&gt;=V$1)*(Aus_Cod&gt;0))=0,"",IF(SUMPRODUCT((Aus_Tec=$I15)*(Aus_Ini&lt;=V$1)*(Aus_Fim&gt;=V$1)*(Aus_Cod&gt;0))&gt;1,"!",IFERROR(INDEX(Aus_Siglas,SUMPRODUCT((Aus_Tec=$I15)*(Aus_Ini&lt;=V$1)*(Aus_Fim&gt;=V$1)*Aus_Cod)),"!"))))</f>
        <v/>
      </c>
      <c r="W15" s="44">
        <f>IF(OR($I15="",W$1=""),"",IF(SUMPRODUCT((Aus_Tec=$I15)*(Aus_Ini&lt;=W$1)*(Aus_Fim&gt;=W$1)*(Aus_Cod&gt;0))=0,"",IF(SUMPRODUCT((Aus_Tec=$I15)*(Aus_Ini&lt;=W$1)*(Aus_Fim&gt;=W$1)*(Aus_Cod&gt;0))&gt;1,"!",IFERROR(INDEX(Aus_Siglas,SUMPRODUCT((Aus_Tec=$I15)*(Aus_Ini&lt;=W$1)*(Aus_Fim&gt;=W$1)*Aus_Cod)),"!"))))</f>
        <v/>
      </c>
      <c r="X15" s="44">
        <f>IF(OR($I15="",X$1=""),"",IF(SUMPRODUCT((Aus_Tec=$I15)*(Aus_Ini&lt;=X$1)*(Aus_Fim&gt;=X$1)*(Aus_Cod&gt;0))=0,"",IF(SUMPRODUCT((Aus_Tec=$I15)*(Aus_Ini&lt;=X$1)*(Aus_Fim&gt;=X$1)*(Aus_Cod&gt;0))&gt;1,"!",IFERROR(INDEX(Aus_Siglas,SUMPRODUCT((Aus_Tec=$I15)*(Aus_Ini&lt;=X$1)*(Aus_Fim&gt;=X$1)*Aus_Cod)),"!"))))</f>
        <v/>
      </c>
      <c r="Y15" s="44">
        <f>IF(OR($I15="",Y$1=""),"",IF(SUMPRODUCT((Aus_Tec=$I15)*(Aus_Ini&lt;=Y$1)*(Aus_Fim&gt;=Y$1)*(Aus_Cod&gt;0))=0,"",IF(SUMPRODUCT((Aus_Tec=$I15)*(Aus_Ini&lt;=Y$1)*(Aus_Fim&gt;=Y$1)*(Aus_Cod&gt;0))&gt;1,"!",IFERROR(INDEX(Aus_Siglas,SUMPRODUCT((Aus_Tec=$I15)*(Aus_Ini&lt;=Y$1)*(Aus_Fim&gt;=Y$1)*Aus_Cod)),"!"))))</f>
        <v/>
      </c>
      <c r="Z15" s="44">
        <f>IF(OR($I15="",Z$1=""),"",IF(SUMPRODUCT((Aus_Tec=$I15)*(Aus_Ini&lt;=Z$1)*(Aus_Fim&gt;=Z$1)*(Aus_Cod&gt;0))=0,"",IF(SUMPRODUCT((Aus_Tec=$I15)*(Aus_Ini&lt;=Z$1)*(Aus_Fim&gt;=Z$1)*(Aus_Cod&gt;0))&gt;1,"!",IFERROR(INDEX(Aus_Siglas,SUMPRODUCT((Aus_Tec=$I15)*(Aus_Ini&lt;=Z$1)*(Aus_Fim&gt;=Z$1)*Aus_Cod)),"!"))))</f>
        <v/>
      </c>
      <c r="AA15" s="44">
        <f>IF(OR($I15="",AA$1=""),"",IF(SUMPRODUCT((Aus_Tec=$I15)*(Aus_Ini&lt;=AA$1)*(Aus_Fim&gt;=AA$1)*(Aus_Cod&gt;0))=0,"",IF(SUMPRODUCT((Aus_Tec=$I15)*(Aus_Ini&lt;=AA$1)*(Aus_Fim&gt;=AA$1)*(Aus_Cod&gt;0))&gt;1,"!",IFERROR(INDEX(Aus_Siglas,SUMPRODUCT((Aus_Tec=$I15)*(Aus_Ini&lt;=AA$1)*(Aus_Fim&gt;=AA$1)*Aus_Cod)),"!"))))</f>
        <v/>
      </c>
      <c r="AB15" s="44">
        <f>IF(OR($I15="",AB$1=""),"",IF(SUMPRODUCT((Aus_Tec=$I15)*(Aus_Ini&lt;=AB$1)*(Aus_Fim&gt;=AB$1)*(Aus_Cod&gt;0))=0,"",IF(SUMPRODUCT((Aus_Tec=$I15)*(Aus_Ini&lt;=AB$1)*(Aus_Fim&gt;=AB$1)*(Aus_Cod&gt;0))&gt;1,"!",IFERROR(INDEX(Aus_Siglas,SUMPRODUCT((Aus_Tec=$I15)*(Aus_Ini&lt;=AB$1)*(Aus_Fim&gt;=AB$1)*Aus_Cod)),"!"))))</f>
        <v/>
      </c>
      <c r="AC15" s="44">
        <f>IF(OR($I15="",AC$1=""),"",IF(SUMPRODUCT((Aus_Tec=$I15)*(Aus_Ini&lt;=AC$1)*(Aus_Fim&gt;=AC$1)*(Aus_Cod&gt;0))=0,"",IF(SUMPRODUCT((Aus_Tec=$I15)*(Aus_Ini&lt;=AC$1)*(Aus_Fim&gt;=AC$1)*(Aus_Cod&gt;0))&gt;1,"!",IFERROR(INDEX(Aus_Siglas,SUMPRODUCT((Aus_Tec=$I15)*(Aus_Ini&lt;=AC$1)*(Aus_Fim&gt;=AC$1)*Aus_Cod)),"!"))))</f>
        <v/>
      </c>
      <c r="AD15" s="44">
        <f>IF(OR($I15="",AD$1=""),"",IF(SUMPRODUCT((Aus_Tec=$I15)*(Aus_Ini&lt;=AD$1)*(Aus_Fim&gt;=AD$1)*(Aus_Cod&gt;0))=0,"",IF(SUMPRODUCT((Aus_Tec=$I15)*(Aus_Ini&lt;=AD$1)*(Aus_Fim&gt;=AD$1)*(Aus_Cod&gt;0))&gt;1,"!",IFERROR(INDEX(Aus_Siglas,SUMPRODUCT((Aus_Tec=$I15)*(Aus_Ini&lt;=AD$1)*(Aus_Fim&gt;=AD$1)*Aus_Cod)),"!"))))</f>
        <v/>
      </c>
      <c r="AE15" s="44">
        <f>IF(OR($I15="",AE$1=""),"",IF(SUMPRODUCT((Aus_Tec=$I15)*(Aus_Ini&lt;=AE$1)*(Aus_Fim&gt;=AE$1)*(Aus_Cod&gt;0))=0,"",IF(SUMPRODUCT((Aus_Tec=$I15)*(Aus_Ini&lt;=AE$1)*(Aus_Fim&gt;=AE$1)*(Aus_Cod&gt;0))&gt;1,"!",IFERROR(INDEX(Aus_Siglas,SUMPRODUCT((Aus_Tec=$I15)*(Aus_Ini&lt;=AE$1)*(Aus_Fim&gt;=AE$1)*Aus_Cod)),"!"))))</f>
        <v/>
      </c>
      <c r="AF15" s="44">
        <f>IF(OR($I15="",AF$1=""),"",IF(SUMPRODUCT((Aus_Tec=$I15)*(Aus_Ini&lt;=AF$1)*(Aus_Fim&gt;=AF$1)*(Aus_Cod&gt;0))=0,"",IF(SUMPRODUCT((Aus_Tec=$I15)*(Aus_Ini&lt;=AF$1)*(Aus_Fim&gt;=AF$1)*(Aus_Cod&gt;0))&gt;1,"!",IFERROR(INDEX(Aus_Siglas,SUMPRODUCT((Aus_Tec=$I15)*(Aus_Ini&lt;=AF$1)*(Aus_Fim&gt;=AF$1)*Aus_Cod)),"!"))))</f>
        <v/>
      </c>
      <c r="AG15" s="44">
        <f>IF(OR($I15="",AG$1=""),"",IF(SUMPRODUCT((Aus_Tec=$I15)*(Aus_Ini&lt;=AG$1)*(Aus_Fim&gt;=AG$1)*(Aus_Cod&gt;0))=0,"",IF(SUMPRODUCT((Aus_Tec=$I15)*(Aus_Ini&lt;=AG$1)*(Aus_Fim&gt;=AG$1)*(Aus_Cod&gt;0))&gt;1,"!",IFERROR(INDEX(Aus_Siglas,SUMPRODUCT((Aus_Tec=$I15)*(Aus_Ini&lt;=AG$1)*(Aus_Fim&gt;=AG$1)*Aus_Cod)),"!"))))</f>
        <v/>
      </c>
      <c r="AH15" s="44">
        <f>IF(OR($I15="",AH$1=""),"",IF(SUMPRODUCT((Aus_Tec=$I15)*(Aus_Ini&lt;=AH$1)*(Aus_Fim&gt;=AH$1)*(Aus_Cod&gt;0))=0,"",IF(SUMPRODUCT((Aus_Tec=$I15)*(Aus_Ini&lt;=AH$1)*(Aus_Fim&gt;=AH$1)*(Aus_Cod&gt;0))&gt;1,"!",IFERROR(INDEX(Aus_Siglas,SUMPRODUCT((Aus_Tec=$I15)*(Aus_Ini&lt;=AH$1)*(Aus_Fim&gt;=AH$1)*Aus_Cod)),"!"))))</f>
        <v/>
      </c>
      <c r="AI15" s="44">
        <f>IF(OR($I15="",AI$1=""),"",IF(SUMPRODUCT((Aus_Tec=$I15)*(Aus_Ini&lt;=AI$1)*(Aus_Fim&gt;=AI$1)*(Aus_Cod&gt;0))=0,"",IF(SUMPRODUCT((Aus_Tec=$I15)*(Aus_Ini&lt;=AI$1)*(Aus_Fim&gt;=AI$1)*(Aus_Cod&gt;0))&gt;1,"!",IFERROR(INDEX(Aus_Siglas,SUMPRODUCT((Aus_Tec=$I15)*(Aus_Ini&lt;=AI$1)*(Aus_Fim&gt;=AI$1)*Aus_Cod)),"!"))))</f>
        <v/>
      </c>
      <c r="AJ15" s="44">
        <f>IF(OR($I15="",AJ$1=""),"",IF(SUMPRODUCT((Aus_Tec=$I15)*(Aus_Ini&lt;=AJ$1)*(Aus_Fim&gt;=AJ$1)*(Aus_Cod&gt;0))=0,"",IF(SUMPRODUCT((Aus_Tec=$I15)*(Aus_Ini&lt;=AJ$1)*(Aus_Fim&gt;=AJ$1)*(Aus_Cod&gt;0))&gt;1,"!",IFERROR(INDEX(Aus_Siglas,SUMPRODUCT((Aus_Tec=$I15)*(Aus_Ini&lt;=AJ$1)*(Aus_Fim&gt;=AJ$1)*Aus_Cod)),"!"))))</f>
        <v/>
      </c>
      <c r="AK15" s="44">
        <f>IF(OR($I15="",AK$1=""),"",IF(SUMPRODUCT((Aus_Tec=$I15)*(Aus_Ini&lt;=AK$1)*(Aus_Fim&gt;=AK$1)*(Aus_Cod&gt;0))=0,"",IF(SUMPRODUCT((Aus_Tec=$I15)*(Aus_Ini&lt;=AK$1)*(Aus_Fim&gt;=AK$1)*(Aus_Cod&gt;0))&gt;1,"!",IFERROR(INDEX(Aus_Siglas,SUMPRODUCT((Aus_Tec=$I15)*(Aus_Ini&lt;=AK$1)*(Aus_Fim&gt;=AK$1)*Aus_Cod)),"!"))))</f>
        <v/>
      </c>
      <c r="AL15" s="44">
        <f>IF(OR($I15="",AL$1=""),"",IF(SUMPRODUCT((Aus_Tec=$I15)*(Aus_Ini&lt;=AL$1)*(Aus_Fim&gt;=AL$1)*(Aus_Cod&gt;0))=0,"",IF(SUMPRODUCT((Aus_Tec=$I15)*(Aus_Ini&lt;=AL$1)*(Aus_Fim&gt;=AL$1)*(Aus_Cod&gt;0))&gt;1,"!",IFERROR(INDEX(Aus_Siglas,SUMPRODUCT((Aus_Tec=$I15)*(Aus_Ini&lt;=AL$1)*(Aus_Fim&gt;=AL$1)*Aus_Cod)),"!"))))</f>
        <v/>
      </c>
      <c r="AM15" s="44">
        <f>IF(OR($I15="",AM$1=""),"",IF(SUMPRODUCT((Aus_Tec=$I15)*(Aus_Ini&lt;=AM$1)*(Aus_Fim&gt;=AM$1)*(Aus_Cod&gt;0))=0,"",IF(SUMPRODUCT((Aus_Tec=$I15)*(Aus_Ini&lt;=AM$1)*(Aus_Fim&gt;=AM$1)*(Aus_Cod&gt;0))&gt;1,"!",IFERROR(INDEX(Aus_Siglas,SUMPRODUCT((Aus_Tec=$I15)*(Aus_Ini&lt;=AM$1)*(Aus_Fim&gt;=AM$1)*Aus_Cod)),"!"))))</f>
        <v/>
      </c>
      <c r="AN15" s="44">
        <f>IF(OR($I15="",AN$1=""),"",IF(SUMPRODUCT((Aus_Tec=$I15)*(Aus_Ini&lt;=AN$1)*(Aus_Fim&gt;=AN$1)*(Aus_Cod&gt;0))=0,"",IF(SUMPRODUCT((Aus_Tec=$I15)*(Aus_Ini&lt;=AN$1)*(Aus_Fim&gt;=AN$1)*(Aus_Cod&gt;0))&gt;1,"!",IFERROR(INDEX(Aus_Siglas,SUMPRODUCT((Aus_Tec=$I15)*(Aus_Ini&lt;=AN$1)*(Aus_Fim&gt;=AN$1)*Aus_Cod)),"!"))))</f>
        <v/>
      </c>
    </row>
    <row r="16">
      <c r="A16" s="33" t="n"/>
      <c r="B16" s="31" t="n"/>
      <c r="C16" s="30" t="n"/>
      <c r="D16" s="30" t="n"/>
      <c r="E16" s="20">
        <f>IF(OR($A16="",NOT(ISNUMBER($C16)),NOT(ISNUMBER($D16))),"",$D16-$C16+1)</f>
        <v/>
      </c>
      <c r="F16" s="33" t="n"/>
      <c r="G16" s="35">
        <f>IF(AND($A16&lt;&gt;"",ISNUMBER($C16),ISNUMBER($D16),$C16&lt;=Data_Mapa,$D16&gt;=Data_Mapa),$A16,"")</f>
        <v/>
      </c>
      <c r="H16" s="35">
        <f>IF($A16="",0,IFERROR(MATCH($B16,Aus_Tipos,0),0))</f>
        <v/>
      </c>
      <c r="I16" s="43">
        <f>IF('Equipe'!$B$15="","",'Equipe'!$B$15)</f>
        <v/>
      </c>
      <c r="J16" s="44">
        <f>IF(OR($I16="",J$1=""),"",IF(SUMPRODUCT((Aus_Tec=$I16)*(Aus_Ini&lt;=J$1)*(Aus_Fim&gt;=J$1)*(Aus_Cod&gt;0))=0,"",IF(SUMPRODUCT((Aus_Tec=$I16)*(Aus_Ini&lt;=J$1)*(Aus_Fim&gt;=J$1)*(Aus_Cod&gt;0))&gt;1,"!",IFERROR(INDEX(Aus_Siglas,SUMPRODUCT((Aus_Tec=$I16)*(Aus_Ini&lt;=J$1)*(Aus_Fim&gt;=J$1)*Aus_Cod)),"!"))))</f>
        <v/>
      </c>
      <c r="K16" s="44">
        <f>IF(OR($I16="",K$1=""),"",IF(SUMPRODUCT((Aus_Tec=$I16)*(Aus_Ini&lt;=K$1)*(Aus_Fim&gt;=K$1)*(Aus_Cod&gt;0))=0,"",IF(SUMPRODUCT((Aus_Tec=$I16)*(Aus_Ini&lt;=K$1)*(Aus_Fim&gt;=K$1)*(Aus_Cod&gt;0))&gt;1,"!",IFERROR(INDEX(Aus_Siglas,SUMPRODUCT((Aus_Tec=$I16)*(Aus_Ini&lt;=K$1)*(Aus_Fim&gt;=K$1)*Aus_Cod)),"!"))))</f>
        <v/>
      </c>
      <c r="L16" s="44">
        <f>IF(OR($I16="",L$1=""),"",IF(SUMPRODUCT((Aus_Tec=$I16)*(Aus_Ini&lt;=L$1)*(Aus_Fim&gt;=L$1)*(Aus_Cod&gt;0))=0,"",IF(SUMPRODUCT((Aus_Tec=$I16)*(Aus_Ini&lt;=L$1)*(Aus_Fim&gt;=L$1)*(Aus_Cod&gt;0))&gt;1,"!",IFERROR(INDEX(Aus_Siglas,SUMPRODUCT((Aus_Tec=$I16)*(Aus_Ini&lt;=L$1)*(Aus_Fim&gt;=L$1)*Aus_Cod)),"!"))))</f>
        <v/>
      </c>
      <c r="M16" s="44">
        <f>IF(OR($I16="",M$1=""),"",IF(SUMPRODUCT((Aus_Tec=$I16)*(Aus_Ini&lt;=M$1)*(Aus_Fim&gt;=M$1)*(Aus_Cod&gt;0))=0,"",IF(SUMPRODUCT((Aus_Tec=$I16)*(Aus_Ini&lt;=M$1)*(Aus_Fim&gt;=M$1)*(Aus_Cod&gt;0))&gt;1,"!",IFERROR(INDEX(Aus_Siglas,SUMPRODUCT((Aus_Tec=$I16)*(Aus_Ini&lt;=M$1)*(Aus_Fim&gt;=M$1)*Aus_Cod)),"!"))))</f>
        <v/>
      </c>
      <c r="N16" s="44">
        <f>IF(OR($I16="",N$1=""),"",IF(SUMPRODUCT((Aus_Tec=$I16)*(Aus_Ini&lt;=N$1)*(Aus_Fim&gt;=N$1)*(Aus_Cod&gt;0))=0,"",IF(SUMPRODUCT((Aus_Tec=$I16)*(Aus_Ini&lt;=N$1)*(Aus_Fim&gt;=N$1)*(Aus_Cod&gt;0))&gt;1,"!",IFERROR(INDEX(Aus_Siglas,SUMPRODUCT((Aus_Tec=$I16)*(Aus_Ini&lt;=N$1)*(Aus_Fim&gt;=N$1)*Aus_Cod)),"!"))))</f>
        <v/>
      </c>
      <c r="O16" s="44">
        <f>IF(OR($I16="",O$1=""),"",IF(SUMPRODUCT((Aus_Tec=$I16)*(Aus_Ini&lt;=O$1)*(Aus_Fim&gt;=O$1)*(Aus_Cod&gt;0))=0,"",IF(SUMPRODUCT((Aus_Tec=$I16)*(Aus_Ini&lt;=O$1)*(Aus_Fim&gt;=O$1)*(Aus_Cod&gt;0))&gt;1,"!",IFERROR(INDEX(Aus_Siglas,SUMPRODUCT((Aus_Tec=$I16)*(Aus_Ini&lt;=O$1)*(Aus_Fim&gt;=O$1)*Aus_Cod)),"!"))))</f>
        <v/>
      </c>
      <c r="P16" s="44">
        <f>IF(OR($I16="",P$1=""),"",IF(SUMPRODUCT((Aus_Tec=$I16)*(Aus_Ini&lt;=P$1)*(Aus_Fim&gt;=P$1)*(Aus_Cod&gt;0))=0,"",IF(SUMPRODUCT((Aus_Tec=$I16)*(Aus_Ini&lt;=P$1)*(Aus_Fim&gt;=P$1)*(Aus_Cod&gt;0))&gt;1,"!",IFERROR(INDEX(Aus_Siglas,SUMPRODUCT((Aus_Tec=$I16)*(Aus_Ini&lt;=P$1)*(Aus_Fim&gt;=P$1)*Aus_Cod)),"!"))))</f>
        <v/>
      </c>
      <c r="Q16" s="44">
        <f>IF(OR($I16="",Q$1=""),"",IF(SUMPRODUCT((Aus_Tec=$I16)*(Aus_Ini&lt;=Q$1)*(Aus_Fim&gt;=Q$1)*(Aus_Cod&gt;0))=0,"",IF(SUMPRODUCT((Aus_Tec=$I16)*(Aus_Ini&lt;=Q$1)*(Aus_Fim&gt;=Q$1)*(Aus_Cod&gt;0))&gt;1,"!",IFERROR(INDEX(Aus_Siglas,SUMPRODUCT((Aus_Tec=$I16)*(Aus_Ini&lt;=Q$1)*(Aus_Fim&gt;=Q$1)*Aus_Cod)),"!"))))</f>
        <v/>
      </c>
      <c r="R16" s="44">
        <f>IF(OR($I16="",R$1=""),"",IF(SUMPRODUCT((Aus_Tec=$I16)*(Aus_Ini&lt;=R$1)*(Aus_Fim&gt;=R$1)*(Aus_Cod&gt;0))=0,"",IF(SUMPRODUCT((Aus_Tec=$I16)*(Aus_Ini&lt;=R$1)*(Aus_Fim&gt;=R$1)*(Aus_Cod&gt;0))&gt;1,"!",IFERROR(INDEX(Aus_Siglas,SUMPRODUCT((Aus_Tec=$I16)*(Aus_Ini&lt;=R$1)*(Aus_Fim&gt;=R$1)*Aus_Cod)),"!"))))</f>
        <v/>
      </c>
      <c r="S16" s="44">
        <f>IF(OR($I16="",S$1=""),"",IF(SUMPRODUCT((Aus_Tec=$I16)*(Aus_Ini&lt;=S$1)*(Aus_Fim&gt;=S$1)*(Aus_Cod&gt;0))=0,"",IF(SUMPRODUCT((Aus_Tec=$I16)*(Aus_Ini&lt;=S$1)*(Aus_Fim&gt;=S$1)*(Aus_Cod&gt;0))&gt;1,"!",IFERROR(INDEX(Aus_Siglas,SUMPRODUCT((Aus_Tec=$I16)*(Aus_Ini&lt;=S$1)*(Aus_Fim&gt;=S$1)*Aus_Cod)),"!"))))</f>
        <v/>
      </c>
      <c r="T16" s="44">
        <f>IF(OR($I16="",T$1=""),"",IF(SUMPRODUCT((Aus_Tec=$I16)*(Aus_Ini&lt;=T$1)*(Aus_Fim&gt;=T$1)*(Aus_Cod&gt;0))=0,"",IF(SUMPRODUCT((Aus_Tec=$I16)*(Aus_Ini&lt;=T$1)*(Aus_Fim&gt;=T$1)*(Aus_Cod&gt;0))&gt;1,"!",IFERROR(INDEX(Aus_Siglas,SUMPRODUCT((Aus_Tec=$I16)*(Aus_Ini&lt;=T$1)*(Aus_Fim&gt;=T$1)*Aus_Cod)),"!"))))</f>
        <v/>
      </c>
      <c r="U16" s="44">
        <f>IF(OR($I16="",U$1=""),"",IF(SUMPRODUCT((Aus_Tec=$I16)*(Aus_Ini&lt;=U$1)*(Aus_Fim&gt;=U$1)*(Aus_Cod&gt;0))=0,"",IF(SUMPRODUCT((Aus_Tec=$I16)*(Aus_Ini&lt;=U$1)*(Aus_Fim&gt;=U$1)*(Aus_Cod&gt;0))&gt;1,"!",IFERROR(INDEX(Aus_Siglas,SUMPRODUCT((Aus_Tec=$I16)*(Aus_Ini&lt;=U$1)*(Aus_Fim&gt;=U$1)*Aus_Cod)),"!"))))</f>
        <v/>
      </c>
      <c r="V16" s="44">
        <f>IF(OR($I16="",V$1=""),"",IF(SUMPRODUCT((Aus_Tec=$I16)*(Aus_Ini&lt;=V$1)*(Aus_Fim&gt;=V$1)*(Aus_Cod&gt;0))=0,"",IF(SUMPRODUCT((Aus_Tec=$I16)*(Aus_Ini&lt;=V$1)*(Aus_Fim&gt;=V$1)*(Aus_Cod&gt;0))&gt;1,"!",IFERROR(INDEX(Aus_Siglas,SUMPRODUCT((Aus_Tec=$I16)*(Aus_Ini&lt;=V$1)*(Aus_Fim&gt;=V$1)*Aus_Cod)),"!"))))</f>
        <v/>
      </c>
      <c r="W16" s="44">
        <f>IF(OR($I16="",W$1=""),"",IF(SUMPRODUCT((Aus_Tec=$I16)*(Aus_Ini&lt;=W$1)*(Aus_Fim&gt;=W$1)*(Aus_Cod&gt;0))=0,"",IF(SUMPRODUCT((Aus_Tec=$I16)*(Aus_Ini&lt;=W$1)*(Aus_Fim&gt;=W$1)*(Aus_Cod&gt;0))&gt;1,"!",IFERROR(INDEX(Aus_Siglas,SUMPRODUCT((Aus_Tec=$I16)*(Aus_Ini&lt;=W$1)*(Aus_Fim&gt;=W$1)*Aus_Cod)),"!"))))</f>
        <v/>
      </c>
      <c r="X16" s="44">
        <f>IF(OR($I16="",X$1=""),"",IF(SUMPRODUCT((Aus_Tec=$I16)*(Aus_Ini&lt;=X$1)*(Aus_Fim&gt;=X$1)*(Aus_Cod&gt;0))=0,"",IF(SUMPRODUCT((Aus_Tec=$I16)*(Aus_Ini&lt;=X$1)*(Aus_Fim&gt;=X$1)*(Aus_Cod&gt;0))&gt;1,"!",IFERROR(INDEX(Aus_Siglas,SUMPRODUCT((Aus_Tec=$I16)*(Aus_Ini&lt;=X$1)*(Aus_Fim&gt;=X$1)*Aus_Cod)),"!"))))</f>
        <v/>
      </c>
      <c r="Y16" s="44">
        <f>IF(OR($I16="",Y$1=""),"",IF(SUMPRODUCT((Aus_Tec=$I16)*(Aus_Ini&lt;=Y$1)*(Aus_Fim&gt;=Y$1)*(Aus_Cod&gt;0))=0,"",IF(SUMPRODUCT((Aus_Tec=$I16)*(Aus_Ini&lt;=Y$1)*(Aus_Fim&gt;=Y$1)*(Aus_Cod&gt;0))&gt;1,"!",IFERROR(INDEX(Aus_Siglas,SUMPRODUCT((Aus_Tec=$I16)*(Aus_Ini&lt;=Y$1)*(Aus_Fim&gt;=Y$1)*Aus_Cod)),"!"))))</f>
        <v/>
      </c>
      <c r="Z16" s="44">
        <f>IF(OR($I16="",Z$1=""),"",IF(SUMPRODUCT((Aus_Tec=$I16)*(Aus_Ini&lt;=Z$1)*(Aus_Fim&gt;=Z$1)*(Aus_Cod&gt;0))=0,"",IF(SUMPRODUCT((Aus_Tec=$I16)*(Aus_Ini&lt;=Z$1)*(Aus_Fim&gt;=Z$1)*(Aus_Cod&gt;0))&gt;1,"!",IFERROR(INDEX(Aus_Siglas,SUMPRODUCT((Aus_Tec=$I16)*(Aus_Ini&lt;=Z$1)*(Aus_Fim&gt;=Z$1)*Aus_Cod)),"!"))))</f>
        <v/>
      </c>
      <c r="AA16" s="44">
        <f>IF(OR($I16="",AA$1=""),"",IF(SUMPRODUCT((Aus_Tec=$I16)*(Aus_Ini&lt;=AA$1)*(Aus_Fim&gt;=AA$1)*(Aus_Cod&gt;0))=0,"",IF(SUMPRODUCT((Aus_Tec=$I16)*(Aus_Ini&lt;=AA$1)*(Aus_Fim&gt;=AA$1)*(Aus_Cod&gt;0))&gt;1,"!",IFERROR(INDEX(Aus_Siglas,SUMPRODUCT((Aus_Tec=$I16)*(Aus_Ini&lt;=AA$1)*(Aus_Fim&gt;=AA$1)*Aus_Cod)),"!"))))</f>
        <v/>
      </c>
      <c r="AB16" s="44">
        <f>IF(OR($I16="",AB$1=""),"",IF(SUMPRODUCT((Aus_Tec=$I16)*(Aus_Ini&lt;=AB$1)*(Aus_Fim&gt;=AB$1)*(Aus_Cod&gt;0))=0,"",IF(SUMPRODUCT((Aus_Tec=$I16)*(Aus_Ini&lt;=AB$1)*(Aus_Fim&gt;=AB$1)*(Aus_Cod&gt;0))&gt;1,"!",IFERROR(INDEX(Aus_Siglas,SUMPRODUCT((Aus_Tec=$I16)*(Aus_Ini&lt;=AB$1)*(Aus_Fim&gt;=AB$1)*Aus_Cod)),"!"))))</f>
        <v/>
      </c>
      <c r="AC16" s="44">
        <f>IF(OR($I16="",AC$1=""),"",IF(SUMPRODUCT((Aus_Tec=$I16)*(Aus_Ini&lt;=AC$1)*(Aus_Fim&gt;=AC$1)*(Aus_Cod&gt;0))=0,"",IF(SUMPRODUCT((Aus_Tec=$I16)*(Aus_Ini&lt;=AC$1)*(Aus_Fim&gt;=AC$1)*(Aus_Cod&gt;0))&gt;1,"!",IFERROR(INDEX(Aus_Siglas,SUMPRODUCT((Aus_Tec=$I16)*(Aus_Ini&lt;=AC$1)*(Aus_Fim&gt;=AC$1)*Aus_Cod)),"!"))))</f>
        <v/>
      </c>
      <c r="AD16" s="44">
        <f>IF(OR($I16="",AD$1=""),"",IF(SUMPRODUCT((Aus_Tec=$I16)*(Aus_Ini&lt;=AD$1)*(Aus_Fim&gt;=AD$1)*(Aus_Cod&gt;0))=0,"",IF(SUMPRODUCT((Aus_Tec=$I16)*(Aus_Ini&lt;=AD$1)*(Aus_Fim&gt;=AD$1)*(Aus_Cod&gt;0))&gt;1,"!",IFERROR(INDEX(Aus_Siglas,SUMPRODUCT((Aus_Tec=$I16)*(Aus_Ini&lt;=AD$1)*(Aus_Fim&gt;=AD$1)*Aus_Cod)),"!"))))</f>
        <v/>
      </c>
      <c r="AE16" s="44">
        <f>IF(OR($I16="",AE$1=""),"",IF(SUMPRODUCT((Aus_Tec=$I16)*(Aus_Ini&lt;=AE$1)*(Aus_Fim&gt;=AE$1)*(Aus_Cod&gt;0))=0,"",IF(SUMPRODUCT((Aus_Tec=$I16)*(Aus_Ini&lt;=AE$1)*(Aus_Fim&gt;=AE$1)*(Aus_Cod&gt;0))&gt;1,"!",IFERROR(INDEX(Aus_Siglas,SUMPRODUCT((Aus_Tec=$I16)*(Aus_Ini&lt;=AE$1)*(Aus_Fim&gt;=AE$1)*Aus_Cod)),"!"))))</f>
        <v/>
      </c>
      <c r="AF16" s="44">
        <f>IF(OR($I16="",AF$1=""),"",IF(SUMPRODUCT((Aus_Tec=$I16)*(Aus_Ini&lt;=AF$1)*(Aus_Fim&gt;=AF$1)*(Aus_Cod&gt;0))=0,"",IF(SUMPRODUCT((Aus_Tec=$I16)*(Aus_Ini&lt;=AF$1)*(Aus_Fim&gt;=AF$1)*(Aus_Cod&gt;0))&gt;1,"!",IFERROR(INDEX(Aus_Siglas,SUMPRODUCT((Aus_Tec=$I16)*(Aus_Ini&lt;=AF$1)*(Aus_Fim&gt;=AF$1)*Aus_Cod)),"!"))))</f>
        <v/>
      </c>
      <c r="AG16" s="44">
        <f>IF(OR($I16="",AG$1=""),"",IF(SUMPRODUCT((Aus_Tec=$I16)*(Aus_Ini&lt;=AG$1)*(Aus_Fim&gt;=AG$1)*(Aus_Cod&gt;0))=0,"",IF(SUMPRODUCT((Aus_Tec=$I16)*(Aus_Ini&lt;=AG$1)*(Aus_Fim&gt;=AG$1)*(Aus_Cod&gt;0))&gt;1,"!",IFERROR(INDEX(Aus_Siglas,SUMPRODUCT((Aus_Tec=$I16)*(Aus_Ini&lt;=AG$1)*(Aus_Fim&gt;=AG$1)*Aus_Cod)),"!"))))</f>
        <v/>
      </c>
      <c r="AH16" s="44">
        <f>IF(OR($I16="",AH$1=""),"",IF(SUMPRODUCT((Aus_Tec=$I16)*(Aus_Ini&lt;=AH$1)*(Aus_Fim&gt;=AH$1)*(Aus_Cod&gt;0))=0,"",IF(SUMPRODUCT((Aus_Tec=$I16)*(Aus_Ini&lt;=AH$1)*(Aus_Fim&gt;=AH$1)*(Aus_Cod&gt;0))&gt;1,"!",IFERROR(INDEX(Aus_Siglas,SUMPRODUCT((Aus_Tec=$I16)*(Aus_Ini&lt;=AH$1)*(Aus_Fim&gt;=AH$1)*Aus_Cod)),"!"))))</f>
        <v/>
      </c>
      <c r="AI16" s="44">
        <f>IF(OR($I16="",AI$1=""),"",IF(SUMPRODUCT((Aus_Tec=$I16)*(Aus_Ini&lt;=AI$1)*(Aus_Fim&gt;=AI$1)*(Aus_Cod&gt;0))=0,"",IF(SUMPRODUCT((Aus_Tec=$I16)*(Aus_Ini&lt;=AI$1)*(Aus_Fim&gt;=AI$1)*(Aus_Cod&gt;0))&gt;1,"!",IFERROR(INDEX(Aus_Siglas,SUMPRODUCT((Aus_Tec=$I16)*(Aus_Ini&lt;=AI$1)*(Aus_Fim&gt;=AI$1)*Aus_Cod)),"!"))))</f>
        <v/>
      </c>
      <c r="AJ16" s="44">
        <f>IF(OR($I16="",AJ$1=""),"",IF(SUMPRODUCT((Aus_Tec=$I16)*(Aus_Ini&lt;=AJ$1)*(Aus_Fim&gt;=AJ$1)*(Aus_Cod&gt;0))=0,"",IF(SUMPRODUCT((Aus_Tec=$I16)*(Aus_Ini&lt;=AJ$1)*(Aus_Fim&gt;=AJ$1)*(Aus_Cod&gt;0))&gt;1,"!",IFERROR(INDEX(Aus_Siglas,SUMPRODUCT((Aus_Tec=$I16)*(Aus_Ini&lt;=AJ$1)*(Aus_Fim&gt;=AJ$1)*Aus_Cod)),"!"))))</f>
        <v/>
      </c>
      <c r="AK16" s="44">
        <f>IF(OR($I16="",AK$1=""),"",IF(SUMPRODUCT((Aus_Tec=$I16)*(Aus_Ini&lt;=AK$1)*(Aus_Fim&gt;=AK$1)*(Aus_Cod&gt;0))=0,"",IF(SUMPRODUCT((Aus_Tec=$I16)*(Aus_Ini&lt;=AK$1)*(Aus_Fim&gt;=AK$1)*(Aus_Cod&gt;0))&gt;1,"!",IFERROR(INDEX(Aus_Siglas,SUMPRODUCT((Aus_Tec=$I16)*(Aus_Ini&lt;=AK$1)*(Aus_Fim&gt;=AK$1)*Aus_Cod)),"!"))))</f>
        <v/>
      </c>
      <c r="AL16" s="44">
        <f>IF(OR($I16="",AL$1=""),"",IF(SUMPRODUCT((Aus_Tec=$I16)*(Aus_Ini&lt;=AL$1)*(Aus_Fim&gt;=AL$1)*(Aus_Cod&gt;0))=0,"",IF(SUMPRODUCT((Aus_Tec=$I16)*(Aus_Ini&lt;=AL$1)*(Aus_Fim&gt;=AL$1)*(Aus_Cod&gt;0))&gt;1,"!",IFERROR(INDEX(Aus_Siglas,SUMPRODUCT((Aus_Tec=$I16)*(Aus_Ini&lt;=AL$1)*(Aus_Fim&gt;=AL$1)*Aus_Cod)),"!"))))</f>
        <v/>
      </c>
      <c r="AM16" s="44">
        <f>IF(OR($I16="",AM$1=""),"",IF(SUMPRODUCT((Aus_Tec=$I16)*(Aus_Ini&lt;=AM$1)*(Aus_Fim&gt;=AM$1)*(Aus_Cod&gt;0))=0,"",IF(SUMPRODUCT((Aus_Tec=$I16)*(Aus_Ini&lt;=AM$1)*(Aus_Fim&gt;=AM$1)*(Aus_Cod&gt;0))&gt;1,"!",IFERROR(INDEX(Aus_Siglas,SUMPRODUCT((Aus_Tec=$I16)*(Aus_Ini&lt;=AM$1)*(Aus_Fim&gt;=AM$1)*Aus_Cod)),"!"))))</f>
        <v/>
      </c>
      <c r="AN16" s="44">
        <f>IF(OR($I16="",AN$1=""),"",IF(SUMPRODUCT((Aus_Tec=$I16)*(Aus_Ini&lt;=AN$1)*(Aus_Fim&gt;=AN$1)*(Aus_Cod&gt;0))=0,"",IF(SUMPRODUCT((Aus_Tec=$I16)*(Aus_Ini&lt;=AN$1)*(Aus_Fim&gt;=AN$1)*(Aus_Cod&gt;0))&gt;1,"!",IFERROR(INDEX(Aus_Siglas,SUMPRODUCT((Aus_Tec=$I16)*(Aus_Ini&lt;=AN$1)*(Aus_Fim&gt;=AN$1)*Aus_Cod)),"!"))))</f>
        <v/>
      </c>
    </row>
    <row r="17">
      <c r="A17" s="33" t="n"/>
      <c r="B17" s="31" t="n"/>
      <c r="C17" s="30" t="n"/>
      <c r="D17" s="30" t="n"/>
      <c r="E17" s="20">
        <f>IF(OR($A17="",NOT(ISNUMBER($C17)),NOT(ISNUMBER($D17))),"",$D17-$C17+1)</f>
        <v/>
      </c>
      <c r="F17" s="33" t="n"/>
      <c r="G17" s="35">
        <f>IF(AND($A17&lt;&gt;"",ISNUMBER($C17),ISNUMBER($D17),$C17&lt;=Data_Mapa,$D17&gt;=Data_Mapa),$A17,"")</f>
        <v/>
      </c>
      <c r="H17" s="35">
        <f>IF($A17="",0,IFERROR(MATCH($B17,Aus_Tipos,0),0))</f>
        <v/>
      </c>
      <c r="I17" s="43">
        <f>IF('Equipe'!$B$16="","",'Equipe'!$B$16)</f>
        <v/>
      </c>
      <c r="J17" s="44">
        <f>IF(OR($I17="",J$1=""),"",IF(SUMPRODUCT((Aus_Tec=$I17)*(Aus_Ini&lt;=J$1)*(Aus_Fim&gt;=J$1)*(Aus_Cod&gt;0))=0,"",IF(SUMPRODUCT((Aus_Tec=$I17)*(Aus_Ini&lt;=J$1)*(Aus_Fim&gt;=J$1)*(Aus_Cod&gt;0))&gt;1,"!",IFERROR(INDEX(Aus_Siglas,SUMPRODUCT((Aus_Tec=$I17)*(Aus_Ini&lt;=J$1)*(Aus_Fim&gt;=J$1)*Aus_Cod)),"!"))))</f>
        <v/>
      </c>
      <c r="K17" s="44">
        <f>IF(OR($I17="",K$1=""),"",IF(SUMPRODUCT((Aus_Tec=$I17)*(Aus_Ini&lt;=K$1)*(Aus_Fim&gt;=K$1)*(Aus_Cod&gt;0))=0,"",IF(SUMPRODUCT((Aus_Tec=$I17)*(Aus_Ini&lt;=K$1)*(Aus_Fim&gt;=K$1)*(Aus_Cod&gt;0))&gt;1,"!",IFERROR(INDEX(Aus_Siglas,SUMPRODUCT((Aus_Tec=$I17)*(Aus_Ini&lt;=K$1)*(Aus_Fim&gt;=K$1)*Aus_Cod)),"!"))))</f>
        <v/>
      </c>
      <c r="L17" s="44">
        <f>IF(OR($I17="",L$1=""),"",IF(SUMPRODUCT((Aus_Tec=$I17)*(Aus_Ini&lt;=L$1)*(Aus_Fim&gt;=L$1)*(Aus_Cod&gt;0))=0,"",IF(SUMPRODUCT((Aus_Tec=$I17)*(Aus_Ini&lt;=L$1)*(Aus_Fim&gt;=L$1)*(Aus_Cod&gt;0))&gt;1,"!",IFERROR(INDEX(Aus_Siglas,SUMPRODUCT((Aus_Tec=$I17)*(Aus_Ini&lt;=L$1)*(Aus_Fim&gt;=L$1)*Aus_Cod)),"!"))))</f>
        <v/>
      </c>
      <c r="M17" s="44">
        <f>IF(OR($I17="",M$1=""),"",IF(SUMPRODUCT((Aus_Tec=$I17)*(Aus_Ini&lt;=M$1)*(Aus_Fim&gt;=M$1)*(Aus_Cod&gt;0))=0,"",IF(SUMPRODUCT((Aus_Tec=$I17)*(Aus_Ini&lt;=M$1)*(Aus_Fim&gt;=M$1)*(Aus_Cod&gt;0))&gt;1,"!",IFERROR(INDEX(Aus_Siglas,SUMPRODUCT((Aus_Tec=$I17)*(Aus_Ini&lt;=M$1)*(Aus_Fim&gt;=M$1)*Aus_Cod)),"!"))))</f>
        <v/>
      </c>
      <c r="N17" s="44">
        <f>IF(OR($I17="",N$1=""),"",IF(SUMPRODUCT((Aus_Tec=$I17)*(Aus_Ini&lt;=N$1)*(Aus_Fim&gt;=N$1)*(Aus_Cod&gt;0))=0,"",IF(SUMPRODUCT((Aus_Tec=$I17)*(Aus_Ini&lt;=N$1)*(Aus_Fim&gt;=N$1)*(Aus_Cod&gt;0))&gt;1,"!",IFERROR(INDEX(Aus_Siglas,SUMPRODUCT((Aus_Tec=$I17)*(Aus_Ini&lt;=N$1)*(Aus_Fim&gt;=N$1)*Aus_Cod)),"!"))))</f>
        <v/>
      </c>
      <c r="O17" s="44">
        <f>IF(OR($I17="",O$1=""),"",IF(SUMPRODUCT((Aus_Tec=$I17)*(Aus_Ini&lt;=O$1)*(Aus_Fim&gt;=O$1)*(Aus_Cod&gt;0))=0,"",IF(SUMPRODUCT((Aus_Tec=$I17)*(Aus_Ini&lt;=O$1)*(Aus_Fim&gt;=O$1)*(Aus_Cod&gt;0))&gt;1,"!",IFERROR(INDEX(Aus_Siglas,SUMPRODUCT((Aus_Tec=$I17)*(Aus_Ini&lt;=O$1)*(Aus_Fim&gt;=O$1)*Aus_Cod)),"!"))))</f>
        <v/>
      </c>
      <c r="P17" s="44">
        <f>IF(OR($I17="",P$1=""),"",IF(SUMPRODUCT((Aus_Tec=$I17)*(Aus_Ini&lt;=P$1)*(Aus_Fim&gt;=P$1)*(Aus_Cod&gt;0))=0,"",IF(SUMPRODUCT((Aus_Tec=$I17)*(Aus_Ini&lt;=P$1)*(Aus_Fim&gt;=P$1)*(Aus_Cod&gt;0))&gt;1,"!",IFERROR(INDEX(Aus_Siglas,SUMPRODUCT((Aus_Tec=$I17)*(Aus_Ini&lt;=P$1)*(Aus_Fim&gt;=P$1)*Aus_Cod)),"!"))))</f>
        <v/>
      </c>
      <c r="Q17" s="44">
        <f>IF(OR($I17="",Q$1=""),"",IF(SUMPRODUCT((Aus_Tec=$I17)*(Aus_Ini&lt;=Q$1)*(Aus_Fim&gt;=Q$1)*(Aus_Cod&gt;0))=0,"",IF(SUMPRODUCT((Aus_Tec=$I17)*(Aus_Ini&lt;=Q$1)*(Aus_Fim&gt;=Q$1)*(Aus_Cod&gt;0))&gt;1,"!",IFERROR(INDEX(Aus_Siglas,SUMPRODUCT((Aus_Tec=$I17)*(Aus_Ini&lt;=Q$1)*(Aus_Fim&gt;=Q$1)*Aus_Cod)),"!"))))</f>
        <v/>
      </c>
      <c r="R17" s="44">
        <f>IF(OR($I17="",R$1=""),"",IF(SUMPRODUCT((Aus_Tec=$I17)*(Aus_Ini&lt;=R$1)*(Aus_Fim&gt;=R$1)*(Aus_Cod&gt;0))=0,"",IF(SUMPRODUCT((Aus_Tec=$I17)*(Aus_Ini&lt;=R$1)*(Aus_Fim&gt;=R$1)*(Aus_Cod&gt;0))&gt;1,"!",IFERROR(INDEX(Aus_Siglas,SUMPRODUCT((Aus_Tec=$I17)*(Aus_Ini&lt;=R$1)*(Aus_Fim&gt;=R$1)*Aus_Cod)),"!"))))</f>
        <v/>
      </c>
      <c r="S17" s="44">
        <f>IF(OR($I17="",S$1=""),"",IF(SUMPRODUCT((Aus_Tec=$I17)*(Aus_Ini&lt;=S$1)*(Aus_Fim&gt;=S$1)*(Aus_Cod&gt;0))=0,"",IF(SUMPRODUCT((Aus_Tec=$I17)*(Aus_Ini&lt;=S$1)*(Aus_Fim&gt;=S$1)*(Aus_Cod&gt;0))&gt;1,"!",IFERROR(INDEX(Aus_Siglas,SUMPRODUCT((Aus_Tec=$I17)*(Aus_Ini&lt;=S$1)*(Aus_Fim&gt;=S$1)*Aus_Cod)),"!"))))</f>
        <v/>
      </c>
      <c r="T17" s="44">
        <f>IF(OR($I17="",T$1=""),"",IF(SUMPRODUCT((Aus_Tec=$I17)*(Aus_Ini&lt;=T$1)*(Aus_Fim&gt;=T$1)*(Aus_Cod&gt;0))=0,"",IF(SUMPRODUCT((Aus_Tec=$I17)*(Aus_Ini&lt;=T$1)*(Aus_Fim&gt;=T$1)*(Aus_Cod&gt;0))&gt;1,"!",IFERROR(INDEX(Aus_Siglas,SUMPRODUCT((Aus_Tec=$I17)*(Aus_Ini&lt;=T$1)*(Aus_Fim&gt;=T$1)*Aus_Cod)),"!"))))</f>
        <v/>
      </c>
      <c r="U17" s="44">
        <f>IF(OR($I17="",U$1=""),"",IF(SUMPRODUCT((Aus_Tec=$I17)*(Aus_Ini&lt;=U$1)*(Aus_Fim&gt;=U$1)*(Aus_Cod&gt;0))=0,"",IF(SUMPRODUCT((Aus_Tec=$I17)*(Aus_Ini&lt;=U$1)*(Aus_Fim&gt;=U$1)*(Aus_Cod&gt;0))&gt;1,"!",IFERROR(INDEX(Aus_Siglas,SUMPRODUCT((Aus_Tec=$I17)*(Aus_Ini&lt;=U$1)*(Aus_Fim&gt;=U$1)*Aus_Cod)),"!"))))</f>
        <v/>
      </c>
      <c r="V17" s="44">
        <f>IF(OR($I17="",V$1=""),"",IF(SUMPRODUCT((Aus_Tec=$I17)*(Aus_Ini&lt;=V$1)*(Aus_Fim&gt;=V$1)*(Aus_Cod&gt;0))=0,"",IF(SUMPRODUCT((Aus_Tec=$I17)*(Aus_Ini&lt;=V$1)*(Aus_Fim&gt;=V$1)*(Aus_Cod&gt;0))&gt;1,"!",IFERROR(INDEX(Aus_Siglas,SUMPRODUCT((Aus_Tec=$I17)*(Aus_Ini&lt;=V$1)*(Aus_Fim&gt;=V$1)*Aus_Cod)),"!"))))</f>
        <v/>
      </c>
      <c r="W17" s="44">
        <f>IF(OR($I17="",W$1=""),"",IF(SUMPRODUCT((Aus_Tec=$I17)*(Aus_Ini&lt;=W$1)*(Aus_Fim&gt;=W$1)*(Aus_Cod&gt;0))=0,"",IF(SUMPRODUCT((Aus_Tec=$I17)*(Aus_Ini&lt;=W$1)*(Aus_Fim&gt;=W$1)*(Aus_Cod&gt;0))&gt;1,"!",IFERROR(INDEX(Aus_Siglas,SUMPRODUCT((Aus_Tec=$I17)*(Aus_Ini&lt;=W$1)*(Aus_Fim&gt;=W$1)*Aus_Cod)),"!"))))</f>
        <v/>
      </c>
      <c r="X17" s="44">
        <f>IF(OR($I17="",X$1=""),"",IF(SUMPRODUCT((Aus_Tec=$I17)*(Aus_Ini&lt;=X$1)*(Aus_Fim&gt;=X$1)*(Aus_Cod&gt;0))=0,"",IF(SUMPRODUCT((Aus_Tec=$I17)*(Aus_Ini&lt;=X$1)*(Aus_Fim&gt;=X$1)*(Aus_Cod&gt;0))&gt;1,"!",IFERROR(INDEX(Aus_Siglas,SUMPRODUCT((Aus_Tec=$I17)*(Aus_Ini&lt;=X$1)*(Aus_Fim&gt;=X$1)*Aus_Cod)),"!"))))</f>
        <v/>
      </c>
      <c r="Y17" s="44">
        <f>IF(OR($I17="",Y$1=""),"",IF(SUMPRODUCT((Aus_Tec=$I17)*(Aus_Ini&lt;=Y$1)*(Aus_Fim&gt;=Y$1)*(Aus_Cod&gt;0))=0,"",IF(SUMPRODUCT((Aus_Tec=$I17)*(Aus_Ini&lt;=Y$1)*(Aus_Fim&gt;=Y$1)*(Aus_Cod&gt;0))&gt;1,"!",IFERROR(INDEX(Aus_Siglas,SUMPRODUCT((Aus_Tec=$I17)*(Aus_Ini&lt;=Y$1)*(Aus_Fim&gt;=Y$1)*Aus_Cod)),"!"))))</f>
        <v/>
      </c>
      <c r="Z17" s="44">
        <f>IF(OR($I17="",Z$1=""),"",IF(SUMPRODUCT((Aus_Tec=$I17)*(Aus_Ini&lt;=Z$1)*(Aus_Fim&gt;=Z$1)*(Aus_Cod&gt;0))=0,"",IF(SUMPRODUCT((Aus_Tec=$I17)*(Aus_Ini&lt;=Z$1)*(Aus_Fim&gt;=Z$1)*(Aus_Cod&gt;0))&gt;1,"!",IFERROR(INDEX(Aus_Siglas,SUMPRODUCT((Aus_Tec=$I17)*(Aus_Ini&lt;=Z$1)*(Aus_Fim&gt;=Z$1)*Aus_Cod)),"!"))))</f>
        <v/>
      </c>
      <c r="AA17" s="44">
        <f>IF(OR($I17="",AA$1=""),"",IF(SUMPRODUCT((Aus_Tec=$I17)*(Aus_Ini&lt;=AA$1)*(Aus_Fim&gt;=AA$1)*(Aus_Cod&gt;0))=0,"",IF(SUMPRODUCT((Aus_Tec=$I17)*(Aus_Ini&lt;=AA$1)*(Aus_Fim&gt;=AA$1)*(Aus_Cod&gt;0))&gt;1,"!",IFERROR(INDEX(Aus_Siglas,SUMPRODUCT((Aus_Tec=$I17)*(Aus_Ini&lt;=AA$1)*(Aus_Fim&gt;=AA$1)*Aus_Cod)),"!"))))</f>
        <v/>
      </c>
      <c r="AB17" s="44">
        <f>IF(OR($I17="",AB$1=""),"",IF(SUMPRODUCT((Aus_Tec=$I17)*(Aus_Ini&lt;=AB$1)*(Aus_Fim&gt;=AB$1)*(Aus_Cod&gt;0))=0,"",IF(SUMPRODUCT((Aus_Tec=$I17)*(Aus_Ini&lt;=AB$1)*(Aus_Fim&gt;=AB$1)*(Aus_Cod&gt;0))&gt;1,"!",IFERROR(INDEX(Aus_Siglas,SUMPRODUCT((Aus_Tec=$I17)*(Aus_Ini&lt;=AB$1)*(Aus_Fim&gt;=AB$1)*Aus_Cod)),"!"))))</f>
        <v/>
      </c>
      <c r="AC17" s="44">
        <f>IF(OR($I17="",AC$1=""),"",IF(SUMPRODUCT((Aus_Tec=$I17)*(Aus_Ini&lt;=AC$1)*(Aus_Fim&gt;=AC$1)*(Aus_Cod&gt;0))=0,"",IF(SUMPRODUCT((Aus_Tec=$I17)*(Aus_Ini&lt;=AC$1)*(Aus_Fim&gt;=AC$1)*(Aus_Cod&gt;0))&gt;1,"!",IFERROR(INDEX(Aus_Siglas,SUMPRODUCT((Aus_Tec=$I17)*(Aus_Ini&lt;=AC$1)*(Aus_Fim&gt;=AC$1)*Aus_Cod)),"!"))))</f>
        <v/>
      </c>
      <c r="AD17" s="44">
        <f>IF(OR($I17="",AD$1=""),"",IF(SUMPRODUCT((Aus_Tec=$I17)*(Aus_Ini&lt;=AD$1)*(Aus_Fim&gt;=AD$1)*(Aus_Cod&gt;0))=0,"",IF(SUMPRODUCT((Aus_Tec=$I17)*(Aus_Ini&lt;=AD$1)*(Aus_Fim&gt;=AD$1)*(Aus_Cod&gt;0))&gt;1,"!",IFERROR(INDEX(Aus_Siglas,SUMPRODUCT((Aus_Tec=$I17)*(Aus_Ini&lt;=AD$1)*(Aus_Fim&gt;=AD$1)*Aus_Cod)),"!"))))</f>
        <v/>
      </c>
      <c r="AE17" s="44">
        <f>IF(OR($I17="",AE$1=""),"",IF(SUMPRODUCT((Aus_Tec=$I17)*(Aus_Ini&lt;=AE$1)*(Aus_Fim&gt;=AE$1)*(Aus_Cod&gt;0))=0,"",IF(SUMPRODUCT((Aus_Tec=$I17)*(Aus_Ini&lt;=AE$1)*(Aus_Fim&gt;=AE$1)*(Aus_Cod&gt;0))&gt;1,"!",IFERROR(INDEX(Aus_Siglas,SUMPRODUCT((Aus_Tec=$I17)*(Aus_Ini&lt;=AE$1)*(Aus_Fim&gt;=AE$1)*Aus_Cod)),"!"))))</f>
        <v/>
      </c>
      <c r="AF17" s="44">
        <f>IF(OR($I17="",AF$1=""),"",IF(SUMPRODUCT((Aus_Tec=$I17)*(Aus_Ini&lt;=AF$1)*(Aus_Fim&gt;=AF$1)*(Aus_Cod&gt;0))=0,"",IF(SUMPRODUCT((Aus_Tec=$I17)*(Aus_Ini&lt;=AF$1)*(Aus_Fim&gt;=AF$1)*(Aus_Cod&gt;0))&gt;1,"!",IFERROR(INDEX(Aus_Siglas,SUMPRODUCT((Aus_Tec=$I17)*(Aus_Ini&lt;=AF$1)*(Aus_Fim&gt;=AF$1)*Aus_Cod)),"!"))))</f>
        <v/>
      </c>
      <c r="AG17" s="44">
        <f>IF(OR($I17="",AG$1=""),"",IF(SUMPRODUCT((Aus_Tec=$I17)*(Aus_Ini&lt;=AG$1)*(Aus_Fim&gt;=AG$1)*(Aus_Cod&gt;0))=0,"",IF(SUMPRODUCT((Aus_Tec=$I17)*(Aus_Ini&lt;=AG$1)*(Aus_Fim&gt;=AG$1)*(Aus_Cod&gt;0))&gt;1,"!",IFERROR(INDEX(Aus_Siglas,SUMPRODUCT((Aus_Tec=$I17)*(Aus_Ini&lt;=AG$1)*(Aus_Fim&gt;=AG$1)*Aus_Cod)),"!"))))</f>
        <v/>
      </c>
      <c r="AH17" s="44">
        <f>IF(OR($I17="",AH$1=""),"",IF(SUMPRODUCT((Aus_Tec=$I17)*(Aus_Ini&lt;=AH$1)*(Aus_Fim&gt;=AH$1)*(Aus_Cod&gt;0))=0,"",IF(SUMPRODUCT((Aus_Tec=$I17)*(Aus_Ini&lt;=AH$1)*(Aus_Fim&gt;=AH$1)*(Aus_Cod&gt;0))&gt;1,"!",IFERROR(INDEX(Aus_Siglas,SUMPRODUCT((Aus_Tec=$I17)*(Aus_Ini&lt;=AH$1)*(Aus_Fim&gt;=AH$1)*Aus_Cod)),"!"))))</f>
        <v/>
      </c>
      <c r="AI17" s="44">
        <f>IF(OR($I17="",AI$1=""),"",IF(SUMPRODUCT((Aus_Tec=$I17)*(Aus_Ini&lt;=AI$1)*(Aus_Fim&gt;=AI$1)*(Aus_Cod&gt;0))=0,"",IF(SUMPRODUCT((Aus_Tec=$I17)*(Aus_Ini&lt;=AI$1)*(Aus_Fim&gt;=AI$1)*(Aus_Cod&gt;0))&gt;1,"!",IFERROR(INDEX(Aus_Siglas,SUMPRODUCT((Aus_Tec=$I17)*(Aus_Ini&lt;=AI$1)*(Aus_Fim&gt;=AI$1)*Aus_Cod)),"!"))))</f>
        <v/>
      </c>
      <c r="AJ17" s="44">
        <f>IF(OR($I17="",AJ$1=""),"",IF(SUMPRODUCT((Aus_Tec=$I17)*(Aus_Ini&lt;=AJ$1)*(Aus_Fim&gt;=AJ$1)*(Aus_Cod&gt;0))=0,"",IF(SUMPRODUCT((Aus_Tec=$I17)*(Aus_Ini&lt;=AJ$1)*(Aus_Fim&gt;=AJ$1)*(Aus_Cod&gt;0))&gt;1,"!",IFERROR(INDEX(Aus_Siglas,SUMPRODUCT((Aus_Tec=$I17)*(Aus_Ini&lt;=AJ$1)*(Aus_Fim&gt;=AJ$1)*Aus_Cod)),"!"))))</f>
        <v/>
      </c>
      <c r="AK17" s="44">
        <f>IF(OR($I17="",AK$1=""),"",IF(SUMPRODUCT((Aus_Tec=$I17)*(Aus_Ini&lt;=AK$1)*(Aus_Fim&gt;=AK$1)*(Aus_Cod&gt;0))=0,"",IF(SUMPRODUCT((Aus_Tec=$I17)*(Aus_Ini&lt;=AK$1)*(Aus_Fim&gt;=AK$1)*(Aus_Cod&gt;0))&gt;1,"!",IFERROR(INDEX(Aus_Siglas,SUMPRODUCT((Aus_Tec=$I17)*(Aus_Ini&lt;=AK$1)*(Aus_Fim&gt;=AK$1)*Aus_Cod)),"!"))))</f>
        <v/>
      </c>
      <c r="AL17" s="44">
        <f>IF(OR($I17="",AL$1=""),"",IF(SUMPRODUCT((Aus_Tec=$I17)*(Aus_Ini&lt;=AL$1)*(Aus_Fim&gt;=AL$1)*(Aus_Cod&gt;0))=0,"",IF(SUMPRODUCT((Aus_Tec=$I17)*(Aus_Ini&lt;=AL$1)*(Aus_Fim&gt;=AL$1)*(Aus_Cod&gt;0))&gt;1,"!",IFERROR(INDEX(Aus_Siglas,SUMPRODUCT((Aus_Tec=$I17)*(Aus_Ini&lt;=AL$1)*(Aus_Fim&gt;=AL$1)*Aus_Cod)),"!"))))</f>
        <v/>
      </c>
      <c r="AM17" s="44">
        <f>IF(OR($I17="",AM$1=""),"",IF(SUMPRODUCT((Aus_Tec=$I17)*(Aus_Ini&lt;=AM$1)*(Aus_Fim&gt;=AM$1)*(Aus_Cod&gt;0))=0,"",IF(SUMPRODUCT((Aus_Tec=$I17)*(Aus_Ini&lt;=AM$1)*(Aus_Fim&gt;=AM$1)*(Aus_Cod&gt;0))&gt;1,"!",IFERROR(INDEX(Aus_Siglas,SUMPRODUCT((Aus_Tec=$I17)*(Aus_Ini&lt;=AM$1)*(Aus_Fim&gt;=AM$1)*Aus_Cod)),"!"))))</f>
        <v/>
      </c>
      <c r="AN17" s="44">
        <f>IF(OR($I17="",AN$1=""),"",IF(SUMPRODUCT((Aus_Tec=$I17)*(Aus_Ini&lt;=AN$1)*(Aus_Fim&gt;=AN$1)*(Aus_Cod&gt;0))=0,"",IF(SUMPRODUCT((Aus_Tec=$I17)*(Aus_Ini&lt;=AN$1)*(Aus_Fim&gt;=AN$1)*(Aus_Cod&gt;0))&gt;1,"!",IFERROR(INDEX(Aus_Siglas,SUMPRODUCT((Aus_Tec=$I17)*(Aus_Ini&lt;=AN$1)*(Aus_Fim&gt;=AN$1)*Aus_Cod)),"!"))))</f>
        <v/>
      </c>
    </row>
    <row r="18">
      <c r="A18" s="33" t="n"/>
      <c r="B18" s="31" t="n"/>
      <c r="C18" s="30" t="n"/>
      <c r="D18" s="30" t="n"/>
      <c r="E18" s="20">
        <f>IF(OR($A18="",NOT(ISNUMBER($C18)),NOT(ISNUMBER($D18))),"",$D18-$C18+1)</f>
        <v/>
      </c>
      <c r="F18" s="33" t="n"/>
      <c r="G18" s="35">
        <f>IF(AND($A18&lt;&gt;"",ISNUMBER($C18),ISNUMBER($D18),$C18&lt;=Data_Mapa,$D18&gt;=Data_Mapa),$A18,"")</f>
        <v/>
      </c>
      <c r="H18" s="35">
        <f>IF($A18="",0,IFERROR(MATCH($B18,Aus_Tipos,0),0))</f>
        <v/>
      </c>
      <c r="I18" s="43">
        <f>IF('Equipe'!$B$17="","",'Equipe'!$B$17)</f>
        <v/>
      </c>
      <c r="J18" s="44">
        <f>IF(OR($I18="",J$1=""),"",IF(SUMPRODUCT((Aus_Tec=$I18)*(Aus_Ini&lt;=J$1)*(Aus_Fim&gt;=J$1)*(Aus_Cod&gt;0))=0,"",IF(SUMPRODUCT((Aus_Tec=$I18)*(Aus_Ini&lt;=J$1)*(Aus_Fim&gt;=J$1)*(Aus_Cod&gt;0))&gt;1,"!",IFERROR(INDEX(Aus_Siglas,SUMPRODUCT((Aus_Tec=$I18)*(Aus_Ini&lt;=J$1)*(Aus_Fim&gt;=J$1)*Aus_Cod)),"!"))))</f>
        <v/>
      </c>
      <c r="K18" s="44">
        <f>IF(OR($I18="",K$1=""),"",IF(SUMPRODUCT((Aus_Tec=$I18)*(Aus_Ini&lt;=K$1)*(Aus_Fim&gt;=K$1)*(Aus_Cod&gt;0))=0,"",IF(SUMPRODUCT((Aus_Tec=$I18)*(Aus_Ini&lt;=K$1)*(Aus_Fim&gt;=K$1)*(Aus_Cod&gt;0))&gt;1,"!",IFERROR(INDEX(Aus_Siglas,SUMPRODUCT((Aus_Tec=$I18)*(Aus_Ini&lt;=K$1)*(Aus_Fim&gt;=K$1)*Aus_Cod)),"!"))))</f>
        <v/>
      </c>
      <c r="L18" s="44">
        <f>IF(OR($I18="",L$1=""),"",IF(SUMPRODUCT((Aus_Tec=$I18)*(Aus_Ini&lt;=L$1)*(Aus_Fim&gt;=L$1)*(Aus_Cod&gt;0))=0,"",IF(SUMPRODUCT((Aus_Tec=$I18)*(Aus_Ini&lt;=L$1)*(Aus_Fim&gt;=L$1)*(Aus_Cod&gt;0))&gt;1,"!",IFERROR(INDEX(Aus_Siglas,SUMPRODUCT((Aus_Tec=$I18)*(Aus_Ini&lt;=L$1)*(Aus_Fim&gt;=L$1)*Aus_Cod)),"!"))))</f>
        <v/>
      </c>
      <c r="M18" s="44">
        <f>IF(OR($I18="",M$1=""),"",IF(SUMPRODUCT((Aus_Tec=$I18)*(Aus_Ini&lt;=M$1)*(Aus_Fim&gt;=M$1)*(Aus_Cod&gt;0))=0,"",IF(SUMPRODUCT((Aus_Tec=$I18)*(Aus_Ini&lt;=M$1)*(Aus_Fim&gt;=M$1)*(Aus_Cod&gt;0))&gt;1,"!",IFERROR(INDEX(Aus_Siglas,SUMPRODUCT((Aus_Tec=$I18)*(Aus_Ini&lt;=M$1)*(Aus_Fim&gt;=M$1)*Aus_Cod)),"!"))))</f>
        <v/>
      </c>
      <c r="N18" s="44">
        <f>IF(OR($I18="",N$1=""),"",IF(SUMPRODUCT((Aus_Tec=$I18)*(Aus_Ini&lt;=N$1)*(Aus_Fim&gt;=N$1)*(Aus_Cod&gt;0))=0,"",IF(SUMPRODUCT((Aus_Tec=$I18)*(Aus_Ini&lt;=N$1)*(Aus_Fim&gt;=N$1)*(Aus_Cod&gt;0))&gt;1,"!",IFERROR(INDEX(Aus_Siglas,SUMPRODUCT((Aus_Tec=$I18)*(Aus_Ini&lt;=N$1)*(Aus_Fim&gt;=N$1)*Aus_Cod)),"!"))))</f>
        <v/>
      </c>
      <c r="O18" s="44">
        <f>IF(OR($I18="",O$1=""),"",IF(SUMPRODUCT((Aus_Tec=$I18)*(Aus_Ini&lt;=O$1)*(Aus_Fim&gt;=O$1)*(Aus_Cod&gt;0))=0,"",IF(SUMPRODUCT((Aus_Tec=$I18)*(Aus_Ini&lt;=O$1)*(Aus_Fim&gt;=O$1)*(Aus_Cod&gt;0))&gt;1,"!",IFERROR(INDEX(Aus_Siglas,SUMPRODUCT((Aus_Tec=$I18)*(Aus_Ini&lt;=O$1)*(Aus_Fim&gt;=O$1)*Aus_Cod)),"!"))))</f>
        <v/>
      </c>
      <c r="P18" s="44">
        <f>IF(OR($I18="",P$1=""),"",IF(SUMPRODUCT((Aus_Tec=$I18)*(Aus_Ini&lt;=P$1)*(Aus_Fim&gt;=P$1)*(Aus_Cod&gt;0))=0,"",IF(SUMPRODUCT((Aus_Tec=$I18)*(Aus_Ini&lt;=P$1)*(Aus_Fim&gt;=P$1)*(Aus_Cod&gt;0))&gt;1,"!",IFERROR(INDEX(Aus_Siglas,SUMPRODUCT((Aus_Tec=$I18)*(Aus_Ini&lt;=P$1)*(Aus_Fim&gt;=P$1)*Aus_Cod)),"!"))))</f>
        <v/>
      </c>
      <c r="Q18" s="44">
        <f>IF(OR($I18="",Q$1=""),"",IF(SUMPRODUCT((Aus_Tec=$I18)*(Aus_Ini&lt;=Q$1)*(Aus_Fim&gt;=Q$1)*(Aus_Cod&gt;0))=0,"",IF(SUMPRODUCT((Aus_Tec=$I18)*(Aus_Ini&lt;=Q$1)*(Aus_Fim&gt;=Q$1)*(Aus_Cod&gt;0))&gt;1,"!",IFERROR(INDEX(Aus_Siglas,SUMPRODUCT((Aus_Tec=$I18)*(Aus_Ini&lt;=Q$1)*(Aus_Fim&gt;=Q$1)*Aus_Cod)),"!"))))</f>
        <v/>
      </c>
      <c r="R18" s="44">
        <f>IF(OR($I18="",R$1=""),"",IF(SUMPRODUCT((Aus_Tec=$I18)*(Aus_Ini&lt;=R$1)*(Aus_Fim&gt;=R$1)*(Aus_Cod&gt;0))=0,"",IF(SUMPRODUCT((Aus_Tec=$I18)*(Aus_Ini&lt;=R$1)*(Aus_Fim&gt;=R$1)*(Aus_Cod&gt;0))&gt;1,"!",IFERROR(INDEX(Aus_Siglas,SUMPRODUCT((Aus_Tec=$I18)*(Aus_Ini&lt;=R$1)*(Aus_Fim&gt;=R$1)*Aus_Cod)),"!"))))</f>
        <v/>
      </c>
      <c r="S18" s="44">
        <f>IF(OR($I18="",S$1=""),"",IF(SUMPRODUCT((Aus_Tec=$I18)*(Aus_Ini&lt;=S$1)*(Aus_Fim&gt;=S$1)*(Aus_Cod&gt;0))=0,"",IF(SUMPRODUCT((Aus_Tec=$I18)*(Aus_Ini&lt;=S$1)*(Aus_Fim&gt;=S$1)*(Aus_Cod&gt;0))&gt;1,"!",IFERROR(INDEX(Aus_Siglas,SUMPRODUCT((Aus_Tec=$I18)*(Aus_Ini&lt;=S$1)*(Aus_Fim&gt;=S$1)*Aus_Cod)),"!"))))</f>
        <v/>
      </c>
      <c r="T18" s="44">
        <f>IF(OR($I18="",T$1=""),"",IF(SUMPRODUCT((Aus_Tec=$I18)*(Aus_Ini&lt;=T$1)*(Aus_Fim&gt;=T$1)*(Aus_Cod&gt;0))=0,"",IF(SUMPRODUCT((Aus_Tec=$I18)*(Aus_Ini&lt;=T$1)*(Aus_Fim&gt;=T$1)*(Aus_Cod&gt;0))&gt;1,"!",IFERROR(INDEX(Aus_Siglas,SUMPRODUCT((Aus_Tec=$I18)*(Aus_Ini&lt;=T$1)*(Aus_Fim&gt;=T$1)*Aus_Cod)),"!"))))</f>
        <v/>
      </c>
      <c r="U18" s="44">
        <f>IF(OR($I18="",U$1=""),"",IF(SUMPRODUCT((Aus_Tec=$I18)*(Aus_Ini&lt;=U$1)*(Aus_Fim&gt;=U$1)*(Aus_Cod&gt;0))=0,"",IF(SUMPRODUCT((Aus_Tec=$I18)*(Aus_Ini&lt;=U$1)*(Aus_Fim&gt;=U$1)*(Aus_Cod&gt;0))&gt;1,"!",IFERROR(INDEX(Aus_Siglas,SUMPRODUCT((Aus_Tec=$I18)*(Aus_Ini&lt;=U$1)*(Aus_Fim&gt;=U$1)*Aus_Cod)),"!"))))</f>
        <v/>
      </c>
      <c r="V18" s="44">
        <f>IF(OR($I18="",V$1=""),"",IF(SUMPRODUCT((Aus_Tec=$I18)*(Aus_Ini&lt;=V$1)*(Aus_Fim&gt;=V$1)*(Aus_Cod&gt;0))=0,"",IF(SUMPRODUCT((Aus_Tec=$I18)*(Aus_Ini&lt;=V$1)*(Aus_Fim&gt;=V$1)*(Aus_Cod&gt;0))&gt;1,"!",IFERROR(INDEX(Aus_Siglas,SUMPRODUCT((Aus_Tec=$I18)*(Aus_Ini&lt;=V$1)*(Aus_Fim&gt;=V$1)*Aus_Cod)),"!"))))</f>
        <v/>
      </c>
      <c r="W18" s="44">
        <f>IF(OR($I18="",W$1=""),"",IF(SUMPRODUCT((Aus_Tec=$I18)*(Aus_Ini&lt;=W$1)*(Aus_Fim&gt;=W$1)*(Aus_Cod&gt;0))=0,"",IF(SUMPRODUCT((Aus_Tec=$I18)*(Aus_Ini&lt;=W$1)*(Aus_Fim&gt;=W$1)*(Aus_Cod&gt;0))&gt;1,"!",IFERROR(INDEX(Aus_Siglas,SUMPRODUCT((Aus_Tec=$I18)*(Aus_Ini&lt;=W$1)*(Aus_Fim&gt;=W$1)*Aus_Cod)),"!"))))</f>
        <v/>
      </c>
      <c r="X18" s="44">
        <f>IF(OR($I18="",X$1=""),"",IF(SUMPRODUCT((Aus_Tec=$I18)*(Aus_Ini&lt;=X$1)*(Aus_Fim&gt;=X$1)*(Aus_Cod&gt;0))=0,"",IF(SUMPRODUCT((Aus_Tec=$I18)*(Aus_Ini&lt;=X$1)*(Aus_Fim&gt;=X$1)*(Aus_Cod&gt;0))&gt;1,"!",IFERROR(INDEX(Aus_Siglas,SUMPRODUCT((Aus_Tec=$I18)*(Aus_Ini&lt;=X$1)*(Aus_Fim&gt;=X$1)*Aus_Cod)),"!"))))</f>
        <v/>
      </c>
      <c r="Y18" s="44">
        <f>IF(OR($I18="",Y$1=""),"",IF(SUMPRODUCT((Aus_Tec=$I18)*(Aus_Ini&lt;=Y$1)*(Aus_Fim&gt;=Y$1)*(Aus_Cod&gt;0))=0,"",IF(SUMPRODUCT((Aus_Tec=$I18)*(Aus_Ini&lt;=Y$1)*(Aus_Fim&gt;=Y$1)*(Aus_Cod&gt;0))&gt;1,"!",IFERROR(INDEX(Aus_Siglas,SUMPRODUCT((Aus_Tec=$I18)*(Aus_Ini&lt;=Y$1)*(Aus_Fim&gt;=Y$1)*Aus_Cod)),"!"))))</f>
        <v/>
      </c>
      <c r="Z18" s="44">
        <f>IF(OR($I18="",Z$1=""),"",IF(SUMPRODUCT((Aus_Tec=$I18)*(Aus_Ini&lt;=Z$1)*(Aus_Fim&gt;=Z$1)*(Aus_Cod&gt;0))=0,"",IF(SUMPRODUCT((Aus_Tec=$I18)*(Aus_Ini&lt;=Z$1)*(Aus_Fim&gt;=Z$1)*(Aus_Cod&gt;0))&gt;1,"!",IFERROR(INDEX(Aus_Siglas,SUMPRODUCT((Aus_Tec=$I18)*(Aus_Ini&lt;=Z$1)*(Aus_Fim&gt;=Z$1)*Aus_Cod)),"!"))))</f>
        <v/>
      </c>
      <c r="AA18" s="44">
        <f>IF(OR($I18="",AA$1=""),"",IF(SUMPRODUCT((Aus_Tec=$I18)*(Aus_Ini&lt;=AA$1)*(Aus_Fim&gt;=AA$1)*(Aus_Cod&gt;0))=0,"",IF(SUMPRODUCT((Aus_Tec=$I18)*(Aus_Ini&lt;=AA$1)*(Aus_Fim&gt;=AA$1)*(Aus_Cod&gt;0))&gt;1,"!",IFERROR(INDEX(Aus_Siglas,SUMPRODUCT((Aus_Tec=$I18)*(Aus_Ini&lt;=AA$1)*(Aus_Fim&gt;=AA$1)*Aus_Cod)),"!"))))</f>
        <v/>
      </c>
      <c r="AB18" s="44">
        <f>IF(OR($I18="",AB$1=""),"",IF(SUMPRODUCT((Aus_Tec=$I18)*(Aus_Ini&lt;=AB$1)*(Aus_Fim&gt;=AB$1)*(Aus_Cod&gt;0))=0,"",IF(SUMPRODUCT((Aus_Tec=$I18)*(Aus_Ini&lt;=AB$1)*(Aus_Fim&gt;=AB$1)*(Aus_Cod&gt;0))&gt;1,"!",IFERROR(INDEX(Aus_Siglas,SUMPRODUCT((Aus_Tec=$I18)*(Aus_Ini&lt;=AB$1)*(Aus_Fim&gt;=AB$1)*Aus_Cod)),"!"))))</f>
        <v/>
      </c>
      <c r="AC18" s="44">
        <f>IF(OR($I18="",AC$1=""),"",IF(SUMPRODUCT((Aus_Tec=$I18)*(Aus_Ini&lt;=AC$1)*(Aus_Fim&gt;=AC$1)*(Aus_Cod&gt;0))=0,"",IF(SUMPRODUCT((Aus_Tec=$I18)*(Aus_Ini&lt;=AC$1)*(Aus_Fim&gt;=AC$1)*(Aus_Cod&gt;0))&gt;1,"!",IFERROR(INDEX(Aus_Siglas,SUMPRODUCT((Aus_Tec=$I18)*(Aus_Ini&lt;=AC$1)*(Aus_Fim&gt;=AC$1)*Aus_Cod)),"!"))))</f>
        <v/>
      </c>
      <c r="AD18" s="44">
        <f>IF(OR($I18="",AD$1=""),"",IF(SUMPRODUCT((Aus_Tec=$I18)*(Aus_Ini&lt;=AD$1)*(Aus_Fim&gt;=AD$1)*(Aus_Cod&gt;0))=0,"",IF(SUMPRODUCT((Aus_Tec=$I18)*(Aus_Ini&lt;=AD$1)*(Aus_Fim&gt;=AD$1)*(Aus_Cod&gt;0))&gt;1,"!",IFERROR(INDEX(Aus_Siglas,SUMPRODUCT((Aus_Tec=$I18)*(Aus_Ini&lt;=AD$1)*(Aus_Fim&gt;=AD$1)*Aus_Cod)),"!"))))</f>
        <v/>
      </c>
      <c r="AE18" s="44">
        <f>IF(OR($I18="",AE$1=""),"",IF(SUMPRODUCT((Aus_Tec=$I18)*(Aus_Ini&lt;=AE$1)*(Aus_Fim&gt;=AE$1)*(Aus_Cod&gt;0))=0,"",IF(SUMPRODUCT((Aus_Tec=$I18)*(Aus_Ini&lt;=AE$1)*(Aus_Fim&gt;=AE$1)*(Aus_Cod&gt;0))&gt;1,"!",IFERROR(INDEX(Aus_Siglas,SUMPRODUCT((Aus_Tec=$I18)*(Aus_Ini&lt;=AE$1)*(Aus_Fim&gt;=AE$1)*Aus_Cod)),"!"))))</f>
        <v/>
      </c>
      <c r="AF18" s="44">
        <f>IF(OR($I18="",AF$1=""),"",IF(SUMPRODUCT((Aus_Tec=$I18)*(Aus_Ini&lt;=AF$1)*(Aus_Fim&gt;=AF$1)*(Aus_Cod&gt;0))=0,"",IF(SUMPRODUCT((Aus_Tec=$I18)*(Aus_Ini&lt;=AF$1)*(Aus_Fim&gt;=AF$1)*(Aus_Cod&gt;0))&gt;1,"!",IFERROR(INDEX(Aus_Siglas,SUMPRODUCT((Aus_Tec=$I18)*(Aus_Ini&lt;=AF$1)*(Aus_Fim&gt;=AF$1)*Aus_Cod)),"!"))))</f>
        <v/>
      </c>
      <c r="AG18" s="44">
        <f>IF(OR($I18="",AG$1=""),"",IF(SUMPRODUCT((Aus_Tec=$I18)*(Aus_Ini&lt;=AG$1)*(Aus_Fim&gt;=AG$1)*(Aus_Cod&gt;0))=0,"",IF(SUMPRODUCT((Aus_Tec=$I18)*(Aus_Ini&lt;=AG$1)*(Aus_Fim&gt;=AG$1)*(Aus_Cod&gt;0))&gt;1,"!",IFERROR(INDEX(Aus_Siglas,SUMPRODUCT((Aus_Tec=$I18)*(Aus_Ini&lt;=AG$1)*(Aus_Fim&gt;=AG$1)*Aus_Cod)),"!"))))</f>
        <v/>
      </c>
      <c r="AH18" s="44">
        <f>IF(OR($I18="",AH$1=""),"",IF(SUMPRODUCT((Aus_Tec=$I18)*(Aus_Ini&lt;=AH$1)*(Aus_Fim&gt;=AH$1)*(Aus_Cod&gt;0))=0,"",IF(SUMPRODUCT((Aus_Tec=$I18)*(Aus_Ini&lt;=AH$1)*(Aus_Fim&gt;=AH$1)*(Aus_Cod&gt;0))&gt;1,"!",IFERROR(INDEX(Aus_Siglas,SUMPRODUCT((Aus_Tec=$I18)*(Aus_Ini&lt;=AH$1)*(Aus_Fim&gt;=AH$1)*Aus_Cod)),"!"))))</f>
        <v/>
      </c>
      <c r="AI18" s="44">
        <f>IF(OR($I18="",AI$1=""),"",IF(SUMPRODUCT((Aus_Tec=$I18)*(Aus_Ini&lt;=AI$1)*(Aus_Fim&gt;=AI$1)*(Aus_Cod&gt;0))=0,"",IF(SUMPRODUCT((Aus_Tec=$I18)*(Aus_Ini&lt;=AI$1)*(Aus_Fim&gt;=AI$1)*(Aus_Cod&gt;0))&gt;1,"!",IFERROR(INDEX(Aus_Siglas,SUMPRODUCT((Aus_Tec=$I18)*(Aus_Ini&lt;=AI$1)*(Aus_Fim&gt;=AI$1)*Aus_Cod)),"!"))))</f>
        <v/>
      </c>
      <c r="AJ18" s="44">
        <f>IF(OR($I18="",AJ$1=""),"",IF(SUMPRODUCT((Aus_Tec=$I18)*(Aus_Ini&lt;=AJ$1)*(Aus_Fim&gt;=AJ$1)*(Aus_Cod&gt;0))=0,"",IF(SUMPRODUCT((Aus_Tec=$I18)*(Aus_Ini&lt;=AJ$1)*(Aus_Fim&gt;=AJ$1)*(Aus_Cod&gt;0))&gt;1,"!",IFERROR(INDEX(Aus_Siglas,SUMPRODUCT((Aus_Tec=$I18)*(Aus_Ini&lt;=AJ$1)*(Aus_Fim&gt;=AJ$1)*Aus_Cod)),"!"))))</f>
        <v/>
      </c>
      <c r="AK18" s="44">
        <f>IF(OR($I18="",AK$1=""),"",IF(SUMPRODUCT((Aus_Tec=$I18)*(Aus_Ini&lt;=AK$1)*(Aus_Fim&gt;=AK$1)*(Aus_Cod&gt;0))=0,"",IF(SUMPRODUCT((Aus_Tec=$I18)*(Aus_Ini&lt;=AK$1)*(Aus_Fim&gt;=AK$1)*(Aus_Cod&gt;0))&gt;1,"!",IFERROR(INDEX(Aus_Siglas,SUMPRODUCT((Aus_Tec=$I18)*(Aus_Ini&lt;=AK$1)*(Aus_Fim&gt;=AK$1)*Aus_Cod)),"!"))))</f>
        <v/>
      </c>
      <c r="AL18" s="44">
        <f>IF(OR($I18="",AL$1=""),"",IF(SUMPRODUCT((Aus_Tec=$I18)*(Aus_Ini&lt;=AL$1)*(Aus_Fim&gt;=AL$1)*(Aus_Cod&gt;0))=0,"",IF(SUMPRODUCT((Aus_Tec=$I18)*(Aus_Ini&lt;=AL$1)*(Aus_Fim&gt;=AL$1)*(Aus_Cod&gt;0))&gt;1,"!",IFERROR(INDEX(Aus_Siglas,SUMPRODUCT((Aus_Tec=$I18)*(Aus_Ini&lt;=AL$1)*(Aus_Fim&gt;=AL$1)*Aus_Cod)),"!"))))</f>
        <v/>
      </c>
      <c r="AM18" s="44">
        <f>IF(OR($I18="",AM$1=""),"",IF(SUMPRODUCT((Aus_Tec=$I18)*(Aus_Ini&lt;=AM$1)*(Aus_Fim&gt;=AM$1)*(Aus_Cod&gt;0))=0,"",IF(SUMPRODUCT((Aus_Tec=$I18)*(Aus_Ini&lt;=AM$1)*(Aus_Fim&gt;=AM$1)*(Aus_Cod&gt;0))&gt;1,"!",IFERROR(INDEX(Aus_Siglas,SUMPRODUCT((Aus_Tec=$I18)*(Aus_Ini&lt;=AM$1)*(Aus_Fim&gt;=AM$1)*Aus_Cod)),"!"))))</f>
        <v/>
      </c>
      <c r="AN18" s="44">
        <f>IF(OR($I18="",AN$1=""),"",IF(SUMPRODUCT((Aus_Tec=$I18)*(Aus_Ini&lt;=AN$1)*(Aus_Fim&gt;=AN$1)*(Aus_Cod&gt;0))=0,"",IF(SUMPRODUCT((Aus_Tec=$I18)*(Aus_Ini&lt;=AN$1)*(Aus_Fim&gt;=AN$1)*(Aus_Cod&gt;0))&gt;1,"!",IFERROR(INDEX(Aus_Siglas,SUMPRODUCT((Aus_Tec=$I18)*(Aus_Ini&lt;=AN$1)*(Aus_Fim&gt;=AN$1)*Aus_Cod)),"!"))))</f>
        <v/>
      </c>
    </row>
    <row r="19">
      <c r="A19" s="33" t="n"/>
      <c r="B19" s="31" t="n"/>
      <c r="C19" s="30" t="n"/>
      <c r="D19" s="30" t="n"/>
      <c r="E19" s="20">
        <f>IF(OR($A19="",NOT(ISNUMBER($C19)),NOT(ISNUMBER($D19))),"",$D19-$C19+1)</f>
        <v/>
      </c>
      <c r="F19" s="33" t="n"/>
      <c r="G19" s="35">
        <f>IF(AND($A19&lt;&gt;"",ISNUMBER($C19),ISNUMBER($D19),$C19&lt;=Data_Mapa,$D19&gt;=Data_Mapa),$A19,"")</f>
        <v/>
      </c>
      <c r="H19" s="35">
        <f>IF($A19="",0,IFERROR(MATCH($B19,Aus_Tipos,0),0))</f>
        <v/>
      </c>
      <c r="I19" s="43">
        <f>IF('Equipe'!$B$18="","",'Equipe'!$B$18)</f>
        <v/>
      </c>
      <c r="J19" s="44">
        <f>IF(OR($I19="",J$1=""),"",IF(SUMPRODUCT((Aus_Tec=$I19)*(Aus_Ini&lt;=J$1)*(Aus_Fim&gt;=J$1)*(Aus_Cod&gt;0))=0,"",IF(SUMPRODUCT((Aus_Tec=$I19)*(Aus_Ini&lt;=J$1)*(Aus_Fim&gt;=J$1)*(Aus_Cod&gt;0))&gt;1,"!",IFERROR(INDEX(Aus_Siglas,SUMPRODUCT((Aus_Tec=$I19)*(Aus_Ini&lt;=J$1)*(Aus_Fim&gt;=J$1)*Aus_Cod)),"!"))))</f>
        <v/>
      </c>
      <c r="K19" s="44">
        <f>IF(OR($I19="",K$1=""),"",IF(SUMPRODUCT((Aus_Tec=$I19)*(Aus_Ini&lt;=K$1)*(Aus_Fim&gt;=K$1)*(Aus_Cod&gt;0))=0,"",IF(SUMPRODUCT((Aus_Tec=$I19)*(Aus_Ini&lt;=K$1)*(Aus_Fim&gt;=K$1)*(Aus_Cod&gt;0))&gt;1,"!",IFERROR(INDEX(Aus_Siglas,SUMPRODUCT((Aus_Tec=$I19)*(Aus_Ini&lt;=K$1)*(Aus_Fim&gt;=K$1)*Aus_Cod)),"!"))))</f>
        <v/>
      </c>
      <c r="L19" s="44">
        <f>IF(OR($I19="",L$1=""),"",IF(SUMPRODUCT((Aus_Tec=$I19)*(Aus_Ini&lt;=L$1)*(Aus_Fim&gt;=L$1)*(Aus_Cod&gt;0))=0,"",IF(SUMPRODUCT((Aus_Tec=$I19)*(Aus_Ini&lt;=L$1)*(Aus_Fim&gt;=L$1)*(Aus_Cod&gt;0))&gt;1,"!",IFERROR(INDEX(Aus_Siglas,SUMPRODUCT((Aus_Tec=$I19)*(Aus_Ini&lt;=L$1)*(Aus_Fim&gt;=L$1)*Aus_Cod)),"!"))))</f>
        <v/>
      </c>
      <c r="M19" s="44">
        <f>IF(OR($I19="",M$1=""),"",IF(SUMPRODUCT((Aus_Tec=$I19)*(Aus_Ini&lt;=M$1)*(Aus_Fim&gt;=M$1)*(Aus_Cod&gt;0))=0,"",IF(SUMPRODUCT((Aus_Tec=$I19)*(Aus_Ini&lt;=M$1)*(Aus_Fim&gt;=M$1)*(Aus_Cod&gt;0))&gt;1,"!",IFERROR(INDEX(Aus_Siglas,SUMPRODUCT((Aus_Tec=$I19)*(Aus_Ini&lt;=M$1)*(Aus_Fim&gt;=M$1)*Aus_Cod)),"!"))))</f>
        <v/>
      </c>
      <c r="N19" s="44">
        <f>IF(OR($I19="",N$1=""),"",IF(SUMPRODUCT((Aus_Tec=$I19)*(Aus_Ini&lt;=N$1)*(Aus_Fim&gt;=N$1)*(Aus_Cod&gt;0))=0,"",IF(SUMPRODUCT((Aus_Tec=$I19)*(Aus_Ini&lt;=N$1)*(Aus_Fim&gt;=N$1)*(Aus_Cod&gt;0))&gt;1,"!",IFERROR(INDEX(Aus_Siglas,SUMPRODUCT((Aus_Tec=$I19)*(Aus_Ini&lt;=N$1)*(Aus_Fim&gt;=N$1)*Aus_Cod)),"!"))))</f>
        <v/>
      </c>
      <c r="O19" s="44">
        <f>IF(OR($I19="",O$1=""),"",IF(SUMPRODUCT((Aus_Tec=$I19)*(Aus_Ini&lt;=O$1)*(Aus_Fim&gt;=O$1)*(Aus_Cod&gt;0))=0,"",IF(SUMPRODUCT((Aus_Tec=$I19)*(Aus_Ini&lt;=O$1)*(Aus_Fim&gt;=O$1)*(Aus_Cod&gt;0))&gt;1,"!",IFERROR(INDEX(Aus_Siglas,SUMPRODUCT((Aus_Tec=$I19)*(Aus_Ini&lt;=O$1)*(Aus_Fim&gt;=O$1)*Aus_Cod)),"!"))))</f>
        <v/>
      </c>
      <c r="P19" s="44">
        <f>IF(OR($I19="",P$1=""),"",IF(SUMPRODUCT((Aus_Tec=$I19)*(Aus_Ini&lt;=P$1)*(Aus_Fim&gt;=P$1)*(Aus_Cod&gt;0))=0,"",IF(SUMPRODUCT((Aus_Tec=$I19)*(Aus_Ini&lt;=P$1)*(Aus_Fim&gt;=P$1)*(Aus_Cod&gt;0))&gt;1,"!",IFERROR(INDEX(Aus_Siglas,SUMPRODUCT((Aus_Tec=$I19)*(Aus_Ini&lt;=P$1)*(Aus_Fim&gt;=P$1)*Aus_Cod)),"!"))))</f>
        <v/>
      </c>
      <c r="Q19" s="44">
        <f>IF(OR($I19="",Q$1=""),"",IF(SUMPRODUCT((Aus_Tec=$I19)*(Aus_Ini&lt;=Q$1)*(Aus_Fim&gt;=Q$1)*(Aus_Cod&gt;0))=0,"",IF(SUMPRODUCT((Aus_Tec=$I19)*(Aus_Ini&lt;=Q$1)*(Aus_Fim&gt;=Q$1)*(Aus_Cod&gt;0))&gt;1,"!",IFERROR(INDEX(Aus_Siglas,SUMPRODUCT((Aus_Tec=$I19)*(Aus_Ini&lt;=Q$1)*(Aus_Fim&gt;=Q$1)*Aus_Cod)),"!"))))</f>
        <v/>
      </c>
      <c r="R19" s="44">
        <f>IF(OR($I19="",R$1=""),"",IF(SUMPRODUCT((Aus_Tec=$I19)*(Aus_Ini&lt;=R$1)*(Aus_Fim&gt;=R$1)*(Aus_Cod&gt;0))=0,"",IF(SUMPRODUCT((Aus_Tec=$I19)*(Aus_Ini&lt;=R$1)*(Aus_Fim&gt;=R$1)*(Aus_Cod&gt;0))&gt;1,"!",IFERROR(INDEX(Aus_Siglas,SUMPRODUCT((Aus_Tec=$I19)*(Aus_Ini&lt;=R$1)*(Aus_Fim&gt;=R$1)*Aus_Cod)),"!"))))</f>
        <v/>
      </c>
      <c r="S19" s="44">
        <f>IF(OR($I19="",S$1=""),"",IF(SUMPRODUCT((Aus_Tec=$I19)*(Aus_Ini&lt;=S$1)*(Aus_Fim&gt;=S$1)*(Aus_Cod&gt;0))=0,"",IF(SUMPRODUCT((Aus_Tec=$I19)*(Aus_Ini&lt;=S$1)*(Aus_Fim&gt;=S$1)*(Aus_Cod&gt;0))&gt;1,"!",IFERROR(INDEX(Aus_Siglas,SUMPRODUCT((Aus_Tec=$I19)*(Aus_Ini&lt;=S$1)*(Aus_Fim&gt;=S$1)*Aus_Cod)),"!"))))</f>
        <v/>
      </c>
      <c r="T19" s="44">
        <f>IF(OR($I19="",T$1=""),"",IF(SUMPRODUCT((Aus_Tec=$I19)*(Aus_Ini&lt;=T$1)*(Aus_Fim&gt;=T$1)*(Aus_Cod&gt;0))=0,"",IF(SUMPRODUCT((Aus_Tec=$I19)*(Aus_Ini&lt;=T$1)*(Aus_Fim&gt;=T$1)*(Aus_Cod&gt;0))&gt;1,"!",IFERROR(INDEX(Aus_Siglas,SUMPRODUCT((Aus_Tec=$I19)*(Aus_Ini&lt;=T$1)*(Aus_Fim&gt;=T$1)*Aus_Cod)),"!"))))</f>
        <v/>
      </c>
      <c r="U19" s="44">
        <f>IF(OR($I19="",U$1=""),"",IF(SUMPRODUCT((Aus_Tec=$I19)*(Aus_Ini&lt;=U$1)*(Aus_Fim&gt;=U$1)*(Aus_Cod&gt;0))=0,"",IF(SUMPRODUCT((Aus_Tec=$I19)*(Aus_Ini&lt;=U$1)*(Aus_Fim&gt;=U$1)*(Aus_Cod&gt;0))&gt;1,"!",IFERROR(INDEX(Aus_Siglas,SUMPRODUCT((Aus_Tec=$I19)*(Aus_Ini&lt;=U$1)*(Aus_Fim&gt;=U$1)*Aus_Cod)),"!"))))</f>
        <v/>
      </c>
      <c r="V19" s="44">
        <f>IF(OR($I19="",V$1=""),"",IF(SUMPRODUCT((Aus_Tec=$I19)*(Aus_Ini&lt;=V$1)*(Aus_Fim&gt;=V$1)*(Aus_Cod&gt;0))=0,"",IF(SUMPRODUCT((Aus_Tec=$I19)*(Aus_Ini&lt;=V$1)*(Aus_Fim&gt;=V$1)*(Aus_Cod&gt;0))&gt;1,"!",IFERROR(INDEX(Aus_Siglas,SUMPRODUCT((Aus_Tec=$I19)*(Aus_Ini&lt;=V$1)*(Aus_Fim&gt;=V$1)*Aus_Cod)),"!"))))</f>
        <v/>
      </c>
      <c r="W19" s="44">
        <f>IF(OR($I19="",W$1=""),"",IF(SUMPRODUCT((Aus_Tec=$I19)*(Aus_Ini&lt;=W$1)*(Aus_Fim&gt;=W$1)*(Aus_Cod&gt;0))=0,"",IF(SUMPRODUCT((Aus_Tec=$I19)*(Aus_Ini&lt;=W$1)*(Aus_Fim&gt;=W$1)*(Aus_Cod&gt;0))&gt;1,"!",IFERROR(INDEX(Aus_Siglas,SUMPRODUCT((Aus_Tec=$I19)*(Aus_Ini&lt;=W$1)*(Aus_Fim&gt;=W$1)*Aus_Cod)),"!"))))</f>
        <v/>
      </c>
      <c r="X19" s="44">
        <f>IF(OR($I19="",X$1=""),"",IF(SUMPRODUCT((Aus_Tec=$I19)*(Aus_Ini&lt;=X$1)*(Aus_Fim&gt;=X$1)*(Aus_Cod&gt;0))=0,"",IF(SUMPRODUCT((Aus_Tec=$I19)*(Aus_Ini&lt;=X$1)*(Aus_Fim&gt;=X$1)*(Aus_Cod&gt;0))&gt;1,"!",IFERROR(INDEX(Aus_Siglas,SUMPRODUCT((Aus_Tec=$I19)*(Aus_Ini&lt;=X$1)*(Aus_Fim&gt;=X$1)*Aus_Cod)),"!"))))</f>
        <v/>
      </c>
      <c r="Y19" s="44">
        <f>IF(OR($I19="",Y$1=""),"",IF(SUMPRODUCT((Aus_Tec=$I19)*(Aus_Ini&lt;=Y$1)*(Aus_Fim&gt;=Y$1)*(Aus_Cod&gt;0))=0,"",IF(SUMPRODUCT((Aus_Tec=$I19)*(Aus_Ini&lt;=Y$1)*(Aus_Fim&gt;=Y$1)*(Aus_Cod&gt;0))&gt;1,"!",IFERROR(INDEX(Aus_Siglas,SUMPRODUCT((Aus_Tec=$I19)*(Aus_Ini&lt;=Y$1)*(Aus_Fim&gt;=Y$1)*Aus_Cod)),"!"))))</f>
        <v/>
      </c>
      <c r="Z19" s="44">
        <f>IF(OR($I19="",Z$1=""),"",IF(SUMPRODUCT((Aus_Tec=$I19)*(Aus_Ini&lt;=Z$1)*(Aus_Fim&gt;=Z$1)*(Aus_Cod&gt;0))=0,"",IF(SUMPRODUCT((Aus_Tec=$I19)*(Aus_Ini&lt;=Z$1)*(Aus_Fim&gt;=Z$1)*(Aus_Cod&gt;0))&gt;1,"!",IFERROR(INDEX(Aus_Siglas,SUMPRODUCT((Aus_Tec=$I19)*(Aus_Ini&lt;=Z$1)*(Aus_Fim&gt;=Z$1)*Aus_Cod)),"!"))))</f>
        <v/>
      </c>
      <c r="AA19" s="44">
        <f>IF(OR($I19="",AA$1=""),"",IF(SUMPRODUCT((Aus_Tec=$I19)*(Aus_Ini&lt;=AA$1)*(Aus_Fim&gt;=AA$1)*(Aus_Cod&gt;0))=0,"",IF(SUMPRODUCT((Aus_Tec=$I19)*(Aus_Ini&lt;=AA$1)*(Aus_Fim&gt;=AA$1)*(Aus_Cod&gt;0))&gt;1,"!",IFERROR(INDEX(Aus_Siglas,SUMPRODUCT((Aus_Tec=$I19)*(Aus_Ini&lt;=AA$1)*(Aus_Fim&gt;=AA$1)*Aus_Cod)),"!"))))</f>
        <v/>
      </c>
      <c r="AB19" s="44">
        <f>IF(OR($I19="",AB$1=""),"",IF(SUMPRODUCT((Aus_Tec=$I19)*(Aus_Ini&lt;=AB$1)*(Aus_Fim&gt;=AB$1)*(Aus_Cod&gt;0))=0,"",IF(SUMPRODUCT((Aus_Tec=$I19)*(Aus_Ini&lt;=AB$1)*(Aus_Fim&gt;=AB$1)*(Aus_Cod&gt;0))&gt;1,"!",IFERROR(INDEX(Aus_Siglas,SUMPRODUCT((Aus_Tec=$I19)*(Aus_Ini&lt;=AB$1)*(Aus_Fim&gt;=AB$1)*Aus_Cod)),"!"))))</f>
        <v/>
      </c>
      <c r="AC19" s="44">
        <f>IF(OR($I19="",AC$1=""),"",IF(SUMPRODUCT((Aus_Tec=$I19)*(Aus_Ini&lt;=AC$1)*(Aus_Fim&gt;=AC$1)*(Aus_Cod&gt;0))=0,"",IF(SUMPRODUCT((Aus_Tec=$I19)*(Aus_Ini&lt;=AC$1)*(Aus_Fim&gt;=AC$1)*(Aus_Cod&gt;0))&gt;1,"!",IFERROR(INDEX(Aus_Siglas,SUMPRODUCT((Aus_Tec=$I19)*(Aus_Ini&lt;=AC$1)*(Aus_Fim&gt;=AC$1)*Aus_Cod)),"!"))))</f>
        <v/>
      </c>
      <c r="AD19" s="44">
        <f>IF(OR($I19="",AD$1=""),"",IF(SUMPRODUCT((Aus_Tec=$I19)*(Aus_Ini&lt;=AD$1)*(Aus_Fim&gt;=AD$1)*(Aus_Cod&gt;0))=0,"",IF(SUMPRODUCT((Aus_Tec=$I19)*(Aus_Ini&lt;=AD$1)*(Aus_Fim&gt;=AD$1)*(Aus_Cod&gt;0))&gt;1,"!",IFERROR(INDEX(Aus_Siglas,SUMPRODUCT((Aus_Tec=$I19)*(Aus_Ini&lt;=AD$1)*(Aus_Fim&gt;=AD$1)*Aus_Cod)),"!"))))</f>
        <v/>
      </c>
      <c r="AE19" s="44">
        <f>IF(OR($I19="",AE$1=""),"",IF(SUMPRODUCT((Aus_Tec=$I19)*(Aus_Ini&lt;=AE$1)*(Aus_Fim&gt;=AE$1)*(Aus_Cod&gt;0))=0,"",IF(SUMPRODUCT((Aus_Tec=$I19)*(Aus_Ini&lt;=AE$1)*(Aus_Fim&gt;=AE$1)*(Aus_Cod&gt;0))&gt;1,"!",IFERROR(INDEX(Aus_Siglas,SUMPRODUCT((Aus_Tec=$I19)*(Aus_Ini&lt;=AE$1)*(Aus_Fim&gt;=AE$1)*Aus_Cod)),"!"))))</f>
        <v/>
      </c>
      <c r="AF19" s="44">
        <f>IF(OR($I19="",AF$1=""),"",IF(SUMPRODUCT((Aus_Tec=$I19)*(Aus_Ini&lt;=AF$1)*(Aus_Fim&gt;=AF$1)*(Aus_Cod&gt;0))=0,"",IF(SUMPRODUCT((Aus_Tec=$I19)*(Aus_Ini&lt;=AF$1)*(Aus_Fim&gt;=AF$1)*(Aus_Cod&gt;0))&gt;1,"!",IFERROR(INDEX(Aus_Siglas,SUMPRODUCT((Aus_Tec=$I19)*(Aus_Ini&lt;=AF$1)*(Aus_Fim&gt;=AF$1)*Aus_Cod)),"!"))))</f>
        <v/>
      </c>
      <c r="AG19" s="44">
        <f>IF(OR($I19="",AG$1=""),"",IF(SUMPRODUCT((Aus_Tec=$I19)*(Aus_Ini&lt;=AG$1)*(Aus_Fim&gt;=AG$1)*(Aus_Cod&gt;0))=0,"",IF(SUMPRODUCT((Aus_Tec=$I19)*(Aus_Ini&lt;=AG$1)*(Aus_Fim&gt;=AG$1)*(Aus_Cod&gt;0))&gt;1,"!",IFERROR(INDEX(Aus_Siglas,SUMPRODUCT((Aus_Tec=$I19)*(Aus_Ini&lt;=AG$1)*(Aus_Fim&gt;=AG$1)*Aus_Cod)),"!"))))</f>
        <v/>
      </c>
      <c r="AH19" s="44">
        <f>IF(OR($I19="",AH$1=""),"",IF(SUMPRODUCT((Aus_Tec=$I19)*(Aus_Ini&lt;=AH$1)*(Aus_Fim&gt;=AH$1)*(Aus_Cod&gt;0))=0,"",IF(SUMPRODUCT((Aus_Tec=$I19)*(Aus_Ini&lt;=AH$1)*(Aus_Fim&gt;=AH$1)*(Aus_Cod&gt;0))&gt;1,"!",IFERROR(INDEX(Aus_Siglas,SUMPRODUCT((Aus_Tec=$I19)*(Aus_Ini&lt;=AH$1)*(Aus_Fim&gt;=AH$1)*Aus_Cod)),"!"))))</f>
        <v/>
      </c>
      <c r="AI19" s="44">
        <f>IF(OR($I19="",AI$1=""),"",IF(SUMPRODUCT((Aus_Tec=$I19)*(Aus_Ini&lt;=AI$1)*(Aus_Fim&gt;=AI$1)*(Aus_Cod&gt;0))=0,"",IF(SUMPRODUCT((Aus_Tec=$I19)*(Aus_Ini&lt;=AI$1)*(Aus_Fim&gt;=AI$1)*(Aus_Cod&gt;0))&gt;1,"!",IFERROR(INDEX(Aus_Siglas,SUMPRODUCT((Aus_Tec=$I19)*(Aus_Ini&lt;=AI$1)*(Aus_Fim&gt;=AI$1)*Aus_Cod)),"!"))))</f>
        <v/>
      </c>
      <c r="AJ19" s="44">
        <f>IF(OR($I19="",AJ$1=""),"",IF(SUMPRODUCT((Aus_Tec=$I19)*(Aus_Ini&lt;=AJ$1)*(Aus_Fim&gt;=AJ$1)*(Aus_Cod&gt;0))=0,"",IF(SUMPRODUCT((Aus_Tec=$I19)*(Aus_Ini&lt;=AJ$1)*(Aus_Fim&gt;=AJ$1)*(Aus_Cod&gt;0))&gt;1,"!",IFERROR(INDEX(Aus_Siglas,SUMPRODUCT((Aus_Tec=$I19)*(Aus_Ini&lt;=AJ$1)*(Aus_Fim&gt;=AJ$1)*Aus_Cod)),"!"))))</f>
        <v/>
      </c>
      <c r="AK19" s="44">
        <f>IF(OR($I19="",AK$1=""),"",IF(SUMPRODUCT((Aus_Tec=$I19)*(Aus_Ini&lt;=AK$1)*(Aus_Fim&gt;=AK$1)*(Aus_Cod&gt;0))=0,"",IF(SUMPRODUCT((Aus_Tec=$I19)*(Aus_Ini&lt;=AK$1)*(Aus_Fim&gt;=AK$1)*(Aus_Cod&gt;0))&gt;1,"!",IFERROR(INDEX(Aus_Siglas,SUMPRODUCT((Aus_Tec=$I19)*(Aus_Ini&lt;=AK$1)*(Aus_Fim&gt;=AK$1)*Aus_Cod)),"!"))))</f>
        <v/>
      </c>
      <c r="AL19" s="44">
        <f>IF(OR($I19="",AL$1=""),"",IF(SUMPRODUCT((Aus_Tec=$I19)*(Aus_Ini&lt;=AL$1)*(Aus_Fim&gt;=AL$1)*(Aus_Cod&gt;0))=0,"",IF(SUMPRODUCT((Aus_Tec=$I19)*(Aus_Ini&lt;=AL$1)*(Aus_Fim&gt;=AL$1)*(Aus_Cod&gt;0))&gt;1,"!",IFERROR(INDEX(Aus_Siglas,SUMPRODUCT((Aus_Tec=$I19)*(Aus_Ini&lt;=AL$1)*(Aus_Fim&gt;=AL$1)*Aus_Cod)),"!"))))</f>
        <v/>
      </c>
      <c r="AM19" s="44">
        <f>IF(OR($I19="",AM$1=""),"",IF(SUMPRODUCT((Aus_Tec=$I19)*(Aus_Ini&lt;=AM$1)*(Aus_Fim&gt;=AM$1)*(Aus_Cod&gt;0))=0,"",IF(SUMPRODUCT((Aus_Tec=$I19)*(Aus_Ini&lt;=AM$1)*(Aus_Fim&gt;=AM$1)*(Aus_Cod&gt;0))&gt;1,"!",IFERROR(INDEX(Aus_Siglas,SUMPRODUCT((Aus_Tec=$I19)*(Aus_Ini&lt;=AM$1)*(Aus_Fim&gt;=AM$1)*Aus_Cod)),"!"))))</f>
        <v/>
      </c>
      <c r="AN19" s="44">
        <f>IF(OR($I19="",AN$1=""),"",IF(SUMPRODUCT((Aus_Tec=$I19)*(Aus_Ini&lt;=AN$1)*(Aus_Fim&gt;=AN$1)*(Aus_Cod&gt;0))=0,"",IF(SUMPRODUCT((Aus_Tec=$I19)*(Aus_Ini&lt;=AN$1)*(Aus_Fim&gt;=AN$1)*(Aus_Cod&gt;0))&gt;1,"!",IFERROR(INDEX(Aus_Siglas,SUMPRODUCT((Aus_Tec=$I19)*(Aus_Ini&lt;=AN$1)*(Aus_Fim&gt;=AN$1)*Aus_Cod)),"!"))))</f>
        <v/>
      </c>
    </row>
    <row r="20">
      <c r="A20" s="33" t="n"/>
      <c r="B20" s="31" t="n"/>
      <c r="C20" s="30" t="n"/>
      <c r="D20" s="30" t="n"/>
      <c r="E20" s="20">
        <f>IF(OR($A20="",NOT(ISNUMBER($C20)),NOT(ISNUMBER($D20))),"",$D20-$C20+1)</f>
        <v/>
      </c>
      <c r="F20" s="33" t="n"/>
      <c r="G20" s="35">
        <f>IF(AND($A20&lt;&gt;"",ISNUMBER($C20),ISNUMBER($D20),$C20&lt;=Data_Mapa,$D20&gt;=Data_Mapa),$A20,"")</f>
        <v/>
      </c>
      <c r="H20" s="35">
        <f>IF($A20="",0,IFERROR(MATCH($B20,Aus_Tipos,0),0))</f>
        <v/>
      </c>
      <c r="I20" s="43">
        <f>IF('Equipe'!$B$19="","",'Equipe'!$B$19)</f>
        <v/>
      </c>
      <c r="J20" s="44">
        <f>IF(OR($I20="",J$1=""),"",IF(SUMPRODUCT((Aus_Tec=$I20)*(Aus_Ini&lt;=J$1)*(Aus_Fim&gt;=J$1)*(Aus_Cod&gt;0))=0,"",IF(SUMPRODUCT((Aus_Tec=$I20)*(Aus_Ini&lt;=J$1)*(Aus_Fim&gt;=J$1)*(Aus_Cod&gt;0))&gt;1,"!",IFERROR(INDEX(Aus_Siglas,SUMPRODUCT((Aus_Tec=$I20)*(Aus_Ini&lt;=J$1)*(Aus_Fim&gt;=J$1)*Aus_Cod)),"!"))))</f>
        <v/>
      </c>
      <c r="K20" s="44">
        <f>IF(OR($I20="",K$1=""),"",IF(SUMPRODUCT((Aus_Tec=$I20)*(Aus_Ini&lt;=K$1)*(Aus_Fim&gt;=K$1)*(Aus_Cod&gt;0))=0,"",IF(SUMPRODUCT((Aus_Tec=$I20)*(Aus_Ini&lt;=K$1)*(Aus_Fim&gt;=K$1)*(Aus_Cod&gt;0))&gt;1,"!",IFERROR(INDEX(Aus_Siglas,SUMPRODUCT((Aus_Tec=$I20)*(Aus_Ini&lt;=K$1)*(Aus_Fim&gt;=K$1)*Aus_Cod)),"!"))))</f>
        <v/>
      </c>
      <c r="L20" s="44">
        <f>IF(OR($I20="",L$1=""),"",IF(SUMPRODUCT((Aus_Tec=$I20)*(Aus_Ini&lt;=L$1)*(Aus_Fim&gt;=L$1)*(Aus_Cod&gt;0))=0,"",IF(SUMPRODUCT((Aus_Tec=$I20)*(Aus_Ini&lt;=L$1)*(Aus_Fim&gt;=L$1)*(Aus_Cod&gt;0))&gt;1,"!",IFERROR(INDEX(Aus_Siglas,SUMPRODUCT((Aus_Tec=$I20)*(Aus_Ini&lt;=L$1)*(Aus_Fim&gt;=L$1)*Aus_Cod)),"!"))))</f>
        <v/>
      </c>
      <c r="M20" s="44">
        <f>IF(OR($I20="",M$1=""),"",IF(SUMPRODUCT((Aus_Tec=$I20)*(Aus_Ini&lt;=M$1)*(Aus_Fim&gt;=M$1)*(Aus_Cod&gt;0))=0,"",IF(SUMPRODUCT((Aus_Tec=$I20)*(Aus_Ini&lt;=M$1)*(Aus_Fim&gt;=M$1)*(Aus_Cod&gt;0))&gt;1,"!",IFERROR(INDEX(Aus_Siglas,SUMPRODUCT((Aus_Tec=$I20)*(Aus_Ini&lt;=M$1)*(Aus_Fim&gt;=M$1)*Aus_Cod)),"!"))))</f>
        <v/>
      </c>
      <c r="N20" s="44">
        <f>IF(OR($I20="",N$1=""),"",IF(SUMPRODUCT((Aus_Tec=$I20)*(Aus_Ini&lt;=N$1)*(Aus_Fim&gt;=N$1)*(Aus_Cod&gt;0))=0,"",IF(SUMPRODUCT((Aus_Tec=$I20)*(Aus_Ini&lt;=N$1)*(Aus_Fim&gt;=N$1)*(Aus_Cod&gt;0))&gt;1,"!",IFERROR(INDEX(Aus_Siglas,SUMPRODUCT((Aus_Tec=$I20)*(Aus_Ini&lt;=N$1)*(Aus_Fim&gt;=N$1)*Aus_Cod)),"!"))))</f>
        <v/>
      </c>
      <c r="O20" s="44">
        <f>IF(OR($I20="",O$1=""),"",IF(SUMPRODUCT((Aus_Tec=$I20)*(Aus_Ini&lt;=O$1)*(Aus_Fim&gt;=O$1)*(Aus_Cod&gt;0))=0,"",IF(SUMPRODUCT((Aus_Tec=$I20)*(Aus_Ini&lt;=O$1)*(Aus_Fim&gt;=O$1)*(Aus_Cod&gt;0))&gt;1,"!",IFERROR(INDEX(Aus_Siglas,SUMPRODUCT((Aus_Tec=$I20)*(Aus_Ini&lt;=O$1)*(Aus_Fim&gt;=O$1)*Aus_Cod)),"!"))))</f>
        <v/>
      </c>
      <c r="P20" s="44">
        <f>IF(OR($I20="",P$1=""),"",IF(SUMPRODUCT((Aus_Tec=$I20)*(Aus_Ini&lt;=P$1)*(Aus_Fim&gt;=P$1)*(Aus_Cod&gt;0))=0,"",IF(SUMPRODUCT((Aus_Tec=$I20)*(Aus_Ini&lt;=P$1)*(Aus_Fim&gt;=P$1)*(Aus_Cod&gt;0))&gt;1,"!",IFERROR(INDEX(Aus_Siglas,SUMPRODUCT((Aus_Tec=$I20)*(Aus_Ini&lt;=P$1)*(Aus_Fim&gt;=P$1)*Aus_Cod)),"!"))))</f>
        <v/>
      </c>
      <c r="Q20" s="44">
        <f>IF(OR($I20="",Q$1=""),"",IF(SUMPRODUCT((Aus_Tec=$I20)*(Aus_Ini&lt;=Q$1)*(Aus_Fim&gt;=Q$1)*(Aus_Cod&gt;0))=0,"",IF(SUMPRODUCT((Aus_Tec=$I20)*(Aus_Ini&lt;=Q$1)*(Aus_Fim&gt;=Q$1)*(Aus_Cod&gt;0))&gt;1,"!",IFERROR(INDEX(Aus_Siglas,SUMPRODUCT((Aus_Tec=$I20)*(Aus_Ini&lt;=Q$1)*(Aus_Fim&gt;=Q$1)*Aus_Cod)),"!"))))</f>
        <v/>
      </c>
      <c r="R20" s="44">
        <f>IF(OR($I20="",R$1=""),"",IF(SUMPRODUCT((Aus_Tec=$I20)*(Aus_Ini&lt;=R$1)*(Aus_Fim&gt;=R$1)*(Aus_Cod&gt;0))=0,"",IF(SUMPRODUCT((Aus_Tec=$I20)*(Aus_Ini&lt;=R$1)*(Aus_Fim&gt;=R$1)*(Aus_Cod&gt;0))&gt;1,"!",IFERROR(INDEX(Aus_Siglas,SUMPRODUCT((Aus_Tec=$I20)*(Aus_Ini&lt;=R$1)*(Aus_Fim&gt;=R$1)*Aus_Cod)),"!"))))</f>
        <v/>
      </c>
      <c r="S20" s="44">
        <f>IF(OR($I20="",S$1=""),"",IF(SUMPRODUCT((Aus_Tec=$I20)*(Aus_Ini&lt;=S$1)*(Aus_Fim&gt;=S$1)*(Aus_Cod&gt;0))=0,"",IF(SUMPRODUCT((Aus_Tec=$I20)*(Aus_Ini&lt;=S$1)*(Aus_Fim&gt;=S$1)*(Aus_Cod&gt;0))&gt;1,"!",IFERROR(INDEX(Aus_Siglas,SUMPRODUCT((Aus_Tec=$I20)*(Aus_Ini&lt;=S$1)*(Aus_Fim&gt;=S$1)*Aus_Cod)),"!"))))</f>
        <v/>
      </c>
      <c r="T20" s="44">
        <f>IF(OR($I20="",T$1=""),"",IF(SUMPRODUCT((Aus_Tec=$I20)*(Aus_Ini&lt;=T$1)*(Aus_Fim&gt;=T$1)*(Aus_Cod&gt;0))=0,"",IF(SUMPRODUCT((Aus_Tec=$I20)*(Aus_Ini&lt;=T$1)*(Aus_Fim&gt;=T$1)*(Aus_Cod&gt;0))&gt;1,"!",IFERROR(INDEX(Aus_Siglas,SUMPRODUCT((Aus_Tec=$I20)*(Aus_Ini&lt;=T$1)*(Aus_Fim&gt;=T$1)*Aus_Cod)),"!"))))</f>
        <v/>
      </c>
      <c r="U20" s="44">
        <f>IF(OR($I20="",U$1=""),"",IF(SUMPRODUCT((Aus_Tec=$I20)*(Aus_Ini&lt;=U$1)*(Aus_Fim&gt;=U$1)*(Aus_Cod&gt;0))=0,"",IF(SUMPRODUCT((Aus_Tec=$I20)*(Aus_Ini&lt;=U$1)*(Aus_Fim&gt;=U$1)*(Aus_Cod&gt;0))&gt;1,"!",IFERROR(INDEX(Aus_Siglas,SUMPRODUCT((Aus_Tec=$I20)*(Aus_Ini&lt;=U$1)*(Aus_Fim&gt;=U$1)*Aus_Cod)),"!"))))</f>
        <v/>
      </c>
      <c r="V20" s="44">
        <f>IF(OR($I20="",V$1=""),"",IF(SUMPRODUCT((Aus_Tec=$I20)*(Aus_Ini&lt;=V$1)*(Aus_Fim&gt;=V$1)*(Aus_Cod&gt;0))=0,"",IF(SUMPRODUCT((Aus_Tec=$I20)*(Aus_Ini&lt;=V$1)*(Aus_Fim&gt;=V$1)*(Aus_Cod&gt;0))&gt;1,"!",IFERROR(INDEX(Aus_Siglas,SUMPRODUCT((Aus_Tec=$I20)*(Aus_Ini&lt;=V$1)*(Aus_Fim&gt;=V$1)*Aus_Cod)),"!"))))</f>
        <v/>
      </c>
      <c r="W20" s="44">
        <f>IF(OR($I20="",W$1=""),"",IF(SUMPRODUCT((Aus_Tec=$I20)*(Aus_Ini&lt;=W$1)*(Aus_Fim&gt;=W$1)*(Aus_Cod&gt;0))=0,"",IF(SUMPRODUCT((Aus_Tec=$I20)*(Aus_Ini&lt;=W$1)*(Aus_Fim&gt;=W$1)*(Aus_Cod&gt;0))&gt;1,"!",IFERROR(INDEX(Aus_Siglas,SUMPRODUCT((Aus_Tec=$I20)*(Aus_Ini&lt;=W$1)*(Aus_Fim&gt;=W$1)*Aus_Cod)),"!"))))</f>
        <v/>
      </c>
      <c r="X20" s="44">
        <f>IF(OR($I20="",X$1=""),"",IF(SUMPRODUCT((Aus_Tec=$I20)*(Aus_Ini&lt;=X$1)*(Aus_Fim&gt;=X$1)*(Aus_Cod&gt;0))=0,"",IF(SUMPRODUCT((Aus_Tec=$I20)*(Aus_Ini&lt;=X$1)*(Aus_Fim&gt;=X$1)*(Aus_Cod&gt;0))&gt;1,"!",IFERROR(INDEX(Aus_Siglas,SUMPRODUCT((Aus_Tec=$I20)*(Aus_Ini&lt;=X$1)*(Aus_Fim&gt;=X$1)*Aus_Cod)),"!"))))</f>
        <v/>
      </c>
      <c r="Y20" s="44">
        <f>IF(OR($I20="",Y$1=""),"",IF(SUMPRODUCT((Aus_Tec=$I20)*(Aus_Ini&lt;=Y$1)*(Aus_Fim&gt;=Y$1)*(Aus_Cod&gt;0))=0,"",IF(SUMPRODUCT((Aus_Tec=$I20)*(Aus_Ini&lt;=Y$1)*(Aus_Fim&gt;=Y$1)*(Aus_Cod&gt;0))&gt;1,"!",IFERROR(INDEX(Aus_Siglas,SUMPRODUCT((Aus_Tec=$I20)*(Aus_Ini&lt;=Y$1)*(Aus_Fim&gt;=Y$1)*Aus_Cod)),"!"))))</f>
        <v/>
      </c>
      <c r="Z20" s="44">
        <f>IF(OR($I20="",Z$1=""),"",IF(SUMPRODUCT((Aus_Tec=$I20)*(Aus_Ini&lt;=Z$1)*(Aus_Fim&gt;=Z$1)*(Aus_Cod&gt;0))=0,"",IF(SUMPRODUCT((Aus_Tec=$I20)*(Aus_Ini&lt;=Z$1)*(Aus_Fim&gt;=Z$1)*(Aus_Cod&gt;0))&gt;1,"!",IFERROR(INDEX(Aus_Siglas,SUMPRODUCT((Aus_Tec=$I20)*(Aus_Ini&lt;=Z$1)*(Aus_Fim&gt;=Z$1)*Aus_Cod)),"!"))))</f>
        <v/>
      </c>
      <c r="AA20" s="44">
        <f>IF(OR($I20="",AA$1=""),"",IF(SUMPRODUCT((Aus_Tec=$I20)*(Aus_Ini&lt;=AA$1)*(Aus_Fim&gt;=AA$1)*(Aus_Cod&gt;0))=0,"",IF(SUMPRODUCT((Aus_Tec=$I20)*(Aus_Ini&lt;=AA$1)*(Aus_Fim&gt;=AA$1)*(Aus_Cod&gt;0))&gt;1,"!",IFERROR(INDEX(Aus_Siglas,SUMPRODUCT((Aus_Tec=$I20)*(Aus_Ini&lt;=AA$1)*(Aus_Fim&gt;=AA$1)*Aus_Cod)),"!"))))</f>
        <v/>
      </c>
      <c r="AB20" s="44">
        <f>IF(OR($I20="",AB$1=""),"",IF(SUMPRODUCT((Aus_Tec=$I20)*(Aus_Ini&lt;=AB$1)*(Aus_Fim&gt;=AB$1)*(Aus_Cod&gt;0))=0,"",IF(SUMPRODUCT((Aus_Tec=$I20)*(Aus_Ini&lt;=AB$1)*(Aus_Fim&gt;=AB$1)*(Aus_Cod&gt;0))&gt;1,"!",IFERROR(INDEX(Aus_Siglas,SUMPRODUCT((Aus_Tec=$I20)*(Aus_Ini&lt;=AB$1)*(Aus_Fim&gt;=AB$1)*Aus_Cod)),"!"))))</f>
        <v/>
      </c>
      <c r="AC20" s="44">
        <f>IF(OR($I20="",AC$1=""),"",IF(SUMPRODUCT((Aus_Tec=$I20)*(Aus_Ini&lt;=AC$1)*(Aus_Fim&gt;=AC$1)*(Aus_Cod&gt;0))=0,"",IF(SUMPRODUCT((Aus_Tec=$I20)*(Aus_Ini&lt;=AC$1)*(Aus_Fim&gt;=AC$1)*(Aus_Cod&gt;0))&gt;1,"!",IFERROR(INDEX(Aus_Siglas,SUMPRODUCT((Aus_Tec=$I20)*(Aus_Ini&lt;=AC$1)*(Aus_Fim&gt;=AC$1)*Aus_Cod)),"!"))))</f>
        <v/>
      </c>
      <c r="AD20" s="44">
        <f>IF(OR($I20="",AD$1=""),"",IF(SUMPRODUCT((Aus_Tec=$I20)*(Aus_Ini&lt;=AD$1)*(Aus_Fim&gt;=AD$1)*(Aus_Cod&gt;0))=0,"",IF(SUMPRODUCT((Aus_Tec=$I20)*(Aus_Ini&lt;=AD$1)*(Aus_Fim&gt;=AD$1)*(Aus_Cod&gt;0))&gt;1,"!",IFERROR(INDEX(Aus_Siglas,SUMPRODUCT((Aus_Tec=$I20)*(Aus_Ini&lt;=AD$1)*(Aus_Fim&gt;=AD$1)*Aus_Cod)),"!"))))</f>
        <v/>
      </c>
      <c r="AE20" s="44">
        <f>IF(OR($I20="",AE$1=""),"",IF(SUMPRODUCT((Aus_Tec=$I20)*(Aus_Ini&lt;=AE$1)*(Aus_Fim&gt;=AE$1)*(Aus_Cod&gt;0))=0,"",IF(SUMPRODUCT((Aus_Tec=$I20)*(Aus_Ini&lt;=AE$1)*(Aus_Fim&gt;=AE$1)*(Aus_Cod&gt;0))&gt;1,"!",IFERROR(INDEX(Aus_Siglas,SUMPRODUCT((Aus_Tec=$I20)*(Aus_Ini&lt;=AE$1)*(Aus_Fim&gt;=AE$1)*Aus_Cod)),"!"))))</f>
        <v/>
      </c>
      <c r="AF20" s="44">
        <f>IF(OR($I20="",AF$1=""),"",IF(SUMPRODUCT((Aus_Tec=$I20)*(Aus_Ini&lt;=AF$1)*(Aus_Fim&gt;=AF$1)*(Aus_Cod&gt;0))=0,"",IF(SUMPRODUCT((Aus_Tec=$I20)*(Aus_Ini&lt;=AF$1)*(Aus_Fim&gt;=AF$1)*(Aus_Cod&gt;0))&gt;1,"!",IFERROR(INDEX(Aus_Siglas,SUMPRODUCT((Aus_Tec=$I20)*(Aus_Ini&lt;=AF$1)*(Aus_Fim&gt;=AF$1)*Aus_Cod)),"!"))))</f>
        <v/>
      </c>
      <c r="AG20" s="44">
        <f>IF(OR($I20="",AG$1=""),"",IF(SUMPRODUCT((Aus_Tec=$I20)*(Aus_Ini&lt;=AG$1)*(Aus_Fim&gt;=AG$1)*(Aus_Cod&gt;0))=0,"",IF(SUMPRODUCT((Aus_Tec=$I20)*(Aus_Ini&lt;=AG$1)*(Aus_Fim&gt;=AG$1)*(Aus_Cod&gt;0))&gt;1,"!",IFERROR(INDEX(Aus_Siglas,SUMPRODUCT((Aus_Tec=$I20)*(Aus_Ini&lt;=AG$1)*(Aus_Fim&gt;=AG$1)*Aus_Cod)),"!"))))</f>
        <v/>
      </c>
      <c r="AH20" s="44">
        <f>IF(OR($I20="",AH$1=""),"",IF(SUMPRODUCT((Aus_Tec=$I20)*(Aus_Ini&lt;=AH$1)*(Aus_Fim&gt;=AH$1)*(Aus_Cod&gt;0))=0,"",IF(SUMPRODUCT((Aus_Tec=$I20)*(Aus_Ini&lt;=AH$1)*(Aus_Fim&gt;=AH$1)*(Aus_Cod&gt;0))&gt;1,"!",IFERROR(INDEX(Aus_Siglas,SUMPRODUCT((Aus_Tec=$I20)*(Aus_Ini&lt;=AH$1)*(Aus_Fim&gt;=AH$1)*Aus_Cod)),"!"))))</f>
        <v/>
      </c>
      <c r="AI20" s="44">
        <f>IF(OR($I20="",AI$1=""),"",IF(SUMPRODUCT((Aus_Tec=$I20)*(Aus_Ini&lt;=AI$1)*(Aus_Fim&gt;=AI$1)*(Aus_Cod&gt;0))=0,"",IF(SUMPRODUCT((Aus_Tec=$I20)*(Aus_Ini&lt;=AI$1)*(Aus_Fim&gt;=AI$1)*(Aus_Cod&gt;0))&gt;1,"!",IFERROR(INDEX(Aus_Siglas,SUMPRODUCT((Aus_Tec=$I20)*(Aus_Ini&lt;=AI$1)*(Aus_Fim&gt;=AI$1)*Aus_Cod)),"!"))))</f>
        <v/>
      </c>
      <c r="AJ20" s="44">
        <f>IF(OR($I20="",AJ$1=""),"",IF(SUMPRODUCT((Aus_Tec=$I20)*(Aus_Ini&lt;=AJ$1)*(Aus_Fim&gt;=AJ$1)*(Aus_Cod&gt;0))=0,"",IF(SUMPRODUCT((Aus_Tec=$I20)*(Aus_Ini&lt;=AJ$1)*(Aus_Fim&gt;=AJ$1)*(Aus_Cod&gt;0))&gt;1,"!",IFERROR(INDEX(Aus_Siglas,SUMPRODUCT((Aus_Tec=$I20)*(Aus_Ini&lt;=AJ$1)*(Aus_Fim&gt;=AJ$1)*Aus_Cod)),"!"))))</f>
        <v/>
      </c>
      <c r="AK20" s="44">
        <f>IF(OR($I20="",AK$1=""),"",IF(SUMPRODUCT((Aus_Tec=$I20)*(Aus_Ini&lt;=AK$1)*(Aus_Fim&gt;=AK$1)*(Aus_Cod&gt;0))=0,"",IF(SUMPRODUCT((Aus_Tec=$I20)*(Aus_Ini&lt;=AK$1)*(Aus_Fim&gt;=AK$1)*(Aus_Cod&gt;0))&gt;1,"!",IFERROR(INDEX(Aus_Siglas,SUMPRODUCT((Aus_Tec=$I20)*(Aus_Ini&lt;=AK$1)*(Aus_Fim&gt;=AK$1)*Aus_Cod)),"!"))))</f>
        <v/>
      </c>
      <c r="AL20" s="44">
        <f>IF(OR($I20="",AL$1=""),"",IF(SUMPRODUCT((Aus_Tec=$I20)*(Aus_Ini&lt;=AL$1)*(Aus_Fim&gt;=AL$1)*(Aus_Cod&gt;0))=0,"",IF(SUMPRODUCT((Aus_Tec=$I20)*(Aus_Ini&lt;=AL$1)*(Aus_Fim&gt;=AL$1)*(Aus_Cod&gt;0))&gt;1,"!",IFERROR(INDEX(Aus_Siglas,SUMPRODUCT((Aus_Tec=$I20)*(Aus_Ini&lt;=AL$1)*(Aus_Fim&gt;=AL$1)*Aus_Cod)),"!"))))</f>
        <v/>
      </c>
      <c r="AM20" s="44">
        <f>IF(OR($I20="",AM$1=""),"",IF(SUMPRODUCT((Aus_Tec=$I20)*(Aus_Ini&lt;=AM$1)*(Aus_Fim&gt;=AM$1)*(Aus_Cod&gt;0))=0,"",IF(SUMPRODUCT((Aus_Tec=$I20)*(Aus_Ini&lt;=AM$1)*(Aus_Fim&gt;=AM$1)*(Aus_Cod&gt;0))&gt;1,"!",IFERROR(INDEX(Aus_Siglas,SUMPRODUCT((Aus_Tec=$I20)*(Aus_Ini&lt;=AM$1)*(Aus_Fim&gt;=AM$1)*Aus_Cod)),"!"))))</f>
        <v/>
      </c>
      <c r="AN20" s="44">
        <f>IF(OR($I20="",AN$1=""),"",IF(SUMPRODUCT((Aus_Tec=$I20)*(Aus_Ini&lt;=AN$1)*(Aus_Fim&gt;=AN$1)*(Aus_Cod&gt;0))=0,"",IF(SUMPRODUCT((Aus_Tec=$I20)*(Aus_Ini&lt;=AN$1)*(Aus_Fim&gt;=AN$1)*(Aus_Cod&gt;0))&gt;1,"!",IFERROR(INDEX(Aus_Siglas,SUMPRODUCT((Aus_Tec=$I20)*(Aus_Ini&lt;=AN$1)*(Aus_Fim&gt;=AN$1)*Aus_Cod)),"!"))))</f>
        <v/>
      </c>
    </row>
    <row r="21">
      <c r="A21" s="33" t="n"/>
      <c r="B21" s="31" t="n"/>
      <c r="C21" s="30" t="n"/>
      <c r="D21" s="30" t="n"/>
      <c r="E21" s="20">
        <f>IF(OR($A21="",NOT(ISNUMBER($C21)),NOT(ISNUMBER($D21))),"",$D21-$C21+1)</f>
        <v/>
      </c>
      <c r="F21" s="33" t="n"/>
      <c r="G21" s="35">
        <f>IF(AND($A21&lt;&gt;"",ISNUMBER($C21),ISNUMBER($D21),$C21&lt;=Data_Mapa,$D21&gt;=Data_Mapa),$A21,"")</f>
        <v/>
      </c>
      <c r="H21" s="35">
        <f>IF($A21="",0,IFERROR(MATCH($B21,Aus_Tipos,0),0))</f>
        <v/>
      </c>
      <c r="I21" s="43">
        <f>IF('Equipe'!$B$20="","",'Equipe'!$B$20)</f>
        <v/>
      </c>
      <c r="J21" s="44">
        <f>IF(OR($I21="",J$1=""),"",IF(SUMPRODUCT((Aus_Tec=$I21)*(Aus_Ini&lt;=J$1)*(Aus_Fim&gt;=J$1)*(Aus_Cod&gt;0))=0,"",IF(SUMPRODUCT((Aus_Tec=$I21)*(Aus_Ini&lt;=J$1)*(Aus_Fim&gt;=J$1)*(Aus_Cod&gt;0))&gt;1,"!",IFERROR(INDEX(Aus_Siglas,SUMPRODUCT((Aus_Tec=$I21)*(Aus_Ini&lt;=J$1)*(Aus_Fim&gt;=J$1)*Aus_Cod)),"!"))))</f>
        <v/>
      </c>
      <c r="K21" s="44">
        <f>IF(OR($I21="",K$1=""),"",IF(SUMPRODUCT((Aus_Tec=$I21)*(Aus_Ini&lt;=K$1)*(Aus_Fim&gt;=K$1)*(Aus_Cod&gt;0))=0,"",IF(SUMPRODUCT((Aus_Tec=$I21)*(Aus_Ini&lt;=K$1)*(Aus_Fim&gt;=K$1)*(Aus_Cod&gt;0))&gt;1,"!",IFERROR(INDEX(Aus_Siglas,SUMPRODUCT((Aus_Tec=$I21)*(Aus_Ini&lt;=K$1)*(Aus_Fim&gt;=K$1)*Aus_Cod)),"!"))))</f>
        <v/>
      </c>
      <c r="L21" s="44">
        <f>IF(OR($I21="",L$1=""),"",IF(SUMPRODUCT((Aus_Tec=$I21)*(Aus_Ini&lt;=L$1)*(Aus_Fim&gt;=L$1)*(Aus_Cod&gt;0))=0,"",IF(SUMPRODUCT((Aus_Tec=$I21)*(Aus_Ini&lt;=L$1)*(Aus_Fim&gt;=L$1)*(Aus_Cod&gt;0))&gt;1,"!",IFERROR(INDEX(Aus_Siglas,SUMPRODUCT((Aus_Tec=$I21)*(Aus_Ini&lt;=L$1)*(Aus_Fim&gt;=L$1)*Aus_Cod)),"!"))))</f>
        <v/>
      </c>
      <c r="M21" s="44">
        <f>IF(OR($I21="",M$1=""),"",IF(SUMPRODUCT((Aus_Tec=$I21)*(Aus_Ini&lt;=M$1)*(Aus_Fim&gt;=M$1)*(Aus_Cod&gt;0))=0,"",IF(SUMPRODUCT((Aus_Tec=$I21)*(Aus_Ini&lt;=M$1)*(Aus_Fim&gt;=M$1)*(Aus_Cod&gt;0))&gt;1,"!",IFERROR(INDEX(Aus_Siglas,SUMPRODUCT((Aus_Tec=$I21)*(Aus_Ini&lt;=M$1)*(Aus_Fim&gt;=M$1)*Aus_Cod)),"!"))))</f>
        <v/>
      </c>
      <c r="N21" s="44">
        <f>IF(OR($I21="",N$1=""),"",IF(SUMPRODUCT((Aus_Tec=$I21)*(Aus_Ini&lt;=N$1)*(Aus_Fim&gt;=N$1)*(Aus_Cod&gt;0))=0,"",IF(SUMPRODUCT((Aus_Tec=$I21)*(Aus_Ini&lt;=N$1)*(Aus_Fim&gt;=N$1)*(Aus_Cod&gt;0))&gt;1,"!",IFERROR(INDEX(Aus_Siglas,SUMPRODUCT((Aus_Tec=$I21)*(Aus_Ini&lt;=N$1)*(Aus_Fim&gt;=N$1)*Aus_Cod)),"!"))))</f>
        <v/>
      </c>
      <c r="O21" s="44">
        <f>IF(OR($I21="",O$1=""),"",IF(SUMPRODUCT((Aus_Tec=$I21)*(Aus_Ini&lt;=O$1)*(Aus_Fim&gt;=O$1)*(Aus_Cod&gt;0))=0,"",IF(SUMPRODUCT((Aus_Tec=$I21)*(Aus_Ini&lt;=O$1)*(Aus_Fim&gt;=O$1)*(Aus_Cod&gt;0))&gt;1,"!",IFERROR(INDEX(Aus_Siglas,SUMPRODUCT((Aus_Tec=$I21)*(Aus_Ini&lt;=O$1)*(Aus_Fim&gt;=O$1)*Aus_Cod)),"!"))))</f>
        <v/>
      </c>
      <c r="P21" s="44">
        <f>IF(OR($I21="",P$1=""),"",IF(SUMPRODUCT((Aus_Tec=$I21)*(Aus_Ini&lt;=P$1)*(Aus_Fim&gt;=P$1)*(Aus_Cod&gt;0))=0,"",IF(SUMPRODUCT((Aus_Tec=$I21)*(Aus_Ini&lt;=P$1)*(Aus_Fim&gt;=P$1)*(Aus_Cod&gt;0))&gt;1,"!",IFERROR(INDEX(Aus_Siglas,SUMPRODUCT((Aus_Tec=$I21)*(Aus_Ini&lt;=P$1)*(Aus_Fim&gt;=P$1)*Aus_Cod)),"!"))))</f>
        <v/>
      </c>
      <c r="Q21" s="44">
        <f>IF(OR($I21="",Q$1=""),"",IF(SUMPRODUCT((Aus_Tec=$I21)*(Aus_Ini&lt;=Q$1)*(Aus_Fim&gt;=Q$1)*(Aus_Cod&gt;0))=0,"",IF(SUMPRODUCT((Aus_Tec=$I21)*(Aus_Ini&lt;=Q$1)*(Aus_Fim&gt;=Q$1)*(Aus_Cod&gt;0))&gt;1,"!",IFERROR(INDEX(Aus_Siglas,SUMPRODUCT((Aus_Tec=$I21)*(Aus_Ini&lt;=Q$1)*(Aus_Fim&gt;=Q$1)*Aus_Cod)),"!"))))</f>
        <v/>
      </c>
      <c r="R21" s="44">
        <f>IF(OR($I21="",R$1=""),"",IF(SUMPRODUCT((Aus_Tec=$I21)*(Aus_Ini&lt;=R$1)*(Aus_Fim&gt;=R$1)*(Aus_Cod&gt;0))=0,"",IF(SUMPRODUCT((Aus_Tec=$I21)*(Aus_Ini&lt;=R$1)*(Aus_Fim&gt;=R$1)*(Aus_Cod&gt;0))&gt;1,"!",IFERROR(INDEX(Aus_Siglas,SUMPRODUCT((Aus_Tec=$I21)*(Aus_Ini&lt;=R$1)*(Aus_Fim&gt;=R$1)*Aus_Cod)),"!"))))</f>
        <v/>
      </c>
      <c r="S21" s="44">
        <f>IF(OR($I21="",S$1=""),"",IF(SUMPRODUCT((Aus_Tec=$I21)*(Aus_Ini&lt;=S$1)*(Aus_Fim&gt;=S$1)*(Aus_Cod&gt;0))=0,"",IF(SUMPRODUCT((Aus_Tec=$I21)*(Aus_Ini&lt;=S$1)*(Aus_Fim&gt;=S$1)*(Aus_Cod&gt;0))&gt;1,"!",IFERROR(INDEX(Aus_Siglas,SUMPRODUCT((Aus_Tec=$I21)*(Aus_Ini&lt;=S$1)*(Aus_Fim&gt;=S$1)*Aus_Cod)),"!"))))</f>
        <v/>
      </c>
      <c r="T21" s="44">
        <f>IF(OR($I21="",T$1=""),"",IF(SUMPRODUCT((Aus_Tec=$I21)*(Aus_Ini&lt;=T$1)*(Aus_Fim&gt;=T$1)*(Aus_Cod&gt;0))=0,"",IF(SUMPRODUCT((Aus_Tec=$I21)*(Aus_Ini&lt;=T$1)*(Aus_Fim&gt;=T$1)*(Aus_Cod&gt;0))&gt;1,"!",IFERROR(INDEX(Aus_Siglas,SUMPRODUCT((Aus_Tec=$I21)*(Aus_Ini&lt;=T$1)*(Aus_Fim&gt;=T$1)*Aus_Cod)),"!"))))</f>
        <v/>
      </c>
      <c r="U21" s="44">
        <f>IF(OR($I21="",U$1=""),"",IF(SUMPRODUCT((Aus_Tec=$I21)*(Aus_Ini&lt;=U$1)*(Aus_Fim&gt;=U$1)*(Aus_Cod&gt;0))=0,"",IF(SUMPRODUCT((Aus_Tec=$I21)*(Aus_Ini&lt;=U$1)*(Aus_Fim&gt;=U$1)*(Aus_Cod&gt;0))&gt;1,"!",IFERROR(INDEX(Aus_Siglas,SUMPRODUCT((Aus_Tec=$I21)*(Aus_Ini&lt;=U$1)*(Aus_Fim&gt;=U$1)*Aus_Cod)),"!"))))</f>
        <v/>
      </c>
      <c r="V21" s="44">
        <f>IF(OR($I21="",V$1=""),"",IF(SUMPRODUCT((Aus_Tec=$I21)*(Aus_Ini&lt;=V$1)*(Aus_Fim&gt;=V$1)*(Aus_Cod&gt;0))=0,"",IF(SUMPRODUCT((Aus_Tec=$I21)*(Aus_Ini&lt;=V$1)*(Aus_Fim&gt;=V$1)*(Aus_Cod&gt;0))&gt;1,"!",IFERROR(INDEX(Aus_Siglas,SUMPRODUCT((Aus_Tec=$I21)*(Aus_Ini&lt;=V$1)*(Aus_Fim&gt;=V$1)*Aus_Cod)),"!"))))</f>
        <v/>
      </c>
      <c r="W21" s="44">
        <f>IF(OR($I21="",W$1=""),"",IF(SUMPRODUCT((Aus_Tec=$I21)*(Aus_Ini&lt;=W$1)*(Aus_Fim&gt;=W$1)*(Aus_Cod&gt;0))=0,"",IF(SUMPRODUCT((Aus_Tec=$I21)*(Aus_Ini&lt;=W$1)*(Aus_Fim&gt;=W$1)*(Aus_Cod&gt;0))&gt;1,"!",IFERROR(INDEX(Aus_Siglas,SUMPRODUCT((Aus_Tec=$I21)*(Aus_Ini&lt;=W$1)*(Aus_Fim&gt;=W$1)*Aus_Cod)),"!"))))</f>
        <v/>
      </c>
      <c r="X21" s="44">
        <f>IF(OR($I21="",X$1=""),"",IF(SUMPRODUCT((Aus_Tec=$I21)*(Aus_Ini&lt;=X$1)*(Aus_Fim&gt;=X$1)*(Aus_Cod&gt;0))=0,"",IF(SUMPRODUCT((Aus_Tec=$I21)*(Aus_Ini&lt;=X$1)*(Aus_Fim&gt;=X$1)*(Aus_Cod&gt;0))&gt;1,"!",IFERROR(INDEX(Aus_Siglas,SUMPRODUCT((Aus_Tec=$I21)*(Aus_Ini&lt;=X$1)*(Aus_Fim&gt;=X$1)*Aus_Cod)),"!"))))</f>
        <v/>
      </c>
      <c r="Y21" s="44">
        <f>IF(OR($I21="",Y$1=""),"",IF(SUMPRODUCT((Aus_Tec=$I21)*(Aus_Ini&lt;=Y$1)*(Aus_Fim&gt;=Y$1)*(Aus_Cod&gt;0))=0,"",IF(SUMPRODUCT((Aus_Tec=$I21)*(Aus_Ini&lt;=Y$1)*(Aus_Fim&gt;=Y$1)*(Aus_Cod&gt;0))&gt;1,"!",IFERROR(INDEX(Aus_Siglas,SUMPRODUCT((Aus_Tec=$I21)*(Aus_Ini&lt;=Y$1)*(Aus_Fim&gt;=Y$1)*Aus_Cod)),"!"))))</f>
        <v/>
      </c>
      <c r="Z21" s="44">
        <f>IF(OR($I21="",Z$1=""),"",IF(SUMPRODUCT((Aus_Tec=$I21)*(Aus_Ini&lt;=Z$1)*(Aus_Fim&gt;=Z$1)*(Aus_Cod&gt;0))=0,"",IF(SUMPRODUCT((Aus_Tec=$I21)*(Aus_Ini&lt;=Z$1)*(Aus_Fim&gt;=Z$1)*(Aus_Cod&gt;0))&gt;1,"!",IFERROR(INDEX(Aus_Siglas,SUMPRODUCT((Aus_Tec=$I21)*(Aus_Ini&lt;=Z$1)*(Aus_Fim&gt;=Z$1)*Aus_Cod)),"!"))))</f>
        <v/>
      </c>
      <c r="AA21" s="44">
        <f>IF(OR($I21="",AA$1=""),"",IF(SUMPRODUCT((Aus_Tec=$I21)*(Aus_Ini&lt;=AA$1)*(Aus_Fim&gt;=AA$1)*(Aus_Cod&gt;0))=0,"",IF(SUMPRODUCT((Aus_Tec=$I21)*(Aus_Ini&lt;=AA$1)*(Aus_Fim&gt;=AA$1)*(Aus_Cod&gt;0))&gt;1,"!",IFERROR(INDEX(Aus_Siglas,SUMPRODUCT((Aus_Tec=$I21)*(Aus_Ini&lt;=AA$1)*(Aus_Fim&gt;=AA$1)*Aus_Cod)),"!"))))</f>
        <v/>
      </c>
      <c r="AB21" s="44">
        <f>IF(OR($I21="",AB$1=""),"",IF(SUMPRODUCT((Aus_Tec=$I21)*(Aus_Ini&lt;=AB$1)*(Aus_Fim&gt;=AB$1)*(Aus_Cod&gt;0))=0,"",IF(SUMPRODUCT((Aus_Tec=$I21)*(Aus_Ini&lt;=AB$1)*(Aus_Fim&gt;=AB$1)*(Aus_Cod&gt;0))&gt;1,"!",IFERROR(INDEX(Aus_Siglas,SUMPRODUCT((Aus_Tec=$I21)*(Aus_Ini&lt;=AB$1)*(Aus_Fim&gt;=AB$1)*Aus_Cod)),"!"))))</f>
        <v/>
      </c>
      <c r="AC21" s="44">
        <f>IF(OR($I21="",AC$1=""),"",IF(SUMPRODUCT((Aus_Tec=$I21)*(Aus_Ini&lt;=AC$1)*(Aus_Fim&gt;=AC$1)*(Aus_Cod&gt;0))=0,"",IF(SUMPRODUCT((Aus_Tec=$I21)*(Aus_Ini&lt;=AC$1)*(Aus_Fim&gt;=AC$1)*(Aus_Cod&gt;0))&gt;1,"!",IFERROR(INDEX(Aus_Siglas,SUMPRODUCT((Aus_Tec=$I21)*(Aus_Ini&lt;=AC$1)*(Aus_Fim&gt;=AC$1)*Aus_Cod)),"!"))))</f>
        <v/>
      </c>
      <c r="AD21" s="44">
        <f>IF(OR($I21="",AD$1=""),"",IF(SUMPRODUCT((Aus_Tec=$I21)*(Aus_Ini&lt;=AD$1)*(Aus_Fim&gt;=AD$1)*(Aus_Cod&gt;0))=0,"",IF(SUMPRODUCT((Aus_Tec=$I21)*(Aus_Ini&lt;=AD$1)*(Aus_Fim&gt;=AD$1)*(Aus_Cod&gt;0))&gt;1,"!",IFERROR(INDEX(Aus_Siglas,SUMPRODUCT((Aus_Tec=$I21)*(Aus_Ini&lt;=AD$1)*(Aus_Fim&gt;=AD$1)*Aus_Cod)),"!"))))</f>
        <v/>
      </c>
      <c r="AE21" s="44">
        <f>IF(OR($I21="",AE$1=""),"",IF(SUMPRODUCT((Aus_Tec=$I21)*(Aus_Ini&lt;=AE$1)*(Aus_Fim&gt;=AE$1)*(Aus_Cod&gt;0))=0,"",IF(SUMPRODUCT((Aus_Tec=$I21)*(Aus_Ini&lt;=AE$1)*(Aus_Fim&gt;=AE$1)*(Aus_Cod&gt;0))&gt;1,"!",IFERROR(INDEX(Aus_Siglas,SUMPRODUCT((Aus_Tec=$I21)*(Aus_Ini&lt;=AE$1)*(Aus_Fim&gt;=AE$1)*Aus_Cod)),"!"))))</f>
        <v/>
      </c>
      <c r="AF21" s="44">
        <f>IF(OR($I21="",AF$1=""),"",IF(SUMPRODUCT((Aus_Tec=$I21)*(Aus_Ini&lt;=AF$1)*(Aus_Fim&gt;=AF$1)*(Aus_Cod&gt;0))=0,"",IF(SUMPRODUCT((Aus_Tec=$I21)*(Aus_Ini&lt;=AF$1)*(Aus_Fim&gt;=AF$1)*(Aus_Cod&gt;0))&gt;1,"!",IFERROR(INDEX(Aus_Siglas,SUMPRODUCT((Aus_Tec=$I21)*(Aus_Ini&lt;=AF$1)*(Aus_Fim&gt;=AF$1)*Aus_Cod)),"!"))))</f>
        <v/>
      </c>
      <c r="AG21" s="44">
        <f>IF(OR($I21="",AG$1=""),"",IF(SUMPRODUCT((Aus_Tec=$I21)*(Aus_Ini&lt;=AG$1)*(Aus_Fim&gt;=AG$1)*(Aus_Cod&gt;0))=0,"",IF(SUMPRODUCT((Aus_Tec=$I21)*(Aus_Ini&lt;=AG$1)*(Aus_Fim&gt;=AG$1)*(Aus_Cod&gt;0))&gt;1,"!",IFERROR(INDEX(Aus_Siglas,SUMPRODUCT((Aus_Tec=$I21)*(Aus_Ini&lt;=AG$1)*(Aus_Fim&gt;=AG$1)*Aus_Cod)),"!"))))</f>
        <v/>
      </c>
      <c r="AH21" s="44">
        <f>IF(OR($I21="",AH$1=""),"",IF(SUMPRODUCT((Aus_Tec=$I21)*(Aus_Ini&lt;=AH$1)*(Aus_Fim&gt;=AH$1)*(Aus_Cod&gt;0))=0,"",IF(SUMPRODUCT((Aus_Tec=$I21)*(Aus_Ini&lt;=AH$1)*(Aus_Fim&gt;=AH$1)*(Aus_Cod&gt;0))&gt;1,"!",IFERROR(INDEX(Aus_Siglas,SUMPRODUCT((Aus_Tec=$I21)*(Aus_Ini&lt;=AH$1)*(Aus_Fim&gt;=AH$1)*Aus_Cod)),"!"))))</f>
        <v/>
      </c>
      <c r="AI21" s="44">
        <f>IF(OR($I21="",AI$1=""),"",IF(SUMPRODUCT((Aus_Tec=$I21)*(Aus_Ini&lt;=AI$1)*(Aus_Fim&gt;=AI$1)*(Aus_Cod&gt;0))=0,"",IF(SUMPRODUCT((Aus_Tec=$I21)*(Aus_Ini&lt;=AI$1)*(Aus_Fim&gt;=AI$1)*(Aus_Cod&gt;0))&gt;1,"!",IFERROR(INDEX(Aus_Siglas,SUMPRODUCT((Aus_Tec=$I21)*(Aus_Ini&lt;=AI$1)*(Aus_Fim&gt;=AI$1)*Aus_Cod)),"!"))))</f>
        <v/>
      </c>
      <c r="AJ21" s="44">
        <f>IF(OR($I21="",AJ$1=""),"",IF(SUMPRODUCT((Aus_Tec=$I21)*(Aus_Ini&lt;=AJ$1)*(Aus_Fim&gt;=AJ$1)*(Aus_Cod&gt;0))=0,"",IF(SUMPRODUCT((Aus_Tec=$I21)*(Aus_Ini&lt;=AJ$1)*(Aus_Fim&gt;=AJ$1)*(Aus_Cod&gt;0))&gt;1,"!",IFERROR(INDEX(Aus_Siglas,SUMPRODUCT((Aus_Tec=$I21)*(Aus_Ini&lt;=AJ$1)*(Aus_Fim&gt;=AJ$1)*Aus_Cod)),"!"))))</f>
        <v/>
      </c>
      <c r="AK21" s="44">
        <f>IF(OR($I21="",AK$1=""),"",IF(SUMPRODUCT((Aus_Tec=$I21)*(Aus_Ini&lt;=AK$1)*(Aus_Fim&gt;=AK$1)*(Aus_Cod&gt;0))=0,"",IF(SUMPRODUCT((Aus_Tec=$I21)*(Aus_Ini&lt;=AK$1)*(Aus_Fim&gt;=AK$1)*(Aus_Cod&gt;0))&gt;1,"!",IFERROR(INDEX(Aus_Siglas,SUMPRODUCT((Aus_Tec=$I21)*(Aus_Ini&lt;=AK$1)*(Aus_Fim&gt;=AK$1)*Aus_Cod)),"!"))))</f>
        <v/>
      </c>
      <c r="AL21" s="44">
        <f>IF(OR($I21="",AL$1=""),"",IF(SUMPRODUCT((Aus_Tec=$I21)*(Aus_Ini&lt;=AL$1)*(Aus_Fim&gt;=AL$1)*(Aus_Cod&gt;0))=0,"",IF(SUMPRODUCT((Aus_Tec=$I21)*(Aus_Ini&lt;=AL$1)*(Aus_Fim&gt;=AL$1)*(Aus_Cod&gt;0))&gt;1,"!",IFERROR(INDEX(Aus_Siglas,SUMPRODUCT((Aus_Tec=$I21)*(Aus_Ini&lt;=AL$1)*(Aus_Fim&gt;=AL$1)*Aus_Cod)),"!"))))</f>
        <v/>
      </c>
      <c r="AM21" s="44">
        <f>IF(OR($I21="",AM$1=""),"",IF(SUMPRODUCT((Aus_Tec=$I21)*(Aus_Ini&lt;=AM$1)*(Aus_Fim&gt;=AM$1)*(Aus_Cod&gt;0))=0,"",IF(SUMPRODUCT((Aus_Tec=$I21)*(Aus_Ini&lt;=AM$1)*(Aus_Fim&gt;=AM$1)*(Aus_Cod&gt;0))&gt;1,"!",IFERROR(INDEX(Aus_Siglas,SUMPRODUCT((Aus_Tec=$I21)*(Aus_Ini&lt;=AM$1)*(Aus_Fim&gt;=AM$1)*Aus_Cod)),"!"))))</f>
        <v/>
      </c>
      <c r="AN21" s="44">
        <f>IF(OR($I21="",AN$1=""),"",IF(SUMPRODUCT((Aus_Tec=$I21)*(Aus_Ini&lt;=AN$1)*(Aus_Fim&gt;=AN$1)*(Aus_Cod&gt;0))=0,"",IF(SUMPRODUCT((Aus_Tec=$I21)*(Aus_Ini&lt;=AN$1)*(Aus_Fim&gt;=AN$1)*(Aus_Cod&gt;0))&gt;1,"!",IFERROR(INDEX(Aus_Siglas,SUMPRODUCT((Aus_Tec=$I21)*(Aus_Ini&lt;=AN$1)*(Aus_Fim&gt;=AN$1)*Aus_Cod)),"!"))))</f>
        <v/>
      </c>
    </row>
    <row r="22">
      <c r="A22" s="33" t="n"/>
      <c r="B22" s="31" t="n"/>
      <c r="C22" s="30" t="n"/>
      <c r="D22" s="30" t="n"/>
      <c r="E22" s="20">
        <f>IF(OR($A22="",NOT(ISNUMBER($C22)),NOT(ISNUMBER($D22))),"",$D22-$C22+1)</f>
        <v/>
      </c>
      <c r="F22" s="33" t="n"/>
      <c r="G22" s="35">
        <f>IF(AND($A22&lt;&gt;"",ISNUMBER($C22),ISNUMBER($D22),$C22&lt;=Data_Mapa,$D22&gt;=Data_Mapa),$A22,"")</f>
        <v/>
      </c>
      <c r="H22" s="35">
        <f>IF($A22="",0,IFERROR(MATCH($B22,Aus_Tipos,0),0))</f>
        <v/>
      </c>
      <c r="I22" s="43">
        <f>IF('Equipe'!$B$21="","",'Equipe'!$B$21)</f>
        <v/>
      </c>
      <c r="J22" s="44">
        <f>IF(OR($I22="",J$1=""),"",IF(SUMPRODUCT((Aus_Tec=$I22)*(Aus_Ini&lt;=J$1)*(Aus_Fim&gt;=J$1)*(Aus_Cod&gt;0))=0,"",IF(SUMPRODUCT((Aus_Tec=$I22)*(Aus_Ini&lt;=J$1)*(Aus_Fim&gt;=J$1)*(Aus_Cod&gt;0))&gt;1,"!",IFERROR(INDEX(Aus_Siglas,SUMPRODUCT((Aus_Tec=$I22)*(Aus_Ini&lt;=J$1)*(Aus_Fim&gt;=J$1)*Aus_Cod)),"!"))))</f>
        <v/>
      </c>
      <c r="K22" s="44">
        <f>IF(OR($I22="",K$1=""),"",IF(SUMPRODUCT((Aus_Tec=$I22)*(Aus_Ini&lt;=K$1)*(Aus_Fim&gt;=K$1)*(Aus_Cod&gt;0))=0,"",IF(SUMPRODUCT((Aus_Tec=$I22)*(Aus_Ini&lt;=K$1)*(Aus_Fim&gt;=K$1)*(Aus_Cod&gt;0))&gt;1,"!",IFERROR(INDEX(Aus_Siglas,SUMPRODUCT((Aus_Tec=$I22)*(Aus_Ini&lt;=K$1)*(Aus_Fim&gt;=K$1)*Aus_Cod)),"!"))))</f>
        <v/>
      </c>
      <c r="L22" s="44">
        <f>IF(OR($I22="",L$1=""),"",IF(SUMPRODUCT((Aus_Tec=$I22)*(Aus_Ini&lt;=L$1)*(Aus_Fim&gt;=L$1)*(Aus_Cod&gt;0))=0,"",IF(SUMPRODUCT((Aus_Tec=$I22)*(Aus_Ini&lt;=L$1)*(Aus_Fim&gt;=L$1)*(Aus_Cod&gt;0))&gt;1,"!",IFERROR(INDEX(Aus_Siglas,SUMPRODUCT((Aus_Tec=$I22)*(Aus_Ini&lt;=L$1)*(Aus_Fim&gt;=L$1)*Aus_Cod)),"!"))))</f>
        <v/>
      </c>
      <c r="M22" s="44">
        <f>IF(OR($I22="",M$1=""),"",IF(SUMPRODUCT((Aus_Tec=$I22)*(Aus_Ini&lt;=M$1)*(Aus_Fim&gt;=M$1)*(Aus_Cod&gt;0))=0,"",IF(SUMPRODUCT((Aus_Tec=$I22)*(Aus_Ini&lt;=M$1)*(Aus_Fim&gt;=M$1)*(Aus_Cod&gt;0))&gt;1,"!",IFERROR(INDEX(Aus_Siglas,SUMPRODUCT((Aus_Tec=$I22)*(Aus_Ini&lt;=M$1)*(Aus_Fim&gt;=M$1)*Aus_Cod)),"!"))))</f>
        <v/>
      </c>
      <c r="N22" s="44">
        <f>IF(OR($I22="",N$1=""),"",IF(SUMPRODUCT((Aus_Tec=$I22)*(Aus_Ini&lt;=N$1)*(Aus_Fim&gt;=N$1)*(Aus_Cod&gt;0))=0,"",IF(SUMPRODUCT((Aus_Tec=$I22)*(Aus_Ini&lt;=N$1)*(Aus_Fim&gt;=N$1)*(Aus_Cod&gt;0))&gt;1,"!",IFERROR(INDEX(Aus_Siglas,SUMPRODUCT((Aus_Tec=$I22)*(Aus_Ini&lt;=N$1)*(Aus_Fim&gt;=N$1)*Aus_Cod)),"!"))))</f>
        <v/>
      </c>
      <c r="O22" s="44">
        <f>IF(OR($I22="",O$1=""),"",IF(SUMPRODUCT((Aus_Tec=$I22)*(Aus_Ini&lt;=O$1)*(Aus_Fim&gt;=O$1)*(Aus_Cod&gt;0))=0,"",IF(SUMPRODUCT((Aus_Tec=$I22)*(Aus_Ini&lt;=O$1)*(Aus_Fim&gt;=O$1)*(Aus_Cod&gt;0))&gt;1,"!",IFERROR(INDEX(Aus_Siglas,SUMPRODUCT((Aus_Tec=$I22)*(Aus_Ini&lt;=O$1)*(Aus_Fim&gt;=O$1)*Aus_Cod)),"!"))))</f>
        <v/>
      </c>
      <c r="P22" s="44">
        <f>IF(OR($I22="",P$1=""),"",IF(SUMPRODUCT((Aus_Tec=$I22)*(Aus_Ini&lt;=P$1)*(Aus_Fim&gt;=P$1)*(Aus_Cod&gt;0))=0,"",IF(SUMPRODUCT((Aus_Tec=$I22)*(Aus_Ini&lt;=P$1)*(Aus_Fim&gt;=P$1)*(Aus_Cod&gt;0))&gt;1,"!",IFERROR(INDEX(Aus_Siglas,SUMPRODUCT((Aus_Tec=$I22)*(Aus_Ini&lt;=P$1)*(Aus_Fim&gt;=P$1)*Aus_Cod)),"!"))))</f>
        <v/>
      </c>
      <c r="Q22" s="44">
        <f>IF(OR($I22="",Q$1=""),"",IF(SUMPRODUCT((Aus_Tec=$I22)*(Aus_Ini&lt;=Q$1)*(Aus_Fim&gt;=Q$1)*(Aus_Cod&gt;0))=0,"",IF(SUMPRODUCT((Aus_Tec=$I22)*(Aus_Ini&lt;=Q$1)*(Aus_Fim&gt;=Q$1)*(Aus_Cod&gt;0))&gt;1,"!",IFERROR(INDEX(Aus_Siglas,SUMPRODUCT((Aus_Tec=$I22)*(Aus_Ini&lt;=Q$1)*(Aus_Fim&gt;=Q$1)*Aus_Cod)),"!"))))</f>
        <v/>
      </c>
      <c r="R22" s="44">
        <f>IF(OR($I22="",R$1=""),"",IF(SUMPRODUCT((Aus_Tec=$I22)*(Aus_Ini&lt;=R$1)*(Aus_Fim&gt;=R$1)*(Aus_Cod&gt;0))=0,"",IF(SUMPRODUCT((Aus_Tec=$I22)*(Aus_Ini&lt;=R$1)*(Aus_Fim&gt;=R$1)*(Aus_Cod&gt;0))&gt;1,"!",IFERROR(INDEX(Aus_Siglas,SUMPRODUCT((Aus_Tec=$I22)*(Aus_Ini&lt;=R$1)*(Aus_Fim&gt;=R$1)*Aus_Cod)),"!"))))</f>
        <v/>
      </c>
      <c r="S22" s="44">
        <f>IF(OR($I22="",S$1=""),"",IF(SUMPRODUCT((Aus_Tec=$I22)*(Aus_Ini&lt;=S$1)*(Aus_Fim&gt;=S$1)*(Aus_Cod&gt;0))=0,"",IF(SUMPRODUCT((Aus_Tec=$I22)*(Aus_Ini&lt;=S$1)*(Aus_Fim&gt;=S$1)*(Aus_Cod&gt;0))&gt;1,"!",IFERROR(INDEX(Aus_Siglas,SUMPRODUCT((Aus_Tec=$I22)*(Aus_Ini&lt;=S$1)*(Aus_Fim&gt;=S$1)*Aus_Cod)),"!"))))</f>
        <v/>
      </c>
      <c r="T22" s="44">
        <f>IF(OR($I22="",T$1=""),"",IF(SUMPRODUCT((Aus_Tec=$I22)*(Aus_Ini&lt;=T$1)*(Aus_Fim&gt;=T$1)*(Aus_Cod&gt;0))=0,"",IF(SUMPRODUCT((Aus_Tec=$I22)*(Aus_Ini&lt;=T$1)*(Aus_Fim&gt;=T$1)*(Aus_Cod&gt;0))&gt;1,"!",IFERROR(INDEX(Aus_Siglas,SUMPRODUCT((Aus_Tec=$I22)*(Aus_Ini&lt;=T$1)*(Aus_Fim&gt;=T$1)*Aus_Cod)),"!"))))</f>
        <v/>
      </c>
      <c r="U22" s="44">
        <f>IF(OR($I22="",U$1=""),"",IF(SUMPRODUCT((Aus_Tec=$I22)*(Aus_Ini&lt;=U$1)*(Aus_Fim&gt;=U$1)*(Aus_Cod&gt;0))=0,"",IF(SUMPRODUCT((Aus_Tec=$I22)*(Aus_Ini&lt;=U$1)*(Aus_Fim&gt;=U$1)*(Aus_Cod&gt;0))&gt;1,"!",IFERROR(INDEX(Aus_Siglas,SUMPRODUCT((Aus_Tec=$I22)*(Aus_Ini&lt;=U$1)*(Aus_Fim&gt;=U$1)*Aus_Cod)),"!"))))</f>
        <v/>
      </c>
      <c r="V22" s="44">
        <f>IF(OR($I22="",V$1=""),"",IF(SUMPRODUCT((Aus_Tec=$I22)*(Aus_Ini&lt;=V$1)*(Aus_Fim&gt;=V$1)*(Aus_Cod&gt;0))=0,"",IF(SUMPRODUCT((Aus_Tec=$I22)*(Aus_Ini&lt;=V$1)*(Aus_Fim&gt;=V$1)*(Aus_Cod&gt;0))&gt;1,"!",IFERROR(INDEX(Aus_Siglas,SUMPRODUCT((Aus_Tec=$I22)*(Aus_Ini&lt;=V$1)*(Aus_Fim&gt;=V$1)*Aus_Cod)),"!"))))</f>
        <v/>
      </c>
      <c r="W22" s="44">
        <f>IF(OR($I22="",W$1=""),"",IF(SUMPRODUCT((Aus_Tec=$I22)*(Aus_Ini&lt;=W$1)*(Aus_Fim&gt;=W$1)*(Aus_Cod&gt;0))=0,"",IF(SUMPRODUCT((Aus_Tec=$I22)*(Aus_Ini&lt;=W$1)*(Aus_Fim&gt;=W$1)*(Aus_Cod&gt;0))&gt;1,"!",IFERROR(INDEX(Aus_Siglas,SUMPRODUCT((Aus_Tec=$I22)*(Aus_Ini&lt;=W$1)*(Aus_Fim&gt;=W$1)*Aus_Cod)),"!"))))</f>
        <v/>
      </c>
      <c r="X22" s="44">
        <f>IF(OR($I22="",X$1=""),"",IF(SUMPRODUCT((Aus_Tec=$I22)*(Aus_Ini&lt;=X$1)*(Aus_Fim&gt;=X$1)*(Aus_Cod&gt;0))=0,"",IF(SUMPRODUCT((Aus_Tec=$I22)*(Aus_Ini&lt;=X$1)*(Aus_Fim&gt;=X$1)*(Aus_Cod&gt;0))&gt;1,"!",IFERROR(INDEX(Aus_Siglas,SUMPRODUCT((Aus_Tec=$I22)*(Aus_Ini&lt;=X$1)*(Aus_Fim&gt;=X$1)*Aus_Cod)),"!"))))</f>
        <v/>
      </c>
      <c r="Y22" s="44">
        <f>IF(OR($I22="",Y$1=""),"",IF(SUMPRODUCT((Aus_Tec=$I22)*(Aus_Ini&lt;=Y$1)*(Aus_Fim&gt;=Y$1)*(Aus_Cod&gt;0))=0,"",IF(SUMPRODUCT((Aus_Tec=$I22)*(Aus_Ini&lt;=Y$1)*(Aus_Fim&gt;=Y$1)*(Aus_Cod&gt;0))&gt;1,"!",IFERROR(INDEX(Aus_Siglas,SUMPRODUCT((Aus_Tec=$I22)*(Aus_Ini&lt;=Y$1)*(Aus_Fim&gt;=Y$1)*Aus_Cod)),"!"))))</f>
        <v/>
      </c>
      <c r="Z22" s="44">
        <f>IF(OR($I22="",Z$1=""),"",IF(SUMPRODUCT((Aus_Tec=$I22)*(Aus_Ini&lt;=Z$1)*(Aus_Fim&gt;=Z$1)*(Aus_Cod&gt;0))=0,"",IF(SUMPRODUCT((Aus_Tec=$I22)*(Aus_Ini&lt;=Z$1)*(Aus_Fim&gt;=Z$1)*(Aus_Cod&gt;0))&gt;1,"!",IFERROR(INDEX(Aus_Siglas,SUMPRODUCT((Aus_Tec=$I22)*(Aus_Ini&lt;=Z$1)*(Aus_Fim&gt;=Z$1)*Aus_Cod)),"!"))))</f>
        <v/>
      </c>
      <c r="AA22" s="44">
        <f>IF(OR($I22="",AA$1=""),"",IF(SUMPRODUCT((Aus_Tec=$I22)*(Aus_Ini&lt;=AA$1)*(Aus_Fim&gt;=AA$1)*(Aus_Cod&gt;0))=0,"",IF(SUMPRODUCT((Aus_Tec=$I22)*(Aus_Ini&lt;=AA$1)*(Aus_Fim&gt;=AA$1)*(Aus_Cod&gt;0))&gt;1,"!",IFERROR(INDEX(Aus_Siglas,SUMPRODUCT((Aus_Tec=$I22)*(Aus_Ini&lt;=AA$1)*(Aus_Fim&gt;=AA$1)*Aus_Cod)),"!"))))</f>
        <v/>
      </c>
      <c r="AB22" s="44">
        <f>IF(OR($I22="",AB$1=""),"",IF(SUMPRODUCT((Aus_Tec=$I22)*(Aus_Ini&lt;=AB$1)*(Aus_Fim&gt;=AB$1)*(Aus_Cod&gt;0))=0,"",IF(SUMPRODUCT((Aus_Tec=$I22)*(Aus_Ini&lt;=AB$1)*(Aus_Fim&gt;=AB$1)*(Aus_Cod&gt;0))&gt;1,"!",IFERROR(INDEX(Aus_Siglas,SUMPRODUCT((Aus_Tec=$I22)*(Aus_Ini&lt;=AB$1)*(Aus_Fim&gt;=AB$1)*Aus_Cod)),"!"))))</f>
        <v/>
      </c>
      <c r="AC22" s="44">
        <f>IF(OR($I22="",AC$1=""),"",IF(SUMPRODUCT((Aus_Tec=$I22)*(Aus_Ini&lt;=AC$1)*(Aus_Fim&gt;=AC$1)*(Aus_Cod&gt;0))=0,"",IF(SUMPRODUCT((Aus_Tec=$I22)*(Aus_Ini&lt;=AC$1)*(Aus_Fim&gt;=AC$1)*(Aus_Cod&gt;0))&gt;1,"!",IFERROR(INDEX(Aus_Siglas,SUMPRODUCT((Aus_Tec=$I22)*(Aus_Ini&lt;=AC$1)*(Aus_Fim&gt;=AC$1)*Aus_Cod)),"!"))))</f>
        <v/>
      </c>
      <c r="AD22" s="44">
        <f>IF(OR($I22="",AD$1=""),"",IF(SUMPRODUCT((Aus_Tec=$I22)*(Aus_Ini&lt;=AD$1)*(Aus_Fim&gt;=AD$1)*(Aus_Cod&gt;0))=0,"",IF(SUMPRODUCT((Aus_Tec=$I22)*(Aus_Ini&lt;=AD$1)*(Aus_Fim&gt;=AD$1)*(Aus_Cod&gt;0))&gt;1,"!",IFERROR(INDEX(Aus_Siglas,SUMPRODUCT((Aus_Tec=$I22)*(Aus_Ini&lt;=AD$1)*(Aus_Fim&gt;=AD$1)*Aus_Cod)),"!"))))</f>
        <v/>
      </c>
      <c r="AE22" s="44">
        <f>IF(OR($I22="",AE$1=""),"",IF(SUMPRODUCT((Aus_Tec=$I22)*(Aus_Ini&lt;=AE$1)*(Aus_Fim&gt;=AE$1)*(Aus_Cod&gt;0))=0,"",IF(SUMPRODUCT((Aus_Tec=$I22)*(Aus_Ini&lt;=AE$1)*(Aus_Fim&gt;=AE$1)*(Aus_Cod&gt;0))&gt;1,"!",IFERROR(INDEX(Aus_Siglas,SUMPRODUCT((Aus_Tec=$I22)*(Aus_Ini&lt;=AE$1)*(Aus_Fim&gt;=AE$1)*Aus_Cod)),"!"))))</f>
        <v/>
      </c>
      <c r="AF22" s="44">
        <f>IF(OR($I22="",AF$1=""),"",IF(SUMPRODUCT((Aus_Tec=$I22)*(Aus_Ini&lt;=AF$1)*(Aus_Fim&gt;=AF$1)*(Aus_Cod&gt;0))=0,"",IF(SUMPRODUCT((Aus_Tec=$I22)*(Aus_Ini&lt;=AF$1)*(Aus_Fim&gt;=AF$1)*(Aus_Cod&gt;0))&gt;1,"!",IFERROR(INDEX(Aus_Siglas,SUMPRODUCT((Aus_Tec=$I22)*(Aus_Ini&lt;=AF$1)*(Aus_Fim&gt;=AF$1)*Aus_Cod)),"!"))))</f>
        <v/>
      </c>
      <c r="AG22" s="44">
        <f>IF(OR($I22="",AG$1=""),"",IF(SUMPRODUCT((Aus_Tec=$I22)*(Aus_Ini&lt;=AG$1)*(Aus_Fim&gt;=AG$1)*(Aus_Cod&gt;0))=0,"",IF(SUMPRODUCT((Aus_Tec=$I22)*(Aus_Ini&lt;=AG$1)*(Aus_Fim&gt;=AG$1)*(Aus_Cod&gt;0))&gt;1,"!",IFERROR(INDEX(Aus_Siglas,SUMPRODUCT((Aus_Tec=$I22)*(Aus_Ini&lt;=AG$1)*(Aus_Fim&gt;=AG$1)*Aus_Cod)),"!"))))</f>
        <v/>
      </c>
      <c r="AH22" s="44">
        <f>IF(OR($I22="",AH$1=""),"",IF(SUMPRODUCT((Aus_Tec=$I22)*(Aus_Ini&lt;=AH$1)*(Aus_Fim&gt;=AH$1)*(Aus_Cod&gt;0))=0,"",IF(SUMPRODUCT((Aus_Tec=$I22)*(Aus_Ini&lt;=AH$1)*(Aus_Fim&gt;=AH$1)*(Aus_Cod&gt;0))&gt;1,"!",IFERROR(INDEX(Aus_Siglas,SUMPRODUCT((Aus_Tec=$I22)*(Aus_Ini&lt;=AH$1)*(Aus_Fim&gt;=AH$1)*Aus_Cod)),"!"))))</f>
        <v/>
      </c>
      <c r="AI22" s="44">
        <f>IF(OR($I22="",AI$1=""),"",IF(SUMPRODUCT((Aus_Tec=$I22)*(Aus_Ini&lt;=AI$1)*(Aus_Fim&gt;=AI$1)*(Aus_Cod&gt;0))=0,"",IF(SUMPRODUCT((Aus_Tec=$I22)*(Aus_Ini&lt;=AI$1)*(Aus_Fim&gt;=AI$1)*(Aus_Cod&gt;0))&gt;1,"!",IFERROR(INDEX(Aus_Siglas,SUMPRODUCT((Aus_Tec=$I22)*(Aus_Ini&lt;=AI$1)*(Aus_Fim&gt;=AI$1)*Aus_Cod)),"!"))))</f>
        <v/>
      </c>
      <c r="AJ22" s="44">
        <f>IF(OR($I22="",AJ$1=""),"",IF(SUMPRODUCT((Aus_Tec=$I22)*(Aus_Ini&lt;=AJ$1)*(Aus_Fim&gt;=AJ$1)*(Aus_Cod&gt;0))=0,"",IF(SUMPRODUCT((Aus_Tec=$I22)*(Aus_Ini&lt;=AJ$1)*(Aus_Fim&gt;=AJ$1)*(Aus_Cod&gt;0))&gt;1,"!",IFERROR(INDEX(Aus_Siglas,SUMPRODUCT((Aus_Tec=$I22)*(Aus_Ini&lt;=AJ$1)*(Aus_Fim&gt;=AJ$1)*Aus_Cod)),"!"))))</f>
        <v/>
      </c>
      <c r="AK22" s="44">
        <f>IF(OR($I22="",AK$1=""),"",IF(SUMPRODUCT((Aus_Tec=$I22)*(Aus_Ini&lt;=AK$1)*(Aus_Fim&gt;=AK$1)*(Aus_Cod&gt;0))=0,"",IF(SUMPRODUCT((Aus_Tec=$I22)*(Aus_Ini&lt;=AK$1)*(Aus_Fim&gt;=AK$1)*(Aus_Cod&gt;0))&gt;1,"!",IFERROR(INDEX(Aus_Siglas,SUMPRODUCT((Aus_Tec=$I22)*(Aus_Ini&lt;=AK$1)*(Aus_Fim&gt;=AK$1)*Aus_Cod)),"!"))))</f>
        <v/>
      </c>
      <c r="AL22" s="44">
        <f>IF(OR($I22="",AL$1=""),"",IF(SUMPRODUCT((Aus_Tec=$I22)*(Aus_Ini&lt;=AL$1)*(Aus_Fim&gt;=AL$1)*(Aus_Cod&gt;0))=0,"",IF(SUMPRODUCT((Aus_Tec=$I22)*(Aus_Ini&lt;=AL$1)*(Aus_Fim&gt;=AL$1)*(Aus_Cod&gt;0))&gt;1,"!",IFERROR(INDEX(Aus_Siglas,SUMPRODUCT((Aus_Tec=$I22)*(Aus_Ini&lt;=AL$1)*(Aus_Fim&gt;=AL$1)*Aus_Cod)),"!"))))</f>
        <v/>
      </c>
      <c r="AM22" s="44">
        <f>IF(OR($I22="",AM$1=""),"",IF(SUMPRODUCT((Aus_Tec=$I22)*(Aus_Ini&lt;=AM$1)*(Aus_Fim&gt;=AM$1)*(Aus_Cod&gt;0))=0,"",IF(SUMPRODUCT((Aus_Tec=$I22)*(Aus_Ini&lt;=AM$1)*(Aus_Fim&gt;=AM$1)*(Aus_Cod&gt;0))&gt;1,"!",IFERROR(INDEX(Aus_Siglas,SUMPRODUCT((Aus_Tec=$I22)*(Aus_Ini&lt;=AM$1)*(Aus_Fim&gt;=AM$1)*Aus_Cod)),"!"))))</f>
        <v/>
      </c>
      <c r="AN22" s="44">
        <f>IF(OR($I22="",AN$1=""),"",IF(SUMPRODUCT((Aus_Tec=$I22)*(Aus_Ini&lt;=AN$1)*(Aus_Fim&gt;=AN$1)*(Aus_Cod&gt;0))=0,"",IF(SUMPRODUCT((Aus_Tec=$I22)*(Aus_Ini&lt;=AN$1)*(Aus_Fim&gt;=AN$1)*(Aus_Cod&gt;0))&gt;1,"!",IFERROR(INDEX(Aus_Siglas,SUMPRODUCT((Aus_Tec=$I22)*(Aus_Ini&lt;=AN$1)*(Aus_Fim&gt;=AN$1)*Aus_Cod)),"!"))))</f>
        <v/>
      </c>
    </row>
    <row r="23">
      <c r="A23" s="33" t="n"/>
      <c r="B23" s="31" t="n"/>
      <c r="C23" s="30" t="n"/>
      <c r="D23" s="30" t="n"/>
      <c r="E23" s="20">
        <f>IF(OR($A23="",NOT(ISNUMBER($C23)),NOT(ISNUMBER($D23))),"",$D23-$C23+1)</f>
        <v/>
      </c>
      <c r="F23" s="33" t="n"/>
      <c r="G23" s="35">
        <f>IF(AND($A23&lt;&gt;"",ISNUMBER($C23),ISNUMBER($D23),$C23&lt;=Data_Mapa,$D23&gt;=Data_Mapa),$A23,"")</f>
        <v/>
      </c>
      <c r="H23" s="35">
        <f>IF($A23="",0,IFERROR(MATCH($B23,Aus_Tipos,0),0))</f>
        <v/>
      </c>
      <c r="I23" s="43">
        <f>IF('Equipe'!$B$22="","",'Equipe'!$B$22)</f>
        <v/>
      </c>
      <c r="J23" s="44">
        <f>IF(OR($I23="",J$1=""),"",IF(SUMPRODUCT((Aus_Tec=$I23)*(Aus_Ini&lt;=J$1)*(Aus_Fim&gt;=J$1)*(Aus_Cod&gt;0))=0,"",IF(SUMPRODUCT((Aus_Tec=$I23)*(Aus_Ini&lt;=J$1)*(Aus_Fim&gt;=J$1)*(Aus_Cod&gt;0))&gt;1,"!",IFERROR(INDEX(Aus_Siglas,SUMPRODUCT((Aus_Tec=$I23)*(Aus_Ini&lt;=J$1)*(Aus_Fim&gt;=J$1)*Aus_Cod)),"!"))))</f>
        <v/>
      </c>
      <c r="K23" s="44">
        <f>IF(OR($I23="",K$1=""),"",IF(SUMPRODUCT((Aus_Tec=$I23)*(Aus_Ini&lt;=K$1)*(Aus_Fim&gt;=K$1)*(Aus_Cod&gt;0))=0,"",IF(SUMPRODUCT((Aus_Tec=$I23)*(Aus_Ini&lt;=K$1)*(Aus_Fim&gt;=K$1)*(Aus_Cod&gt;0))&gt;1,"!",IFERROR(INDEX(Aus_Siglas,SUMPRODUCT((Aus_Tec=$I23)*(Aus_Ini&lt;=K$1)*(Aus_Fim&gt;=K$1)*Aus_Cod)),"!"))))</f>
        <v/>
      </c>
      <c r="L23" s="44">
        <f>IF(OR($I23="",L$1=""),"",IF(SUMPRODUCT((Aus_Tec=$I23)*(Aus_Ini&lt;=L$1)*(Aus_Fim&gt;=L$1)*(Aus_Cod&gt;0))=0,"",IF(SUMPRODUCT((Aus_Tec=$I23)*(Aus_Ini&lt;=L$1)*(Aus_Fim&gt;=L$1)*(Aus_Cod&gt;0))&gt;1,"!",IFERROR(INDEX(Aus_Siglas,SUMPRODUCT((Aus_Tec=$I23)*(Aus_Ini&lt;=L$1)*(Aus_Fim&gt;=L$1)*Aus_Cod)),"!"))))</f>
        <v/>
      </c>
      <c r="M23" s="44">
        <f>IF(OR($I23="",M$1=""),"",IF(SUMPRODUCT((Aus_Tec=$I23)*(Aus_Ini&lt;=M$1)*(Aus_Fim&gt;=M$1)*(Aus_Cod&gt;0))=0,"",IF(SUMPRODUCT((Aus_Tec=$I23)*(Aus_Ini&lt;=M$1)*(Aus_Fim&gt;=M$1)*(Aus_Cod&gt;0))&gt;1,"!",IFERROR(INDEX(Aus_Siglas,SUMPRODUCT((Aus_Tec=$I23)*(Aus_Ini&lt;=M$1)*(Aus_Fim&gt;=M$1)*Aus_Cod)),"!"))))</f>
        <v/>
      </c>
      <c r="N23" s="44">
        <f>IF(OR($I23="",N$1=""),"",IF(SUMPRODUCT((Aus_Tec=$I23)*(Aus_Ini&lt;=N$1)*(Aus_Fim&gt;=N$1)*(Aus_Cod&gt;0))=0,"",IF(SUMPRODUCT((Aus_Tec=$I23)*(Aus_Ini&lt;=N$1)*(Aus_Fim&gt;=N$1)*(Aus_Cod&gt;0))&gt;1,"!",IFERROR(INDEX(Aus_Siglas,SUMPRODUCT((Aus_Tec=$I23)*(Aus_Ini&lt;=N$1)*(Aus_Fim&gt;=N$1)*Aus_Cod)),"!"))))</f>
        <v/>
      </c>
      <c r="O23" s="44">
        <f>IF(OR($I23="",O$1=""),"",IF(SUMPRODUCT((Aus_Tec=$I23)*(Aus_Ini&lt;=O$1)*(Aus_Fim&gt;=O$1)*(Aus_Cod&gt;0))=0,"",IF(SUMPRODUCT((Aus_Tec=$I23)*(Aus_Ini&lt;=O$1)*(Aus_Fim&gt;=O$1)*(Aus_Cod&gt;0))&gt;1,"!",IFERROR(INDEX(Aus_Siglas,SUMPRODUCT((Aus_Tec=$I23)*(Aus_Ini&lt;=O$1)*(Aus_Fim&gt;=O$1)*Aus_Cod)),"!"))))</f>
        <v/>
      </c>
      <c r="P23" s="44">
        <f>IF(OR($I23="",P$1=""),"",IF(SUMPRODUCT((Aus_Tec=$I23)*(Aus_Ini&lt;=P$1)*(Aus_Fim&gt;=P$1)*(Aus_Cod&gt;0))=0,"",IF(SUMPRODUCT((Aus_Tec=$I23)*(Aus_Ini&lt;=P$1)*(Aus_Fim&gt;=P$1)*(Aus_Cod&gt;0))&gt;1,"!",IFERROR(INDEX(Aus_Siglas,SUMPRODUCT((Aus_Tec=$I23)*(Aus_Ini&lt;=P$1)*(Aus_Fim&gt;=P$1)*Aus_Cod)),"!"))))</f>
        <v/>
      </c>
      <c r="Q23" s="44">
        <f>IF(OR($I23="",Q$1=""),"",IF(SUMPRODUCT((Aus_Tec=$I23)*(Aus_Ini&lt;=Q$1)*(Aus_Fim&gt;=Q$1)*(Aus_Cod&gt;0))=0,"",IF(SUMPRODUCT((Aus_Tec=$I23)*(Aus_Ini&lt;=Q$1)*(Aus_Fim&gt;=Q$1)*(Aus_Cod&gt;0))&gt;1,"!",IFERROR(INDEX(Aus_Siglas,SUMPRODUCT((Aus_Tec=$I23)*(Aus_Ini&lt;=Q$1)*(Aus_Fim&gt;=Q$1)*Aus_Cod)),"!"))))</f>
        <v/>
      </c>
      <c r="R23" s="44">
        <f>IF(OR($I23="",R$1=""),"",IF(SUMPRODUCT((Aus_Tec=$I23)*(Aus_Ini&lt;=R$1)*(Aus_Fim&gt;=R$1)*(Aus_Cod&gt;0))=0,"",IF(SUMPRODUCT((Aus_Tec=$I23)*(Aus_Ini&lt;=R$1)*(Aus_Fim&gt;=R$1)*(Aus_Cod&gt;0))&gt;1,"!",IFERROR(INDEX(Aus_Siglas,SUMPRODUCT((Aus_Tec=$I23)*(Aus_Ini&lt;=R$1)*(Aus_Fim&gt;=R$1)*Aus_Cod)),"!"))))</f>
        <v/>
      </c>
      <c r="S23" s="44">
        <f>IF(OR($I23="",S$1=""),"",IF(SUMPRODUCT((Aus_Tec=$I23)*(Aus_Ini&lt;=S$1)*(Aus_Fim&gt;=S$1)*(Aus_Cod&gt;0))=0,"",IF(SUMPRODUCT((Aus_Tec=$I23)*(Aus_Ini&lt;=S$1)*(Aus_Fim&gt;=S$1)*(Aus_Cod&gt;0))&gt;1,"!",IFERROR(INDEX(Aus_Siglas,SUMPRODUCT((Aus_Tec=$I23)*(Aus_Ini&lt;=S$1)*(Aus_Fim&gt;=S$1)*Aus_Cod)),"!"))))</f>
        <v/>
      </c>
      <c r="T23" s="44">
        <f>IF(OR($I23="",T$1=""),"",IF(SUMPRODUCT((Aus_Tec=$I23)*(Aus_Ini&lt;=T$1)*(Aus_Fim&gt;=T$1)*(Aus_Cod&gt;0))=0,"",IF(SUMPRODUCT((Aus_Tec=$I23)*(Aus_Ini&lt;=T$1)*(Aus_Fim&gt;=T$1)*(Aus_Cod&gt;0))&gt;1,"!",IFERROR(INDEX(Aus_Siglas,SUMPRODUCT((Aus_Tec=$I23)*(Aus_Ini&lt;=T$1)*(Aus_Fim&gt;=T$1)*Aus_Cod)),"!"))))</f>
        <v/>
      </c>
      <c r="U23" s="44">
        <f>IF(OR($I23="",U$1=""),"",IF(SUMPRODUCT((Aus_Tec=$I23)*(Aus_Ini&lt;=U$1)*(Aus_Fim&gt;=U$1)*(Aus_Cod&gt;0))=0,"",IF(SUMPRODUCT((Aus_Tec=$I23)*(Aus_Ini&lt;=U$1)*(Aus_Fim&gt;=U$1)*(Aus_Cod&gt;0))&gt;1,"!",IFERROR(INDEX(Aus_Siglas,SUMPRODUCT((Aus_Tec=$I23)*(Aus_Ini&lt;=U$1)*(Aus_Fim&gt;=U$1)*Aus_Cod)),"!"))))</f>
        <v/>
      </c>
      <c r="V23" s="44">
        <f>IF(OR($I23="",V$1=""),"",IF(SUMPRODUCT((Aus_Tec=$I23)*(Aus_Ini&lt;=V$1)*(Aus_Fim&gt;=V$1)*(Aus_Cod&gt;0))=0,"",IF(SUMPRODUCT((Aus_Tec=$I23)*(Aus_Ini&lt;=V$1)*(Aus_Fim&gt;=V$1)*(Aus_Cod&gt;0))&gt;1,"!",IFERROR(INDEX(Aus_Siglas,SUMPRODUCT((Aus_Tec=$I23)*(Aus_Ini&lt;=V$1)*(Aus_Fim&gt;=V$1)*Aus_Cod)),"!"))))</f>
        <v/>
      </c>
      <c r="W23" s="44">
        <f>IF(OR($I23="",W$1=""),"",IF(SUMPRODUCT((Aus_Tec=$I23)*(Aus_Ini&lt;=W$1)*(Aus_Fim&gt;=W$1)*(Aus_Cod&gt;0))=0,"",IF(SUMPRODUCT((Aus_Tec=$I23)*(Aus_Ini&lt;=W$1)*(Aus_Fim&gt;=W$1)*(Aus_Cod&gt;0))&gt;1,"!",IFERROR(INDEX(Aus_Siglas,SUMPRODUCT((Aus_Tec=$I23)*(Aus_Ini&lt;=W$1)*(Aus_Fim&gt;=W$1)*Aus_Cod)),"!"))))</f>
        <v/>
      </c>
      <c r="X23" s="44">
        <f>IF(OR($I23="",X$1=""),"",IF(SUMPRODUCT((Aus_Tec=$I23)*(Aus_Ini&lt;=X$1)*(Aus_Fim&gt;=X$1)*(Aus_Cod&gt;0))=0,"",IF(SUMPRODUCT((Aus_Tec=$I23)*(Aus_Ini&lt;=X$1)*(Aus_Fim&gt;=X$1)*(Aus_Cod&gt;0))&gt;1,"!",IFERROR(INDEX(Aus_Siglas,SUMPRODUCT((Aus_Tec=$I23)*(Aus_Ini&lt;=X$1)*(Aus_Fim&gt;=X$1)*Aus_Cod)),"!"))))</f>
        <v/>
      </c>
      <c r="Y23" s="44">
        <f>IF(OR($I23="",Y$1=""),"",IF(SUMPRODUCT((Aus_Tec=$I23)*(Aus_Ini&lt;=Y$1)*(Aus_Fim&gt;=Y$1)*(Aus_Cod&gt;0))=0,"",IF(SUMPRODUCT((Aus_Tec=$I23)*(Aus_Ini&lt;=Y$1)*(Aus_Fim&gt;=Y$1)*(Aus_Cod&gt;0))&gt;1,"!",IFERROR(INDEX(Aus_Siglas,SUMPRODUCT((Aus_Tec=$I23)*(Aus_Ini&lt;=Y$1)*(Aus_Fim&gt;=Y$1)*Aus_Cod)),"!"))))</f>
        <v/>
      </c>
      <c r="Z23" s="44">
        <f>IF(OR($I23="",Z$1=""),"",IF(SUMPRODUCT((Aus_Tec=$I23)*(Aus_Ini&lt;=Z$1)*(Aus_Fim&gt;=Z$1)*(Aus_Cod&gt;0))=0,"",IF(SUMPRODUCT((Aus_Tec=$I23)*(Aus_Ini&lt;=Z$1)*(Aus_Fim&gt;=Z$1)*(Aus_Cod&gt;0))&gt;1,"!",IFERROR(INDEX(Aus_Siglas,SUMPRODUCT((Aus_Tec=$I23)*(Aus_Ini&lt;=Z$1)*(Aus_Fim&gt;=Z$1)*Aus_Cod)),"!"))))</f>
        <v/>
      </c>
      <c r="AA23" s="44">
        <f>IF(OR($I23="",AA$1=""),"",IF(SUMPRODUCT((Aus_Tec=$I23)*(Aus_Ini&lt;=AA$1)*(Aus_Fim&gt;=AA$1)*(Aus_Cod&gt;0))=0,"",IF(SUMPRODUCT((Aus_Tec=$I23)*(Aus_Ini&lt;=AA$1)*(Aus_Fim&gt;=AA$1)*(Aus_Cod&gt;0))&gt;1,"!",IFERROR(INDEX(Aus_Siglas,SUMPRODUCT((Aus_Tec=$I23)*(Aus_Ini&lt;=AA$1)*(Aus_Fim&gt;=AA$1)*Aus_Cod)),"!"))))</f>
        <v/>
      </c>
      <c r="AB23" s="44">
        <f>IF(OR($I23="",AB$1=""),"",IF(SUMPRODUCT((Aus_Tec=$I23)*(Aus_Ini&lt;=AB$1)*(Aus_Fim&gt;=AB$1)*(Aus_Cod&gt;0))=0,"",IF(SUMPRODUCT((Aus_Tec=$I23)*(Aus_Ini&lt;=AB$1)*(Aus_Fim&gt;=AB$1)*(Aus_Cod&gt;0))&gt;1,"!",IFERROR(INDEX(Aus_Siglas,SUMPRODUCT((Aus_Tec=$I23)*(Aus_Ini&lt;=AB$1)*(Aus_Fim&gt;=AB$1)*Aus_Cod)),"!"))))</f>
        <v/>
      </c>
      <c r="AC23" s="44">
        <f>IF(OR($I23="",AC$1=""),"",IF(SUMPRODUCT((Aus_Tec=$I23)*(Aus_Ini&lt;=AC$1)*(Aus_Fim&gt;=AC$1)*(Aus_Cod&gt;0))=0,"",IF(SUMPRODUCT((Aus_Tec=$I23)*(Aus_Ini&lt;=AC$1)*(Aus_Fim&gt;=AC$1)*(Aus_Cod&gt;0))&gt;1,"!",IFERROR(INDEX(Aus_Siglas,SUMPRODUCT((Aus_Tec=$I23)*(Aus_Ini&lt;=AC$1)*(Aus_Fim&gt;=AC$1)*Aus_Cod)),"!"))))</f>
        <v/>
      </c>
      <c r="AD23" s="44">
        <f>IF(OR($I23="",AD$1=""),"",IF(SUMPRODUCT((Aus_Tec=$I23)*(Aus_Ini&lt;=AD$1)*(Aus_Fim&gt;=AD$1)*(Aus_Cod&gt;0))=0,"",IF(SUMPRODUCT((Aus_Tec=$I23)*(Aus_Ini&lt;=AD$1)*(Aus_Fim&gt;=AD$1)*(Aus_Cod&gt;0))&gt;1,"!",IFERROR(INDEX(Aus_Siglas,SUMPRODUCT((Aus_Tec=$I23)*(Aus_Ini&lt;=AD$1)*(Aus_Fim&gt;=AD$1)*Aus_Cod)),"!"))))</f>
        <v/>
      </c>
      <c r="AE23" s="44">
        <f>IF(OR($I23="",AE$1=""),"",IF(SUMPRODUCT((Aus_Tec=$I23)*(Aus_Ini&lt;=AE$1)*(Aus_Fim&gt;=AE$1)*(Aus_Cod&gt;0))=0,"",IF(SUMPRODUCT((Aus_Tec=$I23)*(Aus_Ini&lt;=AE$1)*(Aus_Fim&gt;=AE$1)*(Aus_Cod&gt;0))&gt;1,"!",IFERROR(INDEX(Aus_Siglas,SUMPRODUCT((Aus_Tec=$I23)*(Aus_Ini&lt;=AE$1)*(Aus_Fim&gt;=AE$1)*Aus_Cod)),"!"))))</f>
        <v/>
      </c>
      <c r="AF23" s="44">
        <f>IF(OR($I23="",AF$1=""),"",IF(SUMPRODUCT((Aus_Tec=$I23)*(Aus_Ini&lt;=AF$1)*(Aus_Fim&gt;=AF$1)*(Aus_Cod&gt;0))=0,"",IF(SUMPRODUCT((Aus_Tec=$I23)*(Aus_Ini&lt;=AF$1)*(Aus_Fim&gt;=AF$1)*(Aus_Cod&gt;0))&gt;1,"!",IFERROR(INDEX(Aus_Siglas,SUMPRODUCT((Aus_Tec=$I23)*(Aus_Ini&lt;=AF$1)*(Aus_Fim&gt;=AF$1)*Aus_Cod)),"!"))))</f>
        <v/>
      </c>
      <c r="AG23" s="44">
        <f>IF(OR($I23="",AG$1=""),"",IF(SUMPRODUCT((Aus_Tec=$I23)*(Aus_Ini&lt;=AG$1)*(Aus_Fim&gt;=AG$1)*(Aus_Cod&gt;0))=0,"",IF(SUMPRODUCT((Aus_Tec=$I23)*(Aus_Ini&lt;=AG$1)*(Aus_Fim&gt;=AG$1)*(Aus_Cod&gt;0))&gt;1,"!",IFERROR(INDEX(Aus_Siglas,SUMPRODUCT((Aus_Tec=$I23)*(Aus_Ini&lt;=AG$1)*(Aus_Fim&gt;=AG$1)*Aus_Cod)),"!"))))</f>
        <v/>
      </c>
      <c r="AH23" s="44">
        <f>IF(OR($I23="",AH$1=""),"",IF(SUMPRODUCT((Aus_Tec=$I23)*(Aus_Ini&lt;=AH$1)*(Aus_Fim&gt;=AH$1)*(Aus_Cod&gt;0))=0,"",IF(SUMPRODUCT((Aus_Tec=$I23)*(Aus_Ini&lt;=AH$1)*(Aus_Fim&gt;=AH$1)*(Aus_Cod&gt;0))&gt;1,"!",IFERROR(INDEX(Aus_Siglas,SUMPRODUCT((Aus_Tec=$I23)*(Aus_Ini&lt;=AH$1)*(Aus_Fim&gt;=AH$1)*Aus_Cod)),"!"))))</f>
        <v/>
      </c>
      <c r="AI23" s="44">
        <f>IF(OR($I23="",AI$1=""),"",IF(SUMPRODUCT((Aus_Tec=$I23)*(Aus_Ini&lt;=AI$1)*(Aus_Fim&gt;=AI$1)*(Aus_Cod&gt;0))=0,"",IF(SUMPRODUCT((Aus_Tec=$I23)*(Aus_Ini&lt;=AI$1)*(Aus_Fim&gt;=AI$1)*(Aus_Cod&gt;0))&gt;1,"!",IFERROR(INDEX(Aus_Siglas,SUMPRODUCT((Aus_Tec=$I23)*(Aus_Ini&lt;=AI$1)*(Aus_Fim&gt;=AI$1)*Aus_Cod)),"!"))))</f>
        <v/>
      </c>
      <c r="AJ23" s="44">
        <f>IF(OR($I23="",AJ$1=""),"",IF(SUMPRODUCT((Aus_Tec=$I23)*(Aus_Ini&lt;=AJ$1)*(Aus_Fim&gt;=AJ$1)*(Aus_Cod&gt;0))=0,"",IF(SUMPRODUCT((Aus_Tec=$I23)*(Aus_Ini&lt;=AJ$1)*(Aus_Fim&gt;=AJ$1)*(Aus_Cod&gt;0))&gt;1,"!",IFERROR(INDEX(Aus_Siglas,SUMPRODUCT((Aus_Tec=$I23)*(Aus_Ini&lt;=AJ$1)*(Aus_Fim&gt;=AJ$1)*Aus_Cod)),"!"))))</f>
        <v/>
      </c>
      <c r="AK23" s="44">
        <f>IF(OR($I23="",AK$1=""),"",IF(SUMPRODUCT((Aus_Tec=$I23)*(Aus_Ini&lt;=AK$1)*(Aus_Fim&gt;=AK$1)*(Aus_Cod&gt;0))=0,"",IF(SUMPRODUCT((Aus_Tec=$I23)*(Aus_Ini&lt;=AK$1)*(Aus_Fim&gt;=AK$1)*(Aus_Cod&gt;0))&gt;1,"!",IFERROR(INDEX(Aus_Siglas,SUMPRODUCT((Aus_Tec=$I23)*(Aus_Ini&lt;=AK$1)*(Aus_Fim&gt;=AK$1)*Aus_Cod)),"!"))))</f>
        <v/>
      </c>
      <c r="AL23" s="44">
        <f>IF(OR($I23="",AL$1=""),"",IF(SUMPRODUCT((Aus_Tec=$I23)*(Aus_Ini&lt;=AL$1)*(Aus_Fim&gt;=AL$1)*(Aus_Cod&gt;0))=0,"",IF(SUMPRODUCT((Aus_Tec=$I23)*(Aus_Ini&lt;=AL$1)*(Aus_Fim&gt;=AL$1)*(Aus_Cod&gt;0))&gt;1,"!",IFERROR(INDEX(Aus_Siglas,SUMPRODUCT((Aus_Tec=$I23)*(Aus_Ini&lt;=AL$1)*(Aus_Fim&gt;=AL$1)*Aus_Cod)),"!"))))</f>
        <v/>
      </c>
      <c r="AM23" s="44">
        <f>IF(OR($I23="",AM$1=""),"",IF(SUMPRODUCT((Aus_Tec=$I23)*(Aus_Ini&lt;=AM$1)*(Aus_Fim&gt;=AM$1)*(Aus_Cod&gt;0))=0,"",IF(SUMPRODUCT((Aus_Tec=$I23)*(Aus_Ini&lt;=AM$1)*(Aus_Fim&gt;=AM$1)*(Aus_Cod&gt;0))&gt;1,"!",IFERROR(INDEX(Aus_Siglas,SUMPRODUCT((Aus_Tec=$I23)*(Aus_Ini&lt;=AM$1)*(Aus_Fim&gt;=AM$1)*Aus_Cod)),"!"))))</f>
        <v/>
      </c>
      <c r="AN23" s="44">
        <f>IF(OR($I23="",AN$1=""),"",IF(SUMPRODUCT((Aus_Tec=$I23)*(Aus_Ini&lt;=AN$1)*(Aus_Fim&gt;=AN$1)*(Aus_Cod&gt;0))=0,"",IF(SUMPRODUCT((Aus_Tec=$I23)*(Aus_Ini&lt;=AN$1)*(Aus_Fim&gt;=AN$1)*(Aus_Cod&gt;0))&gt;1,"!",IFERROR(INDEX(Aus_Siglas,SUMPRODUCT((Aus_Tec=$I23)*(Aus_Ini&lt;=AN$1)*(Aus_Fim&gt;=AN$1)*Aus_Cod)),"!"))))</f>
        <v/>
      </c>
    </row>
    <row r="24">
      <c r="A24" s="33" t="n"/>
      <c r="B24" s="31" t="n"/>
      <c r="C24" s="30" t="n"/>
      <c r="D24" s="30" t="n"/>
      <c r="E24" s="20">
        <f>IF(OR($A24="",NOT(ISNUMBER($C24)),NOT(ISNUMBER($D24))),"",$D24-$C24+1)</f>
        <v/>
      </c>
      <c r="F24" s="33" t="n"/>
      <c r="G24" s="35">
        <f>IF(AND($A24&lt;&gt;"",ISNUMBER($C24),ISNUMBER($D24),$C24&lt;=Data_Mapa,$D24&gt;=Data_Mapa),$A24,"")</f>
        <v/>
      </c>
      <c r="H24" s="35">
        <f>IF($A24="",0,IFERROR(MATCH($B24,Aus_Tipos,0),0))</f>
        <v/>
      </c>
      <c r="I24" s="43">
        <f>IF('Equipe'!$B$23="","",'Equipe'!$B$23)</f>
        <v/>
      </c>
      <c r="J24" s="44">
        <f>IF(OR($I24="",J$1=""),"",IF(SUMPRODUCT((Aus_Tec=$I24)*(Aus_Ini&lt;=J$1)*(Aus_Fim&gt;=J$1)*(Aus_Cod&gt;0))=0,"",IF(SUMPRODUCT((Aus_Tec=$I24)*(Aus_Ini&lt;=J$1)*(Aus_Fim&gt;=J$1)*(Aus_Cod&gt;0))&gt;1,"!",IFERROR(INDEX(Aus_Siglas,SUMPRODUCT((Aus_Tec=$I24)*(Aus_Ini&lt;=J$1)*(Aus_Fim&gt;=J$1)*Aus_Cod)),"!"))))</f>
        <v/>
      </c>
      <c r="K24" s="44">
        <f>IF(OR($I24="",K$1=""),"",IF(SUMPRODUCT((Aus_Tec=$I24)*(Aus_Ini&lt;=K$1)*(Aus_Fim&gt;=K$1)*(Aus_Cod&gt;0))=0,"",IF(SUMPRODUCT((Aus_Tec=$I24)*(Aus_Ini&lt;=K$1)*(Aus_Fim&gt;=K$1)*(Aus_Cod&gt;0))&gt;1,"!",IFERROR(INDEX(Aus_Siglas,SUMPRODUCT((Aus_Tec=$I24)*(Aus_Ini&lt;=K$1)*(Aus_Fim&gt;=K$1)*Aus_Cod)),"!"))))</f>
        <v/>
      </c>
      <c r="L24" s="44">
        <f>IF(OR($I24="",L$1=""),"",IF(SUMPRODUCT((Aus_Tec=$I24)*(Aus_Ini&lt;=L$1)*(Aus_Fim&gt;=L$1)*(Aus_Cod&gt;0))=0,"",IF(SUMPRODUCT((Aus_Tec=$I24)*(Aus_Ini&lt;=L$1)*(Aus_Fim&gt;=L$1)*(Aus_Cod&gt;0))&gt;1,"!",IFERROR(INDEX(Aus_Siglas,SUMPRODUCT((Aus_Tec=$I24)*(Aus_Ini&lt;=L$1)*(Aus_Fim&gt;=L$1)*Aus_Cod)),"!"))))</f>
        <v/>
      </c>
      <c r="M24" s="44">
        <f>IF(OR($I24="",M$1=""),"",IF(SUMPRODUCT((Aus_Tec=$I24)*(Aus_Ini&lt;=M$1)*(Aus_Fim&gt;=M$1)*(Aus_Cod&gt;0))=0,"",IF(SUMPRODUCT((Aus_Tec=$I24)*(Aus_Ini&lt;=M$1)*(Aus_Fim&gt;=M$1)*(Aus_Cod&gt;0))&gt;1,"!",IFERROR(INDEX(Aus_Siglas,SUMPRODUCT((Aus_Tec=$I24)*(Aus_Ini&lt;=M$1)*(Aus_Fim&gt;=M$1)*Aus_Cod)),"!"))))</f>
        <v/>
      </c>
      <c r="N24" s="44">
        <f>IF(OR($I24="",N$1=""),"",IF(SUMPRODUCT((Aus_Tec=$I24)*(Aus_Ini&lt;=N$1)*(Aus_Fim&gt;=N$1)*(Aus_Cod&gt;0))=0,"",IF(SUMPRODUCT((Aus_Tec=$I24)*(Aus_Ini&lt;=N$1)*(Aus_Fim&gt;=N$1)*(Aus_Cod&gt;0))&gt;1,"!",IFERROR(INDEX(Aus_Siglas,SUMPRODUCT((Aus_Tec=$I24)*(Aus_Ini&lt;=N$1)*(Aus_Fim&gt;=N$1)*Aus_Cod)),"!"))))</f>
        <v/>
      </c>
      <c r="O24" s="44">
        <f>IF(OR($I24="",O$1=""),"",IF(SUMPRODUCT((Aus_Tec=$I24)*(Aus_Ini&lt;=O$1)*(Aus_Fim&gt;=O$1)*(Aus_Cod&gt;0))=0,"",IF(SUMPRODUCT((Aus_Tec=$I24)*(Aus_Ini&lt;=O$1)*(Aus_Fim&gt;=O$1)*(Aus_Cod&gt;0))&gt;1,"!",IFERROR(INDEX(Aus_Siglas,SUMPRODUCT((Aus_Tec=$I24)*(Aus_Ini&lt;=O$1)*(Aus_Fim&gt;=O$1)*Aus_Cod)),"!"))))</f>
        <v/>
      </c>
      <c r="P24" s="44">
        <f>IF(OR($I24="",P$1=""),"",IF(SUMPRODUCT((Aus_Tec=$I24)*(Aus_Ini&lt;=P$1)*(Aus_Fim&gt;=P$1)*(Aus_Cod&gt;0))=0,"",IF(SUMPRODUCT((Aus_Tec=$I24)*(Aus_Ini&lt;=P$1)*(Aus_Fim&gt;=P$1)*(Aus_Cod&gt;0))&gt;1,"!",IFERROR(INDEX(Aus_Siglas,SUMPRODUCT((Aus_Tec=$I24)*(Aus_Ini&lt;=P$1)*(Aus_Fim&gt;=P$1)*Aus_Cod)),"!"))))</f>
        <v/>
      </c>
      <c r="Q24" s="44">
        <f>IF(OR($I24="",Q$1=""),"",IF(SUMPRODUCT((Aus_Tec=$I24)*(Aus_Ini&lt;=Q$1)*(Aus_Fim&gt;=Q$1)*(Aus_Cod&gt;0))=0,"",IF(SUMPRODUCT((Aus_Tec=$I24)*(Aus_Ini&lt;=Q$1)*(Aus_Fim&gt;=Q$1)*(Aus_Cod&gt;0))&gt;1,"!",IFERROR(INDEX(Aus_Siglas,SUMPRODUCT((Aus_Tec=$I24)*(Aus_Ini&lt;=Q$1)*(Aus_Fim&gt;=Q$1)*Aus_Cod)),"!"))))</f>
        <v/>
      </c>
      <c r="R24" s="44">
        <f>IF(OR($I24="",R$1=""),"",IF(SUMPRODUCT((Aus_Tec=$I24)*(Aus_Ini&lt;=R$1)*(Aus_Fim&gt;=R$1)*(Aus_Cod&gt;0))=0,"",IF(SUMPRODUCT((Aus_Tec=$I24)*(Aus_Ini&lt;=R$1)*(Aus_Fim&gt;=R$1)*(Aus_Cod&gt;0))&gt;1,"!",IFERROR(INDEX(Aus_Siglas,SUMPRODUCT((Aus_Tec=$I24)*(Aus_Ini&lt;=R$1)*(Aus_Fim&gt;=R$1)*Aus_Cod)),"!"))))</f>
        <v/>
      </c>
      <c r="S24" s="44">
        <f>IF(OR($I24="",S$1=""),"",IF(SUMPRODUCT((Aus_Tec=$I24)*(Aus_Ini&lt;=S$1)*(Aus_Fim&gt;=S$1)*(Aus_Cod&gt;0))=0,"",IF(SUMPRODUCT((Aus_Tec=$I24)*(Aus_Ini&lt;=S$1)*(Aus_Fim&gt;=S$1)*(Aus_Cod&gt;0))&gt;1,"!",IFERROR(INDEX(Aus_Siglas,SUMPRODUCT((Aus_Tec=$I24)*(Aus_Ini&lt;=S$1)*(Aus_Fim&gt;=S$1)*Aus_Cod)),"!"))))</f>
        <v/>
      </c>
      <c r="T24" s="44">
        <f>IF(OR($I24="",T$1=""),"",IF(SUMPRODUCT((Aus_Tec=$I24)*(Aus_Ini&lt;=T$1)*(Aus_Fim&gt;=T$1)*(Aus_Cod&gt;0))=0,"",IF(SUMPRODUCT((Aus_Tec=$I24)*(Aus_Ini&lt;=T$1)*(Aus_Fim&gt;=T$1)*(Aus_Cod&gt;0))&gt;1,"!",IFERROR(INDEX(Aus_Siglas,SUMPRODUCT((Aus_Tec=$I24)*(Aus_Ini&lt;=T$1)*(Aus_Fim&gt;=T$1)*Aus_Cod)),"!"))))</f>
        <v/>
      </c>
      <c r="U24" s="44">
        <f>IF(OR($I24="",U$1=""),"",IF(SUMPRODUCT((Aus_Tec=$I24)*(Aus_Ini&lt;=U$1)*(Aus_Fim&gt;=U$1)*(Aus_Cod&gt;0))=0,"",IF(SUMPRODUCT((Aus_Tec=$I24)*(Aus_Ini&lt;=U$1)*(Aus_Fim&gt;=U$1)*(Aus_Cod&gt;0))&gt;1,"!",IFERROR(INDEX(Aus_Siglas,SUMPRODUCT((Aus_Tec=$I24)*(Aus_Ini&lt;=U$1)*(Aus_Fim&gt;=U$1)*Aus_Cod)),"!"))))</f>
        <v/>
      </c>
      <c r="V24" s="44">
        <f>IF(OR($I24="",V$1=""),"",IF(SUMPRODUCT((Aus_Tec=$I24)*(Aus_Ini&lt;=V$1)*(Aus_Fim&gt;=V$1)*(Aus_Cod&gt;0))=0,"",IF(SUMPRODUCT((Aus_Tec=$I24)*(Aus_Ini&lt;=V$1)*(Aus_Fim&gt;=V$1)*(Aus_Cod&gt;0))&gt;1,"!",IFERROR(INDEX(Aus_Siglas,SUMPRODUCT((Aus_Tec=$I24)*(Aus_Ini&lt;=V$1)*(Aus_Fim&gt;=V$1)*Aus_Cod)),"!"))))</f>
        <v/>
      </c>
      <c r="W24" s="44">
        <f>IF(OR($I24="",W$1=""),"",IF(SUMPRODUCT((Aus_Tec=$I24)*(Aus_Ini&lt;=W$1)*(Aus_Fim&gt;=W$1)*(Aus_Cod&gt;0))=0,"",IF(SUMPRODUCT((Aus_Tec=$I24)*(Aus_Ini&lt;=W$1)*(Aus_Fim&gt;=W$1)*(Aus_Cod&gt;0))&gt;1,"!",IFERROR(INDEX(Aus_Siglas,SUMPRODUCT((Aus_Tec=$I24)*(Aus_Ini&lt;=W$1)*(Aus_Fim&gt;=W$1)*Aus_Cod)),"!"))))</f>
        <v/>
      </c>
      <c r="X24" s="44">
        <f>IF(OR($I24="",X$1=""),"",IF(SUMPRODUCT((Aus_Tec=$I24)*(Aus_Ini&lt;=X$1)*(Aus_Fim&gt;=X$1)*(Aus_Cod&gt;0))=0,"",IF(SUMPRODUCT((Aus_Tec=$I24)*(Aus_Ini&lt;=X$1)*(Aus_Fim&gt;=X$1)*(Aus_Cod&gt;0))&gt;1,"!",IFERROR(INDEX(Aus_Siglas,SUMPRODUCT((Aus_Tec=$I24)*(Aus_Ini&lt;=X$1)*(Aus_Fim&gt;=X$1)*Aus_Cod)),"!"))))</f>
        <v/>
      </c>
      <c r="Y24" s="44">
        <f>IF(OR($I24="",Y$1=""),"",IF(SUMPRODUCT((Aus_Tec=$I24)*(Aus_Ini&lt;=Y$1)*(Aus_Fim&gt;=Y$1)*(Aus_Cod&gt;0))=0,"",IF(SUMPRODUCT((Aus_Tec=$I24)*(Aus_Ini&lt;=Y$1)*(Aus_Fim&gt;=Y$1)*(Aus_Cod&gt;0))&gt;1,"!",IFERROR(INDEX(Aus_Siglas,SUMPRODUCT((Aus_Tec=$I24)*(Aus_Ini&lt;=Y$1)*(Aus_Fim&gt;=Y$1)*Aus_Cod)),"!"))))</f>
        <v/>
      </c>
      <c r="Z24" s="44">
        <f>IF(OR($I24="",Z$1=""),"",IF(SUMPRODUCT((Aus_Tec=$I24)*(Aus_Ini&lt;=Z$1)*(Aus_Fim&gt;=Z$1)*(Aus_Cod&gt;0))=0,"",IF(SUMPRODUCT((Aus_Tec=$I24)*(Aus_Ini&lt;=Z$1)*(Aus_Fim&gt;=Z$1)*(Aus_Cod&gt;0))&gt;1,"!",IFERROR(INDEX(Aus_Siglas,SUMPRODUCT((Aus_Tec=$I24)*(Aus_Ini&lt;=Z$1)*(Aus_Fim&gt;=Z$1)*Aus_Cod)),"!"))))</f>
        <v/>
      </c>
      <c r="AA24" s="44">
        <f>IF(OR($I24="",AA$1=""),"",IF(SUMPRODUCT((Aus_Tec=$I24)*(Aus_Ini&lt;=AA$1)*(Aus_Fim&gt;=AA$1)*(Aus_Cod&gt;0))=0,"",IF(SUMPRODUCT((Aus_Tec=$I24)*(Aus_Ini&lt;=AA$1)*(Aus_Fim&gt;=AA$1)*(Aus_Cod&gt;0))&gt;1,"!",IFERROR(INDEX(Aus_Siglas,SUMPRODUCT((Aus_Tec=$I24)*(Aus_Ini&lt;=AA$1)*(Aus_Fim&gt;=AA$1)*Aus_Cod)),"!"))))</f>
        <v/>
      </c>
      <c r="AB24" s="44">
        <f>IF(OR($I24="",AB$1=""),"",IF(SUMPRODUCT((Aus_Tec=$I24)*(Aus_Ini&lt;=AB$1)*(Aus_Fim&gt;=AB$1)*(Aus_Cod&gt;0))=0,"",IF(SUMPRODUCT((Aus_Tec=$I24)*(Aus_Ini&lt;=AB$1)*(Aus_Fim&gt;=AB$1)*(Aus_Cod&gt;0))&gt;1,"!",IFERROR(INDEX(Aus_Siglas,SUMPRODUCT((Aus_Tec=$I24)*(Aus_Ini&lt;=AB$1)*(Aus_Fim&gt;=AB$1)*Aus_Cod)),"!"))))</f>
        <v/>
      </c>
      <c r="AC24" s="44">
        <f>IF(OR($I24="",AC$1=""),"",IF(SUMPRODUCT((Aus_Tec=$I24)*(Aus_Ini&lt;=AC$1)*(Aus_Fim&gt;=AC$1)*(Aus_Cod&gt;0))=0,"",IF(SUMPRODUCT((Aus_Tec=$I24)*(Aus_Ini&lt;=AC$1)*(Aus_Fim&gt;=AC$1)*(Aus_Cod&gt;0))&gt;1,"!",IFERROR(INDEX(Aus_Siglas,SUMPRODUCT((Aus_Tec=$I24)*(Aus_Ini&lt;=AC$1)*(Aus_Fim&gt;=AC$1)*Aus_Cod)),"!"))))</f>
        <v/>
      </c>
      <c r="AD24" s="44">
        <f>IF(OR($I24="",AD$1=""),"",IF(SUMPRODUCT((Aus_Tec=$I24)*(Aus_Ini&lt;=AD$1)*(Aus_Fim&gt;=AD$1)*(Aus_Cod&gt;0))=0,"",IF(SUMPRODUCT((Aus_Tec=$I24)*(Aus_Ini&lt;=AD$1)*(Aus_Fim&gt;=AD$1)*(Aus_Cod&gt;0))&gt;1,"!",IFERROR(INDEX(Aus_Siglas,SUMPRODUCT((Aus_Tec=$I24)*(Aus_Ini&lt;=AD$1)*(Aus_Fim&gt;=AD$1)*Aus_Cod)),"!"))))</f>
        <v/>
      </c>
      <c r="AE24" s="44">
        <f>IF(OR($I24="",AE$1=""),"",IF(SUMPRODUCT((Aus_Tec=$I24)*(Aus_Ini&lt;=AE$1)*(Aus_Fim&gt;=AE$1)*(Aus_Cod&gt;0))=0,"",IF(SUMPRODUCT((Aus_Tec=$I24)*(Aus_Ini&lt;=AE$1)*(Aus_Fim&gt;=AE$1)*(Aus_Cod&gt;0))&gt;1,"!",IFERROR(INDEX(Aus_Siglas,SUMPRODUCT((Aus_Tec=$I24)*(Aus_Ini&lt;=AE$1)*(Aus_Fim&gt;=AE$1)*Aus_Cod)),"!"))))</f>
        <v/>
      </c>
      <c r="AF24" s="44">
        <f>IF(OR($I24="",AF$1=""),"",IF(SUMPRODUCT((Aus_Tec=$I24)*(Aus_Ini&lt;=AF$1)*(Aus_Fim&gt;=AF$1)*(Aus_Cod&gt;0))=0,"",IF(SUMPRODUCT((Aus_Tec=$I24)*(Aus_Ini&lt;=AF$1)*(Aus_Fim&gt;=AF$1)*(Aus_Cod&gt;0))&gt;1,"!",IFERROR(INDEX(Aus_Siglas,SUMPRODUCT((Aus_Tec=$I24)*(Aus_Ini&lt;=AF$1)*(Aus_Fim&gt;=AF$1)*Aus_Cod)),"!"))))</f>
        <v/>
      </c>
      <c r="AG24" s="44">
        <f>IF(OR($I24="",AG$1=""),"",IF(SUMPRODUCT((Aus_Tec=$I24)*(Aus_Ini&lt;=AG$1)*(Aus_Fim&gt;=AG$1)*(Aus_Cod&gt;0))=0,"",IF(SUMPRODUCT((Aus_Tec=$I24)*(Aus_Ini&lt;=AG$1)*(Aus_Fim&gt;=AG$1)*(Aus_Cod&gt;0))&gt;1,"!",IFERROR(INDEX(Aus_Siglas,SUMPRODUCT((Aus_Tec=$I24)*(Aus_Ini&lt;=AG$1)*(Aus_Fim&gt;=AG$1)*Aus_Cod)),"!"))))</f>
        <v/>
      </c>
      <c r="AH24" s="44">
        <f>IF(OR($I24="",AH$1=""),"",IF(SUMPRODUCT((Aus_Tec=$I24)*(Aus_Ini&lt;=AH$1)*(Aus_Fim&gt;=AH$1)*(Aus_Cod&gt;0))=0,"",IF(SUMPRODUCT((Aus_Tec=$I24)*(Aus_Ini&lt;=AH$1)*(Aus_Fim&gt;=AH$1)*(Aus_Cod&gt;0))&gt;1,"!",IFERROR(INDEX(Aus_Siglas,SUMPRODUCT((Aus_Tec=$I24)*(Aus_Ini&lt;=AH$1)*(Aus_Fim&gt;=AH$1)*Aus_Cod)),"!"))))</f>
        <v/>
      </c>
      <c r="AI24" s="44">
        <f>IF(OR($I24="",AI$1=""),"",IF(SUMPRODUCT((Aus_Tec=$I24)*(Aus_Ini&lt;=AI$1)*(Aus_Fim&gt;=AI$1)*(Aus_Cod&gt;0))=0,"",IF(SUMPRODUCT((Aus_Tec=$I24)*(Aus_Ini&lt;=AI$1)*(Aus_Fim&gt;=AI$1)*(Aus_Cod&gt;0))&gt;1,"!",IFERROR(INDEX(Aus_Siglas,SUMPRODUCT((Aus_Tec=$I24)*(Aus_Ini&lt;=AI$1)*(Aus_Fim&gt;=AI$1)*Aus_Cod)),"!"))))</f>
        <v/>
      </c>
      <c r="AJ24" s="44">
        <f>IF(OR($I24="",AJ$1=""),"",IF(SUMPRODUCT((Aus_Tec=$I24)*(Aus_Ini&lt;=AJ$1)*(Aus_Fim&gt;=AJ$1)*(Aus_Cod&gt;0))=0,"",IF(SUMPRODUCT((Aus_Tec=$I24)*(Aus_Ini&lt;=AJ$1)*(Aus_Fim&gt;=AJ$1)*(Aus_Cod&gt;0))&gt;1,"!",IFERROR(INDEX(Aus_Siglas,SUMPRODUCT((Aus_Tec=$I24)*(Aus_Ini&lt;=AJ$1)*(Aus_Fim&gt;=AJ$1)*Aus_Cod)),"!"))))</f>
        <v/>
      </c>
      <c r="AK24" s="44">
        <f>IF(OR($I24="",AK$1=""),"",IF(SUMPRODUCT((Aus_Tec=$I24)*(Aus_Ini&lt;=AK$1)*(Aus_Fim&gt;=AK$1)*(Aus_Cod&gt;0))=0,"",IF(SUMPRODUCT((Aus_Tec=$I24)*(Aus_Ini&lt;=AK$1)*(Aus_Fim&gt;=AK$1)*(Aus_Cod&gt;0))&gt;1,"!",IFERROR(INDEX(Aus_Siglas,SUMPRODUCT((Aus_Tec=$I24)*(Aus_Ini&lt;=AK$1)*(Aus_Fim&gt;=AK$1)*Aus_Cod)),"!"))))</f>
        <v/>
      </c>
      <c r="AL24" s="44">
        <f>IF(OR($I24="",AL$1=""),"",IF(SUMPRODUCT((Aus_Tec=$I24)*(Aus_Ini&lt;=AL$1)*(Aus_Fim&gt;=AL$1)*(Aus_Cod&gt;0))=0,"",IF(SUMPRODUCT((Aus_Tec=$I24)*(Aus_Ini&lt;=AL$1)*(Aus_Fim&gt;=AL$1)*(Aus_Cod&gt;0))&gt;1,"!",IFERROR(INDEX(Aus_Siglas,SUMPRODUCT((Aus_Tec=$I24)*(Aus_Ini&lt;=AL$1)*(Aus_Fim&gt;=AL$1)*Aus_Cod)),"!"))))</f>
        <v/>
      </c>
      <c r="AM24" s="44">
        <f>IF(OR($I24="",AM$1=""),"",IF(SUMPRODUCT((Aus_Tec=$I24)*(Aus_Ini&lt;=AM$1)*(Aus_Fim&gt;=AM$1)*(Aus_Cod&gt;0))=0,"",IF(SUMPRODUCT((Aus_Tec=$I24)*(Aus_Ini&lt;=AM$1)*(Aus_Fim&gt;=AM$1)*(Aus_Cod&gt;0))&gt;1,"!",IFERROR(INDEX(Aus_Siglas,SUMPRODUCT((Aus_Tec=$I24)*(Aus_Ini&lt;=AM$1)*(Aus_Fim&gt;=AM$1)*Aus_Cod)),"!"))))</f>
        <v/>
      </c>
      <c r="AN24" s="44">
        <f>IF(OR($I24="",AN$1=""),"",IF(SUMPRODUCT((Aus_Tec=$I24)*(Aus_Ini&lt;=AN$1)*(Aus_Fim&gt;=AN$1)*(Aus_Cod&gt;0))=0,"",IF(SUMPRODUCT((Aus_Tec=$I24)*(Aus_Ini&lt;=AN$1)*(Aus_Fim&gt;=AN$1)*(Aus_Cod&gt;0))&gt;1,"!",IFERROR(INDEX(Aus_Siglas,SUMPRODUCT((Aus_Tec=$I24)*(Aus_Ini&lt;=AN$1)*(Aus_Fim&gt;=AN$1)*Aus_Cod)),"!"))))</f>
        <v/>
      </c>
    </row>
    <row r="25">
      <c r="A25" s="33" t="n"/>
      <c r="B25" s="31" t="n"/>
      <c r="C25" s="30" t="n"/>
      <c r="D25" s="30" t="n"/>
      <c r="E25" s="20">
        <f>IF(OR($A25="",NOT(ISNUMBER($C25)),NOT(ISNUMBER($D25))),"",$D25-$C25+1)</f>
        <v/>
      </c>
      <c r="F25" s="33" t="n"/>
      <c r="G25" s="35">
        <f>IF(AND($A25&lt;&gt;"",ISNUMBER($C25),ISNUMBER($D25),$C25&lt;=Data_Mapa,$D25&gt;=Data_Mapa),$A25,"")</f>
        <v/>
      </c>
      <c r="H25" s="35">
        <f>IF($A25="",0,IFERROR(MATCH($B25,Aus_Tipos,0),0))</f>
        <v/>
      </c>
      <c r="I25" s="43">
        <f>IF('Equipe'!$B$24="","",'Equipe'!$B$24)</f>
        <v/>
      </c>
      <c r="J25" s="44">
        <f>IF(OR($I25="",J$1=""),"",IF(SUMPRODUCT((Aus_Tec=$I25)*(Aus_Ini&lt;=J$1)*(Aus_Fim&gt;=J$1)*(Aus_Cod&gt;0))=0,"",IF(SUMPRODUCT((Aus_Tec=$I25)*(Aus_Ini&lt;=J$1)*(Aus_Fim&gt;=J$1)*(Aus_Cod&gt;0))&gt;1,"!",IFERROR(INDEX(Aus_Siglas,SUMPRODUCT((Aus_Tec=$I25)*(Aus_Ini&lt;=J$1)*(Aus_Fim&gt;=J$1)*Aus_Cod)),"!"))))</f>
        <v/>
      </c>
      <c r="K25" s="44">
        <f>IF(OR($I25="",K$1=""),"",IF(SUMPRODUCT((Aus_Tec=$I25)*(Aus_Ini&lt;=K$1)*(Aus_Fim&gt;=K$1)*(Aus_Cod&gt;0))=0,"",IF(SUMPRODUCT((Aus_Tec=$I25)*(Aus_Ini&lt;=K$1)*(Aus_Fim&gt;=K$1)*(Aus_Cod&gt;0))&gt;1,"!",IFERROR(INDEX(Aus_Siglas,SUMPRODUCT((Aus_Tec=$I25)*(Aus_Ini&lt;=K$1)*(Aus_Fim&gt;=K$1)*Aus_Cod)),"!"))))</f>
        <v/>
      </c>
      <c r="L25" s="44">
        <f>IF(OR($I25="",L$1=""),"",IF(SUMPRODUCT((Aus_Tec=$I25)*(Aus_Ini&lt;=L$1)*(Aus_Fim&gt;=L$1)*(Aus_Cod&gt;0))=0,"",IF(SUMPRODUCT((Aus_Tec=$I25)*(Aus_Ini&lt;=L$1)*(Aus_Fim&gt;=L$1)*(Aus_Cod&gt;0))&gt;1,"!",IFERROR(INDEX(Aus_Siglas,SUMPRODUCT((Aus_Tec=$I25)*(Aus_Ini&lt;=L$1)*(Aus_Fim&gt;=L$1)*Aus_Cod)),"!"))))</f>
        <v/>
      </c>
      <c r="M25" s="44">
        <f>IF(OR($I25="",M$1=""),"",IF(SUMPRODUCT((Aus_Tec=$I25)*(Aus_Ini&lt;=M$1)*(Aus_Fim&gt;=M$1)*(Aus_Cod&gt;0))=0,"",IF(SUMPRODUCT((Aus_Tec=$I25)*(Aus_Ini&lt;=M$1)*(Aus_Fim&gt;=M$1)*(Aus_Cod&gt;0))&gt;1,"!",IFERROR(INDEX(Aus_Siglas,SUMPRODUCT((Aus_Tec=$I25)*(Aus_Ini&lt;=M$1)*(Aus_Fim&gt;=M$1)*Aus_Cod)),"!"))))</f>
        <v/>
      </c>
      <c r="N25" s="44">
        <f>IF(OR($I25="",N$1=""),"",IF(SUMPRODUCT((Aus_Tec=$I25)*(Aus_Ini&lt;=N$1)*(Aus_Fim&gt;=N$1)*(Aus_Cod&gt;0))=0,"",IF(SUMPRODUCT((Aus_Tec=$I25)*(Aus_Ini&lt;=N$1)*(Aus_Fim&gt;=N$1)*(Aus_Cod&gt;0))&gt;1,"!",IFERROR(INDEX(Aus_Siglas,SUMPRODUCT((Aus_Tec=$I25)*(Aus_Ini&lt;=N$1)*(Aus_Fim&gt;=N$1)*Aus_Cod)),"!"))))</f>
        <v/>
      </c>
      <c r="O25" s="44">
        <f>IF(OR($I25="",O$1=""),"",IF(SUMPRODUCT((Aus_Tec=$I25)*(Aus_Ini&lt;=O$1)*(Aus_Fim&gt;=O$1)*(Aus_Cod&gt;0))=0,"",IF(SUMPRODUCT((Aus_Tec=$I25)*(Aus_Ini&lt;=O$1)*(Aus_Fim&gt;=O$1)*(Aus_Cod&gt;0))&gt;1,"!",IFERROR(INDEX(Aus_Siglas,SUMPRODUCT((Aus_Tec=$I25)*(Aus_Ini&lt;=O$1)*(Aus_Fim&gt;=O$1)*Aus_Cod)),"!"))))</f>
        <v/>
      </c>
      <c r="P25" s="44">
        <f>IF(OR($I25="",P$1=""),"",IF(SUMPRODUCT((Aus_Tec=$I25)*(Aus_Ini&lt;=P$1)*(Aus_Fim&gt;=P$1)*(Aus_Cod&gt;0))=0,"",IF(SUMPRODUCT((Aus_Tec=$I25)*(Aus_Ini&lt;=P$1)*(Aus_Fim&gt;=P$1)*(Aus_Cod&gt;0))&gt;1,"!",IFERROR(INDEX(Aus_Siglas,SUMPRODUCT((Aus_Tec=$I25)*(Aus_Ini&lt;=P$1)*(Aus_Fim&gt;=P$1)*Aus_Cod)),"!"))))</f>
        <v/>
      </c>
      <c r="Q25" s="44">
        <f>IF(OR($I25="",Q$1=""),"",IF(SUMPRODUCT((Aus_Tec=$I25)*(Aus_Ini&lt;=Q$1)*(Aus_Fim&gt;=Q$1)*(Aus_Cod&gt;0))=0,"",IF(SUMPRODUCT((Aus_Tec=$I25)*(Aus_Ini&lt;=Q$1)*(Aus_Fim&gt;=Q$1)*(Aus_Cod&gt;0))&gt;1,"!",IFERROR(INDEX(Aus_Siglas,SUMPRODUCT((Aus_Tec=$I25)*(Aus_Ini&lt;=Q$1)*(Aus_Fim&gt;=Q$1)*Aus_Cod)),"!"))))</f>
        <v/>
      </c>
      <c r="R25" s="44">
        <f>IF(OR($I25="",R$1=""),"",IF(SUMPRODUCT((Aus_Tec=$I25)*(Aus_Ini&lt;=R$1)*(Aus_Fim&gt;=R$1)*(Aus_Cod&gt;0))=0,"",IF(SUMPRODUCT((Aus_Tec=$I25)*(Aus_Ini&lt;=R$1)*(Aus_Fim&gt;=R$1)*(Aus_Cod&gt;0))&gt;1,"!",IFERROR(INDEX(Aus_Siglas,SUMPRODUCT((Aus_Tec=$I25)*(Aus_Ini&lt;=R$1)*(Aus_Fim&gt;=R$1)*Aus_Cod)),"!"))))</f>
        <v/>
      </c>
      <c r="S25" s="44">
        <f>IF(OR($I25="",S$1=""),"",IF(SUMPRODUCT((Aus_Tec=$I25)*(Aus_Ini&lt;=S$1)*(Aus_Fim&gt;=S$1)*(Aus_Cod&gt;0))=0,"",IF(SUMPRODUCT((Aus_Tec=$I25)*(Aus_Ini&lt;=S$1)*(Aus_Fim&gt;=S$1)*(Aus_Cod&gt;0))&gt;1,"!",IFERROR(INDEX(Aus_Siglas,SUMPRODUCT((Aus_Tec=$I25)*(Aus_Ini&lt;=S$1)*(Aus_Fim&gt;=S$1)*Aus_Cod)),"!"))))</f>
        <v/>
      </c>
      <c r="T25" s="44">
        <f>IF(OR($I25="",T$1=""),"",IF(SUMPRODUCT((Aus_Tec=$I25)*(Aus_Ini&lt;=T$1)*(Aus_Fim&gt;=T$1)*(Aus_Cod&gt;0))=0,"",IF(SUMPRODUCT((Aus_Tec=$I25)*(Aus_Ini&lt;=T$1)*(Aus_Fim&gt;=T$1)*(Aus_Cod&gt;0))&gt;1,"!",IFERROR(INDEX(Aus_Siglas,SUMPRODUCT((Aus_Tec=$I25)*(Aus_Ini&lt;=T$1)*(Aus_Fim&gt;=T$1)*Aus_Cod)),"!"))))</f>
        <v/>
      </c>
      <c r="U25" s="44">
        <f>IF(OR($I25="",U$1=""),"",IF(SUMPRODUCT((Aus_Tec=$I25)*(Aus_Ini&lt;=U$1)*(Aus_Fim&gt;=U$1)*(Aus_Cod&gt;0))=0,"",IF(SUMPRODUCT((Aus_Tec=$I25)*(Aus_Ini&lt;=U$1)*(Aus_Fim&gt;=U$1)*(Aus_Cod&gt;0))&gt;1,"!",IFERROR(INDEX(Aus_Siglas,SUMPRODUCT((Aus_Tec=$I25)*(Aus_Ini&lt;=U$1)*(Aus_Fim&gt;=U$1)*Aus_Cod)),"!"))))</f>
        <v/>
      </c>
      <c r="V25" s="44">
        <f>IF(OR($I25="",V$1=""),"",IF(SUMPRODUCT((Aus_Tec=$I25)*(Aus_Ini&lt;=V$1)*(Aus_Fim&gt;=V$1)*(Aus_Cod&gt;0))=0,"",IF(SUMPRODUCT((Aus_Tec=$I25)*(Aus_Ini&lt;=V$1)*(Aus_Fim&gt;=V$1)*(Aus_Cod&gt;0))&gt;1,"!",IFERROR(INDEX(Aus_Siglas,SUMPRODUCT((Aus_Tec=$I25)*(Aus_Ini&lt;=V$1)*(Aus_Fim&gt;=V$1)*Aus_Cod)),"!"))))</f>
        <v/>
      </c>
      <c r="W25" s="44">
        <f>IF(OR($I25="",W$1=""),"",IF(SUMPRODUCT((Aus_Tec=$I25)*(Aus_Ini&lt;=W$1)*(Aus_Fim&gt;=W$1)*(Aus_Cod&gt;0))=0,"",IF(SUMPRODUCT((Aus_Tec=$I25)*(Aus_Ini&lt;=W$1)*(Aus_Fim&gt;=W$1)*(Aus_Cod&gt;0))&gt;1,"!",IFERROR(INDEX(Aus_Siglas,SUMPRODUCT((Aus_Tec=$I25)*(Aus_Ini&lt;=W$1)*(Aus_Fim&gt;=W$1)*Aus_Cod)),"!"))))</f>
        <v/>
      </c>
      <c r="X25" s="44">
        <f>IF(OR($I25="",X$1=""),"",IF(SUMPRODUCT((Aus_Tec=$I25)*(Aus_Ini&lt;=X$1)*(Aus_Fim&gt;=X$1)*(Aus_Cod&gt;0))=0,"",IF(SUMPRODUCT((Aus_Tec=$I25)*(Aus_Ini&lt;=X$1)*(Aus_Fim&gt;=X$1)*(Aus_Cod&gt;0))&gt;1,"!",IFERROR(INDEX(Aus_Siglas,SUMPRODUCT((Aus_Tec=$I25)*(Aus_Ini&lt;=X$1)*(Aus_Fim&gt;=X$1)*Aus_Cod)),"!"))))</f>
        <v/>
      </c>
      <c r="Y25" s="44">
        <f>IF(OR($I25="",Y$1=""),"",IF(SUMPRODUCT((Aus_Tec=$I25)*(Aus_Ini&lt;=Y$1)*(Aus_Fim&gt;=Y$1)*(Aus_Cod&gt;0))=0,"",IF(SUMPRODUCT((Aus_Tec=$I25)*(Aus_Ini&lt;=Y$1)*(Aus_Fim&gt;=Y$1)*(Aus_Cod&gt;0))&gt;1,"!",IFERROR(INDEX(Aus_Siglas,SUMPRODUCT((Aus_Tec=$I25)*(Aus_Ini&lt;=Y$1)*(Aus_Fim&gt;=Y$1)*Aus_Cod)),"!"))))</f>
        <v/>
      </c>
      <c r="Z25" s="44">
        <f>IF(OR($I25="",Z$1=""),"",IF(SUMPRODUCT((Aus_Tec=$I25)*(Aus_Ini&lt;=Z$1)*(Aus_Fim&gt;=Z$1)*(Aus_Cod&gt;0))=0,"",IF(SUMPRODUCT((Aus_Tec=$I25)*(Aus_Ini&lt;=Z$1)*(Aus_Fim&gt;=Z$1)*(Aus_Cod&gt;0))&gt;1,"!",IFERROR(INDEX(Aus_Siglas,SUMPRODUCT((Aus_Tec=$I25)*(Aus_Ini&lt;=Z$1)*(Aus_Fim&gt;=Z$1)*Aus_Cod)),"!"))))</f>
        <v/>
      </c>
      <c r="AA25" s="44">
        <f>IF(OR($I25="",AA$1=""),"",IF(SUMPRODUCT((Aus_Tec=$I25)*(Aus_Ini&lt;=AA$1)*(Aus_Fim&gt;=AA$1)*(Aus_Cod&gt;0))=0,"",IF(SUMPRODUCT((Aus_Tec=$I25)*(Aus_Ini&lt;=AA$1)*(Aus_Fim&gt;=AA$1)*(Aus_Cod&gt;0))&gt;1,"!",IFERROR(INDEX(Aus_Siglas,SUMPRODUCT((Aus_Tec=$I25)*(Aus_Ini&lt;=AA$1)*(Aus_Fim&gt;=AA$1)*Aus_Cod)),"!"))))</f>
        <v/>
      </c>
      <c r="AB25" s="44">
        <f>IF(OR($I25="",AB$1=""),"",IF(SUMPRODUCT((Aus_Tec=$I25)*(Aus_Ini&lt;=AB$1)*(Aus_Fim&gt;=AB$1)*(Aus_Cod&gt;0))=0,"",IF(SUMPRODUCT((Aus_Tec=$I25)*(Aus_Ini&lt;=AB$1)*(Aus_Fim&gt;=AB$1)*(Aus_Cod&gt;0))&gt;1,"!",IFERROR(INDEX(Aus_Siglas,SUMPRODUCT((Aus_Tec=$I25)*(Aus_Ini&lt;=AB$1)*(Aus_Fim&gt;=AB$1)*Aus_Cod)),"!"))))</f>
        <v/>
      </c>
      <c r="AC25" s="44">
        <f>IF(OR($I25="",AC$1=""),"",IF(SUMPRODUCT((Aus_Tec=$I25)*(Aus_Ini&lt;=AC$1)*(Aus_Fim&gt;=AC$1)*(Aus_Cod&gt;0))=0,"",IF(SUMPRODUCT((Aus_Tec=$I25)*(Aus_Ini&lt;=AC$1)*(Aus_Fim&gt;=AC$1)*(Aus_Cod&gt;0))&gt;1,"!",IFERROR(INDEX(Aus_Siglas,SUMPRODUCT((Aus_Tec=$I25)*(Aus_Ini&lt;=AC$1)*(Aus_Fim&gt;=AC$1)*Aus_Cod)),"!"))))</f>
        <v/>
      </c>
      <c r="AD25" s="44">
        <f>IF(OR($I25="",AD$1=""),"",IF(SUMPRODUCT((Aus_Tec=$I25)*(Aus_Ini&lt;=AD$1)*(Aus_Fim&gt;=AD$1)*(Aus_Cod&gt;0))=0,"",IF(SUMPRODUCT((Aus_Tec=$I25)*(Aus_Ini&lt;=AD$1)*(Aus_Fim&gt;=AD$1)*(Aus_Cod&gt;0))&gt;1,"!",IFERROR(INDEX(Aus_Siglas,SUMPRODUCT((Aus_Tec=$I25)*(Aus_Ini&lt;=AD$1)*(Aus_Fim&gt;=AD$1)*Aus_Cod)),"!"))))</f>
        <v/>
      </c>
      <c r="AE25" s="44">
        <f>IF(OR($I25="",AE$1=""),"",IF(SUMPRODUCT((Aus_Tec=$I25)*(Aus_Ini&lt;=AE$1)*(Aus_Fim&gt;=AE$1)*(Aus_Cod&gt;0))=0,"",IF(SUMPRODUCT((Aus_Tec=$I25)*(Aus_Ini&lt;=AE$1)*(Aus_Fim&gt;=AE$1)*(Aus_Cod&gt;0))&gt;1,"!",IFERROR(INDEX(Aus_Siglas,SUMPRODUCT((Aus_Tec=$I25)*(Aus_Ini&lt;=AE$1)*(Aus_Fim&gt;=AE$1)*Aus_Cod)),"!"))))</f>
        <v/>
      </c>
      <c r="AF25" s="44">
        <f>IF(OR($I25="",AF$1=""),"",IF(SUMPRODUCT((Aus_Tec=$I25)*(Aus_Ini&lt;=AF$1)*(Aus_Fim&gt;=AF$1)*(Aus_Cod&gt;0))=0,"",IF(SUMPRODUCT((Aus_Tec=$I25)*(Aus_Ini&lt;=AF$1)*(Aus_Fim&gt;=AF$1)*(Aus_Cod&gt;0))&gt;1,"!",IFERROR(INDEX(Aus_Siglas,SUMPRODUCT((Aus_Tec=$I25)*(Aus_Ini&lt;=AF$1)*(Aus_Fim&gt;=AF$1)*Aus_Cod)),"!"))))</f>
        <v/>
      </c>
      <c r="AG25" s="44">
        <f>IF(OR($I25="",AG$1=""),"",IF(SUMPRODUCT((Aus_Tec=$I25)*(Aus_Ini&lt;=AG$1)*(Aus_Fim&gt;=AG$1)*(Aus_Cod&gt;0))=0,"",IF(SUMPRODUCT((Aus_Tec=$I25)*(Aus_Ini&lt;=AG$1)*(Aus_Fim&gt;=AG$1)*(Aus_Cod&gt;0))&gt;1,"!",IFERROR(INDEX(Aus_Siglas,SUMPRODUCT((Aus_Tec=$I25)*(Aus_Ini&lt;=AG$1)*(Aus_Fim&gt;=AG$1)*Aus_Cod)),"!"))))</f>
        <v/>
      </c>
      <c r="AH25" s="44">
        <f>IF(OR($I25="",AH$1=""),"",IF(SUMPRODUCT((Aus_Tec=$I25)*(Aus_Ini&lt;=AH$1)*(Aus_Fim&gt;=AH$1)*(Aus_Cod&gt;0))=0,"",IF(SUMPRODUCT((Aus_Tec=$I25)*(Aus_Ini&lt;=AH$1)*(Aus_Fim&gt;=AH$1)*(Aus_Cod&gt;0))&gt;1,"!",IFERROR(INDEX(Aus_Siglas,SUMPRODUCT((Aus_Tec=$I25)*(Aus_Ini&lt;=AH$1)*(Aus_Fim&gt;=AH$1)*Aus_Cod)),"!"))))</f>
        <v/>
      </c>
      <c r="AI25" s="44">
        <f>IF(OR($I25="",AI$1=""),"",IF(SUMPRODUCT((Aus_Tec=$I25)*(Aus_Ini&lt;=AI$1)*(Aus_Fim&gt;=AI$1)*(Aus_Cod&gt;0))=0,"",IF(SUMPRODUCT((Aus_Tec=$I25)*(Aus_Ini&lt;=AI$1)*(Aus_Fim&gt;=AI$1)*(Aus_Cod&gt;0))&gt;1,"!",IFERROR(INDEX(Aus_Siglas,SUMPRODUCT((Aus_Tec=$I25)*(Aus_Ini&lt;=AI$1)*(Aus_Fim&gt;=AI$1)*Aus_Cod)),"!"))))</f>
        <v/>
      </c>
      <c r="AJ25" s="44">
        <f>IF(OR($I25="",AJ$1=""),"",IF(SUMPRODUCT((Aus_Tec=$I25)*(Aus_Ini&lt;=AJ$1)*(Aus_Fim&gt;=AJ$1)*(Aus_Cod&gt;0))=0,"",IF(SUMPRODUCT((Aus_Tec=$I25)*(Aus_Ini&lt;=AJ$1)*(Aus_Fim&gt;=AJ$1)*(Aus_Cod&gt;0))&gt;1,"!",IFERROR(INDEX(Aus_Siglas,SUMPRODUCT((Aus_Tec=$I25)*(Aus_Ini&lt;=AJ$1)*(Aus_Fim&gt;=AJ$1)*Aus_Cod)),"!"))))</f>
        <v/>
      </c>
      <c r="AK25" s="44">
        <f>IF(OR($I25="",AK$1=""),"",IF(SUMPRODUCT((Aus_Tec=$I25)*(Aus_Ini&lt;=AK$1)*(Aus_Fim&gt;=AK$1)*(Aus_Cod&gt;0))=0,"",IF(SUMPRODUCT((Aus_Tec=$I25)*(Aus_Ini&lt;=AK$1)*(Aus_Fim&gt;=AK$1)*(Aus_Cod&gt;0))&gt;1,"!",IFERROR(INDEX(Aus_Siglas,SUMPRODUCT((Aus_Tec=$I25)*(Aus_Ini&lt;=AK$1)*(Aus_Fim&gt;=AK$1)*Aus_Cod)),"!"))))</f>
        <v/>
      </c>
      <c r="AL25" s="44">
        <f>IF(OR($I25="",AL$1=""),"",IF(SUMPRODUCT((Aus_Tec=$I25)*(Aus_Ini&lt;=AL$1)*(Aus_Fim&gt;=AL$1)*(Aus_Cod&gt;0))=0,"",IF(SUMPRODUCT((Aus_Tec=$I25)*(Aus_Ini&lt;=AL$1)*(Aus_Fim&gt;=AL$1)*(Aus_Cod&gt;0))&gt;1,"!",IFERROR(INDEX(Aus_Siglas,SUMPRODUCT((Aus_Tec=$I25)*(Aus_Ini&lt;=AL$1)*(Aus_Fim&gt;=AL$1)*Aus_Cod)),"!"))))</f>
        <v/>
      </c>
      <c r="AM25" s="44">
        <f>IF(OR($I25="",AM$1=""),"",IF(SUMPRODUCT((Aus_Tec=$I25)*(Aus_Ini&lt;=AM$1)*(Aus_Fim&gt;=AM$1)*(Aus_Cod&gt;0))=0,"",IF(SUMPRODUCT((Aus_Tec=$I25)*(Aus_Ini&lt;=AM$1)*(Aus_Fim&gt;=AM$1)*(Aus_Cod&gt;0))&gt;1,"!",IFERROR(INDEX(Aus_Siglas,SUMPRODUCT((Aus_Tec=$I25)*(Aus_Ini&lt;=AM$1)*(Aus_Fim&gt;=AM$1)*Aus_Cod)),"!"))))</f>
        <v/>
      </c>
      <c r="AN25" s="44">
        <f>IF(OR($I25="",AN$1=""),"",IF(SUMPRODUCT((Aus_Tec=$I25)*(Aus_Ini&lt;=AN$1)*(Aus_Fim&gt;=AN$1)*(Aus_Cod&gt;0))=0,"",IF(SUMPRODUCT((Aus_Tec=$I25)*(Aus_Ini&lt;=AN$1)*(Aus_Fim&gt;=AN$1)*(Aus_Cod&gt;0))&gt;1,"!",IFERROR(INDEX(Aus_Siglas,SUMPRODUCT((Aus_Tec=$I25)*(Aus_Ini&lt;=AN$1)*(Aus_Fim&gt;=AN$1)*Aus_Cod)),"!"))))</f>
        <v/>
      </c>
    </row>
    <row r="26">
      <c r="A26" s="33" t="n"/>
      <c r="B26" s="31" t="n"/>
      <c r="C26" s="30" t="n"/>
      <c r="D26" s="30" t="n"/>
      <c r="E26" s="20">
        <f>IF(OR($A26="",NOT(ISNUMBER($C26)),NOT(ISNUMBER($D26))),"",$D26-$C26+1)</f>
        <v/>
      </c>
      <c r="F26" s="33" t="n"/>
      <c r="G26" s="35">
        <f>IF(AND($A26&lt;&gt;"",ISNUMBER($C26),ISNUMBER($D26),$C26&lt;=Data_Mapa,$D26&gt;=Data_Mapa),$A26,"")</f>
        <v/>
      </c>
      <c r="H26" s="35">
        <f>IF($A26="",0,IFERROR(MATCH($B26,Aus_Tipos,0),0))</f>
        <v/>
      </c>
      <c r="I26" s="43">
        <f>IF('Equipe'!$B$25="","",'Equipe'!$B$25)</f>
        <v/>
      </c>
      <c r="J26" s="44">
        <f>IF(OR($I26="",J$1=""),"",IF(SUMPRODUCT((Aus_Tec=$I26)*(Aus_Ini&lt;=J$1)*(Aus_Fim&gt;=J$1)*(Aus_Cod&gt;0))=0,"",IF(SUMPRODUCT((Aus_Tec=$I26)*(Aus_Ini&lt;=J$1)*(Aus_Fim&gt;=J$1)*(Aus_Cod&gt;0))&gt;1,"!",IFERROR(INDEX(Aus_Siglas,SUMPRODUCT((Aus_Tec=$I26)*(Aus_Ini&lt;=J$1)*(Aus_Fim&gt;=J$1)*Aus_Cod)),"!"))))</f>
        <v/>
      </c>
      <c r="K26" s="44">
        <f>IF(OR($I26="",K$1=""),"",IF(SUMPRODUCT((Aus_Tec=$I26)*(Aus_Ini&lt;=K$1)*(Aus_Fim&gt;=K$1)*(Aus_Cod&gt;0))=0,"",IF(SUMPRODUCT((Aus_Tec=$I26)*(Aus_Ini&lt;=K$1)*(Aus_Fim&gt;=K$1)*(Aus_Cod&gt;0))&gt;1,"!",IFERROR(INDEX(Aus_Siglas,SUMPRODUCT((Aus_Tec=$I26)*(Aus_Ini&lt;=K$1)*(Aus_Fim&gt;=K$1)*Aus_Cod)),"!"))))</f>
        <v/>
      </c>
      <c r="L26" s="44">
        <f>IF(OR($I26="",L$1=""),"",IF(SUMPRODUCT((Aus_Tec=$I26)*(Aus_Ini&lt;=L$1)*(Aus_Fim&gt;=L$1)*(Aus_Cod&gt;0))=0,"",IF(SUMPRODUCT((Aus_Tec=$I26)*(Aus_Ini&lt;=L$1)*(Aus_Fim&gt;=L$1)*(Aus_Cod&gt;0))&gt;1,"!",IFERROR(INDEX(Aus_Siglas,SUMPRODUCT((Aus_Tec=$I26)*(Aus_Ini&lt;=L$1)*(Aus_Fim&gt;=L$1)*Aus_Cod)),"!"))))</f>
        <v/>
      </c>
      <c r="M26" s="44">
        <f>IF(OR($I26="",M$1=""),"",IF(SUMPRODUCT((Aus_Tec=$I26)*(Aus_Ini&lt;=M$1)*(Aus_Fim&gt;=M$1)*(Aus_Cod&gt;0))=0,"",IF(SUMPRODUCT((Aus_Tec=$I26)*(Aus_Ini&lt;=M$1)*(Aus_Fim&gt;=M$1)*(Aus_Cod&gt;0))&gt;1,"!",IFERROR(INDEX(Aus_Siglas,SUMPRODUCT((Aus_Tec=$I26)*(Aus_Ini&lt;=M$1)*(Aus_Fim&gt;=M$1)*Aus_Cod)),"!"))))</f>
        <v/>
      </c>
      <c r="N26" s="44">
        <f>IF(OR($I26="",N$1=""),"",IF(SUMPRODUCT((Aus_Tec=$I26)*(Aus_Ini&lt;=N$1)*(Aus_Fim&gt;=N$1)*(Aus_Cod&gt;0))=0,"",IF(SUMPRODUCT((Aus_Tec=$I26)*(Aus_Ini&lt;=N$1)*(Aus_Fim&gt;=N$1)*(Aus_Cod&gt;0))&gt;1,"!",IFERROR(INDEX(Aus_Siglas,SUMPRODUCT((Aus_Tec=$I26)*(Aus_Ini&lt;=N$1)*(Aus_Fim&gt;=N$1)*Aus_Cod)),"!"))))</f>
        <v/>
      </c>
      <c r="O26" s="44">
        <f>IF(OR($I26="",O$1=""),"",IF(SUMPRODUCT((Aus_Tec=$I26)*(Aus_Ini&lt;=O$1)*(Aus_Fim&gt;=O$1)*(Aus_Cod&gt;0))=0,"",IF(SUMPRODUCT((Aus_Tec=$I26)*(Aus_Ini&lt;=O$1)*(Aus_Fim&gt;=O$1)*(Aus_Cod&gt;0))&gt;1,"!",IFERROR(INDEX(Aus_Siglas,SUMPRODUCT((Aus_Tec=$I26)*(Aus_Ini&lt;=O$1)*(Aus_Fim&gt;=O$1)*Aus_Cod)),"!"))))</f>
        <v/>
      </c>
      <c r="P26" s="44">
        <f>IF(OR($I26="",P$1=""),"",IF(SUMPRODUCT((Aus_Tec=$I26)*(Aus_Ini&lt;=P$1)*(Aus_Fim&gt;=P$1)*(Aus_Cod&gt;0))=0,"",IF(SUMPRODUCT((Aus_Tec=$I26)*(Aus_Ini&lt;=P$1)*(Aus_Fim&gt;=P$1)*(Aus_Cod&gt;0))&gt;1,"!",IFERROR(INDEX(Aus_Siglas,SUMPRODUCT((Aus_Tec=$I26)*(Aus_Ini&lt;=P$1)*(Aus_Fim&gt;=P$1)*Aus_Cod)),"!"))))</f>
        <v/>
      </c>
      <c r="Q26" s="44">
        <f>IF(OR($I26="",Q$1=""),"",IF(SUMPRODUCT((Aus_Tec=$I26)*(Aus_Ini&lt;=Q$1)*(Aus_Fim&gt;=Q$1)*(Aus_Cod&gt;0))=0,"",IF(SUMPRODUCT((Aus_Tec=$I26)*(Aus_Ini&lt;=Q$1)*(Aus_Fim&gt;=Q$1)*(Aus_Cod&gt;0))&gt;1,"!",IFERROR(INDEX(Aus_Siglas,SUMPRODUCT((Aus_Tec=$I26)*(Aus_Ini&lt;=Q$1)*(Aus_Fim&gt;=Q$1)*Aus_Cod)),"!"))))</f>
        <v/>
      </c>
      <c r="R26" s="44">
        <f>IF(OR($I26="",R$1=""),"",IF(SUMPRODUCT((Aus_Tec=$I26)*(Aus_Ini&lt;=R$1)*(Aus_Fim&gt;=R$1)*(Aus_Cod&gt;0))=0,"",IF(SUMPRODUCT((Aus_Tec=$I26)*(Aus_Ini&lt;=R$1)*(Aus_Fim&gt;=R$1)*(Aus_Cod&gt;0))&gt;1,"!",IFERROR(INDEX(Aus_Siglas,SUMPRODUCT((Aus_Tec=$I26)*(Aus_Ini&lt;=R$1)*(Aus_Fim&gt;=R$1)*Aus_Cod)),"!"))))</f>
        <v/>
      </c>
      <c r="S26" s="44">
        <f>IF(OR($I26="",S$1=""),"",IF(SUMPRODUCT((Aus_Tec=$I26)*(Aus_Ini&lt;=S$1)*(Aus_Fim&gt;=S$1)*(Aus_Cod&gt;0))=0,"",IF(SUMPRODUCT((Aus_Tec=$I26)*(Aus_Ini&lt;=S$1)*(Aus_Fim&gt;=S$1)*(Aus_Cod&gt;0))&gt;1,"!",IFERROR(INDEX(Aus_Siglas,SUMPRODUCT((Aus_Tec=$I26)*(Aus_Ini&lt;=S$1)*(Aus_Fim&gt;=S$1)*Aus_Cod)),"!"))))</f>
        <v/>
      </c>
      <c r="T26" s="44">
        <f>IF(OR($I26="",T$1=""),"",IF(SUMPRODUCT((Aus_Tec=$I26)*(Aus_Ini&lt;=T$1)*(Aus_Fim&gt;=T$1)*(Aus_Cod&gt;0))=0,"",IF(SUMPRODUCT((Aus_Tec=$I26)*(Aus_Ini&lt;=T$1)*(Aus_Fim&gt;=T$1)*(Aus_Cod&gt;0))&gt;1,"!",IFERROR(INDEX(Aus_Siglas,SUMPRODUCT((Aus_Tec=$I26)*(Aus_Ini&lt;=T$1)*(Aus_Fim&gt;=T$1)*Aus_Cod)),"!"))))</f>
        <v/>
      </c>
      <c r="U26" s="44">
        <f>IF(OR($I26="",U$1=""),"",IF(SUMPRODUCT((Aus_Tec=$I26)*(Aus_Ini&lt;=U$1)*(Aus_Fim&gt;=U$1)*(Aus_Cod&gt;0))=0,"",IF(SUMPRODUCT((Aus_Tec=$I26)*(Aus_Ini&lt;=U$1)*(Aus_Fim&gt;=U$1)*(Aus_Cod&gt;0))&gt;1,"!",IFERROR(INDEX(Aus_Siglas,SUMPRODUCT((Aus_Tec=$I26)*(Aus_Ini&lt;=U$1)*(Aus_Fim&gt;=U$1)*Aus_Cod)),"!"))))</f>
        <v/>
      </c>
      <c r="V26" s="44">
        <f>IF(OR($I26="",V$1=""),"",IF(SUMPRODUCT((Aus_Tec=$I26)*(Aus_Ini&lt;=V$1)*(Aus_Fim&gt;=V$1)*(Aus_Cod&gt;0))=0,"",IF(SUMPRODUCT((Aus_Tec=$I26)*(Aus_Ini&lt;=V$1)*(Aus_Fim&gt;=V$1)*(Aus_Cod&gt;0))&gt;1,"!",IFERROR(INDEX(Aus_Siglas,SUMPRODUCT((Aus_Tec=$I26)*(Aus_Ini&lt;=V$1)*(Aus_Fim&gt;=V$1)*Aus_Cod)),"!"))))</f>
        <v/>
      </c>
      <c r="W26" s="44">
        <f>IF(OR($I26="",W$1=""),"",IF(SUMPRODUCT((Aus_Tec=$I26)*(Aus_Ini&lt;=W$1)*(Aus_Fim&gt;=W$1)*(Aus_Cod&gt;0))=0,"",IF(SUMPRODUCT((Aus_Tec=$I26)*(Aus_Ini&lt;=W$1)*(Aus_Fim&gt;=W$1)*(Aus_Cod&gt;0))&gt;1,"!",IFERROR(INDEX(Aus_Siglas,SUMPRODUCT((Aus_Tec=$I26)*(Aus_Ini&lt;=W$1)*(Aus_Fim&gt;=W$1)*Aus_Cod)),"!"))))</f>
        <v/>
      </c>
      <c r="X26" s="44">
        <f>IF(OR($I26="",X$1=""),"",IF(SUMPRODUCT((Aus_Tec=$I26)*(Aus_Ini&lt;=X$1)*(Aus_Fim&gt;=X$1)*(Aus_Cod&gt;0))=0,"",IF(SUMPRODUCT((Aus_Tec=$I26)*(Aus_Ini&lt;=X$1)*(Aus_Fim&gt;=X$1)*(Aus_Cod&gt;0))&gt;1,"!",IFERROR(INDEX(Aus_Siglas,SUMPRODUCT((Aus_Tec=$I26)*(Aus_Ini&lt;=X$1)*(Aus_Fim&gt;=X$1)*Aus_Cod)),"!"))))</f>
        <v/>
      </c>
      <c r="Y26" s="44">
        <f>IF(OR($I26="",Y$1=""),"",IF(SUMPRODUCT((Aus_Tec=$I26)*(Aus_Ini&lt;=Y$1)*(Aus_Fim&gt;=Y$1)*(Aus_Cod&gt;0))=0,"",IF(SUMPRODUCT((Aus_Tec=$I26)*(Aus_Ini&lt;=Y$1)*(Aus_Fim&gt;=Y$1)*(Aus_Cod&gt;0))&gt;1,"!",IFERROR(INDEX(Aus_Siglas,SUMPRODUCT((Aus_Tec=$I26)*(Aus_Ini&lt;=Y$1)*(Aus_Fim&gt;=Y$1)*Aus_Cod)),"!"))))</f>
        <v/>
      </c>
      <c r="Z26" s="44">
        <f>IF(OR($I26="",Z$1=""),"",IF(SUMPRODUCT((Aus_Tec=$I26)*(Aus_Ini&lt;=Z$1)*(Aus_Fim&gt;=Z$1)*(Aus_Cod&gt;0))=0,"",IF(SUMPRODUCT((Aus_Tec=$I26)*(Aus_Ini&lt;=Z$1)*(Aus_Fim&gt;=Z$1)*(Aus_Cod&gt;0))&gt;1,"!",IFERROR(INDEX(Aus_Siglas,SUMPRODUCT((Aus_Tec=$I26)*(Aus_Ini&lt;=Z$1)*(Aus_Fim&gt;=Z$1)*Aus_Cod)),"!"))))</f>
        <v/>
      </c>
      <c r="AA26" s="44">
        <f>IF(OR($I26="",AA$1=""),"",IF(SUMPRODUCT((Aus_Tec=$I26)*(Aus_Ini&lt;=AA$1)*(Aus_Fim&gt;=AA$1)*(Aus_Cod&gt;0))=0,"",IF(SUMPRODUCT((Aus_Tec=$I26)*(Aus_Ini&lt;=AA$1)*(Aus_Fim&gt;=AA$1)*(Aus_Cod&gt;0))&gt;1,"!",IFERROR(INDEX(Aus_Siglas,SUMPRODUCT((Aus_Tec=$I26)*(Aus_Ini&lt;=AA$1)*(Aus_Fim&gt;=AA$1)*Aus_Cod)),"!"))))</f>
        <v/>
      </c>
      <c r="AB26" s="44">
        <f>IF(OR($I26="",AB$1=""),"",IF(SUMPRODUCT((Aus_Tec=$I26)*(Aus_Ini&lt;=AB$1)*(Aus_Fim&gt;=AB$1)*(Aus_Cod&gt;0))=0,"",IF(SUMPRODUCT((Aus_Tec=$I26)*(Aus_Ini&lt;=AB$1)*(Aus_Fim&gt;=AB$1)*(Aus_Cod&gt;0))&gt;1,"!",IFERROR(INDEX(Aus_Siglas,SUMPRODUCT((Aus_Tec=$I26)*(Aus_Ini&lt;=AB$1)*(Aus_Fim&gt;=AB$1)*Aus_Cod)),"!"))))</f>
        <v/>
      </c>
      <c r="AC26" s="44">
        <f>IF(OR($I26="",AC$1=""),"",IF(SUMPRODUCT((Aus_Tec=$I26)*(Aus_Ini&lt;=AC$1)*(Aus_Fim&gt;=AC$1)*(Aus_Cod&gt;0))=0,"",IF(SUMPRODUCT((Aus_Tec=$I26)*(Aus_Ini&lt;=AC$1)*(Aus_Fim&gt;=AC$1)*(Aus_Cod&gt;0))&gt;1,"!",IFERROR(INDEX(Aus_Siglas,SUMPRODUCT((Aus_Tec=$I26)*(Aus_Ini&lt;=AC$1)*(Aus_Fim&gt;=AC$1)*Aus_Cod)),"!"))))</f>
        <v/>
      </c>
      <c r="AD26" s="44">
        <f>IF(OR($I26="",AD$1=""),"",IF(SUMPRODUCT((Aus_Tec=$I26)*(Aus_Ini&lt;=AD$1)*(Aus_Fim&gt;=AD$1)*(Aus_Cod&gt;0))=0,"",IF(SUMPRODUCT((Aus_Tec=$I26)*(Aus_Ini&lt;=AD$1)*(Aus_Fim&gt;=AD$1)*(Aus_Cod&gt;0))&gt;1,"!",IFERROR(INDEX(Aus_Siglas,SUMPRODUCT((Aus_Tec=$I26)*(Aus_Ini&lt;=AD$1)*(Aus_Fim&gt;=AD$1)*Aus_Cod)),"!"))))</f>
        <v/>
      </c>
      <c r="AE26" s="44">
        <f>IF(OR($I26="",AE$1=""),"",IF(SUMPRODUCT((Aus_Tec=$I26)*(Aus_Ini&lt;=AE$1)*(Aus_Fim&gt;=AE$1)*(Aus_Cod&gt;0))=0,"",IF(SUMPRODUCT((Aus_Tec=$I26)*(Aus_Ini&lt;=AE$1)*(Aus_Fim&gt;=AE$1)*(Aus_Cod&gt;0))&gt;1,"!",IFERROR(INDEX(Aus_Siglas,SUMPRODUCT((Aus_Tec=$I26)*(Aus_Ini&lt;=AE$1)*(Aus_Fim&gt;=AE$1)*Aus_Cod)),"!"))))</f>
        <v/>
      </c>
      <c r="AF26" s="44">
        <f>IF(OR($I26="",AF$1=""),"",IF(SUMPRODUCT((Aus_Tec=$I26)*(Aus_Ini&lt;=AF$1)*(Aus_Fim&gt;=AF$1)*(Aus_Cod&gt;0))=0,"",IF(SUMPRODUCT((Aus_Tec=$I26)*(Aus_Ini&lt;=AF$1)*(Aus_Fim&gt;=AF$1)*(Aus_Cod&gt;0))&gt;1,"!",IFERROR(INDEX(Aus_Siglas,SUMPRODUCT((Aus_Tec=$I26)*(Aus_Ini&lt;=AF$1)*(Aus_Fim&gt;=AF$1)*Aus_Cod)),"!"))))</f>
        <v/>
      </c>
      <c r="AG26" s="44">
        <f>IF(OR($I26="",AG$1=""),"",IF(SUMPRODUCT((Aus_Tec=$I26)*(Aus_Ini&lt;=AG$1)*(Aus_Fim&gt;=AG$1)*(Aus_Cod&gt;0))=0,"",IF(SUMPRODUCT((Aus_Tec=$I26)*(Aus_Ini&lt;=AG$1)*(Aus_Fim&gt;=AG$1)*(Aus_Cod&gt;0))&gt;1,"!",IFERROR(INDEX(Aus_Siglas,SUMPRODUCT((Aus_Tec=$I26)*(Aus_Ini&lt;=AG$1)*(Aus_Fim&gt;=AG$1)*Aus_Cod)),"!"))))</f>
        <v/>
      </c>
      <c r="AH26" s="44">
        <f>IF(OR($I26="",AH$1=""),"",IF(SUMPRODUCT((Aus_Tec=$I26)*(Aus_Ini&lt;=AH$1)*(Aus_Fim&gt;=AH$1)*(Aus_Cod&gt;0))=0,"",IF(SUMPRODUCT((Aus_Tec=$I26)*(Aus_Ini&lt;=AH$1)*(Aus_Fim&gt;=AH$1)*(Aus_Cod&gt;0))&gt;1,"!",IFERROR(INDEX(Aus_Siglas,SUMPRODUCT((Aus_Tec=$I26)*(Aus_Ini&lt;=AH$1)*(Aus_Fim&gt;=AH$1)*Aus_Cod)),"!"))))</f>
        <v/>
      </c>
      <c r="AI26" s="44">
        <f>IF(OR($I26="",AI$1=""),"",IF(SUMPRODUCT((Aus_Tec=$I26)*(Aus_Ini&lt;=AI$1)*(Aus_Fim&gt;=AI$1)*(Aus_Cod&gt;0))=0,"",IF(SUMPRODUCT((Aus_Tec=$I26)*(Aus_Ini&lt;=AI$1)*(Aus_Fim&gt;=AI$1)*(Aus_Cod&gt;0))&gt;1,"!",IFERROR(INDEX(Aus_Siglas,SUMPRODUCT((Aus_Tec=$I26)*(Aus_Ini&lt;=AI$1)*(Aus_Fim&gt;=AI$1)*Aus_Cod)),"!"))))</f>
        <v/>
      </c>
      <c r="AJ26" s="44">
        <f>IF(OR($I26="",AJ$1=""),"",IF(SUMPRODUCT((Aus_Tec=$I26)*(Aus_Ini&lt;=AJ$1)*(Aus_Fim&gt;=AJ$1)*(Aus_Cod&gt;0))=0,"",IF(SUMPRODUCT((Aus_Tec=$I26)*(Aus_Ini&lt;=AJ$1)*(Aus_Fim&gt;=AJ$1)*(Aus_Cod&gt;0))&gt;1,"!",IFERROR(INDEX(Aus_Siglas,SUMPRODUCT((Aus_Tec=$I26)*(Aus_Ini&lt;=AJ$1)*(Aus_Fim&gt;=AJ$1)*Aus_Cod)),"!"))))</f>
        <v/>
      </c>
      <c r="AK26" s="44">
        <f>IF(OR($I26="",AK$1=""),"",IF(SUMPRODUCT((Aus_Tec=$I26)*(Aus_Ini&lt;=AK$1)*(Aus_Fim&gt;=AK$1)*(Aus_Cod&gt;0))=0,"",IF(SUMPRODUCT((Aus_Tec=$I26)*(Aus_Ini&lt;=AK$1)*(Aus_Fim&gt;=AK$1)*(Aus_Cod&gt;0))&gt;1,"!",IFERROR(INDEX(Aus_Siglas,SUMPRODUCT((Aus_Tec=$I26)*(Aus_Ini&lt;=AK$1)*(Aus_Fim&gt;=AK$1)*Aus_Cod)),"!"))))</f>
        <v/>
      </c>
      <c r="AL26" s="44">
        <f>IF(OR($I26="",AL$1=""),"",IF(SUMPRODUCT((Aus_Tec=$I26)*(Aus_Ini&lt;=AL$1)*(Aus_Fim&gt;=AL$1)*(Aus_Cod&gt;0))=0,"",IF(SUMPRODUCT((Aus_Tec=$I26)*(Aus_Ini&lt;=AL$1)*(Aus_Fim&gt;=AL$1)*(Aus_Cod&gt;0))&gt;1,"!",IFERROR(INDEX(Aus_Siglas,SUMPRODUCT((Aus_Tec=$I26)*(Aus_Ini&lt;=AL$1)*(Aus_Fim&gt;=AL$1)*Aus_Cod)),"!"))))</f>
        <v/>
      </c>
      <c r="AM26" s="44">
        <f>IF(OR($I26="",AM$1=""),"",IF(SUMPRODUCT((Aus_Tec=$I26)*(Aus_Ini&lt;=AM$1)*(Aus_Fim&gt;=AM$1)*(Aus_Cod&gt;0))=0,"",IF(SUMPRODUCT((Aus_Tec=$I26)*(Aus_Ini&lt;=AM$1)*(Aus_Fim&gt;=AM$1)*(Aus_Cod&gt;0))&gt;1,"!",IFERROR(INDEX(Aus_Siglas,SUMPRODUCT((Aus_Tec=$I26)*(Aus_Ini&lt;=AM$1)*(Aus_Fim&gt;=AM$1)*Aus_Cod)),"!"))))</f>
        <v/>
      </c>
      <c r="AN26" s="44">
        <f>IF(OR($I26="",AN$1=""),"",IF(SUMPRODUCT((Aus_Tec=$I26)*(Aus_Ini&lt;=AN$1)*(Aus_Fim&gt;=AN$1)*(Aus_Cod&gt;0))=0,"",IF(SUMPRODUCT((Aus_Tec=$I26)*(Aus_Ini&lt;=AN$1)*(Aus_Fim&gt;=AN$1)*(Aus_Cod&gt;0))&gt;1,"!",IFERROR(INDEX(Aus_Siglas,SUMPRODUCT((Aus_Tec=$I26)*(Aus_Ini&lt;=AN$1)*(Aus_Fim&gt;=AN$1)*Aus_Cod)),"!"))))</f>
        <v/>
      </c>
    </row>
    <row r="27">
      <c r="A27" s="33" t="n"/>
      <c r="B27" s="31" t="n"/>
      <c r="C27" s="30" t="n"/>
      <c r="D27" s="30" t="n"/>
      <c r="E27" s="20">
        <f>IF(OR($A27="",NOT(ISNUMBER($C27)),NOT(ISNUMBER($D27))),"",$D27-$C27+1)</f>
        <v/>
      </c>
      <c r="F27" s="33" t="n"/>
      <c r="G27" s="35">
        <f>IF(AND($A27&lt;&gt;"",ISNUMBER($C27),ISNUMBER($D27),$C27&lt;=Data_Mapa,$D27&gt;=Data_Mapa),$A27,"")</f>
        <v/>
      </c>
      <c r="H27" s="35">
        <f>IF($A27="",0,IFERROR(MATCH($B27,Aus_Tipos,0),0))</f>
        <v/>
      </c>
      <c r="I27" s="43">
        <f>IF('Equipe'!$B$26="","",'Equipe'!$B$26)</f>
        <v/>
      </c>
      <c r="J27" s="44">
        <f>IF(OR($I27="",J$1=""),"",IF(SUMPRODUCT((Aus_Tec=$I27)*(Aus_Ini&lt;=J$1)*(Aus_Fim&gt;=J$1)*(Aus_Cod&gt;0))=0,"",IF(SUMPRODUCT((Aus_Tec=$I27)*(Aus_Ini&lt;=J$1)*(Aus_Fim&gt;=J$1)*(Aus_Cod&gt;0))&gt;1,"!",IFERROR(INDEX(Aus_Siglas,SUMPRODUCT((Aus_Tec=$I27)*(Aus_Ini&lt;=J$1)*(Aus_Fim&gt;=J$1)*Aus_Cod)),"!"))))</f>
        <v/>
      </c>
      <c r="K27" s="44">
        <f>IF(OR($I27="",K$1=""),"",IF(SUMPRODUCT((Aus_Tec=$I27)*(Aus_Ini&lt;=K$1)*(Aus_Fim&gt;=K$1)*(Aus_Cod&gt;0))=0,"",IF(SUMPRODUCT((Aus_Tec=$I27)*(Aus_Ini&lt;=K$1)*(Aus_Fim&gt;=K$1)*(Aus_Cod&gt;0))&gt;1,"!",IFERROR(INDEX(Aus_Siglas,SUMPRODUCT((Aus_Tec=$I27)*(Aus_Ini&lt;=K$1)*(Aus_Fim&gt;=K$1)*Aus_Cod)),"!"))))</f>
        <v/>
      </c>
      <c r="L27" s="44">
        <f>IF(OR($I27="",L$1=""),"",IF(SUMPRODUCT((Aus_Tec=$I27)*(Aus_Ini&lt;=L$1)*(Aus_Fim&gt;=L$1)*(Aus_Cod&gt;0))=0,"",IF(SUMPRODUCT((Aus_Tec=$I27)*(Aus_Ini&lt;=L$1)*(Aus_Fim&gt;=L$1)*(Aus_Cod&gt;0))&gt;1,"!",IFERROR(INDEX(Aus_Siglas,SUMPRODUCT((Aus_Tec=$I27)*(Aus_Ini&lt;=L$1)*(Aus_Fim&gt;=L$1)*Aus_Cod)),"!"))))</f>
        <v/>
      </c>
      <c r="M27" s="44">
        <f>IF(OR($I27="",M$1=""),"",IF(SUMPRODUCT((Aus_Tec=$I27)*(Aus_Ini&lt;=M$1)*(Aus_Fim&gt;=M$1)*(Aus_Cod&gt;0))=0,"",IF(SUMPRODUCT((Aus_Tec=$I27)*(Aus_Ini&lt;=M$1)*(Aus_Fim&gt;=M$1)*(Aus_Cod&gt;0))&gt;1,"!",IFERROR(INDEX(Aus_Siglas,SUMPRODUCT((Aus_Tec=$I27)*(Aus_Ini&lt;=M$1)*(Aus_Fim&gt;=M$1)*Aus_Cod)),"!"))))</f>
        <v/>
      </c>
      <c r="N27" s="44">
        <f>IF(OR($I27="",N$1=""),"",IF(SUMPRODUCT((Aus_Tec=$I27)*(Aus_Ini&lt;=N$1)*(Aus_Fim&gt;=N$1)*(Aus_Cod&gt;0))=0,"",IF(SUMPRODUCT((Aus_Tec=$I27)*(Aus_Ini&lt;=N$1)*(Aus_Fim&gt;=N$1)*(Aus_Cod&gt;0))&gt;1,"!",IFERROR(INDEX(Aus_Siglas,SUMPRODUCT((Aus_Tec=$I27)*(Aus_Ini&lt;=N$1)*(Aus_Fim&gt;=N$1)*Aus_Cod)),"!"))))</f>
        <v/>
      </c>
      <c r="O27" s="44">
        <f>IF(OR($I27="",O$1=""),"",IF(SUMPRODUCT((Aus_Tec=$I27)*(Aus_Ini&lt;=O$1)*(Aus_Fim&gt;=O$1)*(Aus_Cod&gt;0))=0,"",IF(SUMPRODUCT((Aus_Tec=$I27)*(Aus_Ini&lt;=O$1)*(Aus_Fim&gt;=O$1)*(Aus_Cod&gt;0))&gt;1,"!",IFERROR(INDEX(Aus_Siglas,SUMPRODUCT((Aus_Tec=$I27)*(Aus_Ini&lt;=O$1)*(Aus_Fim&gt;=O$1)*Aus_Cod)),"!"))))</f>
        <v/>
      </c>
      <c r="P27" s="44">
        <f>IF(OR($I27="",P$1=""),"",IF(SUMPRODUCT((Aus_Tec=$I27)*(Aus_Ini&lt;=P$1)*(Aus_Fim&gt;=P$1)*(Aus_Cod&gt;0))=0,"",IF(SUMPRODUCT((Aus_Tec=$I27)*(Aus_Ini&lt;=P$1)*(Aus_Fim&gt;=P$1)*(Aus_Cod&gt;0))&gt;1,"!",IFERROR(INDEX(Aus_Siglas,SUMPRODUCT((Aus_Tec=$I27)*(Aus_Ini&lt;=P$1)*(Aus_Fim&gt;=P$1)*Aus_Cod)),"!"))))</f>
        <v/>
      </c>
      <c r="Q27" s="44">
        <f>IF(OR($I27="",Q$1=""),"",IF(SUMPRODUCT((Aus_Tec=$I27)*(Aus_Ini&lt;=Q$1)*(Aus_Fim&gt;=Q$1)*(Aus_Cod&gt;0))=0,"",IF(SUMPRODUCT((Aus_Tec=$I27)*(Aus_Ini&lt;=Q$1)*(Aus_Fim&gt;=Q$1)*(Aus_Cod&gt;0))&gt;1,"!",IFERROR(INDEX(Aus_Siglas,SUMPRODUCT((Aus_Tec=$I27)*(Aus_Ini&lt;=Q$1)*(Aus_Fim&gt;=Q$1)*Aus_Cod)),"!"))))</f>
        <v/>
      </c>
      <c r="R27" s="44">
        <f>IF(OR($I27="",R$1=""),"",IF(SUMPRODUCT((Aus_Tec=$I27)*(Aus_Ini&lt;=R$1)*(Aus_Fim&gt;=R$1)*(Aus_Cod&gt;0))=0,"",IF(SUMPRODUCT((Aus_Tec=$I27)*(Aus_Ini&lt;=R$1)*(Aus_Fim&gt;=R$1)*(Aus_Cod&gt;0))&gt;1,"!",IFERROR(INDEX(Aus_Siglas,SUMPRODUCT((Aus_Tec=$I27)*(Aus_Ini&lt;=R$1)*(Aus_Fim&gt;=R$1)*Aus_Cod)),"!"))))</f>
        <v/>
      </c>
      <c r="S27" s="44">
        <f>IF(OR($I27="",S$1=""),"",IF(SUMPRODUCT((Aus_Tec=$I27)*(Aus_Ini&lt;=S$1)*(Aus_Fim&gt;=S$1)*(Aus_Cod&gt;0))=0,"",IF(SUMPRODUCT((Aus_Tec=$I27)*(Aus_Ini&lt;=S$1)*(Aus_Fim&gt;=S$1)*(Aus_Cod&gt;0))&gt;1,"!",IFERROR(INDEX(Aus_Siglas,SUMPRODUCT((Aus_Tec=$I27)*(Aus_Ini&lt;=S$1)*(Aus_Fim&gt;=S$1)*Aus_Cod)),"!"))))</f>
        <v/>
      </c>
      <c r="T27" s="44">
        <f>IF(OR($I27="",T$1=""),"",IF(SUMPRODUCT((Aus_Tec=$I27)*(Aus_Ini&lt;=T$1)*(Aus_Fim&gt;=T$1)*(Aus_Cod&gt;0))=0,"",IF(SUMPRODUCT((Aus_Tec=$I27)*(Aus_Ini&lt;=T$1)*(Aus_Fim&gt;=T$1)*(Aus_Cod&gt;0))&gt;1,"!",IFERROR(INDEX(Aus_Siglas,SUMPRODUCT((Aus_Tec=$I27)*(Aus_Ini&lt;=T$1)*(Aus_Fim&gt;=T$1)*Aus_Cod)),"!"))))</f>
        <v/>
      </c>
      <c r="U27" s="44">
        <f>IF(OR($I27="",U$1=""),"",IF(SUMPRODUCT((Aus_Tec=$I27)*(Aus_Ini&lt;=U$1)*(Aus_Fim&gt;=U$1)*(Aus_Cod&gt;0))=0,"",IF(SUMPRODUCT((Aus_Tec=$I27)*(Aus_Ini&lt;=U$1)*(Aus_Fim&gt;=U$1)*(Aus_Cod&gt;0))&gt;1,"!",IFERROR(INDEX(Aus_Siglas,SUMPRODUCT((Aus_Tec=$I27)*(Aus_Ini&lt;=U$1)*(Aus_Fim&gt;=U$1)*Aus_Cod)),"!"))))</f>
        <v/>
      </c>
      <c r="V27" s="44">
        <f>IF(OR($I27="",V$1=""),"",IF(SUMPRODUCT((Aus_Tec=$I27)*(Aus_Ini&lt;=V$1)*(Aus_Fim&gt;=V$1)*(Aus_Cod&gt;0))=0,"",IF(SUMPRODUCT((Aus_Tec=$I27)*(Aus_Ini&lt;=V$1)*(Aus_Fim&gt;=V$1)*(Aus_Cod&gt;0))&gt;1,"!",IFERROR(INDEX(Aus_Siglas,SUMPRODUCT((Aus_Tec=$I27)*(Aus_Ini&lt;=V$1)*(Aus_Fim&gt;=V$1)*Aus_Cod)),"!"))))</f>
        <v/>
      </c>
      <c r="W27" s="44">
        <f>IF(OR($I27="",W$1=""),"",IF(SUMPRODUCT((Aus_Tec=$I27)*(Aus_Ini&lt;=W$1)*(Aus_Fim&gt;=W$1)*(Aus_Cod&gt;0))=0,"",IF(SUMPRODUCT((Aus_Tec=$I27)*(Aus_Ini&lt;=W$1)*(Aus_Fim&gt;=W$1)*(Aus_Cod&gt;0))&gt;1,"!",IFERROR(INDEX(Aus_Siglas,SUMPRODUCT((Aus_Tec=$I27)*(Aus_Ini&lt;=W$1)*(Aus_Fim&gt;=W$1)*Aus_Cod)),"!"))))</f>
        <v/>
      </c>
      <c r="X27" s="44">
        <f>IF(OR($I27="",X$1=""),"",IF(SUMPRODUCT((Aus_Tec=$I27)*(Aus_Ini&lt;=X$1)*(Aus_Fim&gt;=X$1)*(Aus_Cod&gt;0))=0,"",IF(SUMPRODUCT((Aus_Tec=$I27)*(Aus_Ini&lt;=X$1)*(Aus_Fim&gt;=X$1)*(Aus_Cod&gt;0))&gt;1,"!",IFERROR(INDEX(Aus_Siglas,SUMPRODUCT((Aus_Tec=$I27)*(Aus_Ini&lt;=X$1)*(Aus_Fim&gt;=X$1)*Aus_Cod)),"!"))))</f>
        <v/>
      </c>
      <c r="Y27" s="44">
        <f>IF(OR($I27="",Y$1=""),"",IF(SUMPRODUCT((Aus_Tec=$I27)*(Aus_Ini&lt;=Y$1)*(Aus_Fim&gt;=Y$1)*(Aus_Cod&gt;0))=0,"",IF(SUMPRODUCT((Aus_Tec=$I27)*(Aus_Ini&lt;=Y$1)*(Aus_Fim&gt;=Y$1)*(Aus_Cod&gt;0))&gt;1,"!",IFERROR(INDEX(Aus_Siglas,SUMPRODUCT((Aus_Tec=$I27)*(Aus_Ini&lt;=Y$1)*(Aus_Fim&gt;=Y$1)*Aus_Cod)),"!"))))</f>
        <v/>
      </c>
      <c r="Z27" s="44">
        <f>IF(OR($I27="",Z$1=""),"",IF(SUMPRODUCT((Aus_Tec=$I27)*(Aus_Ini&lt;=Z$1)*(Aus_Fim&gt;=Z$1)*(Aus_Cod&gt;0))=0,"",IF(SUMPRODUCT((Aus_Tec=$I27)*(Aus_Ini&lt;=Z$1)*(Aus_Fim&gt;=Z$1)*(Aus_Cod&gt;0))&gt;1,"!",IFERROR(INDEX(Aus_Siglas,SUMPRODUCT((Aus_Tec=$I27)*(Aus_Ini&lt;=Z$1)*(Aus_Fim&gt;=Z$1)*Aus_Cod)),"!"))))</f>
        <v/>
      </c>
      <c r="AA27" s="44">
        <f>IF(OR($I27="",AA$1=""),"",IF(SUMPRODUCT((Aus_Tec=$I27)*(Aus_Ini&lt;=AA$1)*(Aus_Fim&gt;=AA$1)*(Aus_Cod&gt;0))=0,"",IF(SUMPRODUCT((Aus_Tec=$I27)*(Aus_Ini&lt;=AA$1)*(Aus_Fim&gt;=AA$1)*(Aus_Cod&gt;0))&gt;1,"!",IFERROR(INDEX(Aus_Siglas,SUMPRODUCT((Aus_Tec=$I27)*(Aus_Ini&lt;=AA$1)*(Aus_Fim&gt;=AA$1)*Aus_Cod)),"!"))))</f>
        <v/>
      </c>
      <c r="AB27" s="44">
        <f>IF(OR($I27="",AB$1=""),"",IF(SUMPRODUCT((Aus_Tec=$I27)*(Aus_Ini&lt;=AB$1)*(Aus_Fim&gt;=AB$1)*(Aus_Cod&gt;0))=0,"",IF(SUMPRODUCT((Aus_Tec=$I27)*(Aus_Ini&lt;=AB$1)*(Aus_Fim&gt;=AB$1)*(Aus_Cod&gt;0))&gt;1,"!",IFERROR(INDEX(Aus_Siglas,SUMPRODUCT((Aus_Tec=$I27)*(Aus_Ini&lt;=AB$1)*(Aus_Fim&gt;=AB$1)*Aus_Cod)),"!"))))</f>
        <v/>
      </c>
      <c r="AC27" s="44">
        <f>IF(OR($I27="",AC$1=""),"",IF(SUMPRODUCT((Aus_Tec=$I27)*(Aus_Ini&lt;=AC$1)*(Aus_Fim&gt;=AC$1)*(Aus_Cod&gt;0))=0,"",IF(SUMPRODUCT((Aus_Tec=$I27)*(Aus_Ini&lt;=AC$1)*(Aus_Fim&gt;=AC$1)*(Aus_Cod&gt;0))&gt;1,"!",IFERROR(INDEX(Aus_Siglas,SUMPRODUCT((Aus_Tec=$I27)*(Aus_Ini&lt;=AC$1)*(Aus_Fim&gt;=AC$1)*Aus_Cod)),"!"))))</f>
        <v/>
      </c>
      <c r="AD27" s="44">
        <f>IF(OR($I27="",AD$1=""),"",IF(SUMPRODUCT((Aus_Tec=$I27)*(Aus_Ini&lt;=AD$1)*(Aus_Fim&gt;=AD$1)*(Aus_Cod&gt;0))=0,"",IF(SUMPRODUCT((Aus_Tec=$I27)*(Aus_Ini&lt;=AD$1)*(Aus_Fim&gt;=AD$1)*(Aus_Cod&gt;0))&gt;1,"!",IFERROR(INDEX(Aus_Siglas,SUMPRODUCT((Aus_Tec=$I27)*(Aus_Ini&lt;=AD$1)*(Aus_Fim&gt;=AD$1)*Aus_Cod)),"!"))))</f>
        <v/>
      </c>
      <c r="AE27" s="44">
        <f>IF(OR($I27="",AE$1=""),"",IF(SUMPRODUCT((Aus_Tec=$I27)*(Aus_Ini&lt;=AE$1)*(Aus_Fim&gt;=AE$1)*(Aus_Cod&gt;0))=0,"",IF(SUMPRODUCT((Aus_Tec=$I27)*(Aus_Ini&lt;=AE$1)*(Aus_Fim&gt;=AE$1)*(Aus_Cod&gt;0))&gt;1,"!",IFERROR(INDEX(Aus_Siglas,SUMPRODUCT((Aus_Tec=$I27)*(Aus_Ini&lt;=AE$1)*(Aus_Fim&gt;=AE$1)*Aus_Cod)),"!"))))</f>
        <v/>
      </c>
      <c r="AF27" s="44">
        <f>IF(OR($I27="",AF$1=""),"",IF(SUMPRODUCT((Aus_Tec=$I27)*(Aus_Ini&lt;=AF$1)*(Aus_Fim&gt;=AF$1)*(Aus_Cod&gt;0))=0,"",IF(SUMPRODUCT((Aus_Tec=$I27)*(Aus_Ini&lt;=AF$1)*(Aus_Fim&gt;=AF$1)*(Aus_Cod&gt;0))&gt;1,"!",IFERROR(INDEX(Aus_Siglas,SUMPRODUCT((Aus_Tec=$I27)*(Aus_Ini&lt;=AF$1)*(Aus_Fim&gt;=AF$1)*Aus_Cod)),"!"))))</f>
        <v/>
      </c>
      <c r="AG27" s="44">
        <f>IF(OR($I27="",AG$1=""),"",IF(SUMPRODUCT((Aus_Tec=$I27)*(Aus_Ini&lt;=AG$1)*(Aus_Fim&gt;=AG$1)*(Aus_Cod&gt;0))=0,"",IF(SUMPRODUCT((Aus_Tec=$I27)*(Aus_Ini&lt;=AG$1)*(Aus_Fim&gt;=AG$1)*(Aus_Cod&gt;0))&gt;1,"!",IFERROR(INDEX(Aus_Siglas,SUMPRODUCT((Aus_Tec=$I27)*(Aus_Ini&lt;=AG$1)*(Aus_Fim&gt;=AG$1)*Aus_Cod)),"!"))))</f>
        <v/>
      </c>
      <c r="AH27" s="44">
        <f>IF(OR($I27="",AH$1=""),"",IF(SUMPRODUCT((Aus_Tec=$I27)*(Aus_Ini&lt;=AH$1)*(Aus_Fim&gt;=AH$1)*(Aus_Cod&gt;0))=0,"",IF(SUMPRODUCT((Aus_Tec=$I27)*(Aus_Ini&lt;=AH$1)*(Aus_Fim&gt;=AH$1)*(Aus_Cod&gt;0))&gt;1,"!",IFERROR(INDEX(Aus_Siglas,SUMPRODUCT((Aus_Tec=$I27)*(Aus_Ini&lt;=AH$1)*(Aus_Fim&gt;=AH$1)*Aus_Cod)),"!"))))</f>
        <v/>
      </c>
      <c r="AI27" s="44">
        <f>IF(OR($I27="",AI$1=""),"",IF(SUMPRODUCT((Aus_Tec=$I27)*(Aus_Ini&lt;=AI$1)*(Aus_Fim&gt;=AI$1)*(Aus_Cod&gt;0))=0,"",IF(SUMPRODUCT((Aus_Tec=$I27)*(Aus_Ini&lt;=AI$1)*(Aus_Fim&gt;=AI$1)*(Aus_Cod&gt;0))&gt;1,"!",IFERROR(INDEX(Aus_Siglas,SUMPRODUCT((Aus_Tec=$I27)*(Aus_Ini&lt;=AI$1)*(Aus_Fim&gt;=AI$1)*Aus_Cod)),"!"))))</f>
        <v/>
      </c>
      <c r="AJ27" s="44">
        <f>IF(OR($I27="",AJ$1=""),"",IF(SUMPRODUCT((Aus_Tec=$I27)*(Aus_Ini&lt;=AJ$1)*(Aus_Fim&gt;=AJ$1)*(Aus_Cod&gt;0))=0,"",IF(SUMPRODUCT((Aus_Tec=$I27)*(Aus_Ini&lt;=AJ$1)*(Aus_Fim&gt;=AJ$1)*(Aus_Cod&gt;0))&gt;1,"!",IFERROR(INDEX(Aus_Siglas,SUMPRODUCT((Aus_Tec=$I27)*(Aus_Ini&lt;=AJ$1)*(Aus_Fim&gt;=AJ$1)*Aus_Cod)),"!"))))</f>
        <v/>
      </c>
      <c r="AK27" s="44">
        <f>IF(OR($I27="",AK$1=""),"",IF(SUMPRODUCT((Aus_Tec=$I27)*(Aus_Ini&lt;=AK$1)*(Aus_Fim&gt;=AK$1)*(Aus_Cod&gt;0))=0,"",IF(SUMPRODUCT((Aus_Tec=$I27)*(Aus_Ini&lt;=AK$1)*(Aus_Fim&gt;=AK$1)*(Aus_Cod&gt;0))&gt;1,"!",IFERROR(INDEX(Aus_Siglas,SUMPRODUCT((Aus_Tec=$I27)*(Aus_Ini&lt;=AK$1)*(Aus_Fim&gt;=AK$1)*Aus_Cod)),"!"))))</f>
        <v/>
      </c>
      <c r="AL27" s="44">
        <f>IF(OR($I27="",AL$1=""),"",IF(SUMPRODUCT((Aus_Tec=$I27)*(Aus_Ini&lt;=AL$1)*(Aus_Fim&gt;=AL$1)*(Aus_Cod&gt;0))=0,"",IF(SUMPRODUCT((Aus_Tec=$I27)*(Aus_Ini&lt;=AL$1)*(Aus_Fim&gt;=AL$1)*(Aus_Cod&gt;0))&gt;1,"!",IFERROR(INDEX(Aus_Siglas,SUMPRODUCT((Aus_Tec=$I27)*(Aus_Ini&lt;=AL$1)*(Aus_Fim&gt;=AL$1)*Aus_Cod)),"!"))))</f>
        <v/>
      </c>
      <c r="AM27" s="44">
        <f>IF(OR($I27="",AM$1=""),"",IF(SUMPRODUCT((Aus_Tec=$I27)*(Aus_Ini&lt;=AM$1)*(Aus_Fim&gt;=AM$1)*(Aus_Cod&gt;0))=0,"",IF(SUMPRODUCT((Aus_Tec=$I27)*(Aus_Ini&lt;=AM$1)*(Aus_Fim&gt;=AM$1)*(Aus_Cod&gt;0))&gt;1,"!",IFERROR(INDEX(Aus_Siglas,SUMPRODUCT((Aus_Tec=$I27)*(Aus_Ini&lt;=AM$1)*(Aus_Fim&gt;=AM$1)*Aus_Cod)),"!"))))</f>
        <v/>
      </c>
      <c r="AN27" s="44">
        <f>IF(OR($I27="",AN$1=""),"",IF(SUMPRODUCT((Aus_Tec=$I27)*(Aus_Ini&lt;=AN$1)*(Aus_Fim&gt;=AN$1)*(Aus_Cod&gt;0))=0,"",IF(SUMPRODUCT((Aus_Tec=$I27)*(Aus_Ini&lt;=AN$1)*(Aus_Fim&gt;=AN$1)*(Aus_Cod&gt;0))&gt;1,"!",IFERROR(INDEX(Aus_Siglas,SUMPRODUCT((Aus_Tec=$I27)*(Aus_Ini&lt;=AN$1)*(Aus_Fim&gt;=AN$1)*Aus_Cod)),"!"))))</f>
        <v/>
      </c>
    </row>
    <row r="28">
      <c r="A28" s="33" t="n"/>
      <c r="B28" s="31" t="n"/>
      <c r="C28" s="30" t="n"/>
      <c r="D28" s="30" t="n"/>
      <c r="E28" s="20">
        <f>IF(OR($A28="",NOT(ISNUMBER($C28)),NOT(ISNUMBER($D28))),"",$D28-$C28+1)</f>
        <v/>
      </c>
      <c r="F28" s="33" t="n"/>
      <c r="G28" s="35">
        <f>IF(AND($A28&lt;&gt;"",ISNUMBER($C28),ISNUMBER($D28),$C28&lt;=Data_Mapa,$D28&gt;=Data_Mapa),$A28,"")</f>
        <v/>
      </c>
      <c r="H28" s="35">
        <f>IF($A28="",0,IFERROR(MATCH($B28,Aus_Tipos,0),0))</f>
        <v/>
      </c>
      <c r="I28" s="43">
        <f>IF('Equipe'!$B$27="","",'Equipe'!$B$27)</f>
        <v/>
      </c>
      <c r="J28" s="44">
        <f>IF(OR($I28="",J$1=""),"",IF(SUMPRODUCT((Aus_Tec=$I28)*(Aus_Ini&lt;=J$1)*(Aus_Fim&gt;=J$1)*(Aus_Cod&gt;0))=0,"",IF(SUMPRODUCT((Aus_Tec=$I28)*(Aus_Ini&lt;=J$1)*(Aus_Fim&gt;=J$1)*(Aus_Cod&gt;0))&gt;1,"!",IFERROR(INDEX(Aus_Siglas,SUMPRODUCT((Aus_Tec=$I28)*(Aus_Ini&lt;=J$1)*(Aus_Fim&gt;=J$1)*Aus_Cod)),"!"))))</f>
        <v/>
      </c>
      <c r="K28" s="44">
        <f>IF(OR($I28="",K$1=""),"",IF(SUMPRODUCT((Aus_Tec=$I28)*(Aus_Ini&lt;=K$1)*(Aus_Fim&gt;=K$1)*(Aus_Cod&gt;0))=0,"",IF(SUMPRODUCT((Aus_Tec=$I28)*(Aus_Ini&lt;=K$1)*(Aus_Fim&gt;=K$1)*(Aus_Cod&gt;0))&gt;1,"!",IFERROR(INDEX(Aus_Siglas,SUMPRODUCT((Aus_Tec=$I28)*(Aus_Ini&lt;=K$1)*(Aus_Fim&gt;=K$1)*Aus_Cod)),"!"))))</f>
        <v/>
      </c>
      <c r="L28" s="44">
        <f>IF(OR($I28="",L$1=""),"",IF(SUMPRODUCT((Aus_Tec=$I28)*(Aus_Ini&lt;=L$1)*(Aus_Fim&gt;=L$1)*(Aus_Cod&gt;0))=0,"",IF(SUMPRODUCT((Aus_Tec=$I28)*(Aus_Ini&lt;=L$1)*(Aus_Fim&gt;=L$1)*(Aus_Cod&gt;0))&gt;1,"!",IFERROR(INDEX(Aus_Siglas,SUMPRODUCT((Aus_Tec=$I28)*(Aus_Ini&lt;=L$1)*(Aus_Fim&gt;=L$1)*Aus_Cod)),"!"))))</f>
        <v/>
      </c>
      <c r="M28" s="44">
        <f>IF(OR($I28="",M$1=""),"",IF(SUMPRODUCT((Aus_Tec=$I28)*(Aus_Ini&lt;=M$1)*(Aus_Fim&gt;=M$1)*(Aus_Cod&gt;0))=0,"",IF(SUMPRODUCT((Aus_Tec=$I28)*(Aus_Ini&lt;=M$1)*(Aus_Fim&gt;=M$1)*(Aus_Cod&gt;0))&gt;1,"!",IFERROR(INDEX(Aus_Siglas,SUMPRODUCT((Aus_Tec=$I28)*(Aus_Ini&lt;=M$1)*(Aus_Fim&gt;=M$1)*Aus_Cod)),"!"))))</f>
        <v/>
      </c>
      <c r="N28" s="44">
        <f>IF(OR($I28="",N$1=""),"",IF(SUMPRODUCT((Aus_Tec=$I28)*(Aus_Ini&lt;=N$1)*(Aus_Fim&gt;=N$1)*(Aus_Cod&gt;0))=0,"",IF(SUMPRODUCT((Aus_Tec=$I28)*(Aus_Ini&lt;=N$1)*(Aus_Fim&gt;=N$1)*(Aus_Cod&gt;0))&gt;1,"!",IFERROR(INDEX(Aus_Siglas,SUMPRODUCT((Aus_Tec=$I28)*(Aus_Ini&lt;=N$1)*(Aus_Fim&gt;=N$1)*Aus_Cod)),"!"))))</f>
        <v/>
      </c>
      <c r="O28" s="44">
        <f>IF(OR($I28="",O$1=""),"",IF(SUMPRODUCT((Aus_Tec=$I28)*(Aus_Ini&lt;=O$1)*(Aus_Fim&gt;=O$1)*(Aus_Cod&gt;0))=0,"",IF(SUMPRODUCT((Aus_Tec=$I28)*(Aus_Ini&lt;=O$1)*(Aus_Fim&gt;=O$1)*(Aus_Cod&gt;0))&gt;1,"!",IFERROR(INDEX(Aus_Siglas,SUMPRODUCT((Aus_Tec=$I28)*(Aus_Ini&lt;=O$1)*(Aus_Fim&gt;=O$1)*Aus_Cod)),"!"))))</f>
        <v/>
      </c>
      <c r="P28" s="44">
        <f>IF(OR($I28="",P$1=""),"",IF(SUMPRODUCT((Aus_Tec=$I28)*(Aus_Ini&lt;=P$1)*(Aus_Fim&gt;=P$1)*(Aus_Cod&gt;0))=0,"",IF(SUMPRODUCT((Aus_Tec=$I28)*(Aus_Ini&lt;=P$1)*(Aus_Fim&gt;=P$1)*(Aus_Cod&gt;0))&gt;1,"!",IFERROR(INDEX(Aus_Siglas,SUMPRODUCT((Aus_Tec=$I28)*(Aus_Ini&lt;=P$1)*(Aus_Fim&gt;=P$1)*Aus_Cod)),"!"))))</f>
        <v/>
      </c>
      <c r="Q28" s="44">
        <f>IF(OR($I28="",Q$1=""),"",IF(SUMPRODUCT((Aus_Tec=$I28)*(Aus_Ini&lt;=Q$1)*(Aus_Fim&gt;=Q$1)*(Aus_Cod&gt;0))=0,"",IF(SUMPRODUCT((Aus_Tec=$I28)*(Aus_Ini&lt;=Q$1)*(Aus_Fim&gt;=Q$1)*(Aus_Cod&gt;0))&gt;1,"!",IFERROR(INDEX(Aus_Siglas,SUMPRODUCT((Aus_Tec=$I28)*(Aus_Ini&lt;=Q$1)*(Aus_Fim&gt;=Q$1)*Aus_Cod)),"!"))))</f>
        <v/>
      </c>
      <c r="R28" s="44">
        <f>IF(OR($I28="",R$1=""),"",IF(SUMPRODUCT((Aus_Tec=$I28)*(Aus_Ini&lt;=R$1)*(Aus_Fim&gt;=R$1)*(Aus_Cod&gt;0))=0,"",IF(SUMPRODUCT((Aus_Tec=$I28)*(Aus_Ini&lt;=R$1)*(Aus_Fim&gt;=R$1)*(Aus_Cod&gt;0))&gt;1,"!",IFERROR(INDEX(Aus_Siglas,SUMPRODUCT((Aus_Tec=$I28)*(Aus_Ini&lt;=R$1)*(Aus_Fim&gt;=R$1)*Aus_Cod)),"!"))))</f>
        <v/>
      </c>
      <c r="S28" s="44">
        <f>IF(OR($I28="",S$1=""),"",IF(SUMPRODUCT((Aus_Tec=$I28)*(Aus_Ini&lt;=S$1)*(Aus_Fim&gt;=S$1)*(Aus_Cod&gt;0))=0,"",IF(SUMPRODUCT((Aus_Tec=$I28)*(Aus_Ini&lt;=S$1)*(Aus_Fim&gt;=S$1)*(Aus_Cod&gt;0))&gt;1,"!",IFERROR(INDEX(Aus_Siglas,SUMPRODUCT((Aus_Tec=$I28)*(Aus_Ini&lt;=S$1)*(Aus_Fim&gt;=S$1)*Aus_Cod)),"!"))))</f>
        <v/>
      </c>
      <c r="T28" s="44">
        <f>IF(OR($I28="",T$1=""),"",IF(SUMPRODUCT((Aus_Tec=$I28)*(Aus_Ini&lt;=T$1)*(Aus_Fim&gt;=T$1)*(Aus_Cod&gt;0))=0,"",IF(SUMPRODUCT((Aus_Tec=$I28)*(Aus_Ini&lt;=T$1)*(Aus_Fim&gt;=T$1)*(Aus_Cod&gt;0))&gt;1,"!",IFERROR(INDEX(Aus_Siglas,SUMPRODUCT((Aus_Tec=$I28)*(Aus_Ini&lt;=T$1)*(Aus_Fim&gt;=T$1)*Aus_Cod)),"!"))))</f>
        <v/>
      </c>
      <c r="U28" s="44">
        <f>IF(OR($I28="",U$1=""),"",IF(SUMPRODUCT((Aus_Tec=$I28)*(Aus_Ini&lt;=U$1)*(Aus_Fim&gt;=U$1)*(Aus_Cod&gt;0))=0,"",IF(SUMPRODUCT((Aus_Tec=$I28)*(Aus_Ini&lt;=U$1)*(Aus_Fim&gt;=U$1)*(Aus_Cod&gt;0))&gt;1,"!",IFERROR(INDEX(Aus_Siglas,SUMPRODUCT((Aus_Tec=$I28)*(Aus_Ini&lt;=U$1)*(Aus_Fim&gt;=U$1)*Aus_Cod)),"!"))))</f>
        <v/>
      </c>
      <c r="V28" s="44">
        <f>IF(OR($I28="",V$1=""),"",IF(SUMPRODUCT((Aus_Tec=$I28)*(Aus_Ini&lt;=V$1)*(Aus_Fim&gt;=V$1)*(Aus_Cod&gt;0))=0,"",IF(SUMPRODUCT((Aus_Tec=$I28)*(Aus_Ini&lt;=V$1)*(Aus_Fim&gt;=V$1)*(Aus_Cod&gt;0))&gt;1,"!",IFERROR(INDEX(Aus_Siglas,SUMPRODUCT((Aus_Tec=$I28)*(Aus_Ini&lt;=V$1)*(Aus_Fim&gt;=V$1)*Aus_Cod)),"!"))))</f>
        <v/>
      </c>
      <c r="W28" s="44">
        <f>IF(OR($I28="",W$1=""),"",IF(SUMPRODUCT((Aus_Tec=$I28)*(Aus_Ini&lt;=W$1)*(Aus_Fim&gt;=W$1)*(Aus_Cod&gt;0))=0,"",IF(SUMPRODUCT((Aus_Tec=$I28)*(Aus_Ini&lt;=W$1)*(Aus_Fim&gt;=W$1)*(Aus_Cod&gt;0))&gt;1,"!",IFERROR(INDEX(Aus_Siglas,SUMPRODUCT((Aus_Tec=$I28)*(Aus_Ini&lt;=W$1)*(Aus_Fim&gt;=W$1)*Aus_Cod)),"!"))))</f>
        <v/>
      </c>
      <c r="X28" s="44">
        <f>IF(OR($I28="",X$1=""),"",IF(SUMPRODUCT((Aus_Tec=$I28)*(Aus_Ini&lt;=X$1)*(Aus_Fim&gt;=X$1)*(Aus_Cod&gt;0))=0,"",IF(SUMPRODUCT((Aus_Tec=$I28)*(Aus_Ini&lt;=X$1)*(Aus_Fim&gt;=X$1)*(Aus_Cod&gt;0))&gt;1,"!",IFERROR(INDEX(Aus_Siglas,SUMPRODUCT((Aus_Tec=$I28)*(Aus_Ini&lt;=X$1)*(Aus_Fim&gt;=X$1)*Aus_Cod)),"!"))))</f>
        <v/>
      </c>
      <c r="Y28" s="44">
        <f>IF(OR($I28="",Y$1=""),"",IF(SUMPRODUCT((Aus_Tec=$I28)*(Aus_Ini&lt;=Y$1)*(Aus_Fim&gt;=Y$1)*(Aus_Cod&gt;0))=0,"",IF(SUMPRODUCT((Aus_Tec=$I28)*(Aus_Ini&lt;=Y$1)*(Aus_Fim&gt;=Y$1)*(Aus_Cod&gt;0))&gt;1,"!",IFERROR(INDEX(Aus_Siglas,SUMPRODUCT((Aus_Tec=$I28)*(Aus_Ini&lt;=Y$1)*(Aus_Fim&gt;=Y$1)*Aus_Cod)),"!"))))</f>
        <v/>
      </c>
      <c r="Z28" s="44">
        <f>IF(OR($I28="",Z$1=""),"",IF(SUMPRODUCT((Aus_Tec=$I28)*(Aus_Ini&lt;=Z$1)*(Aus_Fim&gt;=Z$1)*(Aus_Cod&gt;0))=0,"",IF(SUMPRODUCT((Aus_Tec=$I28)*(Aus_Ini&lt;=Z$1)*(Aus_Fim&gt;=Z$1)*(Aus_Cod&gt;0))&gt;1,"!",IFERROR(INDEX(Aus_Siglas,SUMPRODUCT((Aus_Tec=$I28)*(Aus_Ini&lt;=Z$1)*(Aus_Fim&gt;=Z$1)*Aus_Cod)),"!"))))</f>
        <v/>
      </c>
      <c r="AA28" s="44">
        <f>IF(OR($I28="",AA$1=""),"",IF(SUMPRODUCT((Aus_Tec=$I28)*(Aus_Ini&lt;=AA$1)*(Aus_Fim&gt;=AA$1)*(Aus_Cod&gt;0))=0,"",IF(SUMPRODUCT((Aus_Tec=$I28)*(Aus_Ini&lt;=AA$1)*(Aus_Fim&gt;=AA$1)*(Aus_Cod&gt;0))&gt;1,"!",IFERROR(INDEX(Aus_Siglas,SUMPRODUCT((Aus_Tec=$I28)*(Aus_Ini&lt;=AA$1)*(Aus_Fim&gt;=AA$1)*Aus_Cod)),"!"))))</f>
        <v/>
      </c>
      <c r="AB28" s="44">
        <f>IF(OR($I28="",AB$1=""),"",IF(SUMPRODUCT((Aus_Tec=$I28)*(Aus_Ini&lt;=AB$1)*(Aus_Fim&gt;=AB$1)*(Aus_Cod&gt;0))=0,"",IF(SUMPRODUCT((Aus_Tec=$I28)*(Aus_Ini&lt;=AB$1)*(Aus_Fim&gt;=AB$1)*(Aus_Cod&gt;0))&gt;1,"!",IFERROR(INDEX(Aus_Siglas,SUMPRODUCT((Aus_Tec=$I28)*(Aus_Ini&lt;=AB$1)*(Aus_Fim&gt;=AB$1)*Aus_Cod)),"!"))))</f>
        <v/>
      </c>
      <c r="AC28" s="44">
        <f>IF(OR($I28="",AC$1=""),"",IF(SUMPRODUCT((Aus_Tec=$I28)*(Aus_Ini&lt;=AC$1)*(Aus_Fim&gt;=AC$1)*(Aus_Cod&gt;0))=0,"",IF(SUMPRODUCT((Aus_Tec=$I28)*(Aus_Ini&lt;=AC$1)*(Aus_Fim&gt;=AC$1)*(Aus_Cod&gt;0))&gt;1,"!",IFERROR(INDEX(Aus_Siglas,SUMPRODUCT((Aus_Tec=$I28)*(Aus_Ini&lt;=AC$1)*(Aus_Fim&gt;=AC$1)*Aus_Cod)),"!"))))</f>
        <v/>
      </c>
      <c r="AD28" s="44">
        <f>IF(OR($I28="",AD$1=""),"",IF(SUMPRODUCT((Aus_Tec=$I28)*(Aus_Ini&lt;=AD$1)*(Aus_Fim&gt;=AD$1)*(Aus_Cod&gt;0))=0,"",IF(SUMPRODUCT((Aus_Tec=$I28)*(Aus_Ini&lt;=AD$1)*(Aus_Fim&gt;=AD$1)*(Aus_Cod&gt;0))&gt;1,"!",IFERROR(INDEX(Aus_Siglas,SUMPRODUCT((Aus_Tec=$I28)*(Aus_Ini&lt;=AD$1)*(Aus_Fim&gt;=AD$1)*Aus_Cod)),"!"))))</f>
        <v/>
      </c>
      <c r="AE28" s="44">
        <f>IF(OR($I28="",AE$1=""),"",IF(SUMPRODUCT((Aus_Tec=$I28)*(Aus_Ini&lt;=AE$1)*(Aus_Fim&gt;=AE$1)*(Aus_Cod&gt;0))=0,"",IF(SUMPRODUCT((Aus_Tec=$I28)*(Aus_Ini&lt;=AE$1)*(Aus_Fim&gt;=AE$1)*(Aus_Cod&gt;0))&gt;1,"!",IFERROR(INDEX(Aus_Siglas,SUMPRODUCT((Aus_Tec=$I28)*(Aus_Ini&lt;=AE$1)*(Aus_Fim&gt;=AE$1)*Aus_Cod)),"!"))))</f>
        <v/>
      </c>
      <c r="AF28" s="44">
        <f>IF(OR($I28="",AF$1=""),"",IF(SUMPRODUCT((Aus_Tec=$I28)*(Aus_Ini&lt;=AF$1)*(Aus_Fim&gt;=AF$1)*(Aus_Cod&gt;0))=0,"",IF(SUMPRODUCT((Aus_Tec=$I28)*(Aus_Ini&lt;=AF$1)*(Aus_Fim&gt;=AF$1)*(Aus_Cod&gt;0))&gt;1,"!",IFERROR(INDEX(Aus_Siglas,SUMPRODUCT((Aus_Tec=$I28)*(Aus_Ini&lt;=AF$1)*(Aus_Fim&gt;=AF$1)*Aus_Cod)),"!"))))</f>
        <v/>
      </c>
      <c r="AG28" s="44">
        <f>IF(OR($I28="",AG$1=""),"",IF(SUMPRODUCT((Aus_Tec=$I28)*(Aus_Ini&lt;=AG$1)*(Aus_Fim&gt;=AG$1)*(Aus_Cod&gt;0))=0,"",IF(SUMPRODUCT((Aus_Tec=$I28)*(Aus_Ini&lt;=AG$1)*(Aus_Fim&gt;=AG$1)*(Aus_Cod&gt;0))&gt;1,"!",IFERROR(INDEX(Aus_Siglas,SUMPRODUCT((Aus_Tec=$I28)*(Aus_Ini&lt;=AG$1)*(Aus_Fim&gt;=AG$1)*Aus_Cod)),"!"))))</f>
        <v/>
      </c>
      <c r="AH28" s="44">
        <f>IF(OR($I28="",AH$1=""),"",IF(SUMPRODUCT((Aus_Tec=$I28)*(Aus_Ini&lt;=AH$1)*(Aus_Fim&gt;=AH$1)*(Aus_Cod&gt;0))=0,"",IF(SUMPRODUCT((Aus_Tec=$I28)*(Aus_Ini&lt;=AH$1)*(Aus_Fim&gt;=AH$1)*(Aus_Cod&gt;0))&gt;1,"!",IFERROR(INDEX(Aus_Siglas,SUMPRODUCT((Aus_Tec=$I28)*(Aus_Ini&lt;=AH$1)*(Aus_Fim&gt;=AH$1)*Aus_Cod)),"!"))))</f>
        <v/>
      </c>
      <c r="AI28" s="44">
        <f>IF(OR($I28="",AI$1=""),"",IF(SUMPRODUCT((Aus_Tec=$I28)*(Aus_Ini&lt;=AI$1)*(Aus_Fim&gt;=AI$1)*(Aus_Cod&gt;0))=0,"",IF(SUMPRODUCT((Aus_Tec=$I28)*(Aus_Ini&lt;=AI$1)*(Aus_Fim&gt;=AI$1)*(Aus_Cod&gt;0))&gt;1,"!",IFERROR(INDEX(Aus_Siglas,SUMPRODUCT((Aus_Tec=$I28)*(Aus_Ini&lt;=AI$1)*(Aus_Fim&gt;=AI$1)*Aus_Cod)),"!"))))</f>
        <v/>
      </c>
      <c r="AJ28" s="44">
        <f>IF(OR($I28="",AJ$1=""),"",IF(SUMPRODUCT((Aus_Tec=$I28)*(Aus_Ini&lt;=AJ$1)*(Aus_Fim&gt;=AJ$1)*(Aus_Cod&gt;0))=0,"",IF(SUMPRODUCT((Aus_Tec=$I28)*(Aus_Ini&lt;=AJ$1)*(Aus_Fim&gt;=AJ$1)*(Aus_Cod&gt;0))&gt;1,"!",IFERROR(INDEX(Aus_Siglas,SUMPRODUCT((Aus_Tec=$I28)*(Aus_Ini&lt;=AJ$1)*(Aus_Fim&gt;=AJ$1)*Aus_Cod)),"!"))))</f>
        <v/>
      </c>
      <c r="AK28" s="44">
        <f>IF(OR($I28="",AK$1=""),"",IF(SUMPRODUCT((Aus_Tec=$I28)*(Aus_Ini&lt;=AK$1)*(Aus_Fim&gt;=AK$1)*(Aus_Cod&gt;0))=0,"",IF(SUMPRODUCT((Aus_Tec=$I28)*(Aus_Ini&lt;=AK$1)*(Aus_Fim&gt;=AK$1)*(Aus_Cod&gt;0))&gt;1,"!",IFERROR(INDEX(Aus_Siglas,SUMPRODUCT((Aus_Tec=$I28)*(Aus_Ini&lt;=AK$1)*(Aus_Fim&gt;=AK$1)*Aus_Cod)),"!"))))</f>
        <v/>
      </c>
      <c r="AL28" s="44">
        <f>IF(OR($I28="",AL$1=""),"",IF(SUMPRODUCT((Aus_Tec=$I28)*(Aus_Ini&lt;=AL$1)*(Aus_Fim&gt;=AL$1)*(Aus_Cod&gt;0))=0,"",IF(SUMPRODUCT((Aus_Tec=$I28)*(Aus_Ini&lt;=AL$1)*(Aus_Fim&gt;=AL$1)*(Aus_Cod&gt;0))&gt;1,"!",IFERROR(INDEX(Aus_Siglas,SUMPRODUCT((Aus_Tec=$I28)*(Aus_Ini&lt;=AL$1)*(Aus_Fim&gt;=AL$1)*Aus_Cod)),"!"))))</f>
        <v/>
      </c>
      <c r="AM28" s="44">
        <f>IF(OR($I28="",AM$1=""),"",IF(SUMPRODUCT((Aus_Tec=$I28)*(Aus_Ini&lt;=AM$1)*(Aus_Fim&gt;=AM$1)*(Aus_Cod&gt;0))=0,"",IF(SUMPRODUCT((Aus_Tec=$I28)*(Aus_Ini&lt;=AM$1)*(Aus_Fim&gt;=AM$1)*(Aus_Cod&gt;0))&gt;1,"!",IFERROR(INDEX(Aus_Siglas,SUMPRODUCT((Aus_Tec=$I28)*(Aus_Ini&lt;=AM$1)*(Aus_Fim&gt;=AM$1)*Aus_Cod)),"!"))))</f>
        <v/>
      </c>
      <c r="AN28" s="44">
        <f>IF(OR($I28="",AN$1=""),"",IF(SUMPRODUCT((Aus_Tec=$I28)*(Aus_Ini&lt;=AN$1)*(Aus_Fim&gt;=AN$1)*(Aus_Cod&gt;0))=0,"",IF(SUMPRODUCT((Aus_Tec=$I28)*(Aus_Ini&lt;=AN$1)*(Aus_Fim&gt;=AN$1)*(Aus_Cod&gt;0))&gt;1,"!",IFERROR(INDEX(Aus_Siglas,SUMPRODUCT((Aus_Tec=$I28)*(Aus_Ini&lt;=AN$1)*(Aus_Fim&gt;=AN$1)*Aus_Cod)),"!"))))</f>
        <v/>
      </c>
    </row>
    <row r="29">
      <c r="A29" s="33" t="n"/>
      <c r="B29" s="31" t="n"/>
      <c r="C29" s="30" t="n"/>
      <c r="D29" s="30" t="n"/>
      <c r="E29" s="20">
        <f>IF(OR($A29="",NOT(ISNUMBER($C29)),NOT(ISNUMBER($D29))),"",$D29-$C29+1)</f>
        <v/>
      </c>
      <c r="F29" s="33" t="n"/>
      <c r="G29" s="35">
        <f>IF(AND($A29&lt;&gt;"",ISNUMBER($C29),ISNUMBER($D29),$C29&lt;=Data_Mapa,$D29&gt;=Data_Mapa),$A29,"")</f>
        <v/>
      </c>
      <c r="H29" s="35">
        <f>IF($A29="",0,IFERROR(MATCH($B29,Aus_Tipos,0),0))</f>
        <v/>
      </c>
      <c r="I29" s="43">
        <f>IF('Equipe'!$B$28="","",'Equipe'!$B$28)</f>
        <v/>
      </c>
      <c r="J29" s="44">
        <f>IF(OR($I29="",J$1=""),"",IF(SUMPRODUCT((Aus_Tec=$I29)*(Aus_Ini&lt;=J$1)*(Aus_Fim&gt;=J$1)*(Aus_Cod&gt;0))=0,"",IF(SUMPRODUCT((Aus_Tec=$I29)*(Aus_Ini&lt;=J$1)*(Aus_Fim&gt;=J$1)*(Aus_Cod&gt;0))&gt;1,"!",IFERROR(INDEX(Aus_Siglas,SUMPRODUCT((Aus_Tec=$I29)*(Aus_Ini&lt;=J$1)*(Aus_Fim&gt;=J$1)*Aus_Cod)),"!"))))</f>
        <v/>
      </c>
      <c r="K29" s="44">
        <f>IF(OR($I29="",K$1=""),"",IF(SUMPRODUCT((Aus_Tec=$I29)*(Aus_Ini&lt;=K$1)*(Aus_Fim&gt;=K$1)*(Aus_Cod&gt;0))=0,"",IF(SUMPRODUCT((Aus_Tec=$I29)*(Aus_Ini&lt;=K$1)*(Aus_Fim&gt;=K$1)*(Aus_Cod&gt;0))&gt;1,"!",IFERROR(INDEX(Aus_Siglas,SUMPRODUCT((Aus_Tec=$I29)*(Aus_Ini&lt;=K$1)*(Aus_Fim&gt;=K$1)*Aus_Cod)),"!"))))</f>
        <v/>
      </c>
      <c r="L29" s="44">
        <f>IF(OR($I29="",L$1=""),"",IF(SUMPRODUCT((Aus_Tec=$I29)*(Aus_Ini&lt;=L$1)*(Aus_Fim&gt;=L$1)*(Aus_Cod&gt;0))=0,"",IF(SUMPRODUCT((Aus_Tec=$I29)*(Aus_Ini&lt;=L$1)*(Aus_Fim&gt;=L$1)*(Aus_Cod&gt;0))&gt;1,"!",IFERROR(INDEX(Aus_Siglas,SUMPRODUCT((Aus_Tec=$I29)*(Aus_Ini&lt;=L$1)*(Aus_Fim&gt;=L$1)*Aus_Cod)),"!"))))</f>
        <v/>
      </c>
      <c r="M29" s="44">
        <f>IF(OR($I29="",M$1=""),"",IF(SUMPRODUCT((Aus_Tec=$I29)*(Aus_Ini&lt;=M$1)*(Aus_Fim&gt;=M$1)*(Aus_Cod&gt;0))=0,"",IF(SUMPRODUCT((Aus_Tec=$I29)*(Aus_Ini&lt;=M$1)*(Aus_Fim&gt;=M$1)*(Aus_Cod&gt;0))&gt;1,"!",IFERROR(INDEX(Aus_Siglas,SUMPRODUCT((Aus_Tec=$I29)*(Aus_Ini&lt;=M$1)*(Aus_Fim&gt;=M$1)*Aus_Cod)),"!"))))</f>
        <v/>
      </c>
      <c r="N29" s="44">
        <f>IF(OR($I29="",N$1=""),"",IF(SUMPRODUCT((Aus_Tec=$I29)*(Aus_Ini&lt;=N$1)*(Aus_Fim&gt;=N$1)*(Aus_Cod&gt;0))=0,"",IF(SUMPRODUCT((Aus_Tec=$I29)*(Aus_Ini&lt;=N$1)*(Aus_Fim&gt;=N$1)*(Aus_Cod&gt;0))&gt;1,"!",IFERROR(INDEX(Aus_Siglas,SUMPRODUCT((Aus_Tec=$I29)*(Aus_Ini&lt;=N$1)*(Aus_Fim&gt;=N$1)*Aus_Cod)),"!"))))</f>
        <v/>
      </c>
      <c r="O29" s="44">
        <f>IF(OR($I29="",O$1=""),"",IF(SUMPRODUCT((Aus_Tec=$I29)*(Aus_Ini&lt;=O$1)*(Aus_Fim&gt;=O$1)*(Aus_Cod&gt;0))=0,"",IF(SUMPRODUCT((Aus_Tec=$I29)*(Aus_Ini&lt;=O$1)*(Aus_Fim&gt;=O$1)*(Aus_Cod&gt;0))&gt;1,"!",IFERROR(INDEX(Aus_Siglas,SUMPRODUCT((Aus_Tec=$I29)*(Aus_Ini&lt;=O$1)*(Aus_Fim&gt;=O$1)*Aus_Cod)),"!"))))</f>
        <v/>
      </c>
      <c r="P29" s="44">
        <f>IF(OR($I29="",P$1=""),"",IF(SUMPRODUCT((Aus_Tec=$I29)*(Aus_Ini&lt;=P$1)*(Aus_Fim&gt;=P$1)*(Aus_Cod&gt;0))=0,"",IF(SUMPRODUCT((Aus_Tec=$I29)*(Aus_Ini&lt;=P$1)*(Aus_Fim&gt;=P$1)*(Aus_Cod&gt;0))&gt;1,"!",IFERROR(INDEX(Aus_Siglas,SUMPRODUCT((Aus_Tec=$I29)*(Aus_Ini&lt;=P$1)*(Aus_Fim&gt;=P$1)*Aus_Cod)),"!"))))</f>
        <v/>
      </c>
      <c r="Q29" s="44">
        <f>IF(OR($I29="",Q$1=""),"",IF(SUMPRODUCT((Aus_Tec=$I29)*(Aus_Ini&lt;=Q$1)*(Aus_Fim&gt;=Q$1)*(Aus_Cod&gt;0))=0,"",IF(SUMPRODUCT((Aus_Tec=$I29)*(Aus_Ini&lt;=Q$1)*(Aus_Fim&gt;=Q$1)*(Aus_Cod&gt;0))&gt;1,"!",IFERROR(INDEX(Aus_Siglas,SUMPRODUCT((Aus_Tec=$I29)*(Aus_Ini&lt;=Q$1)*(Aus_Fim&gt;=Q$1)*Aus_Cod)),"!"))))</f>
        <v/>
      </c>
      <c r="R29" s="44">
        <f>IF(OR($I29="",R$1=""),"",IF(SUMPRODUCT((Aus_Tec=$I29)*(Aus_Ini&lt;=R$1)*(Aus_Fim&gt;=R$1)*(Aus_Cod&gt;0))=0,"",IF(SUMPRODUCT((Aus_Tec=$I29)*(Aus_Ini&lt;=R$1)*(Aus_Fim&gt;=R$1)*(Aus_Cod&gt;0))&gt;1,"!",IFERROR(INDEX(Aus_Siglas,SUMPRODUCT((Aus_Tec=$I29)*(Aus_Ini&lt;=R$1)*(Aus_Fim&gt;=R$1)*Aus_Cod)),"!"))))</f>
        <v/>
      </c>
      <c r="S29" s="44">
        <f>IF(OR($I29="",S$1=""),"",IF(SUMPRODUCT((Aus_Tec=$I29)*(Aus_Ini&lt;=S$1)*(Aus_Fim&gt;=S$1)*(Aus_Cod&gt;0))=0,"",IF(SUMPRODUCT((Aus_Tec=$I29)*(Aus_Ini&lt;=S$1)*(Aus_Fim&gt;=S$1)*(Aus_Cod&gt;0))&gt;1,"!",IFERROR(INDEX(Aus_Siglas,SUMPRODUCT((Aus_Tec=$I29)*(Aus_Ini&lt;=S$1)*(Aus_Fim&gt;=S$1)*Aus_Cod)),"!"))))</f>
        <v/>
      </c>
      <c r="T29" s="44">
        <f>IF(OR($I29="",T$1=""),"",IF(SUMPRODUCT((Aus_Tec=$I29)*(Aus_Ini&lt;=T$1)*(Aus_Fim&gt;=T$1)*(Aus_Cod&gt;0))=0,"",IF(SUMPRODUCT((Aus_Tec=$I29)*(Aus_Ini&lt;=T$1)*(Aus_Fim&gt;=T$1)*(Aus_Cod&gt;0))&gt;1,"!",IFERROR(INDEX(Aus_Siglas,SUMPRODUCT((Aus_Tec=$I29)*(Aus_Ini&lt;=T$1)*(Aus_Fim&gt;=T$1)*Aus_Cod)),"!"))))</f>
        <v/>
      </c>
      <c r="U29" s="44">
        <f>IF(OR($I29="",U$1=""),"",IF(SUMPRODUCT((Aus_Tec=$I29)*(Aus_Ini&lt;=U$1)*(Aus_Fim&gt;=U$1)*(Aus_Cod&gt;0))=0,"",IF(SUMPRODUCT((Aus_Tec=$I29)*(Aus_Ini&lt;=U$1)*(Aus_Fim&gt;=U$1)*(Aus_Cod&gt;0))&gt;1,"!",IFERROR(INDEX(Aus_Siglas,SUMPRODUCT((Aus_Tec=$I29)*(Aus_Ini&lt;=U$1)*(Aus_Fim&gt;=U$1)*Aus_Cod)),"!"))))</f>
        <v/>
      </c>
      <c r="V29" s="44">
        <f>IF(OR($I29="",V$1=""),"",IF(SUMPRODUCT((Aus_Tec=$I29)*(Aus_Ini&lt;=V$1)*(Aus_Fim&gt;=V$1)*(Aus_Cod&gt;0))=0,"",IF(SUMPRODUCT((Aus_Tec=$I29)*(Aus_Ini&lt;=V$1)*(Aus_Fim&gt;=V$1)*(Aus_Cod&gt;0))&gt;1,"!",IFERROR(INDEX(Aus_Siglas,SUMPRODUCT((Aus_Tec=$I29)*(Aus_Ini&lt;=V$1)*(Aus_Fim&gt;=V$1)*Aus_Cod)),"!"))))</f>
        <v/>
      </c>
      <c r="W29" s="44">
        <f>IF(OR($I29="",W$1=""),"",IF(SUMPRODUCT((Aus_Tec=$I29)*(Aus_Ini&lt;=W$1)*(Aus_Fim&gt;=W$1)*(Aus_Cod&gt;0))=0,"",IF(SUMPRODUCT((Aus_Tec=$I29)*(Aus_Ini&lt;=W$1)*(Aus_Fim&gt;=W$1)*(Aus_Cod&gt;0))&gt;1,"!",IFERROR(INDEX(Aus_Siglas,SUMPRODUCT((Aus_Tec=$I29)*(Aus_Ini&lt;=W$1)*(Aus_Fim&gt;=W$1)*Aus_Cod)),"!"))))</f>
        <v/>
      </c>
      <c r="X29" s="44">
        <f>IF(OR($I29="",X$1=""),"",IF(SUMPRODUCT((Aus_Tec=$I29)*(Aus_Ini&lt;=X$1)*(Aus_Fim&gt;=X$1)*(Aus_Cod&gt;0))=0,"",IF(SUMPRODUCT((Aus_Tec=$I29)*(Aus_Ini&lt;=X$1)*(Aus_Fim&gt;=X$1)*(Aus_Cod&gt;0))&gt;1,"!",IFERROR(INDEX(Aus_Siglas,SUMPRODUCT((Aus_Tec=$I29)*(Aus_Ini&lt;=X$1)*(Aus_Fim&gt;=X$1)*Aus_Cod)),"!"))))</f>
        <v/>
      </c>
      <c r="Y29" s="44">
        <f>IF(OR($I29="",Y$1=""),"",IF(SUMPRODUCT((Aus_Tec=$I29)*(Aus_Ini&lt;=Y$1)*(Aus_Fim&gt;=Y$1)*(Aus_Cod&gt;0))=0,"",IF(SUMPRODUCT((Aus_Tec=$I29)*(Aus_Ini&lt;=Y$1)*(Aus_Fim&gt;=Y$1)*(Aus_Cod&gt;0))&gt;1,"!",IFERROR(INDEX(Aus_Siglas,SUMPRODUCT((Aus_Tec=$I29)*(Aus_Ini&lt;=Y$1)*(Aus_Fim&gt;=Y$1)*Aus_Cod)),"!"))))</f>
        <v/>
      </c>
      <c r="Z29" s="44">
        <f>IF(OR($I29="",Z$1=""),"",IF(SUMPRODUCT((Aus_Tec=$I29)*(Aus_Ini&lt;=Z$1)*(Aus_Fim&gt;=Z$1)*(Aus_Cod&gt;0))=0,"",IF(SUMPRODUCT((Aus_Tec=$I29)*(Aus_Ini&lt;=Z$1)*(Aus_Fim&gt;=Z$1)*(Aus_Cod&gt;0))&gt;1,"!",IFERROR(INDEX(Aus_Siglas,SUMPRODUCT((Aus_Tec=$I29)*(Aus_Ini&lt;=Z$1)*(Aus_Fim&gt;=Z$1)*Aus_Cod)),"!"))))</f>
        <v/>
      </c>
      <c r="AA29" s="44">
        <f>IF(OR($I29="",AA$1=""),"",IF(SUMPRODUCT((Aus_Tec=$I29)*(Aus_Ini&lt;=AA$1)*(Aus_Fim&gt;=AA$1)*(Aus_Cod&gt;0))=0,"",IF(SUMPRODUCT((Aus_Tec=$I29)*(Aus_Ini&lt;=AA$1)*(Aus_Fim&gt;=AA$1)*(Aus_Cod&gt;0))&gt;1,"!",IFERROR(INDEX(Aus_Siglas,SUMPRODUCT((Aus_Tec=$I29)*(Aus_Ini&lt;=AA$1)*(Aus_Fim&gt;=AA$1)*Aus_Cod)),"!"))))</f>
        <v/>
      </c>
      <c r="AB29" s="44">
        <f>IF(OR($I29="",AB$1=""),"",IF(SUMPRODUCT((Aus_Tec=$I29)*(Aus_Ini&lt;=AB$1)*(Aus_Fim&gt;=AB$1)*(Aus_Cod&gt;0))=0,"",IF(SUMPRODUCT((Aus_Tec=$I29)*(Aus_Ini&lt;=AB$1)*(Aus_Fim&gt;=AB$1)*(Aus_Cod&gt;0))&gt;1,"!",IFERROR(INDEX(Aus_Siglas,SUMPRODUCT((Aus_Tec=$I29)*(Aus_Ini&lt;=AB$1)*(Aus_Fim&gt;=AB$1)*Aus_Cod)),"!"))))</f>
        <v/>
      </c>
      <c r="AC29" s="44">
        <f>IF(OR($I29="",AC$1=""),"",IF(SUMPRODUCT((Aus_Tec=$I29)*(Aus_Ini&lt;=AC$1)*(Aus_Fim&gt;=AC$1)*(Aus_Cod&gt;0))=0,"",IF(SUMPRODUCT((Aus_Tec=$I29)*(Aus_Ini&lt;=AC$1)*(Aus_Fim&gt;=AC$1)*(Aus_Cod&gt;0))&gt;1,"!",IFERROR(INDEX(Aus_Siglas,SUMPRODUCT((Aus_Tec=$I29)*(Aus_Ini&lt;=AC$1)*(Aus_Fim&gt;=AC$1)*Aus_Cod)),"!"))))</f>
        <v/>
      </c>
      <c r="AD29" s="44">
        <f>IF(OR($I29="",AD$1=""),"",IF(SUMPRODUCT((Aus_Tec=$I29)*(Aus_Ini&lt;=AD$1)*(Aus_Fim&gt;=AD$1)*(Aus_Cod&gt;0))=0,"",IF(SUMPRODUCT((Aus_Tec=$I29)*(Aus_Ini&lt;=AD$1)*(Aus_Fim&gt;=AD$1)*(Aus_Cod&gt;0))&gt;1,"!",IFERROR(INDEX(Aus_Siglas,SUMPRODUCT((Aus_Tec=$I29)*(Aus_Ini&lt;=AD$1)*(Aus_Fim&gt;=AD$1)*Aus_Cod)),"!"))))</f>
        <v/>
      </c>
      <c r="AE29" s="44">
        <f>IF(OR($I29="",AE$1=""),"",IF(SUMPRODUCT((Aus_Tec=$I29)*(Aus_Ini&lt;=AE$1)*(Aus_Fim&gt;=AE$1)*(Aus_Cod&gt;0))=0,"",IF(SUMPRODUCT((Aus_Tec=$I29)*(Aus_Ini&lt;=AE$1)*(Aus_Fim&gt;=AE$1)*(Aus_Cod&gt;0))&gt;1,"!",IFERROR(INDEX(Aus_Siglas,SUMPRODUCT((Aus_Tec=$I29)*(Aus_Ini&lt;=AE$1)*(Aus_Fim&gt;=AE$1)*Aus_Cod)),"!"))))</f>
        <v/>
      </c>
      <c r="AF29" s="44">
        <f>IF(OR($I29="",AF$1=""),"",IF(SUMPRODUCT((Aus_Tec=$I29)*(Aus_Ini&lt;=AF$1)*(Aus_Fim&gt;=AF$1)*(Aus_Cod&gt;0))=0,"",IF(SUMPRODUCT((Aus_Tec=$I29)*(Aus_Ini&lt;=AF$1)*(Aus_Fim&gt;=AF$1)*(Aus_Cod&gt;0))&gt;1,"!",IFERROR(INDEX(Aus_Siglas,SUMPRODUCT((Aus_Tec=$I29)*(Aus_Ini&lt;=AF$1)*(Aus_Fim&gt;=AF$1)*Aus_Cod)),"!"))))</f>
        <v/>
      </c>
      <c r="AG29" s="44">
        <f>IF(OR($I29="",AG$1=""),"",IF(SUMPRODUCT((Aus_Tec=$I29)*(Aus_Ini&lt;=AG$1)*(Aus_Fim&gt;=AG$1)*(Aus_Cod&gt;0))=0,"",IF(SUMPRODUCT((Aus_Tec=$I29)*(Aus_Ini&lt;=AG$1)*(Aus_Fim&gt;=AG$1)*(Aus_Cod&gt;0))&gt;1,"!",IFERROR(INDEX(Aus_Siglas,SUMPRODUCT((Aus_Tec=$I29)*(Aus_Ini&lt;=AG$1)*(Aus_Fim&gt;=AG$1)*Aus_Cod)),"!"))))</f>
        <v/>
      </c>
      <c r="AH29" s="44">
        <f>IF(OR($I29="",AH$1=""),"",IF(SUMPRODUCT((Aus_Tec=$I29)*(Aus_Ini&lt;=AH$1)*(Aus_Fim&gt;=AH$1)*(Aus_Cod&gt;0))=0,"",IF(SUMPRODUCT((Aus_Tec=$I29)*(Aus_Ini&lt;=AH$1)*(Aus_Fim&gt;=AH$1)*(Aus_Cod&gt;0))&gt;1,"!",IFERROR(INDEX(Aus_Siglas,SUMPRODUCT((Aus_Tec=$I29)*(Aus_Ini&lt;=AH$1)*(Aus_Fim&gt;=AH$1)*Aus_Cod)),"!"))))</f>
        <v/>
      </c>
      <c r="AI29" s="44">
        <f>IF(OR($I29="",AI$1=""),"",IF(SUMPRODUCT((Aus_Tec=$I29)*(Aus_Ini&lt;=AI$1)*(Aus_Fim&gt;=AI$1)*(Aus_Cod&gt;0))=0,"",IF(SUMPRODUCT((Aus_Tec=$I29)*(Aus_Ini&lt;=AI$1)*(Aus_Fim&gt;=AI$1)*(Aus_Cod&gt;0))&gt;1,"!",IFERROR(INDEX(Aus_Siglas,SUMPRODUCT((Aus_Tec=$I29)*(Aus_Ini&lt;=AI$1)*(Aus_Fim&gt;=AI$1)*Aus_Cod)),"!"))))</f>
        <v/>
      </c>
      <c r="AJ29" s="44">
        <f>IF(OR($I29="",AJ$1=""),"",IF(SUMPRODUCT((Aus_Tec=$I29)*(Aus_Ini&lt;=AJ$1)*(Aus_Fim&gt;=AJ$1)*(Aus_Cod&gt;0))=0,"",IF(SUMPRODUCT((Aus_Tec=$I29)*(Aus_Ini&lt;=AJ$1)*(Aus_Fim&gt;=AJ$1)*(Aus_Cod&gt;0))&gt;1,"!",IFERROR(INDEX(Aus_Siglas,SUMPRODUCT((Aus_Tec=$I29)*(Aus_Ini&lt;=AJ$1)*(Aus_Fim&gt;=AJ$1)*Aus_Cod)),"!"))))</f>
        <v/>
      </c>
      <c r="AK29" s="44">
        <f>IF(OR($I29="",AK$1=""),"",IF(SUMPRODUCT((Aus_Tec=$I29)*(Aus_Ini&lt;=AK$1)*(Aus_Fim&gt;=AK$1)*(Aus_Cod&gt;0))=0,"",IF(SUMPRODUCT((Aus_Tec=$I29)*(Aus_Ini&lt;=AK$1)*(Aus_Fim&gt;=AK$1)*(Aus_Cod&gt;0))&gt;1,"!",IFERROR(INDEX(Aus_Siglas,SUMPRODUCT((Aus_Tec=$I29)*(Aus_Ini&lt;=AK$1)*(Aus_Fim&gt;=AK$1)*Aus_Cod)),"!"))))</f>
        <v/>
      </c>
      <c r="AL29" s="44">
        <f>IF(OR($I29="",AL$1=""),"",IF(SUMPRODUCT((Aus_Tec=$I29)*(Aus_Ini&lt;=AL$1)*(Aus_Fim&gt;=AL$1)*(Aus_Cod&gt;0))=0,"",IF(SUMPRODUCT((Aus_Tec=$I29)*(Aus_Ini&lt;=AL$1)*(Aus_Fim&gt;=AL$1)*(Aus_Cod&gt;0))&gt;1,"!",IFERROR(INDEX(Aus_Siglas,SUMPRODUCT((Aus_Tec=$I29)*(Aus_Ini&lt;=AL$1)*(Aus_Fim&gt;=AL$1)*Aus_Cod)),"!"))))</f>
        <v/>
      </c>
      <c r="AM29" s="44">
        <f>IF(OR($I29="",AM$1=""),"",IF(SUMPRODUCT((Aus_Tec=$I29)*(Aus_Ini&lt;=AM$1)*(Aus_Fim&gt;=AM$1)*(Aus_Cod&gt;0))=0,"",IF(SUMPRODUCT((Aus_Tec=$I29)*(Aus_Ini&lt;=AM$1)*(Aus_Fim&gt;=AM$1)*(Aus_Cod&gt;0))&gt;1,"!",IFERROR(INDEX(Aus_Siglas,SUMPRODUCT((Aus_Tec=$I29)*(Aus_Ini&lt;=AM$1)*(Aus_Fim&gt;=AM$1)*Aus_Cod)),"!"))))</f>
        <v/>
      </c>
      <c r="AN29" s="44">
        <f>IF(OR($I29="",AN$1=""),"",IF(SUMPRODUCT((Aus_Tec=$I29)*(Aus_Ini&lt;=AN$1)*(Aus_Fim&gt;=AN$1)*(Aus_Cod&gt;0))=0,"",IF(SUMPRODUCT((Aus_Tec=$I29)*(Aus_Ini&lt;=AN$1)*(Aus_Fim&gt;=AN$1)*(Aus_Cod&gt;0))&gt;1,"!",IFERROR(INDEX(Aus_Siglas,SUMPRODUCT((Aus_Tec=$I29)*(Aus_Ini&lt;=AN$1)*(Aus_Fim&gt;=AN$1)*Aus_Cod)),"!"))))</f>
        <v/>
      </c>
    </row>
    <row r="30">
      <c r="A30" s="33" t="n"/>
      <c r="B30" s="31" t="n"/>
      <c r="C30" s="30" t="n"/>
      <c r="D30" s="30" t="n"/>
      <c r="E30" s="20">
        <f>IF(OR($A30="",NOT(ISNUMBER($C30)),NOT(ISNUMBER($D30))),"",$D30-$C30+1)</f>
        <v/>
      </c>
      <c r="F30" s="33" t="n"/>
      <c r="G30" s="35">
        <f>IF(AND($A30&lt;&gt;"",ISNUMBER($C30),ISNUMBER($D30),$C30&lt;=Data_Mapa,$D30&gt;=Data_Mapa),$A30,"")</f>
        <v/>
      </c>
      <c r="H30" s="35">
        <f>IF($A30="",0,IFERROR(MATCH($B30,Aus_Tipos,0),0))</f>
        <v/>
      </c>
      <c r="I30" s="43">
        <f>IF('Equipe'!$B$29="","",'Equipe'!$B$29)</f>
        <v/>
      </c>
      <c r="J30" s="44">
        <f>IF(OR($I30="",J$1=""),"",IF(SUMPRODUCT((Aus_Tec=$I30)*(Aus_Ini&lt;=J$1)*(Aus_Fim&gt;=J$1)*(Aus_Cod&gt;0))=0,"",IF(SUMPRODUCT((Aus_Tec=$I30)*(Aus_Ini&lt;=J$1)*(Aus_Fim&gt;=J$1)*(Aus_Cod&gt;0))&gt;1,"!",IFERROR(INDEX(Aus_Siglas,SUMPRODUCT((Aus_Tec=$I30)*(Aus_Ini&lt;=J$1)*(Aus_Fim&gt;=J$1)*Aus_Cod)),"!"))))</f>
        <v/>
      </c>
      <c r="K30" s="44">
        <f>IF(OR($I30="",K$1=""),"",IF(SUMPRODUCT((Aus_Tec=$I30)*(Aus_Ini&lt;=K$1)*(Aus_Fim&gt;=K$1)*(Aus_Cod&gt;0))=0,"",IF(SUMPRODUCT((Aus_Tec=$I30)*(Aus_Ini&lt;=K$1)*(Aus_Fim&gt;=K$1)*(Aus_Cod&gt;0))&gt;1,"!",IFERROR(INDEX(Aus_Siglas,SUMPRODUCT((Aus_Tec=$I30)*(Aus_Ini&lt;=K$1)*(Aus_Fim&gt;=K$1)*Aus_Cod)),"!"))))</f>
        <v/>
      </c>
      <c r="L30" s="44">
        <f>IF(OR($I30="",L$1=""),"",IF(SUMPRODUCT((Aus_Tec=$I30)*(Aus_Ini&lt;=L$1)*(Aus_Fim&gt;=L$1)*(Aus_Cod&gt;0))=0,"",IF(SUMPRODUCT((Aus_Tec=$I30)*(Aus_Ini&lt;=L$1)*(Aus_Fim&gt;=L$1)*(Aus_Cod&gt;0))&gt;1,"!",IFERROR(INDEX(Aus_Siglas,SUMPRODUCT((Aus_Tec=$I30)*(Aus_Ini&lt;=L$1)*(Aus_Fim&gt;=L$1)*Aus_Cod)),"!"))))</f>
        <v/>
      </c>
      <c r="M30" s="44">
        <f>IF(OR($I30="",M$1=""),"",IF(SUMPRODUCT((Aus_Tec=$I30)*(Aus_Ini&lt;=M$1)*(Aus_Fim&gt;=M$1)*(Aus_Cod&gt;0))=0,"",IF(SUMPRODUCT((Aus_Tec=$I30)*(Aus_Ini&lt;=M$1)*(Aus_Fim&gt;=M$1)*(Aus_Cod&gt;0))&gt;1,"!",IFERROR(INDEX(Aus_Siglas,SUMPRODUCT((Aus_Tec=$I30)*(Aus_Ini&lt;=M$1)*(Aus_Fim&gt;=M$1)*Aus_Cod)),"!"))))</f>
        <v/>
      </c>
      <c r="N30" s="44">
        <f>IF(OR($I30="",N$1=""),"",IF(SUMPRODUCT((Aus_Tec=$I30)*(Aus_Ini&lt;=N$1)*(Aus_Fim&gt;=N$1)*(Aus_Cod&gt;0))=0,"",IF(SUMPRODUCT((Aus_Tec=$I30)*(Aus_Ini&lt;=N$1)*(Aus_Fim&gt;=N$1)*(Aus_Cod&gt;0))&gt;1,"!",IFERROR(INDEX(Aus_Siglas,SUMPRODUCT((Aus_Tec=$I30)*(Aus_Ini&lt;=N$1)*(Aus_Fim&gt;=N$1)*Aus_Cod)),"!"))))</f>
        <v/>
      </c>
      <c r="O30" s="44">
        <f>IF(OR($I30="",O$1=""),"",IF(SUMPRODUCT((Aus_Tec=$I30)*(Aus_Ini&lt;=O$1)*(Aus_Fim&gt;=O$1)*(Aus_Cod&gt;0))=0,"",IF(SUMPRODUCT((Aus_Tec=$I30)*(Aus_Ini&lt;=O$1)*(Aus_Fim&gt;=O$1)*(Aus_Cod&gt;0))&gt;1,"!",IFERROR(INDEX(Aus_Siglas,SUMPRODUCT((Aus_Tec=$I30)*(Aus_Ini&lt;=O$1)*(Aus_Fim&gt;=O$1)*Aus_Cod)),"!"))))</f>
        <v/>
      </c>
      <c r="P30" s="44">
        <f>IF(OR($I30="",P$1=""),"",IF(SUMPRODUCT((Aus_Tec=$I30)*(Aus_Ini&lt;=P$1)*(Aus_Fim&gt;=P$1)*(Aus_Cod&gt;0))=0,"",IF(SUMPRODUCT((Aus_Tec=$I30)*(Aus_Ini&lt;=P$1)*(Aus_Fim&gt;=P$1)*(Aus_Cod&gt;0))&gt;1,"!",IFERROR(INDEX(Aus_Siglas,SUMPRODUCT((Aus_Tec=$I30)*(Aus_Ini&lt;=P$1)*(Aus_Fim&gt;=P$1)*Aus_Cod)),"!"))))</f>
        <v/>
      </c>
      <c r="Q30" s="44">
        <f>IF(OR($I30="",Q$1=""),"",IF(SUMPRODUCT((Aus_Tec=$I30)*(Aus_Ini&lt;=Q$1)*(Aus_Fim&gt;=Q$1)*(Aus_Cod&gt;0))=0,"",IF(SUMPRODUCT((Aus_Tec=$I30)*(Aus_Ini&lt;=Q$1)*(Aus_Fim&gt;=Q$1)*(Aus_Cod&gt;0))&gt;1,"!",IFERROR(INDEX(Aus_Siglas,SUMPRODUCT((Aus_Tec=$I30)*(Aus_Ini&lt;=Q$1)*(Aus_Fim&gt;=Q$1)*Aus_Cod)),"!"))))</f>
        <v/>
      </c>
      <c r="R30" s="44">
        <f>IF(OR($I30="",R$1=""),"",IF(SUMPRODUCT((Aus_Tec=$I30)*(Aus_Ini&lt;=R$1)*(Aus_Fim&gt;=R$1)*(Aus_Cod&gt;0))=0,"",IF(SUMPRODUCT((Aus_Tec=$I30)*(Aus_Ini&lt;=R$1)*(Aus_Fim&gt;=R$1)*(Aus_Cod&gt;0))&gt;1,"!",IFERROR(INDEX(Aus_Siglas,SUMPRODUCT((Aus_Tec=$I30)*(Aus_Ini&lt;=R$1)*(Aus_Fim&gt;=R$1)*Aus_Cod)),"!"))))</f>
        <v/>
      </c>
      <c r="S30" s="44">
        <f>IF(OR($I30="",S$1=""),"",IF(SUMPRODUCT((Aus_Tec=$I30)*(Aus_Ini&lt;=S$1)*(Aus_Fim&gt;=S$1)*(Aus_Cod&gt;0))=0,"",IF(SUMPRODUCT((Aus_Tec=$I30)*(Aus_Ini&lt;=S$1)*(Aus_Fim&gt;=S$1)*(Aus_Cod&gt;0))&gt;1,"!",IFERROR(INDEX(Aus_Siglas,SUMPRODUCT((Aus_Tec=$I30)*(Aus_Ini&lt;=S$1)*(Aus_Fim&gt;=S$1)*Aus_Cod)),"!"))))</f>
        <v/>
      </c>
      <c r="T30" s="44">
        <f>IF(OR($I30="",T$1=""),"",IF(SUMPRODUCT((Aus_Tec=$I30)*(Aus_Ini&lt;=T$1)*(Aus_Fim&gt;=T$1)*(Aus_Cod&gt;0))=0,"",IF(SUMPRODUCT((Aus_Tec=$I30)*(Aus_Ini&lt;=T$1)*(Aus_Fim&gt;=T$1)*(Aus_Cod&gt;0))&gt;1,"!",IFERROR(INDEX(Aus_Siglas,SUMPRODUCT((Aus_Tec=$I30)*(Aus_Ini&lt;=T$1)*(Aus_Fim&gt;=T$1)*Aus_Cod)),"!"))))</f>
        <v/>
      </c>
      <c r="U30" s="44">
        <f>IF(OR($I30="",U$1=""),"",IF(SUMPRODUCT((Aus_Tec=$I30)*(Aus_Ini&lt;=U$1)*(Aus_Fim&gt;=U$1)*(Aus_Cod&gt;0))=0,"",IF(SUMPRODUCT((Aus_Tec=$I30)*(Aus_Ini&lt;=U$1)*(Aus_Fim&gt;=U$1)*(Aus_Cod&gt;0))&gt;1,"!",IFERROR(INDEX(Aus_Siglas,SUMPRODUCT((Aus_Tec=$I30)*(Aus_Ini&lt;=U$1)*(Aus_Fim&gt;=U$1)*Aus_Cod)),"!"))))</f>
        <v/>
      </c>
      <c r="V30" s="44">
        <f>IF(OR($I30="",V$1=""),"",IF(SUMPRODUCT((Aus_Tec=$I30)*(Aus_Ini&lt;=V$1)*(Aus_Fim&gt;=V$1)*(Aus_Cod&gt;0))=0,"",IF(SUMPRODUCT((Aus_Tec=$I30)*(Aus_Ini&lt;=V$1)*(Aus_Fim&gt;=V$1)*(Aus_Cod&gt;0))&gt;1,"!",IFERROR(INDEX(Aus_Siglas,SUMPRODUCT((Aus_Tec=$I30)*(Aus_Ini&lt;=V$1)*(Aus_Fim&gt;=V$1)*Aus_Cod)),"!"))))</f>
        <v/>
      </c>
      <c r="W30" s="44">
        <f>IF(OR($I30="",W$1=""),"",IF(SUMPRODUCT((Aus_Tec=$I30)*(Aus_Ini&lt;=W$1)*(Aus_Fim&gt;=W$1)*(Aus_Cod&gt;0))=0,"",IF(SUMPRODUCT((Aus_Tec=$I30)*(Aus_Ini&lt;=W$1)*(Aus_Fim&gt;=W$1)*(Aus_Cod&gt;0))&gt;1,"!",IFERROR(INDEX(Aus_Siglas,SUMPRODUCT((Aus_Tec=$I30)*(Aus_Ini&lt;=W$1)*(Aus_Fim&gt;=W$1)*Aus_Cod)),"!"))))</f>
        <v/>
      </c>
      <c r="X30" s="44">
        <f>IF(OR($I30="",X$1=""),"",IF(SUMPRODUCT((Aus_Tec=$I30)*(Aus_Ini&lt;=X$1)*(Aus_Fim&gt;=X$1)*(Aus_Cod&gt;0))=0,"",IF(SUMPRODUCT((Aus_Tec=$I30)*(Aus_Ini&lt;=X$1)*(Aus_Fim&gt;=X$1)*(Aus_Cod&gt;0))&gt;1,"!",IFERROR(INDEX(Aus_Siglas,SUMPRODUCT((Aus_Tec=$I30)*(Aus_Ini&lt;=X$1)*(Aus_Fim&gt;=X$1)*Aus_Cod)),"!"))))</f>
        <v/>
      </c>
      <c r="Y30" s="44">
        <f>IF(OR($I30="",Y$1=""),"",IF(SUMPRODUCT((Aus_Tec=$I30)*(Aus_Ini&lt;=Y$1)*(Aus_Fim&gt;=Y$1)*(Aus_Cod&gt;0))=0,"",IF(SUMPRODUCT((Aus_Tec=$I30)*(Aus_Ini&lt;=Y$1)*(Aus_Fim&gt;=Y$1)*(Aus_Cod&gt;0))&gt;1,"!",IFERROR(INDEX(Aus_Siglas,SUMPRODUCT((Aus_Tec=$I30)*(Aus_Ini&lt;=Y$1)*(Aus_Fim&gt;=Y$1)*Aus_Cod)),"!"))))</f>
        <v/>
      </c>
      <c r="Z30" s="44">
        <f>IF(OR($I30="",Z$1=""),"",IF(SUMPRODUCT((Aus_Tec=$I30)*(Aus_Ini&lt;=Z$1)*(Aus_Fim&gt;=Z$1)*(Aus_Cod&gt;0))=0,"",IF(SUMPRODUCT((Aus_Tec=$I30)*(Aus_Ini&lt;=Z$1)*(Aus_Fim&gt;=Z$1)*(Aus_Cod&gt;0))&gt;1,"!",IFERROR(INDEX(Aus_Siglas,SUMPRODUCT((Aus_Tec=$I30)*(Aus_Ini&lt;=Z$1)*(Aus_Fim&gt;=Z$1)*Aus_Cod)),"!"))))</f>
        <v/>
      </c>
      <c r="AA30" s="44">
        <f>IF(OR($I30="",AA$1=""),"",IF(SUMPRODUCT((Aus_Tec=$I30)*(Aus_Ini&lt;=AA$1)*(Aus_Fim&gt;=AA$1)*(Aus_Cod&gt;0))=0,"",IF(SUMPRODUCT((Aus_Tec=$I30)*(Aus_Ini&lt;=AA$1)*(Aus_Fim&gt;=AA$1)*(Aus_Cod&gt;0))&gt;1,"!",IFERROR(INDEX(Aus_Siglas,SUMPRODUCT((Aus_Tec=$I30)*(Aus_Ini&lt;=AA$1)*(Aus_Fim&gt;=AA$1)*Aus_Cod)),"!"))))</f>
        <v/>
      </c>
      <c r="AB30" s="44">
        <f>IF(OR($I30="",AB$1=""),"",IF(SUMPRODUCT((Aus_Tec=$I30)*(Aus_Ini&lt;=AB$1)*(Aus_Fim&gt;=AB$1)*(Aus_Cod&gt;0))=0,"",IF(SUMPRODUCT((Aus_Tec=$I30)*(Aus_Ini&lt;=AB$1)*(Aus_Fim&gt;=AB$1)*(Aus_Cod&gt;0))&gt;1,"!",IFERROR(INDEX(Aus_Siglas,SUMPRODUCT((Aus_Tec=$I30)*(Aus_Ini&lt;=AB$1)*(Aus_Fim&gt;=AB$1)*Aus_Cod)),"!"))))</f>
        <v/>
      </c>
      <c r="AC30" s="44">
        <f>IF(OR($I30="",AC$1=""),"",IF(SUMPRODUCT((Aus_Tec=$I30)*(Aus_Ini&lt;=AC$1)*(Aus_Fim&gt;=AC$1)*(Aus_Cod&gt;0))=0,"",IF(SUMPRODUCT((Aus_Tec=$I30)*(Aus_Ini&lt;=AC$1)*(Aus_Fim&gt;=AC$1)*(Aus_Cod&gt;0))&gt;1,"!",IFERROR(INDEX(Aus_Siglas,SUMPRODUCT((Aus_Tec=$I30)*(Aus_Ini&lt;=AC$1)*(Aus_Fim&gt;=AC$1)*Aus_Cod)),"!"))))</f>
        <v/>
      </c>
      <c r="AD30" s="44">
        <f>IF(OR($I30="",AD$1=""),"",IF(SUMPRODUCT((Aus_Tec=$I30)*(Aus_Ini&lt;=AD$1)*(Aus_Fim&gt;=AD$1)*(Aus_Cod&gt;0))=0,"",IF(SUMPRODUCT((Aus_Tec=$I30)*(Aus_Ini&lt;=AD$1)*(Aus_Fim&gt;=AD$1)*(Aus_Cod&gt;0))&gt;1,"!",IFERROR(INDEX(Aus_Siglas,SUMPRODUCT((Aus_Tec=$I30)*(Aus_Ini&lt;=AD$1)*(Aus_Fim&gt;=AD$1)*Aus_Cod)),"!"))))</f>
        <v/>
      </c>
      <c r="AE30" s="44">
        <f>IF(OR($I30="",AE$1=""),"",IF(SUMPRODUCT((Aus_Tec=$I30)*(Aus_Ini&lt;=AE$1)*(Aus_Fim&gt;=AE$1)*(Aus_Cod&gt;0))=0,"",IF(SUMPRODUCT((Aus_Tec=$I30)*(Aus_Ini&lt;=AE$1)*(Aus_Fim&gt;=AE$1)*(Aus_Cod&gt;0))&gt;1,"!",IFERROR(INDEX(Aus_Siglas,SUMPRODUCT((Aus_Tec=$I30)*(Aus_Ini&lt;=AE$1)*(Aus_Fim&gt;=AE$1)*Aus_Cod)),"!"))))</f>
        <v/>
      </c>
      <c r="AF30" s="44">
        <f>IF(OR($I30="",AF$1=""),"",IF(SUMPRODUCT((Aus_Tec=$I30)*(Aus_Ini&lt;=AF$1)*(Aus_Fim&gt;=AF$1)*(Aus_Cod&gt;0))=0,"",IF(SUMPRODUCT((Aus_Tec=$I30)*(Aus_Ini&lt;=AF$1)*(Aus_Fim&gt;=AF$1)*(Aus_Cod&gt;0))&gt;1,"!",IFERROR(INDEX(Aus_Siglas,SUMPRODUCT((Aus_Tec=$I30)*(Aus_Ini&lt;=AF$1)*(Aus_Fim&gt;=AF$1)*Aus_Cod)),"!"))))</f>
        <v/>
      </c>
      <c r="AG30" s="44">
        <f>IF(OR($I30="",AG$1=""),"",IF(SUMPRODUCT((Aus_Tec=$I30)*(Aus_Ini&lt;=AG$1)*(Aus_Fim&gt;=AG$1)*(Aus_Cod&gt;0))=0,"",IF(SUMPRODUCT((Aus_Tec=$I30)*(Aus_Ini&lt;=AG$1)*(Aus_Fim&gt;=AG$1)*(Aus_Cod&gt;0))&gt;1,"!",IFERROR(INDEX(Aus_Siglas,SUMPRODUCT((Aus_Tec=$I30)*(Aus_Ini&lt;=AG$1)*(Aus_Fim&gt;=AG$1)*Aus_Cod)),"!"))))</f>
        <v/>
      </c>
      <c r="AH30" s="44">
        <f>IF(OR($I30="",AH$1=""),"",IF(SUMPRODUCT((Aus_Tec=$I30)*(Aus_Ini&lt;=AH$1)*(Aus_Fim&gt;=AH$1)*(Aus_Cod&gt;0))=0,"",IF(SUMPRODUCT((Aus_Tec=$I30)*(Aus_Ini&lt;=AH$1)*(Aus_Fim&gt;=AH$1)*(Aus_Cod&gt;0))&gt;1,"!",IFERROR(INDEX(Aus_Siglas,SUMPRODUCT((Aus_Tec=$I30)*(Aus_Ini&lt;=AH$1)*(Aus_Fim&gt;=AH$1)*Aus_Cod)),"!"))))</f>
        <v/>
      </c>
      <c r="AI30" s="44">
        <f>IF(OR($I30="",AI$1=""),"",IF(SUMPRODUCT((Aus_Tec=$I30)*(Aus_Ini&lt;=AI$1)*(Aus_Fim&gt;=AI$1)*(Aus_Cod&gt;0))=0,"",IF(SUMPRODUCT((Aus_Tec=$I30)*(Aus_Ini&lt;=AI$1)*(Aus_Fim&gt;=AI$1)*(Aus_Cod&gt;0))&gt;1,"!",IFERROR(INDEX(Aus_Siglas,SUMPRODUCT((Aus_Tec=$I30)*(Aus_Ini&lt;=AI$1)*(Aus_Fim&gt;=AI$1)*Aus_Cod)),"!"))))</f>
        <v/>
      </c>
      <c r="AJ30" s="44">
        <f>IF(OR($I30="",AJ$1=""),"",IF(SUMPRODUCT((Aus_Tec=$I30)*(Aus_Ini&lt;=AJ$1)*(Aus_Fim&gt;=AJ$1)*(Aus_Cod&gt;0))=0,"",IF(SUMPRODUCT((Aus_Tec=$I30)*(Aus_Ini&lt;=AJ$1)*(Aus_Fim&gt;=AJ$1)*(Aus_Cod&gt;0))&gt;1,"!",IFERROR(INDEX(Aus_Siglas,SUMPRODUCT((Aus_Tec=$I30)*(Aus_Ini&lt;=AJ$1)*(Aus_Fim&gt;=AJ$1)*Aus_Cod)),"!"))))</f>
        <v/>
      </c>
      <c r="AK30" s="44">
        <f>IF(OR($I30="",AK$1=""),"",IF(SUMPRODUCT((Aus_Tec=$I30)*(Aus_Ini&lt;=AK$1)*(Aus_Fim&gt;=AK$1)*(Aus_Cod&gt;0))=0,"",IF(SUMPRODUCT((Aus_Tec=$I30)*(Aus_Ini&lt;=AK$1)*(Aus_Fim&gt;=AK$1)*(Aus_Cod&gt;0))&gt;1,"!",IFERROR(INDEX(Aus_Siglas,SUMPRODUCT((Aus_Tec=$I30)*(Aus_Ini&lt;=AK$1)*(Aus_Fim&gt;=AK$1)*Aus_Cod)),"!"))))</f>
        <v/>
      </c>
      <c r="AL30" s="44">
        <f>IF(OR($I30="",AL$1=""),"",IF(SUMPRODUCT((Aus_Tec=$I30)*(Aus_Ini&lt;=AL$1)*(Aus_Fim&gt;=AL$1)*(Aus_Cod&gt;0))=0,"",IF(SUMPRODUCT((Aus_Tec=$I30)*(Aus_Ini&lt;=AL$1)*(Aus_Fim&gt;=AL$1)*(Aus_Cod&gt;0))&gt;1,"!",IFERROR(INDEX(Aus_Siglas,SUMPRODUCT((Aus_Tec=$I30)*(Aus_Ini&lt;=AL$1)*(Aus_Fim&gt;=AL$1)*Aus_Cod)),"!"))))</f>
        <v/>
      </c>
      <c r="AM30" s="44">
        <f>IF(OR($I30="",AM$1=""),"",IF(SUMPRODUCT((Aus_Tec=$I30)*(Aus_Ini&lt;=AM$1)*(Aus_Fim&gt;=AM$1)*(Aus_Cod&gt;0))=0,"",IF(SUMPRODUCT((Aus_Tec=$I30)*(Aus_Ini&lt;=AM$1)*(Aus_Fim&gt;=AM$1)*(Aus_Cod&gt;0))&gt;1,"!",IFERROR(INDEX(Aus_Siglas,SUMPRODUCT((Aus_Tec=$I30)*(Aus_Ini&lt;=AM$1)*(Aus_Fim&gt;=AM$1)*Aus_Cod)),"!"))))</f>
        <v/>
      </c>
      <c r="AN30" s="44">
        <f>IF(OR($I30="",AN$1=""),"",IF(SUMPRODUCT((Aus_Tec=$I30)*(Aus_Ini&lt;=AN$1)*(Aus_Fim&gt;=AN$1)*(Aus_Cod&gt;0))=0,"",IF(SUMPRODUCT((Aus_Tec=$I30)*(Aus_Ini&lt;=AN$1)*(Aus_Fim&gt;=AN$1)*(Aus_Cod&gt;0))&gt;1,"!",IFERROR(INDEX(Aus_Siglas,SUMPRODUCT((Aus_Tec=$I30)*(Aus_Ini&lt;=AN$1)*(Aus_Fim&gt;=AN$1)*Aus_Cod)),"!"))))</f>
        <v/>
      </c>
    </row>
    <row r="31">
      <c r="A31" s="33" t="n"/>
      <c r="B31" s="31" t="n"/>
      <c r="C31" s="30" t="n"/>
      <c r="D31" s="30" t="n"/>
      <c r="E31" s="20">
        <f>IF(OR($A31="",NOT(ISNUMBER($C31)),NOT(ISNUMBER($D31))),"",$D31-$C31+1)</f>
        <v/>
      </c>
      <c r="F31" s="33" t="n"/>
      <c r="G31" s="35">
        <f>IF(AND($A31&lt;&gt;"",ISNUMBER($C31),ISNUMBER($D31),$C31&lt;=Data_Mapa,$D31&gt;=Data_Mapa),$A31,"")</f>
        <v/>
      </c>
      <c r="H31" s="35">
        <f>IF($A31="",0,IFERROR(MATCH($B31,Aus_Tipos,0),0))</f>
        <v/>
      </c>
      <c r="I31" s="43">
        <f>IF('Equipe'!$B$30="","",'Equipe'!$B$30)</f>
        <v/>
      </c>
      <c r="J31" s="44">
        <f>IF(OR($I31="",J$1=""),"",IF(SUMPRODUCT((Aus_Tec=$I31)*(Aus_Ini&lt;=J$1)*(Aus_Fim&gt;=J$1)*(Aus_Cod&gt;0))=0,"",IF(SUMPRODUCT((Aus_Tec=$I31)*(Aus_Ini&lt;=J$1)*(Aus_Fim&gt;=J$1)*(Aus_Cod&gt;0))&gt;1,"!",IFERROR(INDEX(Aus_Siglas,SUMPRODUCT((Aus_Tec=$I31)*(Aus_Ini&lt;=J$1)*(Aus_Fim&gt;=J$1)*Aus_Cod)),"!"))))</f>
        <v/>
      </c>
      <c r="K31" s="44">
        <f>IF(OR($I31="",K$1=""),"",IF(SUMPRODUCT((Aus_Tec=$I31)*(Aus_Ini&lt;=K$1)*(Aus_Fim&gt;=K$1)*(Aus_Cod&gt;0))=0,"",IF(SUMPRODUCT((Aus_Tec=$I31)*(Aus_Ini&lt;=K$1)*(Aus_Fim&gt;=K$1)*(Aus_Cod&gt;0))&gt;1,"!",IFERROR(INDEX(Aus_Siglas,SUMPRODUCT((Aus_Tec=$I31)*(Aus_Ini&lt;=K$1)*(Aus_Fim&gt;=K$1)*Aus_Cod)),"!"))))</f>
        <v/>
      </c>
      <c r="L31" s="44">
        <f>IF(OR($I31="",L$1=""),"",IF(SUMPRODUCT((Aus_Tec=$I31)*(Aus_Ini&lt;=L$1)*(Aus_Fim&gt;=L$1)*(Aus_Cod&gt;0))=0,"",IF(SUMPRODUCT((Aus_Tec=$I31)*(Aus_Ini&lt;=L$1)*(Aus_Fim&gt;=L$1)*(Aus_Cod&gt;0))&gt;1,"!",IFERROR(INDEX(Aus_Siglas,SUMPRODUCT((Aus_Tec=$I31)*(Aus_Ini&lt;=L$1)*(Aus_Fim&gt;=L$1)*Aus_Cod)),"!"))))</f>
        <v/>
      </c>
      <c r="M31" s="44">
        <f>IF(OR($I31="",M$1=""),"",IF(SUMPRODUCT((Aus_Tec=$I31)*(Aus_Ini&lt;=M$1)*(Aus_Fim&gt;=M$1)*(Aus_Cod&gt;0))=0,"",IF(SUMPRODUCT((Aus_Tec=$I31)*(Aus_Ini&lt;=M$1)*(Aus_Fim&gt;=M$1)*(Aus_Cod&gt;0))&gt;1,"!",IFERROR(INDEX(Aus_Siglas,SUMPRODUCT((Aus_Tec=$I31)*(Aus_Ini&lt;=M$1)*(Aus_Fim&gt;=M$1)*Aus_Cod)),"!"))))</f>
        <v/>
      </c>
      <c r="N31" s="44">
        <f>IF(OR($I31="",N$1=""),"",IF(SUMPRODUCT((Aus_Tec=$I31)*(Aus_Ini&lt;=N$1)*(Aus_Fim&gt;=N$1)*(Aus_Cod&gt;0))=0,"",IF(SUMPRODUCT((Aus_Tec=$I31)*(Aus_Ini&lt;=N$1)*(Aus_Fim&gt;=N$1)*(Aus_Cod&gt;0))&gt;1,"!",IFERROR(INDEX(Aus_Siglas,SUMPRODUCT((Aus_Tec=$I31)*(Aus_Ini&lt;=N$1)*(Aus_Fim&gt;=N$1)*Aus_Cod)),"!"))))</f>
        <v/>
      </c>
      <c r="O31" s="44">
        <f>IF(OR($I31="",O$1=""),"",IF(SUMPRODUCT((Aus_Tec=$I31)*(Aus_Ini&lt;=O$1)*(Aus_Fim&gt;=O$1)*(Aus_Cod&gt;0))=0,"",IF(SUMPRODUCT((Aus_Tec=$I31)*(Aus_Ini&lt;=O$1)*(Aus_Fim&gt;=O$1)*(Aus_Cod&gt;0))&gt;1,"!",IFERROR(INDEX(Aus_Siglas,SUMPRODUCT((Aus_Tec=$I31)*(Aus_Ini&lt;=O$1)*(Aus_Fim&gt;=O$1)*Aus_Cod)),"!"))))</f>
        <v/>
      </c>
      <c r="P31" s="44">
        <f>IF(OR($I31="",P$1=""),"",IF(SUMPRODUCT((Aus_Tec=$I31)*(Aus_Ini&lt;=P$1)*(Aus_Fim&gt;=P$1)*(Aus_Cod&gt;0))=0,"",IF(SUMPRODUCT((Aus_Tec=$I31)*(Aus_Ini&lt;=P$1)*(Aus_Fim&gt;=P$1)*(Aus_Cod&gt;0))&gt;1,"!",IFERROR(INDEX(Aus_Siglas,SUMPRODUCT((Aus_Tec=$I31)*(Aus_Ini&lt;=P$1)*(Aus_Fim&gt;=P$1)*Aus_Cod)),"!"))))</f>
        <v/>
      </c>
      <c r="Q31" s="44">
        <f>IF(OR($I31="",Q$1=""),"",IF(SUMPRODUCT((Aus_Tec=$I31)*(Aus_Ini&lt;=Q$1)*(Aus_Fim&gt;=Q$1)*(Aus_Cod&gt;0))=0,"",IF(SUMPRODUCT((Aus_Tec=$I31)*(Aus_Ini&lt;=Q$1)*(Aus_Fim&gt;=Q$1)*(Aus_Cod&gt;0))&gt;1,"!",IFERROR(INDEX(Aus_Siglas,SUMPRODUCT((Aus_Tec=$I31)*(Aus_Ini&lt;=Q$1)*(Aus_Fim&gt;=Q$1)*Aus_Cod)),"!"))))</f>
        <v/>
      </c>
      <c r="R31" s="44">
        <f>IF(OR($I31="",R$1=""),"",IF(SUMPRODUCT((Aus_Tec=$I31)*(Aus_Ini&lt;=R$1)*(Aus_Fim&gt;=R$1)*(Aus_Cod&gt;0))=0,"",IF(SUMPRODUCT((Aus_Tec=$I31)*(Aus_Ini&lt;=R$1)*(Aus_Fim&gt;=R$1)*(Aus_Cod&gt;0))&gt;1,"!",IFERROR(INDEX(Aus_Siglas,SUMPRODUCT((Aus_Tec=$I31)*(Aus_Ini&lt;=R$1)*(Aus_Fim&gt;=R$1)*Aus_Cod)),"!"))))</f>
        <v/>
      </c>
      <c r="S31" s="44">
        <f>IF(OR($I31="",S$1=""),"",IF(SUMPRODUCT((Aus_Tec=$I31)*(Aus_Ini&lt;=S$1)*(Aus_Fim&gt;=S$1)*(Aus_Cod&gt;0))=0,"",IF(SUMPRODUCT((Aus_Tec=$I31)*(Aus_Ini&lt;=S$1)*(Aus_Fim&gt;=S$1)*(Aus_Cod&gt;0))&gt;1,"!",IFERROR(INDEX(Aus_Siglas,SUMPRODUCT((Aus_Tec=$I31)*(Aus_Ini&lt;=S$1)*(Aus_Fim&gt;=S$1)*Aus_Cod)),"!"))))</f>
        <v/>
      </c>
      <c r="T31" s="44">
        <f>IF(OR($I31="",T$1=""),"",IF(SUMPRODUCT((Aus_Tec=$I31)*(Aus_Ini&lt;=T$1)*(Aus_Fim&gt;=T$1)*(Aus_Cod&gt;0))=0,"",IF(SUMPRODUCT((Aus_Tec=$I31)*(Aus_Ini&lt;=T$1)*(Aus_Fim&gt;=T$1)*(Aus_Cod&gt;0))&gt;1,"!",IFERROR(INDEX(Aus_Siglas,SUMPRODUCT((Aus_Tec=$I31)*(Aus_Ini&lt;=T$1)*(Aus_Fim&gt;=T$1)*Aus_Cod)),"!"))))</f>
        <v/>
      </c>
      <c r="U31" s="44">
        <f>IF(OR($I31="",U$1=""),"",IF(SUMPRODUCT((Aus_Tec=$I31)*(Aus_Ini&lt;=U$1)*(Aus_Fim&gt;=U$1)*(Aus_Cod&gt;0))=0,"",IF(SUMPRODUCT((Aus_Tec=$I31)*(Aus_Ini&lt;=U$1)*(Aus_Fim&gt;=U$1)*(Aus_Cod&gt;0))&gt;1,"!",IFERROR(INDEX(Aus_Siglas,SUMPRODUCT((Aus_Tec=$I31)*(Aus_Ini&lt;=U$1)*(Aus_Fim&gt;=U$1)*Aus_Cod)),"!"))))</f>
        <v/>
      </c>
      <c r="V31" s="44">
        <f>IF(OR($I31="",V$1=""),"",IF(SUMPRODUCT((Aus_Tec=$I31)*(Aus_Ini&lt;=V$1)*(Aus_Fim&gt;=V$1)*(Aus_Cod&gt;0))=0,"",IF(SUMPRODUCT((Aus_Tec=$I31)*(Aus_Ini&lt;=V$1)*(Aus_Fim&gt;=V$1)*(Aus_Cod&gt;0))&gt;1,"!",IFERROR(INDEX(Aus_Siglas,SUMPRODUCT((Aus_Tec=$I31)*(Aus_Ini&lt;=V$1)*(Aus_Fim&gt;=V$1)*Aus_Cod)),"!"))))</f>
        <v/>
      </c>
      <c r="W31" s="44">
        <f>IF(OR($I31="",W$1=""),"",IF(SUMPRODUCT((Aus_Tec=$I31)*(Aus_Ini&lt;=W$1)*(Aus_Fim&gt;=W$1)*(Aus_Cod&gt;0))=0,"",IF(SUMPRODUCT((Aus_Tec=$I31)*(Aus_Ini&lt;=W$1)*(Aus_Fim&gt;=W$1)*(Aus_Cod&gt;0))&gt;1,"!",IFERROR(INDEX(Aus_Siglas,SUMPRODUCT((Aus_Tec=$I31)*(Aus_Ini&lt;=W$1)*(Aus_Fim&gt;=W$1)*Aus_Cod)),"!"))))</f>
        <v/>
      </c>
      <c r="X31" s="44">
        <f>IF(OR($I31="",X$1=""),"",IF(SUMPRODUCT((Aus_Tec=$I31)*(Aus_Ini&lt;=X$1)*(Aus_Fim&gt;=X$1)*(Aus_Cod&gt;0))=0,"",IF(SUMPRODUCT((Aus_Tec=$I31)*(Aus_Ini&lt;=X$1)*(Aus_Fim&gt;=X$1)*(Aus_Cod&gt;0))&gt;1,"!",IFERROR(INDEX(Aus_Siglas,SUMPRODUCT((Aus_Tec=$I31)*(Aus_Ini&lt;=X$1)*(Aus_Fim&gt;=X$1)*Aus_Cod)),"!"))))</f>
        <v/>
      </c>
      <c r="Y31" s="44">
        <f>IF(OR($I31="",Y$1=""),"",IF(SUMPRODUCT((Aus_Tec=$I31)*(Aus_Ini&lt;=Y$1)*(Aus_Fim&gt;=Y$1)*(Aus_Cod&gt;0))=0,"",IF(SUMPRODUCT((Aus_Tec=$I31)*(Aus_Ini&lt;=Y$1)*(Aus_Fim&gt;=Y$1)*(Aus_Cod&gt;0))&gt;1,"!",IFERROR(INDEX(Aus_Siglas,SUMPRODUCT((Aus_Tec=$I31)*(Aus_Ini&lt;=Y$1)*(Aus_Fim&gt;=Y$1)*Aus_Cod)),"!"))))</f>
        <v/>
      </c>
      <c r="Z31" s="44">
        <f>IF(OR($I31="",Z$1=""),"",IF(SUMPRODUCT((Aus_Tec=$I31)*(Aus_Ini&lt;=Z$1)*(Aus_Fim&gt;=Z$1)*(Aus_Cod&gt;0))=0,"",IF(SUMPRODUCT((Aus_Tec=$I31)*(Aus_Ini&lt;=Z$1)*(Aus_Fim&gt;=Z$1)*(Aus_Cod&gt;0))&gt;1,"!",IFERROR(INDEX(Aus_Siglas,SUMPRODUCT((Aus_Tec=$I31)*(Aus_Ini&lt;=Z$1)*(Aus_Fim&gt;=Z$1)*Aus_Cod)),"!"))))</f>
        <v/>
      </c>
      <c r="AA31" s="44">
        <f>IF(OR($I31="",AA$1=""),"",IF(SUMPRODUCT((Aus_Tec=$I31)*(Aus_Ini&lt;=AA$1)*(Aus_Fim&gt;=AA$1)*(Aus_Cod&gt;0))=0,"",IF(SUMPRODUCT((Aus_Tec=$I31)*(Aus_Ini&lt;=AA$1)*(Aus_Fim&gt;=AA$1)*(Aus_Cod&gt;0))&gt;1,"!",IFERROR(INDEX(Aus_Siglas,SUMPRODUCT((Aus_Tec=$I31)*(Aus_Ini&lt;=AA$1)*(Aus_Fim&gt;=AA$1)*Aus_Cod)),"!"))))</f>
        <v/>
      </c>
      <c r="AB31" s="44">
        <f>IF(OR($I31="",AB$1=""),"",IF(SUMPRODUCT((Aus_Tec=$I31)*(Aus_Ini&lt;=AB$1)*(Aus_Fim&gt;=AB$1)*(Aus_Cod&gt;0))=0,"",IF(SUMPRODUCT((Aus_Tec=$I31)*(Aus_Ini&lt;=AB$1)*(Aus_Fim&gt;=AB$1)*(Aus_Cod&gt;0))&gt;1,"!",IFERROR(INDEX(Aus_Siglas,SUMPRODUCT((Aus_Tec=$I31)*(Aus_Ini&lt;=AB$1)*(Aus_Fim&gt;=AB$1)*Aus_Cod)),"!"))))</f>
        <v/>
      </c>
      <c r="AC31" s="44">
        <f>IF(OR($I31="",AC$1=""),"",IF(SUMPRODUCT((Aus_Tec=$I31)*(Aus_Ini&lt;=AC$1)*(Aus_Fim&gt;=AC$1)*(Aus_Cod&gt;0))=0,"",IF(SUMPRODUCT((Aus_Tec=$I31)*(Aus_Ini&lt;=AC$1)*(Aus_Fim&gt;=AC$1)*(Aus_Cod&gt;0))&gt;1,"!",IFERROR(INDEX(Aus_Siglas,SUMPRODUCT((Aus_Tec=$I31)*(Aus_Ini&lt;=AC$1)*(Aus_Fim&gt;=AC$1)*Aus_Cod)),"!"))))</f>
        <v/>
      </c>
      <c r="AD31" s="44">
        <f>IF(OR($I31="",AD$1=""),"",IF(SUMPRODUCT((Aus_Tec=$I31)*(Aus_Ini&lt;=AD$1)*(Aus_Fim&gt;=AD$1)*(Aus_Cod&gt;0))=0,"",IF(SUMPRODUCT((Aus_Tec=$I31)*(Aus_Ini&lt;=AD$1)*(Aus_Fim&gt;=AD$1)*(Aus_Cod&gt;0))&gt;1,"!",IFERROR(INDEX(Aus_Siglas,SUMPRODUCT((Aus_Tec=$I31)*(Aus_Ini&lt;=AD$1)*(Aus_Fim&gt;=AD$1)*Aus_Cod)),"!"))))</f>
        <v/>
      </c>
      <c r="AE31" s="44">
        <f>IF(OR($I31="",AE$1=""),"",IF(SUMPRODUCT((Aus_Tec=$I31)*(Aus_Ini&lt;=AE$1)*(Aus_Fim&gt;=AE$1)*(Aus_Cod&gt;0))=0,"",IF(SUMPRODUCT((Aus_Tec=$I31)*(Aus_Ini&lt;=AE$1)*(Aus_Fim&gt;=AE$1)*(Aus_Cod&gt;0))&gt;1,"!",IFERROR(INDEX(Aus_Siglas,SUMPRODUCT((Aus_Tec=$I31)*(Aus_Ini&lt;=AE$1)*(Aus_Fim&gt;=AE$1)*Aus_Cod)),"!"))))</f>
        <v/>
      </c>
      <c r="AF31" s="44">
        <f>IF(OR($I31="",AF$1=""),"",IF(SUMPRODUCT((Aus_Tec=$I31)*(Aus_Ini&lt;=AF$1)*(Aus_Fim&gt;=AF$1)*(Aus_Cod&gt;0))=0,"",IF(SUMPRODUCT((Aus_Tec=$I31)*(Aus_Ini&lt;=AF$1)*(Aus_Fim&gt;=AF$1)*(Aus_Cod&gt;0))&gt;1,"!",IFERROR(INDEX(Aus_Siglas,SUMPRODUCT((Aus_Tec=$I31)*(Aus_Ini&lt;=AF$1)*(Aus_Fim&gt;=AF$1)*Aus_Cod)),"!"))))</f>
        <v/>
      </c>
      <c r="AG31" s="44">
        <f>IF(OR($I31="",AG$1=""),"",IF(SUMPRODUCT((Aus_Tec=$I31)*(Aus_Ini&lt;=AG$1)*(Aus_Fim&gt;=AG$1)*(Aus_Cod&gt;0))=0,"",IF(SUMPRODUCT((Aus_Tec=$I31)*(Aus_Ini&lt;=AG$1)*(Aus_Fim&gt;=AG$1)*(Aus_Cod&gt;0))&gt;1,"!",IFERROR(INDEX(Aus_Siglas,SUMPRODUCT((Aus_Tec=$I31)*(Aus_Ini&lt;=AG$1)*(Aus_Fim&gt;=AG$1)*Aus_Cod)),"!"))))</f>
        <v/>
      </c>
      <c r="AH31" s="44">
        <f>IF(OR($I31="",AH$1=""),"",IF(SUMPRODUCT((Aus_Tec=$I31)*(Aus_Ini&lt;=AH$1)*(Aus_Fim&gt;=AH$1)*(Aus_Cod&gt;0))=0,"",IF(SUMPRODUCT((Aus_Tec=$I31)*(Aus_Ini&lt;=AH$1)*(Aus_Fim&gt;=AH$1)*(Aus_Cod&gt;0))&gt;1,"!",IFERROR(INDEX(Aus_Siglas,SUMPRODUCT((Aus_Tec=$I31)*(Aus_Ini&lt;=AH$1)*(Aus_Fim&gt;=AH$1)*Aus_Cod)),"!"))))</f>
        <v/>
      </c>
      <c r="AI31" s="44">
        <f>IF(OR($I31="",AI$1=""),"",IF(SUMPRODUCT((Aus_Tec=$I31)*(Aus_Ini&lt;=AI$1)*(Aus_Fim&gt;=AI$1)*(Aus_Cod&gt;0))=0,"",IF(SUMPRODUCT((Aus_Tec=$I31)*(Aus_Ini&lt;=AI$1)*(Aus_Fim&gt;=AI$1)*(Aus_Cod&gt;0))&gt;1,"!",IFERROR(INDEX(Aus_Siglas,SUMPRODUCT((Aus_Tec=$I31)*(Aus_Ini&lt;=AI$1)*(Aus_Fim&gt;=AI$1)*Aus_Cod)),"!"))))</f>
        <v/>
      </c>
      <c r="AJ31" s="44">
        <f>IF(OR($I31="",AJ$1=""),"",IF(SUMPRODUCT((Aus_Tec=$I31)*(Aus_Ini&lt;=AJ$1)*(Aus_Fim&gt;=AJ$1)*(Aus_Cod&gt;0))=0,"",IF(SUMPRODUCT((Aus_Tec=$I31)*(Aus_Ini&lt;=AJ$1)*(Aus_Fim&gt;=AJ$1)*(Aus_Cod&gt;0))&gt;1,"!",IFERROR(INDEX(Aus_Siglas,SUMPRODUCT((Aus_Tec=$I31)*(Aus_Ini&lt;=AJ$1)*(Aus_Fim&gt;=AJ$1)*Aus_Cod)),"!"))))</f>
        <v/>
      </c>
      <c r="AK31" s="44">
        <f>IF(OR($I31="",AK$1=""),"",IF(SUMPRODUCT((Aus_Tec=$I31)*(Aus_Ini&lt;=AK$1)*(Aus_Fim&gt;=AK$1)*(Aus_Cod&gt;0))=0,"",IF(SUMPRODUCT((Aus_Tec=$I31)*(Aus_Ini&lt;=AK$1)*(Aus_Fim&gt;=AK$1)*(Aus_Cod&gt;0))&gt;1,"!",IFERROR(INDEX(Aus_Siglas,SUMPRODUCT((Aus_Tec=$I31)*(Aus_Ini&lt;=AK$1)*(Aus_Fim&gt;=AK$1)*Aus_Cod)),"!"))))</f>
        <v/>
      </c>
      <c r="AL31" s="44">
        <f>IF(OR($I31="",AL$1=""),"",IF(SUMPRODUCT((Aus_Tec=$I31)*(Aus_Ini&lt;=AL$1)*(Aus_Fim&gt;=AL$1)*(Aus_Cod&gt;0))=0,"",IF(SUMPRODUCT((Aus_Tec=$I31)*(Aus_Ini&lt;=AL$1)*(Aus_Fim&gt;=AL$1)*(Aus_Cod&gt;0))&gt;1,"!",IFERROR(INDEX(Aus_Siglas,SUMPRODUCT((Aus_Tec=$I31)*(Aus_Ini&lt;=AL$1)*(Aus_Fim&gt;=AL$1)*Aus_Cod)),"!"))))</f>
        <v/>
      </c>
      <c r="AM31" s="44">
        <f>IF(OR($I31="",AM$1=""),"",IF(SUMPRODUCT((Aus_Tec=$I31)*(Aus_Ini&lt;=AM$1)*(Aus_Fim&gt;=AM$1)*(Aus_Cod&gt;0))=0,"",IF(SUMPRODUCT((Aus_Tec=$I31)*(Aus_Ini&lt;=AM$1)*(Aus_Fim&gt;=AM$1)*(Aus_Cod&gt;0))&gt;1,"!",IFERROR(INDEX(Aus_Siglas,SUMPRODUCT((Aus_Tec=$I31)*(Aus_Ini&lt;=AM$1)*(Aus_Fim&gt;=AM$1)*Aus_Cod)),"!"))))</f>
        <v/>
      </c>
      <c r="AN31" s="44">
        <f>IF(OR($I31="",AN$1=""),"",IF(SUMPRODUCT((Aus_Tec=$I31)*(Aus_Ini&lt;=AN$1)*(Aus_Fim&gt;=AN$1)*(Aus_Cod&gt;0))=0,"",IF(SUMPRODUCT((Aus_Tec=$I31)*(Aus_Ini&lt;=AN$1)*(Aus_Fim&gt;=AN$1)*(Aus_Cod&gt;0))&gt;1,"!",IFERROR(INDEX(Aus_Siglas,SUMPRODUCT((Aus_Tec=$I31)*(Aus_Ini&lt;=AN$1)*(Aus_Fim&gt;=AN$1)*Aus_Cod)),"!"))))</f>
        <v/>
      </c>
    </row>
    <row r="32">
      <c r="A32" s="33" t="n"/>
      <c r="B32" s="31" t="n"/>
      <c r="C32" s="30" t="n"/>
      <c r="D32" s="30" t="n"/>
      <c r="E32" s="20">
        <f>IF(OR($A32="",NOT(ISNUMBER($C32)),NOT(ISNUMBER($D32))),"",$D32-$C32+1)</f>
        <v/>
      </c>
      <c r="F32" s="33" t="n"/>
      <c r="G32" s="35">
        <f>IF(AND($A32&lt;&gt;"",ISNUMBER($C32),ISNUMBER($D32),$C32&lt;=Data_Mapa,$D32&gt;=Data_Mapa),$A32,"")</f>
        <v/>
      </c>
      <c r="H32" s="35">
        <f>IF($A32="",0,IFERROR(MATCH($B32,Aus_Tipos,0),0))</f>
        <v/>
      </c>
      <c r="I32" s="43">
        <f>IF('Equipe'!$B$31="","",'Equipe'!$B$31)</f>
        <v/>
      </c>
      <c r="J32" s="44">
        <f>IF(OR($I32="",J$1=""),"",IF(SUMPRODUCT((Aus_Tec=$I32)*(Aus_Ini&lt;=J$1)*(Aus_Fim&gt;=J$1)*(Aus_Cod&gt;0))=0,"",IF(SUMPRODUCT((Aus_Tec=$I32)*(Aus_Ini&lt;=J$1)*(Aus_Fim&gt;=J$1)*(Aus_Cod&gt;0))&gt;1,"!",IFERROR(INDEX(Aus_Siglas,SUMPRODUCT((Aus_Tec=$I32)*(Aus_Ini&lt;=J$1)*(Aus_Fim&gt;=J$1)*Aus_Cod)),"!"))))</f>
        <v/>
      </c>
      <c r="K32" s="44">
        <f>IF(OR($I32="",K$1=""),"",IF(SUMPRODUCT((Aus_Tec=$I32)*(Aus_Ini&lt;=K$1)*(Aus_Fim&gt;=K$1)*(Aus_Cod&gt;0))=0,"",IF(SUMPRODUCT((Aus_Tec=$I32)*(Aus_Ini&lt;=K$1)*(Aus_Fim&gt;=K$1)*(Aus_Cod&gt;0))&gt;1,"!",IFERROR(INDEX(Aus_Siglas,SUMPRODUCT((Aus_Tec=$I32)*(Aus_Ini&lt;=K$1)*(Aus_Fim&gt;=K$1)*Aus_Cod)),"!"))))</f>
        <v/>
      </c>
      <c r="L32" s="44">
        <f>IF(OR($I32="",L$1=""),"",IF(SUMPRODUCT((Aus_Tec=$I32)*(Aus_Ini&lt;=L$1)*(Aus_Fim&gt;=L$1)*(Aus_Cod&gt;0))=0,"",IF(SUMPRODUCT((Aus_Tec=$I32)*(Aus_Ini&lt;=L$1)*(Aus_Fim&gt;=L$1)*(Aus_Cod&gt;0))&gt;1,"!",IFERROR(INDEX(Aus_Siglas,SUMPRODUCT((Aus_Tec=$I32)*(Aus_Ini&lt;=L$1)*(Aus_Fim&gt;=L$1)*Aus_Cod)),"!"))))</f>
        <v/>
      </c>
      <c r="M32" s="44">
        <f>IF(OR($I32="",M$1=""),"",IF(SUMPRODUCT((Aus_Tec=$I32)*(Aus_Ini&lt;=M$1)*(Aus_Fim&gt;=M$1)*(Aus_Cod&gt;0))=0,"",IF(SUMPRODUCT((Aus_Tec=$I32)*(Aus_Ini&lt;=M$1)*(Aus_Fim&gt;=M$1)*(Aus_Cod&gt;0))&gt;1,"!",IFERROR(INDEX(Aus_Siglas,SUMPRODUCT((Aus_Tec=$I32)*(Aus_Ini&lt;=M$1)*(Aus_Fim&gt;=M$1)*Aus_Cod)),"!"))))</f>
        <v/>
      </c>
      <c r="N32" s="44">
        <f>IF(OR($I32="",N$1=""),"",IF(SUMPRODUCT((Aus_Tec=$I32)*(Aus_Ini&lt;=N$1)*(Aus_Fim&gt;=N$1)*(Aus_Cod&gt;0))=0,"",IF(SUMPRODUCT((Aus_Tec=$I32)*(Aus_Ini&lt;=N$1)*(Aus_Fim&gt;=N$1)*(Aus_Cod&gt;0))&gt;1,"!",IFERROR(INDEX(Aus_Siglas,SUMPRODUCT((Aus_Tec=$I32)*(Aus_Ini&lt;=N$1)*(Aus_Fim&gt;=N$1)*Aus_Cod)),"!"))))</f>
        <v/>
      </c>
      <c r="O32" s="44">
        <f>IF(OR($I32="",O$1=""),"",IF(SUMPRODUCT((Aus_Tec=$I32)*(Aus_Ini&lt;=O$1)*(Aus_Fim&gt;=O$1)*(Aus_Cod&gt;0))=0,"",IF(SUMPRODUCT((Aus_Tec=$I32)*(Aus_Ini&lt;=O$1)*(Aus_Fim&gt;=O$1)*(Aus_Cod&gt;0))&gt;1,"!",IFERROR(INDEX(Aus_Siglas,SUMPRODUCT((Aus_Tec=$I32)*(Aus_Ini&lt;=O$1)*(Aus_Fim&gt;=O$1)*Aus_Cod)),"!"))))</f>
        <v/>
      </c>
      <c r="P32" s="44">
        <f>IF(OR($I32="",P$1=""),"",IF(SUMPRODUCT((Aus_Tec=$I32)*(Aus_Ini&lt;=P$1)*(Aus_Fim&gt;=P$1)*(Aus_Cod&gt;0))=0,"",IF(SUMPRODUCT((Aus_Tec=$I32)*(Aus_Ini&lt;=P$1)*(Aus_Fim&gt;=P$1)*(Aus_Cod&gt;0))&gt;1,"!",IFERROR(INDEX(Aus_Siglas,SUMPRODUCT((Aus_Tec=$I32)*(Aus_Ini&lt;=P$1)*(Aus_Fim&gt;=P$1)*Aus_Cod)),"!"))))</f>
        <v/>
      </c>
      <c r="Q32" s="44">
        <f>IF(OR($I32="",Q$1=""),"",IF(SUMPRODUCT((Aus_Tec=$I32)*(Aus_Ini&lt;=Q$1)*(Aus_Fim&gt;=Q$1)*(Aus_Cod&gt;0))=0,"",IF(SUMPRODUCT((Aus_Tec=$I32)*(Aus_Ini&lt;=Q$1)*(Aus_Fim&gt;=Q$1)*(Aus_Cod&gt;0))&gt;1,"!",IFERROR(INDEX(Aus_Siglas,SUMPRODUCT((Aus_Tec=$I32)*(Aus_Ini&lt;=Q$1)*(Aus_Fim&gt;=Q$1)*Aus_Cod)),"!"))))</f>
        <v/>
      </c>
      <c r="R32" s="44">
        <f>IF(OR($I32="",R$1=""),"",IF(SUMPRODUCT((Aus_Tec=$I32)*(Aus_Ini&lt;=R$1)*(Aus_Fim&gt;=R$1)*(Aus_Cod&gt;0))=0,"",IF(SUMPRODUCT((Aus_Tec=$I32)*(Aus_Ini&lt;=R$1)*(Aus_Fim&gt;=R$1)*(Aus_Cod&gt;0))&gt;1,"!",IFERROR(INDEX(Aus_Siglas,SUMPRODUCT((Aus_Tec=$I32)*(Aus_Ini&lt;=R$1)*(Aus_Fim&gt;=R$1)*Aus_Cod)),"!"))))</f>
        <v/>
      </c>
      <c r="S32" s="44">
        <f>IF(OR($I32="",S$1=""),"",IF(SUMPRODUCT((Aus_Tec=$I32)*(Aus_Ini&lt;=S$1)*(Aus_Fim&gt;=S$1)*(Aus_Cod&gt;0))=0,"",IF(SUMPRODUCT((Aus_Tec=$I32)*(Aus_Ini&lt;=S$1)*(Aus_Fim&gt;=S$1)*(Aus_Cod&gt;0))&gt;1,"!",IFERROR(INDEX(Aus_Siglas,SUMPRODUCT((Aus_Tec=$I32)*(Aus_Ini&lt;=S$1)*(Aus_Fim&gt;=S$1)*Aus_Cod)),"!"))))</f>
        <v/>
      </c>
      <c r="T32" s="44">
        <f>IF(OR($I32="",T$1=""),"",IF(SUMPRODUCT((Aus_Tec=$I32)*(Aus_Ini&lt;=T$1)*(Aus_Fim&gt;=T$1)*(Aus_Cod&gt;0))=0,"",IF(SUMPRODUCT((Aus_Tec=$I32)*(Aus_Ini&lt;=T$1)*(Aus_Fim&gt;=T$1)*(Aus_Cod&gt;0))&gt;1,"!",IFERROR(INDEX(Aus_Siglas,SUMPRODUCT((Aus_Tec=$I32)*(Aus_Ini&lt;=T$1)*(Aus_Fim&gt;=T$1)*Aus_Cod)),"!"))))</f>
        <v/>
      </c>
      <c r="U32" s="44">
        <f>IF(OR($I32="",U$1=""),"",IF(SUMPRODUCT((Aus_Tec=$I32)*(Aus_Ini&lt;=U$1)*(Aus_Fim&gt;=U$1)*(Aus_Cod&gt;0))=0,"",IF(SUMPRODUCT((Aus_Tec=$I32)*(Aus_Ini&lt;=U$1)*(Aus_Fim&gt;=U$1)*(Aus_Cod&gt;0))&gt;1,"!",IFERROR(INDEX(Aus_Siglas,SUMPRODUCT((Aus_Tec=$I32)*(Aus_Ini&lt;=U$1)*(Aus_Fim&gt;=U$1)*Aus_Cod)),"!"))))</f>
        <v/>
      </c>
      <c r="V32" s="44">
        <f>IF(OR($I32="",V$1=""),"",IF(SUMPRODUCT((Aus_Tec=$I32)*(Aus_Ini&lt;=V$1)*(Aus_Fim&gt;=V$1)*(Aus_Cod&gt;0))=0,"",IF(SUMPRODUCT((Aus_Tec=$I32)*(Aus_Ini&lt;=V$1)*(Aus_Fim&gt;=V$1)*(Aus_Cod&gt;0))&gt;1,"!",IFERROR(INDEX(Aus_Siglas,SUMPRODUCT((Aus_Tec=$I32)*(Aus_Ini&lt;=V$1)*(Aus_Fim&gt;=V$1)*Aus_Cod)),"!"))))</f>
        <v/>
      </c>
      <c r="W32" s="44">
        <f>IF(OR($I32="",W$1=""),"",IF(SUMPRODUCT((Aus_Tec=$I32)*(Aus_Ini&lt;=W$1)*(Aus_Fim&gt;=W$1)*(Aus_Cod&gt;0))=0,"",IF(SUMPRODUCT((Aus_Tec=$I32)*(Aus_Ini&lt;=W$1)*(Aus_Fim&gt;=W$1)*(Aus_Cod&gt;0))&gt;1,"!",IFERROR(INDEX(Aus_Siglas,SUMPRODUCT((Aus_Tec=$I32)*(Aus_Ini&lt;=W$1)*(Aus_Fim&gt;=W$1)*Aus_Cod)),"!"))))</f>
        <v/>
      </c>
      <c r="X32" s="44">
        <f>IF(OR($I32="",X$1=""),"",IF(SUMPRODUCT((Aus_Tec=$I32)*(Aus_Ini&lt;=X$1)*(Aus_Fim&gt;=X$1)*(Aus_Cod&gt;0))=0,"",IF(SUMPRODUCT((Aus_Tec=$I32)*(Aus_Ini&lt;=X$1)*(Aus_Fim&gt;=X$1)*(Aus_Cod&gt;0))&gt;1,"!",IFERROR(INDEX(Aus_Siglas,SUMPRODUCT((Aus_Tec=$I32)*(Aus_Ini&lt;=X$1)*(Aus_Fim&gt;=X$1)*Aus_Cod)),"!"))))</f>
        <v/>
      </c>
      <c r="Y32" s="44">
        <f>IF(OR($I32="",Y$1=""),"",IF(SUMPRODUCT((Aus_Tec=$I32)*(Aus_Ini&lt;=Y$1)*(Aus_Fim&gt;=Y$1)*(Aus_Cod&gt;0))=0,"",IF(SUMPRODUCT((Aus_Tec=$I32)*(Aus_Ini&lt;=Y$1)*(Aus_Fim&gt;=Y$1)*(Aus_Cod&gt;0))&gt;1,"!",IFERROR(INDEX(Aus_Siglas,SUMPRODUCT((Aus_Tec=$I32)*(Aus_Ini&lt;=Y$1)*(Aus_Fim&gt;=Y$1)*Aus_Cod)),"!"))))</f>
        <v/>
      </c>
      <c r="Z32" s="44">
        <f>IF(OR($I32="",Z$1=""),"",IF(SUMPRODUCT((Aus_Tec=$I32)*(Aus_Ini&lt;=Z$1)*(Aus_Fim&gt;=Z$1)*(Aus_Cod&gt;0))=0,"",IF(SUMPRODUCT((Aus_Tec=$I32)*(Aus_Ini&lt;=Z$1)*(Aus_Fim&gt;=Z$1)*(Aus_Cod&gt;0))&gt;1,"!",IFERROR(INDEX(Aus_Siglas,SUMPRODUCT((Aus_Tec=$I32)*(Aus_Ini&lt;=Z$1)*(Aus_Fim&gt;=Z$1)*Aus_Cod)),"!"))))</f>
        <v/>
      </c>
      <c r="AA32" s="44">
        <f>IF(OR($I32="",AA$1=""),"",IF(SUMPRODUCT((Aus_Tec=$I32)*(Aus_Ini&lt;=AA$1)*(Aus_Fim&gt;=AA$1)*(Aus_Cod&gt;0))=0,"",IF(SUMPRODUCT((Aus_Tec=$I32)*(Aus_Ini&lt;=AA$1)*(Aus_Fim&gt;=AA$1)*(Aus_Cod&gt;0))&gt;1,"!",IFERROR(INDEX(Aus_Siglas,SUMPRODUCT((Aus_Tec=$I32)*(Aus_Ini&lt;=AA$1)*(Aus_Fim&gt;=AA$1)*Aus_Cod)),"!"))))</f>
        <v/>
      </c>
      <c r="AB32" s="44">
        <f>IF(OR($I32="",AB$1=""),"",IF(SUMPRODUCT((Aus_Tec=$I32)*(Aus_Ini&lt;=AB$1)*(Aus_Fim&gt;=AB$1)*(Aus_Cod&gt;0))=0,"",IF(SUMPRODUCT((Aus_Tec=$I32)*(Aus_Ini&lt;=AB$1)*(Aus_Fim&gt;=AB$1)*(Aus_Cod&gt;0))&gt;1,"!",IFERROR(INDEX(Aus_Siglas,SUMPRODUCT((Aus_Tec=$I32)*(Aus_Ini&lt;=AB$1)*(Aus_Fim&gt;=AB$1)*Aus_Cod)),"!"))))</f>
        <v/>
      </c>
      <c r="AC32" s="44">
        <f>IF(OR($I32="",AC$1=""),"",IF(SUMPRODUCT((Aus_Tec=$I32)*(Aus_Ini&lt;=AC$1)*(Aus_Fim&gt;=AC$1)*(Aus_Cod&gt;0))=0,"",IF(SUMPRODUCT((Aus_Tec=$I32)*(Aus_Ini&lt;=AC$1)*(Aus_Fim&gt;=AC$1)*(Aus_Cod&gt;0))&gt;1,"!",IFERROR(INDEX(Aus_Siglas,SUMPRODUCT((Aus_Tec=$I32)*(Aus_Ini&lt;=AC$1)*(Aus_Fim&gt;=AC$1)*Aus_Cod)),"!"))))</f>
        <v/>
      </c>
      <c r="AD32" s="44">
        <f>IF(OR($I32="",AD$1=""),"",IF(SUMPRODUCT((Aus_Tec=$I32)*(Aus_Ini&lt;=AD$1)*(Aus_Fim&gt;=AD$1)*(Aus_Cod&gt;0))=0,"",IF(SUMPRODUCT((Aus_Tec=$I32)*(Aus_Ini&lt;=AD$1)*(Aus_Fim&gt;=AD$1)*(Aus_Cod&gt;0))&gt;1,"!",IFERROR(INDEX(Aus_Siglas,SUMPRODUCT((Aus_Tec=$I32)*(Aus_Ini&lt;=AD$1)*(Aus_Fim&gt;=AD$1)*Aus_Cod)),"!"))))</f>
        <v/>
      </c>
      <c r="AE32" s="44">
        <f>IF(OR($I32="",AE$1=""),"",IF(SUMPRODUCT((Aus_Tec=$I32)*(Aus_Ini&lt;=AE$1)*(Aus_Fim&gt;=AE$1)*(Aus_Cod&gt;0))=0,"",IF(SUMPRODUCT((Aus_Tec=$I32)*(Aus_Ini&lt;=AE$1)*(Aus_Fim&gt;=AE$1)*(Aus_Cod&gt;0))&gt;1,"!",IFERROR(INDEX(Aus_Siglas,SUMPRODUCT((Aus_Tec=$I32)*(Aus_Ini&lt;=AE$1)*(Aus_Fim&gt;=AE$1)*Aus_Cod)),"!"))))</f>
        <v/>
      </c>
      <c r="AF32" s="44">
        <f>IF(OR($I32="",AF$1=""),"",IF(SUMPRODUCT((Aus_Tec=$I32)*(Aus_Ini&lt;=AF$1)*(Aus_Fim&gt;=AF$1)*(Aus_Cod&gt;0))=0,"",IF(SUMPRODUCT((Aus_Tec=$I32)*(Aus_Ini&lt;=AF$1)*(Aus_Fim&gt;=AF$1)*(Aus_Cod&gt;0))&gt;1,"!",IFERROR(INDEX(Aus_Siglas,SUMPRODUCT((Aus_Tec=$I32)*(Aus_Ini&lt;=AF$1)*(Aus_Fim&gt;=AF$1)*Aus_Cod)),"!"))))</f>
        <v/>
      </c>
      <c r="AG32" s="44">
        <f>IF(OR($I32="",AG$1=""),"",IF(SUMPRODUCT((Aus_Tec=$I32)*(Aus_Ini&lt;=AG$1)*(Aus_Fim&gt;=AG$1)*(Aus_Cod&gt;0))=0,"",IF(SUMPRODUCT((Aus_Tec=$I32)*(Aus_Ini&lt;=AG$1)*(Aus_Fim&gt;=AG$1)*(Aus_Cod&gt;0))&gt;1,"!",IFERROR(INDEX(Aus_Siglas,SUMPRODUCT((Aus_Tec=$I32)*(Aus_Ini&lt;=AG$1)*(Aus_Fim&gt;=AG$1)*Aus_Cod)),"!"))))</f>
        <v/>
      </c>
      <c r="AH32" s="44">
        <f>IF(OR($I32="",AH$1=""),"",IF(SUMPRODUCT((Aus_Tec=$I32)*(Aus_Ini&lt;=AH$1)*(Aus_Fim&gt;=AH$1)*(Aus_Cod&gt;0))=0,"",IF(SUMPRODUCT((Aus_Tec=$I32)*(Aus_Ini&lt;=AH$1)*(Aus_Fim&gt;=AH$1)*(Aus_Cod&gt;0))&gt;1,"!",IFERROR(INDEX(Aus_Siglas,SUMPRODUCT((Aus_Tec=$I32)*(Aus_Ini&lt;=AH$1)*(Aus_Fim&gt;=AH$1)*Aus_Cod)),"!"))))</f>
        <v/>
      </c>
      <c r="AI32" s="44">
        <f>IF(OR($I32="",AI$1=""),"",IF(SUMPRODUCT((Aus_Tec=$I32)*(Aus_Ini&lt;=AI$1)*(Aus_Fim&gt;=AI$1)*(Aus_Cod&gt;0))=0,"",IF(SUMPRODUCT((Aus_Tec=$I32)*(Aus_Ini&lt;=AI$1)*(Aus_Fim&gt;=AI$1)*(Aus_Cod&gt;0))&gt;1,"!",IFERROR(INDEX(Aus_Siglas,SUMPRODUCT((Aus_Tec=$I32)*(Aus_Ini&lt;=AI$1)*(Aus_Fim&gt;=AI$1)*Aus_Cod)),"!"))))</f>
        <v/>
      </c>
      <c r="AJ32" s="44">
        <f>IF(OR($I32="",AJ$1=""),"",IF(SUMPRODUCT((Aus_Tec=$I32)*(Aus_Ini&lt;=AJ$1)*(Aus_Fim&gt;=AJ$1)*(Aus_Cod&gt;0))=0,"",IF(SUMPRODUCT((Aus_Tec=$I32)*(Aus_Ini&lt;=AJ$1)*(Aus_Fim&gt;=AJ$1)*(Aus_Cod&gt;0))&gt;1,"!",IFERROR(INDEX(Aus_Siglas,SUMPRODUCT((Aus_Tec=$I32)*(Aus_Ini&lt;=AJ$1)*(Aus_Fim&gt;=AJ$1)*Aus_Cod)),"!"))))</f>
        <v/>
      </c>
      <c r="AK32" s="44">
        <f>IF(OR($I32="",AK$1=""),"",IF(SUMPRODUCT((Aus_Tec=$I32)*(Aus_Ini&lt;=AK$1)*(Aus_Fim&gt;=AK$1)*(Aus_Cod&gt;0))=0,"",IF(SUMPRODUCT((Aus_Tec=$I32)*(Aus_Ini&lt;=AK$1)*(Aus_Fim&gt;=AK$1)*(Aus_Cod&gt;0))&gt;1,"!",IFERROR(INDEX(Aus_Siglas,SUMPRODUCT((Aus_Tec=$I32)*(Aus_Ini&lt;=AK$1)*(Aus_Fim&gt;=AK$1)*Aus_Cod)),"!"))))</f>
        <v/>
      </c>
      <c r="AL32" s="44">
        <f>IF(OR($I32="",AL$1=""),"",IF(SUMPRODUCT((Aus_Tec=$I32)*(Aus_Ini&lt;=AL$1)*(Aus_Fim&gt;=AL$1)*(Aus_Cod&gt;0))=0,"",IF(SUMPRODUCT((Aus_Tec=$I32)*(Aus_Ini&lt;=AL$1)*(Aus_Fim&gt;=AL$1)*(Aus_Cod&gt;0))&gt;1,"!",IFERROR(INDEX(Aus_Siglas,SUMPRODUCT((Aus_Tec=$I32)*(Aus_Ini&lt;=AL$1)*(Aus_Fim&gt;=AL$1)*Aus_Cod)),"!"))))</f>
        <v/>
      </c>
      <c r="AM32" s="44">
        <f>IF(OR($I32="",AM$1=""),"",IF(SUMPRODUCT((Aus_Tec=$I32)*(Aus_Ini&lt;=AM$1)*(Aus_Fim&gt;=AM$1)*(Aus_Cod&gt;0))=0,"",IF(SUMPRODUCT((Aus_Tec=$I32)*(Aus_Ini&lt;=AM$1)*(Aus_Fim&gt;=AM$1)*(Aus_Cod&gt;0))&gt;1,"!",IFERROR(INDEX(Aus_Siglas,SUMPRODUCT((Aus_Tec=$I32)*(Aus_Ini&lt;=AM$1)*(Aus_Fim&gt;=AM$1)*Aus_Cod)),"!"))))</f>
        <v/>
      </c>
      <c r="AN32" s="44">
        <f>IF(OR($I32="",AN$1=""),"",IF(SUMPRODUCT((Aus_Tec=$I32)*(Aus_Ini&lt;=AN$1)*(Aus_Fim&gt;=AN$1)*(Aus_Cod&gt;0))=0,"",IF(SUMPRODUCT((Aus_Tec=$I32)*(Aus_Ini&lt;=AN$1)*(Aus_Fim&gt;=AN$1)*(Aus_Cod&gt;0))&gt;1,"!",IFERROR(INDEX(Aus_Siglas,SUMPRODUCT((Aus_Tec=$I32)*(Aus_Ini&lt;=AN$1)*(Aus_Fim&gt;=AN$1)*Aus_Cod)),"!"))))</f>
        <v/>
      </c>
    </row>
    <row r="33">
      <c r="A33" s="33" t="n"/>
      <c r="B33" s="31" t="n"/>
      <c r="C33" s="30" t="n"/>
      <c r="D33" s="30" t="n"/>
      <c r="E33" s="20">
        <f>IF(OR($A33="",NOT(ISNUMBER($C33)),NOT(ISNUMBER($D33))),"",$D33-$C33+1)</f>
        <v/>
      </c>
      <c r="F33" s="33" t="n"/>
      <c r="G33" s="35">
        <f>IF(AND($A33&lt;&gt;"",ISNUMBER($C33),ISNUMBER($D33),$C33&lt;=Data_Mapa,$D33&gt;=Data_Mapa),$A33,"")</f>
        <v/>
      </c>
      <c r="H33" s="35">
        <f>IF($A33="",0,IFERROR(MATCH($B33,Aus_Tipos,0),0))</f>
        <v/>
      </c>
    </row>
    <row r="34">
      <c r="A34" s="33" t="n"/>
      <c r="B34" s="31" t="n"/>
      <c r="C34" s="30" t="n"/>
      <c r="D34" s="30" t="n"/>
      <c r="E34" s="20">
        <f>IF(OR($A34="",NOT(ISNUMBER($C34)),NOT(ISNUMBER($D34))),"",$D34-$C34+1)</f>
        <v/>
      </c>
      <c r="F34" s="33" t="n"/>
      <c r="G34" s="35">
        <f>IF(AND($A34&lt;&gt;"",ISNUMBER($C34),ISNUMBER($D34),$C34&lt;=Data_Mapa,$D34&gt;=Data_Mapa),$A34,"")</f>
        <v/>
      </c>
      <c r="H34" s="35">
        <f>IF($A34="",0,IFERROR(MATCH($B34,Aus_Tipos,0),0))</f>
        <v/>
      </c>
      <c r="I34" s="45" t="inlineStr">
        <is>
          <t>Funcionários na data</t>
        </is>
      </c>
      <c r="J34" s="46">
        <f>IF(J$1="","",SUMPRODUCT((Equipe_Nome&lt;&gt;"")*(Equipe_Status="Ativo")*(COUNTIFS(Aus_Tec,Equipe_Nome,Aus_Ini,"&lt;="&amp;J$1,Aus_Fim,"&gt;="&amp;J$1)=0)))</f>
        <v/>
      </c>
      <c r="K34" s="46">
        <f>IF(K$1="","",SUMPRODUCT((Equipe_Nome&lt;&gt;"")*(Equipe_Status="Ativo")*(COUNTIFS(Aus_Tec,Equipe_Nome,Aus_Ini,"&lt;="&amp;K$1,Aus_Fim,"&gt;="&amp;K$1)=0)))</f>
        <v/>
      </c>
      <c r="L34" s="46">
        <f>IF(L$1="","",SUMPRODUCT((Equipe_Nome&lt;&gt;"")*(Equipe_Status="Ativo")*(COUNTIFS(Aus_Tec,Equipe_Nome,Aus_Ini,"&lt;="&amp;L$1,Aus_Fim,"&gt;="&amp;L$1)=0)))</f>
        <v/>
      </c>
      <c r="M34" s="46">
        <f>IF(M$1="","",SUMPRODUCT((Equipe_Nome&lt;&gt;"")*(Equipe_Status="Ativo")*(COUNTIFS(Aus_Tec,Equipe_Nome,Aus_Ini,"&lt;="&amp;M$1,Aus_Fim,"&gt;="&amp;M$1)=0)))</f>
        <v/>
      </c>
      <c r="N34" s="46">
        <f>IF(N$1="","",SUMPRODUCT((Equipe_Nome&lt;&gt;"")*(Equipe_Status="Ativo")*(COUNTIFS(Aus_Tec,Equipe_Nome,Aus_Ini,"&lt;="&amp;N$1,Aus_Fim,"&gt;="&amp;N$1)=0)))</f>
        <v/>
      </c>
      <c r="O34" s="46">
        <f>IF(O$1="","",SUMPRODUCT((Equipe_Nome&lt;&gt;"")*(Equipe_Status="Ativo")*(COUNTIFS(Aus_Tec,Equipe_Nome,Aus_Ini,"&lt;="&amp;O$1,Aus_Fim,"&gt;="&amp;O$1)=0)))</f>
        <v/>
      </c>
      <c r="P34" s="46">
        <f>IF(P$1="","",SUMPRODUCT((Equipe_Nome&lt;&gt;"")*(Equipe_Status="Ativo")*(COUNTIFS(Aus_Tec,Equipe_Nome,Aus_Ini,"&lt;="&amp;P$1,Aus_Fim,"&gt;="&amp;P$1)=0)))</f>
        <v/>
      </c>
      <c r="Q34" s="46">
        <f>IF(Q$1="","",SUMPRODUCT((Equipe_Nome&lt;&gt;"")*(Equipe_Status="Ativo")*(COUNTIFS(Aus_Tec,Equipe_Nome,Aus_Ini,"&lt;="&amp;Q$1,Aus_Fim,"&gt;="&amp;Q$1)=0)))</f>
        <v/>
      </c>
      <c r="R34" s="46">
        <f>IF(R$1="","",SUMPRODUCT((Equipe_Nome&lt;&gt;"")*(Equipe_Status="Ativo")*(COUNTIFS(Aus_Tec,Equipe_Nome,Aus_Ini,"&lt;="&amp;R$1,Aus_Fim,"&gt;="&amp;R$1)=0)))</f>
        <v/>
      </c>
      <c r="S34" s="46">
        <f>IF(S$1="","",SUMPRODUCT((Equipe_Nome&lt;&gt;"")*(Equipe_Status="Ativo")*(COUNTIFS(Aus_Tec,Equipe_Nome,Aus_Ini,"&lt;="&amp;S$1,Aus_Fim,"&gt;="&amp;S$1)=0)))</f>
        <v/>
      </c>
      <c r="T34" s="46">
        <f>IF(T$1="","",SUMPRODUCT((Equipe_Nome&lt;&gt;"")*(Equipe_Status="Ativo")*(COUNTIFS(Aus_Tec,Equipe_Nome,Aus_Ini,"&lt;="&amp;T$1,Aus_Fim,"&gt;="&amp;T$1)=0)))</f>
        <v/>
      </c>
      <c r="U34" s="46">
        <f>IF(U$1="","",SUMPRODUCT((Equipe_Nome&lt;&gt;"")*(Equipe_Status="Ativo")*(COUNTIFS(Aus_Tec,Equipe_Nome,Aus_Ini,"&lt;="&amp;U$1,Aus_Fim,"&gt;="&amp;U$1)=0)))</f>
        <v/>
      </c>
      <c r="V34" s="46">
        <f>IF(V$1="","",SUMPRODUCT((Equipe_Nome&lt;&gt;"")*(Equipe_Status="Ativo")*(COUNTIFS(Aus_Tec,Equipe_Nome,Aus_Ini,"&lt;="&amp;V$1,Aus_Fim,"&gt;="&amp;V$1)=0)))</f>
        <v/>
      </c>
      <c r="W34" s="46">
        <f>IF(W$1="","",SUMPRODUCT((Equipe_Nome&lt;&gt;"")*(Equipe_Status="Ativo")*(COUNTIFS(Aus_Tec,Equipe_Nome,Aus_Ini,"&lt;="&amp;W$1,Aus_Fim,"&gt;="&amp;W$1)=0)))</f>
        <v/>
      </c>
      <c r="X34" s="46">
        <f>IF(X$1="","",SUMPRODUCT((Equipe_Nome&lt;&gt;"")*(Equipe_Status="Ativo")*(COUNTIFS(Aus_Tec,Equipe_Nome,Aus_Ini,"&lt;="&amp;X$1,Aus_Fim,"&gt;="&amp;X$1)=0)))</f>
        <v/>
      </c>
      <c r="Y34" s="46">
        <f>IF(Y$1="","",SUMPRODUCT((Equipe_Nome&lt;&gt;"")*(Equipe_Status="Ativo")*(COUNTIFS(Aus_Tec,Equipe_Nome,Aus_Ini,"&lt;="&amp;Y$1,Aus_Fim,"&gt;="&amp;Y$1)=0)))</f>
        <v/>
      </c>
      <c r="Z34" s="46">
        <f>IF(Z$1="","",SUMPRODUCT((Equipe_Nome&lt;&gt;"")*(Equipe_Status="Ativo")*(COUNTIFS(Aus_Tec,Equipe_Nome,Aus_Ini,"&lt;="&amp;Z$1,Aus_Fim,"&gt;="&amp;Z$1)=0)))</f>
        <v/>
      </c>
      <c r="AA34" s="46">
        <f>IF(AA$1="","",SUMPRODUCT((Equipe_Nome&lt;&gt;"")*(Equipe_Status="Ativo")*(COUNTIFS(Aus_Tec,Equipe_Nome,Aus_Ini,"&lt;="&amp;AA$1,Aus_Fim,"&gt;="&amp;AA$1)=0)))</f>
        <v/>
      </c>
      <c r="AB34" s="46">
        <f>IF(AB$1="","",SUMPRODUCT((Equipe_Nome&lt;&gt;"")*(Equipe_Status="Ativo")*(COUNTIFS(Aus_Tec,Equipe_Nome,Aus_Ini,"&lt;="&amp;AB$1,Aus_Fim,"&gt;="&amp;AB$1)=0)))</f>
        <v/>
      </c>
      <c r="AC34" s="46">
        <f>IF(AC$1="","",SUMPRODUCT((Equipe_Nome&lt;&gt;"")*(Equipe_Status="Ativo")*(COUNTIFS(Aus_Tec,Equipe_Nome,Aus_Ini,"&lt;="&amp;AC$1,Aus_Fim,"&gt;="&amp;AC$1)=0)))</f>
        <v/>
      </c>
      <c r="AD34" s="46">
        <f>IF(AD$1="","",SUMPRODUCT((Equipe_Nome&lt;&gt;"")*(Equipe_Status="Ativo")*(COUNTIFS(Aus_Tec,Equipe_Nome,Aus_Ini,"&lt;="&amp;AD$1,Aus_Fim,"&gt;="&amp;AD$1)=0)))</f>
        <v/>
      </c>
      <c r="AE34" s="46">
        <f>IF(AE$1="","",SUMPRODUCT((Equipe_Nome&lt;&gt;"")*(Equipe_Status="Ativo")*(COUNTIFS(Aus_Tec,Equipe_Nome,Aus_Ini,"&lt;="&amp;AE$1,Aus_Fim,"&gt;="&amp;AE$1)=0)))</f>
        <v/>
      </c>
      <c r="AF34" s="46">
        <f>IF(AF$1="","",SUMPRODUCT((Equipe_Nome&lt;&gt;"")*(Equipe_Status="Ativo")*(COUNTIFS(Aus_Tec,Equipe_Nome,Aus_Ini,"&lt;="&amp;AF$1,Aus_Fim,"&gt;="&amp;AF$1)=0)))</f>
        <v/>
      </c>
      <c r="AG34" s="46">
        <f>IF(AG$1="","",SUMPRODUCT((Equipe_Nome&lt;&gt;"")*(Equipe_Status="Ativo")*(COUNTIFS(Aus_Tec,Equipe_Nome,Aus_Ini,"&lt;="&amp;AG$1,Aus_Fim,"&gt;="&amp;AG$1)=0)))</f>
        <v/>
      </c>
      <c r="AH34" s="46">
        <f>IF(AH$1="","",SUMPRODUCT((Equipe_Nome&lt;&gt;"")*(Equipe_Status="Ativo")*(COUNTIFS(Aus_Tec,Equipe_Nome,Aus_Ini,"&lt;="&amp;AH$1,Aus_Fim,"&gt;="&amp;AH$1)=0)))</f>
        <v/>
      </c>
      <c r="AI34" s="46">
        <f>IF(AI$1="","",SUMPRODUCT((Equipe_Nome&lt;&gt;"")*(Equipe_Status="Ativo")*(COUNTIFS(Aus_Tec,Equipe_Nome,Aus_Ini,"&lt;="&amp;AI$1,Aus_Fim,"&gt;="&amp;AI$1)=0)))</f>
        <v/>
      </c>
      <c r="AJ34" s="46">
        <f>IF(AJ$1="","",SUMPRODUCT((Equipe_Nome&lt;&gt;"")*(Equipe_Status="Ativo")*(COUNTIFS(Aus_Tec,Equipe_Nome,Aus_Ini,"&lt;="&amp;AJ$1,Aus_Fim,"&gt;="&amp;AJ$1)=0)))</f>
        <v/>
      </c>
      <c r="AK34" s="46">
        <f>IF(AK$1="","",SUMPRODUCT((Equipe_Nome&lt;&gt;"")*(Equipe_Status="Ativo")*(COUNTIFS(Aus_Tec,Equipe_Nome,Aus_Ini,"&lt;="&amp;AK$1,Aus_Fim,"&gt;="&amp;AK$1)=0)))</f>
        <v/>
      </c>
      <c r="AL34" s="46">
        <f>IF(AL$1="","",SUMPRODUCT((Equipe_Nome&lt;&gt;"")*(Equipe_Status="Ativo")*(COUNTIFS(Aus_Tec,Equipe_Nome,Aus_Ini,"&lt;="&amp;AL$1,Aus_Fim,"&gt;="&amp;AL$1)=0)))</f>
        <v/>
      </c>
      <c r="AM34" s="46">
        <f>IF(AM$1="","",SUMPRODUCT((Equipe_Nome&lt;&gt;"")*(Equipe_Status="Ativo")*(COUNTIFS(Aus_Tec,Equipe_Nome,Aus_Ini,"&lt;="&amp;AM$1,Aus_Fim,"&gt;="&amp;AM$1)=0)))</f>
        <v/>
      </c>
      <c r="AN34" s="46">
        <f>IF(AN$1="","",SUMPRODUCT((Equipe_Nome&lt;&gt;"")*(Equipe_Status="Ativo")*(COUNTIFS(Aus_Tec,Equipe_Nome,Aus_Ini,"&lt;="&amp;AN$1,Aus_Fim,"&gt;="&amp;AN$1)=0)))</f>
        <v/>
      </c>
    </row>
    <row r="35">
      <c r="A35" s="33" t="n"/>
      <c r="B35" s="31" t="n"/>
      <c r="C35" s="30" t="n"/>
      <c r="D35" s="30" t="n"/>
      <c r="E35" s="20">
        <f>IF(OR($A35="",NOT(ISNUMBER($C35)),NOT(ISNUMBER($D35))),"",$D35-$C35+1)</f>
        <v/>
      </c>
      <c r="F35" s="33" t="n"/>
      <c r="G35" s="35">
        <f>IF(AND($A35&lt;&gt;"",ISNUMBER($C35),ISNUMBER($D35),$C35&lt;=Data_Mapa,$D35&gt;=Data_Mapa),$A35,"")</f>
        <v/>
      </c>
      <c r="H35" s="35">
        <f>IF($A35="",0,IFERROR(MATCH($B35,Aus_Tipos,0),0))</f>
        <v/>
      </c>
      <c r="I35" s="3" t="inlineStr">
        <is>
          <t>Vagas necessárias no dia</t>
        </is>
      </c>
      <c r="J35" s="47">
        <f>IF(J$1="","",SUMPRODUCT((Postos_Cod&lt;&gt;"")*(Postos_Status="Ativo")*Postos_Nec*((Postos_Func="Todos os dias")+((Postos_Func="Seg a Sex")*(WEEKDAY(J$1,2)&lt;=5)*(COUNTIF(Feriados,J$1)=0))+((Postos_Func="Seg a Sáb")*(WEEKDAY(J$1,2)&lt;=6)*(COUNTIF(Feriados,J$1)=0)))))</f>
        <v/>
      </c>
      <c r="K35" s="47">
        <f>IF(K$1="","",SUMPRODUCT((Postos_Cod&lt;&gt;"")*(Postos_Status="Ativo")*Postos_Nec*((Postos_Func="Todos os dias")+((Postos_Func="Seg a Sex")*(WEEKDAY(K$1,2)&lt;=5)*(COUNTIF(Feriados,K$1)=0))+((Postos_Func="Seg a Sáb")*(WEEKDAY(K$1,2)&lt;=6)*(COUNTIF(Feriados,K$1)=0)))))</f>
        <v/>
      </c>
      <c r="L35" s="47">
        <f>IF(L$1="","",SUMPRODUCT((Postos_Cod&lt;&gt;"")*(Postos_Status="Ativo")*Postos_Nec*((Postos_Func="Todos os dias")+((Postos_Func="Seg a Sex")*(WEEKDAY(L$1,2)&lt;=5)*(COUNTIF(Feriados,L$1)=0))+((Postos_Func="Seg a Sáb")*(WEEKDAY(L$1,2)&lt;=6)*(COUNTIF(Feriados,L$1)=0)))))</f>
        <v/>
      </c>
      <c r="M35" s="47">
        <f>IF(M$1="","",SUMPRODUCT((Postos_Cod&lt;&gt;"")*(Postos_Status="Ativo")*Postos_Nec*((Postos_Func="Todos os dias")+((Postos_Func="Seg a Sex")*(WEEKDAY(M$1,2)&lt;=5)*(COUNTIF(Feriados,M$1)=0))+((Postos_Func="Seg a Sáb")*(WEEKDAY(M$1,2)&lt;=6)*(COUNTIF(Feriados,M$1)=0)))))</f>
        <v/>
      </c>
      <c r="N35" s="47">
        <f>IF(N$1="","",SUMPRODUCT((Postos_Cod&lt;&gt;"")*(Postos_Status="Ativo")*Postos_Nec*((Postos_Func="Todos os dias")+((Postos_Func="Seg a Sex")*(WEEKDAY(N$1,2)&lt;=5)*(COUNTIF(Feriados,N$1)=0))+((Postos_Func="Seg a Sáb")*(WEEKDAY(N$1,2)&lt;=6)*(COUNTIF(Feriados,N$1)=0)))))</f>
        <v/>
      </c>
      <c r="O35" s="47">
        <f>IF(O$1="","",SUMPRODUCT((Postos_Cod&lt;&gt;"")*(Postos_Status="Ativo")*Postos_Nec*((Postos_Func="Todos os dias")+((Postos_Func="Seg a Sex")*(WEEKDAY(O$1,2)&lt;=5)*(COUNTIF(Feriados,O$1)=0))+((Postos_Func="Seg a Sáb")*(WEEKDAY(O$1,2)&lt;=6)*(COUNTIF(Feriados,O$1)=0)))))</f>
        <v/>
      </c>
      <c r="P35" s="47">
        <f>IF(P$1="","",SUMPRODUCT((Postos_Cod&lt;&gt;"")*(Postos_Status="Ativo")*Postos_Nec*((Postos_Func="Todos os dias")+((Postos_Func="Seg a Sex")*(WEEKDAY(P$1,2)&lt;=5)*(COUNTIF(Feriados,P$1)=0))+((Postos_Func="Seg a Sáb")*(WEEKDAY(P$1,2)&lt;=6)*(COUNTIF(Feriados,P$1)=0)))))</f>
        <v/>
      </c>
      <c r="Q35" s="47">
        <f>IF(Q$1="","",SUMPRODUCT((Postos_Cod&lt;&gt;"")*(Postos_Status="Ativo")*Postos_Nec*((Postos_Func="Todos os dias")+((Postos_Func="Seg a Sex")*(WEEKDAY(Q$1,2)&lt;=5)*(COUNTIF(Feriados,Q$1)=0))+((Postos_Func="Seg a Sáb")*(WEEKDAY(Q$1,2)&lt;=6)*(COUNTIF(Feriados,Q$1)=0)))))</f>
        <v/>
      </c>
      <c r="R35" s="47">
        <f>IF(R$1="","",SUMPRODUCT((Postos_Cod&lt;&gt;"")*(Postos_Status="Ativo")*Postos_Nec*((Postos_Func="Todos os dias")+((Postos_Func="Seg a Sex")*(WEEKDAY(R$1,2)&lt;=5)*(COUNTIF(Feriados,R$1)=0))+((Postos_Func="Seg a Sáb")*(WEEKDAY(R$1,2)&lt;=6)*(COUNTIF(Feriados,R$1)=0)))))</f>
        <v/>
      </c>
      <c r="S35" s="47">
        <f>IF(S$1="","",SUMPRODUCT((Postos_Cod&lt;&gt;"")*(Postos_Status="Ativo")*Postos_Nec*((Postos_Func="Todos os dias")+((Postos_Func="Seg a Sex")*(WEEKDAY(S$1,2)&lt;=5)*(COUNTIF(Feriados,S$1)=0))+((Postos_Func="Seg a Sáb")*(WEEKDAY(S$1,2)&lt;=6)*(COUNTIF(Feriados,S$1)=0)))))</f>
        <v/>
      </c>
      <c r="T35" s="47">
        <f>IF(T$1="","",SUMPRODUCT((Postos_Cod&lt;&gt;"")*(Postos_Status="Ativo")*Postos_Nec*((Postos_Func="Todos os dias")+((Postos_Func="Seg a Sex")*(WEEKDAY(T$1,2)&lt;=5)*(COUNTIF(Feriados,T$1)=0))+((Postos_Func="Seg a Sáb")*(WEEKDAY(T$1,2)&lt;=6)*(COUNTIF(Feriados,T$1)=0)))))</f>
        <v/>
      </c>
      <c r="U35" s="47">
        <f>IF(U$1="","",SUMPRODUCT((Postos_Cod&lt;&gt;"")*(Postos_Status="Ativo")*Postos_Nec*((Postos_Func="Todos os dias")+((Postos_Func="Seg a Sex")*(WEEKDAY(U$1,2)&lt;=5)*(COUNTIF(Feriados,U$1)=0))+((Postos_Func="Seg a Sáb")*(WEEKDAY(U$1,2)&lt;=6)*(COUNTIF(Feriados,U$1)=0)))))</f>
        <v/>
      </c>
      <c r="V35" s="47">
        <f>IF(V$1="","",SUMPRODUCT((Postos_Cod&lt;&gt;"")*(Postos_Status="Ativo")*Postos_Nec*((Postos_Func="Todos os dias")+((Postos_Func="Seg a Sex")*(WEEKDAY(V$1,2)&lt;=5)*(COUNTIF(Feriados,V$1)=0))+((Postos_Func="Seg a Sáb")*(WEEKDAY(V$1,2)&lt;=6)*(COUNTIF(Feriados,V$1)=0)))))</f>
        <v/>
      </c>
      <c r="W35" s="47">
        <f>IF(W$1="","",SUMPRODUCT((Postos_Cod&lt;&gt;"")*(Postos_Status="Ativo")*Postos_Nec*((Postos_Func="Todos os dias")+((Postos_Func="Seg a Sex")*(WEEKDAY(W$1,2)&lt;=5)*(COUNTIF(Feriados,W$1)=0))+((Postos_Func="Seg a Sáb")*(WEEKDAY(W$1,2)&lt;=6)*(COUNTIF(Feriados,W$1)=0)))))</f>
        <v/>
      </c>
      <c r="X35" s="47">
        <f>IF(X$1="","",SUMPRODUCT((Postos_Cod&lt;&gt;"")*(Postos_Status="Ativo")*Postos_Nec*((Postos_Func="Todos os dias")+((Postos_Func="Seg a Sex")*(WEEKDAY(X$1,2)&lt;=5)*(COUNTIF(Feriados,X$1)=0))+((Postos_Func="Seg a Sáb")*(WEEKDAY(X$1,2)&lt;=6)*(COUNTIF(Feriados,X$1)=0)))))</f>
        <v/>
      </c>
      <c r="Y35" s="47">
        <f>IF(Y$1="","",SUMPRODUCT((Postos_Cod&lt;&gt;"")*(Postos_Status="Ativo")*Postos_Nec*((Postos_Func="Todos os dias")+((Postos_Func="Seg a Sex")*(WEEKDAY(Y$1,2)&lt;=5)*(COUNTIF(Feriados,Y$1)=0))+((Postos_Func="Seg a Sáb")*(WEEKDAY(Y$1,2)&lt;=6)*(COUNTIF(Feriados,Y$1)=0)))))</f>
        <v/>
      </c>
      <c r="Z35" s="47">
        <f>IF(Z$1="","",SUMPRODUCT((Postos_Cod&lt;&gt;"")*(Postos_Status="Ativo")*Postos_Nec*((Postos_Func="Todos os dias")+((Postos_Func="Seg a Sex")*(WEEKDAY(Z$1,2)&lt;=5)*(COUNTIF(Feriados,Z$1)=0))+((Postos_Func="Seg a Sáb")*(WEEKDAY(Z$1,2)&lt;=6)*(COUNTIF(Feriados,Z$1)=0)))))</f>
        <v/>
      </c>
      <c r="AA35" s="47">
        <f>IF(AA$1="","",SUMPRODUCT((Postos_Cod&lt;&gt;"")*(Postos_Status="Ativo")*Postos_Nec*((Postos_Func="Todos os dias")+((Postos_Func="Seg a Sex")*(WEEKDAY(AA$1,2)&lt;=5)*(COUNTIF(Feriados,AA$1)=0))+((Postos_Func="Seg a Sáb")*(WEEKDAY(AA$1,2)&lt;=6)*(COUNTIF(Feriados,AA$1)=0)))))</f>
        <v/>
      </c>
      <c r="AB35" s="47">
        <f>IF(AB$1="","",SUMPRODUCT((Postos_Cod&lt;&gt;"")*(Postos_Status="Ativo")*Postos_Nec*((Postos_Func="Todos os dias")+((Postos_Func="Seg a Sex")*(WEEKDAY(AB$1,2)&lt;=5)*(COUNTIF(Feriados,AB$1)=0))+((Postos_Func="Seg a Sáb")*(WEEKDAY(AB$1,2)&lt;=6)*(COUNTIF(Feriados,AB$1)=0)))))</f>
        <v/>
      </c>
      <c r="AC35" s="47">
        <f>IF(AC$1="","",SUMPRODUCT((Postos_Cod&lt;&gt;"")*(Postos_Status="Ativo")*Postos_Nec*((Postos_Func="Todos os dias")+((Postos_Func="Seg a Sex")*(WEEKDAY(AC$1,2)&lt;=5)*(COUNTIF(Feriados,AC$1)=0))+((Postos_Func="Seg a Sáb")*(WEEKDAY(AC$1,2)&lt;=6)*(COUNTIF(Feriados,AC$1)=0)))))</f>
        <v/>
      </c>
      <c r="AD35" s="47">
        <f>IF(AD$1="","",SUMPRODUCT((Postos_Cod&lt;&gt;"")*(Postos_Status="Ativo")*Postos_Nec*((Postos_Func="Todos os dias")+((Postos_Func="Seg a Sex")*(WEEKDAY(AD$1,2)&lt;=5)*(COUNTIF(Feriados,AD$1)=0))+((Postos_Func="Seg a Sáb")*(WEEKDAY(AD$1,2)&lt;=6)*(COUNTIF(Feriados,AD$1)=0)))))</f>
        <v/>
      </c>
      <c r="AE35" s="47">
        <f>IF(AE$1="","",SUMPRODUCT((Postos_Cod&lt;&gt;"")*(Postos_Status="Ativo")*Postos_Nec*((Postos_Func="Todos os dias")+((Postos_Func="Seg a Sex")*(WEEKDAY(AE$1,2)&lt;=5)*(COUNTIF(Feriados,AE$1)=0))+((Postos_Func="Seg a Sáb")*(WEEKDAY(AE$1,2)&lt;=6)*(COUNTIF(Feriados,AE$1)=0)))))</f>
        <v/>
      </c>
      <c r="AF35" s="47">
        <f>IF(AF$1="","",SUMPRODUCT((Postos_Cod&lt;&gt;"")*(Postos_Status="Ativo")*Postos_Nec*((Postos_Func="Todos os dias")+((Postos_Func="Seg a Sex")*(WEEKDAY(AF$1,2)&lt;=5)*(COUNTIF(Feriados,AF$1)=0))+((Postos_Func="Seg a Sáb")*(WEEKDAY(AF$1,2)&lt;=6)*(COUNTIF(Feriados,AF$1)=0)))))</f>
        <v/>
      </c>
      <c r="AG35" s="47">
        <f>IF(AG$1="","",SUMPRODUCT((Postos_Cod&lt;&gt;"")*(Postos_Status="Ativo")*Postos_Nec*((Postos_Func="Todos os dias")+((Postos_Func="Seg a Sex")*(WEEKDAY(AG$1,2)&lt;=5)*(COUNTIF(Feriados,AG$1)=0))+((Postos_Func="Seg a Sáb")*(WEEKDAY(AG$1,2)&lt;=6)*(COUNTIF(Feriados,AG$1)=0)))))</f>
        <v/>
      </c>
      <c r="AH35" s="47">
        <f>IF(AH$1="","",SUMPRODUCT((Postos_Cod&lt;&gt;"")*(Postos_Status="Ativo")*Postos_Nec*((Postos_Func="Todos os dias")+((Postos_Func="Seg a Sex")*(WEEKDAY(AH$1,2)&lt;=5)*(COUNTIF(Feriados,AH$1)=0))+((Postos_Func="Seg a Sáb")*(WEEKDAY(AH$1,2)&lt;=6)*(COUNTIF(Feriados,AH$1)=0)))))</f>
        <v/>
      </c>
      <c r="AI35" s="47">
        <f>IF(AI$1="","",SUMPRODUCT((Postos_Cod&lt;&gt;"")*(Postos_Status="Ativo")*Postos_Nec*((Postos_Func="Todos os dias")+((Postos_Func="Seg a Sex")*(WEEKDAY(AI$1,2)&lt;=5)*(COUNTIF(Feriados,AI$1)=0))+((Postos_Func="Seg a Sáb")*(WEEKDAY(AI$1,2)&lt;=6)*(COUNTIF(Feriados,AI$1)=0)))))</f>
        <v/>
      </c>
      <c r="AJ35" s="47">
        <f>IF(AJ$1="","",SUMPRODUCT((Postos_Cod&lt;&gt;"")*(Postos_Status="Ativo")*Postos_Nec*((Postos_Func="Todos os dias")+((Postos_Func="Seg a Sex")*(WEEKDAY(AJ$1,2)&lt;=5)*(COUNTIF(Feriados,AJ$1)=0))+((Postos_Func="Seg a Sáb")*(WEEKDAY(AJ$1,2)&lt;=6)*(COUNTIF(Feriados,AJ$1)=0)))))</f>
        <v/>
      </c>
      <c r="AK35" s="47">
        <f>IF(AK$1="","",SUMPRODUCT((Postos_Cod&lt;&gt;"")*(Postos_Status="Ativo")*Postos_Nec*((Postos_Func="Todos os dias")+((Postos_Func="Seg a Sex")*(WEEKDAY(AK$1,2)&lt;=5)*(COUNTIF(Feriados,AK$1)=0))+((Postos_Func="Seg a Sáb")*(WEEKDAY(AK$1,2)&lt;=6)*(COUNTIF(Feriados,AK$1)=0)))))</f>
        <v/>
      </c>
      <c r="AL35" s="47">
        <f>IF(AL$1="","",SUMPRODUCT((Postos_Cod&lt;&gt;"")*(Postos_Status="Ativo")*Postos_Nec*((Postos_Func="Todos os dias")+((Postos_Func="Seg a Sex")*(WEEKDAY(AL$1,2)&lt;=5)*(COUNTIF(Feriados,AL$1)=0))+((Postos_Func="Seg a Sáb")*(WEEKDAY(AL$1,2)&lt;=6)*(COUNTIF(Feriados,AL$1)=0)))))</f>
        <v/>
      </c>
      <c r="AM35" s="47">
        <f>IF(AM$1="","",SUMPRODUCT((Postos_Cod&lt;&gt;"")*(Postos_Status="Ativo")*Postos_Nec*((Postos_Func="Todos os dias")+((Postos_Func="Seg a Sex")*(WEEKDAY(AM$1,2)&lt;=5)*(COUNTIF(Feriados,AM$1)=0))+((Postos_Func="Seg a Sáb")*(WEEKDAY(AM$1,2)&lt;=6)*(COUNTIF(Feriados,AM$1)=0)))))</f>
        <v/>
      </c>
      <c r="AN35" s="47">
        <f>IF(AN$1="","",SUMPRODUCT((Postos_Cod&lt;&gt;"")*(Postos_Status="Ativo")*Postos_Nec*((Postos_Func="Todos os dias")+((Postos_Func="Seg a Sex")*(WEEKDAY(AN$1,2)&lt;=5)*(COUNTIF(Feriados,AN$1)=0))+((Postos_Func="Seg a Sáb")*(WEEKDAY(AN$1,2)&lt;=6)*(COUNTIF(Feriados,AN$1)=0)))))</f>
        <v/>
      </c>
    </row>
    <row r="36">
      <c r="A36" s="33" t="n"/>
      <c r="B36" s="31" t="n"/>
      <c r="C36" s="30" t="n"/>
      <c r="D36" s="30" t="n"/>
      <c r="E36" s="20">
        <f>IF(OR($A36="",NOT(ISNUMBER($C36)),NOT(ISNUMBER($D36))),"",$D36-$C36+1)</f>
        <v/>
      </c>
      <c r="F36" s="33" t="n"/>
      <c r="G36" s="35">
        <f>IF(AND($A36&lt;&gt;"",ISNUMBER($C36),ISNUMBER($D36),$C36&lt;=Data_Mapa,$D36&gt;=Data_Mapa),$A36,"")</f>
        <v/>
      </c>
      <c r="H36" s="35">
        <f>IF($A36="",0,IFERROR(MATCH($B36,Aus_Tipos,0),0))</f>
        <v/>
      </c>
      <c r="I36" s="3" t="inlineStr">
        <is>
          <t>Déficit do dia</t>
        </is>
      </c>
      <c r="J36" s="46">
        <f>IF(J$1="","",MAX(0,J35-J34))</f>
        <v/>
      </c>
      <c r="K36" s="46">
        <f>IF(K$1="","",MAX(0,K35-K34))</f>
        <v/>
      </c>
      <c r="L36" s="46">
        <f>IF(L$1="","",MAX(0,L35-L34))</f>
        <v/>
      </c>
      <c r="M36" s="46">
        <f>IF(M$1="","",MAX(0,M35-M34))</f>
        <v/>
      </c>
      <c r="N36" s="46">
        <f>IF(N$1="","",MAX(0,N35-N34))</f>
        <v/>
      </c>
      <c r="O36" s="46">
        <f>IF(O$1="","",MAX(0,O35-O34))</f>
        <v/>
      </c>
      <c r="P36" s="46">
        <f>IF(P$1="","",MAX(0,P35-P34))</f>
        <v/>
      </c>
      <c r="Q36" s="46">
        <f>IF(Q$1="","",MAX(0,Q35-Q34))</f>
        <v/>
      </c>
      <c r="R36" s="46">
        <f>IF(R$1="","",MAX(0,R35-R34))</f>
        <v/>
      </c>
      <c r="S36" s="46">
        <f>IF(S$1="","",MAX(0,S35-S34))</f>
        <v/>
      </c>
      <c r="T36" s="46">
        <f>IF(T$1="","",MAX(0,T35-T34))</f>
        <v/>
      </c>
      <c r="U36" s="46">
        <f>IF(U$1="","",MAX(0,U35-U34))</f>
        <v/>
      </c>
      <c r="V36" s="46">
        <f>IF(V$1="","",MAX(0,V35-V34))</f>
        <v/>
      </c>
      <c r="W36" s="46">
        <f>IF(W$1="","",MAX(0,W35-W34))</f>
        <v/>
      </c>
      <c r="X36" s="46">
        <f>IF(X$1="","",MAX(0,X35-X34))</f>
        <v/>
      </c>
      <c r="Y36" s="46">
        <f>IF(Y$1="","",MAX(0,Y35-Y34))</f>
        <v/>
      </c>
      <c r="Z36" s="46">
        <f>IF(Z$1="","",MAX(0,Z35-Z34))</f>
        <v/>
      </c>
      <c r="AA36" s="46">
        <f>IF(AA$1="","",MAX(0,AA35-AA34))</f>
        <v/>
      </c>
      <c r="AB36" s="46">
        <f>IF(AB$1="","",MAX(0,AB35-AB34))</f>
        <v/>
      </c>
      <c r="AC36" s="46">
        <f>IF(AC$1="","",MAX(0,AC35-AC34))</f>
        <v/>
      </c>
      <c r="AD36" s="46">
        <f>IF(AD$1="","",MAX(0,AD35-AD34))</f>
        <v/>
      </c>
      <c r="AE36" s="46">
        <f>IF(AE$1="","",MAX(0,AE35-AE34))</f>
        <v/>
      </c>
      <c r="AF36" s="46">
        <f>IF(AF$1="","",MAX(0,AF35-AF34))</f>
        <v/>
      </c>
      <c r="AG36" s="46">
        <f>IF(AG$1="","",MAX(0,AG35-AG34))</f>
        <v/>
      </c>
      <c r="AH36" s="46">
        <f>IF(AH$1="","",MAX(0,AH35-AH34))</f>
        <v/>
      </c>
      <c r="AI36" s="46">
        <f>IF(AI$1="","",MAX(0,AI35-AI34))</f>
        <v/>
      </c>
      <c r="AJ36" s="46">
        <f>IF(AJ$1="","",MAX(0,AJ35-AJ34))</f>
        <v/>
      </c>
      <c r="AK36" s="46">
        <f>IF(AK$1="","",MAX(0,AK35-AK34))</f>
        <v/>
      </c>
      <c r="AL36" s="46">
        <f>IF(AL$1="","",MAX(0,AL35-AL34))</f>
        <v/>
      </c>
      <c r="AM36" s="46">
        <f>IF(AM$1="","",MAX(0,AM35-AM34))</f>
        <v/>
      </c>
      <c r="AN36" s="46">
        <f>IF(AN$1="","",MAX(0,AN35-AN34))</f>
        <v/>
      </c>
    </row>
    <row r="37">
      <c r="A37" s="33" t="n"/>
      <c r="B37" s="31" t="n"/>
      <c r="C37" s="30" t="n"/>
      <c r="D37" s="30" t="n"/>
      <c r="E37" s="20">
        <f>IF(OR($A37="",NOT(ISNUMBER($C37)),NOT(ISNUMBER($D37))),"",$D37-$C37+1)</f>
        <v/>
      </c>
      <c r="F37" s="33" t="n"/>
      <c r="G37" s="35">
        <f>IF(AND($A37&lt;&gt;"",ISNUMBER($C37),ISNUMBER($D37),$C37&lt;=Data_Mapa,$D37&gt;=Data_Mapa),$A37,"")</f>
        <v/>
      </c>
      <c r="H37" s="35">
        <f>IF($A37="",0,IFERROR(MATCH($B37,Aus_Tipos,0),0))</f>
        <v/>
      </c>
    </row>
    <row r="38">
      <c r="A38" s="33" t="n"/>
      <c r="B38" s="31" t="n"/>
      <c r="C38" s="30" t="n"/>
      <c r="D38" s="30" t="n"/>
      <c r="E38" s="20">
        <f>IF(OR($A38="",NOT(ISNUMBER($C38)),NOT(ISNUMBER($D38))),"",$D38-$C38+1)</f>
        <v/>
      </c>
      <c r="F38" s="33" t="n"/>
      <c r="G38" s="35">
        <f>IF(AND($A38&lt;&gt;"",ISNUMBER($C38),ISNUMBER($D38),$C38&lt;=Data_Mapa,$D38&gt;=Data_Mapa),$A38,"")</f>
        <v/>
      </c>
      <c r="H38" s="35">
        <f>IF($A38="",0,IFERROR(MATCH($B38,Aus_Tipos,0),0))</f>
        <v/>
      </c>
      <c r="I38" s="2" t="inlineStr">
        <is>
          <t>F = Folga · FR = Férias · AT = Atestado · LI = Licença · TR = Treinamento · FH = FH · LG = Licença gestação · ! = registros sobrepostos</t>
        </is>
      </c>
    </row>
    <row r="39">
      <c r="A39" s="33" t="n"/>
      <c r="B39" s="31" t="n"/>
      <c r="C39" s="30" t="n"/>
      <c r="D39" s="30" t="n"/>
      <c r="E39" s="20">
        <f>IF(OR($A39="",NOT(ISNUMBER($C39)),NOT(ISNUMBER($D39))),"",$D39-$C39+1)</f>
        <v/>
      </c>
      <c r="F39" s="33" t="n"/>
      <c r="G39" s="35">
        <f>IF(AND($A39&lt;&gt;"",ISNUMBER($C39),ISNUMBER($D39),$C39&lt;=Data_Mapa,$D39&gt;=Data_Mapa),$A39,"")</f>
        <v/>
      </c>
      <c r="H39" s="35">
        <f>IF($A39="",0,IFERROR(MATCH($B39,Aus_Tipos,0),0))</f>
        <v/>
      </c>
    </row>
    <row r="40">
      <c r="A40" s="33" t="n"/>
      <c r="B40" s="31" t="n"/>
      <c r="C40" s="30" t="n"/>
      <c r="D40" s="30" t="n"/>
      <c r="E40" s="20">
        <f>IF(OR($A40="",NOT(ISNUMBER($C40)),NOT(ISNUMBER($D40))),"",$D40-$C40+1)</f>
        <v/>
      </c>
      <c r="F40" s="33" t="n"/>
      <c r="G40" s="35">
        <f>IF(AND($A40&lt;&gt;"",ISNUMBER($C40),ISNUMBER($D40),$C40&lt;=Data_Mapa,$D40&gt;=Data_Mapa),$A40,"")</f>
        <v/>
      </c>
      <c r="H40" s="35">
        <f>IF($A40="",0,IFERROR(MATCH($B40,Aus_Tipos,0),0))</f>
        <v/>
      </c>
    </row>
    <row r="41">
      <c r="A41" s="33" t="n"/>
      <c r="B41" s="31" t="n"/>
      <c r="C41" s="30" t="n"/>
      <c r="D41" s="30" t="n"/>
      <c r="E41" s="20">
        <f>IF(OR($A41="",NOT(ISNUMBER($C41)),NOT(ISNUMBER($D41))),"",$D41-$C41+1)</f>
        <v/>
      </c>
      <c r="F41" s="33" t="n"/>
      <c r="G41" s="35">
        <f>IF(AND($A41&lt;&gt;"",ISNUMBER($C41),ISNUMBER($D41),$C41&lt;=Data_Mapa,$D41&gt;=Data_Mapa),$A41,"")</f>
        <v/>
      </c>
      <c r="H41" s="35">
        <f>IF($A41="",0,IFERROR(MATCH($B41,Aus_Tipos,0),0))</f>
        <v/>
      </c>
    </row>
    <row r="42">
      <c r="A42" s="33" t="n"/>
      <c r="B42" s="31" t="n"/>
      <c r="C42" s="30" t="n"/>
      <c r="D42" s="30" t="n"/>
      <c r="E42" s="20">
        <f>IF(OR($A42="",NOT(ISNUMBER($C42)),NOT(ISNUMBER($D42))),"",$D42-$C42+1)</f>
        <v/>
      </c>
      <c r="F42" s="33" t="n"/>
      <c r="G42" s="35">
        <f>IF(AND($A42&lt;&gt;"",ISNUMBER($C42),ISNUMBER($D42),$C42&lt;=Data_Mapa,$D42&gt;=Data_Mapa),$A42,"")</f>
        <v/>
      </c>
      <c r="H42" s="35">
        <f>IF($A42="",0,IFERROR(MATCH($B42,Aus_Tipos,0),0))</f>
        <v/>
      </c>
    </row>
    <row r="43">
      <c r="A43" s="33" t="n"/>
      <c r="B43" s="31" t="n"/>
      <c r="C43" s="30" t="n"/>
      <c r="D43" s="30" t="n"/>
      <c r="E43" s="20">
        <f>IF(OR($A43="",NOT(ISNUMBER($C43)),NOT(ISNUMBER($D43))),"",$D43-$C43+1)</f>
        <v/>
      </c>
      <c r="F43" s="33" t="n"/>
      <c r="G43" s="35">
        <f>IF(AND($A43&lt;&gt;"",ISNUMBER($C43),ISNUMBER($D43),$C43&lt;=Data_Mapa,$D43&gt;=Data_Mapa),$A43,"")</f>
        <v/>
      </c>
      <c r="H43" s="35">
        <f>IF($A43="",0,IFERROR(MATCH($B43,Aus_Tipos,0),0))</f>
        <v/>
      </c>
    </row>
    <row r="44">
      <c r="A44" s="33" t="n"/>
      <c r="B44" s="31" t="n"/>
      <c r="C44" s="30" t="n"/>
      <c r="D44" s="30" t="n"/>
      <c r="E44" s="20">
        <f>IF(OR($A44="",NOT(ISNUMBER($C44)),NOT(ISNUMBER($D44))),"",$D44-$C44+1)</f>
        <v/>
      </c>
      <c r="F44" s="33" t="n"/>
      <c r="G44" s="35">
        <f>IF(AND($A44&lt;&gt;"",ISNUMBER($C44),ISNUMBER($D44),$C44&lt;=Data_Mapa,$D44&gt;=Data_Mapa),$A44,"")</f>
        <v/>
      </c>
      <c r="H44" s="35">
        <f>IF($A44="",0,IFERROR(MATCH($B44,Aus_Tipos,0),0))</f>
        <v/>
      </c>
    </row>
    <row r="45">
      <c r="A45" s="33" t="n"/>
      <c r="B45" s="31" t="n"/>
      <c r="C45" s="30" t="n"/>
      <c r="D45" s="30" t="n"/>
      <c r="E45" s="20">
        <f>IF(OR($A45="",NOT(ISNUMBER($C45)),NOT(ISNUMBER($D45))),"",$D45-$C45+1)</f>
        <v/>
      </c>
      <c r="F45" s="33" t="n"/>
      <c r="G45" s="35">
        <f>IF(AND($A45&lt;&gt;"",ISNUMBER($C45),ISNUMBER($D45),$C45&lt;=Data_Mapa,$D45&gt;=Data_Mapa),$A45,"")</f>
        <v/>
      </c>
      <c r="H45" s="35">
        <f>IF($A45="",0,IFERROR(MATCH($B45,Aus_Tipos,0),0))</f>
        <v/>
      </c>
    </row>
    <row r="46">
      <c r="A46" s="33" t="n"/>
      <c r="B46" s="31" t="n"/>
      <c r="C46" s="30" t="n"/>
      <c r="D46" s="30" t="n"/>
      <c r="E46" s="20">
        <f>IF(OR($A46="",NOT(ISNUMBER($C46)),NOT(ISNUMBER($D46))),"",$D46-$C46+1)</f>
        <v/>
      </c>
      <c r="F46" s="33" t="n"/>
      <c r="G46" s="35">
        <f>IF(AND($A46&lt;&gt;"",ISNUMBER($C46),ISNUMBER($D46),$C46&lt;=Data_Mapa,$D46&gt;=Data_Mapa),$A46,"")</f>
        <v/>
      </c>
      <c r="H46" s="35">
        <f>IF($A46="",0,IFERROR(MATCH($B46,Aus_Tipos,0),0))</f>
        <v/>
      </c>
    </row>
    <row r="47">
      <c r="A47" s="33" t="n"/>
      <c r="B47" s="31" t="n"/>
      <c r="C47" s="30" t="n"/>
      <c r="D47" s="30" t="n"/>
      <c r="E47" s="20">
        <f>IF(OR($A47="",NOT(ISNUMBER($C47)),NOT(ISNUMBER($D47))),"",$D47-$C47+1)</f>
        <v/>
      </c>
      <c r="F47" s="33" t="n"/>
      <c r="G47" s="35">
        <f>IF(AND($A47&lt;&gt;"",ISNUMBER($C47),ISNUMBER($D47),$C47&lt;=Data_Mapa,$D47&gt;=Data_Mapa),$A47,"")</f>
        <v/>
      </c>
      <c r="H47" s="35">
        <f>IF($A47="",0,IFERROR(MATCH($B47,Aus_Tipos,0),0))</f>
        <v/>
      </c>
    </row>
    <row r="48">
      <c r="A48" s="33" t="n"/>
      <c r="B48" s="31" t="n"/>
      <c r="C48" s="30" t="n"/>
      <c r="D48" s="30" t="n"/>
      <c r="E48" s="20">
        <f>IF(OR($A48="",NOT(ISNUMBER($C48)),NOT(ISNUMBER($D48))),"",$D48-$C48+1)</f>
        <v/>
      </c>
      <c r="F48" s="33" t="n"/>
      <c r="G48" s="35">
        <f>IF(AND($A48&lt;&gt;"",ISNUMBER($C48),ISNUMBER($D48),$C48&lt;=Data_Mapa,$D48&gt;=Data_Mapa),$A48,"")</f>
        <v/>
      </c>
      <c r="H48" s="35">
        <f>IF($A48="",0,IFERROR(MATCH($B48,Aus_Tipos,0),0))</f>
        <v/>
      </c>
    </row>
    <row r="49">
      <c r="A49" s="33" t="n"/>
      <c r="B49" s="31" t="n"/>
      <c r="C49" s="30" t="n"/>
      <c r="D49" s="30" t="n"/>
      <c r="E49" s="20">
        <f>IF(OR($A49="",NOT(ISNUMBER($C49)),NOT(ISNUMBER($D49))),"",$D49-$C49+1)</f>
        <v/>
      </c>
      <c r="F49" s="33" t="n"/>
      <c r="G49" s="35">
        <f>IF(AND($A49&lt;&gt;"",ISNUMBER($C49),ISNUMBER($D49),$C49&lt;=Data_Mapa,$D49&gt;=Data_Mapa),$A49,"")</f>
        <v/>
      </c>
      <c r="H49" s="35">
        <f>IF($A49="",0,IFERROR(MATCH($B49,Aus_Tipos,0),0))</f>
        <v/>
      </c>
    </row>
    <row r="50">
      <c r="A50" s="33" t="n"/>
      <c r="B50" s="31" t="n"/>
      <c r="C50" s="30" t="n"/>
      <c r="D50" s="30" t="n"/>
      <c r="E50" s="20">
        <f>IF(OR($A50="",NOT(ISNUMBER($C50)),NOT(ISNUMBER($D50))),"",$D50-$C50+1)</f>
        <v/>
      </c>
      <c r="F50" s="33" t="n"/>
      <c r="G50" s="35">
        <f>IF(AND($A50&lt;&gt;"",ISNUMBER($C50),ISNUMBER($D50),$C50&lt;=Data_Mapa,$D50&gt;=Data_Mapa),$A50,"")</f>
        <v/>
      </c>
      <c r="H50" s="35">
        <f>IF($A50="",0,IFERROR(MATCH($B50,Aus_Tipos,0),0))</f>
        <v/>
      </c>
    </row>
    <row r="51">
      <c r="A51" s="33" t="n"/>
      <c r="B51" s="31" t="n"/>
      <c r="C51" s="30" t="n"/>
      <c r="D51" s="30" t="n"/>
      <c r="E51" s="20">
        <f>IF(OR($A51="",NOT(ISNUMBER($C51)),NOT(ISNUMBER($D51))),"",$D51-$C51+1)</f>
        <v/>
      </c>
      <c r="F51" s="33" t="n"/>
      <c r="G51" s="35">
        <f>IF(AND($A51&lt;&gt;"",ISNUMBER($C51),ISNUMBER($D51),$C51&lt;=Data_Mapa,$D51&gt;=Data_Mapa),$A51,"")</f>
        <v/>
      </c>
      <c r="H51" s="35">
        <f>IF($A51="",0,IFERROR(MATCH($B51,Aus_Tipos,0),0))</f>
        <v/>
      </c>
    </row>
    <row r="52">
      <c r="A52" s="33" t="n"/>
      <c r="B52" s="31" t="n"/>
      <c r="C52" s="30" t="n"/>
      <c r="D52" s="30" t="n"/>
      <c r="E52" s="20">
        <f>IF(OR($A52="",NOT(ISNUMBER($C52)),NOT(ISNUMBER($D52))),"",$D52-$C52+1)</f>
        <v/>
      </c>
      <c r="F52" s="33" t="n"/>
      <c r="G52" s="35">
        <f>IF(AND($A52&lt;&gt;"",ISNUMBER($C52),ISNUMBER($D52),$C52&lt;=Data_Mapa,$D52&gt;=Data_Mapa),$A52,"")</f>
        <v/>
      </c>
      <c r="H52" s="35">
        <f>IF($A52="",0,IFERROR(MATCH($B52,Aus_Tipos,0),0))</f>
        <v/>
      </c>
    </row>
    <row r="53">
      <c r="A53" s="33" t="n"/>
      <c r="B53" s="31" t="n"/>
      <c r="C53" s="30" t="n"/>
      <c r="D53" s="30" t="n"/>
      <c r="E53" s="20">
        <f>IF(OR($A53="",NOT(ISNUMBER($C53)),NOT(ISNUMBER($D53))),"",$D53-$C53+1)</f>
        <v/>
      </c>
      <c r="F53" s="33" t="n"/>
      <c r="G53" s="35">
        <f>IF(AND($A53&lt;&gt;"",ISNUMBER($C53),ISNUMBER($D53),$C53&lt;=Data_Mapa,$D53&gt;=Data_Mapa),$A53,"")</f>
        <v/>
      </c>
      <c r="H53" s="35">
        <f>IF($A53="",0,IFERROR(MATCH($B53,Aus_Tipos,0),0))</f>
        <v/>
      </c>
    </row>
    <row r="54">
      <c r="A54" s="33" t="n"/>
      <c r="B54" s="31" t="n"/>
      <c r="C54" s="30" t="n"/>
      <c r="D54" s="30" t="n"/>
      <c r="E54" s="20">
        <f>IF(OR($A54="",NOT(ISNUMBER($C54)),NOT(ISNUMBER($D54))),"",$D54-$C54+1)</f>
        <v/>
      </c>
      <c r="F54" s="33" t="n"/>
      <c r="G54" s="35">
        <f>IF(AND($A54&lt;&gt;"",ISNUMBER($C54),ISNUMBER($D54),$C54&lt;=Data_Mapa,$D54&gt;=Data_Mapa),$A54,"")</f>
        <v/>
      </c>
      <c r="H54" s="35">
        <f>IF($A54="",0,IFERROR(MATCH($B54,Aus_Tipos,0),0))</f>
        <v/>
      </c>
    </row>
    <row r="55">
      <c r="A55" s="33" t="n"/>
      <c r="B55" s="31" t="n"/>
      <c r="C55" s="30" t="n"/>
      <c r="D55" s="30" t="n"/>
      <c r="E55" s="20">
        <f>IF(OR($A55="",NOT(ISNUMBER($C55)),NOT(ISNUMBER($D55))),"",$D55-$C55+1)</f>
        <v/>
      </c>
      <c r="F55" s="33" t="n"/>
      <c r="G55" s="35">
        <f>IF(AND($A55&lt;&gt;"",ISNUMBER($C55),ISNUMBER($D55),$C55&lt;=Data_Mapa,$D55&gt;=Data_Mapa),$A55,"")</f>
        <v/>
      </c>
      <c r="H55" s="35">
        <f>IF($A55="",0,IFERROR(MATCH($B55,Aus_Tipos,0),0))</f>
        <v/>
      </c>
    </row>
    <row r="56">
      <c r="A56" s="33" t="n"/>
      <c r="B56" s="31" t="n"/>
      <c r="C56" s="30" t="n"/>
      <c r="D56" s="30" t="n"/>
      <c r="E56" s="20">
        <f>IF(OR($A56="",NOT(ISNUMBER($C56)),NOT(ISNUMBER($D56))),"",$D56-$C56+1)</f>
        <v/>
      </c>
      <c r="F56" s="33" t="n"/>
      <c r="G56" s="35">
        <f>IF(AND($A56&lt;&gt;"",ISNUMBER($C56),ISNUMBER($D56),$C56&lt;=Data_Mapa,$D56&gt;=Data_Mapa),$A56,"")</f>
        <v/>
      </c>
      <c r="H56" s="35">
        <f>IF($A56="",0,IFERROR(MATCH($B56,Aus_Tipos,0),0))</f>
        <v/>
      </c>
    </row>
    <row r="57">
      <c r="A57" s="33" t="n"/>
      <c r="B57" s="31" t="n"/>
      <c r="C57" s="30" t="n"/>
      <c r="D57" s="30" t="n"/>
      <c r="E57" s="20">
        <f>IF(OR($A57="",NOT(ISNUMBER($C57)),NOT(ISNUMBER($D57))),"",$D57-$C57+1)</f>
        <v/>
      </c>
      <c r="F57" s="33" t="n"/>
      <c r="G57" s="35">
        <f>IF(AND($A57&lt;&gt;"",ISNUMBER($C57),ISNUMBER($D57),$C57&lt;=Data_Mapa,$D57&gt;=Data_Mapa),$A57,"")</f>
        <v/>
      </c>
      <c r="H57" s="35">
        <f>IF($A57="",0,IFERROR(MATCH($B57,Aus_Tipos,0),0))</f>
        <v/>
      </c>
    </row>
    <row r="58">
      <c r="A58" s="33" t="n"/>
      <c r="B58" s="31" t="n"/>
      <c r="C58" s="30" t="n"/>
      <c r="D58" s="30" t="n"/>
      <c r="E58" s="20">
        <f>IF(OR($A58="",NOT(ISNUMBER($C58)),NOT(ISNUMBER($D58))),"",$D58-$C58+1)</f>
        <v/>
      </c>
      <c r="F58" s="33" t="n"/>
      <c r="G58" s="35">
        <f>IF(AND($A58&lt;&gt;"",ISNUMBER($C58),ISNUMBER($D58),$C58&lt;=Data_Mapa,$D58&gt;=Data_Mapa),$A58,"")</f>
        <v/>
      </c>
      <c r="H58" s="35">
        <f>IF($A58="",0,IFERROR(MATCH($B58,Aus_Tipos,0),0))</f>
        <v/>
      </c>
    </row>
    <row r="59">
      <c r="A59" s="33" t="n"/>
      <c r="B59" s="31" t="n"/>
      <c r="C59" s="30" t="n"/>
      <c r="D59" s="30" t="n"/>
      <c r="E59" s="20">
        <f>IF(OR($A59="",NOT(ISNUMBER($C59)),NOT(ISNUMBER($D59))),"",$D59-$C59+1)</f>
        <v/>
      </c>
      <c r="F59" s="33" t="n"/>
      <c r="G59" s="35">
        <f>IF(AND($A59&lt;&gt;"",ISNUMBER($C59),ISNUMBER($D59),$C59&lt;=Data_Mapa,$D59&gt;=Data_Mapa),$A59,"")</f>
        <v/>
      </c>
      <c r="H59" s="35">
        <f>IF($A59="",0,IFERROR(MATCH($B59,Aus_Tipos,0),0))</f>
        <v/>
      </c>
    </row>
    <row r="60">
      <c r="A60" s="33" t="n"/>
      <c r="B60" s="31" t="n"/>
      <c r="C60" s="30" t="n"/>
      <c r="D60" s="30" t="n"/>
      <c r="E60" s="20">
        <f>IF(OR($A60="",NOT(ISNUMBER($C60)),NOT(ISNUMBER($D60))),"",$D60-$C60+1)</f>
        <v/>
      </c>
      <c r="F60" s="33" t="n"/>
      <c r="G60" s="35">
        <f>IF(AND($A60&lt;&gt;"",ISNUMBER($C60),ISNUMBER($D60),$C60&lt;=Data_Mapa,$D60&gt;=Data_Mapa),$A60,"")</f>
        <v/>
      </c>
      <c r="H60" s="35">
        <f>IF($A60="",0,IFERROR(MATCH($B60,Aus_Tipos,0),0))</f>
        <v/>
      </c>
    </row>
    <row r="61">
      <c r="A61" s="33" t="n"/>
      <c r="B61" s="31" t="n"/>
      <c r="C61" s="30" t="n"/>
      <c r="D61" s="30" t="n"/>
      <c r="E61" s="20">
        <f>IF(OR($A61="",NOT(ISNUMBER($C61)),NOT(ISNUMBER($D61))),"",$D61-$C61+1)</f>
        <v/>
      </c>
      <c r="F61" s="33" t="n"/>
      <c r="G61" s="35">
        <f>IF(AND($A61&lt;&gt;"",ISNUMBER($C61),ISNUMBER($D61),$C61&lt;=Data_Mapa,$D61&gt;=Data_Mapa),$A61,"")</f>
        <v/>
      </c>
      <c r="H61" s="35">
        <f>IF($A61="",0,IFERROR(MATCH($B61,Aus_Tipos,0),0))</f>
        <v/>
      </c>
    </row>
    <row r="62">
      <c r="A62" s="33" t="n"/>
      <c r="B62" s="31" t="n"/>
      <c r="C62" s="30" t="n"/>
      <c r="D62" s="30" t="n"/>
      <c r="E62" s="20">
        <f>IF(OR($A62="",NOT(ISNUMBER($C62)),NOT(ISNUMBER($D62))),"",$D62-$C62+1)</f>
        <v/>
      </c>
      <c r="F62" s="33" t="n"/>
      <c r="G62" s="35">
        <f>IF(AND($A62&lt;&gt;"",ISNUMBER($C62),ISNUMBER($D62),$C62&lt;=Data_Mapa,$D62&gt;=Data_Mapa),$A62,"")</f>
        <v/>
      </c>
      <c r="H62" s="35">
        <f>IF($A62="",0,IFERROR(MATCH($B62,Aus_Tipos,0),0))</f>
        <v/>
      </c>
    </row>
    <row r="63">
      <c r="A63" s="33" t="n"/>
      <c r="B63" s="31" t="n"/>
      <c r="C63" s="30" t="n"/>
      <c r="D63" s="30" t="n"/>
      <c r="E63" s="20">
        <f>IF(OR($A63="",NOT(ISNUMBER($C63)),NOT(ISNUMBER($D63))),"",$D63-$C63+1)</f>
        <v/>
      </c>
      <c r="F63" s="33" t="n"/>
      <c r="G63" s="35">
        <f>IF(AND($A63&lt;&gt;"",ISNUMBER($C63),ISNUMBER($D63),$C63&lt;=Data_Mapa,$D63&gt;=Data_Mapa),$A63,"")</f>
        <v/>
      </c>
      <c r="H63" s="35">
        <f>IF($A63="",0,IFERROR(MATCH($B63,Aus_Tipos,0),0))</f>
        <v/>
      </c>
    </row>
    <row r="64">
      <c r="A64" s="33" t="n"/>
      <c r="B64" s="31" t="n"/>
      <c r="C64" s="30" t="n"/>
      <c r="D64" s="30" t="n"/>
      <c r="E64" s="20">
        <f>IF(OR($A64="",NOT(ISNUMBER($C64)),NOT(ISNUMBER($D64))),"",$D64-$C64+1)</f>
        <v/>
      </c>
      <c r="F64" s="33" t="n"/>
      <c r="G64" s="35">
        <f>IF(AND($A64&lt;&gt;"",ISNUMBER($C64),ISNUMBER($D64),$C64&lt;=Data_Mapa,$D64&gt;=Data_Mapa),$A64,"")</f>
        <v/>
      </c>
      <c r="H64" s="35">
        <f>IF($A64="",0,IFERROR(MATCH($B64,Aus_Tipos,0),0))</f>
        <v/>
      </c>
    </row>
    <row r="65">
      <c r="A65" s="33" t="n"/>
      <c r="B65" s="31" t="n"/>
      <c r="C65" s="30" t="n"/>
      <c r="D65" s="30" t="n"/>
      <c r="E65" s="20">
        <f>IF(OR($A65="",NOT(ISNUMBER($C65)),NOT(ISNUMBER($D65))),"",$D65-$C65+1)</f>
        <v/>
      </c>
      <c r="F65" s="33" t="n"/>
      <c r="G65" s="35">
        <f>IF(AND($A65&lt;&gt;"",ISNUMBER($C65),ISNUMBER($D65),$C65&lt;=Data_Mapa,$D65&gt;=Data_Mapa),$A65,"")</f>
        <v/>
      </c>
      <c r="H65" s="35">
        <f>IF($A65="",0,IFERROR(MATCH($B65,Aus_Tipos,0),0))</f>
        <v/>
      </c>
    </row>
    <row r="66">
      <c r="A66" s="33" t="n"/>
      <c r="B66" s="31" t="n"/>
      <c r="C66" s="30" t="n"/>
      <c r="D66" s="30" t="n"/>
      <c r="E66" s="20">
        <f>IF(OR($A66="",NOT(ISNUMBER($C66)),NOT(ISNUMBER($D66))),"",$D66-$C66+1)</f>
        <v/>
      </c>
      <c r="F66" s="33" t="n"/>
      <c r="G66" s="35">
        <f>IF(AND($A66&lt;&gt;"",ISNUMBER($C66),ISNUMBER($D66),$C66&lt;=Data_Mapa,$D66&gt;=Data_Mapa),$A66,"")</f>
        <v/>
      </c>
      <c r="H66" s="35">
        <f>IF($A66="",0,IFERROR(MATCH($B66,Aus_Tipos,0),0))</f>
        <v/>
      </c>
    </row>
    <row r="67">
      <c r="A67" s="33" t="n"/>
      <c r="B67" s="31" t="n"/>
      <c r="C67" s="30" t="n"/>
      <c r="D67" s="30" t="n"/>
      <c r="E67" s="20">
        <f>IF(OR($A67="",NOT(ISNUMBER($C67)),NOT(ISNUMBER($D67))),"",$D67-$C67+1)</f>
        <v/>
      </c>
      <c r="F67" s="33" t="n"/>
      <c r="G67" s="35">
        <f>IF(AND($A67&lt;&gt;"",ISNUMBER($C67),ISNUMBER($D67),$C67&lt;=Data_Mapa,$D67&gt;=Data_Mapa),$A67,"")</f>
        <v/>
      </c>
      <c r="H67" s="35">
        <f>IF($A67="",0,IFERROR(MATCH($B67,Aus_Tipos,0),0))</f>
        <v/>
      </c>
    </row>
    <row r="68">
      <c r="A68" s="33" t="n"/>
      <c r="B68" s="31" t="n"/>
      <c r="C68" s="30" t="n"/>
      <c r="D68" s="30" t="n"/>
      <c r="E68" s="20">
        <f>IF(OR($A68="",NOT(ISNUMBER($C68)),NOT(ISNUMBER($D68))),"",$D68-$C68+1)</f>
        <v/>
      </c>
      <c r="F68" s="33" t="n"/>
      <c r="G68" s="35">
        <f>IF(AND($A68&lt;&gt;"",ISNUMBER($C68),ISNUMBER($D68),$C68&lt;=Data_Mapa,$D68&gt;=Data_Mapa),$A68,"")</f>
        <v/>
      </c>
      <c r="H68" s="35">
        <f>IF($A68="",0,IFERROR(MATCH($B68,Aus_Tipos,0),0))</f>
        <v/>
      </c>
    </row>
    <row r="69">
      <c r="A69" s="33" t="n"/>
      <c r="B69" s="31" t="n"/>
      <c r="C69" s="30" t="n"/>
      <c r="D69" s="30" t="n"/>
      <c r="E69" s="20">
        <f>IF(OR($A69="",NOT(ISNUMBER($C69)),NOT(ISNUMBER($D69))),"",$D69-$C69+1)</f>
        <v/>
      </c>
      <c r="F69" s="33" t="n"/>
      <c r="G69" s="35">
        <f>IF(AND($A69&lt;&gt;"",ISNUMBER($C69),ISNUMBER($D69),$C69&lt;=Data_Mapa,$D69&gt;=Data_Mapa),$A69,"")</f>
        <v/>
      </c>
      <c r="H69" s="35">
        <f>IF($A69="",0,IFERROR(MATCH($B69,Aus_Tipos,0),0))</f>
        <v/>
      </c>
    </row>
    <row r="70">
      <c r="A70" s="33" t="n"/>
      <c r="B70" s="31" t="n"/>
      <c r="C70" s="30" t="n"/>
      <c r="D70" s="30" t="n"/>
      <c r="E70" s="20">
        <f>IF(OR($A70="",NOT(ISNUMBER($C70)),NOT(ISNUMBER($D70))),"",$D70-$C70+1)</f>
        <v/>
      </c>
      <c r="F70" s="33" t="n"/>
      <c r="G70" s="35">
        <f>IF(AND($A70&lt;&gt;"",ISNUMBER($C70),ISNUMBER($D70),$C70&lt;=Data_Mapa,$D70&gt;=Data_Mapa),$A70,"")</f>
        <v/>
      </c>
      <c r="H70" s="35">
        <f>IF($A70="",0,IFERROR(MATCH($B70,Aus_Tipos,0),0))</f>
        <v/>
      </c>
    </row>
    <row r="71">
      <c r="A71" s="33" t="n"/>
      <c r="B71" s="31" t="n"/>
      <c r="C71" s="30" t="n"/>
      <c r="D71" s="30" t="n"/>
      <c r="E71" s="20">
        <f>IF(OR($A71="",NOT(ISNUMBER($C71)),NOT(ISNUMBER($D71))),"",$D71-$C71+1)</f>
        <v/>
      </c>
      <c r="F71" s="33" t="n"/>
      <c r="G71" s="35">
        <f>IF(AND($A71&lt;&gt;"",ISNUMBER($C71),ISNUMBER($D71),$C71&lt;=Data_Mapa,$D71&gt;=Data_Mapa),$A71,"")</f>
        <v/>
      </c>
      <c r="H71" s="35">
        <f>IF($A71="",0,IFERROR(MATCH($B71,Aus_Tipos,0),0))</f>
        <v/>
      </c>
    </row>
    <row r="72">
      <c r="A72" s="33" t="n"/>
      <c r="B72" s="31" t="n"/>
      <c r="C72" s="30" t="n"/>
      <c r="D72" s="30" t="n"/>
      <c r="E72" s="20">
        <f>IF(OR($A72="",NOT(ISNUMBER($C72)),NOT(ISNUMBER($D72))),"",$D72-$C72+1)</f>
        <v/>
      </c>
      <c r="F72" s="33" t="n"/>
      <c r="G72" s="35">
        <f>IF(AND($A72&lt;&gt;"",ISNUMBER($C72),ISNUMBER($D72),$C72&lt;=Data_Mapa,$D72&gt;=Data_Mapa),$A72,"")</f>
        <v/>
      </c>
      <c r="H72" s="35">
        <f>IF($A72="",0,IFERROR(MATCH($B72,Aus_Tipos,0),0))</f>
        <v/>
      </c>
    </row>
    <row r="73">
      <c r="A73" s="33" t="n"/>
      <c r="B73" s="31" t="n"/>
      <c r="C73" s="30" t="n"/>
      <c r="D73" s="30" t="n"/>
      <c r="E73" s="20">
        <f>IF(OR($A73="",NOT(ISNUMBER($C73)),NOT(ISNUMBER($D73))),"",$D73-$C73+1)</f>
        <v/>
      </c>
      <c r="F73" s="33" t="n"/>
      <c r="G73" s="35">
        <f>IF(AND($A73&lt;&gt;"",ISNUMBER($C73),ISNUMBER($D73),$C73&lt;=Data_Mapa,$D73&gt;=Data_Mapa),$A73,"")</f>
        <v/>
      </c>
      <c r="H73" s="35">
        <f>IF($A73="",0,IFERROR(MATCH($B73,Aus_Tipos,0),0))</f>
        <v/>
      </c>
    </row>
    <row r="74">
      <c r="A74" s="33" t="n"/>
      <c r="B74" s="31" t="n"/>
      <c r="C74" s="30" t="n"/>
      <c r="D74" s="30" t="n"/>
      <c r="E74" s="20">
        <f>IF(OR($A74="",NOT(ISNUMBER($C74)),NOT(ISNUMBER($D74))),"",$D74-$C74+1)</f>
        <v/>
      </c>
      <c r="F74" s="33" t="n"/>
      <c r="G74" s="35">
        <f>IF(AND($A74&lt;&gt;"",ISNUMBER($C74),ISNUMBER($D74),$C74&lt;=Data_Mapa,$D74&gt;=Data_Mapa),$A74,"")</f>
        <v/>
      </c>
      <c r="H74" s="35">
        <f>IF($A74="",0,IFERROR(MATCH($B74,Aus_Tipos,0),0))</f>
        <v/>
      </c>
    </row>
    <row r="75">
      <c r="A75" s="33" t="n"/>
      <c r="B75" s="31" t="n"/>
      <c r="C75" s="30" t="n"/>
      <c r="D75" s="30" t="n"/>
      <c r="E75" s="20">
        <f>IF(OR($A75="",NOT(ISNUMBER($C75)),NOT(ISNUMBER($D75))),"",$D75-$C75+1)</f>
        <v/>
      </c>
      <c r="F75" s="33" t="n"/>
      <c r="G75" s="35">
        <f>IF(AND($A75&lt;&gt;"",ISNUMBER($C75),ISNUMBER($D75),$C75&lt;=Data_Mapa,$D75&gt;=Data_Mapa),$A75,"")</f>
        <v/>
      </c>
      <c r="H75" s="35">
        <f>IF($A75="",0,IFERROR(MATCH($B75,Aus_Tipos,0),0))</f>
        <v/>
      </c>
    </row>
    <row r="76">
      <c r="A76" s="33" t="n"/>
      <c r="B76" s="31" t="n"/>
      <c r="C76" s="30" t="n"/>
      <c r="D76" s="30" t="n"/>
      <c r="E76" s="20">
        <f>IF(OR($A76="",NOT(ISNUMBER($C76)),NOT(ISNUMBER($D76))),"",$D76-$C76+1)</f>
        <v/>
      </c>
      <c r="F76" s="33" t="n"/>
      <c r="G76" s="35">
        <f>IF(AND($A76&lt;&gt;"",ISNUMBER($C76),ISNUMBER($D76),$C76&lt;=Data_Mapa,$D76&gt;=Data_Mapa),$A76,"")</f>
        <v/>
      </c>
      <c r="H76" s="35">
        <f>IF($A76="",0,IFERROR(MATCH($B76,Aus_Tipos,0),0))</f>
        <v/>
      </c>
    </row>
    <row r="77">
      <c r="A77" s="33" t="n"/>
      <c r="B77" s="31" t="n"/>
      <c r="C77" s="30" t="n"/>
      <c r="D77" s="30" t="n"/>
      <c r="E77" s="20">
        <f>IF(OR($A77="",NOT(ISNUMBER($C77)),NOT(ISNUMBER($D77))),"",$D77-$C77+1)</f>
        <v/>
      </c>
      <c r="F77" s="33" t="n"/>
      <c r="G77" s="35">
        <f>IF(AND($A77&lt;&gt;"",ISNUMBER($C77),ISNUMBER($D77),$C77&lt;=Data_Mapa,$D77&gt;=Data_Mapa),$A77,"")</f>
        <v/>
      </c>
      <c r="H77" s="35">
        <f>IF($A77="",0,IFERROR(MATCH($B77,Aus_Tipos,0),0))</f>
        <v/>
      </c>
    </row>
    <row r="78">
      <c r="A78" s="33" t="n"/>
      <c r="B78" s="31" t="n"/>
      <c r="C78" s="30" t="n"/>
      <c r="D78" s="30" t="n"/>
      <c r="E78" s="20">
        <f>IF(OR($A78="",NOT(ISNUMBER($C78)),NOT(ISNUMBER($D78))),"",$D78-$C78+1)</f>
        <v/>
      </c>
      <c r="F78" s="33" t="n"/>
      <c r="G78" s="35">
        <f>IF(AND($A78&lt;&gt;"",ISNUMBER($C78),ISNUMBER($D78),$C78&lt;=Data_Mapa,$D78&gt;=Data_Mapa),$A78,"")</f>
        <v/>
      </c>
      <c r="H78" s="35">
        <f>IF($A78="",0,IFERROR(MATCH($B78,Aus_Tipos,0),0))</f>
        <v/>
      </c>
    </row>
    <row r="79">
      <c r="A79" s="33" t="n"/>
      <c r="B79" s="31" t="n"/>
      <c r="C79" s="30" t="n"/>
      <c r="D79" s="30" t="n"/>
      <c r="E79" s="20">
        <f>IF(OR($A79="",NOT(ISNUMBER($C79)),NOT(ISNUMBER($D79))),"",$D79-$C79+1)</f>
        <v/>
      </c>
      <c r="F79" s="33" t="n"/>
      <c r="G79" s="35">
        <f>IF(AND($A79&lt;&gt;"",ISNUMBER($C79),ISNUMBER($D79),$C79&lt;=Data_Mapa,$D79&gt;=Data_Mapa),$A79,"")</f>
        <v/>
      </c>
      <c r="H79" s="35">
        <f>IF($A79="",0,IFERROR(MATCH($B79,Aus_Tipos,0),0))</f>
        <v/>
      </c>
    </row>
    <row r="80">
      <c r="A80" s="33" t="n"/>
      <c r="B80" s="31" t="n"/>
      <c r="C80" s="30" t="n"/>
      <c r="D80" s="30" t="n"/>
      <c r="E80" s="20">
        <f>IF(OR($A80="",NOT(ISNUMBER($C80)),NOT(ISNUMBER($D80))),"",$D80-$C80+1)</f>
        <v/>
      </c>
      <c r="F80" s="33" t="n"/>
      <c r="G80" s="35">
        <f>IF(AND($A80&lt;&gt;"",ISNUMBER($C80),ISNUMBER($D80),$C80&lt;=Data_Mapa,$D80&gt;=Data_Mapa),$A80,"")</f>
        <v/>
      </c>
      <c r="H80" s="35">
        <f>IF($A80="",0,IFERROR(MATCH($B80,Aus_Tipos,0),0))</f>
        <v/>
      </c>
    </row>
    <row r="81">
      <c r="A81" s="33" t="n"/>
      <c r="B81" s="31" t="n"/>
      <c r="C81" s="30" t="n"/>
      <c r="D81" s="30" t="n"/>
      <c r="E81" s="20">
        <f>IF(OR($A81="",NOT(ISNUMBER($C81)),NOT(ISNUMBER($D81))),"",$D81-$C81+1)</f>
        <v/>
      </c>
      <c r="F81" s="33" t="n"/>
      <c r="G81" s="35">
        <f>IF(AND($A81&lt;&gt;"",ISNUMBER($C81),ISNUMBER($D81),$C81&lt;=Data_Mapa,$D81&gt;=Data_Mapa),$A81,"")</f>
        <v/>
      </c>
      <c r="H81" s="35">
        <f>IF($A81="",0,IFERROR(MATCH($B81,Aus_Tipos,0),0))</f>
        <v/>
      </c>
    </row>
    <row r="82">
      <c r="A82" s="33" t="n"/>
      <c r="B82" s="31" t="n"/>
      <c r="C82" s="30" t="n"/>
      <c r="D82" s="30" t="n"/>
      <c r="E82" s="20">
        <f>IF(OR($A82="",NOT(ISNUMBER($C82)),NOT(ISNUMBER($D82))),"",$D82-$C82+1)</f>
        <v/>
      </c>
      <c r="F82" s="33" t="n"/>
      <c r="G82" s="35">
        <f>IF(AND($A82&lt;&gt;"",ISNUMBER($C82),ISNUMBER($D82),$C82&lt;=Data_Mapa,$D82&gt;=Data_Mapa),$A82,"")</f>
        <v/>
      </c>
      <c r="H82" s="35">
        <f>IF($A82="",0,IFERROR(MATCH($B82,Aus_Tipos,0),0))</f>
        <v/>
      </c>
    </row>
    <row r="83">
      <c r="A83" s="33" t="n"/>
      <c r="B83" s="31" t="n"/>
      <c r="C83" s="30" t="n"/>
      <c r="D83" s="30" t="n"/>
      <c r="E83" s="20">
        <f>IF(OR($A83="",NOT(ISNUMBER($C83)),NOT(ISNUMBER($D83))),"",$D83-$C83+1)</f>
        <v/>
      </c>
      <c r="F83" s="33" t="n"/>
      <c r="G83" s="35">
        <f>IF(AND($A83&lt;&gt;"",ISNUMBER($C83),ISNUMBER($D83),$C83&lt;=Data_Mapa,$D83&gt;=Data_Mapa),$A83,"")</f>
        <v/>
      </c>
      <c r="H83" s="35">
        <f>IF($A83="",0,IFERROR(MATCH($B83,Aus_Tipos,0),0))</f>
        <v/>
      </c>
    </row>
    <row r="84">
      <c r="A84" s="33" t="n"/>
      <c r="B84" s="31" t="n"/>
      <c r="C84" s="30" t="n"/>
      <c r="D84" s="30" t="n"/>
      <c r="E84" s="20">
        <f>IF(OR($A84="",NOT(ISNUMBER($C84)),NOT(ISNUMBER($D84))),"",$D84-$C84+1)</f>
        <v/>
      </c>
      <c r="F84" s="33" t="n"/>
      <c r="G84" s="35">
        <f>IF(AND($A84&lt;&gt;"",ISNUMBER($C84),ISNUMBER($D84),$C84&lt;=Data_Mapa,$D84&gt;=Data_Mapa),$A84,"")</f>
        <v/>
      </c>
      <c r="H84" s="35">
        <f>IF($A84="",0,IFERROR(MATCH($B84,Aus_Tipos,0),0))</f>
        <v/>
      </c>
    </row>
    <row r="85">
      <c r="A85" s="33" t="n"/>
      <c r="B85" s="31" t="n"/>
      <c r="C85" s="30" t="n"/>
      <c r="D85" s="30" t="n"/>
      <c r="E85" s="20">
        <f>IF(OR($A85="",NOT(ISNUMBER($C85)),NOT(ISNUMBER($D85))),"",$D85-$C85+1)</f>
        <v/>
      </c>
      <c r="F85" s="33" t="n"/>
      <c r="G85" s="35">
        <f>IF(AND($A85&lt;&gt;"",ISNUMBER($C85),ISNUMBER($D85),$C85&lt;=Data_Mapa,$D85&gt;=Data_Mapa),$A85,"")</f>
        <v/>
      </c>
      <c r="H85" s="35">
        <f>IF($A85="",0,IFERROR(MATCH($B85,Aus_Tipos,0),0))</f>
        <v/>
      </c>
    </row>
    <row r="86">
      <c r="A86" s="33" t="n"/>
      <c r="B86" s="31" t="n"/>
      <c r="C86" s="30" t="n"/>
      <c r="D86" s="30" t="n"/>
      <c r="E86" s="20">
        <f>IF(OR($A86="",NOT(ISNUMBER($C86)),NOT(ISNUMBER($D86))),"",$D86-$C86+1)</f>
        <v/>
      </c>
      <c r="F86" s="33" t="n"/>
      <c r="G86" s="35">
        <f>IF(AND($A86&lt;&gt;"",ISNUMBER($C86),ISNUMBER($D86),$C86&lt;=Data_Mapa,$D86&gt;=Data_Mapa),$A86,"")</f>
        <v/>
      </c>
      <c r="H86" s="35">
        <f>IF($A86="",0,IFERROR(MATCH($B86,Aus_Tipos,0),0))</f>
        <v/>
      </c>
    </row>
    <row r="87">
      <c r="A87" s="33" t="n"/>
      <c r="B87" s="31" t="n"/>
      <c r="C87" s="30" t="n"/>
      <c r="D87" s="30" t="n"/>
      <c r="E87" s="20">
        <f>IF(OR($A87="",NOT(ISNUMBER($C87)),NOT(ISNUMBER($D87))),"",$D87-$C87+1)</f>
        <v/>
      </c>
      <c r="F87" s="33" t="n"/>
      <c r="G87" s="35">
        <f>IF(AND($A87&lt;&gt;"",ISNUMBER($C87),ISNUMBER($D87),$C87&lt;=Data_Mapa,$D87&gt;=Data_Mapa),$A87,"")</f>
        <v/>
      </c>
      <c r="H87" s="35">
        <f>IF($A87="",0,IFERROR(MATCH($B87,Aus_Tipos,0),0))</f>
        <v/>
      </c>
    </row>
    <row r="88">
      <c r="A88" s="33" t="n"/>
      <c r="B88" s="31" t="n"/>
      <c r="C88" s="30" t="n"/>
      <c r="D88" s="30" t="n"/>
      <c r="E88" s="20">
        <f>IF(OR($A88="",NOT(ISNUMBER($C88)),NOT(ISNUMBER($D88))),"",$D88-$C88+1)</f>
        <v/>
      </c>
      <c r="F88" s="33" t="n"/>
      <c r="G88" s="35">
        <f>IF(AND($A88&lt;&gt;"",ISNUMBER($C88),ISNUMBER($D88),$C88&lt;=Data_Mapa,$D88&gt;=Data_Mapa),$A88,"")</f>
        <v/>
      </c>
      <c r="H88" s="35">
        <f>IF($A88="",0,IFERROR(MATCH($B88,Aus_Tipos,0),0))</f>
        <v/>
      </c>
    </row>
    <row r="89">
      <c r="A89" s="33" t="n"/>
      <c r="B89" s="31" t="n"/>
      <c r="C89" s="30" t="n"/>
      <c r="D89" s="30" t="n"/>
      <c r="E89" s="20">
        <f>IF(OR($A89="",NOT(ISNUMBER($C89)),NOT(ISNUMBER($D89))),"",$D89-$C89+1)</f>
        <v/>
      </c>
      <c r="F89" s="33" t="n"/>
      <c r="G89" s="35">
        <f>IF(AND($A89&lt;&gt;"",ISNUMBER($C89),ISNUMBER($D89),$C89&lt;=Data_Mapa,$D89&gt;=Data_Mapa),$A89,"")</f>
        <v/>
      </c>
      <c r="H89" s="35">
        <f>IF($A89="",0,IFERROR(MATCH($B89,Aus_Tipos,0),0))</f>
        <v/>
      </c>
    </row>
    <row r="90">
      <c r="A90" s="33" t="n"/>
      <c r="B90" s="31" t="n"/>
      <c r="C90" s="30" t="n"/>
      <c r="D90" s="30" t="n"/>
      <c r="E90" s="20">
        <f>IF(OR($A90="",NOT(ISNUMBER($C90)),NOT(ISNUMBER($D90))),"",$D90-$C90+1)</f>
        <v/>
      </c>
      <c r="F90" s="33" t="n"/>
      <c r="G90" s="35">
        <f>IF(AND($A90&lt;&gt;"",ISNUMBER($C90),ISNUMBER($D90),$C90&lt;=Data_Mapa,$D90&gt;=Data_Mapa),$A90,"")</f>
        <v/>
      </c>
      <c r="H90" s="35">
        <f>IF($A90="",0,IFERROR(MATCH($B90,Aus_Tipos,0),0))</f>
        <v/>
      </c>
    </row>
    <row r="91">
      <c r="A91" s="33" t="n"/>
      <c r="B91" s="31" t="n"/>
      <c r="C91" s="30" t="n"/>
      <c r="D91" s="30" t="n"/>
      <c r="E91" s="20">
        <f>IF(OR($A91="",NOT(ISNUMBER($C91)),NOT(ISNUMBER($D91))),"",$D91-$C91+1)</f>
        <v/>
      </c>
      <c r="F91" s="33" t="n"/>
      <c r="G91" s="35">
        <f>IF(AND($A91&lt;&gt;"",ISNUMBER($C91),ISNUMBER($D91),$C91&lt;=Data_Mapa,$D91&gt;=Data_Mapa),$A91,"")</f>
        <v/>
      </c>
      <c r="H91" s="35">
        <f>IF($A91="",0,IFERROR(MATCH($B91,Aus_Tipos,0),0))</f>
        <v/>
      </c>
    </row>
    <row r="92">
      <c r="A92" s="33" t="n"/>
      <c r="B92" s="31" t="n"/>
      <c r="C92" s="30" t="n"/>
      <c r="D92" s="30" t="n"/>
      <c r="E92" s="20">
        <f>IF(OR($A92="",NOT(ISNUMBER($C92)),NOT(ISNUMBER($D92))),"",$D92-$C92+1)</f>
        <v/>
      </c>
      <c r="F92" s="33" t="n"/>
      <c r="G92" s="35">
        <f>IF(AND($A92&lt;&gt;"",ISNUMBER($C92),ISNUMBER($D92),$C92&lt;=Data_Mapa,$D92&gt;=Data_Mapa),$A92,"")</f>
        <v/>
      </c>
      <c r="H92" s="35">
        <f>IF($A92="",0,IFERROR(MATCH($B92,Aus_Tipos,0),0))</f>
        <v/>
      </c>
    </row>
    <row r="93">
      <c r="A93" s="33" t="n"/>
      <c r="B93" s="31" t="n"/>
      <c r="C93" s="30" t="n"/>
      <c r="D93" s="30" t="n"/>
      <c r="E93" s="20">
        <f>IF(OR($A93="",NOT(ISNUMBER($C93)),NOT(ISNUMBER($D93))),"",$D93-$C93+1)</f>
        <v/>
      </c>
      <c r="F93" s="33" t="n"/>
      <c r="G93" s="35">
        <f>IF(AND($A93&lt;&gt;"",ISNUMBER($C93),ISNUMBER($D93),$C93&lt;=Data_Mapa,$D93&gt;=Data_Mapa),$A93,"")</f>
        <v/>
      </c>
      <c r="H93" s="35">
        <f>IF($A93="",0,IFERROR(MATCH($B93,Aus_Tipos,0),0))</f>
        <v/>
      </c>
    </row>
    <row r="94">
      <c r="A94" s="33" t="n"/>
      <c r="B94" s="31" t="n"/>
      <c r="C94" s="30" t="n"/>
      <c r="D94" s="30" t="n"/>
      <c r="E94" s="20">
        <f>IF(OR($A94="",NOT(ISNUMBER($C94)),NOT(ISNUMBER($D94))),"",$D94-$C94+1)</f>
        <v/>
      </c>
      <c r="F94" s="33" t="n"/>
      <c r="G94" s="35">
        <f>IF(AND($A94&lt;&gt;"",ISNUMBER($C94),ISNUMBER($D94),$C94&lt;=Data_Mapa,$D94&gt;=Data_Mapa),$A94,"")</f>
        <v/>
      </c>
      <c r="H94" s="35">
        <f>IF($A94="",0,IFERROR(MATCH($B94,Aus_Tipos,0),0))</f>
        <v/>
      </c>
    </row>
    <row r="95">
      <c r="A95" s="33" t="n"/>
      <c r="B95" s="31" t="n"/>
      <c r="C95" s="30" t="n"/>
      <c r="D95" s="30" t="n"/>
      <c r="E95" s="20">
        <f>IF(OR($A95="",NOT(ISNUMBER($C95)),NOT(ISNUMBER($D95))),"",$D95-$C95+1)</f>
        <v/>
      </c>
      <c r="F95" s="33" t="n"/>
      <c r="G95" s="35">
        <f>IF(AND($A95&lt;&gt;"",ISNUMBER($C95),ISNUMBER($D95),$C95&lt;=Data_Mapa,$D95&gt;=Data_Mapa),$A95,"")</f>
        <v/>
      </c>
      <c r="H95" s="35">
        <f>IF($A95="",0,IFERROR(MATCH($B95,Aus_Tipos,0),0))</f>
        <v/>
      </c>
    </row>
    <row r="96">
      <c r="A96" s="33" t="n"/>
      <c r="B96" s="31" t="n"/>
      <c r="C96" s="30" t="n"/>
      <c r="D96" s="30" t="n"/>
      <c r="E96" s="20">
        <f>IF(OR($A96="",NOT(ISNUMBER($C96)),NOT(ISNUMBER($D96))),"",$D96-$C96+1)</f>
        <v/>
      </c>
      <c r="F96" s="33" t="n"/>
      <c r="G96" s="35">
        <f>IF(AND($A96&lt;&gt;"",ISNUMBER($C96),ISNUMBER($D96),$C96&lt;=Data_Mapa,$D96&gt;=Data_Mapa),$A96,"")</f>
        <v/>
      </c>
      <c r="H96" s="35">
        <f>IF($A96="",0,IFERROR(MATCH($B96,Aus_Tipos,0),0))</f>
        <v/>
      </c>
    </row>
    <row r="97">
      <c r="A97" s="33" t="n"/>
      <c r="B97" s="31" t="n"/>
      <c r="C97" s="30" t="n"/>
      <c r="D97" s="30" t="n"/>
      <c r="E97" s="20">
        <f>IF(OR($A97="",NOT(ISNUMBER($C97)),NOT(ISNUMBER($D97))),"",$D97-$C97+1)</f>
        <v/>
      </c>
      <c r="F97" s="33" t="n"/>
      <c r="G97" s="35">
        <f>IF(AND($A97&lt;&gt;"",ISNUMBER($C97),ISNUMBER($D97),$C97&lt;=Data_Mapa,$D97&gt;=Data_Mapa),$A97,"")</f>
        <v/>
      </c>
      <c r="H97" s="35">
        <f>IF($A97="",0,IFERROR(MATCH($B97,Aus_Tipos,0),0))</f>
        <v/>
      </c>
    </row>
    <row r="98">
      <c r="A98" s="33" t="n"/>
      <c r="B98" s="31" t="n"/>
      <c r="C98" s="30" t="n"/>
      <c r="D98" s="30" t="n"/>
      <c r="E98" s="20">
        <f>IF(OR($A98="",NOT(ISNUMBER($C98)),NOT(ISNUMBER($D98))),"",$D98-$C98+1)</f>
        <v/>
      </c>
      <c r="F98" s="33" t="n"/>
      <c r="G98" s="35">
        <f>IF(AND($A98&lt;&gt;"",ISNUMBER($C98),ISNUMBER($D98),$C98&lt;=Data_Mapa,$D98&gt;=Data_Mapa),$A98,"")</f>
        <v/>
      </c>
      <c r="H98" s="35">
        <f>IF($A98="",0,IFERROR(MATCH($B98,Aus_Tipos,0),0))</f>
        <v/>
      </c>
    </row>
    <row r="99">
      <c r="A99" s="33" t="n"/>
      <c r="B99" s="31" t="n"/>
      <c r="C99" s="30" t="n"/>
      <c r="D99" s="30" t="n"/>
      <c r="E99" s="20">
        <f>IF(OR($A99="",NOT(ISNUMBER($C99)),NOT(ISNUMBER($D99))),"",$D99-$C99+1)</f>
        <v/>
      </c>
      <c r="F99" s="33" t="n"/>
      <c r="G99" s="35">
        <f>IF(AND($A99&lt;&gt;"",ISNUMBER($C99),ISNUMBER($D99),$C99&lt;=Data_Mapa,$D99&gt;=Data_Mapa),$A99,"")</f>
        <v/>
      </c>
      <c r="H99" s="35">
        <f>IF($A99="",0,IFERROR(MATCH($B99,Aus_Tipos,0),0))</f>
        <v/>
      </c>
    </row>
    <row r="100">
      <c r="A100" s="33" t="n"/>
      <c r="B100" s="31" t="n"/>
      <c r="C100" s="30" t="n"/>
      <c r="D100" s="30" t="n"/>
      <c r="E100" s="20">
        <f>IF(OR($A100="",NOT(ISNUMBER($C100)),NOT(ISNUMBER($D100))),"",$D100-$C100+1)</f>
        <v/>
      </c>
      <c r="F100" s="33" t="n"/>
      <c r="G100" s="35">
        <f>IF(AND($A100&lt;&gt;"",ISNUMBER($C100),ISNUMBER($D100),$C100&lt;=Data_Mapa,$D100&gt;=Data_Mapa),$A100,"")</f>
        <v/>
      </c>
      <c r="H100" s="35">
        <f>IF($A100="",0,IFERROR(MATCH($B100,Aus_Tipos,0),0))</f>
        <v/>
      </c>
    </row>
    <row r="101">
      <c r="A101" s="33" t="n"/>
      <c r="B101" s="31" t="n"/>
      <c r="C101" s="30" t="n"/>
      <c r="D101" s="30" t="n"/>
      <c r="E101" s="20">
        <f>IF(OR($A101="",NOT(ISNUMBER($C101)),NOT(ISNUMBER($D101))),"",$D101-$C101+1)</f>
        <v/>
      </c>
      <c r="F101" s="33" t="n"/>
      <c r="G101" s="35">
        <f>IF(AND($A101&lt;&gt;"",ISNUMBER($C101),ISNUMBER($D101),$C101&lt;=Data_Mapa,$D101&gt;=Data_Mapa),$A101,"")</f>
        <v/>
      </c>
      <c r="H101" s="35">
        <f>IF($A101="",0,IFERROR(MATCH($B101,Aus_Tipos,0),0))</f>
        <v/>
      </c>
    </row>
    <row r="102">
      <c r="A102" s="33" t="n"/>
      <c r="B102" s="31" t="n"/>
      <c r="C102" s="30" t="n"/>
      <c r="D102" s="30" t="n"/>
      <c r="E102" s="20">
        <f>IF(OR($A102="",NOT(ISNUMBER($C102)),NOT(ISNUMBER($D102))),"",$D102-$C102+1)</f>
        <v/>
      </c>
      <c r="F102" s="33" t="n"/>
      <c r="G102" s="35">
        <f>IF(AND($A102&lt;&gt;"",ISNUMBER($C102),ISNUMBER($D102),$C102&lt;=Data_Mapa,$D102&gt;=Data_Mapa),$A102,"")</f>
        <v/>
      </c>
      <c r="H102" s="35">
        <f>IF($A102="",0,IFERROR(MATCH($B102,Aus_Tipos,0),0))</f>
        <v/>
      </c>
    </row>
    <row r="103">
      <c r="A103" s="33" t="n"/>
      <c r="B103" s="31" t="n"/>
      <c r="C103" s="30" t="n"/>
      <c r="D103" s="30" t="n"/>
      <c r="E103" s="20">
        <f>IF(OR($A103="",NOT(ISNUMBER($C103)),NOT(ISNUMBER($D103))),"",$D103-$C103+1)</f>
        <v/>
      </c>
      <c r="F103" s="33" t="n"/>
      <c r="G103" s="35">
        <f>IF(AND($A103&lt;&gt;"",ISNUMBER($C103),ISNUMBER($D103),$C103&lt;=Data_Mapa,$D103&gt;=Data_Mapa),$A103,"")</f>
        <v/>
      </c>
      <c r="H103" s="35">
        <f>IF($A103="",0,IFERROR(MATCH($B103,Aus_Tipos,0),0))</f>
        <v/>
      </c>
    </row>
    <row r="104">
      <c r="A104" s="33" t="n"/>
      <c r="B104" s="31" t="n"/>
      <c r="C104" s="30" t="n"/>
      <c r="D104" s="30" t="n"/>
      <c r="E104" s="20">
        <f>IF(OR($A104="",NOT(ISNUMBER($C104)),NOT(ISNUMBER($D104))),"",$D104-$C104+1)</f>
        <v/>
      </c>
      <c r="F104" s="33" t="n"/>
      <c r="G104" s="35">
        <f>IF(AND($A104&lt;&gt;"",ISNUMBER($C104),ISNUMBER($D104),$C104&lt;=Data_Mapa,$D104&gt;=Data_Mapa),$A104,"")</f>
        <v/>
      </c>
      <c r="H104" s="35">
        <f>IF($A104="",0,IFERROR(MATCH($B104,Aus_Tipos,0),0))</f>
        <v/>
      </c>
    </row>
    <row r="105">
      <c r="A105" s="33" t="n"/>
      <c r="B105" s="31" t="n"/>
      <c r="C105" s="30" t="n"/>
      <c r="D105" s="30" t="n"/>
      <c r="E105" s="20">
        <f>IF(OR($A105="",NOT(ISNUMBER($C105)),NOT(ISNUMBER($D105))),"",$D105-$C105+1)</f>
        <v/>
      </c>
      <c r="F105" s="33" t="n"/>
      <c r="G105" s="35">
        <f>IF(AND($A105&lt;&gt;"",ISNUMBER($C105),ISNUMBER($D105),$C105&lt;=Data_Mapa,$D105&gt;=Data_Mapa),$A105,"")</f>
        <v/>
      </c>
      <c r="H105" s="35">
        <f>IF($A105="",0,IFERROR(MATCH($B105,Aus_Tipos,0),0))</f>
        <v/>
      </c>
    </row>
    <row r="106">
      <c r="A106" s="33" t="n"/>
      <c r="B106" s="31" t="n"/>
      <c r="C106" s="30" t="n"/>
      <c r="D106" s="30" t="n"/>
      <c r="E106" s="20">
        <f>IF(OR($A106="",NOT(ISNUMBER($C106)),NOT(ISNUMBER($D106))),"",$D106-$C106+1)</f>
        <v/>
      </c>
      <c r="F106" s="33" t="n"/>
      <c r="G106" s="35">
        <f>IF(AND($A106&lt;&gt;"",ISNUMBER($C106),ISNUMBER($D106),$C106&lt;=Data_Mapa,$D106&gt;=Data_Mapa),$A106,"")</f>
        <v/>
      </c>
      <c r="H106" s="35">
        <f>IF($A106="",0,IFERROR(MATCH($B106,Aus_Tipos,0),0))</f>
        <v/>
      </c>
    </row>
    <row r="107">
      <c r="A107" s="33" t="n"/>
      <c r="B107" s="31" t="n"/>
      <c r="C107" s="30" t="n"/>
      <c r="D107" s="30" t="n"/>
      <c r="E107" s="20">
        <f>IF(OR($A107="",NOT(ISNUMBER($C107)),NOT(ISNUMBER($D107))),"",$D107-$C107+1)</f>
        <v/>
      </c>
      <c r="F107" s="33" t="n"/>
      <c r="G107" s="35">
        <f>IF(AND($A107&lt;&gt;"",ISNUMBER($C107),ISNUMBER($D107),$C107&lt;=Data_Mapa,$D107&gt;=Data_Mapa),$A107,"")</f>
        <v/>
      </c>
      <c r="H107" s="35">
        <f>IF($A107="",0,IFERROR(MATCH($B107,Aus_Tipos,0),0))</f>
        <v/>
      </c>
    </row>
    <row r="108">
      <c r="A108" s="33" t="n"/>
      <c r="B108" s="31" t="n"/>
      <c r="C108" s="30" t="n"/>
      <c r="D108" s="30" t="n"/>
      <c r="E108" s="20">
        <f>IF(OR($A108="",NOT(ISNUMBER($C108)),NOT(ISNUMBER($D108))),"",$D108-$C108+1)</f>
        <v/>
      </c>
      <c r="F108" s="33" t="n"/>
      <c r="G108" s="35">
        <f>IF(AND($A108&lt;&gt;"",ISNUMBER($C108),ISNUMBER($D108),$C108&lt;=Data_Mapa,$D108&gt;=Data_Mapa),$A108,"")</f>
        <v/>
      </c>
      <c r="H108" s="35">
        <f>IF($A108="",0,IFERROR(MATCH($B108,Aus_Tipos,0),0))</f>
        <v/>
      </c>
    </row>
    <row r="109">
      <c r="A109" s="33" t="n"/>
      <c r="B109" s="31" t="n"/>
      <c r="C109" s="30" t="n"/>
      <c r="D109" s="30" t="n"/>
      <c r="E109" s="20">
        <f>IF(OR($A109="",NOT(ISNUMBER($C109)),NOT(ISNUMBER($D109))),"",$D109-$C109+1)</f>
        <v/>
      </c>
      <c r="F109" s="33" t="n"/>
      <c r="G109" s="35">
        <f>IF(AND($A109&lt;&gt;"",ISNUMBER($C109),ISNUMBER($D109),$C109&lt;=Data_Mapa,$D109&gt;=Data_Mapa),$A109,"")</f>
        <v/>
      </c>
      <c r="H109" s="35">
        <f>IF($A109="",0,IFERROR(MATCH($B109,Aus_Tipos,0),0))</f>
        <v/>
      </c>
    </row>
    <row r="110">
      <c r="A110" s="33" t="n"/>
      <c r="B110" s="31" t="n"/>
      <c r="C110" s="30" t="n"/>
      <c r="D110" s="30" t="n"/>
      <c r="E110" s="20">
        <f>IF(OR($A110="",NOT(ISNUMBER($C110)),NOT(ISNUMBER($D110))),"",$D110-$C110+1)</f>
        <v/>
      </c>
      <c r="F110" s="33" t="n"/>
      <c r="G110" s="35">
        <f>IF(AND($A110&lt;&gt;"",ISNUMBER($C110),ISNUMBER($D110),$C110&lt;=Data_Mapa,$D110&gt;=Data_Mapa),$A110,"")</f>
        <v/>
      </c>
      <c r="H110" s="35">
        <f>IF($A110="",0,IFERROR(MATCH($B110,Aus_Tipos,0),0))</f>
        <v/>
      </c>
    </row>
    <row r="111">
      <c r="A111" s="33" t="n"/>
      <c r="B111" s="31" t="n"/>
      <c r="C111" s="30" t="n"/>
      <c r="D111" s="30" t="n"/>
      <c r="E111" s="20">
        <f>IF(OR($A111="",NOT(ISNUMBER($C111)),NOT(ISNUMBER($D111))),"",$D111-$C111+1)</f>
        <v/>
      </c>
      <c r="F111" s="33" t="n"/>
      <c r="G111" s="35">
        <f>IF(AND($A111&lt;&gt;"",ISNUMBER($C111),ISNUMBER($D111),$C111&lt;=Data_Mapa,$D111&gt;=Data_Mapa),$A111,"")</f>
        <v/>
      </c>
      <c r="H111" s="35">
        <f>IF($A111="",0,IFERROR(MATCH($B111,Aus_Tipos,0),0))</f>
        <v/>
      </c>
    </row>
    <row r="112">
      <c r="A112" s="33" t="n"/>
      <c r="B112" s="31" t="n"/>
      <c r="C112" s="30" t="n"/>
      <c r="D112" s="30" t="n"/>
      <c r="E112" s="20">
        <f>IF(OR($A112="",NOT(ISNUMBER($C112)),NOT(ISNUMBER($D112))),"",$D112-$C112+1)</f>
        <v/>
      </c>
      <c r="F112" s="33" t="n"/>
      <c r="G112" s="35">
        <f>IF(AND($A112&lt;&gt;"",ISNUMBER($C112),ISNUMBER($D112),$C112&lt;=Data_Mapa,$D112&gt;=Data_Mapa),$A112,"")</f>
        <v/>
      </c>
      <c r="H112" s="35">
        <f>IF($A112="",0,IFERROR(MATCH($B112,Aus_Tipos,0),0))</f>
        <v/>
      </c>
    </row>
    <row r="113">
      <c r="A113" s="33" t="n"/>
      <c r="B113" s="31" t="n"/>
      <c r="C113" s="30" t="n"/>
      <c r="D113" s="30" t="n"/>
      <c r="E113" s="20">
        <f>IF(OR($A113="",NOT(ISNUMBER($C113)),NOT(ISNUMBER($D113))),"",$D113-$C113+1)</f>
        <v/>
      </c>
      <c r="F113" s="33" t="n"/>
      <c r="G113" s="35">
        <f>IF(AND($A113&lt;&gt;"",ISNUMBER($C113),ISNUMBER($D113),$C113&lt;=Data_Mapa,$D113&gt;=Data_Mapa),$A113,"")</f>
        <v/>
      </c>
      <c r="H113" s="35">
        <f>IF($A113="",0,IFERROR(MATCH($B113,Aus_Tipos,0),0))</f>
        <v/>
      </c>
    </row>
    <row r="114">
      <c r="A114" s="33" t="n"/>
      <c r="B114" s="31" t="n"/>
      <c r="C114" s="30" t="n"/>
      <c r="D114" s="30" t="n"/>
      <c r="E114" s="20">
        <f>IF(OR($A114="",NOT(ISNUMBER($C114)),NOT(ISNUMBER($D114))),"",$D114-$C114+1)</f>
        <v/>
      </c>
      <c r="F114" s="33" t="n"/>
      <c r="G114" s="35">
        <f>IF(AND($A114&lt;&gt;"",ISNUMBER($C114),ISNUMBER($D114),$C114&lt;=Data_Mapa,$D114&gt;=Data_Mapa),$A114,"")</f>
        <v/>
      </c>
      <c r="H114" s="35">
        <f>IF($A114="",0,IFERROR(MATCH($B114,Aus_Tipos,0),0))</f>
        <v/>
      </c>
    </row>
    <row r="115">
      <c r="A115" s="33" t="n"/>
      <c r="B115" s="31" t="n"/>
      <c r="C115" s="30" t="n"/>
      <c r="D115" s="30" t="n"/>
      <c r="E115" s="20">
        <f>IF(OR($A115="",NOT(ISNUMBER($C115)),NOT(ISNUMBER($D115))),"",$D115-$C115+1)</f>
        <v/>
      </c>
      <c r="F115" s="33" t="n"/>
      <c r="G115" s="35">
        <f>IF(AND($A115&lt;&gt;"",ISNUMBER($C115),ISNUMBER($D115),$C115&lt;=Data_Mapa,$D115&gt;=Data_Mapa),$A115,"")</f>
        <v/>
      </c>
      <c r="H115" s="35">
        <f>IF($A115="",0,IFERROR(MATCH($B115,Aus_Tipos,0),0))</f>
        <v/>
      </c>
    </row>
    <row r="116">
      <c r="A116" s="33" t="n"/>
      <c r="B116" s="31" t="n"/>
      <c r="C116" s="30" t="n"/>
      <c r="D116" s="30" t="n"/>
      <c r="E116" s="20">
        <f>IF(OR($A116="",NOT(ISNUMBER($C116)),NOT(ISNUMBER($D116))),"",$D116-$C116+1)</f>
        <v/>
      </c>
      <c r="F116" s="33" t="n"/>
      <c r="G116" s="35">
        <f>IF(AND($A116&lt;&gt;"",ISNUMBER($C116),ISNUMBER($D116),$C116&lt;=Data_Mapa,$D116&gt;=Data_Mapa),$A116,"")</f>
        <v/>
      </c>
      <c r="H116" s="35">
        <f>IF($A116="",0,IFERROR(MATCH($B116,Aus_Tipos,0),0))</f>
        <v/>
      </c>
    </row>
    <row r="117">
      <c r="A117" s="33" t="n"/>
      <c r="B117" s="31" t="n"/>
      <c r="C117" s="30" t="n"/>
      <c r="D117" s="30" t="n"/>
      <c r="E117" s="20">
        <f>IF(OR($A117="",NOT(ISNUMBER($C117)),NOT(ISNUMBER($D117))),"",$D117-$C117+1)</f>
        <v/>
      </c>
      <c r="F117" s="33" t="n"/>
      <c r="G117" s="35">
        <f>IF(AND($A117&lt;&gt;"",ISNUMBER($C117),ISNUMBER($D117),$C117&lt;=Data_Mapa,$D117&gt;=Data_Mapa),$A117,"")</f>
        <v/>
      </c>
      <c r="H117" s="35">
        <f>IF($A117="",0,IFERROR(MATCH($B117,Aus_Tipos,0),0))</f>
        <v/>
      </c>
    </row>
    <row r="118">
      <c r="A118" s="33" t="n"/>
      <c r="B118" s="31" t="n"/>
      <c r="C118" s="30" t="n"/>
      <c r="D118" s="30" t="n"/>
      <c r="E118" s="20">
        <f>IF(OR($A118="",NOT(ISNUMBER($C118)),NOT(ISNUMBER($D118))),"",$D118-$C118+1)</f>
        <v/>
      </c>
      <c r="F118" s="33" t="n"/>
      <c r="G118" s="35">
        <f>IF(AND($A118&lt;&gt;"",ISNUMBER($C118),ISNUMBER($D118),$C118&lt;=Data_Mapa,$D118&gt;=Data_Mapa),$A118,"")</f>
        <v/>
      </c>
      <c r="H118" s="35">
        <f>IF($A118="",0,IFERROR(MATCH($B118,Aus_Tipos,0),0))</f>
        <v/>
      </c>
    </row>
    <row r="119">
      <c r="A119" s="33" t="n"/>
      <c r="B119" s="31" t="n"/>
      <c r="C119" s="30" t="n"/>
      <c r="D119" s="30" t="n"/>
      <c r="E119" s="20">
        <f>IF(OR($A119="",NOT(ISNUMBER($C119)),NOT(ISNUMBER($D119))),"",$D119-$C119+1)</f>
        <v/>
      </c>
      <c r="F119" s="33" t="n"/>
      <c r="G119" s="35">
        <f>IF(AND($A119&lt;&gt;"",ISNUMBER($C119),ISNUMBER($D119),$C119&lt;=Data_Mapa,$D119&gt;=Data_Mapa),$A119,"")</f>
        <v/>
      </c>
      <c r="H119" s="35">
        <f>IF($A119="",0,IFERROR(MATCH($B119,Aus_Tipos,0),0))</f>
        <v/>
      </c>
    </row>
    <row r="120">
      <c r="A120" s="33" t="n"/>
      <c r="B120" s="31" t="n"/>
      <c r="C120" s="30" t="n"/>
      <c r="D120" s="30" t="n"/>
      <c r="E120" s="20">
        <f>IF(OR($A120="",NOT(ISNUMBER($C120)),NOT(ISNUMBER($D120))),"",$D120-$C120+1)</f>
        <v/>
      </c>
      <c r="F120" s="33" t="n"/>
      <c r="G120" s="35">
        <f>IF(AND($A120&lt;&gt;"",ISNUMBER($C120),ISNUMBER($D120),$C120&lt;=Data_Mapa,$D120&gt;=Data_Mapa),$A120,"")</f>
        <v/>
      </c>
      <c r="H120" s="35">
        <f>IF($A120="",0,IFERROR(MATCH($B120,Aus_Tipos,0),0))</f>
        <v/>
      </c>
    </row>
    <row r="121">
      <c r="A121" s="33" t="n"/>
      <c r="B121" s="31" t="n"/>
      <c r="C121" s="30" t="n"/>
      <c r="D121" s="30" t="n"/>
      <c r="E121" s="20">
        <f>IF(OR($A121="",NOT(ISNUMBER($C121)),NOT(ISNUMBER($D121))),"",$D121-$C121+1)</f>
        <v/>
      </c>
      <c r="F121" s="33" t="n"/>
      <c r="G121" s="35">
        <f>IF(AND($A121&lt;&gt;"",ISNUMBER($C121),ISNUMBER($D121),$C121&lt;=Data_Mapa,$D121&gt;=Data_Mapa),$A121,"")</f>
        <v/>
      </c>
      <c r="H121" s="35">
        <f>IF($A121="",0,IFERROR(MATCH($B121,Aus_Tipos,0),0))</f>
        <v/>
      </c>
    </row>
    <row r="122">
      <c r="A122" s="33" t="n"/>
      <c r="B122" s="31" t="n"/>
      <c r="C122" s="30" t="n"/>
      <c r="D122" s="30" t="n"/>
      <c r="E122" s="20">
        <f>IF(OR($A122="",NOT(ISNUMBER($C122)),NOT(ISNUMBER($D122))),"",$D122-$C122+1)</f>
        <v/>
      </c>
      <c r="F122" s="33" t="n"/>
      <c r="G122" s="35">
        <f>IF(AND($A122&lt;&gt;"",ISNUMBER($C122),ISNUMBER($D122),$C122&lt;=Data_Mapa,$D122&gt;=Data_Mapa),$A122,"")</f>
        <v/>
      </c>
      <c r="H122" s="35">
        <f>IF($A122="",0,IFERROR(MATCH($B122,Aus_Tipos,0),0))</f>
        <v/>
      </c>
    </row>
    <row r="123">
      <c r="A123" s="33" t="n"/>
      <c r="B123" s="31" t="n"/>
      <c r="C123" s="30" t="n"/>
      <c r="D123" s="30" t="n"/>
      <c r="E123" s="20">
        <f>IF(OR($A123="",NOT(ISNUMBER($C123)),NOT(ISNUMBER($D123))),"",$D123-$C123+1)</f>
        <v/>
      </c>
      <c r="F123" s="33" t="n"/>
      <c r="G123" s="35">
        <f>IF(AND($A123&lt;&gt;"",ISNUMBER($C123),ISNUMBER($D123),$C123&lt;=Data_Mapa,$D123&gt;=Data_Mapa),$A123,"")</f>
        <v/>
      </c>
      <c r="H123" s="35">
        <f>IF($A123="",0,IFERROR(MATCH($B123,Aus_Tipos,0),0))</f>
        <v/>
      </c>
    </row>
    <row r="124">
      <c r="A124" s="33" t="n"/>
      <c r="B124" s="31" t="n"/>
      <c r="C124" s="30" t="n"/>
      <c r="D124" s="30" t="n"/>
      <c r="E124" s="20">
        <f>IF(OR($A124="",NOT(ISNUMBER($C124)),NOT(ISNUMBER($D124))),"",$D124-$C124+1)</f>
        <v/>
      </c>
      <c r="F124" s="33" t="n"/>
      <c r="G124" s="35">
        <f>IF(AND($A124&lt;&gt;"",ISNUMBER($C124),ISNUMBER($D124),$C124&lt;=Data_Mapa,$D124&gt;=Data_Mapa),$A124,"")</f>
        <v/>
      </c>
      <c r="H124" s="35">
        <f>IF($A124="",0,IFERROR(MATCH($B124,Aus_Tipos,0),0))</f>
        <v/>
      </c>
    </row>
    <row r="125">
      <c r="A125" s="33" t="n"/>
      <c r="B125" s="31" t="n"/>
      <c r="C125" s="30" t="n"/>
      <c r="D125" s="30" t="n"/>
      <c r="E125" s="20">
        <f>IF(OR($A125="",NOT(ISNUMBER($C125)),NOT(ISNUMBER($D125))),"",$D125-$C125+1)</f>
        <v/>
      </c>
      <c r="F125" s="33" t="n"/>
      <c r="G125" s="35">
        <f>IF(AND($A125&lt;&gt;"",ISNUMBER($C125),ISNUMBER($D125),$C125&lt;=Data_Mapa,$D125&gt;=Data_Mapa),$A125,"")</f>
        <v/>
      </c>
      <c r="H125" s="35">
        <f>IF($A125="",0,IFERROR(MATCH($B125,Aus_Tipos,0),0))</f>
        <v/>
      </c>
    </row>
    <row r="126">
      <c r="A126" s="33" t="n"/>
      <c r="B126" s="31" t="n"/>
      <c r="C126" s="30" t="n"/>
      <c r="D126" s="30" t="n"/>
      <c r="E126" s="20">
        <f>IF(OR($A126="",NOT(ISNUMBER($C126)),NOT(ISNUMBER($D126))),"",$D126-$C126+1)</f>
        <v/>
      </c>
      <c r="F126" s="33" t="n"/>
      <c r="G126" s="35">
        <f>IF(AND($A126&lt;&gt;"",ISNUMBER($C126),ISNUMBER($D126),$C126&lt;=Data_Mapa,$D126&gt;=Data_Mapa),$A126,"")</f>
        <v/>
      </c>
      <c r="H126" s="35">
        <f>IF($A126="",0,IFERROR(MATCH($B126,Aus_Tipos,0),0))</f>
        <v/>
      </c>
    </row>
    <row r="127">
      <c r="A127" s="33" t="n"/>
      <c r="B127" s="31" t="n"/>
      <c r="C127" s="30" t="n"/>
      <c r="D127" s="30" t="n"/>
      <c r="E127" s="20">
        <f>IF(OR($A127="",NOT(ISNUMBER($C127)),NOT(ISNUMBER($D127))),"",$D127-$C127+1)</f>
        <v/>
      </c>
      <c r="F127" s="33" t="n"/>
      <c r="G127" s="35">
        <f>IF(AND($A127&lt;&gt;"",ISNUMBER($C127),ISNUMBER($D127),$C127&lt;=Data_Mapa,$D127&gt;=Data_Mapa),$A127,"")</f>
        <v/>
      </c>
      <c r="H127" s="35">
        <f>IF($A127="",0,IFERROR(MATCH($B127,Aus_Tipos,0),0))</f>
        <v/>
      </c>
    </row>
    <row r="128">
      <c r="A128" s="33" t="n"/>
      <c r="B128" s="31" t="n"/>
      <c r="C128" s="30" t="n"/>
      <c r="D128" s="30" t="n"/>
      <c r="E128" s="20">
        <f>IF(OR($A128="",NOT(ISNUMBER($C128)),NOT(ISNUMBER($D128))),"",$D128-$C128+1)</f>
        <v/>
      </c>
      <c r="F128" s="33" t="n"/>
      <c r="G128" s="35">
        <f>IF(AND($A128&lt;&gt;"",ISNUMBER($C128),ISNUMBER($D128),$C128&lt;=Data_Mapa,$D128&gt;=Data_Mapa),$A128,"")</f>
        <v/>
      </c>
      <c r="H128" s="35">
        <f>IF($A128="",0,IFERROR(MATCH($B128,Aus_Tipos,0),0))</f>
        <v/>
      </c>
    </row>
    <row r="129">
      <c r="A129" s="33" t="n"/>
      <c r="B129" s="31" t="n"/>
      <c r="C129" s="30" t="n"/>
      <c r="D129" s="30" t="n"/>
      <c r="E129" s="20">
        <f>IF(OR($A129="",NOT(ISNUMBER($C129)),NOT(ISNUMBER($D129))),"",$D129-$C129+1)</f>
        <v/>
      </c>
      <c r="F129" s="33" t="n"/>
      <c r="G129" s="35">
        <f>IF(AND($A129&lt;&gt;"",ISNUMBER($C129),ISNUMBER($D129),$C129&lt;=Data_Mapa,$D129&gt;=Data_Mapa),$A129,"")</f>
        <v/>
      </c>
      <c r="H129" s="35">
        <f>IF($A129="",0,IFERROR(MATCH($B129,Aus_Tipos,0),0))</f>
        <v/>
      </c>
    </row>
    <row r="130">
      <c r="A130" s="33" t="n"/>
      <c r="B130" s="31" t="n"/>
      <c r="C130" s="30" t="n"/>
      <c r="D130" s="30" t="n"/>
      <c r="E130" s="20">
        <f>IF(OR($A130="",NOT(ISNUMBER($C130)),NOT(ISNUMBER($D130))),"",$D130-$C130+1)</f>
        <v/>
      </c>
      <c r="F130" s="33" t="n"/>
      <c r="G130" s="35">
        <f>IF(AND($A130&lt;&gt;"",ISNUMBER($C130),ISNUMBER($D130),$C130&lt;=Data_Mapa,$D130&gt;=Data_Mapa),$A130,"")</f>
        <v/>
      </c>
      <c r="H130" s="35">
        <f>IF($A130="",0,IFERROR(MATCH($B130,Aus_Tipos,0),0))</f>
        <v/>
      </c>
    </row>
    <row r="131">
      <c r="A131" s="33" t="n"/>
      <c r="B131" s="31" t="n"/>
      <c r="C131" s="30" t="n"/>
      <c r="D131" s="30" t="n"/>
      <c r="E131" s="20">
        <f>IF(OR($A131="",NOT(ISNUMBER($C131)),NOT(ISNUMBER($D131))),"",$D131-$C131+1)</f>
        <v/>
      </c>
      <c r="F131" s="33" t="n"/>
      <c r="G131" s="35">
        <f>IF(AND($A131&lt;&gt;"",ISNUMBER($C131),ISNUMBER($D131),$C131&lt;=Data_Mapa,$D131&gt;=Data_Mapa),$A131,"")</f>
        <v/>
      </c>
      <c r="H131" s="35">
        <f>IF($A131="",0,IFERROR(MATCH($B131,Aus_Tipos,0),0))</f>
        <v/>
      </c>
    </row>
    <row r="132">
      <c r="A132" s="33" t="n"/>
      <c r="B132" s="31" t="n"/>
      <c r="C132" s="30" t="n"/>
      <c r="D132" s="30" t="n"/>
      <c r="E132" s="20">
        <f>IF(OR($A132="",NOT(ISNUMBER($C132)),NOT(ISNUMBER($D132))),"",$D132-$C132+1)</f>
        <v/>
      </c>
      <c r="F132" s="33" t="n"/>
      <c r="G132" s="35">
        <f>IF(AND($A132&lt;&gt;"",ISNUMBER($C132),ISNUMBER($D132),$C132&lt;=Data_Mapa,$D132&gt;=Data_Mapa),$A132,"")</f>
        <v/>
      </c>
      <c r="H132" s="35">
        <f>IF($A132="",0,IFERROR(MATCH($B132,Aus_Tipos,0),0))</f>
        <v/>
      </c>
    </row>
    <row r="133">
      <c r="A133" s="33" t="n"/>
      <c r="B133" s="31" t="n"/>
      <c r="C133" s="30" t="n"/>
      <c r="D133" s="30" t="n"/>
      <c r="E133" s="20">
        <f>IF(OR($A133="",NOT(ISNUMBER($C133)),NOT(ISNUMBER($D133))),"",$D133-$C133+1)</f>
        <v/>
      </c>
      <c r="F133" s="33" t="n"/>
      <c r="G133" s="35">
        <f>IF(AND($A133&lt;&gt;"",ISNUMBER($C133),ISNUMBER($D133),$C133&lt;=Data_Mapa,$D133&gt;=Data_Mapa),$A133,"")</f>
        <v/>
      </c>
      <c r="H133" s="35">
        <f>IF($A133="",0,IFERROR(MATCH($B133,Aus_Tipos,0),0))</f>
        <v/>
      </c>
    </row>
    <row r="134">
      <c r="A134" s="33" t="n"/>
      <c r="B134" s="31" t="n"/>
      <c r="C134" s="30" t="n"/>
      <c r="D134" s="30" t="n"/>
      <c r="E134" s="20">
        <f>IF(OR($A134="",NOT(ISNUMBER($C134)),NOT(ISNUMBER($D134))),"",$D134-$C134+1)</f>
        <v/>
      </c>
      <c r="F134" s="33" t="n"/>
      <c r="G134" s="35">
        <f>IF(AND($A134&lt;&gt;"",ISNUMBER($C134),ISNUMBER($D134),$C134&lt;=Data_Mapa,$D134&gt;=Data_Mapa),$A134,"")</f>
        <v/>
      </c>
      <c r="H134" s="35">
        <f>IF($A134="",0,IFERROR(MATCH($B134,Aus_Tipos,0),0))</f>
        <v/>
      </c>
    </row>
    <row r="135">
      <c r="A135" s="33" t="n"/>
      <c r="B135" s="31" t="n"/>
      <c r="C135" s="30" t="n"/>
      <c r="D135" s="30" t="n"/>
      <c r="E135" s="20">
        <f>IF(OR($A135="",NOT(ISNUMBER($C135)),NOT(ISNUMBER($D135))),"",$D135-$C135+1)</f>
        <v/>
      </c>
      <c r="F135" s="33" t="n"/>
      <c r="G135" s="35">
        <f>IF(AND($A135&lt;&gt;"",ISNUMBER($C135),ISNUMBER($D135),$C135&lt;=Data_Mapa,$D135&gt;=Data_Mapa),$A135,"")</f>
        <v/>
      </c>
      <c r="H135" s="35">
        <f>IF($A135="",0,IFERROR(MATCH($B135,Aus_Tipos,0),0))</f>
        <v/>
      </c>
    </row>
    <row r="136">
      <c r="A136" s="33" t="n"/>
      <c r="B136" s="31" t="n"/>
      <c r="C136" s="30" t="n"/>
      <c r="D136" s="30" t="n"/>
      <c r="E136" s="20">
        <f>IF(OR($A136="",NOT(ISNUMBER($C136)),NOT(ISNUMBER($D136))),"",$D136-$C136+1)</f>
        <v/>
      </c>
      <c r="F136" s="33" t="n"/>
      <c r="G136" s="35">
        <f>IF(AND($A136&lt;&gt;"",ISNUMBER($C136),ISNUMBER($D136),$C136&lt;=Data_Mapa,$D136&gt;=Data_Mapa),$A136,"")</f>
        <v/>
      </c>
      <c r="H136" s="35">
        <f>IF($A136="",0,IFERROR(MATCH($B136,Aus_Tipos,0),0))</f>
        <v/>
      </c>
    </row>
    <row r="137">
      <c r="A137" s="33" t="n"/>
      <c r="B137" s="31" t="n"/>
      <c r="C137" s="30" t="n"/>
      <c r="D137" s="30" t="n"/>
      <c r="E137" s="20">
        <f>IF(OR($A137="",NOT(ISNUMBER($C137)),NOT(ISNUMBER($D137))),"",$D137-$C137+1)</f>
        <v/>
      </c>
      <c r="F137" s="33" t="n"/>
      <c r="G137" s="35">
        <f>IF(AND($A137&lt;&gt;"",ISNUMBER($C137),ISNUMBER($D137),$C137&lt;=Data_Mapa,$D137&gt;=Data_Mapa),$A137,"")</f>
        <v/>
      </c>
      <c r="H137" s="35">
        <f>IF($A137="",0,IFERROR(MATCH($B137,Aus_Tipos,0),0))</f>
        <v/>
      </c>
    </row>
    <row r="138">
      <c r="A138" s="33" t="n"/>
      <c r="B138" s="31" t="n"/>
      <c r="C138" s="30" t="n"/>
      <c r="D138" s="30" t="n"/>
      <c r="E138" s="20">
        <f>IF(OR($A138="",NOT(ISNUMBER($C138)),NOT(ISNUMBER($D138))),"",$D138-$C138+1)</f>
        <v/>
      </c>
      <c r="F138" s="33" t="n"/>
      <c r="G138" s="35">
        <f>IF(AND($A138&lt;&gt;"",ISNUMBER($C138),ISNUMBER($D138),$C138&lt;=Data_Mapa,$D138&gt;=Data_Mapa),$A138,"")</f>
        <v/>
      </c>
      <c r="H138" s="35">
        <f>IF($A138="",0,IFERROR(MATCH($B138,Aus_Tipos,0),0))</f>
        <v/>
      </c>
    </row>
    <row r="139">
      <c r="A139" s="33" t="n"/>
      <c r="B139" s="31" t="n"/>
      <c r="C139" s="30" t="n"/>
      <c r="D139" s="30" t="n"/>
      <c r="E139" s="20">
        <f>IF(OR($A139="",NOT(ISNUMBER($C139)),NOT(ISNUMBER($D139))),"",$D139-$C139+1)</f>
        <v/>
      </c>
      <c r="F139" s="33" t="n"/>
      <c r="G139" s="35">
        <f>IF(AND($A139&lt;&gt;"",ISNUMBER($C139),ISNUMBER($D139),$C139&lt;=Data_Mapa,$D139&gt;=Data_Mapa),$A139,"")</f>
        <v/>
      </c>
      <c r="H139" s="35">
        <f>IF($A139="",0,IFERROR(MATCH($B139,Aus_Tipos,0),0))</f>
        <v/>
      </c>
    </row>
    <row r="140">
      <c r="A140" s="33" t="n"/>
      <c r="B140" s="31" t="n"/>
      <c r="C140" s="30" t="n"/>
      <c r="D140" s="30" t="n"/>
      <c r="E140" s="20">
        <f>IF(OR($A140="",NOT(ISNUMBER($C140)),NOT(ISNUMBER($D140))),"",$D140-$C140+1)</f>
        <v/>
      </c>
      <c r="F140" s="33" t="n"/>
      <c r="G140" s="35">
        <f>IF(AND($A140&lt;&gt;"",ISNUMBER($C140),ISNUMBER($D140),$C140&lt;=Data_Mapa,$D140&gt;=Data_Mapa),$A140,"")</f>
        <v/>
      </c>
      <c r="H140" s="35">
        <f>IF($A140="",0,IFERROR(MATCH($B140,Aus_Tipos,0),0))</f>
        <v/>
      </c>
    </row>
    <row r="141">
      <c r="A141" s="33" t="n"/>
      <c r="B141" s="31" t="n"/>
      <c r="C141" s="30" t="n"/>
      <c r="D141" s="30" t="n"/>
      <c r="E141" s="20">
        <f>IF(OR($A141="",NOT(ISNUMBER($C141)),NOT(ISNUMBER($D141))),"",$D141-$C141+1)</f>
        <v/>
      </c>
      <c r="F141" s="33" t="n"/>
      <c r="G141" s="35">
        <f>IF(AND($A141&lt;&gt;"",ISNUMBER($C141),ISNUMBER($D141),$C141&lt;=Data_Mapa,$D141&gt;=Data_Mapa),$A141,"")</f>
        <v/>
      </c>
      <c r="H141" s="35">
        <f>IF($A141="",0,IFERROR(MATCH($B141,Aus_Tipos,0),0))</f>
        <v/>
      </c>
    </row>
    <row r="142">
      <c r="A142" s="33" t="n"/>
      <c r="B142" s="31" t="n"/>
      <c r="C142" s="30" t="n"/>
      <c r="D142" s="30" t="n"/>
      <c r="E142" s="20">
        <f>IF(OR($A142="",NOT(ISNUMBER($C142)),NOT(ISNUMBER($D142))),"",$D142-$C142+1)</f>
        <v/>
      </c>
      <c r="F142" s="33" t="n"/>
      <c r="G142" s="35">
        <f>IF(AND($A142&lt;&gt;"",ISNUMBER($C142),ISNUMBER($D142),$C142&lt;=Data_Mapa,$D142&gt;=Data_Mapa),$A142,"")</f>
        <v/>
      </c>
      <c r="H142" s="35">
        <f>IF($A142="",0,IFERROR(MATCH($B142,Aus_Tipos,0),0))</f>
        <v/>
      </c>
    </row>
    <row r="143">
      <c r="A143" s="33" t="n"/>
      <c r="B143" s="31" t="n"/>
      <c r="C143" s="30" t="n"/>
      <c r="D143" s="30" t="n"/>
      <c r="E143" s="20">
        <f>IF(OR($A143="",NOT(ISNUMBER($C143)),NOT(ISNUMBER($D143))),"",$D143-$C143+1)</f>
        <v/>
      </c>
      <c r="F143" s="33" t="n"/>
      <c r="G143" s="35">
        <f>IF(AND($A143&lt;&gt;"",ISNUMBER($C143),ISNUMBER($D143),$C143&lt;=Data_Mapa,$D143&gt;=Data_Mapa),$A143,"")</f>
        <v/>
      </c>
      <c r="H143" s="35">
        <f>IF($A143="",0,IFERROR(MATCH($B143,Aus_Tipos,0),0))</f>
        <v/>
      </c>
    </row>
    <row r="144">
      <c r="A144" s="33" t="n"/>
      <c r="B144" s="31" t="n"/>
      <c r="C144" s="30" t="n"/>
      <c r="D144" s="30" t="n"/>
      <c r="E144" s="20">
        <f>IF(OR($A144="",NOT(ISNUMBER($C144)),NOT(ISNUMBER($D144))),"",$D144-$C144+1)</f>
        <v/>
      </c>
      <c r="F144" s="33" t="n"/>
      <c r="G144" s="35">
        <f>IF(AND($A144&lt;&gt;"",ISNUMBER($C144),ISNUMBER($D144),$C144&lt;=Data_Mapa,$D144&gt;=Data_Mapa),$A144,"")</f>
        <v/>
      </c>
      <c r="H144" s="35">
        <f>IF($A144="",0,IFERROR(MATCH($B144,Aus_Tipos,0),0))</f>
        <v/>
      </c>
    </row>
    <row r="145">
      <c r="A145" s="33" t="n"/>
      <c r="B145" s="31" t="n"/>
      <c r="C145" s="30" t="n"/>
      <c r="D145" s="30" t="n"/>
      <c r="E145" s="20">
        <f>IF(OR($A145="",NOT(ISNUMBER($C145)),NOT(ISNUMBER($D145))),"",$D145-$C145+1)</f>
        <v/>
      </c>
      <c r="F145" s="33" t="n"/>
      <c r="G145" s="35">
        <f>IF(AND($A145&lt;&gt;"",ISNUMBER($C145),ISNUMBER($D145),$C145&lt;=Data_Mapa,$D145&gt;=Data_Mapa),$A145,"")</f>
        <v/>
      </c>
      <c r="H145" s="35">
        <f>IF($A145="",0,IFERROR(MATCH($B145,Aus_Tipos,0),0))</f>
        <v/>
      </c>
    </row>
    <row r="146">
      <c r="A146" s="33" t="n"/>
      <c r="B146" s="31" t="n"/>
      <c r="C146" s="30" t="n"/>
      <c r="D146" s="30" t="n"/>
      <c r="E146" s="20">
        <f>IF(OR($A146="",NOT(ISNUMBER($C146)),NOT(ISNUMBER($D146))),"",$D146-$C146+1)</f>
        <v/>
      </c>
      <c r="F146" s="33" t="n"/>
      <c r="G146" s="35">
        <f>IF(AND($A146&lt;&gt;"",ISNUMBER($C146),ISNUMBER($D146),$C146&lt;=Data_Mapa,$D146&gt;=Data_Mapa),$A146,"")</f>
        <v/>
      </c>
      <c r="H146" s="35">
        <f>IF($A146="",0,IFERROR(MATCH($B146,Aus_Tipos,0),0))</f>
        <v/>
      </c>
    </row>
    <row r="147">
      <c r="A147" s="33" t="n"/>
      <c r="B147" s="31" t="n"/>
      <c r="C147" s="30" t="n"/>
      <c r="D147" s="30" t="n"/>
      <c r="E147" s="20">
        <f>IF(OR($A147="",NOT(ISNUMBER($C147)),NOT(ISNUMBER($D147))),"",$D147-$C147+1)</f>
        <v/>
      </c>
      <c r="F147" s="33" t="n"/>
      <c r="G147" s="35">
        <f>IF(AND($A147&lt;&gt;"",ISNUMBER($C147),ISNUMBER($D147),$C147&lt;=Data_Mapa,$D147&gt;=Data_Mapa),$A147,"")</f>
        <v/>
      </c>
      <c r="H147" s="35">
        <f>IF($A147="",0,IFERROR(MATCH($B147,Aus_Tipos,0),0))</f>
        <v/>
      </c>
    </row>
    <row r="148">
      <c r="A148" s="33" t="n"/>
      <c r="B148" s="31" t="n"/>
      <c r="C148" s="30" t="n"/>
      <c r="D148" s="30" t="n"/>
      <c r="E148" s="20">
        <f>IF(OR($A148="",NOT(ISNUMBER($C148)),NOT(ISNUMBER($D148))),"",$D148-$C148+1)</f>
        <v/>
      </c>
      <c r="F148" s="33" t="n"/>
      <c r="G148" s="35">
        <f>IF(AND($A148&lt;&gt;"",ISNUMBER($C148),ISNUMBER($D148),$C148&lt;=Data_Mapa,$D148&gt;=Data_Mapa),$A148,"")</f>
        <v/>
      </c>
      <c r="H148" s="35">
        <f>IF($A148="",0,IFERROR(MATCH($B148,Aus_Tipos,0),0))</f>
        <v/>
      </c>
    </row>
    <row r="149">
      <c r="A149" s="33" t="n"/>
      <c r="B149" s="31" t="n"/>
      <c r="C149" s="30" t="n"/>
      <c r="D149" s="30" t="n"/>
      <c r="E149" s="20">
        <f>IF(OR($A149="",NOT(ISNUMBER($C149)),NOT(ISNUMBER($D149))),"",$D149-$C149+1)</f>
        <v/>
      </c>
      <c r="F149" s="33" t="n"/>
      <c r="G149" s="35">
        <f>IF(AND($A149&lt;&gt;"",ISNUMBER($C149),ISNUMBER($D149),$C149&lt;=Data_Mapa,$D149&gt;=Data_Mapa),$A149,"")</f>
        <v/>
      </c>
      <c r="H149" s="35">
        <f>IF($A149="",0,IFERROR(MATCH($B149,Aus_Tipos,0),0))</f>
        <v/>
      </c>
    </row>
    <row r="150">
      <c r="A150" s="33" t="n"/>
      <c r="B150" s="31" t="n"/>
      <c r="C150" s="30" t="n"/>
      <c r="D150" s="30" t="n"/>
      <c r="E150" s="20">
        <f>IF(OR($A150="",NOT(ISNUMBER($C150)),NOT(ISNUMBER($D150))),"",$D150-$C150+1)</f>
        <v/>
      </c>
      <c r="F150" s="33" t="n"/>
      <c r="G150" s="35">
        <f>IF(AND($A150&lt;&gt;"",ISNUMBER($C150),ISNUMBER($D150),$C150&lt;=Data_Mapa,$D150&gt;=Data_Mapa),$A150,"")</f>
        <v/>
      </c>
      <c r="H150" s="35">
        <f>IF($A150="",0,IFERROR(MATCH($B150,Aus_Tipos,0),0))</f>
        <v/>
      </c>
    </row>
    <row r="151">
      <c r="A151" s="33" t="n"/>
      <c r="B151" s="31" t="n"/>
      <c r="C151" s="30" t="n"/>
      <c r="D151" s="30" t="n"/>
      <c r="E151" s="20">
        <f>IF(OR($A151="",NOT(ISNUMBER($C151)),NOT(ISNUMBER($D151))),"",$D151-$C151+1)</f>
        <v/>
      </c>
      <c r="F151" s="33" t="n"/>
      <c r="G151" s="35">
        <f>IF(AND($A151&lt;&gt;"",ISNUMBER($C151),ISNUMBER($D151),$C151&lt;=Data_Mapa,$D151&gt;=Data_Mapa),$A151,"")</f>
        <v/>
      </c>
      <c r="H151" s="35">
        <f>IF($A151="",0,IFERROR(MATCH($B151,Aus_Tipos,0),0))</f>
        <v/>
      </c>
    </row>
  </sheetData>
  <autoFilter ref="A1:F151"/>
  <conditionalFormatting sqref="E2:E151">
    <cfRule type="expression" priority="1" dxfId="9">
      <formula>AND($E2&lt;&gt;"",$E2&lt;=0)</formula>
    </cfRule>
  </conditionalFormatting>
  <conditionalFormatting sqref="J3:AN32">
    <cfRule type="cellIs" priority="2" operator="equal" dxfId="21">
      <formula>"F"</formula>
    </cfRule>
    <cfRule type="cellIs" priority="3" operator="equal" dxfId="22">
      <formula>"FR"</formula>
    </cfRule>
    <cfRule type="cellIs" priority="4" operator="equal" dxfId="23">
      <formula>"AT"</formula>
    </cfRule>
    <cfRule type="cellIs" priority="5" operator="equal" dxfId="24">
      <formula>"LI"</formula>
    </cfRule>
    <cfRule type="cellIs" priority="6" operator="equal" dxfId="25">
      <formula>"TR"</formula>
    </cfRule>
    <cfRule type="cellIs" priority="7" operator="equal" dxfId="26">
      <formula>"FH"</formula>
    </cfRule>
    <cfRule type="cellIs" priority="8" operator="equal" dxfId="27">
      <formula>"LG"</formula>
    </cfRule>
    <cfRule type="cellIs" priority="9" operator="equal" dxfId="9">
      <formula>"!"</formula>
    </cfRule>
    <cfRule type="expression" priority="10" dxfId="28">
      <formula>J$1=Data_Mapa</formula>
    </cfRule>
    <cfRule type="expression" priority="11" dxfId="29">
      <formula>AND(J$1&lt;&gt;"",OR(WEEKDAY(J$1)=1,WEEKDAY(J$1)=7,COUNTIF(Feriados,J$1)&gt;0))</formula>
    </cfRule>
  </conditionalFormatting>
  <conditionalFormatting sqref="J36:AN36">
    <cfRule type="cellIs" priority="12" operator="greaterThan" dxfId="9">
      <formula>0</formula>
    </cfRule>
  </conditionalFormatting>
  <dataValidations count="3">
    <dataValidation sqref="A2:A151" showDropDown="0" showInputMessage="0" showErrorMessage="1" allowBlank="1" type="list">
      <formula1>=Lista_Tecnicos</formula1>
    </dataValidation>
    <dataValidation sqref="B2:B151" showDropDown="0" showInputMessage="0" showErrorMessage="1" allowBlank="1" type="list">
      <formula1>=Aus_Tipos</formula1>
    </dataValidation>
    <dataValidation sqref="C2:D151" showDropDown="0" showInputMessage="0" showErrorMessage="1" allowBlank="1" errorTitle="Data inválida" error="Informe uma data válida.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2" customWidth="1" min="5" max="5"/>
    <col width="13" customWidth="1" min="6" max="6"/>
    <col width="30" customWidth="1" min="7" max="7"/>
    <col width="14" customWidth="1" min="8" max="8"/>
    <col width="11" customWidth="1" min="9" max="9"/>
    <col width="40" customWidth="1" min="10" max="10"/>
    <col width="14" customWidth="1" min="11" max="11"/>
  </cols>
  <sheetData>
    <row r="1">
      <c r="A1" s="1" t="inlineStr">
        <is>
          <t>CONFIGURAÇÃO</t>
        </is>
      </c>
    </row>
    <row r="2">
      <c r="A2" s="2" t="inlineStr">
        <is>
          <t>Mexe-se raramente. Células amarelas são premissas; a data da escala fica no Painel.</t>
        </is>
      </c>
    </row>
    <row r="4">
      <c r="A4" s="9" t="inlineStr">
        <is>
          <t>1. IDENTIFICAÇÃO</t>
        </is>
      </c>
      <c r="B4" s="10" t="n"/>
      <c r="C4" s="10" t="n"/>
      <c r="G4" s="48" t="inlineStr">
        <is>
          <t>LISTAS AUXILIARES</t>
        </is>
      </c>
    </row>
    <row r="5" ht="28" customHeight="1">
      <c r="A5" s="35" t="inlineStr">
        <is>
          <t>Unidade / Hospital</t>
        </is>
      </c>
      <c r="B5" s="49" t="inlineStr">
        <is>
          <t>Hospital — preencher</t>
        </is>
      </c>
      <c r="C5" s="50" t="n"/>
      <c r="G5" s="7" t="inlineStr">
        <is>
          <t>Status cadastral</t>
        </is>
      </c>
      <c r="H5" s="7" t="inlineStr">
        <is>
          <t>Status da cirurgia</t>
        </is>
      </c>
      <c r="I5" s="7" t="inlineStr">
        <is>
          <t>Tipo de posto</t>
        </is>
      </c>
    </row>
    <row r="6">
      <c r="A6" s="35" t="inlineStr">
        <is>
          <t>Setor</t>
        </is>
      </c>
      <c r="B6" s="49" t="inlineStr">
        <is>
          <t>Centro Cirúrgico</t>
        </is>
      </c>
      <c r="C6" s="50" t="n"/>
      <c r="G6" s="19" t="inlineStr">
        <is>
          <t>Ativo</t>
        </is>
      </c>
      <c r="H6" s="19" t="inlineStr">
        <is>
          <t>Agendada</t>
        </is>
      </c>
      <c r="I6" s="19" t="inlineStr">
        <is>
          <t>Sala cirúrgica</t>
        </is>
      </c>
    </row>
    <row r="7">
      <c r="A7" s="35" t="inlineStr">
        <is>
          <t>Coordenação responsável</t>
        </is>
      </c>
      <c r="B7" s="49" t="inlineStr">
        <is>
          <t>Coordenação de Enfermagem</t>
        </is>
      </c>
      <c r="C7" s="50" t="n"/>
      <c r="G7" s="19" t="inlineStr">
        <is>
          <t>Afastado</t>
        </is>
      </c>
      <c r="H7" s="19" t="inlineStr">
        <is>
          <t>Realizada</t>
        </is>
      </c>
      <c r="I7" s="19" t="inlineStr">
        <is>
          <t>Apoio</t>
        </is>
      </c>
    </row>
    <row r="8">
      <c r="A8" s="35" t="inlineStr">
        <is>
          <t>Primeiro dia do período da escala</t>
        </is>
      </c>
      <c r="B8" s="51" t="n">
        <v>46250</v>
      </c>
      <c r="C8" s="2" t="inlineStr">
        <is>
          <t>Periodo_Ini</t>
        </is>
      </c>
      <c r="G8" s="19" t="inlineStr">
        <is>
          <t>Desligado</t>
        </is>
      </c>
      <c r="H8" s="19" t="inlineStr">
        <is>
          <t>Cancelada</t>
        </is>
      </c>
    </row>
    <row r="9">
      <c r="H9" s="19" t="inlineStr">
        <is>
          <t>Suspensa</t>
        </is>
      </c>
    </row>
    <row r="10">
      <c r="A10" s="9" t="inlineStr">
        <is>
          <t>2. PLANTÃO</t>
        </is>
      </c>
      <c r="B10" s="10" t="n"/>
      <c r="C10" s="10" t="n"/>
    </row>
    <row r="11">
      <c r="A11" s="35" t="inlineStr">
        <is>
          <t>Início do plantão</t>
        </is>
      </c>
      <c r="B11" s="52" t="n">
        <v>0.2916666666666667</v>
      </c>
      <c r="C11" s="2" t="inlineStr">
        <is>
          <t>Turno_Ini</t>
        </is>
      </c>
    </row>
    <row r="12">
      <c r="A12" s="35" t="inlineStr">
        <is>
          <t>Fim do plantão</t>
        </is>
      </c>
      <c r="B12" s="52" t="n">
        <v>0.5416666666666666</v>
      </c>
      <c r="C12" s="2" t="inlineStr">
        <is>
          <t>Turno_Fim</t>
        </is>
      </c>
    </row>
    <row r="13">
      <c r="A13" s="35" t="inlineStr">
        <is>
          <t>Minutos do plantão</t>
        </is>
      </c>
      <c r="B13" s="53">
        <f>MOD(B12-B11,1)*1440</f>
        <v/>
      </c>
      <c r="C13" s="2" t="inlineStr">
        <is>
          <t>Turno_Min</t>
        </is>
      </c>
    </row>
    <row r="15">
      <c r="A15" s="9" t="inlineStr">
        <is>
          <t>3. OPERAÇÃO</t>
        </is>
      </c>
      <c r="B15" s="10" t="n"/>
      <c r="C15" s="10" t="n"/>
    </row>
    <row r="16">
      <c r="A16" s="35" t="inlineStr">
        <is>
          <t>Limpeza e preparação após cada cirurgia (min)</t>
        </is>
      </c>
      <c r="B16" s="54" t="n">
        <v>20</v>
      </c>
      <c r="C16" s="2" t="inlineStr">
        <is>
          <t>Limpeza_Min</t>
        </is>
      </c>
    </row>
    <row r="17">
      <c r="A17" s="35" t="inlineStr">
        <is>
          <t>Janela mínima para considerar encaixe (min)</t>
        </is>
      </c>
      <c r="B17" s="54" t="n">
        <v>30</v>
      </c>
      <c r="C17" s="2" t="inlineStr">
        <is>
          <t>Janela_Min</t>
        </is>
      </c>
    </row>
    <row r="18">
      <c r="A18" s="2" t="inlineStr">
        <is>
          <t>A limpeza sempre acontece. Quando a agenda emenda uma cirurgia na outra, ela cabe na folga se a cirurgia terminar antes do previsto; se a cirurgia for até o fim do horário, a limpeza empurra a seguinte — é isso que a coluna Atraso previsto mostra.</t>
        </is>
      </c>
    </row>
    <row r="20">
      <c r="A20" s="9" t="inlineStr">
        <is>
          <t>4. ESPECIALIDADES — viram as colunas de habilidade na aba Equipe</t>
        </is>
      </c>
      <c r="B20" s="10" t="n"/>
      <c r="C20" s="10" t="n"/>
      <c r="D20" s="10" t="n"/>
      <c r="E20" s="10" t="n"/>
    </row>
    <row r="21" ht="28" customHeight="1">
      <c r="A21" s="7" t="inlineStr">
        <is>
          <t>Código</t>
        </is>
      </c>
      <c r="B21" s="7" t="inlineStr">
        <is>
          <t>Especialidade</t>
        </is>
      </c>
      <c r="C21" s="7" t="inlineStr">
        <is>
          <t>Tipo</t>
        </is>
      </c>
      <c r="D21" s="7" t="inlineStr">
        <is>
          <t>Duração média (min)</t>
        </is>
      </c>
      <c r="E21" s="7" t="inlineStr">
        <is>
          <t>Ativa</t>
        </is>
      </c>
    </row>
    <row r="22">
      <c r="A22" s="31" t="inlineStr">
        <is>
          <t>ORT</t>
        </is>
      </c>
      <c r="B22" s="33" t="inlineStr">
        <is>
          <t>Ortopedia</t>
        </is>
      </c>
      <c r="C22" s="31" t="inlineStr">
        <is>
          <t>Cirúrgica</t>
        </is>
      </c>
      <c r="D22" s="31" t="n">
        <v>120</v>
      </c>
      <c r="E22" s="31" t="inlineStr">
        <is>
          <t>Sim</t>
        </is>
      </c>
    </row>
    <row r="23">
      <c r="A23" s="31" t="inlineStr">
        <is>
          <t>TRA</t>
        </is>
      </c>
      <c r="B23" s="33" t="inlineStr">
        <is>
          <t>Traumatologia</t>
        </is>
      </c>
      <c r="C23" s="31" t="inlineStr">
        <is>
          <t>Cirúrgica</t>
        </is>
      </c>
      <c r="D23" s="31" t="n">
        <v>90</v>
      </c>
      <c r="E23" s="31" t="inlineStr">
        <is>
          <t>Sim</t>
        </is>
      </c>
    </row>
    <row r="24">
      <c r="A24" s="31" t="inlineStr">
        <is>
          <t>CGE</t>
        </is>
      </c>
      <c r="B24" s="33" t="inlineStr">
        <is>
          <t>Cirurgia Geral</t>
        </is>
      </c>
      <c r="C24" s="31" t="inlineStr">
        <is>
          <t>Cirúrgica</t>
        </is>
      </c>
      <c r="D24" s="31" t="n">
        <v>90</v>
      </c>
      <c r="E24" s="31" t="inlineStr">
        <is>
          <t>Sim</t>
        </is>
      </c>
    </row>
    <row r="25">
      <c r="A25" s="31" t="inlineStr">
        <is>
          <t>BAR</t>
        </is>
      </c>
      <c r="B25" s="33" t="inlineStr">
        <is>
          <t>Cirurgia Bariátrica</t>
        </is>
      </c>
      <c r="C25" s="31" t="inlineStr">
        <is>
          <t>Cirúrgica</t>
        </is>
      </c>
      <c r="D25" s="31" t="n">
        <v>150</v>
      </c>
      <c r="E25" s="31" t="inlineStr">
        <is>
          <t>Sim</t>
        </is>
      </c>
    </row>
    <row r="26">
      <c r="A26" s="31" t="inlineStr">
        <is>
          <t>PED</t>
        </is>
      </c>
      <c r="B26" s="33" t="inlineStr">
        <is>
          <t>Cirurgia Pediátrica</t>
        </is>
      </c>
      <c r="C26" s="31" t="inlineStr">
        <is>
          <t>Cirúrgica</t>
        </is>
      </c>
      <c r="D26" s="31" t="n">
        <v>75</v>
      </c>
      <c r="E26" s="31" t="inlineStr">
        <is>
          <t>Sim</t>
        </is>
      </c>
    </row>
    <row r="27">
      <c r="A27" s="31" t="inlineStr">
        <is>
          <t>NEU</t>
        </is>
      </c>
      <c r="B27" s="33" t="inlineStr">
        <is>
          <t>Neurocirurgia</t>
        </is>
      </c>
      <c r="C27" s="31" t="inlineStr">
        <is>
          <t>Cirúrgica</t>
        </is>
      </c>
      <c r="D27" s="31" t="n">
        <v>210</v>
      </c>
      <c r="E27" s="31" t="inlineStr">
        <is>
          <t>Sim</t>
        </is>
      </c>
    </row>
    <row r="28">
      <c r="A28" s="31" t="inlineStr">
        <is>
          <t>CES</t>
        </is>
      </c>
      <c r="B28" s="33" t="inlineStr">
        <is>
          <t>Cesariana</t>
        </is>
      </c>
      <c r="C28" s="31" t="inlineStr">
        <is>
          <t>Cirúrgica</t>
        </is>
      </c>
      <c r="D28" s="31" t="n">
        <v>60</v>
      </c>
      <c r="E28" s="31" t="inlineStr">
        <is>
          <t>Sim</t>
        </is>
      </c>
    </row>
    <row r="29">
      <c r="A29" s="31" t="inlineStr">
        <is>
          <t>GIN</t>
        </is>
      </c>
      <c r="B29" s="33" t="inlineStr">
        <is>
          <t>Ginecologia</t>
        </is>
      </c>
      <c r="C29" s="31" t="inlineStr">
        <is>
          <t>Cirúrgica</t>
        </is>
      </c>
      <c r="D29" s="31" t="n">
        <v>90</v>
      </c>
      <c r="E29" s="31" t="inlineStr">
        <is>
          <t>Sim</t>
        </is>
      </c>
    </row>
    <row r="30">
      <c r="A30" s="31" t="inlineStr">
        <is>
          <t>URO</t>
        </is>
      </c>
      <c r="B30" s="33" t="inlineStr">
        <is>
          <t>Urologia</t>
        </is>
      </c>
      <c r="C30" s="31" t="inlineStr">
        <is>
          <t>Cirúrgica</t>
        </is>
      </c>
      <c r="D30" s="31" t="n">
        <v>90</v>
      </c>
      <c r="E30" s="31" t="inlineStr">
        <is>
          <t>Sim</t>
        </is>
      </c>
    </row>
    <row r="31">
      <c r="A31" s="31" t="inlineStr">
        <is>
          <t>OFT</t>
        </is>
      </c>
      <c r="B31" s="33" t="inlineStr">
        <is>
          <t>Oftalmologia</t>
        </is>
      </c>
      <c r="C31" s="31" t="inlineStr">
        <is>
          <t>Cirúrgica</t>
        </is>
      </c>
      <c r="D31" s="31" t="n">
        <v>45</v>
      </c>
      <c r="E31" s="31" t="inlineStr">
        <is>
          <t>Sim</t>
        </is>
      </c>
    </row>
    <row r="32">
      <c r="A32" s="31" t="inlineStr">
        <is>
          <t>OTO</t>
        </is>
      </c>
      <c r="B32" s="33" t="inlineStr">
        <is>
          <t>Otorrinolaringologia</t>
        </is>
      </c>
      <c r="C32" s="31" t="inlineStr">
        <is>
          <t>Cirúrgica</t>
        </is>
      </c>
      <c r="D32" s="31" t="n">
        <v>75</v>
      </c>
      <c r="E32" s="31" t="inlineStr">
        <is>
          <t>Sim</t>
        </is>
      </c>
    </row>
    <row r="33">
      <c r="A33" s="31" t="inlineStr">
        <is>
          <t>BMF</t>
        </is>
      </c>
      <c r="B33" s="33" t="inlineStr">
        <is>
          <t>Buco-Maxilo-Facial</t>
        </is>
      </c>
      <c r="C33" s="31" t="inlineStr">
        <is>
          <t>Cirúrgica</t>
        </is>
      </c>
      <c r="D33" s="31" t="n">
        <v>120</v>
      </c>
      <c r="E33" s="31" t="inlineStr">
        <is>
          <t>Sim</t>
        </is>
      </c>
    </row>
    <row r="34">
      <c r="A34" s="31" t="inlineStr">
        <is>
          <t>PLA</t>
        </is>
      </c>
      <c r="B34" s="33" t="inlineStr">
        <is>
          <t>Cirurgia Plástica</t>
        </is>
      </c>
      <c r="C34" s="31" t="inlineStr">
        <is>
          <t>Cirúrgica</t>
        </is>
      </c>
      <c r="D34" s="31" t="n">
        <v>120</v>
      </c>
      <c r="E34" s="31" t="inlineStr">
        <is>
          <t>Sim</t>
        </is>
      </c>
    </row>
    <row r="35">
      <c r="A35" s="31" t="inlineStr">
        <is>
          <t>VAS</t>
        </is>
      </c>
      <c r="B35" s="33" t="inlineStr">
        <is>
          <t>Cirurgia Vascular</t>
        </is>
      </c>
      <c r="C35" s="31" t="inlineStr">
        <is>
          <t>Cirúrgica</t>
        </is>
      </c>
      <c r="D35" s="31" t="n">
        <v>150</v>
      </c>
      <c r="E35" s="31" t="inlineStr">
        <is>
          <t>Sim</t>
        </is>
      </c>
    </row>
    <row r="36">
      <c r="A36" s="31" t="inlineStr">
        <is>
          <t>TOR</t>
        </is>
      </c>
      <c r="B36" s="33" t="inlineStr">
        <is>
          <t>Cirurgia Torácica</t>
        </is>
      </c>
      <c r="C36" s="31" t="inlineStr">
        <is>
          <t>Cirúrgica</t>
        </is>
      </c>
      <c r="D36" s="31" t="n">
        <v>120</v>
      </c>
      <c r="E36" s="31" t="inlineStr">
        <is>
          <t>Sim</t>
        </is>
      </c>
    </row>
    <row r="37">
      <c r="A37" s="31" t="inlineStr">
        <is>
          <t>ADM</t>
        </is>
      </c>
      <c r="B37" s="33" t="inlineStr">
        <is>
          <t>Admissão</t>
        </is>
      </c>
      <c r="C37" s="31" t="inlineStr">
        <is>
          <t>Apoio</t>
        </is>
      </c>
      <c r="D37" s="31" t="n">
        <v>0</v>
      </c>
      <c r="E37" s="31" t="inlineStr">
        <is>
          <t>Sim</t>
        </is>
      </c>
    </row>
    <row r="38">
      <c r="A38" s="31" t="inlineStr">
        <is>
          <t>RN</t>
        </is>
      </c>
      <c r="B38" s="33" t="inlineStr">
        <is>
          <t>Sala de recém-nascido</t>
        </is>
      </c>
      <c r="C38" s="31" t="inlineStr">
        <is>
          <t>Apoio</t>
        </is>
      </c>
      <c r="D38" s="31" t="n">
        <v>0</v>
      </c>
      <c r="E38" s="31" t="inlineStr">
        <is>
          <t>Sim</t>
        </is>
      </c>
    </row>
    <row r="39">
      <c r="A39" s="31" t="n"/>
      <c r="B39" s="33" t="n"/>
      <c r="C39" s="31" t="n"/>
      <c r="D39" s="31" t="n"/>
      <c r="E39" s="31" t="n"/>
    </row>
    <row r="40">
      <c r="A40" s="31" t="n"/>
      <c r="B40" s="33" t="n"/>
      <c r="C40" s="31" t="n"/>
      <c r="D40" s="31" t="n"/>
      <c r="E40" s="31" t="n"/>
    </row>
    <row r="41">
      <c r="A41" s="31" t="n"/>
      <c r="B41" s="33" t="n"/>
      <c r="C41" s="31" t="n"/>
      <c r="D41" s="31" t="n"/>
      <c r="E41" s="31" t="n"/>
    </row>
    <row r="42">
      <c r="A42" s="2" t="inlineStr">
        <is>
          <t>Não se realizam cirurgias cardíacas. As duas de tipo Apoio (Admissão e Sala de recém-nascido) não são cirurgias, mas são postos que exigem habilidade.</t>
        </is>
      </c>
    </row>
    <row r="43">
      <c r="A43" s="9" t="inlineStr">
        <is>
          <t>5. POSTOS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</row>
    <row r="44" ht="32" customHeight="1">
      <c r="A44" s="7" t="inlineStr">
        <is>
          <t>Código</t>
        </is>
      </c>
      <c r="B44" s="7" t="inlineStr">
        <is>
          <t>Posto</t>
        </is>
      </c>
      <c r="C44" s="7" t="inlineStr">
        <is>
          <t>Tipo</t>
        </is>
      </c>
      <c r="D44" s="7" t="inlineStr">
        <is>
          <t>Técnicos</t>
        </is>
      </c>
      <c r="E44" s="7" t="inlineStr">
        <is>
          <t>Mínimo</t>
        </is>
      </c>
      <c r="F44" s="7" t="inlineStr">
        <is>
          <t>Prioridade</t>
        </is>
      </c>
      <c r="G44" s="7" t="inlineStr">
        <is>
          <t>Especialidade de referência</t>
        </is>
      </c>
      <c r="H44" s="7" t="inlineStr">
        <is>
          <t>Funciona em</t>
        </is>
      </c>
      <c r="I44" s="7" t="inlineStr">
        <is>
          <t>Status</t>
        </is>
      </c>
      <c r="J44" s="7" t="inlineStr">
        <is>
          <t>Observação</t>
        </is>
      </c>
      <c r="K44" s="7" t="inlineStr">
        <is>
          <t>Aceita encaixe</t>
        </is>
      </c>
    </row>
    <row r="45">
      <c r="A45" s="31" t="inlineStr">
        <is>
          <t>SO-01</t>
        </is>
      </c>
      <c r="B45" s="33" t="inlineStr">
        <is>
          <t>Sala 1</t>
        </is>
      </c>
      <c r="C45" s="31" t="inlineStr">
        <is>
          <t>Sala cirúrgica</t>
        </is>
      </c>
      <c r="D45" s="31" t="n">
        <v>2</v>
      </c>
      <c r="E45" s="31" t="n">
        <v>2</v>
      </c>
      <c r="F45" s="31" t="n">
        <v>5</v>
      </c>
      <c r="G45" s="33" t="inlineStr">
        <is>
          <t>Ortopedia</t>
        </is>
      </c>
      <c r="H45" s="31" t="inlineStr">
        <is>
          <t>Seg a Sex</t>
        </is>
      </c>
      <c r="I45" s="31" t="inlineStr">
        <is>
          <t>Ativo</t>
        </is>
      </c>
      <c r="J45" s="33" t="inlineStr">
        <is>
          <t>Eletivas de ortopedia</t>
        </is>
      </c>
      <c r="K45" s="31" t="inlineStr">
        <is>
          <t>Sim</t>
        </is>
      </c>
    </row>
    <row r="46">
      <c r="A46" s="31" t="inlineStr">
        <is>
          <t>SO-02</t>
        </is>
      </c>
      <c r="B46" s="33" t="inlineStr">
        <is>
          <t>Sala 2</t>
        </is>
      </c>
      <c r="C46" s="31" t="inlineStr">
        <is>
          <t>Sala cirúrgica</t>
        </is>
      </c>
      <c r="D46" s="31" t="n">
        <v>2</v>
      </c>
      <c r="E46" s="31" t="n">
        <v>2</v>
      </c>
      <c r="F46" s="31" t="n">
        <v>6</v>
      </c>
      <c r="G46" s="33" t="inlineStr">
        <is>
          <t>Cirurgia Geral</t>
        </is>
      </c>
      <c r="H46" s="31" t="inlineStr">
        <is>
          <t>Seg a Sex</t>
        </is>
      </c>
      <c r="I46" s="31" t="inlineStr">
        <is>
          <t>Ativo</t>
        </is>
      </c>
      <c r="J46" s="33" t="inlineStr">
        <is>
          <t>Eletivas de cirurgia geral</t>
        </is>
      </c>
      <c r="K46" s="31" t="inlineStr">
        <is>
          <t>Sim</t>
        </is>
      </c>
    </row>
    <row r="47">
      <c r="A47" s="31" t="inlineStr">
        <is>
          <t>SO-03</t>
        </is>
      </c>
      <c r="B47" s="33" t="inlineStr">
        <is>
          <t>Sala 3</t>
        </is>
      </c>
      <c r="C47" s="31" t="inlineStr">
        <is>
          <t>Sala cirúrgica</t>
        </is>
      </c>
      <c r="D47" s="31" t="n">
        <v>2</v>
      </c>
      <c r="E47" s="31" t="n">
        <v>2</v>
      </c>
      <c r="F47" s="31" t="n">
        <v>9</v>
      </c>
      <c r="G47" s="33" t="inlineStr">
        <is>
          <t>Neurocirurgia</t>
        </is>
      </c>
      <c r="H47" s="31" t="inlineStr">
        <is>
          <t>Seg a Sex</t>
        </is>
      </c>
      <c r="I47" s="31" t="inlineStr">
        <is>
          <t>Ativo</t>
        </is>
      </c>
      <c r="J47" s="33" t="inlineStr">
        <is>
          <t>Eletivas de neurocirurgia</t>
        </is>
      </c>
      <c r="K47" s="31" t="inlineStr">
        <is>
          <t>Sim</t>
        </is>
      </c>
    </row>
    <row r="48">
      <c r="A48" s="31" t="inlineStr">
        <is>
          <t>SO-04</t>
        </is>
      </c>
      <c r="B48" s="33" t="inlineStr">
        <is>
          <t>Sala 4</t>
        </is>
      </c>
      <c r="C48" s="31" t="inlineStr">
        <is>
          <t>Sala cirúrgica</t>
        </is>
      </c>
      <c r="D48" s="31" t="n">
        <v>2</v>
      </c>
      <c r="E48" s="31" t="n">
        <v>2</v>
      </c>
      <c r="F48" s="31" t="n">
        <v>10</v>
      </c>
      <c r="G48" s="33" t="inlineStr">
        <is>
          <t>Cirurgia Plástica</t>
        </is>
      </c>
      <c r="H48" s="31" t="inlineStr">
        <is>
          <t>Seg a Sex</t>
        </is>
      </c>
      <c r="I48" s="31" t="inlineStr">
        <is>
          <t>Ativo</t>
        </is>
      </c>
      <c r="J48" s="33" t="inlineStr">
        <is>
          <t>Plástica e vascular</t>
        </is>
      </c>
      <c r="K48" s="31" t="inlineStr">
        <is>
          <t>Sim</t>
        </is>
      </c>
    </row>
    <row r="49">
      <c r="A49" s="31" t="inlineStr">
        <is>
          <t>SO-05</t>
        </is>
      </c>
      <c r="B49" s="33" t="inlineStr">
        <is>
          <t>Sala 5</t>
        </is>
      </c>
      <c r="C49" s="31" t="inlineStr">
        <is>
          <t>Sala cirúrgica</t>
        </is>
      </c>
      <c r="D49" s="31" t="n">
        <v>2</v>
      </c>
      <c r="E49" s="31" t="n">
        <v>2</v>
      </c>
      <c r="F49" s="31" t="n">
        <v>7</v>
      </c>
      <c r="G49" s="33" t="inlineStr">
        <is>
          <t>Ginecologia</t>
        </is>
      </c>
      <c r="H49" s="31" t="inlineStr">
        <is>
          <t>Seg a Sex</t>
        </is>
      </c>
      <c r="I49" s="31" t="inlineStr">
        <is>
          <t>Ativo</t>
        </is>
      </c>
      <c r="J49" s="33" t="inlineStr">
        <is>
          <t>Gineco e urologia</t>
        </is>
      </c>
      <c r="K49" s="31" t="inlineStr">
        <is>
          <t>Sim</t>
        </is>
      </c>
    </row>
    <row r="50">
      <c r="A50" s="31" t="inlineStr">
        <is>
          <t>SO-06</t>
        </is>
      </c>
      <c r="B50" s="33" t="inlineStr">
        <is>
          <t>Sala 6</t>
        </is>
      </c>
      <c r="C50" s="31" t="inlineStr">
        <is>
          <t>Sala cirúrgica</t>
        </is>
      </c>
      <c r="D50" s="31" t="n">
        <v>2</v>
      </c>
      <c r="E50" s="31" t="n">
        <v>2</v>
      </c>
      <c r="F50" s="31" t="n">
        <v>2</v>
      </c>
      <c r="G50" s="33" t="inlineStr">
        <is>
          <t>Cesariana</t>
        </is>
      </c>
      <c r="H50" s="31" t="inlineStr">
        <is>
          <t>Todos os dias</t>
        </is>
      </c>
      <c r="I50" s="31" t="inlineStr">
        <is>
          <t>Ativo</t>
        </is>
      </c>
      <c r="J50" s="33" t="inlineStr">
        <is>
          <t>EXCLUSIVA do centro obstétrico</t>
        </is>
      </c>
      <c r="K50" s="31" t="inlineStr">
        <is>
          <t>Não</t>
        </is>
      </c>
    </row>
    <row r="51">
      <c r="A51" s="31" t="inlineStr">
        <is>
          <t>SO-07</t>
        </is>
      </c>
      <c r="B51" s="33" t="inlineStr">
        <is>
          <t>Sala 7</t>
        </is>
      </c>
      <c r="C51" s="31" t="inlineStr">
        <is>
          <t>Sala cirúrgica</t>
        </is>
      </c>
      <c r="D51" s="31" t="n">
        <v>2</v>
      </c>
      <c r="E51" s="31" t="n">
        <v>2</v>
      </c>
      <c r="F51" s="31" t="n">
        <v>1</v>
      </c>
      <c r="G51" s="33" t="inlineStr">
        <is>
          <t>Cirurgia Geral</t>
        </is>
      </c>
      <c r="H51" s="31" t="inlineStr">
        <is>
          <t>Todos os dias</t>
        </is>
      </c>
      <c r="I51" s="31" t="inlineStr">
        <is>
          <t>Ativo</t>
        </is>
      </c>
      <c r="J51" s="33" t="inlineStr">
        <is>
          <t>RESERVADA a urgências</t>
        </is>
      </c>
      <c r="K51" s="31" t="inlineStr">
        <is>
          <t>Não</t>
        </is>
      </c>
    </row>
    <row r="52">
      <c r="A52" s="31" t="inlineStr">
        <is>
          <t>SO-08</t>
        </is>
      </c>
      <c r="B52" s="33" t="inlineStr">
        <is>
          <t>Sala 8</t>
        </is>
      </c>
      <c r="C52" s="31" t="inlineStr">
        <is>
          <t>Sala cirúrgica</t>
        </is>
      </c>
      <c r="D52" s="31" t="n">
        <v>2</v>
      </c>
      <c r="E52" s="31" t="n">
        <v>2</v>
      </c>
      <c r="F52" s="31" t="n">
        <v>8</v>
      </c>
      <c r="G52" s="33" t="inlineStr">
        <is>
          <t>Oftalmologia</t>
        </is>
      </c>
      <c r="H52" s="31" t="inlineStr">
        <is>
          <t>Seg a Sex</t>
        </is>
      </c>
      <c r="I52" s="31" t="inlineStr">
        <is>
          <t>Ativo</t>
        </is>
      </c>
      <c r="J52" s="33" t="inlineStr">
        <is>
          <t>Oftalmologia</t>
        </is>
      </c>
      <c r="K52" s="31" t="inlineStr">
        <is>
          <t>Sim</t>
        </is>
      </c>
    </row>
    <row r="53">
      <c r="A53" s="31" t="inlineStr">
        <is>
          <t>ADM</t>
        </is>
      </c>
      <c r="B53" s="33" t="inlineStr">
        <is>
          <t>Admissão</t>
        </is>
      </c>
      <c r="C53" s="31" t="inlineStr">
        <is>
          <t>Apoio</t>
        </is>
      </c>
      <c r="D53" s="31" t="n">
        <v>2</v>
      </c>
      <c r="E53" s="31" t="n">
        <v>1</v>
      </c>
      <c r="F53" s="31" t="n">
        <v>4</v>
      </c>
      <c r="G53" s="33" t="inlineStr">
        <is>
          <t>Admissão</t>
        </is>
      </c>
      <c r="H53" s="31" t="inlineStr">
        <is>
          <t>Todos os dias</t>
        </is>
      </c>
      <c r="I53" s="31" t="inlineStr">
        <is>
          <t>Ativo</t>
        </is>
      </c>
      <c r="J53" s="33" t="inlineStr">
        <is>
          <t>Recepção e preparo do paciente</t>
        </is>
      </c>
      <c r="K53" s="31" t="inlineStr">
        <is>
          <t>Não</t>
        </is>
      </c>
    </row>
    <row r="54">
      <c r="A54" s="31" t="inlineStr">
        <is>
          <t>BOX</t>
        </is>
      </c>
      <c r="B54" s="33" t="inlineStr">
        <is>
          <t>Box de preparo oftalmológico</t>
        </is>
      </c>
      <c r="C54" s="31" t="inlineStr">
        <is>
          <t>Apoio</t>
        </is>
      </c>
      <c r="D54" s="31" t="n">
        <v>1</v>
      </c>
      <c r="E54" s="31" t="n">
        <v>1</v>
      </c>
      <c r="F54" s="31" t="n">
        <v>11</v>
      </c>
      <c r="G54" s="33" t="inlineStr">
        <is>
          <t>Oftalmologia</t>
        </is>
      </c>
      <c r="H54" s="31" t="inlineStr">
        <is>
          <t>Seg a Sex</t>
        </is>
      </c>
      <c r="I54" s="31" t="inlineStr">
        <is>
          <t>Ativo</t>
        </is>
      </c>
      <c r="J54" s="33" t="inlineStr">
        <is>
          <t>Apoio da Sala 8</t>
        </is>
      </c>
      <c r="K54" s="31" t="inlineStr">
        <is>
          <t>Não</t>
        </is>
      </c>
    </row>
    <row r="55">
      <c r="A55" s="31" t="inlineStr">
        <is>
          <t>RN</t>
        </is>
      </c>
      <c r="B55" s="33" t="inlineStr">
        <is>
          <t>Sala de recém-nascido</t>
        </is>
      </c>
      <c r="C55" s="31" t="inlineStr">
        <is>
          <t>Apoio</t>
        </is>
      </c>
      <c r="D55" s="31" t="n">
        <v>1</v>
      </c>
      <c r="E55" s="31" t="n">
        <v>1</v>
      </c>
      <c r="F55" s="31" t="n">
        <v>3</v>
      </c>
      <c r="G55" s="33" t="inlineStr">
        <is>
          <t>Sala de recém-nascido</t>
        </is>
      </c>
      <c r="H55" s="31" t="inlineStr">
        <is>
          <t>Todos os dias</t>
        </is>
      </c>
      <c r="I55" s="31" t="inlineStr">
        <is>
          <t>Ativo</t>
        </is>
      </c>
      <c r="J55" s="33" t="inlineStr">
        <is>
          <t>Bloco obstétrico</t>
        </is>
      </c>
      <c r="K55" s="31" t="inlineStr">
        <is>
          <t>Não</t>
        </is>
      </c>
    </row>
    <row r="56">
      <c r="A56" s="31" t="n"/>
      <c r="B56" s="33" t="n"/>
      <c r="C56" s="31" t="n"/>
      <c r="D56" s="31" t="n"/>
      <c r="E56" s="31" t="n"/>
      <c r="F56" s="31" t="n"/>
      <c r="G56" s="33" t="n"/>
      <c r="H56" s="31" t="n"/>
      <c r="I56" s="31" t="n"/>
      <c r="J56" s="33" t="n"/>
      <c r="K56" s="31" t="n"/>
    </row>
    <row r="57">
      <c r="A57" s="31" t="n"/>
      <c r="B57" s="33" t="n"/>
      <c r="C57" s="31" t="n"/>
      <c r="D57" s="31" t="n"/>
      <c r="E57" s="31" t="n"/>
      <c r="F57" s="31" t="n"/>
      <c r="G57" s="33" t="n"/>
      <c r="H57" s="31" t="n"/>
      <c r="I57" s="31" t="n"/>
      <c r="J57" s="33" t="n"/>
      <c r="K57" s="31" t="n"/>
    </row>
    <row r="58">
      <c r="A58" s="31" t="n"/>
      <c r="B58" s="33" t="n"/>
      <c r="C58" s="31" t="n"/>
      <c r="D58" s="31" t="n"/>
      <c r="E58" s="31" t="n"/>
      <c r="F58" s="31" t="n"/>
      <c r="G58" s="33" t="n"/>
      <c r="H58" s="31" t="n"/>
      <c r="I58" s="31" t="n"/>
      <c r="J58" s="33" t="n"/>
      <c r="K58" s="31" t="n"/>
    </row>
    <row r="59">
      <c r="A59" s="31" t="n"/>
      <c r="B59" s="33" t="n"/>
      <c r="C59" s="31" t="n"/>
      <c r="D59" s="31" t="n"/>
      <c r="E59" s="31" t="n"/>
      <c r="F59" s="31" t="n"/>
      <c r="G59" s="33" t="n"/>
      <c r="H59" s="31" t="n"/>
      <c r="I59" s="31" t="n"/>
      <c r="J59" s="33" t="n"/>
      <c r="K59" s="31" t="n"/>
    </row>
    <row r="60">
      <c r="A60" s="31" t="n"/>
      <c r="B60" s="33" t="n"/>
      <c r="C60" s="31" t="n"/>
      <c r="D60" s="31" t="n"/>
      <c r="E60" s="31" t="n"/>
      <c r="F60" s="31" t="n"/>
      <c r="G60" s="33" t="n"/>
      <c r="H60" s="31" t="n"/>
      <c r="I60" s="31" t="n"/>
      <c r="J60" s="33" t="n"/>
      <c r="K60" s="31" t="n"/>
    </row>
    <row r="61">
      <c r="A61" s="2" t="inlineStr">
        <is>
          <t>Prioridade 1 é coberta primeiro quando falta gente. 'Funciona em' define os dias: nos fins de semana e feriados os postos de dia útil não operam e as vagas do dia caem junto. 'Aceita encaixe' diz se a sala entra no ranking de encaixe do Painel — a de urgência e a do centro obstétrico ficam de fora.</t>
        </is>
      </c>
    </row>
    <row r="62">
      <c r="A62" s="9" t="inlineStr">
        <is>
          <t>6. FERIADOS — nesses dias os postos de dia útil não operam</t>
        </is>
      </c>
      <c r="B62" s="10" t="n"/>
      <c r="C62" s="10" t="n"/>
    </row>
    <row r="63" ht="18" customHeight="1">
      <c r="A63" s="7" t="inlineStr">
        <is>
          <t>Data</t>
        </is>
      </c>
      <c r="B63" s="7" t="inlineStr">
        <is>
          <t>Feriado</t>
        </is>
      </c>
      <c r="C63" s="7" t="inlineStr"/>
    </row>
    <row r="64">
      <c r="A64" s="51" t="n">
        <v>46023</v>
      </c>
      <c r="B64" s="49" t="inlineStr">
        <is>
          <t>Confraternização Universal</t>
        </is>
      </c>
    </row>
    <row r="65">
      <c r="A65" s="51" t="n">
        <v>46069</v>
      </c>
      <c r="B65" s="49" t="inlineStr">
        <is>
          <t>Carnaval</t>
        </is>
      </c>
    </row>
    <row r="66">
      <c r="A66" s="51" t="n">
        <v>46070</v>
      </c>
      <c r="B66" s="49" t="inlineStr">
        <is>
          <t>Carnaval</t>
        </is>
      </c>
    </row>
    <row r="67">
      <c r="A67" s="51" t="n">
        <v>46115</v>
      </c>
      <c r="B67" s="49" t="inlineStr">
        <is>
          <t>Sexta-feira Santa</t>
        </is>
      </c>
    </row>
    <row r="68">
      <c r="A68" s="51" t="n">
        <v>46133</v>
      </c>
      <c r="B68" s="49" t="inlineStr">
        <is>
          <t>Tiradentes</t>
        </is>
      </c>
    </row>
    <row r="69">
      <c r="A69" s="51" t="n">
        <v>46143</v>
      </c>
      <c r="B69" s="49" t="inlineStr">
        <is>
          <t>Dia do Trabalho</t>
        </is>
      </c>
    </row>
    <row r="70">
      <c r="A70" s="51" t="n">
        <v>46177</v>
      </c>
      <c r="B70" s="49" t="inlineStr">
        <is>
          <t>Corpus Christi</t>
        </is>
      </c>
    </row>
    <row r="71">
      <c r="A71" s="51" t="n">
        <v>46272</v>
      </c>
      <c r="B71" s="49" t="inlineStr">
        <is>
          <t>Independência</t>
        </is>
      </c>
    </row>
    <row r="72">
      <c r="A72" s="51" t="n">
        <v>46307</v>
      </c>
      <c r="B72" s="49" t="inlineStr">
        <is>
          <t>Nossa Senhora Aparecida</t>
        </is>
      </c>
    </row>
    <row r="73">
      <c r="A73" s="51" t="n">
        <v>46328</v>
      </c>
      <c r="B73" s="49" t="inlineStr">
        <is>
          <t>Finados</t>
        </is>
      </c>
    </row>
    <row r="74">
      <c r="A74" s="51" t="n">
        <v>46341</v>
      </c>
      <c r="B74" s="49" t="inlineStr">
        <is>
          <t>Proclamação da República</t>
        </is>
      </c>
    </row>
    <row r="75">
      <c r="A75" s="51" t="n">
        <v>46381</v>
      </c>
      <c r="B75" s="49" t="inlineStr">
        <is>
          <t>Natal</t>
        </is>
      </c>
    </row>
    <row r="76">
      <c r="A76" s="51" t="n"/>
      <c r="B76" s="49" t="n"/>
    </row>
    <row r="77">
      <c r="A77" s="51" t="n"/>
      <c r="B77" s="49" t="n"/>
    </row>
    <row r="78">
      <c r="A78" s="51" t="n"/>
      <c r="B78" s="49" t="n"/>
    </row>
    <row r="79">
      <c r="A79" s="51" t="n"/>
      <c r="B79" s="49" t="n"/>
    </row>
    <row r="80">
      <c r="A80" s="51" t="n"/>
      <c r="B80" s="49" t="n"/>
    </row>
    <row r="81">
      <c r="A81" s="51" t="n"/>
      <c r="B81" s="49" t="n"/>
    </row>
    <row r="82">
      <c r="A82" s="51" t="n"/>
      <c r="B82" s="49" t="n"/>
    </row>
    <row r="83">
      <c r="A83" s="51" t="n"/>
      <c r="B83" s="49" t="n"/>
    </row>
    <row r="85">
      <c r="A85" s="9" t="inlineStr">
        <is>
          <t>7. TIPOS DE AUSÊNCIA</t>
        </is>
      </c>
      <c r="B85" s="10" t="n"/>
      <c r="C85" s="10" t="n"/>
    </row>
    <row r="86" ht="18" customHeight="1">
      <c r="A86" s="7" t="inlineStr">
        <is>
          <t>Tipo</t>
        </is>
      </c>
      <c r="B86" s="7" t="inlineStr">
        <is>
          <t>Sigla</t>
        </is>
      </c>
      <c r="C86" s="7" t="inlineStr">
        <is>
          <t>Cor</t>
        </is>
      </c>
    </row>
    <row r="87">
      <c r="A87" s="14" t="inlineStr">
        <is>
          <t>Folga</t>
        </is>
      </c>
      <c r="B87" s="19" t="inlineStr">
        <is>
          <t>F</t>
        </is>
      </c>
      <c r="C87" s="55" t="n"/>
    </row>
    <row r="88">
      <c r="A88" s="14" t="inlineStr">
        <is>
          <t>Férias</t>
        </is>
      </c>
      <c r="B88" s="19" t="inlineStr">
        <is>
          <t>FR</t>
        </is>
      </c>
      <c r="C88" s="56" t="n"/>
    </row>
    <row r="89">
      <c r="A89" s="14" t="inlineStr">
        <is>
          <t>Atestado</t>
        </is>
      </c>
      <c r="B89" s="19" t="inlineStr">
        <is>
          <t>AT</t>
        </is>
      </c>
      <c r="C89" s="57" t="n"/>
    </row>
    <row r="90">
      <c r="A90" s="14" t="inlineStr">
        <is>
          <t>Licença</t>
        </is>
      </c>
      <c r="B90" s="19" t="inlineStr">
        <is>
          <t>LI</t>
        </is>
      </c>
      <c r="C90" s="58" t="n"/>
    </row>
    <row r="91">
      <c r="A91" s="14" t="inlineStr">
        <is>
          <t>Treinamento</t>
        </is>
      </c>
      <c r="B91" s="19" t="inlineStr">
        <is>
          <t>TR</t>
        </is>
      </c>
      <c r="C91" s="59" t="n"/>
    </row>
    <row r="92">
      <c r="A92" s="14" t="inlineStr">
        <is>
          <t>FH</t>
        </is>
      </c>
      <c r="B92" s="19" t="inlineStr">
        <is>
          <t>FH</t>
        </is>
      </c>
      <c r="C92" s="60" t="n"/>
    </row>
    <row r="93">
      <c r="A93" s="14" t="inlineStr">
        <is>
          <t>Licença gestação</t>
        </is>
      </c>
      <c r="B93" s="19" t="inlineStr">
        <is>
          <t>LG</t>
        </is>
      </c>
      <c r="C93" s="61" t="n"/>
    </row>
    <row r="95">
      <c r="A95" s="9" t="inlineStr">
        <is>
          <t>8. CIRURGIÕES — de/para usado ao importar a agenda do dia</t>
        </is>
      </c>
      <c r="B95" s="10" t="n"/>
      <c r="C95" s="10" t="n"/>
    </row>
    <row r="96" ht="28" customHeight="1">
      <c r="A96" s="7" t="inlineStr">
        <is>
          <t>Cirurgião (como sai na agenda)</t>
        </is>
      </c>
      <c r="B96" s="7" t="inlineStr">
        <is>
          <t>Especialidade</t>
        </is>
      </c>
      <c r="C96" s="7" t="inlineStr">
        <is>
          <t>Observação</t>
        </is>
      </c>
    </row>
    <row r="97">
      <c r="A97" s="49" t="inlineStr">
        <is>
          <t>Dr. Almeida</t>
        </is>
      </c>
      <c r="B97" s="49" t="inlineStr">
        <is>
          <t>Ortopedia</t>
        </is>
      </c>
      <c r="C97" s="49" t="inlineStr"/>
    </row>
    <row r="98">
      <c r="A98" s="49" t="inlineStr">
        <is>
          <t>Dra. Bernardes</t>
        </is>
      </c>
      <c r="B98" s="49" t="inlineStr">
        <is>
          <t>Cirurgia Geral</t>
        </is>
      </c>
      <c r="C98" s="49" t="inlineStr"/>
    </row>
    <row r="99">
      <c r="A99" s="49" t="inlineStr">
        <is>
          <t>Dr. Coelho</t>
        </is>
      </c>
      <c r="B99" s="49" t="inlineStr">
        <is>
          <t>Neurocirurgia</t>
        </is>
      </c>
      <c r="C99" s="49" t="inlineStr"/>
    </row>
    <row r="100">
      <c r="A100" s="49" t="inlineStr">
        <is>
          <t>Dra. Delgado</t>
        </is>
      </c>
      <c r="B100" s="49" t="inlineStr">
        <is>
          <t>Cirurgia Plástica</t>
        </is>
      </c>
      <c r="C100" s="49" t="inlineStr"/>
    </row>
    <row r="101">
      <c r="A101" s="49" t="inlineStr">
        <is>
          <t>Dr. Esteves</t>
        </is>
      </c>
      <c r="B101" s="49" t="inlineStr">
        <is>
          <t>Ginecologia</t>
        </is>
      </c>
      <c r="C101" s="49" t="inlineStr"/>
    </row>
    <row r="102">
      <c r="A102" s="49" t="inlineStr">
        <is>
          <t>Dra. Fialho</t>
        </is>
      </c>
      <c r="B102" s="49" t="inlineStr">
        <is>
          <t>Urologia</t>
        </is>
      </c>
      <c r="C102" s="49" t="inlineStr"/>
    </row>
    <row r="103">
      <c r="A103" s="49" t="inlineStr">
        <is>
          <t>Dr. Gouveia</t>
        </is>
      </c>
      <c r="B103" s="49" t="inlineStr">
        <is>
          <t>Oftalmologia</t>
        </is>
      </c>
      <c r="C103" s="49" t="inlineStr"/>
    </row>
    <row r="104">
      <c r="A104" s="49" t="inlineStr">
        <is>
          <t>Dra. Hirano</t>
        </is>
      </c>
      <c r="B104" s="49" t="inlineStr">
        <is>
          <t>Cirurgia Vascular</t>
        </is>
      </c>
      <c r="C104" s="49" t="inlineStr"/>
    </row>
    <row r="105">
      <c r="A105" s="49" t="n"/>
      <c r="B105" s="49" t="n"/>
      <c r="C105" s="49" t="n"/>
    </row>
    <row r="106">
      <c r="A106" s="49" t="n"/>
      <c r="B106" s="49" t="n"/>
      <c r="C106" s="49" t="n"/>
    </row>
    <row r="107">
      <c r="A107" s="49" t="n"/>
      <c r="B107" s="49" t="n"/>
      <c r="C107" s="49" t="n"/>
    </row>
    <row r="108">
      <c r="A108" s="49" t="n"/>
      <c r="B108" s="49" t="n"/>
      <c r="C108" s="49" t="n"/>
    </row>
    <row r="109">
      <c r="A109" s="49" t="n"/>
      <c r="B109" s="49" t="n"/>
      <c r="C109" s="49" t="n"/>
    </row>
    <row r="110">
      <c r="A110" s="49" t="n"/>
      <c r="B110" s="49" t="n"/>
      <c r="C110" s="49" t="n"/>
    </row>
    <row r="111">
      <c r="A111" s="49" t="n"/>
      <c r="B111" s="49" t="n"/>
      <c r="C111" s="49" t="n"/>
    </row>
    <row r="112">
      <c r="A112" s="49" t="n"/>
      <c r="B112" s="49" t="n"/>
      <c r="C112" s="49" t="n"/>
    </row>
    <row r="113">
      <c r="A113" s="49" t="n"/>
      <c r="B113" s="49" t="n"/>
      <c r="C113" s="49" t="n"/>
    </row>
    <row r="114">
      <c r="A114" s="49" t="n"/>
      <c r="B114" s="49" t="n"/>
      <c r="C114" s="49" t="n"/>
    </row>
    <row r="115">
      <c r="A115" s="49" t="n"/>
      <c r="B115" s="49" t="n"/>
      <c r="C115" s="49" t="n"/>
    </row>
    <row r="116">
      <c r="A116" s="49" t="n"/>
      <c r="B116" s="49" t="n"/>
      <c r="C116" s="49" t="n"/>
    </row>
    <row r="117">
      <c r="A117" s="49" t="n"/>
      <c r="B117" s="49" t="n"/>
      <c r="C117" s="49" t="n"/>
    </row>
    <row r="118">
      <c r="A118" s="49" t="n"/>
      <c r="B118" s="49" t="n"/>
      <c r="C118" s="49" t="n"/>
    </row>
    <row r="119">
      <c r="A119" s="49" t="n"/>
      <c r="B119" s="49" t="n"/>
      <c r="C119" s="49" t="n"/>
    </row>
    <row r="120">
      <c r="A120" s="49" t="n"/>
      <c r="B120" s="49" t="n"/>
      <c r="C120" s="49" t="n"/>
    </row>
    <row r="121">
      <c r="A121" s="49" t="n"/>
      <c r="B121" s="49" t="n"/>
      <c r="C121" s="49" t="n"/>
    </row>
    <row r="122">
      <c r="A122" s="49" t="n"/>
      <c r="B122" s="49" t="n"/>
      <c r="C122" s="49" t="n"/>
    </row>
    <row r="123">
      <c r="A123" s="49" t="n"/>
      <c r="B123" s="49" t="n"/>
      <c r="C123" s="49" t="n"/>
    </row>
    <row r="124">
      <c r="A124" s="49" t="n"/>
      <c r="B124" s="49" t="n"/>
      <c r="C124" s="49" t="n"/>
    </row>
    <row r="125">
      <c r="A125" s="49" t="n"/>
      <c r="B125" s="49" t="n"/>
      <c r="C125" s="49" t="n"/>
    </row>
    <row r="126">
      <c r="A126" s="49" t="n"/>
      <c r="B126" s="49" t="n"/>
      <c r="C126" s="49" t="n"/>
    </row>
    <row r="127">
      <c r="A127" s="49" t="n"/>
      <c r="B127" s="49" t="n"/>
      <c r="C127" s="49" t="n"/>
    </row>
    <row r="128">
      <c r="A128" s="49" t="n"/>
      <c r="B128" s="49" t="n"/>
      <c r="C128" s="49" t="n"/>
    </row>
    <row r="129">
      <c r="A129" s="49" t="n"/>
      <c r="B129" s="49" t="n"/>
      <c r="C129" s="49" t="n"/>
    </row>
    <row r="130">
      <c r="A130" s="49" t="n"/>
      <c r="B130" s="49" t="n"/>
      <c r="C130" s="49" t="n"/>
    </row>
    <row r="131">
      <c r="A131" s="49" t="n"/>
      <c r="B131" s="49" t="n"/>
      <c r="C131" s="49" t="n"/>
    </row>
    <row r="132">
      <c r="A132" s="49" t="n"/>
      <c r="B132" s="49" t="n"/>
      <c r="C132" s="49" t="n"/>
    </row>
    <row r="133">
      <c r="A133" s="49" t="n"/>
      <c r="B133" s="49" t="n"/>
      <c r="C133" s="49" t="n"/>
    </row>
    <row r="134">
      <c r="A134" s="49" t="n"/>
      <c r="B134" s="49" t="n"/>
      <c r="C134" s="49" t="n"/>
    </row>
    <row r="135">
      <c r="A135" s="49" t="n"/>
      <c r="B135" s="49" t="n"/>
      <c r="C135" s="49" t="n"/>
    </row>
    <row r="136">
      <c r="A136" s="49" t="n"/>
      <c r="B136" s="49" t="n"/>
      <c r="C136" s="49" t="n"/>
    </row>
    <row r="137">
      <c r="A137" s="49" t="n"/>
      <c r="B137" s="49" t="n"/>
      <c r="C137" s="49" t="n"/>
    </row>
    <row r="138">
      <c r="A138" s="49" t="n"/>
      <c r="B138" s="49" t="n"/>
      <c r="C138" s="49" t="n"/>
    </row>
    <row r="139">
      <c r="A139" s="49" t="n"/>
      <c r="B139" s="49" t="n"/>
      <c r="C139" s="49" t="n"/>
    </row>
    <row r="140">
      <c r="A140" s="49" t="n"/>
      <c r="B140" s="49" t="n"/>
      <c r="C140" s="49" t="n"/>
    </row>
    <row r="141">
      <c r="A141" s="49" t="n"/>
      <c r="B141" s="49" t="n"/>
      <c r="C141" s="49" t="n"/>
    </row>
    <row r="142">
      <c r="A142" s="49" t="n"/>
      <c r="B142" s="49" t="n"/>
      <c r="C142" s="49" t="n"/>
    </row>
    <row r="143">
      <c r="A143" s="49" t="n"/>
      <c r="B143" s="49" t="n"/>
      <c r="C143" s="49" t="n"/>
    </row>
    <row r="144">
      <c r="A144" s="49" t="n"/>
      <c r="B144" s="49" t="n"/>
      <c r="C144" s="49" t="n"/>
    </row>
    <row r="145">
      <c r="A145" s="49" t="n"/>
      <c r="B145" s="49" t="n"/>
      <c r="C145" s="49" t="n"/>
    </row>
    <row r="146">
      <c r="A146" s="49" t="n"/>
      <c r="B146" s="49" t="n"/>
      <c r="C146" s="49" t="n"/>
    </row>
    <row r="147">
      <c r="A147" s="49" t="n"/>
      <c r="B147" s="49" t="n"/>
      <c r="C147" s="49" t="n"/>
    </row>
    <row r="148">
      <c r="A148" s="49" t="n"/>
      <c r="B148" s="49" t="n"/>
      <c r="C148" s="49" t="n"/>
    </row>
    <row r="149">
      <c r="A149" s="49" t="n"/>
      <c r="B149" s="49" t="n"/>
      <c r="C149" s="49" t="n"/>
    </row>
    <row r="150">
      <c r="A150" s="49" t="n"/>
      <c r="B150" s="49" t="n"/>
      <c r="C150" s="49" t="n"/>
    </row>
    <row r="151">
      <c r="A151" s="49" t="n"/>
      <c r="B151" s="49" t="n"/>
      <c r="C151" s="49" t="n"/>
    </row>
    <row r="152">
      <c r="A152" s="49" t="n"/>
      <c r="B152" s="49" t="n"/>
      <c r="C152" s="49" t="n"/>
    </row>
    <row r="153">
      <c r="A153" s="49" t="n"/>
      <c r="B153" s="49" t="n"/>
      <c r="C153" s="49" t="n"/>
    </row>
    <row r="154">
      <c r="A154" s="49" t="n"/>
      <c r="B154" s="49" t="n"/>
      <c r="C154" s="49" t="n"/>
    </row>
    <row r="155">
      <c r="A155" s="49" t="n"/>
      <c r="B155" s="49" t="n"/>
      <c r="C155" s="49" t="n"/>
    </row>
    <row r="156">
      <c r="A156" s="49" t="n"/>
      <c r="B156" s="49" t="n"/>
      <c r="C156" s="49" t="n"/>
    </row>
    <row r="157">
      <c r="A157" s="2" t="inlineStr">
        <is>
          <t>A agenda do hospital não traz a especialidade da cirurgia, traz o cirurgião. Preencha a especialidade de cada cirurgião uma única vez: a importação da agenda passa a preencher a coluna Especialidade do Mapa sozinha e acrescenta aqui, em branco, todo cirurgião novo que aparecer.</t>
        </is>
      </c>
    </row>
  </sheetData>
  <mergeCells count="3">
    <mergeCell ref="B6:C6"/>
    <mergeCell ref="B5:C5"/>
    <mergeCell ref="B7:C7"/>
  </mergeCells>
  <dataValidations count="9">
    <dataValidation sqref="C22:C41" showDropDown="0" showInputMessage="0" showErrorMessage="1" allowBlank="1" type="list">
      <formula1>"Cirúrgica,Apoio"</formula1>
    </dataValidation>
    <dataValidation sqref="E22:E41" showDropDown="0" showInputMessage="0" showErrorMessage="1" allowBlank="1" type="list">
      <formula1>"Sim,Não"</formula1>
    </dataValidation>
    <dataValidation sqref="C45:C60" showDropDown="0" showInputMessage="0" showErrorMessage="1" allowBlank="1" type="list">
      <formula1>=Lista_TipoPosto</formula1>
    </dataValidation>
    <dataValidation sqref="G45:G60" showDropDown="0" showInputMessage="0" showErrorMessage="1" allowBlank="1" type="list">
      <formula1>=Lista_Especialidades</formula1>
    </dataValidation>
    <dataValidation sqref="H45:H60" showDropDown="0" showInputMessage="0" showErrorMessage="1" allowBlank="1" type="list">
      <formula1>"Todos os dias,Seg a Sex,Seg a Sáb"</formula1>
    </dataValidation>
    <dataValidation sqref="I45:I60" showDropDown="0" showInputMessage="0" showErrorMessage="1" allowBlank="1" type="list">
      <formula1>"Ativo,Inativo"</formula1>
    </dataValidation>
    <dataValidation sqref="K45:K60" showDropDown="0" showInputMessage="0" showErrorMessage="1" allowBlank="1" type="list">
      <formula1>"Sim,Não"</formula1>
    </dataValidation>
    <dataValidation sqref="D45:E60" showDropDown="0" showInputMessage="0" showErrorMessage="1" allowBlank="1" type="whole" operator="between">
      <formula1>1</formula1>
      <formula2>4</formula2>
    </dataValidation>
    <dataValidation sqref="B97:B156" showDropDown="0" showInputMessage="0" showErrorMessage="1" allowBlank="1" type="list">
      <formula1>=Lista_Especialidades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7" t="inlineStr">
        <is>
          <t>Posto</t>
        </is>
      </c>
      <c r="B1" s="7" t="inlineStr">
        <is>
          <t>Tipo</t>
        </is>
      </c>
      <c r="C1" s="7" t="inlineStr">
        <is>
          <t>Especialidade de referência</t>
        </is>
      </c>
      <c r="D1" s="7" t="inlineStr">
        <is>
          <t>Min. agendados</t>
        </is>
      </c>
      <c r="E1" s="36">
        <f>IF('Configuração'!$B$22="","",'Configuração'!$B$22)</f>
        <v/>
      </c>
      <c r="F1" s="36">
        <f>IF('Configuração'!$B$23="","",'Configuração'!$B$23)</f>
        <v/>
      </c>
      <c r="G1" s="36">
        <f>IF('Configuração'!$B$24="","",'Configuração'!$B$24)</f>
        <v/>
      </c>
      <c r="H1" s="36">
        <f>IF('Configuração'!$B$25="","",'Configuração'!$B$25)</f>
        <v/>
      </c>
      <c r="I1" s="36">
        <f>IF('Configuração'!$B$26="","",'Configuração'!$B$26)</f>
        <v/>
      </c>
      <c r="J1" s="36">
        <f>IF('Configuração'!$B$27="","",'Configuração'!$B$27)</f>
        <v/>
      </c>
      <c r="K1" s="36">
        <f>IF('Configuração'!$B$28="","",'Configuração'!$B$28)</f>
        <v/>
      </c>
      <c r="L1" s="36">
        <f>IF('Configuração'!$B$29="","",'Configuração'!$B$29)</f>
        <v/>
      </c>
      <c r="M1" s="36">
        <f>IF('Configuração'!$B$30="","",'Configuração'!$B$30)</f>
        <v/>
      </c>
      <c r="N1" s="36">
        <f>IF('Configuração'!$B$31="","",'Configuração'!$B$31)</f>
        <v/>
      </c>
      <c r="O1" s="36">
        <f>IF('Configuração'!$B$32="","",'Configuração'!$B$32)</f>
        <v/>
      </c>
      <c r="P1" s="36">
        <f>IF('Configuração'!$B$33="","",'Configuração'!$B$33)</f>
        <v/>
      </c>
      <c r="Q1" s="36">
        <f>IF('Configuração'!$B$34="","",'Configuração'!$B$34)</f>
        <v/>
      </c>
      <c r="R1" s="36">
        <f>IF('Configuração'!$B$35="","",'Configuração'!$B$35)</f>
        <v/>
      </c>
      <c r="S1" s="36">
        <f>IF('Configuração'!$B$36="","",'Configuração'!$B$36)</f>
        <v/>
      </c>
      <c r="T1" s="36">
        <f>IF('Configuração'!$B$37="","",'Configuração'!$B$37)</f>
        <v/>
      </c>
      <c r="U1" s="36">
        <f>IF('Configuração'!$B$38="","",'Configuração'!$B$38)</f>
        <v/>
      </c>
      <c r="V1" s="36">
        <f>IF('Configuração'!$B$39="","",'Configuração'!$B$39)</f>
        <v/>
      </c>
      <c r="W1" s="36">
        <f>IF('Configuração'!$B$40="","",'Configuração'!$B$40)</f>
        <v/>
      </c>
      <c r="X1" s="36">
        <f>IF('Configuração'!$B$41="","",'Configuração'!$B$41)</f>
        <v/>
      </c>
      <c r="Y1" s="7" t="inlineStr">
        <is>
          <t>Total</t>
        </is>
      </c>
      <c r="Z1" s="7" t="inlineStr">
        <is>
          <t>Min. do plantão</t>
        </is>
      </c>
      <c r="AA1" s="7" t="inlineStr">
        <is>
          <t>Ocupação</t>
        </is>
      </c>
      <c r="AD1" s="37" t="inlineStr">
        <is>
          <t>Necessários hoje</t>
        </is>
      </c>
    </row>
    <row r="2">
      <c r="A2">
        <f>IF('Configuração'!$A$45="","",'Configuração'!$A$45)</f>
        <v/>
      </c>
      <c r="B2">
        <f>IF($A2="","",IFERROR(INDEX(Postos_Tipo,MATCH($A2,Postos_Cod,0)),""))</f>
        <v/>
      </c>
      <c r="C2">
        <f>IF($A2="","",IFERROR(INDEX(Postos_Esp,MATCH($A2,Postos_Cod,0)),""))</f>
        <v/>
      </c>
      <c r="D2">
        <f>IF(OR($A2="",$B2&lt;&gt;"Sala cirúrgica"),0,SUMIFS(Mapa_MinPlantao,Mapa_Sala,$A2,Mapa_Data,Data_Mapa))</f>
        <v/>
      </c>
      <c r="E2">
        <f>IF($A2="",0,IF(OR($B2&lt;&gt;"Sala cirúrgica",$D2=0),IF(AND(E$1&lt;&gt;"",E$1=$C2),Turno_Min,0),IF(E$1="",0,SUMIFS(Mapa_MinPlantao,Mapa_Sala,$A2,Mapa_Data,Data_Mapa,Mapa_Esp,E$1))))</f>
        <v/>
      </c>
      <c r="F2">
        <f>IF($A2="",0,IF(OR($B2&lt;&gt;"Sala cirúrgica",$D2=0),IF(AND(F$1&lt;&gt;"",F$1=$C2),Turno_Min,0),IF(F$1="",0,SUMIFS(Mapa_MinPlantao,Mapa_Sala,$A2,Mapa_Data,Data_Mapa,Mapa_Esp,F$1))))</f>
        <v/>
      </c>
      <c r="G2">
        <f>IF($A2="",0,IF(OR($B2&lt;&gt;"Sala cirúrgica",$D2=0),IF(AND(G$1&lt;&gt;"",G$1=$C2),Turno_Min,0),IF(G$1="",0,SUMIFS(Mapa_MinPlantao,Mapa_Sala,$A2,Mapa_Data,Data_Mapa,Mapa_Esp,G$1))))</f>
        <v/>
      </c>
      <c r="H2">
        <f>IF($A2="",0,IF(OR($B2&lt;&gt;"Sala cirúrgica",$D2=0),IF(AND(H$1&lt;&gt;"",H$1=$C2),Turno_Min,0),IF(H$1="",0,SUMIFS(Mapa_MinPlantao,Mapa_Sala,$A2,Mapa_Data,Data_Mapa,Mapa_Esp,H$1))))</f>
        <v/>
      </c>
      <c r="I2">
        <f>IF($A2="",0,IF(OR($B2&lt;&gt;"Sala cirúrgica",$D2=0),IF(AND(I$1&lt;&gt;"",I$1=$C2),Turno_Min,0),IF(I$1="",0,SUMIFS(Mapa_MinPlantao,Mapa_Sala,$A2,Mapa_Data,Data_Mapa,Mapa_Esp,I$1))))</f>
        <v/>
      </c>
      <c r="J2">
        <f>IF($A2="",0,IF(OR($B2&lt;&gt;"Sala cirúrgica",$D2=0),IF(AND(J$1&lt;&gt;"",J$1=$C2),Turno_Min,0),IF(J$1="",0,SUMIFS(Mapa_MinPlantao,Mapa_Sala,$A2,Mapa_Data,Data_Mapa,Mapa_Esp,J$1))))</f>
        <v/>
      </c>
      <c r="K2">
        <f>IF($A2="",0,IF(OR($B2&lt;&gt;"Sala cirúrgica",$D2=0),IF(AND(K$1&lt;&gt;"",K$1=$C2),Turno_Min,0),IF(K$1="",0,SUMIFS(Mapa_MinPlantao,Mapa_Sala,$A2,Mapa_Data,Data_Mapa,Mapa_Esp,K$1))))</f>
        <v/>
      </c>
      <c r="L2">
        <f>IF($A2="",0,IF(OR($B2&lt;&gt;"Sala cirúrgica",$D2=0),IF(AND(L$1&lt;&gt;"",L$1=$C2),Turno_Min,0),IF(L$1="",0,SUMIFS(Mapa_MinPlantao,Mapa_Sala,$A2,Mapa_Data,Data_Mapa,Mapa_Esp,L$1))))</f>
        <v/>
      </c>
      <c r="M2">
        <f>IF($A2="",0,IF(OR($B2&lt;&gt;"Sala cirúrgica",$D2=0),IF(AND(M$1&lt;&gt;"",M$1=$C2),Turno_Min,0),IF(M$1="",0,SUMIFS(Mapa_MinPlantao,Mapa_Sala,$A2,Mapa_Data,Data_Mapa,Mapa_Esp,M$1))))</f>
        <v/>
      </c>
      <c r="N2">
        <f>IF($A2="",0,IF(OR($B2&lt;&gt;"Sala cirúrgica",$D2=0),IF(AND(N$1&lt;&gt;"",N$1=$C2),Turno_Min,0),IF(N$1="",0,SUMIFS(Mapa_MinPlantao,Mapa_Sala,$A2,Mapa_Data,Data_Mapa,Mapa_Esp,N$1))))</f>
        <v/>
      </c>
      <c r="O2">
        <f>IF($A2="",0,IF(OR($B2&lt;&gt;"Sala cirúrgica",$D2=0),IF(AND(O$1&lt;&gt;"",O$1=$C2),Turno_Min,0),IF(O$1="",0,SUMIFS(Mapa_MinPlantao,Mapa_Sala,$A2,Mapa_Data,Data_Mapa,Mapa_Esp,O$1))))</f>
        <v/>
      </c>
      <c r="P2">
        <f>IF($A2="",0,IF(OR($B2&lt;&gt;"Sala cirúrgica",$D2=0),IF(AND(P$1&lt;&gt;"",P$1=$C2),Turno_Min,0),IF(P$1="",0,SUMIFS(Mapa_MinPlantao,Mapa_Sala,$A2,Mapa_Data,Data_Mapa,Mapa_Esp,P$1))))</f>
        <v/>
      </c>
      <c r="Q2">
        <f>IF($A2="",0,IF(OR($B2&lt;&gt;"Sala cirúrgica",$D2=0),IF(AND(Q$1&lt;&gt;"",Q$1=$C2),Turno_Min,0),IF(Q$1="",0,SUMIFS(Mapa_MinPlantao,Mapa_Sala,$A2,Mapa_Data,Data_Mapa,Mapa_Esp,Q$1))))</f>
        <v/>
      </c>
      <c r="R2">
        <f>IF($A2="",0,IF(OR($B2&lt;&gt;"Sala cirúrgica",$D2=0),IF(AND(R$1&lt;&gt;"",R$1=$C2),Turno_Min,0),IF(R$1="",0,SUMIFS(Mapa_MinPlantao,Mapa_Sala,$A2,Mapa_Data,Data_Mapa,Mapa_Esp,R$1))))</f>
        <v/>
      </c>
      <c r="S2">
        <f>IF($A2="",0,IF(OR($B2&lt;&gt;"Sala cirúrgica",$D2=0),IF(AND(S$1&lt;&gt;"",S$1=$C2),Turno_Min,0),IF(S$1="",0,SUMIFS(Mapa_MinPlantao,Mapa_Sala,$A2,Mapa_Data,Data_Mapa,Mapa_Esp,S$1))))</f>
        <v/>
      </c>
      <c r="T2">
        <f>IF($A2="",0,IF(OR($B2&lt;&gt;"Sala cirúrgica",$D2=0),IF(AND(T$1&lt;&gt;"",T$1=$C2),Turno_Min,0),IF(T$1="",0,SUMIFS(Mapa_MinPlantao,Mapa_Sala,$A2,Mapa_Data,Data_Mapa,Mapa_Esp,T$1))))</f>
        <v/>
      </c>
      <c r="U2">
        <f>IF($A2="",0,IF(OR($B2&lt;&gt;"Sala cirúrgica",$D2=0),IF(AND(U$1&lt;&gt;"",U$1=$C2),Turno_Min,0),IF(U$1="",0,SUMIFS(Mapa_MinPlantao,Mapa_Sala,$A2,Mapa_Data,Data_Mapa,Mapa_Esp,U$1))))</f>
        <v/>
      </c>
      <c r="V2">
        <f>IF($A2="",0,IF(OR($B2&lt;&gt;"Sala cirúrgica",$D2=0),IF(AND(V$1&lt;&gt;"",V$1=$C2),Turno_Min,0),IF(V$1="",0,SUMIFS(Mapa_MinPlantao,Mapa_Sala,$A2,Mapa_Data,Data_Mapa,Mapa_Esp,V$1))))</f>
        <v/>
      </c>
      <c r="W2">
        <f>IF($A2="",0,IF(OR($B2&lt;&gt;"Sala cirúrgica",$D2=0),IF(AND(W$1&lt;&gt;"",W$1=$C2),Turno_Min,0),IF(W$1="",0,SUMIFS(Mapa_MinPlantao,Mapa_Sala,$A2,Mapa_Data,Data_Mapa,Mapa_Esp,W$1))))</f>
        <v/>
      </c>
      <c r="X2">
        <f>IF($A2="",0,IF(OR($B2&lt;&gt;"Sala cirúrgica",$D2=0),IF(AND(X$1&lt;&gt;"",X$1=$C2),Turno_Min,0),IF(X$1="",0,SUMIFS(Mapa_MinPlantao,Mapa_Sala,$A2,Mapa_Data,Data_Mapa,Mapa_Esp,X$1))))</f>
        <v/>
      </c>
      <c r="Y2">
        <f>IF($A2="",0,SUM(E2:X2))</f>
        <v/>
      </c>
      <c r="Z2">
        <f>IF($A2="",0,Turno_Min)</f>
        <v/>
      </c>
      <c r="AA2">
        <f>IF(OR($A2="",$B2&lt;&gt;"Sala cirúrgica"),"",$D2/Turno_Min)</f>
        <v/>
      </c>
      <c r="AD2">
        <f>IF($A2="",0,IF(OR(IFERROR(INDEX(Postos_Status,MATCH($A2,Postos_Cod,0)),"")&lt;&gt;"Ativo",AND(IFERROR(INDEX(Postos_Func,MATCH($A2,Postos_Cod,0)),"")="Seg a Sex",OR(WEEKDAY(Data_Mapa,2)&gt;5,COUNTIF(Feriados,Data_Mapa)&gt;0)),AND(IFERROR(INDEX(Postos_Func,MATCH($A2,Postos_Cod,0)),"")="Seg a Sáb",OR(WEEKDAY(Data_Mapa,2)&gt;6,COUNTIF(Feriados,Data_Mapa)&gt;0))),0,IFERROR(INDEX(Postos_Nec,MATCH($A2,Postos_Cod,0)),0)))</f>
        <v/>
      </c>
    </row>
    <row r="3">
      <c r="A3">
        <f>IF('Configuração'!$A$46="","",'Configuração'!$A$46)</f>
        <v/>
      </c>
      <c r="B3">
        <f>IF($A3="","",IFERROR(INDEX(Postos_Tipo,MATCH($A3,Postos_Cod,0)),""))</f>
        <v/>
      </c>
      <c r="C3">
        <f>IF($A3="","",IFERROR(INDEX(Postos_Esp,MATCH($A3,Postos_Cod,0)),""))</f>
        <v/>
      </c>
      <c r="D3">
        <f>IF(OR($A3="",$B3&lt;&gt;"Sala cirúrgica"),0,SUMIFS(Mapa_MinPlantao,Mapa_Sala,$A3,Mapa_Data,Data_Mapa))</f>
        <v/>
      </c>
      <c r="E3">
        <f>IF($A3="",0,IF(OR($B3&lt;&gt;"Sala cirúrgica",$D3=0),IF(AND(E$1&lt;&gt;"",E$1=$C3),Turno_Min,0),IF(E$1="",0,SUMIFS(Mapa_MinPlantao,Mapa_Sala,$A3,Mapa_Data,Data_Mapa,Mapa_Esp,E$1))))</f>
        <v/>
      </c>
      <c r="F3">
        <f>IF($A3="",0,IF(OR($B3&lt;&gt;"Sala cirúrgica",$D3=0),IF(AND(F$1&lt;&gt;"",F$1=$C3),Turno_Min,0),IF(F$1="",0,SUMIFS(Mapa_MinPlantao,Mapa_Sala,$A3,Mapa_Data,Data_Mapa,Mapa_Esp,F$1))))</f>
        <v/>
      </c>
      <c r="G3">
        <f>IF($A3="",0,IF(OR($B3&lt;&gt;"Sala cirúrgica",$D3=0),IF(AND(G$1&lt;&gt;"",G$1=$C3),Turno_Min,0),IF(G$1="",0,SUMIFS(Mapa_MinPlantao,Mapa_Sala,$A3,Mapa_Data,Data_Mapa,Mapa_Esp,G$1))))</f>
        <v/>
      </c>
      <c r="H3">
        <f>IF($A3="",0,IF(OR($B3&lt;&gt;"Sala cirúrgica",$D3=0),IF(AND(H$1&lt;&gt;"",H$1=$C3),Turno_Min,0),IF(H$1="",0,SUMIFS(Mapa_MinPlantao,Mapa_Sala,$A3,Mapa_Data,Data_Mapa,Mapa_Esp,H$1))))</f>
        <v/>
      </c>
      <c r="I3">
        <f>IF($A3="",0,IF(OR($B3&lt;&gt;"Sala cirúrgica",$D3=0),IF(AND(I$1&lt;&gt;"",I$1=$C3),Turno_Min,0),IF(I$1="",0,SUMIFS(Mapa_MinPlantao,Mapa_Sala,$A3,Mapa_Data,Data_Mapa,Mapa_Esp,I$1))))</f>
        <v/>
      </c>
      <c r="J3">
        <f>IF($A3="",0,IF(OR($B3&lt;&gt;"Sala cirúrgica",$D3=0),IF(AND(J$1&lt;&gt;"",J$1=$C3),Turno_Min,0),IF(J$1="",0,SUMIFS(Mapa_MinPlantao,Mapa_Sala,$A3,Mapa_Data,Data_Mapa,Mapa_Esp,J$1))))</f>
        <v/>
      </c>
      <c r="K3">
        <f>IF($A3="",0,IF(OR($B3&lt;&gt;"Sala cirúrgica",$D3=0),IF(AND(K$1&lt;&gt;"",K$1=$C3),Turno_Min,0),IF(K$1="",0,SUMIFS(Mapa_MinPlantao,Mapa_Sala,$A3,Mapa_Data,Data_Mapa,Mapa_Esp,K$1))))</f>
        <v/>
      </c>
      <c r="L3">
        <f>IF($A3="",0,IF(OR($B3&lt;&gt;"Sala cirúrgica",$D3=0),IF(AND(L$1&lt;&gt;"",L$1=$C3),Turno_Min,0),IF(L$1="",0,SUMIFS(Mapa_MinPlantao,Mapa_Sala,$A3,Mapa_Data,Data_Mapa,Mapa_Esp,L$1))))</f>
        <v/>
      </c>
      <c r="M3">
        <f>IF($A3="",0,IF(OR($B3&lt;&gt;"Sala cirúrgica",$D3=0),IF(AND(M$1&lt;&gt;"",M$1=$C3),Turno_Min,0),IF(M$1="",0,SUMIFS(Mapa_MinPlantao,Mapa_Sala,$A3,Mapa_Data,Data_Mapa,Mapa_Esp,M$1))))</f>
        <v/>
      </c>
      <c r="N3">
        <f>IF($A3="",0,IF(OR($B3&lt;&gt;"Sala cirúrgica",$D3=0),IF(AND(N$1&lt;&gt;"",N$1=$C3),Turno_Min,0),IF(N$1="",0,SUMIFS(Mapa_MinPlantao,Mapa_Sala,$A3,Mapa_Data,Data_Mapa,Mapa_Esp,N$1))))</f>
        <v/>
      </c>
      <c r="O3">
        <f>IF($A3="",0,IF(OR($B3&lt;&gt;"Sala cirúrgica",$D3=0),IF(AND(O$1&lt;&gt;"",O$1=$C3),Turno_Min,0),IF(O$1="",0,SUMIFS(Mapa_MinPlantao,Mapa_Sala,$A3,Mapa_Data,Data_Mapa,Mapa_Esp,O$1))))</f>
        <v/>
      </c>
      <c r="P3">
        <f>IF($A3="",0,IF(OR($B3&lt;&gt;"Sala cirúrgica",$D3=0),IF(AND(P$1&lt;&gt;"",P$1=$C3),Turno_Min,0),IF(P$1="",0,SUMIFS(Mapa_MinPlantao,Mapa_Sala,$A3,Mapa_Data,Data_Mapa,Mapa_Esp,P$1))))</f>
        <v/>
      </c>
      <c r="Q3">
        <f>IF($A3="",0,IF(OR($B3&lt;&gt;"Sala cirúrgica",$D3=0),IF(AND(Q$1&lt;&gt;"",Q$1=$C3),Turno_Min,0),IF(Q$1="",0,SUMIFS(Mapa_MinPlantao,Mapa_Sala,$A3,Mapa_Data,Data_Mapa,Mapa_Esp,Q$1))))</f>
        <v/>
      </c>
      <c r="R3">
        <f>IF($A3="",0,IF(OR($B3&lt;&gt;"Sala cirúrgica",$D3=0),IF(AND(R$1&lt;&gt;"",R$1=$C3),Turno_Min,0),IF(R$1="",0,SUMIFS(Mapa_MinPlantao,Mapa_Sala,$A3,Mapa_Data,Data_Mapa,Mapa_Esp,R$1))))</f>
        <v/>
      </c>
      <c r="S3">
        <f>IF($A3="",0,IF(OR($B3&lt;&gt;"Sala cirúrgica",$D3=0),IF(AND(S$1&lt;&gt;"",S$1=$C3),Turno_Min,0),IF(S$1="",0,SUMIFS(Mapa_MinPlantao,Mapa_Sala,$A3,Mapa_Data,Data_Mapa,Mapa_Esp,S$1))))</f>
        <v/>
      </c>
      <c r="T3">
        <f>IF($A3="",0,IF(OR($B3&lt;&gt;"Sala cirúrgica",$D3=0),IF(AND(T$1&lt;&gt;"",T$1=$C3),Turno_Min,0),IF(T$1="",0,SUMIFS(Mapa_MinPlantao,Mapa_Sala,$A3,Mapa_Data,Data_Mapa,Mapa_Esp,T$1))))</f>
        <v/>
      </c>
      <c r="U3">
        <f>IF($A3="",0,IF(OR($B3&lt;&gt;"Sala cirúrgica",$D3=0),IF(AND(U$1&lt;&gt;"",U$1=$C3),Turno_Min,0),IF(U$1="",0,SUMIFS(Mapa_MinPlantao,Mapa_Sala,$A3,Mapa_Data,Data_Mapa,Mapa_Esp,U$1))))</f>
        <v/>
      </c>
      <c r="V3">
        <f>IF($A3="",0,IF(OR($B3&lt;&gt;"Sala cirúrgica",$D3=0),IF(AND(V$1&lt;&gt;"",V$1=$C3),Turno_Min,0),IF(V$1="",0,SUMIFS(Mapa_MinPlantao,Mapa_Sala,$A3,Mapa_Data,Data_Mapa,Mapa_Esp,V$1))))</f>
        <v/>
      </c>
      <c r="W3">
        <f>IF($A3="",0,IF(OR($B3&lt;&gt;"Sala cirúrgica",$D3=0),IF(AND(W$1&lt;&gt;"",W$1=$C3),Turno_Min,0),IF(W$1="",0,SUMIFS(Mapa_MinPlantao,Mapa_Sala,$A3,Mapa_Data,Data_Mapa,Mapa_Esp,W$1))))</f>
        <v/>
      </c>
      <c r="X3">
        <f>IF($A3="",0,IF(OR($B3&lt;&gt;"Sala cirúrgica",$D3=0),IF(AND(X$1&lt;&gt;"",X$1=$C3),Turno_Min,0),IF(X$1="",0,SUMIFS(Mapa_MinPlantao,Mapa_Sala,$A3,Mapa_Data,Data_Mapa,Mapa_Esp,X$1))))</f>
        <v/>
      </c>
      <c r="Y3">
        <f>IF($A3="",0,SUM(E3:X3))</f>
        <v/>
      </c>
      <c r="Z3">
        <f>IF($A3="",0,Turno_Min)</f>
        <v/>
      </c>
      <c r="AA3">
        <f>IF(OR($A3="",$B3&lt;&gt;"Sala cirúrgica"),"",$D3/Turno_Min)</f>
        <v/>
      </c>
      <c r="AD3">
        <f>IF($A3="",0,IF(OR(IFERROR(INDEX(Postos_Status,MATCH($A3,Postos_Cod,0)),"")&lt;&gt;"Ativo",AND(IFERROR(INDEX(Postos_Func,MATCH($A3,Postos_Cod,0)),"")="Seg a Sex",OR(WEEKDAY(Data_Mapa,2)&gt;5,COUNTIF(Feriados,Data_Mapa)&gt;0)),AND(IFERROR(INDEX(Postos_Func,MATCH($A3,Postos_Cod,0)),"")="Seg a Sáb",OR(WEEKDAY(Data_Mapa,2)&gt;6,COUNTIF(Feriados,Data_Mapa)&gt;0))),0,IFERROR(INDEX(Postos_Nec,MATCH($A3,Postos_Cod,0)),0)))</f>
        <v/>
      </c>
    </row>
    <row r="4">
      <c r="A4">
        <f>IF('Configuração'!$A$47="","",'Configuração'!$A$47)</f>
        <v/>
      </c>
      <c r="B4">
        <f>IF($A4="","",IFERROR(INDEX(Postos_Tipo,MATCH($A4,Postos_Cod,0)),""))</f>
        <v/>
      </c>
      <c r="C4">
        <f>IF($A4="","",IFERROR(INDEX(Postos_Esp,MATCH($A4,Postos_Cod,0)),""))</f>
        <v/>
      </c>
      <c r="D4">
        <f>IF(OR($A4="",$B4&lt;&gt;"Sala cirúrgica"),0,SUMIFS(Mapa_MinPlantao,Mapa_Sala,$A4,Mapa_Data,Data_Mapa))</f>
        <v/>
      </c>
      <c r="E4">
        <f>IF($A4="",0,IF(OR($B4&lt;&gt;"Sala cirúrgica",$D4=0),IF(AND(E$1&lt;&gt;"",E$1=$C4),Turno_Min,0),IF(E$1="",0,SUMIFS(Mapa_MinPlantao,Mapa_Sala,$A4,Mapa_Data,Data_Mapa,Mapa_Esp,E$1))))</f>
        <v/>
      </c>
      <c r="F4">
        <f>IF($A4="",0,IF(OR($B4&lt;&gt;"Sala cirúrgica",$D4=0),IF(AND(F$1&lt;&gt;"",F$1=$C4),Turno_Min,0),IF(F$1="",0,SUMIFS(Mapa_MinPlantao,Mapa_Sala,$A4,Mapa_Data,Data_Mapa,Mapa_Esp,F$1))))</f>
        <v/>
      </c>
      <c r="G4">
        <f>IF($A4="",0,IF(OR($B4&lt;&gt;"Sala cirúrgica",$D4=0),IF(AND(G$1&lt;&gt;"",G$1=$C4),Turno_Min,0),IF(G$1="",0,SUMIFS(Mapa_MinPlantao,Mapa_Sala,$A4,Mapa_Data,Data_Mapa,Mapa_Esp,G$1))))</f>
        <v/>
      </c>
      <c r="H4">
        <f>IF($A4="",0,IF(OR($B4&lt;&gt;"Sala cirúrgica",$D4=0),IF(AND(H$1&lt;&gt;"",H$1=$C4),Turno_Min,0),IF(H$1="",0,SUMIFS(Mapa_MinPlantao,Mapa_Sala,$A4,Mapa_Data,Data_Mapa,Mapa_Esp,H$1))))</f>
        <v/>
      </c>
      <c r="I4">
        <f>IF($A4="",0,IF(OR($B4&lt;&gt;"Sala cirúrgica",$D4=0),IF(AND(I$1&lt;&gt;"",I$1=$C4),Turno_Min,0),IF(I$1="",0,SUMIFS(Mapa_MinPlantao,Mapa_Sala,$A4,Mapa_Data,Data_Mapa,Mapa_Esp,I$1))))</f>
        <v/>
      </c>
      <c r="J4">
        <f>IF($A4="",0,IF(OR($B4&lt;&gt;"Sala cirúrgica",$D4=0),IF(AND(J$1&lt;&gt;"",J$1=$C4),Turno_Min,0),IF(J$1="",0,SUMIFS(Mapa_MinPlantao,Mapa_Sala,$A4,Mapa_Data,Data_Mapa,Mapa_Esp,J$1))))</f>
        <v/>
      </c>
      <c r="K4">
        <f>IF($A4="",0,IF(OR($B4&lt;&gt;"Sala cirúrgica",$D4=0),IF(AND(K$1&lt;&gt;"",K$1=$C4),Turno_Min,0),IF(K$1="",0,SUMIFS(Mapa_MinPlantao,Mapa_Sala,$A4,Mapa_Data,Data_Mapa,Mapa_Esp,K$1))))</f>
        <v/>
      </c>
      <c r="L4">
        <f>IF($A4="",0,IF(OR($B4&lt;&gt;"Sala cirúrgica",$D4=0),IF(AND(L$1&lt;&gt;"",L$1=$C4),Turno_Min,0),IF(L$1="",0,SUMIFS(Mapa_MinPlantao,Mapa_Sala,$A4,Mapa_Data,Data_Mapa,Mapa_Esp,L$1))))</f>
        <v/>
      </c>
      <c r="M4">
        <f>IF($A4="",0,IF(OR($B4&lt;&gt;"Sala cirúrgica",$D4=0),IF(AND(M$1&lt;&gt;"",M$1=$C4),Turno_Min,0),IF(M$1="",0,SUMIFS(Mapa_MinPlantao,Mapa_Sala,$A4,Mapa_Data,Data_Mapa,Mapa_Esp,M$1))))</f>
        <v/>
      </c>
      <c r="N4">
        <f>IF($A4="",0,IF(OR($B4&lt;&gt;"Sala cirúrgica",$D4=0),IF(AND(N$1&lt;&gt;"",N$1=$C4),Turno_Min,0),IF(N$1="",0,SUMIFS(Mapa_MinPlantao,Mapa_Sala,$A4,Mapa_Data,Data_Mapa,Mapa_Esp,N$1))))</f>
        <v/>
      </c>
      <c r="O4">
        <f>IF($A4="",0,IF(OR($B4&lt;&gt;"Sala cirúrgica",$D4=0),IF(AND(O$1&lt;&gt;"",O$1=$C4),Turno_Min,0),IF(O$1="",0,SUMIFS(Mapa_MinPlantao,Mapa_Sala,$A4,Mapa_Data,Data_Mapa,Mapa_Esp,O$1))))</f>
        <v/>
      </c>
      <c r="P4">
        <f>IF($A4="",0,IF(OR($B4&lt;&gt;"Sala cirúrgica",$D4=0),IF(AND(P$1&lt;&gt;"",P$1=$C4),Turno_Min,0),IF(P$1="",0,SUMIFS(Mapa_MinPlantao,Mapa_Sala,$A4,Mapa_Data,Data_Mapa,Mapa_Esp,P$1))))</f>
        <v/>
      </c>
      <c r="Q4">
        <f>IF($A4="",0,IF(OR($B4&lt;&gt;"Sala cirúrgica",$D4=0),IF(AND(Q$1&lt;&gt;"",Q$1=$C4),Turno_Min,0),IF(Q$1="",0,SUMIFS(Mapa_MinPlantao,Mapa_Sala,$A4,Mapa_Data,Data_Mapa,Mapa_Esp,Q$1))))</f>
        <v/>
      </c>
      <c r="R4">
        <f>IF($A4="",0,IF(OR($B4&lt;&gt;"Sala cirúrgica",$D4=0),IF(AND(R$1&lt;&gt;"",R$1=$C4),Turno_Min,0),IF(R$1="",0,SUMIFS(Mapa_MinPlantao,Mapa_Sala,$A4,Mapa_Data,Data_Mapa,Mapa_Esp,R$1))))</f>
        <v/>
      </c>
      <c r="S4">
        <f>IF($A4="",0,IF(OR($B4&lt;&gt;"Sala cirúrgica",$D4=0),IF(AND(S$1&lt;&gt;"",S$1=$C4),Turno_Min,0),IF(S$1="",0,SUMIFS(Mapa_MinPlantao,Mapa_Sala,$A4,Mapa_Data,Data_Mapa,Mapa_Esp,S$1))))</f>
        <v/>
      </c>
      <c r="T4">
        <f>IF($A4="",0,IF(OR($B4&lt;&gt;"Sala cirúrgica",$D4=0),IF(AND(T$1&lt;&gt;"",T$1=$C4),Turno_Min,0),IF(T$1="",0,SUMIFS(Mapa_MinPlantao,Mapa_Sala,$A4,Mapa_Data,Data_Mapa,Mapa_Esp,T$1))))</f>
        <v/>
      </c>
      <c r="U4">
        <f>IF($A4="",0,IF(OR($B4&lt;&gt;"Sala cirúrgica",$D4=0),IF(AND(U$1&lt;&gt;"",U$1=$C4),Turno_Min,0),IF(U$1="",0,SUMIFS(Mapa_MinPlantao,Mapa_Sala,$A4,Mapa_Data,Data_Mapa,Mapa_Esp,U$1))))</f>
        <v/>
      </c>
      <c r="V4">
        <f>IF($A4="",0,IF(OR($B4&lt;&gt;"Sala cirúrgica",$D4=0),IF(AND(V$1&lt;&gt;"",V$1=$C4),Turno_Min,0),IF(V$1="",0,SUMIFS(Mapa_MinPlantao,Mapa_Sala,$A4,Mapa_Data,Data_Mapa,Mapa_Esp,V$1))))</f>
        <v/>
      </c>
      <c r="W4">
        <f>IF($A4="",0,IF(OR($B4&lt;&gt;"Sala cirúrgica",$D4=0),IF(AND(W$1&lt;&gt;"",W$1=$C4),Turno_Min,0),IF(W$1="",0,SUMIFS(Mapa_MinPlantao,Mapa_Sala,$A4,Mapa_Data,Data_Mapa,Mapa_Esp,W$1))))</f>
        <v/>
      </c>
      <c r="X4">
        <f>IF($A4="",0,IF(OR($B4&lt;&gt;"Sala cirúrgica",$D4=0),IF(AND(X$1&lt;&gt;"",X$1=$C4),Turno_Min,0),IF(X$1="",0,SUMIFS(Mapa_MinPlantao,Mapa_Sala,$A4,Mapa_Data,Data_Mapa,Mapa_Esp,X$1))))</f>
        <v/>
      </c>
      <c r="Y4">
        <f>IF($A4="",0,SUM(E4:X4))</f>
        <v/>
      </c>
      <c r="Z4">
        <f>IF($A4="",0,Turno_Min)</f>
        <v/>
      </c>
      <c r="AA4">
        <f>IF(OR($A4="",$B4&lt;&gt;"Sala cirúrgica"),"",$D4/Turno_Min)</f>
        <v/>
      </c>
      <c r="AD4">
        <f>IF($A4="",0,IF(OR(IFERROR(INDEX(Postos_Status,MATCH($A4,Postos_Cod,0)),"")&lt;&gt;"Ativo",AND(IFERROR(INDEX(Postos_Func,MATCH($A4,Postos_Cod,0)),"")="Seg a Sex",OR(WEEKDAY(Data_Mapa,2)&gt;5,COUNTIF(Feriados,Data_Mapa)&gt;0)),AND(IFERROR(INDEX(Postos_Func,MATCH($A4,Postos_Cod,0)),"")="Seg a Sáb",OR(WEEKDAY(Data_Mapa,2)&gt;6,COUNTIF(Feriados,Data_Mapa)&gt;0))),0,IFERROR(INDEX(Postos_Nec,MATCH($A4,Postos_Cod,0)),0)))</f>
        <v/>
      </c>
    </row>
    <row r="5">
      <c r="A5">
        <f>IF('Configuração'!$A$48="","",'Configuração'!$A$48)</f>
        <v/>
      </c>
      <c r="B5">
        <f>IF($A5="","",IFERROR(INDEX(Postos_Tipo,MATCH($A5,Postos_Cod,0)),""))</f>
        <v/>
      </c>
      <c r="C5">
        <f>IF($A5="","",IFERROR(INDEX(Postos_Esp,MATCH($A5,Postos_Cod,0)),""))</f>
        <v/>
      </c>
      <c r="D5">
        <f>IF(OR($A5="",$B5&lt;&gt;"Sala cirúrgica"),0,SUMIFS(Mapa_MinPlantao,Mapa_Sala,$A5,Mapa_Data,Data_Mapa))</f>
        <v/>
      </c>
      <c r="E5">
        <f>IF($A5="",0,IF(OR($B5&lt;&gt;"Sala cirúrgica",$D5=0),IF(AND(E$1&lt;&gt;"",E$1=$C5),Turno_Min,0),IF(E$1="",0,SUMIFS(Mapa_MinPlantao,Mapa_Sala,$A5,Mapa_Data,Data_Mapa,Mapa_Esp,E$1))))</f>
        <v/>
      </c>
      <c r="F5">
        <f>IF($A5="",0,IF(OR($B5&lt;&gt;"Sala cirúrgica",$D5=0),IF(AND(F$1&lt;&gt;"",F$1=$C5),Turno_Min,0),IF(F$1="",0,SUMIFS(Mapa_MinPlantao,Mapa_Sala,$A5,Mapa_Data,Data_Mapa,Mapa_Esp,F$1))))</f>
        <v/>
      </c>
      <c r="G5">
        <f>IF($A5="",0,IF(OR($B5&lt;&gt;"Sala cirúrgica",$D5=0),IF(AND(G$1&lt;&gt;"",G$1=$C5),Turno_Min,0),IF(G$1="",0,SUMIFS(Mapa_MinPlantao,Mapa_Sala,$A5,Mapa_Data,Data_Mapa,Mapa_Esp,G$1))))</f>
        <v/>
      </c>
      <c r="H5">
        <f>IF($A5="",0,IF(OR($B5&lt;&gt;"Sala cirúrgica",$D5=0),IF(AND(H$1&lt;&gt;"",H$1=$C5),Turno_Min,0),IF(H$1="",0,SUMIFS(Mapa_MinPlantao,Mapa_Sala,$A5,Mapa_Data,Data_Mapa,Mapa_Esp,H$1))))</f>
        <v/>
      </c>
      <c r="I5">
        <f>IF($A5="",0,IF(OR($B5&lt;&gt;"Sala cirúrgica",$D5=0),IF(AND(I$1&lt;&gt;"",I$1=$C5),Turno_Min,0),IF(I$1="",0,SUMIFS(Mapa_MinPlantao,Mapa_Sala,$A5,Mapa_Data,Data_Mapa,Mapa_Esp,I$1))))</f>
        <v/>
      </c>
      <c r="J5">
        <f>IF($A5="",0,IF(OR($B5&lt;&gt;"Sala cirúrgica",$D5=0),IF(AND(J$1&lt;&gt;"",J$1=$C5),Turno_Min,0),IF(J$1="",0,SUMIFS(Mapa_MinPlantao,Mapa_Sala,$A5,Mapa_Data,Data_Mapa,Mapa_Esp,J$1))))</f>
        <v/>
      </c>
      <c r="K5">
        <f>IF($A5="",0,IF(OR($B5&lt;&gt;"Sala cirúrgica",$D5=0),IF(AND(K$1&lt;&gt;"",K$1=$C5),Turno_Min,0),IF(K$1="",0,SUMIFS(Mapa_MinPlantao,Mapa_Sala,$A5,Mapa_Data,Data_Mapa,Mapa_Esp,K$1))))</f>
        <v/>
      </c>
      <c r="L5">
        <f>IF($A5="",0,IF(OR($B5&lt;&gt;"Sala cirúrgica",$D5=0),IF(AND(L$1&lt;&gt;"",L$1=$C5),Turno_Min,0),IF(L$1="",0,SUMIFS(Mapa_MinPlantao,Mapa_Sala,$A5,Mapa_Data,Data_Mapa,Mapa_Esp,L$1))))</f>
        <v/>
      </c>
      <c r="M5">
        <f>IF($A5="",0,IF(OR($B5&lt;&gt;"Sala cirúrgica",$D5=0),IF(AND(M$1&lt;&gt;"",M$1=$C5),Turno_Min,0),IF(M$1="",0,SUMIFS(Mapa_MinPlantao,Mapa_Sala,$A5,Mapa_Data,Data_Mapa,Mapa_Esp,M$1))))</f>
        <v/>
      </c>
      <c r="N5">
        <f>IF($A5="",0,IF(OR($B5&lt;&gt;"Sala cirúrgica",$D5=0),IF(AND(N$1&lt;&gt;"",N$1=$C5),Turno_Min,0),IF(N$1="",0,SUMIFS(Mapa_MinPlantao,Mapa_Sala,$A5,Mapa_Data,Data_Mapa,Mapa_Esp,N$1))))</f>
        <v/>
      </c>
      <c r="O5">
        <f>IF($A5="",0,IF(OR($B5&lt;&gt;"Sala cirúrgica",$D5=0),IF(AND(O$1&lt;&gt;"",O$1=$C5),Turno_Min,0),IF(O$1="",0,SUMIFS(Mapa_MinPlantao,Mapa_Sala,$A5,Mapa_Data,Data_Mapa,Mapa_Esp,O$1))))</f>
        <v/>
      </c>
      <c r="P5">
        <f>IF($A5="",0,IF(OR($B5&lt;&gt;"Sala cirúrgica",$D5=0),IF(AND(P$1&lt;&gt;"",P$1=$C5),Turno_Min,0),IF(P$1="",0,SUMIFS(Mapa_MinPlantao,Mapa_Sala,$A5,Mapa_Data,Data_Mapa,Mapa_Esp,P$1))))</f>
        <v/>
      </c>
      <c r="Q5">
        <f>IF($A5="",0,IF(OR($B5&lt;&gt;"Sala cirúrgica",$D5=0),IF(AND(Q$1&lt;&gt;"",Q$1=$C5),Turno_Min,0),IF(Q$1="",0,SUMIFS(Mapa_MinPlantao,Mapa_Sala,$A5,Mapa_Data,Data_Mapa,Mapa_Esp,Q$1))))</f>
        <v/>
      </c>
      <c r="R5">
        <f>IF($A5="",0,IF(OR($B5&lt;&gt;"Sala cirúrgica",$D5=0),IF(AND(R$1&lt;&gt;"",R$1=$C5),Turno_Min,0),IF(R$1="",0,SUMIFS(Mapa_MinPlantao,Mapa_Sala,$A5,Mapa_Data,Data_Mapa,Mapa_Esp,R$1))))</f>
        <v/>
      </c>
      <c r="S5">
        <f>IF($A5="",0,IF(OR($B5&lt;&gt;"Sala cirúrgica",$D5=0),IF(AND(S$1&lt;&gt;"",S$1=$C5),Turno_Min,0),IF(S$1="",0,SUMIFS(Mapa_MinPlantao,Mapa_Sala,$A5,Mapa_Data,Data_Mapa,Mapa_Esp,S$1))))</f>
        <v/>
      </c>
      <c r="T5">
        <f>IF($A5="",0,IF(OR($B5&lt;&gt;"Sala cirúrgica",$D5=0),IF(AND(T$1&lt;&gt;"",T$1=$C5),Turno_Min,0),IF(T$1="",0,SUMIFS(Mapa_MinPlantao,Mapa_Sala,$A5,Mapa_Data,Data_Mapa,Mapa_Esp,T$1))))</f>
        <v/>
      </c>
      <c r="U5">
        <f>IF($A5="",0,IF(OR($B5&lt;&gt;"Sala cirúrgica",$D5=0),IF(AND(U$1&lt;&gt;"",U$1=$C5),Turno_Min,0),IF(U$1="",0,SUMIFS(Mapa_MinPlantao,Mapa_Sala,$A5,Mapa_Data,Data_Mapa,Mapa_Esp,U$1))))</f>
        <v/>
      </c>
      <c r="V5">
        <f>IF($A5="",0,IF(OR($B5&lt;&gt;"Sala cirúrgica",$D5=0),IF(AND(V$1&lt;&gt;"",V$1=$C5),Turno_Min,0),IF(V$1="",0,SUMIFS(Mapa_MinPlantao,Mapa_Sala,$A5,Mapa_Data,Data_Mapa,Mapa_Esp,V$1))))</f>
        <v/>
      </c>
      <c r="W5">
        <f>IF($A5="",0,IF(OR($B5&lt;&gt;"Sala cirúrgica",$D5=0),IF(AND(W$1&lt;&gt;"",W$1=$C5),Turno_Min,0),IF(W$1="",0,SUMIFS(Mapa_MinPlantao,Mapa_Sala,$A5,Mapa_Data,Data_Mapa,Mapa_Esp,W$1))))</f>
        <v/>
      </c>
      <c r="X5">
        <f>IF($A5="",0,IF(OR($B5&lt;&gt;"Sala cirúrgica",$D5=0),IF(AND(X$1&lt;&gt;"",X$1=$C5),Turno_Min,0),IF(X$1="",0,SUMIFS(Mapa_MinPlantao,Mapa_Sala,$A5,Mapa_Data,Data_Mapa,Mapa_Esp,X$1))))</f>
        <v/>
      </c>
      <c r="Y5">
        <f>IF($A5="",0,SUM(E5:X5))</f>
        <v/>
      </c>
      <c r="Z5">
        <f>IF($A5="",0,Turno_Min)</f>
        <v/>
      </c>
      <c r="AA5">
        <f>IF(OR($A5="",$B5&lt;&gt;"Sala cirúrgica"),"",$D5/Turno_Min)</f>
        <v/>
      </c>
      <c r="AD5">
        <f>IF($A5="",0,IF(OR(IFERROR(INDEX(Postos_Status,MATCH($A5,Postos_Cod,0)),"")&lt;&gt;"Ativo",AND(IFERROR(INDEX(Postos_Func,MATCH($A5,Postos_Cod,0)),"")="Seg a Sex",OR(WEEKDAY(Data_Mapa,2)&gt;5,COUNTIF(Feriados,Data_Mapa)&gt;0)),AND(IFERROR(INDEX(Postos_Func,MATCH($A5,Postos_Cod,0)),"")="Seg a Sáb",OR(WEEKDAY(Data_Mapa,2)&gt;6,COUNTIF(Feriados,Data_Mapa)&gt;0))),0,IFERROR(INDEX(Postos_Nec,MATCH($A5,Postos_Cod,0)),0)))</f>
        <v/>
      </c>
    </row>
    <row r="6">
      <c r="A6">
        <f>IF('Configuração'!$A$49="","",'Configuração'!$A$49)</f>
        <v/>
      </c>
      <c r="B6">
        <f>IF($A6="","",IFERROR(INDEX(Postos_Tipo,MATCH($A6,Postos_Cod,0)),""))</f>
        <v/>
      </c>
      <c r="C6">
        <f>IF($A6="","",IFERROR(INDEX(Postos_Esp,MATCH($A6,Postos_Cod,0)),""))</f>
        <v/>
      </c>
      <c r="D6">
        <f>IF(OR($A6="",$B6&lt;&gt;"Sala cirúrgica"),0,SUMIFS(Mapa_MinPlantao,Mapa_Sala,$A6,Mapa_Data,Data_Mapa))</f>
        <v/>
      </c>
      <c r="E6">
        <f>IF($A6="",0,IF(OR($B6&lt;&gt;"Sala cirúrgica",$D6=0),IF(AND(E$1&lt;&gt;"",E$1=$C6),Turno_Min,0),IF(E$1="",0,SUMIFS(Mapa_MinPlantao,Mapa_Sala,$A6,Mapa_Data,Data_Mapa,Mapa_Esp,E$1))))</f>
        <v/>
      </c>
      <c r="F6">
        <f>IF($A6="",0,IF(OR($B6&lt;&gt;"Sala cirúrgica",$D6=0),IF(AND(F$1&lt;&gt;"",F$1=$C6),Turno_Min,0),IF(F$1="",0,SUMIFS(Mapa_MinPlantao,Mapa_Sala,$A6,Mapa_Data,Data_Mapa,Mapa_Esp,F$1))))</f>
        <v/>
      </c>
      <c r="G6">
        <f>IF($A6="",0,IF(OR($B6&lt;&gt;"Sala cirúrgica",$D6=0),IF(AND(G$1&lt;&gt;"",G$1=$C6),Turno_Min,0),IF(G$1="",0,SUMIFS(Mapa_MinPlantao,Mapa_Sala,$A6,Mapa_Data,Data_Mapa,Mapa_Esp,G$1))))</f>
        <v/>
      </c>
      <c r="H6">
        <f>IF($A6="",0,IF(OR($B6&lt;&gt;"Sala cirúrgica",$D6=0),IF(AND(H$1&lt;&gt;"",H$1=$C6),Turno_Min,0),IF(H$1="",0,SUMIFS(Mapa_MinPlantao,Mapa_Sala,$A6,Mapa_Data,Data_Mapa,Mapa_Esp,H$1))))</f>
        <v/>
      </c>
      <c r="I6">
        <f>IF($A6="",0,IF(OR($B6&lt;&gt;"Sala cirúrgica",$D6=0),IF(AND(I$1&lt;&gt;"",I$1=$C6),Turno_Min,0),IF(I$1="",0,SUMIFS(Mapa_MinPlantao,Mapa_Sala,$A6,Mapa_Data,Data_Mapa,Mapa_Esp,I$1))))</f>
        <v/>
      </c>
      <c r="J6">
        <f>IF($A6="",0,IF(OR($B6&lt;&gt;"Sala cirúrgica",$D6=0),IF(AND(J$1&lt;&gt;"",J$1=$C6),Turno_Min,0),IF(J$1="",0,SUMIFS(Mapa_MinPlantao,Mapa_Sala,$A6,Mapa_Data,Data_Mapa,Mapa_Esp,J$1))))</f>
        <v/>
      </c>
      <c r="K6">
        <f>IF($A6="",0,IF(OR($B6&lt;&gt;"Sala cirúrgica",$D6=0),IF(AND(K$1&lt;&gt;"",K$1=$C6),Turno_Min,0),IF(K$1="",0,SUMIFS(Mapa_MinPlantao,Mapa_Sala,$A6,Mapa_Data,Data_Mapa,Mapa_Esp,K$1))))</f>
        <v/>
      </c>
      <c r="L6">
        <f>IF($A6="",0,IF(OR($B6&lt;&gt;"Sala cirúrgica",$D6=0),IF(AND(L$1&lt;&gt;"",L$1=$C6),Turno_Min,0),IF(L$1="",0,SUMIFS(Mapa_MinPlantao,Mapa_Sala,$A6,Mapa_Data,Data_Mapa,Mapa_Esp,L$1))))</f>
        <v/>
      </c>
      <c r="M6">
        <f>IF($A6="",0,IF(OR($B6&lt;&gt;"Sala cirúrgica",$D6=0),IF(AND(M$1&lt;&gt;"",M$1=$C6),Turno_Min,0),IF(M$1="",0,SUMIFS(Mapa_MinPlantao,Mapa_Sala,$A6,Mapa_Data,Data_Mapa,Mapa_Esp,M$1))))</f>
        <v/>
      </c>
      <c r="N6">
        <f>IF($A6="",0,IF(OR($B6&lt;&gt;"Sala cirúrgica",$D6=0),IF(AND(N$1&lt;&gt;"",N$1=$C6),Turno_Min,0),IF(N$1="",0,SUMIFS(Mapa_MinPlantao,Mapa_Sala,$A6,Mapa_Data,Data_Mapa,Mapa_Esp,N$1))))</f>
        <v/>
      </c>
      <c r="O6">
        <f>IF($A6="",0,IF(OR($B6&lt;&gt;"Sala cirúrgica",$D6=0),IF(AND(O$1&lt;&gt;"",O$1=$C6),Turno_Min,0),IF(O$1="",0,SUMIFS(Mapa_MinPlantao,Mapa_Sala,$A6,Mapa_Data,Data_Mapa,Mapa_Esp,O$1))))</f>
        <v/>
      </c>
      <c r="P6">
        <f>IF($A6="",0,IF(OR($B6&lt;&gt;"Sala cirúrgica",$D6=0),IF(AND(P$1&lt;&gt;"",P$1=$C6),Turno_Min,0),IF(P$1="",0,SUMIFS(Mapa_MinPlantao,Mapa_Sala,$A6,Mapa_Data,Data_Mapa,Mapa_Esp,P$1))))</f>
        <v/>
      </c>
      <c r="Q6">
        <f>IF($A6="",0,IF(OR($B6&lt;&gt;"Sala cirúrgica",$D6=0),IF(AND(Q$1&lt;&gt;"",Q$1=$C6),Turno_Min,0),IF(Q$1="",0,SUMIFS(Mapa_MinPlantao,Mapa_Sala,$A6,Mapa_Data,Data_Mapa,Mapa_Esp,Q$1))))</f>
        <v/>
      </c>
      <c r="R6">
        <f>IF($A6="",0,IF(OR($B6&lt;&gt;"Sala cirúrgica",$D6=0),IF(AND(R$1&lt;&gt;"",R$1=$C6),Turno_Min,0),IF(R$1="",0,SUMIFS(Mapa_MinPlantao,Mapa_Sala,$A6,Mapa_Data,Data_Mapa,Mapa_Esp,R$1))))</f>
        <v/>
      </c>
      <c r="S6">
        <f>IF($A6="",0,IF(OR($B6&lt;&gt;"Sala cirúrgica",$D6=0),IF(AND(S$1&lt;&gt;"",S$1=$C6),Turno_Min,0),IF(S$1="",0,SUMIFS(Mapa_MinPlantao,Mapa_Sala,$A6,Mapa_Data,Data_Mapa,Mapa_Esp,S$1))))</f>
        <v/>
      </c>
      <c r="T6">
        <f>IF($A6="",0,IF(OR($B6&lt;&gt;"Sala cirúrgica",$D6=0),IF(AND(T$1&lt;&gt;"",T$1=$C6),Turno_Min,0),IF(T$1="",0,SUMIFS(Mapa_MinPlantao,Mapa_Sala,$A6,Mapa_Data,Data_Mapa,Mapa_Esp,T$1))))</f>
        <v/>
      </c>
      <c r="U6">
        <f>IF($A6="",0,IF(OR($B6&lt;&gt;"Sala cirúrgica",$D6=0),IF(AND(U$1&lt;&gt;"",U$1=$C6),Turno_Min,0),IF(U$1="",0,SUMIFS(Mapa_MinPlantao,Mapa_Sala,$A6,Mapa_Data,Data_Mapa,Mapa_Esp,U$1))))</f>
        <v/>
      </c>
      <c r="V6">
        <f>IF($A6="",0,IF(OR($B6&lt;&gt;"Sala cirúrgica",$D6=0),IF(AND(V$1&lt;&gt;"",V$1=$C6),Turno_Min,0),IF(V$1="",0,SUMIFS(Mapa_MinPlantao,Mapa_Sala,$A6,Mapa_Data,Data_Mapa,Mapa_Esp,V$1))))</f>
        <v/>
      </c>
      <c r="W6">
        <f>IF($A6="",0,IF(OR($B6&lt;&gt;"Sala cirúrgica",$D6=0),IF(AND(W$1&lt;&gt;"",W$1=$C6),Turno_Min,0),IF(W$1="",0,SUMIFS(Mapa_MinPlantao,Mapa_Sala,$A6,Mapa_Data,Data_Mapa,Mapa_Esp,W$1))))</f>
        <v/>
      </c>
      <c r="X6">
        <f>IF($A6="",0,IF(OR($B6&lt;&gt;"Sala cirúrgica",$D6=0),IF(AND(X$1&lt;&gt;"",X$1=$C6),Turno_Min,0),IF(X$1="",0,SUMIFS(Mapa_MinPlantao,Mapa_Sala,$A6,Mapa_Data,Data_Mapa,Mapa_Esp,X$1))))</f>
        <v/>
      </c>
      <c r="Y6">
        <f>IF($A6="",0,SUM(E6:X6))</f>
        <v/>
      </c>
      <c r="Z6">
        <f>IF($A6="",0,Turno_Min)</f>
        <v/>
      </c>
      <c r="AA6">
        <f>IF(OR($A6="",$B6&lt;&gt;"Sala cirúrgica"),"",$D6/Turno_Min)</f>
        <v/>
      </c>
      <c r="AD6">
        <f>IF($A6="",0,IF(OR(IFERROR(INDEX(Postos_Status,MATCH($A6,Postos_Cod,0)),"")&lt;&gt;"Ativo",AND(IFERROR(INDEX(Postos_Func,MATCH($A6,Postos_Cod,0)),"")="Seg a Sex",OR(WEEKDAY(Data_Mapa,2)&gt;5,COUNTIF(Feriados,Data_Mapa)&gt;0)),AND(IFERROR(INDEX(Postos_Func,MATCH($A6,Postos_Cod,0)),"")="Seg a Sáb",OR(WEEKDAY(Data_Mapa,2)&gt;6,COUNTIF(Feriados,Data_Mapa)&gt;0))),0,IFERROR(INDEX(Postos_Nec,MATCH($A6,Postos_Cod,0)),0)))</f>
        <v/>
      </c>
    </row>
    <row r="7">
      <c r="A7">
        <f>IF('Configuração'!$A$50="","",'Configuração'!$A$50)</f>
        <v/>
      </c>
      <c r="B7">
        <f>IF($A7="","",IFERROR(INDEX(Postos_Tipo,MATCH($A7,Postos_Cod,0)),""))</f>
        <v/>
      </c>
      <c r="C7">
        <f>IF($A7="","",IFERROR(INDEX(Postos_Esp,MATCH($A7,Postos_Cod,0)),""))</f>
        <v/>
      </c>
      <c r="D7">
        <f>IF(OR($A7="",$B7&lt;&gt;"Sala cirúrgica"),0,SUMIFS(Mapa_MinPlantao,Mapa_Sala,$A7,Mapa_Data,Data_Mapa))</f>
        <v/>
      </c>
      <c r="E7">
        <f>IF($A7="",0,IF(OR($B7&lt;&gt;"Sala cirúrgica",$D7=0),IF(AND(E$1&lt;&gt;"",E$1=$C7),Turno_Min,0),IF(E$1="",0,SUMIFS(Mapa_MinPlantao,Mapa_Sala,$A7,Mapa_Data,Data_Mapa,Mapa_Esp,E$1))))</f>
        <v/>
      </c>
      <c r="F7">
        <f>IF($A7="",0,IF(OR($B7&lt;&gt;"Sala cirúrgica",$D7=0),IF(AND(F$1&lt;&gt;"",F$1=$C7),Turno_Min,0),IF(F$1="",0,SUMIFS(Mapa_MinPlantao,Mapa_Sala,$A7,Mapa_Data,Data_Mapa,Mapa_Esp,F$1))))</f>
        <v/>
      </c>
      <c r="G7">
        <f>IF($A7="",0,IF(OR($B7&lt;&gt;"Sala cirúrgica",$D7=0),IF(AND(G$1&lt;&gt;"",G$1=$C7),Turno_Min,0),IF(G$1="",0,SUMIFS(Mapa_MinPlantao,Mapa_Sala,$A7,Mapa_Data,Data_Mapa,Mapa_Esp,G$1))))</f>
        <v/>
      </c>
      <c r="H7">
        <f>IF($A7="",0,IF(OR($B7&lt;&gt;"Sala cirúrgica",$D7=0),IF(AND(H$1&lt;&gt;"",H$1=$C7),Turno_Min,0),IF(H$1="",0,SUMIFS(Mapa_MinPlantao,Mapa_Sala,$A7,Mapa_Data,Data_Mapa,Mapa_Esp,H$1))))</f>
        <v/>
      </c>
      <c r="I7">
        <f>IF($A7="",0,IF(OR($B7&lt;&gt;"Sala cirúrgica",$D7=0),IF(AND(I$1&lt;&gt;"",I$1=$C7),Turno_Min,0),IF(I$1="",0,SUMIFS(Mapa_MinPlantao,Mapa_Sala,$A7,Mapa_Data,Data_Mapa,Mapa_Esp,I$1))))</f>
        <v/>
      </c>
      <c r="J7">
        <f>IF($A7="",0,IF(OR($B7&lt;&gt;"Sala cirúrgica",$D7=0),IF(AND(J$1&lt;&gt;"",J$1=$C7),Turno_Min,0),IF(J$1="",0,SUMIFS(Mapa_MinPlantao,Mapa_Sala,$A7,Mapa_Data,Data_Mapa,Mapa_Esp,J$1))))</f>
        <v/>
      </c>
      <c r="K7">
        <f>IF($A7="",0,IF(OR($B7&lt;&gt;"Sala cirúrgica",$D7=0),IF(AND(K$1&lt;&gt;"",K$1=$C7),Turno_Min,0),IF(K$1="",0,SUMIFS(Mapa_MinPlantao,Mapa_Sala,$A7,Mapa_Data,Data_Mapa,Mapa_Esp,K$1))))</f>
        <v/>
      </c>
      <c r="L7">
        <f>IF($A7="",0,IF(OR($B7&lt;&gt;"Sala cirúrgica",$D7=0),IF(AND(L$1&lt;&gt;"",L$1=$C7),Turno_Min,0),IF(L$1="",0,SUMIFS(Mapa_MinPlantao,Mapa_Sala,$A7,Mapa_Data,Data_Mapa,Mapa_Esp,L$1))))</f>
        <v/>
      </c>
      <c r="M7">
        <f>IF($A7="",0,IF(OR($B7&lt;&gt;"Sala cirúrgica",$D7=0),IF(AND(M$1&lt;&gt;"",M$1=$C7),Turno_Min,0),IF(M$1="",0,SUMIFS(Mapa_MinPlantao,Mapa_Sala,$A7,Mapa_Data,Data_Mapa,Mapa_Esp,M$1))))</f>
        <v/>
      </c>
      <c r="N7">
        <f>IF($A7="",0,IF(OR($B7&lt;&gt;"Sala cirúrgica",$D7=0),IF(AND(N$1&lt;&gt;"",N$1=$C7),Turno_Min,0),IF(N$1="",0,SUMIFS(Mapa_MinPlantao,Mapa_Sala,$A7,Mapa_Data,Data_Mapa,Mapa_Esp,N$1))))</f>
        <v/>
      </c>
      <c r="O7">
        <f>IF($A7="",0,IF(OR($B7&lt;&gt;"Sala cirúrgica",$D7=0),IF(AND(O$1&lt;&gt;"",O$1=$C7),Turno_Min,0),IF(O$1="",0,SUMIFS(Mapa_MinPlantao,Mapa_Sala,$A7,Mapa_Data,Data_Mapa,Mapa_Esp,O$1))))</f>
        <v/>
      </c>
      <c r="P7">
        <f>IF($A7="",0,IF(OR($B7&lt;&gt;"Sala cirúrgica",$D7=0),IF(AND(P$1&lt;&gt;"",P$1=$C7),Turno_Min,0),IF(P$1="",0,SUMIFS(Mapa_MinPlantao,Mapa_Sala,$A7,Mapa_Data,Data_Mapa,Mapa_Esp,P$1))))</f>
        <v/>
      </c>
      <c r="Q7">
        <f>IF($A7="",0,IF(OR($B7&lt;&gt;"Sala cirúrgica",$D7=0),IF(AND(Q$1&lt;&gt;"",Q$1=$C7),Turno_Min,0),IF(Q$1="",0,SUMIFS(Mapa_MinPlantao,Mapa_Sala,$A7,Mapa_Data,Data_Mapa,Mapa_Esp,Q$1))))</f>
        <v/>
      </c>
      <c r="R7">
        <f>IF($A7="",0,IF(OR($B7&lt;&gt;"Sala cirúrgica",$D7=0),IF(AND(R$1&lt;&gt;"",R$1=$C7),Turno_Min,0),IF(R$1="",0,SUMIFS(Mapa_MinPlantao,Mapa_Sala,$A7,Mapa_Data,Data_Mapa,Mapa_Esp,R$1))))</f>
        <v/>
      </c>
      <c r="S7">
        <f>IF($A7="",0,IF(OR($B7&lt;&gt;"Sala cirúrgica",$D7=0),IF(AND(S$1&lt;&gt;"",S$1=$C7),Turno_Min,0),IF(S$1="",0,SUMIFS(Mapa_MinPlantao,Mapa_Sala,$A7,Mapa_Data,Data_Mapa,Mapa_Esp,S$1))))</f>
        <v/>
      </c>
      <c r="T7">
        <f>IF($A7="",0,IF(OR($B7&lt;&gt;"Sala cirúrgica",$D7=0),IF(AND(T$1&lt;&gt;"",T$1=$C7),Turno_Min,0),IF(T$1="",0,SUMIFS(Mapa_MinPlantao,Mapa_Sala,$A7,Mapa_Data,Data_Mapa,Mapa_Esp,T$1))))</f>
        <v/>
      </c>
      <c r="U7">
        <f>IF($A7="",0,IF(OR($B7&lt;&gt;"Sala cirúrgica",$D7=0),IF(AND(U$1&lt;&gt;"",U$1=$C7),Turno_Min,0),IF(U$1="",0,SUMIFS(Mapa_MinPlantao,Mapa_Sala,$A7,Mapa_Data,Data_Mapa,Mapa_Esp,U$1))))</f>
        <v/>
      </c>
      <c r="V7">
        <f>IF($A7="",0,IF(OR($B7&lt;&gt;"Sala cirúrgica",$D7=0),IF(AND(V$1&lt;&gt;"",V$1=$C7),Turno_Min,0),IF(V$1="",0,SUMIFS(Mapa_MinPlantao,Mapa_Sala,$A7,Mapa_Data,Data_Mapa,Mapa_Esp,V$1))))</f>
        <v/>
      </c>
      <c r="W7">
        <f>IF($A7="",0,IF(OR($B7&lt;&gt;"Sala cirúrgica",$D7=0),IF(AND(W$1&lt;&gt;"",W$1=$C7),Turno_Min,0),IF(W$1="",0,SUMIFS(Mapa_MinPlantao,Mapa_Sala,$A7,Mapa_Data,Data_Mapa,Mapa_Esp,W$1))))</f>
        <v/>
      </c>
      <c r="X7">
        <f>IF($A7="",0,IF(OR($B7&lt;&gt;"Sala cirúrgica",$D7=0),IF(AND(X$1&lt;&gt;"",X$1=$C7),Turno_Min,0),IF(X$1="",0,SUMIFS(Mapa_MinPlantao,Mapa_Sala,$A7,Mapa_Data,Data_Mapa,Mapa_Esp,X$1))))</f>
        <v/>
      </c>
      <c r="Y7">
        <f>IF($A7="",0,SUM(E7:X7))</f>
        <v/>
      </c>
      <c r="Z7">
        <f>IF($A7="",0,Turno_Min)</f>
        <v/>
      </c>
      <c r="AA7">
        <f>IF(OR($A7="",$B7&lt;&gt;"Sala cirúrgica"),"",$D7/Turno_Min)</f>
        <v/>
      </c>
      <c r="AD7">
        <f>IF($A7="",0,IF(OR(IFERROR(INDEX(Postos_Status,MATCH($A7,Postos_Cod,0)),"")&lt;&gt;"Ativo",AND(IFERROR(INDEX(Postos_Func,MATCH($A7,Postos_Cod,0)),"")="Seg a Sex",OR(WEEKDAY(Data_Mapa,2)&gt;5,COUNTIF(Feriados,Data_Mapa)&gt;0)),AND(IFERROR(INDEX(Postos_Func,MATCH($A7,Postos_Cod,0)),"")="Seg a Sáb",OR(WEEKDAY(Data_Mapa,2)&gt;6,COUNTIF(Feriados,Data_Mapa)&gt;0))),0,IFERROR(INDEX(Postos_Nec,MATCH($A7,Postos_Cod,0)),0)))</f>
        <v/>
      </c>
    </row>
    <row r="8">
      <c r="A8">
        <f>IF('Configuração'!$A$51="","",'Configuração'!$A$51)</f>
        <v/>
      </c>
      <c r="B8">
        <f>IF($A8="","",IFERROR(INDEX(Postos_Tipo,MATCH($A8,Postos_Cod,0)),""))</f>
        <v/>
      </c>
      <c r="C8">
        <f>IF($A8="","",IFERROR(INDEX(Postos_Esp,MATCH($A8,Postos_Cod,0)),""))</f>
        <v/>
      </c>
      <c r="D8">
        <f>IF(OR($A8="",$B8&lt;&gt;"Sala cirúrgica"),0,SUMIFS(Mapa_MinPlantao,Mapa_Sala,$A8,Mapa_Data,Data_Mapa))</f>
        <v/>
      </c>
      <c r="E8">
        <f>IF($A8="",0,IF(OR($B8&lt;&gt;"Sala cirúrgica",$D8=0),IF(AND(E$1&lt;&gt;"",E$1=$C8),Turno_Min,0),IF(E$1="",0,SUMIFS(Mapa_MinPlantao,Mapa_Sala,$A8,Mapa_Data,Data_Mapa,Mapa_Esp,E$1))))</f>
        <v/>
      </c>
      <c r="F8">
        <f>IF($A8="",0,IF(OR($B8&lt;&gt;"Sala cirúrgica",$D8=0),IF(AND(F$1&lt;&gt;"",F$1=$C8),Turno_Min,0),IF(F$1="",0,SUMIFS(Mapa_MinPlantao,Mapa_Sala,$A8,Mapa_Data,Data_Mapa,Mapa_Esp,F$1))))</f>
        <v/>
      </c>
      <c r="G8">
        <f>IF($A8="",0,IF(OR($B8&lt;&gt;"Sala cirúrgica",$D8=0),IF(AND(G$1&lt;&gt;"",G$1=$C8),Turno_Min,0),IF(G$1="",0,SUMIFS(Mapa_MinPlantao,Mapa_Sala,$A8,Mapa_Data,Data_Mapa,Mapa_Esp,G$1))))</f>
        <v/>
      </c>
      <c r="H8">
        <f>IF($A8="",0,IF(OR($B8&lt;&gt;"Sala cirúrgica",$D8=0),IF(AND(H$1&lt;&gt;"",H$1=$C8),Turno_Min,0),IF(H$1="",0,SUMIFS(Mapa_MinPlantao,Mapa_Sala,$A8,Mapa_Data,Data_Mapa,Mapa_Esp,H$1))))</f>
        <v/>
      </c>
      <c r="I8">
        <f>IF($A8="",0,IF(OR($B8&lt;&gt;"Sala cirúrgica",$D8=0),IF(AND(I$1&lt;&gt;"",I$1=$C8),Turno_Min,0),IF(I$1="",0,SUMIFS(Mapa_MinPlantao,Mapa_Sala,$A8,Mapa_Data,Data_Mapa,Mapa_Esp,I$1))))</f>
        <v/>
      </c>
      <c r="J8">
        <f>IF($A8="",0,IF(OR($B8&lt;&gt;"Sala cirúrgica",$D8=0),IF(AND(J$1&lt;&gt;"",J$1=$C8),Turno_Min,0),IF(J$1="",0,SUMIFS(Mapa_MinPlantao,Mapa_Sala,$A8,Mapa_Data,Data_Mapa,Mapa_Esp,J$1))))</f>
        <v/>
      </c>
      <c r="K8">
        <f>IF($A8="",0,IF(OR($B8&lt;&gt;"Sala cirúrgica",$D8=0),IF(AND(K$1&lt;&gt;"",K$1=$C8),Turno_Min,0),IF(K$1="",0,SUMIFS(Mapa_MinPlantao,Mapa_Sala,$A8,Mapa_Data,Data_Mapa,Mapa_Esp,K$1))))</f>
        <v/>
      </c>
      <c r="L8">
        <f>IF($A8="",0,IF(OR($B8&lt;&gt;"Sala cirúrgica",$D8=0),IF(AND(L$1&lt;&gt;"",L$1=$C8),Turno_Min,0),IF(L$1="",0,SUMIFS(Mapa_MinPlantao,Mapa_Sala,$A8,Mapa_Data,Data_Mapa,Mapa_Esp,L$1))))</f>
        <v/>
      </c>
      <c r="M8">
        <f>IF($A8="",0,IF(OR($B8&lt;&gt;"Sala cirúrgica",$D8=0),IF(AND(M$1&lt;&gt;"",M$1=$C8),Turno_Min,0),IF(M$1="",0,SUMIFS(Mapa_MinPlantao,Mapa_Sala,$A8,Mapa_Data,Data_Mapa,Mapa_Esp,M$1))))</f>
        <v/>
      </c>
      <c r="N8">
        <f>IF($A8="",0,IF(OR($B8&lt;&gt;"Sala cirúrgica",$D8=0),IF(AND(N$1&lt;&gt;"",N$1=$C8),Turno_Min,0),IF(N$1="",0,SUMIFS(Mapa_MinPlantao,Mapa_Sala,$A8,Mapa_Data,Data_Mapa,Mapa_Esp,N$1))))</f>
        <v/>
      </c>
      <c r="O8">
        <f>IF($A8="",0,IF(OR($B8&lt;&gt;"Sala cirúrgica",$D8=0),IF(AND(O$1&lt;&gt;"",O$1=$C8),Turno_Min,0),IF(O$1="",0,SUMIFS(Mapa_MinPlantao,Mapa_Sala,$A8,Mapa_Data,Data_Mapa,Mapa_Esp,O$1))))</f>
        <v/>
      </c>
      <c r="P8">
        <f>IF($A8="",0,IF(OR($B8&lt;&gt;"Sala cirúrgica",$D8=0),IF(AND(P$1&lt;&gt;"",P$1=$C8),Turno_Min,0),IF(P$1="",0,SUMIFS(Mapa_MinPlantao,Mapa_Sala,$A8,Mapa_Data,Data_Mapa,Mapa_Esp,P$1))))</f>
        <v/>
      </c>
      <c r="Q8">
        <f>IF($A8="",0,IF(OR($B8&lt;&gt;"Sala cirúrgica",$D8=0),IF(AND(Q$1&lt;&gt;"",Q$1=$C8),Turno_Min,0),IF(Q$1="",0,SUMIFS(Mapa_MinPlantao,Mapa_Sala,$A8,Mapa_Data,Data_Mapa,Mapa_Esp,Q$1))))</f>
        <v/>
      </c>
      <c r="R8">
        <f>IF($A8="",0,IF(OR($B8&lt;&gt;"Sala cirúrgica",$D8=0),IF(AND(R$1&lt;&gt;"",R$1=$C8),Turno_Min,0),IF(R$1="",0,SUMIFS(Mapa_MinPlantao,Mapa_Sala,$A8,Mapa_Data,Data_Mapa,Mapa_Esp,R$1))))</f>
        <v/>
      </c>
      <c r="S8">
        <f>IF($A8="",0,IF(OR($B8&lt;&gt;"Sala cirúrgica",$D8=0),IF(AND(S$1&lt;&gt;"",S$1=$C8),Turno_Min,0),IF(S$1="",0,SUMIFS(Mapa_MinPlantao,Mapa_Sala,$A8,Mapa_Data,Data_Mapa,Mapa_Esp,S$1))))</f>
        <v/>
      </c>
      <c r="T8">
        <f>IF($A8="",0,IF(OR($B8&lt;&gt;"Sala cirúrgica",$D8=0),IF(AND(T$1&lt;&gt;"",T$1=$C8),Turno_Min,0),IF(T$1="",0,SUMIFS(Mapa_MinPlantao,Mapa_Sala,$A8,Mapa_Data,Data_Mapa,Mapa_Esp,T$1))))</f>
        <v/>
      </c>
      <c r="U8">
        <f>IF($A8="",0,IF(OR($B8&lt;&gt;"Sala cirúrgica",$D8=0),IF(AND(U$1&lt;&gt;"",U$1=$C8),Turno_Min,0),IF(U$1="",0,SUMIFS(Mapa_MinPlantao,Mapa_Sala,$A8,Mapa_Data,Data_Mapa,Mapa_Esp,U$1))))</f>
        <v/>
      </c>
      <c r="V8">
        <f>IF($A8="",0,IF(OR($B8&lt;&gt;"Sala cirúrgica",$D8=0),IF(AND(V$1&lt;&gt;"",V$1=$C8),Turno_Min,0),IF(V$1="",0,SUMIFS(Mapa_MinPlantao,Mapa_Sala,$A8,Mapa_Data,Data_Mapa,Mapa_Esp,V$1))))</f>
        <v/>
      </c>
      <c r="W8">
        <f>IF($A8="",0,IF(OR($B8&lt;&gt;"Sala cirúrgica",$D8=0),IF(AND(W$1&lt;&gt;"",W$1=$C8),Turno_Min,0),IF(W$1="",0,SUMIFS(Mapa_MinPlantao,Mapa_Sala,$A8,Mapa_Data,Data_Mapa,Mapa_Esp,W$1))))</f>
        <v/>
      </c>
      <c r="X8">
        <f>IF($A8="",0,IF(OR($B8&lt;&gt;"Sala cirúrgica",$D8=0),IF(AND(X$1&lt;&gt;"",X$1=$C8),Turno_Min,0),IF(X$1="",0,SUMIFS(Mapa_MinPlantao,Mapa_Sala,$A8,Mapa_Data,Data_Mapa,Mapa_Esp,X$1))))</f>
        <v/>
      </c>
      <c r="Y8">
        <f>IF($A8="",0,SUM(E8:X8))</f>
        <v/>
      </c>
      <c r="Z8">
        <f>IF($A8="",0,Turno_Min)</f>
        <v/>
      </c>
      <c r="AA8">
        <f>IF(OR($A8="",$B8&lt;&gt;"Sala cirúrgica"),"",$D8/Turno_Min)</f>
        <v/>
      </c>
      <c r="AD8">
        <f>IF($A8="",0,IF(OR(IFERROR(INDEX(Postos_Status,MATCH($A8,Postos_Cod,0)),"")&lt;&gt;"Ativo",AND(IFERROR(INDEX(Postos_Func,MATCH($A8,Postos_Cod,0)),"")="Seg a Sex",OR(WEEKDAY(Data_Mapa,2)&gt;5,COUNTIF(Feriados,Data_Mapa)&gt;0)),AND(IFERROR(INDEX(Postos_Func,MATCH($A8,Postos_Cod,0)),"")="Seg a Sáb",OR(WEEKDAY(Data_Mapa,2)&gt;6,COUNTIF(Feriados,Data_Mapa)&gt;0))),0,IFERROR(INDEX(Postos_Nec,MATCH($A8,Postos_Cod,0)),0)))</f>
        <v/>
      </c>
    </row>
    <row r="9">
      <c r="A9">
        <f>IF('Configuração'!$A$52="","",'Configuração'!$A$52)</f>
        <v/>
      </c>
      <c r="B9">
        <f>IF($A9="","",IFERROR(INDEX(Postos_Tipo,MATCH($A9,Postos_Cod,0)),""))</f>
        <v/>
      </c>
      <c r="C9">
        <f>IF($A9="","",IFERROR(INDEX(Postos_Esp,MATCH($A9,Postos_Cod,0)),""))</f>
        <v/>
      </c>
      <c r="D9">
        <f>IF(OR($A9="",$B9&lt;&gt;"Sala cirúrgica"),0,SUMIFS(Mapa_MinPlantao,Mapa_Sala,$A9,Mapa_Data,Data_Mapa))</f>
        <v/>
      </c>
      <c r="E9">
        <f>IF($A9="",0,IF(OR($B9&lt;&gt;"Sala cirúrgica",$D9=0),IF(AND(E$1&lt;&gt;"",E$1=$C9),Turno_Min,0),IF(E$1="",0,SUMIFS(Mapa_MinPlantao,Mapa_Sala,$A9,Mapa_Data,Data_Mapa,Mapa_Esp,E$1))))</f>
        <v/>
      </c>
      <c r="F9">
        <f>IF($A9="",0,IF(OR($B9&lt;&gt;"Sala cirúrgica",$D9=0),IF(AND(F$1&lt;&gt;"",F$1=$C9),Turno_Min,0),IF(F$1="",0,SUMIFS(Mapa_MinPlantao,Mapa_Sala,$A9,Mapa_Data,Data_Mapa,Mapa_Esp,F$1))))</f>
        <v/>
      </c>
      <c r="G9">
        <f>IF($A9="",0,IF(OR($B9&lt;&gt;"Sala cirúrgica",$D9=0),IF(AND(G$1&lt;&gt;"",G$1=$C9),Turno_Min,0),IF(G$1="",0,SUMIFS(Mapa_MinPlantao,Mapa_Sala,$A9,Mapa_Data,Data_Mapa,Mapa_Esp,G$1))))</f>
        <v/>
      </c>
      <c r="H9">
        <f>IF($A9="",0,IF(OR($B9&lt;&gt;"Sala cirúrgica",$D9=0),IF(AND(H$1&lt;&gt;"",H$1=$C9),Turno_Min,0),IF(H$1="",0,SUMIFS(Mapa_MinPlantao,Mapa_Sala,$A9,Mapa_Data,Data_Mapa,Mapa_Esp,H$1))))</f>
        <v/>
      </c>
      <c r="I9">
        <f>IF($A9="",0,IF(OR($B9&lt;&gt;"Sala cirúrgica",$D9=0),IF(AND(I$1&lt;&gt;"",I$1=$C9),Turno_Min,0),IF(I$1="",0,SUMIFS(Mapa_MinPlantao,Mapa_Sala,$A9,Mapa_Data,Data_Mapa,Mapa_Esp,I$1))))</f>
        <v/>
      </c>
      <c r="J9">
        <f>IF($A9="",0,IF(OR($B9&lt;&gt;"Sala cirúrgica",$D9=0),IF(AND(J$1&lt;&gt;"",J$1=$C9),Turno_Min,0),IF(J$1="",0,SUMIFS(Mapa_MinPlantao,Mapa_Sala,$A9,Mapa_Data,Data_Mapa,Mapa_Esp,J$1))))</f>
        <v/>
      </c>
      <c r="K9">
        <f>IF($A9="",0,IF(OR($B9&lt;&gt;"Sala cirúrgica",$D9=0),IF(AND(K$1&lt;&gt;"",K$1=$C9),Turno_Min,0),IF(K$1="",0,SUMIFS(Mapa_MinPlantao,Mapa_Sala,$A9,Mapa_Data,Data_Mapa,Mapa_Esp,K$1))))</f>
        <v/>
      </c>
      <c r="L9">
        <f>IF($A9="",0,IF(OR($B9&lt;&gt;"Sala cirúrgica",$D9=0),IF(AND(L$1&lt;&gt;"",L$1=$C9),Turno_Min,0),IF(L$1="",0,SUMIFS(Mapa_MinPlantao,Mapa_Sala,$A9,Mapa_Data,Data_Mapa,Mapa_Esp,L$1))))</f>
        <v/>
      </c>
      <c r="M9">
        <f>IF($A9="",0,IF(OR($B9&lt;&gt;"Sala cirúrgica",$D9=0),IF(AND(M$1&lt;&gt;"",M$1=$C9),Turno_Min,0),IF(M$1="",0,SUMIFS(Mapa_MinPlantao,Mapa_Sala,$A9,Mapa_Data,Data_Mapa,Mapa_Esp,M$1))))</f>
        <v/>
      </c>
      <c r="N9">
        <f>IF($A9="",0,IF(OR($B9&lt;&gt;"Sala cirúrgica",$D9=0),IF(AND(N$1&lt;&gt;"",N$1=$C9),Turno_Min,0),IF(N$1="",0,SUMIFS(Mapa_MinPlantao,Mapa_Sala,$A9,Mapa_Data,Data_Mapa,Mapa_Esp,N$1))))</f>
        <v/>
      </c>
      <c r="O9">
        <f>IF($A9="",0,IF(OR($B9&lt;&gt;"Sala cirúrgica",$D9=0),IF(AND(O$1&lt;&gt;"",O$1=$C9),Turno_Min,0),IF(O$1="",0,SUMIFS(Mapa_MinPlantao,Mapa_Sala,$A9,Mapa_Data,Data_Mapa,Mapa_Esp,O$1))))</f>
        <v/>
      </c>
      <c r="P9">
        <f>IF($A9="",0,IF(OR($B9&lt;&gt;"Sala cirúrgica",$D9=0),IF(AND(P$1&lt;&gt;"",P$1=$C9),Turno_Min,0),IF(P$1="",0,SUMIFS(Mapa_MinPlantao,Mapa_Sala,$A9,Mapa_Data,Data_Mapa,Mapa_Esp,P$1))))</f>
        <v/>
      </c>
      <c r="Q9">
        <f>IF($A9="",0,IF(OR($B9&lt;&gt;"Sala cirúrgica",$D9=0),IF(AND(Q$1&lt;&gt;"",Q$1=$C9),Turno_Min,0),IF(Q$1="",0,SUMIFS(Mapa_MinPlantao,Mapa_Sala,$A9,Mapa_Data,Data_Mapa,Mapa_Esp,Q$1))))</f>
        <v/>
      </c>
      <c r="R9">
        <f>IF($A9="",0,IF(OR($B9&lt;&gt;"Sala cirúrgica",$D9=0),IF(AND(R$1&lt;&gt;"",R$1=$C9),Turno_Min,0),IF(R$1="",0,SUMIFS(Mapa_MinPlantao,Mapa_Sala,$A9,Mapa_Data,Data_Mapa,Mapa_Esp,R$1))))</f>
        <v/>
      </c>
      <c r="S9">
        <f>IF($A9="",0,IF(OR($B9&lt;&gt;"Sala cirúrgica",$D9=0),IF(AND(S$1&lt;&gt;"",S$1=$C9),Turno_Min,0),IF(S$1="",0,SUMIFS(Mapa_MinPlantao,Mapa_Sala,$A9,Mapa_Data,Data_Mapa,Mapa_Esp,S$1))))</f>
        <v/>
      </c>
      <c r="T9">
        <f>IF($A9="",0,IF(OR($B9&lt;&gt;"Sala cirúrgica",$D9=0),IF(AND(T$1&lt;&gt;"",T$1=$C9),Turno_Min,0),IF(T$1="",0,SUMIFS(Mapa_MinPlantao,Mapa_Sala,$A9,Mapa_Data,Data_Mapa,Mapa_Esp,T$1))))</f>
        <v/>
      </c>
      <c r="U9">
        <f>IF($A9="",0,IF(OR($B9&lt;&gt;"Sala cirúrgica",$D9=0),IF(AND(U$1&lt;&gt;"",U$1=$C9),Turno_Min,0),IF(U$1="",0,SUMIFS(Mapa_MinPlantao,Mapa_Sala,$A9,Mapa_Data,Data_Mapa,Mapa_Esp,U$1))))</f>
        <v/>
      </c>
      <c r="V9">
        <f>IF($A9="",0,IF(OR($B9&lt;&gt;"Sala cirúrgica",$D9=0),IF(AND(V$1&lt;&gt;"",V$1=$C9),Turno_Min,0),IF(V$1="",0,SUMIFS(Mapa_MinPlantao,Mapa_Sala,$A9,Mapa_Data,Data_Mapa,Mapa_Esp,V$1))))</f>
        <v/>
      </c>
      <c r="W9">
        <f>IF($A9="",0,IF(OR($B9&lt;&gt;"Sala cirúrgica",$D9=0),IF(AND(W$1&lt;&gt;"",W$1=$C9),Turno_Min,0),IF(W$1="",0,SUMIFS(Mapa_MinPlantao,Mapa_Sala,$A9,Mapa_Data,Data_Mapa,Mapa_Esp,W$1))))</f>
        <v/>
      </c>
      <c r="X9">
        <f>IF($A9="",0,IF(OR($B9&lt;&gt;"Sala cirúrgica",$D9=0),IF(AND(X$1&lt;&gt;"",X$1=$C9),Turno_Min,0),IF(X$1="",0,SUMIFS(Mapa_MinPlantao,Mapa_Sala,$A9,Mapa_Data,Data_Mapa,Mapa_Esp,X$1))))</f>
        <v/>
      </c>
      <c r="Y9">
        <f>IF($A9="",0,SUM(E9:X9))</f>
        <v/>
      </c>
      <c r="Z9">
        <f>IF($A9="",0,Turno_Min)</f>
        <v/>
      </c>
      <c r="AA9">
        <f>IF(OR($A9="",$B9&lt;&gt;"Sala cirúrgica"),"",$D9/Turno_Min)</f>
        <v/>
      </c>
      <c r="AD9">
        <f>IF($A9="",0,IF(OR(IFERROR(INDEX(Postos_Status,MATCH($A9,Postos_Cod,0)),"")&lt;&gt;"Ativo",AND(IFERROR(INDEX(Postos_Func,MATCH($A9,Postos_Cod,0)),"")="Seg a Sex",OR(WEEKDAY(Data_Mapa,2)&gt;5,COUNTIF(Feriados,Data_Mapa)&gt;0)),AND(IFERROR(INDEX(Postos_Func,MATCH($A9,Postos_Cod,0)),"")="Seg a Sáb",OR(WEEKDAY(Data_Mapa,2)&gt;6,COUNTIF(Feriados,Data_Mapa)&gt;0))),0,IFERROR(INDEX(Postos_Nec,MATCH($A9,Postos_Cod,0)),0)))</f>
        <v/>
      </c>
    </row>
    <row r="10">
      <c r="A10">
        <f>IF('Configuração'!$A$53="","",'Configuração'!$A$53)</f>
        <v/>
      </c>
      <c r="B10">
        <f>IF($A10="","",IFERROR(INDEX(Postos_Tipo,MATCH($A10,Postos_Cod,0)),""))</f>
        <v/>
      </c>
      <c r="C10">
        <f>IF($A10="","",IFERROR(INDEX(Postos_Esp,MATCH($A10,Postos_Cod,0)),""))</f>
        <v/>
      </c>
      <c r="D10">
        <f>IF(OR($A10="",$B10&lt;&gt;"Sala cirúrgica"),0,SUMIFS(Mapa_MinPlantao,Mapa_Sala,$A10,Mapa_Data,Data_Mapa))</f>
        <v/>
      </c>
      <c r="E10">
        <f>IF($A10="",0,IF(OR($B10&lt;&gt;"Sala cirúrgica",$D10=0),IF(AND(E$1&lt;&gt;"",E$1=$C10),Turno_Min,0),IF(E$1="",0,SUMIFS(Mapa_MinPlantao,Mapa_Sala,$A10,Mapa_Data,Data_Mapa,Mapa_Esp,E$1))))</f>
        <v/>
      </c>
      <c r="F10">
        <f>IF($A10="",0,IF(OR($B10&lt;&gt;"Sala cirúrgica",$D10=0),IF(AND(F$1&lt;&gt;"",F$1=$C10),Turno_Min,0),IF(F$1="",0,SUMIFS(Mapa_MinPlantao,Mapa_Sala,$A10,Mapa_Data,Data_Mapa,Mapa_Esp,F$1))))</f>
        <v/>
      </c>
      <c r="G10">
        <f>IF($A10="",0,IF(OR($B10&lt;&gt;"Sala cirúrgica",$D10=0),IF(AND(G$1&lt;&gt;"",G$1=$C10),Turno_Min,0),IF(G$1="",0,SUMIFS(Mapa_MinPlantao,Mapa_Sala,$A10,Mapa_Data,Data_Mapa,Mapa_Esp,G$1))))</f>
        <v/>
      </c>
      <c r="H10">
        <f>IF($A10="",0,IF(OR($B10&lt;&gt;"Sala cirúrgica",$D10=0),IF(AND(H$1&lt;&gt;"",H$1=$C10),Turno_Min,0),IF(H$1="",0,SUMIFS(Mapa_MinPlantao,Mapa_Sala,$A10,Mapa_Data,Data_Mapa,Mapa_Esp,H$1))))</f>
        <v/>
      </c>
      <c r="I10">
        <f>IF($A10="",0,IF(OR($B10&lt;&gt;"Sala cirúrgica",$D10=0),IF(AND(I$1&lt;&gt;"",I$1=$C10),Turno_Min,0),IF(I$1="",0,SUMIFS(Mapa_MinPlantao,Mapa_Sala,$A10,Mapa_Data,Data_Mapa,Mapa_Esp,I$1))))</f>
        <v/>
      </c>
      <c r="J10">
        <f>IF($A10="",0,IF(OR($B10&lt;&gt;"Sala cirúrgica",$D10=0),IF(AND(J$1&lt;&gt;"",J$1=$C10),Turno_Min,0),IF(J$1="",0,SUMIFS(Mapa_MinPlantao,Mapa_Sala,$A10,Mapa_Data,Data_Mapa,Mapa_Esp,J$1))))</f>
        <v/>
      </c>
      <c r="K10">
        <f>IF($A10="",0,IF(OR($B10&lt;&gt;"Sala cirúrgica",$D10=0),IF(AND(K$1&lt;&gt;"",K$1=$C10),Turno_Min,0),IF(K$1="",0,SUMIFS(Mapa_MinPlantao,Mapa_Sala,$A10,Mapa_Data,Data_Mapa,Mapa_Esp,K$1))))</f>
        <v/>
      </c>
      <c r="L10">
        <f>IF($A10="",0,IF(OR($B10&lt;&gt;"Sala cirúrgica",$D10=0),IF(AND(L$1&lt;&gt;"",L$1=$C10),Turno_Min,0),IF(L$1="",0,SUMIFS(Mapa_MinPlantao,Mapa_Sala,$A10,Mapa_Data,Data_Mapa,Mapa_Esp,L$1))))</f>
        <v/>
      </c>
      <c r="M10">
        <f>IF($A10="",0,IF(OR($B10&lt;&gt;"Sala cirúrgica",$D10=0),IF(AND(M$1&lt;&gt;"",M$1=$C10),Turno_Min,0),IF(M$1="",0,SUMIFS(Mapa_MinPlantao,Mapa_Sala,$A10,Mapa_Data,Data_Mapa,Mapa_Esp,M$1))))</f>
        <v/>
      </c>
      <c r="N10">
        <f>IF($A10="",0,IF(OR($B10&lt;&gt;"Sala cirúrgica",$D10=0),IF(AND(N$1&lt;&gt;"",N$1=$C10),Turno_Min,0),IF(N$1="",0,SUMIFS(Mapa_MinPlantao,Mapa_Sala,$A10,Mapa_Data,Data_Mapa,Mapa_Esp,N$1))))</f>
        <v/>
      </c>
      <c r="O10">
        <f>IF($A10="",0,IF(OR($B10&lt;&gt;"Sala cirúrgica",$D10=0),IF(AND(O$1&lt;&gt;"",O$1=$C10),Turno_Min,0),IF(O$1="",0,SUMIFS(Mapa_MinPlantao,Mapa_Sala,$A10,Mapa_Data,Data_Mapa,Mapa_Esp,O$1))))</f>
        <v/>
      </c>
      <c r="P10">
        <f>IF($A10="",0,IF(OR($B10&lt;&gt;"Sala cirúrgica",$D10=0),IF(AND(P$1&lt;&gt;"",P$1=$C10),Turno_Min,0),IF(P$1="",0,SUMIFS(Mapa_MinPlantao,Mapa_Sala,$A10,Mapa_Data,Data_Mapa,Mapa_Esp,P$1))))</f>
        <v/>
      </c>
      <c r="Q10">
        <f>IF($A10="",0,IF(OR($B10&lt;&gt;"Sala cirúrgica",$D10=0),IF(AND(Q$1&lt;&gt;"",Q$1=$C10),Turno_Min,0),IF(Q$1="",0,SUMIFS(Mapa_MinPlantao,Mapa_Sala,$A10,Mapa_Data,Data_Mapa,Mapa_Esp,Q$1))))</f>
        <v/>
      </c>
      <c r="R10">
        <f>IF($A10="",0,IF(OR($B10&lt;&gt;"Sala cirúrgica",$D10=0),IF(AND(R$1&lt;&gt;"",R$1=$C10),Turno_Min,0),IF(R$1="",0,SUMIFS(Mapa_MinPlantao,Mapa_Sala,$A10,Mapa_Data,Data_Mapa,Mapa_Esp,R$1))))</f>
        <v/>
      </c>
      <c r="S10">
        <f>IF($A10="",0,IF(OR($B10&lt;&gt;"Sala cirúrgica",$D10=0),IF(AND(S$1&lt;&gt;"",S$1=$C10),Turno_Min,0),IF(S$1="",0,SUMIFS(Mapa_MinPlantao,Mapa_Sala,$A10,Mapa_Data,Data_Mapa,Mapa_Esp,S$1))))</f>
        <v/>
      </c>
      <c r="T10">
        <f>IF($A10="",0,IF(OR($B10&lt;&gt;"Sala cirúrgica",$D10=0),IF(AND(T$1&lt;&gt;"",T$1=$C10),Turno_Min,0),IF(T$1="",0,SUMIFS(Mapa_MinPlantao,Mapa_Sala,$A10,Mapa_Data,Data_Mapa,Mapa_Esp,T$1))))</f>
        <v/>
      </c>
      <c r="U10">
        <f>IF($A10="",0,IF(OR($B10&lt;&gt;"Sala cirúrgica",$D10=0),IF(AND(U$1&lt;&gt;"",U$1=$C10),Turno_Min,0),IF(U$1="",0,SUMIFS(Mapa_MinPlantao,Mapa_Sala,$A10,Mapa_Data,Data_Mapa,Mapa_Esp,U$1))))</f>
        <v/>
      </c>
      <c r="V10">
        <f>IF($A10="",0,IF(OR($B10&lt;&gt;"Sala cirúrgica",$D10=0),IF(AND(V$1&lt;&gt;"",V$1=$C10),Turno_Min,0),IF(V$1="",0,SUMIFS(Mapa_MinPlantao,Mapa_Sala,$A10,Mapa_Data,Data_Mapa,Mapa_Esp,V$1))))</f>
        <v/>
      </c>
      <c r="W10">
        <f>IF($A10="",0,IF(OR($B10&lt;&gt;"Sala cirúrgica",$D10=0),IF(AND(W$1&lt;&gt;"",W$1=$C10),Turno_Min,0),IF(W$1="",0,SUMIFS(Mapa_MinPlantao,Mapa_Sala,$A10,Mapa_Data,Data_Mapa,Mapa_Esp,W$1))))</f>
        <v/>
      </c>
      <c r="X10">
        <f>IF($A10="",0,IF(OR($B10&lt;&gt;"Sala cirúrgica",$D10=0),IF(AND(X$1&lt;&gt;"",X$1=$C10),Turno_Min,0),IF(X$1="",0,SUMIFS(Mapa_MinPlantao,Mapa_Sala,$A10,Mapa_Data,Data_Mapa,Mapa_Esp,X$1))))</f>
        <v/>
      </c>
      <c r="Y10">
        <f>IF($A10="",0,SUM(E10:X10))</f>
        <v/>
      </c>
      <c r="Z10">
        <f>IF($A10="",0,Turno_Min)</f>
        <v/>
      </c>
      <c r="AA10">
        <f>IF(OR($A10="",$B10&lt;&gt;"Sala cirúrgica"),"",$D10/Turno_Min)</f>
        <v/>
      </c>
      <c r="AD10">
        <f>IF($A10="",0,IF(OR(IFERROR(INDEX(Postos_Status,MATCH($A10,Postos_Cod,0)),"")&lt;&gt;"Ativo",AND(IFERROR(INDEX(Postos_Func,MATCH($A10,Postos_Cod,0)),"")="Seg a Sex",OR(WEEKDAY(Data_Mapa,2)&gt;5,COUNTIF(Feriados,Data_Mapa)&gt;0)),AND(IFERROR(INDEX(Postos_Func,MATCH($A10,Postos_Cod,0)),"")="Seg a Sáb",OR(WEEKDAY(Data_Mapa,2)&gt;6,COUNTIF(Feriados,Data_Mapa)&gt;0))),0,IFERROR(INDEX(Postos_Nec,MATCH($A10,Postos_Cod,0)),0)))</f>
        <v/>
      </c>
    </row>
    <row r="11">
      <c r="A11">
        <f>IF('Configuração'!$A$54="","",'Configuração'!$A$54)</f>
        <v/>
      </c>
      <c r="B11">
        <f>IF($A11="","",IFERROR(INDEX(Postos_Tipo,MATCH($A11,Postos_Cod,0)),""))</f>
        <v/>
      </c>
      <c r="C11">
        <f>IF($A11="","",IFERROR(INDEX(Postos_Esp,MATCH($A11,Postos_Cod,0)),""))</f>
        <v/>
      </c>
      <c r="D11">
        <f>IF(OR($A11="",$B11&lt;&gt;"Sala cirúrgica"),0,SUMIFS(Mapa_MinPlantao,Mapa_Sala,$A11,Mapa_Data,Data_Mapa))</f>
        <v/>
      </c>
      <c r="E11">
        <f>IF($A11="",0,IF(OR($B11&lt;&gt;"Sala cirúrgica",$D11=0),IF(AND(E$1&lt;&gt;"",E$1=$C11),Turno_Min,0),IF(E$1="",0,SUMIFS(Mapa_MinPlantao,Mapa_Sala,$A11,Mapa_Data,Data_Mapa,Mapa_Esp,E$1))))</f>
        <v/>
      </c>
      <c r="F11">
        <f>IF($A11="",0,IF(OR($B11&lt;&gt;"Sala cirúrgica",$D11=0),IF(AND(F$1&lt;&gt;"",F$1=$C11),Turno_Min,0),IF(F$1="",0,SUMIFS(Mapa_MinPlantao,Mapa_Sala,$A11,Mapa_Data,Data_Mapa,Mapa_Esp,F$1))))</f>
        <v/>
      </c>
      <c r="G11">
        <f>IF($A11="",0,IF(OR($B11&lt;&gt;"Sala cirúrgica",$D11=0),IF(AND(G$1&lt;&gt;"",G$1=$C11),Turno_Min,0),IF(G$1="",0,SUMIFS(Mapa_MinPlantao,Mapa_Sala,$A11,Mapa_Data,Data_Mapa,Mapa_Esp,G$1))))</f>
        <v/>
      </c>
      <c r="H11">
        <f>IF($A11="",0,IF(OR($B11&lt;&gt;"Sala cirúrgica",$D11=0),IF(AND(H$1&lt;&gt;"",H$1=$C11),Turno_Min,0),IF(H$1="",0,SUMIFS(Mapa_MinPlantao,Mapa_Sala,$A11,Mapa_Data,Data_Mapa,Mapa_Esp,H$1))))</f>
        <v/>
      </c>
      <c r="I11">
        <f>IF($A11="",0,IF(OR($B11&lt;&gt;"Sala cirúrgica",$D11=0),IF(AND(I$1&lt;&gt;"",I$1=$C11),Turno_Min,0),IF(I$1="",0,SUMIFS(Mapa_MinPlantao,Mapa_Sala,$A11,Mapa_Data,Data_Mapa,Mapa_Esp,I$1))))</f>
        <v/>
      </c>
      <c r="J11">
        <f>IF($A11="",0,IF(OR($B11&lt;&gt;"Sala cirúrgica",$D11=0),IF(AND(J$1&lt;&gt;"",J$1=$C11),Turno_Min,0),IF(J$1="",0,SUMIFS(Mapa_MinPlantao,Mapa_Sala,$A11,Mapa_Data,Data_Mapa,Mapa_Esp,J$1))))</f>
        <v/>
      </c>
      <c r="K11">
        <f>IF($A11="",0,IF(OR($B11&lt;&gt;"Sala cirúrgica",$D11=0),IF(AND(K$1&lt;&gt;"",K$1=$C11),Turno_Min,0),IF(K$1="",0,SUMIFS(Mapa_MinPlantao,Mapa_Sala,$A11,Mapa_Data,Data_Mapa,Mapa_Esp,K$1))))</f>
        <v/>
      </c>
      <c r="L11">
        <f>IF($A11="",0,IF(OR($B11&lt;&gt;"Sala cirúrgica",$D11=0),IF(AND(L$1&lt;&gt;"",L$1=$C11),Turno_Min,0),IF(L$1="",0,SUMIFS(Mapa_MinPlantao,Mapa_Sala,$A11,Mapa_Data,Data_Mapa,Mapa_Esp,L$1))))</f>
        <v/>
      </c>
      <c r="M11">
        <f>IF($A11="",0,IF(OR($B11&lt;&gt;"Sala cirúrgica",$D11=0),IF(AND(M$1&lt;&gt;"",M$1=$C11),Turno_Min,0),IF(M$1="",0,SUMIFS(Mapa_MinPlantao,Mapa_Sala,$A11,Mapa_Data,Data_Mapa,Mapa_Esp,M$1))))</f>
        <v/>
      </c>
      <c r="N11">
        <f>IF($A11="",0,IF(OR($B11&lt;&gt;"Sala cirúrgica",$D11=0),IF(AND(N$1&lt;&gt;"",N$1=$C11),Turno_Min,0),IF(N$1="",0,SUMIFS(Mapa_MinPlantao,Mapa_Sala,$A11,Mapa_Data,Data_Mapa,Mapa_Esp,N$1))))</f>
        <v/>
      </c>
      <c r="O11">
        <f>IF($A11="",0,IF(OR($B11&lt;&gt;"Sala cirúrgica",$D11=0),IF(AND(O$1&lt;&gt;"",O$1=$C11),Turno_Min,0),IF(O$1="",0,SUMIFS(Mapa_MinPlantao,Mapa_Sala,$A11,Mapa_Data,Data_Mapa,Mapa_Esp,O$1))))</f>
        <v/>
      </c>
      <c r="P11">
        <f>IF($A11="",0,IF(OR($B11&lt;&gt;"Sala cirúrgica",$D11=0),IF(AND(P$1&lt;&gt;"",P$1=$C11),Turno_Min,0),IF(P$1="",0,SUMIFS(Mapa_MinPlantao,Mapa_Sala,$A11,Mapa_Data,Data_Mapa,Mapa_Esp,P$1))))</f>
        <v/>
      </c>
      <c r="Q11">
        <f>IF($A11="",0,IF(OR($B11&lt;&gt;"Sala cirúrgica",$D11=0),IF(AND(Q$1&lt;&gt;"",Q$1=$C11),Turno_Min,0),IF(Q$1="",0,SUMIFS(Mapa_MinPlantao,Mapa_Sala,$A11,Mapa_Data,Data_Mapa,Mapa_Esp,Q$1))))</f>
        <v/>
      </c>
      <c r="R11">
        <f>IF($A11="",0,IF(OR($B11&lt;&gt;"Sala cirúrgica",$D11=0),IF(AND(R$1&lt;&gt;"",R$1=$C11),Turno_Min,0),IF(R$1="",0,SUMIFS(Mapa_MinPlantao,Mapa_Sala,$A11,Mapa_Data,Data_Mapa,Mapa_Esp,R$1))))</f>
        <v/>
      </c>
      <c r="S11">
        <f>IF($A11="",0,IF(OR($B11&lt;&gt;"Sala cirúrgica",$D11=0),IF(AND(S$1&lt;&gt;"",S$1=$C11),Turno_Min,0),IF(S$1="",0,SUMIFS(Mapa_MinPlantao,Mapa_Sala,$A11,Mapa_Data,Data_Mapa,Mapa_Esp,S$1))))</f>
        <v/>
      </c>
      <c r="T11">
        <f>IF($A11="",0,IF(OR($B11&lt;&gt;"Sala cirúrgica",$D11=0),IF(AND(T$1&lt;&gt;"",T$1=$C11),Turno_Min,0),IF(T$1="",0,SUMIFS(Mapa_MinPlantao,Mapa_Sala,$A11,Mapa_Data,Data_Mapa,Mapa_Esp,T$1))))</f>
        <v/>
      </c>
      <c r="U11">
        <f>IF($A11="",0,IF(OR($B11&lt;&gt;"Sala cirúrgica",$D11=0),IF(AND(U$1&lt;&gt;"",U$1=$C11),Turno_Min,0),IF(U$1="",0,SUMIFS(Mapa_MinPlantao,Mapa_Sala,$A11,Mapa_Data,Data_Mapa,Mapa_Esp,U$1))))</f>
        <v/>
      </c>
      <c r="V11">
        <f>IF($A11="",0,IF(OR($B11&lt;&gt;"Sala cirúrgica",$D11=0),IF(AND(V$1&lt;&gt;"",V$1=$C11),Turno_Min,0),IF(V$1="",0,SUMIFS(Mapa_MinPlantao,Mapa_Sala,$A11,Mapa_Data,Data_Mapa,Mapa_Esp,V$1))))</f>
        <v/>
      </c>
      <c r="W11">
        <f>IF($A11="",0,IF(OR($B11&lt;&gt;"Sala cirúrgica",$D11=0),IF(AND(W$1&lt;&gt;"",W$1=$C11),Turno_Min,0),IF(W$1="",0,SUMIFS(Mapa_MinPlantao,Mapa_Sala,$A11,Mapa_Data,Data_Mapa,Mapa_Esp,W$1))))</f>
        <v/>
      </c>
      <c r="X11">
        <f>IF($A11="",0,IF(OR($B11&lt;&gt;"Sala cirúrgica",$D11=0),IF(AND(X$1&lt;&gt;"",X$1=$C11),Turno_Min,0),IF(X$1="",0,SUMIFS(Mapa_MinPlantao,Mapa_Sala,$A11,Mapa_Data,Data_Mapa,Mapa_Esp,X$1))))</f>
        <v/>
      </c>
      <c r="Y11">
        <f>IF($A11="",0,SUM(E11:X11))</f>
        <v/>
      </c>
      <c r="Z11">
        <f>IF($A11="",0,Turno_Min)</f>
        <v/>
      </c>
      <c r="AA11">
        <f>IF(OR($A11="",$B11&lt;&gt;"Sala cirúrgica"),"",$D11/Turno_Min)</f>
        <v/>
      </c>
      <c r="AD11">
        <f>IF($A11="",0,IF(OR(IFERROR(INDEX(Postos_Status,MATCH($A11,Postos_Cod,0)),"")&lt;&gt;"Ativo",AND(IFERROR(INDEX(Postos_Func,MATCH($A11,Postos_Cod,0)),"")="Seg a Sex",OR(WEEKDAY(Data_Mapa,2)&gt;5,COUNTIF(Feriados,Data_Mapa)&gt;0)),AND(IFERROR(INDEX(Postos_Func,MATCH($A11,Postos_Cod,0)),"")="Seg a Sáb",OR(WEEKDAY(Data_Mapa,2)&gt;6,COUNTIF(Feriados,Data_Mapa)&gt;0))),0,IFERROR(INDEX(Postos_Nec,MATCH($A11,Postos_Cod,0)),0)))</f>
        <v/>
      </c>
    </row>
    <row r="12">
      <c r="A12">
        <f>IF('Configuração'!$A$55="","",'Configuração'!$A$55)</f>
        <v/>
      </c>
      <c r="B12">
        <f>IF($A12="","",IFERROR(INDEX(Postos_Tipo,MATCH($A12,Postos_Cod,0)),""))</f>
        <v/>
      </c>
      <c r="C12">
        <f>IF($A12="","",IFERROR(INDEX(Postos_Esp,MATCH($A12,Postos_Cod,0)),""))</f>
        <v/>
      </c>
      <c r="D12">
        <f>IF(OR($A12="",$B12&lt;&gt;"Sala cirúrgica"),0,SUMIFS(Mapa_MinPlantao,Mapa_Sala,$A12,Mapa_Data,Data_Mapa))</f>
        <v/>
      </c>
      <c r="E12">
        <f>IF($A12="",0,IF(OR($B12&lt;&gt;"Sala cirúrgica",$D12=0),IF(AND(E$1&lt;&gt;"",E$1=$C12),Turno_Min,0),IF(E$1="",0,SUMIFS(Mapa_MinPlantao,Mapa_Sala,$A12,Mapa_Data,Data_Mapa,Mapa_Esp,E$1))))</f>
        <v/>
      </c>
      <c r="F12">
        <f>IF($A12="",0,IF(OR($B12&lt;&gt;"Sala cirúrgica",$D12=0),IF(AND(F$1&lt;&gt;"",F$1=$C12),Turno_Min,0),IF(F$1="",0,SUMIFS(Mapa_MinPlantao,Mapa_Sala,$A12,Mapa_Data,Data_Mapa,Mapa_Esp,F$1))))</f>
        <v/>
      </c>
      <c r="G12">
        <f>IF($A12="",0,IF(OR($B12&lt;&gt;"Sala cirúrgica",$D12=0),IF(AND(G$1&lt;&gt;"",G$1=$C12),Turno_Min,0),IF(G$1="",0,SUMIFS(Mapa_MinPlantao,Mapa_Sala,$A12,Mapa_Data,Data_Mapa,Mapa_Esp,G$1))))</f>
        <v/>
      </c>
      <c r="H12">
        <f>IF($A12="",0,IF(OR($B12&lt;&gt;"Sala cirúrgica",$D12=0),IF(AND(H$1&lt;&gt;"",H$1=$C12),Turno_Min,0),IF(H$1="",0,SUMIFS(Mapa_MinPlantao,Mapa_Sala,$A12,Mapa_Data,Data_Mapa,Mapa_Esp,H$1))))</f>
        <v/>
      </c>
      <c r="I12">
        <f>IF($A12="",0,IF(OR($B12&lt;&gt;"Sala cirúrgica",$D12=0),IF(AND(I$1&lt;&gt;"",I$1=$C12),Turno_Min,0),IF(I$1="",0,SUMIFS(Mapa_MinPlantao,Mapa_Sala,$A12,Mapa_Data,Data_Mapa,Mapa_Esp,I$1))))</f>
        <v/>
      </c>
      <c r="J12">
        <f>IF($A12="",0,IF(OR($B12&lt;&gt;"Sala cirúrgica",$D12=0),IF(AND(J$1&lt;&gt;"",J$1=$C12),Turno_Min,0),IF(J$1="",0,SUMIFS(Mapa_MinPlantao,Mapa_Sala,$A12,Mapa_Data,Data_Mapa,Mapa_Esp,J$1))))</f>
        <v/>
      </c>
      <c r="K12">
        <f>IF($A12="",0,IF(OR($B12&lt;&gt;"Sala cirúrgica",$D12=0),IF(AND(K$1&lt;&gt;"",K$1=$C12),Turno_Min,0),IF(K$1="",0,SUMIFS(Mapa_MinPlantao,Mapa_Sala,$A12,Mapa_Data,Data_Mapa,Mapa_Esp,K$1))))</f>
        <v/>
      </c>
      <c r="L12">
        <f>IF($A12="",0,IF(OR($B12&lt;&gt;"Sala cirúrgica",$D12=0),IF(AND(L$1&lt;&gt;"",L$1=$C12),Turno_Min,0),IF(L$1="",0,SUMIFS(Mapa_MinPlantao,Mapa_Sala,$A12,Mapa_Data,Data_Mapa,Mapa_Esp,L$1))))</f>
        <v/>
      </c>
      <c r="M12">
        <f>IF($A12="",0,IF(OR($B12&lt;&gt;"Sala cirúrgica",$D12=0),IF(AND(M$1&lt;&gt;"",M$1=$C12),Turno_Min,0),IF(M$1="",0,SUMIFS(Mapa_MinPlantao,Mapa_Sala,$A12,Mapa_Data,Data_Mapa,Mapa_Esp,M$1))))</f>
        <v/>
      </c>
      <c r="N12">
        <f>IF($A12="",0,IF(OR($B12&lt;&gt;"Sala cirúrgica",$D12=0),IF(AND(N$1&lt;&gt;"",N$1=$C12),Turno_Min,0),IF(N$1="",0,SUMIFS(Mapa_MinPlantao,Mapa_Sala,$A12,Mapa_Data,Data_Mapa,Mapa_Esp,N$1))))</f>
        <v/>
      </c>
      <c r="O12">
        <f>IF($A12="",0,IF(OR($B12&lt;&gt;"Sala cirúrgica",$D12=0),IF(AND(O$1&lt;&gt;"",O$1=$C12),Turno_Min,0),IF(O$1="",0,SUMIFS(Mapa_MinPlantao,Mapa_Sala,$A12,Mapa_Data,Data_Mapa,Mapa_Esp,O$1))))</f>
        <v/>
      </c>
      <c r="P12">
        <f>IF($A12="",0,IF(OR($B12&lt;&gt;"Sala cirúrgica",$D12=0),IF(AND(P$1&lt;&gt;"",P$1=$C12),Turno_Min,0),IF(P$1="",0,SUMIFS(Mapa_MinPlantao,Mapa_Sala,$A12,Mapa_Data,Data_Mapa,Mapa_Esp,P$1))))</f>
        <v/>
      </c>
      <c r="Q12">
        <f>IF($A12="",0,IF(OR($B12&lt;&gt;"Sala cirúrgica",$D12=0),IF(AND(Q$1&lt;&gt;"",Q$1=$C12),Turno_Min,0),IF(Q$1="",0,SUMIFS(Mapa_MinPlantao,Mapa_Sala,$A12,Mapa_Data,Data_Mapa,Mapa_Esp,Q$1))))</f>
        <v/>
      </c>
      <c r="R12">
        <f>IF($A12="",0,IF(OR($B12&lt;&gt;"Sala cirúrgica",$D12=0),IF(AND(R$1&lt;&gt;"",R$1=$C12),Turno_Min,0),IF(R$1="",0,SUMIFS(Mapa_MinPlantao,Mapa_Sala,$A12,Mapa_Data,Data_Mapa,Mapa_Esp,R$1))))</f>
        <v/>
      </c>
      <c r="S12">
        <f>IF($A12="",0,IF(OR($B12&lt;&gt;"Sala cirúrgica",$D12=0),IF(AND(S$1&lt;&gt;"",S$1=$C12),Turno_Min,0),IF(S$1="",0,SUMIFS(Mapa_MinPlantao,Mapa_Sala,$A12,Mapa_Data,Data_Mapa,Mapa_Esp,S$1))))</f>
        <v/>
      </c>
      <c r="T12">
        <f>IF($A12="",0,IF(OR($B12&lt;&gt;"Sala cirúrgica",$D12=0),IF(AND(T$1&lt;&gt;"",T$1=$C12),Turno_Min,0),IF(T$1="",0,SUMIFS(Mapa_MinPlantao,Mapa_Sala,$A12,Mapa_Data,Data_Mapa,Mapa_Esp,T$1))))</f>
        <v/>
      </c>
      <c r="U12">
        <f>IF($A12="",0,IF(OR($B12&lt;&gt;"Sala cirúrgica",$D12=0),IF(AND(U$1&lt;&gt;"",U$1=$C12),Turno_Min,0),IF(U$1="",0,SUMIFS(Mapa_MinPlantao,Mapa_Sala,$A12,Mapa_Data,Data_Mapa,Mapa_Esp,U$1))))</f>
        <v/>
      </c>
      <c r="V12">
        <f>IF($A12="",0,IF(OR($B12&lt;&gt;"Sala cirúrgica",$D12=0),IF(AND(V$1&lt;&gt;"",V$1=$C12),Turno_Min,0),IF(V$1="",0,SUMIFS(Mapa_MinPlantao,Mapa_Sala,$A12,Mapa_Data,Data_Mapa,Mapa_Esp,V$1))))</f>
        <v/>
      </c>
      <c r="W12">
        <f>IF($A12="",0,IF(OR($B12&lt;&gt;"Sala cirúrgica",$D12=0),IF(AND(W$1&lt;&gt;"",W$1=$C12),Turno_Min,0),IF(W$1="",0,SUMIFS(Mapa_MinPlantao,Mapa_Sala,$A12,Mapa_Data,Data_Mapa,Mapa_Esp,W$1))))</f>
        <v/>
      </c>
      <c r="X12">
        <f>IF($A12="",0,IF(OR($B12&lt;&gt;"Sala cirúrgica",$D12=0),IF(AND(X$1&lt;&gt;"",X$1=$C12),Turno_Min,0),IF(X$1="",0,SUMIFS(Mapa_MinPlantao,Mapa_Sala,$A12,Mapa_Data,Data_Mapa,Mapa_Esp,X$1))))</f>
        <v/>
      </c>
      <c r="Y12">
        <f>IF($A12="",0,SUM(E12:X12))</f>
        <v/>
      </c>
      <c r="Z12">
        <f>IF($A12="",0,Turno_Min)</f>
        <v/>
      </c>
      <c r="AA12">
        <f>IF(OR($A12="",$B12&lt;&gt;"Sala cirúrgica"),"",$D12/Turno_Min)</f>
        <v/>
      </c>
      <c r="AD12">
        <f>IF($A12="",0,IF(OR(IFERROR(INDEX(Postos_Status,MATCH($A12,Postos_Cod,0)),"")&lt;&gt;"Ativo",AND(IFERROR(INDEX(Postos_Func,MATCH($A12,Postos_Cod,0)),"")="Seg a Sex",OR(WEEKDAY(Data_Mapa,2)&gt;5,COUNTIF(Feriados,Data_Mapa)&gt;0)),AND(IFERROR(INDEX(Postos_Func,MATCH($A12,Postos_Cod,0)),"")="Seg a Sáb",OR(WEEKDAY(Data_Mapa,2)&gt;6,COUNTIF(Feriados,Data_Mapa)&gt;0))),0,IFERROR(INDEX(Postos_Nec,MATCH($A12,Postos_Cod,0)),0)))</f>
        <v/>
      </c>
    </row>
    <row r="13">
      <c r="A13">
        <f>IF('Configuração'!$A$56="","",'Configuração'!$A$56)</f>
        <v/>
      </c>
      <c r="B13">
        <f>IF($A13="","",IFERROR(INDEX(Postos_Tipo,MATCH($A13,Postos_Cod,0)),""))</f>
        <v/>
      </c>
      <c r="C13">
        <f>IF($A13="","",IFERROR(INDEX(Postos_Esp,MATCH($A13,Postos_Cod,0)),""))</f>
        <v/>
      </c>
      <c r="D13">
        <f>IF(OR($A13="",$B13&lt;&gt;"Sala cirúrgica"),0,SUMIFS(Mapa_MinPlantao,Mapa_Sala,$A13,Mapa_Data,Data_Mapa))</f>
        <v/>
      </c>
      <c r="E13">
        <f>IF($A13="",0,IF(OR($B13&lt;&gt;"Sala cirúrgica",$D13=0),IF(AND(E$1&lt;&gt;"",E$1=$C13),Turno_Min,0),IF(E$1="",0,SUMIFS(Mapa_MinPlantao,Mapa_Sala,$A13,Mapa_Data,Data_Mapa,Mapa_Esp,E$1))))</f>
        <v/>
      </c>
      <c r="F13">
        <f>IF($A13="",0,IF(OR($B13&lt;&gt;"Sala cirúrgica",$D13=0),IF(AND(F$1&lt;&gt;"",F$1=$C13),Turno_Min,0),IF(F$1="",0,SUMIFS(Mapa_MinPlantao,Mapa_Sala,$A13,Mapa_Data,Data_Mapa,Mapa_Esp,F$1))))</f>
        <v/>
      </c>
      <c r="G13">
        <f>IF($A13="",0,IF(OR($B13&lt;&gt;"Sala cirúrgica",$D13=0),IF(AND(G$1&lt;&gt;"",G$1=$C13),Turno_Min,0),IF(G$1="",0,SUMIFS(Mapa_MinPlantao,Mapa_Sala,$A13,Mapa_Data,Data_Mapa,Mapa_Esp,G$1))))</f>
        <v/>
      </c>
      <c r="H13">
        <f>IF($A13="",0,IF(OR($B13&lt;&gt;"Sala cirúrgica",$D13=0),IF(AND(H$1&lt;&gt;"",H$1=$C13),Turno_Min,0),IF(H$1="",0,SUMIFS(Mapa_MinPlantao,Mapa_Sala,$A13,Mapa_Data,Data_Mapa,Mapa_Esp,H$1))))</f>
        <v/>
      </c>
      <c r="I13">
        <f>IF($A13="",0,IF(OR($B13&lt;&gt;"Sala cirúrgica",$D13=0),IF(AND(I$1&lt;&gt;"",I$1=$C13),Turno_Min,0),IF(I$1="",0,SUMIFS(Mapa_MinPlantao,Mapa_Sala,$A13,Mapa_Data,Data_Mapa,Mapa_Esp,I$1))))</f>
        <v/>
      </c>
      <c r="J13">
        <f>IF($A13="",0,IF(OR($B13&lt;&gt;"Sala cirúrgica",$D13=0),IF(AND(J$1&lt;&gt;"",J$1=$C13),Turno_Min,0),IF(J$1="",0,SUMIFS(Mapa_MinPlantao,Mapa_Sala,$A13,Mapa_Data,Data_Mapa,Mapa_Esp,J$1))))</f>
        <v/>
      </c>
      <c r="K13">
        <f>IF($A13="",0,IF(OR($B13&lt;&gt;"Sala cirúrgica",$D13=0),IF(AND(K$1&lt;&gt;"",K$1=$C13),Turno_Min,0),IF(K$1="",0,SUMIFS(Mapa_MinPlantao,Mapa_Sala,$A13,Mapa_Data,Data_Mapa,Mapa_Esp,K$1))))</f>
        <v/>
      </c>
      <c r="L13">
        <f>IF($A13="",0,IF(OR($B13&lt;&gt;"Sala cirúrgica",$D13=0),IF(AND(L$1&lt;&gt;"",L$1=$C13),Turno_Min,0),IF(L$1="",0,SUMIFS(Mapa_MinPlantao,Mapa_Sala,$A13,Mapa_Data,Data_Mapa,Mapa_Esp,L$1))))</f>
        <v/>
      </c>
      <c r="M13">
        <f>IF($A13="",0,IF(OR($B13&lt;&gt;"Sala cirúrgica",$D13=0),IF(AND(M$1&lt;&gt;"",M$1=$C13),Turno_Min,0),IF(M$1="",0,SUMIFS(Mapa_MinPlantao,Mapa_Sala,$A13,Mapa_Data,Data_Mapa,Mapa_Esp,M$1))))</f>
        <v/>
      </c>
      <c r="N13">
        <f>IF($A13="",0,IF(OR($B13&lt;&gt;"Sala cirúrgica",$D13=0),IF(AND(N$1&lt;&gt;"",N$1=$C13),Turno_Min,0),IF(N$1="",0,SUMIFS(Mapa_MinPlantao,Mapa_Sala,$A13,Mapa_Data,Data_Mapa,Mapa_Esp,N$1))))</f>
        <v/>
      </c>
      <c r="O13">
        <f>IF($A13="",0,IF(OR($B13&lt;&gt;"Sala cirúrgica",$D13=0),IF(AND(O$1&lt;&gt;"",O$1=$C13),Turno_Min,0),IF(O$1="",0,SUMIFS(Mapa_MinPlantao,Mapa_Sala,$A13,Mapa_Data,Data_Mapa,Mapa_Esp,O$1))))</f>
        <v/>
      </c>
      <c r="P13">
        <f>IF($A13="",0,IF(OR($B13&lt;&gt;"Sala cirúrgica",$D13=0),IF(AND(P$1&lt;&gt;"",P$1=$C13),Turno_Min,0),IF(P$1="",0,SUMIFS(Mapa_MinPlantao,Mapa_Sala,$A13,Mapa_Data,Data_Mapa,Mapa_Esp,P$1))))</f>
        <v/>
      </c>
      <c r="Q13">
        <f>IF($A13="",0,IF(OR($B13&lt;&gt;"Sala cirúrgica",$D13=0),IF(AND(Q$1&lt;&gt;"",Q$1=$C13),Turno_Min,0),IF(Q$1="",0,SUMIFS(Mapa_MinPlantao,Mapa_Sala,$A13,Mapa_Data,Data_Mapa,Mapa_Esp,Q$1))))</f>
        <v/>
      </c>
      <c r="R13">
        <f>IF($A13="",0,IF(OR($B13&lt;&gt;"Sala cirúrgica",$D13=0),IF(AND(R$1&lt;&gt;"",R$1=$C13),Turno_Min,0),IF(R$1="",0,SUMIFS(Mapa_MinPlantao,Mapa_Sala,$A13,Mapa_Data,Data_Mapa,Mapa_Esp,R$1))))</f>
        <v/>
      </c>
      <c r="S13">
        <f>IF($A13="",0,IF(OR($B13&lt;&gt;"Sala cirúrgica",$D13=0),IF(AND(S$1&lt;&gt;"",S$1=$C13),Turno_Min,0),IF(S$1="",0,SUMIFS(Mapa_MinPlantao,Mapa_Sala,$A13,Mapa_Data,Data_Mapa,Mapa_Esp,S$1))))</f>
        <v/>
      </c>
      <c r="T13">
        <f>IF($A13="",0,IF(OR($B13&lt;&gt;"Sala cirúrgica",$D13=0),IF(AND(T$1&lt;&gt;"",T$1=$C13),Turno_Min,0),IF(T$1="",0,SUMIFS(Mapa_MinPlantao,Mapa_Sala,$A13,Mapa_Data,Data_Mapa,Mapa_Esp,T$1))))</f>
        <v/>
      </c>
      <c r="U13">
        <f>IF($A13="",0,IF(OR($B13&lt;&gt;"Sala cirúrgica",$D13=0),IF(AND(U$1&lt;&gt;"",U$1=$C13),Turno_Min,0),IF(U$1="",0,SUMIFS(Mapa_MinPlantao,Mapa_Sala,$A13,Mapa_Data,Data_Mapa,Mapa_Esp,U$1))))</f>
        <v/>
      </c>
      <c r="V13">
        <f>IF($A13="",0,IF(OR($B13&lt;&gt;"Sala cirúrgica",$D13=0),IF(AND(V$1&lt;&gt;"",V$1=$C13),Turno_Min,0),IF(V$1="",0,SUMIFS(Mapa_MinPlantao,Mapa_Sala,$A13,Mapa_Data,Data_Mapa,Mapa_Esp,V$1))))</f>
        <v/>
      </c>
      <c r="W13">
        <f>IF($A13="",0,IF(OR($B13&lt;&gt;"Sala cirúrgica",$D13=0),IF(AND(W$1&lt;&gt;"",W$1=$C13),Turno_Min,0),IF(W$1="",0,SUMIFS(Mapa_MinPlantao,Mapa_Sala,$A13,Mapa_Data,Data_Mapa,Mapa_Esp,W$1))))</f>
        <v/>
      </c>
      <c r="X13">
        <f>IF($A13="",0,IF(OR($B13&lt;&gt;"Sala cirúrgica",$D13=0),IF(AND(X$1&lt;&gt;"",X$1=$C13),Turno_Min,0),IF(X$1="",0,SUMIFS(Mapa_MinPlantao,Mapa_Sala,$A13,Mapa_Data,Data_Mapa,Mapa_Esp,X$1))))</f>
        <v/>
      </c>
      <c r="Y13">
        <f>IF($A13="",0,SUM(E13:X13))</f>
        <v/>
      </c>
      <c r="Z13">
        <f>IF($A13="",0,Turno_Min)</f>
        <v/>
      </c>
      <c r="AA13">
        <f>IF(OR($A13="",$B13&lt;&gt;"Sala cirúrgica"),"",$D13/Turno_Min)</f>
        <v/>
      </c>
      <c r="AD13">
        <f>IF($A13="",0,IF(OR(IFERROR(INDEX(Postos_Status,MATCH($A13,Postos_Cod,0)),"")&lt;&gt;"Ativo",AND(IFERROR(INDEX(Postos_Func,MATCH($A13,Postos_Cod,0)),"")="Seg a Sex",OR(WEEKDAY(Data_Mapa,2)&gt;5,COUNTIF(Feriados,Data_Mapa)&gt;0)),AND(IFERROR(INDEX(Postos_Func,MATCH($A13,Postos_Cod,0)),"")="Seg a Sáb",OR(WEEKDAY(Data_Mapa,2)&gt;6,COUNTIF(Feriados,Data_Mapa)&gt;0))),0,IFERROR(INDEX(Postos_Nec,MATCH($A13,Postos_Cod,0)),0)))</f>
        <v/>
      </c>
    </row>
    <row r="14">
      <c r="A14">
        <f>IF('Configuração'!$A$57="","",'Configuração'!$A$57)</f>
        <v/>
      </c>
      <c r="B14">
        <f>IF($A14="","",IFERROR(INDEX(Postos_Tipo,MATCH($A14,Postos_Cod,0)),""))</f>
        <v/>
      </c>
      <c r="C14">
        <f>IF($A14="","",IFERROR(INDEX(Postos_Esp,MATCH($A14,Postos_Cod,0)),""))</f>
        <v/>
      </c>
      <c r="D14">
        <f>IF(OR($A14="",$B14&lt;&gt;"Sala cirúrgica"),0,SUMIFS(Mapa_MinPlantao,Mapa_Sala,$A14,Mapa_Data,Data_Mapa))</f>
        <v/>
      </c>
      <c r="E14">
        <f>IF($A14="",0,IF(OR($B14&lt;&gt;"Sala cirúrgica",$D14=0),IF(AND(E$1&lt;&gt;"",E$1=$C14),Turno_Min,0),IF(E$1="",0,SUMIFS(Mapa_MinPlantao,Mapa_Sala,$A14,Mapa_Data,Data_Mapa,Mapa_Esp,E$1))))</f>
        <v/>
      </c>
      <c r="F14">
        <f>IF($A14="",0,IF(OR($B14&lt;&gt;"Sala cirúrgica",$D14=0),IF(AND(F$1&lt;&gt;"",F$1=$C14),Turno_Min,0),IF(F$1="",0,SUMIFS(Mapa_MinPlantao,Mapa_Sala,$A14,Mapa_Data,Data_Mapa,Mapa_Esp,F$1))))</f>
        <v/>
      </c>
      <c r="G14">
        <f>IF($A14="",0,IF(OR($B14&lt;&gt;"Sala cirúrgica",$D14=0),IF(AND(G$1&lt;&gt;"",G$1=$C14),Turno_Min,0),IF(G$1="",0,SUMIFS(Mapa_MinPlantao,Mapa_Sala,$A14,Mapa_Data,Data_Mapa,Mapa_Esp,G$1))))</f>
        <v/>
      </c>
      <c r="H14">
        <f>IF($A14="",0,IF(OR($B14&lt;&gt;"Sala cirúrgica",$D14=0),IF(AND(H$1&lt;&gt;"",H$1=$C14),Turno_Min,0),IF(H$1="",0,SUMIFS(Mapa_MinPlantao,Mapa_Sala,$A14,Mapa_Data,Data_Mapa,Mapa_Esp,H$1))))</f>
        <v/>
      </c>
      <c r="I14">
        <f>IF($A14="",0,IF(OR($B14&lt;&gt;"Sala cirúrgica",$D14=0),IF(AND(I$1&lt;&gt;"",I$1=$C14),Turno_Min,0),IF(I$1="",0,SUMIFS(Mapa_MinPlantao,Mapa_Sala,$A14,Mapa_Data,Data_Mapa,Mapa_Esp,I$1))))</f>
        <v/>
      </c>
      <c r="J14">
        <f>IF($A14="",0,IF(OR($B14&lt;&gt;"Sala cirúrgica",$D14=0),IF(AND(J$1&lt;&gt;"",J$1=$C14),Turno_Min,0),IF(J$1="",0,SUMIFS(Mapa_MinPlantao,Mapa_Sala,$A14,Mapa_Data,Data_Mapa,Mapa_Esp,J$1))))</f>
        <v/>
      </c>
      <c r="K14">
        <f>IF($A14="",0,IF(OR($B14&lt;&gt;"Sala cirúrgica",$D14=0),IF(AND(K$1&lt;&gt;"",K$1=$C14),Turno_Min,0),IF(K$1="",0,SUMIFS(Mapa_MinPlantao,Mapa_Sala,$A14,Mapa_Data,Data_Mapa,Mapa_Esp,K$1))))</f>
        <v/>
      </c>
      <c r="L14">
        <f>IF($A14="",0,IF(OR($B14&lt;&gt;"Sala cirúrgica",$D14=0),IF(AND(L$1&lt;&gt;"",L$1=$C14),Turno_Min,0),IF(L$1="",0,SUMIFS(Mapa_MinPlantao,Mapa_Sala,$A14,Mapa_Data,Data_Mapa,Mapa_Esp,L$1))))</f>
        <v/>
      </c>
      <c r="M14">
        <f>IF($A14="",0,IF(OR($B14&lt;&gt;"Sala cirúrgica",$D14=0),IF(AND(M$1&lt;&gt;"",M$1=$C14),Turno_Min,0),IF(M$1="",0,SUMIFS(Mapa_MinPlantao,Mapa_Sala,$A14,Mapa_Data,Data_Mapa,Mapa_Esp,M$1))))</f>
        <v/>
      </c>
      <c r="N14">
        <f>IF($A14="",0,IF(OR($B14&lt;&gt;"Sala cirúrgica",$D14=0),IF(AND(N$1&lt;&gt;"",N$1=$C14),Turno_Min,0),IF(N$1="",0,SUMIFS(Mapa_MinPlantao,Mapa_Sala,$A14,Mapa_Data,Data_Mapa,Mapa_Esp,N$1))))</f>
        <v/>
      </c>
      <c r="O14">
        <f>IF($A14="",0,IF(OR($B14&lt;&gt;"Sala cirúrgica",$D14=0),IF(AND(O$1&lt;&gt;"",O$1=$C14),Turno_Min,0),IF(O$1="",0,SUMIFS(Mapa_MinPlantao,Mapa_Sala,$A14,Mapa_Data,Data_Mapa,Mapa_Esp,O$1))))</f>
        <v/>
      </c>
      <c r="P14">
        <f>IF($A14="",0,IF(OR($B14&lt;&gt;"Sala cirúrgica",$D14=0),IF(AND(P$1&lt;&gt;"",P$1=$C14),Turno_Min,0),IF(P$1="",0,SUMIFS(Mapa_MinPlantao,Mapa_Sala,$A14,Mapa_Data,Data_Mapa,Mapa_Esp,P$1))))</f>
        <v/>
      </c>
      <c r="Q14">
        <f>IF($A14="",0,IF(OR($B14&lt;&gt;"Sala cirúrgica",$D14=0),IF(AND(Q$1&lt;&gt;"",Q$1=$C14),Turno_Min,0),IF(Q$1="",0,SUMIFS(Mapa_MinPlantao,Mapa_Sala,$A14,Mapa_Data,Data_Mapa,Mapa_Esp,Q$1))))</f>
        <v/>
      </c>
      <c r="R14">
        <f>IF($A14="",0,IF(OR($B14&lt;&gt;"Sala cirúrgica",$D14=0),IF(AND(R$1&lt;&gt;"",R$1=$C14),Turno_Min,0),IF(R$1="",0,SUMIFS(Mapa_MinPlantao,Mapa_Sala,$A14,Mapa_Data,Data_Mapa,Mapa_Esp,R$1))))</f>
        <v/>
      </c>
      <c r="S14">
        <f>IF($A14="",0,IF(OR($B14&lt;&gt;"Sala cirúrgica",$D14=0),IF(AND(S$1&lt;&gt;"",S$1=$C14),Turno_Min,0),IF(S$1="",0,SUMIFS(Mapa_MinPlantao,Mapa_Sala,$A14,Mapa_Data,Data_Mapa,Mapa_Esp,S$1))))</f>
        <v/>
      </c>
      <c r="T14">
        <f>IF($A14="",0,IF(OR($B14&lt;&gt;"Sala cirúrgica",$D14=0),IF(AND(T$1&lt;&gt;"",T$1=$C14),Turno_Min,0),IF(T$1="",0,SUMIFS(Mapa_MinPlantao,Mapa_Sala,$A14,Mapa_Data,Data_Mapa,Mapa_Esp,T$1))))</f>
        <v/>
      </c>
      <c r="U14">
        <f>IF($A14="",0,IF(OR($B14&lt;&gt;"Sala cirúrgica",$D14=0),IF(AND(U$1&lt;&gt;"",U$1=$C14),Turno_Min,0),IF(U$1="",0,SUMIFS(Mapa_MinPlantao,Mapa_Sala,$A14,Mapa_Data,Data_Mapa,Mapa_Esp,U$1))))</f>
        <v/>
      </c>
      <c r="V14">
        <f>IF($A14="",0,IF(OR($B14&lt;&gt;"Sala cirúrgica",$D14=0),IF(AND(V$1&lt;&gt;"",V$1=$C14),Turno_Min,0),IF(V$1="",0,SUMIFS(Mapa_MinPlantao,Mapa_Sala,$A14,Mapa_Data,Data_Mapa,Mapa_Esp,V$1))))</f>
        <v/>
      </c>
      <c r="W14">
        <f>IF($A14="",0,IF(OR($B14&lt;&gt;"Sala cirúrgica",$D14=0),IF(AND(W$1&lt;&gt;"",W$1=$C14),Turno_Min,0),IF(W$1="",0,SUMIFS(Mapa_MinPlantao,Mapa_Sala,$A14,Mapa_Data,Data_Mapa,Mapa_Esp,W$1))))</f>
        <v/>
      </c>
      <c r="X14">
        <f>IF($A14="",0,IF(OR($B14&lt;&gt;"Sala cirúrgica",$D14=0),IF(AND(X$1&lt;&gt;"",X$1=$C14),Turno_Min,0),IF(X$1="",0,SUMIFS(Mapa_MinPlantao,Mapa_Sala,$A14,Mapa_Data,Data_Mapa,Mapa_Esp,X$1))))</f>
        <v/>
      </c>
      <c r="Y14">
        <f>IF($A14="",0,SUM(E14:X14))</f>
        <v/>
      </c>
      <c r="Z14">
        <f>IF($A14="",0,Turno_Min)</f>
        <v/>
      </c>
      <c r="AA14">
        <f>IF(OR($A14="",$B14&lt;&gt;"Sala cirúrgica"),"",$D14/Turno_Min)</f>
        <v/>
      </c>
      <c r="AD14">
        <f>IF($A14="",0,IF(OR(IFERROR(INDEX(Postos_Status,MATCH($A14,Postos_Cod,0)),"")&lt;&gt;"Ativo",AND(IFERROR(INDEX(Postos_Func,MATCH($A14,Postos_Cod,0)),"")="Seg a Sex",OR(WEEKDAY(Data_Mapa,2)&gt;5,COUNTIF(Feriados,Data_Mapa)&gt;0)),AND(IFERROR(INDEX(Postos_Func,MATCH($A14,Postos_Cod,0)),"")="Seg a Sáb",OR(WEEKDAY(Data_Mapa,2)&gt;6,COUNTIF(Feriados,Data_Mapa)&gt;0))),0,IFERROR(INDEX(Postos_Nec,MATCH($A14,Postos_Cod,0)),0)))</f>
        <v/>
      </c>
    </row>
    <row r="15">
      <c r="A15">
        <f>IF('Configuração'!$A$58="","",'Configuração'!$A$58)</f>
        <v/>
      </c>
      <c r="B15">
        <f>IF($A15="","",IFERROR(INDEX(Postos_Tipo,MATCH($A15,Postos_Cod,0)),""))</f>
        <v/>
      </c>
      <c r="C15">
        <f>IF($A15="","",IFERROR(INDEX(Postos_Esp,MATCH($A15,Postos_Cod,0)),""))</f>
        <v/>
      </c>
      <c r="D15">
        <f>IF(OR($A15="",$B15&lt;&gt;"Sala cirúrgica"),0,SUMIFS(Mapa_MinPlantao,Mapa_Sala,$A15,Mapa_Data,Data_Mapa))</f>
        <v/>
      </c>
      <c r="E15">
        <f>IF($A15="",0,IF(OR($B15&lt;&gt;"Sala cirúrgica",$D15=0),IF(AND(E$1&lt;&gt;"",E$1=$C15),Turno_Min,0),IF(E$1="",0,SUMIFS(Mapa_MinPlantao,Mapa_Sala,$A15,Mapa_Data,Data_Mapa,Mapa_Esp,E$1))))</f>
        <v/>
      </c>
      <c r="F15">
        <f>IF($A15="",0,IF(OR($B15&lt;&gt;"Sala cirúrgica",$D15=0),IF(AND(F$1&lt;&gt;"",F$1=$C15),Turno_Min,0),IF(F$1="",0,SUMIFS(Mapa_MinPlantao,Mapa_Sala,$A15,Mapa_Data,Data_Mapa,Mapa_Esp,F$1))))</f>
        <v/>
      </c>
      <c r="G15">
        <f>IF($A15="",0,IF(OR($B15&lt;&gt;"Sala cirúrgica",$D15=0),IF(AND(G$1&lt;&gt;"",G$1=$C15),Turno_Min,0),IF(G$1="",0,SUMIFS(Mapa_MinPlantao,Mapa_Sala,$A15,Mapa_Data,Data_Mapa,Mapa_Esp,G$1))))</f>
        <v/>
      </c>
      <c r="H15">
        <f>IF($A15="",0,IF(OR($B15&lt;&gt;"Sala cirúrgica",$D15=0),IF(AND(H$1&lt;&gt;"",H$1=$C15),Turno_Min,0),IF(H$1="",0,SUMIFS(Mapa_MinPlantao,Mapa_Sala,$A15,Mapa_Data,Data_Mapa,Mapa_Esp,H$1))))</f>
        <v/>
      </c>
      <c r="I15">
        <f>IF($A15="",0,IF(OR($B15&lt;&gt;"Sala cirúrgica",$D15=0),IF(AND(I$1&lt;&gt;"",I$1=$C15),Turno_Min,0),IF(I$1="",0,SUMIFS(Mapa_MinPlantao,Mapa_Sala,$A15,Mapa_Data,Data_Mapa,Mapa_Esp,I$1))))</f>
        <v/>
      </c>
      <c r="J15">
        <f>IF($A15="",0,IF(OR($B15&lt;&gt;"Sala cirúrgica",$D15=0),IF(AND(J$1&lt;&gt;"",J$1=$C15),Turno_Min,0),IF(J$1="",0,SUMIFS(Mapa_MinPlantao,Mapa_Sala,$A15,Mapa_Data,Data_Mapa,Mapa_Esp,J$1))))</f>
        <v/>
      </c>
      <c r="K15">
        <f>IF($A15="",0,IF(OR($B15&lt;&gt;"Sala cirúrgica",$D15=0),IF(AND(K$1&lt;&gt;"",K$1=$C15),Turno_Min,0),IF(K$1="",0,SUMIFS(Mapa_MinPlantao,Mapa_Sala,$A15,Mapa_Data,Data_Mapa,Mapa_Esp,K$1))))</f>
        <v/>
      </c>
      <c r="L15">
        <f>IF($A15="",0,IF(OR($B15&lt;&gt;"Sala cirúrgica",$D15=0),IF(AND(L$1&lt;&gt;"",L$1=$C15),Turno_Min,0),IF(L$1="",0,SUMIFS(Mapa_MinPlantao,Mapa_Sala,$A15,Mapa_Data,Data_Mapa,Mapa_Esp,L$1))))</f>
        <v/>
      </c>
      <c r="M15">
        <f>IF($A15="",0,IF(OR($B15&lt;&gt;"Sala cirúrgica",$D15=0),IF(AND(M$1&lt;&gt;"",M$1=$C15),Turno_Min,0),IF(M$1="",0,SUMIFS(Mapa_MinPlantao,Mapa_Sala,$A15,Mapa_Data,Data_Mapa,Mapa_Esp,M$1))))</f>
        <v/>
      </c>
      <c r="N15">
        <f>IF($A15="",0,IF(OR($B15&lt;&gt;"Sala cirúrgica",$D15=0),IF(AND(N$1&lt;&gt;"",N$1=$C15),Turno_Min,0),IF(N$1="",0,SUMIFS(Mapa_MinPlantao,Mapa_Sala,$A15,Mapa_Data,Data_Mapa,Mapa_Esp,N$1))))</f>
        <v/>
      </c>
      <c r="O15">
        <f>IF($A15="",0,IF(OR($B15&lt;&gt;"Sala cirúrgica",$D15=0),IF(AND(O$1&lt;&gt;"",O$1=$C15),Turno_Min,0),IF(O$1="",0,SUMIFS(Mapa_MinPlantao,Mapa_Sala,$A15,Mapa_Data,Data_Mapa,Mapa_Esp,O$1))))</f>
        <v/>
      </c>
      <c r="P15">
        <f>IF($A15="",0,IF(OR($B15&lt;&gt;"Sala cirúrgica",$D15=0),IF(AND(P$1&lt;&gt;"",P$1=$C15),Turno_Min,0),IF(P$1="",0,SUMIFS(Mapa_MinPlantao,Mapa_Sala,$A15,Mapa_Data,Data_Mapa,Mapa_Esp,P$1))))</f>
        <v/>
      </c>
      <c r="Q15">
        <f>IF($A15="",0,IF(OR($B15&lt;&gt;"Sala cirúrgica",$D15=0),IF(AND(Q$1&lt;&gt;"",Q$1=$C15),Turno_Min,0),IF(Q$1="",0,SUMIFS(Mapa_MinPlantao,Mapa_Sala,$A15,Mapa_Data,Data_Mapa,Mapa_Esp,Q$1))))</f>
        <v/>
      </c>
      <c r="R15">
        <f>IF($A15="",0,IF(OR($B15&lt;&gt;"Sala cirúrgica",$D15=0),IF(AND(R$1&lt;&gt;"",R$1=$C15),Turno_Min,0),IF(R$1="",0,SUMIFS(Mapa_MinPlantao,Mapa_Sala,$A15,Mapa_Data,Data_Mapa,Mapa_Esp,R$1))))</f>
        <v/>
      </c>
      <c r="S15">
        <f>IF($A15="",0,IF(OR($B15&lt;&gt;"Sala cirúrgica",$D15=0),IF(AND(S$1&lt;&gt;"",S$1=$C15),Turno_Min,0),IF(S$1="",0,SUMIFS(Mapa_MinPlantao,Mapa_Sala,$A15,Mapa_Data,Data_Mapa,Mapa_Esp,S$1))))</f>
        <v/>
      </c>
      <c r="T15">
        <f>IF($A15="",0,IF(OR($B15&lt;&gt;"Sala cirúrgica",$D15=0),IF(AND(T$1&lt;&gt;"",T$1=$C15),Turno_Min,0),IF(T$1="",0,SUMIFS(Mapa_MinPlantao,Mapa_Sala,$A15,Mapa_Data,Data_Mapa,Mapa_Esp,T$1))))</f>
        <v/>
      </c>
      <c r="U15">
        <f>IF($A15="",0,IF(OR($B15&lt;&gt;"Sala cirúrgica",$D15=0),IF(AND(U$1&lt;&gt;"",U$1=$C15),Turno_Min,0),IF(U$1="",0,SUMIFS(Mapa_MinPlantao,Mapa_Sala,$A15,Mapa_Data,Data_Mapa,Mapa_Esp,U$1))))</f>
        <v/>
      </c>
      <c r="V15">
        <f>IF($A15="",0,IF(OR($B15&lt;&gt;"Sala cirúrgica",$D15=0),IF(AND(V$1&lt;&gt;"",V$1=$C15),Turno_Min,0),IF(V$1="",0,SUMIFS(Mapa_MinPlantao,Mapa_Sala,$A15,Mapa_Data,Data_Mapa,Mapa_Esp,V$1))))</f>
        <v/>
      </c>
      <c r="W15">
        <f>IF($A15="",0,IF(OR($B15&lt;&gt;"Sala cirúrgica",$D15=0),IF(AND(W$1&lt;&gt;"",W$1=$C15),Turno_Min,0),IF(W$1="",0,SUMIFS(Mapa_MinPlantao,Mapa_Sala,$A15,Mapa_Data,Data_Mapa,Mapa_Esp,W$1))))</f>
        <v/>
      </c>
      <c r="X15">
        <f>IF($A15="",0,IF(OR($B15&lt;&gt;"Sala cirúrgica",$D15=0),IF(AND(X$1&lt;&gt;"",X$1=$C15),Turno_Min,0),IF(X$1="",0,SUMIFS(Mapa_MinPlantao,Mapa_Sala,$A15,Mapa_Data,Data_Mapa,Mapa_Esp,X$1))))</f>
        <v/>
      </c>
      <c r="Y15">
        <f>IF($A15="",0,SUM(E15:X15))</f>
        <v/>
      </c>
      <c r="Z15">
        <f>IF($A15="",0,Turno_Min)</f>
        <v/>
      </c>
      <c r="AA15">
        <f>IF(OR($A15="",$B15&lt;&gt;"Sala cirúrgica"),"",$D15/Turno_Min)</f>
        <v/>
      </c>
      <c r="AD15">
        <f>IF($A15="",0,IF(OR(IFERROR(INDEX(Postos_Status,MATCH($A15,Postos_Cod,0)),"")&lt;&gt;"Ativo",AND(IFERROR(INDEX(Postos_Func,MATCH($A15,Postos_Cod,0)),"")="Seg a Sex",OR(WEEKDAY(Data_Mapa,2)&gt;5,COUNTIF(Feriados,Data_Mapa)&gt;0)),AND(IFERROR(INDEX(Postos_Func,MATCH($A15,Postos_Cod,0)),"")="Seg a Sáb",OR(WEEKDAY(Data_Mapa,2)&gt;6,COUNTIF(Feriados,Data_Mapa)&gt;0))),0,IFERROR(INDEX(Postos_Nec,MATCH($A15,Postos_Cod,0)),0)))</f>
        <v/>
      </c>
    </row>
    <row r="16">
      <c r="A16">
        <f>IF('Configuração'!$A$59="","",'Configuração'!$A$59)</f>
        <v/>
      </c>
      <c r="B16">
        <f>IF($A16="","",IFERROR(INDEX(Postos_Tipo,MATCH($A16,Postos_Cod,0)),""))</f>
        <v/>
      </c>
      <c r="C16">
        <f>IF($A16="","",IFERROR(INDEX(Postos_Esp,MATCH($A16,Postos_Cod,0)),""))</f>
        <v/>
      </c>
      <c r="D16">
        <f>IF(OR($A16="",$B16&lt;&gt;"Sala cirúrgica"),0,SUMIFS(Mapa_MinPlantao,Mapa_Sala,$A16,Mapa_Data,Data_Mapa))</f>
        <v/>
      </c>
      <c r="E16">
        <f>IF($A16="",0,IF(OR($B16&lt;&gt;"Sala cirúrgica",$D16=0),IF(AND(E$1&lt;&gt;"",E$1=$C16),Turno_Min,0),IF(E$1="",0,SUMIFS(Mapa_MinPlantao,Mapa_Sala,$A16,Mapa_Data,Data_Mapa,Mapa_Esp,E$1))))</f>
        <v/>
      </c>
      <c r="F16">
        <f>IF($A16="",0,IF(OR($B16&lt;&gt;"Sala cirúrgica",$D16=0),IF(AND(F$1&lt;&gt;"",F$1=$C16),Turno_Min,0),IF(F$1="",0,SUMIFS(Mapa_MinPlantao,Mapa_Sala,$A16,Mapa_Data,Data_Mapa,Mapa_Esp,F$1))))</f>
        <v/>
      </c>
      <c r="G16">
        <f>IF($A16="",0,IF(OR($B16&lt;&gt;"Sala cirúrgica",$D16=0),IF(AND(G$1&lt;&gt;"",G$1=$C16),Turno_Min,0),IF(G$1="",0,SUMIFS(Mapa_MinPlantao,Mapa_Sala,$A16,Mapa_Data,Data_Mapa,Mapa_Esp,G$1))))</f>
        <v/>
      </c>
      <c r="H16">
        <f>IF($A16="",0,IF(OR($B16&lt;&gt;"Sala cirúrgica",$D16=0),IF(AND(H$1&lt;&gt;"",H$1=$C16),Turno_Min,0),IF(H$1="",0,SUMIFS(Mapa_MinPlantao,Mapa_Sala,$A16,Mapa_Data,Data_Mapa,Mapa_Esp,H$1))))</f>
        <v/>
      </c>
      <c r="I16">
        <f>IF($A16="",0,IF(OR($B16&lt;&gt;"Sala cirúrgica",$D16=0),IF(AND(I$1&lt;&gt;"",I$1=$C16),Turno_Min,0),IF(I$1="",0,SUMIFS(Mapa_MinPlantao,Mapa_Sala,$A16,Mapa_Data,Data_Mapa,Mapa_Esp,I$1))))</f>
        <v/>
      </c>
      <c r="J16">
        <f>IF($A16="",0,IF(OR($B16&lt;&gt;"Sala cirúrgica",$D16=0),IF(AND(J$1&lt;&gt;"",J$1=$C16),Turno_Min,0),IF(J$1="",0,SUMIFS(Mapa_MinPlantao,Mapa_Sala,$A16,Mapa_Data,Data_Mapa,Mapa_Esp,J$1))))</f>
        <v/>
      </c>
      <c r="K16">
        <f>IF($A16="",0,IF(OR($B16&lt;&gt;"Sala cirúrgica",$D16=0),IF(AND(K$1&lt;&gt;"",K$1=$C16),Turno_Min,0),IF(K$1="",0,SUMIFS(Mapa_MinPlantao,Mapa_Sala,$A16,Mapa_Data,Data_Mapa,Mapa_Esp,K$1))))</f>
        <v/>
      </c>
      <c r="L16">
        <f>IF($A16="",0,IF(OR($B16&lt;&gt;"Sala cirúrgica",$D16=0),IF(AND(L$1&lt;&gt;"",L$1=$C16),Turno_Min,0),IF(L$1="",0,SUMIFS(Mapa_MinPlantao,Mapa_Sala,$A16,Mapa_Data,Data_Mapa,Mapa_Esp,L$1))))</f>
        <v/>
      </c>
      <c r="M16">
        <f>IF($A16="",0,IF(OR($B16&lt;&gt;"Sala cirúrgica",$D16=0),IF(AND(M$1&lt;&gt;"",M$1=$C16),Turno_Min,0),IF(M$1="",0,SUMIFS(Mapa_MinPlantao,Mapa_Sala,$A16,Mapa_Data,Data_Mapa,Mapa_Esp,M$1))))</f>
        <v/>
      </c>
      <c r="N16">
        <f>IF($A16="",0,IF(OR($B16&lt;&gt;"Sala cirúrgica",$D16=0),IF(AND(N$1&lt;&gt;"",N$1=$C16),Turno_Min,0),IF(N$1="",0,SUMIFS(Mapa_MinPlantao,Mapa_Sala,$A16,Mapa_Data,Data_Mapa,Mapa_Esp,N$1))))</f>
        <v/>
      </c>
      <c r="O16">
        <f>IF($A16="",0,IF(OR($B16&lt;&gt;"Sala cirúrgica",$D16=0),IF(AND(O$1&lt;&gt;"",O$1=$C16),Turno_Min,0),IF(O$1="",0,SUMIFS(Mapa_MinPlantao,Mapa_Sala,$A16,Mapa_Data,Data_Mapa,Mapa_Esp,O$1))))</f>
        <v/>
      </c>
      <c r="P16">
        <f>IF($A16="",0,IF(OR($B16&lt;&gt;"Sala cirúrgica",$D16=0),IF(AND(P$1&lt;&gt;"",P$1=$C16),Turno_Min,0),IF(P$1="",0,SUMIFS(Mapa_MinPlantao,Mapa_Sala,$A16,Mapa_Data,Data_Mapa,Mapa_Esp,P$1))))</f>
        <v/>
      </c>
      <c r="Q16">
        <f>IF($A16="",0,IF(OR($B16&lt;&gt;"Sala cirúrgica",$D16=0),IF(AND(Q$1&lt;&gt;"",Q$1=$C16),Turno_Min,0),IF(Q$1="",0,SUMIFS(Mapa_MinPlantao,Mapa_Sala,$A16,Mapa_Data,Data_Mapa,Mapa_Esp,Q$1))))</f>
        <v/>
      </c>
      <c r="R16">
        <f>IF($A16="",0,IF(OR($B16&lt;&gt;"Sala cirúrgica",$D16=0),IF(AND(R$1&lt;&gt;"",R$1=$C16),Turno_Min,0),IF(R$1="",0,SUMIFS(Mapa_MinPlantao,Mapa_Sala,$A16,Mapa_Data,Data_Mapa,Mapa_Esp,R$1))))</f>
        <v/>
      </c>
      <c r="S16">
        <f>IF($A16="",0,IF(OR($B16&lt;&gt;"Sala cirúrgica",$D16=0),IF(AND(S$1&lt;&gt;"",S$1=$C16),Turno_Min,0),IF(S$1="",0,SUMIFS(Mapa_MinPlantao,Mapa_Sala,$A16,Mapa_Data,Data_Mapa,Mapa_Esp,S$1))))</f>
        <v/>
      </c>
      <c r="T16">
        <f>IF($A16="",0,IF(OR($B16&lt;&gt;"Sala cirúrgica",$D16=0),IF(AND(T$1&lt;&gt;"",T$1=$C16),Turno_Min,0),IF(T$1="",0,SUMIFS(Mapa_MinPlantao,Mapa_Sala,$A16,Mapa_Data,Data_Mapa,Mapa_Esp,T$1))))</f>
        <v/>
      </c>
      <c r="U16">
        <f>IF($A16="",0,IF(OR($B16&lt;&gt;"Sala cirúrgica",$D16=0),IF(AND(U$1&lt;&gt;"",U$1=$C16),Turno_Min,0),IF(U$1="",0,SUMIFS(Mapa_MinPlantao,Mapa_Sala,$A16,Mapa_Data,Data_Mapa,Mapa_Esp,U$1))))</f>
        <v/>
      </c>
      <c r="V16">
        <f>IF($A16="",0,IF(OR($B16&lt;&gt;"Sala cirúrgica",$D16=0),IF(AND(V$1&lt;&gt;"",V$1=$C16),Turno_Min,0),IF(V$1="",0,SUMIFS(Mapa_MinPlantao,Mapa_Sala,$A16,Mapa_Data,Data_Mapa,Mapa_Esp,V$1))))</f>
        <v/>
      </c>
      <c r="W16">
        <f>IF($A16="",0,IF(OR($B16&lt;&gt;"Sala cirúrgica",$D16=0),IF(AND(W$1&lt;&gt;"",W$1=$C16),Turno_Min,0),IF(W$1="",0,SUMIFS(Mapa_MinPlantao,Mapa_Sala,$A16,Mapa_Data,Data_Mapa,Mapa_Esp,W$1))))</f>
        <v/>
      </c>
      <c r="X16">
        <f>IF($A16="",0,IF(OR($B16&lt;&gt;"Sala cirúrgica",$D16=0),IF(AND(X$1&lt;&gt;"",X$1=$C16),Turno_Min,0),IF(X$1="",0,SUMIFS(Mapa_MinPlantao,Mapa_Sala,$A16,Mapa_Data,Data_Mapa,Mapa_Esp,X$1))))</f>
        <v/>
      </c>
      <c r="Y16">
        <f>IF($A16="",0,SUM(E16:X16))</f>
        <v/>
      </c>
      <c r="Z16">
        <f>IF($A16="",0,Turno_Min)</f>
        <v/>
      </c>
      <c r="AA16">
        <f>IF(OR($A16="",$B16&lt;&gt;"Sala cirúrgica"),"",$D16/Turno_Min)</f>
        <v/>
      </c>
      <c r="AD16">
        <f>IF($A16="",0,IF(OR(IFERROR(INDEX(Postos_Status,MATCH($A16,Postos_Cod,0)),"")&lt;&gt;"Ativo",AND(IFERROR(INDEX(Postos_Func,MATCH($A16,Postos_Cod,0)),"")="Seg a Sex",OR(WEEKDAY(Data_Mapa,2)&gt;5,COUNTIF(Feriados,Data_Mapa)&gt;0)),AND(IFERROR(INDEX(Postos_Func,MATCH($A16,Postos_Cod,0)),"")="Seg a Sáb",OR(WEEKDAY(Data_Mapa,2)&gt;6,COUNTIF(Feriados,Data_Mapa)&gt;0))),0,IFERROR(INDEX(Postos_Nec,MATCH($A16,Postos_Cod,0)),0)))</f>
        <v/>
      </c>
    </row>
    <row r="17">
      <c r="A17">
        <f>IF('Configuração'!$A$60="","",'Configuração'!$A$60)</f>
        <v/>
      </c>
      <c r="B17">
        <f>IF($A17="","",IFERROR(INDEX(Postos_Tipo,MATCH($A17,Postos_Cod,0)),""))</f>
        <v/>
      </c>
      <c r="C17">
        <f>IF($A17="","",IFERROR(INDEX(Postos_Esp,MATCH($A17,Postos_Cod,0)),""))</f>
        <v/>
      </c>
      <c r="D17">
        <f>IF(OR($A17="",$B17&lt;&gt;"Sala cirúrgica"),0,SUMIFS(Mapa_MinPlantao,Mapa_Sala,$A17,Mapa_Data,Data_Mapa))</f>
        <v/>
      </c>
      <c r="E17">
        <f>IF($A17="",0,IF(OR($B17&lt;&gt;"Sala cirúrgica",$D17=0),IF(AND(E$1&lt;&gt;"",E$1=$C17),Turno_Min,0),IF(E$1="",0,SUMIFS(Mapa_MinPlantao,Mapa_Sala,$A17,Mapa_Data,Data_Mapa,Mapa_Esp,E$1))))</f>
        <v/>
      </c>
      <c r="F17">
        <f>IF($A17="",0,IF(OR($B17&lt;&gt;"Sala cirúrgica",$D17=0),IF(AND(F$1&lt;&gt;"",F$1=$C17),Turno_Min,0),IF(F$1="",0,SUMIFS(Mapa_MinPlantao,Mapa_Sala,$A17,Mapa_Data,Data_Mapa,Mapa_Esp,F$1))))</f>
        <v/>
      </c>
      <c r="G17">
        <f>IF($A17="",0,IF(OR($B17&lt;&gt;"Sala cirúrgica",$D17=0),IF(AND(G$1&lt;&gt;"",G$1=$C17),Turno_Min,0),IF(G$1="",0,SUMIFS(Mapa_MinPlantao,Mapa_Sala,$A17,Mapa_Data,Data_Mapa,Mapa_Esp,G$1))))</f>
        <v/>
      </c>
      <c r="H17">
        <f>IF($A17="",0,IF(OR($B17&lt;&gt;"Sala cirúrgica",$D17=0),IF(AND(H$1&lt;&gt;"",H$1=$C17),Turno_Min,0),IF(H$1="",0,SUMIFS(Mapa_MinPlantao,Mapa_Sala,$A17,Mapa_Data,Data_Mapa,Mapa_Esp,H$1))))</f>
        <v/>
      </c>
      <c r="I17">
        <f>IF($A17="",0,IF(OR($B17&lt;&gt;"Sala cirúrgica",$D17=0),IF(AND(I$1&lt;&gt;"",I$1=$C17),Turno_Min,0),IF(I$1="",0,SUMIFS(Mapa_MinPlantao,Mapa_Sala,$A17,Mapa_Data,Data_Mapa,Mapa_Esp,I$1))))</f>
        <v/>
      </c>
      <c r="J17">
        <f>IF($A17="",0,IF(OR($B17&lt;&gt;"Sala cirúrgica",$D17=0),IF(AND(J$1&lt;&gt;"",J$1=$C17),Turno_Min,0),IF(J$1="",0,SUMIFS(Mapa_MinPlantao,Mapa_Sala,$A17,Mapa_Data,Data_Mapa,Mapa_Esp,J$1))))</f>
        <v/>
      </c>
      <c r="K17">
        <f>IF($A17="",0,IF(OR($B17&lt;&gt;"Sala cirúrgica",$D17=0),IF(AND(K$1&lt;&gt;"",K$1=$C17),Turno_Min,0),IF(K$1="",0,SUMIFS(Mapa_MinPlantao,Mapa_Sala,$A17,Mapa_Data,Data_Mapa,Mapa_Esp,K$1))))</f>
        <v/>
      </c>
      <c r="L17">
        <f>IF($A17="",0,IF(OR($B17&lt;&gt;"Sala cirúrgica",$D17=0),IF(AND(L$1&lt;&gt;"",L$1=$C17),Turno_Min,0),IF(L$1="",0,SUMIFS(Mapa_MinPlantao,Mapa_Sala,$A17,Mapa_Data,Data_Mapa,Mapa_Esp,L$1))))</f>
        <v/>
      </c>
      <c r="M17">
        <f>IF($A17="",0,IF(OR($B17&lt;&gt;"Sala cirúrgica",$D17=0),IF(AND(M$1&lt;&gt;"",M$1=$C17),Turno_Min,0),IF(M$1="",0,SUMIFS(Mapa_MinPlantao,Mapa_Sala,$A17,Mapa_Data,Data_Mapa,Mapa_Esp,M$1))))</f>
        <v/>
      </c>
      <c r="N17">
        <f>IF($A17="",0,IF(OR($B17&lt;&gt;"Sala cirúrgica",$D17=0),IF(AND(N$1&lt;&gt;"",N$1=$C17),Turno_Min,0),IF(N$1="",0,SUMIFS(Mapa_MinPlantao,Mapa_Sala,$A17,Mapa_Data,Data_Mapa,Mapa_Esp,N$1))))</f>
        <v/>
      </c>
      <c r="O17">
        <f>IF($A17="",0,IF(OR($B17&lt;&gt;"Sala cirúrgica",$D17=0),IF(AND(O$1&lt;&gt;"",O$1=$C17),Turno_Min,0),IF(O$1="",0,SUMIFS(Mapa_MinPlantao,Mapa_Sala,$A17,Mapa_Data,Data_Mapa,Mapa_Esp,O$1))))</f>
        <v/>
      </c>
      <c r="P17">
        <f>IF($A17="",0,IF(OR($B17&lt;&gt;"Sala cirúrgica",$D17=0),IF(AND(P$1&lt;&gt;"",P$1=$C17),Turno_Min,0),IF(P$1="",0,SUMIFS(Mapa_MinPlantao,Mapa_Sala,$A17,Mapa_Data,Data_Mapa,Mapa_Esp,P$1))))</f>
        <v/>
      </c>
      <c r="Q17">
        <f>IF($A17="",0,IF(OR($B17&lt;&gt;"Sala cirúrgica",$D17=0),IF(AND(Q$1&lt;&gt;"",Q$1=$C17),Turno_Min,0),IF(Q$1="",0,SUMIFS(Mapa_MinPlantao,Mapa_Sala,$A17,Mapa_Data,Data_Mapa,Mapa_Esp,Q$1))))</f>
        <v/>
      </c>
      <c r="R17">
        <f>IF($A17="",0,IF(OR($B17&lt;&gt;"Sala cirúrgica",$D17=0),IF(AND(R$1&lt;&gt;"",R$1=$C17),Turno_Min,0),IF(R$1="",0,SUMIFS(Mapa_MinPlantao,Mapa_Sala,$A17,Mapa_Data,Data_Mapa,Mapa_Esp,R$1))))</f>
        <v/>
      </c>
      <c r="S17">
        <f>IF($A17="",0,IF(OR($B17&lt;&gt;"Sala cirúrgica",$D17=0),IF(AND(S$1&lt;&gt;"",S$1=$C17),Turno_Min,0),IF(S$1="",0,SUMIFS(Mapa_MinPlantao,Mapa_Sala,$A17,Mapa_Data,Data_Mapa,Mapa_Esp,S$1))))</f>
        <v/>
      </c>
      <c r="T17">
        <f>IF($A17="",0,IF(OR($B17&lt;&gt;"Sala cirúrgica",$D17=0),IF(AND(T$1&lt;&gt;"",T$1=$C17),Turno_Min,0),IF(T$1="",0,SUMIFS(Mapa_MinPlantao,Mapa_Sala,$A17,Mapa_Data,Data_Mapa,Mapa_Esp,T$1))))</f>
        <v/>
      </c>
      <c r="U17">
        <f>IF($A17="",0,IF(OR($B17&lt;&gt;"Sala cirúrgica",$D17=0),IF(AND(U$1&lt;&gt;"",U$1=$C17),Turno_Min,0),IF(U$1="",0,SUMIFS(Mapa_MinPlantao,Mapa_Sala,$A17,Mapa_Data,Data_Mapa,Mapa_Esp,U$1))))</f>
        <v/>
      </c>
      <c r="V17">
        <f>IF($A17="",0,IF(OR($B17&lt;&gt;"Sala cirúrgica",$D17=0),IF(AND(V$1&lt;&gt;"",V$1=$C17),Turno_Min,0),IF(V$1="",0,SUMIFS(Mapa_MinPlantao,Mapa_Sala,$A17,Mapa_Data,Data_Mapa,Mapa_Esp,V$1))))</f>
        <v/>
      </c>
      <c r="W17">
        <f>IF($A17="",0,IF(OR($B17&lt;&gt;"Sala cirúrgica",$D17=0),IF(AND(W$1&lt;&gt;"",W$1=$C17),Turno_Min,0),IF(W$1="",0,SUMIFS(Mapa_MinPlantao,Mapa_Sala,$A17,Mapa_Data,Data_Mapa,Mapa_Esp,W$1))))</f>
        <v/>
      </c>
      <c r="X17">
        <f>IF($A17="",0,IF(OR($B17&lt;&gt;"Sala cirúrgica",$D17=0),IF(AND(X$1&lt;&gt;"",X$1=$C17),Turno_Min,0),IF(X$1="",0,SUMIFS(Mapa_MinPlantao,Mapa_Sala,$A17,Mapa_Data,Data_Mapa,Mapa_Esp,X$1))))</f>
        <v/>
      </c>
      <c r="Y17">
        <f>IF($A17="",0,SUM(E17:X17))</f>
        <v/>
      </c>
      <c r="Z17">
        <f>IF($A17="",0,Turno_Min)</f>
        <v/>
      </c>
      <c r="AA17">
        <f>IF(OR($A17="",$B17&lt;&gt;"Sala cirúrgica"),"",$D17/Turno_Min)</f>
        <v/>
      </c>
      <c r="AD17">
        <f>IF($A17="",0,IF(OR(IFERROR(INDEX(Postos_Status,MATCH($A17,Postos_Cod,0)),"")&lt;&gt;"Ativo",AND(IFERROR(INDEX(Postos_Func,MATCH($A17,Postos_Cod,0)),"")="Seg a Sex",OR(WEEKDAY(Data_Mapa,2)&gt;5,COUNTIF(Feriados,Data_Mapa)&gt;0)),AND(IFERROR(INDEX(Postos_Func,MATCH($A17,Postos_Cod,0)),"")="Seg a Sáb",OR(WEEKDAY(Data_Mapa,2)&gt;6,COUNTIF(Feriados,Data_Mapa)&gt;0))),0,IFERROR(INDEX(Postos_Nec,MATCH($A17,Postos_Cod,0)),0)))</f>
        <v/>
      </c>
    </row>
    <row r="19" ht="40" customHeight="1">
      <c r="A19" s="7" t="inlineStr">
        <is>
          <t>Posto</t>
        </is>
      </c>
      <c r="B19" s="7" t="inlineStr"/>
      <c r="C19" s="7" t="inlineStr"/>
      <c r="D19" s="7" t="inlineStr"/>
      <c r="E19" s="36">
        <f>E$1</f>
        <v/>
      </c>
      <c r="F19" s="36">
        <f>F$1</f>
        <v/>
      </c>
      <c r="G19" s="36">
        <f>G$1</f>
        <v/>
      </c>
      <c r="H19" s="36">
        <f>H$1</f>
        <v/>
      </c>
      <c r="I19" s="36">
        <f>I$1</f>
        <v/>
      </c>
      <c r="J19" s="36">
        <f>J$1</f>
        <v/>
      </c>
      <c r="K19" s="36">
        <f>K$1</f>
        <v/>
      </c>
      <c r="L19" s="36">
        <f>L$1</f>
        <v/>
      </c>
      <c r="M19" s="36">
        <f>M$1</f>
        <v/>
      </c>
      <c r="N19" s="36">
        <f>N$1</f>
        <v/>
      </c>
      <c r="O19" s="36">
        <f>O$1</f>
        <v/>
      </c>
      <c r="P19" s="36">
        <f>P$1</f>
        <v/>
      </c>
      <c r="Q19" s="36">
        <f>Q$1</f>
        <v/>
      </c>
      <c r="R19" s="36">
        <f>R$1</f>
        <v/>
      </c>
      <c r="S19" s="36">
        <f>S$1</f>
        <v/>
      </c>
      <c r="T19" s="36">
        <f>T$1</f>
        <v/>
      </c>
      <c r="U19" s="36">
        <f>U$1</f>
        <v/>
      </c>
      <c r="V19" s="36">
        <f>V$1</f>
        <v/>
      </c>
      <c r="W19" s="36">
        <f>W$1</f>
        <v/>
      </c>
      <c r="X19" s="36">
        <f>X$1</f>
        <v/>
      </c>
      <c r="Y19" s="7" t="inlineStr">
        <is>
          <t>Nº especialidades do dia</t>
        </is>
      </c>
      <c r="Z19" s="7" t="inlineStr">
        <is>
          <t>Descobertas</t>
        </is>
      </c>
      <c r="AA19" s="7" t="inlineStr">
        <is>
          <t>Cobertas por 1 só</t>
        </is>
      </c>
      <c r="AB19" s="7" t="inlineStr">
        <is>
          <t>Especialidades do dia</t>
        </is>
      </c>
      <c r="AC19" s="7" t="inlineStr">
        <is>
          <t>Especialidades descobertas</t>
        </is>
      </c>
    </row>
    <row r="20">
      <c r="A20">
        <f>IF($A2="","",$A2)</f>
        <v/>
      </c>
      <c r="E20">
        <f>IF(E2=0,"",IF('Mapa do Dia'!$D10="",0,--(IFERROR(INDEX(Equipe_X,MATCH('Mapa do Dia'!$D10,Equipe_Nome,0),1),"")="X"))+IF('Mapa do Dia'!$E10="",0,--(IFERROR(INDEX(Equipe_X,MATCH('Mapa do Dia'!$E10,Equipe_Nome,0),1),"")="X")))</f>
        <v/>
      </c>
      <c r="F20">
        <f>IF(F2=0,"",IF('Mapa do Dia'!$D10="",0,--(IFERROR(INDEX(Equipe_X,MATCH('Mapa do Dia'!$D10,Equipe_Nome,0),2),"")="X"))+IF('Mapa do Dia'!$E10="",0,--(IFERROR(INDEX(Equipe_X,MATCH('Mapa do Dia'!$E10,Equipe_Nome,0),2),"")="X")))</f>
        <v/>
      </c>
      <c r="G20">
        <f>IF(G2=0,"",IF('Mapa do Dia'!$D10="",0,--(IFERROR(INDEX(Equipe_X,MATCH('Mapa do Dia'!$D10,Equipe_Nome,0),3),"")="X"))+IF('Mapa do Dia'!$E10="",0,--(IFERROR(INDEX(Equipe_X,MATCH('Mapa do Dia'!$E10,Equipe_Nome,0),3),"")="X")))</f>
        <v/>
      </c>
      <c r="H20">
        <f>IF(H2=0,"",IF('Mapa do Dia'!$D10="",0,--(IFERROR(INDEX(Equipe_X,MATCH('Mapa do Dia'!$D10,Equipe_Nome,0),4),"")="X"))+IF('Mapa do Dia'!$E10="",0,--(IFERROR(INDEX(Equipe_X,MATCH('Mapa do Dia'!$E10,Equipe_Nome,0),4),"")="X")))</f>
        <v/>
      </c>
      <c r="I20">
        <f>IF(I2=0,"",IF('Mapa do Dia'!$D10="",0,--(IFERROR(INDEX(Equipe_X,MATCH('Mapa do Dia'!$D10,Equipe_Nome,0),5),"")="X"))+IF('Mapa do Dia'!$E10="",0,--(IFERROR(INDEX(Equipe_X,MATCH('Mapa do Dia'!$E10,Equipe_Nome,0),5),"")="X")))</f>
        <v/>
      </c>
      <c r="J20">
        <f>IF(J2=0,"",IF('Mapa do Dia'!$D10="",0,--(IFERROR(INDEX(Equipe_X,MATCH('Mapa do Dia'!$D10,Equipe_Nome,0),6),"")="X"))+IF('Mapa do Dia'!$E10="",0,--(IFERROR(INDEX(Equipe_X,MATCH('Mapa do Dia'!$E10,Equipe_Nome,0),6),"")="X")))</f>
        <v/>
      </c>
      <c r="K20">
        <f>IF(K2=0,"",IF('Mapa do Dia'!$D10="",0,--(IFERROR(INDEX(Equipe_X,MATCH('Mapa do Dia'!$D10,Equipe_Nome,0),7),"")="X"))+IF('Mapa do Dia'!$E10="",0,--(IFERROR(INDEX(Equipe_X,MATCH('Mapa do Dia'!$E10,Equipe_Nome,0),7),"")="X")))</f>
        <v/>
      </c>
      <c r="L20">
        <f>IF(L2=0,"",IF('Mapa do Dia'!$D10="",0,--(IFERROR(INDEX(Equipe_X,MATCH('Mapa do Dia'!$D10,Equipe_Nome,0),8),"")="X"))+IF('Mapa do Dia'!$E10="",0,--(IFERROR(INDEX(Equipe_X,MATCH('Mapa do Dia'!$E10,Equipe_Nome,0),8),"")="X")))</f>
        <v/>
      </c>
      <c r="M20">
        <f>IF(M2=0,"",IF('Mapa do Dia'!$D10="",0,--(IFERROR(INDEX(Equipe_X,MATCH('Mapa do Dia'!$D10,Equipe_Nome,0),9),"")="X"))+IF('Mapa do Dia'!$E10="",0,--(IFERROR(INDEX(Equipe_X,MATCH('Mapa do Dia'!$E10,Equipe_Nome,0),9),"")="X")))</f>
        <v/>
      </c>
      <c r="N20">
        <f>IF(N2=0,"",IF('Mapa do Dia'!$D10="",0,--(IFERROR(INDEX(Equipe_X,MATCH('Mapa do Dia'!$D10,Equipe_Nome,0),10),"")="X"))+IF('Mapa do Dia'!$E10="",0,--(IFERROR(INDEX(Equipe_X,MATCH('Mapa do Dia'!$E10,Equipe_Nome,0),10),"")="X")))</f>
        <v/>
      </c>
      <c r="O20">
        <f>IF(O2=0,"",IF('Mapa do Dia'!$D10="",0,--(IFERROR(INDEX(Equipe_X,MATCH('Mapa do Dia'!$D10,Equipe_Nome,0),11),"")="X"))+IF('Mapa do Dia'!$E10="",0,--(IFERROR(INDEX(Equipe_X,MATCH('Mapa do Dia'!$E10,Equipe_Nome,0),11),"")="X")))</f>
        <v/>
      </c>
      <c r="P20">
        <f>IF(P2=0,"",IF('Mapa do Dia'!$D10="",0,--(IFERROR(INDEX(Equipe_X,MATCH('Mapa do Dia'!$D10,Equipe_Nome,0),12),"")="X"))+IF('Mapa do Dia'!$E10="",0,--(IFERROR(INDEX(Equipe_X,MATCH('Mapa do Dia'!$E10,Equipe_Nome,0),12),"")="X")))</f>
        <v/>
      </c>
      <c r="Q20">
        <f>IF(Q2=0,"",IF('Mapa do Dia'!$D10="",0,--(IFERROR(INDEX(Equipe_X,MATCH('Mapa do Dia'!$D10,Equipe_Nome,0),13),"")="X"))+IF('Mapa do Dia'!$E10="",0,--(IFERROR(INDEX(Equipe_X,MATCH('Mapa do Dia'!$E10,Equipe_Nome,0),13),"")="X")))</f>
        <v/>
      </c>
      <c r="R20">
        <f>IF(R2=0,"",IF('Mapa do Dia'!$D10="",0,--(IFERROR(INDEX(Equipe_X,MATCH('Mapa do Dia'!$D10,Equipe_Nome,0),14),"")="X"))+IF('Mapa do Dia'!$E10="",0,--(IFERROR(INDEX(Equipe_X,MATCH('Mapa do Dia'!$E10,Equipe_Nome,0),14),"")="X")))</f>
        <v/>
      </c>
      <c r="S20">
        <f>IF(S2=0,"",IF('Mapa do Dia'!$D10="",0,--(IFERROR(INDEX(Equipe_X,MATCH('Mapa do Dia'!$D10,Equipe_Nome,0),15),"")="X"))+IF('Mapa do Dia'!$E10="",0,--(IFERROR(INDEX(Equipe_X,MATCH('Mapa do Dia'!$E10,Equipe_Nome,0),15),"")="X")))</f>
        <v/>
      </c>
      <c r="T20">
        <f>IF(T2=0,"",IF('Mapa do Dia'!$D10="",0,--(IFERROR(INDEX(Equipe_X,MATCH('Mapa do Dia'!$D10,Equipe_Nome,0),16),"")="X"))+IF('Mapa do Dia'!$E10="",0,--(IFERROR(INDEX(Equipe_X,MATCH('Mapa do Dia'!$E10,Equipe_Nome,0),16),"")="X")))</f>
        <v/>
      </c>
      <c r="U20">
        <f>IF(U2=0,"",IF('Mapa do Dia'!$D10="",0,--(IFERROR(INDEX(Equipe_X,MATCH('Mapa do Dia'!$D10,Equipe_Nome,0),17),"")="X"))+IF('Mapa do Dia'!$E10="",0,--(IFERROR(INDEX(Equipe_X,MATCH('Mapa do Dia'!$E10,Equipe_Nome,0),17),"")="X")))</f>
        <v/>
      </c>
      <c r="V20">
        <f>IF(V2=0,"",IF('Mapa do Dia'!$D10="",0,--(IFERROR(INDEX(Equipe_X,MATCH('Mapa do Dia'!$D10,Equipe_Nome,0),18),"")="X"))+IF('Mapa do Dia'!$E10="",0,--(IFERROR(INDEX(Equipe_X,MATCH('Mapa do Dia'!$E10,Equipe_Nome,0),18),"")="X")))</f>
        <v/>
      </c>
      <c r="W20">
        <f>IF(W2=0,"",IF('Mapa do Dia'!$D10="",0,--(IFERROR(INDEX(Equipe_X,MATCH('Mapa do Dia'!$D10,Equipe_Nome,0),19),"")="X"))+IF('Mapa do Dia'!$E10="",0,--(IFERROR(INDEX(Equipe_X,MATCH('Mapa do Dia'!$E10,Equipe_Nome,0),19),"")="X")))</f>
        <v/>
      </c>
      <c r="X20">
        <f>IF(X2=0,"",IF('Mapa do Dia'!$D10="",0,--(IFERROR(INDEX(Equipe_X,MATCH('Mapa do Dia'!$D10,Equipe_Nome,0),20),"")="X"))+IF('Mapa do Dia'!$E10="",0,--(IFERROR(INDEX(Equipe_X,MATCH('Mapa do Dia'!$E10,Equipe_Nome,0),20),"")="X")))</f>
        <v/>
      </c>
      <c r="Y20">
        <f>COUNTIF(E2:X2,"&gt;0")</f>
        <v/>
      </c>
      <c r="Z20">
        <f>COUNTIF(E20:X20,0)</f>
        <v/>
      </c>
      <c r="AA20">
        <f>COUNTIF(E20:X20,1)</f>
        <v/>
      </c>
      <c r="AB20">
        <f>IF($A20="","",IF(E2&gt;0,E$1&amp;" · ","")&amp;IF(F2&gt;0,F$1&amp;" · ","")&amp;IF(G2&gt;0,G$1&amp;" · ","")&amp;IF(H2&gt;0,H$1&amp;" · ","")&amp;IF(I2&gt;0,I$1&amp;" · ","")&amp;IF(J2&gt;0,J$1&amp;" · ","")&amp;IF(K2&gt;0,K$1&amp;" · ","")&amp;IF(L2&gt;0,L$1&amp;" · ","")&amp;IF(M2&gt;0,M$1&amp;" · ","")&amp;IF(N2&gt;0,N$1&amp;" · ","")&amp;IF(O2&gt;0,O$1&amp;" · ","")&amp;IF(P2&gt;0,P$1&amp;" · ","")&amp;IF(Q2&gt;0,Q$1&amp;" · ","")&amp;IF(R2&gt;0,R$1&amp;" · ","")&amp;IF(S2&gt;0,S$1&amp;" · ","")&amp;IF(T2&gt;0,T$1&amp;" · ","")&amp;IF(U2&gt;0,U$1&amp;" · ","")&amp;IF(V2&gt;0,V$1&amp;" · ","")&amp;IF(W2&gt;0,W$1&amp;" · ","")&amp;IF(X2&gt;0,X$1&amp;" · ",""))</f>
        <v/>
      </c>
      <c r="AC20">
        <f>IF($A20="","",IF(AND(E2&gt;0,E20=0),E$1&amp;" · ","")&amp;IF(AND(F2&gt;0,F20=0),F$1&amp;" · ","")&amp;IF(AND(G2&gt;0,G20=0),G$1&amp;" · ","")&amp;IF(AND(H2&gt;0,H20=0),H$1&amp;" · ","")&amp;IF(AND(I2&gt;0,I20=0),I$1&amp;" · ","")&amp;IF(AND(J2&gt;0,J20=0),J$1&amp;" · ","")&amp;IF(AND(K2&gt;0,K20=0),K$1&amp;" · ","")&amp;IF(AND(L2&gt;0,L20=0),L$1&amp;" · ","")&amp;IF(AND(M2&gt;0,M20=0),M$1&amp;" · ","")&amp;IF(AND(N2&gt;0,N20=0),N$1&amp;" · ","")&amp;IF(AND(O2&gt;0,O20=0),O$1&amp;" · ","")&amp;IF(AND(P2&gt;0,P20=0),P$1&amp;" · ","")&amp;IF(AND(Q2&gt;0,Q20=0),Q$1&amp;" · ","")&amp;IF(AND(R2&gt;0,R20=0),R$1&amp;" · ","")&amp;IF(AND(S2&gt;0,S20=0),S$1&amp;" · ","")&amp;IF(AND(T2&gt;0,T20=0),T$1&amp;" · ","")&amp;IF(AND(U2&gt;0,U20=0),U$1&amp;" · ","")&amp;IF(AND(V2&gt;0,V20=0),V$1&amp;" · ","")&amp;IF(AND(W2&gt;0,W20=0),W$1&amp;" · ","")&amp;IF(AND(X2&gt;0,X20=0),X$1&amp;" · ",""))</f>
        <v/>
      </c>
    </row>
    <row r="21">
      <c r="A21">
        <f>IF($A3="","",$A3)</f>
        <v/>
      </c>
      <c r="E21">
        <f>IF(E3=0,"",IF('Mapa do Dia'!$D11="",0,--(IFERROR(INDEX(Equipe_X,MATCH('Mapa do Dia'!$D11,Equipe_Nome,0),1),"")="X"))+IF('Mapa do Dia'!$E11="",0,--(IFERROR(INDEX(Equipe_X,MATCH('Mapa do Dia'!$E11,Equipe_Nome,0),1),"")="X")))</f>
        <v/>
      </c>
      <c r="F21">
        <f>IF(F3=0,"",IF('Mapa do Dia'!$D11="",0,--(IFERROR(INDEX(Equipe_X,MATCH('Mapa do Dia'!$D11,Equipe_Nome,0),2),"")="X"))+IF('Mapa do Dia'!$E11="",0,--(IFERROR(INDEX(Equipe_X,MATCH('Mapa do Dia'!$E11,Equipe_Nome,0),2),"")="X")))</f>
        <v/>
      </c>
      <c r="G21">
        <f>IF(G3=0,"",IF('Mapa do Dia'!$D11="",0,--(IFERROR(INDEX(Equipe_X,MATCH('Mapa do Dia'!$D11,Equipe_Nome,0),3),"")="X"))+IF('Mapa do Dia'!$E11="",0,--(IFERROR(INDEX(Equipe_X,MATCH('Mapa do Dia'!$E11,Equipe_Nome,0),3),"")="X")))</f>
        <v/>
      </c>
      <c r="H21">
        <f>IF(H3=0,"",IF('Mapa do Dia'!$D11="",0,--(IFERROR(INDEX(Equipe_X,MATCH('Mapa do Dia'!$D11,Equipe_Nome,0),4),"")="X"))+IF('Mapa do Dia'!$E11="",0,--(IFERROR(INDEX(Equipe_X,MATCH('Mapa do Dia'!$E11,Equipe_Nome,0),4),"")="X")))</f>
        <v/>
      </c>
      <c r="I21">
        <f>IF(I3=0,"",IF('Mapa do Dia'!$D11="",0,--(IFERROR(INDEX(Equipe_X,MATCH('Mapa do Dia'!$D11,Equipe_Nome,0),5),"")="X"))+IF('Mapa do Dia'!$E11="",0,--(IFERROR(INDEX(Equipe_X,MATCH('Mapa do Dia'!$E11,Equipe_Nome,0),5),"")="X")))</f>
        <v/>
      </c>
      <c r="J21">
        <f>IF(J3=0,"",IF('Mapa do Dia'!$D11="",0,--(IFERROR(INDEX(Equipe_X,MATCH('Mapa do Dia'!$D11,Equipe_Nome,0),6),"")="X"))+IF('Mapa do Dia'!$E11="",0,--(IFERROR(INDEX(Equipe_X,MATCH('Mapa do Dia'!$E11,Equipe_Nome,0),6),"")="X")))</f>
        <v/>
      </c>
      <c r="K21">
        <f>IF(K3=0,"",IF('Mapa do Dia'!$D11="",0,--(IFERROR(INDEX(Equipe_X,MATCH('Mapa do Dia'!$D11,Equipe_Nome,0),7),"")="X"))+IF('Mapa do Dia'!$E11="",0,--(IFERROR(INDEX(Equipe_X,MATCH('Mapa do Dia'!$E11,Equipe_Nome,0),7),"")="X")))</f>
        <v/>
      </c>
      <c r="L21">
        <f>IF(L3=0,"",IF('Mapa do Dia'!$D11="",0,--(IFERROR(INDEX(Equipe_X,MATCH('Mapa do Dia'!$D11,Equipe_Nome,0),8),"")="X"))+IF('Mapa do Dia'!$E11="",0,--(IFERROR(INDEX(Equipe_X,MATCH('Mapa do Dia'!$E11,Equipe_Nome,0),8),"")="X")))</f>
        <v/>
      </c>
      <c r="M21">
        <f>IF(M3=0,"",IF('Mapa do Dia'!$D11="",0,--(IFERROR(INDEX(Equipe_X,MATCH('Mapa do Dia'!$D11,Equipe_Nome,0),9),"")="X"))+IF('Mapa do Dia'!$E11="",0,--(IFERROR(INDEX(Equipe_X,MATCH('Mapa do Dia'!$E11,Equipe_Nome,0),9),"")="X")))</f>
        <v/>
      </c>
      <c r="N21">
        <f>IF(N3=0,"",IF('Mapa do Dia'!$D11="",0,--(IFERROR(INDEX(Equipe_X,MATCH('Mapa do Dia'!$D11,Equipe_Nome,0),10),"")="X"))+IF('Mapa do Dia'!$E11="",0,--(IFERROR(INDEX(Equipe_X,MATCH('Mapa do Dia'!$E11,Equipe_Nome,0),10),"")="X")))</f>
        <v/>
      </c>
      <c r="O21">
        <f>IF(O3=0,"",IF('Mapa do Dia'!$D11="",0,--(IFERROR(INDEX(Equipe_X,MATCH('Mapa do Dia'!$D11,Equipe_Nome,0),11),"")="X"))+IF('Mapa do Dia'!$E11="",0,--(IFERROR(INDEX(Equipe_X,MATCH('Mapa do Dia'!$E11,Equipe_Nome,0),11),"")="X")))</f>
        <v/>
      </c>
      <c r="P21">
        <f>IF(P3=0,"",IF('Mapa do Dia'!$D11="",0,--(IFERROR(INDEX(Equipe_X,MATCH('Mapa do Dia'!$D11,Equipe_Nome,0),12),"")="X"))+IF('Mapa do Dia'!$E11="",0,--(IFERROR(INDEX(Equipe_X,MATCH('Mapa do Dia'!$E11,Equipe_Nome,0),12),"")="X")))</f>
        <v/>
      </c>
      <c r="Q21">
        <f>IF(Q3=0,"",IF('Mapa do Dia'!$D11="",0,--(IFERROR(INDEX(Equipe_X,MATCH('Mapa do Dia'!$D11,Equipe_Nome,0),13),"")="X"))+IF('Mapa do Dia'!$E11="",0,--(IFERROR(INDEX(Equipe_X,MATCH('Mapa do Dia'!$E11,Equipe_Nome,0),13),"")="X")))</f>
        <v/>
      </c>
      <c r="R21">
        <f>IF(R3=0,"",IF('Mapa do Dia'!$D11="",0,--(IFERROR(INDEX(Equipe_X,MATCH('Mapa do Dia'!$D11,Equipe_Nome,0),14),"")="X"))+IF('Mapa do Dia'!$E11="",0,--(IFERROR(INDEX(Equipe_X,MATCH('Mapa do Dia'!$E11,Equipe_Nome,0),14),"")="X")))</f>
        <v/>
      </c>
      <c r="S21">
        <f>IF(S3=0,"",IF('Mapa do Dia'!$D11="",0,--(IFERROR(INDEX(Equipe_X,MATCH('Mapa do Dia'!$D11,Equipe_Nome,0),15),"")="X"))+IF('Mapa do Dia'!$E11="",0,--(IFERROR(INDEX(Equipe_X,MATCH('Mapa do Dia'!$E11,Equipe_Nome,0),15),"")="X")))</f>
        <v/>
      </c>
      <c r="T21">
        <f>IF(T3=0,"",IF('Mapa do Dia'!$D11="",0,--(IFERROR(INDEX(Equipe_X,MATCH('Mapa do Dia'!$D11,Equipe_Nome,0),16),"")="X"))+IF('Mapa do Dia'!$E11="",0,--(IFERROR(INDEX(Equipe_X,MATCH('Mapa do Dia'!$E11,Equipe_Nome,0),16),"")="X")))</f>
        <v/>
      </c>
      <c r="U21">
        <f>IF(U3=0,"",IF('Mapa do Dia'!$D11="",0,--(IFERROR(INDEX(Equipe_X,MATCH('Mapa do Dia'!$D11,Equipe_Nome,0),17),"")="X"))+IF('Mapa do Dia'!$E11="",0,--(IFERROR(INDEX(Equipe_X,MATCH('Mapa do Dia'!$E11,Equipe_Nome,0),17),"")="X")))</f>
        <v/>
      </c>
      <c r="V21">
        <f>IF(V3=0,"",IF('Mapa do Dia'!$D11="",0,--(IFERROR(INDEX(Equipe_X,MATCH('Mapa do Dia'!$D11,Equipe_Nome,0),18),"")="X"))+IF('Mapa do Dia'!$E11="",0,--(IFERROR(INDEX(Equipe_X,MATCH('Mapa do Dia'!$E11,Equipe_Nome,0),18),"")="X")))</f>
        <v/>
      </c>
      <c r="W21">
        <f>IF(W3=0,"",IF('Mapa do Dia'!$D11="",0,--(IFERROR(INDEX(Equipe_X,MATCH('Mapa do Dia'!$D11,Equipe_Nome,0),19),"")="X"))+IF('Mapa do Dia'!$E11="",0,--(IFERROR(INDEX(Equipe_X,MATCH('Mapa do Dia'!$E11,Equipe_Nome,0),19),"")="X")))</f>
        <v/>
      </c>
      <c r="X21">
        <f>IF(X3=0,"",IF('Mapa do Dia'!$D11="",0,--(IFERROR(INDEX(Equipe_X,MATCH('Mapa do Dia'!$D11,Equipe_Nome,0),20),"")="X"))+IF('Mapa do Dia'!$E11="",0,--(IFERROR(INDEX(Equipe_X,MATCH('Mapa do Dia'!$E11,Equipe_Nome,0),20),"")="X")))</f>
        <v/>
      </c>
      <c r="Y21">
        <f>COUNTIF(E3:X3,"&gt;0")</f>
        <v/>
      </c>
      <c r="Z21">
        <f>COUNTIF(E21:X21,0)</f>
        <v/>
      </c>
      <c r="AA21">
        <f>COUNTIF(E21:X21,1)</f>
        <v/>
      </c>
      <c r="AB21">
        <f>IF($A21="","",IF(E3&gt;0,E$1&amp;" · ","")&amp;IF(F3&gt;0,F$1&amp;" · ","")&amp;IF(G3&gt;0,G$1&amp;" · ","")&amp;IF(H3&gt;0,H$1&amp;" · ","")&amp;IF(I3&gt;0,I$1&amp;" · ","")&amp;IF(J3&gt;0,J$1&amp;" · ","")&amp;IF(K3&gt;0,K$1&amp;" · ","")&amp;IF(L3&gt;0,L$1&amp;" · ","")&amp;IF(M3&gt;0,M$1&amp;" · ","")&amp;IF(N3&gt;0,N$1&amp;" · ","")&amp;IF(O3&gt;0,O$1&amp;" · ","")&amp;IF(P3&gt;0,P$1&amp;" · ","")&amp;IF(Q3&gt;0,Q$1&amp;" · ","")&amp;IF(R3&gt;0,R$1&amp;" · ","")&amp;IF(S3&gt;0,S$1&amp;" · ","")&amp;IF(T3&gt;0,T$1&amp;" · ","")&amp;IF(U3&gt;0,U$1&amp;" · ","")&amp;IF(V3&gt;0,V$1&amp;" · ","")&amp;IF(W3&gt;0,W$1&amp;" · ","")&amp;IF(X3&gt;0,X$1&amp;" · ",""))</f>
        <v/>
      </c>
      <c r="AC21">
        <f>IF($A21="","",IF(AND(E3&gt;0,E21=0),E$1&amp;" · ","")&amp;IF(AND(F3&gt;0,F21=0),F$1&amp;" · ","")&amp;IF(AND(G3&gt;0,G21=0),G$1&amp;" · ","")&amp;IF(AND(H3&gt;0,H21=0),H$1&amp;" · ","")&amp;IF(AND(I3&gt;0,I21=0),I$1&amp;" · ","")&amp;IF(AND(J3&gt;0,J21=0),J$1&amp;" · ","")&amp;IF(AND(K3&gt;0,K21=0),K$1&amp;" · ","")&amp;IF(AND(L3&gt;0,L21=0),L$1&amp;" · ","")&amp;IF(AND(M3&gt;0,M21=0),M$1&amp;" · ","")&amp;IF(AND(N3&gt;0,N21=0),N$1&amp;" · ","")&amp;IF(AND(O3&gt;0,O21=0),O$1&amp;" · ","")&amp;IF(AND(P3&gt;0,P21=0),P$1&amp;" · ","")&amp;IF(AND(Q3&gt;0,Q21=0),Q$1&amp;" · ","")&amp;IF(AND(R3&gt;0,R21=0),R$1&amp;" · ","")&amp;IF(AND(S3&gt;0,S21=0),S$1&amp;" · ","")&amp;IF(AND(T3&gt;0,T21=0),T$1&amp;" · ","")&amp;IF(AND(U3&gt;0,U21=0),U$1&amp;" · ","")&amp;IF(AND(V3&gt;0,V21=0),V$1&amp;" · ","")&amp;IF(AND(W3&gt;0,W21=0),W$1&amp;" · ","")&amp;IF(AND(X3&gt;0,X21=0),X$1&amp;" · ",""))</f>
        <v/>
      </c>
    </row>
    <row r="22">
      <c r="A22">
        <f>IF($A4="","",$A4)</f>
        <v/>
      </c>
      <c r="E22">
        <f>IF(E4=0,"",IF('Mapa do Dia'!$D12="",0,--(IFERROR(INDEX(Equipe_X,MATCH('Mapa do Dia'!$D12,Equipe_Nome,0),1),"")="X"))+IF('Mapa do Dia'!$E12="",0,--(IFERROR(INDEX(Equipe_X,MATCH('Mapa do Dia'!$E12,Equipe_Nome,0),1),"")="X")))</f>
        <v/>
      </c>
      <c r="F22">
        <f>IF(F4=0,"",IF('Mapa do Dia'!$D12="",0,--(IFERROR(INDEX(Equipe_X,MATCH('Mapa do Dia'!$D12,Equipe_Nome,0),2),"")="X"))+IF('Mapa do Dia'!$E12="",0,--(IFERROR(INDEX(Equipe_X,MATCH('Mapa do Dia'!$E12,Equipe_Nome,0),2),"")="X")))</f>
        <v/>
      </c>
      <c r="G22">
        <f>IF(G4=0,"",IF('Mapa do Dia'!$D12="",0,--(IFERROR(INDEX(Equipe_X,MATCH('Mapa do Dia'!$D12,Equipe_Nome,0),3),"")="X"))+IF('Mapa do Dia'!$E12="",0,--(IFERROR(INDEX(Equipe_X,MATCH('Mapa do Dia'!$E12,Equipe_Nome,0),3),"")="X")))</f>
        <v/>
      </c>
      <c r="H22">
        <f>IF(H4=0,"",IF('Mapa do Dia'!$D12="",0,--(IFERROR(INDEX(Equipe_X,MATCH('Mapa do Dia'!$D12,Equipe_Nome,0),4),"")="X"))+IF('Mapa do Dia'!$E12="",0,--(IFERROR(INDEX(Equipe_X,MATCH('Mapa do Dia'!$E12,Equipe_Nome,0),4),"")="X")))</f>
        <v/>
      </c>
      <c r="I22">
        <f>IF(I4=0,"",IF('Mapa do Dia'!$D12="",0,--(IFERROR(INDEX(Equipe_X,MATCH('Mapa do Dia'!$D12,Equipe_Nome,0),5),"")="X"))+IF('Mapa do Dia'!$E12="",0,--(IFERROR(INDEX(Equipe_X,MATCH('Mapa do Dia'!$E12,Equipe_Nome,0),5),"")="X")))</f>
        <v/>
      </c>
      <c r="J22">
        <f>IF(J4=0,"",IF('Mapa do Dia'!$D12="",0,--(IFERROR(INDEX(Equipe_X,MATCH('Mapa do Dia'!$D12,Equipe_Nome,0),6),"")="X"))+IF('Mapa do Dia'!$E12="",0,--(IFERROR(INDEX(Equipe_X,MATCH('Mapa do Dia'!$E12,Equipe_Nome,0),6),"")="X")))</f>
        <v/>
      </c>
      <c r="K22">
        <f>IF(K4=0,"",IF('Mapa do Dia'!$D12="",0,--(IFERROR(INDEX(Equipe_X,MATCH('Mapa do Dia'!$D12,Equipe_Nome,0),7),"")="X"))+IF('Mapa do Dia'!$E12="",0,--(IFERROR(INDEX(Equipe_X,MATCH('Mapa do Dia'!$E12,Equipe_Nome,0),7),"")="X")))</f>
        <v/>
      </c>
      <c r="L22">
        <f>IF(L4=0,"",IF('Mapa do Dia'!$D12="",0,--(IFERROR(INDEX(Equipe_X,MATCH('Mapa do Dia'!$D12,Equipe_Nome,0),8),"")="X"))+IF('Mapa do Dia'!$E12="",0,--(IFERROR(INDEX(Equipe_X,MATCH('Mapa do Dia'!$E12,Equipe_Nome,0),8),"")="X")))</f>
        <v/>
      </c>
      <c r="M22">
        <f>IF(M4=0,"",IF('Mapa do Dia'!$D12="",0,--(IFERROR(INDEX(Equipe_X,MATCH('Mapa do Dia'!$D12,Equipe_Nome,0),9),"")="X"))+IF('Mapa do Dia'!$E12="",0,--(IFERROR(INDEX(Equipe_X,MATCH('Mapa do Dia'!$E12,Equipe_Nome,0),9),"")="X")))</f>
        <v/>
      </c>
      <c r="N22">
        <f>IF(N4=0,"",IF('Mapa do Dia'!$D12="",0,--(IFERROR(INDEX(Equipe_X,MATCH('Mapa do Dia'!$D12,Equipe_Nome,0),10),"")="X"))+IF('Mapa do Dia'!$E12="",0,--(IFERROR(INDEX(Equipe_X,MATCH('Mapa do Dia'!$E12,Equipe_Nome,0),10),"")="X")))</f>
        <v/>
      </c>
      <c r="O22">
        <f>IF(O4=0,"",IF('Mapa do Dia'!$D12="",0,--(IFERROR(INDEX(Equipe_X,MATCH('Mapa do Dia'!$D12,Equipe_Nome,0),11),"")="X"))+IF('Mapa do Dia'!$E12="",0,--(IFERROR(INDEX(Equipe_X,MATCH('Mapa do Dia'!$E12,Equipe_Nome,0),11),"")="X")))</f>
        <v/>
      </c>
      <c r="P22">
        <f>IF(P4=0,"",IF('Mapa do Dia'!$D12="",0,--(IFERROR(INDEX(Equipe_X,MATCH('Mapa do Dia'!$D12,Equipe_Nome,0),12),"")="X"))+IF('Mapa do Dia'!$E12="",0,--(IFERROR(INDEX(Equipe_X,MATCH('Mapa do Dia'!$E12,Equipe_Nome,0),12),"")="X")))</f>
        <v/>
      </c>
      <c r="Q22">
        <f>IF(Q4=0,"",IF('Mapa do Dia'!$D12="",0,--(IFERROR(INDEX(Equipe_X,MATCH('Mapa do Dia'!$D12,Equipe_Nome,0),13),"")="X"))+IF('Mapa do Dia'!$E12="",0,--(IFERROR(INDEX(Equipe_X,MATCH('Mapa do Dia'!$E12,Equipe_Nome,0),13),"")="X")))</f>
        <v/>
      </c>
      <c r="R22">
        <f>IF(R4=0,"",IF('Mapa do Dia'!$D12="",0,--(IFERROR(INDEX(Equipe_X,MATCH('Mapa do Dia'!$D12,Equipe_Nome,0),14),"")="X"))+IF('Mapa do Dia'!$E12="",0,--(IFERROR(INDEX(Equipe_X,MATCH('Mapa do Dia'!$E12,Equipe_Nome,0),14),"")="X")))</f>
        <v/>
      </c>
      <c r="S22">
        <f>IF(S4=0,"",IF('Mapa do Dia'!$D12="",0,--(IFERROR(INDEX(Equipe_X,MATCH('Mapa do Dia'!$D12,Equipe_Nome,0),15),"")="X"))+IF('Mapa do Dia'!$E12="",0,--(IFERROR(INDEX(Equipe_X,MATCH('Mapa do Dia'!$E12,Equipe_Nome,0),15),"")="X")))</f>
        <v/>
      </c>
      <c r="T22">
        <f>IF(T4=0,"",IF('Mapa do Dia'!$D12="",0,--(IFERROR(INDEX(Equipe_X,MATCH('Mapa do Dia'!$D12,Equipe_Nome,0),16),"")="X"))+IF('Mapa do Dia'!$E12="",0,--(IFERROR(INDEX(Equipe_X,MATCH('Mapa do Dia'!$E12,Equipe_Nome,0),16),"")="X")))</f>
        <v/>
      </c>
      <c r="U22">
        <f>IF(U4=0,"",IF('Mapa do Dia'!$D12="",0,--(IFERROR(INDEX(Equipe_X,MATCH('Mapa do Dia'!$D12,Equipe_Nome,0),17),"")="X"))+IF('Mapa do Dia'!$E12="",0,--(IFERROR(INDEX(Equipe_X,MATCH('Mapa do Dia'!$E12,Equipe_Nome,0),17),"")="X")))</f>
        <v/>
      </c>
      <c r="V22">
        <f>IF(V4=0,"",IF('Mapa do Dia'!$D12="",0,--(IFERROR(INDEX(Equipe_X,MATCH('Mapa do Dia'!$D12,Equipe_Nome,0),18),"")="X"))+IF('Mapa do Dia'!$E12="",0,--(IFERROR(INDEX(Equipe_X,MATCH('Mapa do Dia'!$E12,Equipe_Nome,0),18),"")="X")))</f>
        <v/>
      </c>
      <c r="W22">
        <f>IF(W4=0,"",IF('Mapa do Dia'!$D12="",0,--(IFERROR(INDEX(Equipe_X,MATCH('Mapa do Dia'!$D12,Equipe_Nome,0),19),"")="X"))+IF('Mapa do Dia'!$E12="",0,--(IFERROR(INDEX(Equipe_X,MATCH('Mapa do Dia'!$E12,Equipe_Nome,0),19),"")="X")))</f>
        <v/>
      </c>
      <c r="X22">
        <f>IF(X4=0,"",IF('Mapa do Dia'!$D12="",0,--(IFERROR(INDEX(Equipe_X,MATCH('Mapa do Dia'!$D12,Equipe_Nome,0),20),"")="X"))+IF('Mapa do Dia'!$E12="",0,--(IFERROR(INDEX(Equipe_X,MATCH('Mapa do Dia'!$E12,Equipe_Nome,0),20),"")="X")))</f>
        <v/>
      </c>
      <c r="Y22">
        <f>COUNTIF(E4:X4,"&gt;0")</f>
        <v/>
      </c>
      <c r="Z22">
        <f>COUNTIF(E22:X22,0)</f>
        <v/>
      </c>
      <c r="AA22">
        <f>COUNTIF(E22:X22,1)</f>
        <v/>
      </c>
      <c r="AB22">
        <f>IF($A22="","",IF(E4&gt;0,E$1&amp;" · ","")&amp;IF(F4&gt;0,F$1&amp;" · ","")&amp;IF(G4&gt;0,G$1&amp;" · ","")&amp;IF(H4&gt;0,H$1&amp;" · ","")&amp;IF(I4&gt;0,I$1&amp;" · ","")&amp;IF(J4&gt;0,J$1&amp;" · ","")&amp;IF(K4&gt;0,K$1&amp;" · ","")&amp;IF(L4&gt;0,L$1&amp;" · ","")&amp;IF(M4&gt;0,M$1&amp;" · ","")&amp;IF(N4&gt;0,N$1&amp;" · ","")&amp;IF(O4&gt;0,O$1&amp;" · ","")&amp;IF(P4&gt;0,P$1&amp;" · ","")&amp;IF(Q4&gt;0,Q$1&amp;" · ","")&amp;IF(R4&gt;0,R$1&amp;" · ","")&amp;IF(S4&gt;0,S$1&amp;" · ","")&amp;IF(T4&gt;0,T$1&amp;" · ","")&amp;IF(U4&gt;0,U$1&amp;" · ","")&amp;IF(V4&gt;0,V$1&amp;" · ","")&amp;IF(W4&gt;0,W$1&amp;" · ","")&amp;IF(X4&gt;0,X$1&amp;" · ",""))</f>
        <v/>
      </c>
      <c r="AC22">
        <f>IF($A22="","",IF(AND(E4&gt;0,E22=0),E$1&amp;" · ","")&amp;IF(AND(F4&gt;0,F22=0),F$1&amp;" · ","")&amp;IF(AND(G4&gt;0,G22=0),G$1&amp;" · ","")&amp;IF(AND(H4&gt;0,H22=0),H$1&amp;" · ","")&amp;IF(AND(I4&gt;0,I22=0),I$1&amp;" · ","")&amp;IF(AND(J4&gt;0,J22=0),J$1&amp;" · ","")&amp;IF(AND(K4&gt;0,K22=0),K$1&amp;" · ","")&amp;IF(AND(L4&gt;0,L22=0),L$1&amp;" · ","")&amp;IF(AND(M4&gt;0,M22=0),M$1&amp;" · ","")&amp;IF(AND(N4&gt;0,N22=0),N$1&amp;" · ","")&amp;IF(AND(O4&gt;0,O22=0),O$1&amp;" · ","")&amp;IF(AND(P4&gt;0,P22=0),P$1&amp;" · ","")&amp;IF(AND(Q4&gt;0,Q22=0),Q$1&amp;" · ","")&amp;IF(AND(R4&gt;0,R22=0),R$1&amp;" · ","")&amp;IF(AND(S4&gt;0,S22=0),S$1&amp;" · ","")&amp;IF(AND(T4&gt;0,T22=0),T$1&amp;" · ","")&amp;IF(AND(U4&gt;0,U22=0),U$1&amp;" · ","")&amp;IF(AND(V4&gt;0,V22=0),V$1&amp;" · ","")&amp;IF(AND(W4&gt;0,W22=0),W$1&amp;" · ","")&amp;IF(AND(X4&gt;0,X22=0),X$1&amp;" · ",""))</f>
        <v/>
      </c>
    </row>
    <row r="23">
      <c r="A23">
        <f>IF($A5="","",$A5)</f>
        <v/>
      </c>
      <c r="E23">
        <f>IF(E5=0,"",IF('Mapa do Dia'!$D13="",0,--(IFERROR(INDEX(Equipe_X,MATCH('Mapa do Dia'!$D13,Equipe_Nome,0),1),"")="X"))+IF('Mapa do Dia'!$E13="",0,--(IFERROR(INDEX(Equipe_X,MATCH('Mapa do Dia'!$E13,Equipe_Nome,0),1),"")="X")))</f>
        <v/>
      </c>
      <c r="F23">
        <f>IF(F5=0,"",IF('Mapa do Dia'!$D13="",0,--(IFERROR(INDEX(Equipe_X,MATCH('Mapa do Dia'!$D13,Equipe_Nome,0),2),"")="X"))+IF('Mapa do Dia'!$E13="",0,--(IFERROR(INDEX(Equipe_X,MATCH('Mapa do Dia'!$E13,Equipe_Nome,0),2),"")="X")))</f>
        <v/>
      </c>
      <c r="G23">
        <f>IF(G5=0,"",IF('Mapa do Dia'!$D13="",0,--(IFERROR(INDEX(Equipe_X,MATCH('Mapa do Dia'!$D13,Equipe_Nome,0),3),"")="X"))+IF('Mapa do Dia'!$E13="",0,--(IFERROR(INDEX(Equipe_X,MATCH('Mapa do Dia'!$E13,Equipe_Nome,0),3),"")="X")))</f>
        <v/>
      </c>
      <c r="H23">
        <f>IF(H5=0,"",IF('Mapa do Dia'!$D13="",0,--(IFERROR(INDEX(Equipe_X,MATCH('Mapa do Dia'!$D13,Equipe_Nome,0),4),"")="X"))+IF('Mapa do Dia'!$E13="",0,--(IFERROR(INDEX(Equipe_X,MATCH('Mapa do Dia'!$E13,Equipe_Nome,0),4),"")="X")))</f>
        <v/>
      </c>
      <c r="I23">
        <f>IF(I5=0,"",IF('Mapa do Dia'!$D13="",0,--(IFERROR(INDEX(Equipe_X,MATCH('Mapa do Dia'!$D13,Equipe_Nome,0),5),"")="X"))+IF('Mapa do Dia'!$E13="",0,--(IFERROR(INDEX(Equipe_X,MATCH('Mapa do Dia'!$E13,Equipe_Nome,0),5),"")="X")))</f>
        <v/>
      </c>
      <c r="J23">
        <f>IF(J5=0,"",IF('Mapa do Dia'!$D13="",0,--(IFERROR(INDEX(Equipe_X,MATCH('Mapa do Dia'!$D13,Equipe_Nome,0),6),"")="X"))+IF('Mapa do Dia'!$E13="",0,--(IFERROR(INDEX(Equipe_X,MATCH('Mapa do Dia'!$E13,Equipe_Nome,0),6),"")="X")))</f>
        <v/>
      </c>
      <c r="K23">
        <f>IF(K5=0,"",IF('Mapa do Dia'!$D13="",0,--(IFERROR(INDEX(Equipe_X,MATCH('Mapa do Dia'!$D13,Equipe_Nome,0),7),"")="X"))+IF('Mapa do Dia'!$E13="",0,--(IFERROR(INDEX(Equipe_X,MATCH('Mapa do Dia'!$E13,Equipe_Nome,0),7),"")="X")))</f>
        <v/>
      </c>
      <c r="L23">
        <f>IF(L5=0,"",IF('Mapa do Dia'!$D13="",0,--(IFERROR(INDEX(Equipe_X,MATCH('Mapa do Dia'!$D13,Equipe_Nome,0),8),"")="X"))+IF('Mapa do Dia'!$E13="",0,--(IFERROR(INDEX(Equipe_X,MATCH('Mapa do Dia'!$E13,Equipe_Nome,0),8),"")="X")))</f>
        <v/>
      </c>
      <c r="M23">
        <f>IF(M5=0,"",IF('Mapa do Dia'!$D13="",0,--(IFERROR(INDEX(Equipe_X,MATCH('Mapa do Dia'!$D13,Equipe_Nome,0),9),"")="X"))+IF('Mapa do Dia'!$E13="",0,--(IFERROR(INDEX(Equipe_X,MATCH('Mapa do Dia'!$E13,Equipe_Nome,0),9),"")="X")))</f>
        <v/>
      </c>
      <c r="N23">
        <f>IF(N5=0,"",IF('Mapa do Dia'!$D13="",0,--(IFERROR(INDEX(Equipe_X,MATCH('Mapa do Dia'!$D13,Equipe_Nome,0),10),"")="X"))+IF('Mapa do Dia'!$E13="",0,--(IFERROR(INDEX(Equipe_X,MATCH('Mapa do Dia'!$E13,Equipe_Nome,0),10),"")="X")))</f>
        <v/>
      </c>
      <c r="O23">
        <f>IF(O5=0,"",IF('Mapa do Dia'!$D13="",0,--(IFERROR(INDEX(Equipe_X,MATCH('Mapa do Dia'!$D13,Equipe_Nome,0),11),"")="X"))+IF('Mapa do Dia'!$E13="",0,--(IFERROR(INDEX(Equipe_X,MATCH('Mapa do Dia'!$E13,Equipe_Nome,0),11),"")="X")))</f>
        <v/>
      </c>
      <c r="P23">
        <f>IF(P5=0,"",IF('Mapa do Dia'!$D13="",0,--(IFERROR(INDEX(Equipe_X,MATCH('Mapa do Dia'!$D13,Equipe_Nome,0),12),"")="X"))+IF('Mapa do Dia'!$E13="",0,--(IFERROR(INDEX(Equipe_X,MATCH('Mapa do Dia'!$E13,Equipe_Nome,0),12),"")="X")))</f>
        <v/>
      </c>
      <c r="Q23">
        <f>IF(Q5=0,"",IF('Mapa do Dia'!$D13="",0,--(IFERROR(INDEX(Equipe_X,MATCH('Mapa do Dia'!$D13,Equipe_Nome,0),13),"")="X"))+IF('Mapa do Dia'!$E13="",0,--(IFERROR(INDEX(Equipe_X,MATCH('Mapa do Dia'!$E13,Equipe_Nome,0),13),"")="X")))</f>
        <v/>
      </c>
      <c r="R23">
        <f>IF(R5=0,"",IF('Mapa do Dia'!$D13="",0,--(IFERROR(INDEX(Equipe_X,MATCH('Mapa do Dia'!$D13,Equipe_Nome,0),14),"")="X"))+IF('Mapa do Dia'!$E13="",0,--(IFERROR(INDEX(Equipe_X,MATCH('Mapa do Dia'!$E13,Equipe_Nome,0),14),"")="X")))</f>
        <v/>
      </c>
      <c r="S23">
        <f>IF(S5=0,"",IF('Mapa do Dia'!$D13="",0,--(IFERROR(INDEX(Equipe_X,MATCH('Mapa do Dia'!$D13,Equipe_Nome,0),15),"")="X"))+IF('Mapa do Dia'!$E13="",0,--(IFERROR(INDEX(Equipe_X,MATCH('Mapa do Dia'!$E13,Equipe_Nome,0),15),"")="X")))</f>
        <v/>
      </c>
      <c r="T23">
        <f>IF(T5=0,"",IF('Mapa do Dia'!$D13="",0,--(IFERROR(INDEX(Equipe_X,MATCH('Mapa do Dia'!$D13,Equipe_Nome,0),16),"")="X"))+IF('Mapa do Dia'!$E13="",0,--(IFERROR(INDEX(Equipe_X,MATCH('Mapa do Dia'!$E13,Equipe_Nome,0),16),"")="X")))</f>
        <v/>
      </c>
      <c r="U23">
        <f>IF(U5=0,"",IF('Mapa do Dia'!$D13="",0,--(IFERROR(INDEX(Equipe_X,MATCH('Mapa do Dia'!$D13,Equipe_Nome,0),17),"")="X"))+IF('Mapa do Dia'!$E13="",0,--(IFERROR(INDEX(Equipe_X,MATCH('Mapa do Dia'!$E13,Equipe_Nome,0),17),"")="X")))</f>
        <v/>
      </c>
      <c r="V23">
        <f>IF(V5=0,"",IF('Mapa do Dia'!$D13="",0,--(IFERROR(INDEX(Equipe_X,MATCH('Mapa do Dia'!$D13,Equipe_Nome,0),18),"")="X"))+IF('Mapa do Dia'!$E13="",0,--(IFERROR(INDEX(Equipe_X,MATCH('Mapa do Dia'!$E13,Equipe_Nome,0),18),"")="X")))</f>
        <v/>
      </c>
      <c r="W23">
        <f>IF(W5=0,"",IF('Mapa do Dia'!$D13="",0,--(IFERROR(INDEX(Equipe_X,MATCH('Mapa do Dia'!$D13,Equipe_Nome,0),19),"")="X"))+IF('Mapa do Dia'!$E13="",0,--(IFERROR(INDEX(Equipe_X,MATCH('Mapa do Dia'!$E13,Equipe_Nome,0),19),"")="X")))</f>
        <v/>
      </c>
      <c r="X23">
        <f>IF(X5=0,"",IF('Mapa do Dia'!$D13="",0,--(IFERROR(INDEX(Equipe_X,MATCH('Mapa do Dia'!$D13,Equipe_Nome,0),20),"")="X"))+IF('Mapa do Dia'!$E13="",0,--(IFERROR(INDEX(Equipe_X,MATCH('Mapa do Dia'!$E13,Equipe_Nome,0),20),"")="X")))</f>
        <v/>
      </c>
      <c r="Y23">
        <f>COUNTIF(E5:X5,"&gt;0")</f>
        <v/>
      </c>
      <c r="Z23">
        <f>COUNTIF(E23:X23,0)</f>
        <v/>
      </c>
      <c r="AA23">
        <f>COUNTIF(E23:X23,1)</f>
        <v/>
      </c>
      <c r="AB23">
        <f>IF($A23="","",IF(E5&gt;0,E$1&amp;" · ","")&amp;IF(F5&gt;0,F$1&amp;" · ","")&amp;IF(G5&gt;0,G$1&amp;" · ","")&amp;IF(H5&gt;0,H$1&amp;" · ","")&amp;IF(I5&gt;0,I$1&amp;" · ","")&amp;IF(J5&gt;0,J$1&amp;" · ","")&amp;IF(K5&gt;0,K$1&amp;" · ","")&amp;IF(L5&gt;0,L$1&amp;" · ","")&amp;IF(M5&gt;0,M$1&amp;" · ","")&amp;IF(N5&gt;0,N$1&amp;" · ","")&amp;IF(O5&gt;0,O$1&amp;" · ","")&amp;IF(P5&gt;0,P$1&amp;" · ","")&amp;IF(Q5&gt;0,Q$1&amp;" · ","")&amp;IF(R5&gt;0,R$1&amp;" · ","")&amp;IF(S5&gt;0,S$1&amp;" · ","")&amp;IF(T5&gt;0,T$1&amp;" · ","")&amp;IF(U5&gt;0,U$1&amp;" · ","")&amp;IF(V5&gt;0,V$1&amp;" · ","")&amp;IF(W5&gt;0,W$1&amp;" · ","")&amp;IF(X5&gt;0,X$1&amp;" · ",""))</f>
        <v/>
      </c>
      <c r="AC23">
        <f>IF($A23="","",IF(AND(E5&gt;0,E23=0),E$1&amp;" · ","")&amp;IF(AND(F5&gt;0,F23=0),F$1&amp;" · ","")&amp;IF(AND(G5&gt;0,G23=0),G$1&amp;" · ","")&amp;IF(AND(H5&gt;0,H23=0),H$1&amp;" · ","")&amp;IF(AND(I5&gt;0,I23=0),I$1&amp;" · ","")&amp;IF(AND(J5&gt;0,J23=0),J$1&amp;" · ","")&amp;IF(AND(K5&gt;0,K23=0),K$1&amp;" · ","")&amp;IF(AND(L5&gt;0,L23=0),L$1&amp;" · ","")&amp;IF(AND(M5&gt;0,M23=0),M$1&amp;" · ","")&amp;IF(AND(N5&gt;0,N23=0),N$1&amp;" · ","")&amp;IF(AND(O5&gt;0,O23=0),O$1&amp;" · ","")&amp;IF(AND(P5&gt;0,P23=0),P$1&amp;" · ","")&amp;IF(AND(Q5&gt;0,Q23=0),Q$1&amp;" · ","")&amp;IF(AND(R5&gt;0,R23=0),R$1&amp;" · ","")&amp;IF(AND(S5&gt;0,S23=0),S$1&amp;" · ","")&amp;IF(AND(T5&gt;0,T23=0),T$1&amp;" · ","")&amp;IF(AND(U5&gt;0,U23=0),U$1&amp;" · ","")&amp;IF(AND(V5&gt;0,V23=0),V$1&amp;" · ","")&amp;IF(AND(W5&gt;0,W23=0),W$1&amp;" · ","")&amp;IF(AND(X5&gt;0,X23=0),X$1&amp;" · ",""))</f>
        <v/>
      </c>
    </row>
    <row r="24">
      <c r="A24">
        <f>IF($A6="","",$A6)</f>
        <v/>
      </c>
      <c r="E24">
        <f>IF(E6=0,"",IF('Mapa do Dia'!$D14="",0,--(IFERROR(INDEX(Equipe_X,MATCH('Mapa do Dia'!$D14,Equipe_Nome,0),1),"")="X"))+IF('Mapa do Dia'!$E14="",0,--(IFERROR(INDEX(Equipe_X,MATCH('Mapa do Dia'!$E14,Equipe_Nome,0),1),"")="X")))</f>
        <v/>
      </c>
      <c r="F24">
        <f>IF(F6=0,"",IF('Mapa do Dia'!$D14="",0,--(IFERROR(INDEX(Equipe_X,MATCH('Mapa do Dia'!$D14,Equipe_Nome,0),2),"")="X"))+IF('Mapa do Dia'!$E14="",0,--(IFERROR(INDEX(Equipe_X,MATCH('Mapa do Dia'!$E14,Equipe_Nome,0),2),"")="X")))</f>
        <v/>
      </c>
      <c r="G24">
        <f>IF(G6=0,"",IF('Mapa do Dia'!$D14="",0,--(IFERROR(INDEX(Equipe_X,MATCH('Mapa do Dia'!$D14,Equipe_Nome,0),3),"")="X"))+IF('Mapa do Dia'!$E14="",0,--(IFERROR(INDEX(Equipe_X,MATCH('Mapa do Dia'!$E14,Equipe_Nome,0),3),"")="X")))</f>
        <v/>
      </c>
      <c r="H24">
        <f>IF(H6=0,"",IF('Mapa do Dia'!$D14="",0,--(IFERROR(INDEX(Equipe_X,MATCH('Mapa do Dia'!$D14,Equipe_Nome,0),4),"")="X"))+IF('Mapa do Dia'!$E14="",0,--(IFERROR(INDEX(Equipe_X,MATCH('Mapa do Dia'!$E14,Equipe_Nome,0),4),"")="X")))</f>
        <v/>
      </c>
      <c r="I24">
        <f>IF(I6=0,"",IF('Mapa do Dia'!$D14="",0,--(IFERROR(INDEX(Equipe_X,MATCH('Mapa do Dia'!$D14,Equipe_Nome,0),5),"")="X"))+IF('Mapa do Dia'!$E14="",0,--(IFERROR(INDEX(Equipe_X,MATCH('Mapa do Dia'!$E14,Equipe_Nome,0),5),"")="X")))</f>
        <v/>
      </c>
      <c r="J24">
        <f>IF(J6=0,"",IF('Mapa do Dia'!$D14="",0,--(IFERROR(INDEX(Equipe_X,MATCH('Mapa do Dia'!$D14,Equipe_Nome,0),6),"")="X"))+IF('Mapa do Dia'!$E14="",0,--(IFERROR(INDEX(Equipe_X,MATCH('Mapa do Dia'!$E14,Equipe_Nome,0),6),"")="X")))</f>
        <v/>
      </c>
      <c r="K24">
        <f>IF(K6=0,"",IF('Mapa do Dia'!$D14="",0,--(IFERROR(INDEX(Equipe_X,MATCH('Mapa do Dia'!$D14,Equipe_Nome,0),7),"")="X"))+IF('Mapa do Dia'!$E14="",0,--(IFERROR(INDEX(Equipe_X,MATCH('Mapa do Dia'!$E14,Equipe_Nome,0),7),"")="X")))</f>
        <v/>
      </c>
      <c r="L24">
        <f>IF(L6=0,"",IF('Mapa do Dia'!$D14="",0,--(IFERROR(INDEX(Equipe_X,MATCH('Mapa do Dia'!$D14,Equipe_Nome,0),8),"")="X"))+IF('Mapa do Dia'!$E14="",0,--(IFERROR(INDEX(Equipe_X,MATCH('Mapa do Dia'!$E14,Equipe_Nome,0),8),"")="X")))</f>
        <v/>
      </c>
      <c r="M24">
        <f>IF(M6=0,"",IF('Mapa do Dia'!$D14="",0,--(IFERROR(INDEX(Equipe_X,MATCH('Mapa do Dia'!$D14,Equipe_Nome,0),9),"")="X"))+IF('Mapa do Dia'!$E14="",0,--(IFERROR(INDEX(Equipe_X,MATCH('Mapa do Dia'!$E14,Equipe_Nome,0),9),"")="X")))</f>
        <v/>
      </c>
      <c r="N24">
        <f>IF(N6=0,"",IF('Mapa do Dia'!$D14="",0,--(IFERROR(INDEX(Equipe_X,MATCH('Mapa do Dia'!$D14,Equipe_Nome,0),10),"")="X"))+IF('Mapa do Dia'!$E14="",0,--(IFERROR(INDEX(Equipe_X,MATCH('Mapa do Dia'!$E14,Equipe_Nome,0),10),"")="X")))</f>
        <v/>
      </c>
      <c r="O24">
        <f>IF(O6=0,"",IF('Mapa do Dia'!$D14="",0,--(IFERROR(INDEX(Equipe_X,MATCH('Mapa do Dia'!$D14,Equipe_Nome,0),11),"")="X"))+IF('Mapa do Dia'!$E14="",0,--(IFERROR(INDEX(Equipe_X,MATCH('Mapa do Dia'!$E14,Equipe_Nome,0),11),"")="X")))</f>
        <v/>
      </c>
      <c r="P24">
        <f>IF(P6=0,"",IF('Mapa do Dia'!$D14="",0,--(IFERROR(INDEX(Equipe_X,MATCH('Mapa do Dia'!$D14,Equipe_Nome,0),12),"")="X"))+IF('Mapa do Dia'!$E14="",0,--(IFERROR(INDEX(Equipe_X,MATCH('Mapa do Dia'!$E14,Equipe_Nome,0),12),"")="X")))</f>
        <v/>
      </c>
      <c r="Q24">
        <f>IF(Q6=0,"",IF('Mapa do Dia'!$D14="",0,--(IFERROR(INDEX(Equipe_X,MATCH('Mapa do Dia'!$D14,Equipe_Nome,0),13),"")="X"))+IF('Mapa do Dia'!$E14="",0,--(IFERROR(INDEX(Equipe_X,MATCH('Mapa do Dia'!$E14,Equipe_Nome,0),13),"")="X")))</f>
        <v/>
      </c>
      <c r="R24">
        <f>IF(R6=0,"",IF('Mapa do Dia'!$D14="",0,--(IFERROR(INDEX(Equipe_X,MATCH('Mapa do Dia'!$D14,Equipe_Nome,0),14),"")="X"))+IF('Mapa do Dia'!$E14="",0,--(IFERROR(INDEX(Equipe_X,MATCH('Mapa do Dia'!$E14,Equipe_Nome,0),14),"")="X")))</f>
        <v/>
      </c>
      <c r="S24">
        <f>IF(S6=0,"",IF('Mapa do Dia'!$D14="",0,--(IFERROR(INDEX(Equipe_X,MATCH('Mapa do Dia'!$D14,Equipe_Nome,0),15),"")="X"))+IF('Mapa do Dia'!$E14="",0,--(IFERROR(INDEX(Equipe_X,MATCH('Mapa do Dia'!$E14,Equipe_Nome,0),15),"")="X")))</f>
        <v/>
      </c>
      <c r="T24">
        <f>IF(T6=0,"",IF('Mapa do Dia'!$D14="",0,--(IFERROR(INDEX(Equipe_X,MATCH('Mapa do Dia'!$D14,Equipe_Nome,0),16),"")="X"))+IF('Mapa do Dia'!$E14="",0,--(IFERROR(INDEX(Equipe_X,MATCH('Mapa do Dia'!$E14,Equipe_Nome,0),16),"")="X")))</f>
        <v/>
      </c>
      <c r="U24">
        <f>IF(U6=0,"",IF('Mapa do Dia'!$D14="",0,--(IFERROR(INDEX(Equipe_X,MATCH('Mapa do Dia'!$D14,Equipe_Nome,0),17),"")="X"))+IF('Mapa do Dia'!$E14="",0,--(IFERROR(INDEX(Equipe_X,MATCH('Mapa do Dia'!$E14,Equipe_Nome,0),17),"")="X")))</f>
        <v/>
      </c>
      <c r="V24">
        <f>IF(V6=0,"",IF('Mapa do Dia'!$D14="",0,--(IFERROR(INDEX(Equipe_X,MATCH('Mapa do Dia'!$D14,Equipe_Nome,0),18),"")="X"))+IF('Mapa do Dia'!$E14="",0,--(IFERROR(INDEX(Equipe_X,MATCH('Mapa do Dia'!$E14,Equipe_Nome,0),18),"")="X")))</f>
        <v/>
      </c>
      <c r="W24">
        <f>IF(W6=0,"",IF('Mapa do Dia'!$D14="",0,--(IFERROR(INDEX(Equipe_X,MATCH('Mapa do Dia'!$D14,Equipe_Nome,0),19),"")="X"))+IF('Mapa do Dia'!$E14="",0,--(IFERROR(INDEX(Equipe_X,MATCH('Mapa do Dia'!$E14,Equipe_Nome,0),19),"")="X")))</f>
        <v/>
      </c>
      <c r="X24">
        <f>IF(X6=0,"",IF('Mapa do Dia'!$D14="",0,--(IFERROR(INDEX(Equipe_X,MATCH('Mapa do Dia'!$D14,Equipe_Nome,0),20),"")="X"))+IF('Mapa do Dia'!$E14="",0,--(IFERROR(INDEX(Equipe_X,MATCH('Mapa do Dia'!$E14,Equipe_Nome,0),20),"")="X")))</f>
        <v/>
      </c>
      <c r="Y24">
        <f>COUNTIF(E6:X6,"&gt;0")</f>
        <v/>
      </c>
      <c r="Z24">
        <f>COUNTIF(E24:X24,0)</f>
        <v/>
      </c>
      <c r="AA24">
        <f>COUNTIF(E24:X24,1)</f>
        <v/>
      </c>
      <c r="AB24">
        <f>IF($A24="","",IF(E6&gt;0,E$1&amp;" · ","")&amp;IF(F6&gt;0,F$1&amp;" · ","")&amp;IF(G6&gt;0,G$1&amp;" · ","")&amp;IF(H6&gt;0,H$1&amp;" · ","")&amp;IF(I6&gt;0,I$1&amp;" · ","")&amp;IF(J6&gt;0,J$1&amp;" · ","")&amp;IF(K6&gt;0,K$1&amp;" · ","")&amp;IF(L6&gt;0,L$1&amp;" · ","")&amp;IF(M6&gt;0,M$1&amp;" · ","")&amp;IF(N6&gt;0,N$1&amp;" · ","")&amp;IF(O6&gt;0,O$1&amp;" · ","")&amp;IF(P6&gt;0,P$1&amp;" · ","")&amp;IF(Q6&gt;0,Q$1&amp;" · ","")&amp;IF(R6&gt;0,R$1&amp;" · ","")&amp;IF(S6&gt;0,S$1&amp;" · ","")&amp;IF(T6&gt;0,T$1&amp;" · ","")&amp;IF(U6&gt;0,U$1&amp;" · ","")&amp;IF(V6&gt;0,V$1&amp;" · ","")&amp;IF(W6&gt;0,W$1&amp;" · ","")&amp;IF(X6&gt;0,X$1&amp;" · ",""))</f>
        <v/>
      </c>
      <c r="AC24">
        <f>IF($A24="","",IF(AND(E6&gt;0,E24=0),E$1&amp;" · ","")&amp;IF(AND(F6&gt;0,F24=0),F$1&amp;" · ","")&amp;IF(AND(G6&gt;0,G24=0),G$1&amp;" · ","")&amp;IF(AND(H6&gt;0,H24=0),H$1&amp;" · ","")&amp;IF(AND(I6&gt;0,I24=0),I$1&amp;" · ","")&amp;IF(AND(J6&gt;0,J24=0),J$1&amp;" · ","")&amp;IF(AND(K6&gt;0,K24=0),K$1&amp;" · ","")&amp;IF(AND(L6&gt;0,L24=0),L$1&amp;" · ","")&amp;IF(AND(M6&gt;0,M24=0),M$1&amp;" · ","")&amp;IF(AND(N6&gt;0,N24=0),N$1&amp;" · ","")&amp;IF(AND(O6&gt;0,O24=0),O$1&amp;" · ","")&amp;IF(AND(P6&gt;0,P24=0),P$1&amp;" · ","")&amp;IF(AND(Q6&gt;0,Q24=0),Q$1&amp;" · ","")&amp;IF(AND(R6&gt;0,R24=0),R$1&amp;" · ","")&amp;IF(AND(S6&gt;0,S24=0),S$1&amp;" · ","")&amp;IF(AND(T6&gt;0,T24=0),T$1&amp;" · ","")&amp;IF(AND(U6&gt;0,U24=0),U$1&amp;" · ","")&amp;IF(AND(V6&gt;0,V24=0),V$1&amp;" · ","")&amp;IF(AND(W6&gt;0,W24=0),W$1&amp;" · ","")&amp;IF(AND(X6&gt;0,X24=0),X$1&amp;" · ",""))</f>
        <v/>
      </c>
    </row>
    <row r="25">
      <c r="A25">
        <f>IF($A7="","",$A7)</f>
        <v/>
      </c>
      <c r="E25">
        <f>IF(E7=0,"",IF('Mapa do Dia'!$D15="",0,--(IFERROR(INDEX(Equipe_X,MATCH('Mapa do Dia'!$D15,Equipe_Nome,0),1),"")="X"))+IF('Mapa do Dia'!$E15="",0,--(IFERROR(INDEX(Equipe_X,MATCH('Mapa do Dia'!$E15,Equipe_Nome,0),1),"")="X")))</f>
        <v/>
      </c>
      <c r="F25">
        <f>IF(F7=0,"",IF('Mapa do Dia'!$D15="",0,--(IFERROR(INDEX(Equipe_X,MATCH('Mapa do Dia'!$D15,Equipe_Nome,0),2),"")="X"))+IF('Mapa do Dia'!$E15="",0,--(IFERROR(INDEX(Equipe_X,MATCH('Mapa do Dia'!$E15,Equipe_Nome,0),2),"")="X")))</f>
        <v/>
      </c>
      <c r="G25">
        <f>IF(G7=0,"",IF('Mapa do Dia'!$D15="",0,--(IFERROR(INDEX(Equipe_X,MATCH('Mapa do Dia'!$D15,Equipe_Nome,0),3),"")="X"))+IF('Mapa do Dia'!$E15="",0,--(IFERROR(INDEX(Equipe_X,MATCH('Mapa do Dia'!$E15,Equipe_Nome,0),3),"")="X")))</f>
        <v/>
      </c>
      <c r="H25">
        <f>IF(H7=0,"",IF('Mapa do Dia'!$D15="",0,--(IFERROR(INDEX(Equipe_X,MATCH('Mapa do Dia'!$D15,Equipe_Nome,0),4),"")="X"))+IF('Mapa do Dia'!$E15="",0,--(IFERROR(INDEX(Equipe_X,MATCH('Mapa do Dia'!$E15,Equipe_Nome,0),4),"")="X")))</f>
        <v/>
      </c>
      <c r="I25">
        <f>IF(I7=0,"",IF('Mapa do Dia'!$D15="",0,--(IFERROR(INDEX(Equipe_X,MATCH('Mapa do Dia'!$D15,Equipe_Nome,0),5),"")="X"))+IF('Mapa do Dia'!$E15="",0,--(IFERROR(INDEX(Equipe_X,MATCH('Mapa do Dia'!$E15,Equipe_Nome,0),5),"")="X")))</f>
        <v/>
      </c>
      <c r="J25">
        <f>IF(J7=0,"",IF('Mapa do Dia'!$D15="",0,--(IFERROR(INDEX(Equipe_X,MATCH('Mapa do Dia'!$D15,Equipe_Nome,0),6),"")="X"))+IF('Mapa do Dia'!$E15="",0,--(IFERROR(INDEX(Equipe_X,MATCH('Mapa do Dia'!$E15,Equipe_Nome,0),6),"")="X")))</f>
        <v/>
      </c>
      <c r="K25">
        <f>IF(K7=0,"",IF('Mapa do Dia'!$D15="",0,--(IFERROR(INDEX(Equipe_X,MATCH('Mapa do Dia'!$D15,Equipe_Nome,0),7),"")="X"))+IF('Mapa do Dia'!$E15="",0,--(IFERROR(INDEX(Equipe_X,MATCH('Mapa do Dia'!$E15,Equipe_Nome,0),7),"")="X")))</f>
        <v/>
      </c>
      <c r="L25">
        <f>IF(L7=0,"",IF('Mapa do Dia'!$D15="",0,--(IFERROR(INDEX(Equipe_X,MATCH('Mapa do Dia'!$D15,Equipe_Nome,0),8),"")="X"))+IF('Mapa do Dia'!$E15="",0,--(IFERROR(INDEX(Equipe_X,MATCH('Mapa do Dia'!$E15,Equipe_Nome,0),8),"")="X")))</f>
        <v/>
      </c>
      <c r="M25">
        <f>IF(M7=0,"",IF('Mapa do Dia'!$D15="",0,--(IFERROR(INDEX(Equipe_X,MATCH('Mapa do Dia'!$D15,Equipe_Nome,0),9),"")="X"))+IF('Mapa do Dia'!$E15="",0,--(IFERROR(INDEX(Equipe_X,MATCH('Mapa do Dia'!$E15,Equipe_Nome,0),9),"")="X")))</f>
        <v/>
      </c>
      <c r="N25">
        <f>IF(N7=0,"",IF('Mapa do Dia'!$D15="",0,--(IFERROR(INDEX(Equipe_X,MATCH('Mapa do Dia'!$D15,Equipe_Nome,0),10),"")="X"))+IF('Mapa do Dia'!$E15="",0,--(IFERROR(INDEX(Equipe_X,MATCH('Mapa do Dia'!$E15,Equipe_Nome,0),10),"")="X")))</f>
        <v/>
      </c>
      <c r="O25">
        <f>IF(O7=0,"",IF('Mapa do Dia'!$D15="",0,--(IFERROR(INDEX(Equipe_X,MATCH('Mapa do Dia'!$D15,Equipe_Nome,0),11),"")="X"))+IF('Mapa do Dia'!$E15="",0,--(IFERROR(INDEX(Equipe_X,MATCH('Mapa do Dia'!$E15,Equipe_Nome,0),11),"")="X")))</f>
        <v/>
      </c>
      <c r="P25">
        <f>IF(P7=0,"",IF('Mapa do Dia'!$D15="",0,--(IFERROR(INDEX(Equipe_X,MATCH('Mapa do Dia'!$D15,Equipe_Nome,0),12),"")="X"))+IF('Mapa do Dia'!$E15="",0,--(IFERROR(INDEX(Equipe_X,MATCH('Mapa do Dia'!$E15,Equipe_Nome,0),12),"")="X")))</f>
        <v/>
      </c>
      <c r="Q25">
        <f>IF(Q7=0,"",IF('Mapa do Dia'!$D15="",0,--(IFERROR(INDEX(Equipe_X,MATCH('Mapa do Dia'!$D15,Equipe_Nome,0),13),"")="X"))+IF('Mapa do Dia'!$E15="",0,--(IFERROR(INDEX(Equipe_X,MATCH('Mapa do Dia'!$E15,Equipe_Nome,0),13),"")="X")))</f>
        <v/>
      </c>
      <c r="R25">
        <f>IF(R7=0,"",IF('Mapa do Dia'!$D15="",0,--(IFERROR(INDEX(Equipe_X,MATCH('Mapa do Dia'!$D15,Equipe_Nome,0),14),"")="X"))+IF('Mapa do Dia'!$E15="",0,--(IFERROR(INDEX(Equipe_X,MATCH('Mapa do Dia'!$E15,Equipe_Nome,0),14),"")="X")))</f>
        <v/>
      </c>
      <c r="S25">
        <f>IF(S7=0,"",IF('Mapa do Dia'!$D15="",0,--(IFERROR(INDEX(Equipe_X,MATCH('Mapa do Dia'!$D15,Equipe_Nome,0),15),"")="X"))+IF('Mapa do Dia'!$E15="",0,--(IFERROR(INDEX(Equipe_X,MATCH('Mapa do Dia'!$E15,Equipe_Nome,0),15),"")="X")))</f>
        <v/>
      </c>
      <c r="T25">
        <f>IF(T7=0,"",IF('Mapa do Dia'!$D15="",0,--(IFERROR(INDEX(Equipe_X,MATCH('Mapa do Dia'!$D15,Equipe_Nome,0),16),"")="X"))+IF('Mapa do Dia'!$E15="",0,--(IFERROR(INDEX(Equipe_X,MATCH('Mapa do Dia'!$E15,Equipe_Nome,0),16),"")="X")))</f>
        <v/>
      </c>
      <c r="U25">
        <f>IF(U7=0,"",IF('Mapa do Dia'!$D15="",0,--(IFERROR(INDEX(Equipe_X,MATCH('Mapa do Dia'!$D15,Equipe_Nome,0),17),"")="X"))+IF('Mapa do Dia'!$E15="",0,--(IFERROR(INDEX(Equipe_X,MATCH('Mapa do Dia'!$E15,Equipe_Nome,0),17),"")="X")))</f>
        <v/>
      </c>
      <c r="V25">
        <f>IF(V7=0,"",IF('Mapa do Dia'!$D15="",0,--(IFERROR(INDEX(Equipe_X,MATCH('Mapa do Dia'!$D15,Equipe_Nome,0),18),"")="X"))+IF('Mapa do Dia'!$E15="",0,--(IFERROR(INDEX(Equipe_X,MATCH('Mapa do Dia'!$E15,Equipe_Nome,0),18),"")="X")))</f>
        <v/>
      </c>
      <c r="W25">
        <f>IF(W7=0,"",IF('Mapa do Dia'!$D15="",0,--(IFERROR(INDEX(Equipe_X,MATCH('Mapa do Dia'!$D15,Equipe_Nome,0),19),"")="X"))+IF('Mapa do Dia'!$E15="",0,--(IFERROR(INDEX(Equipe_X,MATCH('Mapa do Dia'!$E15,Equipe_Nome,0),19),"")="X")))</f>
        <v/>
      </c>
      <c r="X25">
        <f>IF(X7=0,"",IF('Mapa do Dia'!$D15="",0,--(IFERROR(INDEX(Equipe_X,MATCH('Mapa do Dia'!$D15,Equipe_Nome,0),20),"")="X"))+IF('Mapa do Dia'!$E15="",0,--(IFERROR(INDEX(Equipe_X,MATCH('Mapa do Dia'!$E15,Equipe_Nome,0),20),"")="X")))</f>
        <v/>
      </c>
      <c r="Y25">
        <f>COUNTIF(E7:X7,"&gt;0")</f>
        <v/>
      </c>
      <c r="Z25">
        <f>COUNTIF(E25:X25,0)</f>
        <v/>
      </c>
      <c r="AA25">
        <f>COUNTIF(E25:X25,1)</f>
        <v/>
      </c>
      <c r="AB25">
        <f>IF($A25="","",IF(E7&gt;0,E$1&amp;" · ","")&amp;IF(F7&gt;0,F$1&amp;" · ","")&amp;IF(G7&gt;0,G$1&amp;" · ","")&amp;IF(H7&gt;0,H$1&amp;" · ","")&amp;IF(I7&gt;0,I$1&amp;" · ","")&amp;IF(J7&gt;0,J$1&amp;" · ","")&amp;IF(K7&gt;0,K$1&amp;" · ","")&amp;IF(L7&gt;0,L$1&amp;" · ","")&amp;IF(M7&gt;0,M$1&amp;" · ","")&amp;IF(N7&gt;0,N$1&amp;" · ","")&amp;IF(O7&gt;0,O$1&amp;" · ","")&amp;IF(P7&gt;0,P$1&amp;" · ","")&amp;IF(Q7&gt;0,Q$1&amp;" · ","")&amp;IF(R7&gt;0,R$1&amp;" · ","")&amp;IF(S7&gt;0,S$1&amp;" · ","")&amp;IF(T7&gt;0,T$1&amp;" · ","")&amp;IF(U7&gt;0,U$1&amp;" · ","")&amp;IF(V7&gt;0,V$1&amp;" · ","")&amp;IF(W7&gt;0,W$1&amp;" · ","")&amp;IF(X7&gt;0,X$1&amp;" · ",""))</f>
        <v/>
      </c>
      <c r="AC25">
        <f>IF($A25="","",IF(AND(E7&gt;0,E25=0),E$1&amp;" · ","")&amp;IF(AND(F7&gt;0,F25=0),F$1&amp;" · ","")&amp;IF(AND(G7&gt;0,G25=0),G$1&amp;" · ","")&amp;IF(AND(H7&gt;0,H25=0),H$1&amp;" · ","")&amp;IF(AND(I7&gt;0,I25=0),I$1&amp;" · ","")&amp;IF(AND(J7&gt;0,J25=0),J$1&amp;" · ","")&amp;IF(AND(K7&gt;0,K25=0),K$1&amp;" · ","")&amp;IF(AND(L7&gt;0,L25=0),L$1&amp;" · ","")&amp;IF(AND(M7&gt;0,M25=0),M$1&amp;" · ","")&amp;IF(AND(N7&gt;0,N25=0),N$1&amp;" · ","")&amp;IF(AND(O7&gt;0,O25=0),O$1&amp;" · ","")&amp;IF(AND(P7&gt;0,P25=0),P$1&amp;" · ","")&amp;IF(AND(Q7&gt;0,Q25=0),Q$1&amp;" · ","")&amp;IF(AND(R7&gt;0,R25=0),R$1&amp;" · ","")&amp;IF(AND(S7&gt;0,S25=0),S$1&amp;" · ","")&amp;IF(AND(T7&gt;0,T25=0),T$1&amp;" · ","")&amp;IF(AND(U7&gt;0,U25=0),U$1&amp;" · ","")&amp;IF(AND(V7&gt;0,V25=0),V$1&amp;" · ","")&amp;IF(AND(W7&gt;0,W25=0),W$1&amp;" · ","")&amp;IF(AND(X7&gt;0,X25=0),X$1&amp;" · ",""))</f>
        <v/>
      </c>
    </row>
    <row r="26">
      <c r="A26">
        <f>IF($A8="","",$A8)</f>
        <v/>
      </c>
      <c r="E26">
        <f>IF(E8=0,"",IF('Mapa do Dia'!$D16="",0,--(IFERROR(INDEX(Equipe_X,MATCH('Mapa do Dia'!$D16,Equipe_Nome,0),1),"")="X"))+IF('Mapa do Dia'!$E16="",0,--(IFERROR(INDEX(Equipe_X,MATCH('Mapa do Dia'!$E16,Equipe_Nome,0),1),"")="X")))</f>
        <v/>
      </c>
      <c r="F26">
        <f>IF(F8=0,"",IF('Mapa do Dia'!$D16="",0,--(IFERROR(INDEX(Equipe_X,MATCH('Mapa do Dia'!$D16,Equipe_Nome,0),2),"")="X"))+IF('Mapa do Dia'!$E16="",0,--(IFERROR(INDEX(Equipe_X,MATCH('Mapa do Dia'!$E16,Equipe_Nome,0),2),"")="X")))</f>
        <v/>
      </c>
      <c r="G26">
        <f>IF(G8=0,"",IF('Mapa do Dia'!$D16="",0,--(IFERROR(INDEX(Equipe_X,MATCH('Mapa do Dia'!$D16,Equipe_Nome,0),3),"")="X"))+IF('Mapa do Dia'!$E16="",0,--(IFERROR(INDEX(Equipe_X,MATCH('Mapa do Dia'!$E16,Equipe_Nome,0),3),"")="X")))</f>
        <v/>
      </c>
      <c r="H26">
        <f>IF(H8=0,"",IF('Mapa do Dia'!$D16="",0,--(IFERROR(INDEX(Equipe_X,MATCH('Mapa do Dia'!$D16,Equipe_Nome,0),4),"")="X"))+IF('Mapa do Dia'!$E16="",0,--(IFERROR(INDEX(Equipe_X,MATCH('Mapa do Dia'!$E16,Equipe_Nome,0),4),"")="X")))</f>
        <v/>
      </c>
      <c r="I26">
        <f>IF(I8=0,"",IF('Mapa do Dia'!$D16="",0,--(IFERROR(INDEX(Equipe_X,MATCH('Mapa do Dia'!$D16,Equipe_Nome,0),5),"")="X"))+IF('Mapa do Dia'!$E16="",0,--(IFERROR(INDEX(Equipe_X,MATCH('Mapa do Dia'!$E16,Equipe_Nome,0),5),"")="X")))</f>
        <v/>
      </c>
      <c r="J26">
        <f>IF(J8=0,"",IF('Mapa do Dia'!$D16="",0,--(IFERROR(INDEX(Equipe_X,MATCH('Mapa do Dia'!$D16,Equipe_Nome,0),6),"")="X"))+IF('Mapa do Dia'!$E16="",0,--(IFERROR(INDEX(Equipe_X,MATCH('Mapa do Dia'!$E16,Equipe_Nome,0),6),"")="X")))</f>
        <v/>
      </c>
      <c r="K26">
        <f>IF(K8=0,"",IF('Mapa do Dia'!$D16="",0,--(IFERROR(INDEX(Equipe_X,MATCH('Mapa do Dia'!$D16,Equipe_Nome,0),7),"")="X"))+IF('Mapa do Dia'!$E16="",0,--(IFERROR(INDEX(Equipe_X,MATCH('Mapa do Dia'!$E16,Equipe_Nome,0),7),"")="X")))</f>
        <v/>
      </c>
      <c r="L26">
        <f>IF(L8=0,"",IF('Mapa do Dia'!$D16="",0,--(IFERROR(INDEX(Equipe_X,MATCH('Mapa do Dia'!$D16,Equipe_Nome,0),8),"")="X"))+IF('Mapa do Dia'!$E16="",0,--(IFERROR(INDEX(Equipe_X,MATCH('Mapa do Dia'!$E16,Equipe_Nome,0),8),"")="X")))</f>
        <v/>
      </c>
      <c r="M26">
        <f>IF(M8=0,"",IF('Mapa do Dia'!$D16="",0,--(IFERROR(INDEX(Equipe_X,MATCH('Mapa do Dia'!$D16,Equipe_Nome,0),9),"")="X"))+IF('Mapa do Dia'!$E16="",0,--(IFERROR(INDEX(Equipe_X,MATCH('Mapa do Dia'!$E16,Equipe_Nome,0),9),"")="X")))</f>
        <v/>
      </c>
      <c r="N26">
        <f>IF(N8=0,"",IF('Mapa do Dia'!$D16="",0,--(IFERROR(INDEX(Equipe_X,MATCH('Mapa do Dia'!$D16,Equipe_Nome,0),10),"")="X"))+IF('Mapa do Dia'!$E16="",0,--(IFERROR(INDEX(Equipe_X,MATCH('Mapa do Dia'!$E16,Equipe_Nome,0),10),"")="X")))</f>
        <v/>
      </c>
      <c r="O26">
        <f>IF(O8=0,"",IF('Mapa do Dia'!$D16="",0,--(IFERROR(INDEX(Equipe_X,MATCH('Mapa do Dia'!$D16,Equipe_Nome,0),11),"")="X"))+IF('Mapa do Dia'!$E16="",0,--(IFERROR(INDEX(Equipe_X,MATCH('Mapa do Dia'!$E16,Equipe_Nome,0),11),"")="X")))</f>
        <v/>
      </c>
      <c r="P26">
        <f>IF(P8=0,"",IF('Mapa do Dia'!$D16="",0,--(IFERROR(INDEX(Equipe_X,MATCH('Mapa do Dia'!$D16,Equipe_Nome,0),12),"")="X"))+IF('Mapa do Dia'!$E16="",0,--(IFERROR(INDEX(Equipe_X,MATCH('Mapa do Dia'!$E16,Equipe_Nome,0),12),"")="X")))</f>
        <v/>
      </c>
      <c r="Q26">
        <f>IF(Q8=0,"",IF('Mapa do Dia'!$D16="",0,--(IFERROR(INDEX(Equipe_X,MATCH('Mapa do Dia'!$D16,Equipe_Nome,0),13),"")="X"))+IF('Mapa do Dia'!$E16="",0,--(IFERROR(INDEX(Equipe_X,MATCH('Mapa do Dia'!$E16,Equipe_Nome,0),13),"")="X")))</f>
        <v/>
      </c>
      <c r="R26">
        <f>IF(R8=0,"",IF('Mapa do Dia'!$D16="",0,--(IFERROR(INDEX(Equipe_X,MATCH('Mapa do Dia'!$D16,Equipe_Nome,0),14),"")="X"))+IF('Mapa do Dia'!$E16="",0,--(IFERROR(INDEX(Equipe_X,MATCH('Mapa do Dia'!$E16,Equipe_Nome,0),14),"")="X")))</f>
        <v/>
      </c>
      <c r="S26">
        <f>IF(S8=0,"",IF('Mapa do Dia'!$D16="",0,--(IFERROR(INDEX(Equipe_X,MATCH('Mapa do Dia'!$D16,Equipe_Nome,0),15),"")="X"))+IF('Mapa do Dia'!$E16="",0,--(IFERROR(INDEX(Equipe_X,MATCH('Mapa do Dia'!$E16,Equipe_Nome,0),15),"")="X")))</f>
        <v/>
      </c>
      <c r="T26">
        <f>IF(T8=0,"",IF('Mapa do Dia'!$D16="",0,--(IFERROR(INDEX(Equipe_X,MATCH('Mapa do Dia'!$D16,Equipe_Nome,0),16),"")="X"))+IF('Mapa do Dia'!$E16="",0,--(IFERROR(INDEX(Equipe_X,MATCH('Mapa do Dia'!$E16,Equipe_Nome,0),16),"")="X")))</f>
        <v/>
      </c>
      <c r="U26">
        <f>IF(U8=0,"",IF('Mapa do Dia'!$D16="",0,--(IFERROR(INDEX(Equipe_X,MATCH('Mapa do Dia'!$D16,Equipe_Nome,0),17),"")="X"))+IF('Mapa do Dia'!$E16="",0,--(IFERROR(INDEX(Equipe_X,MATCH('Mapa do Dia'!$E16,Equipe_Nome,0),17),"")="X")))</f>
        <v/>
      </c>
      <c r="V26">
        <f>IF(V8=0,"",IF('Mapa do Dia'!$D16="",0,--(IFERROR(INDEX(Equipe_X,MATCH('Mapa do Dia'!$D16,Equipe_Nome,0),18),"")="X"))+IF('Mapa do Dia'!$E16="",0,--(IFERROR(INDEX(Equipe_X,MATCH('Mapa do Dia'!$E16,Equipe_Nome,0),18),"")="X")))</f>
        <v/>
      </c>
      <c r="W26">
        <f>IF(W8=0,"",IF('Mapa do Dia'!$D16="",0,--(IFERROR(INDEX(Equipe_X,MATCH('Mapa do Dia'!$D16,Equipe_Nome,0),19),"")="X"))+IF('Mapa do Dia'!$E16="",0,--(IFERROR(INDEX(Equipe_X,MATCH('Mapa do Dia'!$E16,Equipe_Nome,0),19),"")="X")))</f>
        <v/>
      </c>
      <c r="X26">
        <f>IF(X8=0,"",IF('Mapa do Dia'!$D16="",0,--(IFERROR(INDEX(Equipe_X,MATCH('Mapa do Dia'!$D16,Equipe_Nome,0),20),"")="X"))+IF('Mapa do Dia'!$E16="",0,--(IFERROR(INDEX(Equipe_X,MATCH('Mapa do Dia'!$E16,Equipe_Nome,0),20),"")="X")))</f>
        <v/>
      </c>
      <c r="Y26">
        <f>COUNTIF(E8:X8,"&gt;0")</f>
        <v/>
      </c>
      <c r="Z26">
        <f>COUNTIF(E26:X26,0)</f>
        <v/>
      </c>
      <c r="AA26">
        <f>COUNTIF(E26:X26,1)</f>
        <v/>
      </c>
      <c r="AB26">
        <f>IF($A26="","",IF(E8&gt;0,E$1&amp;" · ","")&amp;IF(F8&gt;0,F$1&amp;" · ","")&amp;IF(G8&gt;0,G$1&amp;" · ","")&amp;IF(H8&gt;0,H$1&amp;" · ","")&amp;IF(I8&gt;0,I$1&amp;" · ","")&amp;IF(J8&gt;0,J$1&amp;" · ","")&amp;IF(K8&gt;0,K$1&amp;" · ","")&amp;IF(L8&gt;0,L$1&amp;" · ","")&amp;IF(M8&gt;0,M$1&amp;" · ","")&amp;IF(N8&gt;0,N$1&amp;" · ","")&amp;IF(O8&gt;0,O$1&amp;" · ","")&amp;IF(P8&gt;0,P$1&amp;" · ","")&amp;IF(Q8&gt;0,Q$1&amp;" · ","")&amp;IF(R8&gt;0,R$1&amp;" · ","")&amp;IF(S8&gt;0,S$1&amp;" · ","")&amp;IF(T8&gt;0,T$1&amp;" · ","")&amp;IF(U8&gt;0,U$1&amp;" · ","")&amp;IF(V8&gt;0,V$1&amp;" · ","")&amp;IF(W8&gt;0,W$1&amp;" · ","")&amp;IF(X8&gt;0,X$1&amp;" · ",""))</f>
        <v/>
      </c>
      <c r="AC26">
        <f>IF($A26="","",IF(AND(E8&gt;0,E26=0),E$1&amp;" · ","")&amp;IF(AND(F8&gt;0,F26=0),F$1&amp;" · ","")&amp;IF(AND(G8&gt;0,G26=0),G$1&amp;" · ","")&amp;IF(AND(H8&gt;0,H26=0),H$1&amp;" · ","")&amp;IF(AND(I8&gt;0,I26=0),I$1&amp;" · ","")&amp;IF(AND(J8&gt;0,J26=0),J$1&amp;" · ","")&amp;IF(AND(K8&gt;0,K26=0),K$1&amp;" · ","")&amp;IF(AND(L8&gt;0,L26=0),L$1&amp;" · ","")&amp;IF(AND(M8&gt;0,M26=0),M$1&amp;" · ","")&amp;IF(AND(N8&gt;0,N26=0),N$1&amp;" · ","")&amp;IF(AND(O8&gt;0,O26=0),O$1&amp;" · ","")&amp;IF(AND(P8&gt;0,P26=0),P$1&amp;" · ","")&amp;IF(AND(Q8&gt;0,Q26=0),Q$1&amp;" · ","")&amp;IF(AND(R8&gt;0,R26=0),R$1&amp;" · ","")&amp;IF(AND(S8&gt;0,S26=0),S$1&amp;" · ","")&amp;IF(AND(T8&gt;0,T26=0),T$1&amp;" · ","")&amp;IF(AND(U8&gt;0,U26=0),U$1&amp;" · ","")&amp;IF(AND(V8&gt;0,V26=0),V$1&amp;" · ","")&amp;IF(AND(W8&gt;0,W26=0),W$1&amp;" · ","")&amp;IF(AND(X8&gt;0,X26=0),X$1&amp;" · ",""))</f>
        <v/>
      </c>
    </row>
    <row r="27">
      <c r="A27">
        <f>IF($A9="","",$A9)</f>
        <v/>
      </c>
      <c r="E27">
        <f>IF(E9=0,"",IF('Mapa do Dia'!$D17="",0,--(IFERROR(INDEX(Equipe_X,MATCH('Mapa do Dia'!$D17,Equipe_Nome,0),1),"")="X"))+IF('Mapa do Dia'!$E17="",0,--(IFERROR(INDEX(Equipe_X,MATCH('Mapa do Dia'!$E17,Equipe_Nome,0),1),"")="X")))</f>
        <v/>
      </c>
      <c r="F27">
        <f>IF(F9=0,"",IF('Mapa do Dia'!$D17="",0,--(IFERROR(INDEX(Equipe_X,MATCH('Mapa do Dia'!$D17,Equipe_Nome,0),2),"")="X"))+IF('Mapa do Dia'!$E17="",0,--(IFERROR(INDEX(Equipe_X,MATCH('Mapa do Dia'!$E17,Equipe_Nome,0),2),"")="X")))</f>
        <v/>
      </c>
      <c r="G27">
        <f>IF(G9=0,"",IF('Mapa do Dia'!$D17="",0,--(IFERROR(INDEX(Equipe_X,MATCH('Mapa do Dia'!$D17,Equipe_Nome,0),3),"")="X"))+IF('Mapa do Dia'!$E17="",0,--(IFERROR(INDEX(Equipe_X,MATCH('Mapa do Dia'!$E17,Equipe_Nome,0),3),"")="X")))</f>
        <v/>
      </c>
      <c r="H27">
        <f>IF(H9=0,"",IF('Mapa do Dia'!$D17="",0,--(IFERROR(INDEX(Equipe_X,MATCH('Mapa do Dia'!$D17,Equipe_Nome,0),4),"")="X"))+IF('Mapa do Dia'!$E17="",0,--(IFERROR(INDEX(Equipe_X,MATCH('Mapa do Dia'!$E17,Equipe_Nome,0),4),"")="X")))</f>
        <v/>
      </c>
      <c r="I27">
        <f>IF(I9=0,"",IF('Mapa do Dia'!$D17="",0,--(IFERROR(INDEX(Equipe_X,MATCH('Mapa do Dia'!$D17,Equipe_Nome,0),5),"")="X"))+IF('Mapa do Dia'!$E17="",0,--(IFERROR(INDEX(Equipe_X,MATCH('Mapa do Dia'!$E17,Equipe_Nome,0),5),"")="X")))</f>
        <v/>
      </c>
      <c r="J27">
        <f>IF(J9=0,"",IF('Mapa do Dia'!$D17="",0,--(IFERROR(INDEX(Equipe_X,MATCH('Mapa do Dia'!$D17,Equipe_Nome,0),6),"")="X"))+IF('Mapa do Dia'!$E17="",0,--(IFERROR(INDEX(Equipe_X,MATCH('Mapa do Dia'!$E17,Equipe_Nome,0),6),"")="X")))</f>
        <v/>
      </c>
      <c r="K27">
        <f>IF(K9=0,"",IF('Mapa do Dia'!$D17="",0,--(IFERROR(INDEX(Equipe_X,MATCH('Mapa do Dia'!$D17,Equipe_Nome,0),7),"")="X"))+IF('Mapa do Dia'!$E17="",0,--(IFERROR(INDEX(Equipe_X,MATCH('Mapa do Dia'!$E17,Equipe_Nome,0),7),"")="X")))</f>
        <v/>
      </c>
      <c r="L27">
        <f>IF(L9=0,"",IF('Mapa do Dia'!$D17="",0,--(IFERROR(INDEX(Equipe_X,MATCH('Mapa do Dia'!$D17,Equipe_Nome,0),8),"")="X"))+IF('Mapa do Dia'!$E17="",0,--(IFERROR(INDEX(Equipe_X,MATCH('Mapa do Dia'!$E17,Equipe_Nome,0),8),"")="X")))</f>
        <v/>
      </c>
      <c r="M27">
        <f>IF(M9=0,"",IF('Mapa do Dia'!$D17="",0,--(IFERROR(INDEX(Equipe_X,MATCH('Mapa do Dia'!$D17,Equipe_Nome,0),9),"")="X"))+IF('Mapa do Dia'!$E17="",0,--(IFERROR(INDEX(Equipe_X,MATCH('Mapa do Dia'!$E17,Equipe_Nome,0),9),"")="X")))</f>
        <v/>
      </c>
      <c r="N27">
        <f>IF(N9=0,"",IF('Mapa do Dia'!$D17="",0,--(IFERROR(INDEX(Equipe_X,MATCH('Mapa do Dia'!$D17,Equipe_Nome,0),10),"")="X"))+IF('Mapa do Dia'!$E17="",0,--(IFERROR(INDEX(Equipe_X,MATCH('Mapa do Dia'!$E17,Equipe_Nome,0),10),"")="X")))</f>
        <v/>
      </c>
      <c r="O27">
        <f>IF(O9=0,"",IF('Mapa do Dia'!$D17="",0,--(IFERROR(INDEX(Equipe_X,MATCH('Mapa do Dia'!$D17,Equipe_Nome,0),11),"")="X"))+IF('Mapa do Dia'!$E17="",0,--(IFERROR(INDEX(Equipe_X,MATCH('Mapa do Dia'!$E17,Equipe_Nome,0),11),"")="X")))</f>
        <v/>
      </c>
      <c r="P27">
        <f>IF(P9=0,"",IF('Mapa do Dia'!$D17="",0,--(IFERROR(INDEX(Equipe_X,MATCH('Mapa do Dia'!$D17,Equipe_Nome,0),12),"")="X"))+IF('Mapa do Dia'!$E17="",0,--(IFERROR(INDEX(Equipe_X,MATCH('Mapa do Dia'!$E17,Equipe_Nome,0),12),"")="X")))</f>
        <v/>
      </c>
      <c r="Q27">
        <f>IF(Q9=0,"",IF('Mapa do Dia'!$D17="",0,--(IFERROR(INDEX(Equipe_X,MATCH('Mapa do Dia'!$D17,Equipe_Nome,0),13),"")="X"))+IF('Mapa do Dia'!$E17="",0,--(IFERROR(INDEX(Equipe_X,MATCH('Mapa do Dia'!$E17,Equipe_Nome,0),13),"")="X")))</f>
        <v/>
      </c>
      <c r="R27">
        <f>IF(R9=0,"",IF('Mapa do Dia'!$D17="",0,--(IFERROR(INDEX(Equipe_X,MATCH('Mapa do Dia'!$D17,Equipe_Nome,0),14),"")="X"))+IF('Mapa do Dia'!$E17="",0,--(IFERROR(INDEX(Equipe_X,MATCH('Mapa do Dia'!$E17,Equipe_Nome,0),14),"")="X")))</f>
        <v/>
      </c>
      <c r="S27">
        <f>IF(S9=0,"",IF('Mapa do Dia'!$D17="",0,--(IFERROR(INDEX(Equipe_X,MATCH('Mapa do Dia'!$D17,Equipe_Nome,0),15),"")="X"))+IF('Mapa do Dia'!$E17="",0,--(IFERROR(INDEX(Equipe_X,MATCH('Mapa do Dia'!$E17,Equipe_Nome,0),15),"")="X")))</f>
        <v/>
      </c>
      <c r="T27">
        <f>IF(T9=0,"",IF('Mapa do Dia'!$D17="",0,--(IFERROR(INDEX(Equipe_X,MATCH('Mapa do Dia'!$D17,Equipe_Nome,0),16),"")="X"))+IF('Mapa do Dia'!$E17="",0,--(IFERROR(INDEX(Equipe_X,MATCH('Mapa do Dia'!$E17,Equipe_Nome,0),16),"")="X")))</f>
        <v/>
      </c>
      <c r="U27">
        <f>IF(U9=0,"",IF('Mapa do Dia'!$D17="",0,--(IFERROR(INDEX(Equipe_X,MATCH('Mapa do Dia'!$D17,Equipe_Nome,0),17),"")="X"))+IF('Mapa do Dia'!$E17="",0,--(IFERROR(INDEX(Equipe_X,MATCH('Mapa do Dia'!$E17,Equipe_Nome,0),17),"")="X")))</f>
        <v/>
      </c>
      <c r="V27">
        <f>IF(V9=0,"",IF('Mapa do Dia'!$D17="",0,--(IFERROR(INDEX(Equipe_X,MATCH('Mapa do Dia'!$D17,Equipe_Nome,0),18),"")="X"))+IF('Mapa do Dia'!$E17="",0,--(IFERROR(INDEX(Equipe_X,MATCH('Mapa do Dia'!$E17,Equipe_Nome,0),18),"")="X")))</f>
        <v/>
      </c>
      <c r="W27">
        <f>IF(W9=0,"",IF('Mapa do Dia'!$D17="",0,--(IFERROR(INDEX(Equipe_X,MATCH('Mapa do Dia'!$D17,Equipe_Nome,0),19),"")="X"))+IF('Mapa do Dia'!$E17="",0,--(IFERROR(INDEX(Equipe_X,MATCH('Mapa do Dia'!$E17,Equipe_Nome,0),19),"")="X")))</f>
        <v/>
      </c>
      <c r="X27">
        <f>IF(X9=0,"",IF('Mapa do Dia'!$D17="",0,--(IFERROR(INDEX(Equipe_X,MATCH('Mapa do Dia'!$D17,Equipe_Nome,0),20),"")="X"))+IF('Mapa do Dia'!$E17="",0,--(IFERROR(INDEX(Equipe_X,MATCH('Mapa do Dia'!$E17,Equipe_Nome,0),20),"")="X")))</f>
        <v/>
      </c>
      <c r="Y27">
        <f>COUNTIF(E9:X9,"&gt;0")</f>
        <v/>
      </c>
      <c r="Z27">
        <f>COUNTIF(E27:X27,0)</f>
        <v/>
      </c>
      <c r="AA27">
        <f>COUNTIF(E27:X27,1)</f>
        <v/>
      </c>
      <c r="AB27">
        <f>IF($A27="","",IF(E9&gt;0,E$1&amp;" · ","")&amp;IF(F9&gt;0,F$1&amp;" · ","")&amp;IF(G9&gt;0,G$1&amp;" · ","")&amp;IF(H9&gt;0,H$1&amp;" · ","")&amp;IF(I9&gt;0,I$1&amp;" · ","")&amp;IF(J9&gt;0,J$1&amp;" · ","")&amp;IF(K9&gt;0,K$1&amp;" · ","")&amp;IF(L9&gt;0,L$1&amp;" · ","")&amp;IF(M9&gt;0,M$1&amp;" · ","")&amp;IF(N9&gt;0,N$1&amp;" · ","")&amp;IF(O9&gt;0,O$1&amp;" · ","")&amp;IF(P9&gt;0,P$1&amp;" · ","")&amp;IF(Q9&gt;0,Q$1&amp;" · ","")&amp;IF(R9&gt;0,R$1&amp;" · ","")&amp;IF(S9&gt;0,S$1&amp;" · ","")&amp;IF(T9&gt;0,T$1&amp;" · ","")&amp;IF(U9&gt;0,U$1&amp;" · ","")&amp;IF(V9&gt;0,V$1&amp;" · ","")&amp;IF(W9&gt;0,W$1&amp;" · ","")&amp;IF(X9&gt;0,X$1&amp;" · ",""))</f>
        <v/>
      </c>
      <c r="AC27">
        <f>IF($A27="","",IF(AND(E9&gt;0,E27=0),E$1&amp;" · ","")&amp;IF(AND(F9&gt;0,F27=0),F$1&amp;" · ","")&amp;IF(AND(G9&gt;0,G27=0),G$1&amp;" · ","")&amp;IF(AND(H9&gt;0,H27=0),H$1&amp;" · ","")&amp;IF(AND(I9&gt;0,I27=0),I$1&amp;" · ","")&amp;IF(AND(J9&gt;0,J27=0),J$1&amp;" · ","")&amp;IF(AND(K9&gt;0,K27=0),K$1&amp;" · ","")&amp;IF(AND(L9&gt;0,L27=0),L$1&amp;" · ","")&amp;IF(AND(M9&gt;0,M27=0),M$1&amp;" · ","")&amp;IF(AND(N9&gt;0,N27=0),N$1&amp;" · ","")&amp;IF(AND(O9&gt;0,O27=0),O$1&amp;" · ","")&amp;IF(AND(P9&gt;0,P27=0),P$1&amp;" · ","")&amp;IF(AND(Q9&gt;0,Q27=0),Q$1&amp;" · ","")&amp;IF(AND(R9&gt;0,R27=0),R$1&amp;" · ","")&amp;IF(AND(S9&gt;0,S27=0),S$1&amp;" · ","")&amp;IF(AND(T9&gt;0,T27=0),T$1&amp;" · ","")&amp;IF(AND(U9&gt;0,U27=0),U$1&amp;" · ","")&amp;IF(AND(V9&gt;0,V27=0),V$1&amp;" · ","")&amp;IF(AND(W9&gt;0,W27=0),W$1&amp;" · ","")&amp;IF(AND(X9&gt;0,X27=0),X$1&amp;" · ",""))</f>
        <v/>
      </c>
    </row>
    <row r="28">
      <c r="A28">
        <f>IF($A10="","",$A10)</f>
        <v/>
      </c>
      <c r="E28">
        <f>IF(E10=0,"",IF('Mapa do Dia'!$D18="",0,--(IFERROR(INDEX(Equipe_X,MATCH('Mapa do Dia'!$D18,Equipe_Nome,0),1),"")="X"))+IF('Mapa do Dia'!$E18="",0,--(IFERROR(INDEX(Equipe_X,MATCH('Mapa do Dia'!$E18,Equipe_Nome,0),1),"")="X")))</f>
        <v/>
      </c>
      <c r="F28">
        <f>IF(F10=0,"",IF('Mapa do Dia'!$D18="",0,--(IFERROR(INDEX(Equipe_X,MATCH('Mapa do Dia'!$D18,Equipe_Nome,0),2),"")="X"))+IF('Mapa do Dia'!$E18="",0,--(IFERROR(INDEX(Equipe_X,MATCH('Mapa do Dia'!$E18,Equipe_Nome,0),2),"")="X")))</f>
        <v/>
      </c>
      <c r="G28">
        <f>IF(G10=0,"",IF('Mapa do Dia'!$D18="",0,--(IFERROR(INDEX(Equipe_X,MATCH('Mapa do Dia'!$D18,Equipe_Nome,0),3),"")="X"))+IF('Mapa do Dia'!$E18="",0,--(IFERROR(INDEX(Equipe_X,MATCH('Mapa do Dia'!$E18,Equipe_Nome,0),3),"")="X")))</f>
        <v/>
      </c>
      <c r="H28">
        <f>IF(H10=0,"",IF('Mapa do Dia'!$D18="",0,--(IFERROR(INDEX(Equipe_X,MATCH('Mapa do Dia'!$D18,Equipe_Nome,0),4),"")="X"))+IF('Mapa do Dia'!$E18="",0,--(IFERROR(INDEX(Equipe_X,MATCH('Mapa do Dia'!$E18,Equipe_Nome,0),4),"")="X")))</f>
        <v/>
      </c>
      <c r="I28">
        <f>IF(I10=0,"",IF('Mapa do Dia'!$D18="",0,--(IFERROR(INDEX(Equipe_X,MATCH('Mapa do Dia'!$D18,Equipe_Nome,0),5),"")="X"))+IF('Mapa do Dia'!$E18="",0,--(IFERROR(INDEX(Equipe_X,MATCH('Mapa do Dia'!$E18,Equipe_Nome,0),5),"")="X")))</f>
        <v/>
      </c>
      <c r="J28">
        <f>IF(J10=0,"",IF('Mapa do Dia'!$D18="",0,--(IFERROR(INDEX(Equipe_X,MATCH('Mapa do Dia'!$D18,Equipe_Nome,0),6),"")="X"))+IF('Mapa do Dia'!$E18="",0,--(IFERROR(INDEX(Equipe_X,MATCH('Mapa do Dia'!$E18,Equipe_Nome,0),6),"")="X")))</f>
        <v/>
      </c>
      <c r="K28">
        <f>IF(K10=0,"",IF('Mapa do Dia'!$D18="",0,--(IFERROR(INDEX(Equipe_X,MATCH('Mapa do Dia'!$D18,Equipe_Nome,0),7),"")="X"))+IF('Mapa do Dia'!$E18="",0,--(IFERROR(INDEX(Equipe_X,MATCH('Mapa do Dia'!$E18,Equipe_Nome,0),7),"")="X")))</f>
        <v/>
      </c>
      <c r="L28">
        <f>IF(L10=0,"",IF('Mapa do Dia'!$D18="",0,--(IFERROR(INDEX(Equipe_X,MATCH('Mapa do Dia'!$D18,Equipe_Nome,0),8),"")="X"))+IF('Mapa do Dia'!$E18="",0,--(IFERROR(INDEX(Equipe_X,MATCH('Mapa do Dia'!$E18,Equipe_Nome,0),8),"")="X")))</f>
        <v/>
      </c>
      <c r="M28">
        <f>IF(M10=0,"",IF('Mapa do Dia'!$D18="",0,--(IFERROR(INDEX(Equipe_X,MATCH('Mapa do Dia'!$D18,Equipe_Nome,0),9),"")="X"))+IF('Mapa do Dia'!$E18="",0,--(IFERROR(INDEX(Equipe_X,MATCH('Mapa do Dia'!$E18,Equipe_Nome,0),9),"")="X")))</f>
        <v/>
      </c>
      <c r="N28">
        <f>IF(N10=0,"",IF('Mapa do Dia'!$D18="",0,--(IFERROR(INDEX(Equipe_X,MATCH('Mapa do Dia'!$D18,Equipe_Nome,0),10),"")="X"))+IF('Mapa do Dia'!$E18="",0,--(IFERROR(INDEX(Equipe_X,MATCH('Mapa do Dia'!$E18,Equipe_Nome,0),10),"")="X")))</f>
        <v/>
      </c>
      <c r="O28">
        <f>IF(O10=0,"",IF('Mapa do Dia'!$D18="",0,--(IFERROR(INDEX(Equipe_X,MATCH('Mapa do Dia'!$D18,Equipe_Nome,0),11),"")="X"))+IF('Mapa do Dia'!$E18="",0,--(IFERROR(INDEX(Equipe_X,MATCH('Mapa do Dia'!$E18,Equipe_Nome,0),11),"")="X")))</f>
        <v/>
      </c>
      <c r="P28">
        <f>IF(P10=0,"",IF('Mapa do Dia'!$D18="",0,--(IFERROR(INDEX(Equipe_X,MATCH('Mapa do Dia'!$D18,Equipe_Nome,0),12),"")="X"))+IF('Mapa do Dia'!$E18="",0,--(IFERROR(INDEX(Equipe_X,MATCH('Mapa do Dia'!$E18,Equipe_Nome,0),12),"")="X")))</f>
        <v/>
      </c>
      <c r="Q28">
        <f>IF(Q10=0,"",IF('Mapa do Dia'!$D18="",0,--(IFERROR(INDEX(Equipe_X,MATCH('Mapa do Dia'!$D18,Equipe_Nome,0),13),"")="X"))+IF('Mapa do Dia'!$E18="",0,--(IFERROR(INDEX(Equipe_X,MATCH('Mapa do Dia'!$E18,Equipe_Nome,0),13),"")="X")))</f>
        <v/>
      </c>
      <c r="R28">
        <f>IF(R10=0,"",IF('Mapa do Dia'!$D18="",0,--(IFERROR(INDEX(Equipe_X,MATCH('Mapa do Dia'!$D18,Equipe_Nome,0),14),"")="X"))+IF('Mapa do Dia'!$E18="",0,--(IFERROR(INDEX(Equipe_X,MATCH('Mapa do Dia'!$E18,Equipe_Nome,0),14),"")="X")))</f>
        <v/>
      </c>
      <c r="S28">
        <f>IF(S10=0,"",IF('Mapa do Dia'!$D18="",0,--(IFERROR(INDEX(Equipe_X,MATCH('Mapa do Dia'!$D18,Equipe_Nome,0),15),"")="X"))+IF('Mapa do Dia'!$E18="",0,--(IFERROR(INDEX(Equipe_X,MATCH('Mapa do Dia'!$E18,Equipe_Nome,0),15),"")="X")))</f>
        <v/>
      </c>
      <c r="T28">
        <f>IF(T10=0,"",IF('Mapa do Dia'!$D18="",0,--(IFERROR(INDEX(Equipe_X,MATCH('Mapa do Dia'!$D18,Equipe_Nome,0),16),"")="X"))+IF('Mapa do Dia'!$E18="",0,--(IFERROR(INDEX(Equipe_X,MATCH('Mapa do Dia'!$E18,Equipe_Nome,0),16),"")="X")))</f>
        <v/>
      </c>
      <c r="U28">
        <f>IF(U10=0,"",IF('Mapa do Dia'!$D18="",0,--(IFERROR(INDEX(Equipe_X,MATCH('Mapa do Dia'!$D18,Equipe_Nome,0),17),"")="X"))+IF('Mapa do Dia'!$E18="",0,--(IFERROR(INDEX(Equipe_X,MATCH('Mapa do Dia'!$E18,Equipe_Nome,0),17),"")="X")))</f>
        <v/>
      </c>
      <c r="V28">
        <f>IF(V10=0,"",IF('Mapa do Dia'!$D18="",0,--(IFERROR(INDEX(Equipe_X,MATCH('Mapa do Dia'!$D18,Equipe_Nome,0),18),"")="X"))+IF('Mapa do Dia'!$E18="",0,--(IFERROR(INDEX(Equipe_X,MATCH('Mapa do Dia'!$E18,Equipe_Nome,0),18),"")="X")))</f>
        <v/>
      </c>
      <c r="W28">
        <f>IF(W10=0,"",IF('Mapa do Dia'!$D18="",0,--(IFERROR(INDEX(Equipe_X,MATCH('Mapa do Dia'!$D18,Equipe_Nome,0),19),"")="X"))+IF('Mapa do Dia'!$E18="",0,--(IFERROR(INDEX(Equipe_X,MATCH('Mapa do Dia'!$E18,Equipe_Nome,0),19),"")="X")))</f>
        <v/>
      </c>
      <c r="X28">
        <f>IF(X10=0,"",IF('Mapa do Dia'!$D18="",0,--(IFERROR(INDEX(Equipe_X,MATCH('Mapa do Dia'!$D18,Equipe_Nome,0),20),"")="X"))+IF('Mapa do Dia'!$E18="",0,--(IFERROR(INDEX(Equipe_X,MATCH('Mapa do Dia'!$E18,Equipe_Nome,0),20),"")="X")))</f>
        <v/>
      </c>
      <c r="Y28">
        <f>COUNTIF(E10:X10,"&gt;0")</f>
        <v/>
      </c>
      <c r="Z28">
        <f>COUNTIF(E28:X28,0)</f>
        <v/>
      </c>
      <c r="AA28">
        <f>COUNTIF(E28:X28,1)</f>
        <v/>
      </c>
      <c r="AB28">
        <f>IF($A28="","",IF(E10&gt;0,E$1&amp;" · ","")&amp;IF(F10&gt;0,F$1&amp;" · ","")&amp;IF(G10&gt;0,G$1&amp;" · ","")&amp;IF(H10&gt;0,H$1&amp;" · ","")&amp;IF(I10&gt;0,I$1&amp;" · ","")&amp;IF(J10&gt;0,J$1&amp;" · ","")&amp;IF(K10&gt;0,K$1&amp;" · ","")&amp;IF(L10&gt;0,L$1&amp;" · ","")&amp;IF(M10&gt;0,M$1&amp;" · ","")&amp;IF(N10&gt;0,N$1&amp;" · ","")&amp;IF(O10&gt;0,O$1&amp;" · ","")&amp;IF(P10&gt;0,P$1&amp;" · ","")&amp;IF(Q10&gt;0,Q$1&amp;" · ","")&amp;IF(R10&gt;0,R$1&amp;" · ","")&amp;IF(S10&gt;0,S$1&amp;" · ","")&amp;IF(T10&gt;0,T$1&amp;" · ","")&amp;IF(U10&gt;0,U$1&amp;" · ","")&amp;IF(V10&gt;0,V$1&amp;" · ","")&amp;IF(W10&gt;0,W$1&amp;" · ","")&amp;IF(X10&gt;0,X$1&amp;" · ",""))</f>
        <v/>
      </c>
      <c r="AC28">
        <f>IF($A28="","",IF(AND(E10&gt;0,E28=0),E$1&amp;" · ","")&amp;IF(AND(F10&gt;0,F28=0),F$1&amp;" · ","")&amp;IF(AND(G10&gt;0,G28=0),G$1&amp;" · ","")&amp;IF(AND(H10&gt;0,H28=0),H$1&amp;" · ","")&amp;IF(AND(I10&gt;0,I28=0),I$1&amp;" · ","")&amp;IF(AND(J10&gt;0,J28=0),J$1&amp;" · ","")&amp;IF(AND(K10&gt;0,K28=0),K$1&amp;" · ","")&amp;IF(AND(L10&gt;0,L28=0),L$1&amp;" · ","")&amp;IF(AND(M10&gt;0,M28=0),M$1&amp;" · ","")&amp;IF(AND(N10&gt;0,N28=0),N$1&amp;" · ","")&amp;IF(AND(O10&gt;0,O28=0),O$1&amp;" · ","")&amp;IF(AND(P10&gt;0,P28=0),P$1&amp;" · ","")&amp;IF(AND(Q10&gt;0,Q28=0),Q$1&amp;" · ","")&amp;IF(AND(R10&gt;0,R28=0),R$1&amp;" · ","")&amp;IF(AND(S10&gt;0,S28=0),S$1&amp;" · ","")&amp;IF(AND(T10&gt;0,T28=0),T$1&amp;" · ","")&amp;IF(AND(U10&gt;0,U28=0),U$1&amp;" · ","")&amp;IF(AND(V10&gt;0,V28=0),V$1&amp;" · ","")&amp;IF(AND(W10&gt;0,W28=0),W$1&amp;" · ","")&amp;IF(AND(X10&gt;0,X28=0),X$1&amp;" · ",""))</f>
        <v/>
      </c>
    </row>
    <row r="29">
      <c r="A29">
        <f>IF($A11="","",$A11)</f>
        <v/>
      </c>
      <c r="E29">
        <f>IF(E11=0,"",IF('Mapa do Dia'!$D19="",0,--(IFERROR(INDEX(Equipe_X,MATCH('Mapa do Dia'!$D19,Equipe_Nome,0),1),"")="X"))+IF('Mapa do Dia'!$E19="",0,--(IFERROR(INDEX(Equipe_X,MATCH('Mapa do Dia'!$E19,Equipe_Nome,0),1),"")="X")))</f>
        <v/>
      </c>
      <c r="F29">
        <f>IF(F11=0,"",IF('Mapa do Dia'!$D19="",0,--(IFERROR(INDEX(Equipe_X,MATCH('Mapa do Dia'!$D19,Equipe_Nome,0),2),"")="X"))+IF('Mapa do Dia'!$E19="",0,--(IFERROR(INDEX(Equipe_X,MATCH('Mapa do Dia'!$E19,Equipe_Nome,0),2),"")="X")))</f>
        <v/>
      </c>
      <c r="G29">
        <f>IF(G11=0,"",IF('Mapa do Dia'!$D19="",0,--(IFERROR(INDEX(Equipe_X,MATCH('Mapa do Dia'!$D19,Equipe_Nome,0),3),"")="X"))+IF('Mapa do Dia'!$E19="",0,--(IFERROR(INDEX(Equipe_X,MATCH('Mapa do Dia'!$E19,Equipe_Nome,0),3),"")="X")))</f>
        <v/>
      </c>
      <c r="H29">
        <f>IF(H11=0,"",IF('Mapa do Dia'!$D19="",0,--(IFERROR(INDEX(Equipe_X,MATCH('Mapa do Dia'!$D19,Equipe_Nome,0),4),"")="X"))+IF('Mapa do Dia'!$E19="",0,--(IFERROR(INDEX(Equipe_X,MATCH('Mapa do Dia'!$E19,Equipe_Nome,0),4),"")="X")))</f>
        <v/>
      </c>
      <c r="I29">
        <f>IF(I11=0,"",IF('Mapa do Dia'!$D19="",0,--(IFERROR(INDEX(Equipe_X,MATCH('Mapa do Dia'!$D19,Equipe_Nome,0),5),"")="X"))+IF('Mapa do Dia'!$E19="",0,--(IFERROR(INDEX(Equipe_X,MATCH('Mapa do Dia'!$E19,Equipe_Nome,0),5),"")="X")))</f>
        <v/>
      </c>
      <c r="J29">
        <f>IF(J11=0,"",IF('Mapa do Dia'!$D19="",0,--(IFERROR(INDEX(Equipe_X,MATCH('Mapa do Dia'!$D19,Equipe_Nome,0),6),"")="X"))+IF('Mapa do Dia'!$E19="",0,--(IFERROR(INDEX(Equipe_X,MATCH('Mapa do Dia'!$E19,Equipe_Nome,0),6),"")="X")))</f>
        <v/>
      </c>
      <c r="K29">
        <f>IF(K11=0,"",IF('Mapa do Dia'!$D19="",0,--(IFERROR(INDEX(Equipe_X,MATCH('Mapa do Dia'!$D19,Equipe_Nome,0),7),"")="X"))+IF('Mapa do Dia'!$E19="",0,--(IFERROR(INDEX(Equipe_X,MATCH('Mapa do Dia'!$E19,Equipe_Nome,0),7),"")="X")))</f>
        <v/>
      </c>
      <c r="L29">
        <f>IF(L11=0,"",IF('Mapa do Dia'!$D19="",0,--(IFERROR(INDEX(Equipe_X,MATCH('Mapa do Dia'!$D19,Equipe_Nome,0),8),"")="X"))+IF('Mapa do Dia'!$E19="",0,--(IFERROR(INDEX(Equipe_X,MATCH('Mapa do Dia'!$E19,Equipe_Nome,0),8),"")="X")))</f>
        <v/>
      </c>
      <c r="M29">
        <f>IF(M11=0,"",IF('Mapa do Dia'!$D19="",0,--(IFERROR(INDEX(Equipe_X,MATCH('Mapa do Dia'!$D19,Equipe_Nome,0),9),"")="X"))+IF('Mapa do Dia'!$E19="",0,--(IFERROR(INDEX(Equipe_X,MATCH('Mapa do Dia'!$E19,Equipe_Nome,0),9),"")="X")))</f>
        <v/>
      </c>
      <c r="N29">
        <f>IF(N11=0,"",IF('Mapa do Dia'!$D19="",0,--(IFERROR(INDEX(Equipe_X,MATCH('Mapa do Dia'!$D19,Equipe_Nome,0),10),"")="X"))+IF('Mapa do Dia'!$E19="",0,--(IFERROR(INDEX(Equipe_X,MATCH('Mapa do Dia'!$E19,Equipe_Nome,0),10),"")="X")))</f>
        <v/>
      </c>
      <c r="O29">
        <f>IF(O11=0,"",IF('Mapa do Dia'!$D19="",0,--(IFERROR(INDEX(Equipe_X,MATCH('Mapa do Dia'!$D19,Equipe_Nome,0),11),"")="X"))+IF('Mapa do Dia'!$E19="",0,--(IFERROR(INDEX(Equipe_X,MATCH('Mapa do Dia'!$E19,Equipe_Nome,0),11),"")="X")))</f>
        <v/>
      </c>
      <c r="P29">
        <f>IF(P11=0,"",IF('Mapa do Dia'!$D19="",0,--(IFERROR(INDEX(Equipe_X,MATCH('Mapa do Dia'!$D19,Equipe_Nome,0),12),"")="X"))+IF('Mapa do Dia'!$E19="",0,--(IFERROR(INDEX(Equipe_X,MATCH('Mapa do Dia'!$E19,Equipe_Nome,0),12),"")="X")))</f>
        <v/>
      </c>
      <c r="Q29">
        <f>IF(Q11=0,"",IF('Mapa do Dia'!$D19="",0,--(IFERROR(INDEX(Equipe_X,MATCH('Mapa do Dia'!$D19,Equipe_Nome,0),13),"")="X"))+IF('Mapa do Dia'!$E19="",0,--(IFERROR(INDEX(Equipe_X,MATCH('Mapa do Dia'!$E19,Equipe_Nome,0),13),"")="X")))</f>
        <v/>
      </c>
      <c r="R29">
        <f>IF(R11=0,"",IF('Mapa do Dia'!$D19="",0,--(IFERROR(INDEX(Equipe_X,MATCH('Mapa do Dia'!$D19,Equipe_Nome,0),14),"")="X"))+IF('Mapa do Dia'!$E19="",0,--(IFERROR(INDEX(Equipe_X,MATCH('Mapa do Dia'!$E19,Equipe_Nome,0),14),"")="X")))</f>
        <v/>
      </c>
      <c r="S29">
        <f>IF(S11=0,"",IF('Mapa do Dia'!$D19="",0,--(IFERROR(INDEX(Equipe_X,MATCH('Mapa do Dia'!$D19,Equipe_Nome,0),15),"")="X"))+IF('Mapa do Dia'!$E19="",0,--(IFERROR(INDEX(Equipe_X,MATCH('Mapa do Dia'!$E19,Equipe_Nome,0),15),"")="X")))</f>
        <v/>
      </c>
      <c r="T29">
        <f>IF(T11=0,"",IF('Mapa do Dia'!$D19="",0,--(IFERROR(INDEX(Equipe_X,MATCH('Mapa do Dia'!$D19,Equipe_Nome,0),16),"")="X"))+IF('Mapa do Dia'!$E19="",0,--(IFERROR(INDEX(Equipe_X,MATCH('Mapa do Dia'!$E19,Equipe_Nome,0),16),"")="X")))</f>
        <v/>
      </c>
      <c r="U29">
        <f>IF(U11=0,"",IF('Mapa do Dia'!$D19="",0,--(IFERROR(INDEX(Equipe_X,MATCH('Mapa do Dia'!$D19,Equipe_Nome,0),17),"")="X"))+IF('Mapa do Dia'!$E19="",0,--(IFERROR(INDEX(Equipe_X,MATCH('Mapa do Dia'!$E19,Equipe_Nome,0),17),"")="X")))</f>
        <v/>
      </c>
      <c r="V29">
        <f>IF(V11=0,"",IF('Mapa do Dia'!$D19="",0,--(IFERROR(INDEX(Equipe_X,MATCH('Mapa do Dia'!$D19,Equipe_Nome,0),18),"")="X"))+IF('Mapa do Dia'!$E19="",0,--(IFERROR(INDEX(Equipe_X,MATCH('Mapa do Dia'!$E19,Equipe_Nome,0),18),"")="X")))</f>
        <v/>
      </c>
      <c r="W29">
        <f>IF(W11=0,"",IF('Mapa do Dia'!$D19="",0,--(IFERROR(INDEX(Equipe_X,MATCH('Mapa do Dia'!$D19,Equipe_Nome,0),19),"")="X"))+IF('Mapa do Dia'!$E19="",0,--(IFERROR(INDEX(Equipe_X,MATCH('Mapa do Dia'!$E19,Equipe_Nome,0),19),"")="X")))</f>
        <v/>
      </c>
      <c r="X29">
        <f>IF(X11=0,"",IF('Mapa do Dia'!$D19="",0,--(IFERROR(INDEX(Equipe_X,MATCH('Mapa do Dia'!$D19,Equipe_Nome,0),20),"")="X"))+IF('Mapa do Dia'!$E19="",0,--(IFERROR(INDEX(Equipe_X,MATCH('Mapa do Dia'!$E19,Equipe_Nome,0),20),"")="X")))</f>
        <v/>
      </c>
      <c r="Y29">
        <f>COUNTIF(E11:X11,"&gt;0")</f>
        <v/>
      </c>
      <c r="Z29">
        <f>COUNTIF(E29:X29,0)</f>
        <v/>
      </c>
      <c r="AA29">
        <f>COUNTIF(E29:X29,1)</f>
        <v/>
      </c>
      <c r="AB29">
        <f>IF($A29="","",IF(E11&gt;0,E$1&amp;" · ","")&amp;IF(F11&gt;0,F$1&amp;" · ","")&amp;IF(G11&gt;0,G$1&amp;" · ","")&amp;IF(H11&gt;0,H$1&amp;" · ","")&amp;IF(I11&gt;0,I$1&amp;" · ","")&amp;IF(J11&gt;0,J$1&amp;" · ","")&amp;IF(K11&gt;0,K$1&amp;" · ","")&amp;IF(L11&gt;0,L$1&amp;" · ","")&amp;IF(M11&gt;0,M$1&amp;" · ","")&amp;IF(N11&gt;0,N$1&amp;" · ","")&amp;IF(O11&gt;0,O$1&amp;" · ","")&amp;IF(P11&gt;0,P$1&amp;" · ","")&amp;IF(Q11&gt;0,Q$1&amp;" · ","")&amp;IF(R11&gt;0,R$1&amp;" · ","")&amp;IF(S11&gt;0,S$1&amp;" · ","")&amp;IF(T11&gt;0,T$1&amp;" · ","")&amp;IF(U11&gt;0,U$1&amp;" · ","")&amp;IF(V11&gt;0,V$1&amp;" · ","")&amp;IF(W11&gt;0,W$1&amp;" · ","")&amp;IF(X11&gt;0,X$1&amp;" · ",""))</f>
        <v/>
      </c>
      <c r="AC29">
        <f>IF($A29="","",IF(AND(E11&gt;0,E29=0),E$1&amp;" · ","")&amp;IF(AND(F11&gt;0,F29=0),F$1&amp;" · ","")&amp;IF(AND(G11&gt;0,G29=0),G$1&amp;" · ","")&amp;IF(AND(H11&gt;0,H29=0),H$1&amp;" · ","")&amp;IF(AND(I11&gt;0,I29=0),I$1&amp;" · ","")&amp;IF(AND(J11&gt;0,J29=0),J$1&amp;" · ","")&amp;IF(AND(K11&gt;0,K29=0),K$1&amp;" · ","")&amp;IF(AND(L11&gt;0,L29=0),L$1&amp;" · ","")&amp;IF(AND(M11&gt;0,M29=0),M$1&amp;" · ","")&amp;IF(AND(N11&gt;0,N29=0),N$1&amp;" · ","")&amp;IF(AND(O11&gt;0,O29=0),O$1&amp;" · ","")&amp;IF(AND(P11&gt;0,P29=0),P$1&amp;" · ","")&amp;IF(AND(Q11&gt;0,Q29=0),Q$1&amp;" · ","")&amp;IF(AND(R11&gt;0,R29=0),R$1&amp;" · ","")&amp;IF(AND(S11&gt;0,S29=0),S$1&amp;" · ","")&amp;IF(AND(T11&gt;0,T29=0),T$1&amp;" · ","")&amp;IF(AND(U11&gt;0,U29=0),U$1&amp;" · ","")&amp;IF(AND(V11&gt;0,V29=0),V$1&amp;" · ","")&amp;IF(AND(W11&gt;0,W29=0),W$1&amp;" · ","")&amp;IF(AND(X11&gt;0,X29=0),X$1&amp;" · ",""))</f>
        <v/>
      </c>
    </row>
    <row r="30">
      <c r="A30">
        <f>IF($A12="","",$A12)</f>
        <v/>
      </c>
      <c r="E30">
        <f>IF(E12=0,"",IF('Mapa do Dia'!$D20="",0,--(IFERROR(INDEX(Equipe_X,MATCH('Mapa do Dia'!$D20,Equipe_Nome,0),1),"")="X"))+IF('Mapa do Dia'!$E20="",0,--(IFERROR(INDEX(Equipe_X,MATCH('Mapa do Dia'!$E20,Equipe_Nome,0),1),"")="X")))</f>
        <v/>
      </c>
      <c r="F30">
        <f>IF(F12=0,"",IF('Mapa do Dia'!$D20="",0,--(IFERROR(INDEX(Equipe_X,MATCH('Mapa do Dia'!$D20,Equipe_Nome,0),2),"")="X"))+IF('Mapa do Dia'!$E20="",0,--(IFERROR(INDEX(Equipe_X,MATCH('Mapa do Dia'!$E20,Equipe_Nome,0),2),"")="X")))</f>
        <v/>
      </c>
      <c r="G30">
        <f>IF(G12=0,"",IF('Mapa do Dia'!$D20="",0,--(IFERROR(INDEX(Equipe_X,MATCH('Mapa do Dia'!$D20,Equipe_Nome,0),3),"")="X"))+IF('Mapa do Dia'!$E20="",0,--(IFERROR(INDEX(Equipe_X,MATCH('Mapa do Dia'!$E20,Equipe_Nome,0),3),"")="X")))</f>
        <v/>
      </c>
      <c r="H30">
        <f>IF(H12=0,"",IF('Mapa do Dia'!$D20="",0,--(IFERROR(INDEX(Equipe_X,MATCH('Mapa do Dia'!$D20,Equipe_Nome,0),4),"")="X"))+IF('Mapa do Dia'!$E20="",0,--(IFERROR(INDEX(Equipe_X,MATCH('Mapa do Dia'!$E20,Equipe_Nome,0),4),"")="X")))</f>
        <v/>
      </c>
      <c r="I30">
        <f>IF(I12=0,"",IF('Mapa do Dia'!$D20="",0,--(IFERROR(INDEX(Equipe_X,MATCH('Mapa do Dia'!$D20,Equipe_Nome,0),5),"")="X"))+IF('Mapa do Dia'!$E20="",0,--(IFERROR(INDEX(Equipe_X,MATCH('Mapa do Dia'!$E20,Equipe_Nome,0),5),"")="X")))</f>
        <v/>
      </c>
      <c r="J30">
        <f>IF(J12=0,"",IF('Mapa do Dia'!$D20="",0,--(IFERROR(INDEX(Equipe_X,MATCH('Mapa do Dia'!$D20,Equipe_Nome,0),6),"")="X"))+IF('Mapa do Dia'!$E20="",0,--(IFERROR(INDEX(Equipe_X,MATCH('Mapa do Dia'!$E20,Equipe_Nome,0),6),"")="X")))</f>
        <v/>
      </c>
      <c r="K30">
        <f>IF(K12=0,"",IF('Mapa do Dia'!$D20="",0,--(IFERROR(INDEX(Equipe_X,MATCH('Mapa do Dia'!$D20,Equipe_Nome,0),7),"")="X"))+IF('Mapa do Dia'!$E20="",0,--(IFERROR(INDEX(Equipe_X,MATCH('Mapa do Dia'!$E20,Equipe_Nome,0),7),"")="X")))</f>
        <v/>
      </c>
      <c r="L30">
        <f>IF(L12=0,"",IF('Mapa do Dia'!$D20="",0,--(IFERROR(INDEX(Equipe_X,MATCH('Mapa do Dia'!$D20,Equipe_Nome,0),8),"")="X"))+IF('Mapa do Dia'!$E20="",0,--(IFERROR(INDEX(Equipe_X,MATCH('Mapa do Dia'!$E20,Equipe_Nome,0),8),"")="X")))</f>
        <v/>
      </c>
      <c r="M30">
        <f>IF(M12=0,"",IF('Mapa do Dia'!$D20="",0,--(IFERROR(INDEX(Equipe_X,MATCH('Mapa do Dia'!$D20,Equipe_Nome,0),9),"")="X"))+IF('Mapa do Dia'!$E20="",0,--(IFERROR(INDEX(Equipe_X,MATCH('Mapa do Dia'!$E20,Equipe_Nome,0),9),"")="X")))</f>
        <v/>
      </c>
      <c r="N30">
        <f>IF(N12=0,"",IF('Mapa do Dia'!$D20="",0,--(IFERROR(INDEX(Equipe_X,MATCH('Mapa do Dia'!$D20,Equipe_Nome,0),10),"")="X"))+IF('Mapa do Dia'!$E20="",0,--(IFERROR(INDEX(Equipe_X,MATCH('Mapa do Dia'!$E20,Equipe_Nome,0),10),"")="X")))</f>
        <v/>
      </c>
      <c r="O30">
        <f>IF(O12=0,"",IF('Mapa do Dia'!$D20="",0,--(IFERROR(INDEX(Equipe_X,MATCH('Mapa do Dia'!$D20,Equipe_Nome,0),11),"")="X"))+IF('Mapa do Dia'!$E20="",0,--(IFERROR(INDEX(Equipe_X,MATCH('Mapa do Dia'!$E20,Equipe_Nome,0),11),"")="X")))</f>
        <v/>
      </c>
      <c r="P30">
        <f>IF(P12=0,"",IF('Mapa do Dia'!$D20="",0,--(IFERROR(INDEX(Equipe_X,MATCH('Mapa do Dia'!$D20,Equipe_Nome,0),12),"")="X"))+IF('Mapa do Dia'!$E20="",0,--(IFERROR(INDEX(Equipe_X,MATCH('Mapa do Dia'!$E20,Equipe_Nome,0),12),"")="X")))</f>
        <v/>
      </c>
      <c r="Q30">
        <f>IF(Q12=0,"",IF('Mapa do Dia'!$D20="",0,--(IFERROR(INDEX(Equipe_X,MATCH('Mapa do Dia'!$D20,Equipe_Nome,0),13),"")="X"))+IF('Mapa do Dia'!$E20="",0,--(IFERROR(INDEX(Equipe_X,MATCH('Mapa do Dia'!$E20,Equipe_Nome,0),13),"")="X")))</f>
        <v/>
      </c>
      <c r="R30">
        <f>IF(R12=0,"",IF('Mapa do Dia'!$D20="",0,--(IFERROR(INDEX(Equipe_X,MATCH('Mapa do Dia'!$D20,Equipe_Nome,0),14),"")="X"))+IF('Mapa do Dia'!$E20="",0,--(IFERROR(INDEX(Equipe_X,MATCH('Mapa do Dia'!$E20,Equipe_Nome,0),14),"")="X")))</f>
        <v/>
      </c>
      <c r="S30">
        <f>IF(S12=0,"",IF('Mapa do Dia'!$D20="",0,--(IFERROR(INDEX(Equipe_X,MATCH('Mapa do Dia'!$D20,Equipe_Nome,0),15),"")="X"))+IF('Mapa do Dia'!$E20="",0,--(IFERROR(INDEX(Equipe_X,MATCH('Mapa do Dia'!$E20,Equipe_Nome,0),15),"")="X")))</f>
        <v/>
      </c>
      <c r="T30">
        <f>IF(T12=0,"",IF('Mapa do Dia'!$D20="",0,--(IFERROR(INDEX(Equipe_X,MATCH('Mapa do Dia'!$D20,Equipe_Nome,0),16),"")="X"))+IF('Mapa do Dia'!$E20="",0,--(IFERROR(INDEX(Equipe_X,MATCH('Mapa do Dia'!$E20,Equipe_Nome,0),16),"")="X")))</f>
        <v/>
      </c>
      <c r="U30">
        <f>IF(U12=0,"",IF('Mapa do Dia'!$D20="",0,--(IFERROR(INDEX(Equipe_X,MATCH('Mapa do Dia'!$D20,Equipe_Nome,0),17),"")="X"))+IF('Mapa do Dia'!$E20="",0,--(IFERROR(INDEX(Equipe_X,MATCH('Mapa do Dia'!$E20,Equipe_Nome,0),17),"")="X")))</f>
        <v/>
      </c>
      <c r="V30">
        <f>IF(V12=0,"",IF('Mapa do Dia'!$D20="",0,--(IFERROR(INDEX(Equipe_X,MATCH('Mapa do Dia'!$D20,Equipe_Nome,0),18),"")="X"))+IF('Mapa do Dia'!$E20="",0,--(IFERROR(INDEX(Equipe_X,MATCH('Mapa do Dia'!$E20,Equipe_Nome,0),18),"")="X")))</f>
        <v/>
      </c>
      <c r="W30">
        <f>IF(W12=0,"",IF('Mapa do Dia'!$D20="",0,--(IFERROR(INDEX(Equipe_X,MATCH('Mapa do Dia'!$D20,Equipe_Nome,0),19),"")="X"))+IF('Mapa do Dia'!$E20="",0,--(IFERROR(INDEX(Equipe_X,MATCH('Mapa do Dia'!$E20,Equipe_Nome,0),19),"")="X")))</f>
        <v/>
      </c>
      <c r="X30">
        <f>IF(X12=0,"",IF('Mapa do Dia'!$D20="",0,--(IFERROR(INDEX(Equipe_X,MATCH('Mapa do Dia'!$D20,Equipe_Nome,0),20),"")="X"))+IF('Mapa do Dia'!$E20="",0,--(IFERROR(INDEX(Equipe_X,MATCH('Mapa do Dia'!$E20,Equipe_Nome,0),20),"")="X")))</f>
        <v/>
      </c>
      <c r="Y30">
        <f>COUNTIF(E12:X12,"&gt;0")</f>
        <v/>
      </c>
      <c r="Z30">
        <f>COUNTIF(E30:X30,0)</f>
        <v/>
      </c>
      <c r="AA30">
        <f>COUNTIF(E30:X30,1)</f>
        <v/>
      </c>
      <c r="AB30">
        <f>IF($A30="","",IF(E12&gt;0,E$1&amp;" · ","")&amp;IF(F12&gt;0,F$1&amp;" · ","")&amp;IF(G12&gt;0,G$1&amp;" · ","")&amp;IF(H12&gt;0,H$1&amp;" · ","")&amp;IF(I12&gt;0,I$1&amp;" · ","")&amp;IF(J12&gt;0,J$1&amp;" · ","")&amp;IF(K12&gt;0,K$1&amp;" · ","")&amp;IF(L12&gt;0,L$1&amp;" · ","")&amp;IF(M12&gt;0,M$1&amp;" · ","")&amp;IF(N12&gt;0,N$1&amp;" · ","")&amp;IF(O12&gt;0,O$1&amp;" · ","")&amp;IF(P12&gt;0,P$1&amp;" · ","")&amp;IF(Q12&gt;0,Q$1&amp;" · ","")&amp;IF(R12&gt;0,R$1&amp;" · ","")&amp;IF(S12&gt;0,S$1&amp;" · ","")&amp;IF(T12&gt;0,T$1&amp;" · ","")&amp;IF(U12&gt;0,U$1&amp;" · ","")&amp;IF(V12&gt;0,V$1&amp;" · ","")&amp;IF(W12&gt;0,W$1&amp;" · ","")&amp;IF(X12&gt;0,X$1&amp;" · ",""))</f>
        <v/>
      </c>
      <c r="AC30">
        <f>IF($A30="","",IF(AND(E12&gt;0,E30=0),E$1&amp;" · ","")&amp;IF(AND(F12&gt;0,F30=0),F$1&amp;" · ","")&amp;IF(AND(G12&gt;0,G30=0),G$1&amp;" · ","")&amp;IF(AND(H12&gt;0,H30=0),H$1&amp;" · ","")&amp;IF(AND(I12&gt;0,I30=0),I$1&amp;" · ","")&amp;IF(AND(J12&gt;0,J30=0),J$1&amp;" · ","")&amp;IF(AND(K12&gt;0,K30=0),K$1&amp;" · ","")&amp;IF(AND(L12&gt;0,L30=0),L$1&amp;" · ","")&amp;IF(AND(M12&gt;0,M30=0),M$1&amp;" · ","")&amp;IF(AND(N12&gt;0,N30=0),N$1&amp;" · ","")&amp;IF(AND(O12&gt;0,O30=0),O$1&amp;" · ","")&amp;IF(AND(P12&gt;0,P30=0),P$1&amp;" · ","")&amp;IF(AND(Q12&gt;0,Q30=0),Q$1&amp;" · ","")&amp;IF(AND(R12&gt;0,R30=0),R$1&amp;" · ","")&amp;IF(AND(S12&gt;0,S30=0),S$1&amp;" · ","")&amp;IF(AND(T12&gt;0,T30=0),T$1&amp;" · ","")&amp;IF(AND(U12&gt;0,U30=0),U$1&amp;" · ","")&amp;IF(AND(V12&gt;0,V30=0),V$1&amp;" · ","")&amp;IF(AND(W12&gt;0,W30=0),W$1&amp;" · ","")&amp;IF(AND(X12&gt;0,X30=0),X$1&amp;" · ",""))</f>
        <v/>
      </c>
    </row>
    <row r="31">
      <c r="A31">
        <f>IF($A13="","",$A13)</f>
        <v/>
      </c>
      <c r="E31">
        <f>IF(E13=0,"",IF('Mapa do Dia'!$D21="",0,--(IFERROR(INDEX(Equipe_X,MATCH('Mapa do Dia'!$D21,Equipe_Nome,0),1),"")="X"))+IF('Mapa do Dia'!$E21="",0,--(IFERROR(INDEX(Equipe_X,MATCH('Mapa do Dia'!$E21,Equipe_Nome,0),1),"")="X")))</f>
        <v/>
      </c>
      <c r="F31">
        <f>IF(F13=0,"",IF('Mapa do Dia'!$D21="",0,--(IFERROR(INDEX(Equipe_X,MATCH('Mapa do Dia'!$D21,Equipe_Nome,0),2),"")="X"))+IF('Mapa do Dia'!$E21="",0,--(IFERROR(INDEX(Equipe_X,MATCH('Mapa do Dia'!$E21,Equipe_Nome,0),2),"")="X")))</f>
        <v/>
      </c>
      <c r="G31">
        <f>IF(G13=0,"",IF('Mapa do Dia'!$D21="",0,--(IFERROR(INDEX(Equipe_X,MATCH('Mapa do Dia'!$D21,Equipe_Nome,0),3),"")="X"))+IF('Mapa do Dia'!$E21="",0,--(IFERROR(INDEX(Equipe_X,MATCH('Mapa do Dia'!$E21,Equipe_Nome,0),3),"")="X")))</f>
        <v/>
      </c>
      <c r="H31">
        <f>IF(H13=0,"",IF('Mapa do Dia'!$D21="",0,--(IFERROR(INDEX(Equipe_X,MATCH('Mapa do Dia'!$D21,Equipe_Nome,0),4),"")="X"))+IF('Mapa do Dia'!$E21="",0,--(IFERROR(INDEX(Equipe_X,MATCH('Mapa do Dia'!$E21,Equipe_Nome,0),4),"")="X")))</f>
        <v/>
      </c>
      <c r="I31">
        <f>IF(I13=0,"",IF('Mapa do Dia'!$D21="",0,--(IFERROR(INDEX(Equipe_X,MATCH('Mapa do Dia'!$D21,Equipe_Nome,0),5),"")="X"))+IF('Mapa do Dia'!$E21="",0,--(IFERROR(INDEX(Equipe_X,MATCH('Mapa do Dia'!$E21,Equipe_Nome,0),5),"")="X")))</f>
        <v/>
      </c>
      <c r="J31">
        <f>IF(J13=0,"",IF('Mapa do Dia'!$D21="",0,--(IFERROR(INDEX(Equipe_X,MATCH('Mapa do Dia'!$D21,Equipe_Nome,0),6),"")="X"))+IF('Mapa do Dia'!$E21="",0,--(IFERROR(INDEX(Equipe_X,MATCH('Mapa do Dia'!$E21,Equipe_Nome,0),6),"")="X")))</f>
        <v/>
      </c>
      <c r="K31">
        <f>IF(K13=0,"",IF('Mapa do Dia'!$D21="",0,--(IFERROR(INDEX(Equipe_X,MATCH('Mapa do Dia'!$D21,Equipe_Nome,0),7),"")="X"))+IF('Mapa do Dia'!$E21="",0,--(IFERROR(INDEX(Equipe_X,MATCH('Mapa do Dia'!$E21,Equipe_Nome,0),7),"")="X")))</f>
        <v/>
      </c>
      <c r="L31">
        <f>IF(L13=0,"",IF('Mapa do Dia'!$D21="",0,--(IFERROR(INDEX(Equipe_X,MATCH('Mapa do Dia'!$D21,Equipe_Nome,0),8),"")="X"))+IF('Mapa do Dia'!$E21="",0,--(IFERROR(INDEX(Equipe_X,MATCH('Mapa do Dia'!$E21,Equipe_Nome,0),8),"")="X")))</f>
        <v/>
      </c>
      <c r="M31">
        <f>IF(M13=0,"",IF('Mapa do Dia'!$D21="",0,--(IFERROR(INDEX(Equipe_X,MATCH('Mapa do Dia'!$D21,Equipe_Nome,0),9),"")="X"))+IF('Mapa do Dia'!$E21="",0,--(IFERROR(INDEX(Equipe_X,MATCH('Mapa do Dia'!$E21,Equipe_Nome,0),9),"")="X")))</f>
        <v/>
      </c>
      <c r="N31">
        <f>IF(N13=0,"",IF('Mapa do Dia'!$D21="",0,--(IFERROR(INDEX(Equipe_X,MATCH('Mapa do Dia'!$D21,Equipe_Nome,0),10),"")="X"))+IF('Mapa do Dia'!$E21="",0,--(IFERROR(INDEX(Equipe_X,MATCH('Mapa do Dia'!$E21,Equipe_Nome,0),10),"")="X")))</f>
        <v/>
      </c>
      <c r="O31">
        <f>IF(O13=0,"",IF('Mapa do Dia'!$D21="",0,--(IFERROR(INDEX(Equipe_X,MATCH('Mapa do Dia'!$D21,Equipe_Nome,0),11),"")="X"))+IF('Mapa do Dia'!$E21="",0,--(IFERROR(INDEX(Equipe_X,MATCH('Mapa do Dia'!$E21,Equipe_Nome,0),11),"")="X")))</f>
        <v/>
      </c>
      <c r="P31">
        <f>IF(P13=0,"",IF('Mapa do Dia'!$D21="",0,--(IFERROR(INDEX(Equipe_X,MATCH('Mapa do Dia'!$D21,Equipe_Nome,0),12),"")="X"))+IF('Mapa do Dia'!$E21="",0,--(IFERROR(INDEX(Equipe_X,MATCH('Mapa do Dia'!$E21,Equipe_Nome,0),12),"")="X")))</f>
        <v/>
      </c>
      <c r="Q31">
        <f>IF(Q13=0,"",IF('Mapa do Dia'!$D21="",0,--(IFERROR(INDEX(Equipe_X,MATCH('Mapa do Dia'!$D21,Equipe_Nome,0),13),"")="X"))+IF('Mapa do Dia'!$E21="",0,--(IFERROR(INDEX(Equipe_X,MATCH('Mapa do Dia'!$E21,Equipe_Nome,0),13),"")="X")))</f>
        <v/>
      </c>
      <c r="R31">
        <f>IF(R13=0,"",IF('Mapa do Dia'!$D21="",0,--(IFERROR(INDEX(Equipe_X,MATCH('Mapa do Dia'!$D21,Equipe_Nome,0),14),"")="X"))+IF('Mapa do Dia'!$E21="",0,--(IFERROR(INDEX(Equipe_X,MATCH('Mapa do Dia'!$E21,Equipe_Nome,0),14),"")="X")))</f>
        <v/>
      </c>
      <c r="S31">
        <f>IF(S13=0,"",IF('Mapa do Dia'!$D21="",0,--(IFERROR(INDEX(Equipe_X,MATCH('Mapa do Dia'!$D21,Equipe_Nome,0),15),"")="X"))+IF('Mapa do Dia'!$E21="",0,--(IFERROR(INDEX(Equipe_X,MATCH('Mapa do Dia'!$E21,Equipe_Nome,0),15),"")="X")))</f>
        <v/>
      </c>
      <c r="T31">
        <f>IF(T13=0,"",IF('Mapa do Dia'!$D21="",0,--(IFERROR(INDEX(Equipe_X,MATCH('Mapa do Dia'!$D21,Equipe_Nome,0),16),"")="X"))+IF('Mapa do Dia'!$E21="",0,--(IFERROR(INDEX(Equipe_X,MATCH('Mapa do Dia'!$E21,Equipe_Nome,0),16),"")="X")))</f>
        <v/>
      </c>
      <c r="U31">
        <f>IF(U13=0,"",IF('Mapa do Dia'!$D21="",0,--(IFERROR(INDEX(Equipe_X,MATCH('Mapa do Dia'!$D21,Equipe_Nome,0),17),"")="X"))+IF('Mapa do Dia'!$E21="",0,--(IFERROR(INDEX(Equipe_X,MATCH('Mapa do Dia'!$E21,Equipe_Nome,0),17),"")="X")))</f>
        <v/>
      </c>
      <c r="V31">
        <f>IF(V13=0,"",IF('Mapa do Dia'!$D21="",0,--(IFERROR(INDEX(Equipe_X,MATCH('Mapa do Dia'!$D21,Equipe_Nome,0),18),"")="X"))+IF('Mapa do Dia'!$E21="",0,--(IFERROR(INDEX(Equipe_X,MATCH('Mapa do Dia'!$E21,Equipe_Nome,0),18),"")="X")))</f>
        <v/>
      </c>
      <c r="W31">
        <f>IF(W13=0,"",IF('Mapa do Dia'!$D21="",0,--(IFERROR(INDEX(Equipe_X,MATCH('Mapa do Dia'!$D21,Equipe_Nome,0),19),"")="X"))+IF('Mapa do Dia'!$E21="",0,--(IFERROR(INDEX(Equipe_X,MATCH('Mapa do Dia'!$E21,Equipe_Nome,0),19),"")="X")))</f>
        <v/>
      </c>
      <c r="X31">
        <f>IF(X13=0,"",IF('Mapa do Dia'!$D21="",0,--(IFERROR(INDEX(Equipe_X,MATCH('Mapa do Dia'!$D21,Equipe_Nome,0),20),"")="X"))+IF('Mapa do Dia'!$E21="",0,--(IFERROR(INDEX(Equipe_X,MATCH('Mapa do Dia'!$E21,Equipe_Nome,0),20),"")="X")))</f>
        <v/>
      </c>
      <c r="Y31">
        <f>COUNTIF(E13:X13,"&gt;0")</f>
        <v/>
      </c>
      <c r="Z31">
        <f>COUNTIF(E31:X31,0)</f>
        <v/>
      </c>
      <c r="AA31">
        <f>COUNTIF(E31:X31,1)</f>
        <v/>
      </c>
      <c r="AB31">
        <f>IF($A31="","",IF(E13&gt;0,E$1&amp;" · ","")&amp;IF(F13&gt;0,F$1&amp;" · ","")&amp;IF(G13&gt;0,G$1&amp;" · ","")&amp;IF(H13&gt;0,H$1&amp;" · ","")&amp;IF(I13&gt;0,I$1&amp;" · ","")&amp;IF(J13&gt;0,J$1&amp;" · ","")&amp;IF(K13&gt;0,K$1&amp;" · ","")&amp;IF(L13&gt;0,L$1&amp;" · ","")&amp;IF(M13&gt;0,M$1&amp;" · ","")&amp;IF(N13&gt;0,N$1&amp;" · ","")&amp;IF(O13&gt;0,O$1&amp;" · ","")&amp;IF(P13&gt;0,P$1&amp;" · ","")&amp;IF(Q13&gt;0,Q$1&amp;" · ","")&amp;IF(R13&gt;0,R$1&amp;" · ","")&amp;IF(S13&gt;0,S$1&amp;" · ","")&amp;IF(T13&gt;0,T$1&amp;" · ","")&amp;IF(U13&gt;0,U$1&amp;" · ","")&amp;IF(V13&gt;0,V$1&amp;" · ","")&amp;IF(W13&gt;0,W$1&amp;" · ","")&amp;IF(X13&gt;0,X$1&amp;" · ",""))</f>
        <v/>
      </c>
      <c r="AC31">
        <f>IF($A31="","",IF(AND(E13&gt;0,E31=0),E$1&amp;" · ","")&amp;IF(AND(F13&gt;0,F31=0),F$1&amp;" · ","")&amp;IF(AND(G13&gt;0,G31=0),G$1&amp;" · ","")&amp;IF(AND(H13&gt;0,H31=0),H$1&amp;" · ","")&amp;IF(AND(I13&gt;0,I31=0),I$1&amp;" · ","")&amp;IF(AND(J13&gt;0,J31=0),J$1&amp;" · ","")&amp;IF(AND(K13&gt;0,K31=0),K$1&amp;" · ","")&amp;IF(AND(L13&gt;0,L31=0),L$1&amp;" · ","")&amp;IF(AND(M13&gt;0,M31=0),M$1&amp;" · ","")&amp;IF(AND(N13&gt;0,N31=0),N$1&amp;" · ","")&amp;IF(AND(O13&gt;0,O31=0),O$1&amp;" · ","")&amp;IF(AND(P13&gt;0,P31=0),P$1&amp;" · ","")&amp;IF(AND(Q13&gt;0,Q31=0),Q$1&amp;" · ","")&amp;IF(AND(R13&gt;0,R31=0),R$1&amp;" · ","")&amp;IF(AND(S13&gt;0,S31=0),S$1&amp;" · ","")&amp;IF(AND(T13&gt;0,T31=0),T$1&amp;" · ","")&amp;IF(AND(U13&gt;0,U31=0),U$1&amp;" · ","")&amp;IF(AND(V13&gt;0,V31=0),V$1&amp;" · ","")&amp;IF(AND(W13&gt;0,W31=0),W$1&amp;" · ","")&amp;IF(AND(X13&gt;0,X31=0),X$1&amp;" · ",""))</f>
        <v/>
      </c>
    </row>
    <row r="32">
      <c r="A32">
        <f>IF($A14="","",$A14)</f>
        <v/>
      </c>
      <c r="E32">
        <f>IF(E14=0,"",IF('Mapa do Dia'!$D22="",0,--(IFERROR(INDEX(Equipe_X,MATCH('Mapa do Dia'!$D22,Equipe_Nome,0),1),"")="X"))+IF('Mapa do Dia'!$E22="",0,--(IFERROR(INDEX(Equipe_X,MATCH('Mapa do Dia'!$E22,Equipe_Nome,0),1),"")="X")))</f>
        <v/>
      </c>
      <c r="F32">
        <f>IF(F14=0,"",IF('Mapa do Dia'!$D22="",0,--(IFERROR(INDEX(Equipe_X,MATCH('Mapa do Dia'!$D22,Equipe_Nome,0),2),"")="X"))+IF('Mapa do Dia'!$E22="",0,--(IFERROR(INDEX(Equipe_X,MATCH('Mapa do Dia'!$E22,Equipe_Nome,0),2),"")="X")))</f>
        <v/>
      </c>
      <c r="G32">
        <f>IF(G14=0,"",IF('Mapa do Dia'!$D22="",0,--(IFERROR(INDEX(Equipe_X,MATCH('Mapa do Dia'!$D22,Equipe_Nome,0),3),"")="X"))+IF('Mapa do Dia'!$E22="",0,--(IFERROR(INDEX(Equipe_X,MATCH('Mapa do Dia'!$E22,Equipe_Nome,0),3),"")="X")))</f>
        <v/>
      </c>
      <c r="H32">
        <f>IF(H14=0,"",IF('Mapa do Dia'!$D22="",0,--(IFERROR(INDEX(Equipe_X,MATCH('Mapa do Dia'!$D22,Equipe_Nome,0),4),"")="X"))+IF('Mapa do Dia'!$E22="",0,--(IFERROR(INDEX(Equipe_X,MATCH('Mapa do Dia'!$E22,Equipe_Nome,0),4),"")="X")))</f>
        <v/>
      </c>
      <c r="I32">
        <f>IF(I14=0,"",IF('Mapa do Dia'!$D22="",0,--(IFERROR(INDEX(Equipe_X,MATCH('Mapa do Dia'!$D22,Equipe_Nome,0),5),"")="X"))+IF('Mapa do Dia'!$E22="",0,--(IFERROR(INDEX(Equipe_X,MATCH('Mapa do Dia'!$E22,Equipe_Nome,0),5),"")="X")))</f>
        <v/>
      </c>
      <c r="J32">
        <f>IF(J14=0,"",IF('Mapa do Dia'!$D22="",0,--(IFERROR(INDEX(Equipe_X,MATCH('Mapa do Dia'!$D22,Equipe_Nome,0),6),"")="X"))+IF('Mapa do Dia'!$E22="",0,--(IFERROR(INDEX(Equipe_X,MATCH('Mapa do Dia'!$E22,Equipe_Nome,0),6),"")="X")))</f>
        <v/>
      </c>
      <c r="K32">
        <f>IF(K14=0,"",IF('Mapa do Dia'!$D22="",0,--(IFERROR(INDEX(Equipe_X,MATCH('Mapa do Dia'!$D22,Equipe_Nome,0),7),"")="X"))+IF('Mapa do Dia'!$E22="",0,--(IFERROR(INDEX(Equipe_X,MATCH('Mapa do Dia'!$E22,Equipe_Nome,0),7),"")="X")))</f>
        <v/>
      </c>
      <c r="L32">
        <f>IF(L14=0,"",IF('Mapa do Dia'!$D22="",0,--(IFERROR(INDEX(Equipe_X,MATCH('Mapa do Dia'!$D22,Equipe_Nome,0),8),"")="X"))+IF('Mapa do Dia'!$E22="",0,--(IFERROR(INDEX(Equipe_X,MATCH('Mapa do Dia'!$E22,Equipe_Nome,0),8),"")="X")))</f>
        <v/>
      </c>
      <c r="M32">
        <f>IF(M14=0,"",IF('Mapa do Dia'!$D22="",0,--(IFERROR(INDEX(Equipe_X,MATCH('Mapa do Dia'!$D22,Equipe_Nome,0),9),"")="X"))+IF('Mapa do Dia'!$E22="",0,--(IFERROR(INDEX(Equipe_X,MATCH('Mapa do Dia'!$E22,Equipe_Nome,0),9),"")="X")))</f>
        <v/>
      </c>
      <c r="N32">
        <f>IF(N14=0,"",IF('Mapa do Dia'!$D22="",0,--(IFERROR(INDEX(Equipe_X,MATCH('Mapa do Dia'!$D22,Equipe_Nome,0),10),"")="X"))+IF('Mapa do Dia'!$E22="",0,--(IFERROR(INDEX(Equipe_X,MATCH('Mapa do Dia'!$E22,Equipe_Nome,0),10),"")="X")))</f>
        <v/>
      </c>
      <c r="O32">
        <f>IF(O14=0,"",IF('Mapa do Dia'!$D22="",0,--(IFERROR(INDEX(Equipe_X,MATCH('Mapa do Dia'!$D22,Equipe_Nome,0),11),"")="X"))+IF('Mapa do Dia'!$E22="",0,--(IFERROR(INDEX(Equipe_X,MATCH('Mapa do Dia'!$E22,Equipe_Nome,0),11),"")="X")))</f>
        <v/>
      </c>
      <c r="P32">
        <f>IF(P14=0,"",IF('Mapa do Dia'!$D22="",0,--(IFERROR(INDEX(Equipe_X,MATCH('Mapa do Dia'!$D22,Equipe_Nome,0),12),"")="X"))+IF('Mapa do Dia'!$E22="",0,--(IFERROR(INDEX(Equipe_X,MATCH('Mapa do Dia'!$E22,Equipe_Nome,0),12),"")="X")))</f>
        <v/>
      </c>
      <c r="Q32">
        <f>IF(Q14=0,"",IF('Mapa do Dia'!$D22="",0,--(IFERROR(INDEX(Equipe_X,MATCH('Mapa do Dia'!$D22,Equipe_Nome,0),13),"")="X"))+IF('Mapa do Dia'!$E22="",0,--(IFERROR(INDEX(Equipe_X,MATCH('Mapa do Dia'!$E22,Equipe_Nome,0),13),"")="X")))</f>
        <v/>
      </c>
      <c r="R32">
        <f>IF(R14=0,"",IF('Mapa do Dia'!$D22="",0,--(IFERROR(INDEX(Equipe_X,MATCH('Mapa do Dia'!$D22,Equipe_Nome,0),14),"")="X"))+IF('Mapa do Dia'!$E22="",0,--(IFERROR(INDEX(Equipe_X,MATCH('Mapa do Dia'!$E22,Equipe_Nome,0),14),"")="X")))</f>
        <v/>
      </c>
      <c r="S32">
        <f>IF(S14=0,"",IF('Mapa do Dia'!$D22="",0,--(IFERROR(INDEX(Equipe_X,MATCH('Mapa do Dia'!$D22,Equipe_Nome,0),15),"")="X"))+IF('Mapa do Dia'!$E22="",0,--(IFERROR(INDEX(Equipe_X,MATCH('Mapa do Dia'!$E22,Equipe_Nome,0),15),"")="X")))</f>
        <v/>
      </c>
      <c r="T32">
        <f>IF(T14=0,"",IF('Mapa do Dia'!$D22="",0,--(IFERROR(INDEX(Equipe_X,MATCH('Mapa do Dia'!$D22,Equipe_Nome,0),16),"")="X"))+IF('Mapa do Dia'!$E22="",0,--(IFERROR(INDEX(Equipe_X,MATCH('Mapa do Dia'!$E22,Equipe_Nome,0),16),"")="X")))</f>
        <v/>
      </c>
      <c r="U32">
        <f>IF(U14=0,"",IF('Mapa do Dia'!$D22="",0,--(IFERROR(INDEX(Equipe_X,MATCH('Mapa do Dia'!$D22,Equipe_Nome,0),17),"")="X"))+IF('Mapa do Dia'!$E22="",0,--(IFERROR(INDEX(Equipe_X,MATCH('Mapa do Dia'!$E22,Equipe_Nome,0),17),"")="X")))</f>
        <v/>
      </c>
      <c r="V32">
        <f>IF(V14=0,"",IF('Mapa do Dia'!$D22="",0,--(IFERROR(INDEX(Equipe_X,MATCH('Mapa do Dia'!$D22,Equipe_Nome,0),18),"")="X"))+IF('Mapa do Dia'!$E22="",0,--(IFERROR(INDEX(Equipe_X,MATCH('Mapa do Dia'!$E22,Equipe_Nome,0),18),"")="X")))</f>
        <v/>
      </c>
      <c r="W32">
        <f>IF(W14=0,"",IF('Mapa do Dia'!$D22="",0,--(IFERROR(INDEX(Equipe_X,MATCH('Mapa do Dia'!$D22,Equipe_Nome,0),19),"")="X"))+IF('Mapa do Dia'!$E22="",0,--(IFERROR(INDEX(Equipe_X,MATCH('Mapa do Dia'!$E22,Equipe_Nome,0),19),"")="X")))</f>
        <v/>
      </c>
      <c r="X32">
        <f>IF(X14=0,"",IF('Mapa do Dia'!$D22="",0,--(IFERROR(INDEX(Equipe_X,MATCH('Mapa do Dia'!$D22,Equipe_Nome,0),20),"")="X"))+IF('Mapa do Dia'!$E22="",0,--(IFERROR(INDEX(Equipe_X,MATCH('Mapa do Dia'!$E22,Equipe_Nome,0),20),"")="X")))</f>
        <v/>
      </c>
      <c r="Y32">
        <f>COUNTIF(E14:X14,"&gt;0")</f>
        <v/>
      </c>
      <c r="Z32">
        <f>COUNTIF(E32:X32,0)</f>
        <v/>
      </c>
      <c r="AA32">
        <f>COUNTIF(E32:X32,1)</f>
        <v/>
      </c>
      <c r="AB32">
        <f>IF($A32="","",IF(E14&gt;0,E$1&amp;" · ","")&amp;IF(F14&gt;0,F$1&amp;" · ","")&amp;IF(G14&gt;0,G$1&amp;" · ","")&amp;IF(H14&gt;0,H$1&amp;" · ","")&amp;IF(I14&gt;0,I$1&amp;" · ","")&amp;IF(J14&gt;0,J$1&amp;" · ","")&amp;IF(K14&gt;0,K$1&amp;" · ","")&amp;IF(L14&gt;0,L$1&amp;" · ","")&amp;IF(M14&gt;0,M$1&amp;" · ","")&amp;IF(N14&gt;0,N$1&amp;" · ","")&amp;IF(O14&gt;0,O$1&amp;" · ","")&amp;IF(P14&gt;0,P$1&amp;" · ","")&amp;IF(Q14&gt;0,Q$1&amp;" · ","")&amp;IF(R14&gt;0,R$1&amp;" · ","")&amp;IF(S14&gt;0,S$1&amp;" · ","")&amp;IF(T14&gt;0,T$1&amp;" · ","")&amp;IF(U14&gt;0,U$1&amp;" · ","")&amp;IF(V14&gt;0,V$1&amp;" · ","")&amp;IF(W14&gt;0,W$1&amp;" · ","")&amp;IF(X14&gt;0,X$1&amp;" · ",""))</f>
        <v/>
      </c>
      <c r="AC32">
        <f>IF($A32="","",IF(AND(E14&gt;0,E32=0),E$1&amp;" · ","")&amp;IF(AND(F14&gt;0,F32=0),F$1&amp;" · ","")&amp;IF(AND(G14&gt;0,G32=0),G$1&amp;" · ","")&amp;IF(AND(H14&gt;0,H32=0),H$1&amp;" · ","")&amp;IF(AND(I14&gt;0,I32=0),I$1&amp;" · ","")&amp;IF(AND(J14&gt;0,J32=0),J$1&amp;" · ","")&amp;IF(AND(K14&gt;0,K32=0),K$1&amp;" · ","")&amp;IF(AND(L14&gt;0,L32=0),L$1&amp;" · ","")&amp;IF(AND(M14&gt;0,M32=0),M$1&amp;" · ","")&amp;IF(AND(N14&gt;0,N32=0),N$1&amp;" · ","")&amp;IF(AND(O14&gt;0,O32=0),O$1&amp;" · ","")&amp;IF(AND(P14&gt;0,P32=0),P$1&amp;" · ","")&amp;IF(AND(Q14&gt;0,Q32=0),Q$1&amp;" · ","")&amp;IF(AND(R14&gt;0,R32=0),R$1&amp;" · ","")&amp;IF(AND(S14&gt;0,S32=0),S$1&amp;" · ","")&amp;IF(AND(T14&gt;0,T32=0),T$1&amp;" · ","")&amp;IF(AND(U14&gt;0,U32=0),U$1&amp;" · ","")&amp;IF(AND(V14&gt;0,V32=0),V$1&amp;" · ","")&amp;IF(AND(W14&gt;0,W32=0),W$1&amp;" · ","")&amp;IF(AND(X14&gt;0,X32=0),X$1&amp;" · ",""))</f>
        <v/>
      </c>
    </row>
    <row r="33">
      <c r="A33">
        <f>IF($A15="","",$A15)</f>
        <v/>
      </c>
      <c r="E33">
        <f>IF(E15=0,"",IF('Mapa do Dia'!$D23="",0,--(IFERROR(INDEX(Equipe_X,MATCH('Mapa do Dia'!$D23,Equipe_Nome,0),1),"")="X"))+IF('Mapa do Dia'!$E23="",0,--(IFERROR(INDEX(Equipe_X,MATCH('Mapa do Dia'!$E23,Equipe_Nome,0),1),"")="X")))</f>
        <v/>
      </c>
      <c r="F33">
        <f>IF(F15=0,"",IF('Mapa do Dia'!$D23="",0,--(IFERROR(INDEX(Equipe_X,MATCH('Mapa do Dia'!$D23,Equipe_Nome,0),2),"")="X"))+IF('Mapa do Dia'!$E23="",0,--(IFERROR(INDEX(Equipe_X,MATCH('Mapa do Dia'!$E23,Equipe_Nome,0),2),"")="X")))</f>
        <v/>
      </c>
      <c r="G33">
        <f>IF(G15=0,"",IF('Mapa do Dia'!$D23="",0,--(IFERROR(INDEX(Equipe_X,MATCH('Mapa do Dia'!$D23,Equipe_Nome,0),3),"")="X"))+IF('Mapa do Dia'!$E23="",0,--(IFERROR(INDEX(Equipe_X,MATCH('Mapa do Dia'!$E23,Equipe_Nome,0),3),"")="X")))</f>
        <v/>
      </c>
      <c r="H33">
        <f>IF(H15=0,"",IF('Mapa do Dia'!$D23="",0,--(IFERROR(INDEX(Equipe_X,MATCH('Mapa do Dia'!$D23,Equipe_Nome,0),4),"")="X"))+IF('Mapa do Dia'!$E23="",0,--(IFERROR(INDEX(Equipe_X,MATCH('Mapa do Dia'!$E23,Equipe_Nome,0),4),"")="X")))</f>
        <v/>
      </c>
      <c r="I33">
        <f>IF(I15=0,"",IF('Mapa do Dia'!$D23="",0,--(IFERROR(INDEX(Equipe_X,MATCH('Mapa do Dia'!$D23,Equipe_Nome,0),5),"")="X"))+IF('Mapa do Dia'!$E23="",0,--(IFERROR(INDEX(Equipe_X,MATCH('Mapa do Dia'!$E23,Equipe_Nome,0),5),"")="X")))</f>
        <v/>
      </c>
      <c r="J33">
        <f>IF(J15=0,"",IF('Mapa do Dia'!$D23="",0,--(IFERROR(INDEX(Equipe_X,MATCH('Mapa do Dia'!$D23,Equipe_Nome,0),6),"")="X"))+IF('Mapa do Dia'!$E23="",0,--(IFERROR(INDEX(Equipe_X,MATCH('Mapa do Dia'!$E23,Equipe_Nome,0),6),"")="X")))</f>
        <v/>
      </c>
      <c r="K33">
        <f>IF(K15=0,"",IF('Mapa do Dia'!$D23="",0,--(IFERROR(INDEX(Equipe_X,MATCH('Mapa do Dia'!$D23,Equipe_Nome,0),7),"")="X"))+IF('Mapa do Dia'!$E23="",0,--(IFERROR(INDEX(Equipe_X,MATCH('Mapa do Dia'!$E23,Equipe_Nome,0),7),"")="X")))</f>
        <v/>
      </c>
      <c r="L33">
        <f>IF(L15=0,"",IF('Mapa do Dia'!$D23="",0,--(IFERROR(INDEX(Equipe_X,MATCH('Mapa do Dia'!$D23,Equipe_Nome,0),8),"")="X"))+IF('Mapa do Dia'!$E23="",0,--(IFERROR(INDEX(Equipe_X,MATCH('Mapa do Dia'!$E23,Equipe_Nome,0),8),"")="X")))</f>
        <v/>
      </c>
      <c r="M33">
        <f>IF(M15=0,"",IF('Mapa do Dia'!$D23="",0,--(IFERROR(INDEX(Equipe_X,MATCH('Mapa do Dia'!$D23,Equipe_Nome,0),9),"")="X"))+IF('Mapa do Dia'!$E23="",0,--(IFERROR(INDEX(Equipe_X,MATCH('Mapa do Dia'!$E23,Equipe_Nome,0),9),"")="X")))</f>
        <v/>
      </c>
      <c r="N33">
        <f>IF(N15=0,"",IF('Mapa do Dia'!$D23="",0,--(IFERROR(INDEX(Equipe_X,MATCH('Mapa do Dia'!$D23,Equipe_Nome,0),10),"")="X"))+IF('Mapa do Dia'!$E23="",0,--(IFERROR(INDEX(Equipe_X,MATCH('Mapa do Dia'!$E23,Equipe_Nome,0),10),"")="X")))</f>
        <v/>
      </c>
      <c r="O33">
        <f>IF(O15=0,"",IF('Mapa do Dia'!$D23="",0,--(IFERROR(INDEX(Equipe_X,MATCH('Mapa do Dia'!$D23,Equipe_Nome,0),11),"")="X"))+IF('Mapa do Dia'!$E23="",0,--(IFERROR(INDEX(Equipe_X,MATCH('Mapa do Dia'!$E23,Equipe_Nome,0),11),"")="X")))</f>
        <v/>
      </c>
      <c r="P33">
        <f>IF(P15=0,"",IF('Mapa do Dia'!$D23="",0,--(IFERROR(INDEX(Equipe_X,MATCH('Mapa do Dia'!$D23,Equipe_Nome,0),12),"")="X"))+IF('Mapa do Dia'!$E23="",0,--(IFERROR(INDEX(Equipe_X,MATCH('Mapa do Dia'!$E23,Equipe_Nome,0),12),"")="X")))</f>
        <v/>
      </c>
      <c r="Q33">
        <f>IF(Q15=0,"",IF('Mapa do Dia'!$D23="",0,--(IFERROR(INDEX(Equipe_X,MATCH('Mapa do Dia'!$D23,Equipe_Nome,0),13),"")="X"))+IF('Mapa do Dia'!$E23="",0,--(IFERROR(INDEX(Equipe_X,MATCH('Mapa do Dia'!$E23,Equipe_Nome,0),13),"")="X")))</f>
        <v/>
      </c>
      <c r="R33">
        <f>IF(R15=0,"",IF('Mapa do Dia'!$D23="",0,--(IFERROR(INDEX(Equipe_X,MATCH('Mapa do Dia'!$D23,Equipe_Nome,0),14),"")="X"))+IF('Mapa do Dia'!$E23="",0,--(IFERROR(INDEX(Equipe_X,MATCH('Mapa do Dia'!$E23,Equipe_Nome,0),14),"")="X")))</f>
        <v/>
      </c>
      <c r="S33">
        <f>IF(S15=0,"",IF('Mapa do Dia'!$D23="",0,--(IFERROR(INDEX(Equipe_X,MATCH('Mapa do Dia'!$D23,Equipe_Nome,0),15),"")="X"))+IF('Mapa do Dia'!$E23="",0,--(IFERROR(INDEX(Equipe_X,MATCH('Mapa do Dia'!$E23,Equipe_Nome,0),15),"")="X")))</f>
        <v/>
      </c>
      <c r="T33">
        <f>IF(T15=0,"",IF('Mapa do Dia'!$D23="",0,--(IFERROR(INDEX(Equipe_X,MATCH('Mapa do Dia'!$D23,Equipe_Nome,0),16),"")="X"))+IF('Mapa do Dia'!$E23="",0,--(IFERROR(INDEX(Equipe_X,MATCH('Mapa do Dia'!$E23,Equipe_Nome,0),16),"")="X")))</f>
        <v/>
      </c>
      <c r="U33">
        <f>IF(U15=0,"",IF('Mapa do Dia'!$D23="",0,--(IFERROR(INDEX(Equipe_X,MATCH('Mapa do Dia'!$D23,Equipe_Nome,0),17),"")="X"))+IF('Mapa do Dia'!$E23="",0,--(IFERROR(INDEX(Equipe_X,MATCH('Mapa do Dia'!$E23,Equipe_Nome,0),17),"")="X")))</f>
        <v/>
      </c>
      <c r="V33">
        <f>IF(V15=0,"",IF('Mapa do Dia'!$D23="",0,--(IFERROR(INDEX(Equipe_X,MATCH('Mapa do Dia'!$D23,Equipe_Nome,0),18),"")="X"))+IF('Mapa do Dia'!$E23="",0,--(IFERROR(INDEX(Equipe_X,MATCH('Mapa do Dia'!$E23,Equipe_Nome,0),18),"")="X")))</f>
        <v/>
      </c>
      <c r="W33">
        <f>IF(W15=0,"",IF('Mapa do Dia'!$D23="",0,--(IFERROR(INDEX(Equipe_X,MATCH('Mapa do Dia'!$D23,Equipe_Nome,0),19),"")="X"))+IF('Mapa do Dia'!$E23="",0,--(IFERROR(INDEX(Equipe_X,MATCH('Mapa do Dia'!$E23,Equipe_Nome,0),19),"")="X")))</f>
        <v/>
      </c>
      <c r="X33">
        <f>IF(X15=0,"",IF('Mapa do Dia'!$D23="",0,--(IFERROR(INDEX(Equipe_X,MATCH('Mapa do Dia'!$D23,Equipe_Nome,0),20),"")="X"))+IF('Mapa do Dia'!$E23="",0,--(IFERROR(INDEX(Equipe_X,MATCH('Mapa do Dia'!$E23,Equipe_Nome,0),20),"")="X")))</f>
        <v/>
      </c>
      <c r="Y33">
        <f>COUNTIF(E15:X15,"&gt;0")</f>
        <v/>
      </c>
      <c r="Z33">
        <f>COUNTIF(E33:X33,0)</f>
        <v/>
      </c>
      <c r="AA33">
        <f>COUNTIF(E33:X33,1)</f>
        <v/>
      </c>
      <c r="AB33">
        <f>IF($A33="","",IF(E15&gt;0,E$1&amp;" · ","")&amp;IF(F15&gt;0,F$1&amp;" · ","")&amp;IF(G15&gt;0,G$1&amp;" · ","")&amp;IF(H15&gt;0,H$1&amp;" · ","")&amp;IF(I15&gt;0,I$1&amp;" · ","")&amp;IF(J15&gt;0,J$1&amp;" · ","")&amp;IF(K15&gt;0,K$1&amp;" · ","")&amp;IF(L15&gt;0,L$1&amp;" · ","")&amp;IF(M15&gt;0,M$1&amp;" · ","")&amp;IF(N15&gt;0,N$1&amp;" · ","")&amp;IF(O15&gt;0,O$1&amp;" · ","")&amp;IF(P15&gt;0,P$1&amp;" · ","")&amp;IF(Q15&gt;0,Q$1&amp;" · ","")&amp;IF(R15&gt;0,R$1&amp;" · ","")&amp;IF(S15&gt;0,S$1&amp;" · ","")&amp;IF(T15&gt;0,T$1&amp;" · ","")&amp;IF(U15&gt;0,U$1&amp;" · ","")&amp;IF(V15&gt;0,V$1&amp;" · ","")&amp;IF(W15&gt;0,W$1&amp;" · ","")&amp;IF(X15&gt;0,X$1&amp;" · ",""))</f>
        <v/>
      </c>
      <c r="AC33">
        <f>IF($A33="","",IF(AND(E15&gt;0,E33=0),E$1&amp;" · ","")&amp;IF(AND(F15&gt;0,F33=0),F$1&amp;" · ","")&amp;IF(AND(G15&gt;0,G33=0),G$1&amp;" · ","")&amp;IF(AND(H15&gt;0,H33=0),H$1&amp;" · ","")&amp;IF(AND(I15&gt;0,I33=0),I$1&amp;" · ","")&amp;IF(AND(J15&gt;0,J33=0),J$1&amp;" · ","")&amp;IF(AND(K15&gt;0,K33=0),K$1&amp;" · ","")&amp;IF(AND(L15&gt;0,L33=0),L$1&amp;" · ","")&amp;IF(AND(M15&gt;0,M33=0),M$1&amp;" · ","")&amp;IF(AND(N15&gt;0,N33=0),N$1&amp;" · ","")&amp;IF(AND(O15&gt;0,O33=0),O$1&amp;" · ","")&amp;IF(AND(P15&gt;0,P33=0),P$1&amp;" · ","")&amp;IF(AND(Q15&gt;0,Q33=0),Q$1&amp;" · ","")&amp;IF(AND(R15&gt;0,R33=0),R$1&amp;" · ","")&amp;IF(AND(S15&gt;0,S33=0),S$1&amp;" · ","")&amp;IF(AND(T15&gt;0,T33=0),T$1&amp;" · ","")&amp;IF(AND(U15&gt;0,U33=0),U$1&amp;" · ","")&amp;IF(AND(V15&gt;0,V33=0),V$1&amp;" · ","")&amp;IF(AND(W15&gt;0,W33=0),W$1&amp;" · ","")&amp;IF(AND(X15&gt;0,X33=0),X$1&amp;" · ",""))</f>
        <v/>
      </c>
    </row>
    <row r="34">
      <c r="A34">
        <f>IF($A16="","",$A16)</f>
        <v/>
      </c>
      <c r="E34">
        <f>IF(E16=0,"",IF('Mapa do Dia'!$D24="",0,--(IFERROR(INDEX(Equipe_X,MATCH('Mapa do Dia'!$D24,Equipe_Nome,0),1),"")="X"))+IF('Mapa do Dia'!$E24="",0,--(IFERROR(INDEX(Equipe_X,MATCH('Mapa do Dia'!$E24,Equipe_Nome,0),1),"")="X")))</f>
        <v/>
      </c>
      <c r="F34">
        <f>IF(F16=0,"",IF('Mapa do Dia'!$D24="",0,--(IFERROR(INDEX(Equipe_X,MATCH('Mapa do Dia'!$D24,Equipe_Nome,0),2),"")="X"))+IF('Mapa do Dia'!$E24="",0,--(IFERROR(INDEX(Equipe_X,MATCH('Mapa do Dia'!$E24,Equipe_Nome,0),2),"")="X")))</f>
        <v/>
      </c>
      <c r="G34">
        <f>IF(G16=0,"",IF('Mapa do Dia'!$D24="",0,--(IFERROR(INDEX(Equipe_X,MATCH('Mapa do Dia'!$D24,Equipe_Nome,0),3),"")="X"))+IF('Mapa do Dia'!$E24="",0,--(IFERROR(INDEX(Equipe_X,MATCH('Mapa do Dia'!$E24,Equipe_Nome,0),3),"")="X")))</f>
        <v/>
      </c>
      <c r="H34">
        <f>IF(H16=0,"",IF('Mapa do Dia'!$D24="",0,--(IFERROR(INDEX(Equipe_X,MATCH('Mapa do Dia'!$D24,Equipe_Nome,0),4),"")="X"))+IF('Mapa do Dia'!$E24="",0,--(IFERROR(INDEX(Equipe_X,MATCH('Mapa do Dia'!$E24,Equipe_Nome,0),4),"")="X")))</f>
        <v/>
      </c>
      <c r="I34">
        <f>IF(I16=0,"",IF('Mapa do Dia'!$D24="",0,--(IFERROR(INDEX(Equipe_X,MATCH('Mapa do Dia'!$D24,Equipe_Nome,0),5),"")="X"))+IF('Mapa do Dia'!$E24="",0,--(IFERROR(INDEX(Equipe_X,MATCH('Mapa do Dia'!$E24,Equipe_Nome,0),5),"")="X")))</f>
        <v/>
      </c>
      <c r="J34">
        <f>IF(J16=0,"",IF('Mapa do Dia'!$D24="",0,--(IFERROR(INDEX(Equipe_X,MATCH('Mapa do Dia'!$D24,Equipe_Nome,0),6),"")="X"))+IF('Mapa do Dia'!$E24="",0,--(IFERROR(INDEX(Equipe_X,MATCH('Mapa do Dia'!$E24,Equipe_Nome,0),6),"")="X")))</f>
        <v/>
      </c>
      <c r="K34">
        <f>IF(K16=0,"",IF('Mapa do Dia'!$D24="",0,--(IFERROR(INDEX(Equipe_X,MATCH('Mapa do Dia'!$D24,Equipe_Nome,0),7),"")="X"))+IF('Mapa do Dia'!$E24="",0,--(IFERROR(INDEX(Equipe_X,MATCH('Mapa do Dia'!$E24,Equipe_Nome,0),7),"")="X")))</f>
        <v/>
      </c>
      <c r="L34">
        <f>IF(L16=0,"",IF('Mapa do Dia'!$D24="",0,--(IFERROR(INDEX(Equipe_X,MATCH('Mapa do Dia'!$D24,Equipe_Nome,0),8),"")="X"))+IF('Mapa do Dia'!$E24="",0,--(IFERROR(INDEX(Equipe_X,MATCH('Mapa do Dia'!$E24,Equipe_Nome,0),8),"")="X")))</f>
        <v/>
      </c>
      <c r="M34">
        <f>IF(M16=0,"",IF('Mapa do Dia'!$D24="",0,--(IFERROR(INDEX(Equipe_X,MATCH('Mapa do Dia'!$D24,Equipe_Nome,0),9),"")="X"))+IF('Mapa do Dia'!$E24="",0,--(IFERROR(INDEX(Equipe_X,MATCH('Mapa do Dia'!$E24,Equipe_Nome,0),9),"")="X")))</f>
        <v/>
      </c>
      <c r="N34">
        <f>IF(N16=0,"",IF('Mapa do Dia'!$D24="",0,--(IFERROR(INDEX(Equipe_X,MATCH('Mapa do Dia'!$D24,Equipe_Nome,0),10),"")="X"))+IF('Mapa do Dia'!$E24="",0,--(IFERROR(INDEX(Equipe_X,MATCH('Mapa do Dia'!$E24,Equipe_Nome,0),10),"")="X")))</f>
        <v/>
      </c>
      <c r="O34">
        <f>IF(O16=0,"",IF('Mapa do Dia'!$D24="",0,--(IFERROR(INDEX(Equipe_X,MATCH('Mapa do Dia'!$D24,Equipe_Nome,0),11),"")="X"))+IF('Mapa do Dia'!$E24="",0,--(IFERROR(INDEX(Equipe_X,MATCH('Mapa do Dia'!$E24,Equipe_Nome,0),11),"")="X")))</f>
        <v/>
      </c>
      <c r="P34">
        <f>IF(P16=0,"",IF('Mapa do Dia'!$D24="",0,--(IFERROR(INDEX(Equipe_X,MATCH('Mapa do Dia'!$D24,Equipe_Nome,0),12),"")="X"))+IF('Mapa do Dia'!$E24="",0,--(IFERROR(INDEX(Equipe_X,MATCH('Mapa do Dia'!$E24,Equipe_Nome,0),12),"")="X")))</f>
        <v/>
      </c>
      <c r="Q34">
        <f>IF(Q16=0,"",IF('Mapa do Dia'!$D24="",0,--(IFERROR(INDEX(Equipe_X,MATCH('Mapa do Dia'!$D24,Equipe_Nome,0),13),"")="X"))+IF('Mapa do Dia'!$E24="",0,--(IFERROR(INDEX(Equipe_X,MATCH('Mapa do Dia'!$E24,Equipe_Nome,0),13),"")="X")))</f>
        <v/>
      </c>
      <c r="R34">
        <f>IF(R16=0,"",IF('Mapa do Dia'!$D24="",0,--(IFERROR(INDEX(Equipe_X,MATCH('Mapa do Dia'!$D24,Equipe_Nome,0),14),"")="X"))+IF('Mapa do Dia'!$E24="",0,--(IFERROR(INDEX(Equipe_X,MATCH('Mapa do Dia'!$E24,Equipe_Nome,0),14),"")="X")))</f>
        <v/>
      </c>
      <c r="S34">
        <f>IF(S16=0,"",IF('Mapa do Dia'!$D24="",0,--(IFERROR(INDEX(Equipe_X,MATCH('Mapa do Dia'!$D24,Equipe_Nome,0),15),"")="X"))+IF('Mapa do Dia'!$E24="",0,--(IFERROR(INDEX(Equipe_X,MATCH('Mapa do Dia'!$E24,Equipe_Nome,0),15),"")="X")))</f>
        <v/>
      </c>
      <c r="T34">
        <f>IF(T16=0,"",IF('Mapa do Dia'!$D24="",0,--(IFERROR(INDEX(Equipe_X,MATCH('Mapa do Dia'!$D24,Equipe_Nome,0),16),"")="X"))+IF('Mapa do Dia'!$E24="",0,--(IFERROR(INDEX(Equipe_X,MATCH('Mapa do Dia'!$E24,Equipe_Nome,0),16),"")="X")))</f>
        <v/>
      </c>
      <c r="U34">
        <f>IF(U16=0,"",IF('Mapa do Dia'!$D24="",0,--(IFERROR(INDEX(Equipe_X,MATCH('Mapa do Dia'!$D24,Equipe_Nome,0),17),"")="X"))+IF('Mapa do Dia'!$E24="",0,--(IFERROR(INDEX(Equipe_X,MATCH('Mapa do Dia'!$E24,Equipe_Nome,0),17),"")="X")))</f>
        <v/>
      </c>
      <c r="V34">
        <f>IF(V16=0,"",IF('Mapa do Dia'!$D24="",0,--(IFERROR(INDEX(Equipe_X,MATCH('Mapa do Dia'!$D24,Equipe_Nome,0),18),"")="X"))+IF('Mapa do Dia'!$E24="",0,--(IFERROR(INDEX(Equipe_X,MATCH('Mapa do Dia'!$E24,Equipe_Nome,0),18),"")="X")))</f>
        <v/>
      </c>
      <c r="W34">
        <f>IF(W16=0,"",IF('Mapa do Dia'!$D24="",0,--(IFERROR(INDEX(Equipe_X,MATCH('Mapa do Dia'!$D24,Equipe_Nome,0),19),"")="X"))+IF('Mapa do Dia'!$E24="",0,--(IFERROR(INDEX(Equipe_X,MATCH('Mapa do Dia'!$E24,Equipe_Nome,0),19),"")="X")))</f>
        <v/>
      </c>
      <c r="X34">
        <f>IF(X16=0,"",IF('Mapa do Dia'!$D24="",0,--(IFERROR(INDEX(Equipe_X,MATCH('Mapa do Dia'!$D24,Equipe_Nome,0),20),"")="X"))+IF('Mapa do Dia'!$E24="",0,--(IFERROR(INDEX(Equipe_X,MATCH('Mapa do Dia'!$E24,Equipe_Nome,0),20),"")="X")))</f>
        <v/>
      </c>
      <c r="Y34">
        <f>COUNTIF(E16:X16,"&gt;0")</f>
        <v/>
      </c>
      <c r="Z34">
        <f>COUNTIF(E34:X34,0)</f>
        <v/>
      </c>
      <c r="AA34">
        <f>COUNTIF(E34:X34,1)</f>
        <v/>
      </c>
      <c r="AB34">
        <f>IF($A34="","",IF(E16&gt;0,E$1&amp;" · ","")&amp;IF(F16&gt;0,F$1&amp;" · ","")&amp;IF(G16&gt;0,G$1&amp;" · ","")&amp;IF(H16&gt;0,H$1&amp;" · ","")&amp;IF(I16&gt;0,I$1&amp;" · ","")&amp;IF(J16&gt;0,J$1&amp;" · ","")&amp;IF(K16&gt;0,K$1&amp;" · ","")&amp;IF(L16&gt;0,L$1&amp;" · ","")&amp;IF(M16&gt;0,M$1&amp;" · ","")&amp;IF(N16&gt;0,N$1&amp;" · ","")&amp;IF(O16&gt;0,O$1&amp;" · ","")&amp;IF(P16&gt;0,P$1&amp;" · ","")&amp;IF(Q16&gt;0,Q$1&amp;" · ","")&amp;IF(R16&gt;0,R$1&amp;" · ","")&amp;IF(S16&gt;0,S$1&amp;" · ","")&amp;IF(T16&gt;0,T$1&amp;" · ","")&amp;IF(U16&gt;0,U$1&amp;" · ","")&amp;IF(V16&gt;0,V$1&amp;" · ","")&amp;IF(W16&gt;0,W$1&amp;" · ","")&amp;IF(X16&gt;0,X$1&amp;" · ",""))</f>
        <v/>
      </c>
      <c r="AC34">
        <f>IF($A34="","",IF(AND(E16&gt;0,E34=0),E$1&amp;" · ","")&amp;IF(AND(F16&gt;0,F34=0),F$1&amp;" · ","")&amp;IF(AND(G16&gt;0,G34=0),G$1&amp;" · ","")&amp;IF(AND(H16&gt;0,H34=0),H$1&amp;" · ","")&amp;IF(AND(I16&gt;0,I34=0),I$1&amp;" · ","")&amp;IF(AND(J16&gt;0,J34=0),J$1&amp;" · ","")&amp;IF(AND(K16&gt;0,K34=0),K$1&amp;" · ","")&amp;IF(AND(L16&gt;0,L34=0),L$1&amp;" · ","")&amp;IF(AND(M16&gt;0,M34=0),M$1&amp;" · ","")&amp;IF(AND(N16&gt;0,N34=0),N$1&amp;" · ","")&amp;IF(AND(O16&gt;0,O34=0),O$1&amp;" · ","")&amp;IF(AND(P16&gt;0,P34=0),P$1&amp;" · ","")&amp;IF(AND(Q16&gt;0,Q34=0),Q$1&amp;" · ","")&amp;IF(AND(R16&gt;0,R34=0),R$1&amp;" · ","")&amp;IF(AND(S16&gt;0,S34=0),S$1&amp;" · ","")&amp;IF(AND(T16&gt;0,T34=0),T$1&amp;" · ","")&amp;IF(AND(U16&gt;0,U34=0),U$1&amp;" · ","")&amp;IF(AND(V16&gt;0,V34=0),V$1&amp;" · ","")&amp;IF(AND(W16&gt;0,W34=0),W$1&amp;" · ","")&amp;IF(AND(X16&gt;0,X34=0),X$1&amp;" · ",""))</f>
        <v/>
      </c>
    </row>
    <row r="35">
      <c r="A35">
        <f>IF($A17="","",$A17)</f>
        <v/>
      </c>
      <c r="E35">
        <f>IF(E17=0,"",IF('Mapa do Dia'!$D25="",0,--(IFERROR(INDEX(Equipe_X,MATCH('Mapa do Dia'!$D25,Equipe_Nome,0),1),"")="X"))+IF('Mapa do Dia'!$E25="",0,--(IFERROR(INDEX(Equipe_X,MATCH('Mapa do Dia'!$E25,Equipe_Nome,0),1),"")="X")))</f>
        <v/>
      </c>
      <c r="F35">
        <f>IF(F17=0,"",IF('Mapa do Dia'!$D25="",0,--(IFERROR(INDEX(Equipe_X,MATCH('Mapa do Dia'!$D25,Equipe_Nome,0),2),"")="X"))+IF('Mapa do Dia'!$E25="",0,--(IFERROR(INDEX(Equipe_X,MATCH('Mapa do Dia'!$E25,Equipe_Nome,0),2),"")="X")))</f>
        <v/>
      </c>
      <c r="G35">
        <f>IF(G17=0,"",IF('Mapa do Dia'!$D25="",0,--(IFERROR(INDEX(Equipe_X,MATCH('Mapa do Dia'!$D25,Equipe_Nome,0),3),"")="X"))+IF('Mapa do Dia'!$E25="",0,--(IFERROR(INDEX(Equipe_X,MATCH('Mapa do Dia'!$E25,Equipe_Nome,0),3),"")="X")))</f>
        <v/>
      </c>
      <c r="H35">
        <f>IF(H17=0,"",IF('Mapa do Dia'!$D25="",0,--(IFERROR(INDEX(Equipe_X,MATCH('Mapa do Dia'!$D25,Equipe_Nome,0),4),"")="X"))+IF('Mapa do Dia'!$E25="",0,--(IFERROR(INDEX(Equipe_X,MATCH('Mapa do Dia'!$E25,Equipe_Nome,0),4),"")="X")))</f>
        <v/>
      </c>
      <c r="I35">
        <f>IF(I17=0,"",IF('Mapa do Dia'!$D25="",0,--(IFERROR(INDEX(Equipe_X,MATCH('Mapa do Dia'!$D25,Equipe_Nome,0),5),"")="X"))+IF('Mapa do Dia'!$E25="",0,--(IFERROR(INDEX(Equipe_X,MATCH('Mapa do Dia'!$E25,Equipe_Nome,0),5),"")="X")))</f>
        <v/>
      </c>
      <c r="J35">
        <f>IF(J17=0,"",IF('Mapa do Dia'!$D25="",0,--(IFERROR(INDEX(Equipe_X,MATCH('Mapa do Dia'!$D25,Equipe_Nome,0),6),"")="X"))+IF('Mapa do Dia'!$E25="",0,--(IFERROR(INDEX(Equipe_X,MATCH('Mapa do Dia'!$E25,Equipe_Nome,0),6),"")="X")))</f>
        <v/>
      </c>
      <c r="K35">
        <f>IF(K17=0,"",IF('Mapa do Dia'!$D25="",0,--(IFERROR(INDEX(Equipe_X,MATCH('Mapa do Dia'!$D25,Equipe_Nome,0),7),"")="X"))+IF('Mapa do Dia'!$E25="",0,--(IFERROR(INDEX(Equipe_X,MATCH('Mapa do Dia'!$E25,Equipe_Nome,0),7),"")="X")))</f>
        <v/>
      </c>
      <c r="L35">
        <f>IF(L17=0,"",IF('Mapa do Dia'!$D25="",0,--(IFERROR(INDEX(Equipe_X,MATCH('Mapa do Dia'!$D25,Equipe_Nome,0),8),"")="X"))+IF('Mapa do Dia'!$E25="",0,--(IFERROR(INDEX(Equipe_X,MATCH('Mapa do Dia'!$E25,Equipe_Nome,0),8),"")="X")))</f>
        <v/>
      </c>
      <c r="M35">
        <f>IF(M17=0,"",IF('Mapa do Dia'!$D25="",0,--(IFERROR(INDEX(Equipe_X,MATCH('Mapa do Dia'!$D25,Equipe_Nome,0),9),"")="X"))+IF('Mapa do Dia'!$E25="",0,--(IFERROR(INDEX(Equipe_X,MATCH('Mapa do Dia'!$E25,Equipe_Nome,0),9),"")="X")))</f>
        <v/>
      </c>
      <c r="N35">
        <f>IF(N17=0,"",IF('Mapa do Dia'!$D25="",0,--(IFERROR(INDEX(Equipe_X,MATCH('Mapa do Dia'!$D25,Equipe_Nome,0),10),"")="X"))+IF('Mapa do Dia'!$E25="",0,--(IFERROR(INDEX(Equipe_X,MATCH('Mapa do Dia'!$E25,Equipe_Nome,0),10),"")="X")))</f>
        <v/>
      </c>
      <c r="O35">
        <f>IF(O17=0,"",IF('Mapa do Dia'!$D25="",0,--(IFERROR(INDEX(Equipe_X,MATCH('Mapa do Dia'!$D25,Equipe_Nome,0),11),"")="X"))+IF('Mapa do Dia'!$E25="",0,--(IFERROR(INDEX(Equipe_X,MATCH('Mapa do Dia'!$E25,Equipe_Nome,0),11),"")="X")))</f>
        <v/>
      </c>
      <c r="P35">
        <f>IF(P17=0,"",IF('Mapa do Dia'!$D25="",0,--(IFERROR(INDEX(Equipe_X,MATCH('Mapa do Dia'!$D25,Equipe_Nome,0),12),"")="X"))+IF('Mapa do Dia'!$E25="",0,--(IFERROR(INDEX(Equipe_X,MATCH('Mapa do Dia'!$E25,Equipe_Nome,0),12),"")="X")))</f>
        <v/>
      </c>
      <c r="Q35">
        <f>IF(Q17=0,"",IF('Mapa do Dia'!$D25="",0,--(IFERROR(INDEX(Equipe_X,MATCH('Mapa do Dia'!$D25,Equipe_Nome,0),13),"")="X"))+IF('Mapa do Dia'!$E25="",0,--(IFERROR(INDEX(Equipe_X,MATCH('Mapa do Dia'!$E25,Equipe_Nome,0),13),"")="X")))</f>
        <v/>
      </c>
      <c r="R35">
        <f>IF(R17=0,"",IF('Mapa do Dia'!$D25="",0,--(IFERROR(INDEX(Equipe_X,MATCH('Mapa do Dia'!$D25,Equipe_Nome,0),14),"")="X"))+IF('Mapa do Dia'!$E25="",0,--(IFERROR(INDEX(Equipe_X,MATCH('Mapa do Dia'!$E25,Equipe_Nome,0),14),"")="X")))</f>
        <v/>
      </c>
      <c r="S35">
        <f>IF(S17=0,"",IF('Mapa do Dia'!$D25="",0,--(IFERROR(INDEX(Equipe_X,MATCH('Mapa do Dia'!$D25,Equipe_Nome,0),15),"")="X"))+IF('Mapa do Dia'!$E25="",0,--(IFERROR(INDEX(Equipe_X,MATCH('Mapa do Dia'!$E25,Equipe_Nome,0),15),"")="X")))</f>
        <v/>
      </c>
      <c r="T35">
        <f>IF(T17=0,"",IF('Mapa do Dia'!$D25="",0,--(IFERROR(INDEX(Equipe_X,MATCH('Mapa do Dia'!$D25,Equipe_Nome,0),16),"")="X"))+IF('Mapa do Dia'!$E25="",0,--(IFERROR(INDEX(Equipe_X,MATCH('Mapa do Dia'!$E25,Equipe_Nome,0),16),"")="X")))</f>
        <v/>
      </c>
      <c r="U35">
        <f>IF(U17=0,"",IF('Mapa do Dia'!$D25="",0,--(IFERROR(INDEX(Equipe_X,MATCH('Mapa do Dia'!$D25,Equipe_Nome,0),17),"")="X"))+IF('Mapa do Dia'!$E25="",0,--(IFERROR(INDEX(Equipe_X,MATCH('Mapa do Dia'!$E25,Equipe_Nome,0),17),"")="X")))</f>
        <v/>
      </c>
      <c r="V35">
        <f>IF(V17=0,"",IF('Mapa do Dia'!$D25="",0,--(IFERROR(INDEX(Equipe_X,MATCH('Mapa do Dia'!$D25,Equipe_Nome,0),18),"")="X"))+IF('Mapa do Dia'!$E25="",0,--(IFERROR(INDEX(Equipe_X,MATCH('Mapa do Dia'!$E25,Equipe_Nome,0),18),"")="X")))</f>
        <v/>
      </c>
      <c r="W35">
        <f>IF(W17=0,"",IF('Mapa do Dia'!$D25="",0,--(IFERROR(INDEX(Equipe_X,MATCH('Mapa do Dia'!$D25,Equipe_Nome,0),19),"")="X"))+IF('Mapa do Dia'!$E25="",0,--(IFERROR(INDEX(Equipe_X,MATCH('Mapa do Dia'!$E25,Equipe_Nome,0),19),"")="X")))</f>
        <v/>
      </c>
      <c r="X35">
        <f>IF(X17=0,"",IF('Mapa do Dia'!$D25="",0,--(IFERROR(INDEX(Equipe_X,MATCH('Mapa do Dia'!$D25,Equipe_Nome,0),20),"")="X"))+IF('Mapa do Dia'!$E25="",0,--(IFERROR(INDEX(Equipe_X,MATCH('Mapa do Dia'!$E25,Equipe_Nome,0),20),"")="X")))</f>
        <v/>
      </c>
      <c r="Y35">
        <f>COUNTIF(E17:X17,"&gt;0")</f>
        <v/>
      </c>
      <c r="Z35">
        <f>COUNTIF(E35:X35,0)</f>
        <v/>
      </c>
      <c r="AA35">
        <f>COUNTIF(E35:X35,1)</f>
        <v/>
      </c>
      <c r="AB35">
        <f>IF($A35="","",IF(E17&gt;0,E$1&amp;" · ","")&amp;IF(F17&gt;0,F$1&amp;" · ","")&amp;IF(G17&gt;0,G$1&amp;" · ","")&amp;IF(H17&gt;0,H$1&amp;" · ","")&amp;IF(I17&gt;0,I$1&amp;" · ","")&amp;IF(J17&gt;0,J$1&amp;" · ","")&amp;IF(K17&gt;0,K$1&amp;" · ","")&amp;IF(L17&gt;0,L$1&amp;" · ","")&amp;IF(M17&gt;0,M$1&amp;" · ","")&amp;IF(N17&gt;0,N$1&amp;" · ","")&amp;IF(O17&gt;0,O$1&amp;" · ","")&amp;IF(P17&gt;0,P$1&amp;" · ","")&amp;IF(Q17&gt;0,Q$1&amp;" · ","")&amp;IF(R17&gt;0,R$1&amp;" · ","")&amp;IF(S17&gt;0,S$1&amp;" · ","")&amp;IF(T17&gt;0,T$1&amp;" · ","")&amp;IF(U17&gt;0,U$1&amp;" · ","")&amp;IF(V17&gt;0,V$1&amp;" · ","")&amp;IF(W17&gt;0,W$1&amp;" · ","")&amp;IF(X17&gt;0,X$1&amp;" · ",""))</f>
        <v/>
      </c>
      <c r="AC35">
        <f>IF($A35="","",IF(AND(E17&gt;0,E35=0),E$1&amp;" · ","")&amp;IF(AND(F17&gt;0,F35=0),F$1&amp;" · ","")&amp;IF(AND(G17&gt;0,G35=0),G$1&amp;" · ","")&amp;IF(AND(H17&gt;0,H35=0),H$1&amp;" · ","")&amp;IF(AND(I17&gt;0,I35=0),I$1&amp;" · ","")&amp;IF(AND(J17&gt;0,J35=0),J$1&amp;" · ","")&amp;IF(AND(K17&gt;0,K35=0),K$1&amp;" · ","")&amp;IF(AND(L17&gt;0,L35=0),L$1&amp;" · ","")&amp;IF(AND(M17&gt;0,M35=0),M$1&amp;" · ","")&amp;IF(AND(N17&gt;0,N35=0),N$1&amp;" · ","")&amp;IF(AND(O17&gt;0,O35=0),O$1&amp;" · ","")&amp;IF(AND(P17&gt;0,P35=0),P$1&amp;" · ","")&amp;IF(AND(Q17&gt;0,Q35=0),Q$1&amp;" · ","")&amp;IF(AND(R17&gt;0,R35=0),R$1&amp;" · ","")&amp;IF(AND(S17&gt;0,S35=0),S$1&amp;" · ","")&amp;IF(AND(T17&gt;0,T35=0),T$1&amp;" · ","")&amp;IF(AND(U17&gt;0,U35=0),U$1&amp;" · ","")&amp;IF(AND(V17&gt;0,V35=0),V$1&amp;" · ","")&amp;IF(AND(W17&gt;0,W35=0),W$1&amp;" · ","")&amp;IF(AND(X17&gt;0,X35=0),X$1&amp;" · ",""))</f>
        <v/>
      </c>
    </row>
    <row r="37" ht="20" customHeight="1">
      <c r="A37" s="7" t="inlineStr">
        <is>
          <t>Técnico</t>
        </is>
      </c>
      <c r="B37" s="7" t="inlineStr">
        <is>
          <t>Situação</t>
        </is>
      </c>
      <c r="C37" s="7" t="inlineStr"/>
      <c r="D37" s="7" t="inlineStr"/>
      <c r="E37" s="7" t="inlineStr">
        <is>
          <t>P1</t>
        </is>
      </c>
      <c r="F37" s="7" t="inlineStr">
        <is>
          <t>P2</t>
        </is>
      </c>
      <c r="G37" s="7" t="inlineStr">
        <is>
          <t>P3</t>
        </is>
      </c>
      <c r="H37" s="7" t="inlineStr">
        <is>
          <t>P4</t>
        </is>
      </c>
      <c r="I37" s="7" t="inlineStr">
        <is>
          <t>P5</t>
        </is>
      </c>
      <c r="J37" s="7" t="inlineStr">
        <is>
          <t>P6</t>
        </is>
      </c>
      <c r="K37" s="7" t="inlineStr">
        <is>
          <t>P7</t>
        </is>
      </c>
      <c r="L37" s="7" t="inlineStr">
        <is>
          <t>P8</t>
        </is>
      </c>
      <c r="M37" s="7" t="inlineStr">
        <is>
          <t>P9</t>
        </is>
      </c>
      <c r="N37" s="7" t="inlineStr">
        <is>
          <t>P10</t>
        </is>
      </c>
      <c r="O37" s="7" t="inlineStr">
        <is>
          <t>P11</t>
        </is>
      </c>
      <c r="P37" s="7" t="inlineStr">
        <is>
          <t>P12</t>
        </is>
      </c>
      <c r="Q37" s="7" t="inlineStr">
        <is>
          <t>P13</t>
        </is>
      </c>
      <c r="R37" s="7" t="inlineStr">
        <is>
          <t>P14</t>
        </is>
      </c>
      <c r="S37" s="7" t="inlineStr">
        <is>
          <t>P15</t>
        </is>
      </c>
      <c r="T37" s="7" t="inlineStr">
        <is>
          <t>P16</t>
        </is>
      </c>
    </row>
    <row r="38">
      <c r="A38">
        <f>IF('Equipe'!$B$2="","",'Equipe'!$B$2)</f>
        <v/>
      </c>
      <c r="B38">
        <f>IF($A38="","",IFERROR(INDEX(Equipe_Situacao,MATCH($A38,Equipe_Nome,0)),""))</f>
        <v/>
      </c>
      <c r="E38">
        <f>IF(OR($A38="",$B38&lt;&gt;"Disponível",COUNTIF(Pai_Tec1,$A38)+COUNTIF(Pai_Tec2,$A38)&gt;0),"",SUMPRODUCT((E2:X2&gt;0)*(INDEX(Equipe_X,MATCH($A38,Equipe_Nome,0),0)="X"))+ROW()*0.0001)</f>
        <v/>
      </c>
      <c r="F38">
        <f>IF(OR($A38="",$B38&lt;&gt;"Disponível",COUNTIF(Pai_Tec1,$A38)+COUNTIF(Pai_Tec2,$A38)&gt;0),"",SUMPRODUCT((E3:X3&gt;0)*(INDEX(Equipe_X,MATCH($A38,Equipe_Nome,0),0)="X"))+ROW()*0.0001)</f>
        <v/>
      </c>
      <c r="G38">
        <f>IF(OR($A38="",$B38&lt;&gt;"Disponível",COUNTIF(Pai_Tec1,$A38)+COUNTIF(Pai_Tec2,$A38)&gt;0),"",SUMPRODUCT((E4:X4&gt;0)*(INDEX(Equipe_X,MATCH($A38,Equipe_Nome,0),0)="X"))+ROW()*0.0001)</f>
        <v/>
      </c>
      <c r="H38">
        <f>IF(OR($A38="",$B38&lt;&gt;"Disponível",COUNTIF(Pai_Tec1,$A38)+COUNTIF(Pai_Tec2,$A38)&gt;0),"",SUMPRODUCT((E5:X5&gt;0)*(INDEX(Equipe_X,MATCH($A38,Equipe_Nome,0),0)="X"))+ROW()*0.0001)</f>
        <v/>
      </c>
      <c r="I38">
        <f>IF(OR($A38="",$B38&lt;&gt;"Disponível",COUNTIF(Pai_Tec1,$A38)+COUNTIF(Pai_Tec2,$A38)&gt;0),"",SUMPRODUCT((E6:X6&gt;0)*(INDEX(Equipe_X,MATCH($A38,Equipe_Nome,0),0)="X"))+ROW()*0.0001)</f>
        <v/>
      </c>
      <c r="J38">
        <f>IF(OR($A38="",$B38&lt;&gt;"Disponível",COUNTIF(Pai_Tec1,$A38)+COUNTIF(Pai_Tec2,$A38)&gt;0),"",SUMPRODUCT((E7:X7&gt;0)*(INDEX(Equipe_X,MATCH($A38,Equipe_Nome,0),0)="X"))+ROW()*0.0001)</f>
        <v/>
      </c>
      <c r="K38">
        <f>IF(OR($A38="",$B38&lt;&gt;"Disponível",COUNTIF(Pai_Tec1,$A38)+COUNTIF(Pai_Tec2,$A38)&gt;0),"",SUMPRODUCT((E8:X8&gt;0)*(INDEX(Equipe_X,MATCH($A38,Equipe_Nome,0),0)="X"))+ROW()*0.0001)</f>
        <v/>
      </c>
      <c r="L38">
        <f>IF(OR($A38="",$B38&lt;&gt;"Disponível",COUNTIF(Pai_Tec1,$A38)+COUNTIF(Pai_Tec2,$A38)&gt;0),"",SUMPRODUCT((E9:X9&gt;0)*(INDEX(Equipe_X,MATCH($A38,Equipe_Nome,0),0)="X"))+ROW()*0.0001)</f>
        <v/>
      </c>
      <c r="M38">
        <f>IF(OR($A38="",$B38&lt;&gt;"Disponível",COUNTIF(Pai_Tec1,$A38)+COUNTIF(Pai_Tec2,$A38)&gt;0),"",SUMPRODUCT((E10:X10&gt;0)*(INDEX(Equipe_X,MATCH($A38,Equipe_Nome,0),0)="X"))+ROW()*0.0001)</f>
        <v/>
      </c>
      <c r="N38">
        <f>IF(OR($A38="",$B38&lt;&gt;"Disponível",COUNTIF(Pai_Tec1,$A38)+COUNTIF(Pai_Tec2,$A38)&gt;0),"",SUMPRODUCT((E11:X11&gt;0)*(INDEX(Equipe_X,MATCH($A38,Equipe_Nome,0),0)="X"))+ROW()*0.0001)</f>
        <v/>
      </c>
      <c r="O38">
        <f>IF(OR($A38="",$B38&lt;&gt;"Disponível",COUNTIF(Pai_Tec1,$A38)+COUNTIF(Pai_Tec2,$A38)&gt;0),"",SUMPRODUCT((E12:X12&gt;0)*(INDEX(Equipe_X,MATCH($A38,Equipe_Nome,0),0)="X"))+ROW()*0.0001)</f>
        <v/>
      </c>
      <c r="P38">
        <f>IF(OR($A38="",$B38&lt;&gt;"Disponível",COUNTIF(Pai_Tec1,$A38)+COUNTIF(Pai_Tec2,$A38)&gt;0),"",SUMPRODUCT((E13:X13&gt;0)*(INDEX(Equipe_X,MATCH($A38,Equipe_Nome,0),0)="X"))+ROW()*0.0001)</f>
        <v/>
      </c>
      <c r="Q38">
        <f>IF(OR($A38="",$B38&lt;&gt;"Disponível",COUNTIF(Pai_Tec1,$A38)+COUNTIF(Pai_Tec2,$A38)&gt;0),"",SUMPRODUCT((E14:X14&gt;0)*(INDEX(Equipe_X,MATCH($A38,Equipe_Nome,0),0)="X"))+ROW()*0.0001)</f>
        <v/>
      </c>
      <c r="R38">
        <f>IF(OR($A38="",$B38&lt;&gt;"Disponível",COUNTIF(Pai_Tec1,$A38)+COUNTIF(Pai_Tec2,$A38)&gt;0),"",SUMPRODUCT((E15:X15&gt;0)*(INDEX(Equipe_X,MATCH($A38,Equipe_Nome,0),0)="X"))+ROW()*0.0001)</f>
        <v/>
      </c>
      <c r="S38">
        <f>IF(OR($A38="",$B38&lt;&gt;"Disponível",COUNTIF(Pai_Tec1,$A38)+COUNTIF(Pai_Tec2,$A38)&gt;0),"",SUMPRODUCT((E16:X16&gt;0)*(INDEX(Equipe_X,MATCH($A38,Equipe_Nome,0),0)="X"))+ROW()*0.0001)</f>
        <v/>
      </c>
      <c r="T38">
        <f>IF(OR($A38="",$B38&lt;&gt;"Disponível",COUNTIF(Pai_Tec1,$A38)+COUNTIF(Pai_Tec2,$A38)&gt;0),"",SUMPRODUCT((E17:X17&gt;0)*(INDEX(Equipe_X,MATCH($A38,Equipe_Nome,0),0)="X"))+ROW()*0.0001)</f>
        <v/>
      </c>
    </row>
    <row r="39">
      <c r="A39">
        <f>IF('Equipe'!$B$3="","",'Equipe'!$B$3)</f>
        <v/>
      </c>
      <c r="B39">
        <f>IF($A39="","",IFERROR(INDEX(Equipe_Situacao,MATCH($A39,Equipe_Nome,0)),""))</f>
        <v/>
      </c>
      <c r="E39">
        <f>IF(OR($A39="",$B39&lt;&gt;"Disponível",COUNTIF(Pai_Tec1,$A39)+COUNTIF(Pai_Tec2,$A39)&gt;0),"",SUMPRODUCT((E2:X2&gt;0)*(INDEX(Equipe_X,MATCH($A39,Equipe_Nome,0),0)="X"))+ROW()*0.0001)</f>
        <v/>
      </c>
      <c r="F39">
        <f>IF(OR($A39="",$B39&lt;&gt;"Disponível",COUNTIF(Pai_Tec1,$A39)+COUNTIF(Pai_Tec2,$A39)&gt;0),"",SUMPRODUCT((E3:X3&gt;0)*(INDEX(Equipe_X,MATCH($A39,Equipe_Nome,0),0)="X"))+ROW()*0.0001)</f>
        <v/>
      </c>
      <c r="G39">
        <f>IF(OR($A39="",$B39&lt;&gt;"Disponível",COUNTIF(Pai_Tec1,$A39)+COUNTIF(Pai_Tec2,$A39)&gt;0),"",SUMPRODUCT((E4:X4&gt;0)*(INDEX(Equipe_X,MATCH($A39,Equipe_Nome,0),0)="X"))+ROW()*0.0001)</f>
        <v/>
      </c>
      <c r="H39">
        <f>IF(OR($A39="",$B39&lt;&gt;"Disponível",COUNTIF(Pai_Tec1,$A39)+COUNTIF(Pai_Tec2,$A39)&gt;0),"",SUMPRODUCT((E5:X5&gt;0)*(INDEX(Equipe_X,MATCH($A39,Equipe_Nome,0),0)="X"))+ROW()*0.0001)</f>
        <v/>
      </c>
      <c r="I39">
        <f>IF(OR($A39="",$B39&lt;&gt;"Disponível",COUNTIF(Pai_Tec1,$A39)+COUNTIF(Pai_Tec2,$A39)&gt;0),"",SUMPRODUCT((E6:X6&gt;0)*(INDEX(Equipe_X,MATCH($A39,Equipe_Nome,0),0)="X"))+ROW()*0.0001)</f>
        <v/>
      </c>
      <c r="J39">
        <f>IF(OR($A39="",$B39&lt;&gt;"Disponível",COUNTIF(Pai_Tec1,$A39)+COUNTIF(Pai_Tec2,$A39)&gt;0),"",SUMPRODUCT((E7:X7&gt;0)*(INDEX(Equipe_X,MATCH($A39,Equipe_Nome,0),0)="X"))+ROW()*0.0001)</f>
        <v/>
      </c>
      <c r="K39">
        <f>IF(OR($A39="",$B39&lt;&gt;"Disponível",COUNTIF(Pai_Tec1,$A39)+COUNTIF(Pai_Tec2,$A39)&gt;0),"",SUMPRODUCT((E8:X8&gt;0)*(INDEX(Equipe_X,MATCH($A39,Equipe_Nome,0),0)="X"))+ROW()*0.0001)</f>
        <v/>
      </c>
      <c r="L39">
        <f>IF(OR($A39="",$B39&lt;&gt;"Disponível",COUNTIF(Pai_Tec1,$A39)+COUNTIF(Pai_Tec2,$A39)&gt;0),"",SUMPRODUCT((E9:X9&gt;0)*(INDEX(Equipe_X,MATCH($A39,Equipe_Nome,0),0)="X"))+ROW()*0.0001)</f>
        <v/>
      </c>
      <c r="M39">
        <f>IF(OR($A39="",$B39&lt;&gt;"Disponível",COUNTIF(Pai_Tec1,$A39)+COUNTIF(Pai_Tec2,$A39)&gt;0),"",SUMPRODUCT((E10:X10&gt;0)*(INDEX(Equipe_X,MATCH($A39,Equipe_Nome,0),0)="X"))+ROW()*0.0001)</f>
        <v/>
      </c>
      <c r="N39">
        <f>IF(OR($A39="",$B39&lt;&gt;"Disponível",COUNTIF(Pai_Tec1,$A39)+COUNTIF(Pai_Tec2,$A39)&gt;0),"",SUMPRODUCT((E11:X11&gt;0)*(INDEX(Equipe_X,MATCH($A39,Equipe_Nome,0),0)="X"))+ROW()*0.0001)</f>
        <v/>
      </c>
      <c r="O39">
        <f>IF(OR($A39="",$B39&lt;&gt;"Disponível",COUNTIF(Pai_Tec1,$A39)+COUNTIF(Pai_Tec2,$A39)&gt;0),"",SUMPRODUCT((E12:X12&gt;0)*(INDEX(Equipe_X,MATCH($A39,Equipe_Nome,0),0)="X"))+ROW()*0.0001)</f>
        <v/>
      </c>
      <c r="P39">
        <f>IF(OR($A39="",$B39&lt;&gt;"Disponível",COUNTIF(Pai_Tec1,$A39)+COUNTIF(Pai_Tec2,$A39)&gt;0),"",SUMPRODUCT((E13:X13&gt;0)*(INDEX(Equipe_X,MATCH($A39,Equipe_Nome,0),0)="X"))+ROW()*0.0001)</f>
        <v/>
      </c>
      <c r="Q39">
        <f>IF(OR($A39="",$B39&lt;&gt;"Disponível",COUNTIF(Pai_Tec1,$A39)+COUNTIF(Pai_Tec2,$A39)&gt;0),"",SUMPRODUCT((E14:X14&gt;0)*(INDEX(Equipe_X,MATCH($A39,Equipe_Nome,0),0)="X"))+ROW()*0.0001)</f>
        <v/>
      </c>
      <c r="R39">
        <f>IF(OR($A39="",$B39&lt;&gt;"Disponível",COUNTIF(Pai_Tec1,$A39)+COUNTIF(Pai_Tec2,$A39)&gt;0),"",SUMPRODUCT((E15:X15&gt;0)*(INDEX(Equipe_X,MATCH($A39,Equipe_Nome,0),0)="X"))+ROW()*0.0001)</f>
        <v/>
      </c>
      <c r="S39">
        <f>IF(OR($A39="",$B39&lt;&gt;"Disponível",COUNTIF(Pai_Tec1,$A39)+COUNTIF(Pai_Tec2,$A39)&gt;0),"",SUMPRODUCT((E16:X16&gt;0)*(INDEX(Equipe_X,MATCH($A39,Equipe_Nome,0),0)="X"))+ROW()*0.0001)</f>
        <v/>
      </c>
      <c r="T39">
        <f>IF(OR($A39="",$B39&lt;&gt;"Disponível",COUNTIF(Pai_Tec1,$A39)+COUNTIF(Pai_Tec2,$A39)&gt;0),"",SUMPRODUCT((E17:X17&gt;0)*(INDEX(Equipe_X,MATCH($A39,Equipe_Nome,0),0)="X"))+ROW()*0.0001)</f>
        <v/>
      </c>
    </row>
    <row r="40">
      <c r="A40">
        <f>IF('Equipe'!$B$4="","",'Equipe'!$B$4)</f>
        <v/>
      </c>
      <c r="B40">
        <f>IF($A40="","",IFERROR(INDEX(Equipe_Situacao,MATCH($A40,Equipe_Nome,0)),""))</f>
        <v/>
      </c>
      <c r="E40">
        <f>IF(OR($A40="",$B40&lt;&gt;"Disponível",COUNTIF(Pai_Tec1,$A40)+COUNTIF(Pai_Tec2,$A40)&gt;0),"",SUMPRODUCT((E2:X2&gt;0)*(INDEX(Equipe_X,MATCH($A40,Equipe_Nome,0),0)="X"))+ROW()*0.0001)</f>
        <v/>
      </c>
      <c r="F40">
        <f>IF(OR($A40="",$B40&lt;&gt;"Disponível",COUNTIF(Pai_Tec1,$A40)+COUNTIF(Pai_Tec2,$A40)&gt;0),"",SUMPRODUCT((E3:X3&gt;0)*(INDEX(Equipe_X,MATCH($A40,Equipe_Nome,0),0)="X"))+ROW()*0.0001)</f>
        <v/>
      </c>
      <c r="G40">
        <f>IF(OR($A40="",$B40&lt;&gt;"Disponível",COUNTIF(Pai_Tec1,$A40)+COUNTIF(Pai_Tec2,$A40)&gt;0),"",SUMPRODUCT((E4:X4&gt;0)*(INDEX(Equipe_X,MATCH($A40,Equipe_Nome,0),0)="X"))+ROW()*0.0001)</f>
        <v/>
      </c>
      <c r="H40">
        <f>IF(OR($A40="",$B40&lt;&gt;"Disponível",COUNTIF(Pai_Tec1,$A40)+COUNTIF(Pai_Tec2,$A40)&gt;0),"",SUMPRODUCT((E5:X5&gt;0)*(INDEX(Equipe_X,MATCH($A40,Equipe_Nome,0),0)="X"))+ROW()*0.0001)</f>
        <v/>
      </c>
      <c r="I40">
        <f>IF(OR($A40="",$B40&lt;&gt;"Disponível",COUNTIF(Pai_Tec1,$A40)+COUNTIF(Pai_Tec2,$A40)&gt;0),"",SUMPRODUCT((E6:X6&gt;0)*(INDEX(Equipe_X,MATCH($A40,Equipe_Nome,0),0)="X"))+ROW()*0.0001)</f>
        <v/>
      </c>
      <c r="J40">
        <f>IF(OR($A40="",$B40&lt;&gt;"Disponível",COUNTIF(Pai_Tec1,$A40)+COUNTIF(Pai_Tec2,$A40)&gt;0),"",SUMPRODUCT((E7:X7&gt;0)*(INDEX(Equipe_X,MATCH($A40,Equipe_Nome,0),0)="X"))+ROW()*0.0001)</f>
        <v/>
      </c>
      <c r="K40">
        <f>IF(OR($A40="",$B40&lt;&gt;"Disponível",COUNTIF(Pai_Tec1,$A40)+COUNTIF(Pai_Tec2,$A40)&gt;0),"",SUMPRODUCT((E8:X8&gt;0)*(INDEX(Equipe_X,MATCH($A40,Equipe_Nome,0),0)="X"))+ROW()*0.0001)</f>
        <v/>
      </c>
      <c r="L40">
        <f>IF(OR($A40="",$B40&lt;&gt;"Disponível",COUNTIF(Pai_Tec1,$A40)+COUNTIF(Pai_Tec2,$A40)&gt;0),"",SUMPRODUCT((E9:X9&gt;0)*(INDEX(Equipe_X,MATCH($A40,Equipe_Nome,0),0)="X"))+ROW()*0.0001)</f>
        <v/>
      </c>
      <c r="M40">
        <f>IF(OR($A40="",$B40&lt;&gt;"Disponível",COUNTIF(Pai_Tec1,$A40)+COUNTIF(Pai_Tec2,$A40)&gt;0),"",SUMPRODUCT((E10:X10&gt;0)*(INDEX(Equipe_X,MATCH($A40,Equipe_Nome,0),0)="X"))+ROW()*0.0001)</f>
        <v/>
      </c>
      <c r="N40">
        <f>IF(OR($A40="",$B40&lt;&gt;"Disponível",COUNTIF(Pai_Tec1,$A40)+COUNTIF(Pai_Tec2,$A40)&gt;0),"",SUMPRODUCT((E11:X11&gt;0)*(INDEX(Equipe_X,MATCH($A40,Equipe_Nome,0),0)="X"))+ROW()*0.0001)</f>
        <v/>
      </c>
      <c r="O40">
        <f>IF(OR($A40="",$B40&lt;&gt;"Disponível",COUNTIF(Pai_Tec1,$A40)+COUNTIF(Pai_Tec2,$A40)&gt;0),"",SUMPRODUCT((E12:X12&gt;0)*(INDEX(Equipe_X,MATCH($A40,Equipe_Nome,0),0)="X"))+ROW()*0.0001)</f>
        <v/>
      </c>
      <c r="P40">
        <f>IF(OR($A40="",$B40&lt;&gt;"Disponível",COUNTIF(Pai_Tec1,$A40)+COUNTIF(Pai_Tec2,$A40)&gt;0),"",SUMPRODUCT((E13:X13&gt;0)*(INDEX(Equipe_X,MATCH($A40,Equipe_Nome,0),0)="X"))+ROW()*0.0001)</f>
        <v/>
      </c>
      <c r="Q40">
        <f>IF(OR($A40="",$B40&lt;&gt;"Disponível",COUNTIF(Pai_Tec1,$A40)+COUNTIF(Pai_Tec2,$A40)&gt;0),"",SUMPRODUCT((E14:X14&gt;0)*(INDEX(Equipe_X,MATCH($A40,Equipe_Nome,0),0)="X"))+ROW()*0.0001)</f>
        <v/>
      </c>
      <c r="R40">
        <f>IF(OR($A40="",$B40&lt;&gt;"Disponível",COUNTIF(Pai_Tec1,$A40)+COUNTIF(Pai_Tec2,$A40)&gt;0),"",SUMPRODUCT((E15:X15&gt;0)*(INDEX(Equipe_X,MATCH($A40,Equipe_Nome,0),0)="X"))+ROW()*0.0001)</f>
        <v/>
      </c>
      <c r="S40">
        <f>IF(OR($A40="",$B40&lt;&gt;"Disponível",COUNTIF(Pai_Tec1,$A40)+COUNTIF(Pai_Tec2,$A40)&gt;0),"",SUMPRODUCT((E16:X16&gt;0)*(INDEX(Equipe_X,MATCH($A40,Equipe_Nome,0),0)="X"))+ROW()*0.0001)</f>
        <v/>
      </c>
      <c r="T40">
        <f>IF(OR($A40="",$B40&lt;&gt;"Disponível",COUNTIF(Pai_Tec1,$A40)+COUNTIF(Pai_Tec2,$A40)&gt;0),"",SUMPRODUCT((E17:X17&gt;0)*(INDEX(Equipe_X,MATCH($A40,Equipe_Nome,0),0)="X"))+ROW()*0.0001)</f>
        <v/>
      </c>
    </row>
    <row r="41">
      <c r="A41">
        <f>IF('Equipe'!$B$5="","",'Equipe'!$B$5)</f>
        <v/>
      </c>
      <c r="B41">
        <f>IF($A41="","",IFERROR(INDEX(Equipe_Situacao,MATCH($A41,Equipe_Nome,0)),""))</f>
        <v/>
      </c>
      <c r="E41">
        <f>IF(OR($A41="",$B41&lt;&gt;"Disponível",COUNTIF(Pai_Tec1,$A41)+COUNTIF(Pai_Tec2,$A41)&gt;0),"",SUMPRODUCT((E2:X2&gt;0)*(INDEX(Equipe_X,MATCH($A41,Equipe_Nome,0),0)="X"))+ROW()*0.0001)</f>
        <v/>
      </c>
      <c r="F41">
        <f>IF(OR($A41="",$B41&lt;&gt;"Disponível",COUNTIF(Pai_Tec1,$A41)+COUNTIF(Pai_Tec2,$A41)&gt;0),"",SUMPRODUCT((E3:X3&gt;0)*(INDEX(Equipe_X,MATCH($A41,Equipe_Nome,0),0)="X"))+ROW()*0.0001)</f>
        <v/>
      </c>
      <c r="G41">
        <f>IF(OR($A41="",$B41&lt;&gt;"Disponível",COUNTIF(Pai_Tec1,$A41)+COUNTIF(Pai_Tec2,$A41)&gt;0),"",SUMPRODUCT((E4:X4&gt;0)*(INDEX(Equipe_X,MATCH($A41,Equipe_Nome,0),0)="X"))+ROW()*0.0001)</f>
        <v/>
      </c>
      <c r="H41">
        <f>IF(OR($A41="",$B41&lt;&gt;"Disponível",COUNTIF(Pai_Tec1,$A41)+COUNTIF(Pai_Tec2,$A41)&gt;0),"",SUMPRODUCT((E5:X5&gt;0)*(INDEX(Equipe_X,MATCH($A41,Equipe_Nome,0),0)="X"))+ROW()*0.0001)</f>
        <v/>
      </c>
      <c r="I41">
        <f>IF(OR($A41="",$B41&lt;&gt;"Disponível",COUNTIF(Pai_Tec1,$A41)+COUNTIF(Pai_Tec2,$A41)&gt;0),"",SUMPRODUCT((E6:X6&gt;0)*(INDEX(Equipe_X,MATCH($A41,Equipe_Nome,0),0)="X"))+ROW()*0.0001)</f>
        <v/>
      </c>
      <c r="J41">
        <f>IF(OR($A41="",$B41&lt;&gt;"Disponível",COUNTIF(Pai_Tec1,$A41)+COUNTIF(Pai_Tec2,$A41)&gt;0),"",SUMPRODUCT((E7:X7&gt;0)*(INDEX(Equipe_X,MATCH($A41,Equipe_Nome,0),0)="X"))+ROW()*0.0001)</f>
        <v/>
      </c>
      <c r="K41">
        <f>IF(OR($A41="",$B41&lt;&gt;"Disponível",COUNTIF(Pai_Tec1,$A41)+COUNTIF(Pai_Tec2,$A41)&gt;0),"",SUMPRODUCT((E8:X8&gt;0)*(INDEX(Equipe_X,MATCH($A41,Equipe_Nome,0),0)="X"))+ROW()*0.0001)</f>
        <v/>
      </c>
      <c r="L41">
        <f>IF(OR($A41="",$B41&lt;&gt;"Disponível",COUNTIF(Pai_Tec1,$A41)+COUNTIF(Pai_Tec2,$A41)&gt;0),"",SUMPRODUCT((E9:X9&gt;0)*(INDEX(Equipe_X,MATCH($A41,Equipe_Nome,0),0)="X"))+ROW()*0.0001)</f>
        <v/>
      </c>
      <c r="M41">
        <f>IF(OR($A41="",$B41&lt;&gt;"Disponível",COUNTIF(Pai_Tec1,$A41)+COUNTIF(Pai_Tec2,$A41)&gt;0),"",SUMPRODUCT((E10:X10&gt;0)*(INDEX(Equipe_X,MATCH($A41,Equipe_Nome,0),0)="X"))+ROW()*0.0001)</f>
        <v/>
      </c>
      <c r="N41">
        <f>IF(OR($A41="",$B41&lt;&gt;"Disponível",COUNTIF(Pai_Tec1,$A41)+COUNTIF(Pai_Tec2,$A41)&gt;0),"",SUMPRODUCT((E11:X11&gt;0)*(INDEX(Equipe_X,MATCH($A41,Equipe_Nome,0),0)="X"))+ROW()*0.0001)</f>
        <v/>
      </c>
      <c r="O41">
        <f>IF(OR($A41="",$B41&lt;&gt;"Disponível",COUNTIF(Pai_Tec1,$A41)+COUNTIF(Pai_Tec2,$A41)&gt;0),"",SUMPRODUCT((E12:X12&gt;0)*(INDEX(Equipe_X,MATCH($A41,Equipe_Nome,0),0)="X"))+ROW()*0.0001)</f>
        <v/>
      </c>
      <c r="P41">
        <f>IF(OR($A41="",$B41&lt;&gt;"Disponível",COUNTIF(Pai_Tec1,$A41)+COUNTIF(Pai_Tec2,$A41)&gt;0),"",SUMPRODUCT((E13:X13&gt;0)*(INDEX(Equipe_X,MATCH($A41,Equipe_Nome,0),0)="X"))+ROW()*0.0001)</f>
        <v/>
      </c>
      <c r="Q41">
        <f>IF(OR($A41="",$B41&lt;&gt;"Disponível",COUNTIF(Pai_Tec1,$A41)+COUNTIF(Pai_Tec2,$A41)&gt;0),"",SUMPRODUCT((E14:X14&gt;0)*(INDEX(Equipe_X,MATCH($A41,Equipe_Nome,0),0)="X"))+ROW()*0.0001)</f>
        <v/>
      </c>
      <c r="R41">
        <f>IF(OR($A41="",$B41&lt;&gt;"Disponível",COUNTIF(Pai_Tec1,$A41)+COUNTIF(Pai_Tec2,$A41)&gt;0),"",SUMPRODUCT((E15:X15&gt;0)*(INDEX(Equipe_X,MATCH($A41,Equipe_Nome,0),0)="X"))+ROW()*0.0001)</f>
        <v/>
      </c>
      <c r="S41">
        <f>IF(OR($A41="",$B41&lt;&gt;"Disponível",COUNTIF(Pai_Tec1,$A41)+COUNTIF(Pai_Tec2,$A41)&gt;0),"",SUMPRODUCT((E16:X16&gt;0)*(INDEX(Equipe_X,MATCH($A41,Equipe_Nome,0),0)="X"))+ROW()*0.0001)</f>
        <v/>
      </c>
      <c r="T41">
        <f>IF(OR($A41="",$B41&lt;&gt;"Disponível",COUNTIF(Pai_Tec1,$A41)+COUNTIF(Pai_Tec2,$A41)&gt;0),"",SUMPRODUCT((E17:X17&gt;0)*(INDEX(Equipe_X,MATCH($A41,Equipe_Nome,0),0)="X"))+ROW()*0.0001)</f>
        <v/>
      </c>
    </row>
    <row r="42">
      <c r="A42">
        <f>IF('Equipe'!$B$6="","",'Equipe'!$B$6)</f>
        <v/>
      </c>
      <c r="B42">
        <f>IF($A42="","",IFERROR(INDEX(Equipe_Situacao,MATCH($A42,Equipe_Nome,0)),""))</f>
        <v/>
      </c>
      <c r="E42">
        <f>IF(OR($A42="",$B42&lt;&gt;"Disponível",COUNTIF(Pai_Tec1,$A42)+COUNTIF(Pai_Tec2,$A42)&gt;0),"",SUMPRODUCT((E2:X2&gt;0)*(INDEX(Equipe_X,MATCH($A42,Equipe_Nome,0),0)="X"))+ROW()*0.0001)</f>
        <v/>
      </c>
      <c r="F42">
        <f>IF(OR($A42="",$B42&lt;&gt;"Disponível",COUNTIF(Pai_Tec1,$A42)+COUNTIF(Pai_Tec2,$A42)&gt;0),"",SUMPRODUCT((E3:X3&gt;0)*(INDEX(Equipe_X,MATCH($A42,Equipe_Nome,0),0)="X"))+ROW()*0.0001)</f>
        <v/>
      </c>
      <c r="G42">
        <f>IF(OR($A42="",$B42&lt;&gt;"Disponível",COUNTIF(Pai_Tec1,$A42)+COUNTIF(Pai_Tec2,$A42)&gt;0),"",SUMPRODUCT((E4:X4&gt;0)*(INDEX(Equipe_X,MATCH($A42,Equipe_Nome,0),0)="X"))+ROW()*0.0001)</f>
        <v/>
      </c>
      <c r="H42">
        <f>IF(OR($A42="",$B42&lt;&gt;"Disponível",COUNTIF(Pai_Tec1,$A42)+COUNTIF(Pai_Tec2,$A42)&gt;0),"",SUMPRODUCT((E5:X5&gt;0)*(INDEX(Equipe_X,MATCH($A42,Equipe_Nome,0),0)="X"))+ROW()*0.0001)</f>
        <v/>
      </c>
      <c r="I42">
        <f>IF(OR($A42="",$B42&lt;&gt;"Disponível",COUNTIF(Pai_Tec1,$A42)+COUNTIF(Pai_Tec2,$A42)&gt;0),"",SUMPRODUCT((E6:X6&gt;0)*(INDEX(Equipe_X,MATCH($A42,Equipe_Nome,0),0)="X"))+ROW()*0.0001)</f>
        <v/>
      </c>
      <c r="J42">
        <f>IF(OR($A42="",$B42&lt;&gt;"Disponível",COUNTIF(Pai_Tec1,$A42)+COUNTIF(Pai_Tec2,$A42)&gt;0),"",SUMPRODUCT((E7:X7&gt;0)*(INDEX(Equipe_X,MATCH($A42,Equipe_Nome,0),0)="X"))+ROW()*0.0001)</f>
        <v/>
      </c>
      <c r="K42">
        <f>IF(OR($A42="",$B42&lt;&gt;"Disponível",COUNTIF(Pai_Tec1,$A42)+COUNTIF(Pai_Tec2,$A42)&gt;0),"",SUMPRODUCT((E8:X8&gt;0)*(INDEX(Equipe_X,MATCH($A42,Equipe_Nome,0),0)="X"))+ROW()*0.0001)</f>
        <v/>
      </c>
      <c r="L42">
        <f>IF(OR($A42="",$B42&lt;&gt;"Disponível",COUNTIF(Pai_Tec1,$A42)+COUNTIF(Pai_Tec2,$A42)&gt;0),"",SUMPRODUCT((E9:X9&gt;0)*(INDEX(Equipe_X,MATCH($A42,Equipe_Nome,0),0)="X"))+ROW()*0.0001)</f>
        <v/>
      </c>
      <c r="M42">
        <f>IF(OR($A42="",$B42&lt;&gt;"Disponível",COUNTIF(Pai_Tec1,$A42)+COUNTIF(Pai_Tec2,$A42)&gt;0),"",SUMPRODUCT((E10:X10&gt;0)*(INDEX(Equipe_X,MATCH($A42,Equipe_Nome,0),0)="X"))+ROW()*0.0001)</f>
        <v/>
      </c>
      <c r="N42">
        <f>IF(OR($A42="",$B42&lt;&gt;"Disponível",COUNTIF(Pai_Tec1,$A42)+COUNTIF(Pai_Tec2,$A42)&gt;0),"",SUMPRODUCT((E11:X11&gt;0)*(INDEX(Equipe_X,MATCH($A42,Equipe_Nome,0),0)="X"))+ROW()*0.0001)</f>
        <v/>
      </c>
      <c r="O42">
        <f>IF(OR($A42="",$B42&lt;&gt;"Disponível",COUNTIF(Pai_Tec1,$A42)+COUNTIF(Pai_Tec2,$A42)&gt;0),"",SUMPRODUCT((E12:X12&gt;0)*(INDEX(Equipe_X,MATCH($A42,Equipe_Nome,0),0)="X"))+ROW()*0.0001)</f>
        <v/>
      </c>
      <c r="P42">
        <f>IF(OR($A42="",$B42&lt;&gt;"Disponível",COUNTIF(Pai_Tec1,$A42)+COUNTIF(Pai_Tec2,$A42)&gt;0),"",SUMPRODUCT((E13:X13&gt;0)*(INDEX(Equipe_X,MATCH($A42,Equipe_Nome,0),0)="X"))+ROW()*0.0001)</f>
        <v/>
      </c>
      <c r="Q42">
        <f>IF(OR($A42="",$B42&lt;&gt;"Disponível",COUNTIF(Pai_Tec1,$A42)+COUNTIF(Pai_Tec2,$A42)&gt;0),"",SUMPRODUCT((E14:X14&gt;0)*(INDEX(Equipe_X,MATCH($A42,Equipe_Nome,0),0)="X"))+ROW()*0.0001)</f>
        <v/>
      </c>
      <c r="R42">
        <f>IF(OR($A42="",$B42&lt;&gt;"Disponível",COUNTIF(Pai_Tec1,$A42)+COUNTIF(Pai_Tec2,$A42)&gt;0),"",SUMPRODUCT((E15:X15&gt;0)*(INDEX(Equipe_X,MATCH($A42,Equipe_Nome,0),0)="X"))+ROW()*0.0001)</f>
        <v/>
      </c>
      <c r="S42">
        <f>IF(OR($A42="",$B42&lt;&gt;"Disponível",COUNTIF(Pai_Tec1,$A42)+COUNTIF(Pai_Tec2,$A42)&gt;0),"",SUMPRODUCT((E16:X16&gt;0)*(INDEX(Equipe_X,MATCH($A42,Equipe_Nome,0),0)="X"))+ROW()*0.0001)</f>
        <v/>
      </c>
      <c r="T42">
        <f>IF(OR($A42="",$B42&lt;&gt;"Disponível",COUNTIF(Pai_Tec1,$A42)+COUNTIF(Pai_Tec2,$A42)&gt;0),"",SUMPRODUCT((E17:X17&gt;0)*(INDEX(Equipe_X,MATCH($A42,Equipe_Nome,0),0)="X"))+ROW()*0.0001)</f>
        <v/>
      </c>
    </row>
    <row r="43">
      <c r="A43">
        <f>IF('Equipe'!$B$7="","",'Equipe'!$B$7)</f>
        <v/>
      </c>
      <c r="B43">
        <f>IF($A43="","",IFERROR(INDEX(Equipe_Situacao,MATCH($A43,Equipe_Nome,0)),""))</f>
        <v/>
      </c>
      <c r="E43">
        <f>IF(OR($A43="",$B43&lt;&gt;"Disponível",COUNTIF(Pai_Tec1,$A43)+COUNTIF(Pai_Tec2,$A43)&gt;0),"",SUMPRODUCT((E2:X2&gt;0)*(INDEX(Equipe_X,MATCH($A43,Equipe_Nome,0),0)="X"))+ROW()*0.0001)</f>
        <v/>
      </c>
      <c r="F43">
        <f>IF(OR($A43="",$B43&lt;&gt;"Disponível",COUNTIF(Pai_Tec1,$A43)+COUNTIF(Pai_Tec2,$A43)&gt;0),"",SUMPRODUCT((E3:X3&gt;0)*(INDEX(Equipe_X,MATCH($A43,Equipe_Nome,0),0)="X"))+ROW()*0.0001)</f>
        <v/>
      </c>
      <c r="G43">
        <f>IF(OR($A43="",$B43&lt;&gt;"Disponível",COUNTIF(Pai_Tec1,$A43)+COUNTIF(Pai_Tec2,$A43)&gt;0),"",SUMPRODUCT((E4:X4&gt;0)*(INDEX(Equipe_X,MATCH($A43,Equipe_Nome,0),0)="X"))+ROW()*0.0001)</f>
        <v/>
      </c>
      <c r="H43">
        <f>IF(OR($A43="",$B43&lt;&gt;"Disponível",COUNTIF(Pai_Tec1,$A43)+COUNTIF(Pai_Tec2,$A43)&gt;0),"",SUMPRODUCT((E5:X5&gt;0)*(INDEX(Equipe_X,MATCH($A43,Equipe_Nome,0),0)="X"))+ROW()*0.0001)</f>
        <v/>
      </c>
      <c r="I43">
        <f>IF(OR($A43="",$B43&lt;&gt;"Disponível",COUNTIF(Pai_Tec1,$A43)+COUNTIF(Pai_Tec2,$A43)&gt;0),"",SUMPRODUCT((E6:X6&gt;0)*(INDEX(Equipe_X,MATCH($A43,Equipe_Nome,0),0)="X"))+ROW()*0.0001)</f>
        <v/>
      </c>
      <c r="J43">
        <f>IF(OR($A43="",$B43&lt;&gt;"Disponível",COUNTIF(Pai_Tec1,$A43)+COUNTIF(Pai_Tec2,$A43)&gt;0),"",SUMPRODUCT((E7:X7&gt;0)*(INDEX(Equipe_X,MATCH($A43,Equipe_Nome,0),0)="X"))+ROW()*0.0001)</f>
        <v/>
      </c>
      <c r="K43">
        <f>IF(OR($A43="",$B43&lt;&gt;"Disponível",COUNTIF(Pai_Tec1,$A43)+COUNTIF(Pai_Tec2,$A43)&gt;0),"",SUMPRODUCT((E8:X8&gt;0)*(INDEX(Equipe_X,MATCH($A43,Equipe_Nome,0),0)="X"))+ROW()*0.0001)</f>
        <v/>
      </c>
      <c r="L43">
        <f>IF(OR($A43="",$B43&lt;&gt;"Disponível",COUNTIF(Pai_Tec1,$A43)+COUNTIF(Pai_Tec2,$A43)&gt;0),"",SUMPRODUCT((E9:X9&gt;0)*(INDEX(Equipe_X,MATCH($A43,Equipe_Nome,0),0)="X"))+ROW()*0.0001)</f>
        <v/>
      </c>
      <c r="M43">
        <f>IF(OR($A43="",$B43&lt;&gt;"Disponível",COUNTIF(Pai_Tec1,$A43)+COUNTIF(Pai_Tec2,$A43)&gt;0),"",SUMPRODUCT((E10:X10&gt;0)*(INDEX(Equipe_X,MATCH($A43,Equipe_Nome,0),0)="X"))+ROW()*0.0001)</f>
        <v/>
      </c>
      <c r="N43">
        <f>IF(OR($A43="",$B43&lt;&gt;"Disponível",COUNTIF(Pai_Tec1,$A43)+COUNTIF(Pai_Tec2,$A43)&gt;0),"",SUMPRODUCT((E11:X11&gt;0)*(INDEX(Equipe_X,MATCH($A43,Equipe_Nome,0),0)="X"))+ROW()*0.0001)</f>
        <v/>
      </c>
      <c r="O43">
        <f>IF(OR($A43="",$B43&lt;&gt;"Disponível",COUNTIF(Pai_Tec1,$A43)+COUNTIF(Pai_Tec2,$A43)&gt;0),"",SUMPRODUCT((E12:X12&gt;0)*(INDEX(Equipe_X,MATCH($A43,Equipe_Nome,0),0)="X"))+ROW()*0.0001)</f>
        <v/>
      </c>
      <c r="P43">
        <f>IF(OR($A43="",$B43&lt;&gt;"Disponível",COUNTIF(Pai_Tec1,$A43)+COUNTIF(Pai_Tec2,$A43)&gt;0),"",SUMPRODUCT((E13:X13&gt;0)*(INDEX(Equipe_X,MATCH($A43,Equipe_Nome,0),0)="X"))+ROW()*0.0001)</f>
        <v/>
      </c>
      <c r="Q43">
        <f>IF(OR($A43="",$B43&lt;&gt;"Disponível",COUNTIF(Pai_Tec1,$A43)+COUNTIF(Pai_Tec2,$A43)&gt;0),"",SUMPRODUCT((E14:X14&gt;0)*(INDEX(Equipe_X,MATCH($A43,Equipe_Nome,0),0)="X"))+ROW()*0.0001)</f>
        <v/>
      </c>
      <c r="R43">
        <f>IF(OR($A43="",$B43&lt;&gt;"Disponível",COUNTIF(Pai_Tec1,$A43)+COUNTIF(Pai_Tec2,$A43)&gt;0),"",SUMPRODUCT((E15:X15&gt;0)*(INDEX(Equipe_X,MATCH($A43,Equipe_Nome,0),0)="X"))+ROW()*0.0001)</f>
        <v/>
      </c>
      <c r="S43">
        <f>IF(OR($A43="",$B43&lt;&gt;"Disponível",COUNTIF(Pai_Tec1,$A43)+COUNTIF(Pai_Tec2,$A43)&gt;0),"",SUMPRODUCT((E16:X16&gt;0)*(INDEX(Equipe_X,MATCH($A43,Equipe_Nome,0),0)="X"))+ROW()*0.0001)</f>
        <v/>
      </c>
      <c r="T43">
        <f>IF(OR($A43="",$B43&lt;&gt;"Disponível",COUNTIF(Pai_Tec1,$A43)+COUNTIF(Pai_Tec2,$A43)&gt;0),"",SUMPRODUCT((E17:X17&gt;0)*(INDEX(Equipe_X,MATCH($A43,Equipe_Nome,0),0)="X"))+ROW()*0.0001)</f>
        <v/>
      </c>
    </row>
    <row r="44">
      <c r="A44">
        <f>IF('Equipe'!$B$8="","",'Equipe'!$B$8)</f>
        <v/>
      </c>
      <c r="B44">
        <f>IF($A44="","",IFERROR(INDEX(Equipe_Situacao,MATCH($A44,Equipe_Nome,0)),""))</f>
        <v/>
      </c>
      <c r="E44">
        <f>IF(OR($A44="",$B44&lt;&gt;"Disponível",COUNTIF(Pai_Tec1,$A44)+COUNTIF(Pai_Tec2,$A44)&gt;0),"",SUMPRODUCT((E2:X2&gt;0)*(INDEX(Equipe_X,MATCH($A44,Equipe_Nome,0),0)="X"))+ROW()*0.0001)</f>
        <v/>
      </c>
      <c r="F44">
        <f>IF(OR($A44="",$B44&lt;&gt;"Disponível",COUNTIF(Pai_Tec1,$A44)+COUNTIF(Pai_Tec2,$A44)&gt;0),"",SUMPRODUCT((E3:X3&gt;0)*(INDEX(Equipe_X,MATCH($A44,Equipe_Nome,0),0)="X"))+ROW()*0.0001)</f>
        <v/>
      </c>
      <c r="G44">
        <f>IF(OR($A44="",$B44&lt;&gt;"Disponível",COUNTIF(Pai_Tec1,$A44)+COUNTIF(Pai_Tec2,$A44)&gt;0),"",SUMPRODUCT((E4:X4&gt;0)*(INDEX(Equipe_X,MATCH($A44,Equipe_Nome,0),0)="X"))+ROW()*0.0001)</f>
        <v/>
      </c>
      <c r="H44">
        <f>IF(OR($A44="",$B44&lt;&gt;"Disponível",COUNTIF(Pai_Tec1,$A44)+COUNTIF(Pai_Tec2,$A44)&gt;0),"",SUMPRODUCT((E5:X5&gt;0)*(INDEX(Equipe_X,MATCH($A44,Equipe_Nome,0),0)="X"))+ROW()*0.0001)</f>
        <v/>
      </c>
      <c r="I44">
        <f>IF(OR($A44="",$B44&lt;&gt;"Disponível",COUNTIF(Pai_Tec1,$A44)+COUNTIF(Pai_Tec2,$A44)&gt;0),"",SUMPRODUCT((E6:X6&gt;0)*(INDEX(Equipe_X,MATCH($A44,Equipe_Nome,0),0)="X"))+ROW()*0.0001)</f>
        <v/>
      </c>
      <c r="J44">
        <f>IF(OR($A44="",$B44&lt;&gt;"Disponível",COUNTIF(Pai_Tec1,$A44)+COUNTIF(Pai_Tec2,$A44)&gt;0),"",SUMPRODUCT((E7:X7&gt;0)*(INDEX(Equipe_X,MATCH($A44,Equipe_Nome,0),0)="X"))+ROW()*0.0001)</f>
        <v/>
      </c>
      <c r="K44">
        <f>IF(OR($A44="",$B44&lt;&gt;"Disponível",COUNTIF(Pai_Tec1,$A44)+COUNTIF(Pai_Tec2,$A44)&gt;0),"",SUMPRODUCT((E8:X8&gt;0)*(INDEX(Equipe_X,MATCH($A44,Equipe_Nome,0),0)="X"))+ROW()*0.0001)</f>
        <v/>
      </c>
      <c r="L44">
        <f>IF(OR($A44="",$B44&lt;&gt;"Disponível",COUNTIF(Pai_Tec1,$A44)+COUNTIF(Pai_Tec2,$A44)&gt;0),"",SUMPRODUCT((E9:X9&gt;0)*(INDEX(Equipe_X,MATCH($A44,Equipe_Nome,0),0)="X"))+ROW()*0.0001)</f>
        <v/>
      </c>
      <c r="M44">
        <f>IF(OR($A44="",$B44&lt;&gt;"Disponível",COUNTIF(Pai_Tec1,$A44)+COUNTIF(Pai_Tec2,$A44)&gt;0),"",SUMPRODUCT((E10:X10&gt;0)*(INDEX(Equipe_X,MATCH($A44,Equipe_Nome,0),0)="X"))+ROW()*0.0001)</f>
        <v/>
      </c>
      <c r="N44">
        <f>IF(OR($A44="",$B44&lt;&gt;"Disponível",COUNTIF(Pai_Tec1,$A44)+COUNTIF(Pai_Tec2,$A44)&gt;0),"",SUMPRODUCT((E11:X11&gt;0)*(INDEX(Equipe_X,MATCH($A44,Equipe_Nome,0),0)="X"))+ROW()*0.0001)</f>
        <v/>
      </c>
      <c r="O44">
        <f>IF(OR($A44="",$B44&lt;&gt;"Disponível",COUNTIF(Pai_Tec1,$A44)+COUNTIF(Pai_Tec2,$A44)&gt;0),"",SUMPRODUCT((E12:X12&gt;0)*(INDEX(Equipe_X,MATCH($A44,Equipe_Nome,0),0)="X"))+ROW()*0.0001)</f>
        <v/>
      </c>
      <c r="P44">
        <f>IF(OR($A44="",$B44&lt;&gt;"Disponível",COUNTIF(Pai_Tec1,$A44)+COUNTIF(Pai_Tec2,$A44)&gt;0),"",SUMPRODUCT((E13:X13&gt;0)*(INDEX(Equipe_X,MATCH($A44,Equipe_Nome,0),0)="X"))+ROW()*0.0001)</f>
        <v/>
      </c>
      <c r="Q44">
        <f>IF(OR($A44="",$B44&lt;&gt;"Disponível",COUNTIF(Pai_Tec1,$A44)+COUNTIF(Pai_Tec2,$A44)&gt;0),"",SUMPRODUCT((E14:X14&gt;0)*(INDEX(Equipe_X,MATCH($A44,Equipe_Nome,0),0)="X"))+ROW()*0.0001)</f>
        <v/>
      </c>
      <c r="R44">
        <f>IF(OR($A44="",$B44&lt;&gt;"Disponível",COUNTIF(Pai_Tec1,$A44)+COUNTIF(Pai_Tec2,$A44)&gt;0),"",SUMPRODUCT((E15:X15&gt;0)*(INDEX(Equipe_X,MATCH($A44,Equipe_Nome,0),0)="X"))+ROW()*0.0001)</f>
        <v/>
      </c>
      <c r="S44">
        <f>IF(OR($A44="",$B44&lt;&gt;"Disponível",COUNTIF(Pai_Tec1,$A44)+COUNTIF(Pai_Tec2,$A44)&gt;0),"",SUMPRODUCT((E16:X16&gt;0)*(INDEX(Equipe_X,MATCH($A44,Equipe_Nome,0),0)="X"))+ROW()*0.0001)</f>
        <v/>
      </c>
      <c r="T44">
        <f>IF(OR($A44="",$B44&lt;&gt;"Disponível",COUNTIF(Pai_Tec1,$A44)+COUNTIF(Pai_Tec2,$A44)&gt;0),"",SUMPRODUCT((E17:X17&gt;0)*(INDEX(Equipe_X,MATCH($A44,Equipe_Nome,0),0)="X"))+ROW()*0.0001)</f>
        <v/>
      </c>
    </row>
    <row r="45">
      <c r="A45">
        <f>IF('Equipe'!$B$9="","",'Equipe'!$B$9)</f>
        <v/>
      </c>
      <c r="B45">
        <f>IF($A45="","",IFERROR(INDEX(Equipe_Situacao,MATCH($A45,Equipe_Nome,0)),""))</f>
        <v/>
      </c>
      <c r="E45">
        <f>IF(OR($A45="",$B45&lt;&gt;"Disponível",COUNTIF(Pai_Tec1,$A45)+COUNTIF(Pai_Tec2,$A45)&gt;0),"",SUMPRODUCT((E2:X2&gt;0)*(INDEX(Equipe_X,MATCH($A45,Equipe_Nome,0),0)="X"))+ROW()*0.0001)</f>
        <v/>
      </c>
      <c r="F45">
        <f>IF(OR($A45="",$B45&lt;&gt;"Disponível",COUNTIF(Pai_Tec1,$A45)+COUNTIF(Pai_Tec2,$A45)&gt;0),"",SUMPRODUCT((E3:X3&gt;0)*(INDEX(Equipe_X,MATCH($A45,Equipe_Nome,0),0)="X"))+ROW()*0.0001)</f>
        <v/>
      </c>
      <c r="G45">
        <f>IF(OR($A45="",$B45&lt;&gt;"Disponível",COUNTIF(Pai_Tec1,$A45)+COUNTIF(Pai_Tec2,$A45)&gt;0),"",SUMPRODUCT((E4:X4&gt;0)*(INDEX(Equipe_X,MATCH($A45,Equipe_Nome,0),0)="X"))+ROW()*0.0001)</f>
        <v/>
      </c>
      <c r="H45">
        <f>IF(OR($A45="",$B45&lt;&gt;"Disponível",COUNTIF(Pai_Tec1,$A45)+COUNTIF(Pai_Tec2,$A45)&gt;0),"",SUMPRODUCT((E5:X5&gt;0)*(INDEX(Equipe_X,MATCH($A45,Equipe_Nome,0),0)="X"))+ROW()*0.0001)</f>
        <v/>
      </c>
      <c r="I45">
        <f>IF(OR($A45="",$B45&lt;&gt;"Disponível",COUNTIF(Pai_Tec1,$A45)+COUNTIF(Pai_Tec2,$A45)&gt;0),"",SUMPRODUCT((E6:X6&gt;0)*(INDEX(Equipe_X,MATCH($A45,Equipe_Nome,0),0)="X"))+ROW()*0.0001)</f>
        <v/>
      </c>
      <c r="J45">
        <f>IF(OR($A45="",$B45&lt;&gt;"Disponível",COUNTIF(Pai_Tec1,$A45)+COUNTIF(Pai_Tec2,$A45)&gt;0),"",SUMPRODUCT((E7:X7&gt;0)*(INDEX(Equipe_X,MATCH($A45,Equipe_Nome,0),0)="X"))+ROW()*0.0001)</f>
        <v/>
      </c>
      <c r="K45">
        <f>IF(OR($A45="",$B45&lt;&gt;"Disponível",COUNTIF(Pai_Tec1,$A45)+COUNTIF(Pai_Tec2,$A45)&gt;0),"",SUMPRODUCT((E8:X8&gt;0)*(INDEX(Equipe_X,MATCH($A45,Equipe_Nome,0),0)="X"))+ROW()*0.0001)</f>
        <v/>
      </c>
      <c r="L45">
        <f>IF(OR($A45="",$B45&lt;&gt;"Disponível",COUNTIF(Pai_Tec1,$A45)+COUNTIF(Pai_Tec2,$A45)&gt;0),"",SUMPRODUCT((E9:X9&gt;0)*(INDEX(Equipe_X,MATCH($A45,Equipe_Nome,0),0)="X"))+ROW()*0.0001)</f>
        <v/>
      </c>
      <c r="M45">
        <f>IF(OR($A45="",$B45&lt;&gt;"Disponível",COUNTIF(Pai_Tec1,$A45)+COUNTIF(Pai_Tec2,$A45)&gt;0),"",SUMPRODUCT((E10:X10&gt;0)*(INDEX(Equipe_X,MATCH($A45,Equipe_Nome,0),0)="X"))+ROW()*0.0001)</f>
        <v/>
      </c>
      <c r="N45">
        <f>IF(OR($A45="",$B45&lt;&gt;"Disponível",COUNTIF(Pai_Tec1,$A45)+COUNTIF(Pai_Tec2,$A45)&gt;0),"",SUMPRODUCT((E11:X11&gt;0)*(INDEX(Equipe_X,MATCH($A45,Equipe_Nome,0),0)="X"))+ROW()*0.0001)</f>
        <v/>
      </c>
      <c r="O45">
        <f>IF(OR($A45="",$B45&lt;&gt;"Disponível",COUNTIF(Pai_Tec1,$A45)+COUNTIF(Pai_Tec2,$A45)&gt;0),"",SUMPRODUCT((E12:X12&gt;0)*(INDEX(Equipe_X,MATCH($A45,Equipe_Nome,0),0)="X"))+ROW()*0.0001)</f>
        <v/>
      </c>
      <c r="P45">
        <f>IF(OR($A45="",$B45&lt;&gt;"Disponível",COUNTIF(Pai_Tec1,$A45)+COUNTIF(Pai_Tec2,$A45)&gt;0),"",SUMPRODUCT((E13:X13&gt;0)*(INDEX(Equipe_X,MATCH($A45,Equipe_Nome,0),0)="X"))+ROW()*0.0001)</f>
        <v/>
      </c>
      <c r="Q45">
        <f>IF(OR($A45="",$B45&lt;&gt;"Disponível",COUNTIF(Pai_Tec1,$A45)+COUNTIF(Pai_Tec2,$A45)&gt;0),"",SUMPRODUCT((E14:X14&gt;0)*(INDEX(Equipe_X,MATCH($A45,Equipe_Nome,0),0)="X"))+ROW()*0.0001)</f>
        <v/>
      </c>
      <c r="R45">
        <f>IF(OR($A45="",$B45&lt;&gt;"Disponível",COUNTIF(Pai_Tec1,$A45)+COUNTIF(Pai_Tec2,$A45)&gt;0),"",SUMPRODUCT((E15:X15&gt;0)*(INDEX(Equipe_X,MATCH($A45,Equipe_Nome,0),0)="X"))+ROW()*0.0001)</f>
        <v/>
      </c>
      <c r="S45">
        <f>IF(OR($A45="",$B45&lt;&gt;"Disponível",COUNTIF(Pai_Tec1,$A45)+COUNTIF(Pai_Tec2,$A45)&gt;0),"",SUMPRODUCT((E16:X16&gt;0)*(INDEX(Equipe_X,MATCH($A45,Equipe_Nome,0),0)="X"))+ROW()*0.0001)</f>
        <v/>
      </c>
      <c r="T45">
        <f>IF(OR($A45="",$B45&lt;&gt;"Disponível",COUNTIF(Pai_Tec1,$A45)+COUNTIF(Pai_Tec2,$A45)&gt;0),"",SUMPRODUCT((E17:X17&gt;0)*(INDEX(Equipe_X,MATCH($A45,Equipe_Nome,0),0)="X"))+ROW()*0.0001)</f>
        <v/>
      </c>
    </row>
    <row r="46">
      <c r="A46">
        <f>IF('Equipe'!$B$10="","",'Equipe'!$B$10)</f>
        <v/>
      </c>
      <c r="B46">
        <f>IF($A46="","",IFERROR(INDEX(Equipe_Situacao,MATCH($A46,Equipe_Nome,0)),""))</f>
        <v/>
      </c>
      <c r="E46">
        <f>IF(OR($A46="",$B46&lt;&gt;"Disponível",COUNTIF(Pai_Tec1,$A46)+COUNTIF(Pai_Tec2,$A46)&gt;0),"",SUMPRODUCT((E2:X2&gt;0)*(INDEX(Equipe_X,MATCH($A46,Equipe_Nome,0),0)="X"))+ROW()*0.0001)</f>
        <v/>
      </c>
      <c r="F46">
        <f>IF(OR($A46="",$B46&lt;&gt;"Disponível",COUNTIF(Pai_Tec1,$A46)+COUNTIF(Pai_Tec2,$A46)&gt;0),"",SUMPRODUCT((E3:X3&gt;0)*(INDEX(Equipe_X,MATCH($A46,Equipe_Nome,0),0)="X"))+ROW()*0.0001)</f>
        <v/>
      </c>
      <c r="G46">
        <f>IF(OR($A46="",$B46&lt;&gt;"Disponível",COUNTIF(Pai_Tec1,$A46)+COUNTIF(Pai_Tec2,$A46)&gt;0),"",SUMPRODUCT((E4:X4&gt;0)*(INDEX(Equipe_X,MATCH($A46,Equipe_Nome,0),0)="X"))+ROW()*0.0001)</f>
        <v/>
      </c>
      <c r="H46">
        <f>IF(OR($A46="",$B46&lt;&gt;"Disponível",COUNTIF(Pai_Tec1,$A46)+COUNTIF(Pai_Tec2,$A46)&gt;0),"",SUMPRODUCT((E5:X5&gt;0)*(INDEX(Equipe_X,MATCH($A46,Equipe_Nome,0),0)="X"))+ROW()*0.0001)</f>
        <v/>
      </c>
      <c r="I46">
        <f>IF(OR($A46="",$B46&lt;&gt;"Disponível",COUNTIF(Pai_Tec1,$A46)+COUNTIF(Pai_Tec2,$A46)&gt;0),"",SUMPRODUCT((E6:X6&gt;0)*(INDEX(Equipe_X,MATCH($A46,Equipe_Nome,0),0)="X"))+ROW()*0.0001)</f>
        <v/>
      </c>
      <c r="J46">
        <f>IF(OR($A46="",$B46&lt;&gt;"Disponível",COUNTIF(Pai_Tec1,$A46)+COUNTIF(Pai_Tec2,$A46)&gt;0),"",SUMPRODUCT((E7:X7&gt;0)*(INDEX(Equipe_X,MATCH($A46,Equipe_Nome,0),0)="X"))+ROW()*0.0001)</f>
        <v/>
      </c>
      <c r="K46">
        <f>IF(OR($A46="",$B46&lt;&gt;"Disponível",COUNTIF(Pai_Tec1,$A46)+COUNTIF(Pai_Tec2,$A46)&gt;0),"",SUMPRODUCT((E8:X8&gt;0)*(INDEX(Equipe_X,MATCH($A46,Equipe_Nome,0),0)="X"))+ROW()*0.0001)</f>
        <v/>
      </c>
      <c r="L46">
        <f>IF(OR($A46="",$B46&lt;&gt;"Disponível",COUNTIF(Pai_Tec1,$A46)+COUNTIF(Pai_Tec2,$A46)&gt;0),"",SUMPRODUCT((E9:X9&gt;0)*(INDEX(Equipe_X,MATCH($A46,Equipe_Nome,0),0)="X"))+ROW()*0.0001)</f>
        <v/>
      </c>
      <c r="M46">
        <f>IF(OR($A46="",$B46&lt;&gt;"Disponível",COUNTIF(Pai_Tec1,$A46)+COUNTIF(Pai_Tec2,$A46)&gt;0),"",SUMPRODUCT((E10:X10&gt;0)*(INDEX(Equipe_X,MATCH($A46,Equipe_Nome,0),0)="X"))+ROW()*0.0001)</f>
        <v/>
      </c>
      <c r="N46">
        <f>IF(OR($A46="",$B46&lt;&gt;"Disponível",COUNTIF(Pai_Tec1,$A46)+COUNTIF(Pai_Tec2,$A46)&gt;0),"",SUMPRODUCT((E11:X11&gt;0)*(INDEX(Equipe_X,MATCH($A46,Equipe_Nome,0),0)="X"))+ROW()*0.0001)</f>
        <v/>
      </c>
      <c r="O46">
        <f>IF(OR($A46="",$B46&lt;&gt;"Disponível",COUNTIF(Pai_Tec1,$A46)+COUNTIF(Pai_Tec2,$A46)&gt;0),"",SUMPRODUCT((E12:X12&gt;0)*(INDEX(Equipe_X,MATCH($A46,Equipe_Nome,0),0)="X"))+ROW()*0.0001)</f>
        <v/>
      </c>
      <c r="P46">
        <f>IF(OR($A46="",$B46&lt;&gt;"Disponível",COUNTIF(Pai_Tec1,$A46)+COUNTIF(Pai_Tec2,$A46)&gt;0),"",SUMPRODUCT((E13:X13&gt;0)*(INDEX(Equipe_X,MATCH($A46,Equipe_Nome,0),0)="X"))+ROW()*0.0001)</f>
        <v/>
      </c>
      <c r="Q46">
        <f>IF(OR($A46="",$B46&lt;&gt;"Disponível",COUNTIF(Pai_Tec1,$A46)+COUNTIF(Pai_Tec2,$A46)&gt;0),"",SUMPRODUCT((E14:X14&gt;0)*(INDEX(Equipe_X,MATCH($A46,Equipe_Nome,0),0)="X"))+ROW()*0.0001)</f>
        <v/>
      </c>
      <c r="R46">
        <f>IF(OR($A46="",$B46&lt;&gt;"Disponível",COUNTIF(Pai_Tec1,$A46)+COUNTIF(Pai_Tec2,$A46)&gt;0),"",SUMPRODUCT((E15:X15&gt;0)*(INDEX(Equipe_X,MATCH($A46,Equipe_Nome,0),0)="X"))+ROW()*0.0001)</f>
        <v/>
      </c>
      <c r="S46">
        <f>IF(OR($A46="",$B46&lt;&gt;"Disponível",COUNTIF(Pai_Tec1,$A46)+COUNTIF(Pai_Tec2,$A46)&gt;0),"",SUMPRODUCT((E16:X16&gt;0)*(INDEX(Equipe_X,MATCH($A46,Equipe_Nome,0),0)="X"))+ROW()*0.0001)</f>
        <v/>
      </c>
      <c r="T46">
        <f>IF(OR($A46="",$B46&lt;&gt;"Disponível",COUNTIF(Pai_Tec1,$A46)+COUNTIF(Pai_Tec2,$A46)&gt;0),"",SUMPRODUCT((E17:X17&gt;0)*(INDEX(Equipe_X,MATCH($A46,Equipe_Nome,0),0)="X"))+ROW()*0.0001)</f>
        <v/>
      </c>
    </row>
    <row r="47">
      <c r="A47">
        <f>IF('Equipe'!$B$11="","",'Equipe'!$B$11)</f>
        <v/>
      </c>
      <c r="B47">
        <f>IF($A47="","",IFERROR(INDEX(Equipe_Situacao,MATCH($A47,Equipe_Nome,0)),""))</f>
        <v/>
      </c>
      <c r="E47">
        <f>IF(OR($A47="",$B47&lt;&gt;"Disponível",COUNTIF(Pai_Tec1,$A47)+COUNTIF(Pai_Tec2,$A47)&gt;0),"",SUMPRODUCT((E2:X2&gt;0)*(INDEX(Equipe_X,MATCH($A47,Equipe_Nome,0),0)="X"))+ROW()*0.0001)</f>
        <v/>
      </c>
      <c r="F47">
        <f>IF(OR($A47="",$B47&lt;&gt;"Disponível",COUNTIF(Pai_Tec1,$A47)+COUNTIF(Pai_Tec2,$A47)&gt;0),"",SUMPRODUCT((E3:X3&gt;0)*(INDEX(Equipe_X,MATCH($A47,Equipe_Nome,0),0)="X"))+ROW()*0.0001)</f>
        <v/>
      </c>
      <c r="G47">
        <f>IF(OR($A47="",$B47&lt;&gt;"Disponível",COUNTIF(Pai_Tec1,$A47)+COUNTIF(Pai_Tec2,$A47)&gt;0),"",SUMPRODUCT((E4:X4&gt;0)*(INDEX(Equipe_X,MATCH($A47,Equipe_Nome,0),0)="X"))+ROW()*0.0001)</f>
        <v/>
      </c>
      <c r="H47">
        <f>IF(OR($A47="",$B47&lt;&gt;"Disponível",COUNTIF(Pai_Tec1,$A47)+COUNTIF(Pai_Tec2,$A47)&gt;0),"",SUMPRODUCT((E5:X5&gt;0)*(INDEX(Equipe_X,MATCH($A47,Equipe_Nome,0),0)="X"))+ROW()*0.0001)</f>
        <v/>
      </c>
      <c r="I47">
        <f>IF(OR($A47="",$B47&lt;&gt;"Disponível",COUNTIF(Pai_Tec1,$A47)+COUNTIF(Pai_Tec2,$A47)&gt;0),"",SUMPRODUCT((E6:X6&gt;0)*(INDEX(Equipe_X,MATCH($A47,Equipe_Nome,0),0)="X"))+ROW()*0.0001)</f>
        <v/>
      </c>
      <c r="J47">
        <f>IF(OR($A47="",$B47&lt;&gt;"Disponível",COUNTIF(Pai_Tec1,$A47)+COUNTIF(Pai_Tec2,$A47)&gt;0),"",SUMPRODUCT((E7:X7&gt;0)*(INDEX(Equipe_X,MATCH($A47,Equipe_Nome,0),0)="X"))+ROW()*0.0001)</f>
        <v/>
      </c>
      <c r="K47">
        <f>IF(OR($A47="",$B47&lt;&gt;"Disponível",COUNTIF(Pai_Tec1,$A47)+COUNTIF(Pai_Tec2,$A47)&gt;0),"",SUMPRODUCT((E8:X8&gt;0)*(INDEX(Equipe_X,MATCH($A47,Equipe_Nome,0),0)="X"))+ROW()*0.0001)</f>
        <v/>
      </c>
      <c r="L47">
        <f>IF(OR($A47="",$B47&lt;&gt;"Disponível",COUNTIF(Pai_Tec1,$A47)+COUNTIF(Pai_Tec2,$A47)&gt;0),"",SUMPRODUCT((E9:X9&gt;0)*(INDEX(Equipe_X,MATCH($A47,Equipe_Nome,0),0)="X"))+ROW()*0.0001)</f>
        <v/>
      </c>
      <c r="M47">
        <f>IF(OR($A47="",$B47&lt;&gt;"Disponível",COUNTIF(Pai_Tec1,$A47)+COUNTIF(Pai_Tec2,$A47)&gt;0),"",SUMPRODUCT((E10:X10&gt;0)*(INDEX(Equipe_X,MATCH($A47,Equipe_Nome,0),0)="X"))+ROW()*0.0001)</f>
        <v/>
      </c>
      <c r="N47">
        <f>IF(OR($A47="",$B47&lt;&gt;"Disponível",COUNTIF(Pai_Tec1,$A47)+COUNTIF(Pai_Tec2,$A47)&gt;0),"",SUMPRODUCT((E11:X11&gt;0)*(INDEX(Equipe_X,MATCH($A47,Equipe_Nome,0),0)="X"))+ROW()*0.0001)</f>
        <v/>
      </c>
      <c r="O47">
        <f>IF(OR($A47="",$B47&lt;&gt;"Disponível",COUNTIF(Pai_Tec1,$A47)+COUNTIF(Pai_Tec2,$A47)&gt;0),"",SUMPRODUCT((E12:X12&gt;0)*(INDEX(Equipe_X,MATCH($A47,Equipe_Nome,0),0)="X"))+ROW()*0.0001)</f>
        <v/>
      </c>
      <c r="P47">
        <f>IF(OR($A47="",$B47&lt;&gt;"Disponível",COUNTIF(Pai_Tec1,$A47)+COUNTIF(Pai_Tec2,$A47)&gt;0),"",SUMPRODUCT((E13:X13&gt;0)*(INDEX(Equipe_X,MATCH($A47,Equipe_Nome,0),0)="X"))+ROW()*0.0001)</f>
        <v/>
      </c>
      <c r="Q47">
        <f>IF(OR($A47="",$B47&lt;&gt;"Disponível",COUNTIF(Pai_Tec1,$A47)+COUNTIF(Pai_Tec2,$A47)&gt;0),"",SUMPRODUCT((E14:X14&gt;0)*(INDEX(Equipe_X,MATCH($A47,Equipe_Nome,0),0)="X"))+ROW()*0.0001)</f>
        <v/>
      </c>
      <c r="R47">
        <f>IF(OR($A47="",$B47&lt;&gt;"Disponível",COUNTIF(Pai_Tec1,$A47)+COUNTIF(Pai_Tec2,$A47)&gt;0),"",SUMPRODUCT((E15:X15&gt;0)*(INDEX(Equipe_X,MATCH($A47,Equipe_Nome,0),0)="X"))+ROW()*0.0001)</f>
        <v/>
      </c>
      <c r="S47">
        <f>IF(OR($A47="",$B47&lt;&gt;"Disponível",COUNTIF(Pai_Tec1,$A47)+COUNTIF(Pai_Tec2,$A47)&gt;0),"",SUMPRODUCT((E16:X16&gt;0)*(INDEX(Equipe_X,MATCH($A47,Equipe_Nome,0),0)="X"))+ROW()*0.0001)</f>
        <v/>
      </c>
      <c r="T47">
        <f>IF(OR($A47="",$B47&lt;&gt;"Disponível",COUNTIF(Pai_Tec1,$A47)+COUNTIF(Pai_Tec2,$A47)&gt;0),"",SUMPRODUCT((E17:X17&gt;0)*(INDEX(Equipe_X,MATCH($A47,Equipe_Nome,0),0)="X"))+ROW()*0.0001)</f>
        <v/>
      </c>
    </row>
    <row r="48">
      <c r="A48">
        <f>IF('Equipe'!$B$12="","",'Equipe'!$B$12)</f>
        <v/>
      </c>
      <c r="B48">
        <f>IF($A48="","",IFERROR(INDEX(Equipe_Situacao,MATCH($A48,Equipe_Nome,0)),""))</f>
        <v/>
      </c>
      <c r="E48">
        <f>IF(OR($A48="",$B48&lt;&gt;"Disponível",COUNTIF(Pai_Tec1,$A48)+COUNTIF(Pai_Tec2,$A48)&gt;0),"",SUMPRODUCT((E2:X2&gt;0)*(INDEX(Equipe_X,MATCH($A48,Equipe_Nome,0),0)="X"))+ROW()*0.0001)</f>
        <v/>
      </c>
      <c r="F48">
        <f>IF(OR($A48="",$B48&lt;&gt;"Disponível",COUNTIF(Pai_Tec1,$A48)+COUNTIF(Pai_Tec2,$A48)&gt;0),"",SUMPRODUCT((E3:X3&gt;0)*(INDEX(Equipe_X,MATCH($A48,Equipe_Nome,0),0)="X"))+ROW()*0.0001)</f>
        <v/>
      </c>
      <c r="G48">
        <f>IF(OR($A48="",$B48&lt;&gt;"Disponível",COUNTIF(Pai_Tec1,$A48)+COUNTIF(Pai_Tec2,$A48)&gt;0),"",SUMPRODUCT((E4:X4&gt;0)*(INDEX(Equipe_X,MATCH($A48,Equipe_Nome,0),0)="X"))+ROW()*0.0001)</f>
        <v/>
      </c>
      <c r="H48">
        <f>IF(OR($A48="",$B48&lt;&gt;"Disponível",COUNTIF(Pai_Tec1,$A48)+COUNTIF(Pai_Tec2,$A48)&gt;0),"",SUMPRODUCT((E5:X5&gt;0)*(INDEX(Equipe_X,MATCH($A48,Equipe_Nome,0),0)="X"))+ROW()*0.0001)</f>
        <v/>
      </c>
      <c r="I48">
        <f>IF(OR($A48="",$B48&lt;&gt;"Disponível",COUNTIF(Pai_Tec1,$A48)+COUNTIF(Pai_Tec2,$A48)&gt;0),"",SUMPRODUCT((E6:X6&gt;0)*(INDEX(Equipe_X,MATCH($A48,Equipe_Nome,0),0)="X"))+ROW()*0.0001)</f>
        <v/>
      </c>
      <c r="J48">
        <f>IF(OR($A48="",$B48&lt;&gt;"Disponível",COUNTIF(Pai_Tec1,$A48)+COUNTIF(Pai_Tec2,$A48)&gt;0),"",SUMPRODUCT((E7:X7&gt;0)*(INDEX(Equipe_X,MATCH($A48,Equipe_Nome,0),0)="X"))+ROW()*0.0001)</f>
        <v/>
      </c>
      <c r="K48">
        <f>IF(OR($A48="",$B48&lt;&gt;"Disponível",COUNTIF(Pai_Tec1,$A48)+COUNTIF(Pai_Tec2,$A48)&gt;0),"",SUMPRODUCT((E8:X8&gt;0)*(INDEX(Equipe_X,MATCH($A48,Equipe_Nome,0),0)="X"))+ROW()*0.0001)</f>
        <v/>
      </c>
      <c r="L48">
        <f>IF(OR($A48="",$B48&lt;&gt;"Disponível",COUNTIF(Pai_Tec1,$A48)+COUNTIF(Pai_Tec2,$A48)&gt;0),"",SUMPRODUCT((E9:X9&gt;0)*(INDEX(Equipe_X,MATCH($A48,Equipe_Nome,0),0)="X"))+ROW()*0.0001)</f>
        <v/>
      </c>
      <c r="M48">
        <f>IF(OR($A48="",$B48&lt;&gt;"Disponível",COUNTIF(Pai_Tec1,$A48)+COUNTIF(Pai_Tec2,$A48)&gt;0),"",SUMPRODUCT((E10:X10&gt;0)*(INDEX(Equipe_X,MATCH($A48,Equipe_Nome,0),0)="X"))+ROW()*0.0001)</f>
        <v/>
      </c>
      <c r="N48">
        <f>IF(OR($A48="",$B48&lt;&gt;"Disponível",COUNTIF(Pai_Tec1,$A48)+COUNTIF(Pai_Tec2,$A48)&gt;0),"",SUMPRODUCT((E11:X11&gt;0)*(INDEX(Equipe_X,MATCH($A48,Equipe_Nome,0),0)="X"))+ROW()*0.0001)</f>
        <v/>
      </c>
      <c r="O48">
        <f>IF(OR($A48="",$B48&lt;&gt;"Disponível",COUNTIF(Pai_Tec1,$A48)+COUNTIF(Pai_Tec2,$A48)&gt;0),"",SUMPRODUCT((E12:X12&gt;0)*(INDEX(Equipe_X,MATCH($A48,Equipe_Nome,0),0)="X"))+ROW()*0.0001)</f>
        <v/>
      </c>
      <c r="P48">
        <f>IF(OR($A48="",$B48&lt;&gt;"Disponível",COUNTIF(Pai_Tec1,$A48)+COUNTIF(Pai_Tec2,$A48)&gt;0),"",SUMPRODUCT((E13:X13&gt;0)*(INDEX(Equipe_X,MATCH($A48,Equipe_Nome,0),0)="X"))+ROW()*0.0001)</f>
        <v/>
      </c>
      <c r="Q48">
        <f>IF(OR($A48="",$B48&lt;&gt;"Disponível",COUNTIF(Pai_Tec1,$A48)+COUNTIF(Pai_Tec2,$A48)&gt;0),"",SUMPRODUCT((E14:X14&gt;0)*(INDEX(Equipe_X,MATCH($A48,Equipe_Nome,0),0)="X"))+ROW()*0.0001)</f>
        <v/>
      </c>
      <c r="R48">
        <f>IF(OR($A48="",$B48&lt;&gt;"Disponível",COUNTIF(Pai_Tec1,$A48)+COUNTIF(Pai_Tec2,$A48)&gt;0),"",SUMPRODUCT((E15:X15&gt;0)*(INDEX(Equipe_X,MATCH($A48,Equipe_Nome,0),0)="X"))+ROW()*0.0001)</f>
        <v/>
      </c>
      <c r="S48">
        <f>IF(OR($A48="",$B48&lt;&gt;"Disponível",COUNTIF(Pai_Tec1,$A48)+COUNTIF(Pai_Tec2,$A48)&gt;0),"",SUMPRODUCT((E16:X16&gt;0)*(INDEX(Equipe_X,MATCH($A48,Equipe_Nome,0),0)="X"))+ROW()*0.0001)</f>
        <v/>
      </c>
      <c r="T48">
        <f>IF(OR($A48="",$B48&lt;&gt;"Disponível",COUNTIF(Pai_Tec1,$A48)+COUNTIF(Pai_Tec2,$A48)&gt;0),"",SUMPRODUCT((E17:X17&gt;0)*(INDEX(Equipe_X,MATCH($A48,Equipe_Nome,0),0)="X"))+ROW()*0.0001)</f>
        <v/>
      </c>
    </row>
    <row r="49">
      <c r="A49">
        <f>IF('Equipe'!$B$13="","",'Equipe'!$B$13)</f>
        <v/>
      </c>
      <c r="B49">
        <f>IF($A49="","",IFERROR(INDEX(Equipe_Situacao,MATCH($A49,Equipe_Nome,0)),""))</f>
        <v/>
      </c>
      <c r="E49">
        <f>IF(OR($A49="",$B49&lt;&gt;"Disponível",COUNTIF(Pai_Tec1,$A49)+COUNTIF(Pai_Tec2,$A49)&gt;0),"",SUMPRODUCT((E2:X2&gt;0)*(INDEX(Equipe_X,MATCH($A49,Equipe_Nome,0),0)="X"))+ROW()*0.0001)</f>
        <v/>
      </c>
      <c r="F49">
        <f>IF(OR($A49="",$B49&lt;&gt;"Disponível",COUNTIF(Pai_Tec1,$A49)+COUNTIF(Pai_Tec2,$A49)&gt;0),"",SUMPRODUCT((E3:X3&gt;0)*(INDEX(Equipe_X,MATCH($A49,Equipe_Nome,0),0)="X"))+ROW()*0.0001)</f>
        <v/>
      </c>
      <c r="G49">
        <f>IF(OR($A49="",$B49&lt;&gt;"Disponível",COUNTIF(Pai_Tec1,$A49)+COUNTIF(Pai_Tec2,$A49)&gt;0),"",SUMPRODUCT((E4:X4&gt;0)*(INDEX(Equipe_X,MATCH($A49,Equipe_Nome,0),0)="X"))+ROW()*0.0001)</f>
        <v/>
      </c>
      <c r="H49">
        <f>IF(OR($A49="",$B49&lt;&gt;"Disponível",COUNTIF(Pai_Tec1,$A49)+COUNTIF(Pai_Tec2,$A49)&gt;0),"",SUMPRODUCT((E5:X5&gt;0)*(INDEX(Equipe_X,MATCH($A49,Equipe_Nome,0),0)="X"))+ROW()*0.0001)</f>
        <v/>
      </c>
      <c r="I49">
        <f>IF(OR($A49="",$B49&lt;&gt;"Disponível",COUNTIF(Pai_Tec1,$A49)+COUNTIF(Pai_Tec2,$A49)&gt;0),"",SUMPRODUCT((E6:X6&gt;0)*(INDEX(Equipe_X,MATCH($A49,Equipe_Nome,0),0)="X"))+ROW()*0.0001)</f>
        <v/>
      </c>
      <c r="J49">
        <f>IF(OR($A49="",$B49&lt;&gt;"Disponível",COUNTIF(Pai_Tec1,$A49)+COUNTIF(Pai_Tec2,$A49)&gt;0),"",SUMPRODUCT((E7:X7&gt;0)*(INDEX(Equipe_X,MATCH($A49,Equipe_Nome,0),0)="X"))+ROW()*0.0001)</f>
        <v/>
      </c>
      <c r="K49">
        <f>IF(OR($A49="",$B49&lt;&gt;"Disponível",COUNTIF(Pai_Tec1,$A49)+COUNTIF(Pai_Tec2,$A49)&gt;0),"",SUMPRODUCT((E8:X8&gt;0)*(INDEX(Equipe_X,MATCH($A49,Equipe_Nome,0),0)="X"))+ROW()*0.0001)</f>
        <v/>
      </c>
      <c r="L49">
        <f>IF(OR($A49="",$B49&lt;&gt;"Disponível",COUNTIF(Pai_Tec1,$A49)+COUNTIF(Pai_Tec2,$A49)&gt;0),"",SUMPRODUCT((E9:X9&gt;0)*(INDEX(Equipe_X,MATCH($A49,Equipe_Nome,0),0)="X"))+ROW()*0.0001)</f>
        <v/>
      </c>
      <c r="M49">
        <f>IF(OR($A49="",$B49&lt;&gt;"Disponível",COUNTIF(Pai_Tec1,$A49)+COUNTIF(Pai_Tec2,$A49)&gt;0),"",SUMPRODUCT((E10:X10&gt;0)*(INDEX(Equipe_X,MATCH($A49,Equipe_Nome,0),0)="X"))+ROW()*0.0001)</f>
        <v/>
      </c>
      <c r="N49">
        <f>IF(OR($A49="",$B49&lt;&gt;"Disponível",COUNTIF(Pai_Tec1,$A49)+COUNTIF(Pai_Tec2,$A49)&gt;0),"",SUMPRODUCT((E11:X11&gt;0)*(INDEX(Equipe_X,MATCH($A49,Equipe_Nome,0),0)="X"))+ROW()*0.0001)</f>
        <v/>
      </c>
      <c r="O49">
        <f>IF(OR($A49="",$B49&lt;&gt;"Disponível",COUNTIF(Pai_Tec1,$A49)+COUNTIF(Pai_Tec2,$A49)&gt;0),"",SUMPRODUCT((E12:X12&gt;0)*(INDEX(Equipe_X,MATCH($A49,Equipe_Nome,0),0)="X"))+ROW()*0.0001)</f>
        <v/>
      </c>
      <c r="P49">
        <f>IF(OR($A49="",$B49&lt;&gt;"Disponível",COUNTIF(Pai_Tec1,$A49)+COUNTIF(Pai_Tec2,$A49)&gt;0),"",SUMPRODUCT((E13:X13&gt;0)*(INDEX(Equipe_X,MATCH($A49,Equipe_Nome,0),0)="X"))+ROW()*0.0001)</f>
        <v/>
      </c>
      <c r="Q49">
        <f>IF(OR($A49="",$B49&lt;&gt;"Disponível",COUNTIF(Pai_Tec1,$A49)+COUNTIF(Pai_Tec2,$A49)&gt;0),"",SUMPRODUCT((E14:X14&gt;0)*(INDEX(Equipe_X,MATCH($A49,Equipe_Nome,0),0)="X"))+ROW()*0.0001)</f>
        <v/>
      </c>
      <c r="R49">
        <f>IF(OR($A49="",$B49&lt;&gt;"Disponível",COUNTIF(Pai_Tec1,$A49)+COUNTIF(Pai_Tec2,$A49)&gt;0),"",SUMPRODUCT((E15:X15&gt;0)*(INDEX(Equipe_X,MATCH($A49,Equipe_Nome,0),0)="X"))+ROW()*0.0001)</f>
        <v/>
      </c>
      <c r="S49">
        <f>IF(OR($A49="",$B49&lt;&gt;"Disponível",COUNTIF(Pai_Tec1,$A49)+COUNTIF(Pai_Tec2,$A49)&gt;0),"",SUMPRODUCT((E16:X16&gt;0)*(INDEX(Equipe_X,MATCH($A49,Equipe_Nome,0),0)="X"))+ROW()*0.0001)</f>
        <v/>
      </c>
      <c r="T49">
        <f>IF(OR($A49="",$B49&lt;&gt;"Disponível",COUNTIF(Pai_Tec1,$A49)+COUNTIF(Pai_Tec2,$A49)&gt;0),"",SUMPRODUCT((E17:X17&gt;0)*(INDEX(Equipe_X,MATCH($A49,Equipe_Nome,0),0)="X"))+ROW()*0.0001)</f>
        <v/>
      </c>
    </row>
    <row r="50">
      <c r="A50">
        <f>IF('Equipe'!$B$14="","",'Equipe'!$B$14)</f>
        <v/>
      </c>
      <c r="B50">
        <f>IF($A50="","",IFERROR(INDEX(Equipe_Situacao,MATCH($A50,Equipe_Nome,0)),""))</f>
        <v/>
      </c>
      <c r="E50">
        <f>IF(OR($A50="",$B50&lt;&gt;"Disponível",COUNTIF(Pai_Tec1,$A50)+COUNTIF(Pai_Tec2,$A50)&gt;0),"",SUMPRODUCT((E2:X2&gt;0)*(INDEX(Equipe_X,MATCH($A50,Equipe_Nome,0),0)="X"))+ROW()*0.0001)</f>
        <v/>
      </c>
      <c r="F50">
        <f>IF(OR($A50="",$B50&lt;&gt;"Disponível",COUNTIF(Pai_Tec1,$A50)+COUNTIF(Pai_Tec2,$A50)&gt;0),"",SUMPRODUCT((E3:X3&gt;0)*(INDEX(Equipe_X,MATCH($A50,Equipe_Nome,0),0)="X"))+ROW()*0.0001)</f>
        <v/>
      </c>
      <c r="G50">
        <f>IF(OR($A50="",$B50&lt;&gt;"Disponível",COUNTIF(Pai_Tec1,$A50)+COUNTIF(Pai_Tec2,$A50)&gt;0),"",SUMPRODUCT((E4:X4&gt;0)*(INDEX(Equipe_X,MATCH($A50,Equipe_Nome,0),0)="X"))+ROW()*0.0001)</f>
        <v/>
      </c>
      <c r="H50">
        <f>IF(OR($A50="",$B50&lt;&gt;"Disponível",COUNTIF(Pai_Tec1,$A50)+COUNTIF(Pai_Tec2,$A50)&gt;0),"",SUMPRODUCT((E5:X5&gt;0)*(INDEX(Equipe_X,MATCH($A50,Equipe_Nome,0),0)="X"))+ROW()*0.0001)</f>
        <v/>
      </c>
      <c r="I50">
        <f>IF(OR($A50="",$B50&lt;&gt;"Disponível",COUNTIF(Pai_Tec1,$A50)+COUNTIF(Pai_Tec2,$A50)&gt;0),"",SUMPRODUCT((E6:X6&gt;0)*(INDEX(Equipe_X,MATCH($A50,Equipe_Nome,0),0)="X"))+ROW()*0.0001)</f>
        <v/>
      </c>
      <c r="J50">
        <f>IF(OR($A50="",$B50&lt;&gt;"Disponível",COUNTIF(Pai_Tec1,$A50)+COUNTIF(Pai_Tec2,$A50)&gt;0),"",SUMPRODUCT((E7:X7&gt;0)*(INDEX(Equipe_X,MATCH($A50,Equipe_Nome,0),0)="X"))+ROW()*0.0001)</f>
        <v/>
      </c>
      <c r="K50">
        <f>IF(OR($A50="",$B50&lt;&gt;"Disponível",COUNTIF(Pai_Tec1,$A50)+COUNTIF(Pai_Tec2,$A50)&gt;0),"",SUMPRODUCT((E8:X8&gt;0)*(INDEX(Equipe_X,MATCH($A50,Equipe_Nome,0),0)="X"))+ROW()*0.0001)</f>
        <v/>
      </c>
      <c r="L50">
        <f>IF(OR($A50="",$B50&lt;&gt;"Disponível",COUNTIF(Pai_Tec1,$A50)+COUNTIF(Pai_Tec2,$A50)&gt;0),"",SUMPRODUCT((E9:X9&gt;0)*(INDEX(Equipe_X,MATCH($A50,Equipe_Nome,0),0)="X"))+ROW()*0.0001)</f>
        <v/>
      </c>
      <c r="M50">
        <f>IF(OR($A50="",$B50&lt;&gt;"Disponível",COUNTIF(Pai_Tec1,$A50)+COUNTIF(Pai_Tec2,$A50)&gt;0),"",SUMPRODUCT((E10:X10&gt;0)*(INDEX(Equipe_X,MATCH($A50,Equipe_Nome,0),0)="X"))+ROW()*0.0001)</f>
        <v/>
      </c>
      <c r="N50">
        <f>IF(OR($A50="",$B50&lt;&gt;"Disponível",COUNTIF(Pai_Tec1,$A50)+COUNTIF(Pai_Tec2,$A50)&gt;0),"",SUMPRODUCT((E11:X11&gt;0)*(INDEX(Equipe_X,MATCH($A50,Equipe_Nome,0),0)="X"))+ROW()*0.0001)</f>
        <v/>
      </c>
      <c r="O50">
        <f>IF(OR($A50="",$B50&lt;&gt;"Disponível",COUNTIF(Pai_Tec1,$A50)+COUNTIF(Pai_Tec2,$A50)&gt;0),"",SUMPRODUCT((E12:X12&gt;0)*(INDEX(Equipe_X,MATCH($A50,Equipe_Nome,0),0)="X"))+ROW()*0.0001)</f>
        <v/>
      </c>
      <c r="P50">
        <f>IF(OR($A50="",$B50&lt;&gt;"Disponível",COUNTIF(Pai_Tec1,$A50)+COUNTIF(Pai_Tec2,$A50)&gt;0),"",SUMPRODUCT((E13:X13&gt;0)*(INDEX(Equipe_X,MATCH($A50,Equipe_Nome,0),0)="X"))+ROW()*0.0001)</f>
        <v/>
      </c>
      <c r="Q50">
        <f>IF(OR($A50="",$B50&lt;&gt;"Disponível",COUNTIF(Pai_Tec1,$A50)+COUNTIF(Pai_Tec2,$A50)&gt;0),"",SUMPRODUCT((E14:X14&gt;0)*(INDEX(Equipe_X,MATCH($A50,Equipe_Nome,0),0)="X"))+ROW()*0.0001)</f>
        <v/>
      </c>
      <c r="R50">
        <f>IF(OR($A50="",$B50&lt;&gt;"Disponível",COUNTIF(Pai_Tec1,$A50)+COUNTIF(Pai_Tec2,$A50)&gt;0),"",SUMPRODUCT((E15:X15&gt;0)*(INDEX(Equipe_X,MATCH($A50,Equipe_Nome,0),0)="X"))+ROW()*0.0001)</f>
        <v/>
      </c>
      <c r="S50">
        <f>IF(OR($A50="",$B50&lt;&gt;"Disponível",COUNTIF(Pai_Tec1,$A50)+COUNTIF(Pai_Tec2,$A50)&gt;0),"",SUMPRODUCT((E16:X16&gt;0)*(INDEX(Equipe_X,MATCH($A50,Equipe_Nome,0),0)="X"))+ROW()*0.0001)</f>
        <v/>
      </c>
      <c r="T50">
        <f>IF(OR($A50="",$B50&lt;&gt;"Disponível",COUNTIF(Pai_Tec1,$A50)+COUNTIF(Pai_Tec2,$A50)&gt;0),"",SUMPRODUCT((E17:X17&gt;0)*(INDEX(Equipe_X,MATCH($A50,Equipe_Nome,0),0)="X"))+ROW()*0.0001)</f>
        <v/>
      </c>
    </row>
    <row r="51">
      <c r="A51">
        <f>IF('Equipe'!$B$15="","",'Equipe'!$B$15)</f>
        <v/>
      </c>
      <c r="B51">
        <f>IF($A51="","",IFERROR(INDEX(Equipe_Situacao,MATCH($A51,Equipe_Nome,0)),""))</f>
        <v/>
      </c>
      <c r="E51">
        <f>IF(OR($A51="",$B51&lt;&gt;"Disponível",COUNTIF(Pai_Tec1,$A51)+COUNTIF(Pai_Tec2,$A51)&gt;0),"",SUMPRODUCT((E2:X2&gt;0)*(INDEX(Equipe_X,MATCH($A51,Equipe_Nome,0),0)="X"))+ROW()*0.0001)</f>
        <v/>
      </c>
      <c r="F51">
        <f>IF(OR($A51="",$B51&lt;&gt;"Disponível",COUNTIF(Pai_Tec1,$A51)+COUNTIF(Pai_Tec2,$A51)&gt;0),"",SUMPRODUCT((E3:X3&gt;0)*(INDEX(Equipe_X,MATCH($A51,Equipe_Nome,0),0)="X"))+ROW()*0.0001)</f>
        <v/>
      </c>
      <c r="G51">
        <f>IF(OR($A51="",$B51&lt;&gt;"Disponível",COUNTIF(Pai_Tec1,$A51)+COUNTIF(Pai_Tec2,$A51)&gt;0),"",SUMPRODUCT((E4:X4&gt;0)*(INDEX(Equipe_X,MATCH($A51,Equipe_Nome,0),0)="X"))+ROW()*0.0001)</f>
        <v/>
      </c>
      <c r="H51">
        <f>IF(OR($A51="",$B51&lt;&gt;"Disponível",COUNTIF(Pai_Tec1,$A51)+COUNTIF(Pai_Tec2,$A51)&gt;0),"",SUMPRODUCT((E5:X5&gt;0)*(INDEX(Equipe_X,MATCH($A51,Equipe_Nome,0),0)="X"))+ROW()*0.0001)</f>
        <v/>
      </c>
      <c r="I51">
        <f>IF(OR($A51="",$B51&lt;&gt;"Disponível",COUNTIF(Pai_Tec1,$A51)+COUNTIF(Pai_Tec2,$A51)&gt;0),"",SUMPRODUCT((E6:X6&gt;0)*(INDEX(Equipe_X,MATCH($A51,Equipe_Nome,0),0)="X"))+ROW()*0.0001)</f>
        <v/>
      </c>
      <c r="J51">
        <f>IF(OR($A51="",$B51&lt;&gt;"Disponível",COUNTIF(Pai_Tec1,$A51)+COUNTIF(Pai_Tec2,$A51)&gt;0),"",SUMPRODUCT((E7:X7&gt;0)*(INDEX(Equipe_X,MATCH($A51,Equipe_Nome,0),0)="X"))+ROW()*0.0001)</f>
        <v/>
      </c>
      <c r="K51">
        <f>IF(OR($A51="",$B51&lt;&gt;"Disponível",COUNTIF(Pai_Tec1,$A51)+COUNTIF(Pai_Tec2,$A51)&gt;0),"",SUMPRODUCT((E8:X8&gt;0)*(INDEX(Equipe_X,MATCH($A51,Equipe_Nome,0),0)="X"))+ROW()*0.0001)</f>
        <v/>
      </c>
      <c r="L51">
        <f>IF(OR($A51="",$B51&lt;&gt;"Disponível",COUNTIF(Pai_Tec1,$A51)+COUNTIF(Pai_Tec2,$A51)&gt;0),"",SUMPRODUCT((E9:X9&gt;0)*(INDEX(Equipe_X,MATCH($A51,Equipe_Nome,0),0)="X"))+ROW()*0.0001)</f>
        <v/>
      </c>
      <c r="M51">
        <f>IF(OR($A51="",$B51&lt;&gt;"Disponível",COUNTIF(Pai_Tec1,$A51)+COUNTIF(Pai_Tec2,$A51)&gt;0),"",SUMPRODUCT((E10:X10&gt;0)*(INDEX(Equipe_X,MATCH($A51,Equipe_Nome,0),0)="X"))+ROW()*0.0001)</f>
        <v/>
      </c>
      <c r="N51">
        <f>IF(OR($A51="",$B51&lt;&gt;"Disponível",COUNTIF(Pai_Tec1,$A51)+COUNTIF(Pai_Tec2,$A51)&gt;0),"",SUMPRODUCT((E11:X11&gt;0)*(INDEX(Equipe_X,MATCH($A51,Equipe_Nome,0),0)="X"))+ROW()*0.0001)</f>
        <v/>
      </c>
      <c r="O51">
        <f>IF(OR($A51="",$B51&lt;&gt;"Disponível",COUNTIF(Pai_Tec1,$A51)+COUNTIF(Pai_Tec2,$A51)&gt;0),"",SUMPRODUCT((E12:X12&gt;0)*(INDEX(Equipe_X,MATCH($A51,Equipe_Nome,0),0)="X"))+ROW()*0.0001)</f>
        <v/>
      </c>
      <c r="P51">
        <f>IF(OR($A51="",$B51&lt;&gt;"Disponível",COUNTIF(Pai_Tec1,$A51)+COUNTIF(Pai_Tec2,$A51)&gt;0),"",SUMPRODUCT((E13:X13&gt;0)*(INDEX(Equipe_X,MATCH($A51,Equipe_Nome,0),0)="X"))+ROW()*0.0001)</f>
        <v/>
      </c>
      <c r="Q51">
        <f>IF(OR($A51="",$B51&lt;&gt;"Disponível",COUNTIF(Pai_Tec1,$A51)+COUNTIF(Pai_Tec2,$A51)&gt;0),"",SUMPRODUCT((E14:X14&gt;0)*(INDEX(Equipe_X,MATCH($A51,Equipe_Nome,0),0)="X"))+ROW()*0.0001)</f>
        <v/>
      </c>
      <c r="R51">
        <f>IF(OR($A51="",$B51&lt;&gt;"Disponível",COUNTIF(Pai_Tec1,$A51)+COUNTIF(Pai_Tec2,$A51)&gt;0),"",SUMPRODUCT((E15:X15&gt;0)*(INDEX(Equipe_X,MATCH($A51,Equipe_Nome,0),0)="X"))+ROW()*0.0001)</f>
        <v/>
      </c>
      <c r="S51">
        <f>IF(OR($A51="",$B51&lt;&gt;"Disponível",COUNTIF(Pai_Tec1,$A51)+COUNTIF(Pai_Tec2,$A51)&gt;0),"",SUMPRODUCT((E16:X16&gt;0)*(INDEX(Equipe_X,MATCH($A51,Equipe_Nome,0),0)="X"))+ROW()*0.0001)</f>
        <v/>
      </c>
      <c r="T51">
        <f>IF(OR($A51="",$B51&lt;&gt;"Disponível",COUNTIF(Pai_Tec1,$A51)+COUNTIF(Pai_Tec2,$A51)&gt;0),"",SUMPRODUCT((E17:X17&gt;0)*(INDEX(Equipe_X,MATCH($A51,Equipe_Nome,0),0)="X"))+ROW()*0.0001)</f>
        <v/>
      </c>
    </row>
    <row r="52">
      <c r="A52">
        <f>IF('Equipe'!$B$16="","",'Equipe'!$B$16)</f>
        <v/>
      </c>
      <c r="B52">
        <f>IF($A52="","",IFERROR(INDEX(Equipe_Situacao,MATCH($A52,Equipe_Nome,0)),""))</f>
        <v/>
      </c>
      <c r="E52">
        <f>IF(OR($A52="",$B52&lt;&gt;"Disponível",COUNTIF(Pai_Tec1,$A52)+COUNTIF(Pai_Tec2,$A52)&gt;0),"",SUMPRODUCT((E2:X2&gt;0)*(INDEX(Equipe_X,MATCH($A52,Equipe_Nome,0),0)="X"))+ROW()*0.0001)</f>
        <v/>
      </c>
      <c r="F52">
        <f>IF(OR($A52="",$B52&lt;&gt;"Disponível",COUNTIF(Pai_Tec1,$A52)+COUNTIF(Pai_Tec2,$A52)&gt;0),"",SUMPRODUCT((E3:X3&gt;0)*(INDEX(Equipe_X,MATCH($A52,Equipe_Nome,0),0)="X"))+ROW()*0.0001)</f>
        <v/>
      </c>
      <c r="G52">
        <f>IF(OR($A52="",$B52&lt;&gt;"Disponível",COUNTIF(Pai_Tec1,$A52)+COUNTIF(Pai_Tec2,$A52)&gt;0),"",SUMPRODUCT((E4:X4&gt;0)*(INDEX(Equipe_X,MATCH($A52,Equipe_Nome,0),0)="X"))+ROW()*0.0001)</f>
        <v/>
      </c>
      <c r="H52">
        <f>IF(OR($A52="",$B52&lt;&gt;"Disponível",COUNTIF(Pai_Tec1,$A52)+COUNTIF(Pai_Tec2,$A52)&gt;0),"",SUMPRODUCT((E5:X5&gt;0)*(INDEX(Equipe_X,MATCH($A52,Equipe_Nome,0),0)="X"))+ROW()*0.0001)</f>
        <v/>
      </c>
      <c r="I52">
        <f>IF(OR($A52="",$B52&lt;&gt;"Disponível",COUNTIF(Pai_Tec1,$A52)+COUNTIF(Pai_Tec2,$A52)&gt;0),"",SUMPRODUCT((E6:X6&gt;0)*(INDEX(Equipe_X,MATCH($A52,Equipe_Nome,0),0)="X"))+ROW()*0.0001)</f>
        <v/>
      </c>
      <c r="J52">
        <f>IF(OR($A52="",$B52&lt;&gt;"Disponível",COUNTIF(Pai_Tec1,$A52)+COUNTIF(Pai_Tec2,$A52)&gt;0),"",SUMPRODUCT((E7:X7&gt;0)*(INDEX(Equipe_X,MATCH($A52,Equipe_Nome,0),0)="X"))+ROW()*0.0001)</f>
        <v/>
      </c>
      <c r="K52">
        <f>IF(OR($A52="",$B52&lt;&gt;"Disponível",COUNTIF(Pai_Tec1,$A52)+COUNTIF(Pai_Tec2,$A52)&gt;0),"",SUMPRODUCT((E8:X8&gt;0)*(INDEX(Equipe_X,MATCH($A52,Equipe_Nome,0),0)="X"))+ROW()*0.0001)</f>
        <v/>
      </c>
      <c r="L52">
        <f>IF(OR($A52="",$B52&lt;&gt;"Disponível",COUNTIF(Pai_Tec1,$A52)+COUNTIF(Pai_Tec2,$A52)&gt;0),"",SUMPRODUCT((E9:X9&gt;0)*(INDEX(Equipe_X,MATCH($A52,Equipe_Nome,0),0)="X"))+ROW()*0.0001)</f>
        <v/>
      </c>
      <c r="M52">
        <f>IF(OR($A52="",$B52&lt;&gt;"Disponível",COUNTIF(Pai_Tec1,$A52)+COUNTIF(Pai_Tec2,$A52)&gt;0),"",SUMPRODUCT((E10:X10&gt;0)*(INDEX(Equipe_X,MATCH($A52,Equipe_Nome,0),0)="X"))+ROW()*0.0001)</f>
        <v/>
      </c>
      <c r="N52">
        <f>IF(OR($A52="",$B52&lt;&gt;"Disponível",COUNTIF(Pai_Tec1,$A52)+COUNTIF(Pai_Tec2,$A52)&gt;0),"",SUMPRODUCT((E11:X11&gt;0)*(INDEX(Equipe_X,MATCH($A52,Equipe_Nome,0),0)="X"))+ROW()*0.0001)</f>
        <v/>
      </c>
      <c r="O52">
        <f>IF(OR($A52="",$B52&lt;&gt;"Disponível",COUNTIF(Pai_Tec1,$A52)+COUNTIF(Pai_Tec2,$A52)&gt;0),"",SUMPRODUCT((E12:X12&gt;0)*(INDEX(Equipe_X,MATCH($A52,Equipe_Nome,0),0)="X"))+ROW()*0.0001)</f>
        <v/>
      </c>
      <c r="P52">
        <f>IF(OR($A52="",$B52&lt;&gt;"Disponível",COUNTIF(Pai_Tec1,$A52)+COUNTIF(Pai_Tec2,$A52)&gt;0),"",SUMPRODUCT((E13:X13&gt;0)*(INDEX(Equipe_X,MATCH($A52,Equipe_Nome,0),0)="X"))+ROW()*0.0001)</f>
        <v/>
      </c>
      <c r="Q52">
        <f>IF(OR($A52="",$B52&lt;&gt;"Disponível",COUNTIF(Pai_Tec1,$A52)+COUNTIF(Pai_Tec2,$A52)&gt;0),"",SUMPRODUCT((E14:X14&gt;0)*(INDEX(Equipe_X,MATCH($A52,Equipe_Nome,0),0)="X"))+ROW()*0.0001)</f>
        <v/>
      </c>
      <c r="R52">
        <f>IF(OR($A52="",$B52&lt;&gt;"Disponível",COUNTIF(Pai_Tec1,$A52)+COUNTIF(Pai_Tec2,$A52)&gt;0),"",SUMPRODUCT((E15:X15&gt;0)*(INDEX(Equipe_X,MATCH($A52,Equipe_Nome,0),0)="X"))+ROW()*0.0001)</f>
        <v/>
      </c>
      <c r="S52">
        <f>IF(OR($A52="",$B52&lt;&gt;"Disponível",COUNTIF(Pai_Tec1,$A52)+COUNTIF(Pai_Tec2,$A52)&gt;0),"",SUMPRODUCT((E16:X16&gt;0)*(INDEX(Equipe_X,MATCH($A52,Equipe_Nome,0),0)="X"))+ROW()*0.0001)</f>
        <v/>
      </c>
      <c r="T52">
        <f>IF(OR($A52="",$B52&lt;&gt;"Disponível",COUNTIF(Pai_Tec1,$A52)+COUNTIF(Pai_Tec2,$A52)&gt;0),"",SUMPRODUCT((E17:X17&gt;0)*(INDEX(Equipe_X,MATCH($A52,Equipe_Nome,0),0)="X"))+ROW()*0.0001)</f>
        <v/>
      </c>
    </row>
    <row r="53">
      <c r="A53">
        <f>IF('Equipe'!$B$17="","",'Equipe'!$B$17)</f>
        <v/>
      </c>
      <c r="B53">
        <f>IF($A53="","",IFERROR(INDEX(Equipe_Situacao,MATCH($A53,Equipe_Nome,0)),""))</f>
        <v/>
      </c>
      <c r="E53">
        <f>IF(OR($A53="",$B53&lt;&gt;"Disponível",COUNTIF(Pai_Tec1,$A53)+COUNTIF(Pai_Tec2,$A53)&gt;0),"",SUMPRODUCT((E2:X2&gt;0)*(INDEX(Equipe_X,MATCH($A53,Equipe_Nome,0),0)="X"))+ROW()*0.0001)</f>
        <v/>
      </c>
      <c r="F53">
        <f>IF(OR($A53="",$B53&lt;&gt;"Disponível",COUNTIF(Pai_Tec1,$A53)+COUNTIF(Pai_Tec2,$A53)&gt;0),"",SUMPRODUCT((E3:X3&gt;0)*(INDEX(Equipe_X,MATCH($A53,Equipe_Nome,0),0)="X"))+ROW()*0.0001)</f>
        <v/>
      </c>
      <c r="G53">
        <f>IF(OR($A53="",$B53&lt;&gt;"Disponível",COUNTIF(Pai_Tec1,$A53)+COUNTIF(Pai_Tec2,$A53)&gt;0),"",SUMPRODUCT((E4:X4&gt;0)*(INDEX(Equipe_X,MATCH($A53,Equipe_Nome,0),0)="X"))+ROW()*0.0001)</f>
        <v/>
      </c>
      <c r="H53">
        <f>IF(OR($A53="",$B53&lt;&gt;"Disponível",COUNTIF(Pai_Tec1,$A53)+COUNTIF(Pai_Tec2,$A53)&gt;0),"",SUMPRODUCT((E5:X5&gt;0)*(INDEX(Equipe_X,MATCH($A53,Equipe_Nome,0),0)="X"))+ROW()*0.0001)</f>
        <v/>
      </c>
      <c r="I53">
        <f>IF(OR($A53="",$B53&lt;&gt;"Disponível",COUNTIF(Pai_Tec1,$A53)+COUNTIF(Pai_Tec2,$A53)&gt;0),"",SUMPRODUCT((E6:X6&gt;0)*(INDEX(Equipe_X,MATCH($A53,Equipe_Nome,0),0)="X"))+ROW()*0.0001)</f>
        <v/>
      </c>
      <c r="J53">
        <f>IF(OR($A53="",$B53&lt;&gt;"Disponível",COUNTIF(Pai_Tec1,$A53)+COUNTIF(Pai_Tec2,$A53)&gt;0),"",SUMPRODUCT((E7:X7&gt;0)*(INDEX(Equipe_X,MATCH($A53,Equipe_Nome,0),0)="X"))+ROW()*0.0001)</f>
        <v/>
      </c>
      <c r="K53">
        <f>IF(OR($A53="",$B53&lt;&gt;"Disponível",COUNTIF(Pai_Tec1,$A53)+COUNTIF(Pai_Tec2,$A53)&gt;0),"",SUMPRODUCT((E8:X8&gt;0)*(INDEX(Equipe_X,MATCH($A53,Equipe_Nome,0),0)="X"))+ROW()*0.0001)</f>
        <v/>
      </c>
      <c r="L53">
        <f>IF(OR($A53="",$B53&lt;&gt;"Disponível",COUNTIF(Pai_Tec1,$A53)+COUNTIF(Pai_Tec2,$A53)&gt;0),"",SUMPRODUCT((E9:X9&gt;0)*(INDEX(Equipe_X,MATCH($A53,Equipe_Nome,0),0)="X"))+ROW()*0.0001)</f>
        <v/>
      </c>
      <c r="M53">
        <f>IF(OR($A53="",$B53&lt;&gt;"Disponível",COUNTIF(Pai_Tec1,$A53)+COUNTIF(Pai_Tec2,$A53)&gt;0),"",SUMPRODUCT((E10:X10&gt;0)*(INDEX(Equipe_X,MATCH($A53,Equipe_Nome,0),0)="X"))+ROW()*0.0001)</f>
        <v/>
      </c>
      <c r="N53">
        <f>IF(OR($A53="",$B53&lt;&gt;"Disponível",COUNTIF(Pai_Tec1,$A53)+COUNTIF(Pai_Tec2,$A53)&gt;0),"",SUMPRODUCT((E11:X11&gt;0)*(INDEX(Equipe_X,MATCH($A53,Equipe_Nome,0),0)="X"))+ROW()*0.0001)</f>
        <v/>
      </c>
      <c r="O53">
        <f>IF(OR($A53="",$B53&lt;&gt;"Disponível",COUNTIF(Pai_Tec1,$A53)+COUNTIF(Pai_Tec2,$A53)&gt;0),"",SUMPRODUCT((E12:X12&gt;0)*(INDEX(Equipe_X,MATCH($A53,Equipe_Nome,0),0)="X"))+ROW()*0.0001)</f>
        <v/>
      </c>
      <c r="P53">
        <f>IF(OR($A53="",$B53&lt;&gt;"Disponível",COUNTIF(Pai_Tec1,$A53)+COUNTIF(Pai_Tec2,$A53)&gt;0),"",SUMPRODUCT((E13:X13&gt;0)*(INDEX(Equipe_X,MATCH($A53,Equipe_Nome,0),0)="X"))+ROW()*0.0001)</f>
        <v/>
      </c>
      <c r="Q53">
        <f>IF(OR($A53="",$B53&lt;&gt;"Disponível",COUNTIF(Pai_Tec1,$A53)+COUNTIF(Pai_Tec2,$A53)&gt;0),"",SUMPRODUCT((E14:X14&gt;0)*(INDEX(Equipe_X,MATCH($A53,Equipe_Nome,0),0)="X"))+ROW()*0.0001)</f>
        <v/>
      </c>
      <c r="R53">
        <f>IF(OR($A53="",$B53&lt;&gt;"Disponível",COUNTIF(Pai_Tec1,$A53)+COUNTIF(Pai_Tec2,$A53)&gt;0),"",SUMPRODUCT((E15:X15&gt;0)*(INDEX(Equipe_X,MATCH($A53,Equipe_Nome,0),0)="X"))+ROW()*0.0001)</f>
        <v/>
      </c>
      <c r="S53">
        <f>IF(OR($A53="",$B53&lt;&gt;"Disponível",COUNTIF(Pai_Tec1,$A53)+COUNTIF(Pai_Tec2,$A53)&gt;0),"",SUMPRODUCT((E16:X16&gt;0)*(INDEX(Equipe_X,MATCH($A53,Equipe_Nome,0),0)="X"))+ROW()*0.0001)</f>
        <v/>
      </c>
      <c r="T53">
        <f>IF(OR($A53="",$B53&lt;&gt;"Disponível",COUNTIF(Pai_Tec1,$A53)+COUNTIF(Pai_Tec2,$A53)&gt;0),"",SUMPRODUCT((E17:X17&gt;0)*(INDEX(Equipe_X,MATCH($A53,Equipe_Nome,0),0)="X"))+ROW()*0.0001)</f>
        <v/>
      </c>
    </row>
    <row r="54">
      <c r="A54">
        <f>IF('Equipe'!$B$18="","",'Equipe'!$B$18)</f>
        <v/>
      </c>
      <c r="B54">
        <f>IF($A54="","",IFERROR(INDEX(Equipe_Situacao,MATCH($A54,Equipe_Nome,0)),""))</f>
        <v/>
      </c>
      <c r="E54">
        <f>IF(OR($A54="",$B54&lt;&gt;"Disponível",COUNTIF(Pai_Tec1,$A54)+COUNTIF(Pai_Tec2,$A54)&gt;0),"",SUMPRODUCT((E2:X2&gt;0)*(INDEX(Equipe_X,MATCH($A54,Equipe_Nome,0),0)="X"))+ROW()*0.0001)</f>
        <v/>
      </c>
      <c r="F54">
        <f>IF(OR($A54="",$B54&lt;&gt;"Disponível",COUNTIF(Pai_Tec1,$A54)+COUNTIF(Pai_Tec2,$A54)&gt;0),"",SUMPRODUCT((E3:X3&gt;0)*(INDEX(Equipe_X,MATCH($A54,Equipe_Nome,0),0)="X"))+ROW()*0.0001)</f>
        <v/>
      </c>
      <c r="G54">
        <f>IF(OR($A54="",$B54&lt;&gt;"Disponível",COUNTIF(Pai_Tec1,$A54)+COUNTIF(Pai_Tec2,$A54)&gt;0),"",SUMPRODUCT((E4:X4&gt;0)*(INDEX(Equipe_X,MATCH($A54,Equipe_Nome,0),0)="X"))+ROW()*0.0001)</f>
        <v/>
      </c>
      <c r="H54">
        <f>IF(OR($A54="",$B54&lt;&gt;"Disponível",COUNTIF(Pai_Tec1,$A54)+COUNTIF(Pai_Tec2,$A54)&gt;0),"",SUMPRODUCT((E5:X5&gt;0)*(INDEX(Equipe_X,MATCH($A54,Equipe_Nome,0),0)="X"))+ROW()*0.0001)</f>
        <v/>
      </c>
      <c r="I54">
        <f>IF(OR($A54="",$B54&lt;&gt;"Disponível",COUNTIF(Pai_Tec1,$A54)+COUNTIF(Pai_Tec2,$A54)&gt;0),"",SUMPRODUCT((E6:X6&gt;0)*(INDEX(Equipe_X,MATCH($A54,Equipe_Nome,0),0)="X"))+ROW()*0.0001)</f>
        <v/>
      </c>
      <c r="J54">
        <f>IF(OR($A54="",$B54&lt;&gt;"Disponível",COUNTIF(Pai_Tec1,$A54)+COUNTIF(Pai_Tec2,$A54)&gt;0),"",SUMPRODUCT((E7:X7&gt;0)*(INDEX(Equipe_X,MATCH($A54,Equipe_Nome,0),0)="X"))+ROW()*0.0001)</f>
        <v/>
      </c>
      <c r="K54">
        <f>IF(OR($A54="",$B54&lt;&gt;"Disponível",COUNTIF(Pai_Tec1,$A54)+COUNTIF(Pai_Tec2,$A54)&gt;0),"",SUMPRODUCT((E8:X8&gt;0)*(INDEX(Equipe_X,MATCH($A54,Equipe_Nome,0),0)="X"))+ROW()*0.0001)</f>
        <v/>
      </c>
      <c r="L54">
        <f>IF(OR($A54="",$B54&lt;&gt;"Disponível",COUNTIF(Pai_Tec1,$A54)+COUNTIF(Pai_Tec2,$A54)&gt;0),"",SUMPRODUCT((E9:X9&gt;0)*(INDEX(Equipe_X,MATCH($A54,Equipe_Nome,0),0)="X"))+ROW()*0.0001)</f>
        <v/>
      </c>
      <c r="M54">
        <f>IF(OR($A54="",$B54&lt;&gt;"Disponível",COUNTIF(Pai_Tec1,$A54)+COUNTIF(Pai_Tec2,$A54)&gt;0),"",SUMPRODUCT((E10:X10&gt;0)*(INDEX(Equipe_X,MATCH($A54,Equipe_Nome,0),0)="X"))+ROW()*0.0001)</f>
        <v/>
      </c>
      <c r="N54">
        <f>IF(OR($A54="",$B54&lt;&gt;"Disponível",COUNTIF(Pai_Tec1,$A54)+COUNTIF(Pai_Tec2,$A54)&gt;0),"",SUMPRODUCT((E11:X11&gt;0)*(INDEX(Equipe_X,MATCH($A54,Equipe_Nome,0),0)="X"))+ROW()*0.0001)</f>
        <v/>
      </c>
      <c r="O54">
        <f>IF(OR($A54="",$B54&lt;&gt;"Disponível",COUNTIF(Pai_Tec1,$A54)+COUNTIF(Pai_Tec2,$A54)&gt;0),"",SUMPRODUCT((E12:X12&gt;0)*(INDEX(Equipe_X,MATCH($A54,Equipe_Nome,0),0)="X"))+ROW()*0.0001)</f>
        <v/>
      </c>
      <c r="P54">
        <f>IF(OR($A54="",$B54&lt;&gt;"Disponível",COUNTIF(Pai_Tec1,$A54)+COUNTIF(Pai_Tec2,$A54)&gt;0),"",SUMPRODUCT((E13:X13&gt;0)*(INDEX(Equipe_X,MATCH($A54,Equipe_Nome,0),0)="X"))+ROW()*0.0001)</f>
        <v/>
      </c>
      <c r="Q54">
        <f>IF(OR($A54="",$B54&lt;&gt;"Disponível",COUNTIF(Pai_Tec1,$A54)+COUNTIF(Pai_Tec2,$A54)&gt;0),"",SUMPRODUCT((E14:X14&gt;0)*(INDEX(Equipe_X,MATCH($A54,Equipe_Nome,0),0)="X"))+ROW()*0.0001)</f>
        <v/>
      </c>
      <c r="R54">
        <f>IF(OR($A54="",$B54&lt;&gt;"Disponível",COUNTIF(Pai_Tec1,$A54)+COUNTIF(Pai_Tec2,$A54)&gt;0),"",SUMPRODUCT((E15:X15&gt;0)*(INDEX(Equipe_X,MATCH($A54,Equipe_Nome,0),0)="X"))+ROW()*0.0001)</f>
        <v/>
      </c>
      <c r="S54">
        <f>IF(OR($A54="",$B54&lt;&gt;"Disponível",COUNTIF(Pai_Tec1,$A54)+COUNTIF(Pai_Tec2,$A54)&gt;0),"",SUMPRODUCT((E16:X16&gt;0)*(INDEX(Equipe_X,MATCH($A54,Equipe_Nome,0),0)="X"))+ROW()*0.0001)</f>
        <v/>
      </c>
      <c r="T54">
        <f>IF(OR($A54="",$B54&lt;&gt;"Disponível",COUNTIF(Pai_Tec1,$A54)+COUNTIF(Pai_Tec2,$A54)&gt;0),"",SUMPRODUCT((E17:X17&gt;0)*(INDEX(Equipe_X,MATCH($A54,Equipe_Nome,0),0)="X"))+ROW()*0.0001)</f>
        <v/>
      </c>
    </row>
    <row r="55">
      <c r="A55">
        <f>IF('Equipe'!$B$19="","",'Equipe'!$B$19)</f>
        <v/>
      </c>
      <c r="B55">
        <f>IF($A55="","",IFERROR(INDEX(Equipe_Situacao,MATCH($A55,Equipe_Nome,0)),""))</f>
        <v/>
      </c>
      <c r="E55">
        <f>IF(OR($A55="",$B55&lt;&gt;"Disponível",COUNTIF(Pai_Tec1,$A55)+COUNTIF(Pai_Tec2,$A55)&gt;0),"",SUMPRODUCT((E2:X2&gt;0)*(INDEX(Equipe_X,MATCH($A55,Equipe_Nome,0),0)="X"))+ROW()*0.0001)</f>
        <v/>
      </c>
      <c r="F55">
        <f>IF(OR($A55="",$B55&lt;&gt;"Disponível",COUNTIF(Pai_Tec1,$A55)+COUNTIF(Pai_Tec2,$A55)&gt;0),"",SUMPRODUCT((E3:X3&gt;0)*(INDEX(Equipe_X,MATCH($A55,Equipe_Nome,0),0)="X"))+ROW()*0.0001)</f>
        <v/>
      </c>
      <c r="G55">
        <f>IF(OR($A55="",$B55&lt;&gt;"Disponível",COUNTIF(Pai_Tec1,$A55)+COUNTIF(Pai_Tec2,$A55)&gt;0),"",SUMPRODUCT((E4:X4&gt;0)*(INDEX(Equipe_X,MATCH($A55,Equipe_Nome,0),0)="X"))+ROW()*0.0001)</f>
        <v/>
      </c>
      <c r="H55">
        <f>IF(OR($A55="",$B55&lt;&gt;"Disponível",COUNTIF(Pai_Tec1,$A55)+COUNTIF(Pai_Tec2,$A55)&gt;0),"",SUMPRODUCT((E5:X5&gt;0)*(INDEX(Equipe_X,MATCH($A55,Equipe_Nome,0),0)="X"))+ROW()*0.0001)</f>
        <v/>
      </c>
      <c r="I55">
        <f>IF(OR($A55="",$B55&lt;&gt;"Disponível",COUNTIF(Pai_Tec1,$A55)+COUNTIF(Pai_Tec2,$A55)&gt;0),"",SUMPRODUCT((E6:X6&gt;0)*(INDEX(Equipe_X,MATCH($A55,Equipe_Nome,0),0)="X"))+ROW()*0.0001)</f>
        <v/>
      </c>
      <c r="J55">
        <f>IF(OR($A55="",$B55&lt;&gt;"Disponível",COUNTIF(Pai_Tec1,$A55)+COUNTIF(Pai_Tec2,$A55)&gt;0),"",SUMPRODUCT((E7:X7&gt;0)*(INDEX(Equipe_X,MATCH($A55,Equipe_Nome,0),0)="X"))+ROW()*0.0001)</f>
        <v/>
      </c>
      <c r="K55">
        <f>IF(OR($A55="",$B55&lt;&gt;"Disponível",COUNTIF(Pai_Tec1,$A55)+COUNTIF(Pai_Tec2,$A55)&gt;0),"",SUMPRODUCT((E8:X8&gt;0)*(INDEX(Equipe_X,MATCH($A55,Equipe_Nome,0),0)="X"))+ROW()*0.0001)</f>
        <v/>
      </c>
      <c r="L55">
        <f>IF(OR($A55="",$B55&lt;&gt;"Disponível",COUNTIF(Pai_Tec1,$A55)+COUNTIF(Pai_Tec2,$A55)&gt;0),"",SUMPRODUCT((E9:X9&gt;0)*(INDEX(Equipe_X,MATCH($A55,Equipe_Nome,0),0)="X"))+ROW()*0.0001)</f>
        <v/>
      </c>
      <c r="M55">
        <f>IF(OR($A55="",$B55&lt;&gt;"Disponível",COUNTIF(Pai_Tec1,$A55)+COUNTIF(Pai_Tec2,$A55)&gt;0),"",SUMPRODUCT((E10:X10&gt;0)*(INDEX(Equipe_X,MATCH($A55,Equipe_Nome,0),0)="X"))+ROW()*0.0001)</f>
        <v/>
      </c>
      <c r="N55">
        <f>IF(OR($A55="",$B55&lt;&gt;"Disponível",COUNTIF(Pai_Tec1,$A55)+COUNTIF(Pai_Tec2,$A55)&gt;0),"",SUMPRODUCT((E11:X11&gt;0)*(INDEX(Equipe_X,MATCH($A55,Equipe_Nome,0),0)="X"))+ROW()*0.0001)</f>
        <v/>
      </c>
      <c r="O55">
        <f>IF(OR($A55="",$B55&lt;&gt;"Disponível",COUNTIF(Pai_Tec1,$A55)+COUNTIF(Pai_Tec2,$A55)&gt;0),"",SUMPRODUCT((E12:X12&gt;0)*(INDEX(Equipe_X,MATCH($A55,Equipe_Nome,0),0)="X"))+ROW()*0.0001)</f>
        <v/>
      </c>
      <c r="P55">
        <f>IF(OR($A55="",$B55&lt;&gt;"Disponível",COUNTIF(Pai_Tec1,$A55)+COUNTIF(Pai_Tec2,$A55)&gt;0),"",SUMPRODUCT((E13:X13&gt;0)*(INDEX(Equipe_X,MATCH($A55,Equipe_Nome,0),0)="X"))+ROW()*0.0001)</f>
        <v/>
      </c>
      <c r="Q55">
        <f>IF(OR($A55="",$B55&lt;&gt;"Disponível",COUNTIF(Pai_Tec1,$A55)+COUNTIF(Pai_Tec2,$A55)&gt;0),"",SUMPRODUCT((E14:X14&gt;0)*(INDEX(Equipe_X,MATCH($A55,Equipe_Nome,0),0)="X"))+ROW()*0.0001)</f>
        <v/>
      </c>
      <c r="R55">
        <f>IF(OR($A55="",$B55&lt;&gt;"Disponível",COUNTIF(Pai_Tec1,$A55)+COUNTIF(Pai_Tec2,$A55)&gt;0),"",SUMPRODUCT((E15:X15&gt;0)*(INDEX(Equipe_X,MATCH($A55,Equipe_Nome,0),0)="X"))+ROW()*0.0001)</f>
        <v/>
      </c>
      <c r="S55">
        <f>IF(OR($A55="",$B55&lt;&gt;"Disponível",COUNTIF(Pai_Tec1,$A55)+COUNTIF(Pai_Tec2,$A55)&gt;0),"",SUMPRODUCT((E16:X16&gt;0)*(INDEX(Equipe_X,MATCH($A55,Equipe_Nome,0),0)="X"))+ROW()*0.0001)</f>
        <v/>
      </c>
      <c r="T55">
        <f>IF(OR($A55="",$B55&lt;&gt;"Disponível",COUNTIF(Pai_Tec1,$A55)+COUNTIF(Pai_Tec2,$A55)&gt;0),"",SUMPRODUCT((E17:X17&gt;0)*(INDEX(Equipe_X,MATCH($A55,Equipe_Nome,0),0)="X"))+ROW()*0.0001)</f>
        <v/>
      </c>
    </row>
    <row r="56">
      <c r="A56">
        <f>IF('Equipe'!$B$20="","",'Equipe'!$B$20)</f>
        <v/>
      </c>
      <c r="B56">
        <f>IF($A56="","",IFERROR(INDEX(Equipe_Situacao,MATCH($A56,Equipe_Nome,0)),""))</f>
        <v/>
      </c>
      <c r="E56">
        <f>IF(OR($A56="",$B56&lt;&gt;"Disponível",COUNTIF(Pai_Tec1,$A56)+COUNTIF(Pai_Tec2,$A56)&gt;0),"",SUMPRODUCT((E2:X2&gt;0)*(INDEX(Equipe_X,MATCH($A56,Equipe_Nome,0),0)="X"))+ROW()*0.0001)</f>
        <v/>
      </c>
      <c r="F56">
        <f>IF(OR($A56="",$B56&lt;&gt;"Disponível",COUNTIF(Pai_Tec1,$A56)+COUNTIF(Pai_Tec2,$A56)&gt;0),"",SUMPRODUCT((E3:X3&gt;0)*(INDEX(Equipe_X,MATCH($A56,Equipe_Nome,0),0)="X"))+ROW()*0.0001)</f>
        <v/>
      </c>
      <c r="G56">
        <f>IF(OR($A56="",$B56&lt;&gt;"Disponível",COUNTIF(Pai_Tec1,$A56)+COUNTIF(Pai_Tec2,$A56)&gt;0),"",SUMPRODUCT((E4:X4&gt;0)*(INDEX(Equipe_X,MATCH($A56,Equipe_Nome,0),0)="X"))+ROW()*0.0001)</f>
        <v/>
      </c>
      <c r="H56">
        <f>IF(OR($A56="",$B56&lt;&gt;"Disponível",COUNTIF(Pai_Tec1,$A56)+COUNTIF(Pai_Tec2,$A56)&gt;0),"",SUMPRODUCT((E5:X5&gt;0)*(INDEX(Equipe_X,MATCH($A56,Equipe_Nome,0),0)="X"))+ROW()*0.0001)</f>
        <v/>
      </c>
      <c r="I56">
        <f>IF(OR($A56="",$B56&lt;&gt;"Disponível",COUNTIF(Pai_Tec1,$A56)+COUNTIF(Pai_Tec2,$A56)&gt;0),"",SUMPRODUCT((E6:X6&gt;0)*(INDEX(Equipe_X,MATCH($A56,Equipe_Nome,0),0)="X"))+ROW()*0.0001)</f>
        <v/>
      </c>
      <c r="J56">
        <f>IF(OR($A56="",$B56&lt;&gt;"Disponível",COUNTIF(Pai_Tec1,$A56)+COUNTIF(Pai_Tec2,$A56)&gt;0),"",SUMPRODUCT((E7:X7&gt;0)*(INDEX(Equipe_X,MATCH($A56,Equipe_Nome,0),0)="X"))+ROW()*0.0001)</f>
        <v/>
      </c>
      <c r="K56">
        <f>IF(OR($A56="",$B56&lt;&gt;"Disponível",COUNTIF(Pai_Tec1,$A56)+COUNTIF(Pai_Tec2,$A56)&gt;0),"",SUMPRODUCT((E8:X8&gt;0)*(INDEX(Equipe_X,MATCH($A56,Equipe_Nome,0),0)="X"))+ROW()*0.0001)</f>
        <v/>
      </c>
      <c r="L56">
        <f>IF(OR($A56="",$B56&lt;&gt;"Disponível",COUNTIF(Pai_Tec1,$A56)+COUNTIF(Pai_Tec2,$A56)&gt;0),"",SUMPRODUCT((E9:X9&gt;0)*(INDEX(Equipe_X,MATCH($A56,Equipe_Nome,0),0)="X"))+ROW()*0.0001)</f>
        <v/>
      </c>
      <c r="M56">
        <f>IF(OR($A56="",$B56&lt;&gt;"Disponível",COUNTIF(Pai_Tec1,$A56)+COUNTIF(Pai_Tec2,$A56)&gt;0),"",SUMPRODUCT((E10:X10&gt;0)*(INDEX(Equipe_X,MATCH($A56,Equipe_Nome,0),0)="X"))+ROW()*0.0001)</f>
        <v/>
      </c>
      <c r="N56">
        <f>IF(OR($A56="",$B56&lt;&gt;"Disponível",COUNTIF(Pai_Tec1,$A56)+COUNTIF(Pai_Tec2,$A56)&gt;0),"",SUMPRODUCT((E11:X11&gt;0)*(INDEX(Equipe_X,MATCH($A56,Equipe_Nome,0),0)="X"))+ROW()*0.0001)</f>
        <v/>
      </c>
      <c r="O56">
        <f>IF(OR($A56="",$B56&lt;&gt;"Disponível",COUNTIF(Pai_Tec1,$A56)+COUNTIF(Pai_Tec2,$A56)&gt;0),"",SUMPRODUCT((E12:X12&gt;0)*(INDEX(Equipe_X,MATCH($A56,Equipe_Nome,0),0)="X"))+ROW()*0.0001)</f>
        <v/>
      </c>
      <c r="P56">
        <f>IF(OR($A56="",$B56&lt;&gt;"Disponível",COUNTIF(Pai_Tec1,$A56)+COUNTIF(Pai_Tec2,$A56)&gt;0),"",SUMPRODUCT((E13:X13&gt;0)*(INDEX(Equipe_X,MATCH($A56,Equipe_Nome,0),0)="X"))+ROW()*0.0001)</f>
        <v/>
      </c>
      <c r="Q56">
        <f>IF(OR($A56="",$B56&lt;&gt;"Disponível",COUNTIF(Pai_Tec1,$A56)+COUNTIF(Pai_Tec2,$A56)&gt;0),"",SUMPRODUCT((E14:X14&gt;0)*(INDEX(Equipe_X,MATCH($A56,Equipe_Nome,0),0)="X"))+ROW()*0.0001)</f>
        <v/>
      </c>
      <c r="R56">
        <f>IF(OR($A56="",$B56&lt;&gt;"Disponível",COUNTIF(Pai_Tec1,$A56)+COUNTIF(Pai_Tec2,$A56)&gt;0),"",SUMPRODUCT((E15:X15&gt;0)*(INDEX(Equipe_X,MATCH($A56,Equipe_Nome,0),0)="X"))+ROW()*0.0001)</f>
        <v/>
      </c>
      <c r="S56">
        <f>IF(OR($A56="",$B56&lt;&gt;"Disponível",COUNTIF(Pai_Tec1,$A56)+COUNTIF(Pai_Tec2,$A56)&gt;0),"",SUMPRODUCT((E16:X16&gt;0)*(INDEX(Equipe_X,MATCH($A56,Equipe_Nome,0),0)="X"))+ROW()*0.0001)</f>
        <v/>
      </c>
      <c r="T56">
        <f>IF(OR($A56="",$B56&lt;&gt;"Disponível",COUNTIF(Pai_Tec1,$A56)+COUNTIF(Pai_Tec2,$A56)&gt;0),"",SUMPRODUCT((E17:X17&gt;0)*(INDEX(Equipe_X,MATCH($A56,Equipe_Nome,0),0)="X"))+ROW()*0.0001)</f>
        <v/>
      </c>
    </row>
    <row r="57">
      <c r="A57">
        <f>IF('Equipe'!$B$21="","",'Equipe'!$B$21)</f>
        <v/>
      </c>
      <c r="B57">
        <f>IF($A57="","",IFERROR(INDEX(Equipe_Situacao,MATCH($A57,Equipe_Nome,0)),""))</f>
        <v/>
      </c>
      <c r="E57">
        <f>IF(OR($A57="",$B57&lt;&gt;"Disponível",COUNTIF(Pai_Tec1,$A57)+COUNTIF(Pai_Tec2,$A57)&gt;0),"",SUMPRODUCT((E2:X2&gt;0)*(INDEX(Equipe_X,MATCH($A57,Equipe_Nome,0),0)="X"))+ROW()*0.0001)</f>
        <v/>
      </c>
      <c r="F57">
        <f>IF(OR($A57="",$B57&lt;&gt;"Disponível",COUNTIF(Pai_Tec1,$A57)+COUNTIF(Pai_Tec2,$A57)&gt;0),"",SUMPRODUCT((E3:X3&gt;0)*(INDEX(Equipe_X,MATCH($A57,Equipe_Nome,0),0)="X"))+ROW()*0.0001)</f>
        <v/>
      </c>
      <c r="G57">
        <f>IF(OR($A57="",$B57&lt;&gt;"Disponível",COUNTIF(Pai_Tec1,$A57)+COUNTIF(Pai_Tec2,$A57)&gt;0),"",SUMPRODUCT((E4:X4&gt;0)*(INDEX(Equipe_X,MATCH($A57,Equipe_Nome,0),0)="X"))+ROW()*0.0001)</f>
        <v/>
      </c>
      <c r="H57">
        <f>IF(OR($A57="",$B57&lt;&gt;"Disponível",COUNTIF(Pai_Tec1,$A57)+COUNTIF(Pai_Tec2,$A57)&gt;0),"",SUMPRODUCT((E5:X5&gt;0)*(INDEX(Equipe_X,MATCH($A57,Equipe_Nome,0),0)="X"))+ROW()*0.0001)</f>
        <v/>
      </c>
      <c r="I57">
        <f>IF(OR($A57="",$B57&lt;&gt;"Disponível",COUNTIF(Pai_Tec1,$A57)+COUNTIF(Pai_Tec2,$A57)&gt;0),"",SUMPRODUCT((E6:X6&gt;0)*(INDEX(Equipe_X,MATCH($A57,Equipe_Nome,0),0)="X"))+ROW()*0.0001)</f>
        <v/>
      </c>
      <c r="J57">
        <f>IF(OR($A57="",$B57&lt;&gt;"Disponível",COUNTIF(Pai_Tec1,$A57)+COUNTIF(Pai_Tec2,$A57)&gt;0),"",SUMPRODUCT((E7:X7&gt;0)*(INDEX(Equipe_X,MATCH($A57,Equipe_Nome,0),0)="X"))+ROW()*0.0001)</f>
        <v/>
      </c>
      <c r="K57">
        <f>IF(OR($A57="",$B57&lt;&gt;"Disponível",COUNTIF(Pai_Tec1,$A57)+COUNTIF(Pai_Tec2,$A57)&gt;0),"",SUMPRODUCT((E8:X8&gt;0)*(INDEX(Equipe_X,MATCH($A57,Equipe_Nome,0),0)="X"))+ROW()*0.0001)</f>
        <v/>
      </c>
      <c r="L57">
        <f>IF(OR($A57="",$B57&lt;&gt;"Disponível",COUNTIF(Pai_Tec1,$A57)+COUNTIF(Pai_Tec2,$A57)&gt;0),"",SUMPRODUCT((E9:X9&gt;0)*(INDEX(Equipe_X,MATCH($A57,Equipe_Nome,0),0)="X"))+ROW()*0.0001)</f>
        <v/>
      </c>
      <c r="M57">
        <f>IF(OR($A57="",$B57&lt;&gt;"Disponível",COUNTIF(Pai_Tec1,$A57)+COUNTIF(Pai_Tec2,$A57)&gt;0),"",SUMPRODUCT((E10:X10&gt;0)*(INDEX(Equipe_X,MATCH($A57,Equipe_Nome,0),0)="X"))+ROW()*0.0001)</f>
        <v/>
      </c>
      <c r="N57">
        <f>IF(OR($A57="",$B57&lt;&gt;"Disponível",COUNTIF(Pai_Tec1,$A57)+COUNTIF(Pai_Tec2,$A57)&gt;0),"",SUMPRODUCT((E11:X11&gt;0)*(INDEX(Equipe_X,MATCH($A57,Equipe_Nome,0),0)="X"))+ROW()*0.0001)</f>
        <v/>
      </c>
      <c r="O57">
        <f>IF(OR($A57="",$B57&lt;&gt;"Disponível",COUNTIF(Pai_Tec1,$A57)+COUNTIF(Pai_Tec2,$A57)&gt;0),"",SUMPRODUCT((E12:X12&gt;0)*(INDEX(Equipe_X,MATCH($A57,Equipe_Nome,0),0)="X"))+ROW()*0.0001)</f>
        <v/>
      </c>
      <c r="P57">
        <f>IF(OR($A57="",$B57&lt;&gt;"Disponível",COUNTIF(Pai_Tec1,$A57)+COUNTIF(Pai_Tec2,$A57)&gt;0),"",SUMPRODUCT((E13:X13&gt;0)*(INDEX(Equipe_X,MATCH($A57,Equipe_Nome,0),0)="X"))+ROW()*0.0001)</f>
        <v/>
      </c>
      <c r="Q57">
        <f>IF(OR($A57="",$B57&lt;&gt;"Disponível",COUNTIF(Pai_Tec1,$A57)+COUNTIF(Pai_Tec2,$A57)&gt;0),"",SUMPRODUCT((E14:X14&gt;0)*(INDEX(Equipe_X,MATCH($A57,Equipe_Nome,0),0)="X"))+ROW()*0.0001)</f>
        <v/>
      </c>
      <c r="R57">
        <f>IF(OR($A57="",$B57&lt;&gt;"Disponível",COUNTIF(Pai_Tec1,$A57)+COUNTIF(Pai_Tec2,$A57)&gt;0),"",SUMPRODUCT((E15:X15&gt;0)*(INDEX(Equipe_X,MATCH($A57,Equipe_Nome,0),0)="X"))+ROW()*0.0001)</f>
        <v/>
      </c>
      <c r="S57">
        <f>IF(OR($A57="",$B57&lt;&gt;"Disponível",COUNTIF(Pai_Tec1,$A57)+COUNTIF(Pai_Tec2,$A57)&gt;0),"",SUMPRODUCT((E16:X16&gt;0)*(INDEX(Equipe_X,MATCH($A57,Equipe_Nome,0),0)="X"))+ROW()*0.0001)</f>
        <v/>
      </c>
      <c r="T57">
        <f>IF(OR($A57="",$B57&lt;&gt;"Disponível",COUNTIF(Pai_Tec1,$A57)+COUNTIF(Pai_Tec2,$A57)&gt;0),"",SUMPRODUCT((E17:X17&gt;0)*(INDEX(Equipe_X,MATCH($A57,Equipe_Nome,0),0)="X"))+ROW()*0.0001)</f>
        <v/>
      </c>
    </row>
    <row r="58">
      <c r="A58">
        <f>IF('Equipe'!$B$22="","",'Equipe'!$B$22)</f>
        <v/>
      </c>
      <c r="B58">
        <f>IF($A58="","",IFERROR(INDEX(Equipe_Situacao,MATCH($A58,Equipe_Nome,0)),""))</f>
        <v/>
      </c>
      <c r="E58">
        <f>IF(OR($A58="",$B58&lt;&gt;"Disponível",COUNTIF(Pai_Tec1,$A58)+COUNTIF(Pai_Tec2,$A58)&gt;0),"",SUMPRODUCT((E2:X2&gt;0)*(INDEX(Equipe_X,MATCH($A58,Equipe_Nome,0),0)="X"))+ROW()*0.0001)</f>
        <v/>
      </c>
      <c r="F58">
        <f>IF(OR($A58="",$B58&lt;&gt;"Disponível",COUNTIF(Pai_Tec1,$A58)+COUNTIF(Pai_Tec2,$A58)&gt;0),"",SUMPRODUCT((E3:X3&gt;0)*(INDEX(Equipe_X,MATCH($A58,Equipe_Nome,0),0)="X"))+ROW()*0.0001)</f>
        <v/>
      </c>
      <c r="G58">
        <f>IF(OR($A58="",$B58&lt;&gt;"Disponível",COUNTIF(Pai_Tec1,$A58)+COUNTIF(Pai_Tec2,$A58)&gt;0),"",SUMPRODUCT((E4:X4&gt;0)*(INDEX(Equipe_X,MATCH($A58,Equipe_Nome,0),0)="X"))+ROW()*0.0001)</f>
        <v/>
      </c>
      <c r="H58">
        <f>IF(OR($A58="",$B58&lt;&gt;"Disponível",COUNTIF(Pai_Tec1,$A58)+COUNTIF(Pai_Tec2,$A58)&gt;0),"",SUMPRODUCT((E5:X5&gt;0)*(INDEX(Equipe_X,MATCH($A58,Equipe_Nome,0),0)="X"))+ROW()*0.0001)</f>
        <v/>
      </c>
      <c r="I58">
        <f>IF(OR($A58="",$B58&lt;&gt;"Disponível",COUNTIF(Pai_Tec1,$A58)+COUNTIF(Pai_Tec2,$A58)&gt;0),"",SUMPRODUCT((E6:X6&gt;0)*(INDEX(Equipe_X,MATCH($A58,Equipe_Nome,0),0)="X"))+ROW()*0.0001)</f>
        <v/>
      </c>
      <c r="J58">
        <f>IF(OR($A58="",$B58&lt;&gt;"Disponível",COUNTIF(Pai_Tec1,$A58)+COUNTIF(Pai_Tec2,$A58)&gt;0),"",SUMPRODUCT((E7:X7&gt;0)*(INDEX(Equipe_X,MATCH($A58,Equipe_Nome,0),0)="X"))+ROW()*0.0001)</f>
        <v/>
      </c>
      <c r="K58">
        <f>IF(OR($A58="",$B58&lt;&gt;"Disponível",COUNTIF(Pai_Tec1,$A58)+COUNTIF(Pai_Tec2,$A58)&gt;0),"",SUMPRODUCT((E8:X8&gt;0)*(INDEX(Equipe_X,MATCH($A58,Equipe_Nome,0),0)="X"))+ROW()*0.0001)</f>
        <v/>
      </c>
      <c r="L58">
        <f>IF(OR($A58="",$B58&lt;&gt;"Disponível",COUNTIF(Pai_Tec1,$A58)+COUNTIF(Pai_Tec2,$A58)&gt;0),"",SUMPRODUCT((E9:X9&gt;0)*(INDEX(Equipe_X,MATCH($A58,Equipe_Nome,0),0)="X"))+ROW()*0.0001)</f>
        <v/>
      </c>
      <c r="M58">
        <f>IF(OR($A58="",$B58&lt;&gt;"Disponível",COUNTIF(Pai_Tec1,$A58)+COUNTIF(Pai_Tec2,$A58)&gt;0),"",SUMPRODUCT((E10:X10&gt;0)*(INDEX(Equipe_X,MATCH($A58,Equipe_Nome,0),0)="X"))+ROW()*0.0001)</f>
        <v/>
      </c>
      <c r="N58">
        <f>IF(OR($A58="",$B58&lt;&gt;"Disponível",COUNTIF(Pai_Tec1,$A58)+COUNTIF(Pai_Tec2,$A58)&gt;0),"",SUMPRODUCT((E11:X11&gt;0)*(INDEX(Equipe_X,MATCH($A58,Equipe_Nome,0),0)="X"))+ROW()*0.0001)</f>
        <v/>
      </c>
      <c r="O58">
        <f>IF(OR($A58="",$B58&lt;&gt;"Disponível",COUNTIF(Pai_Tec1,$A58)+COUNTIF(Pai_Tec2,$A58)&gt;0),"",SUMPRODUCT((E12:X12&gt;0)*(INDEX(Equipe_X,MATCH($A58,Equipe_Nome,0),0)="X"))+ROW()*0.0001)</f>
        <v/>
      </c>
      <c r="P58">
        <f>IF(OR($A58="",$B58&lt;&gt;"Disponível",COUNTIF(Pai_Tec1,$A58)+COUNTIF(Pai_Tec2,$A58)&gt;0),"",SUMPRODUCT((E13:X13&gt;0)*(INDEX(Equipe_X,MATCH($A58,Equipe_Nome,0),0)="X"))+ROW()*0.0001)</f>
        <v/>
      </c>
      <c r="Q58">
        <f>IF(OR($A58="",$B58&lt;&gt;"Disponível",COUNTIF(Pai_Tec1,$A58)+COUNTIF(Pai_Tec2,$A58)&gt;0),"",SUMPRODUCT((E14:X14&gt;0)*(INDEX(Equipe_X,MATCH($A58,Equipe_Nome,0),0)="X"))+ROW()*0.0001)</f>
        <v/>
      </c>
      <c r="R58">
        <f>IF(OR($A58="",$B58&lt;&gt;"Disponível",COUNTIF(Pai_Tec1,$A58)+COUNTIF(Pai_Tec2,$A58)&gt;0),"",SUMPRODUCT((E15:X15&gt;0)*(INDEX(Equipe_X,MATCH($A58,Equipe_Nome,0),0)="X"))+ROW()*0.0001)</f>
        <v/>
      </c>
      <c r="S58">
        <f>IF(OR($A58="",$B58&lt;&gt;"Disponível",COUNTIF(Pai_Tec1,$A58)+COUNTIF(Pai_Tec2,$A58)&gt;0),"",SUMPRODUCT((E16:X16&gt;0)*(INDEX(Equipe_X,MATCH($A58,Equipe_Nome,0),0)="X"))+ROW()*0.0001)</f>
        <v/>
      </c>
      <c r="T58">
        <f>IF(OR($A58="",$B58&lt;&gt;"Disponível",COUNTIF(Pai_Tec1,$A58)+COUNTIF(Pai_Tec2,$A58)&gt;0),"",SUMPRODUCT((E17:X17&gt;0)*(INDEX(Equipe_X,MATCH($A58,Equipe_Nome,0),0)="X"))+ROW()*0.0001)</f>
        <v/>
      </c>
    </row>
    <row r="59">
      <c r="A59">
        <f>IF('Equipe'!$B$23="","",'Equipe'!$B$23)</f>
        <v/>
      </c>
      <c r="B59">
        <f>IF($A59="","",IFERROR(INDEX(Equipe_Situacao,MATCH($A59,Equipe_Nome,0)),""))</f>
        <v/>
      </c>
      <c r="E59">
        <f>IF(OR($A59="",$B59&lt;&gt;"Disponível",COUNTIF(Pai_Tec1,$A59)+COUNTIF(Pai_Tec2,$A59)&gt;0),"",SUMPRODUCT((E2:X2&gt;0)*(INDEX(Equipe_X,MATCH($A59,Equipe_Nome,0),0)="X"))+ROW()*0.0001)</f>
        <v/>
      </c>
      <c r="F59">
        <f>IF(OR($A59="",$B59&lt;&gt;"Disponível",COUNTIF(Pai_Tec1,$A59)+COUNTIF(Pai_Tec2,$A59)&gt;0),"",SUMPRODUCT((E3:X3&gt;0)*(INDEX(Equipe_X,MATCH($A59,Equipe_Nome,0),0)="X"))+ROW()*0.0001)</f>
        <v/>
      </c>
      <c r="G59">
        <f>IF(OR($A59="",$B59&lt;&gt;"Disponível",COUNTIF(Pai_Tec1,$A59)+COUNTIF(Pai_Tec2,$A59)&gt;0),"",SUMPRODUCT((E4:X4&gt;0)*(INDEX(Equipe_X,MATCH($A59,Equipe_Nome,0),0)="X"))+ROW()*0.0001)</f>
        <v/>
      </c>
      <c r="H59">
        <f>IF(OR($A59="",$B59&lt;&gt;"Disponível",COUNTIF(Pai_Tec1,$A59)+COUNTIF(Pai_Tec2,$A59)&gt;0),"",SUMPRODUCT((E5:X5&gt;0)*(INDEX(Equipe_X,MATCH($A59,Equipe_Nome,0),0)="X"))+ROW()*0.0001)</f>
        <v/>
      </c>
      <c r="I59">
        <f>IF(OR($A59="",$B59&lt;&gt;"Disponível",COUNTIF(Pai_Tec1,$A59)+COUNTIF(Pai_Tec2,$A59)&gt;0),"",SUMPRODUCT((E6:X6&gt;0)*(INDEX(Equipe_X,MATCH($A59,Equipe_Nome,0),0)="X"))+ROW()*0.0001)</f>
        <v/>
      </c>
      <c r="J59">
        <f>IF(OR($A59="",$B59&lt;&gt;"Disponível",COUNTIF(Pai_Tec1,$A59)+COUNTIF(Pai_Tec2,$A59)&gt;0),"",SUMPRODUCT((E7:X7&gt;0)*(INDEX(Equipe_X,MATCH($A59,Equipe_Nome,0),0)="X"))+ROW()*0.0001)</f>
        <v/>
      </c>
      <c r="K59">
        <f>IF(OR($A59="",$B59&lt;&gt;"Disponível",COUNTIF(Pai_Tec1,$A59)+COUNTIF(Pai_Tec2,$A59)&gt;0),"",SUMPRODUCT((E8:X8&gt;0)*(INDEX(Equipe_X,MATCH($A59,Equipe_Nome,0),0)="X"))+ROW()*0.0001)</f>
        <v/>
      </c>
      <c r="L59">
        <f>IF(OR($A59="",$B59&lt;&gt;"Disponível",COUNTIF(Pai_Tec1,$A59)+COUNTIF(Pai_Tec2,$A59)&gt;0),"",SUMPRODUCT((E9:X9&gt;0)*(INDEX(Equipe_X,MATCH($A59,Equipe_Nome,0),0)="X"))+ROW()*0.0001)</f>
        <v/>
      </c>
      <c r="M59">
        <f>IF(OR($A59="",$B59&lt;&gt;"Disponível",COUNTIF(Pai_Tec1,$A59)+COUNTIF(Pai_Tec2,$A59)&gt;0),"",SUMPRODUCT((E10:X10&gt;0)*(INDEX(Equipe_X,MATCH($A59,Equipe_Nome,0),0)="X"))+ROW()*0.0001)</f>
        <v/>
      </c>
      <c r="N59">
        <f>IF(OR($A59="",$B59&lt;&gt;"Disponível",COUNTIF(Pai_Tec1,$A59)+COUNTIF(Pai_Tec2,$A59)&gt;0),"",SUMPRODUCT((E11:X11&gt;0)*(INDEX(Equipe_X,MATCH($A59,Equipe_Nome,0),0)="X"))+ROW()*0.0001)</f>
        <v/>
      </c>
      <c r="O59">
        <f>IF(OR($A59="",$B59&lt;&gt;"Disponível",COUNTIF(Pai_Tec1,$A59)+COUNTIF(Pai_Tec2,$A59)&gt;0),"",SUMPRODUCT((E12:X12&gt;0)*(INDEX(Equipe_X,MATCH($A59,Equipe_Nome,0),0)="X"))+ROW()*0.0001)</f>
        <v/>
      </c>
      <c r="P59">
        <f>IF(OR($A59="",$B59&lt;&gt;"Disponível",COUNTIF(Pai_Tec1,$A59)+COUNTIF(Pai_Tec2,$A59)&gt;0),"",SUMPRODUCT((E13:X13&gt;0)*(INDEX(Equipe_X,MATCH($A59,Equipe_Nome,0),0)="X"))+ROW()*0.0001)</f>
        <v/>
      </c>
      <c r="Q59">
        <f>IF(OR($A59="",$B59&lt;&gt;"Disponível",COUNTIF(Pai_Tec1,$A59)+COUNTIF(Pai_Tec2,$A59)&gt;0),"",SUMPRODUCT((E14:X14&gt;0)*(INDEX(Equipe_X,MATCH($A59,Equipe_Nome,0),0)="X"))+ROW()*0.0001)</f>
        <v/>
      </c>
      <c r="R59">
        <f>IF(OR($A59="",$B59&lt;&gt;"Disponível",COUNTIF(Pai_Tec1,$A59)+COUNTIF(Pai_Tec2,$A59)&gt;0),"",SUMPRODUCT((E15:X15&gt;0)*(INDEX(Equipe_X,MATCH($A59,Equipe_Nome,0),0)="X"))+ROW()*0.0001)</f>
        <v/>
      </c>
      <c r="S59">
        <f>IF(OR($A59="",$B59&lt;&gt;"Disponível",COUNTIF(Pai_Tec1,$A59)+COUNTIF(Pai_Tec2,$A59)&gt;0),"",SUMPRODUCT((E16:X16&gt;0)*(INDEX(Equipe_X,MATCH($A59,Equipe_Nome,0),0)="X"))+ROW()*0.0001)</f>
        <v/>
      </c>
      <c r="T59">
        <f>IF(OR($A59="",$B59&lt;&gt;"Disponível",COUNTIF(Pai_Tec1,$A59)+COUNTIF(Pai_Tec2,$A59)&gt;0),"",SUMPRODUCT((E17:X17&gt;0)*(INDEX(Equipe_X,MATCH($A59,Equipe_Nome,0),0)="X"))+ROW()*0.0001)</f>
        <v/>
      </c>
    </row>
    <row r="60">
      <c r="A60">
        <f>IF('Equipe'!$B$24="","",'Equipe'!$B$24)</f>
        <v/>
      </c>
      <c r="B60">
        <f>IF($A60="","",IFERROR(INDEX(Equipe_Situacao,MATCH($A60,Equipe_Nome,0)),""))</f>
        <v/>
      </c>
      <c r="E60">
        <f>IF(OR($A60="",$B60&lt;&gt;"Disponível",COUNTIF(Pai_Tec1,$A60)+COUNTIF(Pai_Tec2,$A60)&gt;0),"",SUMPRODUCT((E2:X2&gt;0)*(INDEX(Equipe_X,MATCH($A60,Equipe_Nome,0),0)="X"))+ROW()*0.0001)</f>
        <v/>
      </c>
      <c r="F60">
        <f>IF(OR($A60="",$B60&lt;&gt;"Disponível",COUNTIF(Pai_Tec1,$A60)+COUNTIF(Pai_Tec2,$A60)&gt;0),"",SUMPRODUCT((E3:X3&gt;0)*(INDEX(Equipe_X,MATCH($A60,Equipe_Nome,0),0)="X"))+ROW()*0.0001)</f>
        <v/>
      </c>
      <c r="G60">
        <f>IF(OR($A60="",$B60&lt;&gt;"Disponível",COUNTIF(Pai_Tec1,$A60)+COUNTIF(Pai_Tec2,$A60)&gt;0),"",SUMPRODUCT((E4:X4&gt;0)*(INDEX(Equipe_X,MATCH($A60,Equipe_Nome,0),0)="X"))+ROW()*0.0001)</f>
        <v/>
      </c>
      <c r="H60">
        <f>IF(OR($A60="",$B60&lt;&gt;"Disponível",COUNTIF(Pai_Tec1,$A60)+COUNTIF(Pai_Tec2,$A60)&gt;0),"",SUMPRODUCT((E5:X5&gt;0)*(INDEX(Equipe_X,MATCH($A60,Equipe_Nome,0),0)="X"))+ROW()*0.0001)</f>
        <v/>
      </c>
      <c r="I60">
        <f>IF(OR($A60="",$B60&lt;&gt;"Disponível",COUNTIF(Pai_Tec1,$A60)+COUNTIF(Pai_Tec2,$A60)&gt;0),"",SUMPRODUCT((E6:X6&gt;0)*(INDEX(Equipe_X,MATCH($A60,Equipe_Nome,0),0)="X"))+ROW()*0.0001)</f>
        <v/>
      </c>
      <c r="J60">
        <f>IF(OR($A60="",$B60&lt;&gt;"Disponível",COUNTIF(Pai_Tec1,$A60)+COUNTIF(Pai_Tec2,$A60)&gt;0),"",SUMPRODUCT((E7:X7&gt;0)*(INDEX(Equipe_X,MATCH($A60,Equipe_Nome,0),0)="X"))+ROW()*0.0001)</f>
        <v/>
      </c>
      <c r="K60">
        <f>IF(OR($A60="",$B60&lt;&gt;"Disponível",COUNTIF(Pai_Tec1,$A60)+COUNTIF(Pai_Tec2,$A60)&gt;0),"",SUMPRODUCT((E8:X8&gt;0)*(INDEX(Equipe_X,MATCH($A60,Equipe_Nome,0),0)="X"))+ROW()*0.0001)</f>
        <v/>
      </c>
      <c r="L60">
        <f>IF(OR($A60="",$B60&lt;&gt;"Disponível",COUNTIF(Pai_Tec1,$A60)+COUNTIF(Pai_Tec2,$A60)&gt;0),"",SUMPRODUCT((E9:X9&gt;0)*(INDEX(Equipe_X,MATCH($A60,Equipe_Nome,0),0)="X"))+ROW()*0.0001)</f>
        <v/>
      </c>
      <c r="M60">
        <f>IF(OR($A60="",$B60&lt;&gt;"Disponível",COUNTIF(Pai_Tec1,$A60)+COUNTIF(Pai_Tec2,$A60)&gt;0),"",SUMPRODUCT((E10:X10&gt;0)*(INDEX(Equipe_X,MATCH($A60,Equipe_Nome,0),0)="X"))+ROW()*0.0001)</f>
        <v/>
      </c>
      <c r="N60">
        <f>IF(OR($A60="",$B60&lt;&gt;"Disponível",COUNTIF(Pai_Tec1,$A60)+COUNTIF(Pai_Tec2,$A60)&gt;0),"",SUMPRODUCT((E11:X11&gt;0)*(INDEX(Equipe_X,MATCH($A60,Equipe_Nome,0),0)="X"))+ROW()*0.0001)</f>
        <v/>
      </c>
      <c r="O60">
        <f>IF(OR($A60="",$B60&lt;&gt;"Disponível",COUNTIF(Pai_Tec1,$A60)+COUNTIF(Pai_Tec2,$A60)&gt;0),"",SUMPRODUCT((E12:X12&gt;0)*(INDEX(Equipe_X,MATCH($A60,Equipe_Nome,0),0)="X"))+ROW()*0.0001)</f>
        <v/>
      </c>
      <c r="P60">
        <f>IF(OR($A60="",$B60&lt;&gt;"Disponível",COUNTIF(Pai_Tec1,$A60)+COUNTIF(Pai_Tec2,$A60)&gt;0),"",SUMPRODUCT((E13:X13&gt;0)*(INDEX(Equipe_X,MATCH($A60,Equipe_Nome,0),0)="X"))+ROW()*0.0001)</f>
        <v/>
      </c>
      <c r="Q60">
        <f>IF(OR($A60="",$B60&lt;&gt;"Disponível",COUNTIF(Pai_Tec1,$A60)+COUNTIF(Pai_Tec2,$A60)&gt;0),"",SUMPRODUCT((E14:X14&gt;0)*(INDEX(Equipe_X,MATCH($A60,Equipe_Nome,0),0)="X"))+ROW()*0.0001)</f>
        <v/>
      </c>
      <c r="R60">
        <f>IF(OR($A60="",$B60&lt;&gt;"Disponível",COUNTIF(Pai_Tec1,$A60)+COUNTIF(Pai_Tec2,$A60)&gt;0),"",SUMPRODUCT((E15:X15&gt;0)*(INDEX(Equipe_X,MATCH($A60,Equipe_Nome,0),0)="X"))+ROW()*0.0001)</f>
        <v/>
      </c>
      <c r="S60">
        <f>IF(OR($A60="",$B60&lt;&gt;"Disponível",COUNTIF(Pai_Tec1,$A60)+COUNTIF(Pai_Tec2,$A60)&gt;0),"",SUMPRODUCT((E16:X16&gt;0)*(INDEX(Equipe_X,MATCH($A60,Equipe_Nome,0),0)="X"))+ROW()*0.0001)</f>
        <v/>
      </c>
      <c r="T60">
        <f>IF(OR($A60="",$B60&lt;&gt;"Disponível",COUNTIF(Pai_Tec1,$A60)+COUNTIF(Pai_Tec2,$A60)&gt;0),"",SUMPRODUCT((E17:X17&gt;0)*(INDEX(Equipe_X,MATCH($A60,Equipe_Nome,0),0)="X"))+ROW()*0.0001)</f>
        <v/>
      </c>
    </row>
    <row r="61">
      <c r="A61">
        <f>IF('Equipe'!$B$25="","",'Equipe'!$B$25)</f>
        <v/>
      </c>
      <c r="B61">
        <f>IF($A61="","",IFERROR(INDEX(Equipe_Situacao,MATCH($A61,Equipe_Nome,0)),""))</f>
        <v/>
      </c>
      <c r="E61">
        <f>IF(OR($A61="",$B61&lt;&gt;"Disponível",COUNTIF(Pai_Tec1,$A61)+COUNTIF(Pai_Tec2,$A61)&gt;0),"",SUMPRODUCT((E2:X2&gt;0)*(INDEX(Equipe_X,MATCH($A61,Equipe_Nome,0),0)="X"))+ROW()*0.0001)</f>
        <v/>
      </c>
      <c r="F61">
        <f>IF(OR($A61="",$B61&lt;&gt;"Disponível",COUNTIF(Pai_Tec1,$A61)+COUNTIF(Pai_Tec2,$A61)&gt;0),"",SUMPRODUCT((E3:X3&gt;0)*(INDEX(Equipe_X,MATCH($A61,Equipe_Nome,0),0)="X"))+ROW()*0.0001)</f>
        <v/>
      </c>
      <c r="G61">
        <f>IF(OR($A61="",$B61&lt;&gt;"Disponível",COUNTIF(Pai_Tec1,$A61)+COUNTIF(Pai_Tec2,$A61)&gt;0),"",SUMPRODUCT((E4:X4&gt;0)*(INDEX(Equipe_X,MATCH($A61,Equipe_Nome,0),0)="X"))+ROW()*0.0001)</f>
        <v/>
      </c>
      <c r="H61">
        <f>IF(OR($A61="",$B61&lt;&gt;"Disponível",COUNTIF(Pai_Tec1,$A61)+COUNTIF(Pai_Tec2,$A61)&gt;0),"",SUMPRODUCT((E5:X5&gt;0)*(INDEX(Equipe_X,MATCH($A61,Equipe_Nome,0),0)="X"))+ROW()*0.0001)</f>
        <v/>
      </c>
      <c r="I61">
        <f>IF(OR($A61="",$B61&lt;&gt;"Disponível",COUNTIF(Pai_Tec1,$A61)+COUNTIF(Pai_Tec2,$A61)&gt;0),"",SUMPRODUCT((E6:X6&gt;0)*(INDEX(Equipe_X,MATCH($A61,Equipe_Nome,0),0)="X"))+ROW()*0.0001)</f>
        <v/>
      </c>
      <c r="J61">
        <f>IF(OR($A61="",$B61&lt;&gt;"Disponível",COUNTIF(Pai_Tec1,$A61)+COUNTIF(Pai_Tec2,$A61)&gt;0),"",SUMPRODUCT((E7:X7&gt;0)*(INDEX(Equipe_X,MATCH($A61,Equipe_Nome,0),0)="X"))+ROW()*0.0001)</f>
        <v/>
      </c>
      <c r="K61">
        <f>IF(OR($A61="",$B61&lt;&gt;"Disponível",COUNTIF(Pai_Tec1,$A61)+COUNTIF(Pai_Tec2,$A61)&gt;0),"",SUMPRODUCT((E8:X8&gt;0)*(INDEX(Equipe_X,MATCH($A61,Equipe_Nome,0),0)="X"))+ROW()*0.0001)</f>
        <v/>
      </c>
      <c r="L61">
        <f>IF(OR($A61="",$B61&lt;&gt;"Disponível",COUNTIF(Pai_Tec1,$A61)+COUNTIF(Pai_Tec2,$A61)&gt;0),"",SUMPRODUCT((E9:X9&gt;0)*(INDEX(Equipe_X,MATCH($A61,Equipe_Nome,0),0)="X"))+ROW()*0.0001)</f>
        <v/>
      </c>
      <c r="M61">
        <f>IF(OR($A61="",$B61&lt;&gt;"Disponível",COUNTIF(Pai_Tec1,$A61)+COUNTIF(Pai_Tec2,$A61)&gt;0),"",SUMPRODUCT((E10:X10&gt;0)*(INDEX(Equipe_X,MATCH($A61,Equipe_Nome,0),0)="X"))+ROW()*0.0001)</f>
        <v/>
      </c>
      <c r="N61">
        <f>IF(OR($A61="",$B61&lt;&gt;"Disponível",COUNTIF(Pai_Tec1,$A61)+COUNTIF(Pai_Tec2,$A61)&gt;0),"",SUMPRODUCT((E11:X11&gt;0)*(INDEX(Equipe_X,MATCH($A61,Equipe_Nome,0),0)="X"))+ROW()*0.0001)</f>
        <v/>
      </c>
      <c r="O61">
        <f>IF(OR($A61="",$B61&lt;&gt;"Disponível",COUNTIF(Pai_Tec1,$A61)+COUNTIF(Pai_Tec2,$A61)&gt;0),"",SUMPRODUCT((E12:X12&gt;0)*(INDEX(Equipe_X,MATCH($A61,Equipe_Nome,0),0)="X"))+ROW()*0.0001)</f>
        <v/>
      </c>
      <c r="P61">
        <f>IF(OR($A61="",$B61&lt;&gt;"Disponível",COUNTIF(Pai_Tec1,$A61)+COUNTIF(Pai_Tec2,$A61)&gt;0),"",SUMPRODUCT((E13:X13&gt;0)*(INDEX(Equipe_X,MATCH($A61,Equipe_Nome,0),0)="X"))+ROW()*0.0001)</f>
        <v/>
      </c>
      <c r="Q61">
        <f>IF(OR($A61="",$B61&lt;&gt;"Disponível",COUNTIF(Pai_Tec1,$A61)+COUNTIF(Pai_Tec2,$A61)&gt;0),"",SUMPRODUCT((E14:X14&gt;0)*(INDEX(Equipe_X,MATCH($A61,Equipe_Nome,0),0)="X"))+ROW()*0.0001)</f>
        <v/>
      </c>
      <c r="R61">
        <f>IF(OR($A61="",$B61&lt;&gt;"Disponível",COUNTIF(Pai_Tec1,$A61)+COUNTIF(Pai_Tec2,$A61)&gt;0),"",SUMPRODUCT((E15:X15&gt;0)*(INDEX(Equipe_X,MATCH($A61,Equipe_Nome,0),0)="X"))+ROW()*0.0001)</f>
        <v/>
      </c>
      <c r="S61">
        <f>IF(OR($A61="",$B61&lt;&gt;"Disponível",COUNTIF(Pai_Tec1,$A61)+COUNTIF(Pai_Tec2,$A61)&gt;0),"",SUMPRODUCT((E16:X16&gt;0)*(INDEX(Equipe_X,MATCH($A61,Equipe_Nome,0),0)="X"))+ROW()*0.0001)</f>
        <v/>
      </c>
      <c r="T61">
        <f>IF(OR($A61="",$B61&lt;&gt;"Disponível",COUNTIF(Pai_Tec1,$A61)+COUNTIF(Pai_Tec2,$A61)&gt;0),"",SUMPRODUCT((E17:X17&gt;0)*(INDEX(Equipe_X,MATCH($A61,Equipe_Nome,0),0)="X"))+ROW()*0.0001)</f>
        <v/>
      </c>
    </row>
    <row r="62">
      <c r="A62">
        <f>IF('Equipe'!$B$26="","",'Equipe'!$B$26)</f>
        <v/>
      </c>
      <c r="B62">
        <f>IF($A62="","",IFERROR(INDEX(Equipe_Situacao,MATCH($A62,Equipe_Nome,0)),""))</f>
        <v/>
      </c>
      <c r="E62">
        <f>IF(OR($A62="",$B62&lt;&gt;"Disponível",COUNTIF(Pai_Tec1,$A62)+COUNTIF(Pai_Tec2,$A62)&gt;0),"",SUMPRODUCT((E2:X2&gt;0)*(INDEX(Equipe_X,MATCH($A62,Equipe_Nome,0),0)="X"))+ROW()*0.0001)</f>
        <v/>
      </c>
      <c r="F62">
        <f>IF(OR($A62="",$B62&lt;&gt;"Disponível",COUNTIF(Pai_Tec1,$A62)+COUNTIF(Pai_Tec2,$A62)&gt;0),"",SUMPRODUCT((E3:X3&gt;0)*(INDEX(Equipe_X,MATCH($A62,Equipe_Nome,0),0)="X"))+ROW()*0.0001)</f>
        <v/>
      </c>
      <c r="G62">
        <f>IF(OR($A62="",$B62&lt;&gt;"Disponível",COUNTIF(Pai_Tec1,$A62)+COUNTIF(Pai_Tec2,$A62)&gt;0),"",SUMPRODUCT((E4:X4&gt;0)*(INDEX(Equipe_X,MATCH($A62,Equipe_Nome,0),0)="X"))+ROW()*0.0001)</f>
        <v/>
      </c>
      <c r="H62">
        <f>IF(OR($A62="",$B62&lt;&gt;"Disponível",COUNTIF(Pai_Tec1,$A62)+COUNTIF(Pai_Tec2,$A62)&gt;0),"",SUMPRODUCT((E5:X5&gt;0)*(INDEX(Equipe_X,MATCH($A62,Equipe_Nome,0),0)="X"))+ROW()*0.0001)</f>
        <v/>
      </c>
      <c r="I62">
        <f>IF(OR($A62="",$B62&lt;&gt;"Disponível",COUNTIF(Pai_Tec1,$A62)+COUNTIF(Pai_Tec2,$A62)&gt;0),"",SUMPRODUCT((E6:X6&gt;0)*(INDEX(Equipe_X,MATCH($A62,Equipe_Nome,0),0)="X"))+ROW()*0.0001)</f>
        <v/>
      </c>
      <c r="J62">
        <f>IF(OR($A62="",$B62&lt;&gt;"Disponível",COUNTIF(Pai_Tec1,$A62)+COUNTIF(Pai_Tec2,$A62)&gt;0),"",SUMPRODUCT((E7:X7&gt;0)*(INDEX(Equipe_X,MATCH($A62,Equipe_Nome,0),0)="X"))+ROW()*0.0001)</f>
        <v/>
      </c>
      <c r="K62">
        <f>IF(OR($A62="",$B62&lt;&gt;"Disponível",COUNTIF(Pai_Tec1,$A62)+COUNTIF(Pai_Tec2,$A62)&gt;0),"",SUMPRODUCT((E8:X8&gt;0)*(INDEX(Equipe_X,MATCH($A62,Equipe_Nome,0),0)="X"))+ROW()*0.0001)</f>
        <v/>
      </c>
      <c r="L62">
        <f>IF(OR($A62="",$B62&lt;&gt;"Disponível",COUNTIF(Pai_Tec1,$A62)+COUNTIF(Pai_Tec2,$A62)&gt;0),"",SUMPRODUCT((E9:X9&gt;0)*(INDEX(Equipe_X,MATCH($A62,Equipe_Nome,0),0)="X"))+ROW()*0.0001)</f>
        <v/>
      </c>
      <c r="M62">
        <f>IF(OR($A62="",$B62&lt;&gt;"Disponível",COUNTIF(Pai_Tec1,$A62)+COUNTIF(Pai_Tec2,$A62)&gt;0),"",SUMPRODUCT((E10:X10&gt;0)*(INDEX(Equipe_X,MATCH($A62,Equipe_Nome,0),0)="X"))+ROW()*0.0001)</f>
        <v/>
      </c>
      <c r="N62">
        <f>IF(OR($A62="",$B62&lt;&gt;"Disponível",COUNTIF(Pai_Tec1,$A62)+COUNTIF(Pai_Tec2,$A62)&gt;0),"",SUMPRODUCT((E11:X11&gt;0)*(INDEX(Equipe_X,MATCH($A62,Equipe_Nome,0),0)="X"))+ROW()*0.0001)</f>
        <v/>
      </c>
      <c r="O62">
        <f>IF(OR($A62="",$B62&lt;&gt;"Disponível",COUNTIF(Pai_Tec1,$A62)+COUNTIF(Pai_Tec2,$A62)&gt;0),"",SUMPRODUCT((E12:X12&gt;0)*(INDEX(Equipe_X,MATCH($A62,Equipe_Nome,0),0)="X"))+ROW()*0.0001)</f>
        <v/>
      </c>
      <c r="P62">
        <f>IF(OR($A62="",$B62&lt;&gt;"Disponível",COUNTIF(Pai_Tec1,$A62)+COUNTIF(Pai_Tec2,$A62)&gt;0),"",SUMPRODUCT((E13:X13&gt;0)*(INDEX(Equipe_X,MATCH($A62,Equipe_Nome,0),0)="X"))+ROW()*0.0001)</f>
        <v/>
      </c>
      <c r="Q62">
        <f>IF(OR($A62="",$B62&lt;&gt;"Disponível",COUNTIF(Pai_Tec1,$A62)+COUNTIF(Pai_Tec2,$A62)&gt;0),"",SUMPRODUCT((E14:X14&gt;0)*(INDEX(Equipe_X,MATCH($A62,Equipe_Nome,0),0)="X"))+ROW()*0.0001)</f>
        <v/>
      </c>
      <c r="R62">
        <f>IF(OR($A62="",$B62&lt;&gt;"Disponível",COUNTIF(Pai_Tec1,$A62)+COUNTIF(Pai_Tec2,$A62)&gt;0),"",SUMPRODUCT((E15:X15&gt;0)*(INDEX(Equipe_X,MATCH($A62,Equipe_Nome,0),0)="X"))+ROW()*0.0001)</f>
        <v/>
      </c>
      <c r="S62">
        <f>IF(OR($A62="",$B62&lt;&gt;"Disponível",COUNTIF(Pai_Tec1,$A62)+COUNTIF(Pai_Tec2,$A62)&gt;0),"",SUMPRODUCT((E16:X16&gt;0)*(INDEX(Equipe_X,MATCH($A62,Equipe_Nome,0),0)="X"))+ROW()*0.0001)</f>
        <v/>
      </c>
      <c r="T62">
        <f>IF(OR($A62="",$B62&lt;&gt;"Disponível",COUNTIF(Pai_Tec1,$A62)+COUNTIF(Pai_Tec2,$A62)&gt;0),"",SUMPRODUCT((E17:X17&gt;0)*(INDEX(Equipe_X,MATCH($A62,Equipe_Nome,0),0)="X"))+ROW()*0.0001)</f>
        <v/>
      </c>
    </row>
    <row r="63">
      <c r="A63">
        <f>IF('Equipe'!$B$27="","",'Equipe'!$B$27)</f>
        <v/>
      </c>
      <c r="B63">
        <f>IF($A63="","",IFERROR(INDEX(Equipe_Situacao,MATCH($A63,Equipe_Nome,0)),""))</f>
        <v/>
      </c>
      <c r="E63">
        <f>IF(OR($A63="",$B63&lt;&gt;"Disponível",COUNTIF(Pai_Tec1,$A63)+COUNTIF(Pai_Tec2,$A63)&gt;0),"",SUMPRODUCT((E2:X2&gt;0)*(INDEX(Equipe_X,MATCH($A63,Equipe_Nome,0),0)="X"))+ROW()*0.0001)</f>
        <v/>
      </c>
      <c r="F63">
        <f>IF(OR($A63="",$B63&lt;&gt;"Disponível",COUNTIF(Pai_Tec1,$A63)+COUNTIF(Pai_Tec2,$A63)&gt;0),"",SUMPRODUCT((E3:X3&gt;0)*(INDEX(Equipe_X,MATCH($A63,Equipe_Nome,0),0)="X"))+ROW()*0.0001)</f>
        <v/>
      </c>
      <c r="G63">
        <f>IF(OR($A63="",$B63&lt;&gt;"Disponível",COUNTIF(Pai_Tec1,$A63)+COUNTIF(Pai_Tec2,$A63)&gt;0),"",SUMPRODUCT((E4:X4&gt;0)*(INDEX(Equipe_X,MATCH($A63,Equipe_Nome,0),0)="X"))+ROW()*0.0001)</f>
        <v/>
      </c>
      <c r="H63">
        <f>IF(OR($A63="",$B63&lt;&gt;"Disponível",COUNTIF(Pai_Tec1,$A63)+COUNTIF(Pai_Tec2,$A63)&gt;0),"",SUMPRODUCT((E5:X5&gt;0)*(INDEX(Equipe_X,MATCH($A63,Equipe_Nome,0),0)="X"))+ROW()*0.0001)</f>
        <v/>
      </c>
      <c r="I63">
        <f>IF(OR($A63="",$B63&lt;&gt;"Disponível",COUNTIF(Pai_Tec1,$A63)+COUNTIF(Pai_Tec2,$A63)&gt;0),"",SUMPRODUCT((E6:X6&gt;0)*(INDEX(Equipe_X,MATCH($A63,Equipe_Nome,0),0)="X"))+ROW()*0.0001)</f>
        <v/>
      </c>
      <c r="J63">
        <f>IF(OR($A63="",$B63&lt;&gt;"Disponível",COUNTIF(Pai_Tec1,$A63)+COUNTIF(Pai_Tec2,$A63)&gt;0),"",SUMPRODUCT((E7:X7&gt;0)*(INDEX(Equipe_X,MATCH($A63,Equipe_Nome,0),0)="X"))+ROW()*0.0001)</f>
        <v/>
      </c>
      <c r="K63">
        <f>IF(OR($A63="",$B63&lt;&gt;"Disponível",COUNTIF(Pai_Tec1,$A63)+COUNTIF(Pai_Tec2,$A63)&gt;0),"",SUMPRODUCT((E8:X8&gt;0)*(INDEX(Equipe_X,MATCH($A63,Equipe_Nome,0),0)="X"))+ROW()*0.0001)</f>
        <v/>
      </c>
      <c r="L63">
        <f>IF(OR($A63="",$B63&lt;&gt;"Disponível",COUNTIF(Pai_Tec1,$A63)+COUNTIF(Pai_Tec2,$A63)&gt;0),"",SUMPRODUCT((E9:X9&gt;0)*(INDEX(Equipe_X,MATCH($A63,Equipe_Nome,0),0)="X"))+ROW()*0.0001)</f>
        <v/>
      </c>
      <c r="M63">
        <f>IF(OR($A63="",$B63&lt;&gt;"Disponível",COUNTIF(Pai_Tec1,$A63)+COUNTIF(Pai_Tec2,$A63)&gt;0),"",SUMPRODUCT((E10:X10&gt;0)*(INDEX(Equipe_X,MATCH($A63,Equipe_Nome,0),0)="X"))+ROW()*0.0001)</f>
        <v/>
      </c>
      <c r="N63">
        <f>IF(OR($A63="",$B63&lt;&gt;"Disponível",COUNTIF(Pai_Tec1,$A63)+COUNTIF(Pai_Tec2,$A63)&gt;0),"",SUMPRODUCT((E11:X11&gt;0)*(INDEX(Equipe_X,MATCH($A63,Equipe_Nome,0),0)="X"))+ROW()*0.0001)</f>
        <v/>
      </c>
      <c r="O63">
        <f>IF(OR($A63="",$B63&lt;&gt;"Disponível",COUNTIF(Pai_Tec1,$A63)+COUNTIF(Pai_Tec2,$A63)&gt;0),"",SUMPRODUCT((E12:X12&gt;0)*(INDEX(Equipe_X,MATCH($A63,Equipe_Nome,0),0)="X"))+ROW()*0.0001)</f>
        <v/>
      </c>
      <c r="P63">
        <f>IF(OR($A63="",$B63&lt;&gt;"Disponível",COUNTIF(Pai_Tec1,$A63)+COUNTIF(Pai_Tec2,$A63)&gt;0),"",SUMPRODUCT((E13:X13&gt;0)*(INDEX(Equipe_X,MATCH($A63,Equipe_Nome,0),0)="X"))+ROW()*0.0001)</f>
        <v/>
      </c>
      <c r="Q63">
        <f>IF(OR($A63="",$B63&lt;&gt;"Disponível",COUNTIF(Pai_Tec1,$A63)+COUNTIF(Pai_Tec2,$A63)&gt;0),"",SUMPRODUCT((E14:X14&gt;0)*(INDEX(Equipe_X,MATCH($A63,Equipe_Nome,0),0)="X"))+ROW()*0.0001)</f>
        <v/>
      </c>
      <c r="R63">
        <f>IF(OR($A63="",$B63&lt;&gt;"Disponível",COUNTIF(Pai_Tec1,$A63)+COUNTIF(Pai_Tec2,$A63)&gt;0),"",SUMPRODUCT((E15:X15&gt;0)*(INDEX(Equipe_X,MATCH($A63,Equipe_Nome,0),0)="X"))+ROW()*0.0001)</f>
        <v/>
      </c>
      <c r="S63">
        <f>IF(OR($A63="",$B63&lt;&gt;"Disponível",COUNTIF(Pai_Tec1,$A63)+COUNTIF(Pai_Tec2,$A63)&gt;0),"",SUMPRODUCT((E16:X16&gt;0)*(INDEX(Equipe_X,MATCH($A63,Equipe_Nome,0),0)="X"))+ROW()*0.0001)</f>
        <v/>
      </c>
      <c r="T63">
        <f>IF(OR($A63="",$B63&lt;&gt;"Disponível",COUNTIF(Pai_Tec1,$A63)+COUNTIF(Pai_Tec2,$A63)&gt;0),"",SUMPRODUCT((E17:X17&gt;0)*(INDEX(Equipe_X,MATCH($A63,Equipe_Nome,0),0)="X"))+ROW()*0.0001)</f>
        <v/>
      </c>
    </row>
    <row r="64">
      <c r="A64">
        <f>IF('Equipe'!$B$28="","",'Equipe'!$B$28)</f>
        <v/>
      </c>
      <c r="B64">
        <f>IF($A64="","",IFERROR(INDEX(Equipe_Situacao,MATCH($A64,Equipe_Nome,0)),""))</f>
        <v/>
      </c>
      <c r="E64">
        <f>IF(OR($A64="",$B64&lt;&gt;"Disponível",COUNTIF(Pai_Tec1,$A64)+COUNTIF(Pai_Tec2,$A64)&gt;0),"",SUMPRODUCT((E2:X2&gt;0)*(INDEX(Equipe_X,MATCH($A64,Equipe_Nome,0),0)="X"))+ROW()*0.0001)</f>
        <v/>
      </c>
      <c r="F64">
        <f>IF(OR($A64="",$B64&lt;&gt;"Disponível",COUNTIF(Pai_Tec1,$A64)+COUNTIF(Pai_Tec2,$A64)&gt;0),"",SUMPRODUCT((E3:X3&gt;0)*(INDEX(Equipe_X,MATCH($A64,Equipe_Nome,0),0)="X"))+ROW()*0.0001)</f>
        <v/>
      </c>
      <c r="G64">
        <f>IF(OR($A64="",$B64&lt;&gt;"Disponível",COUNTIF(Pai_Tec1,$A64)+COUNTIF(Pai_Tec2,$A64)&gt;0),"",SUMPRODUCT((E4:X4&gt;0)*(INDEX(Equipe_X,MATCH($A64,Equipe_Nome,0),0)="X"))+ROW()*0.0001)</f>
        <v/>
      </c>
      <c r="H64">
        <f>IF(OR($A64="",$B64&lt;&gt;"Disponível",COUNTIF(Pai_Tec1,$A64)+COUNTIF(Pai_Tec2,$A64)&gt;0),"",SUMPRODUCT((E5:X5&gt;0)*(INDEX(Equipe_X,MATCH($A64,Equipe_Nome,0),0)="X"))+ROW()*0.0001)</f>
        <v/>
      </c>
      <c r="I64">
        <f>IF(OR($A64="",$B64&lt;&gt;"Disponível",COUNTIF(Pai_Tec1,$A64)+COUNTIF(Pai_Tec2,$A64)&gt;0),"",SUMPRODUCT((E6:X6&gt;0)*(INDEX(Equipe_X,MATCH($A64,Equipe_Nome,0),0)="X"))+ROW()*0.0001)</f>
        <v/>
      </c>
      <c r="J64">
        <f>IF(OR($A64="",$B64&lt;&gt;"Disponível",COUNTIF(Pai_Tec1,$A64)+COUNTIF(Pai_Tec2,$A64)&gt;0),"",SUMPRODUCT((E7:X7&gt;0)*(INDEX(Equipe_X,MATCH($A64,Equipe_Nome,0),0)="X"))+ROW()*0.0001)</f>
        <v/>
      </c>
      <c r="K64">
        <f>IF(OR($A64="",$B64&lt;&gt;"Disponível",COUNTIF(Pai_Tec1,$A64)+COUNTIF(Pai_Tec2,$A64)&gt;0),"",SUMPRODUCT((E8:X8&gt;0)*(INDEX(Equipe_X,MATCH($A64,Equipe_Nome,0),0)="X"))+ROW()*0.0001)</f>
        <v/>
      </c>
      <c r="L64">
        <f>IF(OR($A64="",$B64&lt;&gt;"Disponível",COUNTIF(Pai_Tec1,$A64)+COUNTIF(Pai_Tec2,$A64)&gt;0),"",SUMPRODUCT((E9:X9&gt;0)*(INDEX(Equipe_X,MATCH($A64,Equipe_Nome,0),0)="X"))+ROW()*0.0001)</f>
        <v/>
      </c>
      <c r="M64">
        <f>IF(OR($A64="",$B64&lt;&gt;"Disponível",COUNTIF(Pai_Tec1,$A64)+COUNTIF(Pai_Tec2,$A64)&gt;0),"",SUMPRODUCT((E10:X10&gt;0)*(INDEX(Equipe_X,MATCH($A64,Equipe_Nome,0),0)="X"))+ROW()*0.0001)</f>
        <v/>
      </c>
      <c r="N64">
        <f>IF(OR($A64="",$B64&lt;&gt;"Disponível",COUNTIF(Pai_Tec1,$A64)+COUNTIF(Pai_Tec2,$A64)&gt;0),"",SUMPRODUCT((E11:X11&gt;0)*(INDEX(Equipe_X,MATCH($A64,Equipe_Nome,0),0)="X"))+ROW()*0.0001)</f>
        <v/>
      </c>
      <c r="O64">
        <f>IF(OR($A64="",$B64&lt;&gt;"Disponível",COUNTIF(Pai_Tec1,$A64)+COUNTIF(Pai_Tec2,$A64)&gt;0),"",SUMPRODUCT((E12:X12&gt;0)*(INDEX(Equipe_X,MATCH($A64,Equipe_Nome,0),0)="X"))+ROW()*0.0001)</f>
        <v/>
      </c>
      <c r="P64">
        <f>IF(OR($A64="",$B64&lt;&gt;"Disponível",COUNTIF(Pai_Tec1,$A64)+COUNTIF(Pai_Tec2,$A64)&gt;0),"",SUMPRODUCT((E13:X13&gt;0)*(INDEX(Equipe_X,MATCH($A64,Equipe_Nome,0),0)="X"))+ROW()*0.0001)</f>
        <v/>
      </c>
      <c r="Q64">
        <f>IF(OR($A64="",$B64&lt;&gt;"Disponível",COUNTIF(Pai_Tec1,$A64)+COUNTIF(Pai_Tec2,$A64)&gt;0),"",SUMPRODUCT((E14:X14&gt;0)*(INDEX(Equipe_X,MATCH($A64,Equipe_Nome,0),0)="X"))+ROW()*0.0001)</f>
        <v/>
      </c>
      <c r="R64">
        <f>IF(OR($A64="",$B64&lt;&gt;"Disponível",COUNTIF(Pai_Tec1,$A64)+COUNTIF(Pai_Tec2,$A64)&gt;0),"",SUMPRODUCT((E15:X15&gt;0)*(INDEX(Equipe_X,MATCH($A64,Equipe_Nome,0),0)="X"))+ROW()*0.0001)</f>
        <v/>
      </c>
      <c r="S64">
        <f>IF(OR($A64="",$B64&lt;&gt;"Disponível",COUNTIF(Pai_Tec1,$A64)+COUNTIF(Pai_Tec2,$A64)&gt;0),"",SUMPRODUCT((E16:X16&gt;0)*(INDEX(Equipe_X,MATCH($A64,Equipe_Nome,0),0)="X"))+ROW()*0.0001)</f>
        <v/>
      </c>
      <c r="T64">
        <f>IF(OR($A64="",$B64&lt;&gt;"Disponível",COUNTIF(Pai_Tec1,$A64)+COUNTIF(Pai_Tec2,$A64)&gt;0),"",SUMPRODUCT((E17:X17&gt;0)*(INDEX(Equipe_X,MATCH($A64,Equipe_Nome,0),0)="X"))+ROW()*0.0001)</f>
        <v/>
      </c>
    </row>
    <row r="65">
      <c r="A65">
        <f>IF('Equipe'!$B$29="","",'Equipe'!$B$29)</f>
        <v/>
      </c>
      <c r="B65">
        <f>IF($A65="","",IFERROR(INDEX(Equipe_Situacao,MATCH($A65,Equipe_Nome,0)),""))</f>
        <v/>
      </c>
      <c r="E65">
        <f>IF(OR($A65="",$B65&lt;&gt;"Disponível",COUNTIF(Pai_Tec1,$A65)+COUNTIF(Pai_Tec2,$A65)&gt;0),"",SUMPRODUCT((E2:X2&gt;0)*(INDEX(Equipe_X,MATCH($A65,Equipe_Nome,0),0)="X"))+ROW()*0.0001)</f>
        <v/>
      </c>
      <c r="F65">
        <f>IF(OR($A65="",$B65&lt;&gt;"Disponível",COUNTIF(Pai_Tec1,$A65)+COUNTIF(Pai_Tec2,$A65)&gt;0),"",SUMPRODUCT((E3:X3&gt;0)*(INDEX(Equipe_X,MATCH($A65,Equipe_Nome,0),0)="X"))+ROW()*0.0001)</f>
        <v/>
      </c>
      <c r="G65">
        <f>IF(OR($A65="",$B65&lt;&gt;"Disponível",COUNTIF(Pai_Tec1,$A65)+COUNTIF(Pai_Tec2,$A65)&gt;0),"",SUMPRODUCT((E4:X4&gt;0)*(INDEX(Equipe_X,MATCH($A65,Equipe_Nome,0),0)="X"))+ROW()*0.0001)</f>
        <v/>
      </c>
      <c r="H65">
        <f>IF(OR($A65="",$B65&lt;&gt;"Disponível",COUNTIF(Pai_Tec1,$A65)+COUNTIF(Pai_Tec2,$A65)&gt;0),"",SUMPRODUCT((E5:X5&gt;0)*(INDEX(Equipe_X,MATCH($A65,Equipe_Nome,0),0)="X"))+ROW()*0.0001)</f>
        <v/>
      </c>
      <c r="I65">
        <f>IF(OR($A65="",$B65&lt;&gt;"Disponível",COUNTIF(Pai_Tec1,$A65)+COUNTIF(Pai_Tec2,$A65)&gt;0),"",SUMPRODUCT((E6:X6&gt;0)*(INDEX(Equipe_X,MATCH($A65,Equipe_Nome,0),0)="X"))+ROW()*0.0001)</f>
        <v/>
      </c>
      <c r="J65">
        <f>IF(OR($A65="",$B65&lt;&gt;"Disponível",COUNTIF(Pai_Tec1,$A65)+COUNTIF(Pai_Tec2,$A65)&gt;0),"",SUMPRODUCT((E7:X7&gt;0)*(INDEX(Equipe_X,MATCH($A65,Equipe_Nome,0),0)="X"))+ROW()*0.0001)</f>
        <v/>
      </c>
      <c r="K65">
        <f>IF(OR($A65="",$B65&lt;&gt;"Disponível",COUNTIF(Pai_Tec1,$A65)+COUNTIF(Pai_Tec2,$A65)&gt;0),"",SUMPRODUCT((E8:X8&gt;0)*(INDEX(Equipe_X,MATCH($A65,Equipe_Nome,0),0)="X"))+ROW()*0.0001)</f>
        <v/>
      </c>
      <c r="L65">
        <f>IF(OR($A65="",$B65&lt;&gt;"Disponível",COUNTIF(Pai_Tec1,$A65)+COUNTIF(Pai_Tec2,$A65)&gt;0),"",SUMPRODUCT((E9:X9&gt;0)*(INDEX(Equipe_X,MATCH($A65,Equipe_Nome,0),0)="X"))+ROW()*0.0001)</f>
        <v/>
      </c>
      <c r="M65">
        <f>IF(OR($A65="",$B65&lt;&gt;"Disponível",COUNTIF(Pai_Tec1,$A65)+COUNTIF(Pai_Tec2,$A65)&gt;0),"",SUMPRODUCT((E10:X10&gt;0)*(INDEX(Equipe_X,MATCH($A65,Equipe_Nome,0),0)="X"))+ROW()*0.0001)</f>
        <v/>
      </c>
      <c r="N65">
        <f>IF(OR($A65="",$B65&lt;&gt;"Disponível",COUNTIF(Pai_Tec1,$A65)+COUNTIF(Pai_Tec2,$A65)&gt;0),"",SUMPRODUCT((E11:X11&gt;0)*(INDEX(Equipe_X,MATCH($A65,Equipe_Nome,0),0)="X"))+ROW()*0.0001)</f>
        <v/>
      </c>
      <c r="O65">
        <f>IF(OR($A65="",$B65&lt;&gt;"Disponível",COUNTIF(Pai_Tec1,$A65)+COUNTIF(Pai_Tec2,$A65)&gt;0),"",SUMPRODUCT((E12:X12&gt;0)*(INDEX(Equipe_X,MATCH($A65,Equipe_Nome,0),0)="X"))+ROW()*0.0001)</f>
        <v/>
      </c>
      <c r="P65">
        <f>IF(OR($A65="",$B65&lt;&gt;"Disponível",COUNTIF(Pai_Tec1,$A65)+COUNTIF(Pai_Tec2,$A65)&gt;0),"",SUMPRODUCT((E13:X13&gt;0)*(INDEX(Equipe_X,MATCH($A65,Equipe_Nome,0),0)="X"))+ROW()*0.0001)</f>
        <v/>
      </c>
      <c r="Q65">
        <f>IF(OR($A65="",$B65&lt;&gt;"Disponível",COUNTIF(Pai_Tec1,$A65)+COUNTIF(Pai_Tec2,$A65)&gt;0),"",SUMPRODUCT((E14:X14&gt;0)*(INDEX(Equipe_X,MATCH($A65,Equipe_Nome,0),0)="X"))+ROW()*0.0001)</f>
        <v/>
      </c>
      <c r="R65">
        <f>IF(OR($A65="",$B65&lt;&gt;"Disponível",COUNTIF(Pai_Tec1,$A65)+COUNTIF(Pai_Tec2,$A65)&gt;0),"",SUMPRODUCT((E15:X15&gt;0)*(INDEX(Equipe_X,MATCH($A65,Equipe_Nome,0),0)="X"))+ROW()*0.0001)</f>
        <v/>
      </c>
      <c r="S65">
        <f>IF(OR($A65="",$B65&lt;&gt;"Disponível",COUNTIF(Pai_Tec1,$A65)+COUNTIF(Pai_Tec2,$A65)&gt;0),"",SUMPRODUCT((E16:X16&gt;0)*(INDEX(Equipe_X,MATCH($A65,Equipe_Nome,0),0)="X"))+ROW()*0.0001)</f>
        <v/>
      </c>
      <c r="T65">
        <f>IF(OR($A65="",$B65&lt;&gt;"Disponível",COUNTIF(Pai_Tec1,$A65)+COUNTIF(Pai_Tec2,$A65)&gt;0),"",SUMPRODUCT((E17:X17&gt;0)*(INDEX(Equipe_X,MATCH($A65,Equipe_Nome,0),0)="X"))+ROW()*0.0001)</f>
        <v/>
      </c>
    </row>
    <row r="66">
      <c r="A66">
        <f>IF('Equipe'!$B$30="","",'Equipe'!$B$30)</f>
        <v/>
      </c>
      <c r="B66">
        <f>IF($A66="","",IFERROR(INDEX(Equipe_Situacao,MATCH($A66,Equipe_Nome,0)),""))</f>
        <v/>
      </c>
      <c r="E66">
        <f>IF(OR($A66="",$B66&lt;&gt;"Disponível",COUNTIF(Pai_Tec1,$A66)+COUNTIF(Pai_Tec2,$A66)&gt;0),"",SUMPRODUCT((E2:X2&gt;0)*(INDEX(Equipe_X,MATCH($A66,Equipe_Nome,0),0)="X"))+ROW()*0.0001)</f>
        <v/>
      </c>
      <c r="F66">
        <f>IF(OR($A66="",$B66&lt;&gt;"Disponível",COUNTIF(Pai_Tec1,$A66)+COUNTIF(Pai_Tec2,$A66)&gt;0),"",SUMPRODUCT((E3:X3&gt;0)*(INDEX(Equipe_X,MATCH($A66,Equipe_Nome,0),0)="X"))+ROW()*0.0001)</f>
        <v/>
      </c>
      <c r="G66">
        <f>IF(OR($A66="",$B66&lt;&gt;"Disponível",COUNTIF(Pai_Tec1,$A66)+COUNTIF(Pai_Tec2,$A66)&gt;0),"",SUMPRODUCT((E4:X4&gt;0)*(INDEX(Equipe_X,MATCH($A66,Equipe_Nome,0),0)="X"))+ROW()*0.0001)</f>
        <v/>
      </c>
      <c r="H66">
        <f>IF(OR($A66="",$B66&lt;&gt;"Disponível",COUNTIF(Pai_Tec1,$A66)+COUNTIF(Pai_Tec2,$A66)&gt;0),"",SUMPRODUCT((E5:X5&gt;0)*(INDEX(Equipe_X,MATCH($A66,Equipe_Nome,0),0)="X"))+ROW()*0.0001)</f>
        <v/>
      </c>
      <c r="I66">
        <f>IF(OR($A66="",$B66&lt;&gt;"Disponível",COUNTIF(Pai_Tec1,$A66)+COUNTIF(Pai_Tec2,$A66)&gt;0),"",SUMPRODUCT((E6:X6&gt;0)*(INDEX(Equipe_X,MATCH($A66,Equipe_Nome,0),0)="X"))+ROW()*0.0001)</f>
        <v/>
      </c>
      <c r="J66">
        <f>IF(OR($A66="",$B66&lt;&gt;"Disponível",COUNTIF(Pai_Tec1,$A66)+COUNTIF(Pai_Tec2,$A66)&gt;0),"",SUMPRODUCT((E7:X7&gt;0)*(INDEX(Equipe_X,MATCH($A66,Equipe_Nome,0),0)="X"))+ROW()*0.0001)</f>
        <v/>
      </c>
      <c r="K66">
        <f>IF(OR($A66="",$B66&lt;&gt;"Disponível",COUNTIF(Pai_Tec1,$A66)+COUNTIF(Pai_Tec2,$A66)&gt;0),"",SUMPRODUCT((E8:X8&gt;0)*(INDEX(Equipe_X,MATCH($A66,Equipe_Nome,0),0)="X"))+ROW()*0.0001)</f>
        <v/>
      </c>
      <c r="L66">
        <f>IF(OR($A66="",$B66&lt;&gt;"Disponível",COUNTIF(Pai_Tec1,$A66)+COUNTIF(Pai_Tec2,$A66)&gt;0),"",SUMPRODUCT((E9:X9&gt;0)*(INDEX(Equipe_X,MATCH($A66,Equipe_Nome,0),0)="X"))+ROW()*0.0001)</f>
        <v/>
      </c>
      <c r="M66">
        <f>IF(OR($A66="",$B66&lt;&gt;"Disponível",COUNTIF(Pai_Tec1,$A66)+COUNTIF(Pai_Tec2,$A66)&gt;0),"",SUMPRODUCT((E10:X10&gt;0)*(INDEX(Equipe_X,MATCH($A66,Equipe_Nome,0),0)="X"))+ROW()*0.0001)</f>
        <v/>
      </c>
      <c r="N66">
        <f>IF(OR($A66="",$B66&lt;&gt;"Disponível",COUNTIF(Pai_Tec1,$A66)+COUNTIF(Pai_Tec2,$A66)&gt;0),"",SUMPRODUCT((E11:X11&gt;0)*(INDEX(Equipe_X,MATCH($A66,Equipe_Nome,0),0)="X"))+ROW()*0.0001)</f>
        <v/>
      </c>
      <c r="O66">
        <f>IF(OR($A66="",$B66&lt;&gt;"Disponível",COUNTIF(Pai_Tec1,$A66)+COUNTIF(Pai_Tec2,$A66)&gt;0),"",SUMPRODUCT((E12:X12&gt;0)*(INDEX(Equipe_X,MATCH($A66,Equipe_Nome,0),0)="X"))+ROW()*0.0001)</f>
        <v/>
      </c>
      <c r="P66">
        <f>IF(OR($A66="",$B66&lt;&gt;"Disponível",COUNTIF(Pai_Tec1,$A66)+COUNTIF(Pai_Tec2,$A66)&gt;0),"",SUMPRODUCT((E13:X13&gt;0)*(INDEX(Equipe_X,MATCH($A66,Equipe_Nome,0),0)="X"))+ROW()*0.0001)</f>
        <v/>
      </c>
      <c r="Q66">
        <f>IF(OR($A66="",$B66&lt;&gt;"Disponível",COUNTIF(Pai_Tec1,$A66)+COUNTIF(Pai_Tec2,$A66)&gt;0),"",SUMPRODUCT((E14:X14&gt;0)*(INDEX(Equipe_X,MATCH($A66,Equipe_Nome,0),0)="X"))+ROW()*0.0001)</f>
        <v/>
      </c>
      <c r="R66">
        <f>IF(OR($A66="",$B66&lt;&gt;"Disponível",COUNTIF(Pai_Tec1,$A66)+COUNTIF(Pai_Tec2,$A66)&gt;0),"",SUMPRODUCT((E15:X15&gt;0)*(INDEX(Equipe_X,MATCH($A66,Equipe_Nome,0),0)="X"))+ROW()*0.0001)</f>
        <v/>
      </c>
      <c r="S66">
        <f>IF(OR($A66="",$B66&lt;&gt;"Disponível",COUNTIF(Pai_Tec1,$A66)+COUNTIF(Pai_Tec2,$A66)&gt;0),"",SUMPRODUCT((E16:X16&gt;0)*(INDEX(Equipe_X,MATCH($A66,Equipe_Nome,0),0)="X"))+ROW()*0.0001)</f>
        <v/>
      </c>
      <c r="T66">
        <f>IF(OR($A66="",$B66&lt;&gt;"Disponível",COUNTIF(Pai_Tec1,$A66)+COUNTIF(Pai_Tec2,$A66)&gt;0),"",SUMPRODUCT((E17:X17&gt;0)*(INDEX(Equipe_X,MATCH($A66,Equipe_Nome,0),0)="X"))+ROW()*0.0001)</f>
        <v/>
      </c>
    </row>
    <row r="67">
      <c r="A67">
        <f>IF('Equipe'!$B$31="","",'Equipe'!$B$31)</f>
        <v/>
      </c>
      <c r="B67">
        <f>IF($A67="","",IFERROR(INDEX(Equipe_Situacao,MATCH($A67,Equipe_Nome,0)),""))</f>
        <v/>
      </c>
      <c r="E67">
        <f>IF(OR($A67="",$B67&lt;&gt;"Disponível",COUNTIF(Pai_Tec1,$A67)+COUNTIF(Pai_Tec2,$A67)&gt;0),"",SUMPRODUCT((E2:X2&gt;0)*(INDEX(Equipe_X,MATCH($A67,Equipe_Nome,0),0)="X"))+ROW()*0.0001)</f>
        <v/>
      </c>
      <c r="F67">
        <f>IF(OR($A67="",$B67&lt;&gt;"Disponível",COUNTIF(Pai_Tec1,$A67)+COUNTIF(Pai_Tec2,$A67)&gt;0),"",SUMPRODUCT((E3:X3&gt;0)*(INDEX(Equipe_X,MATCH($A67,Equipe_Nome,0),0)="X"))+ROW()*0.0001)</f>
        <v/>
      </c>
      <c r="G67">
        <f>IF(OR($A67="",$B67&lt;&gt;"Disponível",COUNTIF(Pai_Tec1,$A67)+COUNTIF(Pai_Tec2,$A67)&gt;0),"",SUMPRODUCT((E4:X4&gt;0)*(INDEX(Equipe_X,MATCH($A67,Equipe_Nome,0),0)="X"))+ROW()*0.0001)</f>
        <v/>
      </c>
      <c r="H67">
        <f>IF(OR($A67="",$B67&lt;&gt;"Disponível",COUNTIF(Pai_Tec1,$A67)+COUNTIF(Pai_Tec2,$A67)&gt;0),"",SUMPRODUCT((E5:X5&gt;0)*(INDEX(Equipe_X,MATCH($A67,Equipe_Nome,0),0)="X"))+ROW()*0.0001)</f>
        <v/>
      </c>
      <c r="I67">
        <f>IF(OR($A67="",$B67&lt;&gt;"Disponível",COUNTIF(Pai_Tec1,$A67)+COUNTIF(Pai_Tec2,$A67)&gt;0),"",SUMPRODUCT((E6:X6&gt;0)*(INDEX(Equipe_X,MATCH($A67,Equipe_Nome,0),0)="X"))+ROW()*0.0001)</f>
        <v/>
      </c>
      <c r="J67">
        <f>IF(OR($A67="",$B67&lt;&gt;"Disponível",COUNTIF(Pai_Tec1,$A67)+COUNTIF(Pai_Tec2,$A67)&gt;0),"",SUMPRODUCT((E7:X7&gt;0)*(INDEX(Equipe_X,MATCH($A67,Equipe_Nome,0),0)="X"))+ROW()*0.0001)</f>
        <v/>
      </c>
      <c r="K67">
        <f>IF(OR($A67="",$B67&lt;&gt;"Disponível",COUNTIF(Pai_Tec1,$A67)+COUNTIF(Pai_Tec2,$A67)&gt;0),"",SUMPRODUCT((E8:X8&gt;0)*(INDEX(Equipe_X,MATCH($A67,Equipe_Nome,0),0)="X"))+ROW()*0.0001)</f>
        <v/>
      </c>
      <c r="L67">
        <f>IF(OR($A67="",$B67&lt;&gt;"Disponível",COUNTIF(Pai_Tec1,$A67)+COUNTIF(Pai_Tec2,$A67)&gt;0),"",SUMPRODUCT((E9:X9&gt;0)*(INDEX(Equipe_X,MATCH($A67,Equipe_Nome,0),0)="X"))+ROW()*0.0001)</f>
        <v/>
      </c>
      <c r="M67">
        <f>IF(OR($A67="",$B67&lt;&gt;"Disponível",COUNTIF(Pai_Tec1,$A67)+COUNTIF(Pai_Tec2,$A67)&gt;0),"",SUMPRODUCT((E10:X10&gt;0)*(INDEX(Equipe_X,MATCH($A67,Equipe_Nome,0),0)="X"))+ROW()*0.0001)</f>
        <v/>
      </c>
      <c r="N67">
        <f>IF(OR($A67="",$B67&lt;&gt;"Disponível",COUNTIF(Pai_Tec1,$A67)+COUNTIF(Pai_Tec2,$A67)&gt;0),"",SUMPRODUCT((E11:X11&gt;0)*(INDEX(Equipe_X,MATCH($A67,Equipe_Nome,0),0)="X"))+ROW()*0.0001)</f>
        <v/>
      </c>
      <c r="O67">
        <f>IF(OR($A67="",$B67&lt;&gt;"Disponível",COUNTIF(Pai_Tec1,$A67)+COUNTIF(Pai_Tec2,$A67)&gt;0),"",SUMPRODUCT((E12:X12&gt;0)*(INDEX(Equipe_X,MATCH($A67,Equipe_Nome,0),0)="X"))+ROW()*0.0001)</f>
        <v/>
      </c>
      <c r="P67">
        <f>IF(OR($A67="",$B67&lt;&gt;"Disponível",COUNTIF(Pai_Tec1,$A67)+COUNTIF(Pai_Tec2,$A67)&gt;0),"",SUMPRODUCT((E13:X13&gt;0)*(INDEX(Equipe_X,MATCH($A67,Equipe_Nome,0),0)="X"))+ROW()*0.0001)</f>
        <v/>
      </c>
      <c r="Q67">
        <f>IF(OR($A67="",$B67&lt;&gt;"Disponível",COUNTIF(Pai_Tec1,$A67)+COUNTIF(Pai_Tec2,$A67)&gt;0),"",SUMPRODUCT((E14:X14&gt;0)*(INDEX(Equipe_X,MATCH($A67,Equipe_Nome,0),0)="X"))+ROW()*0.0001)</f>
        <v/>
      </c>
      <c r="R67">
        <f>IF(OR($A67="",$B67&lt;&gt;"Disponível",COUNTIF(Pai_Tec1,$A67)+COUNTIF(Pai_Tec2,$A67)&gt;0),"",SUMPRODUCT((E15:X15&gt;0)*(INDEX(Equipe_X,MATCH($A67,Equipe_Nome,0),0)="X"))+ROW()*0.0001)</f>
        <v/>
      </c>
      <c r="S67">
        <f>IF(OR($A67="",$B67&lt;&gt;"Disponível",COUNTIF(Pai_Tec1,$A67)+COUNTIF(Pai_Tec2,$A67)&gt;0),"",SUMPRODUCT((E16:X16&gt;0)*(INDEX(Equipe_X,MATCH($A67,Equipe_Nome,0),0)="X"))+ROW()*0.0001)</f>
        <v/>
      </c>
      <c r="T67">
        <f>IF(OR($A67="",$B67&lt;&gt;"Disponível",COUNTIF(Pai_Tec1,$A67)+COUNTIF(Pai_Tec2,$A67)&gt;0),"",SUMPRODUCT((E17:X17&gt;0)*(INDEX(Equipe_X,MATCH($A67,Equipe_Nome,0),0)="X"))+ROW()*0.0001)</f>
        <v/>
      </c>
    </row>
    <row r="69" ht="20" customHeight="1">
      <c r="A69" s="7" t="inlineStr">
        <is>
          <t>Gravidade</t>
        </is>
      </c>
      <c r="B69" s="7" t="inlineStr">
        <is>
          <t>O que fazer</t>
        </is>
      </c>
    </row>
    <row r="70">
      <c r="A70">
        <f>IF(COUNTIF(Equipe_X,"X")=0,1000,0)</f>
        <v/>
      </c>
      <c r="B70">
        <f>IF($A70=0,"","Marque o X de cada técnica na aba Equipe — sem isso a planilha não avalia as duplas")</f>
        <v/>
      </c>
    </row>
    <row r="71">
      <c r="A71">
        <f>IF(COUNTIFS(Mapa_Data,Data_Mapa,Mapa_Sala,"&lt;&gt;")=0,990,0)</f>
        <v/>
      </c>
      <c r="B71">
        <f>IF($A71=0,"","Nenhuma cirurgia lançada nesta data — importe a agenda do dia")</f>
        <v/>
      </c>
    </row>
    <row r="72">
      <c r="A72">
        <f>IF(SUMPRODUCT((Cir_Nome&lt;&gt;"")*(Cir_Esp=""))&gt;0,980,0)</f>
        <v/>
      </c>
      <c r="B72">
        <f>IF($A72=0,"","Cadastre a especialidade de "&amp;SUMPRODUCT((Cir_Nome&lt;&gt;"")*(Cir_Esp=""))&amp;" cirurgião(ões) na aba Configuração, seção 8")</f>
        <v/>
      </c>
    </row>
    <row r="73">
      <c r="A73">
        <f>IF(SUMPRODUCT((Equipe_Nome&lt;&gt;"")*(Equipe_AfinN=0))&gt;0,960,0)</f>
        <v/>
      </c>
      <c r="B73">
        <f>IF($A73=0,"","Há "&amp;SUMPRODUCT((Equipe_Nome&lt;&gt;"")*(Equipe_AfinN=0))&amp;" técnico(s) sem nenhum X de afinidade na aba Equipe — não podem formar dupla com ninguém")</f>
        <v/>
      </c>
    </row>
    <row r="74">
      <c r="A74">
        <f>IF('Painel'!$AN$9&gt;0,970,0)</f>
        <v/>
      </c>
      <c r="B74">
        <f>IF($A74=0,"","Falta"&amp;IF('Painel'!$AN$9=1,"","m")&amp;" "&amp;'Painel'!$AN$9&amp;" técnico"&amp;IF('Painel'!$AN$9=1,"","s")&amp;" para cobrir todas as vagas de hoje — veja o Mapa do Dia")</f>
        <v/>
      </c>
    </row>
    <row r="75">
      <c r="A75">
        <f>IF('Mapa do Dia'!$A10="",0,IF('Mapa do Dia'!$F10="SEM EQUIPE",IF(N('Mapa do Dia'!$H10)&gt;0,900,850),IF('Mapa do Dia'!$F10="INDISPONÍVEL",870,IF('Mapa do Dia'!$F10="FALTA HABILIDADE",800,IF('Mapa do Dia'!$F10="DUPLA VETADA",750,IF('Mapa do Dia'!$F10="GENTE DEMAIS",700,IF('Mapa do Dia'!$F10="INCOMPLETO",650,IF('Mapa do Dia'!$F10="EXTRA",600,IF('Mapa do Dia'!$F10="ATENÇÃO",400,IF(AND('Mapa do Dia'!$F10="SEM AVALIAÇÃO",COUNTIF(Equipe_X,"X")&gt;0),300,0))))))))))+IF('Mapa do Dia'!$A10="",0,(20-IFERROR(INDEX(Postos_Prior,MATCH('Mapa do Dia'!$N10,Postos_Cod,0)),20))/100)</f>
        <v/>
      </c>
      <c r="B75">
        <f>IF(OR('Mapa do Dia'!$A10="",$A75&lt;1),"",'Mapa do Dia'!$A10&amp;" · "&amp;'Mapa do Dia'!$G10)</f>
        <v/>
      </c>
    </row>
    <row r="76">
      <c r="A76">
        <f>IF('Mapa do Dia'!$A11="",0,IF('Mapa do Dia'!$F11="SEM EQUIPE",IF(N('Mapa do Dia'!$H11)&gt;0,900,850),IF('Mapa do Dia'!$F11="INDISPONÍVEL",870,IF('Mapa do Dia'!$F11="FALTA HABILIDADE",800,IF('Mapa do Dia'!$F11="DUPLA VETADA",750,IF('Mapa do Dia'!$F11="GENTE DEMAIS",700,IF('Mapa do Dia'!$F11="INCOMPLETO",650,IF('Mapa do Dia'!$F11="EXTRA",600,IF('Mapa do Dia'!$F11="ATENÇÃO",400,IF(AND('Mapa do Dia'!$F11="SEM AVALIAÇÃO",COUNTIF(Equipe_X,"X")&gt;0),300,0))))))))))+IF('Mapa do Dia'!$A11="",0,(20-IFERROR(INDEX(Postos_Prior,MATCH('Mapa do Dia'!$N11,Postos_Cod,0)),20))/100)</f>
        <v/>
      </c>
      <c r="B76">
        <f>IF(OR('Mapa do Dia'!$A11="",$A76&lt;1),"",'Mapa do Dia'!$A11&amp;" · "&amp;'Mapa do Dia'!$G11)</f>
        <v/>
      </c>
    </row>
    <row r="77">
      <c r="A77">
        <f>IF('Mapa do Dia'!$A12="",0,IF('Mapa do Dia'!$F12="SEM EQUIPE",IF(N('Mapa do Dia'!$H12)&gt;0,900,850),IF('Mapa do Dia'!$F12="INDISPONÍVEL",870,IF('Mapa do Dia'!$F12="FALTA HABILIDADE",800,IF('Mapa do Dia'!$F12="DUPLA VETADA",750,IF('Mapa do Dia'!$F12="GENTE DEMAIS",700,IF('Mapa do Dia'!$F12="INCOMPLETO",650,IF('Mapa do Dia'!$F12="EXTRA",600,IF('Mapa do Dia'!$F12="ATENÇÃO",400,IF(AND('Mapa do Dia'!$F12="SEM AVALIAÇÃO",COUNTIF(Equipe_X,"X")&gt;0),300,0))))))))))+IF('Mapa do Dia'!$A12="",0,(20-IFERROR(INDEX(Postos_Prior,MATCH('Mapa do Dia'!$N12,Postos_Cod,0)),20))/100)</f>
        <v/>
      </c>
      <c r="B77">
        <f>IF(OR('Mapa do Dia'!$A12="",$A77&lt;1),"",'Mapa do Dia'!$A12&amp;" · "&amp;'Mapa do Dia'!$G12)</f>
        <v/>
      </c>
    </row>
    <row r="78">
      <c r="A78">
        <f>IF('Mapa do Dia'!$A13="",0,IF('Mapa do Dia'!$F13="SEM EQUIPE",IF(N('Mapa do Dia'!$H13)&gt;0,900,850),IF('Mapa do Dia'!$F13="INDISPONÍVEL",870,IF('Mapa do Dia'!$F13="FALTA HABILIDADE",800,IF('Mapa do Dia'!$F13="DUPLA VETADA",750,IF('Mapa do Dia'!$F13="GENTE DEMAIS",700,IF('Mapa do Dia'!$F13="INCOMPLETO",650,IF('Mapa do Dia'!$F13="EXTRA",600,IF('Mapa do Dia'!$F13="ATENÇÃO",400,IF(AND('Mapa do Dia'!$F13="SEM AVALIAÇÃO",COUNTIF(Equipe_X,"X")&gt;0),300,0))))))))))+IF('Mapa do Dia'!$A13="",0,(20-IFERROR(INDEX(Postos_Prior,MATCH('Mapa do Dia'!$N13,Postos_Cod,0)),20))/100)</f>
        <v/>
      </c>
      <c r="B78">
        <f>IF(OR('Mapa do Dia'!$A13="",$A78&lt;1),"",'Mapa do Dia'!$A13&amp;" · "&amp;'Mapa do Dia'!$G13)</f>
        <v/>
      </c>
    </row>
    <row r="79">
      <c r="A79">
        <f>IF('Mapa do Dia'!$A14="",0,IF('Mapa do Dia'!$F14="SEM EQUIPE",IF(N('Mapa do Dia'!$H14)&gt;0,900,850),IF('Mapa do Dia'!$F14="INDISPONÍVEL",870,IF('Mapa do Dia'!$F14="FALTA HABILIDADE",800,IF('Mapa do Dia'!$F14="DUPLA VETADA",750,IF('Mapa do Dia'!$F14="GENTE DEMAIS",700,IF('Mapa do Dia'!$F14="INCOMPLETO",650,IF('Mapa do Dia'!$F14="EXTRA",600,IF('Mapa do Dia'!$F14="ATENÇÃO",400,IF(AND('Mapa do Dia'!$F14="SEM AVALIAÇÃO",COUNTIF(Equipe_X,"X")&gt;0),300,0))))))))))+IF('Mapa do Dia'!$A14="",0,(20-IFERROR(INDEX(Postos_Prior,MATCH('Mapa do Dia'!$N14,Postos_Cod,0)),20))/100)</f>
        <v/>
      </c>
      <c r="B79">
        <f>IF(OR('Mapa do Dia'!$A14="",$A79&lt;1),"",'Mapa do Dia'!$A14&amp;" · "&amp;'Mapa do Dia'!$G14)</f>
        <v/>
      </c>
    </row>
    <row r="80">
      <c r="A80">
        <f>IF('Mapa do Dia'!$A15="",0,IF('Mapa do Dia'!$F15="SEM EQUIPE",IF(N('Mapa do Dia'!$H15)&gt;0,900,850),IF('Mapa do Dia'!$F15="INDISPONÍVEL",870,IF('Mapa do Dia'!$F15="FALTA HABILIDADE",800,IF('Mapa do Dia'!$F15="DUPLA VETADA",750,IF('Mapa do Dia'!$F15="GENTE DEMAIS",700,IF('Mapa do Dia'!$F15="INCOMPLETO",650,IF('Mapa do Dia'!$F15="EXTRA",600,IF('Mapa do Dia'!$F15="ATENÇÃO",400,IF(AND('Mapa do Dia'!$F15="SEM AVALIAÇÃO",COUNTIF(Equipe_X,"X")&gt;0),300,0))))))))))+IF('Mapa do Dia'!$A15="",0,(20-IFERROR(INDEX(Postos_Prior,MATCH('Mapa do Dia'!$N15,Postos_Cod,0)),20))/100)</f>
        <v/>
      </c>
      <c r="B80">
        <f>IF(OR('Mapa do Dia'!$A15="",$A80&lt;1),"",'Mapa do Dia'!$A15&amp;" · "&amp;'Mapa do Dia'!$G15)</f>
        <v/>
      </c>
    </row>
    <row r="81">
      <c r="A81">
        <f>IF('Mapa do Dia'!$A16="",0,IF('Mapa do Dia'!$F16="SEM EQUIPE",IF(N('Mapa do Dia'!$H16)&gt;0,900,850),IF('Mapa do Dia'!$F16="INDISPONÍVEL",870,IF('Mapa do Dia'!$F16="FALTA HABILIDADE",800,IF('Mapa do Dia'!$F16="DUPLA VETADA",750,IF('Mapa do Dia'!$F16="GENTE DEMAIS",700,IF('Mapa do Dia'!$F16="INCOMPLETO",650,IF('Mapa do Dia'!$F16="EXTRA",600,IF('Mapa do Dia'!$F16="ATENÇÃO",400,IF(AND('Mapa do Dia'!$F16="SEM AVALIAÇÃO",COUNTIF(Equipe_X,"X")&gt;0),300,0))))))))))+IF('Mapa do Dia'!$A16="",0,(20-IFERROR(INDEX(Postos_Prior,MATCH('Mapa do Dia'!$N16,Postos_Cod,0)),20))/100)</f>
        <v/>
      </c>
      <c r="B81">
        <f>IF(OR('Mapa do Dia'!$A16="",$A81&lt;1),"",'Mapa do Dia'!$A16&amp;" · "&amp;'Mapa do Dia'!$G16)</f>
        <v/>
      </c>
    </row>
    <row r="82">
      <c r="A82">
        <f>IF('Mapa do Dia'!$A17="",0,IF('Mapa do Dia'!$F17="SEM EQUIPE",IF(N('Mapa do Dia'!$H17)&gt;0,900,850),IF('Mapa do Dia'!$F17="INDISPONÍVEL",870,IF('Mapa do Dia'!$F17="FALTA HABILIDADE",800,IF('Mapa do Dia'!$F17="DUPLA VETADA",750,IF('Mapa do Dia'!$F17="GENTE DEMAIS",700,IF('Mapa do Dia'!$F17="INCOMPLETO",650,IF('Mapa do Dia'!$F17="EXTRA",600,IF('Mapa do Dia'!$F17="ATENÇÃO",400,IF(AND('Mapa do Dia'!$F17="SEM AVALIAÇÃO",COUNTIF(Equipe_X,"X")&gt;0),300,0))))))))))+IF('Mapa do Dia'!$A17="",0,(20-IFERROR(INDEX(Postos_Prior,MATCH('Mapa do Dia'!$N17,Postos_Cod,0)),20))/100)</f>
        <v/>
      </c>
      <c r="B82">
        <f>IF(OR('Mapa do Dia'!$A17="",$A82&lt;1),"",'Mapa do Dia'!$A17&amp;" · "&amp;'Mapa do Dia'!$G17)</f>
        <v/>
      </c>
    </row>
    <row r="83">
      <c r="A83">
        <f>IF('Mapa do Dia'!$A18="",0,IF('Mapa do Dia'!$F18="SEM EQUIPE",IF(N('Mapa do Dia'!$H18)&gt;0,900,850),IF('Mapa do Dia'!$F18="INDISPONÍVEL",870,IF('Mapa do Dia'!$F18="FALTA HABILIDADE",800,IF('Mapa do Dia'!$F18="DUPLA VETADA",750,IF('Mapa do Dia'!$F18="GENTE DEMAIS",700,IF('Mapa do Dia'!$F18="INCOMPLETO",650,IF('Mapa do Dia'!$F18="EXTRA",600,IF('Mapa do Dia'!$F18="ATENÇÃO",400,IF(AND('Mapa do Dia'!$F18="SEM AVALIAÇÃO",COUNTIF(Equipe_X,"X")&gt;0),300,0))))))))))+IF('Mapa do Dia'!$A18="",0,(20-IFERROR(INDEX(Postos_Prior,MATCH('Mapa do Dia'!$N18,Postos_Cod,0)),20))/100)</f>
        <v/>
      </c>
      <c r="B83">
        <f>IF(OR('Mapa do Dia'!$A18="",$A83&lt;1),"",'Mapa do Dia'!$A18&amp;" · "&amp;'Mapa do Dia'!$G18)</f>
        <v/>
      </c>
    </row>
    <row r="84">
      <c r="A84">
        <f>IF('Mapa do Dia'!$A19="",0,IF('Mapa do Dia'!$F19="SEM EQUIPE",IF(N('Mapa do Dia'!$H19)&gt;0,900,850),IF('Mapa do Dia'!$F19="INDISPONÍVEL",870,IF('Mapa do Dia'!$F19="FALTA HABILIDADE",800,IF('Mapa do Dia'!$F19="DUPLA VETADA",750,IF('Mapa do Dia'!$F19="GENTE DEMAIS",700,IF('Mapa do Dia'!$F19="INCOMPLETO",650,IF('Mapa do Dia'!$F19="EXTRA",600,IF('Mapa do Dia'!$F19="ATENÇÃO",400,IF(AND('Mapa do Dia'!$F19="SEM AVALIAÇÃO",COUNTIF(Equipe_X,"X")&gt;0),300,0))))))))))+IF('Mapa do Dia'!$A19="",0,(20-IFERROR(INDEX(Postos_Prior,MATCH('Mapa do Dia'!$N19,Postos_Cod,0)),20))/100)</f>
        <v/>
      </c>
      <c r="B84">
        <f>IF(OR('Mapa do Dia'!$A19="",$A84&lt;1),"",'Mapa do Dia'!$A19&amp;" · "&amp;'Mapa do Dia'!$G19)</f>
        <v/>
      </c>
    </row>
    <row r="85">
      <c r="A85">
        <f>IF('Mapa do Dia'!$A20="",0,IF('Mapa do Dia'!$F20="SEM EQUIPE",IF(N('Mapa do Dia'!$H20)&gt;0,900,850),IF('Mapa do Dia'!$F20="INDISPONÍVEL",870,IF('Mapa do Dia'!$F20="FALTA HABILIDADE",800,IF('Mapa do Dia'!$F20="DUPLA VETADA",750,IF('Mapa do Dia'!$F20="GENTE DEMAIS",700,IF('Mapa do Dia'!$F20="INCOMPLETO",650,IF('Mapa do Dia'!$F20="EXTRA",600,IF('Mapa do Dia'!$F20="ATENÇÃO",400,IF(AND('Mapa do Dia'!$F20="SEM AVALIAÇÃO",COUNTIF(Equipe_X,"X")&gt;0),300,0))))))))))+IF('Mapa do Dia'!$A20="",0,(20-IFERROR(INDEX(Postos_Prior,MATCH('Mapa do Dia'!$N20,Postos_Cod,0)),20))/100)</f>
        <v/>
      </c>
      <c r="B85">
        <f>IF(OR('Mapa do Dia'!$A20="",$A85&lt;1),"",'Mapa do Dia'!$A20&amp;" · "&amp;'Mapa do Dia'!$G20)</f>
        <v/>
      </c>
    </row>
    <row r="86">
      <c r="A86">
        <f>IF('Mapa do Dia'!$A21="",0,IF('Mapa do Dia'!$F21="SEM EQUIPE",IF(N('Mapa do Dia'!$H21)&gt;0,900,850),IF('Mapa do Dia'!$F21="INDISPONÍVEL",870,IF('Mapa do Dia'!$F21="FALTA HABILIDADE",800,IF('Mapa do Dia'!$F21="DUPLA VETADA",750,IF('Mapa do Dia'!$F21="GENTE DEMAIS",700,IF('Mapa do Dia'!$F21="INCOMPLETO",650,IF('Mapa do Dia'!$F21="EXTRA",600,IF('Mapa do Dia'!$F21="ATENÇÃO",400,IF(AND('Mapa do Dia'!$F21="SEM AVALIAÇÃO",COUNTIF(Equipe_X,"X")&gt;0),300,0))))))))))+IF('Mapa do Dia'!$A21="",0,(20-IFERROR(INDEX(Postos_Prior,MATCH('Mapa do Dia'!$N21,Postos_Cod,0)),20))/100)</f>
        <v/>
      </c>
      <c r="B86">
        <f>IF(OR('Mapa do Dia'!$A21="",$A86&lt;1),"",'Mapa do Dia'!$A21&amp;" · "&amp;'Mapa do Dia'!$G21)</f>
        <v/>
      </c>
    </row>
    <row r="87">
      <c r="A87">
        <f>IF('Mapa do Dia'!$A22="",0,IF('Mapa do Dia'!$F22="SEM EQUIPE",IF(N('Mapa do Dia'!$H22)&gt;0,900,850),IF('Mapa do Dia'!$F22="INDISPONÍVEL",870,IF('Mapa do Dia'!$F22="FALTA HABILIDADE",800,IF('Mapa do Dia'!$F22="DUPLA VETADA",750,IF('Mapa do Dia'!$F22="GENTE DEMAIS",700,IF('Mapa do Dia'!$F22="INCOMPLETO",650,IF('Mapa do Dia'!$F22="EXTRA",600,IF('Mapa do Dia'!$F22="ATENÇÃO",400,IF(AND('Mapa do Dia'!$F22="SEM AVALIAÇÃO",COUNTIF(Equipe_X,"X")&gt;0),300,0))))))))))+IF('Mapa do Dia'!$A22="",0,(20-IFERROR(INDEX(Postos_Prior,MATCH('Mapa do Dia'!$N22,Postos_Cod,0)),20))/100)</f>
        <v/>
      </c>
      <c r="B87">
        <f>IF(OR('Mapa do Dia'!$A22="",$A87&lt;1),"",'Mapa do Dia'!$A22&amp;" · "&amp;'Mapa do Dia'!$G22)</f>
        <v/>
      </c>
    </row>
    <row r="88">
      <c r="A88">
        <f>IF('Mapa do Dia'!$A23="",0,IF('Mapa do Dia'!$F23="SEM EQUIPE",IF(N('Mapa do Dia'!$H23)&gt;0,900,850),IF('Mapa do Dia'!$F23="INDISPONÍVEL",870,IF('Mapa do Dia'!$F23="FALTA HABILIDADE",800,IF('Mapa do Dia'!$F23="DUPLA VETADA",750,IF('Mapa do Dia'!$F23="GENTE DEMAIS",700,IF('Mapa do Dia'!$F23="INCOMPLETO",650,IF('Mapa do Dia'!$F23="EXTRA",600,IF('Mapa do Dia'!$F23="ATENÇÃO",400,IF(AND('Mapa do Dia'!$F23="SEM AVALIAÇÃO",COUNTIF(Equipe_X,"X")&gt;0),300,0))))))))))+IF('Mapa do Dia'!$A23="",0,(20-IFERROR(INDEX(Postos_Prior,MATCH('Mapa do Dia'!$N23,Postos_Cod,0)),20))/100)</f>
        <v/>
      </c>
      <c r="B88">
        <f>IF(OR('Mapa do Dia'!$A23="",$A88&lt;1),"",'Mapa do Dia'!$A23&amp;" · "&amp;'Mapa do Dia'!$G23)</f>
        <v/>
      </c>
    </row>
    <row r="89">
      <c r="A89">
        <f>IF('Mapa do Dia'!$A24="",0,IF('Mapa do Dia'!$F24="SEM EQUIPE",IF(N('Mapa do Dia'!$H24)&gt;0,900,850),IF('Mapa do Dia'!$F24="INDISPONÍVEL",870,IF('Mapa do Dia'!$F24="FALTA HABILIDADE",800,IF('Mapa do Dia'!$F24="DUPLA VETADA",750,IF('Mapa do Dia'!$F24="GENTE DEMAIS",700,IF('Mapa do Dia'!$F24="INCOMPLETO",650,IF('Mapa do Dia'!$F24="EXTRA",600,IF('Mapa do Dia'!$F24="ATENÇÃO",400,IF(AND('Mapa do Dia'!$F24="SEM AVALIAÇÃO",COUNTIF(Equipe_X,"X")&gt;0),300,0))))))))))+IF('Mapa do Dia'!$A24="",0,(20-IFERROR(INDEX(Postos_Prior,MATCH('Mapa do Dia'!$N24,Postos_Cod,0)),20))/100)</f>
        <v/>
      </c>
      <c r="B89">
        <f>IF(OR('Mapa do Dia'!$A24="",$A89&lt;1),"",'Mapa do Dia'!$A24&amp;" · "&amp;'Mapa do Dia'!$G24)</f>
        <v/>
      </c>
    </row>
    <row r="90">
      <c r="A90">
        <f>IF('Mapa do Dia'!$A25="",0,IF('Mapa do Dia'!$F25="SEM EQUIPE",IF(N('Mapa do Dia'!$H25)&gt;0,900,850),IF('Mapa do Dia'!$F25="INDISPONÍVEL",870,IF('Mapa do Dia'!$F25="FALTA HABILIDADE",800,IF('Mapa do Dia'!$F25="DUPLA VETADA",750,IF('Mapa do Dia'!$F25="GENTE DEMAIS",700,IF('Mapa do Dia'!$F25="INCOMPLETO",650,IF('Mapa do Dia'!$F25="EXTRA",600,IF('Mapa do Dia'!$F25="ATENÇÃO",400,IF(AND('Mapa do Dia'!$F25="SEM AVALIAÇÃO",COUNTIF(Equipe_X,"X")&gt;0),300,0))))))))))+IF('Mapa do Dia'!$A25="",0,(20-IFERROR(INDEX(Postos_Prior,MATCH('Mapa do Dia'!$N25,Postos_Cod,0)),20))/100)</f>
        <v/>
      </c>
      <c r="B90">
        <f>IF(OR('Mapa do Dia'!$A25="",$A90&lt;1),"",'Mapa do Dia'!$A25&amp;" · "&amp;'Mapa do Dia'!$G25)</f>
        <v/>
      </c>
    </row>
    <row r="92" ht="20" customHeight="1">
      <c r="A92" s="7" t="inlineStr">
        <is>
          <t>Ambiente</t>
        </is>
      </c>
      <c r="B92" s="7" t="inlineStr">
        <is>
          <t>Cabe até</t>
        </is>
      </c>
      <c r="C92" s="7" t="inlineStr">
        <is>
          <t>chave</t>
        </is>
      </c>
      <c r="D92" s="7" t="inlineStr">
        <is>
          <t>Atraso</t>
        </is>
      </c>
      <c r="E92" s="7" t="inlineStr">
        <is>
          <t>chave</t>
        </is>
      </c>
    </row>
    <row r="93">
      <c r="A93">
        <f>IF('Mapa do Dia'!$A10="","",'Mapa do Dia'!$A10)</f>
        <v/>
      </c>
      <c r="B93">
        <f>IF(OR('Mapa do Dia'!$A10="",NOT(ISNUMBER('Mapa do Dia'!$K10))),"",'Mapa do Dia'!$K10)</f>
        <v/>
      </c>
      <c r="C93">
        <f>IF(OR($B93="",IFERROR(INDEX(Postos_Encaixe,MATCH('Mapa do Dia'!$N10,Postos_Cod,0)),"")&lt;&gt;"Sim"),0,$B93+(1000-ROW())*0.0001)</f>
        <v/>
      </c>
      <c r="D93">
        <f>IF(OR('Mapa do Dia'!$A10="",NOT(ISNUMBER('Mapa do Dia'!$L10))),"",'Mapa do Dia'!$L10)</f>
        <v/>
      </c>
      <c r="E93">
        <f>IF(OR($D93="",$D93&lt;=0),0,$D93+(1000-ROW())*0.0001)</f>
        <v/>
      </c>
    </row>
    <row r="94">
      <c r="A94">
        <f>IF('Mapa do Dia'!$A11="","",'Mapa do Dia'!$A11)</f>
        <v/>
      </c>
      <c r="B94">
        <f>IF(OR('Mapa do Dia'!$A11="",NOT(ISNUMBER('Mapa do Dia'!$K11))),"",'Mapa do Dia'!$K11)</f>
        <v/>
      </c>
      <c r="C94">
        <f>IF(OR($B94="",IFERROR(INDEX(Postos_Encaixe,MATCH('Mapa do Dia'!$N11,Postos_Cod,0)),"")&lt;&gt;"Sim"),0,$B94+(1000-ROW())*0.0001)</f>
        <v/>
      </c>
      <c r="D94">
        <f>IF(OR('Mapa do Dia'!$A11="",NOT(ISNUMBER('Mapa do Dia'!$L11))),"",'Mapa do Dia'!$L11)</f>
        <v/>
      </c>
      <c r="E94">
        <f>IF(OR($D94="",$D94&lt;=0),0,$D94+(1000-ROW())*0.0001)</f>
        <v/>
      </c>
    </row>
    <row r="95">
      <c r="A95">
        <f>IF('Mapa do Dia'!$A12="","",'Mapa do Dia'!$A12)</f>
        <v/>
      </c>
      <c r="B95">
        <f>IF(OR('Mapa do Dia'!$A12="",NOT(ISNUMBER('Mapa do Dia'!$K12))),"",'Mapa do Dia'!$K12)</f>
        <v/>
      </c>
      <c r="C95">
        <f>IF(OR($B95="",IFERROR(INDEX(Postos_Encaixe,MATCH('Mapa do Dia'!$N12,Postos_Cod,0)),"")&lt;&gt;"Sim"),0,$B95+(1000-ROW())*0.0001)</f>
        <v/>
      </c>
      <c r="D95">
        <f>IF(OR('Mapa do Dia'!$A12="",NOT(ISNUMBER('Mapa do Dia'!$L12))),"",'Mapa do Dia'!$L12)</f>
        <v/>
      </c>
      <c r="E95">
        <f>IF(OR($D95="",$D95&lt;=0),0,$D95+(1000-ROW())*0.0001)</f>
        <v/>
      </c>
    </row>
    <row r="96">
      <c r="A96">
        <f>IF('Mapa do Dia'!$A13="","",'Mapa do Dia'!$A13)</f>
        <v/>
      </c>
      <c r="B96">
        <f>IF(OR('Mapa do Dia'!$A13="",NOT(ISNUMBER('Mapa do Dia'!$K13))),"",'Mapa do Dia'!$K13)</f>
        <v/>
      </c>
      <c r="C96">
        <f>IF(OR($B96="",IFERROR(INDEX(Postos_Encaixe,MATCH('Mapa do Dia'!$N13,Postos_Cod,0)),"")&lt;&gt;"Sim"),0,$B96+(1000-ROW())*0.0001)</f>
        <v/>
      </c>
      <c r="D96">
        <f>IF(OR('Mapa do Dia'!$A13="",NOT(ISNUMBER('Mapa do Dia'!$L13))),"",'Mapa do Dia'!$L13)</f>
        <v/>
      </c>
      <c r="E96">
        <f>IF(OR($D96="",$D96&lt;=0),0,$D96+(1000-ROW())*0.0001)</f>
        <v/>
      </c>
    </row>
    <row r="97">
      <c r="A97">
        <f>IF('Mapa do Dia'!$A14="","",'Mapa do Dia'!$A14)</f>
        <v/>
      </c>
      <c r="B97">
        <f>IF(OR('Mapa do Dia'!$A14="",NOT(ISNUMBER('Mapa do Dia'!$K14))),"",'Mapa do Dia'!$K14)</f>
        <v/>
      </c>
      <c r="C97">
        <f>IF(OR($B97="",IFERROR(INDEX(Postos_Encaixe,MATCH('Mapa do Dia'!$N14,Postos_Cod,0)),"")&lt;&gt;"Sim"),0,$B97+(1000-ROW())*0.0001)</f>
        <v/>
      </c>
      <c r="D97">
        <f>IF(OR('Mapa do Dia'!$A14="",NOT(ISNUMBER('Mapa do Dia'!$L14))),"",'Mapa do Dia'!$L14)</f>
        <v/>
      </c>
      <c r="E97">
        <f>IF(OR($D97="",$D97&lt;=0),0,$D97+(1000-ROW())*0.0001)</f>
        <v/>
      </c>
    </row>
    <row r="98">
      <c r="A98">
        <f>IF('Mapa do Dia'!$A15="","",'Mapa do Dia'!$A15)</f>
        <v/>
      </c>
      <c r="B98">
        <f>IF(OR('Mapa do Dia'!$A15="",NOT(ISNUMBER('Mapa do Dia'!$K15))),"",'Mapa do Dia'!$K15)</f>
        <v/>
      </c>
      <c r="C98">
        <f>IF(OR($B98="",IFERROR(INDEX(Postos_Encaixe,MATCH('Mapa do Dia'!$N15,Postos_Cod,0)),"")&lt;&gt;"Sim"),0,$B98+(1000-ROW())*0.0001)</f>
        <v/>
      </c>
      <c r="D98">
        <f>IF(OR('Mapa do Dia'!$A15="",NOT(ISNUMBER('Mapa do Dia'!$L15))),"",'Mapa do Dia'!$L15)</f>
        <v/>
      </c>
      <c r="E98">
        <f>IF(OR($D98="",$D98&lt;=0),0,$D98+(1000-ROW())*0.0001)</f>
        <v/>
      </c>
    </row>
    <row r="99">
      <c r="A99">
        <f>IF('Mapa do Dia'!$A16="","",'Mapa do Dia'!$A16)</f>
        <v/>
      </c>
      <c r="B99">
        <f>IF(OR('Mapa do Dia'!$A16="",NOT(ISNUMBER('Mapa do Dia'!$K16))),"",'Mapa do Dia'!$K16)</f>
        <v/>
      </c>
      <c r="C99">
        <f>IF(OR($B99="",IFERROR(INDEX(Postos_Encaixe,MATCH('Mapa do Dia'!$N16,Postos_Cod,0)),"")&lt;&gt;"Sim"),0,$B99+(1000-ROW())*0.0001)</f>
        <v/>
      </c>
      <c r="D99">
        <f>IF(OR('Mapa do Dia'!$A16="",NOT(ISNUMBER('Mapa do Dia'!$L16))),"",'Mapa do Dia'!$L16)</f>
        <v/>
      </c>
      <c r="E99">
        <f>IF(OR($D99="",$D99&lt;=0),0,$D99+(1000-ROW())*0.0001)</f>
        <v/>
      </c>
    </row>
    <row r="100">
      <c r="A100">
        <f>IF('Mapa do Dia'!$A17="","",'Mapa do Dia'!$A17)</f>
        <v/>
      </c>
      <c r="B100">
        <f>IF(OR('Mapa do Dia'!$A17="",NOT(ISNUMBER('Mapa do Dia'!$K17))),"",'Mapa do Dia'!$K17)</f>
        <v/>
      </c>
      <c r="C100">
        <f>IF(OR($B100="",IFERROR(INDEX(Postos_Encaixe,MATCH('Mapa do Dia'!$N17,Postos_Cod,0)),"")&lt;&gt;"Sim"),0,$B100+(1000-ROW())*0.0001)</f>
        <v/>
      </c>
      <c r="D100">
        <f>IF(OR('Mapa do Dia'!$A17="",NOT(ISNUMBER('Mapa do Dia'!$L17))),"",'Mapa do Dia'!$L17)</f>
        <v/>
      </c>
      <c r="E100">
        <f>IF(OR($D100="",$D100&lt;=0),0,$D100+(1000-ROW())*0.0001)</f>
        <v/>
      </c>
    </row>
    <row r="101">
      <c r="A101">
        <f>IF('Mapa do Dia'!$A18="","",'Mapa do Dia'!$A18)</f>
        <v/>
      </c>
      <c r="B101">
        <f>IF(OR('Mapa do Dia'!$A18="",NOT(ISNUMBER('Mapa do Dia'!$K18))),"",'Mapa do Dia'!$K18)</f>
        <v/>
      </c>
      <c r="C101">
        <f>IF(OR($B101="",IFERROR(INDEX(Postos_Encaixe,MATCH('Mapa do Dia'!$N18,Postos_Cod,0)),"")&lt;&gt;"Sim"),0,$B101+(1000-ROW())*0.0001)</f>
        <v/>
      </c>
      <c r="D101">
        <f>IF(OR('Mapa do Dia'!$A18="",NOT(ISNUMBER('Mapa do Dia'!$L18))),"",'Mapa do Dia'!$L18)</f>
        <v/>
      </c>
      <c r="E101">
        <f>IF(OR($D101="",$D101&lt;=0),0,$D101+(1000-ROW())*0.0001)</f>
        <v/>
      </c>
    </row>
    <row r="102">
      <c r="A102">
        <f>IF('Mapa do Dia'!$A19="","",'Mapa do Dia'!$A19)</f>
        <v/>
      </c>
      <c r="B102">
        <f>IF(OR('Mapa do Dia'!$A19="",NOT(ISNUMBER('Mapa do Dia'!$K19))),"",'Mapa do Dia'!$K19)</f>
        <v/>
      </c>
      <c r="C102">
        <f>IF(OR($B102="",IFERROR(INDEX(Postos_Encaixe,MATCH('Mapa do Dia'!$N19,Postos_Cod,0)),"")&lt;&gt;"Sim"),0,$B102+(1000-ROW())*0.0001)</f>
        <v/>
      </c>
      <c r="D102">
        <f>IF(OR('Mapa do Dia'!$A19="",NOT(ISNUMBER('Mapa do Dia'!$L19))),"",'Mapa do Dia'!$L19)</f>
        <v/>
      </c>
      <c r="E102">
        <f>IF(OR($D102="",$D102&lt;=0),0,$D102+(1000-ROW())*0.0001)</f>
        <v/>
      </c>
    </row>
    <row r="103">
      <c r="A103">
        <f>IF('Mapa do Dia'!$A20="","",'Mapa do Dia'!$A20)</f>
        <v/>
      </c>
      <c r="B103">
        <f>IF(OR('Mapa do Dia'!$A20="",NOT(ISNUMBER('Mapa do Dia'!$K20))),"",'Mapa do Dia'!$K20)</f>
        <v/>
      </c>
      <c r="C103">
        <f>IF(OR($B103="",IFERROR(INDEX(Postos_Encaixe,MATCH('Mapa do Dia'!$N20,Postos_Cod,0)),"")&lt;&gt;"Sim"),0,$B103+(1000-ROW())*0.0001)</f>
        <v/>
      </c>
      <c r="D103">
        <f>IF(OR('Mapa do Dia'!$A20="",NOT(ISNUMBER('Mapa do Dia'!$L20))),"",'Mapa do Dia'!$L20)</f>
        <v/>
      </c>
      <c r="E103">
        <f>IF(OR($D103="",$D103&lt;=0),0,$D103+(1000-ROW())*0.0001)</f>
        <v/>
      </c>
    </row>
    <row r="104">
      <c r="A104">
        <f>IF('Mapa do Dia'!$A21="","",'Mapa do Dia'!$A21)</f>
        <v/>
      </c>
      <c r="B104">
        <f>IF(OR('Mapa do Dia'!$A21="",NOT(ISNUMBER('Mapa do Dia'!$K21))),"",'Mapa do Dia'!$K21)</f>
        <v/>
      </c>
      <c r="C104">
        <f>IF(OR($B104="",IFERROR(INDEX(Postos_Encaixe,MATCH('Mapa do Dia'!$N21,Postos_Cod,0)),"")&lt;&gt;"Sim"),0,$B104+(1000-ROW())*0.0001)</f>
        <v/>
      </c>
      <c r="D104">
        <f>IF(OR('Mapa do Dia'!$A21="",NOT(ISNUMBER('Mapa do Dia'!$L21))),"",'Mapa do Dia'!$L21)</f>
        <v/>
      </c>
      <c r="E104">
        <f>IF(OR($D104="",$D104&lt;=0),0,$D104+(1000-ROW())*0.0001)</f>
        <v/>
      </c>
    </row>
    <row r="105">
      <c r="A105">
        <f>IF('Mapa do Dia'!$A22="","",'Mapa do Dia'!$A22)</f>
        <v/>
      </c>
      <c r="B105">
        <f>IF(OR('Mapa do Dia'!$A22="",NOT(ISNUMBER('Mapa do Dia'!$K22))),"",'Mapa do Dia'!$K22)</f>
        <v/>
      </c>
      <c r="C105">
        <f>IF(OR($B105="",IFERROR(INDEX(Postos_Encaixe,MATCH('Mapa do Dia'!$N22,Postos_Cod,0)),"")&lt;&gt;"Sim"),0,$B105+(1000-ROW())*0.0001)</f>
        <v/>
      </c>
      <c r="D105">
        <f>IF(OR('Mapa do Dia'!$A22="",NOT(ISNUMBER('Mapa do Dia'!$L22))),"",'Mapa do Dia'!$L22)</f>
        <v/>
      </c>
      <c r="E105">
        <f>IF(OR($D105="",$D105&lt;=0),0,$D105+(1000-ROW())*0.0001)</f>
        <v/>
      </c>
    </row>
    <row r="106">
      <c r="A106">
        <f>IF('Mapa do Dia'!$A23="","",'Mapa do Dia'!$A23)</f>
        <v/>
      </c>
      <c r="B106">
        <f>IF(OR('Mapa do Dia'!$A23="",NOT(ISNUMBER('Mapa do Dia'!$K23))),"",'Mapa do Dia'!$K23)</f>
        <v/>
      </c>
      <c r="C106">
        <f>IF(OR($B106="",IFERROR(INDEX(Postos_Encaixe,MATCH('Mapa do Dia'!$N23,Postos_Cod,0)),"")&lt;&gt;"Sim"),0,$B106+(1000-ROW())*0.0001)</f>
        <v/>
      </c>
      <c r="D106">
        <f>IF(OR('Mapa do Dia'!$A23="",NOT(ISNUMBER('Mapa do Dia'!$L23))),"",'Mapa do Dia'!$L23)</f>
        <v/>
      </c>
      <c r="E106">
        <f>IF(OR($D106="",$D106&lt;=0),0,$D106+(1000-ROW())*0.0001)</f>
        <v/>
      </c>
    </row>
    <row r="107">
      <c r="A107">
        <f>IF('Mapa do Dia'!$A24="","",'Mapa do Dia'!$A24)</f>
        <v/>
      </c>
      <c r="B107">
        <f>IF(OR('Mapa do Dia'!$A24="",NOT(ISNUMBER('Mapa do Dia'!$K24))),"",'Mapa do Dia'!$K24)</f>
        <v/>
      </c>
      <c r="C107">
        <f>IF(OR($B107="",IFERROR(INDEX(Postos_Encaixe,MATCH('Mapa do Dia'!$N24,Postos_Cod,0)),"")&lt;&gt;"Sim"),0,$B107+(1000-ROW())*0.0001)</f>
        <v/>
      </c>
      <c r="D107">
        <f>IF(OR('Mapa do Dia'!$A24="",NOT(ISNUMBER('Mapa do Dia'!$L24))),"",'Mapa do Dia'!$L24)</f>
        <v/>
      </c>
      <c r="E107">
        <f>IF(OR($D107="",$D107&lt;=0),0,$D107+(1000-ROW())*0.0001)</f>
        <v/>
      </c>
    </row>
    <row r="108">
      <c r="A108">
        <f>IF('Mapa do Dia'!$A25="","",'Mapa do Dia'!$A25)</f>
        <v/>
      </c>
      <c r="B108">
        <f>IF(OR('Mapa do Dia'!$A25="",NOT(ISNUMBER('Mapa do Dia'!$K25))),"",'Mapa do Dia'!$K25)</f>
        <v/>
      </c>
      <c r="C108">
        <f>IF(OR($B108="",IFERROR(INDEX(Postos_Encaixe,MATCH('Mapa do Dia'!$N25,Postos_Cod,0)),"")&lt;&gt;"Sim"),0,$B108+(1000-ROW())*0.0001)</f>
        <v/>
      </c>
      <c r="D108">
        <f>IF(OR('Mapa do Dia'!$A25="",NOT(ISNUMBER('Mapa do Dia'!$L25))),"",'Mapa do Dia'!$L25)</f>
        <v/>
      </c>
      <c r="E108">
        <f>IF(OR($D108="",$D108&lt;=0),0,$D108+(1000-ROW())*0.0001)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9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7" t="inlineStr">
        <is>
          <t>Sala</t>
        </is>
      </c>
      <c r="B1" s="7" t="inlineStr">
        <is>
          <t>Janela</t>
        </is>
      </c>
      <c r="C1" s="7" t="inlineStr">
        <is>
          <t>iniRel</t>
        </is>
      </c>
      <c r="D1" s="7" t="inlineStr">
        <is>
          <t>fimRel</t>
        </is>
      </c>
      <c r="E1" s="7" t="inlineStr">
        <is>
          <t>Duração (min)</t>
        </is>
      </c>
      <c r="F1" s="7" t="inlineStr">
        <is>
          <t>Cabe até (min)</t>
        </is>
      </c>
      <c r="G1" s="7" t="inlineStr">
        <is>
          <t>Atraso acumulado (min)</t>
        </is>
      </c>
    </row>
    <row r="2">
      <c r="A2">
        <f>IF(OR('Calc'!$A2="",'Calc'!$B2&lt;&gt;"Sala cirúrgica"),"",'Calc'!$A2)</f>
        <v/>
      </c>
      <c r="B2" t="n">
        <v>0</v>
      </c>
      <c r="C2">
        <f>IF($A2="","",0)</f>
        <v/>
      </c>
      <c r="D2">
        <f>IF($C2="","",IFERROR(INDEX(Mapa_RelIni,MATCH($A2&amp;"#"&amp;Data_Mapa&amp;"#1",Mapa_Chave,0)),Turno_Min))</f>
        <v/>
      </c>
      <c r="E2">
        <f>IF($C2="","",MAX(0,$D2-$C2))</f>
        <v/>
      </c>
      <c r="F2">
        <f>IF($E2="","",MAX(0,$E2-Limpeza_Min))</f>
        <v/>
      </c>
      <c r="G2">
        <f>IF($C2="","",0)</f>
        <v/>
      </c>
    </row>
    <row r="3">
      <c r="A3">
        <f>IF(OR('Calc'!$A2="",'Calc'!$B2&lt;&gt;"Sala cirúrgica"),"",'Calc'!$A2)</f>
        <v/>
      </c>
      <c r="B3" t="n">
        <v>1</v>
      </c>
      <c r="C3">
        <f>IF(OR($A3="",ISERROR(MATCH($A3&amp;"#"&amp;Data_Mapa&amp;"#1",Mapa_Chave,0))),"",INDEX(Mapa_RelFim,MATCH($A3&amp;"#"&amp;Data_Mapa&amp;"#1",Mapa_Chave,0))+Limpeza_Min)</f>
        <v/>
      </c>
      <c r="D3">
        <f>IF($C3="","",IFERROR(INDEX(Mapa_RelIni,MATCH($A3&amp;"#"&amp;Data_Mapa&amp;"#2",Mapa_Chave,0)),Turno_Min))</f>
        <v/>
      </c>
      <c r="E3">
        <f>IF($C3="","",MAX(0,$D3-$C3))</f>
        <v/>
      </c>
      <c r="F3">
        <f>IF($E3="","",MAX(0,$E3-Limpeza_Min))</f>
        <v/>
      </c>
      <c r="G3">
        <f>IF($C3="","",IF($D3&gt;=Turno_Min,N($G2),MAX(0,N($G2)+$C3-$D3)))</f>
        <v/>
      </c>
    </row>
    <row r="4">
      <c r="A4">
        <f>IF(OR('Calc'!$A2="",'Calc'!$B2&lt;&gt;"Sala cirúrgica"),"",'Calc'!$A2)</f>
        <v/>
      </c>
      <c r="B4" t="n">
        <v>2</v>
      </c>
      <c r="C4">
        <f>IF(OR($A4="",ISERROR(MATCH($A4&amp;"#"&amp;Data_Mapa&amp;"#2",Mapa_Chave,0))),"",INDEX(Mapa_RelFim,MATCH($A4&amp;"#"&amp;Data_Mapa&amp;"#2",Mapa_Chave,0))+Limpeza_Min)</f>
        <v/>
      </c>
      <c r="D4">
        <f>IF($C4="","",IFERROR(INDEX(Mapa_RelIni,MATCH($A4&amp;"#"&amp;Data_Mapa&amp;"#3",Mapa_Chave,0)),Turno_Min))</f>
        <v/>
      </c>
      <c r="E4">
        <f>IF($C4="","",MAX(0,$D4-$C4))</f>
        <v/>
      </c>
      <c r="F4">
        <f>IF($E4="","",MAX(0,$E4-Limpeza_Min))</f>
        <v/>
      </c>
      <c r="G4">
        <f>IF($C4="","",IF($D4&gt;=Turno_Min,N($G3),MAX(0,N($G3)+$C4-$D4)))</f>
        <v/>
      </c>
    </row>
    <row r="5">
      <c r="A5">
        <f>IF(OR('Calc'!$A2="",'Calc'!$B2&lt;&gt;"Sala cirúrgica"),"",'Calc'!$A2)</f>
        <v/>
      </c>
      <c r="B5" t="n">
        <v>3</v>
      </c>
      <c r="C5">
        <f>IF(OR($A5="",ISERROR(MATCH($A5&amp;"#"&amp;Data_Mapa&amp;"#3",Mapa_Chave,0))),"",INDEX(Mapa_RelFim,MATCH($A5&amp;"#"&amp;Data_Mapa&amp;"#3",Mapa_Chave,0))+Limpeza_Min)</f>
        <v/>
      </c>
      <c r="D5">
        <f>IF($C5="","",IFERROR(INDEX(Mapa_RelIni,MATCH($A5&amp;"#"&amp;Data_Mapa&amp;"#4",Mapa_Chave,0)),Turno_Min))</f>
        <v/>
      </c>
      <c r="E5">
        <f>IF($C5="","",MAX(0,$D5-$C5))</f>
        <v/>
      </c>
      <c r="F5">
        <f>IF($E5="","",MAX(0,$E5-Limpeza_Min))</f>
        <v/>
      </c>
      <c r="G5">
        <f>IF($C5="","",IF($D5&gt;=Turno_Min,N($G4),MAX(0,N($G4)+$C5-$D5)))</f>
        <v/>
      </c>
    </row>
    <row r="6">
      <c r="A6">
        <f>IF(OR('Calc'!$A2="",'Calc'!$B2&lt;&gt;"Sala cirúrgica"),"",'Calc'!$A2)</f>
        <v/>
      </c>
      <c r="B6" t="n">
        <v>4</v>
      </c>
      <c r="C6">
        <f>IF(OR($A6="",ISERROR(MATCH($A6&amp;"#"&amp;Data_Mapa&amp;"#4",Mapa_Chave,0))),"",INDEX(Mapa_RelFim,MATCH($A6&amp;"#"&amp;Data_Mapa&amp;"#4",Mapa_Chave,0))+Limpeza_Min)</f>
        <v/>
      </c>
      <c r="D6">
        <f>IF($C6="","",IFERROR(INDEX(Mapa_RelIni,MATCH($A6&amp;"#"&amp;Data_Mapa&amp;"#5",Mapa_Chave,0)),Turno_Min))</f>
        <v/>
      </c>
      <c r="E6">
        <f>IF($C6="","",MAX(0,$D6-$C6))</f>
        <v/>
      </c>
      <c r="F6">
        <f>IF($E6="","",MAX(0,$E6-Limpeza_Min))</f>
        <v/>
      </c>
      <c r="G6">
        <f>IF($C6="","",IF($D6&gt;=Turno_Min,N($G5),MAX(0,N($G5)+$C6-$D6)))</f>
        <v/>
      </c>
    </row>
    <row r="7">
      <c r="A7">
        <f>IF(OR('Calc'!$A2="",'Calc'!$B2&lt;&gt;"Sala cirúrgica"),"",'Calc'!$A2)</f>
        <v/>
      </c>
      <c r="B7" t="n">
        <v>5</v>
      </c>
      <c r="C7">
        <f>IF(OR($A7="",ISERROR(MATCH($A7&amp;"#"&amp;Data_Mapa&amp;"#5",Mapa_Chave,0))),"",INDEX(Mapa_RelFim,MATCH($A7&amp;"#"&amp;Data_Mapa&amp;"#5",Mapa_Chave,0))+Limpeza_Min)</f>
        <v/>
      </c>
      <c r="D7">
        <f>IF($C7="","",IFERROR(INDEX(Mapa_RelIni,MATCH($A7&amp;"#"&amp;Data_Mapa&amp;"#6",Mapa_Chave,0)),Turno_Min))</f>
        <v/>
      </c>
      <c r="E7">
        <f>IF($C7="","",MAX(0,$D7-$C7))</f>
        <v/>
      </c>
      <c r="F7">
        <f>IF($E7="","",MAX(0,$E7-Limpeza_Min))</f>
        <v/>
      </c>
      <c r="G7">
        <f>IF($C7="","",IF($D7&gt;=Turno_Min,N($G6),MAX(0,N($G6)+$C7-$D7)))</f>
        <v/>
      </c>
    </row>
    <row r="8">
      <c r="A8">
        <f>IF(OR('Calc'!$A2="",'Calc'!$B2&lt;&gt;"Sala cirúrgica"),"",'Calc'!$A2)</f>
        <v/>
      </c>
      <c r="B8" t="n">
        <v>6</v>
      </c>
      <c r="C8">
        <f>IF(OR($A8="",ISERROR(MATCH($A8&amp;"#"&amp;Data_Mapa&amp;"#6",Mapa_Chave,0))),"",INDEX(Mapa_RelFim,MATCH($A8&amp;"#"&amp;Data_Mapa&amp;"#6",Mapa_Chave,0))+Limpeza_Min)</f>
        <v/>
      </c>
      <c r="D8">
        <f>IF($C8="","",IFERROR(INDEX(Mapa_RelIni,MATCH($A8&amp;"#"&amp;Data_Mapa&amp;"#7",Mapa_Chave,0)),Turno_Min))</f>
        <v/>
      </c>
      <c r="E8">
        <f>IF($C8="","",MAX(0,$D8-$C8))</f>
        <v/>
      </c>
      <c r="F8">
        <f>IF($E8="","",MAX(0,$E8-Limpeza_Min))</f>
        <v/>
      </c>
      <c r="G8">
        <f>IF($C8="","",IF($D8&gt;=Turno_Min,N($G7),MAX(0,N($G7)+$C8-$D8)))</f>
        <v/>
      </c>
    </row>
    <row r="9">
      <c r="A9">
        <f>IF(OR('Calc'!$A2="",'Calc'!$B2&lt;&gt;"Sala cirúrgica"),"",'Calc'!$A2)</f>
        <v/>
      </c>
      <c r="B9" t="n">
        <v>7</v>
      </c>
      <c r="C9">
        <f>IF(OR($A9="",ISERROR(MATCH($A9&amp;"#"&amp;Data_Mapa&amp;"#7",Mapa_Chave,0))),"",INDEX(Mapa_RelFim,MATCH($A9&amp;"#"&amp;Data_Mapa&amp;"#7",Mapa_Chave,0))+Limpeza_Min)</f>
        <v/>
      </c>
      <c r="D9">
        <f>IF($C9="","",IFERROR(INDEX(Mapa_RelIni,MATCH($A9&amp;"#"&amp;Data_Mapa&amp;"#8",Mapa_Chave,0)),Turno_Min))</f>
        <v/>
      </c>
      <c r="E9">
        <f>IF($C9="","",MAX(0,$D9-$C9))</f>
        <v/>
      </c>
      <c r="F9">
        <f>IF($E9="","",MAX(0,$E9-Limpeza_Min))</f>
        <v/>
      </c>
      <c r="G9">
        <f>IF($C9="","",IF($D9&gt;=Turno_Min,N($G8),MAX(0,N($G8)+$C9-$D9)))</f>
        <v/>
      </c>
    </row>
    <row r="10">
      <c r="A10">
        <f>IF(OR('Calc'!$A2="",'Calc'!$B2&lt;&gt;"Sala cirúrgica"),"",'Calc'!$A2)</f>
        <v/>
      </c>
      <c r="B10" t="n">
        <v>8</v>
      </c>
      <c r="C10">
        <f>IF(OR($A10="",ISERROR(MATCH($A10&amp;"#"&amp;Data_Mapa&amp;"#8",Mapa_Chave,0))),"",INDEX(Mapa_RelFim,MATCH($A10&amp;"#"&amp;Data_Mapa&amp;"#8",Mapa_Chave,0))+Limpeza_Min)</f>
        <v/>
      </c>
      <c r="D10">
        <f>IF($C10="","",IFERROR(INDEX(Mapa_RelIni,MATCH($A10&amp;"#"&amp;Data_Mapa&amp;"#9",Mapa_Chave,0)),Turno_Min))</f>
        <v/>
      </c>
      <c r="E10">
        <f>IF($C10="","",MAX(0,$D10-$C10))</f>
        <v/>
      </c>
      <c r="F10">
        <f>IF($E10="","",MAX(0,$E10-Limpeza_Min))</f>
        <v/>
      </c>
      <c r="G10">
        <f>IF($C10="","",IF($D10&gt;=Turno_Min,N($G9),MAX(0,N($G9)+$C10-$D10)))</f>
        <v/>
      </c>
    </row>
    <row r="11">
      <c r="A11">
        <f>IF(OR('Calc'!$A2="",'Calc'!$B2&lt;&gt;"Sala cirúrgica"),"",'Calc'!$A2)</f>
        <v/>
      </c>
      <c r="B11" t="n">
        <v>9</v>
      </c>
      <c r="C11">
        <f>IF(OR($A11="",ISERROR(MATCH($A11&amp;"#"&amp;Data_Mapa&amp;"#9",Mapa_Chave,0))),"",INDEX(Mapa_RelFim,MATCH($A11&amp;"#"&amp;Data_Mapa&amp;"#9",Mapa_Chave,0))+Limpeza_Min)</f>
        <v/>
      </c>
      <c r="D11">
        <f>IF($C11="","",IFERROR(INDEX(Mapa_RelIni,MATCH($A11&amp;"#"&amp;Data_Mapa&amp;"#10",Mapa_Chave,0)),Turno_Min))</f>
        <v/>
      </c>
      <c r="E11">
        <f>IF($C11="","",MAX(0,$D11-$C11))</f>
        <v/>
      </c>
      <c r="F11">
        <f>IF($E11="","",MAX(0,$E11-Limpeza_Min))</f>
        <v/>
      </c>
      <c r="G11">
        <f>IF($C11="","",IF($D11&gt;=Turno_Min,N($G10),MAX(0,N($G10)+$C11-$D11)))</f>
        <v/>
      </c>
    </row>
    <row r="12">
      <c r="A12">
        <f>IF(OR('Calc'!$A2="",'Calc'!$B2&lt;&gt;"Sala cirúrgica"),"",'Calc'!$A2)</f>
        <v/>
      </c>
      <c r="B12" t="n">
        <v>10</v>
      </c>
      <c r="C12">
        <f>IF(OR($A12="",ISERROR(MATCH($A12&amp;"#"&amp;Data_Mapa&amp;"#10",Mapa_Chave,0))),"",INDEX(Mapa_RelFim,MATCH($A12&amp;"#"&amp;Data_Mapa&amp;"#10",Mapa_Chave,0))+Limpeza_Min)</f>
        <v/>
      </c>
      <c r="D12">
        <f>IF($C12="","",IFERROR(INDEX(Mapa_RelIni,MATCH($A12&amp;"#"&amp;Data_Mapa&amp;"#11",Mapa_Chave,0)),Turno_Min))</f>
        <v/>
      </c>
      <c r="E12">
        <f>IF($C12="","",MAX(0,$D12-$C12))</f>
        <v/>
      </c>
      <c r="F12">
        <f>IF($E12="","",MAX(0,$E12-Limpeza_Min))</f>
        <v/>
      </c>
      <c r="G12">
        <f>IF($C12="","",IF($D12&gt;=Turno_Min,N($G11),MAX(0,N($G11)+$C12-$D12)))</f>
        <v/>
      </c>
    </row>
    <row r="13">
      <c r="A13">
        <f>IF(OR('Calc'!$A2="",'Calc'!$B2&lt;&gt;"Sala cirúrgica"),"",'Calc'!$A2)</f>
        <v/>
      </c>
      <c r="B13" t="n">
        <v>11</v>
      </c>
      <c r="C13">
        <f>IF(OR($A13="",ISERROR(MATCH($A13&amp;"#"&amp;Data_Mapa&amp;"#11",Mapa_Chave,0))),"",INDEX(Mapa_RelFim,MATCH($A13&amp;"#"&amp;Data_Mapa&amp;"#11",Mapa_Chave,0))+Limpeza_Min)</f>
        <v/>
      </c>
      <c r="D13">
        <f>IF($C13="","",IFERROR(INDEX(Mapa_RelIni,MATCH($A13&amp;"#"&amp;Data_Mapa&amp;"#12",Mapa_Chave,0)),Turno_Min))</f>
        <v/>
      </c>
      <c r="E13">
        <f>IF($C13="","",MAX(0,$D13-$C13))</f>
        <v/>
      </c>
      <c r="F13">
        <f>IF($E13="","",MAX(0,$E13-Limpeza_Min))</f>
        <v/>
      </c>
      <c r="G13">
        <f>IF($C13="","",IF($D13&gt;=Turno_Min,N($G12),MAX(0,N($G12)+$C13-$D13)))</f>
        <v/>
      </c>
    </row>
    <row r="14">
      <c r="A14">
        <f>IF(OR('Calc'!$A2="",'Calc'!$B2&lt;&gt;"Sala cirúrgica"),"",'Calc'!$A2)</f>
        <v/>
      </c>
      <c r="B14" t="n">
        <v>12</v>
      </c>
      <c r="C14">
        <f>IF(OR($A14="",ISERROR(MATCH($A14&amp;"#"&amp;Data_Mapa&amp;"#12",Mapa_Chave,0))),"",INDEX(Mapa_RelFim,MATCH($A14&amp;"#"&amp;Data_Mapa&amp;"#12",Mapa_Chave,0))+Limpeza_Min)</f>
        <v/>
      </c>
      <c r="D14">
        <f>IF($C14="","",IFERROR(INDEX(Mapa_RelIni,MATCH($A14&amp;"#"&amp;Data_Mapa&amp;"#13",Mapa_Chave,0)),Turno_Min))</f>
        <v/>
      </c>
      <c r="E14">
        <f>IF($C14="","",MAX(0,$D14-$C14))</f>
        <v/>
      </c>
      <c r="F14">
        <f>IF($E14="","",MAX(0,$E14-Limpeza_Min))</f>
        <v/>
      </c>
      <c r="G14">
        <f>IF($C14="","",IF($D14&gt;=Turno_Min,N($G13),MAX(0,N($G13)+$C14-$D14)))</f>
        <v/>
      </c>
    </row>
    <row r="15">
      <c r="A15">
        <f>IF(OR('Calc'!$A3="",'Calc'!$B3&lt;&gt;"Sala cirúrgica"),"",'Calc'!$A3)</f>
        <v/>
      </c>
      <c r="B15" t="n">
        <v>0</v>
      </c>
      <c r="C15">
        <f>IF($A15="","",0)</f>
        <v/>
      </c>
      <c r="D15">
        <f>IF($C15="","",IFERROR(INDEX(Mapa_RelIni,MATCH($A15&amp;"#"&amp;Data_Mapa&amp;"#1",Mapa_Chave,0)),Turno_Min))</f>
        <v/>
      </c>
      <c r="E15">
        <f>IF($C15="","",MAX(0,$D15-$C15))</f>
        <v/>
      </c>
      <c r="F15">
        <f>IF($E15="","",MAX(0,$E15-Limpeza_Min))</f>
        <v/>
      </c>
      <c r="G15">
        <f>IF($C15="","",0)</f>
        <v/>
      </c>
    </row>
    <row r="16">
      <c r="A16">
        <f>IF(OR('Calc'!$A3="",'Calc'!$B3&lt;&gt;"Sala cirúrgica"),"",'Calc'!$A3)</f>
        <v/>
      </c>
      <c r="B16" t="n">
        <v>1</v>
      </c>
      <c r="C16">
        <f>IF(OR($A16="",ISERROR(MATCH($A16&amp;"#"&amp;Data_Mapa&amp;"#1",Mapa_Chave,0))),"",INDEX(Mapa_RelFim,MATCH($A16&amp;"#"&amp;Data_Mapa&amp;"#1",Mapa_Chave,0))+Limpeza_Min)</f>
        <v/>
      </c>
      <c r="D16">
        <f>IF($C16="","",IFERROR(INDEX(Mapa_RelIni,MATCH($A16&amp;"#"&amp;Data_Mapa&amp;"#2",Mapa_Chave,0)),Turno_Min))</f>
        <v/>
      </c>
      <c r="E16">
        <f>IF($C16="","",MAX(0,$D16-$C16))</f>
        <v/>
      </c>
      <c r="F16">
        <f>IF($E16="","",MAX(0,$E16-Limpeza_Min))</f>
        <v/>
      </c>
      <c r="G16">
        <f>IF($C16="","",IF($D16&gt;=Turno_Min,N($G15),MAX(0,N($G15)+$C16-$D16)))</f>
        <v/>
      </c>
    </row>
    <row r="17">
      <c r="A17">
        <f>IF(OR('Calc'!$A3="",'Calc'!$B3&lt;&gt;"Sala cirúrgica"),"",'Calc'!$A3)</f>
        <v/>
      </c>
      <c r="B17" t="n">
        <v>2</v>
      </c>
      <c r="C17">
        <f>IF(OR($A17="",ISERROR(MATCH($A17&amp;"#"&amp;Data_Mapa&amp;"#2",Mapa_Chave,0))),"",INDEX(Mapa_RelFim,MATCH($A17&amp;"#"&amp;Data_Mapa&amp;"#2",Mapa_Chave,0))+Limpeza_Min)</f>
        <v/>
      </c>
      <c r="D17">
        <f>IF($C17="","",IFERROR(INDEX(Mapa_RelIni,MATCH($A17&amp;"#"&amp;Data_Mapa&amp;"#3",Mapa_Chave,0)),Turno_Min))</f>
        <v/>
      </c>
      <c r="E17">
        <f>IF($C17="","",MAX(0,$D17-$C17))</f>
        <v/>
      </c>
      <c r="F17">
        <f>IF($E17="","",MAX(0,$E17-Limpeza_Min))</f>
        <v/>
      </c>
      <c r="G17">
        <f>IF($C17="","",IF($D17&gt;=Turno_Min,N($G16),MAX(0,N($G16)+$C17-$D17)))</f>
        <v/>
      </c>
    </row>
    <row r="18">
      <c r="A18">
        <f>IF(OR('Calc'!$A3="",'Calc'!$B3&lt;&gt;"Sala cirúrgica"),"",'Calc'!$A3)</f>
        <v/>
      </c>
      <c r="B18" t="n">
        <v>3</v>
      </c>
      <c r="C18">
        <f>IF(OR($A18="",ISERROR(MATCH($A18&amp;"#"&amp;Data_Mapa&amp;"#3",Mapa_Chave,0))),"",INDEX(Mapa_RelFim,MATCH($A18&amp;"#"&amp;Data_Mapa&amp;"#3",Mapa_Chave,0))+Limpeza_Min)</f>
        <v/>
      </c>
      <c r="D18">
        <f>IF($C18="","",IFERROR(INDEX(Mapa_RelIni,MATCH($A18&amp;"#"&amp;Data_Mapa&amp;"#4",Mapa_Chave,0)),Turno_Min))</f>
        <v/>
      </c>
      <c r="E18">
        <f>IF($C18="","",MAX(0,$D18-$C18))</f>
        <v/>
      </c>
      <c r="F18">
        <f>IF($E18="","",MAX(0,$E18-Limpeza_Min))</f>
        <v/>
      </c>
      <c r="G18">
        <f>IF($C18="","",IF($D18&gt;=Turno_Min,N($G17),MAX(0,N($G17)+$C18-$D18)))</f>
        <v/>
      </c>
    </row>
    <row r="19">
      <c r="A19">
        <f>IF(OR('Calc'!$A3="",'Calc'!$B3&lt;&gt;"Sala cirúrgica"),"",'Calc'!$A3)</f>
        <v/>
      </c>
      <c r="B19" t="n">
        <v>4</v>
      </c>
      <c r="C19">
        <f>IF(OR($A19="",ISERROR(MATCH($A19&amp;"#"&amp;Data_Mapa&amp;"#4",Mapa_Chave,0))),"",INDEX(Mapa_RelFim,MATCH($A19&amp;"#"&amp;Data_Mapa&amp;"#4",Mapa_Chave,0))+Limpeza_Min)</f>
        <v/>
      </c>
      <c r="D19">
        <f>IF($C19="","",IFERROR(INDEX(Mapa_RelIni,MATCH($A19&amp;"#"&amp;Data_Mapa&amp;"#5",Mapa_Chave,0)),Turno_Min))</f>
        <v/>
      </c>
      <c r="E19">
        <f>IF($C19="","",MAX(0,$D19-$C19))</f>
        <v/>
      </c>
      <c r="F19">
        <f>IF($E19="","",MAX(0,$E19-Limpeza_Min))</f>
        <v/>
      </c>
      <c r="G19">
        <f>IF($C19="","",IF($D19&gt;=Turno_Min,N($G18),MAX(0,N($G18)+$C19-$D19)))</f>
        <v/>
      </c>
    </row>
    <row r="20">
      <c r="A20">
        <f>IF(OR('Calc'!$A3="",'Calc'!$B3&lt;&gt;"Sala cirúrgica"),"",'Calc'!$A3)</f>
        <v/>
      </c>
      <c r="B20" t="n">
        <v>5</v>
      </c>
      <c r="C20">
        <f>IF(OR($A20="",ISERROR(MATCH($A20&amp;"#"&amp;Data_Mapa&amp;"#5",Mapa_Chave,0))),"",INDEX(Mapa_RelFim,MATCH($A20&amp;"#"&amp;Data_Mapa&amp;"#5",Mapa_Chave,0))+Limpeza_Min)</f>
        <v/>
      </c>
      <c r="D20">
        <f>IF($C20="","",IFERROR(INDEX(Mapa_RelIni,MATCH($A20&amp;"#"&amp;Data_Mapa&amp;"#6",Mapa_Chave,0)),Turno_Min))</f>
        <v/>
      </c>
      <c r="E20">
        <f>IF($C20="","",MAX(0,$D20-$C20))</f>
        <v/>
      </c>
      <c r="F20">
        <f>IF($E20="","",MAX(0,$E20-Limpeza_Min))</f>
        <v/>
      </c>
      <c r="G20">
        <f>IF($C20="","",IF($D20&gt;=Turno_Min,N($G19),MAX(0,N($G19)+$C20-$D20)))</f>
        <v/>
      </c>
    </row>
    <row r="21">
      <c r="A21">
        <f>IF(OR('Calc'!$A3="",'Calc'!$B3&lt;&gt;"Sala cirúrgica"),"",'Calc'!$A3)</f>
        <v/>
      </c>
      <c r="B21" t="n">
        <v>6</v>
      </c>
      <c r="C21">
        <f>IF(OR($A21="",ISERROR(MATCH($A21&amp;"#"&amp;Data_Mapa&amp;"#6",Mapa_Chave,0))),"",INDEX(Mapa_RelFim,MATCH($A21&amp;"#"&amp;Data_Mapa&amp;"#6",Mapa_Chave,0))+Limpeza_Min)</f>
        <v/>
      </c>
      <c r="D21">
        <f>IF($C21="","",IFERROR(INDEX(Mapa_RelIni,MATCH($A21&amp;"#"&amp;Data_Mapa&amp;"#7",Mapa_Chave,0)),Turno_Min))</f>
        <v/>
      </c>
      <c r="E21">
        <f>IF($C21="","",MAX(0,$D21-$C21))</f>
        <v/>
      </c>
      <c r="F21">
        <f>IF($E21="","",MAX(0,$E21-Limpeza_Min))</f>
        <v/>
      </c>
      <c r="G21">
        <f>IF($C21="","",IF($D21&gt;=Turno_Min,N($G20),MAX(0,N($G20)+$C21-$D21)))</f>
        <v/>
      </c>
    </row>
    <row r="22">
      <c r="A22">
        <f>IF(OR('Calc'!$A3="",'Calc'!$B3&lt;&gt;"Sala cirúrgica"),"",'Calc'!$A3)</f>
        <v/>
      </c>
      <c r="B22" t="n">
        <v>7</v>
      </c>
      <c r="C22">
        <f>IF(OR($A22="",ISERROR(MATCH($A22&amp;"#"&amp;Data_Mapa&amp;"#7",Mapa_Chave,0))),"",INDEX(Mapa_RelFim,MATCH($A22&amp;"#"&amp;Data_Mapa&amp;"#7",Mapa_Chave,0))+Limpeza_Min)</f>
        <v/>
      </c>
      <c r="D22">
        <f>IF($C22="","",IFERROR(INDEX(Mapa_RelIni,MATCH($A22&amp;"#"&amp;Data_Mapa&amp;"#8",Mapa_Chave,0)),Turno_Min))</f>
        <v/>
      </c>
      <c r="E22">
        <f>IF($C22="","",MAX(0,$D22-$C22))</f>
        <v/>
      </c>
      <c r="F22">
        <f>IF($E22="","",MAX(0,$E22-Limpeza_Min))</f>
        <v/>
      </c>
      <c r="G22">
        <f>IF($C22="","",IF($D22&gt;=Turno_Min,N($G21),MAX(0,N($G21)+$C22-$D22)))</f>
        <v/>
      </c>
    </row>
    <row r="23">
      <c r="A23">
        <f>IF(OR('Calc'!$A3="",'Calc'!$B3&lt;&gt;"Sala cirúrgica"),"",'Calc'!$A3)</f>
        <v/>
      </c>
      <c r="B23" t="n">
        <v>8</v>
      </c>
      <c r="C23">
        <f>IF(OR($A23="",ISERROR(MATCH($A23&amp;"#"&amp;Data_Mapa&amp;"#8",Mapa_Chave,0))),"",INDEX(Mapa_RelFim,MATCH($A23&amp;"#"&amp;Data_Mapa&amp;"#8",Mapa_Chave,0))+Limpeza_Min)</f>
        <v/>
      </c>
      <c r="D23">
        <f>IF($C23="","",IFERROR(INDEX(Mapa_RelIni,MATCH($A23&amp;"#"&amp;Data_Mapa&amp;"#9",Mapa_Chave,0)),Turno_Min))</f>
        <v/>
      </c>
      <c r="E23">
        <f>IF($C23="","",MAX(0,$D23-$C23))</f>
        <v/>
      </c>
      <c r="F23">
        <f>IF($E23="","",MAX(0,$E23-Limpeza_Min))</f>
        <v/>
      </c>
      <c r="G23">
        <f>IF($C23="","",IF($D23&gt;=Turno_Min,N($G22),MAX(0,N($G22)+$C23-$D23)))</f>
        <v/>
      </c>
    </row>
    <row r="24">
      <c r="A24">
        <f>IF(OR('Calc'!$A3="",'Calc'!$B3&lt;&gt;"Sala cirúrgica"),"",'Calc'!$A3)</f>
        <v/>
      </c>
      <c r="B24" t="n">
        <v>9</v>
      </c>
      <c r="C24">
        <f>IF(OR($A24="",ISERROR(MATCH($A24&amp;"#"&amp;Data_Mapa&amp;"#9",Mapa_Chave,0))),"",INDEX(Mapa_RelFim,MATCH($A24&amp;"#"&amp;Data_Mapa&amp;"#9",Mapa_Chave,0))+Limpeza_Min)</f>
        <v/>
      </c>
      <c r="D24">
        <f>IF($C24="","",IFERROR(INDEX(Mapa_RelIni,MATCH($A24&amp;"#"&amp;Data_Mapa&amp;"#10",Mapa_Chave,0)),Turno_Min))</f>
        <v/>
      </c>
      <c r="E24">
        <f>IF($C24="","",MAX(0,$D24-$C24))</f>
        <v/>
      </c>
      <c r="F24">
        <f>IF($E24="","",MAX(0,$E24-Limpeza_Min))</f>
        <v/>
      </c>
      <c r="G24">
        <f>IF($C24="","",IF($D24&gt;=Turno_Min,N($G23),MAX(0,N($G23)+$C24-$D24)))</f>
        <v/>
      </c>
    </row>
    <row r="25">
      <c r="A25">
        <f>IF(OR('Calc'!$A3="",'Calc'!$B3&lt;&gt;"Sala cirúrgica"),"",'Calc'!$A3)</f>
        <v/>
      </c>
      <c r="B25" t="n">
        <v>10</v>
      </c>
      <c r="C25">
        <f>IF(OR($A25="",ISERROR(MATCH($A25&amp;"#"&amp;Data_Mapa&amp;"#10",Mapa_Chave,0))),"",INDEX(Mapa_RelFim,MATCH($A25&amp;"#"&amp;Data_Mapa&amp;"#10",Mapa_Chave,0))+Limpeza_Min)</f>
        <v/>
      </c>
      <c r="D25">
        <f>IF($C25="","",IFERROR(INDEX(Mapa_RelIni,MATCH($A25&amp;"#"&amp;Data_Mapa&amp;"#11",Mapa_Chave,0)),Turno_Min))</f>
        <v/>
      </c>
      <c r="E25">
        <f>IF($C25="","",MAX(0,$D25-$C25))</f>
        <v/>
      </c>
      <c r="F25">
        <f>IF($E25="","",MAX(0,$E25-Limpeza_Min))</f>
        <v/>
      </c>
      <c r="G25">
        <f>IF($C25="","",IF($D25&gt;=Turno_Min,N($G24),MAX(0,N($G24)+$C25-$D25)))</f>
        <v/>
      </c>
    </row>
    <row r="26">
      <c r="A26">
        <f>IF(OR('Calc'!$A3="",'Calc'!$B3&lt;&gt;"Sala cirúrgica"),"",'Calc'!$A3)</f>
        <v/>
      </c>
      <c r="B26" t="n">
        <v>11</v>
      </c>
      <c r="C26">
        <f>IF(OR($A26="",ISERROR(MATCH($A26&amp;"#"&amp;Data_Mapa&amp;"#11",Mapa_Chave,0))),"",INDEX(Mapa_RelFim,MATCH($A26&amp;"#"&amp;Data_Mapa&amp;"#11",Mapa_Chave,0))+Limpeza_Min)</f>
        <v/>
      </c>
      <c r="D26">
        <f>IF($C26="","",IFERROR(INDEX(Mapa_RelIni,MATCH($A26&amp;"#"&amp;Data_Mapa&amp;"#12",Mapa_Chave,0)),Turno_Min))</f>
        <v/>
      </c>
      <c r="E26">
        <f>IF($C26="","",MAX(0,$D26-$C26))</f>
        <v/>
      </c>
      <c r="F26">
        <f>IF($E26="","",MAX(0,$E26-Limpeza_Min))</f>
        <v/>
      </c>
      <c r="G26">
        <f>IF($C26="","",IF($D26&gt;=Turno_Min,N($G25),MAX(0,N($G25)+$C26-$D26)))</f>
        <v/>
      </c>
    </row>
    <row r="27">
      <c r="A27">
        <f>IF(OR('Calc'!$A3="",'Calc'!$B3&lt;&gt;"Sala cirúrgica"),"",'Calc'!$A3)</f>
        <v/>
      </c>
      <c r="B27" t="n">
        <v>12</v>
      </c>
      <c r="C27">
        <f>IF(OR($A27="",ISERROR(MATCH($A27&amp;"#"&amp;Data_Mapa&amp;"#12",Mapa_Chave,0))),"",INDEX(Mapa_RelFim,MATCH($A27&amp;"#"&amp;Data_Mapa&amp;"#12",Mapa_Chave,0))+Limpeza_Min)</f>
        <v/>
      </c>
      <c r="D27">
        <f>IF($C27="","",IFERROR(INDEX(Mapa_RelIni,MATCH($A27&amp;"#"&amp;Data_Mapa&amp;"#13",Mapa_Chave,0)),Turno_Min))</f>
        <v/>
      </c>
      <c r="E27">
        <f>IF($C27="","",MAX(0,$D27-$C27))</f>
        <v/>
      </c>
      <c r="F27">
        <f>IF($E27="","",MAX(0,$E27-Limpeza_Min))</f>
        <v/>
      </c>
      <c r="G27">
        <f>IF($C27="","",IF($D27&gt;=Turno_Min,N($G26),MAX(0,N($G26)+$C27-$D27)))</f>
        <v/>
      </c>
    </row>
    <row r="28">
      <c r="A28">
        <f>IF(OR('Calc'!$A4="",'Calc'!$B4&lt;&gt;"Sala cirúrgica"),"",'Calc'!$A4)</f>
        <v/>
      </c>
      <c r="B28" t="n">
        <v>0</v>
      </c>
      <c r="C28">
        <f>IF($A28="","",0)</f>
        <v/>
      </c>
      <c r="D28">
        <f>IF($C28="","",IFERROR(INDEX(Mapa_RelIni,MATCH($A28&amp;"#"&amp;Data_Mapa&amp;"#1",Mapa_Chave,0)),Turno_Min))</f>
        <v/>
      </c>
      <c r="E28">
        <f>IF($C28="","",MAX(0,$D28-$C28))</f>
        <v/>
      </c>
      <c r="F28">
        <f>IF($E28="","",MAX(0,$E28-Limpeza_Min))</f>
        <v/>
      </c>
      <c r="G28">
        <f>IF($C28="","",0)</f>
        <v/>
      </c>
    </row>
    <row r="29">
      <c r="A29">
        <f>IF(OR('Calc'!$A4="",'Calc'!$B4&lt;&gt;"Sala cirúrgica"),"",'Calc'!$A4)</f>
        <v/>
      </c>
      <c r="B29" t="n">
        <v>1</v>
      </c>
      <c r="C29">
        <f>IF(OR($A29="",ISERROR(MATCH($A29&amp;"#"&amp;Data_Mapa&amp;"#1",Mapa_Chave,0))),"",INDEX(Mapa_RelFim,MATCH($A29&amp;"#"&amp;Data_Mapa&amp;"#1",Mapa_Chave,0))+Limpeza_Min)</f>
        <v/>
      </c>
      <c r="D29">
        <f>IF($C29="","",IFERROR(INDEX(Mapa_RelIni,MATCH($A29&amp;"#"&amp;Data_Mapa&amp;"#2",Mapa_Chave,0)),Turno_Min))</f>
        <v/>
      </c>
      <c r="E29">
        <f>IF($C29="","",MAX(0,$D29-$C29))</f>
        <v/>
      </c>
      <c r="F29">
        <f>IF($E29="","",MAX(0,$E29-Limpeza_Min))</f>
        <v/>
      </c>
      <c r="G29">
        <f>IF($C29="","",IF($D29&gt;=Turno_Min,N($G28),MAX(0,N($G28)+$C29-$D29)))</f>
        <v/>
      </c>
    </row>
    <row r="30">
      <c r="A30">
        <f>IF(OR('Calc'!$A4="",'Calc'!$B4&lt;&gt;"Sala cirúrgica"),"",'Calc'!$A4)</f>
        <v/>
      </c>
      <c r="B30" t="n">
        <v>2</v>
      </c>
      <c r="C30">
        <f>IF(OR($A30="",ISERROR(MATCH($A30&amp;"#"&amp;Data_Mapa&amp;"#2",Mapa_Chave,0))),"",INDEX(Mapa_RelFim,MATCH($A30&amp;"#"&amp;Data_Mapa&amp;"#2",Mapa_Chave,0))+Limpeza_Min)</f>
        <v/>
      </c>
      <c r="D30">
        <f>IF($C30="","",IFERROR(INDEX(Mapa_RelIni,MATCH($A30&amp;"#"&amp;Data_Mapa&amp;"#3",Mapa_Chave,0)),Turno_Min))</f>
        <v/>
      </c>
      <c r="E30">
        <f>IF($C30="","",MAX(0,$D30-$C30))</f>
        <v/>
      </c>
      <c r="F30">
        <f>IF($E30="","",MAX(0,$E30-Limpeza_Min))</f>
        <v/>
      </c>
      <c r="G30">
        <f>IF($C30="","",IF($D30&gt;=Turno_Min,N($G29),MAX(0,N($G29)+$C30-$D30)))</f>
        <v/>
      </c>
    </row>
    <row r="31">
      <c r="A31">
        <f>IF(OR('Calc'!$A4="",'Calc'!$B4&lt;&gt;"Sala cirúrgica"),"",'Calc'!$A4)</f>
        <v/>
      </c>
      <c r="B31" t="n">
        <v>3</v>
      </c>
      <c r="C31">
        <f>IF(OR($A31="",ISERROR(MATCH($A31&amp;"#"&amp;Data_Mapa&amp;"#3",Mapa_Chave,0))),"",INDEX(Mapa_RelFim,MATCH($A31&amp;"#"&amp;Data_Mapa&amp;"#3",Mapa_Chave,0))+Limpeza_Min)</f>
        <v/>
      </c>
      <c r="D31">
        <f>IF($C31="","",IFERROR(INDEX(Mapa_RelIni,MATCH($A31&amp;"#"&amp;Data_Mapa&amp;"#4",Mapa_Chave,0)),Turno_Min))</f>
        <v/>
      </c>
      <c r="E31">
        <f>IF($C31="","",MAX(0,$D31-$C31))</f>
        <v/>
      </c>
      <c r="F31">
        <f>IF($E31="","",MAX(0,$E31-Limpeza_Min))</f>
        <v/>
      </c>
      <c r="G31">
        <f>IF($C31="","",IF($D31&gt;=Turno_Min,N($G30),MAX(0,N($G30)+$C31-$D31)))</f>
        <v/>
      </c>
    </row>
    <row r="32">
      <c r="A32">
        <f>IF(OR('Calc'!$A4="",'Calc'!$B4&lt;&gt;"Sala cirúrgica"),"",'Calc'!$A4)</f>
        <v/>
      </c>
      <c r="B32" t="n">
        <v>4</v>
      </c>
      <c r="C32">
        <f>IF(OR($A32="",ISERROR(MATCH($A32&amp;"#"&amp;Data_Mapa&amp;"#4",Mapa_Chave,0))),"",INDEX(Mapa_RelFim,MATCH($A32&amp;"#"&amp;Data_Mapa&amp;"#4",Mapa_Chave,0))+Limpeza_Min)</f>
        <v/>
      </c>
      <c r="D32">
        <f>IF($C32="","",IFERROR(INDEX(Mapa_RelIni,MATCH($A32&amp;"#"&amp;Data_Mapa&amp;"#5",Mapa_Chave,0)),Turno_Min))</f>
        <v/>
      </c>
      <c r="E32">
        <f>IF($C32="","",MAX(0,$D32-$C32))</f>
        <v/>
      </c>
      <c r="F32">
        <f>IF($E32="","",MAX(0,$E32-Limpeza_Min))</f>
        <v/>
      </c>
      <c r="G32">
        <f>IF($C32="","",IF($D32&gt;=Turno_Min,N($G31),MAX(0,N($G31)+$C32-$D32)))</f>
        <v/>
      </c>
    </row>
    <row r="33">
      <c r="A33">
        <f>IF(OR('Calc'!$A4="",'Calc'!$B4&lt;&gt;"Sala cirúrgica"),"",'Calc'!$A4)</f>
        <v/>
      </c>
      <c r="B33" t="n">
        <v>5</v>
      </c>
      <c r="C33">
        <f>IF(OR($A33="",ISERROR(MATCH($A33&amp;"#"&amp;Data_Mapa&amp;"#5",Mapa_Chave,0))),"",INDEX(Mapa_RelFim,MATCH($A33&amp;"#"&amp;Data_Mapa&amp;"#5",Mapa_Chave,0))+Limpeza_Min)</f>
        <v/>
      </c>
      <c r="D33">
        <f>IF($C33="","",IFERROR(INDEX(Mapa_RelIni,MATCH($A33&amp;"#"&amp;Data_Mapa&amp;"#6",Mapa_Chave,0)),Turno_Min))</f>
        <v/>
      </c>
      <c r="E33">
        <f>IF($C33="","",MAX(0,$D33-$C33))</f>
        <v/>
      </c>
      <c r="F33">
        <f>IF($E33="","",MAX(0,$E33-Limpeza_Min))</f>
        <v/>
      </c>
      <c r="G33">
        <f>IF($C33="","",IF($D33&gt;=Turno_Min,N($G32),MAX(0,N($G32)+$C33-$D33)))</f>
        <v/>
      </c>
    </row>
    <row r="34">
      <c r="A34">
        <f>IF(OR('Calc'!$A4="",'Calc'!$B4&lt;&gt;"Sala cirúrgica"),"",'Calc'!$A4)</f>
        <v/>
      </c>
      <c r="B34" t="n">
        <v>6</v>
      </c>
      <c r="C34">
        <f>IF(OR($A34="",ISERROR(MATCH($A34&amp;"#"&amp;Data_Mapa&amp;"#6",Mapa_Chave,0))),"",INDEX(Mapa_RelFim,MATCH($A34&amp;"#"&amp;Data_Mapa&amp;"#6",Mapa_Chave,0))+Limpeza_Min)</f>
        <v/>
      </c>
      <c r="D34">
        <f>IF($C34="","",IFERROR(INDEX(Mapa_RelIni,MATCH($A34&amp;"#"&amp;Data_Mapa&amp;"#7",Mapa_Chave,0)),Turno_Min))</f>
        <v/>
      </c>
      <c r="E34">
        <f>IF($C34="","",MAX(0,$D34-$C34))</f>
        <v/>
      </c>
      <c r="F34">
        <f>IF($E34="","",MAX(0,$E34-Limpeza_Min))</f>
        <v/>
      </c>
      <c r="G34">
        <f>IF($C34="","",IF($D34&gt;=Turno_Min,N($G33),MAX(0,N($G33)+$C34-$D34)))</f>
        <v/>
      </c>
    </row>
    <row r="35">
      <c r="A35">
        <f>IF(OR('Calc'!$A4="",'Calc'!$B4&lt;&gt;"Sala cirúrgica"),"",'Calc'!$A4)</f>
        <v/>
      </c>
      <c r="B35" t="n">
        <v>7</v>
      </c>
      <c r="C35">
        <f>IF(OR($A35="",ISERROR(MATCH($A35&amp;"#"&amp;Data_Mapa&amp;"#7",Mapa_Chave,0))),"",INDEX(Mapa_RelFim,MATCH($A35&amp;"#"&amp;Data_Mapa&amp;"#7",Mapa_Chave,0))+Limpeza_Min)</f>
        <v/>
      </c>
      <c r="D35">
        <f>IF($C35="","",IFERROR(INDEX(Mapa_RelIni,MATCH($A35&amp;"#"&amp;Data_Mapa&amp;"#8",Mapa_Chave,0)),Turno_Min))</f>
        <v/>
      </c>
      <c r="E35">
        <f>IF($C35="","",MAX(0,$D35-$C35))</f>
        <v/>
      </c>
      <c r="F35">
        <f>IF($E35="","",MAX(0,$E35-Limpeza_Min))</f>
        <v/>
      </c>
      <c r="G35">
        <f>IF($C35="","",IF($D35&gt;=Turno_Min,N($G34),MAX(0,N($G34)+$C35-$D35)))</f>
        <v/>
      </c>
    </row>
    <row r="36">
      <c r="A36">
        <f>IF(OR('Calc'!$A4="",'Calc'!$B4&lt;&gt;"Sala cirúrgica"),"",'Calc'!$A4)</f>
        <v/>
      </c>
      <c r="B36" t="n">
        <v>8</v>
      </c>
      <c r="C36">
        <f>IF(OR($A36="",ISERROR(MATCH($A36&amp;"#"&amp;Data_Mapa&amp;"#8",Mapa_Chave,0))),"",INDEX(Mapa_RelFim,MATCH($A36&amp;"#"&amp;Data_Mapa&amp;"#8",Mapa_Chave,0))+Limpeza_Min)</f>
        <v/>
      </c>
      <c r="D36">
        <f>IF($C36="","",IFERROR(INDEX(Mapa_RelIni,MATCH($A36&amp;"#"&amp;Data_Mapa&amp;"#9",Mapa_Chave,0)),Turno_Min))</f>
        <v/>
      </c>
      <c r="E36">
        <f>IF($C36="","",MAX(0,$D36-$C36))</f>
        <v/>
      </c>
      <c r="F36">
        <f>IF($E36="","",MAX(0,$E36-Limpeza_Min))</f>
        <v/>
      </c>
      <c r="G36">
        <f>IF($C36="","",IF($D36&gt;=Turno_Min,N($G35),MAX(0,N($G35)+$C36-$D36)))</f>
        <v/>
      </c>
    </row>
    <row r="37">
      <c r="A37">
        <f>IF(OR('Calc'!$A4="",'Calc'!$B4&lt;&gt;"Sala cirúrgica"),"",'Calc'!$A4)</f>
        <v/>
      </c>
      <c r="B37" t="n">
        <v>9</v>
      </c>
      <c r="C37">
        <f>IF(OR($A37="",ISERROR(MATCH($A37&amp;"#"&amp;Data_Mapa&amp;"#9",Mapa_Chave,0))),"",INDEX(Mapa_RelFim,MATCH($A37&amp;"#"&amp;Data_Mapa&amp;"#9",Mapa_Chave,0))+Limpeza_Min)</f>
        <v/>
      </c>
      <c r="D37">
        <f>IF($C37="","",IFERROR(INDEX(Mapa_RelIni,MATCH($A37&amp;"#"&amp;Data_Mapa&amp;"#10",Mapa_Chave,0)),Turno_Min))</f>
        <v/>
      </c>
      <c r="E37">
        <f>IF($C37="","",MAX(0,$D37-$C37))</f>
        <v/>
      </c>
      <c r="F37">
        <f>IF($E37="","",MAX(0,$E37-Limpeza_Min))</f>
        <v/>
      </c>
      <c r="G37">
        <f>IF($C37="","",IF($D37&gt;=Turno_Min,N($G36),MAX(0,N($G36)+$C37-$D37)))</f>
        <v/>
      </c>
    </row>
    <row r="38">
      <c r="A38">
        <f>IF(OR('Calc'!$A4="",'Calc'!$B4&lt;&gt;"Sala cirúrgica"),"",'Calc'!$A4)</f>
        <v/>
      </c>
      <c r="B38" t="n">
        <v>10</v>
      </c>
      <c r="C38">
        <f>IF(OR($A38="",ISERROR(MATCH($A38&amp;"#"&amp;Data_Mapa&amp;"#10",Mapa_Chave,0))),"",INDEX(Mapa_RelFim,MATCH($A38&amp;"#"&amp;Data_Mapa&amp;"#10",Mapa_Chave,0))+Limpeza_Min)</f>
        <v/>
      </c>
      <c r="D38">
        <f>IF($C38="","",IFERROR(INDEX(Mapa_RelIni,MATCH($A38&amp;"#"&amp;Data_Mapa&amp;"#11",Mapa_Chave,0)),Turno_Min))</f>
        <v/>
      </c>
      <c r="E38">
        <f>IF($C38="","",MAX(0,$D38-$C38))</f>
        <v/>
      </c>
      <c r="F38">
        <f>IF($E38="","",MAX(0,$E38-Limpeza_Min))</f>
        <v/>
      </c>
      <c r="G38">
        <f>IF($C38="","",IF($D38&gt;=Turno_Min,N($G37),MAX(0,N($G37)+$C38-$D38)))</f>
        <v/>
      </c>
    </row>
    <row r="39">
      <c r="A39">
        <f>IF(OR('Calc'!$A4="",'Calc'!$B4&lt;&gt;"Sala cirúrgica"),"",'Calc'!$A4)</f>
        <v/>
      </c>
      <c r="B39" t="n">
        <v>11</v>
      </c>
      <c r="C39">
        <f>IF(OR($A39="",ISERROR(MATCH($A39&amp;"#"&amp;Data_Mapa&amp;"#11",Mapa_Chave,0))),"",INDEX(Mapa_RelFim,MATCH($A39&amp;"#"&amp;Data_Mapa&amp;"#11",Mapa_Chave,0))+Limpeza_Min)</f>
        <v/>
      </c>
      <c r="D39">
        <f>IF($C39="","",IFERROR(INDEX(Mapa_RelIni,MATCH($A39&amp;"#"&amp;Data_Mapa&amp;"#12",Mapa_Chave,0)),Turno_Min))</f>
        <v/>
      </c>
      <c r="E39">
        <f>IF($C39="","",MAX(0,$D39-$C39))</f>
        <v/>
      </c>
      <c r="F39">
        <f>IF($E39="","",MAX(0,$E39-Limpeza_Min))</f>
        <v/>
      </c>
      <c r="G39">
        <f>IF($C39="","",IF($D39&gt;=Turno_Min,N($G38),MAX(0,N($G38)+$C39-$D39)))</f>
        <v/>
      </c>
    </row>
    <row r="40">
      <c r="A40">
        <f>IF(OR('Calc'!$A4="",'Calc'!$B4&lt;&gt;"Sala cirúrgica"),"",'Calc'!$A4)</f>
        <v/>
      </c>
      <c r="B40" t="n">
        <v>12</v>
      </c>
      <c r="C40">
        <f>IF(OR($A40="",ISERROR(MATCH($A40&amp;"#"&amp;Data_Mapa&amp;"#12",Mapa_Chave,0))),"",INDEX(Mapa_RelFim,MATCH($A40&amp;"#"&amp;Data_Mapa&amp;"#12",Mapa_Chave,0))+Limpeza_Min)</f>
        <v/>
      </c>
      <c r="D40">
        <f>IF($C40="","",IFERROR(INDEX(Mapa_RelIni,MATCH($A40&amp;"#"&amp;Data_Mapa&amp;"#13",Mapa_Chave,0)),Turno_Min))</f>
        <v/>
      </c>
      <c r="E40">
        <f>IF($C40="","",MAX(0,$D40-$C40))</f>
        <v/>
      </c>
      <c r="F40">
        <f>IF($E40="","",MAX(0,$E40-Limpeza_Min))</f>
        <v/>
      </c>
      <c r="G40">
        <f>IF($C40="","",IF($D40&gt;=Turno_Min,N($G39),MAX(0,N($G39)+$C40-$D40)))</f>
        <v/>
      </c>
    </row>
    <row r="41">
      <c r="A41">
        <f>IF(OR('Calc'!$A5="",'Calc'!$B5&lt;&gt;"Sala cirúrgica"),"",'Calc'!$A5)</f>
        <v/>
      </c>
      <c r="B41" t="n">
        <v>0</v>
      </c>
      <c r="C41">
        <f>IF($A41="","",0)</f>
        <v/>
      </c>
      <c r="D41">
        <f>IF($C41="","",IFERROR(INDEX(Mapa_RelIni,MATCH($A41&amp;"#"&amp;Data_Mapa&amp;"#1",Mapa_Chave,0)),Turno_Min))</f>
        <v/>
      </c>
      <c r="E41">
        <f>IF($C41="","",MAX(0,$D41-$C41))</f>
        <v/>
      </c>
      <c r="F41">
        <f>IF($E41="","",MAX(0,$E41-Limpeza_Min))</f>
        <v/>
      </c>
      <c r="G41">
        <f>IF($C41="","",0)</f>
        <v/>
      </c>
    </row>
    <row r="42">
      <c r="A42">
        <f>IF(OR('Calc'!$A5="",'Calc'!$B5&lt;&gt;"Sala cirúrgica"),"",'Calc'!$A5)</f>
        <v/>
      </c>
      <c r="B42" t="n">
        <v>1</v>
      </c>
      <c r="C42">
        <f>IF(OR($A42="",ISERROR(MATCH($A42&amp;"#"&amp;Data_Mapa&amp;"#1",Mapa_Chave,0))),"",INDEX(Mapa_RelFim,MATCH($A42&amp;"#"&amp;Data_Mapa&amp;"#1",Mapa_Chave,0))+Limpeza_Min)</f>
        <v/>
      </c>
      <c r="D42">
        <f>IF($C42="","",IFERROR(INDEX(Mapa_RelIni,MATCH($A42&amp;"#"&amp;Data_Mapa&amp;"#2",Mapa_Chave,0)),Turno_Min))</f>
        <v/>
      </c>
      <c r="E42">
        <f>IF($C42="","",MAX(0,$D42-$C42))</f>
        <v/>
      </c>
      <c r="F42">
        <f>IF($E42="","",MAX(0,$E42-Limpeza_Min))</f>
        <v/>
      </c>
      <c r="G42">
        <f>IF($C42="","",IF($D42&gt;=Turno_Min,N($G41),MAX(0,N($G41)+$C42-$D42)))</f>
        <v/>
      </c>
    </row>
    <row r="43">
      <c r="A43">
        <f>IF(OR('Calc'!$A5="",'Calc'!$B5&lt;&gt;"Sala cirúrgica"),"",'Calc'!$A5)</f>
        <v/>
      </c>
      <c r="B43" t="n">
        <v>2</v>
      </c>
      <c r="C43">
        <f>IF(OR($A43="",ISERROR(MATCH($A43&amp;"#"&amp;Data_Mapa&amp;"#2",Mapa_Chave,0))),"",INDEX(Mapa_RelFim,MATCH($A43&amp;"#"&amp;Data_Mapa&amp;"#2",Mapa_Chave,0))+Limpeza_Min)</f>
        <v/>
      </c>
      <c r="D43">
        <f>IF($C43="","",IFERROR(INDEX(Mapa_RelIni,MATCH($A43&amp;"#"&amp;Data_Mapa&amp;"#3",Mapa_Chave,0)),Turno_Min))</f>
        <v/>
      </c>
      <c r="E43">
        <f>IF($C43="","",MAX(0,$D43-$C43))</f>
        <v/>
      </c>
      <c r="F43">
        <f>IF($E43="","",MAX(0,$E43-Limpeza_Min))</f>
        <v/>
      </c>
      <c r="G43">
        <f>IF($C43="","",IF($D43&gt;=Turno_Min,N($G42),MAX(0,N($G42)+$C43-$D43)))</f>
        <v/>
      </c>
    </row>
    <row r="44">
      <c r="A44">
        <f>IF(OR('Calc'!$A5="",'Calc'!$B5&lt;&gt;"Sala cirúrgica"),"",'Calc'!$A5)</f>
        <v/>
      </c>
      <c r="B44" t="n">
        <v>3</v>
      </c>
      <c r="C44">
        <f>IF(OR($A44="",ISERROR(MATCH($A44&amp;"#"&amp;Data_Mapa&amp;"#3",Mapa_Chave,0))),"",INDEX(Mapa_RelFim,MATCH($A44&amp;"#"&amp;Data_Mapa&amp;"#3",Mapa_Chave,0))+Limpeza_Min)</f>
        <v/>
      </c>
      <c r="D44">
        <f>IF($C44="","",IFERROR(INDEX(Mapa_RelIni,MATCH($A44&amp;"#"&amp;Data_Mapa&amp;"#4",Mapa_Chave,0)),Turno_Min))</f>
        <v/>
      </c>
      <c r="E44">
        <f>IF($C44="","",MAX(0,$D44-$C44))</f>
        <v/>
      </c>
      <c r="F44">
        <f>IF($E44="","",MAX(0,$E44-Limpeza_Min))</f>
        <v/>
      </c>
      <c r="G44">
        <f>IF($C44="","",IF($D44&gt;=Turno_Min,N($G43),MAX(0,N($G43)+$C44-$D44)))</f>
        <v/>
      </c>
    </row>
    <row r="45">
      <c r="A45">
        <f>IF(OR('Calc'!$A5="",'Calc'!$B5&lt;&gt;"Sala cirúrgica"),"",'Calc'!$A5)</f>
        <v/>
      </c>
      <c r="B45" t="n">
        <v>4</v>
      </c>
      <c r="C45">
        <f>IF(OR($A45="",ISERROR(MATCH($A45&amp;"#"&amp;Data_Mapa&amp;"#4",Mapa_Chave,0))),"",INDEX(Mapa_RelFim,MATCH($A45&amp;"#"&amp;Data_Mapa&amp;"#4",Mapa_Chave,0))+Limpeza_Min)</f>
        <v/>
      </c>
      <c r="D45">
        <f>IF($C45="","",IFERROR(INDEX(Mapa_RelIni,MATCH($A45&amp;"#"&amp;Data_Mapa&amp;"#5",Mapa_Chave,0)),Turno_Min))</f>
        <v/>
      </c>
      <c r="E45">
        <f>IF($C45="","",MAX(0,$D45-$C45))</f>
        <v/>
      </c>
      <c r="F45">
        <f>IF($E45="","",MAX(0,$E45-Limpeza_Min))</f>
        <v/>
      </c>
      <c r="G45">
        <f>IF($C45="","",IF($D45&gt;=Turno_Min,N($G44),MAX(0,N($G44)+$C45-$D45)))</f>
        <v/>
      </c>
    </row>
    <row r="46">
      <c r="A46">
        <f>IF(OR('Calc'!$A5="",'Calc'!$B5&lt;&gt;"Sala cirúrgica"),"",'Calc'!$A5)</f>
        <v/>
      </c>
      <c r="B46" t="n">
        <v>5</v>
      </c>
      <c r="C46">
        <f>IF(OR($A46="",ISERROR(MATCH($A46&amp;"#"&amp;Data_Mapa&amp;"#5",Mapa_Chave,0))),"",INDEX(Mapa_RelFim,MATCH($A46&amp;"#"&amp;Data_Mapa&amp;"#5",Mapa_Chave,0))+Limpeza_Min)</f>
        <v/>
      </c>
      <c r="D46">
        <f>IF($C46="","",IFERROR(INDEX(Mapa_RelIni,MATCH($A46&amp;"#"&amp;Data_Mapa&amp;"#6",Mapa_Chave,0)),Turno_Min))</f>
        <v/>
      </c>
      <c r="E46">
        <f>IF($C46="","",MAX(0,$D46-$C46))</f>
        <v/>
      </c>
      <c r="F46">
        <f>IF($E46="","",MAX(0,$E46-Limpeza_Min))</f>
        <v/>
      </c>
      <c r="G46">
        <f>IF($C46="","",IF($D46&gt;=Turno_Min,N($G45),MAX(0,N($G45)+$C46-$D46)))</f>
        <v/>
      </c>
    </row>
    <row r="47">
      <c r="A47">
        <f>IF(OR('Calc'!$A5="",'Calc'!$B5&lt;&gt;"Sala cirúrgica"),"",'Calc'!$A5)</f>
        <v/>
      </c>
      <c r="B47" t="n">
        <v>6</v>
      </c>
      <c r="C47">
        <f>IF(OR($A47="",ISERROR(MATCH($A47&amp;"#"&amp;Data_Mapa&amp;"#6",Mapa_Chave,0))),"",INDEX(Mapa_RelFim,MATCH($A47&amp;"#"&amp;Data_Mapa&amp;"#6",Mapa_Chave,0))+Limpeza_Min)</f>
        <v/>
      </c>
      <c r="D47">
        <f>IF($C47="","",IFERROR(INDEX(Mapa_RelIni,MATCH($A47&amp;"#"&amp;Data_Mapa&amp;"#7",Mapa_Chave,0)),Turno_Min))</f>
        <v/>
      </c>
      <c r="E47">
        <f>IF($C47="","",MAX(0,$D47-$C47))</f>
        <v/>
      </c>
      <c r="F47">
        <f>IF($E47="","",MAX(0,$E47-Limpeza_Min))</f>
        <v/>
      </c>
      <c r="G47">
        <f>IF($C47="","",IF($D47&gt;=Turno_Min,N($G46),MAX(0,N($G46)+$C47-$D47)))</f>
        <v/>
      </c>
    </row>
    <row r="48">
      <c r="A48">
        <f>IF(OR('Calc'!$A5="",'Calc'!$B5&lt;&gt;"Sala cirúrgica"),"",'Calc'!$A5)</f>
        <v/>
      </c>
      <c r="B48" t="n">
        <v>7</v>
      </c>
      <c r="C48">
        <f>IF(OR($A48="",ISERROR(MATCH($A48&amp;"#"&amp;Data_Mapa&amp;"#7",Mapa_Chave,0))),"",INDEX(Mapa_RelFim,MATCH($A48&amp;"#"&amp;Data_Mapa&amp;"#7",Mapa_Chave,0))+Limpeza_Min)</f>
        <v/>
      </c>
      <c r="D48">
        <f>IF($C48="","",IFERROR(INDEX(Mapa_RelIni,MATCH($A48&amp;"#"&amp;Data_Mapa&amp;"#8",Mapa_Chave,0)),Turno_Min))</f>
        <v/>
      </c>
      <c r="E48">
        <f>IF($C48="","",MAX(0,$D48-$C48))</f>
        <v/>
      </c>
      <c r="F48">
        <f>IF($E48="","",MAX(0,$E48-Limpeza_Min))</f>
        <v/>
      </c>
      <c r="G48">
        <f>IF($C48="","",IF($D48&gt;=Turno_Min,N($G47),MAX(0,N($G47)+$C48-$D48)))</f>
        <v/>
      </c>
    </row>
    <row r="49">
      <c r="A49">
        <f>IF(OR('Calc'!$A5="",'Calc'!$B5&lt;&gt;"Sala cirúrgica"),"",'Calc'!$A5)</f>
        <v/>
      </c>
      <c r="B49" t="n">
        <v>8</v>
      </c>
      <c r="C49">
        <f>IF(OR($A49="",ISERROR(MATCH($A49&amp;"#"&amp;Data_Mapa&amp;"#8",Mapa_Chave,0))),"",INDEX(Mapa_RelFim,MATCH($A49&amp;"#"&amp;Data_Mapa&amp;"#8",Mapa_Chave,0))+Limpeza_Min)</f>
        <v/>
      </c>
      <c r="D49">
        <f>IF($C49="","",IFERROR(INDEX(Mapa_RelIni,MATCH($A49&amp;"#"&amp;Data_Mapa&amp;"#9",Mapa_Chave,0)),Turno_Min))</f>
        <v/>
      </c>
      <c r="E49">
        <f>IF($C49="","",MAX(0,$D49-$C49))</f>
        <v/>
      </c>
      <c r="F49">
        <f>IF($E49="","",MAX(0,$E49-Limpeza_Min))</f>
        <v/>
      </c>
      <c r="G49">
        <f>IF($C49="","",IF($D49&gt;=Turno_Min,N($G48),MAX(0,N($G48)+$C49-$D49)))</f>
        <v/>
      </c>
    </row>
    <row r="50">
      <c r="A50">
        <f>IF(OR('Calc'!$A5="",'Calc'!$B5&lt;&gt;"Sala cirúrgica"),"",'Calc'!$A5)</f>
        <v/>
      </c>
      <c r="B50" t="n">
        <v>9</v>
      </c>
      <c r="C50">
        <f>IF(OR($A50="",ISERROR(MATCH($A50&amp;"#"&amp;Data_Mapa&amp;"#9",Mapa_Chave,0))),"",INDEX(Mapa_RelFim,MATCH($A50&amp;"#"&amp;Data_Mapa&amp;"#9",Mapa_Chave,0))+Limpeza_Min)</f>
        <v/>
      </c>
      <c r="D50">
        <f>IF($C50="","",IFERROR(INDEX(Mapa_RelIni,MATCH($A50&amp;"#"&amp;Data_Mapa&amp;"#10",Mapa_Chave,0)),Turno_Min))</f>
        <v/>
      </c>
      <c r="E50">
        <f>IF($C50="","",MAX(0,$D50-$C50))</f>
        <v/>
      </c>
      <c r="F50">
        <f>IF($E50="","",MAX(0,$E50-Limpeza_Min))</f>
        <v/>
      </c>
      <c r="G50">
        <f>IF($C50="","",IF($D50&gt;=Turno_Min,N($G49),MAX(0,N($G49)+$C50-$D50)))</f>
        <v/>
      </c>
    </row>
    <row r="51">
      <c r="A51">
        <f>IF(OR('Calc'!$A5="",'Calc'!$B5&lt;&gt;"Sala cirúrgica"),"",'Calc'!$A5)</f>
        <v/>
      </c>
      <c r="B51" t="n">
        <v>10</v>
      </c>
      <c r="C51">
        <f>IF(OR($A51="",ISERROR(MATCH($A51&amp;"#"&amp;Data_Mapa&amp;"#10",Mapa_Chave,0))),"",INDEX(Mapa_RelFim,MATCH($A51&amp;"#"&amp;Data_Mapa&amp;"#10",Mapa_Chave,0))+Limpeza_Min)</f>
        <v/>
      </c>
      <c r="D51">
        <f>IF($C51="","",IFERROR(INDEX(Mapa_RelIni,MATCH($A51&amp;"#"&amp;Data_Mapa&amp;"#11",Mapa_Chave,0)),Turno_Min))</f>
        <v/>
      </c>
      <c r="E51">
        <f>IF($C51="","",MAX(0,$D51-$C51))</f>
        <v/>
      </c>
      <c r="F51">
        <f>IF($E51="","",MAX(0,$E51-Limpeza_Min))</f>
        <v/>
      </c>
      <c r="G51">
        <f>IF($C51="","",IF($D51&gt;=Turno_Min,N($G50),MAX(0,N($G50)+$C51-$D51)))</f>
        <v/>
      </c>
    </row>
    <row r="52">
      <c r="A52">
        <f>IF(OR('Calc'!$A5="",'Calc'!$B5&lt;&gt;"Sala cirúrgica"),"",'Calc'!$A5)</f>
        <v/>
      </c>
      <c r="B52" t="n">
        <v>11</v>
      </c>
      <c r="C52">
        <f>IF(OR($A52="",ISERROR(MATCH($A52&amp;"#"&amp;Data_Mapa&amp;"#11",Mapa_Chave,0))),"",INDEX(Mapa_RelFim,MATCH($A52&amp;"#"&amp;Data_Mapa&amp;"#11",Mapa_Chave,0))+Limpeza_Min)</f>
        <v/>
      </c>
      <c r="D52">
        <f>IF($C52="","",IFERROR(INDEX(Mapa_RelIni,MATCH($A52&amp;"#"&amp;Data_Mapa&amp;"#12",Mapa_Chave,0)),Turno_Min))</f>
        <v/>
      </c>
      <c r="E52">
        <f>IF($C52="","",MAX(0,$D52-$C52))</f>
        <v/>
      </c>
      <c r="F52">
        <f>IF($E52="","",MAX(0,$E52-Limpeza_Min))</f>
        <v/>
      </c>
      <c r="G52">
        <f>IF($C52="","",IF($D52&gt;=Turno_Min,N($G51),MAX(0,N($G51)+$C52-$D52)))</f>
        <v/>
      </c>
    </row>
    <row r="53">
      <c r="A53">
        <f>IF(OR('Calc'!$A5="",'Calc'!$B5&lt;&gt;"Sala cirúrgica"),"",'Calc'!$A5)</f>
        <v/>
      </c>
      <c r="B53" t="n">
        <v>12</v>
      </c>
      <c r="C53">
        <f>IF(OR($A53="",ISERROR(MATCH($A53&amp;"#"&amp;Data_Mapa&amp;"#12",Mapa_Chave,0))),"",INDEX(Mapa_RelFim,MATCH($A53&amp;"#"&amp;Data_Mapa&amp;"#12",Mapa_Chave,0))+Limpeza_Min)</f>
        <v/>
      </c>
      <c r="D53">
        <f>IF($C53="","",IFERROR(INDEX(Mapa_RelIni,MATCH($A53&amp;"#"&amp;Data_Mapa&amp;"#13",Mapa_Chave,0)),Turno_Min))</f>
        <v/>
      </c>
      <c r="E53">
        <f>IF($C53="","",MAX(0,$D53-$C53))</f>
        <v/>
      </c>
      <c r="F53">
        <f>IF($E53="","",MAX(0,$E53-Limpeza_Min))</f>
        <v/>
      </c>
      <c r="G53">
        <f>IF($C53="","",IF($D53&gt;=Turno_Min,N($G52),MAX(0,N($G52)+$C53-$D53)))</f>
        <v/>
      </c>
    </row>
    <row r="54">
      <c r="A54">
        <f>IF(OR('Calc'!$A6="",'Calc'!$B6&lt;&gt;"Sala cirúrgica"),"",'Calc'!$A6)</f>
        <v/>
      </c>
      <c r="B54" t="n">
        <v>0</v>
      </c>
      <c r="C54">
        <f>IF($A54="","",0)</f>
        <v/>
      </c>
      <c r="D54">
        <f>IF($C54="","",IFERROR(INDEX(Mapa_RelIni,MATCH($A54&amp;"#"&amp;Data_Mapa&amp;"#1",Mapa_Chave,0)),Turno_Min))</f>
        <v/>
      </c>
      <c r="E54">
        <f>IF($C54="","",MAX(0,$D54-$C54))</f>
        <v/>
      </c>
      <c r="F54">
        <f>IF($E54="","",MAX(0,$E54-Limpeza_Min))</f>
        <v/>
      </c>
      <c r="G54">
        <f>IF($C54="","",0)</f>
        <v/>
      </c>
    </row>
    <row r="55">
      <c r="A55">
        <f>IF(OR('Calc'!$A6="",'Calc'!$B6&lt;&gt;"Sala cirúrgica"),"",'Calc'!$A6)</f>
        <v/>
      </c>
      <c r="B55" t="n">
        <v>1</v>
      </c>
      <c r="C55">
        <f>IF(OR($A55="",ISERROR(MATCH($A55&amp;"#"&amp;Data_Mapa&amp;"#1",Mapa_Chave,0))),"",INDEX(Mapa_RelFim,MATCH($A55&amp;"#"&amp;Data_Mapa&amp;"#1",Mapa_Chave,0))+Limpeza_Min)</f>
        <v/>
      </c>
      <c r="D55">
        <f>IF($C55="","",IFERROR(INDEX(Mapa_RelIni,MATCH($A55&amp;"#"&amp;Data_Mapa&amp;"#2",Mapa_Chave,0)),Turno_Min))</f>
        <v/>
      </c>
      <c r="E55">
        <f>IF($C55="","",MAX(0,$D55-$C55))</f>
        <v/>
      </c>
      <c r="F55">
        <f>IF($E55="","",MAX(0,$E55-Limpeza_Min))</f>
        <v/>
      </c>
      <c r="G55">
        <f>IF($C55="","",IF($D55&gt;=Turno_Min,N($G54),MAX(0,N($G54)+$C55-$D55)))</f>
        <v/>
      </c>
    </row>
    <row r="56">
      <c r="A56">
        <f>IF(OR('Calc'!$A6="",'Calc'!$B6&lt;&gt;"Sala cirúrgica"),"",'Calc'!$A6)</f>
        <v/>
      </c>
      <c r="B56" t="n">
        <v>2</v>
      </c>
      <c r="C56">
        <f>IF(OR($A56="",ISERROR(MATCH($A56&amp;"#"&amp;Data_Mapa&amp;"#2",Mapa_Chave,0))),"",INDEX(Mapa_RelFim,MATCH($A56&amp;"#"&amp;Data_Mapa&amp;"#2",Mapa_Chave,0))+Limpeza_Min)</f>
        <v/>
      </c>
      <c r="D56">
        <f>IF($C56="","",IFERROR(INDEX(Mapa_RelIni,MATCH($A56&amp;"#"&amp;Data_Mapa&amp;"#3",Mapa_Chave,0)),Turno_Min))</f>
        <v/>
      </c>
      <c r="E56">
        <f>IF($C56="","",MAX(0,$D56-$C56))</f>
        <v/>
      </c>
      <c r="F56">
        <f>IF($E56="","",MAX(0,$E56-Limpeza_Min))</f>
        <v/>
      </c>
      <c r="G56">
        <f>IF($C56="","",IF($D56&gt;=Turno_Min,N($G55),MAX(0,N($G55)+$C56-$D56)))</f>
        <v/>
      </c>
    </row>
    <row r="57">
      <c r="A57">
        <f>IF(OR('Calc'!$A6="",'Calc'!$B6&lt;&gt;"Sala cirúrgica"),"",'Calc'!$A6)</f>
        <v/>
      </c>
      <c r="B57" t="n">
        <v>3</v>
      </c>
      <c r="C57">
        <f>IF(OR($A57="",ISERROR(MATCH($A57&amp;"#"&amp;Data_Mapa&amp;"#3",Mapa_Chave,0))),"",INDEX(Mapa_RelFim,MATCH($A57&amp;"#"&amp;Data_Mapa&amp;"#3",Mapa_Chave,0))+Limpeza_Min)</f>
        <v/>
      </c>
      <c r="D57">
        <f>IF($C57="","",IFERROR(INDEX(Mapa_RelIni,MATCH($A57&amp;"#"&amp;Data_Mapa&amp;"#4",Mapa_Chave,0)),Turno_Min))</f>
        <v/>
      </c>
      <c r="E57">
        <f>IF($C57="","",MAX(0,$D57-$C57))</f>
        <v/>
      </c>
      <c r="F57">
        <f>IF($E57="","",MAX(0,$E57-Limpeza_Min))</f>
        <v/>
      </c>
      <c r="G57">
        <f>IF($C57="","",IF($D57&gt;=Turno_Min,N($G56),MAX(0,N($G56)+$C57-$D57)))</f>
        <v/>
      </c>
    </row>
    <row r="58">
      <c r="A58">
        <f>IF(OR('Calc'!$A6="",'Calc'!$B6&lt;&gt;"Sala cirúrgica"),"",'Calc'!$A6)</f>
        <v/>
      </c>
      <c r="B58" t="n">
        <v>4</v>
      </c>
      <c r="C58">
        <f>IF(OR($A58="",ISERROR(MATCH($A58&amp;"#"&amp;Data_Mapa&amp;"#4",Mapa_Chave,0))),"",INDEX(Mapa_RelFim,MATCH($A58&amp;"#"&amp;Data_Mapa&amp;"#4",Mapa_Chave,0))+Limpeza_Min)</f>
        <v/>
      </c>
      <c r="D58">
        <f>IF($C58="","",IFERROR(INDEX(Mapa_RelIni,MATCH($A58&amp;"#"&amp;Data_Mapa&amp;"#5",Mapa_Chave,0)),Turno_Min))</f>
        <v/>
      </c>
      <c r="E58">
        <f>IF($C58="","",MAX(0,$D58-$C58))</f>
        <v/>
      </c>
      <c r="F58">
        <f>IF($E58="","",MAX(0,$E58-Limpeza_Min))</f>
        <v/>
      </c>
      <c r="G58">
        <f>IF($C58="","",IF($D58&gt;=Turno_Min,N($G57),MAX(0,N($G57)+$C58-$D58)))</f>
        <v/>
      </c>
    </row>
    <row r="59">
      <c r="A59">
        <f>IF(OR('Calc'!$A6="",'Calc'!$B6&lt;&gt;"Sala cirúrgica"),"",'Calc'!$A6)</f>
        <v/>
      </c>
      <c r="B59" t="n">
        <v>5</v>
      </c>
      <c r="C59">
        <f>IF(OR($A59="",ISERROR(MATCH($A59&amp;"#"&amp;Data_Mapa&amp;"#5",Mapa_Chave,0))),"",INDEX(Mapa_RelFim,MATCH($A59&amp;"#"&amp;Data_Mapa&amp;"#5",Mapa_Chave,0))+Limpeza_Min)</f>
        <v/>
      </c>
      <c r="D59">
        <f>IF($C59="","",IFERROR(INDEX(Mapa_RelIni,MATCH($A59&amp;"#"&amp;Data_Mapa&amp;"#6",Mapa_Chave,0)),Turno_Min))</f>
        <v/>
      </c>
      <c r="E59">
        <f>IF($C59="","",MAX(0,$D59-$C59))</f>
        <v/>
      </c>
      <c r="F59">
        <f>IF($E59="","",MAX(0,$E59-Limpeza_Min))</f>
        <v/>
      </c>
      <c r="G59">
        <f>IF($C59="","",IF($D59&gt;=Turno_Min,N($G58),MAX(0,N($G58)+$C59-$D59)))</f>
        <v/>
      </c>
    </row>
    <row r="60">
      <c r="A60">
        <f>IF(OR('Calc'!$A6="",'Calc'!$B6&lt;&gt;"Sala cirúrgica"),"",'Calc'!$A6)</f>
        <v/>
      </c>
      <c r="B60" t="n">
        <v>6</v>
      </c>
      <c r="C60">
        <f>IF(OR($A60="",ISERROR(MATCH($A60&amp;"#"&amp;Data_Mapa&amp;"#6",Mapa_Chave,0))),"",INDEX(Mapa_RelFim,MATCH($A60&amp;"#"&amp;Data_Mapa&amp;"#6",Mapa_Chave,0))+Limpeza_Min)</f>
        <v/>
      </c>
      <c r="D60">
        <f>IF($C60="","",IFERROR(INDEX(Mapa_RelIni,MATCH($A60&amp;"#"&amp;Data_Mapa&amp;"#7",Mapa_Chave,0)),Turno_Min))</f>
        <v/>
      </c>
      <c r="E60">
        <f>IF($C60="","",MAX(0,$D60-$C60))</f>
        <v/>
      </c>
      <c r="F60">
        <f>IF($E60="","",MAX(0,$E60-Limpeza_Min))</f>
        <v/>
      </c>
      <c r="G60">
        <f>IF($C60="","",IF($D60&gt;=Turno_Min,N($G59),MAX(0,N($G59)+$C60-$D60)))</f>
        <v/>
      </c>
    </row>
    <row r="61">
      <c r="A61">
        <f>IF(OR('Calc'!$A6="",'Calc'!$B6&lt;&gt;"Sala cirúrgica"),"",'Calc'!$A6)</f>
        <v/>
      </c>
      <c r="B61" t="n">
        <v>7</v>
      </c>
      <c r="C61">
        <f>IF(OR($A61="",ISERROR(MATCH($A61&amp;"#"&amp;Data_Mapa&amp;"#7",Mapa_Chave,0))),"",INDEX(Mapa_RelFim,MATCH($A61&amp;"#"&amp;Data_Mapa&amp;"#7",Mapa_Chave,0))+Limpeza_Min)</f>
        <v/>
      </c>
      <c r="D61">
        <f>IF($C61="","",IFERROR(INDEX(Mapa_RelIni,MATCH($A61&amp;"#"&amp;Data_Mapa&amp;"#8",Mapa_Chave,0)),Turno_Min))</f>
        <v/>
      </c>
      <c r="E61">
        <f>IF($C61="","",MAX(0,$D61-$C61))</f>
        <v/>
      </c>
      <c r="F61">
        <f>IF($E61="","",MAX(0,$E61-Limpeza_Min))</f>
        <v/>
      </c>
      <c r="G61">
        <f>IF($C61="","",IF($D61&gt;=Turno_Min,N($G60),MAX(0,N($G60)+$C61-$D61)))</f>
        <v/>
      </c>
    </row>
    <row r="62">
      <c r="A62">
        <f>IF(OR('Calc'!$A6="",'Calc'!$B6&lt;&gt;"Sala cirúrgica"),"",'Calc'!$A6)</f>
        <v/>
      </c>
      <c r="B62" t="n">
        <v>8</v>
      </c>
      <c r="C62">
        <f>IF(OR($A62="",ISERROR(MATCH($A62&amp;"#"&amp;Data_Mapa&amp;"#8",Mapa_Chave,0))),"",INDEX(Mapa_RelFim,MATCH($A62&amp;"#"&amp;Data_Mapa&amp;"#8",Mapa_Chave,0))+Limpeza_Min)</f>
        <v/>
      </c>
      <c r="D62">
        <f>IF($C62="","",IFERROR(INDEX(Mapa_RelIni,MATCH($A62&amp;"#"&amp;Data_Mapa&amp;"#9",Mapa_Chave,0)),Turno_Min))</f>
        <v/>
      </c>
      <c r="E62">
        <f>IF($C62="","",MAX(0,$D62-$C62))</f>
        <v/>
      </c>
      <c r="F62">
        <f>IF($E62="","",MAX(0,$E62-Limpeza_Min))</f>
        <v/>
      </c>
      <c r="G62">
        <f>IF($C62="","",IF($D62&gt;=Turno_Min,N($G61),MAX(0,N($G61)+$C62-$D62)))</f>
        <v/>
      </c>
    </row>
    <row r="63">
      <c r="A63">
        <f>IF(OR('Calc'!$A6="",'Calc'!$B6&lt;&gt;"Sala cirúrgica"),"",'Calc'!$A6)</f>
        <v/>
      </c>
      <c r="B63" t="n">
        <v>9</v>
      </c>
      <c r="C63">
        <f>IF(OR($A63="",ISERROR(MATCH($A63&amp;"#"&amp;Data_Mapa&amp;"#9",Mapa_Chave,0))),"",INDEX(Mapa_RelFim,MATCH($A63&amp;"#"&amp;Data_Mapa&amp;"#9",Mapa_Chave,0))+Limpeza_Min)</f>
        <v/>
      </c>
      <c r="D63">
        <f>IF($C63="","",IFERROR(INDEX(Mapa_RelIni,MATCH($A63&amp;"#"&amp;Data_Mapa&amp;"#10",Mapa_Chave,0)),Turno_Min))</f>
        <v/>
      </c>
      <c r="E63">
        <f>IF($C63="","",MAX(0,$D63-$C63))</f>
        <v/>
      </c>
      <c r="F63">
        <f>IF($E63="","",MAX(0,$E63-Limpeza_Min))</f>
        <v/>
      </c>
      <c r="G63">
        <f>IF($C63="","",IF($D63&gt;=Turno_Min,N($G62),MAX(0,N($G62)+$C63-$D63)))</f>
        <v/>
      </c>
    </row>
    <row r="64">
      <c r="A64">
        <f>IF(OR('Calc'!$A6="",'Calc'!$B6&lt;&gt;"Sala cirúrgica"),"",'Calc'!$A6)</f>
        <v/>
      </c>
      <c r="B64" t="n">
        <v>10</v>
      </c>
      <c r="C64">
        <f>IF(OR($A64="",ISERROR(MATCH($A64&amp;"#"&amp;Data_Mapa&amp;"#10",Mapa_Chave,0))),"",INDEX(Mapa_RelFim,MATCH($A64&amp;"#"&amp;Data_Mapa&amp;"#10",Mapa_Chave,0))+Limpeza_Min)</f>
        <v/>
      </c>
      <c r="D64">
        <f>IF($C64="","",IFERROR(INDEX(Mapa_RelIni,MATCH($A64&amp;"#"&amp;Data_Mapa&amp;"#11",Mapa_Chave,0)),Turno_Min))</f>
        <v/>
      </c>
      <c r="E64">
        <f>IF($C64="","",MAX(0,$D64-$C64))</f>
        <v/>
      </c>
      <c r="F64">
        <f>IF($E64="","",MAX(0,$E64-Limpeza_Min))</f>
        <v/>
      </c>
      <c r="G64">
        <f>IF($C64="","",IF($D64&gt;=Turno_Min,N($G63),MAX(0,N($G63)+$C64-$D64)))</f>
        <v/>
      </c>
    </row>
    <row r="65">
      <c r="A65">
        <f>IF(OR('Calc'!$A6="",'Calc'!$B6&lt;&gt;"Sala cirúrgica"),"",'Calc'!$A6)</f>
        <v/>
      </c>
      <c r="B65" t="n">
        <v>11</v>
      </c>
      <c r="C65">
        <f>IF(OR($A65="",ISERROR(MATCH($A65&amp;"#"&amp;Data_Mapa&amp;"#11",Mapa_Chave,0))),"",INDEX(Mapa_RelFim,MATCH($A65&amp;"#"&amp;Data_Mapa&amp;"#11",Mapa_Chave,0))+Limpeza_Min)</f>
        <v/>
      </c>
      <c r="D65">
        <f>IF($C65="","",IFERROR(INDEX(Mapa_RelIni,MATCH($A65&amp;"#"&amp;Data_Mapa&amp;"#12",Mapa_Chave,0)),Turno_Min))</f>
        <v/>
      </c>
      <c r="E65">
        <f>IF($C65="","",MAX(0,$D65-$C65))</f>
        <v/>
      </c>
      <c r="F65">
        <f>IF($E65="","",MAX(0,$E65-Limpeza_Min))</f>
        <v/>
      </c>
      <c r="G65">
        <f>IF($C65="","",IF($D65&gt;=Turno_Min,N($G64),MAX(0,N($G64)+$C65-$D65)))</f>
        <v/>
      </c>
    </row>
    <row r="66">
      <c r="A66">
        <f>IF(OR('Calc'!$A6="",'Calc'!$B6&lt;&gt;"Sala cirúrgica"),"",'Calc'!$A6)</f>
        <v/>
      </c>
      <c r="B66" t="n">
        <v>12</v>
      </c>
      <c r="C66">
        <f>IF(OR($A66="",ISERROR(MATCH($A66&amp;"#"&amp;Data_Mapa&amp;"#12",Mapa_Chave,0))),"",INDEX(Mapa_RelFim,MATCH($A66&amp;"#"&amp;Data_Mapa&amp;"#12",Mapa_Chave,0))+Limpeza_Min)</f>
        <v/>
      </c>
      <c r="D66">
        <f>IF($C66="","",IFERROR(INDEX(Mapa_RelIni,MATCH($A66&amp;"#"&amp;Data_Mapa&amp;"#13",Mapa_Chave,0)),Turno_Min))</f>
        <v/>
      </c>
      <c r="E66">
        <f>IF($C66="","",MAX(0,$D66-$C66))</f>
        <v/>
      </c>
      <c r="F66">
        <f>IF($E66="","",MAX(0,$E66-Limpeza_Min))</f>
        <v/>
      </c>
      <c r="G66">
        <f>IF($C66="","",IF($D66&gt;=Turno_Min,N($G65),MAX(0,N($G65)+$C66-$D66)))</f>
        <v/>
      </c>
    </row>
    <row r="67">
      <c r="A67">
        <f>IF(OR('Calc'!$A7="",'Calc'!$B7&lt;&gt;"Sala cirúrgica"),"",'Calc'!$A7)</f>
        <v/>
      </c>
      <c r="B67" t="n">
        <v>0</v>
      </c>
      <c r="C67">
        <f>IF($A67="","",0)</f>
        <v/>
      </c>
      <c r="D67">
        <f>IF($C67="","",IFERROR(INDEX(Mapa_RelIni,MATCH($A67&amp;"#"&amp;Data_Mapa&amp;"#1",Mapa_Chave,0)),Turno_Min))</f>
        <v/>
      </c>
      <c r="E67">
        <f>IF($C67="","",MAX(0,$D67-$C67))</f>
        <v/>
      </c>
      <c r="F67">
        <f>IF($E67="","",MAX(0,$E67-Limpeza_Min))</f>
        <v/>
      </c>
      <c r="G67">
        <f>IF($C67="","",0)</f>
        <v/>
      </c>
    </row>
    <row r="68">
      <c r="A68">
        <f>IF(OR('Calc'!$A7="",'Calc'!$B7&lt;&gt;"Sala cirúrgica"),"",'Calc'!$A7)</f>
        <v/>
      </c>
      <c r="B68" t="n">
        <v>1</v>
      </c>
      <c r="C68">
        <f>IF(OR($A68="",ISERROR(MATCH($A68&amp;"#"&amp;Data_Mapa&amp;"#1",Mapa_Chave,0))),"",INDEX(Mapa_RelFim,MATCH($A68&amp;"#"&amp;Data_Mapa&amp;"#1",Mapa_Chave,0))+Limpeza_Min)</f>
        <v/>
      </c>
      <c r="D68">
        <f>IF($C68="","",IFERROR(INDEX(Mapa_RelIni,MATCH($A68&amp;"#"&amp;Data_Mapa&amp;"#2",Mapa_Chave,0)),Turno_Min))</f>
        <v/>
      </c>
      <c r="E68">
        <f>IF($C68="","",MAX(0,$D68-$C68))</f>
        <v/>
      </c>
      <c r="F68">
        <f>IF($E68="","",MAX(0,$E68-Limpeza_Min))</f>
        <v/>
      </c>
      <c r="G68">
        <f>IF($C68="","",IF($D68&gt;=Turno_Min,N($G67),MAX(0,N($G67)+$C68-$D68)))</f>
        <v/>
      </c>
    </row>
    <row r="69">
      <c r="A69">
        <f>IF(OR('Calc'!$A7="",'Calc'!$B7&lt;&gt;"Sala cirúrgica"),"",'Calc'!$A7)</f>
        <v/>
      </c>
      <c r="B69" t="n">
        <v>2</v>
      </c>
      <c r="C69">
        <f>IF(OR($A69="",ISERROR(MATCH($A69&amp;"#"&amp;Data_Mapa&amp;"#2",Mapa_Chave,0))),"",INDEX(Mapa_RelFim,MATCH($A69&amp;"#"&amp;Data_Mapa&amp;"#2",Mapa_Chave,0))+Limpeza_Min)</f>
        <v/>
      </c>
      <c r="D69">
        <f>IF($C69="","",IFERROR(INDEX(Mapa_RelIni,MATCH($A69&amp;"#"&amp;Data_Mapa&amp;"#3",Mapa_Chave,0)),Turno_Min))</f>
        <v/>
      </c>
      <c r="E69">
        <f>IF($C69="","",MAX(0,$D69-$C69))</f>
        <v/>
      </c>
      <c r="F69">
        <f>IF($E69="","",MAX(0,$E69-Limpeza_Min))</f>
        <v/>
      </c>
      <c r="G69">
        <f>IF($C69="","",IF($D69&gt;=Turno_Min,N($G68),MAX(0,N($G68)+$C69-$D69)))</f>
        <v/>
      </c>
    </row>
    <row r="70">
      <c r="A70">
        <f>IF(OR('Calc'!$A7="",'Calc'!$B7&lt;&gt;"Sala cirúrgica"),"",'Calc'!$A7)</f>
        <v/>
      </c>
      <c r="B70" t="n">
        <v>3</v>
      </c>
      <c r="C70">
        <f>IF(OR($A70="",ISERROR(MATCH($A70&amp;"#"&amp;Data_Mapa&amp;"#3",Mapa_Chave,0))),"",INDEX(Mapa_RelFim,MATCH($A70&amp;"#"&amp;Data_Mapa&amp;"#3",Mapa_Chave,0))+Limpeza_Min)</f>
        <v/>
      </c>
      <c r="D70">
        <f>IF($C70="","",IFERROR(INDEX(Mapa_RelIni,MATCH($A70&amp;"#"&amp;Data_Mapa&amp;"#4",Mapa_Chave,0)),Turno_Min))</f>
        <v/>
      </c>
      <c r="E70">
        <f>IF($C70="","",MAX(0,$D70-$C70))</f>
        <v/>
      </c>
      <c r="F70">
        <f>IF($E70="","",MAX(0,$E70-Limpeza_Min))</f>
        <v/>
      </c>
      <c r="G70">
        <f>IF($C70="","",IF($D70&gt;=Turno_Min,N($G69),MAX(0,N($G69)+$C70-$D70)))</f>
        <v/>
      </c>
    </row>
    <row r="71">
      <c r="A71">
        <f>IF(OR('Calc'!$A7="",'Calc'!$B7&lt;&gt;"Sala cirúrgica"),"",'Calc'!$A7)</f>
        <v/>
      </c>
      <c r="B71" t="n">
        <v>4</v>
      </c>
      <c r="C71">
        <f>IF(OR($A71="",ISERROR(MATCH($A71&amp;"#"&amp;Data_Mapa&amp;"#4",Mapa_Chave,0))),"",INDEX(Mapa_RelFim,MATCH($A71&amp;"#"&amp;Data_Mapa&amp;"#4",Mapa_Chave,0))+Limpeza_Min)</f>
        <v/>
      </c>
      <c r="D71">
        <f>IF($C71="","",IFERROR(INDEX(Mapa_RelIni,MATCH($A71&amp;"#"&amp;Data_Mapa&amp;"#5",Mapa_Chave,0)),Turno_Min))</f>
        <v/>
      </c>
      <c r="E71">
        <f>IF($C71="","",MAX(0,$D71-$C71))</f>
        <v/>
      </c>
      <c r="F71">
        <f>IF($E71="","",MAX(0,$E71-Limpeza_Min))</f>
        <v/>
      </c>
      <c r="G71">
        <f>IF($C71="","",IF($D71&gt;=Turno_Min,N($G70),MAX(0,N($G70)+$C71-$D71)))</f>
        <v/>
      </c>
    </row>
    <row r="72">
      <c r="A72">
        <f>IF(OR('Calc'!$A7="",'Calc'!$B7&lt;&gt;"Sala cirúrgica"),"",'Calc'!$A7)</f>
        <v/>
      </c>
      <c r="B72" t="n">
        <v>5</v>
      </c>
      <c r="C72">
        <f>IF(OR($A72="",ISERROR(MATCH($A72&amp;"#"&amp;Data_Mapa&amp;"#5",Mapa_Chave,0))),"",INDEX(Mapa_RelFim,MATCH($A72&amp;"#"&amp;Data_Mapa&amp;"#5",Mapa_Chave,0))+Limpeza_Min)</f>
        <v/>
      </c>
      <c r="D72">
        <f>IF($C72="","",IFERROR(INDEX(Mapa_RelIni,MATCH($A72&amp;"#"&amp;Data_Mapa&amp;"#6",Mapa_Chave,0)),Turno_Min))</f>
        <v/>
      </c>
      <c r="E72">
        <f>IF($C72="","",MAX(0,$D72-$C72))</f>
        <v/>
      </c>
      <c r="F72">
        <f>IF($E72="","",MAX(0,$E72-Limpeza_Min))</f>
        <v/>
      </c>
      <c r="G72">
        <f>IF($C72="","",IF($D72&gt;=Turno_Min,N($G71),MAX(0,N($G71)+$C72-$D72)))</f>
        <v/>
      </c>
    </row>
    <row r="73">
      <c r="A73">
        <f>IF(OR('Calc'!$A7="",'Calc'!$B7&lt;&gt;"Sala cirúrgica"),"",'Calc'!$A7)</f>
        <v/>
      </c>
      <c r="B73" t="n">
        <v>6</v>
      </c>
      <c r="C73">
        <f>IF(OR($A73="",ISERROR(MATCH($A73&amp;"#"&amp;Data_Mapa&amp;"#6",Mapa_Chave,0))),"",INDEX(Mapa_RelFim,MATCH($A73&amp;"#"&amp;Data_Mapa&amp;"#6",Mapa_Chave,0))+Limpeza_Min)</f>
        <v/>
      </c>
      <c r="D73">
        <f>IF($C73="","",IFERROR(INDEX(Mapa_RelIni,MATCH($A73&amp;"#"&amp;Data_Mapa&amp;"#7",Mapa_Chave,0)),Turno_Min))</f>
        <v/>
      </c>
      <c r="E73">
        <f>IF($C73="","",MAX(0,$D73-$C73))</f>
        <v/>
      </c>
      <c r="F73">
        <f>IF($E73="","",MAX(0,$E73-Limpeza_Min))</f>
        <v/>
      </c>
      <c r="G73">
        <f>IF($C73="","",IF($D73&gt;=Turno_Min,N($G72),MAX(0,N($G72)+$C73-$D73)))</f>
        <v/>
      </c>
    </row>
    <row r="74">
      <c r="A74">
        <f>IF(OR('Calc'!$A7="",'Calc'!$B7&lt;&gt;"Sala cirúrgica"),"",'Calc'!$A7)</f>
        <v/>
      </c>
      <c r="B74" t="n">
        <v>7</v>
      </c>
      <c r="C74">
        <f>IF(OR($A74="",ISERROR(MATCH($A74&amp;"#"&amp;Data_Mapa&amp;"#7",Mapa_Chave,0))),"",INDEX(Mapa_RelFim,MATCH($A74&amp;"#"&amp;Data_Mapa&amp;"#7",Mapa_Chave,0))+Limpeza_Min)</f>
        <v/>
      </c>
      <c r="D74">
        <f>IF($C74="","",IFERROR(INDEX(Mapa_RelIni,MATCH($A74&amp;"#"&amp;Data_Mapa&amp;"#8",Mapa_Chave,0)),Turno_Min))</f>
        <v/>
      </c>
      <c r="E74">
        <f>IF($C74="","",MAX(0,$D74-$C74))</f>
        <v/>
      </c>
      <c r="F74">
        <f>IF($E74="","",MAX(0,$E74-Limpeza_Min))</f>
        <v/>
      </c>
      <c r="G74">
        <f>IF($C74="","",IF($D74&gt;=Turno_Min,N($G73),MAX(0,N($G73)+$C74-$D74)))</f>
        <v/>
      </c>
    </row>
    <row r="75">
      <c r="A75">
        <f>IF(OR('Calc'!$A7="",'Calc'!$B7&lt;&gt;"Sala cirúrgica"),"",'Calc'!$A7)</f>
        <v/>
      </c>
      <c r="B75" t="n">
        <v>8</v>
      </c>
      <c r="C75">
        <f>IF(OR($A75="",ISERROR(MATCH($A75&amp;"#"&amp;Data_Mapa&amp;"#8",Mapa_Chave,0))),"",INDEX(Mapa_RelFim,MATCH($A75&amp;"#"&amp;Data_Mapa&amp;"#8",Mapa_Chave,0))+Limpeza_Min)</f>
        <v/>
      </c>
      <c r="D75">
        <f>IF($C75="","",IFERROR(INDEX(Mapa_RelIni,MATCH($A75&amp;"#"&amp;Data_Mapa&amp;"#9",Mapa_Chave,0)),Turno_Min))</f>
        <v/>
      </c>
      <c r="E75">
        <f>IF($C75="","",MAX(0,$D75-$C75))</f>
        <v/>
      </c>
      <c r="F75">
        <f>IF($E75="","",MAX(0,$E75-Limpeza_Min))</f>
        <v/>
      </c>
      <c r="G75">
        <f>IF($C75="","",IF($D75&gt;=Turno_Min,N($G74),MAX(0,N($G74)+$C75-$D75)))</f>
        <v/>
      </c>
    </row>
    <row r="76">
      <c r="A76">
        <f>IF(OR('Calc'!$A7="",'Calc'!$B7&lt;&gt;"Sala cirúrgica"),"",'Calc'!$A7)</f>
        <v/>
      </c>
      <c r="B76" t="n">
        <v>9</v>
      </c>
      <c r="C76">
        <f>IF(OR($A76="",ISERROR(MATCH($A76&amp;"#"&amp;Data_Mapa&amp;"#9",Mapa_Chave,0))),"",INDEX(Mapa_RelFim,MATCH($A76&amp;"#"&amp;Data_Mapa&amp;"#9",Mapa_Chave,0))+Limpeza_Min)</f>
        <v/>
      </c>
      <c r="D76">
        <f>IF($C76="","",IFERROR(INDEX(Mapa_RelIni,MATCH($A76&amp;"#"&amp;Data_Mapa&amp;"#10",Mapa_Chave,0)),Turno_Min))</f>
        <v/>
      </c>
      <c r="E76">
        <f>IF($C76="","",MAX(0,$D76-$C76))</f>
        <v/>
      </c>
      <c r="F76">
        <f>IF($E76="","",MAX(0,$E76-Limpeza_Min))</f>
        <v/>
      </c>
      <c r="G76">
        <f>IF($C76="","",IF($D76&gt;=Turno_Min,N($G75),MAX(0,N($G75)+$C76-$D76)))</f>
        <v/>
      </c>
    </row>
    <row r="77">
      <c r="A77">
        <f>IF(OR('Calc'!$A7="",'Calc'!$B7&lt;&gt;"Sala cirúrgica"),"",'Calc'!$A7)</f>
        <v/>
      </c>
      <c r="B77" t="n">
        <v>10</v>
      </c>
      <c r="C77">
        <f>IF(OR($A77="",ISERROR(MATCH($A77&amp;"#"&amp;Data_Mapa&amp;"#10",Mapa_Chave,0))),"",INDEX(Mapa_RelFim,MATCH($A77&amp;"#"&amp;Data_Mapa&amp;"#10",Mapa_Chave,0))+Limpeza_Min)</f>
        <v/>
      </c>
      <c r="D77">
        <f>IF($C77="","",IFERROR(INDEX(Mapa_RelIni,MATCH($A77&amp;"#"&amp;Data_Mapa&amp;"#11",Mapa_Chave,0)),Turno_Min))</f>
        <v/>
      </c>
      <c r="E77">
        <f>IF($C77="","",MAX(0,$D77-$C77))</f>
        <v/>
      </c>
      <c r="F77">
        <f>IF($E77="","",MAX(0,$E77-Limpeza_Min))</f>
        <v/>
      </c>
      <c r="G77">
        <f>IF($C77="","",IF($D77&gt;=Turno_Min,N($G76),MAX(0,N($G76)+$C77-$D77)))</f>
        <v/>
      </c>
    </row>
    <row r="78">
      <c r="A78">
        <f>IF(OR('Calc'!$A7="",'Calc'!$B7&lt;&gt;"Sala cirúrgica"),"",'Calc'!$A7)</f>
        <v/>
      </c>
      <c r="B78" t="n">
        <v>11</v>
      </c>
      <c r="C78">
        <f>IF(OR($A78="",ISERROR(MATCH($A78&amp;"#"&amp;Data_Mapa&amp;"#11",Mapa_Chave,0))),"",INDEX(Mapa_RelFim,MATCH($A78&amp;"#"&amp;Data_Mapa&amp;"#11",Mapa_Chave,0))+Limpeza_Min)</f>
        <v/>
      </c>
      <c r="D78">
        <f>IF($C78="","",IFERROR(INDEX(Mapa_RelIni,MATCH($A78&amp;"#"&amp;Data_Mapa&amp;"#12",Mapa_Chave,0)),Turno_Min))</f>
        <v/>
      </c>
      <c r="E78">
        <f>IF($C78="","",MAX(0,$D78-$C78))</f>
        <v/>
      </c>
      <c r="F78">
        <f>IF($E78="","",MAX(0,$E78-Limpeza_Min))</f>
        <v/>
      </c>
      <c r="G78">
        <f>IF($C78="","",IF($D78&gt;=Turno_Min,N($G77),MAX(0,N($G77)+$C78-$D78)))</f>
        <v/>
      </c>
    </row>
    <row r="79">
      <c r="A79">
        <f>IF(OR('Calc'!$A7="",'Calc'!$B7&lt;&gt;"Sala cirúrgica"),"",'Calc'!$A7)</f>
        <v/>
      </c>
      <c r="B79" t="n">
        <v>12</v>
      </c>
      <c r="C79">
        <f>IF(OR($A79="",ISERROR(MATCH($A79&amp;"#"&amp;Data_Mapa&amp;"#12",Mapa_Chave,0))),"",INDEX(Mapa_RelFim,MATCH($A79&amp;"#"&amp;Data_Mapa&amp;"#12",Mapa_Chave,0))+Limpeza_Min)</f>
        <v/>
      </c>
      <c r="D79">
        <f>IF($C79="","",IFERROR(INDEX(Mapa_RelIni,MATCH($A79&amp;"#"&amp;Data_Mapa&amp;"#13",Mapa_Chave,0)),Turno_Min))</f>
        <v/>
      </c>
      <c r="E79">
        <f>IF($C79="","",MAX(0,$D79-$C79))</f>
        <v/>
      </c>
      <c r="F79">
        <f>IF($E79="","",MAX(0,$E79-Limpeza_Min))</f>
        <v/>
      </c>
      <c r="G79">
        <f>IF($C79="","",IF($D79&gt;=Turno_Min,N($G78),MAX(0,N($G78)+$C79-$D79)))</f>
        <v/>
      </c>
    </row>
    <row r="80">
      <c r="A80">
        <f>IF(OR('Calc'!$A8="",'Calc'!$B8&lt;&gt;"Sala cirúrgica"),"",'Calc'!$A8)</f>
        <v/>
      </c>
      <c r="B80" t="n">
        <v>0</v>
      </c>
      <c r="C80">
        <f>IF($A80="","",0)</f>
        <v/>
      </c>
      <c r="D80">
        <f>IF($C80="","",IFERROR(INDEX(Mapa_RelIni,MATCH($A80&amp;"#"&amp;Data_Mapa&amp;"#1",Mapa_Chave,0)),Turno_Min))</f>
        <v/>
      </c>
      <c r="E80">
        <f>IF($C80="","",MAX(0,$D80-$C80))</f>
        <v/>
      </c>
      <c r="F80">
        <f>IF($E80="","",MAX(0,$E80-Limpeza_Min))</f>
        <v/>
      </c>
      <c r="G80">
        <f>IF($C80="","",0)</f>
        <v/>
      </c>
    </row>
    <row r="81">
      <c r="A81">
        <f>IF(OR('Calc'!$A8="",'Calc'!$B8&lt;&gt;"Sala cirúrgica"),"",'Calc'!$A8)</f>
        <v/>
      </c>
      <c r="B81" t="n">
        <v>1</v>
      </c>
      <c r="C81">
        <f>IF(OR($A81="",ISERROR(MATCH($A81&amp;"#"&amp;Data_Mapa&amp;"#1",Mapa_Chave,0))),"",INDEX(Mapa_RelFim,MATCH($A81&amp;"#"&amp;Data_Mapa&amp;"#1",Mapa_Chave,0))+Limpeza_Min)</f>
        <v/>
      </c>
      <c r="D81">
        <f>IF($C81="","",IFERROR(INDEX(Mapa_RelIni,MATCH($A81&amp;"#"&amp;Data_Mapa&amp;"#2",Mapa_Chave,0)),Turno_Min))</f>
        <v/>
      </c>
      <c r="E81">
        <f>IF($C81="","",MAX(0,$D81-$C81))</f>
        <v/>
      </c>
      <c r="F81">
        <f>IF($E81="","",MAX(0,$E81-Limpeza_Min))</f>
        <v/>
      </c>
      <c r="G81">
        <f>IF($C81="","",IF($D81&gt;=Turno_Min,N($G80),MAX(0,N($G80)+$C81-$D81)))</f>
        <v/>
      </c>
    </row>
    <row r="82">
      <c r="A82">
        <f>IF(OR('Calc'!$A8="",'Calc'!$B8&lt;&gt;"Sala cirúrgica"),"",'Calc'!$A8)</f>
        <v/>
      </c>
      <c r="B82" t="n">
        <v>2</v>
      </c>
      <c r="C82">
        <f>IF(OR($A82="",ISERROR(MATCH($A82&amp;"#"&amp;Data_Mapa&amp;"#2",Mapa_Chave,0))),"",INDEX(Mapa_RelFim,MATCH($A82&amp;"#"&amp;Data_Mapa&amp;"#2",Mapa_Chave,0))+Limpeza_Min)</f>
        <v/>
      </c>
      <c r="D82">
        <f>IF($C82="","",IFERROR(INDEX(Mapa_RelIni,MATCH($A82&amp;"#"&amp;Data_Mapa&amp;"#3",Mapa_Chave,0)),Turno_Min))</f>
        <v/>
      </c>
      <c r="E82">
        <f>IF($C82="","",MAX(0,$D82-$C82))</f>
        <v/>
      </c>
      <c r="F82">
        <f>IF($E82="","",MAX(0,$E82-Limpeza_Min))</f>
        <v/>
      </c>
      <c r="G82">
        <f>IF($C82="","",IF($D82&gt;=Turno_Min,N($G81),MAX(0,N($G81)+$C82-$D82)))</f>
        <v/>
      </c>
    </row>
    <row r="83">
      <c r="A83">
        <f>IF(OR('Calc'!$A8="",'Calc'!$B8&lt;&gt;"Sala cirúrgica"),"",'Calc'!$A8)</f>
        <v/>
      </c>
      <c r="B83" t="n">
        <v>3</v>
      </c>
      <c r="C83">
        <f>IF(OR($A83="",ISERROR(MATCH($A83&amp;"#"&amp;Data_Mapa&amp;"#3",Mapa_Chave,0))),"",INDEX(Mapa_RelFim,MATCH($A83&amp;"#"&amp;Data_Mapa&amp;"#3",Mapa_Chave,0))+Limpeza_Min)</f>
        <v/>
      </c>
      <c r="D83">
        <f>IF($C83="","",IFERROR(INDEX(Mapa_RelIni,MATCH($A83&amp;"#"&amp;Data_Mapa&amp;"#4",Mapa_Chave,0)),Turno_Min))</f>
        <v/>
      </c>
      <c r="E83">
        <f>IF($C83="","",MAX(0,$D83-$C83))</f>
        <v/>
      </c>
      <c r="F83">
        <f>IF($E83="","",MAX(0,$E83-Limpeza_Min))</f>
        <v/>
      </c>
      <c r="G83">
        <f>IF($C83="","",IF($D83&gt;=Turno_Min,N($G82),MAX(0,N($G82)+$C83-$D83)))</f>
        <v/>
      </c>
    </row>
    <row r="84">
      <c r="A84">
        <f>IF(OR('Calc'!$A8="",'Calc'!$B8&lt;&gt;"Sala cirúrgica"),"",'Calc'!$A8)</f>
        <v/>
      </c>
      <c r="B84" t="n">
        <v>4</v>
      </c>
      <c r="C84">
        <f>IF(OR($A84="",ISERROR(MATCH($A84&amp;"#"&amp;Data_Mapa&amp;"#4",Mapa_Chave,0))),"",INDEX(Mapa_RelFim,MATCH($A84&amp;"#"&amp;Data_Mapa&amp;"#4",Mapa_Chave,0))+Limpeza_Min)</f>
        <v/>
      </c>
      <c r="D84">
        <f>IF($C84="","",IFERROR(INDEX(Mapa_RelIni,MATCH($A84&amp;"#"&amp;Data_Mapa&amp;"#5",Mapa_Chave,0)),Turno_Min))</f>
        <v/>
      </c>
      <c r="E84">
        <f>IF($C84="","",MAX(0,$D84-$C84))</f>
        <v/>
      </c>
      <c r="F84">
        <f>IF($E84="","",MAX(0,$E84-Limpeza_Min))</f>
        <v/>
      </c>
      <c r="G84">
        <f>IF($C84="","",IF($D84&gt;=Turno_Min,N($G83),MAX(0,N($G83)+$C84-$D84)))</f>
        <v/>
      </c>
    </row>
    <row r="85">
      <c r="A85">
        <f>IF(OR('Calc'!$A8="",'Calc'!$B8&lt;&gt;"Sala cirúrgica"),"",'Calc'!$A8)</f>
        <v/>
      </c>
      <c r="B85" t="n">
        <v>5</v>
      </c>
      <c r="C85">
        <f>IF(OR($A85="",ISERROR(MATCH($A85&amp;"#"&amp;Data_Mapa&amp;"#5",Mapa_Chave,0))),"",INDEX(Mapa_RelFim,MATCH($A85&amp;"#"&amp;Data_Mapa&amp;"#5",Mapa_Chave,0))+Limpeza_Min)</f>
        <v/>
      </c>
      <c r="D85">
        <f>IF($C85="","",IFERROR(INDEX(Mapa_RelIni,MATCH($A85&amp;"#"&amp;Data_Mapa&amp;"#6",Mapa_Chave,0)),Turno_Min))</f>
        <v/>
      </c>
      <c r="E85">
        <f>IF($C85="","",MAX(0,$D85-$C85))</f>
        <v/>
      </c>
      <c r="F85">
        <f>IF($E85="","",MAX(0,$E85-Limpeza_Min))</f>
        <v/>
      </c>
      <c r="G85">
        <f>IF($C85="","",IF($D85&gt;=Turno_Min,N($G84),MAX(0,N($G84)+$C85-$D85)))</f>
        <v/>
      </c>
    </row>
    <row r="86">
      <c r="A86">
        <f>IF(OR('Calc'!$A8="",'Calc'!$B8&lt;&gt;"Sala cirúrgica"),"",'Calc'!$A8)</f>
        <v/>
      </c>
      <c r="B86" t="n">
        <v>6</v>
      </c>
      <c r="C86">
        <f>IF(OR($A86="",ISERROR(MATCH($A86&amp;"#"&amp;Data_Mapa&amp;"#6",Mapa_Chave,0))),"",INDEX(Mapa_RelFim,MATCH($A86&amp;"#"&amp;Data_Mapa&amp;"#6",Mapa_Chave,0))+Limpeza_Min)</f>
        <v/>
      </c>
      <c r="D86">
        <f>IF($C86="","",IFERROR(INDEX(Mapa_RelIni,MATCH($A86&amp;"#"&amp;Data_Mapa&amp;"#7",Mapa_Chave,0)),Turno_Min))</f>
        <v/>
      </c>
      <c r="E86">
        <f>IF($C86="","",MAX(0,$D86-$C86))</f>
        <v/>
      </c>
      <c r="F86">
        <f>IF($E86="","",MAX(0,$E86-Limpeza_Min))</f>
        <v/>
      </c>
      <c r="G86">
        <f>IF($C86="","",IF($D86&gt;=Turno_Min,N($G85),MAX(0,N($G85)+$C86-$D86)))</f>
        <v/>
      </c>
    </row>
    <row r="87">
      <c r="A87">
        <f>IF(OR('Calc'!$A8="",'Calc'!$B8&lt;&gt;"Sala cirúrgica"),"",'Calc'!$A8)</f>
        <v/>
      </c>
      <c r="B87" t="n">
        <v>7</v>
      </c>
      <c r="C87">
        <f>IF(OR($A87="",ISERROR(MATCH($A87&amp;"#"&amp;Data_Mapa&amp;"#7",Mapa_Chave,0))),"",INDEX(Mapa_RelFim,MATCH($A87&amp;"#"&amp;Data_Mapa&amp;"#7",Mapa_Chave,0))+Limpeza_Min)</f>
        <v/>
      </c>
      <c r="D87">
        <f>IF($C87="","",IFERROR(INDEX(Mapa_RelIni,MATCH($A87&amp;"#"&amp;Data_Mapa&amp;"#8",Mapa_Chave,0)),Turno_Min))</f>
        <v/>
      </c>
      <c r="E87">
        <f>IF($C87="","",MAX(0,$D87-$C87))</f>
        <v/>
      </c>
      <c r="F87">
        <f>IF($E87="","",MAX(0,$E87-Limpeza_Min))</f>
        <v/>
      </c>
      <c r="G87">
        <f>IF($C87="","",IF($D87&gt;=Turno_Min,N($G86),MAX(0,N($G86)+$C87-$D87)))</f>
        <v/>
      </c>
    </row>
    <row r="88">
      <c r="A88">
        <f>IF(OR('Calc'!$A8="",'Calc'!$B8&lt;&gt;"Sala cirúrgica"),"",'Calc'!$A8)</f>
        <v/>
      </c>
      <c r="B88" t="n">
        <v>8</v>
      </c>
      <c r="C88">
        <f>IF(OR($A88="",ISERROR(MATCH($A88&amp;"#"&amp;Data_Mapa&amp;"#8",Mapa_Chave,0))),"",INDEX(Mapa_RelFim,MATCH($A88&amp;"#"&amp;Data_Mapa&amp;"#8",Mapa_Chave,0))+Limpeza_Min)</f>
        <v/>
      </c>
      <c r="D88">
        <f>IF($C88="","",IFERROR(INDEX(Mapa_RelIni,MATCH($A88&amp;"#"&amp;Data_Mapa&amp;"#9",Mapa_Chave,0)),Turno_Min))</f>
        <v/>
      </c>
      <c r="E88">
        <f>IF($C88="","",MAX(0,$D88-$C88))</f>
        <v/>
      </c>
      <c r="F88">
        <f>IF($E88="","",MAX(0,$E88-Limpeza_Min))</f>
        <v/>
      </c>
      <c r="G88">
        <f>IF($C88="","",IF($D88&gt;=Turno_Min,N($G87),MAX(0,N($G87)+$C88-$D88)))</f>
        <v/>
      </c>
    </row>
    <row r="89">
      <c r="A89">
        <f>IF(OR('Calc'!$A8="",'Calc'!$B8&lt;&gt;"Sala cirúrgica"),"",'Calc'!$A8)</f>
        <v/>
      </c>
      <c r="B89" t="n">
        <v>9</v>
      </c>
      <c r="C89">
        <f>IF(OR($A89="",ISERROR(MATCH($A89&amp;"#"&amp;Data_Mapa&amp;"#9",Mapa_Chave,0))),"",INDEX(Mapa_RelFim,MATCH($A89&amp;"#"&amp;Data_Mapa&amp;"#9",Mapa_Chave,0))+Limpeza_Min)</f>
        <v/>
      </c>
      <c r="D89">
        <f>IF($C89="","",IFERROR(INDEX(Mapa_RelIni,MATCH($A89&amp;"#"&amp;Data_Mapa&amp;"#10",Mapa_Chave,0)),Turno_Min))</f>
        <v/>
      </c>
      <c r="E89">
        <f>IF($C89="","",MAX(0,$D89-$C89))</f>
        <v/>
      </c>
      <c r="F89">
        <f>IF($E89="","",MAX(0,$E89-Limpeza_Min))</f>
        <v/>
      </c>
      <c r="G89">
        <f>IF($C89="","",IF($D89&gt;=Turno_Min,N($G88),MAX(0,N($G88)+$C89-$D89)))</f>
        <v/>
      </c>
    </row>
    <row r="90">
      <c r="A90">
        <f>IF(OR('Calc'!$A8="",'Calc'!$B8&lt;&gt;"Sala cirúrgica"),"",'Calc'!$A8)</f>
        <v/>
      </c>
      <c r="B90" t="n">
        <v>10</v>
      </c>
      <c r="C90">
        <f>IF(OR($A90="",ISERROR(MATCH($A90&amp;"#"&amp;Data_Mapa&amp;"#10",Mapa_Chave,0))),"",INDEX(Mapa_RelFim,MATCH($A90&amp;"#"&amp;Data_Mapa&amp;"#10",Mapa_Chave,0))+Limpeza_Min)</f>
        <v/>
      </c>
      <c r="D90">
        <f>IF($C90="","",IFERROR(INDEX(Mapa_RelIni,MATCH($A90&amp;"#"&amp;Data_Mapa&amp;"#11",Mapa_Chave,0)),Turno_Min))</f>
        <v/>
      </c>
      <c r="E90">
        <f>IF($C90="","",MAX(0,$D90-$C90))</f>
        <v/>
      </c>
      <c r="F90">
        <f>IF($E90="","",MAX(0,$E90-Limpeza_Min))</f>
        <v/>
      </c>
      <c r="G90">
        <f>IF($C90="","",IF($D90&gt;=Turno_Min,N($G89),MAX(0,N($G89)+$C90-$D90)))</f>
        <v/>
      </c>
    </row>
    <row r="91">
      <c r="A91">
        <f>IF(OR('Calc'!$A8="",'Calc'!$B8&lt;&gt;"Sala cirúrgica"),"",'Calc'!$A8)</f>
        <v/>
      </c>
      <c r="B91" t="n">
        <v>11</v>
      </c>
      <c r="C91">
        <f>IF(OR($A91="",ISERROR(MATCH($A91&amp;"#"&amp;Data_Mapa&amp;"#11",Mapa_Chave,0))),"",INDEX(Mapa_RelFim,MATCH($A91&amp;"#"&amp;Data_Mapa&amp;"#11",Mapa_Chave,0))+Limpeza_Min)</f>
        <v/>
      </c>
      <c r="D91">
        <f>IF($C91="","",IFERROR(INDEX(Mapa_RelIni,MATCH($A91&amp;"#"&amp;Data_Mapa&amp;"#12",Mapa_Chave,0)),Turno_Min))</f>
        <v/>
      </c>
      <c r="E91">
        <f>IF($C91="","",MAX(0,$D91-$C91))</f>
        <v/>
      </c>
      <c r="F91">
        <f>IF($E91="","",MAX(0,$E91-Limpeza_Min))</f>
        <v/>
      </c>
      <c r="G91">
        <f>IF($C91="","",IF($D91&gt;=Turno_Min,N($G90),MAX(0,N($G90)+$C91-$D91)))</f>
        <v/>
      </c>
    </row>
    <row r="92">
      <c r="A92">
        <f>IF(OR('Calc'!$A8="",'Calc'!$B8&lt;&gt;"Sala cirúrgica"),"",'Calc'!$A8)</f>
        <v/>
      </c>
      <c r="B92" t="n">
        <v>12</v>
      </c>
      <c r="C92">
        <f>IF(OR($A92="",ISERROR(MATCH($A92&amp;"#"&amp;Data_Mapa&amp;"#12",Mapa_Chave,0))),"",INDEX(Mapa_RelFim,MATCH($A92&amp;"#"&amp;Data_Mapa&amp;"#12",Mapa_Chave,0))+Limpeza_Min)</f>
        <v/>
      </c>
      <c r="D92">
        <f>IF($C92="","",IFERROR(INDEX(Mapa_RelIni,MATCH($A92&amp;"#"&amp;Data_Mapa&amp;"#13",Mapa_Chave,0)),Turno_Min))</f>
        <v/>
      </c>
      <c r="E92">
        <f>IF($C92="","",MAX(0,$D92-$C92))</f>
        <v/>
      </c>
      <c r="F92">
        <f>IF($E92="","",MAX(0,$E92-Limpeza_Min))</f>
        <v/>
      </c>
      <c r="G92">
        <f>IF($C92="","",IF($D92&gt;=Turno_Min,N($G91),MAX(0,N($G91)+$C92-$D92)))</f>
        <v/>
      </c>
    </row>
    <row r="93">
      <c r="A93">
        <f>IF(OR('Calc'!$A9="",'Calc'!$B9&lt;&gt;"Sala cirúrgica"),"",'Calc'!$A9)</f>
        <v/>
      </c>
      <c r="B93" t="n">
        <v>0</v>
      </c>
      <c r="C93">
        <f>IF($A93="","",0)</f>
        <v/>
      </c>
      <c r="D93">
        <f>IF($C93="","",IFERROR(INDEX(Mapa_RelIni,MATCH($A93&amp;"#"&amp;Data_Mapa&amp;"#1",Mapa_Chave,0)),Turno_Min))</f>
        <v/>
      </c>
      <c r="E93">
        <f>IF($C93="","",MAX(0,$D93-$C93))</f>
        <v/>
      </c>
      <c r="F93">
        <f>IF($E93="","",MAX(0,$E93-Limpeza_Min))</f>
        <v/>
      </c>
      <c r="G93">
        <f>IF($C93="","",0)</f>
        <v/>
      </c>
    </row>
    <row r="94">
      <c r="A94">
        <f>IF(OR('Calc'!$A9="",'Calc'!$B9&lt;&gt;"Sala cirúrgica"),"",'Calc'!$A9)</f>
        <v/>
      </c>
      <c r="B94" t="n">
        <v>1</v>
      </c>
      <c r="C94">
        <f>IF(OR($A94="",ISERROR(MATCH($A94&amp;"#"&amp;Data_Mapa&amp;"#1",Mapa_Chave,0))),"",INDEX(Mapa_RelFim,MATCH($A94&amp;"#"&amp;Data_Mapa&amp;"#1",Mapa_Chave,0))+Limpeza_Min)</f>
        <v/>
      </c>
      <c r="D94">
        <f>IF($C94="","",IFERROR(INDEX(Mapa_RelIni,MATCH($A94&amp;"#"&amp;Data_Mapa&amp;"#2",Mapa_Chave,0)),Turno_Min))</f>
        <v/>
      </c>
      <c r="E94">
        <f>IF($C94="","",MAX(0,$D94-$C94))</f>
        <v/>
      </c>
      <c r="F94">
        <f>IF($E94="","",MAX(0,$E94-Limpeza_Min))</f>
        <v/>
      </c>
      <c r="G94">
        <f>IF($C94="","",IF($D94&gt;=Turno_Min,N($G93),MAX(0,N($G93)+$C94-$D94)))</f>
        <v/>
      </c>
    </row>
    <row r="95">
      <c r="A95">
        <f>IF(OR('Calc'!$A9="",'Calc'!$B9&lt;&gt;"Sala cirúrgica"),"",'Calc'!$A9)</f>
        <v/>
      </c>
      <c r="B95" t="n">
        <v>2</v>
      </c>
      <c r="C95">
        <f>IF(OR($A95="",ISERROR(MATCH($A95&amp;"#"&amp;Data_Mapa&amp;"#2",Mapa_Chave,0))),"",INDEX(Mapa_RelFim,MATCH($A95&amp;"#"&amp;Data_Mapa&amp;"#2",Mapa_Chave,0))+Limpeza_Min)</f>
        <v/>
      </c>
      <c r="D95">
        <f>IF($C95="","",IFERROR(INDEX(Mapa_RelIni,MATCH($A95&amp;"#"&amp;Data_Mapa&amp;"#3",Mapa_Chave,0)),Turno_Min))</f>
        <v/>
      </c>
      <c r="E95">
        <f>IF($C95="","",MAX(0,$D95-$C95))</f>
        <v/>
      </c>
      <c r="F95">
        <f>IF($E95="","",MAX(0,$E95-Limpeza_Min))</f>
        <v/>
      </c>
      <c r="G95">
        <f>IF($C95="","",IF($D95&gt;=Turno_Min,N($G94),MAX(0,N($G94)+$C95-$D95)))</f>
        <v/>
      </c>
    </row>
    <row r="96">
      <c r="A96">
        <f>IF(OR('Calc'!$A9="",'Calc'!$B9&lt;&gt;"Sala cirúrgica"),"",'Calc'!$A9)</f>
        <v/>
      </c>
      <c r="B96" t="n">
        <v>3</v>
      </c>
      <c r="C96">
        <f>IF(OR($A96="",ISERROR(MATCH($A96&amp;"#"&amp;Data_Mapa&amp;"#3",Mapa_Chave,0))),"",INDEX(Mapa_RelFim,MATCH($A96&amp;"#"&amp;Data_Mapa&amp;"#3",Mapa_Chave,0))+Limpeza_Min)</f>
        <v/>
      </c>
      <c r="D96">
        <f>IF($C96="","",IFERROR(INDEX(Mapa_RelIni,MATCH($A96&amp;"#"&amp;Data_Mapa&amp;"#4",Mapa_Chave,0)),Turno_Min))</f>
        <v/>
      </c>
      <c r="E96">
        <f>IF($C96="","",MAX(0,$D96-$C96))</f>
        <v/>
      </c>
      <c r="F96">
        <f>IF($E96="","",MAX(0,$E96-Limpeza_Min))</f>
        <v/>
      </c>
      <c r="G96">
        <f>IF($C96="","",IF($D96&gt;=Turno_Min,N($G95),MAX(0,N($G95)+$C96-$D96)))</f>
        <v/>
      </c>
    </row>
    <row r="97">
      <c r="A97">
        <f>IF(OR('Calc'!$A9="",'Calc'!$B9&lt;&gt;"Sala cirúrgica"),"",'Calc'!$A9)</f>
        <v/>
      </c>
      <c r="B97" t="n">
        <v>4</v>
      </c>
      <c r="C97">
        <f>IF(OR($A97="",ISERROR(MATCH($A97&amp;"#"&amp;Data_Mapa&amp;"#4",Mapa_Chave,0))),"",INDEX(Mapa_RelFim,MATCH($A97&amp;"#"&amp;Data_Mapa&amp;"#4",Mapa_Chave,0))+Limpeza_Min)</f>
        <v/>
      </c>
      <c r="D97">
        <f>IF($C97="","",IFERROR(INDEX(Mapa_RelIni,MATCH($A97&amp;"#"&amp;Data_Mapa&amp;"#5",Mapa_Chave,0)),Turno_Min))</f>
        <v/>
      </c>
      <c r="E97">
        <f>IF($C97="","",MAX(0,$D97-$C97))</f>
        <v/>
      </c>
      <c r="F97">
        <f>IF($E97="","",MAX(0,$E97-Limpeza_Min))</f>
        <v/>
      </c>
      <c r="G97">
        <f>IF($C97="","",IF($D97&gt;=Turno_Min,N($G96),MAX(0,N($G96)+$C97-$D97)))</f>
        <v/>
      </c>
    </row>
    <row r="98">
      <c r="A98">
        <f>IF(OR('Calc'!$A9="",'Calc'!$B9&lt;&gt;"Sala cirúrgica"),"",'Calc'!$A9)</f>
        <v/>
      </c>
      <c r="B98" t="n">
        <v>5</v>
      </c>
      <c r="C98">
        <f>IF(OR($A98="",ISERROR(MATCH($A98&amp;"#"&amp;Data_Mapa&amp;"#5",Mapa_Chave,0))),"",INDEX(Mapa_RelFim,MATCH($A98&amp;"#"&amp;Data_Mapa&amp;"#5",Mapa_Chave,0))+Limpeza_Min)</f>
        <v/>
      </c>
      <c r="D98">
        <f>IF($C98="","",IFERROR(INDEX(Mapa_RelIni,MATCH($A98&amp;"#"&amp;Data_Mapa&amp;"#6",Mapa_Chave,0)),Turno_Min))</f>
        <v/>
      </c>
      <c r="E98">
        <f>IF($C98="","",MAX(0,$D98-$C98))</f>
        <v/>
      </c>
      <c r="F98">
        <f>IF($E98="","",MAX(0,$E98-Limpeza_Min))</f>
        <v/>
      </c>
      <c r="G98">
        <f>IF($C98="","",IF($D98&gt;=Turno_Min,N($G97),MAX(0,N($G97)+$C98-$D98)))</f>
        <v/>
      </c>
    </row>
    <row r="99">
      <c r="A99">
        <f>IF(OR('Calc'!$A9="",'Calc'!$B9&lt;&gt;"Sala cirúrgica"),"",'Calc'!$A9)</f>
        <v/>
      </c>
      <c r="B99" t="n">
        <v>6</v>
      </c>
      <c r="C99">
        <f>IF(OR($A99="",ISERROR(MATCH($A99&amp;"#"&amp;Data_Mapa&amp;"#6",Mapa_Chave,0))),"",INDEX(Mapa_RelFim,MATCH($A99&amp;"#"&amp;Data_Mapa&amp;"#6",Mapa_Chave,0))+Limpeza_Min)</f>
        <v/>
      </c>
      <c r="D99">
        <f>IF($C99="","",IFERROR(INDEX(Mapa_RelIni,MATCH($A99&amp;"#"&amp;Data_Mapa&amp;"#7",Mapa_Chave,0)),Turno_Min))</f>
        <v/>
      </c>
      <c r="E99">
        <f>IF($C99="","",MAX(0,$D99-$C99))</f>
        <v/>
      </c>
      <c r="F99">
        <f>IF($E99="","",MAX(0,$E99-Limpeza_Min))</f>
        <v/>
      </c>
      <c r="G99">
        <f>IF($C99="","",IF($D99&gt;=Turno_Min,N($G98),MAX(0,N($G98)+$C99-$D99)))</f>
        <v/>
      </c>
    </row>
    <row r="100">
      <c r="A100">
        <f>IF(OR('Calc'!$A9="",'Calc'!$B9&lt;&gt;"Sala cirúrgica"),"",'Calc'!$A9)</f>
        <v/>
      </c>
      <c r="B100" t="n">
        <v>7</v>
      </c>
      <c r="C100">
        <f>IF(OR($A100="",ISERROR(MATCH($A100&amp;"#"&amp;Data_Mapa&amp;"#7",Mapa_Chave,0))),"",INDEX(Mapa_RelFim,MATCH($A100&amp;"#"&amp;Data_Mapa&amp;"#7",Mapa_Chave,0))+Limpeza_Min)</f>
        <v/>
      </c>
      <c r="D100">
        <f>IF($C100="","",IFERROR(INDEX(Mapa_RelIni,MATCH($A100&amp;"#"&amp;Data_Mapa&amp;"#8",Mapa_Chave,0)),Turno_Min))</f>
        <v/>
      </c>
      <c r="E100">
        <f>IF($C100="","",MAX(0,$D100-$C100))</f>
        <v/>
      </c>
      <c r="F100">
        <f>IF($E100="","",MAX(0,$E100-Limpeza_Min))</f>
        <v/>
      </c>
      <c r="G100">
        <f>IF($C100="","",IF($D100&gt;=Turno_Min,N($G99),MAX(0,N($G99)+$C100-$D100)))</f>
        <v/>
      </c>
    </row>
    <row r="101">
      <c r="A101">
        <f>IF(OR('Calc'!$A9="",'Calc'!$B9&lt;&gt;"Sala cirúrgica"),"",'Calc'!$A9)</f>
        <v/>
      </c>
      <c r="B101" t="n">
        <v>8</v>
      </c>
      <c r="C101">
        <f>IF(OR($A101="",ISERROR(MATCH($A101&amp;"#"&amp;Data_Mapa&amp;"#8",Mapa_Chave,0))),"",INDEX(Mapa_RelFim,MATCH($A101&amp;"#"&amp;Data_Mapa&amp;"#8",Mapa_Chave,0))+Limpeza_Min)</f>
        <v/>
      </c>
      <c r="D101">
        <f>IF($C101="","",IFERROR(INDEX(Mapa_RelIni,MATCH($A101&amp;"#"&amp;Data_Mapa&amp;"#9",Mapa_Chave,0)),Turno_Min))</f>
        <v/>
      </c>
      <c r="E101">
        <f>IF($C101="","",MAX(0,$D101-$C101))</f>
        <v/>
      </c>
      <c r="F101">
        <f>IF($E101="","",MAX(0,$E101-Limpeza_Min))</f>
        <v/>
      </c>
      <c r="G101">
        <f>IF($C101="","",IF($D101&gt;=Turno_Min,N($G100),MAX(0,N($G100)+$C101-$D101)))</f>
        <v/>
      </c>
    </row>
    <row r="102">
      <c r="A102">
        <f>IF(OR('Calc'!$A9="",'Calc'!$B9&lt;&gt;"Sala cirúrgica"),"",'Calc'!$A9)</f>
        <v/>
      </c>
      <c r="B102" t="n">
        <v>9</v>
      </c>
      <c r="C102">
        <f>IF(OR($A102="",ISERROR(MATCH($A102&amp;"#"&amp;Data_Mapa&amp;"#9",Mapa_Chave,0))),"",INDEX(Mapa_RelFim,MATCH($A102&amp;"#"&amp;Data_Mapa&amp;"#9",Mapa_Chave,0))+Limpeza_Min)</f>
        <v/>
      </c>
      <c r="D102">
        <f>IF($C102="","",IFERROR(INDEX(Mapa_RelIni,MATCH($A102&amp;"#"&amp;Data_Mapa&amp;"#10",Mapa_Chave,0)),Turno_Min))</f>
        <v/>
      </c>
      <c r="E102">
        <f>IF($C102="","",MAX(0,$D102-$C102))</f>
        <v/>
      </c>
      <c r="F102">
        <f>IF($E102="","",MAX(0,$E102-Limpeza_Min))</f>
        <v/>
      </c>
      <c r="G102">
        <f>IF($C102="","",IF($D102&gt;=Turno_Min,N($G101),MAX(0,N($G101)+$C102-$D102)))</f>
        <v/>
      </c>
    </row>
    <row r="103">
      <c r="A103">
        <f>IF(OR('Calc'!$A9="",'Calc'!$B9&lt;&gt;"Sala cirúrgica"),"",'Calc'!$A9)</f>
        <v/>
      </c>
      <c r="B103" t="n">
        <v>10</v>
      </c>
      <c r="C103">
        <f>IF(OR($A103="",ISERROR(MATCH($A103&amp;"#"&amp;Data_Mapa&amp;"#10",Mapa_Chave,0))),"",INDEX(Mapa_RelFim,MATCH($A103&amp;"#"&amp;Data_Mapa&amp;"#10",Mapa_Chave,0))+Limpeza_Min)</f>
        <v/>
      </c>
      <c r="D103">
        <f>IF($C103="","",IFERROR(INDEX(Mapa_RelIni,MATCH($A103&amp;"#"&amp;Data_Mapa&amp;"#11",Mapa_Chave,0)),Turno_Min))</f>
        <v/>
      </c>
      <c r="E103">
        <f>IF($C103="","",MAX(0,$D103-$C103))</f>
        <v/>
      </c>
      <c r="F103">
        <f>IF($E103="","",MAX(0,$E103-Limpeza_Min))</f>
        <v/>
      </c>
      <c r="G103">
        <f>IF($C103="","",IF($D103&gt;=Turno_Min,N($G102),MAX(0,N($G102)+$C103-$D103)))</f>
        <v/>
      </c>
    </row>
    <row r="104">
      <c r="A104">
        <f>IF(OR('Calc'!$A9="",'Calc'!$B9&lt;&gt;"Sala cirúrgica"),"",'Calc'!$A9)</f>
        <v/>
      </c>
      <c r="B104" t="n">
        <v>11</v>
      </c>
      <c r="C104">
        <f>IF(OR($A104="",ISERROR(MATCH($A104&amp;"#"&amp;Data_Mapa&amp;"#11",Mapa_Chave,0))),"",INDEX(Mapa_RelFim,MATCH($A104&amp;"#"&amp;Data_Mapa&amp;"#11",Mapa_Chave,0))+Limpeza_Min)</f>
        <v/>
      </c>
      <c r="D104">
        <f>IF($C104="","",IFERROR(INDEX(Mapa_RelIni,MATCH($A104&amp;"#"&amp;Data_Mapa&amp;"#12",Mapa_Chave,0)),Turno_Min))</f>
        <v/>
      </c>
      <c r="E104">
        <f>IF($C104="","",MAX(0,$D104-$C104))</f>
        <v/>
      </c>
      <c r="F104">
        <f>IF($E104="","",MAX(0,$E104-Limpeza_Min))</f>
        <v/>
      </c>
      <c r="G104">
        <f>IF($C104="","",IF($D104&gt;=Turno_Min,N($G103),MAX(0,N($G103)+$C104-$D104)))</f>
        <v/>
      </c>
    </row>
    <row r="105">
      <c r="A105">
        <f>IF(OR('Calc'!$A9="",'Calc'!$B9&lt;&gt;"Sala cirúrgica"),"",'Calc'!$A9)</f>
        <v/>
      </c>
      <c r="B105" t="n">
        <v>12</v>
      </c>
      <c r="C105">
        <f>IF(OR($A105="",ISERROR(MATCH($A105&amp;"#"&amp;Data_Mapa&amp;"#12",Mapa_Chave,0))),"",INDEX(Mapa_RelFim,MATCH($A105&amp;"#"&amp;Data_Mapa&amp;"#12",Mapa_Chave,0))+Limpeza_Min)</f>
        <v/>
      </c>
      <c r="D105">
        <f>IF($C105="","",IFERROR(INDEX(Mapa_RelIni,MATCH($A105&amp;"#"&amp;Data_Mapa&amp;"#13",Mapa_Chave,0)),Turno_Min))</f>
        <v/>
      </c>
      <c r="E105">
        <f>IF($C105="","",MAX(0,$D105-$C105))</f>
        <v/>
      </c>
      <c r="F105">
        <f>IF($E105="","",MAX(0,$E105-Limpeza_Min))</f>
        <v/>
      </c>
      <c r="G105">
        <f>IF($C105="","",IF($D105&gt;=Turno_Min,N($G104),MAX(0,N($G104)+$C105-$D105)))</f>
        <v/>
      </c>
    </row>
    <row r="106">
      <c r="A106">
        <f>IF(OR('Calc'!$A10="",'Calc'!$B10&lt;&gt;"Sala cirúrgica"),"",'Calc'!$A10)</f>
        <v/>
      </c>
      <c r="B106" t="n">
        <v>0</v>
      </c>
      <c r="C106">
        <f>IF($A106="","",0)</f>
        <v/>
      </c>
      <c r="D106">
        <f>IF($C106="","",IFERROR(INDEX(Mapa_RelIni,MATCH($A106&amp;"#"&amp;Data_Mapa&amp;"#1",Mapa_Chave,0)),Turno_Min))</f>
        <v/>
      </c>
      <c r="E106">
        <f>IF($C106="","",MAX(0,$D106-$C106))</f>
        <v/>
      </c>
      <c r="F106">
        <f>IF($E106="","",MAX(0,$E106-Limpeza_Min))</f>
        <v/>
      </c>
      <c r="G106">
        <f>IF($C106="","",0)</f>
        <v/>
      </c>
    </row>
    <row r="107">
      <c r="A107">
        <f>IF(OR('Calc'!$A10="",'Calc'!$B10&lt;&gt;"Sala cirúrgica"),"",'Calc'!$A10)</f>
        <v/>
      </c>
      <c r="B107" t="n">
        <v>1</v>
      </c>
      <c r="C107">
        <f>IF(OR($A107="",ISERROR(MATCH($A107&amp;"#"&amp;Data_Mapa&amp;"#1",Mapa_Chave,0))),"",INDEX(Mapa_RelFim,MATCH($A107&amp;"#"&amp;Data_Mapa&amp;"#1",Mapa_Chave,0))+Limpeza_Min)</f>
        <v/>
      </c>
      <c r="D107">
        <f>IF($C107="","",IFERROR(INDEX(Mapa_RelIni,MATCH($A107&amp;"#"&amp;Data_Mapa&amp;"#2",Mapa_Chave,0)),Turno_Min))</f>
        <v/>
      </c>
      <c r="E107">
        <f>IF($C107="","",MAX(0,$D107-$C107))</f>
        <v/>
      </c>
      <c r="F107">
        <f>IF($E107="","",MAX(0,$E107-Limpeza_Min))</f>
        <v/>
      </c>
      <c r="G107">
        <f>IF($C107="","",IF($D107&gt;=Turno_Min,N($G106),MAX(0,N($G106)+$C107-$D107)))</f>
        <v/>
      </c>
    </row>
    <row r="108">
      <c r="A108">
        <f>IF(OR('Calc'!$A10="",'Calc'!$B10&lt;&gt;"Sala cirúrgica"),"",'Calc'!$A10)</f>
        <v/>
      </c>
      <c r="B108" t="n">
        <v>2</v>
      </c>
      <c r="C108">
        <f>IF(OR($A108="",ISERROR(MATCH($A108&amp;"#"&amp;Data_Mapa&amp;"#2",Mapa_Chave,0))),"",INDEX(Mapa_RelFim,MATCH($A108&amp;"#"&amp;Data_Mapa&amp;"#2",Mapa_Chave,0))+Limpeza_Min)</f>
        <v/>
      </c>
      <c r="D108">
        <f>IF($C108="","",IFERROR(INDEX(Mapa_RelIni,MATCH($A108&amp;"#"&amp;Data_Mapa&amp;"#3",Mapa_Chave,0)),Turno_Min))</f>
        <v/>
      </c>
      <c r="E108">
        <f>IF($C108="","",MAX(0,$D108-$C108))</f>
        <v/>
      </c>
      <c r="F108">
        <f>IF($E108="","",MAX(0,$E108-Limpeza_Min))</f>
        <v/>
      </c>
      <c r="G108">
        <f>IF($C108="","",IF($D108&gt;=Turno_Min,N($G107),MAX(0,N($G107)+$C108-$D108)))</f>
        <v/>
      </c>
    </row>
    <row r="109">
      <c r="A109">
        <f>IF(OR('Calc'!$A10="",'Calc'!$B10&lt;&gt;"Sala cirúrgica"),"",'Calc'!$A10)</f>
        <v/>
      </c>
      <c r="B109" t="n">
        <v>3</v>
      </c>
      <c r="C109">
        <f>IF(OR($A109="",ISERROR(MATCH($A109&amp;"#"&amp;Data_Mapa&amp;"#3",Mapa_Chave,0))),"",INDEX(Mapa_RelFim,MATCH($A109&amp;"#"&amp;Data_Mapa&amp;"#3",Mapa_Chave,0))+Limpeza_Min)</f>
        <v/>
      </c>
      <c r="D109">
        <f>IF($C109="","",IFERROR(INDEX(Mapa_RelIni,MATCH($A109&amp;"#"&amp;Data_Mapa&amp;"#4",Mapa_Chave,0)),Turno_Min))</f>
        <v/>
      </c>
      <c r="E109">
        <f>IF($C109="","",MAX(0,$D109-$C109))</f>
        <v/>
      </c>
      <c r="F109">
        <f>IF($E109="","",MAX(0,$E109-Limpeza_Min))</f>
        <v/>
      </c>
      <c r="G109">
        <f>IF($C109="","",IF($D109&gt;=Turno_Min,N($G108),MAX(0,N($G108)+$C109-$D109)))</f>
        <v/>
      </c>
    </row>
    <row r="110">
      <c r="A110">
        <f>IF(OR('Calc'!$A10="",'Calc'!$B10&lt;&gt;"Sala cirúrgica"),"",'Calc'!$A10)</f>
        <v/>
      </c>
      <c r="B110" t="n">
        <v>4</v>
      </c>
      <c r="C110">
        <f>IF(OR($A110="",ISERROR(MATCH($A110&amp;"#"&amp;Data_Mapa&amp;"#4",Mapa_Chave,0))),"",INDEX(Mapa_RelFim,MATCH($A110&amp;"#"&amp;Data_Mapa&amp;"#4",Mapa_Chave,0))+Limpeza_Min)</f>
        <v/>
      </c>
      <c r="D110">
        <f>IF($C110="","",IFERROR(INDEX(Mapa_RelIni,MATCH($A110&amp;"#"&amp;Data_Mapa&amp;"#5",Mapa_Chave,0)),Turno_Min))</f>
        <v/>
      </c>
      <c r="E110">
        <f>IF($C110="","",MAX(0,$D110-$C110))</f>
        <v/>
      </c>
      <c r="F110">
        <f>IF($E110="","",MAX(0,$E110-Limpeza_Min))</f>
        <v/>
      </c>
      <c r="G110">
        <f>IF($C110="","",IF($D110&gt;=Turno_Min,N($G109),MAX(0,N($G109)+$C110-$D110)))</f>
        <v/>
      </c>
    </row>
    <row r="111">
      <c r="A111">
        <f>IF(OR('Calc'!$A10="",'Calc'!$B10&lt;&gt;"Sala cirúrgica"),"",'Calc'!$A10)</f>
        <v/>
      </c>
      <c r="B111" t="n">
        <v>5</v>
      </c>
      <c r="C111">
        <f>IF(OR($A111="",ISERROR(MATCH($A111&amp;"#"&amp;Data_Mapa&amp;"#5",Mapa_Chave,0))),"",INDEX(Mapa_RelFim,MATCH($A111&amp;"#"&amp;Data_Mapa&amp;"#5",Mapa_Chave,0))+Limpeza_Min)</f>
        <v/>
      </c>
      <c r="D111">
        <f>IF($C111="","",IFERROR(INDEX(Mapa_RelIni,MATCH($A111&amp;"#"&amp;Data_Mapa&amp;"#6",Mapa_Chave,0)),Turno_Min))</f>
        <v/>
      </c>
      <c r="E111">
        <f>IF($C111="","",MAX(0,$D111-$C111))</f>
        <v/>
      </c>
      <c r="F111">
        <f>IF($E111="","",MAX(0,$E111-Limpeza_Min))</f>
        <v/>
      </c>
      <c r="G111">
        <f>IF($C111="","",IF($D111&gt;=Turno_Min,N($G110),MAX(0,N($G110)+$C111-$D111)))</f>
        <v/>
      </c>
    </row>
    <row r="112">
      <c r="A112">
        <f>IF(OR('Calc'!$A10="",'Calc'!$B10&lt;&gt;"Sala cirúrgica"),"",'Calc'!$A10)</f>
        <v/>
      </c>
      <c r="B112" t="n">
        <v>6</v>
      </c>
      <c r="C112">
        <f>IF(OR($A112="",ISERROR(MATCH($A112&amp;"#"&amp;Data_Mapa&amp;"#6",Mapa_Chave,0))),"",INDEX(Mapa_RelFim,MATCH($A112&amp;"#"&amp;Data_Mapa&amp;"#6",Mapa_Chave,0))+Limpeza_Min)</f>
        <v/>
      </c>
      <c r="D112">
        <f>IF($C112="","",IFERROR(INDEX(Mapa_RelIni,MATCH($A112&amp;"#"&amp;Data_Mapa&amp;"#7",Mapa_Chave,0)),Turno_Min))</f>
        <v/>
      </c>
      <c r="E112">
        <f>IF($C112="","",MAX(0,$D112-$C112))</f>
        <v/>
      </c>
      <c r="F112">
        <f>IF($E112="","",MAX(0,$E112-Limpeza_Min))</f>
        <v/>
      </c>
      <c r="G112">
        <f>IF($C112="","",IF($D112&gt;=Turno_Min,N($G111),MAX(0,N($G111)+$C112-$D112)))</f>
        <v/>
      </c>
    </row>
    <row r="113">
      <c r="A113">
        <f>IF(OR('Calc'!$A10="",'Calc'!$B10&lt;&gt;"Sala cirúrgica"),"",'Calc'!$A10)</f>
        <v/>
      </c>
      <c r="B113" t="n">
        <v>7</v>
      </c>
      <c r="C113">
        <f>IF(OR($A113="",ISERROR(MATCH($A113&amp;"#"&amp;Data_Mapa&amp;"#7",Mapa_Chave,0))),"",INDEX(Mapa_RelFim,MATCH($A113&amp;"#"&amp;Data_Mapa&amp;"#7",Mapa_Chave,0))+Limpeza_Min)</f>
        <v/>
      </c>
      <c r="D113">
        <f>IF($C113="","",IFERROR(INDEX(Mapa_RelIni,MATCH($A113&amp;"#"&amp;Data_Mapa&amp;"#8",Mapa_Chave,0)),Turno_Min))</f>
        <v/>
      </c>
      <c r="E113">
        <f>IF($C113="","",MAX(0,$D113-$C113))</f>
        <v/>
      </c>
      <c r="F113">
        <f>IF($E113="","",MAX(0,$E113-Limpeza_Min))</f>
        <v/>
      </c>
      <c r="G113">
        <f>IF($C113="","",IF($D113&gt;=Turno_Min,N($G112),MAX(0,N($G112)+$C113-$D113)))</f>
        <v/>
      </c>
    </row>
    <row r="114">
      <c r="A114">
        <f>IF(OR('Calc'!$A10="",'Calc'!$B10&lt;&gt;"Sala cirúrgica"),"",'Calc'!$A10)</f>
        <v/>
      </c>
      <c r="B114" t="n">
        <v>8</v>
      </c>
      <c r="C114">
        <f>IF(OR($A114="",ISERROR(MATCH($A114&amp;"#"&amp;Data_Mapa&amp;"#8",Mapa_Chave,0))),"",INDEX(Mapa_RelFim,MATCH($A114&amp;"#"&amp;Data_Mapa&amp;"#8",Mapa_Chave,0))+Limpeza_Min)</f>
        <v/>
      </c>
      <c r="D114">
        <f>IF($C114="","",IFERROR(INDEX(Mapa_RelIni,MATCH($A114&amp;"#"&amp;Data_Mapa&amp;"#9",Mapa_Chave,0)),Turno_Min))</f>
        <v/>
      </c>
      <c r="E114">
        <f>IF($C114="","",MAX(0,$D114-$C114))</f>
        <v/>
      </c>
      <c r="F114">
        <f>IF($E114="","",MAX(0,$E114-Limpeza_Min))</f>
        <v/>
      </c>
      <c r="G114">
        <f>IF($C114="","",IF($D114&gt;=Turno_Min,N($G113),MAX(0,N($G113)+$C114-$D114)))</f>
        <v/>
      </c>
    </row>
    <row r="115">
      <c r="A115">
        <f>IF(OR('Calc'!$A10="",'Calc'!$B10&lt;&gt;"Sala cirúrgica"),"",'Calc'!$A10)</f>
        <v/>
      </c>
      <c r="B115" t="n">
        <v>9</v>
      </c>
      <c r="C115">
        <f>IF(OR($A115="",ISERROR(MATCH($A115&amp;"#"&amp;Data_Mapa&amp;"#9",Mapa_Chave,0))),"",INDEX(Mapa_RelFim,MATCH($A115&amp;"#"&amp;Data_Mapa&amp;"#9",Mapa_Chave,0))+Limpeza_Min)</f>
        <v/>
      </c>
      <c r="D115">
        <f>IF($C115="","",IFERROR(INDEX(Mapa_RelIni,MATCH($A115&amp;"#"&amp;Data_Mapa&amp;"#10",Mapa_Chave,0)),Turno_Min))</f>
        <v/>
      </c>
      <c r="E115">
        <f>IF($C115="","",MAX(0,$D115-$C115))</f>
        <v/>
      </c>
      <c r="F115">
        <f>IF($E115="","",MAX(0,$E115-Limpeza_Min))</f>
        <v/>
      </c>
      <c r="G115">
        <f>IF($C115="","",IF($D115&gt;=Turno_Min,N($G114),MAX(0,N($G114)+$C115-$D115)))</f>
        <v/>
      </c>
    </row>
    <row r="116">
      <c r="A116">
        <f>IF(OR('Calc'!$A10="",'Calc'!$B10&lt;&gt;"Sala cirúrgica"),"",'Calc'!$A10)</f>
        <v/>
      </c>
      <c r="B116" t="n">
        <v>10</v>
      </c>
      <c r="C116">
        <f>IF(OR($A116="",ISERROR(MATCH($A116&amp;"#"&amp;Data_Mapa&amp;"#10",Mapa_Chave,0))),"",INDEX(Mapa_RelFim,MATCH($A116&amp;"#"&amp;Data_Mapa&amp;"#10",Mapa_Chave,0))+Limpeza_Min)</f>
        <v/>
      </c>
      <c r="D116">
        <f>IF($C116="","",IFERROR(INDEX(Mapa_RelIni,MATCH($A116&amp;"#"&amp;Data_Mapa&amp;"#11",Mapa_Chave,0)),Turno_Min))</f>
        <v/>
      </c>
      <c r="E116">
        <f>IF($C116="","",MAX(0,$D116-$C116))</f>
        <v/>
      </c>
      <c r="F116">
        <f>IF($E116="","",MAX(0,$E116-Limpeza_Min))</f>
        <v/>
      </c>
      <c r="G116">
        <f>IF($C116="","",IF($D116&gt;=Turno_Min,N($G115),MAX(0,N($G115)+$C116-$D116)))</f>
        <v/>
      </c>
    </row>
    <row r="117">
      <c r="A117">
        <f>IF(OR('Calc'!$A10="",'Calc'!$B10&lt;&gt;"Sala cirúrgica"),"",'Calc'!$A10)</f>
        <v/>
      </c>
      <c r="B117" t="n">
        <v>11</v>
      </c>
      <c r="C117">
        <f>IF(OR($A117="",ISERROR(MATCH($A117&amp;"#"&amp;Data_Mapa&amp;"#11",Mapa_Chave,0))),"",INDEX(Mapa_RelFim,MATCH($A117&amp;"#"&amp;Data_Mapa&amp;"#11",Mapa_Chave,0))+Limpeza_Min)</f>
        <v/>
      </c>
      <c r="D117">
        <f>IF($C117="","",IFERROR(INDEX(Mapa_RelIni,MATCH($A117&amp;"#"&amp;Data_Mapa&amp;"#12",Mapa_Chave,0)),Turno_Min))</f>
        <v/>
      </c>
      <c r="E117">
        <f>IF($C117="","",MAX(0,$D117-$C117))</f>
        <v/>
      </c>
      <c r="F117">
        <f>IF($E117="","",MAX(0,$E117-Limpeza_Min))</f>
        <v/>
      </c>
      <c r="G117">
        <f>IF($C117="","",IF($D117&gt;=Turno_Min,N($G116),MAX(0,N($G116)+$C117-$D117)))</f>
        <v/>
      </c>
    </row>
    <row r="118">
      <c r="A118">
        <f>IF(OR('Calc'!$A10="",'Calc'!$B10&lt;&gt;"Sala cirúrgica"),"",'Calc'!$A10)</f>
        <v/>
      </c>
      <c r="B118" t="n">
        <v>12</v>
      </c>
      <c r="C118">
        <f>IF(OR($A118="",ISERROR(MATCH($A118&amp;"#"&amp;Data_Mapa&amp;"#12",Mapa_Chave,0))),"",INDEX(Mapa_RelFim,MATCH($A118&amp;"#"&amp;Data_Mapa&amp;"#12",Mapa_Chave,0))+Limpeza_Min)</f>
        <v/>
      </c>
      <c r="D118">
        <f>IF($C118="","",IFERROR(INDEX(Mapa_RelIni,MATCH($A118&amp;"#"&amp;Data_Mapa&amp;"#13",Mapa_Chave,0)),Turno_Min))</f>
        <v/>
      </c>
      <c r="E118">
        <f>IF($C118="","",MAX(0,$D118-$C118))</f>
        <v/>
      </c>
      <c r="F118">
        <f>IF($E118="","",MAX(0,$E118-Limpeza_Min))</f>
        <v/>
      </c>
      <c r="G118">
        <f>IF($C118="","",IF($D118&gt;=Turno_Min,N($G117),MAX(0,N($G117)+$C118-$D118)))</f>
        <v/>
      </c>
    </row>
    <row r="119">
      <c r="A119">
        <f>IF(OR('Calc'!$A11="",'Calc'!$B11&lt;&gt;"Sala cirúrgica"),"",'Calc'!$A11)</f>
        <v/>
      </c>
      <c r="B119" t="n">
        <v>0</v>
      </c>
      <c r="C119">
        <f>IF($A119="","",0)</f>
        <v/>
      </c>
      <c r="D119">
        <f>IF($C119="","",IFERROR(INDEX(Mapa_RelIni,MATCH($A119&amp;"#"&amp;Data_Mapa&amp;"#1",Mapa_Chave,0)),Turno_Min))</f>
        <v/>
      </c>
      <c r="E119">
        <f>IF($C119="","",MAX(0,$D119-$C119))</f>
        <v/>
      </c>
      <c r="F119">
        <f>IF($E119="","",MAX(0,$E119-Limpeza_Min))</f>
        <v/>
      </c>
      <c r="G119">
        <f>IF($C119="","",0)</f>
        <v/>
      </c>
    </row>
    <row r="120">
      <c r="A120">
        <f>IF(OR('Calc'!$A11="",'Calc'!$B11&lt;&gt;"Sala cirúrgica"),"",'Calc'!$A11)</f>
        <v/>
      </c>
      <c r="B120" t="n">
        <v>1</v>
      </c>
      <c r="C120">
        <f>IF(OR($A120="",ISERROR(MATCH($A120&amp;"#"&amp;Data_Mapa&amp;"#1",Mapa_Chave,0))),"",INDEX(Mapa_RelFim,MATCH($A120&amp;"#"&amp;Data_Mapa&amp;"#1",Mapa_Chave,0))+Limpeza_Min)</f>
        <v/>
      </c>
      <c r="D120">
        <f>IF($C120="","",IFERROR(INDEX(Mapa_RelIni,MATCH($A120&amp;"#"&amp;Data_Mapa&amp;"#2",Mapa_Chave,0)),Turno_Min))</f>
        <v/>
      </c>
      <c r="E120">
        <f>IF($C120="","",MAX(0,$D120-$C120))</f>
        <v/>
      </c>
      <c r="F120">
        <f>IF($E120="","",MAX(0,$E120-Limpeza_Min))</f>
        <v/>
      </c>
      <c r="G120">
        <f>IF($C120="","",IF($D120&gt;=Turno_Min,N($G119),MAX(0,N($G119)+$C120-$D120)))</f>
        <v/>
      </c>
    </row>
    <row r="121">
      <c r="A121">
        <f>IF(OR('Calc'!$A11="",'Calc'!$B11&lt;&gt;"Sala cirúrgica"),"",'Calc'!$A11)</f>
        <v/>
      </c>
      <c r="B121" t="n">
        <v>2</v>
      </c>
      <c r="C121">
        <f>IF(OR($A121="",ISERROR(MATCH($A121&amp;"#"&amp;Data_Mapa&amp;"#2",Mapa_Chave,0))),"",INDEX(Mapa_RelFim,MATCH($A121&amp;"#"&amp;Data_Mapa&amp;"#2",Mapa_Chave,0))+Limpeza_Min)</f>
        <v/>
      </c>
      <c r="D121">
        <f>IF($C121="","",IFERROR(INDEX(Mapa_RelIni,MATCH($A121&amp;"#"&amp;Data_Mapa&amp;"#3",Mapa_Chave,0)),Turno_Min))</f>
        <v/>
      </c>
      <c r="E121">
        <f>IF($C121="","",MAX(0,$D121-$C121))</f>
        <v/>
      </c>
      <c r="F121">
        <f>IF($E121="","",MAX(0,$E121-Limpeza_Min))</f>
        <v/>
      </c>
      <c r="G121">
        <f>IF($C121="","",IF($D121&gt;=Turno_Min,N($G120),MAX(0,N($G120)+$C121-$D121)))</f>
        <v/>
      </c>
    </row>
    <row r="122">
      <c r="A122">
        <f>IF(OR('Calc'!$A11="",'Calc'!$B11&lt;&gt;"Sala cirúrgica"),"",'Calc'!$A11)</f>
        <v/>
      </c>
      <c r="B122" t="n">
        <v>3</v>
      </c>
      <c r="C122">
        <f>IF(OR($A122="",ISERROR(MATCH($A122&amp;"#"&amp;Data_Mapa&amp;"#3",Mapa_Chave,0))),"",INDEX(Mapa_RelFim,MATCH($A122&amp;"#"&amp;Data_Mapa&amp;"#3",Mapa_Chave,0))+Limpeza_Min)</f>
        <v/>
      </c>
      <c r="D122">
        <f>IF($C122="","",IFERROR(INDEX(Mapa_RelIni,MATCH($A122&amp;"#"&amp;Data_Mapa&amp;"#4",Mapa_Chave,0)),Turno_Min))</f>
        <v/>
      </c>
      <c r="E122">
        <f>IF($C122="","",MAX(0,$D122-$C122))</f>
        <v/>
      </c>
      <c r="F122">
        <f>IF($E122="","",MAX(0,$E122-Limpeza_Min))</f>
        <v/>
      </c>
      <c r="G122">
        <f>IF($C122="","",IF($D122&gt;=Turno_Min,N($G121),MAX(0,N($G121)+$C122-$D122)))</f>
        <v/>
      </c>
    </row>
    <row r="123">
      <c r="A123">
        <f>IF(OR('Calc'!$A11="",'Calc'!$B11&lt;&gt;"Sala cirúrgica"),"",'Calc'!$A11)</f>
        <v/>
      </c>
      <c r="B123" t="n">
        <v>4</v>
      </c>
      <c r="C123">
        <f>IF(OR($A123="",ISERROR(MATCH($A123&amp;"#"&amp;Data_Mapa&amp;"#4",Mapa_Chave,0))),"",INDEX(Mapa_RelFim,MATCH($A123&amp;"#"&amp;Data_Mapa&amp;"#4",Mapa_Chave,0))+Limpeza_Min)</f>
        <v/>
      </c>
      <c r="D123">
        <f>IF($C123="","",IFERROR(INDEX(Mapa_RelIni,MATCH($A123&amp;"#"&amp;Data_Mapa&amp;"#5",Mapa_Chave,0)),Turno_Min))</f>
        <v/>
      </c>
      <c r="E123">
        <f>IF($C123="","",MAX(0,$D123-$C123))</f>
        <v/>
      </c>
      <c r="F123">
        <f>IF($E123="","",MAX(0,$E123-Limpeza_Min))</f>
        <v/>
      </c>
      <c r="G123">
        <f>IF($C123="","",IF($D123&gt;=Turno_Min,N($G122),MAX(0,N($G122)+$C123-$D123)))</f>
        <v/>
      </c>
    </row>
    <row r="124">
      <c r="A124">
        <f>IF(OR('Calc'!$A11="",'Calc'!$B11&lt;&gt;"Sala cirúrgica"),"",'Calc'!$A11)</f>
        <v/>
      </c>
      <c r="B124" t="n">
        <v>5</v>
      </c>
      <c r="C124">
        <f>IF(OR($A124="",ISERROR(MATCH($A124&amp;"#"&amp;Data_Mapa&amp;"#5",Mapa_Chave,0))),"",INDEX(Mapa_RelFim,MATCH($A124&amp;"#"&amp;Data_Mapa&amp;"#5",Mapa_Chave,0))+Limpeza_Min)</f>
        <v/>
      </c>
      <c r="D124">
        <f>IF($C124="","",IFERROR(INDEX(Mapa_RelIni,MATCH($A124&amp;"#"&amp;Data_Mapa&amp;"#6",Mapa_Chave,0)),Turno_Min))</f>
        <v/>
      </c>
      <c r="E124">
        <f>IF($C124="","",MAX(0,$D124-$C124))</f>
        <v/>
      </c>
      <c r="F124">
        <f>IF($E124="","",MAX(0,$E124-Limpeza_Min))</f>
        <v/>
      </c>
      <c r="G124">
        <f>IF($C124="","",IF($D124&gt;=Turno_Min,N($G123),MAX(0,N($G123)+$C124-$D124)))</f>
        <v/>
      </c>
    </row>
    <row r="125">
      <c r="A125">
        <f>IF(OR('Calc'!$A11="",'Calc'!$B11&lt;&gt;"Sala cirúrgica"),"",'Calc'!$A11)</f>
        <v/>
      </c>
      <c r="B125" t="n">
        <v>6</v>
      </c>
      <c r="C125">
        <f>IF(OR($A125="",ISERROR(MATCH($A125&amp;"#"&amp;Data_Mapa&amp;"#6",Mapa_Chave,0))),"",INDEX(Mapa_RelFim,MATCH($A125&amp;"#"&amp;Data_Mapa&amp;"#6",Mapa_Chave,0))+Limpeza_Min)</f>
        <v/>
      </c>
      <c r="D125">
        <f>IF($C125="","",IFERROR(INDEX(Mapa_RelIni,MATCH($A125&amp;"#"&amp;Data_Mapa&amp;"#7",Mapa_Chave,0)),Turno_Min))</f>
        <v/>
      </c>
      <c r="E125">
        <f>IF($C125="","",MAX(0,$D125-$C125))</f>
        <v/>
      </c>
      <c r="F125">
        <f>IF($E125="","",MAX(0,$E125-Limpeza_Min))</f>
        <v/>
      </c>
      <c r="G125">
        <f>IF($C125="","",IF($D125&gt;=Turno_Min,N($G124),MAX(0,N($G124)+$C125-$D125)))</f>
        <v/>
      </c>
    </row>
    <row r="126">
      <c r="A126">
        <f>IF(OR('Calc'!$A11="",'Calc'!$B11&lt;&gt;"Sala cirúrgica"),"",'Calc'!$A11)</f>
        <v/>
      </c>
      <c r="B126" t="n">
        <v>7</v>
      </c>
      <c r="C126">
        <f>IF(OR($A126="",ISERROR(MATCH($A126&amp;"#"&amp;Data_Mapa&amp;"#7",Mapa_Chave,0))),"",INDEX(Mapa_RelFim,MATCH($A126&amp;"#"&amp;Data_Mapa&amp;"#7",Mapa_Chave,0))+Limpeza_Min)</f>
        <v/>
      </c>
      <c r="D126">
        <f>IF($C126="","",IFERROR(INDEX(Mapa_RelIni,MATCH($A126&amp;"#"&amp;Data_Mapa&amp;"#8",Mapa_Chave,0)),Turno_Min))</f>
        <v/>
      </c>
      <c r="E126">
        <f>IF($C126="","",MAX(0,$D126-$C126))</f>
        <v/>
      </c>
      <c r="F126">
        <f>IF($E126="","",MAX(0,$E126-Limpeza_Min))</f>
        <v/>
      </c>
      <c r="G126">
        <f>IF($C126="","",IF($D126&gt;=Turno_Min,N($G125),MAX(0,N($G125)+$C126-$D126)))</f>
        <v/>
      </c>
    </row>
    <row r="127">
      <c r="A127">
        <f>IF(OR('Calc'!$A11="",'Calc'!$B11&lt;&gt;"Sala cirúrgica"),"",'Calc'!$A11)</f>
        <v/>
      </c>
      <c r="B127" t="n">
        <v>8</v>
      </c>
      <c r="C127">
        <f>IF(OR($A127="",ISERROR(MATCH($A127&amp;"#"&amp;Data_Mapa&amp;"#8",Mapa_Chave,0))),"",INDEX(Mapa_RelFim,MATCH($A127&amp;"#"&amp;Data_Mapa&amp;"#8",Mapa_Chave,0))+Limpeza_Min)</f>
        <v/>
      </c>
      <c r="D127">
        <f>IF($C127="","",IFERROR(INDEX(Mapa_RelIni,MATCH($A127&amp;"#"&amp;Data_Mapa&amp;"#9",Mapa_Chave,0)),Turno_Min))</f>
        <v/>
      </c>
      <c r="E127">
        <f>IF($C127="","",MAX(0,$D127-$C127))</f>
        <v/>
      </c>
      <c r="F127">
        <f>IF($E127="","",MAX(0,$E127-Limpeza_Min))</f>
        <v/>
      </c>
      <c r="G127">
        <f>IF($C127="","",IF($D127&gt;=Turno_Min,N($G126),MAX(0,N($G126)+$C127-$D127)))</f>
        <v/>
      </c>
    </row>
    <row r="128">
      <c r="A128">
        <f>IF(OR('Calc'!$A11="",'Calc'!$B11&lt;&gt;"Sala cirúrgica"),"",'Calc'!$A11)</f>
        <v/>
      </c>
      <c r="B128" t="n">
        <v>9</v>
      </c>
      <c r="C128">
        <f>IF(OR($A128="",ISERROR(MATCH($A128&amp;"#"&amp;Data_Mapa&amp;"#9",Mapa_Chave,0))),"",INDEX(Mapa_RelFim,MATCH($A128&amp;"#"&amp;Data_Mapa&amp;"#9",Mapa_Chave,0))+Limpeza_Min)</f>
        <v/>
      </c>
      <c r="D128">
        <f>IF($C128="","",IFERROR(INDEX(Mapa_RelIni,MATCH($A128&amp;"#"&amp;Data_Mapa&amp;"#10",Mapa_Chave,0)),Turno_Min))</f>
        <v/>
      </c>
      <c r="E128">
        <f>IF($C128="","",MAX(0,$D128-$C128))</f>
        <v/>
      </c>
      <c r="F128">
        <f>IF($E128="","",MAX(0,$E128-Limpeza_Min))</f>
        <v/>
      </c>
      <c r="G128">
        <f>IF($C128="","",IF($D128&gt;=Turno_Min,N($G127),MAX(0,N($G127)+$C128-$D128)))</f>
        <v/>
      </c>
    </row>
    <row r="129">
      <c r="A129">
        <f>IF(OR('Calc'!$A11="",'Calc'!$B11&lt;&gt;"Sala cirúrgica"),"",'Calc'!$A11)</f>
        <v/>
      </c>
      <c r="B129" t="n">
        <v>10</v>
      </c>
      <c r="C129">
        <f>IF(OR($A129="",ISERROR(MATCH($A129&amp;"#"&amp;Data_Mapa&amp;"#10",Mapa_Chave,0))),"",INDEX(Mapa_RelFim,MATCH($A129&amp;"#"&amp;Data_Mapa&amp;"#10",Mapa_Chave,0))+Limpeza_Min)</f>
        <v/>
      </c>
      <c r="D129">
        <f>IF($C129="","",IFERROR(INDEX(Mapa_RelIni,MATCH($A129&amp;"#"&amp;Data_Mapa&amp;"#11",Mapa_Chave,0)),Turno_Min))</f>
        <v/>
      </c>
      <c r="E129">
        <f>IF($C129="","",MAX(0,$D129-$C129))</f>
        <v/>
      </c>
      <c r="F129">
        <f>IF($E129="","",MAX(0,$E129-Limpeza_Min))</f>
        <v/>
      </c>
      <c r="G129">
        <f>IF($C129="","",IF($D129&gt;=Turno_Min,N($G128),MAX(0,N($G128)+$C129-$D129)))</f>
        <v/>
      </c>
    </row>
    <row r="130">
      <c r="A130">
        <f>IF(OR('Calc'!$A11="",'Calc'!$B11&lt;&gt;"Sala cirúrgica"),"",'Calc'!$A11)</f>
        <v/>
      </c>
      <c r="B130" t="n">
        <v>11</v>
      </c>
      <c r="C130">
        <f>IF(OR($A130="",ISERROR(MATCH($A130&amp;"#"&amp;Data_Mapa&amp;"#11",Mapa_Chave,0))),"",INDEX(Mapa_RelFim,MATCH($A130&amp;"#"&amp;Data_Mapa&amp;"#11",Mapa_Chave,0))+Limpeza_Min)</f>
        <v/>
      </c>
      <c r="D130">
        <f>IF($C130="","",IFERROR(INDEX(Mapa_RelIni,MATCH($A130&amp;"#"&amp;Data_Mapa&amp;"#12",Mapa_Chave,0)),Turno_Min))</f>
        <v/>
      </c>
      <c r="E130">
        <f>IF($C130="","",MAX(0,$D130-$C130))</f>
        <v/>
      </c>
      <c r="F130">
        <f>IF($E130="","",MAX(0,$E130-Limpeza_Min))</f>
        <v/>
      </c>
      <c r="G130">
        <f>IF($C130="","",IF($D130&gt;=Turno_Min,N($G129),MAX(0,N($G129)+$C130-$D130)))</f>
        <v/>
      </c>
    </row>
    <row r="131">
      <c r="A131">
        <f>IF(OR('Calc'!$A11="",'Calc'!$B11&lt;&gt;"Sala cirúrgica"),"",'Calc'!$A11)</f>
        <v/>
      </c>
      <c r="B131" t="n">
        <v>12</v>
      </c>
      <c r="C131">
        <f>IF(OR($A131="",ISERROR(MATCH($A131&amp;"#"&amp;Data_Mapa&amp;"#12",Mapa_Chave,0))),"",INDEX(Mapa_RelFim,MATCH($A131&amp;"#"&amp;Data_Mapa&amp;"#12",Mapa_Chave,0))+Limpeza_Min)</f>
        <v/>
      </c>
      <c r="D131">
        <f>IF($C131="","",IFERROR(INDEX(Mapa_RelIni,MATCH($A131&amp;"#"&amp;Data_Mapa&amp;"#13",Mapa_Chave,0)),Turno_Min))</f>
        <v/>
      </c>
      <c r="E131">
        <f>IF($C131="","",MAX(0,$D131-$C131))</f>
        <v/>
      </c>
      <c r="F131">
        <f>IF($E131="","",MAX(0,$E131-Limpeza_Min))</f>
        <v/>
      </c>
      <c r="G131">
        <f>IF($C131="","",IF($D131&gt;=Turno_Min,N($G130),MAX(0,N($G130)+$C131-$D131)))</f>
        <v/>
      </c>
    </row>
    <row r="132">
      <c r="A132">
        <f>IF(OR('Calc'!$A12="",'Calc'!$B12&lt;&gt;"Sala cirúrgica"),"",'Calc'!$A12)</f>
        <v/>
      </c>
      <c r="B132" t="n">
        <v>0</v>
      </c>
      <c r="C132">
        <f>IF($A132="","",0)</f>
        <v/>
      </c>
      <c r="D132">
        <f>IF($C132="","",IFERROR(INDEX(Mapa_RelIni,MATCH($A132&amp;"#"&amp;Data_Mapa&amp;"#1",Mapa_Chave,0)),Turno_Min))</f>
        <v/>
      </c>
      <c r="E132">
        <f>IF($C132="","",MAX(0,$D132-$C132))</f>
        <v/>
      </c>
      <c r="F132">
        <f>IF($E132="","",MAX(0,$E132-Limpeza_Min))</f>
        <v/>
      </c>
      <c r="G132">
        <f>IF($C132="","",0)</f>
        <v/>
      </c>
    </row>
    <row r="133">
      <c r="A133">
        <f>IF(OR('Calc'!$A12="",'Calc'!$B12&lt;&gt;"Sala cirúrgica"),"",'Calc'!$A12)</f>
        <v/>
      </c>
      <c r="B133" t="n">
        <v>1</v>
      </c>
      <c r="C133">
        <f>IF(OR($A133="",ISERROR(MATCH($A133&amp;"#"&amp;Data_Mapa&amp;"#1",Mapa_Chave,0))),"",INDEX(Mapa_RelFim,MATCH($A133&amp;"#"&amp;Data_Mapa&amp;"#1",Mapa_Chave,0))+Limpeza_Min)</f>
        <v/>
      </c>
      <c r="D133">
        <f>IF($C133="","",IFERROR(INDEX(Mapa_RelIni,MATCH($A133&amp;"#"&amp;Data_Mapa&amp;"#2",Mapa_Chave,0)),Turno_Min))</f>
        <v/>
      </c>
      <c r="E133">
        <f>IF($C133="","",MAX(0,$D133-$C133))</f>
        <v/>
      </c>
      <c r="F133">
        <f>IF($E133="","",MAX(0,$E133-Limpeza_Min))</f>
        <v/>
      </c>
      <c r="G133">
        <f>IF($C133="","",IF($D133&gt;=Turno_Min,N($G132),MAX(0,N($G132)+$C133-$D133)))</f>
        <v/>
      </c>
    </row>
    <row r="134">
      <c r="A134">
        <f>IF(OR('Calc'!$A12="",'Calc'!$B12&lt;&gt;"Sala cirúrgica"),"",'Calc'!$A12)</f>
        <v/>
      </c>
      <c r="B134" t="n">
        <v>2</v>
      </c>
      <c r="C134">
        <f>IF(OR($A134="",ISERROR(MATCH($A134&amp;"#"&amp;Data_Mapa&amp;"#2",Mapa_Chave,0))),"",INDEX(Mapa_RelFim,MATCH($A134&amp;"#"&amp;Data_Mapa&amp;"#2",Mapa_Chave,0))+Limpeza_Min)</f>
        <v/>
      </c>
      <c r="D134">
        <f>IF($C134="","",IFERROR(INDEX(Mapa_RelIni,MATCH($A134&amp;"#"&amp;Data_Mapa&amp;"#3",Mapa_Chave,0)),Turno_Min))</f>
        <v/>
      </c>
      <c r="E134">
        <f>IF($C134="","",MAX(0,$D134-$C134))</f>
        <v/>
      </c>
      <c r="F134">
        <f>IF($E134="","",MAX(0,$E134-Limpeza_Min))</f>
        <v/>
      </c>
      <c r="G134">
        <f>IF($C134="","",IF($D134&gt;=Turno_Min,N($G133),MAX(0,N($G133)+$C134-$D134)))</f>
        <v/>
      </c>
    </row>
    <row r="135">
      <c r="A135">
        <f>IF(OR('Calc'!$A12="",'Calc'!$B12&lt;&gt;"Sala cirúrgica"),"",'Calc'!$A12)</f>
        <v/>
      </c>
      <c r="B135" t="n">
        <v>3</v>
      </c>
      <c r="C135">
        <f>IF(OR($A135="",ISERROR(MATCH($A135&amp;"#"&amp;Data_Mapa&amp;"#3",Mapa_Chave,0))),"",INDEX(Mapa_RelFim,MATCH($A135&amp;"#"&amp;Data_Mapa&amp;"#3",Mapa_Chave,0))+Limpeza_Min)</f>
        <v/>
      </c>
      <c r="D135">
        <f>IF($C135="","",IFERROR(INDEX(Mapa_RelIni,MATCH($A135&amp;"#"&amp;Data_Mapa&amp;"#4",Mapa_Chave,0)),Turno_Min))</f>
        <v/>
      </c>
      <c r="E135">
        <f>IF($C135="","",MAX(0,$D135-$C135))</f>
        <v/>
      </c>
      <c r="F135">
        <f>IF($E135="","",MAX(0,$E135-Limpeza_Min))</f>
        <v/>
      </c>
      <c r="G135">
        <f>IF($C135="","",IF($D135&gt;=Turno_Min,N($G134),MAX(0,N($G134)+$C135-$D135)))</f>
        <v/>
      </c>
    </row>
    <row r="136">
      <c r="A136">
        <f>IF(OR('Calc'!$A12="",'Calc'!$B12&lt;&gt;"Sala cirúrgica"),"",'Calc'!$A12)</f>
        <v/>
      </c>
      <c r="B136" t="n">
        <v>4</v>
      </c>
      <c r="C136">
        <f>IF(OR($A136="",ISERROR(MATCH($A136&amp;"#"&amp;Data_Mapa&amp;"#4",Mapa_Chave,0))),"",INDEX(Mapa_RelFim,MATCH($A136&amp;"#"&amp;Data_Mapa&amp;"#4",Mapa_Chave,0))+Limpeza_Min)</f>
        <v/>
      </c>
      <c r="D136">
        <f>IF($C136="","",IFERROR(INDEX(Mapa_RelIni,MATCH($A136&amp;"#"&amp;Data_Mapa&amp;"#5",Mapa_Chave,0)),Turno_Min))</f>
        <v/>
      </c>
      <c r="E136">
        <f>IF($C136="","",MAX(0,$D136-$C136))</f>
        <v/>
      </c>
      <c r="F136">
        <f>IF($E136="","",MAX(0,$E136-Limpeza_Min))</f>
        <v/>
      </c>
      <c r="G136">
        <f>IF($C136="","",IF($D136&gt;=Turno_Min,N($G135),MAX(0,N($G135)+$C136-$D136)))</f>
        <v/>
      </c>
    </row>
    <row r="137">
      <c r="A137">
        <f>IF(OR('Calc'!$A12="",'Calc'!$B12&lt;&gt;"Sala cirúrgica"),"",'Calc'!$A12)</f>
        <v/>
      </c>
      <c r="B137" t="n">
        <v>5</v>
      </c>
      <c r="C137">
        <f>IF(OR($A137="",ISERROR(MATCH($A137&amp;"#"&amp;Data_Mapa&amp;"#5",Mapa_Chave,0))),"",INDEX(Mapa_RelFim,MATCH($A137&amp;"#"&amp;Data_Mapa&amp;"#5",Mapa_Chave,0))+Limpeza_Min)</f>
        <v/>
      </c>
      <c r="D137">
        <f>IF($C137="","",IFERROR(INDEX(Mapa_RelIni,MATCH($A137&amp;"#"&amp;Data_Mapa&amp;"#6",Mapa_Chave,0)),Turno_Min))</f>
        <v/>
      </c>
      <c r="E137">
        <f>IF($C137="","",MAX(0,$D137-$C137))</f>
        <v/>
      </c>
      <c r="F137">
        <f>IF($E137="","",MAX(0,$E137-Limpeza_Min))</f>
        <v/>
      </c>
      <c r="G137">
        <f>IF($C137="","",IF($D137&gt;=Turno_Min,N($G136),MAX(0,N($G136)+$C137-$D137)))</f>
        <v/>
      </c>
    </row>
    <row r="138">
      <c r="A138">
        <f>IF(OR('Calc'!$A12="",'Calc'!$B12&lt;&gt;"Sala cirúrgica"),"",'Calc'!$A12)</f>
        <v/>
      </c>
      <c r="B138" t="n">
        <v>6</v>
      </c>
      <c r="C138">
        <f>IF(OR($A138="",ISERROR(MATCH($A138&amp;"#"&amp;Data_Mapa&amp;"#6",Mapa_Chave,0))),"",INDEX(Mapa_RelFim,MATCH($A138&amp;"#"&amp;Data_Mapa&amp;"#6",Mapa_Chave,0))+Limpeza_Min)</f>
        <v/>
      </c>
      <c r="D138">
        <f>IF($C138="","",IFERROR(INDEX(Mapa_RelIni,MATCH($A138&amp;"#"&amp;Data_Mapa&amp;"#7",Mapa_Chave,0)),Turno_Min))</f>
        <v/>
      </c>
      <c r="E138">
        <f>IF($C138="","",MAX(0,$D138-$C138))</f>
        <v/>
      </c>
      <c r="F138">
        <f>IF($E138="","",MAX(0,$E138-Limpeza_Min))</f>
        <v/>
      </c>
      <c r="G138">
        <f>IF($C138="","",IF($D138&gt;=Turno_Min,N($G137),MAX(0,N($G137)+$C138-$D138)))</f>
        <v/>
      </c>
    </row>
    <row r="139">
      <c r="A139">
        <f>IF(OR('Calc'!$A12="",'Calc'!$B12&lt;&gt;"Sala cirúrgica"),"",'Calc'!$A12)</f>
        <v/>
      </c>
      <c r="B139" t="n">
        <v>7</v>
      </c>
      <c r="C139">
        <f>IF(OR($A139="",ISERROR(MATCH($A139&amp;"#"&amp;Data_Mapa&amp;"#7",Mapa_Chave,0))),"",INDEX(Mapa_RelFim,MATCH($A139&amp;"#"&amp;Data_Mapa&amp;"#7",Mapa_Chave,0))+Limpeza_Min)</f>
        <v/>
      </c>
      <c r="D139">
        <f>IF($C139="","",IFERROR(INDEX(Mapa_RelIni,MATCH($A139&amp;"#"&amp;Data_Mapa&amp;"#8",Mapa_Chave,0)),Turno_Min))</f>
        <v/>
      </c>
      <c r="E139">
        <f>IF($C139="","",MAX(0,$D139-$C139))</f>
        <v/>
      </c>
      <c r="F139">
        <f>IF($E139="","",MAX(0,$E139-Limpeza_Min))</f>
        <v/>
      </c>
      <c r="G139">
        <f>IF($C139="","",IF($D139&gt;=Turno_Min,N($G138),MAX(0,N($G138)+$C139-$D139)))</f>
        <v/>
      </c>
    </row>
    <row r="140">
      <c r="A140">
        <f>IF(OR('Calc'!$A12="",'Calc'!$B12&lt;&gt;"Sala cirúrgica"),"",'Calc'!$A12)</f>
        <v/>
      </c>
      <c r="B140" t="n">
        <v>8</v>
      </c>
      <c r="C140">
        <f>IF(OR($A140="",ISERROR(MATCH($A140&amp;"#"&amp;Data_Mapa&amp;"#8",Mapa_Chave,0))),"",INDEX(Mapa_RelFim,MATCH($A140&amp;"#"&amp;Data_Mapa&amp;"#8",Mapa_Chave,0))+Limpeza_Min)</f>
        <v/>
      </c>
      <c r="D140">
        <f>IF($C140="","",IFERROR(INDEX(Mapa_RelIni,MATCH($A140&amp;"#"&amp;Data_Mapa&amp;"#9",Mapa_Chave,0)),Turno_Min))</f>
        <v/>
      </c>
      <c r="E140">
        <f>IF($C140="","",MAX(0,$D140-$C140))</f>
        <v/>
      </c>
      <c r="F140">
        <f>IF($E140="","",MAX(0,$E140-Limpeza_Min))</f>
        <v/>
      </c>
      <c r="G140">
        <f>IF($C140="","",IF($D140&gt;=Turno_Min,N($G139),MAX(0,N($G139)+$C140-$D140)))</f>
        <v/>
      </c>
    </row>
    <row r="141">
      <c r="A141">
        <f>IF(OR('Calc'!$A12="",'Calc'!$B12&lt;&gt;"Sala cirúrgica"),"",'Calc'!$A12)</f>
        <v/>
      </c>
      <c r="B141" t="n">
        <v>9</v>
      </c>
      <c r="C141">
        <f>IF(OR($A141="",ISERROR(MATCH($A141&amp;"#"&amp;Data_Mapa&amp;"#9",Mapa_Chave,0))),"",INDEX(Mapa_RelFim,MATCH($A141&amp;"#"&amp;Data_Mapa&amp;"#9",Mapa_Chave,0))+Limpeza_Min)</f>
        <v/>
      </c>
      <c r="D141">
        <f>IF($C141="","",IFERROR(INDEX(Mapa_RelIni,MATCH($A141&amp;"#"&amp;Data_Mapa&amp;"#10",Mapa_Chave,0)),Turno_Min))</f>
        <v/>
      </c>
      <c r="E141">
        <f>IF($C141="","",MAX(0,$D141-$C141))</f>
        <v/>
      </c>
      <c r="F141">
        <f>IF($E141="","",MAX(0,$E141-Limpeza_Min))</f>
        <v/>
      </c>
      <c r="G141">
        <f>IF($C141="","",IF($D141&gt;=Turno_Min,N($G140),MAX(0,N($G140)+$C141-$D141)))</f>
        <v/>
      </c>
    </row>
    <row r="142">
      <c r="A142">
        <f>IF(OR('Calc'!$A12="",'Calc'!$B12&lt;&gt;"Sala cirúrgica"),"",'Calc'!$A12)</f>
        <v/>
      </c>
      <c r="B142" t="n">
        <v>10</v>
      </c>
      <c r="C142">
        <f>IF(OR($A142="",ISERROR(MATCH($A142&amp;"#"&amp;Data_Mapa&amp;"#10",Mapa_Chave,0))),"",INDEX(Mapa_RelFim,MATCH($A142&amp;"#"&amp;Data_Mapa&amp;"#10",Mapa_Chave,0))+Limpeza_Min)</f>
        <v/>
      </c>
      <c r="D142">
        <f>IF($C142="","",IFERROR(INDEX(Mapa_RelIni,MATCH($A142&amp;"#"&amp;Data_Mapa&amp;"#11",Mapa_Chave,0)),Turno_Min))</f>
        <v/>
      </c>
      <c r="E142">
        <f>IF($C142="","",MAX(0,$D142-$C142))</f>
        <v/>
      </c>
      <c r="F142">
        <f>IF($E142="","",MAX(0,$E142-Limpeza_Min))</f>
        <v/>
      </c>
      <c r="G142">
        <f>IF($C142="","",IF($D142&gt;=Turno_Min,N($G141),MAX(0,N($G141)+$C142-$D142)))</f>
        <v/>
      </c>
    </row>
    <row r="143">
      <c r="A143">
        <f>IF(OR('Calc'!$A12="",'Calc'!$B12&lt;&gt;"Sala cirúrgica"),"",'Calc'!$A12)</f>
        <v/>
      </c>
      <c r="B143" t="n">
        <v>11</v>
      </c>
      <c r="C143">
        <f>IF(OR($A143="",ISERROR(MATCH($A143&amp;"#"&amp;Data_Mapa&amp;"#11",Mapa_Chave,0))),"",INDEX(Mapa_RelFim,MATCH($A143&amp;"#"&amp;Data_Mapa&amp;"#11",Mapa_Chave,0))+Limpeza_Min)</f>
        <v/>
      </c>
      <c r="D143">
        <f>IF($C143="","",IFERROR(INDEX(Mapa_RelIni,MATCH($A143&amp;"#"&amp;Data_Mapa&amp;"#12",Mapa_Chave,0)),Turno_Min))</f>
        <v/>
      </c>
      <c r="E143">
        <f>IF($C143="","",MAX(0,$D143-$C143))</f>
        <v/>
      </c>
      <c r="F143">
        <f>IF($E143="","",MAX(0,$E143-Limpeza_Min))</f>
        <v/>
      </c>
      <c r="G143">
        <f>IF($C143="","",IF($D143&gt;=Turno_Min,N($G142),MAX(0,N($G142)+$C143-$D143)))</f>
        <v/>
      </c>
    </row>
    <row r="144">
      <c r="A144">
        <f>IF(OR('Calc'!$A12="",'Calc'!$B12&lt;&gt;"Sala cirúrgica"),"",'Calc'!$A12)</f>
        <v/>
      </c>
      <c r="B144" t="n">
        <v>12</v>
      </c>
      <c r="C144">
        <f>IF(OR($A144="",ISERROR(MATCH($A144&amp;"#"&amp;Data_Mapa&amp;"#12",Mapa_Chave,0))),"",INDEX(Mapa_RelFim,MATCH($A144&amp;"#"&amp;Data_Mapa&amp;"#12",Mapa_Chave,0))+Limpeza_Min)</f>
        <v/>
      </c>
      <c r="D144">
        <f>IF($C144="","",IFERROR(INDEX(Mapa_RelIni,MATCH($A144&amp;"#"&amp;Data_Mapa&amp;"#13",Mapa_Chave,0)),Turno_Min))</f>
        <v/>
      </c>
      <c r="E144">
        <f>IF($C144="","",MAX(0,$D144-$C144))</f>
        <v/>
      </c>
      <c r="F144">
        <f>IF($E144="","",MAX(0,$E144-Limpeza_Min))</f>
        <v/>
      </c>
      <c r="G144">
        <f>IF($C144="","",IF($D144&gt;=Turno_Min,N($G143),MAX(0,N($G143)+$C144-$D144)))</f>
        <v/>
      </c>
    </row>
    <row r="145">
      <c r="A145">
        <f>IF(OR('Calc'!$A13="",'Calc'!$B13&lt;&gt;"Sala cirúrgica"),"",'Calc'!$A13)</f>
        <v/>
      </c>
      <c r="B145" t="n">
        <v>0</v>
      </c>
      <c r="C145">
        <f>IF($A145="","",0)</f>
        <v/>
      </c>
      <c r="D145">
        <f>IF($C145="","",IFERROR(INDEX(Mapa_RelIni,MATCH($A145&amp;"#"&amp;Data_Mapa&amp;"#1",Mapa_Chave,0)),Turno_Min))</f>
        <v/>
      </c>
      <c r="E145">
        <f>IF($C145="","",MAX(0,$D145-$C145))</f>
        <v/>
      </c>
      <c r="F145">
        <f>IF($E145="","",MAX(0,$E145-Limpeza_Min))</f>
        <v/>
      </c>
      <c r="G145">
        <f>IF($C145="","",0)</f>
        <v/>
      </c>
    </row>
    <row r="146">
      <c r="A146">
        <f>IF(OR('Calc'!$A13="",'Calc'!$B13&lt;&gt;"Sala cirúrgica"),"",'Calc'!$A13)</f>
        <v/>
      </c>
      <c r="B146" t="n">
        <v>1</v>
      </c>
      <c r="C146">
        <f>IF(OR($A146="",ISERROR(MATCH($A146&amp;"#"&amp;Data_Mapa&amp;"#1",Mapa_Chave,0))),"",INDEX(Mapa_RelFim,MATCH($A146&amp;"#"&amp;Data_Mapa&amp;"#1",Mapa_Chave,0))+Limpeza_Min)</f>
        <v/>
      </c>
      <c r="D146">
        <f>IF($C146="","",IFERROR(INDEX(Mapa_RelIni,MATCH($A146&amp;"#"&amp;Data_Mapa&amp;"#2",Mapa_Chave,0)),Turno_Min))</f>
        <v/>
      </c>
      <c r="E146">
        <f>IF($C146="","",MAX(0,$D146-$C146))</f>
        <v/>
      </c>
      <c r="F146">
        <f>IF($E146="","",MAX(0,$E146-Limpeza_Min))</f>
        <v/>
      </c>
      <c r="G146">
        <f>IF($C146="","",IF($D146&gt;=Turno_Min,N($G145),MAX(0,N($G145)+$C146-$D146)))</f>
        <v/>
      </c>
    </row>
    <row r="147">
      <c r="A147">
        <f>IF(OR('Calc'!$A13="",'Calc'!$B13&lt;&gt;"Sala cirúrgica"),"",'Calc'!$A13)</f>
        <v/>
      </c>
      <c r="B147" t="n">
        <v>2</v>
      </c>
      <c r="C147">
        <f>IF(OR($A147="",ISERROR(MATCH($A147&amp;"#"&amp;Data_Mapa&amp;"#2",Mapa_Chave,0))),"",INDEX(Mapa_RelFim,MATCH($A147&amp;"#"&amp;Data_Mapa&amp;"#2",Mapa_Chave,0))+Limpeza_Min)</f>
        <v/>
      </c>
      <c r="D147">
        <f>IF($C147="","",IFERROR(INDEX(Mapa_RelIni,MATCH($A147&amp;"#"&amp;Data_Mapa&amp;"#3",Mapa_Chave,0)),Turno_Min))</f>
        <v/>
      </c>
      <c r="E147">
        <f>IF($C147="","",MAX(0,$D147-$C147))</f>
        <v/>
      </c>
      <c r="F147">
        <f>IF($E147="","",MAX(0,$E147-Limpeza_Min))</f>
        <v/>
      </c>
      <c r="G147">
        <f>IF($C147="","",IF($D147&gt;=Turno_Min,N($G146),MAX(0,N($G146)+$C147-$D147)))</f>
        <v/>
      </c>
    </row>
    <row r="148">
      <c r="A148">
        <f>IF(OR('Calc'!$A13="",'Calc'!$B13&lt;&gt;"Sala cirúrgica"),"",'Calc'!$A13)</f>
        <v/>
      </c>
      <c r="B148" t="n">
        <v>3</v>
      </c>
      <c r="C148">
        <f>IF(OR($A148="",ISERROR(MATCH($A148&amp;"#"&amp;Data_Mapa&amp;"#3",Mapa_Chave,0))),"",INDEX(Mapa_RelFim,MATCH($A148&amp;"#"&amp;Data_Mapa&amp;"#3",Mapa_Chave,0))+Limpeza_Min)</f>
        <v/>
      </c>
      <c r="D148">
        <f>IF($C148="","",IFERROR(INDEX(Mapa_RelIni,MATCH($A148&amp;"#"&amp;Data_Mapa&amp;"#4",Mapa_Chave,0)),Turno_Min))</f>
        <v/>
      </c>
      <c r="E148">
        <f>IF($C148="","",MAX(0,$D148-$C148))</f>
        <v/>
      </c>
      <c r="F148">
        <f>IF($E148="","",MAX(0,$E148-Limpeza_Min))</f>
        <v/>
      </c>
      <c r="G148">
        <f>IF($C148="","",IF($D148&gt;=Turno_Min,N($G147),MAX(0,N($G147)+$C148-$D148)))</f>
        <v/>
      </c>
    </row>
    <row r="149">
      <c r="A149">
        <f>IF(OR('Calc'!$A13="",'Calc'!$B13&lt;&gt;"Sala cirúrgica"),"",'Calc'!$A13)</f>
        <v/>
      </c>
      <c r="B149" t="n">
        <v>4</v>
      </c>
      <c r="C149">
        <f>IF(OR($A149="",ISERROR(MATCH($A149&amp;"#"&amp;Data_Mapa&amp;"#4",Mapa_Chave,0))),"",INDEX(Mapa_RelFim,MATCH($A149&amp;"#"&amp;Data_Mapa&amp;"#4",Mapa_Chave,0))+Limpeza_Min)</f>
        <v/>
      </c>
      <c r="D149">
        <f>IF($C149="","",IFERROR(INDEX(Mapa_RelIni,MATCH($A149&amp;"#"&amp;Data_Mapa&amp;"#5",Mapa_Chave,0)),Turno_Min))</f>
        <v/>
      </c>
      <c r="E149">
        <f>IF($C149="","",MAX(0,$D149-$C149))</f>
        <v/>
      </c>
      <c r="F149">
        <f>IF($E149="","",MAX(0,$E149-Limpeza_Min))</f>
        <v/>
      </c>
      <c r="G149">
        <f>IF($C149="","",IF($D149&gt;=Turno_Min,N($G148),MAX(0,N($G148)+$C149-$D149)))</f>
        <v/>
      </c>
    </row>
    <row r="150">
      <c r="A150">
        <f>IF(OR('Calc'!$A13="",'Calc'!$B13&lt;&gt;"Sala cirúrgica"),"",'Calc'!$A13)</f>
        <v/>
      </c>
      <c r="B150" t="n">
        <v>5</v>
      </c>
      <c r="C150">
        <f>IF(OR($A150="",ISERROR(MATCH($A150&amp;"#"&amp;Data_Mapa&amp;"#5",Mapa_Chave,0))),"",INDEX(Mapa_RelFim,MATCH($A150&amp;"#"&amp;Data_Mapa&amp;"#5",Mapa_Chave,0))+Limpeza_Min)</f>
        <v/>
      </c>
      <c r="D150">
        <f>IF($C150="","",IFERROR(INDEX(Mapa_RelIni,MATCH($A150&amp;"#"&amp;Data_Mapa&amp;"#6",Mapa_Chave,0)),Turno_Min))</f>
        <v/>
      </c>
      <c r="E150">
        <f>IF($C150="","",MAX(0,$D150-$C150))</f>
        <v/>
      </c>
      <c r="F150">
        <f>IF($E150="","",MAX(0,$E150-Limpeza_Min))</f>
        <v/>
      </c>
      <c r="G150">
        <f>IF($C150="","",IF($D150&gt;=Turno_Min,N($G149),MAX(0,N($G149)+$C150-$D150)))</f>
        <v/>
      </c>
    </row>
    <row r="151">
      <c r="A151">
        <f>IF(OR('Calc'!$A13="",'Calc'!$B13&lt;&gt;"Sala cirúrgica"),"",'Calc'!$A13)</f>
        <v/>
      </c>
      <c r="B151" t="n">
        <v>6</v>
      </c>
      <c r="C151">
        <f>IF(OR($A151="",ISERROR(MATCH($A151&amp;"#"&amp;Data_Mapa&amp;"#6",Mapa_Chave,0))),"",INDEX(Mapa_RelFim,MATCH($A151&amp;"#"&amp;Data_Mapa&amp;"#6",Mapa_Chave,0))+Limpeza_Min)</f>
        <v/>
      </c>
      <c r="D151">
        <f>IF($C151="","",IFERROR(INDEX(Mapa_RelIni,MATCH($A151&amp;"#"&amp;Data_Mapa&amp;"#7",Mapa_Chave,0)),Turno_Min))</f>
        <v/>
      </c>
      <c r="E151">
        <f>IF($C151="","",MAX(0,$D151-$C151))</f>
        <v/>
      </c>
      <c r="F151">
        <f>IF($E151="","",MAX(0,$E151-Limpeza_Min))</f>
        <v/>
      </c>
      <c r="G151">
        <f>IF($C151="","",IF($D151&gt;=Turno_Min,N($G150),MAX(0,N($G150)+$C151-$D151)))</f>
        <v/>
      </c>
    </row>
    <row r="152">
      <c r="A152">
        <f>IF(OR('Calc'!$A13="",'Calc'!$B13&lt;&gt;"Sala cirúrgica"),"",'Calc'!$A13)</f>
        <v/>
      </c>
      <c r="B152" t="n">
        <v>7</v>
      </c>
      <c r="C152">
        <f>IF(OR($A152="",ISERROR(MATCH($A152&amp;"#"&amp;Data_Mapa&amp;"#7",Mapa_Chave,0))),"",INDEX(Mapa_RelFim,MATCH($A152&amp;"#"&amp;Data_Mapa&amp;"#7",Mapa_Chave,0))+Limpeza_Min)</f>
        <v/>
      </c>
      <c r="D152">
        <f>IF($C152="","",IFERROR(INDEX(Mapa_RelIni,MATCH($A152&amp;"#"&amp;Data_Mapa&amp;"#8",Mapa_Chave,0)),Turno_Min))</f>
        <v/>
      </c>
      <c r="E152">
        <f>IF($C152="","",MAX(0,$D152-$C152))</f>
        <v/>
      </c>
      <c r="F152">
        <f>IF($E152="","",MAX(0,$E152-Limpeza_Min))</f>
        <v/>
      </c>
      <c r="G152">
        <f>IF($C152="","",IF($D152&gt;=Turno_Min,N($G151),MAX(0,N($G151)+$C152-$D152)))</f>
        <v/>
      </c>
    </row>
    <row r="153">
      <c r="A153">
        <f>IF(OR('Calc'!$A13="",'Calc'!$B13&lt;&gt;"Sala cirúrgica"),"",'Calc'!$A13)</f>
        <v/>
      </c>
      <c r="B153" t="n">
        <v>8</v>
      </c>
      <c r="C153">
        <f>IF(OR($A153="",ISERROR(MATCH($A153&amp;"#"&amp;Data_Mapa&amp;"#8",Mapa_Chave,0))),"",INDEX(Mapa_RelFim,MATCH($A153&amp;"#"&amp;Data_Mapa&amp;"#8",Mapa_Chave,0))+Limpeza_Min)</f>
        <v/>
      </c>
      <c r="D153">
        <f>IF($C153="","",IFERROR(INDEX(Mapa_RelIni,MATCH($A153&amp;"#"&amp;Data_Mapa&amp;"#9",Mapa_Chave,0)),Turno_Min))</f>
        <v/>
      </c>
      <c r="E153">
        <f>IF($C153="","",MAX(0,$D153-$C153))</f>
        <v/>
      </c>
      <c r="F153">
        <f>IF($E153="","",MAX(0,$E153-Limpeza_Min))</f>
        <v/>
      </c>
      <c r="G153">
        <f>IF($C153="","",IF($D153&gt;=Turno_Min,N($G152),MAX(0,N($G152)+$C153-$D153)))</f>
        <v/>
      </c>
    </row>
    <row r="154">
      <c r="A154">
        <f>IF(OR('Calc'!$A13="",'Calc'!$B13&lt;&gt;"Sala cirúrgica"),"",'Calc'!$A13)</f>
        <v/>
      </c>
      <c r="B154" t="n">
        <v>9</v>
      </c>
      <c r="C154">
        <f>IF(OR($A154="",ISERROR(MATCH($A154&amp;"#"&amp;Data_Mapa&amp;"#9",Mapa_Chave,0))),"",INDEX(Mapa_RelFim,MATCH($A154&amp;"#"&amp;Data_Mapa&amp;"#9",Mapa_Chave,0))+Limpeza_Min)</f>
        <v/>
      </c>
      <c r="D154">
        <f>IF($C154="","",IFERROR(INDEX(Mapa_RelIni,MATCH($A154&amp;"#"&amp;Data_Mapa&amp;"#10",Mapa_Chave,0)),Turno_Min))</f>
        <v/>
      </c>
      <c r="E154">
        <f>IF($C154="","",MAX(0,$D154-$C154))</f>
        <v/>
      </c>
      <c r="F154">
        <f>IF($E154="","",MAX(0,$E154-Limpeza_Min))</f>
        <v/>
      </c>
      <c r="G154">
        <f>IF($C154="","",IF($D154&gt;=Turno_Min,N($G153),MAX(0,N($G153)+$C154-$D154)))</f>
        <v/>
      </c>
    </row>
    <row r="155">
      <c r="A155">
        <f>IF(OR('Calc'!$A13="",'Calc'!$B13&lt;&gt;"Sala cirúrgica"),"",'Calc'!$A13)</f>
        <v/>
      </c>
      <c r="B155" t="n">
        <v>10</v>
      </c>
      <c r="C155">
        <f>IF(OR($A155="",ISERROR(MATCH($A155&amp;"#"&amp;Data_Mapa&amp;"#10",Mapa_Chave,0))),"",INDEX(Mapa_RelFim,MATCH($A155&amp;"#"&amp;Data_Mapa&amp;"#10",Mapa_Chave,0))+Limpeza_Min)</f>
        <v/>
      </c>
      <c r="D155">
        <f>IF($C155="","",IFERROR(INDEX(Mapa_RelIni,MATCH($A155&amp;"#"&amp;Data_Mapa&amp;"#11",Mapa_Chave,0)),Turno_Min))</f>
        <v/>
      </c>
      <c r="E155">
        <f>IF($C155="","",MAX(0,$D155-$C155))</f>
        <v/>
      </c>
      <c r="F155">
        <f>IF($E155="","",MAX(0,$E155-Limpeza_Min))</f>
        <v/>
      </c>
      <c r="G155">
        <f>IF($C155="","",IF($D155&gt;=Turno_Min,N($G154),MAX(0,N($G154)+$C155-$D155)))</f>
        <v/>
      </c>
    </row>
    <row r="156">
      <c r="A156">
        <f>IF(OR('Calc'!$A13="",'Calc'!$B13&lt;&gt;"Sala cirúrgica"),"",'Calc'!$A13)</f>
        <v/>
      </c>
      <c r="B156" t="n">
        <v>11</v>
      </c>
      <c r="C156">
        <f>IF(OR($A156="",ISERROR(MATCH($A156&amp;"#"&amp;Data_Mapa&amp;"#11",Mapa_Chave,0))),"",INDEX(Mapa_RelFim,MATCH($A156&amp;"#"&amp;Data_Mapa&amp;"#11",Mapa_Chave,0))+Limpeza_Min)</f>
        <v/>
      </c>
      <c r="D156">
        <f>IF($C156="","",IFERROR(INDEX(Mapa_RelIni,MATCH($A156&amp;"#"&amp;Data_Mapa&amp;"#12",Mapa_Chave,0)),Turno_Min))</f>
        <v/>
      </c>
      <c r="E156">
        <f>IF($C156="","",MAX(0,$D156-$C156))</f>
        <v/>
      </c>
      <c r="F156">
        <f>IF($E156="","",MAX(0,$E156-Limpeza_Min))</f>
        <v/>
      </c>
      <c r="G156">
        <f>IF($C156="","",IF($D156&gt;=Turno_Min,N($G155),MAX(0,N($G155)+$C156-$D156)))</f>
        <v/>
      </c>
    </row>
    <row r="157">
      <c r="A157">
        <f>IF(OR('Calc'!$A13="",'Calc'!$B13&lt;&gt;"Sala cirúrgica"),"",'Calc'!$A13)</f>
        <v/>
      </c>
      <c r="B157" t="n">
        <v>12</v>
      </c>
      <c r="C157">
        <f>IF(OR($A157="",ISERROR(MATCH($A157&amp;"#"&amp;Data_Mapa&amp;"#12",Mapa_Chave,0))),"",INDEX(Mapa_RelFim,MATCH($A157&amp;"#"&amp;Data_Mapa&amp;"#12",Mapa_Chave,0))+Limpeza_Min)</f>
        <v/>
      </c>
      <c r="D157">
        <f>IF($C157="","",IFERROR(INDEX(Mapa_RelIni,MATCH($A157&amp;"#"&amp;Data_Mapa&amp;"#13",Mapa_Chave,0)),Turno_Min))</f>
        <v/>
      </c>
      <c r="E157">
        <f>IF($C157="","",MAX(0,$D157-$C157))</f>
        <v/>
      </c>
      <c r="F157">
        <f>IF($E157="","",MAX(0,$E157-Limpeza_Min))</f>
        <v/>
      </c>
      <c r="G157">
        <f>IF($C157="","",IF($D157&gt;=Turno_Min,N($G156),MAX(0,N($G156)+$C157-$D157)))</f>
        <v/>
      </c>
    </row>
    <row r="158">
      <c r="A158">
        <f>IF(OR('Calc'!$A14="",'Calc'!$B14&lt;&gt;"Sala cirúrgica"),"",'Calc'!$A14)</f>
        <v/>
      </c>
      <c r="B158" t="n">
        <v>0</v>
      </c>
      <c r="C158">
        <f>IF($A158="","",0)</f>
        <v/>
      </c>
      <c r="D158">
        <f>IF($C158="","",IFERROR(INDEX(Mapa_RelIni,MATCH($A158&amp;"#"&amp;Data_Mapa&amp;"#1",Mapa_Chave,0)),Turno_Min))</f>
        <v/>
      </c>
      <c r="E158">
        <f>IF($C158="","",MAX(0,$D158-$C158))</f>
        <v/>
      </c>
      <c r="F158">
        <f>IF($E158="","",MAX(0,$E158-Limpeza_Min))</f>
        <v/>
      </c>
      <c r="G158">
        <f>IF($C158="","",0)</f>
        <v/>
      </c>
    </row>
    <row r="159">
      <c r="A159">
        <f>IF(OR('Calc'!$A14="",'Calc'!$B14&lt;&gt;"Sala cirúrgica"),"",'Calc'!$A14)</f>
        <v/>
      </c>
      <c r="B159" t="n">
        <v>1</v>
      </c>
      <c r="C159">
        <f>IF(OR($A159="",ISERROR(MATCH($A159&amp;"#"&amp;Data_Mapa&amp;"#1",Mapa_Chave,0))),"",INDEX(Mapa_RelFim,MATCH($A159&amp;"#"&amp;Data_Mapa&amp;"#1",Mapa_Chave,0))+Limpeza_Min)</f>
        <v/>
      </c>
      <c r="D159">
        <f>IF($C159="","",IFERROR(INDEX(Mapa_RelIni,MATCH($A159&amp;"#"&amp;Data_Mapa&amp;"#2",Mapa_Chave,0)),Turno_Min))</f>
        <v/>
      </c>
      <c r="E159">
        <f>IF($C159="","",MAX(0,$D159-$C159))</f>
        <v/>
      </c>
      <c r="F159">
        <f>IF($E159="","",MAX(0,$E159-Limpeza_Min))</f>
        <v/>
      </c>
      <c r="G159">
        <f>IF($C159="","",IF($D159&gt;=Turno_Min,N($G158),MAX(0,N($G158)+$C159-$D159)))</f>
        <v/>
      </c>
    </row>
    <row r="160">
      <c r="A160">
        <f>IF(OR('Calc'!$A14="",'Calc'!$B14&lt;&gt;"Sala cirúrgica"),"",'Calc'!$A14)</f>
        <v/>
      </c>
      <c r="B160" t="n">
        <v>2</v>
      </c>
      <c r="C160">
        <f>IF(OR($A160="",ISERROR(MATCH($A160&amp;"#"&amp;Data_Mapa&amp;"#2",Mapa_Chave,0))),"",INDEX(Mapa_RelFim,MATCH($A160&amp;"#"&amp;Data_Mapa&amp;"#2",Mapa_Chave,0))+Limpeza_Min)</f>
        <v/>
      </c>
      <c r="D160">
        <f>IF($C160="","",IFERROR(INDEX(Mapa_RelIni,MATCH($A160&amp;"#"&amp;Data_Mapa&amp;"#3",Mapa_Chave,0)),Turno_Min))</f>
        <v/>
      </c>
      <c r="E160">
        <f>IF($C160="","",MAX(0,$D160-$C160))</f>
        <v/>
      </c>
      <c r="F160">
        <f>IF($E160="","",MAX(0,$E160-Limpeza_Min))</f>
        <v/>
      </c>
      <c r="G160">
        <f>IF($C160="","",IF($D160&gt;=Turno_Min,N($G159),MAX(0,N($G159)+$C160-$D160)))</f>
        <v/>
      </c>
    </row>
    <row r="161">
      <c r="A161">
        <f>IF(OR('Calc'!$A14="",'Calc'!$B14&lt;&gt;"Sala cirúrgica"),"",'Calc'!$A14)</f>
        <v/>
      </c>
      <c r="B161" t="n">
        <v>3</v>
      </c>
      <c r="C161">
        <f>IF(OR($A161="",ISERROR(MATCH($A161&amp;"#"&amp;Data_Mapa&amp;"#3",Mapa_Chave,0))),"",INDEX(Mapa_RelFim,MATCH($A161&amp;"#"&amp;Data_Mapa&amp;"#3",Mapa_Chave,0))+Limpeza_Min)</f>
        <v/>
      </c>
      <c r="D161">
        <f>IF($C161="","",IFERROR(INDEX(Mapa_RelIni,MATCH($A161&amp;"#"&amp;Data_Mapa&amp;"#4",Mapa_Chave,0)),Turno_Min))</f>
        <v/>
      </c>
      <c r="E161">
        <f>IF($C161="","",MAX(0,$D161-$C161))</f>
        <v/>
      </c>
      <c r="F161">
        <f>IF($E161="","",MAX(0,$E161-Limpeza_Min))</f>
        <v/>
      </c>
      <c r="G161">
        <f>IF($C161="","",IF($D161&gt;=Turno_Min,N($G160),MAX(0,N($G160)+$C161-$D161)))</f>
        <v/>
      </c>
    </row>
    <row r="162">
      <c r="A162">
        <f>IF(OR('Calc'!$A14="",'Calc'!$B14&lt;&gt;"Sala cirúrgica"),"",'Calc'!$A14)</f>
        <v/>
      </c>
      <c r="B162" t="n">
        <v>4</v>
      </c>
      <c r="C162">
        <f>IF(OR($A162="",ISERROR(MATCH($A162&amp;"#"&amp;Data_Mapa&amp;"#4",Mapa_Chave,0))),"",INDEX(Mapa_RelFim,MATCH($A162&amp;"#"&amp;Data_Mapa&amp;"#4",Mapa_Chave,0))+Limpeza_Min)</f>
        <v/>
      </c>
      <c r="D162">
        <f>IF($C162="","",IFERROR(INDEX(Mapa_RelIni,MATCH($A162&amp;"#"&amp;Data_Mapa&amp;"#5",Mapa_Chave,0)),Turno_Min))</f>
        <v/>
      </c>
      <c r="E162">
        <f>IF($C162="","",MAX(0,$D162-$C162))</f>
        <v/>
      </c>
      <c r="F162">
        <f>IF($E162="","",MAX(0,$E162-Limpeza_Min))</f>
        <v/>
      </c>
      <c r="G162">
        <f>IF($C162="","",IF($D162&gt;=Turno_Min,N($G161),MAX(0,N($G161)+$C162-$D162)))</f>
        <v/>
      </c>
    </row>
    <row r="163">
      <c r="A163">
        <f>IF(OR('Calc'!$A14="",'Calc'!$B14&lt;&gt;"Sala cirúrgica"),"",'Calc'!$A14)</f>
        <v/>
      </c>
      <c r="B163" t="n">
        <v>5</v>
      </c>
      <c r="C163">
        <f>IF(OR($A163="",ISERROR(MATCH($A163&amp;"#"&amp;Data_Mapa&amp;"#5",Mapa_Chave,0))),"",INDEX(Mapa_RelFim,MATCH($A163&amp;"#"&amp;Data_Mapa&amp;"#5",Mapa_Chave,0))+Limpeza_Min)</f>
        <v/>
      </c>
      <c r="D163">
        <f>IF($C163="","",IFERROR(INDEX(Mapa_RelIni,MATCH($A163&amp;"#"&amp;Data_Mapa&amp;"#6",Mapa_Chave,0)),Turno_Min))</f>
        <v/>
      </c>
      <c r="E163">
        <f>IF($C163="","",MAX(0,$D163-$C163))</f>
        <v/>
      </c>
      <c r="F163">
        <f>IF($E163="","",MAX(0,$E163-Limpeza_Min))</f>
        <v/>
      </c>
      <c r="G163">
        <f>IF($C163="","",IF($D163&gt;=Turno_Min,N($G162),MAX(0,N($G162)+$C163-$D163)))</f>
        <v/>
      </c>
    </row>
    <row r="164">
      <c r="A164">
        <f>IF(OR('Calc'!$A14="",'Calc'!$B14&lt;&gt;"Sala cirúrgica"),"",'Calc'!$A14)</f>
        <v/>
      </c>
      <c r="B164" t="n">
        <v>6</v>
      </c>
      <c r="C164">
        <f>IF(OR($A164="",ISERROR(MATCH($A164&amp;"#"&amp;Data_Mapa&amp;"#6",Mapa_Chave,0))),"",INDEX(Mapa_RelFim,MATCH($A164&amp;"#"&amp;Data_Mapa&amp;"#6",Mapa_Chave,0))+Limpeza_Min)</f>
        <v/>
      </c>
      <c r="D164">
        <f>IF($C164="","",IFERROR(INDEX(Mapa_RelIni,MATCH($A164&amp;"#"&amp;Data_Mapa&amp;"#7",Mapa_Chave,0)),Turno_Min))</f>
        <v/>
      </c>
      <c r="E164">
        <f>IF($C164="","",MAX(0,$D164-$C164))</f>
        <v/>
      </c>
      <c r="F164">
        <f>IF($E164="","",MAX(0,$E164-Limpeza_Min))</f>
        <v/>
      </c>
      <c r="G164">
        <f>IF($C164="","",IF($D164&gt;=Turno_Min,N($G163),MAX(0,N($G163)+$C164-$D164)))</f>
        <v/>
      </c>
    </row>
    <row r="165">
      <c r="A165">
        <f>IF(OR('Calc'!$A14="",'Calc'!$B14&lt;&gt;"Sala cirúrgica"),"",'Calc'!$A14)</f>
        <v/>
      </c>
      <c r="B165" t="n">
        <v>7</v>
      </c>
      <c r="C165">
        <f>IF(OR($A165="",ISERROR(MATCH($A165&amp;"#"&amp;Data_Mapa&amp;"#7",Mapa_Chave,0))),"",INDEX(Mapa_RelFim,MATCH($A165&amp;"#"&amp;Data_Mapa&amp;"#7",Mapa_Chave,0))+Limpeza_Min)</f>
        <v/>
      </c>
      <c r="D165">
        <f>IF($C165="","",IFERROR(INDEX(Mapa_RelIni,MATCH($A165&amp;"#"&amp;Data_Mapa&amp;"#8",Mapa_Chave,0)),Turno_Min))</f>
        <v/>
      </c>
      <c r="E165">
        <f>IF($C165="","",MAX(0,$D165-$C165))</f>
        <v/>
      </c>
      <c r="F165">
        <f>IF($E165="","",MAX(0,$E165-Limpeza_Min))</f>
        <v/>
      </c>
      <c r="G165">
        <f>IF($C165="","",IF($D165&gt;=Turno_Min,N($G164),MAX(0,N($G164)+$C165-$D165)))</f>
        <v/>
      </c>
    </row>
    <row r="166">
      <c r="A166">
        <f>IF(OR('Calc'!$A14="",'Calc'!$B14&lt;&gt;"Sala cirúrgica"),"",'Calc'!$A14)</f>
        <v/>
      </c>
      <c r="B166" t="n">
        <v>8</v>
      </c>
      <c r="C166">
        <f>IF(OR($A166="",ISERROR(MATCH($A166&amp;"#"&amp;Data_Mapa&amp;"#8",Mapa_Chave,0))),"",INDEX(Mapa_RelFim,MATCH($A166&amp;"#"&amp;Data_Mapa&amp;"#8",Mapa_Chave,0))+Limpeza_Min)</f>
        <v/>
      </c>
      <c r="D166">
        <f>IF($C166="","",IFERROR(INDEX(Mapa_RelIni,MATCH($A166&amp;"#"&amp;Data_Mapa&amp;"#9",Mapa_Chave,0)),Turno_Min))</f>
        <v/>
      </c>
      <c r="E166">
        <f>IF($C166="","",MAX(0,$D166-$C166))</f>
        <v/>
      </c>
      <c r="F166">
        <f>IF($E166="","",MAX(0,$E166-Limpeza_Min))</f>
        <v/>
      </c>
      <c r="G166">
        <f>IF($C166="","",IF($D166&gt;=Turno_Min,N($G165),MAX(0,N($G165)+$C166-$D166)))</f>
        <v/>
      </c>
    </row>
    <row r="167">
      <c r="A167">
        <f>IF(OR('Calc'!$A14="",'Calc'!$B14&lt;&gt;"Sala cirúrgica"),"",'Calc'!$A14)</f>
        <v/>
      </c>
      <c r="B167" t="n">
        <v>9</v>
      </c>
      <c r="C167">
        <f>IF(OR($A167="",ISERROR(MATCH($A167&amp;"#"&amp;Data_Mapa&amp;"#9",Mapa_Chave,0))),"",INDEX(Mapa_RelFim,MATCH($A167&amp;"#"&amp;Data_Mapa&amp;"#9",Mapa_Chave,0))+Limpeza_Min)</f>
        <v/>
      </c>
      <c r="D167">
        <f>IF($C167="","",IFERROR(INDEX(Mapa_RelIni,MATCH($A167&amp;"#"&amp;Data_Mapa&amp;"#10",Mapa_Chave,0)),Turno_Min))</f>
        <v/>
      </c>
      <c r="E167">
        <f>IF($C167="","",MAX(0,$D167-$C167))</f>
        <v/>
      </c>
      <c r="F167">
        <f>IF($E167="","",MAX(0,$E167-Limpeza_Min))</f>
        <v/>
      </c>
      <c r="G167">
        <f>IF($C167="","",IF($D167&gt;=Turno_Min,N($G166),MAX(0,N($G166)+$C167-$D167)))</f>
        <v/>
      </c>
    </row>
    <row r="168">
      <c r="A168">
        <f>IF(OR('Calc'!$A14="",'Calc'!$B14&lt;&gt;"Sala cirúrgica"),"",'Calc'!$A14)</f>
        <v/>
      </c>
      <c r="B168" t="n">
        <v>10</v>
      </c>
      <c r="C168">
        <f>IF(OR($A168="",ISERROR(MATCH($A168&amp;"#"&amp;Data_Mapa&amp;"#10",Mapa_Chave,0))),"",INDEX(Mapa_RelFim,MATCH($A168&amp;"#"&amp;Data_Mapa&amp;"#10",Mapa_Chave,0))+Limpeza_Min)</f>
        <v/>
      </c>
      <c r="D168">
        <f>IF($C168="","",IFERROR(INDEX(Mapa_RelIni,MATCH($A168&amp;"#"&amp;Data_Mapa&amp;"#11",Mapa_Chave,0)),Turno_Min))</f>
        <v/>
      </c>
      <c r="E168">
        <f>IF($C168="","",MAX(0,$D168-$C168))</f>
        <v/>
      </c>
      <c r="F168">
        <f>IF($E168="","",MAX(0,$E168-Limpeza_Min))</f>
        <v/>
      </c>
      <c r="G168">
        <f>IF($C168="","",IF($D168&gt;=Turno_Min,N($G167),MAX(0,N($G167)+$C168-$D168)))</f>
        <v/>
      </c>
    </row>
    <row r="169">
      <c r="A169">
        <f>IF(OR('Calc'!$A14="",'Calc'!$B14&lt;&gt;"Sala cirúrgica"),"",'Calc'!$A14)</f>
        <v/>
      </c>
      <c r="B169" t="n">
        <v>11</v>
      </c>
      <c r="C169">
        <f>IF(OR($A169="",ISERROR(MATCH($A169&amp;"#"&amp;Data_Mapa&amp;"#11",Mapa_Chave,0))),"",INDEX(Mapa_RelFim,MATCH($A169&amp;"#"&amp;Data_Mapa&amp;"#11",Mapa_Chave,0))+Limpeza_Min)</f>
        <v/>
      </c>
      <c r="D169">
        <f>IF($C169="","",IFERROR(INDEX(Mapa_RelIni,MATCH($A169&amp;"#"&amp;Data_Mapa&amp;"#12",Mapa_Chave,0)),Turno_Min))</f>
        <v/>
      </c>
      <c r="E169">
        <f>IF($C169="","",MAX(0,$D169-$C169))</f>
        <v/>
      </c>
      <c r="F169">
        <f>IF($E169="","",MAX(0,$E169-Limpeza_Min))</f>
        <v/>
      </c>
      <c r="G169">
        <f>IF($C169="","",IF($D169&gt;=Turno_Min,N($G168),MAX(0,N($G168)+$C169-$D169)))</f>
        <v/>
      </c>
    </row>
    <row r="170">
      <c r="A170">
        <f>IF(OR('Calc'!$A14="",'Calc'!$B14&lt;&gt;"Sala cirúrgica"),"",'Calc'!$A14)</f>
        <v/>
      </c>
      <c r="B170" t="n">
        <v>12</v>
      </c>
      <c r="C170">
        <f>IF(OR($A170="",ISERROR(MATCH($A170&amp;"#"&amp;Data_Mapa&amp;"#12",Mapa_Chave,0))),"",INDEX(Mapa_RelFim,MATCH($A170&amp;"#"&amp;Data_Mapa&amp;"#12",Mapa_Chave,0))+Limpeza_Min)</f>
        <v/>
      </c>
      <c r="D170">
        <f>IF($C170="","",IFERROR(INDEX(Mapa_RelIni,MATCH($A170&amp;"#"&amp;Data_Mapa&amp;"#13",Mapa_Chave,0)),Turno_Min))</f>
        <v/>
      </c>
      <c r="E170">
        <f>IF($C170="","",MAX(0,$D170-$C170))</f>
        <v/>
      </c>
      <c r="F170">
        <f>IF($E170="","",MAX(0,$E170-Limpeza_Min))</f>
        <v/>
      </c>
      <c r="G170">
        <f>IF($C170="","",IF($D170&gt;=Turno_Min,N($G169),MAX(0,N($G169)+$C170-$D170)))</f>
        <v/>
      </c>
    </row>
    <row r="171">
      <c r="A171">
        <f>IF(OR('Calc'!$A15="",'Calc'!$B15&lt;&gt;"Sala cirúrgica"),"",'Calc'!$A15)</f>
        <v/>
      </c>
      <c r="B171" t="n">
        <v>0</v>
      </c>
      <c r="C171">
        <f>IF($A171="","",0)</f>
        <v/>
      </c>
      <c r="D171">
        <f>IF($C171="","",IFERROR(INDEX(Mapa_RelIni,MATCH($A171&amp;"#"&amp;Data_Mapa&amp;"#1",Mapa_Chave,0)),Turno_Min))</f>
        <v/>
      </c>
      <c r="E171">
        <f>IF($C171="","",MAX(0,$D171-$C171))</f>
        <v/>
      </c>
      <c r="F171">
        <f>IF($E171="","",MAX(0,$E171-Limpeza_Min))</f>
        <v/>
      </c>
      <c r="G171">
        <f>IF($C171="","",0)</f>
        <v/>
      </c>
    </row>
    <row r="172">
      <c r="A172">
        <f>IF(OR('Calc'!$A15="",'Calc'!$B15&lt;&gt;"Sala cirúrgica"),"",'Calc'!$A15)</f>
        <v/>
      </c>
      <c r="B172" t="n">
        <v>1</v>
      </c>
      <c r="C172">
        <f>IF(OR($A172="",ISERROR(MATCH($A172&amp;"#"&amp;Data_Mapa&amp;"#1",Mapa_Chave,0))),"",INDEX(Mapa_RelFim,MATCH($A172&amp;"#"&amp;Data_Mapa&amp;"#1",Mapa_Chave,0))+Limpeza_Min)</f>
        <v/>
      </c>
      <c r="D172">
        <f>IF($C172="","",IFERROR(INDEX(Mapa_RelIni,MATCH($A172&amp;"#"&amp;Data_Mapa&amp;"#2",Mapa_Chave,0)),Turno_Min))</f>
        <v/>
      </c>
      <c r="E172">
        <f>IF($C172="","",MAX(0,$D172-$C172))</f>
        <v/>
      </c>
      <c r="F172">
        <f>IF($E172="","",MAX(0,$E172-Limpeza_Min))</f>
        <v/>
      </c>
      <c r="G172">
        <f>IF($C172="","",IF($D172&gt;=Turno_Min,N($G171),MAX(0,N($G171)+$C172-$D172)))</f>
        <v/>
      </c>
    </row>
    <row r="173">
      <c r="A173">
        <f>IF(OR('Calc'!$A15="",'Calc'!$B15&lt;&gt;"Sala cirúrgica"),"",'Calc'!$A15)</f>
        <v/>
      </c>
      <c r="B173" t="n">
        <v>2</v>
      </c>
      <c r="C173">
        <f>IF(OR($A173="",ISERROR(MATCH($A173&amp;"#"&amp;Data_Mapa&amp;"#2",Mapa_Chave,0))),"",INDEX(Mapa_RelFim,MATCH($A173&amp;"#"&amp;Data_Mapa&amp;"#2",Mapa_Chave,0))+Limpeza_Min)</f>
        <v/>
      </c>
      <c r="D173">
        <f>IF($C173="","",IFERROR(INDEX(Mapa_RelIni,MATCH($A173&amp;"#"&amp;Data_Mapa&amp;"#3",Mapa_Chave,0)),Turno_Min))</f>
        <v/>
      </c>
      <c r="E173">
        <f>IF($C173="","",MAX(0,$D173-$C173))</f>
        <v/>
      </c>
      <c r="F173">
        <f>IF($E173="","",MAX(0,$E173-Limpeza_Min))</f>
        <v/>
      </c>
      <c r="G173">
        <f>IF($C173="","",IF($D173&gt;=Turno_Min,N($G172),MAX(0,N($G172)+$C173-$D173)))</f>
        <v/>
      </c>
    </row>
    <row r="174">
      <c r="A174">
        <f>IF(OR('Calc'!$A15="",'Calc'!$B15&lt;&gt;"Sala cirúrgica"),"",'Calc'!$A15)</f>
        <v/>
      </c>
      <c r="B174" t="n">
        <v>3</v>
      </c>
      <c r="C174">
        <f>IF(OR($A174="",ISERROR(MATCH($A174&amp;"#"&amp;Data_Mapa&amp;"#3",Mapa_Chave,0))),"",INDEX(Mapa_RelFim,MATCH($A174&amp;"#"&amp;Data_Mapa&amp;"#3",Mapa_Chave,0))+Limpeza_Min)</f>
        <v/>
      </c>
      <c r="D174">
        <f>IF($C174="","",IFERROR(INDEX(Mapa_RelIni,MATCH($A174&amp;"#"&amp;Data_Mapa&amp;"#4",Mapa_Chave,0)),Turno_Min))</f>
        <v/>
      </c>
      <c r="E174">
        <f>IF($C174="","",MAX(0,$D174-$C174))</f>
        <v/>
      </c>
      <c r="F174">
        <f>IF($E174="","",MAX(0,$E174-Limpeza_Min))</f>
        <v/>
      </c>
      <c r="G174">
        <f>IF($C174="","",IF($D174&gt;=Turno_Min,N($G173),MAX(0,N($G173)+$C174-$D174)))</f>
        <v/>
      </c>
    </row>
    <row r="175">
      <c r="A175">
        <f>IF(OR('Calc'!$A15="",'Calc'!$B15&lt;&gt;"Sala cirúrgica"),"",'Calc'!$A15)</f>
        <v/>
      </c>
      <c r="B175" t="n">
        <v>4</v>
      </c>
      <c r="C175">
        <f>IF(OR($A175="",ISERROR(MATCH($A175&amp;"#"&amp;Data_Mapa&amp;"#4",Mapa_Chave,0))),"",INDEX(Mapa_RelFim,MATCH($A175&amp;"#"&amp;Data_Mapa&amp;"#4",Mapa_Chave,0))+Limpeza_Min)</f>
        <v/>
      </c>
      <c r="D175">
        <f>IF($C175="","",IFERROR(INDEX(Mapa_RelIni,MATCH($A175&amp;"#"&amp;Data_Mapa&amp;"#5",Mapa_Chave,0)),Turno_Min))</f>
        <v/>
      </c>
      <c r="E175">
        <f>IF($C175="","",MAX(0,$D175-$C175))</f>
        <v/>
      </c>
      <c r="F175">
        <f>IF($E175="","",MAX(0,$E175-Limpeza_Min))</f>
        <v/>
      </c>
      <c r="G175">
        <f>IF($C175="","",IF($D175&gt;=Turno_Min,N($G174),MAX(0,N($G174)+$C175-$D175)))</f>
        <v/>
      </c>
    </row>
    <row r="176">
      <c r="A176">
        <f>IF(OR('Calc'!$A15="",'Calc'!$B15&lt;&gt;"Sala cirúrgica"),"",'Calc'!$A15)</f>
        <v/>
      </c>
      <c r="B176" t="n">
        <v>5</v>
      </c>
      <c r="C176">
        <f>IF(OR($A176="",ISERROR(MATCH($A176&amp;"#"&amp;Data_Mapa&amp;"#5",Mapa_Chave,0))),"",INDEX(Mapa_RelFim,MATCH($A176&amp;"#"&amp;Data_Mapa&amp;"#5",Mapa_Chave,0))+Limpeza_Min)</f>
        <v/>
      </c>
      <c r="D176">
        <f>IF($C176="","",IFERROR(INDEX(Mapa_RelIni,MATCH($A176&amp;"#"&amp;Data_Mapa&amp;"#6",Mapa_Chave,0)),Turno_Min))</f>
        <v/>
      </c>
      <c r="E176">
        <f>IF($C176="","",MAX(0,$D176-$C176))</f>
        <v/>
      </c>
      <c r="F176">
        <f>IF($E176="","",MAX(0,$E176-Limpeza_Min))</f>
        <v/>
      </c>
      <c r="G176">
        <f>IF($C176="","",IF($D176&gt;=Turno_Min,N($G175),MAX(0,N($G175)+$C176-$D176)))</f>
        <v/>
      </c>
    </row>
    <row r="177">
      <c r="A177">
        <f>IF(OR('Calc'!$A15="",'Calc'!$B15&lt;&gt;"Sala cirúrgica"),"",'Calc'!$A15)</f>
        <v/>
      </c>
      <c r="B177" t="n">
        <v>6</v>
      </c>
      <c r="C177">
        <f>IF(OR($A177="",ISERROR(MATCH($A177&amp;"#"&amp;Data_Mapa&amp;"#6",Mapa_Chave,0))),"",INDEX(Mapa_RelFim,MATCH($A177&amp;"#"&amp;Data_Mapa&amp;"#6",Mapa_Chave,0))+Limpeza_Min)</f>
        <v/>
      </c>
      <c r="D177">
        <f>IF($C177="","",IFERROR(INDEX(Mapa_RelIni,MATCH($A177&amp;"#"&amp;Data_Mapa&amp;"#7",Mapa_Chave,0)),Turno_Min))</f>
        <v/>
      </c>
      <c r="E177">
        <f>IF($C177="","",MAX(0,$D177-$C177))</f>
        <v/>
      </c>
      <c r="F177">
        <f>IF($E177="","",MAX(0,$E177-Limpeza_Min))</f>
        <v/>
      </c>
      <c r="G177">
        <f>IF($C177="","",IF($D177&gt;=Turno_Min,N($G176),MAX(0,N($G176)+$C177-$D177)))</f>
        <v/>
      </c>
    </row>
    <row r="178">
      <c r="A178">
        <f>IF(OR('Calc'!$A15="",'Calc'!$B15&lt;&gt;"Sala cirúrgica"),"",'Calc'!$A15)</f>
        <v/>
      </c>
      <c r="B178" t="n">
        <v>7</v>
      </c>
      <c r="C178">
        <f>IF(OR($A178="",ISERROR(MATCH($A178&amp;"#"&amp;Data_Mapa&amp;"#7",Mapa_Chave,0))),"",INDEX(Mapa_RelFim,MATCH($A178&amp;"#"&amp;Data_Mapa&amp;"#7",Mapa_Chave,0))+Limpeza_Min)</f>
        <v/>
      </c>
      <c r="D178">
        <f>IF($C178="","",IFERROR(INDEX(Mapa_RelIni,MATCH($A178&amp;"#"&amp;Data_Mapa&amp;"#8",Mapa_Chave,0)),Turno_Min))</f>
        <v/>
      </c>
      <c r="E178">
        <f>IF($C178="","",MAX(0,$D178-$C178))</f>
        <v/>
      </c>
      <c r="F178">
        <f>IF($E178="","",MAX(0,$E178-Limpeza_Min))</f>
        <v/>
      </c>
      <c r="G178">
        <f>IF($C178="","",IF($D178&gt;=Turno_Min,N($G177),MAX(0,N($G177)+$C178-$D178)))</f>
        <v/>
      </c>
    </row>
    <row r="179">
      <c r="A179">
        <f>IF(OR('Calc'!$A15="",'Calc'!$B15&lt;&gt;"Sala cirúrgica"),"",'Calc'!$A15)</f>
        <v/>
      </c>
      <c r="B179" t="n">
        <v>8</v>
      </c>
      <c r="C179">
        <f>IF(OR($A179="",ISERROR(MATCH($A179&amp;"#"&amp;Data_Mapa&amp;"#8",Mapa_Chave,0))),"",INDEX(Mapa_RelFim,MATCH($A179&amp;"#"&amp;Data_Mapa&amp;"#8",Mapa_Chave,0))+Limpeza_Min)</f>
        <v/>
      </c>
      <c r="D179">
        <f>IF($C179="","",IFERROR(INDEX(Mapa_RelIni,MATCH($A179&amp;"#"&amp;Data_Mapa&amp;"#9",Mapa_Chave,0)),Turno_Min))</f>
        <v/>
      </c>
      <c r="E179">
        <f>IF($C179="","",MAX(0,$D179-$C179))</f>
        <v/>
      </c>
      <c r="F179">
        <f>IF($E179="","",MAX(0,$E179-Limpeza_Min))</f>
        <v/>
      </c>
      <c r="G179">
        <f>IF($C179="","",IF($D179&gt;=Turno_Min,N($G178),MAX(0,N($G178)+$C179-$D179)))</f>
        <v/>
      </c>
    </row>
    <row r="180">
      <c r="A180">
        <f>IF(OR('Calc'!$A15="",'Calc'!$B15&lt;&gt;"Sala cirúrgica"),"",'Calc'!$A15)</f>
        <v/>
      </c>
      <c r="B180" t="n">
        <v>9</v>
      </c>
      <c r="C180">
        <f>IF(OR($A180="",ISERROR(MATCH($A180&amp;"#"&amp;Data_Mapa&amp;"#9",Mapa_Chave,0))),"",INDEX(Mapa_RelFim,MATCH($A180&amp;"#"&amp;Data_Mapa&amp;"#9",Mapa_Chave,0))+Limpeza_Min)</f>
        <v/>
      </c>
      <c r="D180">
        <f>IF($C180="","",IFERROR(INDEX(Mapa_RelIni,MATCH($A180&amp;"#"&amp;Data_Mapa&amp;"#10",Mapa_Chave,0)),Turno_Min))</f>
        <v/>
      </c>
      <c r="E180">
        <f>IF($C180="","",MAX(0,$D180-$C180))</f>
        <v/>
      </c>
      <c r="F180">
        <f>IF($E180="","",MAX(0,$E180-Limpeza_Min))</f>
        <v/>
      </c>
      <c r="G180">
        <f>IF($C180="","",IF($D180&gt;=Turno_Min,N($G179),MAX(0,N($G179)+$C180-$D180)))</f>
        <v/>
      </c>
    </row>
    <row r="181">
      <c r="A181">
        <f>IF(OR('Calc'!$A15="",'Calc'!$B15&lt;&gt;"Sala cirúrgica"),"",'Calc'!$A15)</f>
        <v/>
      </c>
      <c r="B181" t="n">
        <v>10</v>
      </c>
      <c r="C181">
        <f>IF(OR($A181="",ISERROR(MATCH($A181&amp;"#"&amp;Data_Mapa&amp;"#10",Mapa_Chave,0))),"",INDEX(Mapa_RelFim,MATCH($A181&amp;"#"&amp;Data_Mapa&amp;"#10",Mapa_Chave,0))+Limpeza_Min)</f>
        <v/>
      </c>
      <c r="D181">
        <f>IF($C181="","",IFERROR(INDEX(Mapa_RelIni,MATCH($A181&amp;"#"&amp;Data_Mapa&amp;"#11",Mapa_Chave,0)),Turno_Min))</f>
        <v/>
      </c>
      <c r="E181">
        <f>IF($C181="","",MAX(0,$D181-$C181))</f>
        <v/>
      </c>
      <c r="F181">
        <f>IF($E181="","",MAX(0,$E181-Limpeza_Min))</f>
        <v/>
      </c>
      <c r="G181">
        <f>IF($C181="","",IF($D181&gt;=Turno_Min,N($G180),MAX(0,N($G180)+$C181-$D181)))</f>
        <v/>
      </c>
    </row>
    <row r="182">
      <c r="A182">
        <f>IF(OR('Calc'!$A15="",'Calc'!$B15&lt;&gt;"Sala cirúrgica"),"",'Calc'!$A15)</f>
        <v/>
      </c>
      <c r="B182" t="n">
        <v>11</v>
      </c>
      <c r="C182">
        <f>IF(OR($A182="",ISERROR(MATCH($A182&amp;"#"&amp;Data_Mapa&amp;"#11",Mapa_Chave,0))),"",INDEX(Mapa_RelFim,MATCH($A182&amp;"#"&amp;Data_Mapa&amp;"#11",Mapa_Chave,0))+Limpeza_Min)</f>
        <v/>
      </c>
      <c r="D182">
        <f>IF($C182="","",IFERROR(INDEX(Mapa_RelIni,MATCH($A182&amp;"#"&amp;Data_Mapa&amp;"#12",Mapa_Chave,0)),Turno_Min))</f>
        <v/>
      </c>
      <c r="E182">
        <f>IF($C182="","",MAX(0,$D182-$C182))</f>
        <v/>
      </c>
      <c r="F182">
        <f>IF($E182="","",MAX(0,$E182-Limpeza_Min))</f>
        <v/>
      </c>
      <c r="G182">
        <f>IF($C182="","",IF($D182&gt;=Turno_Min,N($G181),MAX(0,N($G181)+$C182-$D182)))</f>
        <v/>
      </c>
    </row>
    <row r="183">
      <c r="A183">
        <f>IF(OR('Calc'!$A15="",'Calc'!$B15&lt;&gt;"Sala cirúrgica"),"",'Calc'!$A15)</f>
        <v/>
      </c>
      <c r="B183" t="n">
        <v>12</v>
      </c>
      <c r="C183">
        <f>IF(OR($A183="",ISERROR(MATCH($A183&amp;"#"&amp;Data_Mapa&amp;"#12",Mapa_Chave,0))),"",INDEX(Mapa_RelFim,MATCH($A183&amp;"#"&amp;Data_Mapa&amp;"#12",Mapa_Chave,0))+Limpeza_Min)</f>
        <v/>
      </c>
      <c r="D183">
        <f>IF($C183="","",IFERROR(INDEX(Mapa_RelIni,MATCH($A183&amp;"#"&amp;Data_Mapa&amp;"#13",Mapa_Chave,0)),Turno_Min))</f>
        <v/>
      </c>
      <c r="E183">
        <f>IF($C183="","",MAX(0,$D183-$C183))</f>
        <v/>
      </c>
      <c r="F183">
        <f>IF($E183="","",MAX(0,$E183-Limpeza_Min))</f>
        <v/>
      </c>
      <c r="G183">
        <f>IF($C183="","",IF($D183&gt;=Turno_Min,N($G182),MAX(0,N($G182)+$C183-$D183)))</f>
        <v/>
      </c>
    </row>
    <row r="184">
      <c r="A184">
        <f>IF(OR('Calc'!$A16="",'Calc'!$B16&lt;&gt;"Sala cirúrgica"),"",'Calc'!$A16)</f>
        <v/>
      </c>
      <c r="B184" t="n">
        <v>0</v>
      </c>
      <c r="C184">
        <f>IF($A184="","",0)</f>
        <v/>
      </c>
      <c r="D184">
        <f>IF($C184="","",IFERROR(INDEX(Mapa_RelIni,MATCH($A184&amp;"#"&amp;Data_Mapa&amp;"#1",Mapa_Chave,0)),Turno_Min))</f>
        <v/>
      </c>
      <c r="E184">
        <f>IF($C184="","",MAX(0,$D184-$C184))</f>
        <v/>
      </c>
      <c r="F184">
        <f>IF($E184="","",MAX(0,$E184-Limpeza_Min))</f>
        <v/>
      </c>
      <c r="G184">
        <f>IF($C184="","",0)</f>
        <v/>
      </c>
    </row>
    <row r="185">
      <c r="A185">
        <f>IF(OR('Calc'!$A16="",'Calc'!$B16&lt;&gt;"Sala cirúrgica"),"",'Calc'!$A16)</f>
        <v/>
      </c>
      <c r="B185" t="n">
        <v>1</v>
      </c>
      <c r="C185">
        <f>IF(OR($A185="",ISERROR(MATCH($A185&amp;"#"&amp;Data_Mapa&amp;"#1",Mapa_Chave,0))),"",INDEX(Mapa_RelFim,MATCH($A185&amp;"#"&amp;Data_Mapa&amp;"#1",Mapa_Chave,0))+Limpeza_Min)</f>
        <v/>
      </c>
      <c r="D185">
        <f>IF($C185="","",IFERROR(INDEX(Mapa_RelIni,MATCH($A185&amp;"#"&amp;Data_Mapa&amp;"#2",Mapa_Chave,0)),Turno_Min))</f>
        <v/>
      </c>
      <c r="E185">
        <f>IF($C185="","",MAX(0,$D185-$C185))</f>
        <v/>
      </c>
      <c r="F185">
        <f>IF($E185="","",MAX(0,$E185-Limpeza_Min))</f>
        <v/>
      </c>
      <c r="G185">
        <f>IF($C185="","",IF($D185&gt;=Turno_Min,N($G184),MAX(0,N($G184)+$C185-$D185)))</f>
        <v/>
      </c>
    </row>
    <row r="186">
      <c r="A186">
        <f>IF(OR('Calc'!$A16="",'Calc'!$B16&lt;&gt;"Sala cirúrgica"),"",'Calc'!$A16)</f>
        <v/>
      </c>
      <c r="B186" t="n">
        <v>2</v>
      </c>
      <c r="C186">
        <f>IF(OR($A186="",ISERROR(MATCH($A186&amp;"#"&amp;Data_Mapa&amp;"#2",Mapa_Chave,0))),"",INDEX(Mapa_RelFim,MATCH($A186&amp;"#"&amp;Data_Mapa&amp;"#2",Mapa_Chave,0))+Limpeza_Min)</f>
        <v/>
      </c>
      <c r="D186">
        <f>IF($C186="","",IFERROR(INDEX(Mapa_RelIni,MATCH($A186&amp;"#"&amp;Data_Mapa&amp;"#3",Mapa_Chave,0)),Turno_Min))</f>
        <v/>
      </c>
      <c r="E186">
        <f>IF($C186="","",MAX(0,$D186-$C186))</f>
        <v/>
      </c>
      <c r="F186">
        <f>IF($E186="","",MAX(0,$E186-Limpeza_Min))</f>
        <v/>
      </c>
      <c r="G186">
        <f>IF($C186="","",IF($D186&gt;=Turno_Min,N($G185),MAX(0,N($G185)+$C186-$D186)))</f>
        <v/>
      </c>
    </row>
    <row r="187">
      <c r="A187">
        <f>IF(OR('Calc'!$A16="",'Calc'!$B16&lt;&gt;"Sala cirúrgica"),"",'Calc'!$A16)</f>
        <v/>
      </c>
      <c r="B187" t="n">
        <v>3</v>
      </c>
      <c r="C187">
        <f>IF(OR($A187="",ISERROR(MATCH($A187&amp;"#"&amp;Data_Mapa&amp;"#3",Mapa_Chave,0))),"",INDEX(Mapa_RelFim,MATCH($A187&amp;"#"&amp;Data_Mapa&amp;"#3",Mapa_Chave,0))+Limpeza_Min)</f>
        <v/>
      </c>
      <c r="D187">
        <f>IF($C187="","",IFERROR(INDEX(Mapa_RelIni,MATCH($A187&amp;"#"&amp;Data_Mapa&amp;"#4",Mapa_Chave,0)),Turno_Min))</f>
        <v/>
      </c>
      <c r="E187">
        <f>IF($C187="","",MAX(0,$D187-$C187))</f>
        <v/>
      </c>
      <c r="F187">
        <f>IF($E187="","",MAX(0,$E187-Limpeza_Min))</f>
        <v/>
      </c>
      <c r="G187">
        <f>IF($C187="","",IF($D187&gt;=Turno_Min,N($G186),MAX(0,N($G186)+$C187-$D187)))</f>
        <v/>
      </c>
    </row>
    <row r="188">
      <c r="A188">
        <f>IF(OR('Calc'!$A16="",'Calc'!$B16&lt;&gt;"Sala cirúrgica"),"",'Calc'!$A16)</f>
        <v/>
      </c>
      <c r="B188" t="n">
        <v>4</v>
      </c>
      <c r="C188">
        <f>IF(OR($A188="",ISERROR(MATCH($A188&amp;"#"&amp;Data_Mapa&amp;"#4",Mapa_Chave,0))),"",INDEX(Mapa_RelFim,MATCH($A188&amp;"#"&amp;Data_Mapa&amp;"#4",Mapa_Chave,0))+Limpeza_Min)</f>
        <v/>
      </c>
      <c r="D188">
        <f>IF($C188="","",IFERROR(INDEX(Mapa_RelIni,MATCH($A188&amp;"#"&amp;Data_Mapa&amp;"#5",Mapa_Chave,0)),Turno_Min))</f>
        <v/>
      </c>
      <c r="E188">
        <f>IF($C188="","",MAX(0,$D188-$C188))</f>
        <v/>
      </c>
      <c r="F188">
        <f>IF($E188="","",MAX(0,$E188-Limpeza_Min))</f>
        <v/>
      </c>
      <c r="G188">
        <f>IF($C188="","",IF($D188&gt;=Turno_Min,N($G187),MAX(0,N($G187)+$C188-$D188)))</f>
        <v/>
      </c>
    </row>
    <row r="189">
      <c r="A189">
        <f>IF(OR('Calc'!$A16="",'Calc'!$B16&lt;&gt;"Sala cirúrgica"),"",'Calc'!$A16)</f>
        <v/>
      </c>
      <c r="B189" t="n">
        <v>5</v>
      </c>
      <c r="C189">
        <f>IF(OR($A189="",ISERROR(MATCH($A189&amp;"#"&amp;Data_Mapa&amp;"#5",Mapa_Chave,0))),"",INDEX(Mapa_RelFim,MATCH($A189&amp;"#"&amp;Data_Mapa&amp;"#5",Mapa_Chave,0))+Limpeza_Min)</f>
        <v/>
      </c>
      <c r="D189">
        <f>IF($C189="","",IFERROR(INDEX(Mapa_RelIni,MATCH($A189&amp;"#"&amp;Data_Mapa&amp;"#6",Mapa_Chave,0)),Turno_Min))</f>
        <v/>
      </c>
      <c r="E189">
        <f>IF($C189="","",MAX(0,$D189-$C189))</f>
        <v/>
      </c>
      <c r="F189">
        <f>IF($E189="","",MAX(0,$E189-Limpeza_Min))</f>
        <v/>
      </c>
      <c r="G189">
        <f>IF($C189="","",IF($D189&gt;=Turno_Min,N($G188),MAX(0,N($G188)+$C189-$D189)))</f>
        <v/>
      </c>
    </row>
    <row r="190">
      <c r="A190">
        <f>IF(OR('Calc'!$A16="",'Calc'!$B16&lt;&gt;"Sala cirúrgica"),"",'Calc'!$A16)</f>
        <v/>
      </c>
      <c r="B190" t="n">
        <v>6</v>
      </c>
      <c r="C190">
        <f>IF(OR($A190="",ISERROR(MATCH($A190&amp;"#"&amp;Data_Mapa&amp;"#6",Mapa_Chave,0))),"",INDEX(Mapa_RelFim,MATCH($A190&amp;"#"&amp;Data_Mapa&amp;"#6",Mapa_Chave,0))+Limpeza_Min)</f>
        <v/>
      </c>
      <c r="D190">
        <f>IF($C190="","",IFERROR(INDEX(Mapa_RelIni,MATCH($A190&amp;"#"&amp;Data_Mapa&amp;"#7",Mapa_Chave,0)),Turno_Min))</f>
        <v/>
      </c>
      <c r="E190">
        <f>IF($C190="","",MAX(0,$D190-$C190))</f>
        <v/>
      </c>
      <c r="F190">
        <f>IF($E190="","",MAX(0,$E190-Limpeza_Min))</f>
        <v/>
      </c>
      <c r="G190">
        <f>IF($C190="","",IF($D190&gt;=Turno_Min,N($G189),MAX(0,N($G189)+$C190-$D190)))</f>
        <v/>
      </c>
    </row>
    <row r="191">
      <c r="A191">
        <f>IF(OR('Calc'!$A16="",'Calc'!$B16&lt;&gt;"Sala cirúrgica"),"",'Calc'!$A16)</f>
        <v/>
      </c>
      <c r="B191" t="n">
        <v>7</v>
      </c>
      <c r="C191">
        <f>IF(OR($A191="",ISERROR(MATCH($A191&amp;"#"&amp;Data_Mapa&amp;"#7",Mapa_Chave,0))),"",INDEX(Mapa_RelFim,MATCH($A191&amp;"#"&amp;Data_Mapa&amp;"#7",Mapa_Chave,0))+Limpeza_Min)</f>
        <v/>
      </c>
      <c r="D191">
        <f>IF($C191="","",IFERROR(INDEX(Mapa_RelIni,MATCH($A191&amp;"#"&amp;Data_Mapa&amp;"#8",Mapa_Chave,0)),Turno_Min))</f>
        <v/>
      </c>
      <c r="E191">
        <f>IF($C191="","",MAX(0,$D191-$C191))</f>
        <v/>
      </c>
      <c r="F191">
        <f>IF($E191="","",MAX(0,$E191-Limpeza_Min))</f>
        <v/>
      </c>
      <c r="G191">
        <f>IF($C191="","",IF($D191&gt;=Turno_Min,N($G190),MAX(0,N($G190)+$C191-$D191)))</f>
        <v/>
      </c>
    </row>
    <row r="192">
      <c r="A192">
        <f>IF(OR('Calc'!$A16="",'Calc'!$B16&lt;&gt;"Sala cirúrgica"),"",'Calc'!$A16)</f>
        <v/>
      </c>
      <c r="B192" t="n">
        <v>8</v>
      </c>
      <c r="C192">
        <f>IF(OR($A192="",ISERROR(MATCH($A192&amp;"#"&amp;Data_Mapa&amp;"#8",Mapa_Chave,0))),"",INDEX(Mapa_RelFim,MATCH($A192&amp;"#"&amp;Data_Mapa&amp;"#8",Mapa_Chave,0))+Limpeza_Min)</f>
        <v/>
      </c>
      <c r="D192">
        <f>IF($C192="","",IFERROR(INDEX(Mapa_RelIni,MATCH($A192&amp;"#"&amp;Data_Mapa&amp;"#9",Mapa_Chave,0)),Turno_Min))</f>
        <v/>
      </c>
      <c r="E192">
        <f>IF($C192="","",MAX(0,$D192-$C192))</f>
        <v/>
      </c>
      <c r="F192">
        <f>IF($E192="","",MAX(0,$E192-Limpeza_Min))</f>
        <v/>
      </c>
      <c r="G192">
        <f>IF($C192="","",IF($D192&gt;=Turno_Min,N($G191),MAX(0,N($G191)+$C192-$D192)))</f>
        <v/>
      </c>
    </row>
    <row r="193">
      <c r="A193">
        <f>IF(OR('Calc'!$A16="",'Calc'!$B16&lt;&gt;"Sala cirúrgica"),"",'Calc'!$A16)</f>
        <v/>
      </c>
      <c r="B193" t="n">
        <v>9</v>
      </c>
      <c r="C193">
        <f>IF(OR($A193="",ISERROR(MATCH($A193&amp;"#"&amp;Data_Mapa&amp;"#9",Mapa_Chave,0))),"",INDEX(Mapa_RelFim,MATCH($A193&amp;"#"&amp;Data_Mapa&amp;"#9",Mapa_Chave,0))+Limpeza_Min)</f>
        <v/>
      </c>
      <c r="D193">
        <f>IF($C193="","",IFERROR(INDEX(Mapa_RelIni,MATCH($A193&amp;"#"&amp;Data_Mapa&amp;"#10",Mapa_Chave,0)),Turno_Min))</f>
        <v/>
      </c>
      <c r="E193">
        <f>IF($C193="","",MAX(0,$D193-$C193))</f>
        <v/>
      </c>
      <c r="F193">
        <f>IF($E193="","",MAX(0,$E193-Limpeza_Min))</f>
        <v/>
      </c>
      <c r="G193">
        <f>IF($C193="","",IF($D193&gt;=Turno_Min,N($G192),MAX(0,N($G192)+$C193-$D193)))</f>
        <v/>
      </c>
    </row>
    <row r="194">
      <c r="A194">
        <f>IF(OR('Calc'!$A16="",'Calc'!$B16&lt;&gt;"Sala cirúrgica"),"",'Calc'!$A16)</f>
        <v/>
      </c>
      <c r="B194" t="n">
        <v>10</v>
      </c>
      <c r="C194">
        <f>IF(OR($A194="",ISERROR(MATCH($A194&amp;"#"&amp;Data_Mapa&amp;"#10",Mapa_Chave,0))),"",INDEX(Mapa_RelFim,MATCH($A194&amp;"#"&amp;Data_Mapa&amp;"#10",Mapa_Chave,0))+Limpeza_Min)</f>
        <v/>
      </c>
      <c r="D194">
        <f>IF($C194="","",IFERROR(INDEX(Mapa_RelIni,MATCH($A194&amp;"#"&amp;Data_Mapa&amp;"#11",Mapa_Chave,0)),Turno_Min))</f>
        <v/>
      </c>
      <c r="E194">
        <f>IF($C194="","",MAX(0,$D194-$C194))</f>
        <v/>
      </c>
      <c r="F194">
        <f>IF($E194="","",MAX(0,$E194-Limpeza_Min))</f>
        <v/>
      </c>
      <c r="G194">
        <f>IF($C194="","",IF($D194&gt;=Turno_Min,N($G193),MAX(0,N($G193)+$C194-$D194)))</f>
        <v/>
      </c>
    </row>
    <row r="195">
      <c r="A195">
        <f>IF(OR('Calc'!$A16="",'Calc'!$B16&lt;&gt;"Sala cirúrgica"),"",'Calc'!$A16)</f>
        <v/>
      </c>
      <c r="B195" t="n">
        <v>11</v>
      </c>
      <c r="C195">
        <f>IF(OR($A195="",ISERROR(MATCH($A195&amp;"#"&amp;Data_Mapa&amp;"#11",Mapa_Chave,0))),"",INDEX(Mapa_RelFim,MATCH($A195&amp;"#"&amp;Data_Mapa&amp;"#11",Mapa_Chave,0))+Limpeza_Min)</f>
        <v/>
      </c>
      <c r="D195">
        <f>IF($C195="","",IFERROR(INDEX(Mapa_RelIni,MATCH($A195&amp;"#"&amp;Data_Mapa&amp;"#12",Mapa_Chave,0)),Turno_Min))</f>
        <v/>
      </c>
      <c r="E195">
        <f>IF($C195="","",MAX(0,$D195-$C195))</f>
        <v/>
      </c>
      <c r="F195">
        <f>IF($E195="","",MAX(0,$E195-Limpeza_Min))</f>
        <v/>
      </c>
      <c r="G195">
        <f>IF($C195="","",IF($D195&gt;=Turno_Min,N($G194),MAX(0,N($G194)+$C195-$D195)))</f>
        <v/>
      </c>
    </row>
    <row r="196">
      <c r="A196">
        <f>IF(OR('Calc'!$A16="",'Calc'!$B16&lt;&gt;"Sala cirúrgica"),"",'Calc'!$A16)</f>
        <v/>
      </c>
      <c r="B196" t="n">
        <v>12</v>
      </c>
      <c r="C196">
        <f>IF(OR($A196="",ISERROR(MATCH($A196&amp;"#"&amp;Data_Mapa&amp;"#12",Mapa_Chave,0))),"",INDEX(Mapa_RelFim,MATCH($A196&amp;"#"&amp;Data_Mapa&amp;"#12",Mapa_Chave,0))+Limpeza_Min)</f>
        <v/>
      </c>
      <c r="D196">
        <f>IF($C196="","",IFERROR(INDEX(Mapa_RelIni,MATCH($A196&amp;"#"&amp;Data_Mapa&amp;"#13",Mapa_Chave,0)),Turno_Min))</f>
        <v/>
      </c>
      <c r="E196">
        <f>IF($C196="","",MAX(0,$D196-$C196))</f>
        <v/>
      </c>
      <c r="F196">
        <f>IF($E196="","",MAX(0,$E196-Limpeza_Min))</f>
        <v/>
      </c>
      <c r="G196">
        <f>IF($C196="","",IF($D196&gt;=Turno_Min,N($G195),MAX(0,N($G195)+$C196-$D196)))</f>
        <v/>
      </c>
    </row>
    <row r="197">
      <c r="A197">
        <f>IF(OR('Calc'!$A17="",'Calc'!$B17&lt;&gt;"Sala cirúrgica"),"",'Calc'!$A17)</f>
        <v/>
      </c>
      <c r="B197" t="n">
        <v>0</v>
      </c>
      <c r="C197">
        <f>IF($A197="","",0)</f>
        <v/>
      </c>
      <c r="D197">
        <f>IF($C197="","",IFERROR(INDEX(Mapa_RelIni,MATCH($A197&amp;"#"&amp;Data_Mapa&amp;"#1",Mapa_Chave,0)),Turno_Min))</f>
        <v/>
      </c>
      <c r="E197">
        <f>IF($C197="","",MAX(0,$D197-$C197))</f>
        <v/>
      </c>
      <c r="F197">
        <f>IF($E197="","",MAX(0,$E197-Limpeza_Min))</f>
        <v/>
      </c>
      <c r="G197">
        <f>IF($C197="","",0)</f>
        <v/>
      </c>
    </row>
    <row r="198">
      <c r="A198">
        <f>IF(OR('Calc'!$A17="",'Calc'!$B17&lt;&gt;"Sala cirúrgica"),"",'Calc'!$A17)</f>
        <v/>
      </c>
      <c r="B198" t="n">
        <v>1</v>
      </c>
      <c r="C198">
        <f>IF(OR($A198="",ISERROR(MATCH($A198&amp;"#"&amp;Data_Mapa&amp;"#1",Mapa_Chave,0))),"",INDEX(Mapa_RelFim,MATCH($A198&amp;"#"&amp;Data_Mapa&amp;"#1",Mapa_Chave,0))+Limpeza_Min)</f>
        <v/>
      </c>
      <c r="D198">
        <f>IF($C198="","",IFERROR(INDEX(Mapa_RelIni,MATCH($A198&amp;"#"&amp;Data_Mapa&amp;"#2",Mapa_Chave,0)),Turno_Min))</f>
        <v/>
      </c>
      <c r="E198">
        <f>IF($C198="","",MAX(0,$D198-$C198))</f>
        <v/>
      </c>
      <c r="F198">
        <f>IF($E198="","",MAX(0,$E198-Limpeza_Min))</f>
        <v/>
      </c>
      <c r="G198">
        <f>IF($C198="","",IF($D198&gt;=Turno_Min,N($G197),MAX(0,N($G197)+$C198-$D198)))</f>
        <v/>
      </c>
    </row>
    <row r="199">
      <c r="A199">
        <f>IF(OR('Calc'!$A17="",'Calc'!$B17&lt;&gt;"Sala cirúrgica"),"",'Calc'!$A17)</f>
        <v/>
      </c>
      <c r="B199" t="n">
        <v>2</v>
      </c>
      <c r="C199">
        <f>IF(OR($A199="",ISERROR(MATCH($A199&amp;"#"&amp;Data_Mapa&amp;"#2",Mapa_Chave,0))),"",INDEX(Mapa_RelFim,MATCH($A199&amp;"#"&amp;Data_Mapa&amp;"#2",Mapa_Chave,0))+Limpeza_Min)</f>
        <v/>
      </c>
      <c r="D199">
        <f>IF($C199="","",IFERROR(INDEX(Mapa_RelIni,MATCH($A199&amp;"#"&amp;Data_Mapa&amp;"#3",Mapa_Chave,0)),Turno_Min))</f>
        <v/>
      </c>
      <c r="E199">
        <f>IF($C199="","",MAX(0,$D199-$C199))</f>
        <v/>
      </c>
      <c r="F199">
        <f>IF($E199="","",MAX(0,$E199-Limpeza_Min))</f>
        <v/>
      </c>
      <c r="G199">
        <f>IF($C199="","",IF($D199&gt;=Turno_Min,N($G198),MAX(0,N($G198)+$C199-$D199)))</f>
        <v/>
      </c>
    </row>
    <row r="200">
      <c r="A200">
        <f>IF(OR('Calc'!$A17="",'Calc'!$B17&lt;&gt;"Sala cirúrgica"),"",'Calc'!$A17)</f>
        <v/>
      </c>
      <c r="B200" t="n">
        <v>3</v>
      </c>
      <c r="C200">
        <f>IF(OR($A200="",ISERROR(MATCH($A200&amp;"#"&amp;Data_Mapa&amp;"#3",Mapa_Chave,0))),"",INDEX(Mapa_RelFim,MATCH($A200&amp;"#"&amp;Data_Mapa&amp;"#3",Mapa_Chave,0))+Limpeza_Min)</f>
        <v/>
      </c>
      <c r="D200">
        <f>IF($C200="","",IFERROR(INDEX(Mapa_RelIni,MATCH($A200&amp;"#"&amp;Data_Mapa&amp;"#4",Mapa_Chave,0)),Turno_Min))</f>
        <v/>
      </c>
      <c r="E200">
        <f>IF($C200="","",MAX(0,$D200-$C200))</f>
        <v/>
      </c>
      <c r="F200">
        <f>IF($E200="","",MAX(0,$E200-Limpeza_Min))</f>
        <v/>
      </c>
      <c r="G200">
        <f>IF($C200="","",IF($D200&gt;=Turno_Min,N($G199),MAX(0,N($G199)+$C200-$D200)))</f>
        <v/>
      </c>
    </row>
    <row r="201">
      <c r="A201">
        <f>IF(OR('Calc'!$A17="",'Calc'!$B17&lt;&gt;"Sala cirúrgica"),"",'Calc'!$A17)</f>
        <v/>
      </c>
      <c r="B201" t="n">
        <v>4</v>
      </c>
      <c r="C201">
        <f>IF(OR($A201="",ISERROR(MATCH($A201&amp;"#"&amp;Data_Mapa&amp;"#4",Mapa_Chave,0))),"",INDEX(Mapa_RelFim,MATCH($A201&amp;"#"&amp;Data_Mapa&amp;"#4",Mapa_Chave,0))+Limpeza_Min)</f>
        <v/>
      </c>
      <c r="D201">
        <f>IF($C201="","",IFERROR(INDEX(Mapa_RelIni,MATCH($A201&amp;"#"&amp;Data_Mapa&amp;"#5",Mapa_Chave,0)),Turno_Min))</f>
        <v/>
      </c>
      <c r="E201">
        <f>IF($C201="","",MAX(0,$D201-$C201))</f>
        <v/>
      </c>
      <c r="F201">
        <f>IF($E201="","",MAX(0,$E201-Limpeza_Min))</f>
        <v/>
      </c>
      <c r="G201">
        <f>IF($C201="","",IF($D201&gt;=Turno_Min,N($G200),MAX(0,N($G200)+$C201-$D201)))</f>
        <v/>
      </c>
    </row>
    <row r="202">
      <c r="A202">
        <f>IF(OR('Calc'!$A17="",'Calc'!$B17&lt;&gt;"Sala cirúrgica"),"",'Calc'!$A17)</f>
        <v/>
      </c>
      <c r="B202" t="n">
        <v>5</v>
      </c>
      <c r="C202">
        <f>IF(OR($A202="",ISERROR(MATCH($A202&amp;"#"&amp;Data_Mapa&amp;"#5",Mapa_Chave,0))),"",INDEX(Mapa_RelFim,MATCH($A202&amp;"#"&amp;Data_Mapa&amp;"#5",Mapa_Chave,0))+Limpeza_Min)</f>
        <v/>
      </c>
      <c r="D202">
        <f>IF($C202="","",IFERROR(INDEX(Mapa_RelIni,MATCH($A202&amp;"#"&amp;Data_Mapa&amp;"#6",Mapa_Chave,0)),Turno_Min))</f>
        <v/>
      </c>
      <c r="E202">
        <f>IF($C202="","",MAX(0,$D202-$C202))</f>
        <v/>
      </c>
      <c r="F202">
        <f>IF($E202="","",MAX(0,$E202-Limpeza_Min))</f>
        <v/>
      </c>
      <c r="G202">
        <f>IF($C202="","",IF($D202&gt;=Turno_Min,N($G201),MAX(0,N($G201)+$C202-$D202)))</f>
        <v/>
      </c>
    </row>
    <row r="203">
      <c r="A203">
        <f>IF(OR('Calc'!$A17="",'Calc'!$B17&lt;&gt;"Sala cirúrgica"),"",'Calc'!$A17)</f>
        <v/>
      </c>
      <c r="B203" t="n">
        <v>6</v>
      </c>
      <c r="C203">
        <f>IF(OR($A203="",ISERROR(MATCH($A203&amp;"#"&amp;Data_Mapa&amp;"#6",Mapa_Chave,0))),"",INDEX(Mapa_RelFim,MATCH($A203&amp;"#"&amp;Data_Mapa&amp;"#6",Mapa_Chave,0))+Limpeza_Min)</f>
        <v/>
      </c>
      <c r="D203">
        <f>IF($C203="","",IFERROR(INDEX(Mapa_RelIni,MATCH($A203&amp;"#"&amp;Data_Mapa&amp;"#7",Mapa_Chave,0)),Turno_Min))</f>
        <v/>
      </c>
      <c r="E203">
        <f>IF($C203="","",MAX(0,$D203-$C203))</f>
        <v/>
      </c>
      <c r="F203">
        <f>IF($E203="","",MAX(0,$E203-Limpeza_Min))</f>
        <v/>
      </c>
      <c r="G203">
        <f>IF($C203="","",IF($D203&gt;=Turno_Min,N($G202),MAX(0,N($G202)+$C203-$D203)))</f>
        <v/>
      </c>
    </row>
    <row r="204">
      <c r="A204">
        <f>IF(OR('Calc'!$A17="",'Calc'!$B17&lt;&gt;"Sala cirúrgica"),"",'Calc'!$A17)</f>
        <v/>
      </c>
      <c r="B204" t="n">
        <v>7</v>
      </c>
      <c r="C204">
        <f>IF(OR($A204="",ISERROR(MATCH($A204&amp;"#"&amp;Data_Mapa&amp;"#7",Mapa_Chave,0))),"",INDEX(Mapa_RelFim,MATCH($A204&amp;"#"&amp;Data_Mapa&amp;"#7",Mapa_Chave,0))+Limpeza_Min)</f>
        <v/>
      </c>
      <c r="D204">
        <f>IF($C204="","",IFERROR(INDEX(Mapa_RelIni,MATCH($A204&amp;"#"&amp;Data_Mapa&amp;"#8",Mapa_Chave,0)),Turno_Min))</f>
        <v/>
      </c>
      <c r="E204">
        <f>IF($C204="","",MAX(0,$D204-$C204))</f>
        <v/>
      </c>
      <c r="F204">
        <f>IF($E204="","",MAX(0,$E204-Limpeza_Min))</f>
        <v/>
      </c>
      <c r="G204">
        <f>IF($C204="","",IF($D204&gt;=Turno_Min,N($G203),MAX(0,N($G203)+$C204-$D204)))</f>
        <v/>
      </c>
    </row>
    <row r="205">
      <c r="A205">
        <f>IF(OR('Calc'!$A17="",'Calc'!$B17&lt;&gt;"Sala cirúrgica"),"",'Calc'!$A17)</f>
        <v/>
      </c>
      <c r="B205" t="n">
        <v>8</v>
      </c>
      <c r="C205">
        <f>IF(OR($A205="",ISERROR(MATCH($A205&amp;"#"&amp;Data_Mapa&amp;"#8",Mapa_Chave,0))),"",INDEX(Mapa_RelFim,MATCH($A205&amp;"#"&amp;Data_Mapa&amp;"#8",Mapa_Chave,0))+Limpeza_Min)</f>
        <v/>
      </c>
      <c r="D205">
        <f>IF($C205="","",IFERROR(INDEX(Mapa_RelIni,MATCH($A205&amp;"#"&amp;Data_Mapa&amp;"#9",Mapa_Chave,0)),Turno_Min))</f>
        <v/>
      </c>
      <c r="E205">
        <f>IF($C205="","",MAX(0,$D205-$C205))</f>
        <v/>
      </c>
      <c r="F205">
        <f>IF($E205="","",MAX(0,$E205-Limpeza_Min))</f>
        <v/>
      </c>
      <c r="G205">
        <f>IF($C205="","",IF($D205&gt;=Turno_Min,N($G204),MAX(0,N($G204)+$C205-$D205)))</f>
        <v/>
      </c>
    </row>
    <row r="206">
      <c r="A206">
        <f>IF(OR('Calc'!$A17="",'Calc'!$B17&lt;&gt;"Sala cirúrgica"),"",'Calc'!$A17)</f>
        <v/>
      </c>
      <c r="B206" t="n">
        <v>9</v>
      </c>
      <c r="C206">
        <f>IF(OR($A206="",ISERROR(MATCH($A206&amp;"#"&amp;Data_Mapa&amp;"#9",Mapa_Chave,0))),"",INDEX(Mapa_RelFim,MATCH($A206&amp;"#"&amp;Data_Mapa&amp;"#9",Mapa_Chave,0))+Limpeza_Min)</f>
        <v/>
      </c>
      <c r="D206">
        <f>IF($C206="","",IFERROR(INDEX(Mapa_RelIni,MATCH($A206&amp;"#"&amp;Data_Mapa&amp;"#10",Mapa_Chave,0)),Turno_Min))</f>
        <v/>
      </c>
      <c r="E206">
        <f>IF($C206="","",MAX(0,$D206-$C206))</f>
        <v/>
      </c>
      <c r="F206">
        <f>IF($E206="","",MAX(0,$E206-Limpeza_Min))</f>
        <v/>
      </c>
      <c r="G206">
        <f>IF($C206="","",IF($D206&gt;=Turno_Min,N($G205),MAX(0,N($G205)+$C206-$D206)))</f>
        <v/>
      </c>
    </row>
    <row r="207">
      <c r="A207">
        <f>IF(OR('Calc'!$A17="",'Calc'!$B17&lt;&gt;"Sala cirúrgica"),"",'Calc'!$A17)</f>
        <v/>
      </c>
      <c r="B207" t="n">
        <v>10</v>
      </c>
      <c r="C207">
        <f>IF(OR($A207="",ISERROR(MATCH($A207&amp;"#"&amp;Data_Mapa&amp;"#10",Mapa_Chave,0))),"",INDEX(Mapa_RelFim,MATCH($A207&amp;"#"&amp;Data_Mapa&amp;"#10",Mapa_Chave,0))+Limpeza_Min)</f>
        <v/>
      </c>
      <c r="D207">
        <f>IF($C207="","",IFERROR(INDEX(Mapa_RelIni,MATCH($A207&amp;"#"&amp;Data_Mapa&amp;"#11",Mapa_Chave,0)),Turno_Min))</f>
        <v/>
      </c>
      <c r="E207">
        <f>IF($C207="","",MAX(0,$D207-$C207))</f>
        <v/>
      </c>
      <c r="F207">
        <f>IF($E207="","",MAX(0,$E207-Limpeza_Min))</f>
        <v/>
      </c>
      <c r="G207">
        <f>IF($C207="","",IF($D207&gt;=Turno_Min,N($G206),MAX(0,N($G206)+$C207-$D207)))</f>
        <v/>
      </c>
    </row>
    <row r="208">
      <c r="A208">
        <f>IF(OR('Calc'!$A17="",'Calc'!$B17&lt;&gt;"Sala cirúrgica"),"",'Calc'!$A17)</f>
        <v/>
      </c>
      <c r="B208" t="n">
        <v>11</v>
      </c>
      <c r="C208">
        <f>IF(OR($A208="",ISERROR(MATCH($A208&amp;"#"&amp;Data_Mapa&amp;"#11",Mapa_Chave,0))),"",INDEX(Mapa_RelFim,MATCH($A208&amp;"#"&amp;Data_Mapa&amp;"#11",Mapa_Chave,0))+Limpeza_Min)</f>
        <v/>
      </c>
      <c r="D208">
        <f>IF($C208="","",IFERROR(INDEX(Mapa_RelIni,MATCH($A208&amp;"#"&amp;Data_Mapa&amp;"#12",Mapa_Chave,0)),Turno_Min))</f>
        <v/>
      </c>
      <c r="E208">
        <f>IF($C208="","",MAX(0,$D208-$C208))</f>
        <v/>
      </c>
      <c r="F208">
        <f>IF($E208="","",MAX(0,$E208-Limpeza_Min))</f>
        <v/>
      </c>
      <c r="G208">
        <f>IF($C208="","",IF($D208&gt;=Turno_Min,N($G207),MAX(0,N($G207)+$C208-$D208)))</f>
        <v/>
      </c>
    </row>
    <row r="209">
      <c r="A209">
        <f>IF(OR('Calc'!$A17="",'Calc'!$B17&lt;&gt;"Sala cirúrgica"),"",'Calc'!$A17)</f>
        <v/>
      </c>
      <c r="B209" t="n">
        <v>12</v>
      </c>
      <c r="C209">
        <f>IF(OR($A209="",ISERROR(MATCH($A209&amp;"#"&amp;Data_Mapa&amp;"#12",Mapa_Chave,0))),"",INDEX(Mapa_RelFim,MATCH($A209&amp;"#"&amp;Data_Mapa&amp;"#12",Mapa_Chave,0))+Limpeza_Min)</f>
        <v/>
      </c>
      <c r="D209">
        <f>IF($C209="","",IFERROR(INDEX(Mapa_RelIni,MATCH($A209&amp;"#"&amp;Data_Mapa&amp;"#13",Mapa_Chave,0)),Turno_Min))</f>
        <v/>
      </c>
      <c r="E209">
        <f>IF($C209="","",MAX(0,$D209-$C209))</f>
        <v/>
      </c>
      <c r="F209">
        <f>IF($E209="","",MAX(0,$E209-Limpeza_Min))</f>
        <v/>
      </c>
      <c r="G209">
        <f>IF($C209="","",IF($D209&gt;=Turno_Min,N($G208),MAX(0,N($G208)+$C209-$D209)))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2026-08-21T22:38:30Z</dcterms:created>
  <dcterms:modified xsi:type="dcterms:W3CDTF">2026-08-21T22:38:31Z</dcterms:modified>
</cp:coreProperties>
</file>