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a do Dia" sheetId="1" state="visible" r:id="rId1"/>
    <sheet name="Agenda do Dia" sheetId="2" state="visible" r:id="rId2"/>
    <sheet name="Equipe" sheetId="3" state="visible" r:id="rId3"/>
    <sheet name="Folgas e Férias" sheetId="4" state="visible" r:id="rId4"/>
    <sheet name="Configuração" sheetId="5" state="visible" r:id="rId5"/>
    <sheet name="Calc" sheetId="6" state="hidden" r:id="rId6"/>
    <sheet name="Calc_Salas" sheetId="7" state="hidden" r:id="rId7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Dia'!$C$10:$C$25</definedName>
    <definedName name="Pai_Tec2">'Mapa do Dia'!$D$10:$D$25</definedName>
    <definedName name="Sug_Nome">'Calc'!$A$38:$A$67</definedName>
    <definedName name="_xlnm.Print_Area" localSheetId="0">'Mapa do Dia'!$A$1:$L$71</definedName>
    <definedName name="_xlnm._FilterDatabase" localSheetId="1" hidden="1">'Agenda do Dia'!$A$1:$N$201</definedName>
    <definedName name="_xlnm.Print_Titles" localSheetId="1">'Agenda do Dia'!$1:$1</definedName>
    <definedName name="_xlnm.Print_Area" localSheetId="1">'Agenda do Dia'!$A$1:$N$18</definedName>
    <definedName name="_xlnm._FilterDatabase" localSheetId="2" hidden="1">'Equipe'!$A$1:$G$31</definedName>
    <definedName name="_xlnm.Print_Titles" localSheetId="2">'Equipe'!$1:$1</definedName>
    <definedName name="_xlnm.Print_Area" localSheetId="2">'Equipe'!$A$1:$AB$31</definedName>
    <definedName name="_xlnm._FilterDatabase" localSheetId="3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 wrapText="1"/>
    </xf>
    <xf numFmtId="165" fontId="12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1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color rgb="00808080"/>
      </font>
      <fill>
        <patternFill patternType="solid">
          <fgColor rgb="00F2F2F2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79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26" customWidth="1" min="3" max="3"/>
    <col width="26" customWidth="1" min="4" max="4"/>
    <col width="17" customWidth="1" min="5" max="5"/>
    <col width="40" customWidth="1" min="6" max="6"/>
    <col width="10" customWidth="1" min="7" max="7"/>
    <col width="11" customWidth="1" min="8" max="8"/>
    <col width="24" customWidth="1" min="9" max="9"/>
    <col width="11" customWidth="1" min="10" max="10"/>
    <col width="12" customWidth="1" min="11" max="11"/>
    <col width="30" customWidth="1" min="12" max="12"/>
    <col hidden="1" width="8" customWidth="1" min="13" max="13"/>
    <col hidden="1" width="8" customWidth="1" min="14" max="14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3" t="inlineStr">
        <is>
          <t>1. O DIA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 ht="34" customHeight="1">
      <c r="A5" s="5" t="inlineStr">
        <is>
          <t>DATA</t>
        </is>
      </c>
      <c r="B5" s="5" t="inlineStr">
        <is>
          <t>Dia</t>
        </is>
      </c>
      <c r="C5" s="5" t="inlineStr">
        <is>
          <t>No quadro</t>
        </is>
      </c>
      <c r="D5" s="5" t="inlineStr">
        <is>
          <t>Ausentes</t>
        </is>
      </c>
      <c r="E5" s="5" t="inlineStr">
        <is>
          <t>DISPONÍVEIS</t>
        </is>
      </c>
      <c r="F5" s="5" t="inlineStr">
        <is>
          <t>Vagas do dia</t>
        </is>
      </c>
      <c r="G5" s="5" t="inlineStr">
        <is>
          <t>DÉFICIT</t>
        </is>
      </c>
      <c r="H5" s="5" t="inlineStr">
        <is>
          <t>Postos sem equipe</t>
        </is>
      </c>
      <c r="I5" s="5" t="inlineStr"/>
      <c r="J5" s="5" t="inlineStr"/>
      <c r="K5" s="5" t="inlineStr"/>
      <c r="L5" s="5" t="inlineStr"/>
    </row>
    <row r="6" ht="26" customHeight="1">
      <c r="A6" s="6" t="n">
        <v>46254</v>
      </c>
      <c r="B6" s="7">
        <f>IF($A$6="","",CHOOSE(WEEKDAY($A$6),"domingo","segunda","terça","quarta","quinta","sexta","sábado")&amp;IF(COUNTIF(Feriados,$A$6)&gt;0," · feriado",""))</f>
        <v/>
      </c>
      <c r="C6" s="8">
        <f>SUMPRODUCT((Equipe_Nome&lt;&gt;"")*(Equipe_Status="Ativo"))</f>
        <v/>
      </c>
      <c r="D6" s="8">
        <f>SUMPRODUCT((Equipe_Nome&lt;&gt;"")*(Equipe_Status="Ativo")*(Equipe_Situacao&lt;&gt;"Disponível"))</f>
        <v/>
      </c>
      <c r="E6" s="8">
        <f>SUMPRODUCT((Equipe_Nome&lt;&gt;"")*(Equipe_Situacao="Disponível"))</f>
        <v/>
      </c>
      <c r="F6" s="8">
        <f>SUM('Calc'!$AD$2:$AD$17)</f>
        <v/>
      </c>
      <c r="G6" s="8">
        <f>MAX(0,$F$6-$E$6)</f>
        <v/>
      </c>
      <c r="H6" s="8">
        <f>COUNTIF($E$10:$E$25,"SEM EQUIPE")</f>
        <v/>
      </c>
    </row>
    <row r="8">
      <c r="A8" s="3" t="inlineStr">
        <is>
          <t>2. O MAPA — quem fica em cada lugar hoje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 ht="38" customHeight="1">
      <c r="A9" s="5" t="inlineStr">
        <is>
          <t>Ambiente</t>
        </is>
      </c>
      <c r="B9" s="5" t="inlineStr">
        <is>
          <t>Especialidades do dia</t>
        </is>
      </c>
      <c r="C9" s="5" t="inlineStr">
        <is>
          <t>TÉCNICO 1</t>
        </is>
      </c>
      <c r="D9" s="5" t="inlineStr">
        <is>
          <t>TÉCNICO 2</t>
        </is>
      </c>
      <c r="E9" s="5" t="inlineStr">
        <is>
          <t>Situação</t>
        </is>
      </c>
      <c r="F9" s="5" t="inlineStr">
        <is>
          <t>Alertas</t>
        </is>
      </c>
      <c r="G9" s="5" t="inlineStr">
        <is>
          <t>Cirurgias</t>
        </is>
      </c>
      <c r="H9" s="5" t="inlineStr">
        <is>
          <t>Ocupação</t>
        </is>
      </c>
      <c r="I9" s="5" t="inlineStr">
        <is>
          <t>Sala vaga (maior janela)</t>
        </is>
      </c>
      <c r="J9" s="5" t="inlineStr">
        <is>
          <t>Cabe até (min)</t>
        </is>
      </c>
      <c r="K9" s="5" t="inlineStr">
        <is>
          <t>Outras janelas</t>
        </is>
      </c>
      <c r="L9" s="5" t="inlineStr">
        <is>
          <t>Quem está livre e cobre mais</t>
        </is>
      </c>
      <c r="M9" s="5" t="inlineStr"/>
      <c r="N9" s="5" t="inlineStr"/>
    </row>
    <row r="10" ht="30" customHeight="1">
      <c r="A10" s="9">
        <f>IF($M10="","",IFERROR(INDEX(Postos_Nome,MATCH($M10,Postos_Cod,0)),$M10))</f>
        <v/>
      </c>
      <c r="B10" s="9">
        <f>IF(OR($M10="",'Calc'!$AB20=""),"",LEFT('Calc'!$AB20,LEN('Calc'!$AB20)-3))</f>
        <v/>
      </c>
      <c r="C10" s="10" t="inlineStr">
        <is>
          <t>Adriana Salvi</t>
        </is>
      </c>
      <c r="D10" s="10" t="inlineStr">
        <is>
          <t>Tatiane Bolzan</t>
        </is>
      </c>
      <c r="E10" s="11">
        <f>IF($M10="","",IF('Calc'!$AD2=0,IF(AND($C10="",$D10=""),"NÃO OPERA","EXTRA"),IF(AND($C10="",$D10=""),"SEM EQUIPE",IF((--($C10&lt;&gt;"")+--($D10&lt;&gt;""))&lt;'Calc'!$AD2,"INCOMPLETO",IF(OR(AND($C10&lt;&gt;"",IFERROR(INDEX(Equipe_NEsp,MATCH($C10,Equipe_Nome,0)),0)=0),AND($D10&lt;&gt;"",IFERROR(INDEX(Equipe_NEsp,MATCH($D10,Equipe_Nome,0)),0)=0)),"SEM AVALIAÇÃO",IF('Calc'!$Z20&gt;0,"FALTA HABILIDADE",IF(AND('Calc'!$AD2&gt;=2,'Calc'!$AA20&gt;0),"ATENÇÃO","OK")))))))</f>
        <v/>
      </c>
      <c r="F10" s="9">
        <f>IF($M10="","",IF($N10="","OK",LEFT($N10,LEN($N10)-3)))</f>
        <v/>
      </c>
      <c r="G10" s="12">
        <f>IF(OR($M10="",'Calc'!$B2&lt;&gt;"Sala cirúrgica"),"",COUNTIFS(Mapa_Sala,$M10,Mapa_Data,Data_Mapa,Mapa_MinOcup,"&gt;0"))</f>
        <v/>
      </c>
      <c r="H10" s="13">
        <f>IF(OR($M10="",'Calc'!$B2&lt;&gt;"Sala cirúrgica"),"",'Calc'!$AA2)</f>
        <v/>
      </c>
      <c r="I10" s="9">
        <f>IF($M10="","",IF(MAX('Calc_Salas'!$E$2:$E$14)=0,"—",IFERROR(TEXT(MOD(Turno_Ini+INDEX('Calc_Salas'!$C$2:$C$14,MATCH(LARGE('Calc_Salas'!$E$2:$E$14,1),'Calc_Salas'!$E$2:$E$14,0))/1440,1),"HH:MM")&amp;"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J10" s="12">
        <f>IF(OR($M10="",MAX('Calc_Salas'!$E$2:$E$14)=0),"",MAX('Calc_Salas'!$F$2:$F$14))</f>
        <v/>
      </c>
      <c r="K10" s="12">
        <f>IF($M10="","",MAX(0,COUNTIF('Calc_Salas'!$E$2:$E$14,"&gt;="&amp;Janela_Min)-1))</f>
        <v/>
      </c>
      <c r="L10" s="9">
        <f>IF($M10="","",IFERROR(INDEX(Sug_Nome,MATCH(LARGE('Calc'!E$38:E$67,1),'Calc'!E$38:E$67,0)),"—")&amp;IFERROR("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M10" s="11">
        <f>IF('Calc'!$A2="","",'Calc'!$A2)</f>
        <v/>
      </c>
      <c r="N10" s="11">
        <f>IF($M10="","",IF(AND($E10="SEM EQUIPE",N($G10)&gt;0),"Sem equipe — "&amp;$G10&amp;" cirurgia(s) a remanejar | ","")&amp;IF($E10="SEM EQUIPE",IF(N($G10)&gt;0,"","Posto sem equipe | "),"")&amp;IF($E10="INCOMPLETO","Falta 1 técnico no posto | ","")&amp;IF($E10="EXTRA","Técnico escalado em posto que não opera hoje | ","")&amp;IF(AND($E10="NÃO OPERA",N($G10)&gt;0),"Posto não opera hoje e tem cirurgia | ","")&amp;IF($E10="SEM AVALIAÇÃO","Técnico sem habilidade marcada na aba Equipe | ","")&amp;IF(AND($E10&lt;&gt;"SEM AVALIAÇÃO",'Calc'!$AC20&lt;&gt;""),"Ninguém cobre: "&amp;LEFT('Calc'!$AC20,LEN('Calc'!$AC20)-3)&amp;" | ","")&amp;IF(AND($C10&lt;&gt;"",IFERROR(INDEX(Equipe_Situacao,MATCH($C10,Equipe_Nome,0)),"?")&lt;&gt;"Disponível"),"Técnico 1 indisponível | ","")&amp;IF(AND($D10&lt;&gt;"",IFERROR(INDEX(Equipe_Situacao,MATCH($D10,Equipe_Nome,0)),"?")&lt;&gt;"Disponível"),"Técnico 2 indisponível | ","")&amp;IF(OR(AND($C10&lt;&gt;"",COUNTIF(Pai_Tec1,$C10)+COUNTIF(Pai_Tec2,$C10)&gt;1),AND($D10&lt;&gt;"",COUNTIF(Pai_Tec1,$D10)+COUNTIF(Pai_Tec2,$D10)&gt;1)),"Técnico escalado em dois postos | ","")&amp;IF(AND($H10&lt;&gt;"",$H10&gt;1),"Ocupação acima do plantão | ",""))</f>
        <v/>
      </c>
    </row>
    <row r="11" ht="30" customHeight="1">
      <c r="A11" s="9">
        <f>IF($M11="","",IFERROR(INDEX(Postos_Nome,MATCH($M11,Postos_Cod,0)),$M11))</f>
        <v/>
      </c>
      <c r="B11" s="9">
        <f>IF(OR($M11="",'Calc'!$AB21=""),"",LEFT('Calc'!$AB21,LEN('Calc'!$AB21)-3))</f>
        <v/>
      </c>
      <c r="C11" s="10" t="inlineStr">
        <is>
          <t>Camila Bertoldi</t>
        </is>
      </c>
      <c r="D11" s="10" t="inlineStr">
        <is>
          <t>Simone Dalpra</t>
        </is>
      </c>
      <c r="E11" s="11">
        <f>IF($M11="","",IF('Calc'!$AD3=0,IF(AND($C11="",$D11=""),"NÃO OPERA","EXTRA"),IF(AND($C11="",$D11=""),"SEM EQUIPE",IF((--($C11&lt;&gt;"")+--($D11&lt;&gt;""))&lt;'Calc'!$AD3,"INCOMPLETO",IF(OR(AND($C11&lt;&gt;"",IFERROR(INDEX(Equipe_NEsp,MATCH($C11,Equipe_Nome,0)),0)=0),AND($D11&lt;&gt;"",IFERROR(INDEX(Equipe_NEsp,MATCH($D11,Equipe_Nome,0)),0)=0)),"SEM AVALIAÇÃO",IF('Calc'!$Z21&gt;0,"FALTA HABILIDADE",IF(AND('Calc'!$AD3&gt;=2,'Calc'!$AA21&gt;0),"ATENÇÃO","OK")))))))</f>
        <v/>
      </c>
      <c r="F11" s="9">
        <f>IF($M11="","",IF($N11="","OK",LEFT($N11,LEN($N11)-3)))</f>
        <v/>
      </c>
      <c r="G11" s="12">
        <f>IF(OR($M11="",'Calc'!$B3&lt;&gt;"Sala cirúrgica"),"",COUNTIFS(Mapa_Sala,$M11,Mapa_Data,Data_Mapa,Mapa_MinOcup,"&gt;0"))</f>
        <v/>
      </c>
      <c r="H11" s="13">
        <f>IF(OR($M11="",'Calc'!$B3&lt;&gt;"Sala cirúrgica"),"",'Calc'!$AA3)</f>
        <v/>
      </c>
      <c r="I11" s="9">
        <f>IF($M11="","",IF(MAX('Calc_Salas'!$E$15:$E$27)=0,"—",IFERROR(TEXT(MOD(Turno_Ini+INDEX('Calc_Salas'!$C$15:$C$27,MATCH(LARGE('Calc_Salas'!$E$15:$E$27,1),'Calc_Salas'!$E$15:$E$27,0))/1440,1),"HH:MM")&amp;"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J11" s="12">
        <f>IF(OR($M11="",MAX('Calc_Salas'!$E$15:$E$27)=0),"",MAX('Calc_Salas'!$F$15:$F$27))</f>
        <v/>
      </c>
      <c r="K11" s="12">
        <f>IF($M11="","",MAX(0,COUNTIF('Calc_Salas'!$E$15:$E$27,"&gt;="&amp;Janela_Min)-1))</f>
        <v/>
      </c>
      <c r="L11" s="9">
        <f>IF($M11="","",IFERROR(INDEX(Sug_Nome,MATCH(LARGE('Calc'!F$38:F$67,1),'Calc'!F$38:F$67,0)),"—")&amp;IFERROR("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M11" s="11">
        <f>IF('Calc'!$A3="","",'Calc'!$A3)</f>
        <v/>
      </c>
      <c r="N11" s="11">
        <f>IF($M11="","",IF(AND($E11="SEM EQUIPE",N($G11)&gt;0),"Sem equipe — "&amp;$G11&amp;" cirurgia(s) a remanejar | ","")&amp;IF($E11="SEM EQUIPE",IF(N($G11)&gt;0,"","Posto sem equipe | "),"")&amp;IF($E11="INCOMPLETO","Falta 1 técnico no posto | ","")&amp;IF($E11="EXTRA","Técnico escalado em posto que não opera hoje | ","")&amp;IF(AND($E11="NÃO OPERA",N($G11)&gt;0),"Posto não opera hoje e tem cirurgia | ","")&amp;IF($E11="SEM AVALIAÇÃO","Técnico sem habilidade marcada na aba Equipe | ","")&amp;IF(AND($E11&lt;&gt;"SEM AVALIAÇÃO",'Calc'!$AC21&lt;&gt;""),"Ninguém cobre: "&amp;LEFT('Calc'!$AC21,LEN('Calc'!$AC21)-3)&amp;" | ","")&amp;IF(AND($C11&lt;&gt;"",IFERROR(INDEX(Equipe_Situacao,MATCH($C11,Equipe_Nome,0)),"?")&lt;&gt;"Disponível"),"Técnico 1 indisponível | ","")&amp;IF(AND($D11&lt;&gt;"",IFERROR(INDEX(Equipe_Situacao,MATCH($D11,Equipe_Nome,0)),"?")&lt;&gt;"Disponível"),"Técnico 2 indisponível | ","")&amp;IF(OR(AND($C11&lt;&gt;"",COUNTIF(Pai_Tec1,$C11)+COUNTIF(Pai_Tec2,$C11)&gt;1),AND($D11&lt;&gt;"",COUNTIF(Pai_Tec1,$D11)+COUNTIF(Pai_Tec2,$D11)&gt;1)),"Técnico escalado em dois postos | ","")&amp;IF(AND($H11&lt;&gt;"",$H11&gt;1),"Ocupação acima do plantão | ",""))</f>
        <v/>
      </c>
    </row>
    <row r="12" ht="30" customHeight="1">
      <c r="A12" s="9">
        <f>IF($M12="","",IFERROR(INDEX(Postos_Nome,MATCH($M12,Postos_Cod,0)),$M12))</f>
        <v/>
      </c>
      <c r="B12" s="9">
        <f>IF(OR($M12="",'Calc'!$AB22=""),"",LEFT('Calc'!$AB22,LEN('Calc'!$AB22)-3))</f>
        <v/>
      </c>
      <c r="C12" s="10" t="inlineStr">
        <is>
          <t>Daiane Prestes</t>
        </is>
      </c>
      <c r="D12" s="10" t="inlineStr">
        <is>
          <t>Fernanda Klein</t>
        </is>
      </c>
      <c r="E12" s="11">
        <f>IF($M12="","",IF('Calc'!$AD4=0,IF(AND($C12="",$D12=""),"NÃO OPERA","EXTRA"),IF(AND($C12="",$D12=""),"SEM EQUIPE",IF((--($C12&lt;&gt;"")+--($D12&lt;&gt;""))&lt;'Calc'!$AD4,"INCOMPLETO",IF(OR(AND($C12&lt;&gt;"",IFERROR(INDEX(Equipe_NEsp,MATCH($C12,Equipe_Nome,0)),0)=0),AND($D12&lt;&gt;"",IFERROR(INDEX(Equipe_NEsp,MATCH($D12,Equipe_Nome,0)),0)=0)),"SEM AVALIAÇÃO",IF('Calc'!$Z22&gt;0,"FALTA HABILIDADE",IF(AND('Calc'!$AD4&gt;=2,'Calc'!$AA22&gt;0),"ATENÇÃO","OK")))))))</f>
        <v/>
      </c>
      <c r="F12" s="9">
        <f>IF($M12="","",IF($N12="","OK",LEFT($N12,LEN($N12)-3)))</f>
        <v/>
      </c>
      <c r="G12" s="12">
        <f>IF(OR($M12="",'Calc'!$B4&lt;&gt;"Sala cirúrgica"),"",COUNTIFS(Mapa_Sala,$M12,Mapa_Data,Data_Mapa,Mapa_MinOcup,"&gt;0"))</f>
        <v/>
      </c>
      <c r="H12" s="13">
        <f>IF(OR($M12="",'Calc'!$B4&lt;&gt;"Sala cirúrgica"),"",'Calc'!$AA4)</f>
        <v/>
      </c>
      <c r="I12" s="9">
        <f>IF($M12="","",IF(MAX('Calc_Salas'!$E$28:$E$40)=0,"—",IFERROR(TEXT(MOD(Turno_Ini+INDEX('Calc_Salas'!$C$28:$C$40,MATCH(LARGE('Calc_Salas'!$E$28:$E$40,1),'Calc_Salas'!$E$28:$E$40,0))/1440,1),"HH:MM")&amp;"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J12" s="12">
        <f>IF(OR($M12="",MAX('Calc_Salas'!$E$28:$E$40)=0),"",MAX('Calc_Salas'!$F$28:$F$40))</f>
        <v/>
      </c>
      <c r="K12" s="12">
        <f>IF($M12="","",MAX(0,COUNTIF('Calc_Salas'!$E$28:$E$40,"&gt;="&amp;Janela_Min)-1))</f>
        <v/>
      </c>
      <c r="L12" s="9">
        <f>IF($M12="","",IFERROR(INDEX(Sug_Nome,MATCH(LARGE('Calc'!G$38:G$67,1),'Calc'!G$38:G$67,0)),"—")&amp;IFERROR("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M12" s="11">
        <f>IF('Calc'!$A4="","",'Calc'!$A4)</f>
        <v/>
      </c>
      <c r="N12" s="11">
        <f>IF($M12="","",IF(AND($E12="SEM EQUIPE",N($G12)&gt;0),"Sem equipe — "&amp;$G12&amp;" cirurgia(s) a remanejar | ","")&amp;IF($E12="SEM EQUIPE",IF(N($G12)&gt;0,"","Posto sem equipe | "),"")&amp;IF($E12="INCOMPLETO","Falta 1 técnico no posto | ","")&amp;IF($E12="EXTRA","Técnico escalado em posto que não opera hoje | ","")&amp;IF(AND($E12="NÃO OPERA",N($G12)&gt;0),"Posto não opera hoje e tem cirurgia | ","")&amp;IF($E12="SEM AVALIAÇÃO","Técnico sem habilidade marcada na aba Equipe | ","")&amp;IF(AND($E12&lt;&gt;"SEM AVALIAÇÃO",'Calc'!$AC22&lt;&gt;""),"Ninguém cobre: "&amp;LEFT('Calc'!$AC22,LEN('Calc'!$AC22)-3)&amp;" | ","")&amp;IF(AND($C12&lt;&gt;"",IFERROR(INDEX(Equipe_Situacao,MATCH($C12,Equipe_Nome,0)),"?")&lt;&gt;"Disponível"),"Técnico 1 indisponível | ","")&amp;IF(AND($D12&lt;&gt;"",IFERROR(INDEX(Equipe_Situacao,MATCH($D12,Equipe_Nome,0)),"?")&lt;&gt;"Disponível"),"Técnico 2 indisponível | ","")&amp;IF(OR(AND($C12&lt;&gt;"",COUNTIF(Pai_Tec1,$C12)+COUNTIF(Pai_Tec2,$C12)&gt;1),AND($D12&lt;&gt;"",COUNTIF(Pai_Tec1,$D12)+COUNTIF(Pai_Tec2,$D12)&gt;1)),"Técnico escalado em dois postos | ","")&amp;IF(AND($H12&lt;&gt;"",$H12&gt;1),"Ocupação acima do plantão | ",""))</f>
        <v/>
      </c>
    </row>
    <row r="13" ht="30" customHeight="1">
      <c r="A13" s="9">
        <f>IF($M13="","",IFERROR(INDEX(Postos_Nome,MATCH($M13,Postos_Cod,0)),$M13))</f>
        <v/>
      </c>
      <c r="B13" s="9">
        <f>IF(OR($M13="",'Calc'!$AB23=""),"",LEFT('Calc'!$AB23,LEN('Calc'!$AB23)-3))</f>
        <v/>
      </c>
      <c r="C13" s="10" t="inlineStr">
        <is>
          <t>Gisele Antunes</t>
        </is>
      </c>
      <c r="D13" s="10" t="inlineStr">
        <is>
          <t>Heloísa Perin</t>
        </is>
      </c>
      <c r="E13" s="11">
        <f>IF($M13="","",IF('Calc'!$AD5=0,IF(AND($C13="",$D13=""),"NÃO OPERA","EXTRA"),IF(AND($C13="",$D13=""),"SEM EQUIPE",IF((--($C13&lt;&gt;"")+--($D13&lt;&gt;""))&lt;'Calc'!$AD5,"INCOMPLETO",IF(OR(AND($C13&lt;&gt;"",IFERROR(INDEX(Equipe_NEsp,MATCH($C13,Equipe_Nome,0)),0)=0),AND($D13&lt;&gt;"",IFERROR(INDEX(Equipe_NEsp,MATCH($D13,Equipe_Nome,0)),0)=0)),"SEM AVALIAÇÃO",IF('Calc'!$Z23&gt;0,"FALTA HABILIDADE",IF(AND('Calc'!$AD5&gt;=2,'Calc'!$AA23&gt;0),"ATENÇÃO","OK")))))))</f>
        <v/>
      </c>
      <c r="F13" s="9">
        <f>IF($M13="","",IF($N13="","OK",LEFT($N13,LEN($N13)-3)))</f>
        <v/>
      </c>
      <c r="G13" s="12">
        <f>IF(OR($M13="",'Calc'!$B5&lt;&gt;"Sala cirúrgica"),"",COUNTIFS(Mapa_Sala,$M13,Mapa_Data,Data_Mapa,Mapa_MinOcup,"&gt;0"))</f>
        <v/>
      </c>
      <c r="H13" s="13">
        <f>IF(OR($M13="",'Calc'!$B5&lt;&gt;"Sala cirúrgica"),"",'Calc'!$AA5)</f>
        <v/>
      </c>
      <c r="I13" s="9">
        <f>IF($M13="","",IF(MAX('Calc_Salas'!$E$41:$E$53)=0,"—",IFERROR(TEXT(MOD(Turno_Ini+INDEX('Calc_Salas'!$C$41:$C$53,MATCH(LARGE('Calc_Salas'!$E$41:$E$53,1),'Calc_Salas'!$E$41:$E$53,0))/1440,1),"HH:MM")&amp;"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J13" s="12">
        <f>IF(OR($M13="",MAX('Calc_Salas'!$E$41:$E$53)=0),"",MAX('Calc_Salas'!$F$41:$F$53))</f>
        <v/>
      </c>
      <c r="K13" s="12">
        <f>IF($M13="","",MAX(0,COUNTIF('Calc_Salas'!$E$41:$E$53,"&gt;="&amp;Janela_Min)-1))</f>
        <v/>
      </c>
      <c r="L13" s="9">
        <f>IF($M13="","",IFERROR(INDEX(Sug_Nome,MATCH(LARGE('Calc'!H$38:H$67,1),'Calc'!H$38:H$67,0)),"—")&amp;IFERROR("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M13" s="11">
        <f>IF('Calc'!$A5="","",'Calc'!$A5)</f>
        <v/>
      </c>
      <c r="N13" s="11">
        <f>IF($M13="","",IF(AND($E13="SEM EQUIPE",N($G13)&gt;0),"Sem equipe — "&amp;$G13&amp;" cirurgia(s) a remanejar | ","")&amp;IF($E13="SEM EQUIPE",IF(N($G13)&gt;0,"","Posto sem equipe | "),"")&amp;IF($E13="INCOMPLETO","Falta 1 técnico no posto | ","")&amp;IF($E13="EXTRA","Técnico escalado em posto que não opera hoje | ","")&amp;IF(AND($E13="NÃO OPERA",N($G13)&gt;0),"Posto não opera hoje e tem cirurgia | ","")&amp;IF($E13="SEM AVALIAÇÃO","Técnico sem habilidade marcada na aba Equipe | ","")&amp;IF(AND($E13&lt;&gt;"SEM AVALIAÇÃO",'Calc'!$AC23&lt;&gt;""),"Ninguém cobre: "&amp;LEFT('Calc'!$AC23,LEN('Calc'!$AC23)-3)&amp;" | ","")&amp;IF(AND($C13&lt;&gt;"",IFERROR(INDEX(Equipe_Situacao,MATCH($C13,Equipe_Nome,0)),"?")&lt;&gt;"Disponível"),"Técnico 1 indisponível | ","")&amp;IF(AND($D13&lt;&gt;"",IFERROR(INDEX(Equipe_Situacao,MATCH($D13,Equipe_Nome,0)),"?")&lt;&gt;"Disponível"),"Técnico 2 indisponível | ","")&amp;IF(OR(AND($C13&lt;&gt;"",COUNTIF(Pai_Tec1,$C13)+COUNTIF(Pai_Tec2,$C13)&gt;1),AND($D13&lt;&gt;"",COUNTIF(Pai_Tec1,$D13)+COUNTIF(Pai_Tec2,$D13)&gt;1)),"Técnico escalado em dois postos | ","")&amp;IF(AND($H13&lt;&gt;"",$H13&gt;1),"Ocupação acima do plantão | ",""))</f>
        <v/>
      </c>
    </row>
    <row r="14" ht="30" customHeight="1">
      <c r="A14" s="9">
        <f>IF($M14="","",IFERROR(INDEX(Postos_Nome,MATCH($M14,Postos_Cod,0)),$M14))</f>
        <v/>
      </c>
      <c r="B14" s="9">
        <f>IF(OR($M14="",'Calc'!$AB24=""),"",LEFT('Calc'!$AB24,LEN('Calc'!$AB24)-3))</f>
        <v/>
      </c>
      <c r="C14" s="10" t="inlineStr">
        <is>
          <t>Joana Belincanta</t>
        </is>
      </c>
      <c r="D14" s="10" t="inlineStr">
        <is>
          <t>Luciano Bordin</t>
        </is>
      </c>
      <c r="E14" s="11">
        <f>IF($M14="","",IF('Calc'!$AD6=0,IF(AND($C14="",$D14=""),"NÃO OPERA","EXTRA"),IF(AND($C14="",$D14=""),"SEM EQUIPE",IF((--($C14&lt;&gt;"")+--($D14&lt;&gt;""))&lt;'Calc'!$AD6,"INCOMPLETO",IF(OR(AND($C14&lt;&gt;"",IFERROR(INDEX(Equipe_NEsp,MATCH($C14,Equipe_Nome,0)),0)=0),AND($D14&lt;&gt;"",IFERROR(INDEX(Equipe_NEsp,MATCH($D14,Equipe_Nome,0)),0)=0)),"SEM AVALIAÇÃO",IF('Calc'!$Z24&gt;0,"FALTA HABILIDADE",IF(AND('Calc'!$AD6&gt;=2,'Calc'!$AA24&gt;0),"ATENÇÃO","OK")))))))</f>
        <v/>
      </c>
      <c r="F14" s="9">
        <f>IF($M14="","",IF($N14="","OK",LEFT($N14,LEN($N14)-3)))</f>
        <v/>
      </c>
      <c r="G14" s="12">
        <f>IF(OR($M14="",'Calc'!$B6&lt;&gt;"Sala cirúrgica"),"",COUNTIFS(Mapa_Sala,$M14,Mapa_Data,Data_Mapa,Mapa_MinOcup,"&gt;0"))</f>
        <v/>
      </c>
      <c r="H14" s="13">
        <f>IF(OR($M14="",'Calc'!$B6&lt;&gt;"Sala cirúrgica"),"",'Calc'!$AA6)</f>
        <v/>
      </c>
      <c r="I14" s="9">
        <f>IF($M14="","",IF(MAX('Calc_Salas'!$E$54:$E$66)=0,"—",IFERROR(TEXT(MOD(Turno_Ini+INDEX('Calc_Salas'!$C$54:$C$66,MATCH(LARGE('Calc_Salas'!$E$54:$E$66,1),'Calc_Salas'!$E$54:$E$66,0))/1440,1),"HH:MM")&amp;"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J14" s="12">
        <f>IF(OR($M14="",MAX('Calc_Salas'!$E$54:$E$66)=0),"",MAX('Calc_Salas'!$F$54:$F$66))</f>
        <v/>
      </c>
      <c r="K14" s="12">
        <f>IF($M14="","",MAX(0,COUNTIF('Calc_Salas'!$E$54:$E$66,"&gt;="&amp;Janela_Min)-1))</f>
        <v/>
      </c>
      <c r="L14" s="9">
        <f>IF($M14="","",IFERROR(INDEX(Sug_Nome,MATCH(LARGE('Calc'!I$38:I$67,1),'Calc'!I$38:I$67,0)),"—")&amp;IFERROR("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M14" s="11">
        <f>IF('Calc'!$A6="","",'Calc'!$A6)</f>
        <v/>
      </c>
      <c r="N14" s="11">
        <f>IF($M14="","",IF(AND($E14="SEM EQUIPE",N($G14)&gt;0),"Sem equipe — "&amp;$G14&amp;" cirurgia(s) a remanejar | ","")&amp;IF($E14="SEM EQUIPE",IF(N($G14)&gt;0,"","Posto sem equipe | "),"")&amp;IF($E14="INCOMPLETO","Falta 1 técnico no posto | ","")&amp;IF($E14="EXTRA","Técnico escalado em posto que não opera hoje | ","")&amp;IF(AND($E14="NÃO OPERA",N($G14)&gt;0),"Posto não opera hoje e tem cirurgia | ","")&amp;IF($E14="SEM AVALIAÇÃO","Técnico sem habilidade marcada na aba Equipe | ","")&amp;IF(AND($E14&lt;&gt;"SEM AVALIAÇÃO",'Calc'!$AC24&lt;&gt;""),"Ninguém cobre: "&amp;LEFT('Calc'!$AC24,LEN('Calc'!$AC24)-3)&amp;" | ","")&amp;IF(AND($C14&lt;&gt;"",IFERROR(INDEX(Equipe_Situacao,MATCH($C14,Equipe_Nome,0)),"?")&lt;&gt;"Disponível"),"Técnico 1 indisponível | ","")&amp;IF(AND($D14&lt;&gt;"",IFERROR(INDEX(Equipe_Situacao,MATCH($D14,Equipe_Nome,0)),"?")&lt;&gt;"Disponível"),"Técnico 2 indisponível | ","")&amp;IF(OR(AND($C14&lt;&gt;"",COUNTIF(Pai_Tec1,$C14)+COUNTIF(Pai_Tec2,$C14)&gt;1),AND($D14&lt;&gt;"",COUNTIF(Pai_Tec1,$D14)+COUNTIF(Pai_Tec2,$D14)&gt;1)),"Técnico escalado em dois postos | ","")&amp;IF(AND($H14&lt;&gt;"",$H14&gt;1),"Ocupação acima do plantão | ",""))</f>
        <v/>
      </c>
    </row>
    <row r="15" ht="30" customHeight="1">
      <c r="A15" s="9">
        <f>IF($M15="","",IFERROR(INDEX(Postos_Nome,MATCH($M15,Postos_Cod,0)),$M15))</f>
        <v/>
      </c>
      <c r="B15" s="9">
        <f>IF(OR($M15="",'Calc'!$AB25=""),"",LEFT('Calc'!$AB25,LEN('Calc'!$AB25)-3))</f>
        <v/>
      </c>
      <c r="C15" s="10" t="inlineStr">
        <is>
          <t>Marcia Tonet</t>
        </is>
      </c>
      <c r="D15" s="10" t="inlineStr">
        <is>
          <t>Rafaela Gubert</t>
        </is>
      </c>
      <c r="E15" s="11">
        <f>IF($M15="","",IF('Calc'!$AD7=0,IF(AND($C15="",$D15=""),"NÃO OPERA","EXTRA"),IF(AND($C15="",$D15=""),"SEM EQUIPE",IF((--($C15&lt;&gt;"")+--($D15&lt;&gt;""))&lt;'Calc'!$AD7,"INCOMPLETO",IF(OR(AND($C15&lt;&gt;"",IFERROR(INDEX(Equipe_NEsp,MATCH($C15,Equipe_Nome,0)),0)=0),AND($D15&lt;&gt;"",IFERROR(INDEX(Equipe_NEsp,MATCH($D15,Equipe_Nome,0)),0)=0)),"SEM AVALIAÇÃO",IF('Calc'!$Z25&gt;0,"FALTA HABILIDADE",IF(AND('Calc'!$AD7&gt;=2,'Calc'!$AA25&gt;0),"ATENÇÃO","OK")))))))</f>
        <v/>
      </c>
      <c r="F15" s="9">
        <f>IF($M15="","",IF($N15="","OK",LEFT($N15,LEN($N15)-3)))</f>
        <v/>
      </c>
      <c r="G15" s="12">
        <f>IF(OR($M15="",'Calc'!$B7&lt;&gt;"Sala cirúrgica"),"",COUNTIFS(Mapa_Sala,$M15,Mapa_Data,Data_Mapa,Mapa_MinOcup,"&gt;0"))</f>
        <v/>
      </c>
      <c r="H15" s="13">
        <f>IF(OR($M15="",'Calc'!$B7&lt;&gt;"Sala cirúrgica"),"",'Calc'!$AA7)</f>
        <v/>
      </c>
      <c r="I15" s="9">
        <f>IF($M15="","",IF(MAX('Calc_Salas'!$E$67:$E$79)=0,"—",IFERROR(TEXT(MOD(Turno_Ini+INDEX('Calc_Salas'!$C$67:$C$79,MATCH(LARGE('Calc_Salas'!$E$67:$E$79,1),'Calc_Salas'!$E$67:$E$79,0))/1440,1),"HH:MM")&amp;"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J15" s="12">
        <f>IF(OR($M15="",MAX('Calc_Salas'!$E$67:$E$79)=0),"",MAX('Calc_Salas'!$F$67:$F$79))</f>
        <v/>
      </c>
      <c r="K15" s="12">
        <f>IF($M15="","",MAX(0,COUNTIF('Calc_Salas'!$E$67:$E$79,"&gt;="&amp;Janela_Min)-1))</f>
        <v/>
      </c>
      <c r="L15" s="9">
        <f>IF($M15="","",IFERROR(INDEX(Sug_Nome,MATCH(LARGE('Calc'!J$38:J$67,1),'Calc'!J$38:J$67,0)),"—")&amp;IFERROR("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M15" s="11">
        <f>IF('Calc'!$A7="","",'Calc'!$A7)</f>
        <v/>
      </c>
      <c r="N15" s="11">
        <f>IF($M15="","",IF(AND($E15="SEM EQUIPE",N($G15)&gt;0),"Sem equipe — "&amp;$G15&amp;" cirurgia(s) a remanejar | ","")&amp;IF($E15="SEM EQUIPE",IF(N($G15)&gt;0,"","Posto sem equipe | "),"")&amp;IF($E15="INCOMPLETO","Falta 1 técnico no posto | ","")&amp;IF($E15="EXTRA","Técnico escalado em posto que não opera hoje | ","")&amp;IF(AND($E15="NÃO OPERA",N($G15)&gt;0),"Posto não opera hoje e tem cirurgia | ","")&amp;IF($E15="SEM AVALIAÇÃO","Técnico sem habilidade marcada na aba Equipe | ","")&amp;IF(AND($E15&lt;&gt;"SEM AVALIAÇÃO",'Calc'!$AC25&lt;&gt;""),"Ninguém cobre: "&amp;LEFT('Calc'!$AC25,LEN('Calc'!$AC25)-3)&amp;" | ","")&amp;IF(AND($C15&lt;&gt;"",IFERROR(INDEX(Equipe_Situacao,MATCH($C15,Equipe_Nome,0)),"?")&lt;&gt;"Disponível"),"Técnico 1 indisponível | ","")&amp;IF(AND($D15&lt;&gt;"",IFERROR(INDEX(Equipe_Situacao,MATCH($D15,Equipe_Nome,0)),"?")&lt;&gt;"Disponível"),"Técnico 2 indisponível | ","")&amp;IF(OR(AND($C15&lt;&gt;"",COUNTIF(Pai_Tec1,$C15)+COUNTIF(Pai_Tec2,$C15)&gt;1),AND($D15&lt;&gt;"",COUNTIF(Pai_Tec1,$D15)+COUNTIF(Pai_Tec2,$D15)&gt;1)),"Técnico escalado em dois postos | ","")&amp;IF(AND($H15&lt;&gt;"",$H15&gt;1),"Ocupação acima do plantão | ",""))</f>
        <v/>
      </c>
    </row>
    <row r="16" ht="30" customHeight="1">
      <c r="A16" s="9">
        <f>IF($M16="","",IFERROR(INDEX(Postos_Nome,MATCH($M16,Postos_Cod,0)),$M16))</f>
        <v/>
      </c>
      <c r="B16" s="9">
        <f>IF(OR($M16="",'Calc'!$AB26=""),"",LEFT('Calc'!$AB26,LEN('Calc'!$AB26)-3))</f>
        <v/>
      </c>
      <c r="C16" s="10" t="inlineStr">
        <is>
          <t>Bruna Cordeiro</t>
        </is>
      </c>
      <c r="D16" s="10" t="inlineStr">
        <is>
          <t>Odair Bianchi</t>
        </is>
      </c>
      <c r="E16" s="11">
        <f>IF($M16="","",IF('Calc'!$AD8=0,IF(AND($C16="",$D16=""),"NÃO OPERA","EXTRA"),IF(AND($C16="",$D16=""),"SEM EQUIPE",IF((--($C16&lt;&gt;"")+--($D16&lt;&gt;""))&lt;'Calc'!$AD8,"INCOMPLETO",IF(OR(AND($C16&lt;&gt;"",IFERROR(INDEX(Equipe_NEsp,MATCH($C16,Equipe_Nome,0)),0)=0),AND($D16&lt;&gt;"",IFERROR(INDEX(Equipe_NEsp,MATCH($D16,Equipe_Nome,0)),0)=0)),"SEM AVALIAÇÃO",IF('Calc'!$Z26&gt;0,"FALTA HABILIDADE",IF(AND('Calc'!$AD8&gt;=2,'Calc'!$AA26&gt;0),"ATENÇÃO","OK")))))))</f>
        <v/>
      </c>
      <c r="F16" s="9">
        <f>IF($M16="","",IF($N16="","OK",LEFT($N16,LEN($N16)-3)))</f>
        <v/>
      </c>
      <c r="G16" s="12">
        <f>IF(OR($M16="",'Calc'!$B8&lt;&gt;"Sala cirúrgica"),"",COUNTIFS(Mapa_Sala,$M16,Mapa_Data,Data_Mapa,Mapa_MinOcup,"&gt;0"))</f>
        <v/>
      </c>
      <c r="H16" s="13">
        <f>IF(OR($M16="",'Calc'!$B8&lt;&gt;"Sala cirúrgica"),"",'Calc'!$AA8)</f>
        <v/>
      </c>
      <c r="I16" s="9">
        <f>IF($M16="","",IF(MAX('Calc_Salas'!$E$80:$E$92)=0,"—",IFERROR(TEXT(MOD(Turno_Ini+INDEX('Calc_Salas'!$C$80:$C$92,MATCH(LARGE('Calc_Salas'!$E$80:$E$92,1),'Calc_Salas'!$E$80:$E$92,0))/1440,1),"HH:MM")&amp;"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J16" s="12">
        <f>IF(OR($M16="",MAX('Calc_Salas'!$E$80:$E$92)=0),"",MAX('Calc_Salas'!$F$80:$F$92))</f>
        <v/>
      </c>
      <c r="K16" s="12">
        <f>IF($M16="","",MAX(0,COUNTIF('Calc_Salas'!$E$80:$E$92,"&gt;="&amp;Janela_Min)-1))</f>
        <v/>
      </c>
      <c r="L16" s="9">
        <f>IF($M16="","",IFERROR(INDEX(Sug_Nome,MATCH(LARGE('Calc'!K$38:K$67,1),'Calc'!K$38:K$67,0)),"—")&amp;IFERROR("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M16" s="11">
        <f>IF('Calc'!$A8="","",'Calc'!$A8)</f>
        <v/>
      </c>
      <c r="N16" s="11">
        <f>IF($M16="","",IF(AND($E16="SEM EQUIPE",N($G16)&gt;0),"Sem equipe — "&amp;$G16&amp;" cirurgia(s) a remanejar | ","")&amp;IF($E16="SEM EQUIPE",IF(N($G16)&gt;0,"","Posto sem equipe | "),"")&amp;IF($E16="INCOMPLETO","Falta 1 técnico no posto | ","")&amp;IF($E16="EXTRA","Técnico escalado em posto que não opera hoje | ","")&amp;IF(AND($E16="NÃO OPERA",N($G16)&gt;0),"Posto não opera hoje e tem cirurgia | ","")&amp;IF($E16="SEM AVALIAÇÃO","Técnico sem habilidade marcada na aba Equipe | ","")&amp;IF(AND($E16&lt;&gt;"SEM AVALIAÇÃO",'Calc'!$AC26&lt;&gt;""),"Ninguém cobre: "&amp;LEFT('Calc'!$AC26,LEN('Calc'!$AC26)-3)&amp;" | ","")&amp;IF(AND($C16&lt;&gt;"",IFERROR(INDEX(Equipe_Situacao,MATCH($C16,Equipe_Nome,0)),"?")&lt;&gt;"Disponível"),"Técnico 1 indisponível | ","")&amp;IF(AND($D16&lt;&gt;"",IFERROR(INDEX(Equipe_Situacao,MATCH($D16,Equipe_Nome,0)),"?")&lt;&gt;"Disponível"),"Técnico 2 indisponível | ","")&amp;IF(OR(AND($C16&lt;&gt;"",COUNTIF(Pai_Tec1,$C16)+COUNTIF(Pai_Tec2,$C16)&gt;1),AND($D16&lt;&gt;"",COUNTIF(Pai_Tec1,$D16)+COUNTIF(Pai_Tec2,$D16)&gt;1)),"Técnico escalado em dois postos | ","")&amp;IF(AND($H16&lt;&gt;"",$H16&gt;1),"Ocupação acima do plantão | ",""))</f>
        <v/>
      </c>
    </row>
    <row r="17" ht="30" customHeight="1">
      <c r="A17" s="9">
        <f>IF($M17="","",IFERROR(INDEX(Postos_Nome,MATCH($M17,Postos_Cod,0)),$M17))</f>
        <v/>
      </c>
      <c r="B17" s="9">
        <f>IF(OR($M17="",'Calc'!$AB27=""),"",LEFT('Calc'!$AB27,LEN('Calc'!$AB27)-3))</f>
        <v/>
      </c>
      <c r="C17" s="10" t="inlineStr">
        <is>
          <t>Kelly Marchi</t>
        </is>
      </c>
      <c r="D17" s="10" t="inlineStr">
        <is>
          <t>Vagner Sartori</t>
        </is>
      </c>
      <c r="E17" s="11">
        <f>IF($M17="","",IF('Calc'!$AD9=0,IF(AND($C17="",$D17=""),"NÃO OPERA","EXTRA"),IF(AND($C17="",$D17=""),"SEM EQUIPE",IF((--($C17&lt;&gt;"")+--($D17&lt;&gt;""))&lt;'Calc'!$AD9,"INCOMPLETO",IF(OR(AND($C17&lt;&gt;"",IFERROR(INDEX(Equipe_NEsp,MATCH($C17,Equipe_Nome,0)),0)=0),AND($D17&lt;&gt;"",IFERROR(INDEX(Equipe_NEsp,MATCH($D17,Equipe_Nome,0)),0)=0)),"SEM AVALIAÇÃO",IF('Calc'!$Z27&gt;0,"FALTA HABILIDADE",IF(AND('Calc'!$AD9&gt;=2,'Calc'!$AA27&gt;0),"ATENÇÃO","OK")))))))</f>
        <v/>
      </c>
      <c r="F17" s="9">
        <f>IF($M17="","",IF($N17="","OK",LEFT($N17,LEN($N17)-3)))</f>
        <v/>
      </c>
      <c r="G17" s="12">
        <f>IF(OR($M17="",'Calc'!$B9&lt;&gt;"Sala cirúrgica"),"",COUNTIFS(Mapa_Sala,$M17,Mapa_Data,Data_Mapa,Mapa_MinOcup,"&gt;0"))</f>
        <v/>
      </c>
      <c r="H17" s="13">
        <f>IF(OR($M17="",'Calc'!$B9&lt;&gt;"Sala cirúrgica"),"",'Calc'!$AA9)</f>
        <v/>
      </c>
      <c r="I17" s="9">
        <f>IF($M17="","",IF(MAX('Calc_Salas'!$E$93:$E$105)=0,"—",IFERROR(TEXT(MOD(Turno_Ini+INDEX('Calc_Salas'!$C$93:$C$105,MATCH(LARGE('Calc_Salas'!$E$93:$E$105,1),'Calc_Salas'!$E$93:$E$105,0))/1440,1),"HH:MM")&amp;"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J17" s="12">
        <f>IF(OR($M17="",MAX('Calc_Salas'!$E$93:$E$105)=0),"",MAX('Calc_Salas'!$F$93:$F$105))</f>
        <v/>
      </c>
      <c r="K17" s="12">
        <f>IF($M17="","",MAX(0,COUNTIF('Calc_Salas'!$E$93:$E$105,"&gt;="&amp;Janela_Min)-1))</f>
        <v/>
      </c>
      <c r="L17" s="9">
        <f>IF($M17="","",IFERROR(INDEX(Sug_Nome,MATCH(LARGE('Calc'!L$38:L$67,1),'Calc'!L$38:L$67,0)),"—")&amp;IFERROR("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M17" s="11">
        <f>IF('Calc'!$A9="","",'Calc'!$A9)</f>
        <v/>
      </c>
      <c r="N17" s="11">
        <f>IF($M17="","",IF(AND($E17="SEM EQUIPE",N($G17)&gt;0),"Sem equipe — "&amp;$G17&amp;" cirurgia(s) a remanejar | ","")&amp;IF($E17="SEM EQUIPE",IF(N($G17)&gt;0,"","Posto sem equipe | "),"")&amp;IF($E17="INCOMPLETO","Falta 1 técnico no posto | ","")&amp;IF($E17="EXTRA","Técnico escalado em posto que não opera hoje | ","")&amp;IF(AND($E17="NÃO OPERA",N($G17)&gt;0),"Posto não opera hoje e tem cirurgia | ","")&amp;IF($E17="SEM AVALIAÇÃO","Técnico sem habilidade marcada na aba Equipe | ","")&amp;IF(AND($E17&lt;&gt;"SEM AVALIAÇÃO",'Calc'!$AC27&lt;&gt;""),"Ninguém cobre: "&amp;LEFT('Calc'!$AC27,LEN('Calc'!$AC27)-3)&amp;" | ","")&amp;IF(AND($C17&lt;&gt;"",IFERROR(INDEX(Equipe_Situacao,MATCH($C17,Equipe_Nome,0)),"?")&lt;&gt;"Disponível"),"Técnico 1 indisponível | ","")&amp;IF(AND($D17&lt;&gt;"",IFERROR(INDEX(Equipe_Situacao,MATCH($D17,Equipe_Nome,0)),"?")&lt;&gt;"Disponível"),"Técnico 2 indisponível | ","")&amp;IF(OR(AND($C17&lt;&gt;"",COUNTIF(Pai_Tec1,$C17)+COUNTIF(Pai_Tec2,$C17)&gt;1),AND($D17&lt;&gt;"",COUNTIF(Pai_Tec1,$D17)+COUNTIF(Pai_Tec2,$D17)&gt;1)),"Técnico escalado em dois postos | ","")&amp;IF(AND($H17&lt;&gt;"",$H17&gt;1),"Ocupação acima do plantão | ",""))</f>
        <v/>
      </c>
    </row>
    <row r="18" ht="30" customHeight="1">
      <c r="A18" s="9">
        <f>IF($M18="","",IFERROR(INDEX(Postos_Nome,MATCH($M18,Postos_Cod,0)),$M18))</f>
        <v/>
      </c>
      <c r="B18" s="9">
        <f>IF(OR($M18="",'Calc'!$AB28=""),"",LEFT('Calc'!$AB28,LEN('Calc'!$AB28)-3))</f>
        <v/>
      </c>
      <c r="C18" s="10" t="inlineStr">
        <is>
          <t>Patrícia Zortéa</t>
        </is>
      </c>
      <c r="D18" s="10" t="n"/>
      <c r="E18" s="11">
        <f>IF($M18="","",IF('Calc'!$AD10=0,IF(AND($C18="",$D18=""),"NÃO OPERA","EXTRA"),IF(AND($C18="",$D18=""),"SEM EQUIPE",IF((--($C18&lt;&gt;"")+--($D18&lt;&gt;""))&lt;'Calc'!$AD10,"INCOMPLETO",IF(OR(AND($C18&lt;&gt;"",IFERROR(INDEX(Equipe_NEsp,MATCH($C18,Equipe_Nome,0)),0)=0),AND($D18&lt;&gt;"",IFERROR(INDEX(Equipe_NEsp,MATCH($D18,Equipe_Nome,0)),0)=0)),"SEM AVALIAÇÃO",IF('Calc'!$Z28&gt;0,"FALTA HABILIDADE",IF(AND('Calc'!$AD10&gt;=2,'Calc'!$AA28&gt;0),"ATENÇÃO","OK")))))))</f>
        <v/>
      </c>
      <c r="F18" s="9">
        <f>IF($M18="","",IF($N18="","OK",LEFT($N18,LEN($N18)-3)))</f>
        <v/>
      </c>
      <c r="G18" s="12">
        <f>IF(OR($M18="",'Calc'!$B10&lt;&gt;"Sala cirúrgica"),"",COUNTIFS(Mapa_Sala,$M18,Mapa_Data,Data_Mapa,Mapa_MinOcup,"&gt;0"))</f>
        <v/>
      </c>
      <c r="H18" s="13">
        <f>IF(OR($M18="",'Calc'!$B10&lt;&gt;"Sala cirúrgica"),"",'Calc'!$AA10)</f>
        <v/>
      </c>
      <c r="I18" s="9">
        <f>IF($M18="","",IF(MAX('Calc_Salas'!$E$106:$E$118)=0,"—",IFERROR(TEXT(MOD(Turno_Ini+INDEX('Calc_Salas'!$C$106:$C$118,MATCH(LARGE('Calc_Salas'!$E$106:$E$118,1),'Calc_Salas'!$E$106:$E$118,0))/1440,1),"HH:MM")&amp;"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J18" s="12">
        <f>IF(OR($M18="",MAX('Calc_Salas'!$E$106:$E$118)=0),"",MAX('Calc_Salas'!$F$106:$F$118))</f>
        <v/>
      </c>
      <c r="K18" s="12">
        <f>IF($M18="","",MAX(0,COUNTIF('Calc_Salas'!$E$106:$E$118,"&gt;="&amp;Janela_Min)-1))</f>
        <v/>
      </c>
      <c r="L18" s="9">
        <f>IF($M18="","",IFERROR(INDEX(Sug_Nome,MATCH(LARGE('Calc'!M$38:M$67,1),'Calc'!M$38:M$67,0)),"—")&amp;IFERROR("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M18" s="11">
        <f>IF('Calc'!$A10="","",'Calc'!$A10)</f>
        <v/>
      </c>
      <c r="N18" s="11">
        <f>IF($M18="","",IF(AND($E18="SEM EQUIPE",N($G18)&gt;0),"Sem equipe — "&amp;$G18&amp;" cirurgia(s) a remanejar | ","")&amp;IF($E18="SEM EQUIPE",IF(N($G18)&gt;0,"","Posto sem equipe | "),"")&amp;IF($E18="INCOMPLETO","Falta 1 técnico no posto | ","")&amp;IF($E18="EXTRA","Técnico escalado em posto que não opera hoje | ","")&amp;IF(AND($E18="NÃO OPERA",N($G18)&gt;0),"Posto não opera hoje e tem cirurgia | ","")&amp;IF($E18="SEM AVALIAÇÃO","Técnico sem habilidade marcada na aba Equipe | ","")&amp;IF(AND($E18&lt;&gt;"SEM AVALIAÇÃO",'Calc'!$AC28&lt;&gt;""),"Ninguém cobre: "&amp;LEFT('Calc'!$AC28,LEN('Calc'!$AC28)-3)&amp;" | ","")&amp;IF(AND($C18&lt;&gt;"",IFERROR(INDEX(Equipe_Situacao,MATCH($C18,Equipe_Nome,0)),"?")&lt;&gt;"Disponível"),"Técnico 1 indisponível | ","")&amp;IF(AND($D18&lt;&gt;"",IFERROR(INDEX(Equipe_Situacao,MATCH($D18,Equipe_Nome,0)),"?")&lt;&gt;"Disponível"),"Técnico 2 indisponível | ","")&amp;IF(OR(AND($C18&lt;&gt;"",COUNTIF(Pai_Tec1,$C18)+COUNTIF(Pai_Tec2,$C18)&gt;1),AND($D18&lt;&gt;"",COUNTIF(Pai_Tec1,$D18)+COUNTIF(Pai_Tec2,$D18)&gt;1)),"Técnico escalado em dois postos | ","")&amp;IF(AND($H18&lt;&gt;"",$H18&gt;1),"Ocupação acima do plantão | ",""))</f>
        <v/>
      </c>
    </row>
    <row r="19" ht="30" customHeight="1">
      <c r="A19" s="9">
        <f>IF($M19="","",IFERROR(INDEX(Postos_Nome,MATCH($M19,Postos_Cod,0)),$M19))</f>
        <v/>
      </c>
      <c r="B19" s="9">
        <f>IF(OR($M19="",'Calc'!$AB29=""),"",LEFT('Calc'!$AB29,LEN('Calc'!$AB29)-3))</f>
        <v/>
      </c>
      <c r="C19" s="10" t="n"/>
      <c r="D19" s="10" t="n"/>
      <c r="E19" s="11">
        <f>IF($M19="","",IF('Calc'!$AD11=0,IF(AND($C19="",$D19=""),"NÃO OPERA","EXTRA"),IF(AND($C19="",$D19=""),"SEM EQUIPE",IF((--($C19&lt;&gt;"")+--($D19&lt;&gt;""))&lt;'Calc'!$AD11,"INCOMPLETO",IF(OR(AND($C19&lt;&gt;"",IFERROR(INDEX(Equipe_NEsp,MATCH($C19,Equipe_Nome,0)),0)=0),AND($D19&lt;&gt;"",IFERROR(INDEX(Equipe_NEsp,MATCH($D19,Equipe_Nome,0)),0)=0)),"SEM AVALIAÇÃO",IF('Calc'!$Z29&gt;0,"FALTA HABILIDADE",IF(AND('Calc'!$AD11&gt;=2,'Calc'!$AA29&gt;0),"ATENÇÃO","OK")))))))</f>
        <v/>
      </c>
      <c r="F19" s="9">
        <f>IF($M19="","",IF($N19="","OK",LEFT($N19,LEN($N19)-3)))</f>
        <v/>
      </c>
      <c r="G19" s="12">
        <f>IF(OR($M19="",'Calc'!$B11&lt;&gt;"Sala cirúrgica"),"",COUNTIFS(Mapa_Sala,$M19,Mapa_Data,Data_Mapa,Mapa_MinOcup,"&gt;0"))</f>
        <v/>
      </c>
      <c r="H19" s="13">
        <f>IF(OR($M19="",'Calc'!$B11&lt;&gt;"Sala cirúrgica"),"",'Calc'!$AA11)</f>
        <v/>
      </c>
      <c r="I19" s="9">
        <f>IF($M19="","",IF(MAX('Calc_Salas'!$E$119:$E$131)=0,"—",IFERROR(TEXT(MOD(Turno_Ini+INDEX('Calc_Salas'!$C$119:$C$131,MATCH(LARGE('Calc_Salas'!$E$119:$E$131,1),'Calc_Salas'!$E$119:$E$131,0))/1440,1),"HH:MM")&amp;"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J19" s="12">
        <f>IF(OR($M19="",MAX('Calc_Salas'!$E$119:$E$131)=0),"",MAX('Calc_Salas'!$F$119:$F$131))</f>
        <v/>
      </c>
      <c r="K19" s="12">
        <f>IF($M19="","",MAX(0,COUNTIF('Calc_Salas'!$E$119:$E$131,"&gt;="&amp;Janela_Min)-1))</f>
        <v/>
      </c>
      <c r="L19" s="9">
        <f>IF($M19="","",IFERROR(INDEX(Sug_Nome,MATCH(LARGE('Calc'!N$38:N$67,1),'Calc'!N$38:N$67,0)),"—")&amp;IFERROR("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M19" s="11">
        <f>IF('Calc'!$A11="","",'Calc'!$A11)</f>
        <v/>
      </c>
      <c r="N19" s="11">
        <f>IF($M19="","",IF(AND($E19="SEM EQUIPE",N($G19)&gt;0),"Sem equipe — "&amp;$G19&amp;" cirurgia(s) a remanejar | ","")&amp;IF($E19="SEM EQUIPE",IF(N($G19)&gt;0,"","Posto sem equipe | "),"")&amp;IF($E19="INCOMPLETO","Falta 1 técnico no posto | ","")&amp;IF($E19="EXTRA","Técnico escalado em posto que não opera hoje | ","")&amp;IF(AND($E19="NÃO OPERA",N($G19)&gt;0),"Posto não opera hoje e tem cirurgia | ","")&amp;IF($E19="SEM AVALIAÇÃO","Técnico sem habilidade marcada na aba Equipe | ","")&amp;IF(AND($E19&lt;&gt;"SEM AVALIAÇÃO",'Calc'!$AC29&lt;&gt;""),"Ninguém cobre: "&amp;LEFT('Calc'!$AC29,LEN('Calc'!$AC29)-3)&amp;" | ","")&amp;IF(AND($C19&lt;&gt;"",IFERROR(INDEX(Equipe_Situacao,MATCH($C19,Equipe_Nome,0)),"?")&lt;&gt;"Disponível"),"Técnico 1 indisponível | ","")&amp;IF(AND($D19&lt;&gt;"",IFERROR(INDEX(Equipe_Situacao,MATCH($D19,Equipe_Nome,0)),"?")&lt;&gt;"Disponível"),"Técnico 2 indisponível | ","")&amp;IF(OR(AND($C19&lt;&gt;"",COUNTIF(Pai_Tec1,$C19)+COUNTIF(Pai_Tec2,$C19)&gt;1),AND($D19&lt;&gt;"",COUNTIF(Pai_Tec1,$D19)+COUNTIF(Pai_Tec2,$D19)&gt;1)),"Técnico escalado em dois postos | ","")&amp;IF(AND($H19&lt;&gt;"",$H19&gt;1),"Ocupação acima do plantão | ",""))</f>
        <v/>
      </c>
    </row>
    <row r="20" ht="30" customHeight="1">
      <c r="A20" s="9">
        <f>IF($M20="","",IFERROR(INDEX(Postos_Nome,MATCH($M20,Postos_Cod,0)),$M20))</f>
        <v/>
      </c>
      <c r="B20" s="9">
        <f>IF(OR($M20="",'Calc'!$AB30=""),"",LEFT('Calc'!$AB30,LEN('Calc'!$AB30)-3))</f>
        <v/>
      </c>
      <c r="C20" s="10" t="inlineStr">
        <is>
          <t>Nádia Fávero</t>
        </is>
      </c>
      <c r="D20" s="10" t="n"/>
      <c r="E20" s="11">
        <f>IF($M20="","",IF('Calc'!$AD12=0,IF(AND($C20="",$D20=""),"NÃO OPERA","EXTRA"),IF(AND($C20="",$D20=""),"SEM EQUIPE",IF((--($C20&lt;&gt;"")+--($D20&lt;&gt;""))&lt;'Calc'!$AD12,"INCOMPLETO",IF(OR(AND($C20&lt;&gt;"",IFERROR(INDEX(Equipe_NEsp,MATCH($C20,Equipe_Nome,0)),0)=0),AND($D20&lt;&gt;"",IFERROR(INDEX(Equipe_NEsp,MATCH($D20,Equipe_Nome,0)),0)=0)),"SEM AVALIAÇÃO",IF('Calc'!$Z30&gt;0,"FALTA HABILIDADE",IF(AND('Calc'!$AD12&gt;=2,'Calc'!$AA30&gt;0),"ATENÇÃO","OK")))))))</f>
        <v/>
      </c>
      <c r="F20" s="9">
        <f>IF($M20="","",IF($N20="","OK",LEFT($N20,LEN($N20)-3)))</f>
        <v/>
      </c>
      <c r="G20" s="12">
        <f>IF(OR($M20="",'Calc'!$B12&lt;&gt;"Sala cirúrgica"),"",COUNTIFS(Mapa_Sala,$M20,Mapa_Data,Data_Mapa,Mapa_MinOcup,"&gt;0"))</f>
        <v/>
      </c>
      <c r="H20" s="13">
        <f>IF(OR($M20="",'Calc'!$B12&lt;&gt;"Sala cirúrgica"),"",'Calc'!$AA12)</f>
        <v/>
      </c>
      <c r="I20" s="9">
        <f>IF($M20="","",IF(MAX('Calc_Salas'!$E$132:$E$144)=0,"—",IFERROR(TEXT(MOD(Turno_Ini+INDEX('Calc_Salas'!$C$132:$C$144,MATCH(LARGE('Calc_Salas'!$E$132:$E$144,1),'Calc_Salas'!$E$132:$E$144,0))/1440,1),"HH:MM")&amp;"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J20" s="12">
        <f>IF(OR($M20="",MAX('Calc_Salas'!$E$132:$E$144)=0),"",MAX('Calc_Salas'!$F$132:$F$144))</f>
        <v/>
      </c>
      <c r="K20" s="12">
        <f>IF($M20="","",MAX(0,COUNTIF('Calc_Salas'!$E$132:$E$144,"&gt;="&amp;Janela_Min)-1))</f>
        <v/>
      </c>
      <c r="L20" s="9">
        <f>IF($M20="","",IFERROR(INDEX(Sug_Nome,MATCH(LARGE('Calc'!O$38:O$67,1),'Calc'!O$38:O$67,0)),"—")&amp;IFERROR("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M20" s="11">
        <f>IF('Calc'!$A12="","",'Calc'!$A12)</f>
        <v/>
      </c>
      <c r="N20" s="11">
        <f>IF($M20="","",IF(AND($E20="SEM EQUIPE",N($G20)&gt;0),"Sem equipe — "&amp;$G20&amp;" cirurgia(s) a remanejar | ","")&amp;IF($E20="SEM EQUIPE",IF(N($G20)&gt;0,"","Posto sem equipe | "),"")&amp;IF($E20="INCOMPLETO","Falta 1 técnico no posto | ","")&amp;IF($E20="EXTRA","Técnico escalado em posto que não opera hoje | ","")&amp;IF(AND($E20="NÃO OPERA",N($G20)&gt;0),"Posto não opera hoje e tem cirurgia | ","")&amp;IF($E20="SEM AVALIAÇÃO","Técnico sem habilidade marcada na aba Equipe | ","")&amp;IF(AND($E20&lt;&gt;"SEM AVALIAÇÃO",'Calc'!$AC30&lt;&gt;""),"Ninguém cobre: "&amp;LEFT('Calc'!$AC30,LEN('Calc'!$AC30)-3)&amp;" | ","")&amp;IF(AND($C20&lt;&gt;"",IFERROR(INDEX(Equipe_Situacao,MATCH($C20,Equipe_Nome,0)),"?")&lt;&gt;"Disponível"),"Técnico 1 indisponível | ","")&amp;IF(AND($D20&lt;&gt;"",IFERROR(INDEX(Equipe_Situacao,MATCH($D20,Equipe_Nome,0)),"?")&lt;&gt;"Disponível"),"Técnico 2 indisponível | ","")&amp;IF(OR(AND($C20&lt;&gt;"",COUNTIF(Pai_Tec1,$C20)+COUNTIF(Pai_Tec2,$C20)&gt;1),AND($D20&lt;&gt;"",COUNTIF(Pai_Tec1,$D20)+COUNTIF(Pai_Tec2,$D20)&gt;1)),"Técnico escalado em dois postos | ","")&amp;IF(AND($H20&lt;&gt;"",$H20&gt;1),"Ocupação acima do plantão | ",""))</f>
        <v/>
      </c>
    </row>
    <row r="21" ht="30" customHeight="1">
      <c r="A21" s="9">
        <f>IF($M21="","",IFERROR(INDEX(Postos_Nome,MATCH($M21,Postos_Cod,0)),$M21))</f>
        <v/>
      </c>
      <c r="B21" s="9">
        <f>IF(OR($M21="",'Calc'!$AB31=""),"",LEFT('Calc'!$AB31,LEN('Calc'!$AB31)-3))</f>
        <v/>
      </c>
      <c r="C21" s="10" t="n"/>
      <c r="D21" s="10" t="n"/>
      <c r="E21" s="11">
        <f>IF($M21="","",IF('Calc'!$AD13=0,IF(AND($C21="",$D21=""),"NÃO OPERA","EXTRA"),IF(AND($C21="",$D21=""),"SEM EQUIPE",IF((--($C21&lt;&gt;"")+--($D21&lt;&gt;""))&lt;'Calc'!$AD13,"INCOMPLETO",IF(OR(AND($C21&lt;&gt;"",IFERROR(INDEX(Equipe_NEsp,MATCH($C21,Equipe_Nome,0)),0)=0),AND($D21&lt;&gt;"",IFERROR(INDEX(Equipe_NEsp,MATCH($D21,Equipe_Nome,0)),0)=0)),"SEM AVALIAÇÃO",IF('Calc'!$Z31&gt;0,"FALTA HABILIDADE",IF(AND('Calc'!$AD13&gt;=2,'Calc'!$AA31&gt;0),"ATENÇÃO","OK")))))))</f>
        <v/>
      </c>
      <c r="F21" s="9">
        <f>IF($M21="","",IF($N21="","OK",LEFT($N21,LEN($N21)-3)))</f>
        <v/>
      </c>
      <c r="G21" s="12">
        <f>IF(OR($M21="",'Calc'!$B13&lt;&gt;"Sala cirúrgica"),"",COUNTIFS(Mapa_Sala,$M21,Mapa_Data,Data_Mapa,Mapa_MinOcup,"&gt;0"))</f>
        <v/>
      </c>
      <c r="H21" s="13">
        <f>IF(OR($M21="",'Calc'!$B13&lt;&gt;"Sala cirúrgica"),"",'Calc'!$AA13)</f>
        <v/>
      </c>
      <c r="I21" s="9">
        <f>IF($M21="","",IF(MAX('Calc_Salas'!$E$145:$E$157)=0,"—",IFERROR(TEXT(MOD(Turno_Ini+INDEX('Calc_Salas'!$C$145:$C$157,MATCH(LARGE('Calc_Salas'!$E$145:$E$157,1),'Calc_Salas'!$E$145:$E$157,0))/1440,1),"HH:MM")&amp;"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J21" s="12">
        <f>IF(OR($M21="",MAX('Calc_Salas'!$E$145:$E$157)=0),"",MAX('Calc_Salas'!$F$145:$F$157))</f>
        <v/>
      </c>
      <c r="K21" s="12">
        <f>IF($M21="","",MAX(0,COUNTIF('Calc_Salas'!$E$145:$E$157,"&gt;="&amp;Janela_Min)-1))</f>
        <v/>
      </c>
      <c r="L21" s="9">
        <f>IF($M21="","",IFERROR(INDEX(Sug_Nome,MATCH(LARGE('Calc'!P$38:P$67,1),'Calc'!P$38:P$67,0)),"—")&amp;IFERROR("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M21" s="11">
        <f>IF('Calc'!$A13="","",'Calc'!$A13)</f>
        <v/>
      </c>
      <c r="N21" s="11">
        <f>IF($M21="","",IF(AND($E21="SEM EQUIPE",N($G21)&gt;0),"Sem equipe — "&amp;$G21&amp;" cirurgia(s) a remanejar | ","")&amp;IF($E21="SEM EQUIPE",IF(N($G21)&gt;0,"","Posto sem equipe | "),"")&amp;IF($E21="INCOMPLETO","Falta 1 técnico no posto | ","")&amp;IF($E21="EXTRA","Técnico escalado em posto que não opera hoje | ","")&amp;IF(AND($E21="NÃO OPERA",N($G21)&gt;0),"Posto não opera hoje e tem cirurgia | ","")&amp;IF($E21="SEM AVALIAÇÃO","Técnico sem habilidade marcada na aba Equipe | ","")&amp;IF(AND($E21&lt;&gt;"SEM AVALIAÇÃO",'Calc'!$AC31&lt;&gt;""),"Ninguém cobre: "&amp;LEFT('Calc'!$AC31,LEN('Calc'!$AC31)-3)&amp;" | ","")&amp;IF(AND($C21&lt;&gt;"",IFERROR(INDEX(Equipe_Situacao,MATCH($C21,Equipe_Nome,0)),"?")&lt;&gt;"Disponível"),"Técnico 1 indisponível | ","")&amp;IF(AND($D21&lt;&gt;"",IFERROR(INDEX(Equipe_Situacao,MATCH($D21,Equipe_Nome,0)),"?")&lt;&gt;"Disponível"),"Técnico 2 indisponível | ","")&amp;IF(OR(AND($C21&lt;&gt;"",COUNTIF(Pai_Tec1,$C21)+COUNTIF(Pai_Tec2,$C21)&gt;1),AND($D21&lt;&gt;"",COUNTIF(Pai_Tec1,$D21)+COUNTIF(Pai_Tec2,$D21)&gt;1)),"Técnico escalado em dois postos | ","")&amp;IF(AND($H21&lt;&gt;"",$H21&gt;1),"Ocupação acima do plantão | ",""))</f>
        <v/>
      </c>
    </row>
    <row r="22" ht="30" customHeight="1">
      <c r="A22" s="9">
        <f>IF($M22="","",IFERROR(INDEX(Postos_Nome,MATCH($M22,Postos_Cod,0)),$M22))</f>
        <v/>
      </c>
      <c r="B22" s="9">
        <f>IF(OR($M22="",'Calc'!$AB32=""),"",LEFT('Calc'!$AB32,LEN('Calc'!$AB32)-3))</f>
        <v/>
      </c>
      <c r="C22" s="10" t="n"/>
      <c r="D22" s="10" t="n"/>
      <c r="E22" s="11">
        <f>IF($M22="","",IF('Calc'!$AD14=0,IF(AND($C22="",$D22=""),"NÃO OPERA","EXTRA"),IF(AND($C22="",$D22=""),"SEM EQUIPE",IF((--($C22&lt;&gt;"")+--($D22&lt;&gt;""))&lt;'Calc'!$AD14,"INCOMPLETO",IF(OR(AND($C22&lt;&gt;"",IFERROR(INDEX(Equipe_NEsp,MATCH($C22,Equipe_Nome,0)),0)=0),AND($D22&lt;&gt;"",IFERROR(INDEX(Equipe_NEsp,MATCH($D22,Equipe_Nome,0)),0)=0)),"SEM AVALIAÇÃO",IF('Calc'!$Z32&gt;0,"FALTA HABILIDADE",IF(AND('Calc'!$AD14&gt;=2,'Calc'!$AA32&gt;0),"ATENÇÃO","OK")))))))</f>
        <v/>
      </c>
      <c r="F22" s="9">
        <f>IF($M22="","",IF($N22="","OK",LEFT($N22,LEN($N22)-3)))</f>
        <v/>
      </c>
      <c r="G22" s="12">
        <f>IF(OR($M22="",'Calc'!$B14&lt;&gt;"Sala cirúrgica"),"",COUNTIFS(Mapa_Sala,$M22,Mapa_Data,Data_Mapa,Mapa_MinOcup,"&gt;0"))</f>
        <v/>
      </c>
      <c r="H22" s="13">
        <f>IF(OR($M22="",'Calc'!$B14&lt;&gt;"Sala cirúrgica"),"",'Calc'!$AA14)</f>
        <v/>
      </c>
      <c r="I22" s="9">
        <f>IF($M22="","",IF(MAX('Calc_Salas'!$E$158:$E$170)=0,"—",IFERROR(TEXT(MOD(Turno_Ini+INDEX('Calc_Salas'!$C$158:$C$170,MATCH(LARGE('Calc_Salas'!$E$158:$E$170,1),'Calc_Salas'!$E$158:$E$170,0))/1440,1),"HH:MM")&amp;"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J22" s="12">
        <f>IF(OR($M22="",MAX('Calc_Salas'!$E$158:$E$170)=0),"",MAX('Calc_Salas'!$F$158:$F$170))</f>
        <v/>
      </c>
      <c r="K22" s="12">
        <f>IF($M22="","",MAX(0,COUNTIF('Calc_Salas'!$E$158:$E$170,"&gt;="&amp;Janela_Min)-1))</f>
        <v/>
      </c>
      <c r="L22" s="9">
        <f>IF($M22="","",IFERROR(INDEX(Sug_Nome,MATCH(LARGE('Calc'!Q$38:Q$67,1),'Calc'!Q$38:Q$67,0)),"—")&amp;IFERROR("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M22" s="11">
        <f>IF('Calc'!$A14="","",'Calc'!$A14)</f>
        <v/>
      </c>
      <c r="N22" s="11">
        <f>IF($M22="","",IF(AND($E22="SEM EQUIPE",N($G22)&gt;0),"Sem equipe — "&amp;$G22&amp;" cirurgia(s) a remanejar | ","")&amp;IF($E22="SEM EQUIPE",IF(N($G22)&gt;0,"","Posto sem equipe | "),"")&amp;IF($E22="INCOMPLETO","Falta 1 técnico no posto | ","")&amp;IF($E22="EXTRA","Técnico escalado em posto que não opera hoje | ","")&amp;IF(AND($E22="NÃO OPERA",N($G22)&gt;0),"Posto não opera hoje e tem cirurgia | ","")&amp;IF($E22="SEM AVALIAÇÃO","Técnico sem habilidade marcada na aba Equipe | ","")&amp;IF(AND($E22&lt;&gt;"SEM AVALIAÇÃO",'Calc'!$AC32&lt;&gt;""),"Ninguém cobre: "&amp;LEFT('Calc'!$AC32,LEN('Calc'!$AC32)-3)&amp;" | ","")&amp;IF(AND($C22&lt;&gt;"",IFERROR(INDEX(Equipe_Situacao,MATCH($C22,Equipe_Nome,0)),"?")&lt;&gt;"Disponível"),"Técnico 1 indisponível | ","")&amp;IF(AND($D22&lt;&gt;"",IFERROR(INDEX(Equipe_Situacao,MATCH($D22,Equipe_Nome,0)),"?")&lt;&gt;"Disponível"),"Técnico 2 indisponível | ","")&amp;IF(OR(AND($C22&lt;&gt;"",COUNTIF(Pai_Tec1,$C22)+COUNTIF(Pai_Tec2,$C22)&gt;1),AND($D22&lt;&gt;"",COUNTIF(Pai_Tec1,$D22)+COUNTIF(Pai_Tec2,$D22)&gt;1)),"Técnico escalado em dois postos | ","")&amp;IF(AND($H22&lt;&gt;"",$H22&gt;1),"Ocupação acima do plantão | ",""))</f>
        <v/>
      </c>
    </row>
    <row r="23" ht="30" customHeight="1">
      <c r="A23" s="9">
        <f>IF($M23="","",IFERROR(INDEX(Postos_Nome,MATCH($M23,Postos_Cod,0)),$M23))</f>
        <v/>
      </c>
      <c r="B23" s="9">
        <f>IF(OR($M23="",'Calc'!$AB33=""),"",LEFT('Calc'!$AB33,LEN('Calc'!$AB33)-3))</f>
        <v/>
      </c>
      <c r="C23" s="10" t="n"/>
      <c r="D23" s="10" t="n"/>
      <c r="E23" s="11">
        <f>IF($M23="","",IF('Calc'!$AD15=0,IF(AND($C23="",$D23=""),"NÃO OPERA","EXTRA"),IF(AND($C23="",$D23=""),"SEM EQUIPE",IF((--($C23&lt;&gt;"")+--($D23&lt;&gt;""))&lt;'Calc'!$AD15,"INCOMPLETO",IF(OR(AND($C23&lt;&gt;"",IFERROR(INDEX(Equipe_NEsp,MATCH($C23,Equipe_Nome,0)),0)=0),AND($D23&lt;&gt;"",IFERROR(INDEX(Equipe_NEsp,MATCH($D23,Equipe_Nome,0)),0)=0)),"SEM AVALIAÇÃO",IF('Calc'!$Z33&gt;0,"FALTA HABILIDADE",IF(AND('Calc'!$AD15&gt;=2,'Calc'!$AA33&gt;0),"ATENÇÃO","OK")))))))</f>
        <v/>
      </c>
      <c r="F23" s="9">
        <f>IF($M23="","",IF($N23="","OK",LEFT($N23,LEN($N23)-3)))</f>
        <v/>
      </c>
      <c r="G23" s="12">
        <f>IF(OR($M23="",'Calc'!$B15&lt;&gt;"Sala cirúrgica"),"",COUNTIFS(Mapa_Sala,$M23,Mapa_Data,Data_Mapa,Mapa_MinOcup,"&gt;0"))</f>
        <v/>
      </c>
      <c r="H23" s="13">
        <f>IF(OR($M23="",'Calc'!$B15&lt;&gt;"Sala cirúrgica"),"",'Calc'!$AA15)</f>
        <v/>
      </c>
      <c r="I23" s="9">
        <f>IF($M23="","",IF(MAX('Calc_Salas'!$E$171:$E$183)=0,"—",IFERROR(TEXT(MOD(Turno_Ini+INDEX('Calc_Salas'!$C$171:$C$183,MATCH(LARGE('Calc_Salas'!$E$171:$E$183,1),'Calc_Salas'!$E$171:$E$183,0))/1440,1),"HH:MM")&amp;"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J23" s="12">
        <f>IF(OR($M23="",MAX('Calc_Salas'!$E$171:$E$183)=0),"",MAX('Calc_Salas'!$F$171:$F$183))</f>
        <v/>
      </c>
      <c r="K23" s="12">
        <f>IF($M23="","",MAX(0,COUNTIF('Calc_Salas'!$E$171:$E$183,"&gt;="&amp;Janela_Min)-1))</f>
        <v/>
      </c>
      <c r="L23" s="9">
        <f>IF($M23="","",IFERROR(INDEX(Sug_Nome,MATCH(LARGE('Calc'!R$38:R$67,1),'Calc'!R$38:R$67,0)),"—")&amp;IFERROR("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M23" s="11">
        <f>IF('Calc'!$A15="","",'Calc'!$A15)</f>
        <v/>
      </c>
      <c r="N23" s="11">
        <f>IF($M23="","",IF(AND($E23="SEM EQUIPE",N($G23)&gt;0),"Sem equipe — "&amp;$G23&amp;" cirurgia(s) a remanejar | ","")&amp;IF($E23="SEM EQUIPE",IF(N($G23)&gt;0,"","Posto sem equipe | "),"")&amp;IF($E23="INCOMPLETO","Falta 1 técnico no posto | ","")&amp;IF($E23="EXTRA","Técnico escalado em posto que não opera hoje | ","")&amp;IF(AND($E23="NÃO OPERA",N($G23)&gt;0),"Posto não opera hoje e tem cirurgia | ","")&amp;IF($E23="SEM AVALIAÇÃO","Técnico sem habilidade marcada na aba Equipe | ","")&amp;IF(AND($E23&lt;&gt;"SEM AVALIAÇÃO",'Calc'!$AC33&lt;&gt;""),"Ninguém cobre: "&amp;LEFT('Calc'!$AC33,LEN('Calc'!$AC33)-3)&amp;" | ","")&amp;IF(AND($C23&lt;&gt;"",IFERROR(INDEX(Equipe_Situacao,MATCH($C23,Equipe_Nome,0)),"?")&lt;&gt;"Disponível"),"Técnico 1 indisponível | ","")&amp;IF(AND($D23&lt;&gt;"",IFERROR(INDEX(Equipe_Situacao,MATCH($D23,Equipe_Nome,0)),"?")&lt;&gt;"Disponível"),"Técnico 2 indisponível | ","")&amp;IF(OR(AND($C23&lt;&gt;"",COUNTIF(Pai_Tec1,$C23)+COUNTIF(Pai_Tec2,$C23)&gt;1),AND($D23&lt;&gt;"",COUNTIF(Pai_Tec1,$D23)+COUNTIF(Pai_Tec2,$D23)&gt;1)),"Técnico escalado em dois postos | ","")&amp;IF(AND($H23&lt;&gt;"",$H23&gt;1),"Ocupação acima do plantão | ",""))</f>
        <v/>
      </c>
    </row>
    <row r="24" ht="30" customHeight="1">
      <c r="A24" s="9">
        <f>IF($M24="","",IFERROR(INDEX(Postos_Nome,MATCH($M24,Postos_Cod,0)),$M24))</f>
        <v/>
      </c>
      <c r="B24" s="9">
        <f>IF(OR($M24="",'Calc'!$AB34=""),"",LEFT('Calc'!$AB34,LEN('Calc'!$AB34)-3))</f>
        <v/>
      </c>
      <c r="C24" s="10" t="n"/>
      <c r="D24" s="10" t="n"/>
      <c r="E24" s="11">
        <f>IF($M24="","",IF('Calc'!$AD16=0,IF(AND($C24="",$D24=""),"NÃO OPERA","EXTRA"),IF(AND($C24="",$D24=""),"SEM EQUIPE",IF((--($C24&lt;&gt;"")+--($D24&lt;&gt;""))&lt;'Calc'!$AD16,"INCOMPLETO",IF(OR(AND($C24&lt;&gt;"",IFERROR(INDEX(Equipe_NEsp,MATCH($C24,Equipe_Nome,0)),0)=0),AND($D24&lt;&gt;"",IFERROR(INDEX(Equipe_NEsp,MATCH($D24,Equipe_Nome,0)),0)=0)),"SEM AVALIAÇÃO",IF('Calc'!$Z34&gt;0,"FALTA HABILIDADE",IF(AND('Calc'!$AD16&gt;=2,'Calc'!$AA34&gt;0),"ATENÇÃO","OK")))))))</f>
        <v/>
      </c>
      <c r="F24" s="9">
        <f>IF($M24="","",IF($N24="","OK",LEFT($N24,LEN($N24)-3)))</f>
        <v/>
      </c>
      <c r="G24" s="12">
        <f>IF(OR($M24="",'Calc'!$B16&lt;&gt;"Sala cirúrgica"),"",COUNTIFS(Mapa_Sala,$M24,Mapa_Data,Data_Mapa,Mapa_MinOcup,"&gt;0"))</f>
        <v/>
      </c>
      <c r="H24" s="13">
        <f>IF(OR($M24="",'Calc'!$B16&lt;&gt;"Sala cirúrgica"),"",'Calc'!$AA16)</f>
        <v/>
      </c>
      <c r="I24" s="9">
        <f>IF($M24="","",IF(MAX('Calc_Salas'!$E$184:$E$196)=0,"—",IFERROR(TEXT(MOD(Turno_Ini+INDEX('Calc_Salas'!$C$184:$C$196,MATCH(LARGE('Calc_Salas'!$E$184:$E$196,1),'Calc_Salas'!$E$184:$E$196,0))/1440,1),"HH:MM")&amp;"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J24" s="12">
        <f>IF(OR($M24="",MAX('Calc_Salas'!$E$184:$E$196)=0),"",MAX('Calc_Salas'!$F$184:$F$196))</f>
        <v/>
      </c>
      <c r="K24" s="12">
        <f>IF($M24="","",MAX(0,COUNTIF('Calc_Salas'!$E$184:$E$196,"&gt;="&amp;Janela_Min)-1))</f>
        <v/>
      </c>
      <c r="L24" s="9">
        <f>IF($M24="","",IFERROR(INDEX(Sug_Nome,MATCH(LARGE('Calc'!S$38:S$67,1),'Calc'!S$38:S$67,0)),"—")&amp;IFERROR("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M24" s="11">
        <f>IF('Calc'!$A16="","",'Calc'!$A16)</f>
        <v/>
      </c>
      <c r="N24" s="11">
        <f>IF($M24="","",IF(AND($E24="SEM EQUIPE",N($G24)&gt;0),"Sem equipe — "&amp;$G24&amp;" cirurgia(s) a remanejar | ","")&amp;IF($E24="SEM EQUIPE",IF(N($G24)&gt;0,"","Posto sem equipe | "),"")&amp;IF($E24="INCOMPLETO","Falta 1 técnico no posto | ","")&amp;IF($E24="EXTRA","Técnico escalado em posto que não opera hoje | ","")&amp;IF(AND($E24="NÃO OPERA",N($G24)&gt;0),"Posto não opera hoje e tem cirurgia | ","")&amp;IF($E24="SEM AVALIAÇÃO","Técnico sem habilidade marcada na aba Equipe | ","")&amp;IF(AND($E24&lt;&gt;"SEM AVALIAÇÃO",'Calc'!$AC34&lt;&gt;""),"Ninguém cobre: "&amp;LEFT('Calc'!$AC34,LEN('Calc'!$AC34)-3)&amp;" | ","")&amp;IF(AND($C24&lt;&gt;"",IFERROR(INDEX(Equipe_Situacao,MATCH($C24,Equipe_Nome,0)),"?")&lt;&gt;"Disponível"),"Técnico 1 indisponível | ","")&amp;IF(AND($D24&lt;&gt;"",IFERROR(INDEX(Equipe_Situacao,MATCH($D24,Equipe_Nome,0)),"?")&lt;&gt;"Disponível"),"Técnico 2 indisponível | ","")&amp;IF(OR(AND($C24&lt;&gt;"",COUNTIF(Pai_Tec1,$C24)+COUNTIF(Pai_Tec2,$C24)&gt;1),AND($D24&lt;&gt;"",COUNTIF(Pai_Tec1,$D24)+COUNTIF(Pai_Tec2,$D24)&gt;1)),"Técnico escalado em dois postos | ","")&amp;IF(AND($H24&lt;&gt;"",$H24&gt;1),"Ocupação acima do plantão | ",""))</f>
        <v/>
      </c>
    </row>
    <row r="25" ht="30" customHeight="1">
      <c r="A25" s="9">
        <f>IF($M25="","",IFERROR(INDEX(Postos_Nome,MATCH($M25,Postos_Cod,0)),$M25))</f>
        <v/>
      </c>
      <c r="B25" s="9">
        <f>IF(OR($M25="",'Calc'!$AB35=""),"",LEFT('Calc'!$AB35,LEN('Calc'!$AB35)-3))</f>
        <v/>
      </c>
      <c r="C25" s="10" t="n"/>
      <c r="D25" s="10" t="n"/>
      <c r="E25" s="11">
        <f>IF($M25="","",IF('Calc'!$AD17=0,IF(AND($C25="",$D25=""),"NÃO OPERA","EXTRA"),IF(AND($C25="",$D25=""),"SEM EQUIPE",IF((--($C25&lt;&gt;"")+--($D25&lt;&gt;""))&lt;'Calc'!$AD17,"INCOMPLETO",IF(OR(AND($C25&lt;&gt;"",IFERROR(INDEX(Equipe_NEsp,MATCH($C25,Equipe_Nome,0)),0)=0),AND($D25&lt;&gt;"",IFERROR(INDEX(Equipe_NEsp,MATCH($D25,Equipe_Nome,0)),0)=0)),"SEM AVALIAÇÃO",IF('Calc'!$Z35&gt;0,"FALTA HABILIDADE",IF(AND('Calc'!$AD17&gt;=2,'Calc'!$AA35&gt;0),"ATENÇÃO","OK")))))))</f>
        <v/>
      </c>
      <c r="F25" s="9">
        <f>IF($M25="","",IF($N25="","OK",LEFT($N25,LEN($N25)-3)))</f>
        <v/>
      </c>
      <c r="G25" s="12">
        <f>IF(OR($M25="",'Calc'!$B17&lt;&gt;"Sala cirúrgica"),"",COUNTIFS(Mapa_Sala,$M25,Mapa_Data,Data_Mapa,Mapa_MinOcup,"&gt;0"))</f>
        <v/>
      </c>
      <c r="H25" s="13">
        <f>IF(OR($M25="",'Calc'!$B17&lt;&gt;"Sala cirúrgica"),"",'Calc'!$AA17)</f>
        <v/>
      </c>
      <c r="I25" s="9">
        <f>IF($M25="","",IF(MAX('Calc_Salas'!$E$197:$E$209)=0,"—",IFERROR(TEXT(MOD(Turno_Ini+INDEX('Calc_Salas'!$C$197:$C$209,MATCH(LARGE('Calc_Salas'!$E$197:$E$209,1),'Calc_Salas'!$E$197:$E$209,0))/1440,1),"HH:MM")&amp;"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J25" s="12">
        <f>IF(OR($M25="",MAX('Calc_Salas'!$E$197:$E$209)=0),"",MAX('Calc_Salas'!$F$197:$F$209))</f>
        <v/>
      </c>
      <c r="K25" s="12">
        <f>IF($M25="","",MAX(0,COUNTIF('Calc_Salas'!$E$197:$E$209,"&gt;="&amp;Janela_Min)-1))</f>
        <v/>
      </c>
      <c r="L25" s="9">
        <f>IF($M25="","",IFERROR(INDEX(Sug_Nome,MATCH(LARGE('Calc'!T$38:T$67,1),'Calc'!T$38:T$67,0)),"—")&amp;IFERROR("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M25" s="11">
        <f>IF('Calc'!$A17="","",'Calc'!$A17)</f>
        <v/>
      </c>
      <c r="N25" s="11">
        <f>IF($M25="","",IF(AND($E25="SEM EQUIPE",N($G25)&gt;0),"Sem equipe — "&amp;$G25&amp;" cirurgia(s) a remanejar | ","")&amp;IF($E25="SEM EQUIPE",IF(N($G25)&gt;0,"","Posto sem equipe | "),"")&amp;IF($E25="INCOMPLETO","Falta 1 técnico no posto | ","")&amp;IF($E25="EXTRA","Técnico escalado em posto que não opera hoje | ","")&amp;IF(AND($E25="NÃO OPERA",N($G25)&gt;0),"Posto não opera hoje e tem cirurgia | ","")&amp;IF($E25="SEM AVALIAÇÃO","Técnico sem habilidade marcada na aba Equipe | ","")&amp;IF(AND($E25&lt;&gt;"SEM AVALIAÇÃO",'Calc'!$AC35&lt;&gt;""),"Ninguém cobre: "&amp;LEFT('Calc'!$AC35,LEN('Calc'!$AC35)-3)&amp;" | ","")&amp;IF(AND($C25&lt;&gt;"",IFERROR(INDEX(Equipe_Situacao,MATCH($C25,Equipe_Nome,0)),"?")&lt;&gt;"Disponível"),"Técnico 1 indisponível | ","")&amp;IF(AND($D25&lt;&gt;"",IFERROR(INDEX(Equipe_Situacao,MATCH($D25,Equipe_Nome,0)),"?")&lt;&gt;"Disponível"),"Técnico 2 indisponível | ","")&amp;IF(OR(AND($C25&lt;&gt;"",COUNTIF(Pai_Tec1,$C25)+COUNTIF(Pai_Tec2,$C25)&gt;1),AND($D25&lt;&gt;"",COUNTIF(Pai_Tec1,$D25)+COUNTIF(Pai_Tec2,$D25)&gt;1)),"Técnico escalado em dois postos | ","")&amp;IF(AND($H25&lt;&gt;"",$H25&gt;1),"Ocupação acima do plantão | ",""))</f>
        <v/>
      </c>
    </row>
    <row r="27">
      <c r="A27" s="3" t="inlineStr">
        <is>
          <t>3. EQUIPE HOJE — quem está disponível e onde está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 ht="24" customHeight="1">
      <c r="A28" s="5" t="inlineStr">
        <is>
          <t>Técnico</t>
        </is>
      </c>
      <c r="B28" s="5" t="inlineStr">
        <is>
          <t>Situação</t>
        </is>
      </c>
      <c r="C28" s="5" t="inlineStr">
        <is>
          <t>Ausente até</t>
        </is>
      </c>
      <c r="D28" s="5" t="inlineStr">
        <is>
          <t>Escalado em</t>
        </is>
      </c>
      <c r="E28" s="5" t="inlineStr">
        <is>
          <t>Nº de especialidades</t>
        </is>
      </c>
      <c r="F28" s="5" t="inlineStr"/>
      <c r="G28" s="5" t="inlineStr"/>
      <c r="H28" s="5" t="inlineStr"/>
      <c r="I28" s="5" t="inlineStr"/>
      <c r="J28" s="5" t="inlineStr"/>
      <c r="K28" s="5" t="inlineStr"/>
      <c r="L28" s="5" t="inlineStr"/>
    </row>
    <row r="29">
      <c r="A29" s="14">
        <f>IF('Equipe'!$B$2="","",'Equipe'!$B$2)</f>
        <v/>
      </c>
      <c r="B29" s="11">
        <f>IF($A29="","",'Equipe'!$E$2)</f>
        <v/>
      </c>
      <c r="C29" s="15">
        <f>IF($A29="","",'Equipe'!$F$2)</f>
        <v/>
      </c>
      <c r="D29" s="11">
        <f>IF($A29="","",IFERROR(INDEX($A$10:$A$25,MATCH($A29,$C$10:$C$25,0)),IFERROR(INDEX($A$10:$A$25,MATCH($A29,$D$10:$D$25,0)),"—")))</f>
        <v/>
      </c>
      <c r="E29" s="12">
        <f>IF($A29="","",'Equipe'!$AB$2)</f>
        <v/>
      </c>
    </row>
    <row r="30">
      <c r="A30" s="14">
        <f>IF('Equipe'!$B$3="","",'Equipe'!$B$3)</f>
        <v/>
      </c>
      <c r="B30" s="11">
        <f>IF($A30="","",'Equipe'!$E$3)</f>
        <v/>
      </c>
      <c r="C30" s="15">
        <f>IF($A30="","",'Equipe'!$F$3)</f>
        <v/>
      </c>
      <c r="D30" s="11">
        <f>IF($A30="","",IFERROR(INDEX($A$10:$A$25,MATCH($A30,$C$10:$C$25,0)),IFERROR(INDEX($A$10:$A$25,MATCH($A30,$D$10:$D$25,0)),"—")))</f>
        <v/>
      </c>
      <c r="E30" s="12">
        <f>IF($A30="","",'Equipe'!$AB$3)</f>
        <v/>
      </c>
    </row>
    <row r="31">
      <c r="A31" s="14">
        <f>IF('Equipe'!$B$4="","",'Equipe'!$B$4)</f>
        <v/>
      </c>
      <c r="B31" s="11">
        <f>IF($A31="","",'Equipe'!$E$4)</f>
        <v/>
      </c>
      <c r="C31" s="15">
        <f>IF($A31="","",'Equipe'!$F$4)</f>
        <v/>
      </c>
      <c r="D31" s="11">
        <f>IF($A31="","",IFERROR(INDEX($A$10:$A$25,MATCH($A31,$C$10:$C$25,0)),IFERROR(INDEX($A$10:$A$25,MATCH($A31,$D$10:$D$25,0)),"—")))</f>
        <v/>
      </c>
      <c r="E31" s="12">
        <f>IF($A31="","",'Equipe'!$AB$4)</f>
        <v/>
      </c>
    </row>
    <row r="32">
      <c r="A32" s="14">
        <f>IF('Equipe'!$B$5="","",'Equipe'!$B$5)</f>
        <v/>
      </c>
      <c r="B32" s="11">
        <f>IF($A32="","",'Equipe'!$E$5)</f>
        <v/>
      </c>
      <c r="C32" s="15">
        <f>IF($A32="","",'Equipe'!$F$5)</f>
        <v/>
      </c>
      <c r="D32" s="11">
        <f>IF($A32="","",IFERROR(INDEX($A$10:$A$25,MATCH($A32,$C$10:$C$25,0)),IFERROR(INDEX($A$10:$A$25,MATCH($A32,$D$10:$D$25,0)),"—")))</f>
        <v/>
      </c>
      <c r="E32" s="12">
        <f>IF($A32="","",'Equipe'!$AB$5)</f>
        <v/>
      </c>
    </row>
    <row r="33">
      <c r="A33" s="14">
        <f>IF('Equipe'!$B$6="","",'Equipe'!$B$6)</f>
        <v/>
      </c>
      <c r="B33" s="11">
        <f>IF($A33="","",'Equipe'!$E$6)</f>
        <v/>
      </c>
      <c r="C33" s="15">
        <f>IF($A33="","",'Equipe'!$F$6)</f>
        <v/>
      </c>
      <c r="D33" s="11">
        <f>IF($A33="","",IFERROR(INDEX($A$10:$A$25,MATCH($A33,$C$10:$C$25,0)),IFERROR(INDEX($A$10:$A$25,MATCH($A33,$D$10:$D$25,0)),"—")))</f>
        <v/>
      </c>
      <c r="E33" s="12">
        <f>IF($A33="","",'Equipe'!$AB$6)</f>
        <v/>
      </c>
    </row>
    <row r="34">
      <c r="A34" s="14">
        <f>IF('Equipe'!$B$7="","",'Equipe'!$B$7)</f>
        <v/>
      </c>
      <c r="B34" s="11">
        <f>IF($A34="","",'Equipe'!$E$7)</f>
        <v/>
      </c>
      <c r="C34" s="15">
        <f>IF($A34="","",'Equipe'!$F$7)</f>
        <v/>
      </c>
      <c r="D34" s="11">
        <f>IF($A34="","",IFERROR(INDEX($A$10:$A$25,MATCH($A34,$C$10:$C$25,0)),IFERROR(INDEX($A$10:$A$25,MATCH($A34,$D$10:$D$25,0)),"—")))</f>
        <v/>
      </c>
      <c r="E34" s="12">
        <f>IF($A34="","",'Equipe'!$AB$7)</f>
        <v/>
      </c>
    </row>
    <row r="35">
      <c r="A35" s="14">
        <f>IF('Equipe'!$B$8="","",'Equipe'!$B$8)</f>
        <v/>
      </c>
      <c r="B35" s="11">
        <f>IF($A35="","",'Equipe'!$E$8)</f>
        <v/>
      </c>
      <c r="C35" s="15">
        <f>IF($A35="","",'Equipe'!$F$8)</f>
        <v/>
      </c>
      <c r="D35" s="11">
        <f>IF($A35="","",IFERROR(INDEX($A$10:$A$25,MATCH($A35,$C$10:$C$25,0)),IFERROR(INDEX($A$10:$A$25,MATCH($A35,$D$10:$D$25,0)),"—")))</f>
        <v/>
      </c>
      <c r="E35" s="12">
        <f>IF($A35="","",'Equipe'!$AB$8)</f>
        <v/>
      </c>
    </row>
    <row r="36">
      <c r="A36" s="14">
        <f>IF('Equipe'!$B$9="","",'Equipe'!$B$9)</f>
        <v/>
      </c>
      <c r="B36" s="11">
        <f>IF($A36="","",'Equipe'!$E$9)</f>
        <v/>
      </c>
      <c r="C36" s="15">
        <f>IF($A36="","",'Equipe'!$F$9)</f>
        <v/>
      </c>
      <c r="D36" s="11">
        <f>IF($A36="","",IFERROR(INDEX($A$10:$A$25,MATCH($A36,$C$10:$C$25,0)),IFERROR(INDEX($A$10:$A$25,MATCH($A36,$D$10:$D$25,0)),"—")))</f>
        <v/>
      </c>
      <c r="E36" s="12">
        <f>IF($A36="","",'Equipe'!$AB$9)</f>
        <v/>
      </c>
    </row>
    <row r="37">
      <c r="A37" s="14">
        <f>IF('Equipe'!$B$10="","",'Equipe'!$B$10)</f>
        <v/>
      </c>
      <c r="B37" s="11">
        <f>IF($A37="","",'Equipe'!$E$10)</f>
        <v/>
      </c>
      <c r="C37" s="15">
        <f>IF($A37="","",'Equipe'!$F$10)</f>
        <v/>
      </c>
      <c r="D37" s="11">
        <f>IF($A37="","",IFERROR(INDEX($A$10:$A$25,MATCH($A37,$C$10:$C$25,0)),IFERROR(INDEX($A$10:$A$25,MATCH($A37,$D$10:$D$25,0)),"—")))</f>
        <v/>
      </c>
      <c r="E37" s="12">
        <f>IF($A37="","",'Equipe'!$AB$10)</f>
        <v/>
      </c>
    </row>
    <row r="38">
      <c r="A38" s="14">
        <f>IF('Equipe'!$B$11="","",'Equipe'!$B$11)</f>
        <v/>
      </c>
      <c r="B38" s="11">
        <f>IF($A38="","",'Equipe'!$E$11)</f>
        <v/>
      </c>
      <c r="C38" s="15">
        <f>IF($A38="","",'Equipe'!$F$11)</f>
        <v/>
      </c>
      <c r="D38" s="11">
        <f>IF($A38="","",IFERROR(INDEX($A$10:$A$25,MATCH($A38,$C$10:$C$25,0)),IFERROR(INDEX($A$10:$A$25,MATCH($A38,$D$10:$D$25,0)),"—")))</f>
        <v/>
      </c>
      <c r="E38" s="12">
        <f>IF($A38="","",'Equipe'!$AB$11)</f>
        <v/>
      </c>
    </row>
    <row r="39">
      <c r="A39" s="14">
        <f>IF('Equipe'!$B$12="","",'Equipe'!$B$12)</f>
        <v/>
      </c>
      <c r="B39" s="11">
        <f>IF($A39="","",'Equipe'!$E$12)</f>
        <v/>
      </c>
      <c r="C39" s="15">
        <f>IF($A39="","",'Equipe'!$F$12)</f>
        <v/>
      </c>
      <c r="D39" s="11">
        <f>IF($A39="","",IFERROR(INDEX($A$10:$A$25,MATCH($A39,$C$10:$C$25,0)),IFERROR(INDEX($A$10:$A$25,MATCH($A39,$D$10:$D$25,0)),"—")))</f>
        <v/>
      </c>
      <c r="E39" s="12">
        <f>IF($A39="","",'Equipe'!$AB$12)</f>
        <v/>
      </c>
    </row>
    <row r="40">
      <c r="A40" s="14">
        <f>IF('Equipe'!$B$13="","",'Equipe'!$B$13)</f>
        <v/>
      </c>
      <c r="B40" s="11">
        <f>IF($A40="","",'Equipe'!$E$13)</f>
        <v/>
      </c>
      <c r="C40" s="15">
        <f>IF($A40="","",'Equipe'!$F$13)</f>
        <v/>
      </c>
      <c r="D40" s="11">
        <f>IF($A40="","",IFERROR(INDEX($A$10:$A$25,MATCH($A40,$C$10:$C$25,0)),IFERROR(INDEX($A$10:$A$25,MATCH($A40,$D$10:$D$25,0)),"—")))</f>
        <v/>
      </c>
      <c r="E40" s="12">
        <f>IF($A40="","",'Equipe'!$AB$13)</f>
        <v/>
      </c>
    </row>
    <row r="41">
      <c r="A41" s="14">
        <f>IF('Equipe'!$B$14="","",'Equipe'!$B$14)</f>
        <v/>
      </c>
      <c r="B41" s="11">
        <f>IF($A41="","",'Equipe'!$E$14)</f>
        <v/>
      </c>
      <c r="C41" s="15">
        <f>IF($A41="","",'Equipe'!$F$14)</f>
        <v/>
      </c>
      <c r="D41" s="11">
        <f>IF($A41="","",IFERROR(INDEX($A$10:$A$25,MATCH($A41,$C$10:$C$25,0)),IFERROR(INDEX($A$10:$A$25,MATCH($A41,$D$10:$D$25,0)),"—")))</f>
        <v/>
      </c>
      <c r="E41" s="12">
        <f>IF($A41="","",'Equipe'!$AB$14)</f>
        <v/>
      </c>
    </row>
    <row r="42">
      <c r="A42" s="14">
        <f>IF('Equipe'!$B$15="","",'Equipe'!$B$15)</f>
        <v/>
      </c>
      <c r="B42" s="11">
        <f>IF($A42="","",'Equipe'!$E$15)</f>
        <v/>
      </c>
      <c r="C42" s="15">
        <f>IF($A42="","",'Equipe'!$F$15)</f>
        <v/>
      </c>
      <c r="D42" s="11">
        <f>IF($A42="","",IFERROR(INDEX($A$10:$A$25,MATCH($A42,$C$10:$C$25,0)),IFERROR(INDEX($A$10:$A$25,MATCH($A42,$D$10:$D$25,0)),"—")))</f>
        <v/>
      </c>
      <c r="E42" s="12">
        <f>IF($A42="","",'Equipe'!$AB$15)</f>
        <v/>
      </c>
    </row>
    <row r="43">
      <c r="A43" s="14">
        <f>IF('Equipe'!$B$16="","",'Equipe'!$B$16)</f>
        <v/>
      </c>
      <c r="B43" s="11">
        <f>IF($A43="","",'Equipe'!$E$16)</f>
        <v/>
      </c>
      <c r="C43" s="15">
        <f>IF($A43="","",'Equipe'!$F$16)</f>
        <v/>
      </c>
      <c r="D43" s="11">
        <f>IF($A43="","",IFERROR(INDEX($A$10:$A$25,MATCH($A43,$C$10:$C$25,0)),IFERROR(INDEX($A$10:$A$25,MATCH($A43,$D$10:$D$25,0)),"—")))</f>
        <v/>
      </c>
      <c r="E43" s="12">
        <f>IF($A43="","",'Equipe'!$AB$16)</f>
        <v/>
      </c>
    </row>
    <row r="44">
      <c r="A44" s="14">
        <f>IF('Equipe'!$B$17="","",'Equipe'!$B$17)</f>
        <v/>
      </c>
      <c r="B44" s="11">
        <f>IF($A44="","",'Equipe'!$E$17)</f>
        <v/>
      </c>
      <c r="C44" s="15">
        <f>IF($A44="","",'Equipe'!$F$17)</f>
        <v/>
      </c>
      <c r="D44" s="11">
        <f>IF($A44="","",IFERROR(INDEX($A$10:$A$25,MATCH($A44,$C$10:$C$25,0)),IFERROR(INDEX($A$10:$A$25,MATCH($A44,$D$10:$D$25,0)),"—")))</f>
        <v/>
      </c>
      <c r="E44" s="12">
        <f>IF($A44="","",'Equipe'!$AB$17)</f>
        <v/>
      </c>
    </row>
    <row r="45">
      <c r="A45" s="14">
        <f>IF('Equipe'!$B$18="","",'Equipe'!$B$18)</f>
        <v/>
      </c>
      <c r="B45" s="11">
        <f>IF($A45="","",'Equipe'!$E$18)</f>
        <v/>
      </c>
      <c r="C45" s="15">
        <f>IF($A45="","",'Equipe'!$F$18)</f>
        <v/>
      </c>
      <c r="D45" s="11">
        <f>IF($A45="","",IFERROR(INDEX($A$10:$A$25,MATCH($A45,$C$10:$C$25,0)),IFERROR(INDEX($A$10:$A$25,MATCH($A45,$D$10:$D$25,0)),"—")))</f>
        <v/>
      </c>
      <c r="E45" s="12">
        <f>IF($A45="","",'Equipe'!$AB$18)</f>
        <v/>
      </c>
    </row>
    <row r="46">
      <c r="A46" s="14">
        <f>IF('Equipe'!$B$19="","",'Equipe'!$B$19)</f>
        <v/>
      </c>
      <c r="B46" s="11">
        <f>IF($A46="","",'Equipe'!$E$19)</f>
        <v/>
      </c>
      <c r="C46" s="15">
        <f>IF($A46="","",'Equipe'!$F$19)</f>
        <v/>
      </c>
      <c r="D46" s="11">
        <f>IF($A46="","",IFERROR(INDEX($A$10:$A$25,MATCH($A46,$C$10:$C$25,0)),IFERROR(INDEX($A$10:$A$25,MATCH($A46,$D$10:$D$25,0)),"—")))</f>
        <v/>
      </c>
      <c r="E46" s="12">
        <f>IF($A46="","",'Equipe'!$AB$19)</f>
        <v/>
      </c>
    </row>
    <row r="47">
      <c r="A47" s="14">
        <f>IF('Equipe'!$B$20="","",'Equipe'!$B$20)</f>
        <v/>
      </c>
      <c r="B47" s="11">
        <f>IF($A47="","",'Equipe'!$E$20)</f>
        <v/>
      </c>
      <c r="C47" s="15">
        <f>IF($A47="","",'Equipe'!$F$20)</f>
        <v/>
      </c>
      <c r="D47" s="11">
        <f>IF($A47="","",IFERROR(INDEX($A$10:$A$25,MATCH($A47,$C$10:$C$25,0)),IFERROR(INDEX($A$10:$A$25,MATCH($A47,$D$10:$D$25,0)),"—")))</f>
        <v/>
      </c>
      <c r="E47" s="12">
        <f>IF($A47="","",'Equipe'!$AB$20)</f>
        <v/>
      </c>
    </row>
    <row r="48">
      <c r="A48" s="14">
        <f>IF('Equipe'!$B$21="","",'Equipe'!$B$21)</f>
        <v/>
      </c>
      <c r="B48" s="11">
        <f>IF($A48="","",'Equipe'!$E$21)</f>
        <v/>
      </c>
      <c r="C48" s="15">
        <f>IF($A48="","",'Equipe'!$F$21)</f>
        <v/>
      </c>
      <c r="D48" s="11">
        <f>IF($A48="","",IFERROR(INDEX($A$10:$A$25,MATCH($A48,$C$10:$C$25,0)),IFERROR(INDEX($A$10:$A$25,MATCH($A48,$D$10:$D$25,0)),"—")))</f>
        <v/>
      </c>
      <c r="E48" s="12">
        <f>IF($A48="","",'Equipe'!$AB$21)</f>
        <v/>
      </c>
    </row>
    <row r="49">
      <c r="A49" s="14">
        <f>IF('Equipe'!$B$22="","",'Equipe'!$B$22)</f>
        <v/>
      </c>
      <c r="B49" s="11">
        <f>IF($A49="","",'Equipe'!$E$22)</f>
        <v/>
      </c>
      <c r="C49" s="15">
        <f>IF($A49="","",'Equipe'!$F$22)</f>
        <v/>
      </c>
      <c r="D49" s="11">
        <f>IF($A49="","",IFERROR(INDEX($A$10:$A$25,MATCH($A49,$C$10:$C$25,0)),IFERROR(INDEX($A$10:$A$25,MATCH($A49,$D$10:$D$25,0)),"—")))</f>
        <v/>
      </c>
      <c r="E49" s="12">
        <f>IF($A49="","",'Equipe'!$AB$22)</f>
        <v/>
      </c>
    </row>
    <row r="50">
      <c r="A50" s="14">
        <f>IF('Equipe'!$B$23="","",'Equipe'!$B$23)</f>
        <v/>
      </c>
      <c r="B50" s="11">
        <f>IF($A50="","",'Equipe'!$E$23)</f>
        <v/>
      </c>
      <c r="C50" s="15">
        <f>IF($A50="","",'Equipe'!$F$23)</f>
        <v/>
      </c>
      <c r="D50" s="11">
        <f>IF($A50="","",IFERROR(INDEX($A$10:$A$25,MATCH($A50,$C$10:$C$25,0)),IFERROR(INDEX($A$10:$A$25,MATCH($A50,$D$10:$D$25,0)),"—")))</f>
        <v/>
      </c>
      <c r="E50" s="12">
        <f>IF($A50="","",'Equipe'!$AB$23)</f>
        <v/>
      </c>
    </row>
    <row r="51">
      <c r="A51" s="14">
        <f>IF('Equipe'!$B$24="","",'Equipe'!$B$24)</f>
        <v/>
      </c>
      <c r="B51" s="11">
        <f>IF($A51="","",'Equipe'!$E$24)</f>
        <v/>
      </c>
      <c r="C51" s="15">
        <f>IF($A51="","",'Equipe'!$F$24)</f>
        <v/>
      </c>
      <c r="D51" s="11">
        <f>IF($A51="","",IFERROR(INDEX($A$10:$A$25,MATCH($A51,$C$10:$C$25,0)),IFERROR(INDEX($A$10:$A$25,MATCH($A51,$D$10:$D$25,0)),"—")))</f>
        <v/>
      </c>
      <c r="E51" s="12">
        <f>IF($A51="","",'Equipe'!$AB$24)</f>
        <v/>
      </c>
    </row>
    <row r="52">
      <c r="A52" s="14">
        <f>IF('Equipe'!$B$25="","",'Equipe'!$B$25)</f>
        <v/>
      </c>
      <c r="B52" s="11">
        <f>IF($A52="","",'Equipe'!$E$25)</f>
        <v/>
      </c>
      <c r="C52" s="15">
        <f>IF($A52="","",'Equipe'!$F$25)</f>
        <v/>
      </c>
      <c r="D52" s="11">
        <f>IF($A52="","",IFERROR(INDEX($A$10:$A$25,MATCH($A52,$C$10:$C$25,0)),IFERROR(INDEX($A$10:$A$25,MATCH($A52,$D$10:$D$25,0)),"—")))</f>
        <v/>
      </c>
      <c r="E52" s="12">
        <f>IF($A52="","",'Equipe'!$AB$25)</f>
        <v/>
      </c>
    </row>
    <row r="53">
      <c r="A53" s="14">
        <f>IF('Equipe'!$B$26="","",'Equipe'!$B$26)</f>
        <v/>
      </c>
      <c r="B53" s="11">
        <f>IF($A53="","",'Equipe'!$E$26)</f>
        <v/>
      </c>
      <c r="C53" s="15">
        <f>IF($A53="","",'Equipe'!$F$26)</f>
        <v/>
      </c>
      <c r="D53" s="11">
        <f>IF($A53="","",IFERROR(INDEX($A$10:$A$25,MATCH($A53,$C$10:$C$25,0)),IFERROR(INDEX($A$10:$A$25,MATCH($A53,$D$10:$D$25,0)),"—")))</f>
        <v/>
      </c>
      <c r="E53" s="12">
        <f>IF($A53="","",'Equipe'!$AB$26)</f>
        <v/>
      </c>
    </row>
    <row r="54">
      <c r="A54" s="14">
        <f>IF('Equipe'!$B$27="","",'Equipe'!$B$27)</f>
        <v/>
      </c>
      <c r="B54" s="11">
        <f>IF($A54="","",'Equipe'!$E$27)</f>
        <v/>
      </c>
      <c r="C54" s="15">
        <f>IF($A54="","",'Equipe'!$F$27)</f>
        <v/>
      </c>
      <c r="D54" s="11">
        <f>IF($A54="","",IFERROR(INDEX($A$10:$A$25,MATCH($A54,$C$10:$C$25,0)),IFERROR(INDEX($A$10:$A$25,MATCH($A54,$D$10:$D$25,0)),"—")))</f>
        <v/>
      </c>
      <c r="E54" s="12">
        <f>IF($A54="","",'Equipe'!$AB$27)</f>
        <v/>
      </c>
    </row>
    <row r="55">
      <c r="A55" s="14">
        <f>IF('Equipe'!$B$28="","",'Equipe'!$B$28)</f>
        <v/>
      </c>
      <c r="B55" s="11">
        <f>IF($A55="","",'Equipe'!$E$28)</f>
        <v/>
      </c>
      <c r="C55" s="15">
        <f>IF($A55="","",'Equipe'!$F$28)</f>
        <v/>
      </c>
      <c r="D55" s="11">
        <f>IF($A55="","",IFERROR(INDEX($A$10:$A$25,MATCH($A55,$C$10:$C$25,0)),IFERROR(INDEX($A$10:$A$25,MATCH($A55,$D$10:$D$25,0)),"—")))</f>
        <v/>
      </c>
      <c r="E55" s="12">
        <f>IF($A55="","",'Equipe'!$AB$28)</f>
        <v/>
      </c>
    </row>
    <row r="56">
      <c r="A56" s="14">
        <f>IF('Equipe'!$B$29="","",'Equipe'!$B$29)</f>
        <v/>
      </c>
      <c r="B56" s="11">
        <f>IF($A56="","",'Equipe'!$E$29)</f>
        <v/>
      </c>
      <c r="C56" s="15">
        <f>IF($A56="","",'Equipe'!$F$29)</f>
        <v/>
      </c>
      <c r="D56" s="11">
        <f>IF($A56="","",IFERROR(INDEX($A$10:$A$25,MATCH($A56,$C$10:$C$25,0)),IFERROR(INDEX($A$10:$A$25,MATCH($A56,$D$10:$D$25,0)),"—")))</f>
        <v/>
      </c>
      <c r="E56" s="12">
        <f>IF($A56="","",'Equipe'!$AB$29)</f>
        <v/>
      </c>
    </row>
    <row r="57">
      <c r="A57" s="14">
        <f>IF('Equipe'!$B$30="","",'Equipe'!$B$30)</f>
        <v/>
      </c>
      <c r="B57" s="11">
        <f>IF($A57="","",'Equipe'!$E$30)</f>
        <v/>
      </c>
      <c r="C57" s="15">
        <f>IF($A57="","",'Equipe'!$F$30)</f>
        <v/>
      </c>
      <c r="D57" s="11">
        <f>IF($A57="","",IFERROR(INDEX($A$10:$A$25,MATCH($A57,$C$10:$C$25,0)),IFERROR(INDEX($A$10:$A$25,MATCH($A57,$D$10:$D$25,0)),"—")))</f>
        <v/>
      </c>
      <c r="E57" s="12">
        <f>IF($A57="","",'Equipe'!$AB$30)</f>
        <v/>
      </c>
    </row>
    <row r="58">
      <c r="A58" s="14">
        <f>IF('Equipe'!$B$31="","",'Equipe'!$B$31)</f>
        <v/>
      </c>
      <c r="B58" s="11">
        <f>IF($A58="","",'Equipe'!$E$31)</f>
        <v/>
      </c>
      <c r="C58" s="15">
        <f>IF($A58="","",'Equipe'!$F$31)</f>
        <v/>
      </c>
      <c r="D58" s="11">
        <f>IF($A58="","",IFERROR(INDEX($A$10:$A$25,MATCH($A58,$C$10:$C$25,0)),IFERROR(INDEX($A$10:$A$25,MATCH($A58,$D$10:$D$25,0)),"—")))</f>
        <v/>
      </c>
      <c r="E58" s="12">
        <f>IF($A58="","",'Equipe'!$AB$31)</f>
        <v/>
      </c>
    </row>
    <row r="59">
      <c r="A59" s="3" t="inlineStr">
        <is>
          <t>4. VERIFICAÇÕES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 ht="20" customHeight="1">
      <c r="A60" s="5" t="inlineStr">
        <is>
          <t>Verificação</t>
        </is>
      </c>
      <c r="B60" s="5" t="inlineStr">
        <is>
          <t>Resultado</t>
        </is>
      </c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</row>
    <row r="61">
      <c r="A61" s="14" t="inlineStr">
        <is>
          <t>Habilidades marcadas na aba Equipe</t>
        </is>
      </c>
      <c r="B61" s="16">
        <f>IF(COUNTIF(Equipe_X,"X")=0,"PENDENTE: marque o X de cada técnico na aba Equipe","OK")</f>
        <v/>
      </c>
    </row>
    <row r="62">
      <c r="A62" s="14" t="inlineStr">
        <is>
          <t>Postos sem equipe</t>
        </is>
      </c>
      <c r="B62" s="16">
        <f>COUNTIF($E$10:$E$25,"SEM EQUIPE")</f>
        <v/>
      </c>
    </row>
    <row r="63">
      <c r="A63" s="14" t="inlineStr">
        <is>
          <t>Postos com equipe incompleta</t>
        </is>
      </c>
      <c r="B63" s="16">
        <f>COUNTIF($E$10:$E$25,"INCOMPLETO")</f>
        <v/>
      </c>
    </row>
    <row r="64">
      <c r="A64" s="14" t="inlineStr">
        <is>
          <t>Postos com especialidade sem ninguém que faça</t>
        </is>
      </c>
      <c r="B64" s="16">
        <f>COUNTIF($E$10:$E$25,"FALTA HABILIDADE")</f>
        <v/>
      </c>
    </row>
    <row r="65">
      <c r="A65" s="14" t="inlineStr">
        <is>
          <t>Técnicos escalados em mais de um posto</t>
        </is>
      </c>
      <c r="B65" s="16">
        <f>SUMPRODUCT((Pai_Tec1&lt;&gt;"")*(COUNTIF(Pai_Tec1,Pai_Tec1)+COUNTIF(Pai_Tec2,Pai_Tec1)&gt;1))</f>
        <v/>
      </c>
    </row>
    <row r="66">
      <c r="A66" s="14" t="inlineStr">
        <is>
          <t>Cirurgias com alerta no mapa</t>
        </is>
      </c>
      <c r="B66" s="16">
        <f>SUMPRODUCT((Mapa_Alerta&lt;&gt;"OK")*(Mapa_Alerta&lt;&gt;""))</f>
        <v/>
      </c>
    </row>
    <row r="67">
      <c r="A67" s="14" t="inlineStr">
        <is>
          <t>Ausências com técnico fora do cadastro</t>
        </is>
      </c>
      <c r="B67" s="16">
        <f>SUMPRODUCT((Aus_Tec&lt;&gt;"")*(COUNTIF(Equipe_Nome,Aus_Tec)=0))</f>
        <v/>
      </c>
    </row>
    <row r="68">
      <c r="A68" s="14" t="inlineStr">
        <is>
          <t>Ausências com data fim anterior ao início</t>
        </is>
      </c>
      <c r="B68" s="16">
        <f>SUMPRODUCT((Aus_Tec&lt;&gt;"")*(Aus_Fim&lt;Aus_Ini))</f>
        <v/>
      </c>
    </row>
    <row r="69">
      <c r="A69" s="14" t="inlineStr">
        <is>
          <t>Nomes repetidos no cadastro da equipe</t>
        </is>
      </c>
      <c r="B69" s="16">
        <f>IF(SUMPRODUCT((Equipe_Nome&lt;&gt;"")*1)-SUMPRODUCT((Equipe_Nome&lt;&gt;"")/COUNTIF(Equipe_Nome,Equipe_Nome&amp;""))&gt;0.0001,"ERRO: há nomes repetidos","OK")</f>
        <v/>
      </c>
    </row>
    <row r="70">
      <c r="A70" s="14" t="inlineStr">
        <is>
          <t>Postos / especialidades / técnicos no quadro</t>
        </is>
      </c>
      <c r="B70" s="16">
        <f>COUNTA(Postos_Cod)&amp;" / "&amp;COUNTA(Esp_Nome)&amp;" / "&amp;COUNTA(Equipe_Nome)</f>
        <v/>
      </c>
    </row>
    <row r="72">
      <c r="A72" s="3" t="inlineStr">
        <is>
          <t>COMO USAR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</row>
    <row r="73" ht="40" customHeight="1">
      <c r="A73" s="17" t="inlineStr">
        <is>
          <t>O mapa já vem pronto</t>
        </is>
      </c>
      <c r="B73" s="18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4" ht="40" customHeight="1">
      <c r="A74" s="17" t="inlineStr">
        <is>
          <t>Para trocar alguém</t>
        </is>
      </c>
      <c r="B74" s="18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5" ht="26" customHeight="1">
      <c r="A75" s="17" t="inlineStr">
        <is>
          <t>Jogo de sala</t>
        </is>
      </c>
      <c r="B75" s="18" t="inlineStr">
        <is>
          <t>Sala vaga mostra o maior intervalo livre da sala com horário, e Cabe até diz de quanto cabe um encaixe já descontada a limpeza.</t>
        </is>
      </c>
    </row>
    <row r="76" ht="40" customHeight="1">
      <c r="A76" s="17" t="inlineStr">
        <is>
          <t>Trocar a data</t>
        </is>
      </c>
      <c r="B76" s="18" t="inlineStr">
        <is>
          <t>Troque a DATA aqui em cima: ausentes, vagas necessárias e agenda do dia se ajustam sozinhos. A distribuição dos técnicos, não — para redistribuir, importe a agenda de novo.</t>
        </is>
      </c>
    </row>
    <row r="77" ht="26" customHeight="1">
      <c r="A77" s="17" t="inlineStr">
        <is>
          <t>Habilidade</t>
        </is>
      </c>
      <c r="B77" s="18" t="inlineStr">
        <is>
          <t>Na aba Equipe, marque X na especialidade que a técnica faz. Sem X marcado, a Situação fica SEM AVALIAÇÃO.</t>
        </is>
      </c>
    </row>
    <row r="78" ht="26" customHeight="1">
      <c r="A78" s="17" t="inlineStr">
        <is>
          <t>Folgas e férias</t>
        </is>
      </c>
      <c r="B78" s="18" t="inlineStr">
        <is>
          <t>Vão para a aba Ausencias, por período. O calendário ao lado mostra o período inteiro e quantos faltam em cada dia.</t>
        </is>
      </c>
    </row>
    <row r="79" ht="40" customHeight="1">
      <c r="A79" s="17" t="inlineStr">
        <is>
          <t>Situação</t>
        </is>
      </c>
      <c r="B79" s="18" t="inlineStr">
        <is>
          <t>OK = os dois cobrem tudo · ATENÇÃO = alguma especialidade coberta por um só · FALTA HABILIDADE = alguma especialidade sem ninguém · INCOMPLETO = falta técnico · SEM EQUIPE = ninguém escalado · NÃO OPERA = ambiente fechado nesse dia.</t>
        </is>
      </c>
    </row>
  </sheetData>
  <mergeCells count="7">
    <mergeCell ref="B75:L75"/>
    <mergeCell ref="B73:L73"/>
    <mergeCell ref="B74:L74"/>
    <mergeCell ref="B78:L78"/>
    <mergeCell ref="B77:L77"/>
    <mergeCell ref="B76:L76"/>
    <mergeCell ref="B79:L79"/>
  </mergeCells>
  <conditionalFormatting sqref="E10:E25">
    <cfRule type="cellIs" priority="1" operator="equal" dxfId="0">
      <formula>"OK"</formula>
    </cfRule>
    <cfRule type="cellIs" priority="2" operator="equal" dxfId="1">
      <formula>"ATENÇÃO"</formula>
    </cfRule>
    <cfRule type="cellIs" priority="3" operator="equal" dxfId="2">
      <formula>"FALTA HABILIDADE"</formula>
    </cfRule>
    <cfRule type="cellIs" priority="4" operator="equal" dxfId="2">
      <formula>"SEM EQUIPE"</formula>
    </cfRule>
    <cfRule type="cellIs" priority="5" operator="equal" dxfId="1">
      <formula>"INCOMPLETO"</formula>
    </cfRule>
    <cfRule type="cellIs" priority="6" operator="equal" dxfId="1">
      <formula>"EXTRA"</formula>
    </cfRule>
    <cfRule type="cellIs" priority="7" operator="equal" dxfId="1">
      <formula>"SEM AVALIAÇÃO"</formula>
    </cfRule>
    <cfRule type="cellIs" priority="8" operator="equal" dxfId="3">
      <formula>"NÃO OPERA"</formula>
    </cfRule>
  </conditionalFormatting>
  <conditionalFormatting sqref="F10:F25">
    <cfRule type="expression" priority="9" dxfId="2">
      <formula>AND($F10&lt;&gt;"",$F10&lt;&gt;"OK")</formula>
    </cfRule>
  </conditionalFormatting>
  <conditionalFormatting sqref="H10:H25">
    <cfRule type="expression" priority="10" dxfId="2">
      <formula>AND($H10&lt;&gt;"",$H10&gt;1)</formula>
    </cfRule>
  </conditionalFormatting>
  <conditionalFormatting sqref="I10:I25">
    <cfRule type="expression" priority="11" dxfId="0">
      <formula>AND($I10&lt;&gt;"",$I10&lt;&gt;"—")</formula>
    </cfRule>
  </conditionalFormatting>
  <conditionalFormatting sqref="G6">
    <cfRule type="expression" priority="12" dxfId="2">
      <formula>$G$6&gt;0</formula>
    </cfRule>
  </conditionalFormatting>
  <conditionalFormatting sqref="H6">
    <cfRule type="expression" priority="13" dxfId="2">
      <formula>$H$6&gt;0</formula>
    </cfRule>
  </conditionalFormatting>
  <conditionalFormatting sqref="E6">
    <cfRule type="expression" priority="14" dxfId="0">
      <formula>$E$6&gt;=$F$6</formula>
    </cfRule>
  </conditionalFormatting>
  <conditionalFormatting sqref="B29:B58">
    <cfRule type="cellIs" priority="15" operator="equal" dxfId="0">
      <formula>"Disponível"</formula>
    </cfRule>
    <cfRule type="expression" priority="16" dxfId="1">
      <formula>AND($B29&lt;&gt;"",$B29&lt;&gt;"Disponível")</formula>
    </cfRule>
  </conditionalFormatting>
  <conditionalFormatting sqref="D29:D58">
    <cfRule type="cellIs" priority="17" operator="equal" dxfId="4">
      <formula>"—"</formula>
    </cfRule>
  </conditionalFormatting>
  <conditionalFormatting sqref="B61:B70">
    <cfRule type="expression" priority="18" dxfId="2">
      <formula>OR(LEFT($B61,4)="ERRO",LEFT($B61,8)="PENDENTE")</formula>
    </cfRule>
    <cfRule type="cellIs" priority="19" operator="equal" dxfId="0">
      <formula>"OK"</formula>
    </cfRule>
  </conditionalFormatting>
  <dataValidations count="1">
    <dataValidation sqref="C10:C25 D10:D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5" t="inlineStr">
        <is>
          <t>Data</t>
        </is>
      </c>
      <c r="B1" s="5" t="inlineStr">
        <is>
          <t>Sala</t>
        </is>
      </c>
      <c r="C1" s="5" t="inlineStr">
        <is>
          <t>Hora início</t>
        </is>
      </c>
      <c r="D1" s="5" t="inlineStr">
        <is>
          <t>Hora fim</t>
        </is>
      </c>
      <c r="E1" s="5" t="inlineStr">
        <is>
          <t>Especialidade</t>
        </is>
      </c>
      <c r="F1" s="5" t="inlineStr">
        <is>
          <t>Procedimento</t>
        </is>
      </c>
      <c r="G1" s="5" t="inlineStr">
        <is>
          <t>Cirurgião</t>
        </is>
      </c>
      <c r="H1" s="5" t="inlineStr">
        <is>
          <t>Status</t>
        </is>
      </c>
      <c r="I1" s="5" t="inlineStr">
        <is>
          <t>Duração (min)</t>
        </is>
      </c>
      <c r="J1" s="5" t="inlineStr">
        <is>
          <t>Min. ocupação</t>
        </is>
      </c>
      <c r="K1" s="5" t="inlineStr">
        <is>
          <t>Ordem na sala</t>
        </is>
      </c>
      <c r="L1" s="5" t="inlineStr">
        <is>
          <t>Sala liberada às</t>
        </is>
      </c>
      <c r="M1" s="5" t="inlineStr">
        <is>
          <t>Livre até a próxima (min)</t>
        </is>
      </c>
      <c r="N1" s="5" t="inlineStr">
        <is>
          <t>Alerta</t>
        </is>
      </c>
      <c r="O1" s="5" t="inlineStr">
        <is>
          <t>aux</t>
        </is>
      </c>
      <c r="P1" s="5" t="inlineStr">
        <is>
          <t>aux</t>
        </is>
      </c>
      <c r="Q1" s="5" t="inlineStr">
        <is>
          <t>aux</t>
        </is>
      </c>
      <c r="R1" s="5" t="inlineStr">
        <is>
          <t>aux</t>
        </is>
      </c>
      <c r="S1" s="5" t="inlineStr">
        <is>
          <t>aux</t>
        </is>
      </c>
      <c r="T1" s="5" t="inlineStr">
        <is>
          <t>aux</t>
        </is>
      </c>
    </row>
    <row r="2">
      <c r="A2" s="19" t="n">
        <v>46254</v>
      </c>
      <c r="B2" s="20" t="inlineStr">
        <is>
          <t>SO-01</t>
        </is>
      </c>
      <c r="C2" s="21" t="n">
        <v>0.2916666666666667</v>
      </c>
      <c r="D2" s="21" t="n">
        <v>0.3715277777777778</v>
      </c>
      <c r="E2" s="22" t="inlineStr">
        <is>
          <t>Ortopedia</t>
        </is>
      </c>
      <c r="F2" s="22" t="inlineStr">
        <is>
          <t>Artroplastia total de joelho</t>
        </is>
      </c>
      <c r="G2" s="22" t="inlineStr">
        <is>
          <t>Dr. Almeida</t>
        </is>
      </c>
      <c r="H2" s="20" t="inlineStr">
        <is>
          <t>Agendada</t>
        </is>
      </c>
      <c r="I2" s="12">
        <f>IF(OR($B2="",NOT(ISNUMBER($C2)),NOT(ISNUMBER($D2))),"",ROUND(MOD($D2-$C2,1)*1440,0))</f>
        <v/>
      </c>
      <c r="J2" s="12">
        <f>IF(NOT(ISNUMBER($I2)),0,IF(OR($I2&lt;=0,$H2="Cancelada",$H2="Suspensa"),0,$I2+Limpeza_Min))</f>
        <v/>
      </c>
      <c r="K2" s="12">
        <f>IF($J2&lt;=0,"",SUMPRODUCT((Mapa_Sala=$B2)*(Mapa_Data=$A2)*(Mapa_MinOcup&gt;0)*((Mapa_RelIni&lt;$P2)+((Mapa_RelIni=$P2)*(Mapa_Row&lt;=$S2)))))</f>
        <v/>
      </c>
      <c r="L2" s="23">
        <f>IF($J2&lt;=0,"",MOD(Turno_Ini+($Q2+Limpeza_Min)/1440,1))</f>
        <v/>
      </c>
      <c r="M2" s="12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24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","")&amp;IFERROR(IF(AND($J2&gt;0,$K2&gt;0,COUNTIF(Mapa_Chave,$B2&amp;"#"&amp;$A2&amp;"#"&amp;($K2+1))&gt;0,INDEX(Mapa_RelIni,MATCH($B2&amp;"#"&amp;$A2&amp;"#"&amp;($K2+1),Mapa_Chave,0))-$Q2&lt;Limpeza_Min),"Sem intervalo para limpeza | ",""),"")&amp;IF(AND($J2&gt;0,SUMPRODUCT((Mapa_Sala=$B2)*(Mapa_Data=$A2)*(Mapa_MinOcup&gt;0)*(Mapa_RelIni&lt;$Q2)*(Mapa_RelFim&gt;$P2))&gt;1),"Sobreposição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1">
        <f>IF(NOT(ISNUMBER($C2)),0,ROUND(MOD($C2-Turno_Ini,1)*1440,0))</f>
        <v/>
      </c>
      <c r="Q2" s="11">
        <f>IF($J2&lt;=0,0,$P2+$I2)</f>
        <v/>
      </c>
      <c r="R2" s="11">
        <f>IF($K2="","",$B2&amp;"#"&amp;$A2&amp;"#"&amp;$K2)</f>
        <v/>
      </c>
      <c r="S2" s="11">
        <f>ROW()</f>
        <v/>
      </c>
      <c r="T2" s="11">
        <f>IF($J2&lt;=0,0,MAX(0,MIN($P2+$I2+Limpeza_Min,Turno_Min,IFERROR(INDEX(Mapa_RelIni,MATCH($B2&amp;"#"&amp;$A2&amp;"#"&amp;($K2+1),Mapa_Chave,0)),Turno_Min))-MIN($P2,Turno_Min)))</f>
        <v/>
      </c>
    </row>
    <row r="3">
      <c r="A3" s="19" t="n">
        <v>46254</v>
      </c>
      <c r="B3" s="20" t="inlineStr">
        <is>
          <t>SO-01</t>
        </is>
      </c>
      <c r="C3" s="21" t="n">
        <v>0.3854166666666667</v>
      </c>
      <c r="D3" s="21" t="n">
        <v>0.4479166666666667</v>
      </c>
      <c r="E3" s="22" t="inlineStr">
        <is>
          <t>Traumatologia</t>
        </is>
      </c>
      <c r="F3" s="22" t="inlineStr">
        <is>
          <t>Redução de fratura de rádio</t>
        </is>
      </c>
      <c r="G3" s="22" t="inlineStr">
        <is>
          <t>Dr. Coelho</t>
        </is>
      </c>
      <c r="H3" s="20" t="inlineStr">
        <is>
          <t>Agendada</t>
        </is>
      </c>
      <c r="I3" s="12">
        <f>IF(OR($B3="",NOT(ISNUMBER($C3)),NOT(ISNUMBER($D3))),"",ROUND(MOD($D3-$C3,1)*1440,0))</f>
        <v/>
      </c>
      <c r="J3" s="12">
        <f>IF(NOT(ISNUMBER($I3)),0,IF(OR($I3&lt;=0,$H3="Cancelada",$H3="Suspensa"),0,$I3+Limpeza_Min))</f>
        <v/>
      </c>
      <c r="K3" s="12">
        <f>IF($J3&lt;=0,"",SUMPRODUCT((Mapa_Sala=$B3)*(Mapa_Data=$A3)*(Mapa_MinOcup&gt;0)*((Mapa_RelIni&lt;$P3)+((Mapa_RelIni=$P3)*(Mapa_Row&lt;=$S3)))))</f>
        <v/>
      </c>
      <c r="L3" s="23">
        <f>IF($J3&lt;=0,"",MOD(Turno_Ini+($Q3+Limpeza_Min)/1440,1))</f>
        <v/>
      </c>
      <c r="M3" s="12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24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","")&amp;IFERROR(IF(AND($J3&gt;0,$K3&gt;0,COUNTIF(Mapa_Chave,$B3&amp;"#"&amp;$A3&amp;"#"&amp;($K3+1))&gt;0,INDEX(Mapa_RelIni,MATCH($B3&amp;"#"&amp;$A3&amp;"#"&amp;($K3+1),Mapa_Chave,0))-$Q3&lt;Limpeza_Min),"Sem intervalo para limpeza | ",""),"")&amp;IF(AND($J3&gt;0,SUMPRODUCT((Mapa_Sala=$B3)*(Mapa_Data=$A3)*(Mapa_MinOcup&gt;0)*(Mapa_RelIni&lt;$Q3)*(Mapa_RelFim&gt;$P3))&gt;1),"Sobreposição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1">
        <f>IF(NOT(ISNUMBER($C3)),0,ROUND(MOD($C3-Turno_Ini,1)*1440,0))</f>
        <v/>
      </c>
      <c r="Q3" s="11">
        <f>IF($J3&lt;=0,0,$P3+$I3)</f>
        <v/>
      </c>
      <c r="R3" s="11">
        <f>IF($K3="","",$B3&amp;"#"&amp;$A3&amp;"#"&amp;$K3)</f>
        <v/>
      </c>
      <c r="S3" s="11">
        <f>ROW()</f>
        <v/>
      </c>
      <c r="T3" s="11">
        <f>IF($J3&lt;=0,0,MAX(0,MIN($P3+$I3+Limpeza_Min,Turno_Min,IFERROR(INDEX(Mapa_RelIni,MATCH($B3&amp;"#"&amp;$A3&amp;"#"&amp;($K3+1),Mapa_Chave,0)),Turno_Min))-MIN($P3,Turno_Min)))</f>
        <v/>
      </c>
    </row>
    <row r="4">
      <c r="A4" s="19" t="n">
        <v>46254</v>
      </c>
      <c r="B4" s="20" t="inlineStr">
        <is>
          <t>SO-02</t>
        </is>
      </c>
      <c r="C4" s="21" t="n">
        <v>0.2916666666666667</v>
      </c>
      <c r="D4" s="21" t="n">
        <v>0.3472222222222222</v>
      </c>
      <c r="E4" s="22" t="inlineStr">
        <is>
          <t>Cirurgia Geral</t>
        </is>
      </c>
      <c r="F4" s="22" t="inlineStr">
        <is>
          <t>Colecistectomia videolaparoscópica</t>
        </is>
      </c>
      <c r="G4" s="22" t="inlineStr">
        <is>
          <t>Dr. Coelho</t>
        </is>
      </c>
      <c r="H4" s="20" t="inlineStr">
        <is>
          <t>Agendada</t>
        </is>
      </c>
      <c r="I4" s="12">
        <f>IF(OR($B4="",NOT(ISNUMBER($C4)),NOT(ISNUMBER($D4))),"",ROUND(MOD($D4-$C4,1)*1440,0))</f>
        <v/>
      </c>
      <c r="J4" s="12">
        <f>IF(NOT(ISNUMBER($I4)),0,IF(OR($I4&lt;=0,$H4="Cancelada",$H4="Suspensa"),0,$I4+Limpeza_Min))</f>
        <v/>
      </c>
      <c r="K4" s="12">
        <f>IF($J4&lt;=0,"",SUMPRODUCT((Mapa_Sala=$B4)*(Mapa_Data=$A4)*(Mapa_MinOcup&gt;0)*((Mapa_RelIni&lt;$P4)+((Mapa_RelIni=$P4)*(Mapa_Row&lt;=$S4)))))</f>
        <v/>
      </c>
      <c r="L4" s="23">
        <f>IF($J4&lt;=0,"",MOD(Turno_Ini+($Q4+Limpeza_Min)/1440,1))</f>
        <v/>
      </c>
      <c r="M4" s="12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24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","")&amp;IFERROR(IF(AND($J4&gt;0,$K4&gt;0,COUNTIF(Mapa_Chave,$B4&amp;"#"&amp;$A4&amp;"#"&amp;($K4+1))&gt;0,INDEX(Mapa_RelIni,MATCH($B4&amp;"#"&amp;$A4&amp;"#"&amp;($K4+1),Mapa_Chave,0))-$Q4&lt;Limpeza_Min),"Sem intervalo para limpeza | ",""),"")&amp;IF(AND($J4&gt;0,SUMPRODUCT((Mapa_Sala=$B4)*(Mapa_Data=$A4)*(Mapa_MinOcup&gt;0)*(Mapa_RelIni&lt;$Q4)*(Mapa_RelFim&gt;$P4))&gt;1),"Sobreposição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1">
        <f>IF(NOT(ISNUMBER($C4)),0,ROUND(MOD($C4-Turno_Ini,1)*1440,0))</f>
        <v/>
      </c>
      <c r="Q4" s="11">
        <f>IF($J4&lt;=0,0,$P4+$I4)</f>
        <v/>
      </c>
      <c r="R4" s="11">
        <f>IF($K4="","",$B4&amp;"#"&amp;$A4&amp;"#"&amp;$K4)</f>
        <v/>
      </c>
      <c r="S4" s="11">
        <f>ROW()</f>
        <v/>
      </c>
      <c r="T4" s="11">
        <f>IF($J4&lt;=0,0,MAX(0,MIN($P4+$I4+Limpeza_Min,Turno_Min,IFERROR(INDEX(Mapa_RelIni,MATCH($B4&amp;"#"&amp;$A4&amp;"#"&amp;($K4+1),Mapa_Chave,0)),Turno_Min))-MIN($P4,Turno_Min)))</f>
        <v/>
      </c>
    </row>
    <row r="5">
      <c r="A5" s="19" t="n">
        <v>46254</v>
      </c>
      <c r="B5" s="20" t="inlineStr">
        <is>
          <t>SO-02</t>
        </is>
      </c>
      <c r="C5" s="21" t="n">
        <v>0.3611111111111111</v>
      </c>
      <c r="D5" s="21" t="n">
        <v>0.4583333333333333</v>
      </c>
      <c r="E5" s="22" t="inlineStr">
        <is>
          <t>Cirurgia Bariátrica</t>
        </is>
      </c>
      <c r="F5" s="22" t="inlineStr">
        <is>
          <t>Gastroplastia em Y de Roux</t>
        </is>
      </c>
      <c r="G5" s="22" t="inlineStr">
        <is>
          <t>Dr. Esteves</t>
        </is>
      </c>
      <c r="H5" s="20" t="inlineStr">
        <is>
          <t>Agendada</t>
        </is>
      </c>
      <c r="I5" s="12">
        <f>IF(OR($B5="",NOT(ISNUMBER($C5)),NOT(ISNUMBER($D5))),"",ROUND(MOD($D5-$C5,1)*1440,0))</f>
        <v/>
      </c>
      <c r="J5" s="12">
        <f>IF(NOT(ISNUMBER($I5)),0,IF(OR($I5&lt;=0,$H5="Cancelada",$H5="Suspensa"),0,$I5+Limpeza_Min))</f>
        <v/>
      </c>
      <c r="K5" s="12">
        <f>IF($J5&lt;=0,"",SUMPRODUCT((Mapa_Sala=$B5)*(Mapa_Data=$A5)*(Mapa_MinOcup&gt;0)*((Mapa_RelIni&lt;$P5)+((Mapa_RelIni=$P5)*(Mapa_Row&lt;=$S5)))))</f>
        <v/>
      </c>
      <c r="L5" s="23">
        <f>IF($J5&lt;=0,"",MOD(Turno_Ini+($Q5+Limpeza_Min)/1440,1))</f>
        <v/>
      </c>
      <c r="M5" s="12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24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","")&amp;IFERROR(IF(AND($J5&gt;0,$K5&gt;0,COUNTIF(Mapa_Chave,$B5&amp;"#"&amp;$A5&amp;"#"&amp;($K5+1))&gt;0,INDEX(Mapa_RelIni,MATCH($B5&amp;"#"&amp;$A5&amp;"#"&amp;($K5+1),Mapa_Chave,0))-$Q5&lt;Limpeza_Min),"Sem intervalo para limpeza | ",""),"")&amp;IF(AND($J5&gt;0,SUMPRODUCT((Mapa_Sala=$B5)*(Mapa_Data=$A5)*(Mapa_MinOcup&gt;0)*(Mapa_RelIni&lt;$Q5)*(Mapa_RelFim&gt;$P5))&gt;1),"Sobreposição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1">
        <f>IF(NOT(ISNUMBER($C5)),0,ROUND(MOD($C5-Turno_Ini,1)*1440,0))</f>
        <v/>
      </c>
      <c r="Q5" s="11">
        <f>IF($J5&lt;=0,0,$P5+$I5)</f>
        <v/>
      </c>
      <c r="R5" s="11">
        <f>IF($K5="","",$B5&amp;"#"&amp;$A5&amp;"#"&amp;$K5)</f>
        <v/>
      </c>
      <c r="S5" s="11">
        <f>ROW()</f>
        <v/>
      </c>
      <c r="T5" s="11">
        <f>IF($J5&lt;=0,0,MAX(0,MIN($P5+$I5+Limpeza_Min,Turno_Min,IFERROR(INDEX(Mapa_RelIni,MATCH($B5&amp;"#"&amp;$A5&amp;"#"&amp;($K5+1),Mapa_Chave,0)),Turno_Min))-MIN($P5,Turno_Min)))</f>
        <v/>
      </c>
    </row>
    <row r="6">
      <c r="A6" s="19" t="n">
        <v>46254</v>
      </c>
      <c r="B6" s="20" t="inlineStr">
        <is>
          <t>SO-03</t>
        </is>
      </c>
      <c r="C6" s="21" t="n">
        <v>0.2916666666666667</v>
      </c>
      <c r="D6" s="21" t="n">
        <v>0.4444444444444444</v>
      </c>
      <c r="E6" s="22" t="inlineStr">
        <is>
          <t>Neurocirurgia</t>
        </is>
      </c>
      <c r="F6" s="22" t="inlineStr">
        <is>
          <t>Craniotomia para tumor</t>
        </is>
      </c>
      <c r="G6" s="22" t="inlineStr">
        <is>
          <t>Dr. Esteves</t>
        </is>
      </c>
      <c r="H6" s="20" t="inlineStr">
        <is>
          <t>Agendada</t>
        </is>
      </c>
      <c r="I6" s="12">
        <f>IF(OR($B6="",NOT(ISNUMBER($C6)),NOT(ISNUMBER($D6))),"",ROUND(MOD($D6-$C6,1)*1440,0))</f>
        <v/>
      </c>
      <c r="J6" s="12">
        <f>IF(NOT(ISNUMBER($I6)),0,IF(OR($I6&lt;=0,$H6="Cancelada",$H6="Suspensa"),0,$I6+Limpeza_Min))</f>
        <v/>
      </c>
      <c r="K6" s="12">
        <f>IF($J6&lt;=0,"",SUMPRODUCT((Mapa_Sala=$B6)*(Mapa_Data=$A6)*(Mapa_MinOcup&gt;0)*((Mapa_RelIni&lt;$P6)+((Mapa_RelIni=$P6)*(Mapa_Row&lt;=$S6)))))</f>
        <v/>
      </c>
      <c r="L6" s="23">
        <f>IF($J6&lt;=0,"",MOD(Turno_Ini+($Q6+Limpeza_Min)/1440,1))</f>
        <v/>
      </c>
      <c r="M6" s="12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24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","")&amp;IFERROR(IF(AND($J6&gt;0,$K6&gt;0,COUNTIF(Mapa_Chave,$B6&amp;"#"&amp;$A6&amp;"#"&amp;($K6+1))&gt;0,INDEX(Mapa_RelIni,MATCH($B6&amp;"#"&amp;$A6&amp;"#"&amp;($K6+1),Mapa_Chave,0))-$Q6&lt;Limpeza_Min),"Sem intervalo para limpeza | ",""),"")&amp;IF(AND($J6&gt;0,SUMPRODUCT((Mapa_Sala=$B6)*(Mapa_Data=$A6)*(Mapa_MinOcup&gt;0)*(Mapa_RelIni&lt;$Q6)*(Mapa_RelFim&gt;$P6))&gt;1),"Sobreposição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1">
        <f>IF(NOT(ISNUMBER($C6)),0,ROUND(MOD($C6-Turno_Ini,1)*1440,0))</f>
        <v/>
      </c>
      <c r="Q6" s="11">
        <f>IF($J6&lt;=0,0,$P6+$I6)</f>
        <v/>
      </c>
      <c r="R6" s="11">
        <f>IF($K6="","",$B6&amp;"#"&amp;$A6&amp;"#"&amp;$K6)</f>
        <v/>
      </c>
      <c r="S6" s="11">
        <f>ROW()</f>
        <v/>
      </c>
      <c r="T6" s="11">
        <f>IF($J6&lt;=0,0,MAX(0,MIN($P6+$I6+Limpeza_Min,Turno_Min,IFERROR(INDEX(Mapa_RelIni,MATCH($B6&amp;"#"&amp;$A6&amp;"#"&amp;($K6+1),Mapa_Chave,0)),Turno_Min))-MIN($P6,Turno_Min)))</f>
        <v/>
      </c>
    </row>
    <row r="7">
      <c r="A7" s="19" t="n">
        <v>46254</v>
      </c>
      <c r="B7" s="20" t="inlineStr">
        <is>
          <t>SO-04</t>
        </is>
      </c>
      <c r="C7" s="21" t="n">
        <v>0.2916666666666667</v>
      </c>
      <c r="D7" s="21" t="n">
        <v>0.3576388888888889</v>
      </c>
      <c r="E7" s="22" t="inlineStr">
        <is>
          <t>Cirurgia Plástica</t>
        </is>
      </c>
      <c r="F7" s="22" t="inlineStr">
        <is>
          <t>Dermolipectomia abdominal</t>
        </is>
      </c>
      <c r="G7" s="22" t="inlineStr">
        <is>
          <t>Dra. Fialho</t>
        </is>
      </c>
      <c r="H7" s="20" t="inlineStr">
        <is>
          <t>Agendada</t>
        </is>
      </c>
      <c r="I7" s="12">
        <f>IF(OR($B7="",NOT(ISNUMBER($C7)),NOT(ISNUMBER($D7))),"",ROUND(MOD($D7-$C7,1)*1440,0))</f>
        <v/>
      </c>
      <c r="J7" s="12">
        <f>IF(NOT(ISNUMBER($I7)),0,IF(OR($I7&lt;=0,$H7="Cancelada",$H7="Suspensa"),0,$I7+Limpeza_Min))</f>
        <v/>
      </c>
      <c r="K7" s="12">
        <f>IF($J7&lt;=0,"",SUMPRODUCT((Mapa_Sala=$B7)*(Mapa_Data=$A7)*(Mapa_MinOcup&gt;0)*((Mapa_RelIni&lt;$P7)+((Mapa_RelIni=$P7)*(Mapa_Row&lt;=$S7)))))</f>
        <v/>
      </c>
      <c r="L7" s="23">
        <f>IF($J7&lt;=0,"",MOD(Turno_Ini+($Q7+Limpeza_Min)/1440,1))</f>
        <v/>
      </c>
      <c r="M7" s="12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24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","")&amp;IFERROR(IF(AND($J7&gt;0,$K7&gt;0,COUNTIF(Mapa_Chave,$B7&amp;"#"&amp;$A7&amp;"#"&amp;($K7+1))&gt;0,INDEX(Mapa_RelIni,MATCH($B7&amp;"#"&amp;$A7&amp;"#"&amp;($K7+1),Mapa_Chave,0))-$Q7&lt;Limpeza_Min),"Sem intervalo para limpeza | ",""),"")&amp;IF(AND($J7&gt;0,SUMPRODUCT((Mapa_Sala=$B7)*(Mapa_Data=$A7)*(Mapa_MinOcup&gt;0)*(Mapa_RelIni&lt;$Q7)*(Mapa_RelFim&gt;$P7))&gt;1),"Sobreposição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1">
        <f>IF(NOT(ISNUMBER($C7)),0,ROUND(MOD($C7-Turno_Ini,1)*1440,0))</f>
        <v/>
      </c>
      <c r="Q7" s="11">
        <f>IF($J7&lt;=0,0,$P7+$I7)</f>
        <v/>
      </c>
      <c r="R7" s="11">
        <f>IF($K7="","",$B7&amp;"#"&amp;$A7&amp;"#"&amp;$K7)</f>
        <v/>
      </c>
      <c r="S7" s="11">
        <f>ROW()</f>
        <v/>
      </c>
      <c r="T7" s="11">
        <f>IF($J7&lt;=0,0,MAX(0,MIN($P7+$I7+Limpeza_Min,Turno_Min,IFERROR(INDEX(Mapa_RelIni,MATCH($B7&amp;"#"&amp;$A7&amp;"#"&amp;($K7+1),Mapa_Chave,0)),Turno_Min))-MIN($P7,Turno_Min)))</f>
        <v/>
      </c>
    </row>
    <row r="8">
      <c r="A8" s="19" t="n">
        <v>46254</v>
      </c>
      <c r="B8" s="20" t="inlineStr">
        <is>
          <t>SO-04</t>
        </is>
      </c>
      <c r="C8" s="21" t="n">
        <v>0.3715277777777778</v>
      </c>
      <c r="D8" s="21" t="n">
        <v>0.4583333333333333</v>
      </c>
      <c r="E8" s="22" t="inlineStr">
        <is>
          <t>Cirurgia Vascular</t>
        </is>
      </c>
      <c r="F8" s="22" t="inlineStr">
        <is>
          <t>Safenectomia</t>
        </is>
      </c>
      <c r="G8" s="22" t="inlineStr">
        <is>
          <t>Dra. Hirano</t>
        </is>
      </c>
      <c r="H8" s="20" t="inlineStr">
        <is>
          <t>Agendada</t>
        </is>
      </c>
      <c r="I8" s="12">
        <f>IF(OR($B8="",NOT(ISNUMBER($C8)),NOT(ISNUMBER($D8))),"",ROUND(MOD($D8-$C8,1)*1440,0))</f>
        <v/>
      </c>
      <c r="J8" s="12">
        <f>IF(NOT(ISNUMBER($I8)),0,IF(OR($I8&lt;=0,$H8="Cancelada",$H8="Suspensa"),0,$I8+Limpeza_Min))</f>
        <v/>
      </c>
      <c r="K8" s="12">
        <f>IF($J8&lt;=0,"",SUMPRODUCT((Mapa_Sala=$B8)*(Mapa_Data=$A8)*(Mapa_MinOcup&gt;0)*((Mapa_RelIni&lt;$P8)+((Mapa_RelIni=$P8)*(Mapa_Row&lt;=$S8)))))</f>
        <v/>
      </c>
      <c r="L8" s="23">
        <f>IF($J8&lt;=0,"",MOD(Turno_Ini+($Q8+Limpeza_Min)/1440,1))</f>
        <v/>
      </c>
      <c r="M8" s="12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24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","")&amp;IFERROR(IF(AND($J8&gt;0,$K8&gt;0,COUNTIF(Mapa_Chave,$B8&amp;"#"&amp;$A8&amp;"#"&amp;($K8+1))&gt;0,INDEX(Mapa_RelIni,MATCH($B8&amp;"#"&amp;$A8&amp;"#"&amp;($K8+1),Mapa_Chave,0))-$Q8&lt;Limpeza_Min),"Sem intervalo para limpeza | ",""),"")&amp;IF(AND($J8&gt;0,SUMPRODUCT((Mapa_Sala=$B8)*(Mapa_Data=$A8)*(Mapa_MinOcup&gt;0)*(Mapa_RelIni&lt;$Q8)*(Mapa_RelFim&gt;$P8))&gt;1),"Sobreposição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1">
        <f>IF(NOT(ISNUMBER($C8)),0,ROUND(MOD($C8-Turno_Ini,1)*1440,0))</f>
        <v/>
      </c>
      <c r="Q8" s="11">
        <f>IF($J8&lt;=0,0,$P8+$I8)</f>
        <v/>
      </c>
      <c r="R8" s="11">
        <f>IF($K8="","",$B8&amp;"#"&amp;$A8&amp;"#"&amp;$K8)</f>
        <v/>
      </c>
      <c r="S8" s="11">
        <f>ROW()</f>
        <v/>
      </c>
      <c r="T8" s="11">
        <f>IF($J8&lt;=0,0,MAX(0,MIN($P8+$I8+Limpeza_Min,Turno_Min,IFERROR(INDEX(Mapa_RelIni,MATCH($B8&amp;"#"&amp;$A8&amp;"#"&amp;($K8+1),Mapa_Chave,0)),Turno_Min))-MIN($P8,Turno_Min)))</f>
        <v/>
      </c>
    </row>
    <row r="9">
      <c r="A9" s="19" t="n">
        <v>46254</v>
      </c>
      <c r="B9" s="20" t="inlineStr">
        <is>
          <t>SO-05</t>
        </is>
      </c>
      <c r="C9" s="21" t="n">
        <v>0.2916666666666667</v>
      </c>
      <c r="D9" s="21" t="n">
        <v>0.3576388888888889</v>
      </c>
      <c r="E9" s="22" t="inlineStr">
        <is>
          <t>Ginecologia</t>
        </is>
      </c>
      <c r="F9" s="22" t="inlineStr">
        <is>
          <t>Histerectomia total</t>
        </is>
      </c>
      <c r="G9" s="22" t="inlineStr">
        <is>
          <t>Dra. Hirano</t>
        </is>
      </c>
      <c r="H9" s="20" t="inlineStr">
        <is>
          <t>Agendada</t>
        </is>
      </c>
      <c r="I9" s="12">
        <f>IF(OR($B9="",NOT(ISNUMBER($C9)),NOT(ISNUMBER($D9))),"",ROUND(MOD($D9-$C9,1)*1440,0))</f>
        <v/>
      </c>
      <c r="J9" s="12">
        <f>IF(NOT(ISNUMBER($I9)),0,IF(OR($I9&lt;=0,$H9="Cancelada",$H9="Suspensa"),0,$I9+Limpeza_Min))</f>
        <v/>
      </c>
      <c r="K9" s="12">
        <f>IF($J9&lt;=0,"",SUMPRODUCT((Mapa_Sala=$B9)*(Mapa_Data=$A9)*(Mapa_MinOcup&gt;0)*((Mapa_RelIni&lt;$P9)+((Mapa_RelIni=$P9)*(Mapa_Row&lt;=$S9)))))</f>
        <v/>
      </c>
      <c r="L9" s="23">
        <f>IF($J9&lt;=0,"",MOD(Turno_Ini+($Q9+Limpeza_Min)/1440,1))</f>
        <v/>
      </c>
      <c r="M9" s="12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24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","")&amp;IFERROR(IF(AND($J9&gt;0,$K9&gt;0,COUNTIF(Mapa_Chave,$B9&amp;"#"&amp;$A9&amp;"#"&amp;($K9+1))&gt;0,INDEX(Mapa_RelIni,MATCH($B9&amp;"#"&amp;$A9&amp;"#"&amp;($K9+1),Mapa_Chave,0))-$Q9&lt;Limpeza_Min),"Sem intervalo para limpeza | ",""),"")&amp;IF(AND($J9&gt;0,SUMPRODUCT((Mapa_Sala=$B9)*(Mapa_Data=$A9)*(Mapa_MinOcup&gt;0)*(Mapa_RelIni&lt;$Q9)*(Mapa_RelFim&gt;$P9))&gt;1),"Sobreposição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1">
        <f>IF(NOT(ISNUMBER($C9)),0,ROUND(MOD($C9-Turno_Ini,1)*1440,0))</f>
        <v/>
      </c>
      <c r="Q9" s="11">
        <f>IF($J9&lt;=0,0,$P9+$I9)</f>
        <v/>
      </c>
      <c r="R9" s="11">
        <f>IF($K9="","",$B9&amp;"#"&amp;$A9&amp;"#"&amp;$K9)</f>
        <v/>
      </c>
      <c r="S9" s="11">
        <f>ROW()</f>
        <v/>
      </c>
      <c r="T9" s="11">
        <f>IF($J9&lt;=0,0,MAX(0,MIN($P9+$I9+Limpeza_Min,Turno_Min,IFERROR(INDEX(Mapa_RelIni,MATCH($B9&amp;"#"&amp;$A9&amp;"#"&amp;($K9+1),Mapa_Chave,0)),Turno_Min))-MIN($P9,Turno_Min)))</f>
        <v/>
      </c>
    </row>
    <row r="10">
      <c r="A10" s="19" t="n">
        <v>46254</v>
      </c>
      <c r="B10" s="20" t="inlineStr">
        <is>
          <t>SO-05</t>
        </is>
      </c>
      <c r="C10" s="21" t="n">
        <v>0.3715277777777778</v>
      </c>
      <c r="D10" s="21" t="n">
        <v>0.4340277777777778</v>
      </c>
      <c r="E10" s="22" t="inlineStr">
        <is>
          <t>Urologia</t>
        </is>
      </c>
      <c r="F10" s="22" t="inlineStr">
        <is>
          <t>Nefrolitotripsia</t>
        </is>
      </c>
      <c r="G10" s="22" t="inlineStr">
        <is>
          <t>Dra. Bernardes</t>
        </is>
      </c>
      <c r="H10" s="20" t="inlineStr">
        <is>
          <t>Agendada</t>
        </is>
      </c>
      <c r="I10" s="12">
        <f>IF(OR($B10="",NOT(ISNUMBER($C10)),NOT(ISNUMBER($D10))),"",ROUND(MOD($D10-$C10,1)*1440,0))</f>
        <v/>
      </c>
      <c r="J10" s="12">
        <f>IF(NOT(ISNUMBER($I10)),0,IF(OR($I10&lt;=0,$H10="Cancelada",$H10="Suspensa"),0,$I10+Limpeza_Min))</f>
        <v/>
      </c>
      <c r="K10" s="12">
        <f>IF($J10&lt;=0,"",SUMPRODUCT((Mapa_Sala=$B10)*(Mapa_Data=$A10)*(Mapa_MinOcup&gt;0)*((Mapa_RelIni&lt;$P10)+((Mapa_RelIni=$P10)*(Mapa_Row&lt;=$S10)))))</f>
        <v/>
      </c>
      <c r="L10" s="23">
        <f>IF($J10&lt;=0,"",MOD(Turno_Ini+($Q10+Limpeza_Min)/1440,1))</f>
        <v/>
      </c>
      <c r="M10" s="12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24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","")&amp;IFERROR(IF(AND($J10&gt;0,$K10&gt;0,COUNTIF(Mapa_Chave,$B10&amp;"#"&amp;$A10&amp;"#"&amp;($K10+1))&gt;0,INDEX(Mapa_RelIni,MATCH($B10&amp;"#"&amp;$A10&amp;"#"&amp;($K10+1),Mapa_Chave,0))-$Q10&lt;Limpeza_Min),"Sem intervalo para limpeza | ",""),"")&amp;IF(AND($J10&gt;0,SUMPRODUCT((Mapa_Sala=$B10)*(Mapa_Data=$A10)*(Mapa_MinOcup&gt;0)*(Mapa_RelIni&lt;$Q10)*(Mapa_RelFim&gt;$P10))&gt;1),"Sobreposição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1">
        <f>IF(NOT(ISNUMBER($C10)),0,ROUND(MOD($C10-Turno_Ini,1)*1440,0))</f>
        <v/>
      </c>
      <c r="Q10" s="11">
        <f>IF($J10&lt;=0,0,$P10+$I10)</f>
        <v/>
      </c>
      <c r="R10" s="11">
        <f>IF($K10="","",$B10&amp;"#"&amp;$A10&amp;"#"&amp;$K10)</f>
        <v/>
      </c>
      <c r="S10" s="11">
        <f>ROW()</f>
        <v/>
      </c>
      <c r="T10" s="11">
        <f>IF($J10&lt;=0,0,MAX(0,MIN($P10+$I10+Limpeza_Min,Turno_Min,IFERROR(INDEX(Mapa_RelIni,MATCH($B10&amp;"#"&amp;$A10&amp;"#"&amp;($K10+1),Mapa_Chave,0)),Turno_Min))-MIN($P10,Turno_Min)))</f>
        <v/>
      </c>
    </row>
    <row r="11">
      <c r="A11" s="19" t="n">
        <v>46254</v>
      </c>
      <c r="B11" s="20" t="inlineStr">
        <is>
          <t>SO-05</t>
        </is>
      </c>
      <c r="C11" s="21" t="n">
        <v>0.4479166666666667</v>
      </c>
      <c r="D11" s="21" t="n">
        <v>0.5034722222222222</v>
      </c>
      <c r="E11" s="22" t="inlineStr">
        <is>
          <t>Ginecologia</t>
        </is>
      </c>
      <c r="F11" s="22" t="inlineStr">
        <is>
          <t>Histerectomia total</t>
        </is>
      </c>
      <c r="G11" s="22" t="inlineStr">
        <is>
          <t>Dra. Delgado</t>
        </is>
      </c>
      <c r="H11" s="20" t="inlineStr">
        <is>
          <t>Agendada</t>
        </is>
      </c>
      <c r="I11" s="12">
        <f>IF(OR($B11="",NOT(ISNUMBER($C11)),NOT(ISNUMBER($D11))),"",ROUND(MOD($D11-$C11,1)*1440,0))</f>
        <v/>
      </c>
      <c r="J11" s="12">
        <f>IF(NOT(ISNUMBER($I11)),0,IF(OR($I11&lt;=0,$H11="Cancelada",$H11="Suspensa"),0,$I11+Limpeza_Min))</f>
        <v/>
      </c>
      <c r="K11" s="12">
        <f>IF($J11&lt;=0,"",SUMPRODUCT((Mapa_Sala=$B11)*(Mapa_Data=$A11)*(Mapa_MinOcup&gt;0)*((Mapa_RelIni&lt;$P11)+((Mapa_RelIni=$P11)*(Mapa_Row&lt;=$S11)))))</f>
        <v/>
      </c>
      <c r="L11" s="23">
        <f>IF($J11&lt;=0,"",MOD(Turno_Ini+($Q11+Limpeza_Min)/1440,1))</f>
        <v/>
      </c>
      <c r="M11" s="12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24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","")&amp;IFERROR(IF(AND($J11&gt;0,$K11&gt;0,COUNTIF(Mapa_Chave,$B11&amp;"#"&amp;$A11&amp;"#"&amp;($K11+1))&gt;0,INDEX(Mapa_RelIni,MATCH($B11&amp;"#"&amp;$A11&amp;"#"&amp;($K11+1),Mapa_Chave,0))-$Q11&lt;Limpeza_Min),"Sem intervalo para limpeza | ",""),"")&amp;IF(AND($J11&gt;0,SUMPRODUCT((Mapa_Sala=$B11)*(Mapa_Data=$A11)*(Mapa_MinOcup&gt;0)*(Mapa_RelIni&lt;$Q11)*(Mapa_RelFim&gt;$P11))&gt;1),"Sobreposição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1">
        <f>IF(NOT(ISNUMBER($C11)),0,ROUND(MOD($C11-Turno_Ini,1)*1440,0))</f>
        <v/>
      </c>
      <c r="Q11" s="11">
        <f>IF($J11&lt;=0,0,$P11+$I11)</f>
        <v/>
      </c>
      <c r="R11" s="11">
        <f>IF($K11="","",$B11&amp;"#"&amp;$A11&amp;"#"&amp;$K11)</f>
        <v/>
      </c>
      <c r="S11" s="11">
        <f>ROW()</f>
        <v/>
      </c>
      <c r="T11" s="11">
        <f>IF($J11&lt;=0,0,MAX(0,MIN($P11+$I11+Limpeza_Min,Turno_Min,IFERROR(INDEX(Mapa_RelIni,MATCH($B11&amp;"#"&amp;$A11&amp;"#"&amp;($K11+1),Mapa_Chave,0)),Turno_Min))-MIN($P11,Turno_Min)))</f>
        <v/>
      </c>
    </row>
    <row r="12">
      <c r="A12" s="19" t="n">
        <v>46254</v>
      </c>
      <c r="B12" s="20" t="inlineStr">
        <is>
          <t>SO-06</t>
        </is>
      </c>
      <c r="C12" s="21" t="n">
        <v>0.2916666666666667</v>
      </c>
      <c r="D12" s="21" t="n">
        <v>0.3368055555555556</v>
      </c>
      <c r="E12" s="22" t="inlineStr">
        <is>
          <t>Cesariana</t>
        </is>
      </c>
      <c r="F12" s="22" t="inlineStr">
        <is>
          <t>Cesariana</t>
        </is>
      </c>
      <c r="G12" s="22" t="inlineStr">
        <is>
          <t>Dr. Coelho</t>
        </is>
      </c>
      <c r="H12" s="20" t="inlineStr">
        <is>
          <t>Agendada</t>
        </is>
      </c>
      <c r="I12" s="12">
        <f>IF(OR($B12="",NOT(ISNUMBER($C12)),NOT(ISNUMBER($D12))),"",ROUND(MOD($D12-$C12,1)*1440,0))</f>
        <v/>
      </c>
      <c r="J12" s="12">
        <f>IF(NOT(ISNUMBER($I12)),0,IF(OR($I12&lt;=0,$H12="Cancelada",$H12="Suspensa"),0,$I12+Limpeza_Min))</f>
        <v/>
      </c>
      <c r="K12" s="12">
        <f>IF($J12&lt;=0,"",SUMPRODUCT((Mapa_Sala=$B12)*(Mapa_Data=$A12)*(Mapa_MinOcup&gt;0)*((Mapa_RelIni&lt;$P12)+((Mapa_RelIni=$P12)*(Mapa_Row&lt;=$S12)))))</f>
        <v/>
      </c>
      <c r="L12" s="23">
        <f>IF($J12&lt;=0,"",MOD(Turno_Ini+($Q12+Limpeza_Min)/1440,1))</f>
        <v/>
      </c>
      <c r="M12" s="12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24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","")&amp;IFERROR(IF(AND($J12&gt;0,$K12&gt;0,COUNTIF(Mapa_Chave,$B12&amp;"#"&amp;$A12&amp;"#"&amp;($K12+1))&gt;0,INDEX(Mapa_RelIni,MATCH($B12&amp;"#"&amp;$A12&amp;"#"&amp;($K12+1),Mapa_Chave,0))-$Q12&lt;Limpeza_Min),"Sem intervalo para limpeza | ",""),"")&amp;IF(AND($J12&gt;0,SUMPRODUCT((Mapa_Sala=$B12)*(Mapa_Data=$A12)*(Mapa_MinOcup&gt;0)*(Mapa_RelIni&lt;$Q12)*(Mapa_RelFim&gt;$P12))&gt;1),"Sobreposição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1">
        <f>IF(NOT(ISNUMBER($C12)),0,ROUND(MOD($C12-Turno_Ini,1)*1440,0))</f>
        <v/>
      </c>
      <c r="Q12" s="11">
        <f>IF($J12&lt;=0,0,$P12+$I12)</f>
        <v/>
      </c>
      <c r="R12" s="11">
        <f>IF($K12="","",$B12&amp;"#"&amp;$A12&amp;"#"&amp;$K12)</f>
        <v/>
      </c>
      <c r="S12" s="11">
        <f>ROW()</f>
        <v/>
      </c>
      <c r="T12" s="11">
        <f>IF($J12&lt;=0,0,MAX(0,MIN($P12+$I12+Limpeza_Min,Turno_Min,IFERROR(INDEX(Mapa_RelIni,MATCH($B12&amp;"#"&amp;$A12&amp;"#"&amp;($K12+1),Mapa_Chave,0)),Turno_Min))-MIN($P12,Turno_Min)))</f>
        <v/>
      </c>
    </row>
    <row r="13">
      <c r="A13" s="19" t="n">
        <v>46254</v>
      </c>
      <c r="B13" s="20" t="inlineStr">
        <is>
          <t>SO-06</t>
        </is>
      </c>
      <c r="C13" s="21" t="n">
        <v>0.3506944444444444</v>
      </c>
      <c r="D13" s="21" t="n">
        <v>0.3854166666666667</v>
      </c>
      <c r="E13" s="22" t="inlineStr">
        <is>
          <t>Cesariana</t>
        </is>
      </c>
      <c r="F13" s="22" t="inlineStr">
        <is>
          <t>Cesariana com laqueadura</t>
        </is>
      </c>
      <c r="G13" s="22" t="inlineStr">
        <is>
          <t>Dr. Esteves</t>
        </is>
      </c>
      <c r="H13" s="20" t="inlineStr">
        <is>
          <t>Agendada</t>
        </is>
      </c>
      <c r="I13" s="12">
        <f>IF(OR($B13="",NOT(ISNUMBER($C13)),NOT(ISNUMBER($D13))),"",ROUND(MOD($D13-$C13,1)*1440,0))</f>
        <v/>
      </c>
      <c r="J13" s="12">
        <f>IF(NOT(ISNUMBER($I13)),0,IF(OR($I13&lt;=0,$H13="Cancelada",$H13="Suspensa"),0,$I13+Limpeza_Min))</f>
        <v/>
      </c>
      <c r="K13" s="12">
        <f>IF($J13&lt;=0,"",SUMPRODUCT((Mapa_Sala=$B13)*(Mapa_Data=$A13)*(Mapa_MinOcup&gt;0)*((Mapa_RelIni&lt;$P13)+((Mapa_RelIni=$P13)*(Mapa_Row&lt;=$S13)))))</f>
        <v/>
      </c>
      <c r="L13" s="23">
        <f>IF($J13&lt;=0,"",MOD(Turno_Ini+($Q13+Limpeza_Min)/1440,1))</f>
        <v/>
      </c>
      <c r="M13" s="12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24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","")&amp;IFERROR(IF(AND($J13&gt;0,$K13&gt;0,COUNTIF(Mapa_Chave,$B13&amp;"#"&amp;$A13&amp;"#"&amp;($K13+1))&gt;0,INDEX(Mapa_RelIni,MATCH($B13&amp;"#"&amp;$A13&amp;"#"&amp;($K13+1),Mapa_Chave,0))-$Q13&lt;Limpeza_Min),"Sem intervalo para limpeza | ",""),"")&amp;IF(AND($J13&gt;0,SUMPRODUCT((Mapa_Sala=$B13)*(Mapa_Data=$A13)*(Mapa_MinOcup&gt;0)*(Mapa_RelIni&lt;$Q13)*(Mapa_RelFim&gt;$P13))&gt;1),"Sobreposição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1">
        <f>IF(NOT(ISNUMBER($C13)),0,ROUND(MOD($C13-Turno_Ini,1)*1440,0))</f>
        <v/>
      </c>
      <c r="Q13" s="11">
        <f>IF($J13&lt;=0,0,$P13+$I13)</f>
        <v/>
      </c>
      <c r="R13" s="11">
        <f>IF($K13="","",$B13&amp;"#"&amp;$A13&amp;"#"&amp;$K13)</f>
        <v/>
      </c>
      <c r="S13" s="11">
        <f>ROW()</f>
        <v/>
      </c>
      <c r="T13" s="11">
        <f>IF($J13&lt;=0,0,MAX(0,MIN($P13+$I13+Limpeza_Min,Turno_Min,IFERROR(INDEX(Mapa_RelIni,MATCH($B13&amp;"#"&amp;$A13&amp;"#"&amp;($K13+1),Mapa_Chave,0)),Turno_Min))-MIN($P13,Turno_Min)))</f>
        <v/>
      </c>
    </row>
    <row r="14">
      <c r="A14" s="19" t="n">
        <v>46254</v>
      </c>
      <c r="B14" s="20" t="inlineStr">
        <is>
          <t>SO-07</t>
        </is>
      </c>
      <c r="C14" s="21" t="n">
        <v>0.2916666666666667</v>
      </c>
      <c r="D14" s="21" t="n">
        <v>0.3611111111111111</v>
      </c>
      <c r="E14" s="22" t="inlineStr">
        <is>
          <t>Cirurgia Geral</t>
        </is>
      </c>
      <c r="F14" s="22" t="inlineStr">
        <is>
          <t>Colecistectomia videolaparoscópica</t>
        </is>
      </c>
      <c r="G14" s="22" t="inlineStr">
        <is>
          <t>Dr. Esteves</t>
        </is>
      </c>
      <c r="H14" s="20" t="inlineStr">
        <is>
          <t>Agendada</t>
        </is>
      </c>
      <c r="I14" s="12">
        <f>IF(OR($B14="",NOT(ISNUMBER($C14)),NOT(ISNUMBER($D14))),"",ROUND(MOD($D14-$C14,1)*1440,0))</f>
        <v/>
      </c>
      <c r="J14" s="12">
        <f>IF(NOT(ISNUMBER($I14)),0,IF(OR($I14&lt;=0,$H14="Cancelada",$H14="Suspensa"),0,$I14+Limpeza_Min))</f>
        <v/>
      </c>
      <c r="K14" s="12">
        <f>IF($J14&lt;=0,"",SUMPRODUCT((Mapa_Sala=$B14)*(Mapa_Data=$A14)*(Mapa_MinOcup&gt;0)*((Mapa_RelIni&lt;$P14)+((Mapa_RelIni=$P14)*(Mapa_Row&lt;=$S14)))))</f>
        <v/>
      </c>
      <c r="L14" s="23">
        <f>IF($J14&lt;=0,"",MOD(Turno_Ini+($Q14+Limpeza_Min)/1440,1))</f>
        <v/>
      </c>
      <c r="M14" s="12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24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","")&amp;IFERROR(IF(AND($J14&gt;0,$K14&gt;0,COUNTIF(Mapa_Chave,$B14&amp;"#"&amp;$A14&amp;"#"&amp;($K14+1))&gt;0,INDEX(Mapa_RelIni,MATCH($B14&amp;"#"&amp;$A14&amp;"#"&amp;($K14+1),Mapa_Chave,0))-$Q14&lt;Limpeza_Min),"Sem intervalo para limpeza | ",""),"")&amp;IF(AND($J14&gt;0,SUMPRODUCT((Mapa_Sala=$B14)*(Mapa_Data=$A14)*(Mapa_MinOcup&gt;0)*(Mapa_RelIni&lt;$Q14)*(Mapa_RelFim&gt;$P14))&gt;1),"Sobreposição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1">
        <f>IF(NOT(ISNUMBER($C14)),0,ROUND(MOD($C14-Turno_Ini,1)*1440,0))</f>
        <v/>
      </c>
      <c r="Q14" s="11">
        <f>IF($J14&lt;=0,0,$P14+$I14)</f>
        <v/>
      </c>
      <c r="R14" s="11">
        <f>IF($K14="","",$B14&amp;"#"&amp;$A14&amp;"#"&amp;$K14)</f>
        <v/>
      </c>
      <c r="S14" s="11">
        <f>ROW()</f>
        <v/>
      </c>
      <c r="T14" s="11">
        <f>IF($J14&lt;=0,0,MAX(0,MIN($P14+$I14+Limpeza_Min,Turno_Min,IFERROR(INDEX(Mapa_RelIni,MATCH($B14&amp;"#"&amp;$A14&amp;"#"&amp;($K14+1),Mapa_Chave,0)),Turno_Min))-MIN($P14,Turno_Min)))</f>
        <v/>
      </c>
    </row>
    <row r="15">
      <c r="A15" s="19" t="n">
        <v>46254</v>
      </c>
      <c r="B15" s="20" t="inlineStr">
        <is>
          <t>SO-08</t>
        </is>
      </c>
      <c r="C15" s="21" t="n">
        <v>0.2916666666666667</v>
      </c>
      <c r="D15" s="21" t="n">
        <v>0.3263888888888889</v>
      </c>
      <c r="E15" s="22" t="inlineStr">
        <is>
          <t>Oftalmologia</t>
        </is>
      </c>
      <c r="F15" s="22" t="inlineStr">
        <is>
          <t>Facectomia com implante de LIO</t>
        </is>
      </c>
      <c r="G15" s="22" t="inlineStr">
        <is>
          <t>Dra. Fialho</t>
        </is>
      </c>
      <c r="H15" s="20" t="inlineStr">
        <is>
          <t>Agendada</t>
        </is>
      </c>
      <c r="I15" s="12">
        <f>IF(OR($B15="",NOT(ISNUMBER($C15)),NOT(ISNUMBER($D15))),"",ROUND(MOD($D15-$C15,1)*1440,0))</f>
        <v/>
      </c>
      <c r="J15" s="12">
        <f>IF(NOT(ISNUMBER($I15)),0,IF(OR($I15&lt;=0,$H15="Cancelada",$H15="Suspensa"),0,$I15+Limpeza_Min))</f>
        <v/>
      </c>
      <c r="K15" s="12">
        <f>IF($J15&lt;=0,"",SUMPRODUCT((Mapa_Sala=$B15)*(Mapa_Data=$A15)*(Mapa_MinOcup&gt;0)*((Mapa_RelIni&lt;$P15)+((Mapa_RelIni=$P15)*(Mapa_Row&lt;=$S15)))))</f>
        <v/>
      </c>
      <c r="L15" s="23">
        <f>IF($J15&lt;=0,"",MOD(Turno_Ini+($Q15+Limpeza_Min)/1440,1))</f>
        <v/>
      </c>
      <c r="M15" s="12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24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","")&amp;IFERROR(IF(AND($J15&gt;0,$K15&gt;0,COUNTIF(Mapa_Chave,$B15&amp;"#"&amp;$A15&amp;"#"&amp;($K15+1))&gt;0,INDEX(Mapa_RelIni,MATCH($B15&amp;"#"&amp;$A15&amp;"#"&amp;($K15+1),Mapa_Chave,0))-$Q15&lt;Limpeza_Min),"Sem intervalo para limpeza | ",""),"")&amp;IF(AND($J15&gt;0,SUMPRODUCT((Mapa_Sala=$B15)*(Mapa_Data=$A15)*(Mapa_MinOcup&gt;0)*(Mapa_RelIni&lt;$Q15)*(Mapa_RelFim&gt;$P15))&gt;1),"Sobreposição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1">
        <f>IF(NOT(ISNUMBER($C15)),0,ROUND(MOD($C15-Turno_Ini,1)*1440,0))</f>
        <v/>
      </c>
      <c r="Q15" s="11">
        <f>IF($J15&lt;=0,0,$P15+$I15)</f>
        <v/>
      </c>
      <c r="R15" s="11">
        <f>IF($K15="","",$B15&amp;"#"&amp;$A15&amp;"#"&amp;$K15)</f>
        <v/>
      </c>
      <c r="S15" s="11">
        <f>ROW()</f>
        <v/>
      </c>
      <c r="T15" s="11">
        <f>IF($J15&lt;=0,0,MAX(0,MIN($P15+$I15+Limpeza_Min,Turno_Min,IFERROR(INDEX(Mapa_RelIni,MATCH($B15&amp;"#"&amp;$A15&amp;"#"&amp;($K15+1),Mapa_Chave,0)),Turno_Min))-MIN($P15,Turno_Min)))</f>
        <v/>
      </c>
    </row>
    <row r="16">
      <c r="A16" s="19" t="n">
        <v>46254</v>
      </c>
      <c r="B16" s="20" t="inlineStr">
        <is>
          <t>SO-08</t>
        </is>
      </c>
      <c r="C16" s="21" t="n">
        <v>0.3402777777777778</v>
      </c>
      <c r="D16" s="21" t="n">
        <v>0.3854166666666667</v>
      </c>
      <c r="E16" s="22" t="inlineStr">
        <is>
          <t>Otorrinolaringologia</t>
        </is>
      </c>
      <c r="F16" s="22" t="inlineStr">
        <is>
          <t>Septoplastia</t>
        </is>
      </c>
      <c r="G16" s="22" t="inlineStr">
        <is>
          <t>Dra. Hirano</t>
        </is>
      </c>
      <c r="H16" s="20" t="inlineStr">
        <is>
          <t>Agendada</t>
        </is>
      </c>
      <c r="I16" s="12">
        <f>IF(OR($B16="",NOT(ISNUMBER($C16)),NOT(ISNUMBER($D16))),"",ROUND(MOD($D16-$C16,1)*1440,0))</f>
        <v/>
      </c>
      <c r="J16" s="12">
        <f>IF(NOT(ISNUMBER($I16)),0,IF(OR($I16&lt;=0,$H16="Cancelada",$H16="Suspensa"),0,$I16+Limpeza_Min))</f>
        <v/>
      </c>
      <c r="K16" s="12">
        <f>IF($J16&lt;=0,"",SUMPRODUCT((Mapa_Sala=$B16)*(Mapa_Data=$A16)*(Mapa_MinOcup&gt;0)*((Mapa_RelIni&lt;$P16)+((Mapa_RelIni=$P16)*(Mapa_Row&lt;=$S16)))))</f>
        <v/>
      </c>
      <c r="L16" s="23">
        <f>IF($J16&lt;=0,"",MOD(Turno_Ini+($Q16+Limpeza_Min)/1440,1))</f>
        <v/>
      </c>
      <c r="M16" s="12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24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","")&amp;IFERROR(IF(AND($J16&gt;0,$K16&gt;0,COUNTIF(Mapa_Chave,$B16&amp;"#"&amp;$A16&amp;"#"&amp;($K16+1))&gt;0,INDEX(Mapa_RelIni,MATCH($B16&amp;"#"&amp;$A16&amp;"#"&amp;($K16+1),Mapa_Chave,0))-$Q16&lt;Limpeza_Min),"Sem intervalo para limpeza | ",""),"")&amp;IF(AND($J16&gt;0,SUMPRODUCT((Mapa_Sala=$B16)*(Mapa_Data=$A16)*(Mapa_MinOcup&gt;0)*(Mapa_RelIni&lt;$Q16)*(Mapa_RelFim&gt;$P16))&gt;1),"Sobreposição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1">
        <f>IF(NOT(ISNUMBER($C16)),0,ROUND(MOD($C16-Turno_Ini,1)*1440,0))</f>
        <v/>
      </c>
      <c r="Q16" s="11">
        <f>IF($J16&lt;=0,0,$P16+$I16)</f>
        <v/>
      </c>
      <c r="R16" s="11">
        <f>IF($K16="","",$B16&amp;"#"&amp;$A16&amp;"#"&amp;$K16)</f>
        <v/>
      </c>
      <c r="S16" s="11">
        <f>ROW()</f>
        <v/>
      </c>
      <c r="T16" s="11">
        <f>IF($J16&lt;=0,0,MAX(0,MIN($P16+$I16+Limpeza_Min,Turno_Min,IFERROR(INDEX(Mapa_RelIni,MATCH($B16&amp;"#"&amp;$A16&amp;"#"&amp;($K16+1),Mapa_Chave,0)),Turno_Min))-MIN($P16,Turno_Min)))</f>
        <v/>
      </c>
    </row>
    <row r="17">
      <c r="A17" s="19" t="n">
        <v>46254</v>
      </c>
      <c r="B17" s="20" t="inlineStr">
        <is>
          <t>SO-08</t>
        </is>
      </c>
      <c r="C17" s="21" t="n">
        <v>0.3993055555555556</v>
      </c>
      <c r="D17" s="21" t="n">
        <v>0.4791666666666667</v>
      </c>
      <c r="E17" s="22" t="inlineStr">
        <is>
          <t>Buco-Maxilo-Facial</t>
        </is>
      </c>
      <c r="F17" s="22" t="inlineStr">
        <is>
          <t>Osteotomia mandibular</t>
        </is>
      </c>
      <c r="G17" s="22" t="inlineStr">
        <is>
          <t>Dra. Bernardes</t>
        </is>
      </c>
      <c r="H17" s="20" t="inlineStr">
        <is>
          <t>Agendada</t>
        </is>
      </c>
      <c r="I17" s="12">
        <f>IF(OR($B17="",NOT(ISNUMBER($C17)),NOT(ISNUMBER($D17))),"",ROUND(MOD($D17-$C17,1)*1440,0))</f>
        <v/>
      </c>
      <c r="J17" s="12">
        <f>IF(NOT(ISNUMBER($I17)),0,IF(OR($I17&lt;=0,$H17="Cancelada",$H17="Suspensa"),0,$I17+Limpeza_Min))</f>
        <v/>
      </c>
      <c r="K17" s="12">
        <f>IF($J17&lt;=0,"",SUMPRODUCT((Mapa_Sala=$B17)*(Mapa_Data=$A17)*(Mapa_MinOcup&gt;0)*((Mapa_RelIni&lt;$P17)+((Mapa_RelIni=$P17)*(Mapa_Row&lt;=$S17)))))</f>
        <v/>
      </c>
      <c r="L17" s="23">
        <f>IF($J17&lt;=0,"",MOD(Turno_Ini+($Q17+Limpeza_Min)/1440,1))</f>
        <v/>
      </c>
      <c r="M17" s="12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24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","")&amp;IFERROR(IF(AND($J17&gt;0,$K17&gt;0,COUNTIF(Mapa_Chave,$B17&amp;"#"&amp;$A17&amp;"#"&amp;($K17+1))&gt;0,INDEX(Mapa_RelIni,MATCH($B17&amp;"#"&amp;$A17&amp;"#"&amp;($K17+1),Mapa_Chave,0))-$Q17&lt;Limpeza_Min),"Sem intervalo para limpeza | ",""),"")&amp;IF(AND($J17&gt;0,SUMPRODUCT((Mapa_Sala=$B17)*(Mapa_Data=$A17)*(Mapa_MinOcup&gt;0)*(Mapa_RelIni&lt;$Q17)*(Mapa_RelFim&gt;$P17))&gt;1),"Sobreposição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1">
        <f>IF(NOT(ISNUMBER($C17)),0,ROUND(MOD($C17-Turno_Ini,1)*1440,0))</f>
        <v/>
      </c>
      <c r="Q17" s="11">
        <f>IF($J17&lt;=0,0,$P17+$I17)</f>
        <v/>
      </c>
      <c r="R17" s="11">
        <f>IF($K17="","",$B17&amp;"#"&amp;$A17&amp;"#"&amp;$K17)</f>
        <v/>
      </c>
      <c r="S17" s="11">
        <f>ROW()</f>
        <v/>
      </c>
      <c r="T17" s="11">
        <f>IF($J17&lt;=0,0,MAX(0,MIN($P17+$I17+Limpeza_Min,Turno_Min,IFERROR(INDEX(Mapa_RelIni,MATCH($B17&amp;"#"&amp;$A17&amp;"#"&amp;($K17+1),Mapa_Chave,0)),Turno_Min))-MIN($P17,Turno_Min)))</f>
        <v/>
      </c>
    </row>
    <row r="18">
      <c r="A18" s="19" t="n">
        <v>46254</v>
      </c>
      <c r="B18" s="20" t="inlineStr">
        <is>
          <t>SO-08</t>
        </is>
      </c>
      <c r="C18" s="21" t="n">
        <v>0.4930555555555556</v>
      </c>
      <c r="D18" s="21" t="n">
        <v>0.5208333333333334</v>
      </c>
      <c r="E18" s="22" t="inlineStr">
        <is>
          <t>Oftalmologia</t>
        </is>
      </c>
      <c r="F18" s="22" t="inlineStr">
        <is>
          <t>Facectomia com implante de LIO</t>
        </is>
      </c>
      <c r="G18" s="22" t="inlineStr">
        <is>
          <t>Dra. Delgado</t>
        </is>
      </c>
      <c r="H18" s="20" t="inlineStr">
        <is>
          <t>Agendada</t>
        </is>
      </c>
      <c r="I18" s="12">
        <f>IF(OR($B18="",NOT(ISNUMBER($C18)),NOT(ISNUMBER($D18))),"",ROUND(MOD($D18-$C18,1)*1440,0))</f>
        <v/>
      </c>
      <c r="J18" s="12">
        <f>IF(NOT(ISNUMBER($I18)),0,IF(OR($I18&lt;=0,$H18="Cancelada",$H18="Suspensa"),0,$I18+Limpeza_Min))</f>
        <v/>
      </c>
      <c r="K18" s="12">
        <f>IF($J18&lt;=0,"",SUMPRODUCT((Mapa_Sala=$B18)*(Mapa_Data=$A18)*(Mapa_MinOcup&gt;0)*((Mapa_RelIni&lt;$P18)+((Mapa_RelIni=$P18)*(Mapa_Row&lt;=$S18)))))</f>
        <v/>
      </c>
      <c r="L18" s="23">
        <f>IF($J18&lt;=0,"",MOD(Turno_Ini+($Q18+Limpeza_Min)/1440,1))</f>
        <v/>
      </c>
      <c r="M18" s="12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24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","")&amp;IFERROR(IF(AND($J18&gt;0,$K18&gt;0,COUNTIF(Mapa_Chave,$B18&amp;"#"&amp;$A18&amp;"#"&amp;($K18+1))&gt;0,INDEX(Mapa_RelIni,MATCH($B18&amp;"#"&amp;$A18&amp;"#"&amp;($K18+1),Mapa_Chave,0))-$Q18&lt;Limpeza_Min),"Sem intervalo para limpeza | ",""),"")&amp;IF(AND($J18&gt;0,SUMPRODUCT((Mapa_Sala=$B18)*(Mapa_Data=$A18)*(Mapa_MinOcup&gt;0)*(Mapa_RelIni&lt;$Q18)*(Mapa_RelFim&gt;$P18))&gt;1),"Sobreposição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1">
        <f>IF(NOT(ISNUMBER($C18)),0,ROUND(MOD($C18-Turno_Ini,1)*1440,0))</f>
        <v/>
      </c>
      <c r="Q18" s="11">
        <f>IF($J18&lt;=0,0,$P18+$I18)</f>
        <v/>
      </c>
      <c r="R18" s="11">
        <f>IF($K18="","",$B18&amp;"#"&amp;$A18&amp;"#"&amp;$K18)</f>
        <v/>
      </c>
      <c r="S18" s="11">
        <f>ROW()</f>
        <v/>
      </c>
      <c r="T18" s="11">
        <f>IF($J18&lt;=0,0,MAX(0,MIN($P18+$I18+Limpeza_Min,Turno_Min,IFERROR(INDEX(Mapa_RelIni,MATCH($B18&amp;"#"&amp;$A18&amp;"#"&amp;($K18+1),Mapa_Chave,0)),Turno_Min))-MIN($P18,Turno_Min)))</f>
        <v/>
      </c>
    </row>
    <row r="19">
      <c r="A19" s="19" t="n"/>
      <c r="B19" s="20" t="n"/>
      <c r="C19" s="21" t="n"/>
      <c r="D19" s="21" t="n"/>
      <c r="E19" s="22" t="n"/>
      <c r="F19" s="22" t="n"/>
      <c r="G19" s="22" t="n"/>
      <c r="H19" s="20" t="n"/>
      <c r="I19" s="12">
        <f>IF(OR($B19="",NOT(ISNUMBER($C19)),NOT(ISNUMBER($D19))),"",ROUND(MOD($D19-$C19,1)*1440,0))</f>
        <v/>
      </c>
      <c r="J19" s="12">
        <f>IF(NOT(ISNUMBER($I19)),0,IF(OR($I19&lt;=0,$H19="Cancelada",$H19="Suspensa"),0,$I19+Limpeza_Min))</f>
        <v/>
      </c>
      <c r="K19" s="12">
        <f>IF($J19&lt;=0,"",SUMPRODUCT((Mapa_Sala=$B19)*(Mapa_Data=$A19)*(Mapa_MinOcup&gt;0)*((Mapa_RelIni&lt;$P19)+((Mapa_RelIni=$P19)*(Mapa_Row&lt;=$S19)))))</f>
        <v/>
      </c>
      <c r="L19" s="23">
        <f>IF($J19&lt;=0,"",MOD(Turno_Ini+($Q19+Limpeza_Min)/1440,1))</f>
        <v/>
      </c>
      <c r="M19" s="12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24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","")&amp;IFERROR(IF(AND($J19&gt;0,$K19&gt;0,COUNTIF(Mapa_Chave,$B19&amp;"#"&amp;$A19&amp;"#"&amp;($K19+1))&gt;0,INDEX(Mapa_RelIni,MATCH($B19&amp;"#"&amp;$A19&amp;"#"&amp;($K19+1),Mapa_Chave,0))-$Q19&lt;Limpeza_Min),"Sem intervalo para limpeza | ",""),"")&amp;IF(AND($J19&gt;0,SUMPRODUCT((Mapa_Sala=$B19)*(Mapa_Data=$A19)*(Mapa_MinOcup&gt;0)*(Mapa_RelIni&lt;$Q19)*(Mapa_RelFim&gt;$P19))&gt;1),"Sobreposição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1">
        <f>IF(NOT(ISNUMBER($C19)),0,ROUND(MOD($C19-Turno_Ini,1)*1440,0))</f>
        <v/>
      </c>
      <c r="Q19" s="11">
        <f>IF($J19&lt;=0,0,$P19+$I19)</f>
        <v/>
      </c>
      <c r="R19" s="11">
        <f>IF($K19="","",$B19&amp;"#"&amp;$A19&amp;"#"&amp;$K19)</f>
        <v/>
      </c>
      <c r="S19" s="11">
        <f>ROW()</f>
        <v/>
      </c>
      <c r="T19" s="11">
        <f>IF($J19&lt;=0,0,MAX(0,MIN($P19+$I19+Limpeza_Min,Turno_Min,IFERROR(INDEX(Mapa_RelIni,MATCH($B19&amp;"#"&amp;$A19&amp;"#"&amp;($K19+1),Mapa_Chave,0)),Turno_Min))-MIN($P19,Turno_Min)))</f>
        <v/>
      </c>
    </row>
    <row r="20">
      <c r="A20" s="19" t="n"/>
      <c r="B20" s="20" t="n"/>
      <c r="C20" s="21" t="n"/>
      <c r="D20" s="21" t="n"/>
      <c r="E20" s="22" t="n"/>
      <c r="F20" s="22" t="n"/>
      <c r="G20" s="22" t="n"/>
      <c r="H20" s="20" t="n"/>
      <c r="I20" s="12">
        <f>IF(OR($B20="",NOT(ISNUMBER($C20)),NOT(ISNUMBER($D20))),"",ROUND(MOD($D20-$C20,1)*1440,0))</f>
        <v/>
      </c>
      <c r="J20" s="12">
        <f>IF(NOT(ISNUMBER($I20)),0,IF(OR($I20&lt;=0,$H20="Cancelada",$H20="Suspensa"),0,$I20+Limpeza_Min))</f>
        <v/>
      </c>
      <c r="K20" s="12">
        <f>IF($J20&lt;=0,"",SUMPRODUCT((Mapa_Sala=$B20)*(Mapa_Data=$A20)*(Mapa_MinOcup&gt;0)*((Mapa_RelIni&lt;$P20)+((Mapa_RelIni=$P20)*(Mapa_Row&lt;=$S20)))))</f>
        <v/>
      </c>
      <c r="L20" s="23">
        <f>IF($J20&lt;=0,"",MOD(Turno_Ini+($Q20+Limpeza_Min)/1440,1))</f>
        <v/>
      </c>
      <c r="M20" s="12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24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","")&amp;IFERROR(IF(AND($J20&gt;0,$K20&gt;0,COUNTIF(Mapa_Chave,$B20&amp;"#"&amp;$A20&amp;"#"&amp;($K20+1))&gt;0,INDEX(Mapa_RelIni,MATCH($B20&amp;"#"&amp;$A20&amp;"#"&amp;($K20+1),Mapa_Chave,0))-$Q20&lt;Limpeza_Min),"Sem intervalo para limpeza | ",""),"")&amp;IF(AND($J20&gt;0,SUMPRODUCT((Mapa_Sala=$B20)*(Mapa_Data=$A20)*(Mapa_MinOcup&gt;0)*(Mapa_RelIni&lt;$Q20)*(Mapa_RelFim&gt;$P20))&gt;1),"Sobreposição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1">
        <f>IF(NOT(ISNUMBER($C20)),0,ROUND(MOD($C20-Turno_Ini,1)*1440,0))</f>
        <v/>
      </c>
      <c r="Q20" s="11">
        <f>IF($J20&lt;=0,0,$P20+$I20)</f>
        <v/>
      </c>
      <c r="R20" s="11">
        <f>IF($K20="","",$B20&amp;"#"&amp;$A20&amp;"#"&amp;$K20)</f>
        <v/>
      </c>
      <c r="S20" s="11">
        <f>ROW()</f>
        <v/>
      </c>
      <c r="T20" s="11">
        <f>IF($J20&lt;=0,0,MAX(0,MIN($P20+$I20+Limpeza_Min,Turno_Min,IFERROR(INDEX(Mapa_RelIni,MATCH($B20&amp;"#"&amp;$A20&amp;"#"&amp;($K20+1),Mapa_Chave,0)),Turno_Min))-MIN($P20,Turno_Min)))</f>
        <v/>
      </c>
    </row>
    <row r="21">
      <c r="A21" s="19" t="n"/>
      <c r="B21" s="20" t="n"/>
      <c r="C21" s="21" t="n"/>
      <c r="D21" s="21" t="n"/>
      <c r="E21" s="22" t="n"/>
      <c r="F21" s="22" t="n"/>
      <c r="G21" s="22" t="n"/>
      <c r="H21" s="20" t="n"/>
      <c r="I21" s="12">
        <f>IF(OR($B21="",NOT(ISNUMBER($C21)),NOT(ISNUMBER($D21))),"",ROUND(MOD($D21-$C21,1)*1440,0))</f>
        <v/>
      </c>
      <c r="J21" s="12">
        <f>IF(NOT(ISNUMBER($I21)),0,IF(OR($I21&lt;=0,$H21="Cancelada",$H21="Suspensa"),0,$I21+Limpeza_Min))</f>
        <v/>
      </c>
      <c r="K21" s="12">
        <f>IF($J21&lt;=0,"",SUMPRODUCT((Mapa_Sala=$B21)*(Mapa_Data=$A21)*(Mapa_MinOcup&gt;0)*((Mapa_RelIni&lt;$P21)+((Mapa_RelIni=$P21)*(Mapa_Row&lt;=$S21)))))</f>
        <v/>
      </c>
      <c r="L21" s="23">
        <f>IF($J21&lt;=0,"",MOD(Turno_Ini+($Q21+Limpeza_Min)/1440,1))</f>
        <v/>
      </c>
      <c r="M21" s="12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24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","")&amp;IFERROR(IF(AND($J21&gt;0,$K21&gt;0,COUNTIF(Mapa_Chave,$B21&amp;"#"&amp;$A21&amp;"#"&amp;($K21+1))&gt;0,INDEX(Mapa_RelIni,MATCH($B21&amp;"#"&amp;$A21&amp;"#"&amp;($K21+1),Mapa_Chave,0))-$Q21&lt;Limpeza_Min),"Sem intervalo para limpeza | ",""),"")&amp;IF(AND($J21&gt;0,SUMPRODUCT((Mapa_Sala=$B21)*(Mapa_Data=$A21)*(Mapa_MinOcup&gt;0)*(Mapa_RelIni&lt;$Q21)*(Mapa_RelFim&gt;$P21))&gt;1),"Sobreposição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1">
        <f>IF(NOT(ISNUMBER($C21)),0,ROUND(MOD($C21-Turno_Ini,1)*1440,0))</f>
        <v/>
      </c>
      <c r="Q21" s="11">
        <f>IF($J21&lt;=0,0,$P21+$I21)</f>
        <v/>
      </c>
      <c r="R21" s="11">
        <f>IF($K21="","",$B21&amp;"#"&amp;$A21&amp;"#"&amp;$K21)</f>
        <v/>
      </c>
      <c r="S21" s="11">
        <f>ROW()</f>
        <v/>
      </c>
      <c r="T21" s="11">
        <f>IF($J21&lt;=0,0,MAX(0,MIN($P21+$I21+Limpeza_Min,Turno_Min,IFERROR(INDEX(Mapa_RelIni,MATCH($B21&amp;"#"&amp;$A21&amp;"#"&amp;($K21+1),Mapa_Chave,0)),Turno_Min))-MIN($P21,Turno_Min)))</f>
        <v/>
      </c>
    </row>
    <row r="22">
      <c r="A22" s="19" t="n"/>
      <c r="B22" s="20" t="n"/>
      <c r="C22" s="21" t="n"/>
      <c r="D22" s="21" t="n"/>
      <c r="E22" s="22" t="n"/>
      <c r="F22" s="22" t="n"/>
      <c r="G22" s="22" t="n"/>
      <c r="H22" s="20" t="n"/>
      <c r="I22" s="12">
        <f>IF(OR($B22="",NOT(ISNUMBER($C22)),NOT(ISNUMBER($D22))),"",ROUND(MOD($D22-$C22,1)*1440,0))</f>
        <v/>
      </c>
      <c r="J22" s="12">
        <f>IF(NOT(ISNUMBER($I22)),0,IF(OR($I22&lt;=0,$H22="Cancelada",$H22="Suspensa"),0,$I22+Limpeza_Min))</f>
        <v/>
      </c>
      <c r="K22" s="12">
        <f>IF($J22&lt;=0,"",SUMPRODUCT((Mapa_Sala=$B22)*(Mapa_Data=$A22)*(Mapa_MinOcup&gt;0)*((Mapa_RelIni&lt;$P22)+((Mapa_RelIni=$P22)*(Mapa_Row&lt;=$S22)))))</f>
        <v/>
      </c>
      <c r="L22" s="23">
        <f>IF($J22&lt;=0,"",MOD(Turno_Ini+($Q22+Limpeza_Min)/1440,1))</f>
        <v/>
      </c>
      <c r="M22" s="12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24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","")&amp;IFERROR(IF(AND($J22&gt;0,$K22&gt;0,COUNTIF(Mapa_Chave,$B22&amp;"#"&amp;$A22&amp;"#"&amp;($K22+1))&gt;0,INDEX(Mapa_RelIni,MATCH($B22&amp;"#"&amp;$A22&amp;"#"&amp;($K22+1),Mapa_Chave,0))-$Q22&lt;Limpeza_Min),"Sem intervalo para limpeza | ",""),"")&amp;IF(AND($J22&gt;0,SUMPRODUCT((Mapa_Sala=$B22)*(Mapa_Data=$A22)*(Mapa_MinOcup&gt;0)*(Mapa_RelIni&lt;$Q22)*(Mapa_RelFim&gt;$P22))&gt;1),"Sobreposição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1">
        <f>IF(NOT(ISNUMBER($C22)),0,ROUND(MOD($C22-Turno_Ini,1)*1440,0))</f>
        <v/>
      </c>
      <c r="Q22" s="11">
        <f>IF($J22&lt;=0,0,$P22+$I22)</f>
        <v/>
      </c>
      <c r="R22" s="11">
        <f>IF($K22="","",$B22&amp;"#"&amp;$A22&amp;"#"&amp;$K22)</f>
        <v/>
      </c>
      <c r="S22" s="11">
        <f>ROW()</f>
        <v/>
      </c>
      <c r="T22" s="11">
        <f>IF($J22&lt;=0,0,MAX(0,MIN($P22+$I22+Limpeza_Min,Turno_Min,IFERROR(INDEX(Mapa_RelIni,MATCH($B22&amp;"#"&amp;$A22&amp;"#"&amp;($K22+1),Mapa_Chave,0)),Turno_Min))-MIN($P22,Turno_Min)))</f>
        <v/>
      </c>
    </row>
    <row r="23">
      <c r="A23" s="19" t="n"/>
      <c r="B23" s="20" t="n"/>
      <c r="C23" s="21" t="n"/>
      <c r="D23" s="21" t="n"/>
      <c r="E23" s="22" t="n"/>
      <c r="F23" s="22" t="n"/>
      <c r="G23" s="22" t="n"/>
      <c r="H23" s="20" t="n"/>
      <c r="I23" s="12">
        <f>IF(OR($B23="",NOT(ISNUMBER($C23)),NOT(ISNUMBER($D23))),"",ROUND(MOD($D23-$C23,1)*1440,0))</f>
        <v/>
      </c>
      <c r="J23" s="12">
        <f>IF(NOT(ISNUMBER($I23)),0,IF(OR($I23&lt;=0,$H23="Cancelada",$H23="Suspensa"),0,$I23+Limpeza_Min))</f>
        <v/>
      </c>
      <c r="K23" s="12">
        <f>IF($J23&lt;=0,"",SUMPRODUCT((Mapa_Sala=$B23)*(Mapa_Data=$A23)*(Mapa_MinOcup&gt;0)*((Mapa_RelIni&lt;$P23)+((Mapa_RelIni=$P23)*(Mapa_Row&lt;=$S23)))))</f>
        <v/>
      </c>
      <c r="L23" s="23">
        <f>IF($J23&lt;=0,"",MOD(Turno_Ini+($Q23+Limpeza_Min)/1440,1))</f>
        <v/>
      </c>
      <c r="M23" s="12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24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","")&amp;IFERROR(IF(AND($J23&gt;0,$K23&gt;0,COUNTIF(Mapa_Chave,$B23&amp;"#"&amp;$A23&amp;"#"&amp;($K23+1))&gt;0,INDEX(Mapa_RelIni,MATCH($B23&amp;"#"&amp;$A23&amp;"#"&amp;($K23+1),Mapa_Chave,0))-$Q23&lt;Limpeza_Min),"Sem intervalo para limpeza | ",""),"")&amp;IF(AND($J23&gt;0,SUMPRODUCT((Mapa_Sala=$B23)*(Mapa_Data=$A23)*(Mapa_MinOcup&gt;0)*(Mapa_RelIni&lt;$Q23)*(Mapa_RelFim&gt;$P23))&gt;1),"Sobreposição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1">
        <f>IF(NOT(ISNUMBER($C23)),0,ROUND(MOD($C23-Turno_Ini,1)*1440,0))</f>
        <v/>
      </c>
      <c r="Q23" s="11">
        <f>IF($J23&lt;=0,0,$P23+$I23)</f>
        <v/>
      </c>
      <c r="R23" s="11">
        <f>IF($K23="","",$B23&amp;"#"&amp;$A23&amp;"#"&amp;$K23)</f>
        <v/>
      </c>
      <c r="S23" s="11">
        <f>ROW()</f>
        <v/>
      </c>
      <c r="T23" s="11">
        <f>IF($J23&lt;=0,0,MAX(0,MIN($P23+$I23+Limpeza_Min,Turno_Min,IFERROR(INDEX(Mapa_RelIni,MATCH($B23&amp;"#"&amp;$A23&amp;"#"&amp;($K23+1),Mapa_Chave,0)),Turno_Min))-MIN($P23,Turno_Min)))</f>
        <v/>
      </c>
    </row>
    <row r="24">
      <c r="A24" s="19" t="n"/>
      <c r="B24" s="20" t="n"/>
      <c r="C24" s="21" t="n"/>
      <c r="D24" s="21" t="n"/>
      <c r="E24" s="22" t="n"/>
      <c r="F24" s="22" t="n"/>
      <c r="G24" s="22" t="n"/>
      <c r="H24" s="20" t="n"/>
      <c r="I24" s="12">
        <f>IF(OR($B24="",NOT(ISNUMBER($C24)),NOT(ISNUMBER($D24))),"",ROUND(MOD($D24-$C24,1)*1440,0))</f>
        <v/>
      </c>
      <c r="J24" s="12">
        <f>IF(NOT(ISNUMBER($I24)),0,IF(OR($I24&lt;=0,$H24="Cancelada",$H24="Suspensa"),0,$I24+Limpeza_Min))</f>
        <v/>
      </c>
      <c r="K24" s="12">
        <f>IF($J24&lt;=0,"",SUMPRODUCT((Mapa_Sala=$B24)*(Mapa_Data=$A24)*(Mapa_MinOcup&gt;0)*((Mapa_RelIni&lt;$P24)+((Mapa_RelIni=$P24)*(Mapa_Row&lt;=$S24)))))</f>
        <v/>
      </c>
      <c r="L24" s="23">
        <f>IF($J24&lt;=0,"",MOD(Turno_Ini+($Q24+Limpeza_Min)/1440,1))</f>
        <v/>
      </c>
      <c r="M24" s="12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24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","")&amp;IFERROR(IF(AND($J24&gt;0,$K24&gt;0,COUNTIF(Mapa_Chave,$B24&amp;"#"&amp;$A24&amp;"#"&amp;($K24+1))&gt;0,INDEX(Mapa_RelIni,MATCH($B24&amp;"#"&amp;$A24&amp;"#"&amp;($K24+1),Mapa_Chave,0))-$Q24&lt;Limpeza_Min),"Sem intervalo para limpeza | ",""),"")&amp;IF(AND($J24&gt;0,SUMPRODUCT((Mapa_Sala=$B24)*(Mapa_Data=$A24)*(Mapa_MinOcup&gt;0)*(Mapa_RelIni&lt;$Q24)*(Mapa_RelFim&gt;$P24))&gt;1),"Sobreposição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1">
        <f>IF(NOT(ISNUMBER($C24)),0,ROUND(MOD($C24-Turno_Ini,1)*1440,0))</f>
        <v/>
      </c>
      <c r="Q24" s="11">
        <f>IF($J24&lt;=0,0,$P24+$I24)</f>
        <v/>
      </c>
      <c r="R24" s="11">
        <f>IF($K24="","",$B24&amp;"#"&amp;$A24&amp;"#"&amp;$K24)</f>
        <v/>
      </c>
      <c r="S24" s="11">
        <f>ROW()</f>
        <v/>
      </c>
      <c r="T24" s="11">
        <f>IF($J24&lt;=0,0,MAX(0,MIN($P24+$I24+Limpeza_Min,Turno_Min,IFERROR(INDEX(Mapa_RelIni,MATCH($B24&amp;"#"&amp;$A24&amp;"#"&amp;($K24+1),Mapa_Chave,0)),Turno_Min))-MIN($P24,Turno_Min)))</f>
        <v/>
      </c>
    </row>
    <row r="25">
      <c r="A25" s="19" t="n"/>
      <c r="B25" s="20" t="n"/>
      <c r="C25" s="21" t="n"/>
      <c r="D25" s="21" t="n"/>
      <c r="E25" s="22" t="n"/>
      <c r="F25" s="22" t="n"/>
      <c r="G25" s="22" t="n"/>
      <c r="H25" s="20" t="n"/>
      <c r="I25" s="12">
        <f>IF(OR($B25="",NOT(ISNUMBER($C25)),NOT(ISNUMBER($D25))),"",ROUND(MOD($D25-$C25,1)*1440,0))</f>
        <v/>
      </c>
      <c r="J25" s="12">
        <f>IF(NOT(ISNUMBER($I25)),0,IF(OR($I25&lt;=0,$H25="Cancelada",$H25="Suspensa"),0,$I25+Limpeza_Min))</f>
        <v/>
      </c>
      <c r="K25" s="12">
        <f>IF($J25&lt;=0,"",SUMPRODUCT((Mapa_Sala=$B25)*(Mapa_Data=$A25)*(Mapa_MinOcup&gt;0)*((Mapa_RelIni&lt;$P25)+((Mapa_RelIni=$P25)*(Mapa_Row&lt;=$S25)))))</f>
        <v/>
      </c>
      <c r="L25" s="23">
        <f>IF($J25&lt;=0,"",MOD(Turno_Ini+($Q25+Limpeza_Min)/1440,1))</f>
        <v/>
      </c>
      <c r="M25" s="12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24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","")&amp;IFERROR(IF(AND($J25&gt;0,$K25&gt;0,COUNTIF(Mapa_Chave,$B25&amp;"#"&amp;$A25&amp;"#"&amp;($K25+1))&gt;0,INDEX(Mapa_RelIni,MATCH($B25&amp;"#"&amp;$A25&amp;"#"&amp;($K25+1),Mapa_Chave,0))-$Q25&lt;Limpeza_Min),"Sem intervalo para limpeza | ",""),"")&amp;IF(AND($J25&gt;0,SUMPRODUCT((Mapa_Sala=$B25)*(Mapa_Data=$A25)*(Mapa_MinOcup&gt;0)*(Mapa_RelIni&lt;$Q25)*(Mapa_RelFim&gt;$P25))&gt;1),"Sobreposição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1">
        <f>IF(NOT(ISNUMBER($C25)),0,ROUND(MOD($C25-Turno_Ini,1)*1440,0))</f>
        <v/>
      </c>
      <c r="Q25" s="11">
        <f>IF($J25&lt;=0,0,$P25+$I25)</f>
        <v/>
      </c>
      <c r="R25" s="11">
        <f>IF($K25="","",$B25&amp;"#"&amp;$A25&amp;"#"&amp;$K25)</f>
        <v/>
      </c>
      <c r="S25" s="11">
        <f>ROW()</f>
        <v/>
      </c>
      <c r="T25" s="11">
        <f>IF($J25&lt;=0,0,MAX(0,MIN($P25+$I25+Limpeza_Min,Turno_Min,IFERROR(INDEX(Mapa_RelIni,MATCH($B25&amp;"#"&amp;$A25&amp;"#"&amp;($K25+1),Mapa_Chave,0)),Turno_Min))-MIN($P25,Turno_Min)))</f>
        <v/>
      </c>
    </row>
    <row r="26">
      <c r="A26" s="19" t="n"/>
      <c r="B26" s="20" t="n"/>
      <c r="C26" s="21" t="n"/>
      <c r="D26" s="21" t="n"/>
      <c r="E26" s="22" t="n"/>
      <c r="F26" s="22" t="n"/>
      <c r="G26" s="22" t="n"/>
      <c r="H26" s="20" t="n"/>
      <c r="I26" s="12">
        <f>IF(OR($B26="",NOT(ISNUMBER($C26)),NOT(ISNUMBER($D26))),"",ROUND(MOD($D26-$C26,1)*1440,0))</f>
        <v/>
      </c>
      <c r="J26" s="12">
        <f>IF(NOT(ISNUMBER($I26)),0,IF(OR($I26&lt;=0,$H26="Cancelada",$H26="Suspensa"),0,$I26+Limpeza_Min))</f>
        <v/>
      </c>
      <c r="K26" s="12">
        <f>IF($J26&lt;=0,"",SUMPRODUCT((Mapa_Sala=$B26)*(Mapa_Data=$A26)*(Mapa_MinOcup&gt;0)*((Mapa_RelIni&lt;$P26)+((Mapa_RelIni=$P26)*(Mapa_Row&lt;=$S26)))))</f>
        <v/>
      </c>
      <c r="L26" s="23">
        <f>IF($J26&lt;=0,"",MOD(Turno_Ini+($Q26+Limpeza_Min)/1440,1))</f>
        <v/>
      </c>
      <c r="M26" s="12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24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","")&amp;IFERROR(IF(AND($J26&gt;0,$K26&gt;0,COUNTIF(Mapa_Chave,$B26&amp;"#"&amp;$A26&amp;"#"&amp;($K26+1))&gt;0,INDEX(Mapa_RelIni,MATCH($B26&amp;"#"&amp;$A26&amp;"#"&amp;($K26+1),Mapa_Chave,0))-$Q26&lt;Limpeza_Min),"Sem intervalo para limpeza | ",""),"")&amp;IF(AND($J26&gt;0,SUMPRODUCT((Mapa_Sala=$B26)*(Mapa_Data=$A26)*(Mapa_MinOcup&gt;0)*(Mapa_RelIni&lt;$Q26)*(Mapa_RelFim&gt;$P26))&gt;1),"Sobreposição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1">
        <f>IF(NOT(ISNUMBER($C26)),0,ROUND(MOD($C26-Turno_Ini,1)*1440,0))</f>
        <v/>
      </c>
      <c r="Q26" s="11">
        <f>IF($J26&lt;=0,0,$P26+$I26)</f>
        <v/>
      </c>
      <c r="R26" s="11">
        <f>IF($K26="","",$B26&amp;"#"&amp;$A26&amp;"#"&amp;$K26)</f>
        <v/>
      </c>
      <c r="S26" s="11">
        <f>ROW()</f>
        <v/>
      </c>
      <c r="T26" s="11">
        <f>IF($J26&lt;=0,0,MAX(0,MIN($P26+$I26+Limpeza_Min,Turno_Min,IFERROR(INDEX(Mapa_RelIni,MATCH($B26&amp;"#"&amp;$A26&amp;"#"&amp;($K26+1),Mapa_Chave,0)),Turno_Min))-MIN($P26,Turno_Min)))</f>
        <v/>
      </c>
    </row>
    <row r="27">
      <c r="A27" s="19" t="n"/>
      <c r="B27" s="20" t="n"/>
      <c r="C27" s="21" t="n"/>
      <c r="D27" s="21" t="n"/>
      <c r="E27" s="22" t="n"/>
      <c r="F27" s="22" t="n"/>
      <c r="G27" s="22" t="n"/>
      <c r="H27" s="20" t="n"/>
      <c r="I27" s="12">
        <f>IF(OR($B27="",NOT(ISNUMBER($C27)),NOT(ISNUMBER($D27))),"",ROUND(MOD($D27-$C27,1)*1440,0))</f>
        <v/>
      </c>
      <c r="J27" s="12">
        <f>IF(NOT(ISNUMBER($I27)),0,IF(OR($I27&lt;=0,$H27="Cancelada",$H27="Suspensa"),0,$I27+Limpeza_Min))</f>
        <v/>
      </c>
      <c r="K27" s="12">
        <f>IF($J27&lt;=0,"",SUMPRODUCT((Mapa_Sala=$B27)*(Mapa_Data=$A27)*(Mapa_MinOcup&gt;0)*((Mapa_RelIni&lt;$P27)+((Mapa_RelIni=$P27)*(Mapa_Row&lt;=$S27)))))</f>
        <v/>
      </c>
      <c r="L27" s="23">
        <f>IF($J27&lt;=0,"",MOD(Turno_Ini+($Q27+Limpeza_Min)/1440,1))</f>
        <v/>
      </c>
      <c r="M27" s="12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24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","")&amp;IFERROR(IF(AND($J27&gt;0,$K27&gt;0,COUNTIF(Mapa_Chave,$B27&amp;"#"&amp;$A27&amp;"#"&amp;($K27+1))&gt;0,INDEX(Mapa_RelIni,MATCH($B27&amp;"#"&amp;$A27&amp;"#"&amp;($K27+1),Mapa_Chave,0))-$Q27&lt;Limpeza_Min),"Sem intervalo para limpeza | ",""),"")&amp;IF(AND($J27&gt;0,SUMPRODUCT((Mapa_Sala=$B27)*(Mapa_Data=$A27)*(Mapa_MinOcup&gt;0)*(Mapa_RelIni&lt;$Q27)*(Mapa_RelFim&gt;$P27))&gt;1),"Sobreposição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1">
        <f>IF(NOT(ISNUMBER($C27)),0,ROUND(MOD($C27-Turno_Ini,1)*1440,0))</f>
        <v/>
      </c>
      <c r="Q27" s="11">
        <f>IF($J27&lt;=0,0,$P27+$I27)</f>
        <v/>
      </c>
      <c r="R27" s="11">
        <f>IF($K27="","",$B27&amp;"#"&amp;$A27&amp;"#"&amp;$K27)</f>
        <v/>
      </c>
      <c r="S27" s="11">
        <f>ROW()</f>
        <v/>
      </c>
      <c r="T27" s="11">
        <f>IF($J27&lt;=0,0,MAX(0,MIN($P27+$I27+Limpeza_Min,Turno_Min,IFERROR(INDEX(Mapa_RelIni,MATCH($B27&amp;"#"&amp;$A27&amp;"#"&amp;($K27+1),Mapa_Chave,0)),Turno_Min))-MIN($P27,Turno_Min)))</f>
        <v/>
      </c>
    </row>
    <row r="28">
      <c r="A28" s="19" t="n"/>
      <c r="B28" s="20" t="n"/>
      <c r="C28" s="21" t="n"/>
      <c r="D28" s="21" t="n"/>
      <c r="E28" s="22" t="n"/>
      <c r="F28" s="22" t="n"/>
      <c r="G28" s="22" t="n"/>
      <c r="H28" s="20" t="n"/>
      <c r="I28" s="12">
        <f>IF(OR($B28="",NOT(ISNUMBER($C28)),NOT(ISNUMBER($D28))),"",ROUND(MOD($D28-$C28,1)*1440,0))</f>
        <v/>
      </c>
      <c r="J28" s="12">
        <f>IF(NOT(ISNUMBER($I28)),0,IF(OR($I28&lt;=0,$H28="Cancelada",$H28="Suspensa"),0,$I28+Limpeza_Min))</f>
        <v/>
      </c>
      <c r="K28" s="12">
        <f>IF($J28&lt;=0,"",SUMPRODUCT((Mapa_Sala=$B28)*(Mapa_Data=$A28)*(Mapa_MinOcup&gt;0)*((Mapa_RelIni&lt;$P28)+((Mapa_RelIni=$P28)*(Mapa_Row&lt;=$S28)))))</f>
        <v/>
      </c>
      <c r="L28" s="23">
        <f>IF($J28&lt;=0,"",MOD(Turno_Ini+($Q28+Limpeza_Min)/1440,1))</f>
        <v/>
      </c>
      <c r="M28" s="12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24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","")&amp;IFERROR(IF(AND($J28&gt;0,$K28&gt;0,COUNTIF(Mapa_Chave,$B28&amp;"#"&amp;$A28&amp;"#"&amp;($K28+1))&gt;0,INDEX(Mapa_RelIni,MATCH($B28&amp;"#"&amp;$A28&amp;"#"&amp;($K28+1),Mapa_Chave,0))-$Q28&lt;Limpeza_Min),"Sem intervalo para limpeza | ",""),"")&amp;IF(AND($J28&gt;0,SUMPRODUCT((Mapa_Sala=$B28)*(Mapa_Data=$A28)*(Mapa_MinOcup&gt;0)*(Mapa_RelIni&lt;$Q28)*(Mapa_RelFim&gt;$P28))&gt;1),"Sobreposição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1">
        <f>IF(NOT(ISNUMBER($C28)),0,ROUND(MOD($C28-Turno_Ini,1)*1440,0))</f>
        <v/>
      </c>
      <c r="Q28" s="11">
        <f>IF($J28&lt;=0,0,$P28+$I28)</f>
        <v/>
      </c>
      <c r="R28" s="11">
        <f>IF($K28="","",$B28&amp;"#"&amp;$A28&amp;"#"&amp;$K28)</f>
        <v/>
      </c>
      <c r="S28" s="11">
        <f>ROW()</f>
        <v/>
      </c>
      <c r="T28" s="11">
        <f>IF($J28&lt;=0,0,MAX(0,MIN($P28+$I28+Limpeza_Min,Turno_Min,IFERROR(INDEX(Mapa_RelIni,MATCH($B28&amp;"#"&amp;$A28&amp;"#"&amp;($K28+1),Mapa_Chave,0)),Turno_Min))-MIN($P28,Turno_Min)))</f>
        <v/>
      </c>
    </row>
    <row r="29">
      <c r="A29" s="19" t="n"/>
      <c r="B29" s="20" t="n"/>
      <c r="C29" s="21" t="n"/>
      <c r="D29" s="21" t="n"/>
      <c r="E29" s="22" t="n"/>
      <c r="F29" s="22" t="n"/>
      <c r="G29" s="22" t="n"/>
      <c r="H29" s="20" t="n"/>
      <c r="I29" s="12">
        <f>IF(OR($B29="",NOT(ISNUMBER($C29)),NOT(ISNUMBER($D29))),"",ROUND(MOD($D29-$C29,1)*1440,0))</f>
        <v/>
      </c>
      <c r="J29" s="12">
        <f>IF(NOT(ISNUMBER($I29)),0,IF(OR($I29&lt;=0,$H29="Cancelada",$H29="Suspensa"),0,$I29+Limpeza_Min))</f>
        <v/>
      </c>
      <c r="K29" s="12">
        <f>IF($J29&lt;=0,"",SUMPRODUCT((Mapa_Sala=$B29)*(Mapa_Data=$A29)*(Mapa_MinOcup&gt;0)*((Mapa_RelIni&lt;$P29)+((Mapa_RelIni=$P29)*(Mapa_Row&lt;=$S29)))))</f>
        <v/>
      </c>
      <c r="L29" s="23">
        <f>IF($J29&lt;=0,"",MOD(Turno_Ini+($Q29+Limpeza_Min)/1440,1))</f>
        <v/>
      </c>
      <c r="M29" s="12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24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","")&amp;IFERROR(IF(AND($J29&gt;0,$K29&gt;0,COUNTIF(Mapa_Chave,$B29&amp;"#"&amp;$A29&amp;"#"&amp;($K29+1))&gt;0,INDEX(Mapa_RelIni,MATCH($B29&amp;"#"&amp;$A29&amp;"#"&amp;($K29+1),Mapa_Chave,0))-$Q29&lt;Limpeza_Min),"Sem intervalo para limpeza | ",""),"")&amp;IF(AND($J29&gt;0,SUMPRODUCT((Mapa_Sala=$B29)*(Mapa_Data=$A29)*(Mapa_MinOcup&gt;0)*(Mapa_RelIni&lt;$Q29)*(Mapa_RelFim&gt;$P29))&gt;1),"Sobreposição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1">
        <f>IF(NOT(ISNUMBER($C29)),0,ROUND(MOD($C29-Turno_Ini,1)*1440,0))</f>
        <v/>
      </c>
      <c r="Q29" s="11">
        <f>IF($J29&lt;=0,0,$P29+$I29)</f>
        <v/>
      </c>
      <c r="R29" s="11">
        <f>IF($K29="","",$B29&amp;"#"&amp;$A29&amp;"#"&amp;$K29)</f>
        <v/>
      </c>
      <c r="S29" s="11">
        <f>ROW()</f>
        <v/>
      </c>
      <c r="T29" s="11">
        <f>IF($J29&lt;=0,0,MAX(0,MIN($P29+$I29+Limpeza_Min,Turno_Min,IFERROR(INDEX(Mapa_RelIni,MATCH($B29&amp;"#"&amp;$A29&amp;"#"&amp;($K29+1),Mapa_Chave,0)),Turno_Min))-MIN($P29,Turno_Min)))</f>
        <v/>
      </c>
    </row>
    <row r="30">
      <c r="A30" s="19" t="n"/>
      <c r="B30" s="20" t="n"/>
      <c r="C30" s="21" t="n"/>
      <c r="D30" s="21" t="n"/>
      <c r="E30" s="22" t="n"/>
      <c r="F30" s="22" t="n"/>
      <c r="G30" s="22" t="n"/>
      <c r="H30" s="20" t="n"/>
      <c r="I30" s="12">
        <f>IF(OR($B30="",NOT(ISNUMBER($C30)),NOT(ISNUMBER($D30))),"",ROUND(MOD($D30-$C30,1)*1440,0))</f>
        <v/>
      </c>
      <c r="J30" s="12">
        <f>IF(NOT(ISNUMBER($I30)),0,IF(OR($I30&lt;=0,$H30="Cancelada",$H30="Suspensa"),0,$I30+Limpeza_Min))</f>
        <v/>
      </c>
      <c r="K30" s="12">
        <f>IF($J30&lt;=0,"",SUMPRODUCT((Mapa_Sala=$B30)*(Mapa_Data=$A30)*(Mapa_MinOcup&gt;0)*((Mapa_RelIni&lt;$P30)+((Mapa_RelIni=$P30)*(Mapa_Row&lt;=$S30)))))</f>
        <v/>
      </c>
      <c r="L30" s="23">
        <f>IF($J30&lt;=0,"",MOD(Turno_Ini+($Q30+Limpeza_Min)/1440,1))</f>
        <v/>
      </c>
      <c r="M30" s="12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24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","")&amp;IFERROR(IF(AND($J30&gt;0,$K30&gt;0,COUNTIF(Mapa_Chave,$B30&amp;"#"&amp;$A30&amp;"#"&amp;($K30+1))&gt;0,INDEX(Mapa_RelIni,MATCH($B30&amp;"#"&amp;$A30&amp;"#"&amp;($K30+1),Mapa_Chave,0))-$Q30&lt;Limpeza_Min),"Sem intervalo para limpeza | ",""),"")&amp;IF(AND($J30&gt;0,SUMPRODUCT((Mapa_Sala=$B30)*(Mapa_Data=$A30)*(Mapa_MinOcup&gt;0)*(Mapa_RelIni&lt;$Q30)*(Mapa_RelFim&gt;$P30))&gt;1),"Sobreposição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1">
        <f>IF(NOT(ISNUMBER($C30)),0,ROUND(MOD($C30-Turno_Ini,1)*1440,0))</f>
        <v/>
      </c>
      <c r="Q30" s="11">
        <f>IF($J30&lt;=0,0,$P30+$I30)</f>
        <v/>
      </c>
      <c r="R30" s="11">
        <f>IF($K30="","",$B30&amp;"#"&amp;$A30&amp;"#"&amp;$K30)</f>
        <v/>
      </c>
      <c r="S30" s="11">
        <f>ROW()</f>
        <v/>
      </c>
      <c r="T30" s="11">
        <f>IF($J30&lt;=0,0,MAX(0,MIN($P30+$I30+Limpeza_Min,Turno_Min,IFERROR(INDEX(Mapa_RelIni,MATCH($B30&amp;"#"&amp;$A30&amp;"#"&amp;($K30+1),Mapa_Chave,0)),Turno_Min))-MIN($P30,Turno_Min)))</f>
        <v/>
      </c>
    </row>
    <row r="31">
      <c r="A31" s="19" t="n"/>
      <c r="B31" s="20" t="n"/>
      <c r="C31" s="21" t="n"/>
      <c r="D31" s="21" t="n"/>
      <c r="E31" s="22" t="n"/>
      <c r="F31" s="22" t="n"/>
      <c r="G31" s="22" t="n"/>
      <c r="H31" s="20" t="n"/>
      <c r="I31" s="12">
        <f>IF(OR($B31="",NOT(ISNUMBER($C31)),NOT(ISNUMBER($D31))),"",ROUND(MOD($D31-$C31,1)*1440,0))</f>
        <v/>
      </c>
      <c r="J31" s="12">
        <f>IF(NOT(ISNUMBER($I31)),0,IF(OR($I31&lt;=0,$H31="Cancelada",$H31="Suspensa"),0,$I31+Limpeza_Min))</f>
        <v/>
      </c>
      <c r="K31" s="12">
        <f>IF($J31&lt;=0,"",SUMPRODUCT((Mapa_Sala=$B31)*(Mapa_Data=$A31)*(Mapa_MinOcup&gt;0)*((Mapa_RelIni&lt;$P31)+((Mapa_RelIni=$P31)*(Mapa_Row&lt;=$S31)))))</f>
        <v/>
      </c>
      <c r="L31" s="23">
        <f>IF($J31&lt;=0,"",MOD(Turno_Ini+($Q31+Limpeza_Min)/1440,1))</f>
        <v/>
      </c>
      <c r="M31" s="12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24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","")&amp;IFERROR(IF(AND($J31&gt;0,$K31&gt;0,COUNTIF(Mapa_Chave,$B31&amp;"#"&amp;$A31&amp;"#"&amp;($K31+1))&gt;0,INDEX(Mapa_RelIni,MATCH($B31&amp;"#"&amp;$A31&amp;"#"&amp;($K31+1),Mapa_Chave,0))-$Q31&lt;Limpeza_Min),"Sem intervalo para limpeza | ",""),"")&amp;IF(AND($J31&gt;0,SUMPRODUCT((Mapa_Sala=$B31)*(Mapa_Data=$A31)*(Mapa_MinOcup&gt;0)*(Mapa_RelIni&lt;$Q31)*(Mapa_RelFim&gt;$P31))&gt;1),"Sobreposição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1">
        <f>IF(NOT(ISNUMBER($C31)),0,ROUND(MOD($C31-Turno_Ini,1)*1440,0))</f>
        <v/>
      </c>
      <c r="Q31" s="11">
        <f>IF($J31&lt;=0,0,$P31+$I31)</f>
        <v/>
      </c>
      <c r="R31" s="11">
        <f>IF($K31="","",$B31&amp;"#"&amp;$A31&amp;"#"&amp;$K31)</f>
        <v/>
      </c>
      <c r="S31" s="11">
        <f>ROW()</f>
        <v/>
      </c>
      <c r="T31" s="11">
        <f>IF($J31&lt;=0,0,MAX(0,MIN($P31+$I31+Limpeza_Min,Turno_Min,IFERROR(INDEX(Mapa_RelIni,MATCH($B31&amp;"#"&amp;$A31&amp;"#"&amp;($K31+1),Mapa_Chave,0)),Turno_Min))-MIN($P31,Turno_Min)))</f>
        <v/>
      </c>
    </row>
    <row r="32">
      <c r="A32" s="19" t="n"/>
      <c r="B32" s="20" t="n"/>
      <c r="C32" s="21" t="n"/>
      <c r="D32" s="21" t="n"/>
      <c r="E32" s="22" t="n"/>
      <c r="F32" s="22" t="n"/>
      <c r="G32" s="22" t="n"/>
      <c r="H32" s="20" t="n"/>
      <c r="I32" s="12">
        <f>IF(OR($B32="",NOT(ISNUMBER($C32)),NOT(ISNUMBER($D32))),"",ROUND(MOD($D32-$C32,1)*1440,0))</f>
        <v/>
      </c>
      <c r="J32" s="12">
        <f>IF(NOT(ISNUMBER($I32)),0,IF(OR($I32&lt;=0,$H32="Cancelada",$H32="Suspensa"),0,$I32+Limpeza_Min))</f>
        <v/>
      </c>
      <c r="K32" s="12">
        <f>IF($J32&lt;=0,"",SUMPRODUCT((Mapa_Sala=$B32)*(Mapa_Data=$A32)*(Mapa_MinOcup&gt;0)*((Mapa_RelIni&lt;$P32)+((Mapa_RelIni=$P32)*(Mapa_Row&lt;=$S32)))))</f>
        <v/>
      </c>
      <c r="L32" s="23">
        <f>IF($J32&lt;=0,"",MOD(Turno_Ini+($Q32+Limpeza_Min)/1440,1))</f>
        <v/>
      </c>
      <c r="M32" s="12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24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","")&amp;IFERROR(IF(AND($J32&gt;0,$K32&gt;0,COUNTIF(Mapa_Chave,$B32&amp;"#"&amp;$A32&amp;"#"&amp;($K32+1))&gt;0,INDEX(Mapa_RelIni,MATCH($B32&amp;"#"&amp;$A32&amp;"#"&amp;($K32+1),Mapa_Chave,0))-$Q32&lt;Limpeza_Min),"Sem intervalo para limpeza | ",""),"")&amp;IF(AND($J32&gt;0,SUMPRODUCT((Mapa_Sala=$B32)*(Mapa_Data=$A32)*(Mapa_MinOcup&gt;0)*(Mapa_RelIni&lt;$Q32)*(Mapa_RelFim&gt;$P32))&gt;1),"Sobreposição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1">
        <f>IF(NOT(ISNUMBER($C32)),0,ROUND(MOD($C32-Turno_Ini,1)*1440,0))</f>
        <v/>
      </c>
      <c r="Q32" s="11">
        <f>IF($J32&lt;=0,0,$P32+$I32)</f>
        <v/>
      </c>
      <c r="R32" s="11">
        <f>IF($K32="","",$B32&amp;"#"&amp;$A32&amp;"#"&amp;$K32)</f>
        <v/>
      </c>
      <c r="S32" s="11">
        <f>ROW()</f>
        <v/>
      </c>
      <c r="T32" s="11">
        <f>IF($J32&lt;=0,0,MAX(0,MIN($P32+$I32+Limpeza_Min,Turno_Min,IFERROR(INDEX(Mapa_RelIni,MATCH($B32&amp;"#"&amp;$A32&amp;"#"&amp;($K32+1),Mapa_Chave,0)),Turno_Min))-MIN($P32,Turno_Min)))</f>
        <v/>
      </c>
    </row>
    <row r="33">
      <c r="A33" s="19" t="n"/>
      <c r="B33" s="20" t="n"/>
      <c r="C33" s="21" t="n"/>
      <c r="D33" s="21" t="n"/>
      <c r="E33" s="22" t="n"/>
      <c r="F33" s="22" t="n"/>
      <c r="G33" s="22" t="n"/>
      <c r="H33" s="20" t="n"/>
      <c r="I33" s="12">
        <f>IF(OR($B33="",NOT(ISNUMBER($C33)),NOT(ISNUMBER($D33))),"",ROUND(MOD($D33-$C33,1)*1440,0))</f>
        <v/>
      </c>
      <c r="J33" s="12">
        <f>IF(NOT(ISNUMBER($I33)),0,IF(OR($I33&lt;=0,$H33="Cancelada",$H33="Suspensa"),0,$I33+Limpeza_Min))</f>
        <v/>
      </c>
      <c r="K33" s="12">
        <f>IF($J33&lt;=0,"",SUMPRODUCT((Mapa_Sala=$B33)*(Mapa_Data=$A33)*(Mapa_MinOcup&gt;0)*((Mapa_RelIni&lt;$P33)+((Mapa_RelIni=$P33)*(Mapa_Row&lt;=$S33)))))</f>
        <v/>
      </c>
      <c r="L33" s="23">
        <f>IF($J33&lt;=0,"",MOD(Turno_Ini+($Q33+Limpeza_Min)/1440,1))</f>
        <v/>
      </c>
      <c r="M33" s="12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24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","")&amp;IFERROR(IF(AND($J33&gt;0,$K33&gt;0,COUNTIF(Mapa_Chave,$B33&amp;"#"&amp;$A33&amp;"#"&amp;($K33+1))&gt;0,INDEX(Mapa_RelIni,MATCH($B33&amp;"#"&amp;$A33&amp;"#"&amp;($K33+1),Mapa_Chave,0))-$Q33&lt;Limpeza_Min),"Sem intervalo para limpeza | ",""),"")&amp;IF(AND($J33&gt;0,SUMPRODUCT((Mapa_Sala=$B33)*(Mapa_Data=$A33)*(Mapa_MinOcup&gt;0)*(Mapa_RelIni&lt;$Q33)*(Mapa_RelFim&gt;$P33))&gt;1),"Sobreposição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1">
        <f>IF(NOT(ISNUMBER($C33)),0,ROUND(MOD($C33-Turno_Ini,1)*1440,0))</f>
        <v/>
      </c>
      <c r="Q33" s="11">
        <f>IF($J33&lt;=0,0,$P33+$I33)</f>
        <v/>
      </c>
      <c r="R33" s="11">
        <f>IF($K33="","",$B33&amp;"#"&amp;$A33&amp;"#"&amp;$K33)</f>
        <v/>
      </c>
      <c r="S33" s="11">
        <f>ROW()</f>
        <v/>
      </c>
      <c r="T33" s="11">
        <f>IF($J33&lt;=0,0,MAX(0,MIN($P33+$I33+Limpeza_Min,Turno_Min,IFERROR(INDEX(Mapa_RelIni,MATCH($B33&amp;"#"&amp;$A33&amp;"#"&amp;($K33+1),Mapa_Chave,0)),Turno_Min))-MIN($P33,Turno_Min)))</f>
        <v/>
      </c>
    </row>
    <row r="34">
      <c r="A34" s="19" t="n"/>
      <c r="B34" s="20" t="n"/>
      <c r="C34" s="21" t="n"/>
      <c r="D34" s="21" t="n"/>
      <c r="E34" s="22" t="n"/>
      <c r="F34" s="22" t="n"/>
      <c r="G34" s="22" t="n"/>
      <c r="H34" s="20" t="n"/>
      <c r="I34" s="12">
        <f>IF(OR($B34="",NOT(ISNUMBER($C34)),NOT(ISNUMBER($D34))),"",ROUND(MOD($D34-$C34,1)*1440,0))</f>
        <v/>
      </c>
      <c r="J34" s="12">
        <f>IF(NOT(ISNUMBER($I34)),0,IF(OR($I34&lt;=0,$H34="Cancelada",$H34="Suspensa"),0,$I34+Limpeza_Min))</f>
        <v/>
      </c>
      <c r="K34" s="12">
        <f>IF($J34&lt;=0,"",SUMPRODUCT((Mapa_Sala=$B34)*(Mapa_Data=$A34)*(Mapa_MinOcup&gt;0)*((Mapa_RelIni&lt;$P34)+((Mapa_RelIni=$P34)*(Mapa_Row&lt;=$S34)))))</f>
        <v/>
      </c>
      <c r="L34" s="23">
        <f>IF($J34&lt;=0,"",MOD(Turno_Ini+($Q34+Limpeza_Min)/1440,1))</f>
        <v/>
      </c>
      <c r="M34" s="12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24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","")&amp;IFERROR(IF(AND($J34&gt;0,$K34&gt;0,COUNTIF(Mapa_Chave,$B34&amp;"#"&amp;$A34&amp;"#"&amp;($K34+1))&gt;0,INDEX(Mapa_RelIni,MATCH($B34&amp;"#"&amp;$A34&amp;"#"&amp;($K34+1),Mapa_Chave,0))-$Q34&lt;Limpeza_Min),"Sem intervalo para limpeza | ",""),"")&amp;IF(AND($J34&gt;0,SUMPRODUCT((Mapa_Sala=$B34)*(Mapa_Data=$A34)*(Mapa_MinOcup&gt;0)*(Mapa_RelIni&lt;$Q34)*(Mapa_RelFim&gt;$P34))&gt;1),"Sobreposição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1">
        <f>IF(NOT(ISNUMBER($C34)),0,ROUND(MOD($C34-Turno_Ini,1)*1440,0))</f>
        <v/>
      </c>
      <c r="Q34" s="11">
        <f>IF($J34&lt;=0,0,$P34+$I34)</f>
        <v/>
      </c>
      <c r="R34" s="11">
        <f>IF($K34="","",$B34&amp;"#"&amp;$A34&amp;"#"&amp;$K34)</f>
        <v/>
      </c>
      <c r="S34" s="11">
        <f>ROW()</f>
        <v/>
      </c>
      <c r="T34" s="11">
        <f>IF($J34&lt;=0,0,MAX(0,MIN($P34+$I34+Limpeza_Min,Turno_Min,IFERROR(INDEX(Mapa_RelIni,MATCH($B34&amp;"#"&amp;$A34&amp;"#"&amp;($K34+1),Mapa_Chave,0)),Turno_Min))-MIN($P34,Turno_Min)))</f>
        <v/>
      </c>
    </row>
    <row r="35">
      <c r="A35" s="19" t="n"/>
      <c r="B35" s="20" t="n"/>
      <c r="C35" s="21" t="n"/>
      <c r="D35" s="21" t="n"/>
      <c r="E35" s="22" t="n"/>
      <c r="F35" s="22" t="n"/>
      <c r="G35" s="22" t="n"/>
      <c r="H35" s="20" t="n"/>
      <c r="I35" s="12">
        <f>IF(OR($B35="",NOT(ISNUMBER($C35)),NOT(ISNUMBER($D35))),"",ROUND(MOD($D35-$C35,1)*1440,0))</f>
        <v/>
      </c>
      <c r="J35" s="12">
        <f>IF(NOT(ISNUMBER($I35)),0,IF(OR($I35&lt;=0,$H35="Cancelada",$H35="Suspensa"),0,$I35+Limpeza_Min))</f>
        <v/>
      </c>
      <c r="K35" s="12">
        <f>IF($J35&lt;=0,"",SUMPRODUCT((Mapa_Sala=$B35)*(Mapa_Data=$A35)*(Mapa_MinOcup&gt;0)*((Mapa_RelIni&lt;$P35)+((Mapa_RelIni=$P35)*(Mapa_Row&lt;=$S35)))))</f>
        <v/>
      </c>
      <c r="L35" s="23">
        <f>IF($J35&lt;=0,"",MOD(Turno_Ini+($Q35+Limpeza_Min)/1440,1))</f>
        <v/>
      </c>
      <c r="M35" s="12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24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","")&amp;IFERROR(IF(AND($J35&gt;0,$K35&gt;0,COUNTIF(Mapa_Chave,$B35&amp;"#"&amp;$A35&amp;"#"&amp;($K35+1))&gt;0,INDEX(Mapa_RelIni,MATCH($B35&amp;"#"&amp;$A35&amp;"#"&amp;($K35+1),Mapa_Chave,0))-$Q35&lt;Limpeza_Min),"Sem intervalo para limpeza | ",""),"")&amp;IF(AND($J35&gt;0,SUMPRODUCT((Mapa_Sala=$B35)*(Mapa_Data=$A35)*(Mapa_MinOcup&gt;0)*(Mapa_RelIni&lt;$Q35)*(Mapa_RelFim&gt;$P35))&gt;1),"Sobreposição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1">
        <f>IF(NOT(ISNUMBER($C35)),0,ROUND(MOD($C35-Turno_Ini,1)*1440,0))</f>
        <v/>
      </c>
      <c r="Q35" s="11">
        <f>IF($J35&lt;=0,0,$P35+$I35)</f>
        <v/>
      </c>
      <c r="R35" s="11">
        <f>IF($K35="","",$B35&amp;"#"&amp;$A35&amp;"#"&amp;$K35)</f>
        <v/>
      </c>
      <c r="S35" s="11">
        <f>ROW()</f>
        <v/>
      </c>
      <c r="T35" s="11">
        <f>IF($J35&lt;=0,0,MAX(0,MIN($P35+$I35+Limpeza_Min,Turno_Min,IFERROR(INDEX(Mapa_RelIni,MATCH($B35&amp;"#"&amp;$A35&amp;"#"&amp;($K35+1),Mapa_Chave,0)),Turno_Min))-MIN($P35,Turno_Min)))</f>
        <v/>
      </c>
    </row>
    <row r="36">
      <c r="A36" s="19" t="n"/>
      <c r="B36" s="20" t="n"/>
      <c r="C36" s="21" t="n"/>
      <c r="D36" s="21" t="n"/>
      <c r="E36" s="22" t="n"/>
      <c r="F36" s="22" t="n"/>
      <c r="G36" s="22" t="n"/>
      <c r="H36" s="20" t="n"/>
      <c r="I36" s="12">
        <f>IF(OR($B36="",NOT(ISNUMBER($C36)),NOT(ISNUMBER($D36))),"",ROUND(MOD($D36-$C36,1)*1440,0))</f>
        <v/>
      </c>
      <c r="J36" s="12">
        <f>IF(NOT(ISNUMBER($I36)),0,IF(OR($I36&lt;=0,$H36="Cancelada",$H36="Suspensa"),0,$I36+Limpeza_Min))</f>
        <v/>
      </c>
      <c r="K36" s="12">
        <f>IF($J36&lt;=0,"",SUMPRODUCT((Mapa_Sala=$B36)*(Mapa_Data=$A36)*(Mapa_MinOcup&gt;0)*((Mapa_RelIni&lt;$P36)+((Mapa_RelIni=$P36)*(Mapa_Row&lt;=$S36)))))</f>
        <v/>
      </c>
      <c r="L36" s="23">
        <f>IF($J36&lt;=0,"",MOD(Turno_Ini+($Q36+Limpeza_Min)/1440,1))</f>
        <v/>
      </c>
      <c r="M36" s="12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24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","")&amp;IFERROR(IF(AND($J36&gt;0,$K36&gt;0,COUNTIF(Mapa_Chave,$B36&amp;"#"&amp;$A36&amp;"#"&amp;($K36+1))&gt;0,INDEX(Mapa_RelIni,MATCH($B36&amp;"#"&amp;$A36&amp;"#"&amp;($K36+1),Mapa_Chave,0))-$Q36&lt;Limpeza_Min),"Sem intervalo para limpeza | ",""),"")&amp;IF(AND($J36&gt;0,SUMPRODUCT((Mapa_Sala=$B36)*(Mapa_Data=$A36)*(Mapa_MinOcup&gt;0)*(Mapa_RelIni&lt;$Q36)*(Mapa_RelFim&gt;$P36))&gt;1),"Sobreposição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1">
        <f>IF(NOT(ISNUMBER($C36)),0,ROUND(MOD($C36-Turno_Ini,1)*1440,0))</f>
        <v/>
      </c>
      <c r="Q36" s="11">
        <f>IF($J36&lt;=0,0,$P36+$I36)</f>
        <v/>
      </c>
      <c r="R36" s="11">
        <f>IF($K36="","",$B36&amp;"#"&amp;$A36&amp;"#"&amp;$K36)</f>
        <v/>
      </c>
      <c r="S36" s="11">
        <f>ROW()</f>
        <v/>
      </c>
      <c r="T36" s="11">
        <f>IF($J36&lt;=0,0,MAX(0,MIN($P36+$I36+Limpeza_Min,Turno_Min,IFERROR(INDEX(Mapa_RelIni,MATCH($B36&amp;"#"&amp;$A36&amp;"#"&amp;($K36+1),Mapa_Chave,0)),Turno_Min))-MIN($P36,Turno_Min)))</f>
        <v/>
      </c>
    </row>
    <row r="37">
      <c r="A37" s="19" t="n"/>
      <c r="B37" s="20" t="n"/>
      <c r="C37" s="21" t="n"/>
      <c r="D37" s="21" t="n"/>
      <c r="E37" s="22" t="n"/>
      <c r="F37" s="22" t="n"/>
      <c r="G37" s="22" t="n"/>
      <c r="H37" s="20" t="n"/>
      <c r="I37" s="12">
        <f>IF(OR($B37="",NOT(ISNUMBER($C37)),NOT(ISNUMBER($D37))),"",ROUND(MOD($D37-$C37,1)*1440,0))</f>
        <v/>
      </c>
      <c r="J37" s="12">
        <f>IF(NOT(ISNUMBER($I37)),0,IF(OR($I37&lt;=0,$H37="Cancelada",$H37="Suspensa"),0,$I37+Limpeza_Min))</f>
        <v/>
      </c>
      <c r="K37" s="12">
        <f>IF($J37&lt;=0,"",SUMPRODUCT((Mapa_Sala=$B37)*(Mapa_Data=$A37)*(Mapa_MinOcup&gt;0)*((Mapa_RelIni&lt;$P37)+((Mapa_RelIni=$P37)*(Mapa_Row&lt;=$S37)))))</f>
        <v/>
      </c>
      <c r="L37" s="23">
        <f>IF($J37&lt;=0,"",MOD(Turno_Ini+($Q37+Limpeza_Min)/1440,1))</f>
        <v/>
      </c>
      <c r="M37" s="12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24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","")&amp;IFERROR(IF(AND($J37&gt;0,$K37&gt;0,COUNTIF(Mapa_Chave,$B37&amp;"#"&amp;$A37&amp;"#"&amp;($K37+1))&gt;0,INDEX(Mapa_RelIni,MATCH($B37&amp;"#"&amp;$A37&amp;"#"&amp;($K37+1),Mapa_Chave,0))-$Q37&lt;Limpeza_Min),"Sem intervalo para limpeza | ",""),"")&amp;IF(AND($J37&gt;0,SUMPRODUCT((Mapa_Sala=$B37)*(Mapa_Data=$A37)*(Mapa_MinOcup&gt;0)*(Mapa_RelIni&lt;$Q37)*(Mapa_RelFim&gt;$P37))&gt;1),"Sobreposição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1">
        <f>IF(NOT(ISNUMBER($C37)),0,ROUND(MOD($C37-Turno_Ini,1)*1440,0))</f>
        <v/>
      </c>
      <c r="Q37" s="11">
        <f>IF($J37&lt;=0,0,$P37+$I37)</f>
        <v/>
      </c>
      <c r="R37" s="11">
        <f>IF($K37="","",$B37&amp;"#"&amp;$A37&amp;"#"&amp;$K37)</f>
        <v/>
      </c>
      <c r="S37" s="11">
        <f>ROW()</f>
        <v/>
      </c>
      <c r="T37" s="11">
        <f>IF($J37&lt;=0,0,MAX(0,MIN($P37+$I37+Limpeza_Min,Turno_Min,IFERROR(INDEX(Mapa_RelIni,MATCH($B37&amp;"#"&amp;$A37&amp;"#"&amp;($K37+1),Mapa_Chave,0)),Turno_Min))-MIN($P37,Turno_Min)))</f>
        <v/>
      </c>
    </row>
    <row r="38">
      <c r="A38" s="19" t="n"/>
      <c r="B38" s="20" t="n"/>
      <c r="C38" s="21" t="n"/>
      <c r="D38" s="21" t="n"/>
      <c r="E38" s="22" t="n"/>
      <c r="F38" s="22" t="n"/>
      <c r="G38" s="22" t="n"/>
      <c r="H38" s="20" t="n"/>
      <c r="I38" s="12">
        <f>IF(OR($B38="",NOT(ISNUMBER($C38)),NOT(ISNUMBER($D38))),"",ROUND(MOD($D38-$C38,1)*1440,0))</f>
        <v/>
      </c>
      <c r="J38" s="12">
        <f>IF(NOT(ISNUMBER($I38)),0,IF(OR($I38&lt;=0,$H38="Cancelada",$H38="Suspensa"),0,$I38+Limpeza_Min))</f>
        <v/>
      </c>
      <c r="K38" s="12">
        <f>IF($J38&lt;=0,"",SUMPRODUCT((Mapa_Sala=$B38)*(Mapa_Data=$A38)*(Mapa_MinOcup&gt;0)*((Mapa_RelIni&lt;$P38)+((Mapa_RelIni=$P38)*(Mapa_Row&lt;=$S38)))))</f>
        <v/>
      </c>
      <c r="L38" s="23">
        <f>IF($J38&lt;=0,"",MOD(Turno_Ini+($Q38+Limpeza_Min)/1440,1))</f>
        <v/>
      </c>
      <c r="M38" s="12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24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","")&amp;IFERROR(IF(AND($J38&gt;0,$K38&gt;0,COUNTIF(Mapa_Chave,$B38&amp;"#"&amp;$A38&amp;"#"&amp;($K38+1))&gt;0,INDEX(Mapa_RelIni,MATCH($B38&amp;"#"&amp;$A38&amp;"#"&amp;($K38+1),Mapa_Chave,0))-$Q38&lt;Limpeza_Min),"Sem intervalo para limpeza | ",""),"")&amp;IF(AND($J38&gt;0,SUMPRODUCT((Mapa_Sala=$B38)*(Mapa_Data=$A38)*(Mapa_MinOcup&gt;0)*(Mapa_RelIni&lt;$Q38)*(Mapa_RelFim&gt;$P38))&gt;1),"Sobreposição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1">
        <f>IF(NOT(ISNUMBER($C38)),0,ROUND(MOD($C38-Turno_Ini,1)*1440,0))</f>
        <v/>
      </c>
      <c r="Q38" s="11">
        <f>IF($J38&lt;=0,0,$P38+$I38)</f>
        <v/>
      </c>
      <c r="R38" s="11">
        <f>IF($K38="","",$B38&amp;"#"&amp;$A38&amp;"#"&amp;$K38)</f>
        <v/>
      </c>
      <c r="S38" s="11">
        <f>ROW()</f>
        <v/>
      </c>
      <c r="T38" s="11">
        <f>IF($J38&lt;=0,0,MAX(0,MIN($P38+$I38+Limpeza_Min,Turno_Min,IFERROR(INDEX(Mapa_RelIni,MATCH($B38&amp;"#"&amp;$A38&amp;"#"&amp;($K38+1),Mapa_Chave,0)),Turno_Min))-MIN($P38,Turno_Min)))</f>
        <v/>
      </c>
    </row>
    <row r="39">
      <c r="A39" s="19" t="n"/>
      <c r="B39" s="20" t="n"/>
      <c r="C39" s="21" t="n"/>
      <c r="D39" s="21" t="n"/>
      <c r="E39" s="22" t="n"/>
      <c r="F39" s="22" t="n"/>
      <c r="G39" s="22" t="n"/>
      <c r="H39" s="20" t="n"/>
      <c r="I39" s="12">
        <f>IF(OR($B39="",NOT(ISNUMBER($C39)),NOT(ISNUMBER($D39))),"",ROUND(MOD($D39-$C39,1)*1440,0))</f>
        <v/>
      </c>
      <c r="J39" s="12">
        <f>IF(NOT(ISNUMBER($I39)),0,IF(OR($I39&lt;=0,$H39="Cancelada",$H39="Suspensa"),0,$I39+Limpeza_Min))</f>
        <v/>
      </c>
      <c r="K39" s="12">
        <f>IF($J39&lt;=0,"",SUMPRODUCT((Mapa_Sala=$B39)*(Mapa_Data=$A39)*(Mapa_MinOcup&gt;0)*((Mapa_RelIni&lt;$P39)+((Mapa_RelIni=$P39)*(Mapa_Row&lt;=$S39)))))</f>
        <v/>
      </c>
      <c r="L39" s="23">
        <f>IF($J39&lt;=0,"",MOD(Turno_Ini+($Q39+Limpeza_Min)/1440,1))</f>
        <v/>
      </c>
      <c r="M39" s="12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24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","")&amp;IFERROR(IF(AND($J39&gt;0,$K39&gt;0,COUNTIF(Mapa_Chave,$B39&amp;"#"&amp;$A39&amp;"#"&amp;($K39+1))&gt;0,INDEX(Mapa_RelIni,MATCH($B39&amp;"#"&amp;$A39&amp;"#"&amp;($K39+1),Mapa_Chave,0))-$Q39&lt;Limpeza_Min),"Sem intervalo para limpeza | ",""),"")&amp;IF(AND($J39&gt;0,SUMPRODUCT((Mapa_Sala=$B39)*(Mapa_Data=$A39)*(Mapa_MinOcup&gt;0)*(Mapa_RelIni&lt;$Q39)*(Mapa_RelFim&gt;$P39))&gt;1),"Sobreposição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1">
        <f>IF(NOT(ISNUMBER($C39)),0,ROUND(MOD($C39-Turno_Ini,1)*1440,0))</f>
        <v/>
      </c>
      <c r="Q39" s="11">
        <f>IF($J39&lt;=0,0,$P39+$I39)</f>
        <v/>
      </c>
      <c r="R39" s="11">
        <f>IF($K39="","",$B39&amp;"#"&amp;$A39&amp;"#"&amp;$K39)</f>
        <v/>
      </c>
      <c r="S39" s="11">
        <f>ROW()</f>
        <v/>
      </c>
      <c r="T39" s="11">
        <f>IF($J39&lt;=0,0,MAX(0,MIN($P39+$I39+Limpeza_Min,Turno_Min,IFERROR(INDEX(Mapa_RelIni,MATCH($B39&amp;"#"&amp;$A39&amp;"#"&amp;($K39+1),Mapa_Chave,0)),Turno_Min))-MIN($P39,Turno_Min)))</f>
        <v/>
      </c>
    </row>
    <row r="40">
      <c r="A40" s="19" t="n"/>
      <c r="B40" s="20" t="n"/>
      <c r="C40" s="21" t="n"/>
      <c r="D40" s="21" t="n"/>
      <c r="E40" s="22" t="n"/>
      <c r="F40" s="22" t="n"/>
      <c r="G40" s="22" t="n"/>
      <c r="H40" s="20" t="n"/>
      <c r="I40" s="12">
        <f>IF(OR($B40="",NOT(ISNUMBER($C40)),NOT(ISNUMBER($D40))),"",ROUND(MOD($D40-$C40,1)*1440,0))</f>
        <v/>
      </c>
      <c r="J40" s="12">
        <f>IF(NOT(ISNUMBER($I40)),0,IF(OR($I40&lt;=0,$H40="Cancelada",$H40="Suspensa"),0,$I40+Limpeza_Min))</f>
        <v/>
      </c>
      <c r="K40" s="12">
        <f>IF($J40&lt;=0,"",SUMPRODUCT((Mapa_Sala=$B40)*(Mapa_Data=$A40)*(Mapa_MinOcup&gt;0)*((Mapa_RelIni&lt;$P40)+((Mapa_RelIni=$P40)*(Mapa_Row&lt;=$S40)))))</f>
        <v/>
      </c>
      <c r="L40" s="23">
        <f>IF($J40&lt;=0,"",MOD(Turno_Ini+($Q40+Limpeza_Min)/1440,1))</f>
        <v/>
      </c>
      <c r="M40" s="12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24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","")&amp;IFERROR(IF(AND($J40&gt;0,$K40&gt;0,COUNTIF(Mapa_Chave,$B40&amp;"#"&amp;$A40&amp;"#"&amp;($K40+1))&gt;0,INDEX(Mapa_RelIni,MATCH($B40&amp;"#"&amp;$A40&amp;"#"&amp;($K40+1),Mapa_Chave,0))-$Q40&lt;Limpeza_Min),"Sem intervalo para limpeza | ",""),"")&amp;IF(AND($J40&gt;0,SUMPRODUCT((Mapa_Sala=$B40)*(Mapa_Data=$A40)*(Mapa_MinOcup&gt;0)*(Mapa_RelIni&lt;$Q40)*(Mapa_RelFim&gt;$P40))&gt;1),"Sobreposição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1">
        <f>IF(NOT(ISNUMBER($C40)),0,ROUND(MOD($C40-Turno_Ini,1)*1440,0))</f>
        <v/>
      </c>
      <c r="Q40" s="11">
        <f>IF($J40&lt;=0,0,$P40+$I40)</f>
        <v/>
      </c>
      <c r="R40" s="11">
        <f>IF($K40="","",$B40&amp;"#"&amp;$A40&amp;"#"&amp;$K40)</f>
        <v/>
      </c>
      <c r="S40" s="11">
        <f>ROW()</f>
        <v/>
      </c>
      <c r="T40" s="11">
        <f>IF($J40&lt;=0,0,MAX(0,MIN($P40+$I40+Limpeza_Min,Turno_Min,IFERROR(INDEX(Mapa_RelIni,MATCH($B40&amp;"#"&amp;$A40&amp;"#"&amp;($K40+1),Mapa_Chave,0)),Turno_Min))-MIN($P40,Turno_Min)))</f>
        <v/>
      </c>
    </row>
    <row r="41">
      <c r="A41" s="19" t="n"/>
      <c r="B41" s="20" t="n"/>
      <c r="C41" s="21" t="n"/>
      <c r="D41" s="21" t="n"/>
      <c r="E41" s="22" t="n"/>
      <c r="F41" s="22" t="n"/>
      <c r="G41" s="22" t="n"/>
      <c r="H41" s="20" t="n"/>
      <c r="I41" s="12">
        <f>IF(OR($B41="",NOT(ISNUMBER($C41)),NOT(ISNUMBER($D41))),"",ROUND(MOD($D41-$C41,1)*1440,0))</f>
        <v/>
      </c>
      <c r="J41" s="12">
        <f>IF(NOT(ISNUMBER($I41)),0,IF(OR($I41&lt;=0,$H41="Cancelada",$H41="Suspensa"),0,$I41+Limpeza_Min))</f>
        <v/>
      </c>
      <c r="K41" s="12">
        <f>IF($J41&lt;=0,"",SUMPRODUCT((Mapa_Sala=$B41)*(Mapa_Data=$A41)*(Mapa_MinOcup&gt;0)*((Mapa_RelIni&lt;$P41)+((Mapa_RelIni=$P41)*(Mapa_Row&lt;=$S41)))))</f>
        <v/>
      </c>
      <c r="L41" s="23">
        <f>IF($J41&lt;=0,"",MOD(Turno_Ini+($Q41+Limpeza_Min)/1440,1))</f>
        <v/>
      </c>
      <c r="M41" s="12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24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","")&amp;IFERROR(IF(AND($J41&gt;0,$K41&gt;0,COUNTIF(Mapa_Chave,$B41&amp;"#"&amp;$A41&amp;"#"&amp;($K41+1))&gt;0,INDEX(Mapa_RelIni,MATCH($B41&amp;"#"&amp;$A41&amp;"#"&amp;($K41+1),Mapa_Chave,0))-$Q41&lt;Limpeza_Min),"Sem intervalo para limpeza | ",""),"")&amp;IF(AND($J41&gt;0,SUMPRODUCT((Mapa_Sala=$B41)*(Mapa_Data=$A41)*(Mapa_MinOcup&gt;0)*(Mapa_RelIni&lt;$Q41)*(Mapa_RelFim&gt;$P41))&gt;1),"Sobreposição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1">
        <f>IF(NOT(ISNUMBER($C41)),0,ROUND(MOD($C41-Turno_Ini,1)*1440,0))</f>
        <v/>
      </c>
      <c r="Q41" s="11">
        <f>IF($J41&lt;=0,0,$P41+$I41)</f>
        <v/>
      </c>
      <c r="R41" s="11">
        <f>IF($K41="","",$B41&amp;"#"&amp;$A41&amp;"#"&amp;$K41)</f>
        <v/>
      </c>
      <c r="S41" s="11">
        <f>ROW()</f>
        <v/>
      </c>
      <c r="T41" s="11">
        <f>IF($J41&lt;=0,0,MAX(0,MIN($P41+$I41+Limpeza_Min,Turno_Min,IFERROR(INDEX(Mapa_RelIni,MATCH($B41&amp;"#"&amp;$A41&amp;"#"&amp;($K41+1),Mapa_Chave,0)),Turno_Min))-MIN($P41,Turno_Min)))</f>
        <v/>
      </c>
    </row>
    <row r="42">
      <c r="A42" s="19" t="n"/>
      <c r="B42" s="20" t="n"/>
      <c r="C42" s="21" t="n"/>
      <c r="D42" s="21" t="n"/>
      <c r="E42" s="22" t="n"/>
      <c r="F42" s="22" t="n"/>
      <c r="G42" s="22" t="n"/>
      <c r="H42" s="20" t="n"/>
      <c r="I42" s="12">
        <f>IF(OR($B42="",NOT(ISNUMBER($C42)),NOT(ISNUMBER($D42))),"",ROUND(MOD($D42-$C42,1)*1440,0))</f>
        <v/>
      </c>
      <c r="J42" s="12">
        <f>IF(NOT(ISNUMBER($I42)),0,IF(OR($I42&lt;=0,$H42="Cancelada",$H42="Suspensa"),0,$I42+Limpeza_Min))</f>
        <v/>
      </c>
      <c r="K42" s="12">
        <f>IF($J42&lt;=0,"",SUMPRODUCT((Mapa_Sala=$B42)*(Mapa_Data=$A42)*(Mapa_MinOcup&gt;0)*((Mapa_RelIni&lt;$P42)+((Mapa_RelIni=$P42)*(Mapa_Row&lt;=$S42)))))</f>
        <v/>
      </c>
      <c r="L42" s="23">
        <f>IF($J42&lt;=0,"",MOD(Turno_Ini+($Q42+Limpeza_Min)/1440,1))</f>
        <v/>
      </c>
      <c r="M42" s="12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24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","")&amp;IFERROR(IF(AND($J42&gt;0,$K42&gt;0,COUNTIF(Mapa_Chave,$B42&amp;"#"&amp;$A42&amp;"#"&amp;($K42+1))&gt;0,INDEX(Mapa_RelIni,MATCH($B42&amp;"#"&amp;$A42&amp;"#"&amp;($K42+1),Mapa_Chave,0))-$Q42&lt;Limpeza_Min),"Sem intervalo para limpeza | ",""),"")&amp;IF(AND($J42&gt;0,SUMPRODUCT((Mapa_Sala=$B42)*(Mapa_Data=$A42)*(Mapa_MinOcup&gt;0)*(Mapa_RelIni&lt;$Q42)*(Mapa_RelFim&gt;$P42))&gt;1),"Sobreposição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1">
        <f>IF(NOT(ISNUMBER($C42)),0,ROUND(MOD($C42-Turno_Ini,1)*1440,0))</f>
        <v/>
      </c>
      <c r="Q42" s="11">
        <f>IF($J42&lt;=0,0,$P42+$I42)</f>
        <v/>
      </c>
      <c r="R42" s="11">
        <f>IF($K42="","",$B42&amp;"#"&amp;$A42&amp;"#"&amp;$K42)</f>
        <v/>
      </c>
      <c r="S42" s="11">
        <f>ROW()</f>
        <v/>
      </c>
      <c r="T42" s="11">
        <f>IF($J42&lt;=0,0,MAX(0,MIN($P42+$I42+Limpeza_Min,Turno_Min,IFERROR(INDEX(Mapa_RelIni,MATCH($B42&amp;"#"&amp;$A42&amp;"#"&amp;($K42+1),Mapa_Chave,0)),Turno_Min))-MIN($P42,Turno_Min)))</f>
        <v/>
      </c>
    </row>
    <row r="43">
      <c r="A43" s="19" t="n"/>
      <c r="B43" s="20" t="n"/>
      <c r="C43" s="21" t="n"/>
      <c r="D43" s="21" t="n"/>
      <c r="E43" s="22" t="n"/>
      <c r="F43" s="22" t="n"/>
      <c r="G43" s="22" t="n"/>
      <c r="H43" s="20" t="n"/>
      <c r="I43" s="12">
        <f>IF(OR($B43="",NOT(ISNUMBER($C43)),NOT(ISNUMBER($D43))),"",ROUND(MOD($D43-$C43,1)*1440,0))</f>
        <v/>
      </c>
      <c r="J43" s="12">
        <f>IF(NOT(ISNUMBER($I43)),0,IF(OR($I43&lt;=0,$H43="Cancelada",$H43="Suspensa"),0,$I43+Limpeza_Min))</f>
        <v/>
      </c>
      <c r="K43" s="12">
        <f>IF($J43&lt;=0,"",SUMPRODUCT((Mapa_Sala=$B43)*(Mapa_Data=$A43)*(Mapa_MinOcup&gt;0)*((Mapa_RelIni&lt;$P43)+((Mapa_RelIni=$P43)*(Mapa_Row&lt;=$S43)))))</f>
        <v/>
      </c>
      <c r="L43" s="23">
        <f>IF($J43&lt;=0,"",MOD(Turno_Ini+($Q43+Limpeza_Min)/1440,1))</f>
        <v/>
      </c>
      <c r="M43" s="12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24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","")&amp;IFERROR(IF(AND($J43&gt;0,$K43&gt;0,COUNTIF(Mapa_Chave,$B43&amp;"#"&amp;$A43&amp;"#"&amp;($K43+1))&gt;0,INDEX(Mapa_RelIni,MATCH($B43&amp;"#"&amp;$A43&amp;"#"&amp;($K43+1),Mapa_Chave,0))-$Q43&lt;Limpeza_Min),"Sem intervalo para limpeza | ",""),"")&amp;IF(AND($J43&gt;0,SUMPRODUCT((Mapa_Sala=$B43)*(Mapa_Data=$A43)*(Mapa_MinOcup&gt;0)*(Mapa_RelIni&lt;$Q43)*(Mapa_RelFim&gt;$P43))&gt;1),"Sobreposição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1">
        <f>IF(NOT(ISNUMBER($C43)),0,ROUND(MOD($C43-Turno_Ini,1)*1440,0))</f>
        <v/>
      </c>
      <c r="Q43" s="11">
        <f>IF($J43&lt;=0,0,$P43+$I43)</f>
        <v/>
      </c>
      <c r="R43" s="11">
        <f>IF($K43="","",$B43&amp;"#"&amp;$A43&amp;"#"&amp;$K43)</f>
        <v/>
      </c>
      <c r="S43" s="11">
        <f>ROW()</f>
        <v/>
      </c>
      <c r="T43" s="11">
        <f>IF($J43&lt;=0,0,MAX(0,MIN($P43+$I43+Limpeza_Min,Turno_Min,IFERROR(INDEX(Mapa_RelIni,MATCH($B43&amp;"#"&amp;$A43&amp;"#"&amp;($K43+1),Mapa_Chave,0)),Turno_Min))-MIN($P43,Turno_Min)))</f>
        <v/>
      </c>
    </row>
    <row r="44">
      <c r="A44" s="19" t="n"/>
      <c r="B44" s="20" t="n"/>
      <c r="C44" s="21" t="n"/>
      <c r="D44" s="21" t="n"/>
      <c r="E44" s="22" t="n"/>
      <c r="F44" s="22" t="n"/>
      <c r="G44" s="22" t="n"/>
      <c r="H44" s="20" t="n"/>
      <c r="I44" s="12">
        <f>IF(OR($B44="",NOT(ISNUMBER($C44)),NOT(ISNUMBER($D44))),"",ROUND(MOD($D44-$C44,1)*1440,0))</f>
        <v/>
      </c>
      <c r="J44" s="12">
        <f>IF(NOT(ISNUMBER($I44)),0,IF(OR($I44&lt;=0,$H44="Cancelada",$H44="Suspensa"),0,$I44+Limpeza_Min))</f>
        <v/>
      </c>
      <c r="K44" s="12">
        <f>IF($J44&lt;=0,"",SUMPRODUCT((Mapa_Sala=$B44)*(Mapa_Data=$A44)*(Mapa_MinOcup&gt;0)*((Mapa_RelIni&lt;$P44)+((Mapa_RelIni=$P44)*(Mapa_Row&lt;=$S44)))))</f>
        <v/>
      </c>
      <c r="L44" s="23">
        <f>IF($J44&lt;=0,"",MOD(Turno_Ini+($Q44+Limpeza_Min)/1440,1))</f>
        <v/>
      </c>
      <c r="M44" s="12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24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","")&amp;IFERROR(IF(AND($J44&gt;0,$K44&gt;0,COUNTIF(Mapa_Chave,$B44&amp;"#"&amp;$A44&amp;"#"&amp;($K44+1))&gt;0,INDEX(Mapa_RelIni,MATCH($B44&amp;"#"&amp;$A44&amp;"#"&amp;($K44+1),Mapa_Chave,0))-$Q44&lt;Limpeza_Min),"Sem intervalo para limpeza | ",""),"")&amp;IF(AND($J44&gt;0,SUMPRODUCT((Mapa_Sala=$B44)*(Mapa_Data=$A44)*(Mapa_MinOcup&gt;0)*(Mapa_RelIni&lt;$Q44)*(Mapa_RelFim&gt;$P44))&gt;1),"Sobreposição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1">
        <f>IF(NOT(ISNUMBER($C44)),0,ROUND(MOD($C44-Turno_Ini,1)*1440,0))</f>
        <v/>
      </c>
      <c r="Q44" s="11">
        <f>IF($J44&lt;=0,0,$P44+$I44)</f>
        <v/>
      </c>
      <c r="R44" s="11">
        <f>IF($K44="","",$B44&amp;"#"&amp;$A44&amp;"#"&amp;$K44)</f>
        <v/>
      </c>
      <c r="S44" s="11">
        <f>ROW()</f>
        <v/>
      </c>
      <c r="T44" s="11">
        <f>IF($J44&lt;=0,0,MAX(0,MIN($P44+$I44+Limpeza_Min,Turno_Min,IFERROR(INDEX(Mapa_RelIni,MATCH($B44&amp;"#"&amp;$A44&amp;"#"&amp;($K44+1),Mapa_Chave,0)),Turno_Min))-MIN($P44,Turno_Min)))</f>
        <v/>
      </c>
    </row>
    <row r="45">
      <c r="A45" s="19" t="n"/>
      <c r="B45" s="20" t="n"/>
      <c r="C45" s="21" t="n"/>
      <c r="D45" s="21" t="n"/>
      <c r="E45" s="22" t="n"/>
      <c r="F45" s="22" t="n"/>
      <c r="G45" s="22" t="n"/>
      <c r="H45" s="20" t="n"/>
      <c r="I45" s="12">
        <f>IF(OR($B45="",NOT(ISNUMBER($C45)),NOT(ISNUMBER($D45))),"",ROUND(MOD($D45-$C45,1)*1440,0))</f>
        <v/>
      </c>
      <c r="J45" s="12">
        <f>IF(NOT(ISNUMBER($I45)),0,IF(OR($I45&lt;=0,$H45="Cancelada",$H45="Suspensa"),0,$I45+Limpeza_Min))</f>
        <v/>
      </c>
      <c r="K45" s="12">
        <f>IF($J45&lt;=0,"",SUMPRODUCT((Mapa_Sala=$B45)*(Mapa_Data=$A45)*(Mapa_MinOcup&gt;0)*((Mapa_RelIni&lt;$P45)+((Mapa_RelIni=$P45)*(Mapa_Row&lt;=$S45)))))</f>
        <v/>
      </c>
      <c r="L45" s="23">
        <f>IF($J45&lt;=0,"",MOD(Turno_Ini+($Q45+Limpeza_Min)/1440,1))</f>
        <v/>
      </c>
      <c r="M45" s="12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24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","")&amp;IFERROR(IF(AND($J45&gt;0,$K45&gt;0,COUNTIF(Mapa_Chave,$B45&amp;"#"&amp;$A45&amp;"#"&amp;($K45+1))&gt;0,INDEX(Mapa_RelIni,MATCH($B45&amp;"#"&amp;$A45&amp;"#"&amp;($K45+1),Mapa_Chave,0))-$Q45&lt;Limpeza_Min),"Sem intervalo para limpeza | ",""),"")&amp;IF(AND($J45&gt;0,SUMPRODUCT((Mapa_Sala=$B45)*(Mapa_Data=$A45)*(Mapa_MinOcup&gt;0)*(Mapa_RelIni&lt;$Q45)*(Mapa_RelFim&gt;$P45))&gt;1),"Sobreposição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1">
        <f>IF(NOT(ISNUMBER($C45)),0,ROUND(MOD($C45-Turno_Ini,1)*1440,0))</f>
        <v/>
      </c>
      <c r="Q45" s="11">
        <f>IF($J45&lt;=0,0,$P45+$I45)</f>
        <v/>
      </c>
      <c r="R45" s="11">
        <f>IF($K45="","",$B45&amp;"#"&amp;$A45&amp;"#"&amp;$K45)</f>
        <v/>
      </c>
      <c r="S45" s="11">
        <f>ROW()</f>
        <v/>
      </c>
      <c r="T45" s="11">
        <f>IF($J45&lt;=0,0,MAX(0,MIN($P45+$I45+Limpeza_Min,Turno_Min,IFERROR(INDEX(Mapa_RelIni,MATCH($B45&amp;"#"&amp;$A45&amp;"#"&amp;($K45+1),Mapa_Chave,0)),Turno_Min))-MIN($P45,Turno_Min)))</f>
        <v/>
      </c>
    </row>
    <row r="46">
      <c r="A46" s="19" t="n"/>
      <c r="B46" s="20" t="n"/>
      <c r="C46" s="21" t="n"/>
      <c r="D46" s="21" t="n"/>
      <c r="E46" s="22" t="n"/>
      <c r="F46" s="22" t="n"/>
      <c r="G46" s="22" t="n"/>
      <c r="H46" s="20" t="n"/>
      <c r="I46" s="12">
        <f>IF(OR($B46="",NOT(ISNUMBER($C46)),NOT(ISNUMBER($D46))),"",ROUND(MOD($D46-$C46,1)*1440,0))</f>
        <v/>
      </c>
      <c r="J46" s="12">
        <f>IF(NOT(ISNUMBER($I46)),0,IF(OR($I46&lt;=0,$H46="Cancelada",$H46="Suspensa"),0,$I46+Limpeza_Min))</f>
        <v/>
      </c>
      <c r="K46" s="12">
        <f>IF($J46&lt;=0,"",SUMPRODUCT((Mapa_Sala=$B46)*(Mapa_Data=$A46)*(Mapa_MinOcup&gt;0)*((Mapa_RelIni&lt;$P46)+((Mapa_RelIni=$P46)*(Mapa_Row&lt;=$S46)))))</f>
        <v/>
      </c>
      <c r="L46" s="23">
        <f>IF($J46&lt;=0,"",MOD(Turno_Ini+($Q46+Limpeza_Min)/1440,1))</f>
        <v/>
      </c>
      <c r="M46" s="12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24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","")&amp;IFERROR(IF(AND($J46&gt;0,$K46&gt;0,COUNTIF(Mapa_Chave,$B46&amp;"#"&amp;$A46&amp;"#"&amp;($K46+1))&gt;0,INDEX(Mapa_RelIni,MATCH($B46&amp;"#"&amp;$A46&amp;"#"&amp;($K46+1),Mapa_Chave,0))-$Q46&lt;Limpeza_Min),"Sem intervalo para limpeza | ",""),"")&amp;IF(AND($J46&gt;0,SUMPRODUCT((Mapa_Sala=$B46)*(Mapa_Data=$A46)*(Mapa_MinOcup&gt;0)*(Mapa_RelIni&lt;$Q46)*(Mapa_RelFim&gt;$P46))&gt;1),"Sobreposição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1">
        <f>IF(NOT(ISNUMBER($C46)),0,ROUND(MOD($C46-Turno_Ini,1)*1440,0))</f>
        <v/>
      </c>
      <c r="Q46" s="11">
        <f>IF($J46&lt;=0,0,$P46+$I46)</f>
        <v/>
      </c>
      <c r="R46" s="11">
        <f>IF($K46="","",$B46&amp;"#"&amp;$A46&amp;"#"&amp;$K46)</f>
        <v/>
      </c>
      <c r="S46" s="11">
        <f>ROW()</f>
        <v/>
      </c>
      <c r="T46" s="11">
        <f>IF($J46&lt;=0,0,MAX(0,MIN($P46+$I46+Limpeza_Min,Turno_Min,IFERROR(INDEX(Mapa_RelIni,MATCH($B46&amp;"#"&amp;$A46&amp;"#"&amp;($K46+1),Mapa_Chave,0)),Turno_Min))-MIN($P46,Turno_Min)))</f>
        <v/>
      </c>
    </row>
    <row r="47">
      <c r="A47" s="19" t="n"/>
      <c r="B47" s="20" t="n"/>
      <c r="C47" s="21" t="n"/>
      <c r="D47" s="21" t="n"/>
      <c r="E47" s="22" t="n"/>
      <c r="F47" s="22" t="n"/>
      <c r="G47" s="22" t="n"/>
      <c r="H47" s="20" t="n"/>
      <c r="I47" s="12">
        <f>IF(OR($B47="",NOT(ISNUMBER($C47)),NOT(ISNUMBER($D47))),"",ROUND(MOD($D47-$C47,1)*1440,0))</f>
        <v/>
      </c>
      <c r="J47" s="12">
        <f>IF(NOT(ISNUMBER($I47)),0,IF(OR($I47&lt;=0,$H47="Cancelada",$H47="Suspensa"),0,$I47+Limpeza_Min))</f>
        <v/>
      </c>
      <c r="K47" s="12">
        <f>IF($J47&lt;=0,"",SUMPRODUCT((Mapa_Sala=$B47)*(Mapa_Data=$A47)*(Mapa_MinOcup&gt;0)*((Mapa_RelIni&lt;$P47)+((Mapa_RelIni=$P47)*(Mapa_Row&lt;=$S47)))))</f>
        <v/>
      </c>
      <c r="L47" s="23">
        <f>IF($J47&lt;=0,"",MOD(Turno_Ini+($Q47+Limpeza_Min)/1440,1))</f>
        <v/>
      </c>
      <c r="M47" s="12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24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","")&amp;IFERROR(IF(AND($J47&gt;0,$K47&gt;0,COUNTIF(Mapa_Chave,$B47&amp;"#"&amp;$A47&amp;"#"&amp;($K47+1))&gt;0,INDEX(Mapa_RelIni,MATCH($B47&amp;"#"&amp;$A47&amp;"#"&amp;($K47+1),Mapa_Chave,0))-$Q47&lt;Limpeza_Min),"Sem intervalo para limpeza | ",""),"")&amp;IF(AND($J47&gt;0,SUMPRODUCT((Mapa_Sala=$B47)*(Mapa_Data=$A47)*(Mapa_MinOcup&gt;0)*(Mapa_RelIni&lt;$Q47)*(Mapa_RelFim&gt;$P47))&gt;1),"Sobreposição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1">
        <f>IF(NOT(ISNUMBER($C47)),0,ROUND(MOD($C47-Turno_Ini,1)*1440,0))</f>
        <v/>
      </c>
      <c r="Q47" s="11">
        <f>IF($J47&lt;=0,0,$P47+$I47)</f>
        <v/>
      </c>
      <c r="R47" s="11">
        <f>IF($K47="","",$B47&amp;"#"&amp;$A47&amp;"#"&amp;$K47)</f>
        <v/>
      </c>
      <c r="S47" s="11">
        <f>ROW()</f>
        <v/>
      </c>
      <c r="T47" s="11">
        <f>IF($J47&lt;=0,0,MAX(0,MIN($P47+$I47+Limpeza_Min,Turno_Min,IFERROR(INDEX(Mapa_RelIni,MATCH($B47&amp;"#"&amp;$A47&amp;"#"&amp;($K47+1),Mapa_Chave,0)),Turno_Min))-MIN($P47,Turno_Min)))</f>
        <v/>
      </c>
    </row>
    <row r="48">
      <c r="A48" s="19" t="n"/>
      <c r="B48" s="20" t="n"/>
      <c r="C48" s="21" t="n"/>
      <c r="D48" s="21" t="n"/>
      <c r="E48" s="22" t="n"/>
      <c r="F48" s="22" t="n"/>
      <c r="G48" s="22" t="n"/>
      <c r="H48" s="20" t="n"/>
      <c r="I48" s="12">
        <f>IF(OR($B48="",NOT(ISNUMBER($C48)),NOT(ISNUMBER($D48))),"",ROUND(MOD($D48-$C48,1)*1440,0))</f>
        <v/>
      </c>
      <c r="J48" s="12">
        <f>IF(NOT(ISNUMBER($I48)),0,IF(OR($I48&lt;=0,$H48="Cancelada",$H48="Suspensa"),0,$I48+Limpeza_Min))</f>
        <v/>
      </c>
      <c r="K48" s="12">
        <f>IF($J48&lt;=0,"",SUMPRODUCT((Mapa_Sala=$B48)*(Mapa_Data=$A48)*(Mapa_MinOcup&gt;0)*((Mapa_RelIni&lt;$P48)+((Mapa_RelIni=$P48)*(Mapa_Row&lt;=$S48)))))</f>
        <v/>
      </c>
      <c r="L48" s="23">
        <f>IF($J48&lt;=0,"",MOD(Turno_Ini+($Q48+Limpeza_Min)/1440,1))</f>
        <v/>
      </c>
      <c r="M48" s="12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24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","")&amp;IFERROR(IF(AND($J48&gt;0,$K48&gt;0,COUNTIF(Mapa_Chave,$B48&amp;"#"&amp;$A48&amp;"#"&amp;($K48+1))&gt;0,INDEX(Mapa_RelIni,MATCH($B48&amp;"#"&amp;$A48&amp;"#"&amp;($K48+1),Mapa_Chave,0))-$Q48&lt;Limpeza_Min),"Sem intervalo para limpeza | ",""),"")&amp;IF(AND($J48&gt;0,SUMPRODUCT((Mapa_Sala=$B48)*(Mapa_Data=$A48)*(Mapa_MinOcup&gt;0)*(Mapa_RelIni&lt;$Q48)*(Mapa_RelFim&gt;$P48))&gt;1),"Sobreposição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1">
        <f>IF(NOT(ISNUMBER($C48)),0,ROUND(MOD($C48-Turno_Ini,1)*1440,0))</f>
        <v/>
      </c>
      <c r="Q48" s="11">
        <f>IF($J48&lt;=0,0,$P48+$I48)</f>
        <v/>
      </c>
      <c r="R48" s="11">
        <f>IF($K48="","",$B48&amp;"#"&amp;$A48&amp;"#"&amp;$K48)</f>
        <v/>
      </c>
      <c r="S48" s="11">
        <f>ROW()</f>
        <v/>
      </c>
      <c r="T48" s="11">
        <f>IF($J48&lt;=0,0,MAX(0,MIN($P48+$I48+Limpeza_Min,Turno_Min,IFERROR(INDEX(Mapa_RelIni,MATCH($B48&amp;"#"&amp;$A48&amp;"#"&amp;($K48+1),Mapa_Chave,0)),Turno_Min))-MIN($P48,Turno_Min)))</f>
        <v/>
      </c>
    </row>
    <row r="49">
      <c r="A49" s="19" t="n"/>
      <c r="B49" s="20" t="n"/>
      <c r="C49" s="21" t="n"/>
      <c r="D49" s="21" t="n"/>
      <c r="E49" s="22" t="n"/>
      <c r="F49" s="22" t="n"/>
      <c r="G49" s="22" t="n"/>
      <c r="H49" s="20" t="n"/>
      <c r="I49" s="12">
        <f>IF(OR($B49="",NOT(ISNUMBER($C49)),NOT(ISNUMBER($D49))),"",ROUND(MOD($D49-$C49,1)*1440,0))</f>
        <v/>
      </c>
      <c r="J49" s="12">
        <f>IF(NOT(ISNUMBER($I49)),0,IF(OR($I49&lt;=0,$H49="Cancelada",$H49="Suspensa"),0,$I49+Limpeza_Min))</f>
        <v/>
      </c>
      <c r="K49" s="12">
        <f>IF($J49&lt;=0,"",SUMPRODUCT((Mapa_Sala=$B49)*(Mapa_Data=$A49)*(Mapa_MinOcup&gt;0)*((Mapa_RelIni&lt;$P49)+((Mapa_RelIni=$P49)*(Mapa_Row&lt;=$S49)))))</f>
        <v/>
      </c>
      <c r="L49" s="23">
        <f>IF($J49&lt;=0,"",MOD(Turno_Ini+($Q49+Limpeza_Min)/1440,1))</f>
        <v/>
      </c>
      <c r="M49" s="12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24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","")&amp;IFERROR(IF(AND($J49&gt;0,$K49&gt;0,COUNTIF(Mapa_Chave,$B49&amp;"#"&amp;$A49&amp;"#"&amp;($K49+1))&gt;0,INDEX(Mapa_RelIni,MATCH($B49&amp;"#"&amp;$A49&amp;"#"&amp;($K49+1),Mapa_Chave,0))-$Q49&lt;Limpeza_Min),"Sem intervalo para limpeza | ",""),"")&amp;IF(AND($J49&gt;0,SUMPRODUCT((Mapa_Sala=$B49)*(Mapa_Data=$A49)*(Mapa_MinOcup&gt;0)*(Mapa_RelIni&lt;$Q49)*(Mapa_RelFim&gt;$P49))&gt;1),"Sobreposição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1">
        <f>IF(NOT(ISNUMBER($C49)),0,ROUND(MOD($C49-Turno_Ini,1)*1440,0))</f>
        <v/>
      </c>
      <c r="Q49" s="11">
        <f>IF($J49&lt;=0,0,$P49+$I49)</f>
        <v/>
      </c>
      <c r="R49" s="11">
        <f>IF($K49="","",$B49&amp;"#"&amp;$A49&amp;"#"&amp;$K49)</f>
        <v/>
      </c>
      <c r="S49" s="11">
        <f>ROW()</f>
        <v/>
      </c>
      <c r="T49" s="11">
        <f>IF($J49&lt;=0,0,MAX(0,MIN($P49+$I49+Limpeza_Min,Turno_Min,IFERROR(INDEX(Mapa_RelIni,MATCH($B49&amp;"#"&amp;$A49&amp;"#"&amp;($K49+1),Mapa_Chave,0)),Turno_Min))-MIN($P49,Turno_Min)))</f>
        <v/>
      </c>
    </row>
    <row r="50">
      <c r="A50" s="19" t="n"/>
      <c r="B50" s="20" t="n"/>
      <c r="C50" s="21" t="n"/>
      <c r="D50" s="21" t="n"/>
      <c r="E50" s="22" t="n"/>
      <c r="F50" s="22" t="n"/>
      <c r="G50" s="22" t="n"/>
      <c r="H50" s="20" t="n"/>
      <c r="I50" s="12">
        <f>IF(OR($B50="",NOT(ISNUMBER($C50)),NOT(ISNUMBER($D50))),"",ROUND(MOD($D50-$C50,1)*1440,0))</f>
        <v/>
      </c>
      <c r="J50" s="12">
        <f>IF(NOT(ISNUMBER($I50)),0,IF(OR($I50&lt;=0,$H50="Cancelada",$H50="Suspensa"),0,$I50+Limpeza_Min))</f>
        <v/>
      </c>
      <c r="K50" s="12">
        <f>IF($J50&lt;=0,"",SUMPRODUCT((Mapa_Sala=$B50)*(Mapa_Data=$A50)*(Mapa_MinOcup&gt;0)*((Mapa_RelIni&lt;$P50)+((Mapa_RelIni=$P50)*(Mapa_Row&lt;=$S50)))))</f>
        <v/>
      </c>
      <c r="L50" s="23">
        <f>IF($J50&lt;=0,"",MOD(Turno_Ini+($Q50+Limpeza_Min)/1440,1))</f>
        <v/>
      </c>
      <c r="M50" s="12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24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","")&amp;IFERROR(IF(AND($J50&gt;0,$K50&gt;0,COUNTIF(Mapa_Chave,$B50&amp;"#"&amp;$A50&amp;"#"&amp;($K50+1))&gt;0,INDEX(Mapa_RelIni,MATCH($B50&amp;"#"&amp;$A50&amp;"#"&amp;($K50+1),Mapa_Chave,0))-$Q50&lt;Limpeza_Min),"Sem intervalo para limpeza | ",""),"")&amp;IF(AND($J50&gt;0,SUMPRODUCT((Mapa_Sala=$B50)*(Mapa_Data=$A50)*(Mapa_MinOcup&gt;0)*(Mapa_RelIni&lt;$Q50)*(Mapa_RelFim&gt;$P50))&gt;1),"Sobreposição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1">
        <f>IF(NOT(ISNUMBER($C50)),0,ROUND(MOD($C50-Turno_Ini,1)*1440,0))</f>
        <v/>
      </c>
      <c r="Q50" s="11">
        <f>IF($J50&lt;=0,0,$P50+$I50)</f>
        <v/>
      </c>
      <c r="R50" s="11">
        <f>IF($K50="","",$B50&amp;"#"&amp;$A50&amp;"#"&amp;$K50)</f>
        <v/>
      </c>
      <c r="S50" s="11">
        <f>ROW()</f>
        <v/>
      </c>
      <c r="T50" s="11">
        <f>IF($J50&lt;=0,0,MAX(0,MIN($P50+$I50+Limpeza_Min,Turno_Min,IFERROR(INDEX(Mapa_RelIni,MATCH($B50&amp;"#"&amp;$A50&amp;"#"&amp;($K50+1),Mapa_Chave,0)),Turno_Min))-MIN($P50,Turno_Min)))</f>
        <v/>
      </c>
    </row>
    <row r="51">
      <c r="A51" s="19" t="n"/>
      <c r="B51" s="20" t="n"/>
      <c r="C51" s="21" t="n"/>
      <c r="D51" s="21" t="n"/>
      <c r="E51" s="22" t="n"/>
      <c r="F51" s="22" t="n"/>
      <c r="G51" s="22" t="n"/>
      <c r="H51" s="20" t="n"/>
      <c r="I51" s="12">
        <f>IF(OR($B51="",NOT(ISNUMBER($C51)),NOT(ISNUMBER($D51))),"",ROUND(MOD($D51-$C51,1)*1440,0))</f>
        <v/>
      </c>
      <c r="J51" s="12">
        <f>IF(NOT(ISNUMBER($I51)),0,IF(OR($I51&lt;=0,$H51="Cancelada",$H51="Suspensa"),0,$I51+Limpeza_Min))</f>
        <v/>
      </c>
      <c r="K51" s="12">
        <f>IF($J51&lt;=0,"",SUMPRODUCT((Mapa_Sala=$B51)*(Mapa_Data=$A51)*(Mapa_MinOcup&gt;0)*((Mapa_RelIni&lt;$P51)+((Mapa_RelIni=$P51)*(Mapa_Row&lt;=$S51)))))</f>
        <v/>
      </c>
      <c r="L51" s="23">
        <f>IF($J51&lt;=0,"",MOD(Turno_Ini+($Q51+Limpeza_Min)/1440,1))</f>
        <v/>
      </c>
      <c r="M51" s="12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24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","")&amp;IFERROR(IF(AND($J51&gt;0,$K51&gt;0,COUNTIF(Mapa_Chave,$B51&amp;"#"&amp;$A51&amp;"#"&amp;($K51+1))&gt;0,INDEX(Mapa_RelIni,MATCH($B51&amp;"#"&amp;$A51&amp;"#"&amp;($K51+1),Mapa_Chave,0))-$Q51&lt;Limpeza_Min),"Sem intervalo para limpeza | ",""),"")&amp;IF(AND($J51&gt;0,SUMPRODUCT((Mapa_Sala=$B51)*(Mapa_Data=$A51)*(Mapa_MinOcup&gt;0)*(Mapa_RelIni&lt;$Q51)*(Mapa_RelFim&gt;$P51))&gt;1),"Sobreposição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1">
        <f>IF(NOT(ISNUMBER($C51)),0,ROUND(MOD($C51-Turno_Ini,1)*1440,0))</f>
        <v/>
      </c>
      <c r="Q51" s="11">
        <f>IF($J51&lt;=0,0,$P51+$I51)</f>
        <v/>
      </c>
      <c r="R51" s="11">
        <f>IF($K51="","",$B51&amp;"#"&amp;$A51&amp;"#"&amp;$K51)</f>
        <v/>
      </c>
      <c r="S51" s="11">
        <f>ROW()</f>
        <v/>
      </c>
      <c r="T51" s="11">
        <f>IF($J51&lt;=0,0,MAX(0,MIN($P51+$I51+Limpeza_Min,Turno_Min,IFERROR(INDEX(Mapa_RelIni,MATCH($B51&amp;"#"&amp;$A51&amp;"#"&amp;($K51+1),Mapa_Chave,0)),Turno_Min))-MIN($P51,Turno_Min)))</f>
        <v/>
      </c>
    </row>
    <row r="52">
      <c r="A52" s="19" t="n"/>
      <c r="B52" s="20" t="n"/>
      <c r="C52" s="21" t="n"/>
      <c r="D52" s="21" t="n"/>
      <c r="E52" s="22" t="n"/>
      <c r="F52" s="22" t="n"/>
      <c r="G52" s="22" t="n"/>
      <c r="H52" s="20" t="n"/>
      <c r="I52" s="12">
        <f>IF(OR($B52="",NOT(ISNUMBER($C52)),NOT(ISNUMBER($D52))),"",ROUND(MOD($D52-$C52,1)*1440,0))</f>
        <v/>
      </c>
      <c r="J52" s="12">
        <f>IF(NOT(ISNUMBER($I52)),0,IF(OR($I52&lt;=0,$H52="Cancelada",$H52="Suspensa"),0,$I52+Limpeza_Min))</f>
        <v/>
      </c>
      <c r="K52" s="12">
        <f>IF($J52&lt;=0,"",SUMPRODUCT((Mapa_Sala=$B52)*(Mapa_Data=$A52)*(Mapa_MinOcup&gt;0)*((Mapa_RelIni&lt;$P52)+((Mapa_RelIni=$P52)*(Mapa_Row&lt;=$S52)))))</f>
        <v/>
      </c>
      <c r="L52" s="23">
        <f>IF($J52&lt;=0,"",MOD(Turno_Ini+($Q52+Limpeza_Min)/1440,1))</f>
        <v/>
      </c>
      <c r="M52" s="12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24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","")&amp;IFERROR(IF(AND($J52&gt;0,$K52&gt;0,COUNTIF(Mapa_Chave,$B52&amp;"#"&amp;$A52&amp;"#"&amp;($K52+1))&gt;0,INDEX(Mapa_RelIni,MATCH($B52&amp;"#"&amp;$A52&amp;"#"&amp;($K52+1),Mapa_Chave,0))-$Q52&lt;Limpeza_Min),"Sem intervalo para limpeza | ",""),"")&amp;IF(AND($J52&gt;0,SUMPRODUCT((Mapa_Sala=$B52)*(Mapa_Data=$A52)*(Mapa_MinOcup&gt;0)*(Mapa_RelIni&lt;$Q52)*(Mapa_RelFim&gt;$P52))&gt;1),"Sobreposição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1">
        <f>IF(NOT(ISNUMBER($C52)),0,ROUND(MOD($C52-Turno_Ini,1)*1440,0))</f>
        <v/>
      </c>
      <c r="Q52" s="11">
        <f>IF($J52&lt;=0,0,$P52+$I52)</f>
        <v/>
      </c>
      <c r="R52" s="11">
        <f>IF($K52="","",$B52&amp;"#"&amp;$A52&amp;"#"&amp;$K52)</f>
        <v/>
      </c>
      <c r="S52" s="11">
        <f>ROW()</f>
        <v/>
      </c>
      <c r="T52" s="11">
        <f>IF($J52&lt;=0,0,MAX(0,MIN($P52+$I52+Limpeza_Min,Turno_Min,IFERROR(INDEX(Mapa_RelIni,MATCH($B52&amp;"#"&amp;$A52&amp;"#"&amp;($K52+1),Mapa_Chave,0)),Turno_Min))-MIN($P52,Turno_Min)))</f>
        <v/>
      </c>
    </row>
    <row r="53">
      <c r="A53" s="19" t="n"/>
      <c r="B53" s="20" t="n"/>
      <c r="C53" s="21" t="n"/>
      <c r="D53" s="21" t="n"/>
      <c r="E53" s="22" t="n"/>
      <c r="F53" s="22" t="n"/>
      <c r="G53" s="22" t="n"/>
      <c r="H53" s="20" t="n"/>
      <c r="I53" s="12">
        <f>IF(OR($B53="",NOT(ISNUMBER($C53)),NOT(ISNUMBER($D53))),"",ROUND(MOD($D53-$C53,1)*1440,0))</f>
        <v/>
      </c>
      <c r="J53" s="12">
        <f>IF(NOT(ISNUMBER($I53)),0,IF(OR($I53&lt;=0,$H53="Cancelada",$H53="Suspensa"),0,$I53+Limpeza_Min))</f>
        <v/>
      </c>
      <c r="K53" s="12">
        <f>IF($J53&lt;=0,"",SUMPRODUCT((Mapa_Sala=$B53)*(Mapa_Data=$A53)*(Mapa_MinOcup&gt;0)*((Mapa_RelIni&lt;$P53)+((Mapa_RelIni=$P53)*(Mapa_Row&lt;=$S53)))))</f>
        <v/>
      </c>
      <c r="L53" s="23">
        <f>IF($J53&lt;=0,"",MOD(Turno_Ini+($Q53+Limpeza_Min)/1440,1))</f>
        <v/>
      </c>
      <c r="M53" s="12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24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","")&amp;IFERROR(IF(AND($J53&gt;0,$K53&gt;0,COUNTIF(Mapa_Chave,$B53&amp;"#"&amp;$A53&amp;"#"&amp;($K53+1))&gt;0,INDEX(Mapa_RelIni,MATCH($B53&amp;"#"&amp;$A53&amp;"#"&amp;($K53+1),Mapa_Chave,0))-$Q53&lt;Limpeza_Min),"Sem intervalo para limpeza | ",""),"")&amp;IF(AND($J53&gt;0,SUMPRODUCT((Mapa_Sala=$B53)*(Mapa_Data=$A53)*(Mapa_MinOcup&gt;0)*(Mapa_RelIni&lt;$Q53)*(Mapa_RelFim&gt;$P53))&gt;1),"Sobreposição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1">
        <f>IF(NOT(ISNUMBER($C53)),0,ROUND(MOD($C53-Turno_Ini,1)*1440,0))</f>
        <v/>
      </c>
      <c r="Q53" s="11">
        <f>IF($J53&lt;=0,0,$P53+$I53)</f>
        <v/>
      </c>
      <c r="R53" s="11">
        <f>IF($K53="","",$B53&amp;"#"&amp;$A53&amp;"#"&amp;$K53)</f>
        <v/>
      </c>
      <c r="S53" s="11">
        <f>ROW()</f>
        <v/>
      </c>
      <c r="T53" s="11">
        <f>IF($J53&lt;=0,0,MAX(0,MIN($P53+$I53+Limpeza_Min,Turno_Min,IFERROR(INDEX(Mapa_RelIni,MATCH($B53&amp;"#"&amp;$A53&amp;"#"&amp;($K53+1),Mapa_Chave,0)),Turno_Min))-MIN($P53,Turno_Min)))</f>
        <v/>
      </c>
    </row>
    <row r="54">
      <c r="A54" s="19" t="n"/>
      <c r="B54" s="20" t="n"/>
      <c r="C54" s="21" t="n"/>
      <c r="D54" s="21" t="n"/>
      <c r="E54" s="22" t="n"/>
      <c r="F54" s="22" t="n"/>
      <c r="G54" s="22" t="n"/>
      <c r="H54" s="20" t="n"/>
      <c r="I54" s="12">
        <f>IF(OR($B54="",NOT(ISNUMBER($C54)),NOT(ISNUMBER($D54))),"",ROUND(MOD($D54-$C54,1)*1440,0))</f>
        <v/>
      </c>
      <c r="J54" s="12">
        <f>IF(NOT(ISNUMBER($I54)),0,IF(OR($I54&lt;=0,$H54="Cancelada",$H54="Suspensa"),0,$I54+Limpeza_Min))</f>
        <v/>
      </c>
      <c r="K54" s="12">
        <f>IF($J54&lt;=0,"",SUMPRODUCT((Mapa_Sala=$B54)*(Mapa_Data=$A54)*(Mapa_MinOcup&gt;0)*((Mapa_RelIni&lt;$P54)+((Mapa_RelIni=$P54)*(Mapa_Row&lt;=$S54)))))</f>
        <v/>
      </c>
      <c r="L54" s="23">
        <f>IF($J54&lt;=0,"",MOD(Turno_Ini+($Q54+Limpeza_Min)/1440,1))</f>
        <v/>
      </c>
      <c r="M54" s="12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24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","")&amp;IFERROR(IF(AND($J54&gt;0,$K54&gt;0,COUNTIF(Mapa_Chave,$B54&amp;"#"&amp;$A54&amp;"#"&amp;($K54+1))&gt;0,INDEX(Mapa_RelIni,MATCH($B54&amp;"#"&amp;$A54&amp;"#"&amp;($K54+1),Mapa_Chave,0))-$Q54&lt;Limpeza_Min),"Sem intervalo para limpeza | ",""),"")&amp;IF(AND($J54&gt;0,SUMPRODUCT((Mapa_Sala=$B54)*(Mapa_Data=$A54)*(Mapa_MinOcup&gt;0)*(Mapa_RelIni&lt;$Q54)*(Mapa_RelFim&gt;$P54))&gt;1),"Sobreposição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1">
        <f>IF(NOT(ISNUMBER($C54)),0,ROUND(MOD($C54-Turno_Ini,1)*1440,0))</f>
        <v/>
      </c>
      <c r="Q54" s="11">
        <f>IF($J54&lt;=0,0,$P54+$I54)</f>
        <v/>
      </c>
      <c r="R54" s="11">
        <f>IF($K54="","",$B54&amp;"#"&amp;$A54&amp;"#"&amp;$K54)</f>
        <v/>
      </c>
      <c r="S54" s="11">
        <f>ROW()</f>
        <v/>
      </c>
      <c r="T54" s="11">
        <f>IF($J54&lt;=0,0,MAX(0,MIN($P54+$I54+Limpeza_Min,Turno_Min,IFERROR(INDEX(Mapa_RelIni,MATCH($B54&amp;"#"&amp;$A54&amp;"#"&amp;($K54+1),Mapa_Chave,0)),Turno_Min))-MIN($P54,Turno_Min)))</f>
        <v/>
      </c>
    </row>
    <row r="55">
      <c r="A55" s="19" t="n"/>
      <c r="B55" s="20" t="n"/>
      <c r="C55" s="21" t="n"/>
      <c r="D55" s="21" t="n"/>
      <c r="E55" s="22" t="n"/>
      <c r="F55" s="22" t="n"/>
      <c r="G55" s="22" t="n"/>
      <c r="H55" s="20" t="n"/>
      <c r="I55" s="12">
        <f>IF(OR($B55="",NOT(ISNUMBER($C55)),NOT(ISNUMBER($D55))),"",ROUND(MOD($D55-$C55,1)*1440,0))</f>
        <v/>
      </c>
      <c r="J55" s="12">
        <f>IF(NOT(ISNUMBER($I55)),0,IF(OR($I55&lt;=0,$H55="Cancelada",$H55="Suspensa"),0,$I55+Limpeza_Min))</f>
        <v/>
      </c>
      <c r="K55" s="12">
        <f>IF($J55&lt;=0,"",SUMPRODUCT((Mapa_Sala=$B55)*(Mapa_Data=$A55)*(Mapa_MinOcup&gt;0)*((Mapa_RelIni&lt;$P55)+((Mapa_RelIni=$P55)*(Mapa_Row&lt;=$S55)))))</f>
        <v/>
      </c>
      <c r="L55" s="23">
        <f>IF($J55&lt;=0,"",MOD(Turno_Ini+($Q55+Limpeza_Min)/1440,1))</f>
        <v/>
      </c>
      <c r="M55" s="12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24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","")&amp;IFERROR(IF(AND($J55&gt;0,$K55&gt;0,COUNTIF(Mapa_Chave,$B55&amp;"#"&amp;$A55&amp;"#"&amp;($K55+1))&gt;0,INDEX(Mapa_RelIni,MATCH($B55&amp;"#"&amp;$A55&amp;"#"&amp;($K55+1),Mapa_Chave,0))-$Q55&lt;Limpeza_Min),"Sem intervalo para limpeza | ",""),"")&amp;IF(AND($J55&gt;0,SUMPRODUCT((Mapa_Sala=$B55)*(Mapa_Data=$A55)*(Mapa_MinOcup&gt;0)*(Mapa_RelIni&lt;$Q55)*(Mapa_RelFim&gt;$P55))&gt;1),"Sobreposição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1">
        <f>IF(NOT(ISNUMBER($C55)),0,ROUND(MOD($C55-Turno_Ini,1)*1440,0))</f>
        <v/>
      </c>
      <c r="Q55" s="11">
        <f>IF($J55&lt;=0,0,$P55+$I55)</f>
        <v/>
      </c>
      <c r="R55" s="11">
        <f>IF($K55="","",$B55&amp;"#"&amp;$A55&amp;"#"&amp;$K55)</f>
        <v/>
      </c>
      <c r="S55" s="11">
        <f>ROW()</f>
        <v/>
      </c>
      <c r="T55" s="11">
        <f>IF($J55&lt;=0,0,MAX(0,MIN($P55+$I55+Limpeza_Min,Turno_Min,IFERROR(INDEX(Mapa_RelIni,MATCH($B55&amp;"#"&amp;$A55&amp;"#"&amp;($K55+1),Mapa_Chave,0)),Turno_Min))-MIN($P55,Turno_Min)))</f>
        <v/>
      </c>
    </row>
    <row r="56">
      <c r="A56" s="19" t="n"/>
      <c r="B56" s="20" t="n"/>
      <c r="C56" s="21" t="n"/>
      <c r="D56" s="21" t="n"/>
      <c r="E56" s="22" t="n"/>
      <c r="F56" s="22" t="n"/>
      <c r="G56" s="22" t="n"/>
      <c r="H56" s="20" t="n"/>
      <c r="I56" s="12">
        <f>IF(OR($B56="",NOT(ISNUMBER($C56)),NOT(ISNUMBER($D56))),"",ROUND(MOD($D56-$C56,1)*1440,0))</f>
        <v/>
      </c>
      <c r="J56" s="12">
        <f>IF(NOT(ISNUMBER($I56)),0,IF(OR($I56&lt;=0,$H56="Cancelada",$H56="Suspensa"),0,$I56+Limpeza_Min))</f>
        <v/>
      </c>
      <c r="K56" s="12">
        <f>IF($J56&lt;=0,"",SUMPRODUCT((Mapa_Sala=$B56)*(Mapa_Data=$A56)*(Mapa_MinOcup&gt;0)*((Mapa_RelIni&lt;$P56)+((Mapa_RelIni=$P56)*(Mapa_Row&lt;=$S56)))))</f>
        <v/>
      </c>
      <c r="L56" s="23">
        <f>IF($J56&lt;=0,"",MOD(Turno_Ini+($Q56+Limpeza_Min)/1440,1))</f>
        <v/>
      </c>
      <c r="M56" s="12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24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","")&amp;IFERROR(IF(AND($J56&gt;0,$K56&gt;0,COUNTIF(Mapa_Chave,$B56&amp;"#"&amp;$A56&amp;"#"&amp;($K56+1))&gt;0,INDEX(Mapa_RelIni,MATCH($B56&amp;"#"&amp;$A56&amp;"#"&amp;($K56+1),Mapa_Chave,0))-$Q56&lt;Limpeza_Min),"Sem intervalo para limpeza | ",""),"")&amp;IF(AND($J56&gt;0,SUMPRODUCT((Mapa_Sala=$B56)*(Mapa_Data=$A56)*(Mapa_MinOcup&gt;0)*(Mapa_RelIni&lt;$Q56)*(Mapa_RelFim&gt;$P56))&gt;1),"Sobreposição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1">
        <f>IF(NOT(ISNUMBER($C56)),0,ROUND(MOD($C56-Turno_Ini,1)*1440,0))</f>
        <v/>
      </c>
      <c r="Q56" s="11">
        <f>IF($J56&lt;=0,0,$P56+$I56)</f>
        <v/>
      </c>
      <c r="R56" s="11">
        <f>IF($K56="","",$B56&amp;"#"&amp;$A56&amp;"#"&amp;$K56)</f>
        <v/>
      </c>
      <c r="S56" s="11">
        <f>ROW()</f>
        <v/>
      </c>
      <c r="T56" s="11">
        <f>IF($J56&lt;=0,0,MAX(0,MIN($P56+$I56+Limpeza_Min,Turno_Min,IFERROR(INDEX(Mapa_RelIni,MATCH($B56&amp;"#"&amp;$A56&amp;"#"&amp;($K56+1),Mapa_Chave,0)),Turno_Min))-MIN($P56,Turno_Min)))</f>
        <v/>
      </c>
    </row>
    <row r="57">
      <c r="A57" s="19" t="n"/>
      <c r="B57" s="20" t="n"/>
      <c r="C57" s="21" t="n"/>
      <c r="D57" s="21" t="n"/>
      <c r="E57" s="22" t="n"/>
      <c r="F57" s="22" t="n"/>
      <c r="G57" s="22" t="n"/>
      <c r="H57" s="20" t="n"/>
      <c r="I57" s="12">
        <f>IF(OR($B57="",NOT(ISNUMBER($C57)),NOT(ISNUMBER($D57))),"",ROUND(MOD($D57-$C57,1)*1440,0))</f>
        <v/>
      </c>
      <c r="J57" s="12">
        <f>IF(NOT(ISNUMBER($I57)),0,IF(OR($I57&lt;=0,$H57="Cancelada",$H57="Suspensa"),0,$I57+Limpeza_Min))</f>
        <v/>
      </c>
      <c r="K57" s="12">
        <f>IF($J57&lt;=0,"",SUMPRODUCT((Mapa_Sala=$B57)*(Mapa_Data=$A57)*(Mapa_MinOcup&gt;0)*((Mapa_RelIni&lt;$P57)+((Mapa_RelIni=$P57)*(Mapa_Row&lt;=$S57)))))</f>
        <v/>
      </c>
      <c r="L57" s="23">
        <f>IF($J57&lt;=0,"",MOD(Turno_Ini+($Q57+Limpeza_Min)/1440,1))</f>
        <v/>
      </c>
      <c r="M57" s="12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24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","")&amp;IFERROR(IF(AND($J57&gt;0,$K57&gt;0,COUNTIF(Mapa_Chave,$B57&amp;"#"&amp;$A57&amp;"#"&amp;($K57+1))&gt;0,INDEX(Mapa_RelIni,MATCH($B57&amp;"#"&amp;$A57&amp;"#"&amp;($K57+1),Mapa_Chave,0))-$Q57&lt;Limpeza_Min),"Sem intervalo para limpeza | ",""),"")&amp;IF(AND($J57&gt;0,SUMPRODUCT((Mapa_Sala=$B57)*(Mapa_Data=$A57)*(Mapa_MinOcup&gt;0)*(Mapa_RelIni&lt;$Q57)*(Mapa_RelFim&gt;$P57))&gt;1),"Sobreposição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1">
        <f>IF(NOT(ISNUMBER($C57)),0,ROUND(MOD($C57-Turno_Ini,1)*1440,0))</f>
        <v/>
      </c>
      <c r="Q57" s="11">
        <f>IF($J57&lt;=0,0,$P57+$I57)</f>
        <v/>
      </c>
      <c r="R57" s="11">
        <f>IF($K57="","",$B57&amp;"#"&amp;$A57&amp;"#"&amp;$K57)</f>
        <v/>
      </c>
      <c r="S57" s="11">
        <f>ROW()</f>
        <v/>
      </c>
      <c r="T57" s="11">
        <f>IF($J57&lt;=0,0,MAX(0,MIN($P57+$I57+Limpeza_Min,Turno_Min,IFERROR(INDEX(Mapa_RelIni,MATCH($B57&amp;"#"&amp;$A57&amp;"#"&amp;($K57+1),Mapa_Chave,0)),Turno_Min))-MIN($P57,Turno_Min)))</f>
        <v/>
      </c>
    </row>
    <row r="58">
      <c r="A58" s="19" t="n"/>
      <c r="B58" s="20" t="n"/>
      <c r="C58" s="21" t="n"/>
      <c r="D58" s="21" t="n"/>
      <c r="E58" s="22" t="n"/>
      <c r="F58" s="22" t="n"/>
      <c r="G58" s="22" t="n"/>
      <c r="H58" s="20" t="n"/>
      <c r="I58" s="12">
        <f>IF(OR($B58="",NOT(ISNUMBER($C58)),NOT(ISNUMBER($D58))),"",ROUND(MOD($D58-$C58,1)*1440,0))</f>
        <v/>
      </c>
      <c r="J58" s="12">
        <f>IF(NOT(ISNUMBER($I58)),0,IF(OR($I58&lt;=0,$H58="Cancelada",$H58="Suspensa"),0,$I58+Limpeza_Min))</f>
        <v/>
      </c>
      <c r="K58" s="12">
        <f>IF($J58&lt;=0,"",SUMPRODUCT((Mapa_Sala=$B58)*(Mapa_Data=$A58)*(Mapa_MinOcup&gt;0)*((Mapa_RelIni&lt;$P58)+((Mapa_RelIni=$P58)*(Mapa_Row&lt;=$S58)))))</f>
        <v/>
      </c>
      <c r="L58" s="23">
        <f>IF($J58&lt;=0,"",MOD(Turno_Ini+($Q58+Limpeza_Min)/1440,1))</f>
        <v/>
      </c>
      <c r="M58" s="12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24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","")&amp;IFERROR(IF(AND($J58&gt;0,$K58&gt;0,COUNTIF(Mapa_Chave,$B58&amp;"#"&amp;$A58&amp;"#"&amp;($K58+1))&gt;0,INDEX(Mapa_RelIni,MATCH($B58&amp;"#"&amp;$A58&amp;"#"&amp;($K58+1),Mapa_Chave,0))-$Q58&lt;Limpeza_Min),"Sem intervalo para limpeza | ",""),"")&amp;IF(AND($J58&gt;0,SUMPRODUCT((Mapa_Sala=$B58)*(Mapa_Data=$A58)*(Mapa_MinOcup&gt;0)*(Mapa_RelIni&lt;$Q58)*(Mapa_RelFim&gt;$P58))&gt;1),"Sobreposição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1">
        <f>IF(NOT(ISNUMBER($C58)),0,ROUND(MOD($C58-Turno_Ini,1)*1440,0))</f>
        <v/>
      </c>
      <c r="Q58" s="11">
        <f>IF($J58&lt;=0,0,$P58+$I58)</f>
        <v/>
      </c>
      <c r="R58" s="11">
        <f>IF($K58="","",$B58&amp;"#"&amp;$A58&amp;"#"&amp;$K58)</f>
        <v/>
      </c>
      <c r="S58" s="11">
        <f>ROW()</f>
        <v/>
      </c>
      <c r="T58" s="11">
        <f>IF($J58&lt;=0,0,MAX(0,MIN($P58+$I58+Limpeza_Min,Turno_Min,IFERROR(INDEX(Mapa_RelIni,MATCH($B58&amp;"#"&amp;$A58&amp;"#"&amp;($K58+1),Mapa_Chave,0)),Turno_Min))-MIN($P58,Turno_Min)))</f>
        <v/>
      </c>
    </row>
    <row r="59">
      <c r="A59" s="19" t="n"/>
      <c r="B59" s="20" t="n"/>
      <c r="C59" s="21" t="n"/>
      <c r="D59" s="21" t="n"/>
      <c r="E59" s="22" t="n"/>
      <c r="F59" s="22" t="n"/>
      <c r="G59" s="22" t="n"/>
      <c r="H59" s="20" t="n"/>
      <c r="I59" s="12">
        <f>IF(OR($B59="",NOT(ISNUMBER($C59)),NOT(ISNUMBER($D59))),"",ROUND(MOD($D59-$C59,1)*1440,0))</f>
        <v/>
      </c>
      <c r="J59" s="12">
        <f>IF(NOT(ISNUMBER($I59)),0,IF(OR($I59&lt;=0,$H59="Cancelada",$H59="Suspensa"),0,$I59+Limpeza_Min))</f>
        <v/>
      </c>
      <c r="K59" s="12">
        <f>IF($J59&lt;=0,"",SUMPRODUCT((Mapa_Sala=$B59)*(Mapa_Data=$A59)*(Mapa_MinOcup&gt;0)*((Mapa_RelIni&lt;$P59)+((Mapa_RelIni=$P59)*(Mapa_Row&lt;=$S59)))))</f>
        <v/>
      </c>
      <c r="L59" s="23">
        <f>IF($J59&lt;=0,"",MOD(Turno_Ini+($Q59+Limpeza_Min)/1440,1))</f>
        <v/>
      </c>
      <c r="M59" s="12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24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","")&amp;IFERROR(IF(AND($J59&gt;0,$K59&gt;0,COUNTIF(Mapa_Chave,$B59&amp;"#"&amp;$A59&amp;"#"&amp;($K59+1))&gt;0,INDEX(Mapa_RelIni,MATCH($B59&amp;"#"&amp;$A59&amp;"#"&amp;($K59+1),Mapa_Chave,0))-$Q59&lt;Limpeza_Min),"Sem intervalo para limpeza | ",""),"")&amp;IF(AND($J59&gt;0,SUMPRODUCT((Mapa_Sala=$B59)*(Mapa_Data=$A59)*(Mapa_MinOcup&gt;0)*(Mapa_RelIni&lt;$Q59)*(Mapa_RelFim&gt;$P59))&gt;1),"Sobreposição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1">
        <f>IF(NOT(ISNUMBER($C59)),0,ROUND(MOD($C59-Turno_Ini,1)*1440,0))</f>
        <v/>
      </c>
      <c r="Q59" s="11">
        <f>IF($J59&lt;=0,0,$P59+$I59)</f>
        <v/>
      </c>
      <c r="R59" s="11">
        <f>IF($K59="","",$B59&amp;"#"&amp;$A59&amp;"#"&amp;$K59)</f>
        <v/>
      </c>
      <c r="S59" s="11">
        <f>ROW()</f>
        <v/>
      </c>
      <c r="T59" s="11">
        <f>IF($J59&lt;=0,0,MAX(0,MIN($P59+$I59+Limpeza_Min,Turno_Min,IFERROR(INDEX(Mapa_RelIni,MATCH($B59&amp;"#"&amp;$A59&amp;"#"&amp;($K59+1),Mapa_Chave,0)),Turno_Min))-MIN($P59,Turno_Min)))</f>
        <v/>
      </c>
    </row>
    <row r="60">
      <c r="A60" s="19" t="n"/>
      <c r="B60" s="20" t="n"/>
      <c r="C60" s="21" t="n"/>
      <c r="D60" s="21" t="n"/>
      <c r="E60" s="22" t="n"/>
      <c r="F60" s="22" t="n"/>
      <c r="G60" s="22" t="n"/>
      <c r="H60" s="20" t="n"/>
      <c r="I60" s="12">
        <f>IF(OR($B60="",NOT(ISNUMBER($C60)),NOT(ISNUMBER($D60))),"",ROUND(MOD($D60-$C60,1)*1440,0))</f>
        <v/>
      </c>
      <c r="J60" s="12">
        <f>IF(NOT(ISNUMBER($I60)),0,IF(OR($I60&lt;=0,$H60="Cancelada",$H60="Suspensa"),0,$I60+Limpeza_Min))</f>
        <v/>
      </c>
      <c r="K60" s="12">
        <f>IF($J60&lt;=0,"",SUMPRODUCT((Mapa_Sala=$B60)*(Mapa_Data=$A60)*(Mapa_MinOcup&gt;0)*((Mapa_RelIni&lt;$P60)+((Mapa_RelIni=$P60)*(Mapa_Row&lt;=$S60)))))</f>
        <v/>
      </c>
      <c r="L60" s="23">
        <f>IF($J60&lt;=0,"",MOD(Turno_Ini+($Q60+Limpeza_Min)/1440,1))</f>
        <v/>
      </c>
      <c r="M60" s="12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24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","")&amp;IFERROR(IF(AND($J60&gt;0,$K60&gt;0,COUNTIF(Mapa_Chave,$B60&amp;"#"&amp;$A60&amp;"#"&amp;($K60+1))&gt;0,INDEX(Mapa_RelIni,MATCH($B60&amp;"#"&amp;$A60&amp;"#"&amp;($K60+1),Mapa_Chave,0))-$Q60&lt;Limpeza_Min),"Sem intervalo para limpeza | ",""),"")&amp;IF(AND($J60&gt;0,SUMPRODUCT((Mapa_Sala=$B60)*(Mapa_Data=$A60)*(Mapa_MinOcup&gt;0)*(Mapa_RelIni&lt;$Q60)*(Mapa_RelFim&gt;$P60))&gt;1),"Sobreposição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1">
        <f>IF(NOT(ISNUMBER($C60)),0,ROUND(MOD($C60-Turno_Ini,1)*1440,0))</f>
        <v/>
      </c>
      <c r="Q60" s="11">
        <f>IF($J60&lt;=0,0,$P60+$I60)</f>
        <v/>
      </c>
      <c r="R60" s="11">
        <f>IF($K60="","",$B60&amp;"#"&amp;$A60&amp;"#"&amp;$K60)</f>
        <v/>
      </c>
      <c r="S60" s="11">
        <f>ROW()</f>
        <v/>
      </c>
      <c r="T60" s="11">
        <f>IF($J60&lt;=0,0,MAX(0,MIN($P60+$I60+Limpeza_Min,Turno_Min,IFERROR(INDEX(Mapa_RelIni,MATCH($B60&amp;"#"&amp;$A60&amp;"#"&amp;($K60+1),Mapa_Chave,0)),Turno_Min))-MIN($P60,Turno_Min)))</f>
        <v/>
      </c>
    </row>
    <row r="61">
      <c r="A61" s="19" t="n"/>
      <c r="B61" s="20" t="n"/>
      <c r="C61" s="21" t="n"/>
      <c r="D61" s="21" t="n"/>
      <c r="E61" s="22" t="n"/>
      <c r="F61" s="22" t="n"/>
      <c r="G61" s="22" t="n"/>
      <c r="H61" s="20" t="n"/>
      <c r="I61" s="12">
        <f>IF(OR($B61="",NOT(ISNUMBER($C61)),NOT(ISNUMBER($D61))),"",ROUND(MOD($D61-$C61,1)*1440,0))</f>
        <v/>
      </c>
      <c r="J61" s="12">
        <f>IF(NOT(ISNUMBER($I61)),0,IF(OR($I61&lt;=0,$H61="Cancelada",$H61="Suspensa"),0,$I61+Limpeza_Min))</f>
        <v/>
      </c>
      <c r="K61" s="12">
        <f>IF($J61&lt;=0,"",SUMPRODUCT((Mapa_Sala=$B61)*(Mapa_Data=$A61)*(Mapa_MinOcup&gt;0)*((Mapa_RelIni&lt;$P61)+((Mapa_RelIni=$P61)*(Mapa_Row&lt;=$S61)))))</f>
        <v/>
      </c>
      <c r="L61" s="23">
        <f>IF($J61&lt;=0,"",MOD(Turno_Ini+($Q61+Limpeza_Min)/1440,1))</f>
        <v/>
      </c>
      <c r="M61" s="12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24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","")&amp;IFERROR(IF(AND($J61&gt;0,$K61&gt;0,COUNTIF(Mapa_Chave,$B61&amp;"#"&amp;$A61&amp;"#"&amp;($K61+1))&gt;0,INDEX(Mapa_RelIni,MATCH($B61&amp;"#"&amp;$A61&amp;"#"&amp;($K61+1),Mapa_Chave,0))-$Q61&lt;Limpeza_Min),"Sem intervalo para limpeza | ",""),"")&amp;IF(AND($J61&gt;0,SUMPRODUCT((Mapa_Sala=$B61)*(Mapa_Data=$A61)*(Mapa_MinOcup&gt;0)*(Mapa_RelIni&lt;$Q61)*(Mapa_RelFim&gt;$P61))&gt;1),"Sobreposição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1">
        <f>IF(NOT(ISNUMBER($C61)),0,ROUND(MOD($C61-Turno_Ini,1)*1440,0))</f>
        <v/>
      </c>
      <c r="Q61" s="11">
        <f>IF($J61&lt;=0,0,$P61+$I61)</f>
        <v/>
      </c>
      <c r="R61" s="11">
        <f>IF($K61="","",$B61&amp;"#"&amp;$A61&amp;"#"&amp;$K61)</f>
        <v/>
      </c>
      <c r="S61" s="11">
        <f>ROW()</f>
        <v/>
      </c>
      <c r="T61" s="11">
        <f>IF($J61&lt;=0,0,MAX(0,MIN($P61+$I61+Limpeza_Min,Turno_Min,IFERROR(INDEX(Mapa_RelIni,MATCH($B61&amp;"#"&amp;$A61&amp;"#"&amp;($K61+1),Mapa_Chave,0)),Turno_Min))-MIN($P61,Turno_Min)))</f>
        <v/>
      </c>
    </row>
    <row r="62">
      <c r="A62" s="19" t="n"/>
      <c r="B62" s="20" t="n"/>
      <c r="C62" s="21" t="n"/>
      <c r="D62" s="21" t="n"/>
      <c r="E62" s="22" t="n"/>
      <c r="F62" s="22" t="n"/>
      <c r="G62" s="22" t="n"/>
      <c r="H62" s="20" t="n"/>
      <c r="I62" s="12">
        <f>IF(OR($B62="",NOT(ISNUMBER($C62)),NOT(ISNUMBER($D62))),"",ROUND(MOD($D62-$C62,1)*1440,0))</f>
        <v/>
      </c>
      <c r="J62" s="12">
        <f>IF(NOT(ISNUMBER($I62)),0,IF(OR($I62&lt;=0,$H62="Cancelada",$H62="Suspensa"),0,$I62+Limpeza_Min))</f>
        <v/>
      </c>
      <c r="K62" s="12">
        <f>IF($J62&lt;=0,"",SUMPRODUCT((Mapa_Sala=$B62)*(Mapa_Data=$A62)*(Mapa_MinOcup&gt;0)*((Mapa_RelIni&lt;$P62)+((Mapa_RelIni=$P62)*(Mapa_Row&lt;=$S62)))))</f>
        <v/>
      </c>
      <c r="L62" s="23">
        <f>IF($J62&lt;=0,"",MOD(Turno_Ini+($Q62+Limpeza_Min)/1440,1))</f>
        <v/>
      </c>
      <c r="M62" s="12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24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","")&amp;IFERROR(IF(AND($J62&gt;0,$K62&gt;0,COUNTIF(Mapa_Chave,$B62&amp;"#"&amp;$A62&amp;"#"&amp;($K62+1))&gt;0,INDEX(Mapa_RelIni,MATCH($B62&amp;"#"&amp;$A62&amp;"#"&amp;($K62+1),Mapa_Chave,0))-$Q62&lt;Limpeza_Min),"Sem intervalo para limpeza | ",""),"")&amp;IF(AND($J62&gt;0,SUMPRODUCT((Mapa_Sala=$B62)*(Mapa_Data=$A62)*(Mapa_MinOcup&gt;0)*(Mapa_RelIni&lt;$Q62)*(Mapa_RelFim&gt;$P62))&gt;1),"Sobreposição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1">
        <f>IF(NOT(ISNUMBER($C62)),0,ROUND(MOD($C62-Turno_Ini,1)*1440,0))</f>
        <v/>
      </c>
      <c r="Q62" s="11">
        <f>IF($J62&lt;=0,0,$P62+$I62)</f>
        <v/>
      </c>
      <c r="R62" s="11">
        <f>IF($K62="","",$B62&amp;"#"&amp;$A62&amp;"#"&amp;$K62)</f>
        <v/>
      </c>
      <c r="S62" s="11">
        <f>ROW()</f>
        <v/>
      </c>
      <c r="T62" s="11">
        <f>IF($J62&lt;=0,0,MAX(0,MIN($P62+$I62+Limpeza_Min,Turno_Min,IFERROR(INDEX(Mapa_RelIni,MATCH($B62&amp;"#"&amp;$A62&amp;"#"&amp;($K62+1),Mapa_Chave,0)),Turno_Min))-MIN($P62,Turno_Min)))</f>
        <v/>
      </c>
    </row>
    <row r="63">
      <c r="A63" s="19" t="n"/>
      <c r="B63" s="20" t="n"/>
      <c r="C63" s="21" t="n"/>
      <c r="D63" s="21" t="n"/>
      <c r="E63" s="22" t="n"/>
      <c r="F63" s="22" t="n"/>
      <c r="G63" s="22" t="n"/>
      <c r="H63" s="20" t="n"/>
      <c r="I63" s="12">
        <f>IF(OR($B63="",NOT(ISNUMBER($C63)),NOT(ISNUMBER($D63))),"",ROUND(MOD($D63-$C63,1)*1440,0))</f>
        <v/>
      </c>
      <c r="J63" s="12">
        <f>IF(NOT(ISNUMBER($I63)),0,IF(OR($I63&lt;=0,$H63="Cancelada",$H63="Suspensa"),0,$I63+Limpeza_Min))</f>
        <v/>
      </c>
      <c r="K63" s="12">
        <f>IF($J63&lt;=0,"",SUMPRODUCT((Mapa_Sala=$B63)*(Mapa_Data=$A63)*(Mapa_MinOcup&gt;0)*((Mapa_RelIni&lt;$P63)+((Mapa_RelIni=$P63)*(Mapa_Row&lt;=$S63)))))</f>
        <v/>
      </c>
      <c r="L63" s="23">
        <f>IF($J63&lt;=0,"",MOD(Turno_Ini+($Q63+Limpeza_Min)/1440,1))</f>
        <v/>
      </c>
      <c r="M63" s="12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24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","")&amp;IFERROR(IF(AND($J63&gt;0,$K63&gt;0,COUNTIF(Mapa_Chave,$B63&amp;"#"&amp;$A63&amp;"#"&amp;($K63+1))&gt;0,INDEX(Mapa_RelIni,MATCH($B63&amp;"#"&amp;$A63&amp;"#"&amp;($K63+1),Mapa_Chave,0))-$Q63&lt;Limpeza_Min),"Sem intervalo para limpeza | ",""),"")&amp;IF(AND($J63&gt;0,SUMPRODUCT((Mapa_Sala=$B63)*(Mapa_Data=$A63)*(Mapa_MinOcup&gt;0)*(Mapa_RelIni&lt;$Q63)*(Mapa_RelFim&gt;$P63))&gt;1),"Sobreposição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1">
        <f>IF(NOT(ISNUMBER($C63)),0,ROUND(MOD($C63-Turno_Ini,1)*1440,0))</f>
        <v/>
      </c>
      <c r="Q63" s="11">
        <f>IF($J63&lt;=0,0,$P63+$I63)</f>
        <v/>
      </c>
      <c r="R63" s="11">
        <f>IF($K63="","",$B63&amp;"#"&amp;$A63&amp;"#"&amp;$K63)</f>
        <v/>
      </c>
      <c r="S63" s="11">
        <f>ROW()</f>
        <v/>
      </c>
      <c r="T63" s="11">
        <f>IF($J63&lt;=0,0,MAX(0,MIN($P63+$I63+Limpeza_Min,Turno_Min,IFERROR(INDEX(Mapa_RelIni,MATCH($B63&amp;"#"&amp;$A63&amp;"#"&amp;($K63+1),Mapa_Chave,0)),Turno_Min))-MIN($P63,Turno_Min)))</f>
        <v/>
      </c>
    </row>
    <row r="64">
      <c r="A64" s="19" t="n"/>
      <c r="B64" s="20" t="n"/>
      <c r="C64" s="21" t="n"/>
      <c r="D64" s="21" t="n"/>
      <c r="E64" s="22" t="n"/>
      <c r="F64" s="22" t="n"/>
      <c r="G64" s="22" t="n"/>
      <c r="H64" s="20" t="n"/>
      <c r="I64" s="12">
        <f>IF(OR($B64="",NOT(ISNUMBER($C64)),NOT(ISNUMBER($D64))),"",ROUND(MOD($D64-$C64,1)*1440,0))</f>
        <v/>
      </c>
      <c r="J64" s="12">
        <f>IF(NOT(ISNUMBER($I64)),0,IF(OR($I64&lt;=0,$H64="Cancelada",$H64="Suspensa"),0,$I64+Limpeza_Min))</f>
        <v/>
      </c>
      <c r="K64" s="12">
        <f>IF($J64&lt;=0,"",SUMPRODUCT((Mapa_Sala=$B64)*(Mapa_Data=$A64)*(Mapa_MinOcup&gt;0)*((Mapa_RelIni&lt;$P64)+((Mapa_RelIni=$P64)*(Mapa_Row&lt;=$S64)))))</f>
        <v/>
      </c>
      <c r="L64" s="23">
        <f>IF($J64&lt;=0,"",MOD(Turno_Ini+($Q64+Limpeza_Min)/1440,1))</f>
        <v/>
      </c>
      <c r="M64" s="12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24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","")&amp;IFERROR(IF(AND($J64&gt;0,$K64&gt;0,COUNTIF(Mapa_Chave,$B64&amp;"#"&amp;$A64&amp;"#"&amp;($K64+1))&gt;0,INDEX(Mapa_RelIni,MATCH($B64&amp;"#"&amp;$A64&amp;"#"&amp;($K64+1),Mapa_Chave,0))-$Q64&lt;Limpeza_Min),"Sem intervalo para limpeza | ",""),"")&amp;IF(AND($J64&gt;0,SUMPRODUCT((Mapa_Sala=$B64)*(Mapa_Data=$A64)*(Mapa_MinOcup&gt;0)*(Mapa_RelIni&lt;$Q64)*(Mapa_RelFim&gt;$P64))&gt;1),"Sobreposição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1">
        <f>IF(NOT(ISNUMBER($C64)),0,ROUND(MOD($C64-Turno_Ini,1)*1440,0))</f>
        <v/>
      </c>
      <c r="Q64" s="11">
        <f>IF($J64&lt;=0,0,$P64+$I64)</f>
        <v/>
      </c>
      <c r="R64" s="11">
        <f>IF($K64="","",$B64&amp;"#"&amp;$A64&amp;"#"&amp;$K64)</f>
        <v/>
      </c>
      <c r="S64" s="11">
        <f>ROW()</f>
        <v/>
      </c>
      <c r="T64" s="11">
        <f>IF($J64&lt;=0,0,MAX(0,MIN($P64+$I64+Limpeza_Min,Turno_Min,IFERROR(INDEX(Mapa_RelIni,MATCH($B64&amp;"#"&amp;$A64&amp;"#"&amp;($K64+1),Mapa_Chave,0)),Turno_Min))-MIN($P64,Turno_Min)))</f>
        <v/>
      </c>
    </row>
    <row r="65">
      <c r="A65" s="19" t="n"/>
      <c r="B65" s="20" t="n"/>
      <c r="C65" s="21" t="n"/>
      <c r="D65" s="21" t="n"/>
      <c r="E65" s="22" t="n"/>
      <c r="F65" s="22" t="n"/>
      <c r="G65" s="22" t="n"/>
      <c r="H65" s="20" t="n"/>
      <c r="I65" s="12">
        <f>IF(OR($B65="",NOT(ISNUMBER($C65)),NOT(ISNUMBER($D65))),"",ROUND(MOD($D65-$C65,1)*1440,0))</f>
        <v/>
      </c>
      <c r="J65" s="12">
        <f>IF(NOT(ISNUMBER($I65)),0,IF(OR($I65&lt;=0,$H65="Cancelada",$H65="Suspensa"),0,$I65+Limpeza_Min))</f>
        <v/>
      </c>
      <c r="K65" s="12">
        <f>IF($J65&lt;=0,"",SUMPRODUCT((Mapa_Sala=$B65)*(Mapa_Data=$A65)*(Mapa_MinOcup&gt;0)*((Mapa_RelIni&lt;$P65)+((Mapa_RelIni=$P65)*(Mapa_Row&lt;=$S65)))))</f>
        <v/>
      </c>
      <c r="L65" s="23">
        <f>IF($J65&lt;=0,"",MOD(Turno_Ini+($Q65+Limpeza_Min)/1440,1))</f>
        <v/>
      </c>
      <c r="M65" s="12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24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","")&amp;IFERROR(IF(AND($J65&gt;0,$K65&gt;0,COUNTIF(Mapa_Chave,$B65&amp;"#"&amp;$A65&amp;"#"&amp;($K65+1))&gt;0,INDEX(Mapa_RelIni,MATCH($B65&amp;"#"&amp;$A65&amp;"#"&amp;($K65+1),Mapa_Chave,0))-$Q65&lt;Limpeza_Min),"Sem intervalo para limpeza | ",""),"")&amp;IF(AND($J65&gt;0,SUMPRODUCT((Mapa_Sala=$B65)*(Mapa_Data=$A65)*(Mapa_MinOcup&gt;0)*(Mapa_RelIni&lt;$Q65)*(Mapa_RelFim&gt;$P65))&gt;1),"Sobreposição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1">
        <f>IF(NOT(ISNUMBER($C65)),0,ROUND(MOD($C65-Turno_Ini,1)*1440,0))</f>
        <v/>
      </c>
      <c r="Q65" s="11">
        <f>IF($J65&lt;=0,0,$P65+$I65)</f>
        <v/>
      </c>
      <c r="R65" s="11">
        <f>IF($K65="","",$B65&amp;"#"&amp;$A65&amp;"#"&amp;$K65)</f>
        <v/>
      </c>
      <c r="S65" s="11">
        <f>ROW()</f>
        <v/>
      </c>
      <c r="T65" s="11">
        <f>IF($J65&lt;=0,0,MAX(0,MIN($P65+$I65+Limpeza_Min,Turno_Min,IFERROR(INDEX(Mapa_RelIni,MATCH($B65&amp;"#"&amp;$A65&amp;"#"&amp;($K65+1),Mapa_Chave,0)),Turno_Min))-MIN($P65,Turno_Min)))</f>
        <v/>
      </c>
    </row>
    <row r="66">
      <c r="A66" s="19" t="n"/>
      <c r="B66" s="20" t="n"/>
      <c r="C66" s="21" t="n"/>
      <c r="D66" s="21" t="n"/>
      <c r="E66" s="22" t="n"/>
      <c r="F66" s="22" t="n"/>
      <c r="G66" s="22" t="n"/>
      <c r="H66" s="20" t="n"/>
      <c r="I66" s="12">
        <f>IF(OR($B66="",NOT(ISNUMBER($C66)),NOT(ISNUMBER($D66))),"",ROUND(MOD($D66-$C66,1)*1440,0))</f>
        <v/>
      </c>
      <c r="J66" s="12">
        <f>IF(NOT(ISNUMBER($I66)),0,IF(OR($I66&lt;=0,$H66="Cancelada",$H66="Suspensa"),0,$I66+Limpeza_Min))</f>
        <v/>
      </c>
      <c r="K66" s="12">
        <f>IF($J66&lt;=0,"",SUMPRODUCT((Mapa_Sala=$B66)*(Mapa_Data=$A66)*(Mapa_MinOcup&gt;0)*((Mapa_RelIni&lt;$P66)+((Mapa_RelIni=$P66)*(Mapa_Row&lt;=$S66)))))</f>
        <v/>
      </c>
      <c r="L66" s="23">
        <f>IF($J66&lt;=0,"",MOD(Turno_Ini+($Q66+Limpeza_Min)/1440,1))</f>
        <v/>
      </c>
      <c r="M66" s="12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24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","")&amp;IFERROR(IF(AND($J66&gt;0,$K66&gt;0,COUNTIF(Mapa_Chave,$B66&amp;"#"&amp;$A66&amp;"#"&amp;($K66+1))&gt;0,INDEX(Mapa_RelIni,MATCH($B66&amp;"#"&amp;$A66&amp;"#"&amp;($K66+1),Mapa_Chave,0))-$Q66&lt;Limpeza_Min),"Sem intervalo para limpeza | ",""),"")&amp;IF(AND($J66&gt;0,SUMPRODUCT((Mapa_Sala=$B66)*(Mapa_Data=$A66)*(Mapa_MinOcup&gt;0)*(Mapa_RelIni&lt;$Q66)*(Mapa_RelFim&gt;$P66))&gt;1),"Sobreposição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1">
        <f>IF(NOT(ISNUMBER($C66)),0,ROUND(MOD($C66-Turno_Ini,1)*1440,0))</f>
        <v/>
      </c>
      <c r="Q66" s="11">
        <f>IF($J66&lt;=0,0,$P66+$I66)</f>
        <v/>
      </c>
      <c r="R66" s="11">
        <f>IF($K66="","",$B66&amp;"#"&amp;$A66&amp;"#"&amp;$K66)</f>
        <v/>
      </c>
      <c r="S66" s="11">
        <f>ROW()</f>
        <v/>
      </c>
      <c r="T66" s="11">
        <f>IF($J66&lt;=0,0,MAX(0,MIN($P66+$I66+Limpeza_Min,Turno_Min,IFERROR(INDEX(Mapa_RelIni,MATCH($B66&amp;"#"&amp;$A66&amp;"#"&amp;($K66+1),Mapa_Chave,0)),Turno_Min))-MIN($P66,Turno_Min)))</f>
        <v/>
      </c>
    </row>
    <row r="67">
      <c r="A67" s="19" t="n"/>
      <c r="B67" s="20" t="n"/>
      <c r="C67" s="21" t="n"/>
      <c r="D67" s="21" t="n"/>
      <c r="E67" s="22" t="n"/>
      <c r="F67" s="22" t="n"/>
      <c r="G67" s="22" t="n"/>
      <c r="H67" s="20" t="n"/>
      <c r="I67" s="12">
        <f>IF(OR($B67="",NOT(ISNUMBER($C67)),NOT(ISNUMBER($D67))),"",ROUND(MOD($D67-$C67,1)*1440,0))</f>
        <v/>
      </c>
      <c r="J67" s="12">
        <f>IF(NOT(ISNUMBER($I67)),0,IF(OR($I67&lt;=0,$H67="Cancelada",$H67="Suspensa"),0,$I67+Limpeza_Min))</f>
        <v/>
      </c>
      <c r="K67" s="12">
        <f>IF($J67&lt;=0,"",SUMPRODUCT((Mapa_Sala=$B67)*(Mapa_Data=$A67)*(Mapa_MinOcup&gt;0)*((Mapa_RelIni&lt;$P67)+((Mapa_RelIni=$P67)*(Mapa_Row&lt;=$S67)))))</f>
        <v/>
      </c>
      <c r="L67" s="23">
        <f>IF($J67&lt;=0,"",MOD(Turno_Ini+($Q67+Limpeza_Min)/1440,1))</f>
        <v/>
      </c>
      <c r="M67" s="12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24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","")&amp;IFERROR(IF(AND($J67&gt;0,$K67&gt;0,COUNTIF(Mapa_Chave,$B67&amp;"#"&amp;$A67&amp;"#"&amp;($K67+1))&gt;0,INDEX(Mapa_RelIni,MATCH($B67&amp;"#"&amp;$A67&amp;"#"&amp;($K67+1),Mapa_Chave,0))-$Q67&lt;Limpeza_Min),"Sem intervalo para limpeza | ",""),"")&amp;IF(AND($J67&gt;0,SUMPRODUCT((Mapa_Sala=$B67)*(Mapa_Data=$A67)*(Mapa_MinOcup&gt;0)*(Mapa_RelIni&lt;$Q67)*(Mapa_RelFim&gt;$P67))&gt;1),"Sobreposição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1">
        <f>IF(NOT(ISNUMBER($C67)),0,ROUND(MOD($C67-Turno_Ini,1)*1440,0))</f>
        <v/>
      </c>
      <c r="Q67" s="11">
        <f>IF($J67&lt;=0,0,$P67+$I67)</f>
        <v/>
      </c>
      <c r="R67" s="11">
        <f>IF($K67="","",$B67&amp;"#"&amp;$A67&amp;"#"&amp;$K67)</f>
        <v/>
      </c>
      <c r="S67" s="11">
        <f>ROW()</f>
        <v/>
      </c>
      <c r="T67" s="11">
        <f>IF($J67&lt;=0,0,MAX(0,MIN($P67+$I67+Limpeza_Min,Turno_Min,IFERROR(INDEX(Mapa_RelIni,MATCH($B67&amp;"#"&amp;$A67&amp;"#"&amp;($K67+1),Mapa_Chave,0)),Turno_Min))-MIN($P67,Turno_Min)))</f>
        <v/>
      </c>
    </row>
    <row r="68">
      <c r="A68" s="19" t="n"/>
      <c r="B68" s="20" t="n"/>
      <c r="C68" s="21" t="n"/>
      <c r="D68" s="21" t="n"/>
      <c r="E68" s="22" t="n"/>
      <c r="F68" s="22" t="n"/>
      <c r="G68" s="22" t="n"/>
      <c r="H68" s="20" t="n"/>
      <c r="I68" s="12">
        <f>IF(OR($B68="",NOT(ISNUMBER($C68)),NOT(ISNUMBER($D68))),"",ROUND(MOD($D68-$C68,1)*1440,0))</f>
        <v/>
      </c>
      <c r="J68" s="12">
        <f>IF(NOT(ISNUMBER($I68)),0,IF(OR($I68&lt;=0,$H68="Cancelada",$H68="Suspensa"),0,$I68+Limpeza_Min))</f>
        <v/>
      </c>
      <c r="K68" s="12">
        <f>IF($J68&lt;=0,"",SUMPRODUCT((Mapa_Sala=$B68)*(Mapa_Data=$A68)*(Mapa_MinOcup&gt;0)*((Mapa_RelIni&lt;$P68)+((Mapa_RelIni=$P68)*(Mapa_Row&lt;=$S68)))))</f>
        <v/>
      </c>
      <c r="L68" s="23">
        <f>IF($J68&lt;=0,"",MOD(Turno_Ini+($Q68+Limpeza_Min)/1440,1))</f>
        <v/>
      </c>
      <c r="M68" s="12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24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","")&amp;IFERROR(IF(AND($J68&gt;0,$K68&gt;0,COUNTIF(Mapa_Chave,$B68&amp;"#"&amp;$A68&amp;"#"&amp;($K68+1))&gt;0,INDEX(Mapa_RelIni,MATCH($B68&amp;"#"&amp;$A68&amp;"#"&amp;($K68+1),Mapa_Chave,0))-$Q68&lt;Limpeza_Min),"Sem intervalo para limpeza | ",""),"")&amp;IF(AND($J68&gt;0,SUMPRODUCT((Mapa_Sala=$B68)*(Mapa_Data=$A68)*(Mapa_MinOcup&gt;0)*(Mapa_RelIni&lt;$Q68)*(Mapa_RelFim&gt;$P68))&gt;1),"Sobreposição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1">
        <f>IF(NOT(ISNUMBER($C68)),0,ROUND(MOD($C68-Turno_Ini,1)*1440,0))</f>
        <v/>
      </c>
      <c r="Q68" s="11">
        <f>IF($J68&lt;=0,0,$P68+$I68)</f>
        <v/>
      </c>
      <c r="R68" s="11">
        <f>IF($K68="","",$B68&amp;"#"&amp;$A68&amp;"#"&amp;$K68)</f>
        <v/>
      </c>
      <c r="S68" s="11">
        <f>ROW()</f>
        <v/>
      </c>
      <c r="T68" s="11">
        <f>IF($J68&lt;=0,0,MAX(0,MIN($P68+$I68+Limpeza_Min,Turno_Min,IFERROR(INDEX(Mapa_RelIni,MATCH($B68&amp;"#"&amp;$A68&amp;"#"&amp;($K68+1),Mapa_Chave,0)),Turno_Min))-MIN($P68,Turno_Min)))</f>
        <v/>
      </c>
    </row>
    <row r="69">
      <c r="A69" s="19" t="n"/>
      <c r="B69" s="20" t="n"/>
      <c r="C69" s="21" t="n"/>
      <c r="D69" s="21" t="n"/>
      <c r="E69" s="22" t="n"/>
      <c r="F69" s="22" t="n"/>
      <c r="G69" s="22" t="n"/>
      <c r="H69" s="20" t="n"/>
      <c r="I69" s="12">
        <f>IF(OR($B69="",NOT(ISNUMBER($C69)),NOT(ISNUMBER($D69))),"",ROUND(MOD($D69-$C69,1)*1440,0))</f>
        <v/>
      </c>
      <c r="J69" s="12">
        <f>IF(NOT(ISNUMBER($I69)),0,IF(OR($I69&lt;=0,$H69="Cancelada",$H69="Suspensa"),0,$I69+Limpeza_Min))</f>
        <v/>
      </c>
      <c r="K69" s="12">
        <f>IF($J69&lt;=0,"",SUMPRODUCT((Mapa_Sala=$B69)*(Mapa_Data=$A69)*(Mapa_MinOcup&gt;0)*((Mapa_RelIni&lt;$P69)+((Mapa_RelIni=$P69)*(Mapa_Row&lt;=$S69)))))</f>
        <v/>
      </c>
      <c r="L69" s="23">
        <f>IF($J69&lt;=0,"",MOD(Turno_Ini+($Q69+Limpeza_Min)/1440,1))</f>
        <v/>
      </c>
      <c r="M69" s="12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24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","")&amp;IFERROR(IF(AND($J69&gt;0,$K69&gt;0,COUNTIF(Mapa_Chave,$B69&amp;"#"&amp;$A69&amp;"#"&amp;($K69+1))&gt;0,INDEX(Mapa_RelIni,MATCH($B69&amp;"#"&amp;$A69&amp;"#"&amp;($K69+1),Mapa_Chave,0))-$Q69&lt;Limpeza_Min),"Sem intervalo para limpeza | ",""),"")&amp;IF(AND($J69&gt;0,SUMPRODUCT((Mapa_Sala=$B69)*(Mapa_Data=$A69)*(Mapa_MinOcup&gt;0)*(Mapa_RelIni&lt;$Q69)*(Mapa_RelFim&gt;$P69))&gt;1),"Sobreposição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1">
        <f>IF(NOT(ISNUMBER($C69)),0,ROUND(MOD($C69-Turno_Ini,1)*1440,0))</f>
        <v/>
      </c>
      <c r="Q69" s="11">
        <f>IF($J69&lt;=0,0,$P69+$I69)</f>
        <v/>
      </c>
      <c r="R69" s="11">
        <f>IF($K69="","",$B69&amp;"#"&amp;$A69&amp;"#"&amp;$K69)</f>
        <v/>
      </c>
      <c r="S69" s="11">
        <f>ROW()</f>
        <v/>
      </c>
      <c r="T69" s="11">
        <f>IF($J69&lt;=0,0,MAX(0,MIN($P69+$I69+Limpeza_Min,Turno_Min,IFERROR(INDEX(Mapa_RelIni,MATCH($B69&amp;"#"&amp;$A69&amp;"#"&amp;($K69+1),Mapa_Chave,0)),Turno_Min))-MIN($P69,Turno_Min)))</f>
        <v/>
      </c>
    </row>
    <row r="70">
      <c r="A70" s="19" t="n"/>
      <c r="B70" s="20" t="n"/>
      <c r="C70" s="21" t="n"/>
      <c r="D70" s="21" t="n"/>
      <c r="E70" s="22" t="n"/>
      <c r="F70" s="22" t="n"/>
      <c r="G70" s="22" t="n"/>
      <c r="H70" s="20" t="n"/>
      <c r="I70" s="12">
        <f>IF(OR($B70="",NOT(ISNUMBER($C70)),NOT(ISNUMBER($D70))),"",ROUND(MOD($D70-$C70,1)*1440,0))</f>
        <v/>
      </c>
      <c r="J70" s="12">
        <f>IF(NOT(ISNUMBER($I70)),0,IF(OR($I70&lt;=0,$H70="Cancelada",$H70="Suspensa"),0,$I70+Limpeza_Min))</f>
        <v/>
      </c>
      <c r="K70" s="12">
        <f>IF($J70&lt;=0,"",SUMPRODUCT((Mapa_Sala=$B70)*(Mapa_Data=$A70)*(Mapa_MinOcup&gt;0)*((Mapa_RelIni&lt;$P70)+((Mapa_RelIni=$P70)*(Mapa_Row&lt;=$S70)))))</f>
        <v/>
      </c>
      <c r="L70" s="23">
        <f>IF($J70&lt;=0,"",MOD(Turno_Ini+($Q70+Limpeza_Min)/1440,1))</f>
        <v/>
      </c>
      <c r="M70" s="12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24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","")&amp;IFERROR(IF(AND($J70&gt;0,$K70&gt;0,COUNTIF(Mapa_Chave,$B70&amp;"#"&amp;$A70&amp;"#"&amp;($K70+1))&gt;0,INDEX(Mapa_RelIni,MATCH($B70&amp;"#"&amp;$A70&amp;"#"&amp;($K70+1),Mapa_Chave,0))-$Q70&lt;Limpeza_Min),"Sem intervalo para limpeza | ",""),"")&amp;IF(AND($J70&gt;0,SUMPRODUCT((Mapa_Sala=$B70)*(Mapa_Data=$A70)*(Mapa_MinOcup&gt;0)*(Mapa_RelIni&lt;$Q70)*(Mapa_RelFim&gt;$P70))&gt;1),"Sobreposição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1">
        <f>IF(NOT(ISNUMBER($C70)),0,ROUND(MOD($C70-Turno_Ini,1)*1440,0))</f>
        <v/>
      </c>
      <c r="Q70" s="11">
        <f>IF($J70&lt;=0,0,$P70+$I70)</f>
        <v/>
      </c>
      <c r="R70" s="11">
        <f>IF($K70="","",$B70&amp;"#"&amp;$A70&amp;"#"&amp;$K70)</f>
        <v/>
      </c>
      <c r="S70" s="11">
        <f>ROW()</f>
        <v/>
      </c>
      <c r="T70" s="11">
        <f>IF($J70&lt;=0,0,MAX(0,MIN($P70+$I70+Limpeza_Min,Turno_Min,IFERROR(INDEX(Mapa_RelIni,MATCH($B70&amp;"#"&amp;$A70&amp;"#"&amp;($K70+1),Mapa_Chave,0)),Turno_Min))-MIN($P70,Turno_Min)))</f>
        <v/>
      </c>
    </row>
    <row r="71">
      <c r="A71" s="19" t="n"/>
      <c r="B71" s="20" t="n"/>
      <c r="C71" s="21" t="n"/>
      <c r="D71" s="21" t="n"/>
      <c r="E71" s="22" t="n"/>
      <c r="F71" s="22" t="n"/>
      <c r="G71" s="22" t="n"/>
      <c r="H71" s="20" t="n"/>
      <c r="I71" s="12">
        <f>IF(OR($B71="",NOT(ISNUMBER($C71)),NOT(ISNUMBER($D71))),"",ROUND(MOD($D71-$C71,1)*1440,0))</f>
        <v/>
      </c>
      <c r="J71" s="12">
        <f>IF(NOT(ISNUMBER($I71)),0,IF(OR($I71&lt;=0,$H71="Cancelada",$H71="Suspensa"),0,$I71+Limpeza_Min))</f>
        <v/>
      </c>
      <c r="K71" s="12">
        <f>IF($J71&lt;=0,"",SUMPRODUCT((Mapa_Sala=$B71)*(Mapa_Data=$A71)*(Mapa_MinOcup&gt;0)*((Mapa_RelIni&lt;$P71)+((Mapa_RelIni=$P71)*(Mapa_Row&lt;=$S71)))))</f>
        <v/>
      </c>
      <c r="L71" s="23">
        <f>IF($J71&lt;=0,"",MOD(Turno_Ini+($Q71+Limpeza_Min)/1440,1))</f>
        <v/>
      </c>
      <c r="M71" s="12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24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","")&amp;IFERROR(IF(AND($J71&gt;0,$K71&gt;0,COUNTIF(Mapa_Chave,$B71&amp;"#"&amp;$A71&amp;"#"&amp;($K71+1))&gt;0,INDEX(Mapa_RelIni,MATCH($B71&amp;"#"&amp;$A71&amp;"#"&amp;($K71+1),Mapa_Chave,0))-$Q71&lt;Limpeza_Min),"Sem intervalo para limpeza | ",""),"")&amp;IF(AND($J71&gt;0,SUMPRODUCT((Mapa_Sala=$B71)*(Mapa_Data=$A71)*(Mapa_MinOcup&gt;0)*(Mapa_RelIni&lt;$Q71)*(Mapa_RelFim&gt;$P71))&gt;1),"Sobreposição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1">
        <f>IF(NOT(ISNUMBER($C71)),0,ROUND(MOD($C71-Turno_Ini,1)*1440,0))</f>
        <v/>
      </c>
      <c r="Q71" s="11">
        <f>IF($J71&lt;=0,0,$P71+$I71)</f>
        <v/>
      </c>
      <c r="R71" s="11">
        <f>IF($K71="","",$B71&amp;"#"&amp;$A71&amp;"#"&amp;$K71)</f>
        <v/>
      </c>
      <c r="S71" s="11">
        <f>ROW()</f>
        <v/>
      </c>
      <c r="T71" s="11">
        <f>IF($J71&lt;=0,0,MAX(0,MIN($P71+$I71+Limpeza_Min,Turno_Min,IFERROR(INDEX(Mapa_RelIni,MATCH($B71&amp;"#"&amp;$A71&amp;"#"&amp;($K71+1),Mapa_Chave,0)),Turno_Min))-MIN($P71,Turno_Min)))</f>
        <v/>
      </c>
    </row>
    <row r="72">
      <c r="A72" s="19" t="n"/>
      <c r="B72" s="20" t="n"/>
      <c r="C72" s="21" t="n"/>
      <c r="D72" s="21" t="n"/>
      <c r="E72" s="22" t="n"/>
      <c r="F72" s="22" t="n"/>
      <c r="G72" s="22" t="n"/>
      <c r="H72" s="20" t="n"/>
      <c r="I72" s="12">
        <f>IF(OR($B72="",NOT(ISNUMBER($C72)),NOT(ISNUMBER($D72))),"",ROUND(MOD($D72-$C72,1)*1440,0))</f>
        <v/>
      </c>
      <c r="J72" s="12">
        <f>IF(NOT(ISNUMBER($I72)),0,IF(OR($I72&lt;=0,$H72="Cancelada",$H72="Suspensa"),0,$I72+Limpeza_Min))</f>
        <v/>
      </c>
      <c r="K72" s="12">
        <f>IF($J72&lt;=0,"",SUMPRODUCT((Mapa_Sala=$B72)*(Mapa_Data=$A72)*(Mapa_MinOcup&gt;0)*((Mapa_RelIni&lt;$P72)+((Mapa_RelIni=$P72)*(Mapa_Row&lt;=$S72)))))</f>
        <v/>
      </c>
      <c r="L72" s="23">
        <f>IF($J72&lt;=0,"",MOD(Turno_Ini+($Q72+Limpeza_Min)/1440,1))</f>
        <v/>
      </c>
      <c r="M72" s="12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24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","")&amp;IFERROR(IF(AND($J72&gt;0,$K72&gt;0,COUNTIF(Mapa_Chave,$B72&amp;"#"&amp;$A72&amp;"#"&amp;($K72+1))&gt;0,INDEX(Mapa_RelIni,MATCH($B72&amp;"#"&amp;$A72&amp;"#"&amp;($K72+1),Mapa_Chave,0))-$Q72&lt;Limpeza_Min),"Sem intervalo para limpeza | ",""),"")&amp;IF(AND($J72&gt;0,SUMPRODUCT((Mapa_Sala=$B72)*(Mapa_Data=$A72)*(Mapa_MinOcup&gt;0)*(Mapa_RelIni&lt;$Q72)*(Mapa_RelFim&gt;$P72))&gt;1),"Sobreposição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1">
        <f>IF(NOT(ISNUMBER($C72)),0,ROUND(MOD($C72-Turno_Ini,1)*1440,0))</f>
        <v/>
      </c>
      <c r="Q72" s="11">
        <f>IF($J72&lt;=0,0,$P72+$I72)</f>
        <v/>
      </c>
      <c r="R72" s="11">
        <f>IF($K72="","",$B72&amp;"#"&amp;$A72&amp;"#"&amp;$K72)</f>
        <v/>
      </c>
      <c r="S72" s="11">
        <f>ROW()</f>
        <v/>
      </c>
      <c r="T72" s="11">
        <f>IF($J72&lt;=0,0,MAX(0,MIN($P72+$I72+Limpeza_Min,Turno_Min,IFERROR(INDEX(Mapa_RelIni,MATCH($B72&amp;"#"&amp;$A72&amp;"#"&amp;($K72+1),Mapa_Chave,0)),Turno_Min))-MIN($P72,Turno_Min)))</f>
        <v/>
      </c>
    </row>
    <row r="73">
      <c r="A73" s="19" t="n"/>
      <c r="B73" s="20" t="n"/>
      <c r="C73" s="21" t="n"/>
      <c r="D73" s="21" t="n"/>
      <c r="E73" s="22" t="n"/>
      <c r="F73" s="22" t="n"/>
      <c r="G73" s="22" t="n"/>
      <c r="H73" s="20" t="n"/>
      <c r="I73" s="12">
        <f>IF(OR($B73="",NOT(ISNUMBER($C73)),NOT(ISNUMBER($D73))),"",ROUND(MOD($D73-$C73,1)*1440,0))</f>
        <v/>
      </c>
      <c r="J73" s="12">
        <f>IF(NOT(ISNUMBER($I73)),0,IF(OR($I73&lt;=0,$H73="Cancelada",$H73="Suspensa"),0,$I73+Limpeza_Min))</f>
        <v/>
      </c>
      <c r="K73" s="12">
        <f>IF($J73&lt;=0,"",SUMPRODUCT((Mapa_Sala=$B73)*(Mapa_Data=$A73)*(Mapa_MinOcup&gt;0)*((Mapa_RelIni&lt;$P73)+((Mapa_RelIni=$P73)*(Mapa_Row&lt;=$S73)))))</f>
        <v/>
      </c>
      <c r="L73" s="23">
        <f>IF($J73&lt;=0,"",MOD(Turno_Ini+($Q73+Limpeza_Min)/1440,1))</f>
        <v/>
      </c>
      <c r="M73" s="12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24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","")&amp;IFERROR(IF(AND($J73&gt;0,$K73&gt;0,COUNTIF(Mapa_Chave,$B73&amp;"#"&amp;$A73&amp;"#"&amp;($K73+1))&gt;0,INDEX(Mapa_RelIni,MATCH($B73&amp;"#"&amp;$A73&amp;"#"&amp;($K73+1),Mapa_Chave,0))-$Q73&lt;Limpeza_Min),"Sem intervalo para limpeza | ",""),"")&amp;IF(AND($J73&gt;0,SUMPRODUCT((Mapa_Sala=$B73)*(Mapa_Data=$A73)*(Mapa_MinOcup&gt;0)*(Mapa_RelIni&lt;$Q73)*(Mapa_RelFim&gt;$P73))&gt;1),"Sobreposição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1">
        <f>IF(NOT(ISNUMBER($C73)),0,ROUND(MOD($C73-Turno_Ini,1)*1440,0))</f>
        <v/>
      </c>
      <c r="Q73" s="11">
        <f>IF($J73&lt;=0,0,$P73+$I73)</f>
        <v/>
      </c>
      <c r="R73" s="11">
        <f>IF($K73="","",$B73&amp;"#"&amp;$A73&amp;"#"&amp;$K73)</f>
        <v/>
      </c>
      <c r="S73" s="11">
        <f>ROW()</f>
        <v/>
      </c>
      <c r="T73" s="11">
        <f>IF($J73&lt;=0,0,MAX(0,MIN($P73+$I73+Limpeza_Min,Turno_Min,IFERROR(INDEX(Mapa_RelIni,MATCH($B73&amp;"#"&amp;$A73&amp;"#"&amp;($K73+1),Mapa_Chave,0)),Turno_Min))-MIN($P73,Turno_Min)))</f>
        <v/>
      </c>
    </row>
    <row r="74">
      <c r="A74" s="19" t="n"/>
      <c r="B74" s="20" t="n"/>
      <c r="C74" s="21" t="n"/>
      <c r="D74" s="21" t="n"/>
      <c r="E74" s="22" t="n"/>
      <c r="F74" s="22" t="n"/>
      <c r="G74" s="22" t="n"/>
      <c r="H74" s="20" t="n"/>
      <c r="I74" s="12">
        <f>IF(OR($B74="",NOT(ISNUMBER($C74)),NOT(ISNUMBER($D74))),"",ROUND(MOD($D74-$C74,1)*1440,0))</f>
        <v/>
      </c>
      <c r="J74" s="12">
        <f>IF(NOT(ISNUMBER($I74)),0,IF(OR($I74&lt;=0,$H74="Cancelada",$H74="Suspensa"),0,$I74+Limpeza_Min))</f>
        <v/>
      </c>
      <c r="K74" s="12">
        <f>IF($J74&lt;=0,"",SUMPRODUCT((Mapa_Sala=$B74)*(Mapa_Data=$A74)*(Mapa_MinOcup&gt;0)*((Mapa_RelIni&lt;$P74)+((Mapa_RelIni=$P74)*(Mapa_Row&lt;=$S74)))))</f>
        <v/>
      </c>
      <c r="L74" s="23">
        <f>IF($J74&lt;=0,"",MOD(Turno_Ini+($Q74+Limpeza_Min)/1440,1))</f>
        <v/>
      </c>
      <c r="M74" s="12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24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","")&amp;IFERROR(IF(AND($J74&gt;0,$K74&gt;0,COUNTIF(Mapa_Chave,$B74&amp;"#"&amp;$A74&amp;"#"&amp;($K74+1))&gt;0,INDEX(Mapa_RelIni,MATCH($B74&amp;"#"&amp;$A74&amp;"#"&amp;($K74+1),Mapa_Chave,0))-$Q74&lt;Limpeza_Min),"Sem intervalo para limpeza | ",""),"")&amp;IF(AND($J74&gt;0,SUMPRODUCT((Mapa_Sala=$B74)*(Mapa_Data=$A74)*(Mapa_MinOcup&gt;0)*(Mapa_RelIni&lt;$Q74)*(Mapa_RelFim&gt;$P74))&gt;1),"Sobreposição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1">
        <f>IF(NOT(ISNUMBER($C74)),0,ROUND(MOD($C74-Turno_Ini,1)*1440,0))</f>
        <v/>
      </c>
      <c r="Q74" s="11">
        <f>IF($J74&lt;=0,0,$P74+$I74)</f>
        <v/>
      </c>
      <c r="R74" s="11">
        <f>IF($K74="","",$B74&amp;"#"&amp;$A74&amp;"#"&amp;$K74)</f>
        <v/>
      </c>
      <c r="S74" s="11">
        <f>ROW()</f>
        <v/>
      </c>
      <c r="T74" s="11">
        <f>IF($J74&lt;=0,0,MAX(0,MIN($P74+$I74+Limpeza_Min,Turno_Min,IFERROR(INDEX(Mapa_RelIni,MATCH($B74&amp;"#"&amp;$A74&amp;"#"&amp;($K74+1),Mapa_Chave,0)),Turno_Min))-MIN($P74,Turno_Min)))</f>
        <v/>
      </c>
    </row>
    <row r="75">
      <c r="A75" s="19" t="n"/>
      <c r="B75" s="20" t="n"/>
      <c r="C75" s="21" t="n"/>
      <c r="D75" s="21" t="n"/>
      <c r="E75" s="22" t="n"/>
      <c r="F75" s="22" t="n"/>
      <c r="G75" s="22" t="n"/>
      <c r="H75" s="20" t="n"/>
      <c r="I75" s="12">
        <f>IF(OR($B75="",NOT(ISNUMBER($C75)),NOT(ISNUMBER($D75))),"",ROUND(MOD($D75-$C75,1)*1440,0))</f>
        <v/>
      </c>
      <c r="J75" s="12">
        <f>IF(NOT(ISNUMBER($I75)),0,IF(OR($I75&lt;=0,$H75="Cancelada",$H75="Suspensa"),0,$I75+Limpeza_Min))</f>
        <v/>
      </c>
      <c r="K75" s="12">
        <f>IF($J75&lt;=0,"",SUMPRODUCT((Mapa_Sala=$B75)*(Mapa_Data=$A75)*(Mapa_MinOcup&gt;0)*((Mapa_RelIni&lt;$P75)+((Mapa_RelIni=$P75)*(Mapa_Row&lt;=$S75)))))</f>
        <v/>
      </c>
      <c r="L75" s="23">
        <f>IF($J75&lt;=0,"",MOD(Turno_Ini+($Q75+Limpeza_Min)/1440,1))</f>
        <v/>
      </c>
      <c r="M75" s="12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24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","")&amp;IFERROR(IF(AND($J75&gt;0,$K75&gt;0,COUNTIF(Mapa_Chave,$B75&amp;"#"&amp;$A75&amp;"#"&amp;($K75+1))&gt;0,INDEX(Mapa_RelIni,MATCH($B75&amp;"#"&amp;$A75&amp;"#"&amp;($K75+1),Mapa_Chave,0))-$Q75&lt;Limpeza_Min),"Sem intervalo para limpeza | ",""),"")&amp;IF(AND($J75&gt;0,SUMPRODUCT((Mapa_Sala=$B75)*(Mapa_Data=$A75)*(Mapa_MinOcup&gt;0)*(Mapa_RelIni&lt;$Q75)*(Mapa_RelFim&gt;$P75))&gt;1),"Sobreposição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1">
        <f>IF(NOT(ISNUMBER($C75)),0,ROUND(MOD($C75-Turno_Ini,1)*1440,0))</f>
        <v/>
      </c>
      <c r="Q75" s="11">
        <f>IF($J75&lt;=0,0,$P75+$I75)</f>
        <v/>
      </c>
      <c r="R75" s="11">
        <f>IF($K75="","",$B75&amp;"#"&amp;$A75&amp;"#"&amp;$K75)</f>
        <v/>
      </c>
      <c r="S75" s="11">
        <f>ROW()</f>
        <v/>
      </c>
      <c r="T75" s="11">
        <f>IF($J75&lt;=0,0,MAX(0,MIN($P75+$I75+Limpeza_Min,Turno_Min,IFERROR(INDEX(Mapa_RelIni,MATCH($B75&amp;"#"&amp;$A75&amp;"#"&amp;($K75+1),Mapa_Chave,0)),Turno_Min))-MIN($P75,Turno_Min)))</f>
        <v/>
      </c>
    </row>
    <row r="76">
      <c r="A76" s="19" t="n"/>
      <c r="B76" s="20" t="n"/>
      <c r="C76" s="21" t="n"/>
      <c r="D76" s="21" t="n"/>
      <c r="E76" s="22" t="n"/>
      <c r="F76" s="22" t="n"/>
      <c r="G76" s="22" t="n"/>
      <c r="H76" s="20" t="n"/>
      <c r="I76" s="12">
        <f>IF(OR($B76="",NOT(ISNUMBER($C76)),NOT(ISNUMBER($D76))),"",ROUND(MOD($D76-$C76,1)*1440,0))</f>
        <v/>
      </c>
      <c r="J76" s="12">
        <f>IF(NOT(ISNUMBER($I76)),0,IF(OR($I76&lt;=0,$H76="Cancelada",$H76="Suspensa"),0,$I76+Limpeza_Min))</f>
        <v/>
      </c>
      <c r="K76" s="12">
        <f>IF($J76&lt;=0,"",SUMPRODUCT((Mapa_Sala=$B76)*(Mapa_Data=$A76)*(Mapa_MinOcup&gt;0)*((Mapa_RelIni&lt;$P76)+((Mapa_RelIni=$P76)*(Mapa_Row&lt;=$S76)))))</f>
        <v/>
      </c>
      <c r="L76" s="23">
        <f>IF($J76&lt;=0,"",MOD(Turno_Ini+($Q76+Limpeza_Min)/1440,1))</f>
        <v/>
      </c>
      <c r="M76" s="12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24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","")&amp;IFERROR(IF(AND($J76&gt;0,$K76&gt;0,COUNTIF(Mapa_Chave,$B76&amp;"#"&amp;$A76&amp;"#"&amp;($K76+1))&gt;0,INDEX(Mapa_RelIni,MATCH($B76&amp;"#"&amp;$A76&amp;"#"&amp;($K76+1),Mapa_Chave,0))-$Q76&lt;Limpeza_Min),"Sem intervalo para limpeza | ",""),"")&amp;IF(AND($J76&gt;0,SUMPRODUCT((Mapa_Sala=$B76)*(Mapa_Data=$A76)*(Mapa_MinOcup&gt;0)*(Mapa_RelIni&lt;$Q76)*(Mapa_RelFim&gt;$P76))&gt;1),"Sobreposição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1">
        <f>IF(NOT(ISNUMBER($C76)),0,ROUND(MOD($C76-Turno_Ini,1)*1440,0))</f>
        <v/>
      </c>
      <c r="Q76" s="11">
        <f>IF($J76&lt;=0,0,$P76+$I76)</f>
        <v/>
      </c>
      <c r="R76" s="11">
        <f>IF($K76="","",$B76&amp;"#"&amp;$A76&amp;"#"&amp;$K76)</f>
        <v/>
      </c>
      <c r="S76" s="11">
        <f>ROW()</f>
        <v/>
      </c>
      <c r="T76" s="11">
        <f>IF($J76&lt;=0,0,MAX(0,MIN($P76+$I76+Limpeza_Min,Turno_Min,IFERROR(INDEX(Mapa_RelIni,MATCH($B76&amp;"#"&amp;$A76&amp;"#"&amp;($K76+1),Mapa_Chave,0)),Turno_Min))-MIN($P76,Turno_Min)))</f>
        <v/>
      </c>
    </row>
    <row r="77">
      <c r="A77" s="19" t="n"/>
      <c r="B77" s="20" t="n"/>
      <c r="C77" s="21" t="n"/>
      <c r="D77" s="21" t="n"/>
      <c r="E77" s="22" t="n"/>
      <c r="F77" s="22" t="n"/>
      <c r="G77" s="22" t="n"/>
      <c r="H77" s="20" t="n"/>
      <c r="I77" s="12">
        <f>IF(OR($B77="",NOT(ISNUMBER($C77)),NOT(ISNUMBER($D77))),"",ROUND(MOD($D77-$C77,1)*1440,0))</f>
        <v/>
      </c>
      <c r="J77" s="12">
        <f>IF(NOT(ISNUMBER($I77)),0,IF(OR($I77&lt;=0,$H77="Cancelada",$H77="Suspensa"),0,$I77+Limpeza_Min))</f>
        <v/>
      </c>
      <c r="K77" s="12">
        <f>IF($J77&lt;=0,"",SUMPRODUCT((Mapa_Sala=$B77)*(Mapa_Data=$A77)*(Mapa_MinOcup&gt;0)*((Mapa_RelIni&lt;$P77)+((Mapa_RelIni=$P77)*(Mapa_Row&lt;=$S77)))))</f>
        <v/>
      </c>
      <c r="L77" s="23">
        <f>IF($J77&lt;=0,"",MOD(Turno_Ini+($Q77+Limpeza_Min)/1440,1))</f>
        <v/>
      </c>
      <c r="M77" s="12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24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","")&amp;IFERROR(IF(AND($J77&gt;0,$K77&gt;0,COUNTIF(Mapa_Chave,$B77&amp;"#"&amp;$A77&amp;"#"&amp;($K77+1))&gt;0,INDEX(Mapa_RelIni,MATCH($B77&amp;"#"&amp;$A77&amp;"#"&amp;($K77+1),Mapa_Chave,0))-$Q77&lt;Limpeza_Min),"Sem intervalo para limpeza | ",""),"")&amp;IF(AND($J77&gt;0,SUMPRODUCT((Mapa_Sala=$B77)*(Mapa_Data=$A77)*(Mapa_MinOcup&gt;0)*(Mapa_RelIni&lt;$Q77)*(Mapa_RelFim&gt;$P77))&gt;1),"Sobreposição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1">
        <f>IF(NOT(ISNUMBER($C77)),0,ROUND(MOD($C77-Turno_Ini,1)*1440,0))</f>
        <v/>
      </c>
      <c r="Q77" s="11">
        <f>IF($J77&lt;=0,0,$P77+$I77)</f>
        <v/>
      </c>
      <c r="R77" s="11">
        <f>IF($K77="","",$B77&amp;"#"&amp;$A77&amp;"#"&amp;$K77)</f>
        <v/>
      </c>
      <c r="S77" s="11">
        <f>ROW()</f>
        <v/>
      </c>
      <c r="T77" s="11">
        <f>IF($J77&lt;=0,0,MAX(0,MIN($P77+$I77+Limpeza_Min,Turno_Min,IFERROR(INDEX(Mapa_RelIni,MATCH($B77&amp;"#"&amp;$A77&amp;"#"&amp;($K77+1),Mapa_Chave,0)),Turno_Min))-MIN($P77,Turno_Min)))</f>
        <v/>
      </c>
    </row>
    <row r="78">
      <c r="A78" s="19" t="n"/>
      <c r="B78" s="20" t="n"/>
      <c r="C78" s="21" t="n"/>
      <c r="D78" s="21" t="n"/>
      <c r="E78" s="22" t="n"/>
      <c r="F78" s="22" t="n"/>
      <c r="G78" s="22" t="n"/>
      <c r="H78" s="20" t="n"/>
      <c r="I78" s="12">
        <f>IF(OR($B78="",NOT(ISNUMBER($C78)),NOT(ISNUMBER($D78))),"",ROUND(MOD($D78-$C78,1)*1440,0))</f>
        <v/>
      </c>
      <c r="J78" s="12">
        <f>IF(NOT(ISNUMBER($I78)),0,IF(OR($I78&lt;=0,$H78="Cancelada",$H78="Suspensa"),0,$I78+Limpeza_Min))</f>
        <v/>
      </c>
      <c r="K78" s="12">
        <f>IF($J78&lt;=0,"",SUMPRODUCT((Mapa_Sala=$B78)*(Mapa_Data=$A78)*(Mapa_MinOcup&gt;0)*((Mapa_RelIni&lt;$P78)+((Mapa_RelIni=$P78)*(Mapa_Row&lt;=$S78)))))</f>
        <v/>
      </c>
      <c r="L78" s="23">
        <f>IF($J78&lt;=0,"",MOD(Turno_Ini+($Q78+Limpeza_Min)/1440,1))</f>
        <v/>
      </c>
      <c r="M78" s="12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24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","")&amp;IFERROR(IF(AND($J78&gt;0,$K78&gt;0,COUNTIF(Mapa_Chave,$B78&amp;"#"&amp;$A78&amp;"#"&amp;($K78+1))&gt;0,INDEX(Mapa_RelIni,MATCH($B78&amp;"#"&amp;$A78&amp;"#"&amp;($K78+1),Mapa_Chave,0))-$Q78&lt;Limpeza_Min),"Sem intervalo para limpeza | ",""),"")&amp;IF(AND($J78&gt;0,SUMPRODUCT((Mapa_Sala=$B78)*(Mapa_Data=$A78)*(Mapa_MinOcup&gt;0)*(Mapa_RelIni&lt;$Q78)*(Mapa_RelFim&gt;$P78))&gt;1),"Sobreposição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1">
        <f>IF(NOT(ISNUMBER($C78)),0,ROUND(MOD($C78-Turno_Ini,1)*1440,0))</f>
        <v/>
      </c>
      <c r="Q78" s="11">
        <f>IF($J78&lt;=0,0,$P78+$I78)</f>
        <v/>
      </c>
      <c r="R78" s="11">
        <f>IF($K78="","",$B78&amp;"#"&amp;$A78&amp;"#"&amp;$K78)</f>
        <v/>
      </c>
      <c r="S78" s="11">
        <f>ROW()</f>
        <v/>
      </c>
      <c r="T78" s="11">
        <f>IF($J78&lt;=0,0,MAX(0,MIN($P78+$I78+Limpeza_Min,Turno_Min,IFERROR(INDEX(Mapa_RelIni,MATCH($B78&amp;"#"&amp;$A78&amp;"#"&amp;($K78+1),Mapa_Chave,0)),Turno_Min))-MIN($P78,Turno_Min)))</f>
        <v/>
      </c>
    </row>
    <row r="79">
      <c r="A79" s="19" t="n"/>
      <c r="B79" s="20" t="n"/>
      <c r="C79" s="21" t="n"/>
      <c r="D79" s="21" t="n"/>
      <c r="E79" s="22" t="n"/>
      <c r="F79" s="22" t="n"/>
      <c r="G79" s="22" t="n"/>
      <c r="H79" s="20" t="n"/>
      <c r="I79" s="12">
        <f>IF(OR($B79="",NOT(ISNUMBER($C79)),NOT(ISNUMBER($D79))),"",ROUND(MOD($D79-$C79,1)*1440,0))</f>
        <v/>
      </c>
      <c r="J79" s="12">
        <f>IF(NOT(ISNUMBER($I79)),0,IF(OR($I79&lt;=0,$H79="Cancelada",$H79="Suspensa"),0,$I79+Limpeza_Min))</f>
        <v/>
      </c>
      <c r="K79" s="12">
        <f>IF($J79&lt;=0,"",SUMPRODUCT((Mapa_Sala=$B79)*(Mapa_Data=$A79)*(Mapa_MinOcup&gt;0)*((Mapa_RelIni&lt;$P79)+((Mapa_RelIni=$P79)*(Mapa_Row&lt;=$S79)))))</f>
        <v/>
      </c>
      <c r="L79" s="23">
        <f>IF($J79&lt;=0,"",MOD(Turno_Ini+($Q79+Limpeza_Min)/1440,1))</f>
        <v/>
      </c>
      <c r="M79" s="12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24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","")&amp;IFERROR(IF(AND($J79&gt;0,$K79&gt;0,COUNTIF(Mapa_Chave,$B79&amp;"#"&amp;$A79&amp;"#"&amp;($K79+1))&gt;0,INDEX(Mapa_RelIni,MATCH($B79&amp;"#"&amp;$A79&amp;"#"&amp;($K79+1),Mapa_Chave,0))-$Q79&lt;Limpeza_Min),"Sem intervalo para limpeza | ",""),"")&amp;IF(AND($J79&gt;0,SUMPRODUCT((Mapa_Sala=$B79)*(Mapa_Data=$A79)*(Mapa_MinOcup&gt;0)*(Mapa_RelIni&lt;$Q79)*(Mapa_RelFim&gt;$P79))&gt;1),"Sobreposição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1">
        <f>IF(NOT(ISNUMBER($C79)),0,ROUND(MOD($C79-Turno_Ini,1)*1440,0))</f>
        <v/>
      </c>
      <c r="Q79" s="11">
        <f>IF($J79&lt;=0,0,$P79+$I79)</f>
        <v/>
      </c>
      <c r="R79" s="11">
        <f>IF($K79="","",$B79&amp;"#"&amp;$A79&amp;"#"&amp;$K79)</f>
        <v/>
      </c>
      <c r="S79" s="11">
        <f>ROW()</f>
        <v/>
      </c>
      <c r="T79" s="11">
        <f>IF($J79&lt;=0,0,MAX(0,MIN($P79+$I79+Limpeza_Min,Turno_Min,IFERROR(INDEX(Mapa_RelIni,MATCH($B79&amp;"#"&amp;$A79&amp;"#"&amp;($K79+1),Mapa_Chave,0)),Turno_Min))-MIN($P79,Turno_Min)))</f>
        <v/>
      </c>
    </row>
    <row r="80">
      <c r="A80" s="19" t="n"/>
      <c r="B80" s="20" t="n"/>
      <c r="C80" s="21" t="n"/>
      <c r="D80" s="21" t="n"/>
      <c r="E80" s="22" t="n"/>
      <c r="F80" s="22" t="n"/>
      <c r="G80" s="22" t="n"/>
      <c r="H80" s="20" t="n"/>
      <c r="I80" s="12">
        <f>IF(OR($B80="",NOT(ISNUMBER($C80)),NOT(ISNUMBER($D80))),"",ROUND(MOD($D80-$C80,1)*1440,0))</f>
        <v/>
      </c>
      <c r="J80" s="12">
        <f>IF(NOT(ISNUMBER($I80)),0,IF(OR($I80&lt;=0,$H80="Cancelada",$H80="Suspensa"),0,$I80+Limpeza_Min))</f>
        <v/>
      </c>
      <c r="K80" s="12">
        <f>IF($J80&lt;=0,"",SUMPRODUCT((Mapa_Sala=$B80)*(Mapa_Data=$A80)*(Mapa_MinOcup&gt;0)*((Mapa_RelIni&lt;$P80)+((Mapa_RelIni=$P80)*(Mapa_Row&lt;=$S80)))))</f>
        <v/>
      </c>
      <c r="L80" s="23">
        <f>IF($J80&lt;=0,"",MOD(Turno_Ini+($Q80+Limpeza_Min)/1440,1))</f>
        <v/>
      </c>
      <c r="M80" s="12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24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","")&amp;IFERROR(IF(AND($J80&gt;0,$K80&gt;0,COUNTIF(Mapa_Chave,$B80&amp;"#"&amp;$A80&amp;"#"&amp;($K80+1))&gt;0,INDEX(Mapa_RelIni,MATCH($B80&amp;"#"&amp;$A80&amp;"#"&amp;($K80+1),Mapa_Chave,0))-$Q80&lt;Limpeza_Min),"Sem intervalo para limpeza | ",""),"")&amp;IF(AND($J80&gt;0,SUMPRODUCT((Mapa_Sala=$B80)*(Mapa_Data=$A80)*(Mapa_MinOcup&gt;0)*(Mapa_RelIni&lt;$Q80)*(Mapa_RelFim&gt;$P80))&gt;1),"Sobreposição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1">
        <f>IF(NOT(ISNUMBER($C80)),0,ROUND(MOD($C80-Turno_Ini,1)*1440,0))</f>
        <v/>
      </c>
      <c r="Q80" s="11">
        <f>IF($J80&lt;=0,0,$P80+$I80)</f>
        <v/>
      </c>
      <c r="R80" s="11">
        <f>IF($K80="","",$B80&amp;"#"&amp;$A80&amp;"#"&amp;$K80)</f>
        <v/>
      </c>
      <c r="S80" s="11">
        <f>ROW()</f>
        <v/>
      </c>
      <c r="T80" s="11">
        <f>IF($J80&lt;=0,0,MAX(0,MIN($P80+$I80+Limpeza_Min,Turno_Min,IFERROR(INDEX(Mapa_RelIni,MATCH($B80&amp;"#"&amp;$A80&amp;"#"&amp;($K80+1),Mapa_Chave,0)),Turno_Min))-MIN($P80,Turno_Min)))</f>
        <v/>
      </c>
    </row>
    <row r="81">
      <c r="A81" s="19" t="n"/>
      <c r="B81" s="20" t="n"/>
      <c r="C81" s="21" t="n"/>
      <c r="D81" s="21" t="n"/>
      <c r="E81" s="22" t="n"/>
      <c r="F81" s="22" t="n"/>
      <c r="G81" s="22" t="n"/>
      <c r="H81" s="20" t="n"/>
      <c r="I81" s="12">
        <f>IF(OR($B81="",NOT(ISNUMBER($C81)),NOT(ISNUMBER($D81))),"",ROUND(MOD($D81-$C81,1)*1440,0))</f>
        <v/>
      </c>
      <c r="J81" s="12">
        <f>IF(NOT(ISNUMBER($I81)),0,IF(OR($I81&lt;=0,$H81="Cancelada",$H81="Suspensa"),0,$I81+Limpeza_Min))</f>
        <v/>
      </c>
      <c r="K81" s="12">
        <f>IF($J81&lt;=0,"",SUMPRODUCT((Mapa_Sala=$B81)*(Mapa_Data=$A81)*(Mapa_MinOcup&gt;0)*((Mapa_RelIni&lt;$P81)+((Mapa_RelIni=$P81)*(Mapa_Row&lt;=$S81)))))</f>
        <v/>
      </c>
      <c r="L81" s="23">
        <f>IF($J81&lt;=0,"",MOD(Turno_Ini+($Q81+Limpeza_Min)/1440,1))</f>
        <v/>
      </c>
      <c r="M81" s="12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24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","")&amp;IFERROR(IF(AND($J81&gt;0,$K81&gt;0,COUNTIF(Mapa_Chave,$B81&amp;"#"&amp;$A81&amp;"#"&amp;($K81+1))&gt;0,INDEX(Mapa_RelIni,MATCH($B81&amp;"#"&amp;$A81&amp;"#"&amp;($K81+1),Mapa_Chave,0))-$Q81&lt;Limpeza_Min),"Sem intervalo para limpeza | ",""),"")&amp;IF(AND($J81&gt;0,SUMPRODUCT((Mapa_Sala=$B81)*(Mapa_Data=$A81)*(Mapa_MinOcup&gt;0)*(Mapa_RelIni&lt;$Q81)*(Mapa_RelFim&gt;$P81))&gt;1),"Sobreposição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1">
        <f>IF(NOT(ISNUMBER($C81)),0,ROUND(MOD($C81-Turno_Ini,1)*1440,0))</f>
        <v/>
      </c>
      <c r="Q81" s="11">
        <f>IF($J81&lt;=0,0,$P81+$I81)</f>
        <v/>
      </c>
      <c r="R81" s="11">
        <f>IF($K81="","",$B81&amp;"#"&amp;$A81&amp;"#"&amp;$K81)</f>
        <v/>
      </c>
      <c r="S81" s="11">
        <f>ROW()</f>
        <v/>
      </c>
      <c r="T81" s="11">
        <f>IF($J81&lt;=0,0,MAX(0,MIN($P81+$I81+Limpeza_Min,Turno_Min,IFERROR(INDEX(Mapa_RelIni,MATCH($B81&amp;"#"&amp;$A81&amp;"#"&amp;($K81+1),Mapa_Chave,0)),Turno_Min))-MIN($P81,Turno_Min)))</f>
        <v/>
      </c>
    </row>
    <row r="82">
      <c r="A82" s="19" t="n"/>
      <c r="B82" s="20" t="n"/>
      <c r="C82" s="21" t="n"/>
      <c r="D82" s="21" t="n"/>
      <c r="E82" s="22" t="n"/>
      <c r="F82" s="22" t="n"/>
      <c r="G82" s="22" t="n"/>
      <c r="H82" s="20" t="n"/>
      <c r="I82" s="12">
        <f>IF(OR($B82="",NOT(ISNUMBER($C82)),NOT(ISNUMBER($D82))),"",ROUND(MOD($D82-$C82,1)*1440,0))</f>
        <v/>
      </c>
      <c r="J82" s="12">
        <f>IF(NOT(ISNUMBER($I82)),0,IF(OR($I82&lt;=0,$H82="Cancelada",$H82="Suspensa"),0,$I82+Limpeza_Min))</f>
        <v/>
      </c>
      <c r="K82" s="12">
        <f>IF($J82&lt;=0,"",SUMPRODUCT((Mapa_Sala=$B82)*(Mapa_Data=$A82)*(Mapa_MinOcup&gt;0)*((Mapa_RelIni&lt;$P82)+((Mapa_RelIni=$P82)*(Mapa_Row&lt;=$S82)))))</f>
        <v/>
      </c>
      <c r="L82" s="23">
        <f>IF($J82&lt;=0,"",MOD(Turno_Ini+($Q82+Limpeza_Min)/1440,1))</f>
        <v/>
      </c>
      <c r="M82" s="12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24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","")&amp;IFERROR(IF(AND($J82&gt;0,$K82&gt;0,COUNTIF(Mapa_Chave,$B82&amp;"#"&amp;$A82&amp;"#"&amp;($K82+1))&gt;0,INDEX(Mapa_RelIni,MATCH($B82&amp;"#"&amp;$A82&amp;"#"&amp;($K82+1),Mapa_Chave,0))-$Q82&lt;Limpeza_Min),"Sem intervalo para limpeza | ",""),"")&amp;IF(AND($J82&gt;0,SUMPRODUCT((Mapa_Sala=$B82)*(Mapa_Data=$A82)*(Mapa_MinOcup&gt;0)*(Mapa_RelIni&lt;$Q82)*(Mapa_RelFim&gt;$P82))&gt;1),"Sobreposição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1">
        <f>IF(NOT(ISNUMBER($C82)),0,ROUND(MOD($C82-Turno_Ini,1)*1440,0))</f>
        <v/>
      </c>
      <c r="Q82" s="11">
        <f>IF($J82&lt;=0,0,$P82+$I82)</f>
        <v/>
      </c>
      <c r="R82" s="11">
        <f>IF($K82="","",$B82&amp;"#"&amp;$A82&amp;"#"&amp;$K82)</f>
        <v/>
      </c>
      <c r="S82" s="11">
        <f>ROW()</f>
        <v/>
      </c>
      <c r="T82" s="11">
        <f>IF($J82&lt;=0,0,MAX(0,MIN($P82+$I82+Limpeza_Min,Turno_Min,IFERROR(INDEX(Mapa_RelIni,MATCH($B82&amp;"#"&amp;$A82&amp;"#"&amp;($K82+1),Mapa_Chave,0)),Turno_Min))-MIN($P82,Turno_Min)))</f>
        <v/>
      </c>
    </row>
    <row r="83">
      <c r="A83" s="19" t="n"/>
      <c r="B83" s="20" t="n"/>
      <c r="C83" s="21" t="n"/>
      <c r="D83" s="21" t="n"/>
      <c r="E83" s="22" t="n"/>
      <c r="F83" s="22" t="n"/>
      <c r="G83" s="22" t="n"/>
      <c r="H83" s="20" t="n"/>
      <c r="I83" s="12">
        <f>IF(OR($B83="",NOT(ISNUMBER($C83)),NOT(ISNUMBER($D83))),"",ROUND(MOD($D83-$C83,1)*1440,0))</f>
        <v/>
      </c>
      <c r="J83" s="12">
        <f>IF(NOT(ISNUMBER($I83)),0,IF(OR($I83&lt;=0,$H83="Cancelada",$H83="Suspensa"),0,$I83+Limpeza_Min))</f>
        <v/>
      </c>
      <c r="K83" s="12">
        <f>IF($J83&lt;=0,"",SUMPRODUCT((Mapa_Sala=$B83)*(Mapa_Data=$A83)*(Mapa_MinOcup&gt;0)*((Mapa_RelIni&lt;$P83)+((Mapa_RelIni=$P83)*(Mapa_Row&lt;=$S83)))))</f>
        <v/>
      </c>
      <c r="L83" s="23">
        <f>IF($J83&lt;=0,"",MOD(Turno_Ini+($Q83+Limpeza_Min)/1440,1))</f>
        <v/>
      </c>
      <c r="M83" s="12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24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","")&amp;IFERROR(IF(AND($J83&gt;0,$K83&gt;0,COUNTIF(Mapa_Chave,$B83&amp;"#"&amp;$A83&amp;"#"&amp;($K83+1))&gt;0,INDEX(Mapa_RelIni,MATCH($B83&amp;"#"&amp;$A83&amp;"#"&amp;($K83+1),Mapa_Chave,0))-$Q83&lt;Limpeza_Min),"Sem intervalo para limpeza | ",""),"")&amp;IF(AND($J83&gt;0,SUMPRODUCT((Mapa_Sala=$B83)*(Mapa_Data=$A83)*(Mapa_MinOcup&gt;0)*(Mapa_RelIni&lt;$Q83)*(Mapa_RelFim&gt;$P83))&gt;1),"Sobreposição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1">
        <f>IF(NOT(ISNUMBER($C83)),0,ROUND(MOD($C83-Turno_Ini,1)*1440,0))</f>
        <v/>
      </c>
      <c r="Q83" s="11">
        <f>IF($J83&lt;=0,0,$P83+$I83)</f>
        <v/>
      </c>
      <c r="R83" s="11">
        <f>IF($K83="","",$B83&amp;"#"&amp;$A83&amp;"#"&amp;$K83)</f>
        <v/>
      </c>
      <c r="S83" s="11">
        <f>ROW()</f>
        <v/>
      </c>
      <c r="T83" s="11">
        <f>IF($J83&lt;=0,0,MAX(0,MIN($P83+$I83+Limpeza_Min,Turno_Min,IFERROR(INDEX(Mapa_RelIni,MATCH($B83&amp;"#"&amp;$A83&amp;"#"&amp;($K83+1),Mapa_Chave,0)),Turno_Min))-MIN($P83,Turno_Min)))</f>
        <v/>
      </c>
    </row>
    <row r="84">
      <c r="A84" s="19" t="n"/>
      <c r="B84" s="20" t="n"/>
      <c r="C84" s="21" t="n"/>
      <c r="D84" s="21" t="n"/>
      <c r="E84" s="22" t="n"/>
      <c r="F84" s="22" t="n"/>
      <c r="G84" s="22" t="n"/>
      <c r="H84" s="20" t="n"/>
      <c r="I84" s="12">
        <f>IF(OR($B84="",NOT(ISNUMBER($C84)),NOT(ISNUMBER($D84))),"",ROUND(MOD($D84-$C84,1)*1440,0))</f>
        <v/>
      </c>
      <c r="J84" s="12">
        <f>IF(NOT(ISNUMBER($I84)),0,IF(OR($I84&lt;=0,$H84="Cancelada",$H84="Suspensa"),0,$I84+Limpeza_Min))</f>
        <v/>
      </c>
      <c r="K84" s="12">
        <f>IF($J84&lt;=0,"",SUMPRODUCT((Mapa_Sala=$B84)*(Mapa_Data=$A84)*(Mapa_MinOcup&gt;0)*((Mapa_RelIni&lt;$P84)+((Mapa_RelIni=$P84)*(Mapa_Row&lt;=$S84)))))</f>
        <v/>
      </c>
      <c r="L84" s="23">
        <f>IF($J84&lt;=0,"",MOD(Turno_Ini+($Q84+Limpeza_Min)/1440,1))</f>
        <v/>
      </c>
      <c r="M84" s="12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24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","")&amp;IFERROR(IF(AND($J84&gt;0,$K84&gt;0,COUNTIF(Mapa_Chave,$B84&amp;"#"&amp;$A84&amp;"#"&amp;($K84+1))&gt;0,INDEX(Mapa_RelIni,MATCH($B84&amp;"#"&amp;$A84&amp;"#"&amp;($K84+1),Mapa_Chave,0))-$Q84&lt;Limpeza_Min),"Sem intervalo para limpeza | ",""),"")&amp;IF(AND($J84&gt;0,SUMPRODUCT((Mapa_Sala=$B84)*(Mapa_Data=$A84)*(Mapa_MinOcup&gt;0)*(Mapa_RelIni&lt;$Q84)*(Mapa_RelFim&gt;$P84))&gt;1),"Sobreposição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1">
        <f>IF(NOT(ISNUMBER($C84)),0,ROUND(MOD($C84-Turno_Ini,1)*1440,0))</f>
        <v/>
      </c>
      <c r="Q84" s="11">
        <f>IF($J84&lt;=0,0,$P84+$I84)</f>
        <v/>
      </c>
      <c r="R84" s="11">
        <f>IF($K84="","",$B84&amp;"#"&amp;$A84&amp;"#"&amp;$K84)</f>
        <v/>
      </c>
      <c r="S84" s="11">
        <f>ROW()</f>
        <v/>
      </c>
      <c r="T84" s="11">
        <f>IF($J84&lt;=0,0,MAX(0,MIN($P84+$I84+Limpeza_Min,Turno_Min,IFERROR(INDEX(Mapa_RelIni,MATCH($B84&amp;"#"&amp;$A84&amp;"#"&amp;($K84+1),Mapa_Chave,0)),Turno_Min))-MIN($P84,Turno_Min)))</f>
        <v/>
      </c>
    </row>
    <row r="85">
      <c r="A85" s="19" t="n"/>
      <c r="B85" s="20" t="n"/>
      <c r="C85" s="21" t="n"/>
      <c r="D85" s="21" t="n"/>
      <c r="E85" s="22" t="n"/>
      <c r="F85" s="22" t="n"/>
      <c r="G85" s="22" t="n"/>
      <c r="H85" s="20" t="n"/>
      <c r="I85" s="12">
        <f>IF(OR($B85="",NOT(ISNUMBER($C85)),NOT(ISNUMBER($D85))),"",ROUND(MOD($D85-$C85,1)*1440,0))</f>
        <v/>
      </c>
      <c r="J85" s="12">
        <f>IF(NOT(ISNUMBER($I85)),0,IF(OR($I85&lt;=0,$H85="Cancelada",$H85="Suspensa"),0,$I85+Limpeza_Min))</f>
        <v/>
      </c>
      <c r="K85" s="12">
        <f>IF($J85&lt;=0,"",SUMPRODUCT((Mapa_Sala=$B85)*(Mapa_Data=$A85)*(Mapa_MinOcup&gt;0)*((Mapa_RelIni&lt;$P85)+((Mapa_RelIni=$P85)*(Mapa_Row&lt;=$S85)))))</f>
        <v/>
      </c>
      <c r="L85" s="23">
        <f>IF($J85&lt;=0,"",MOD(Turno_Ini+($Q85+Limpeza_Min)/1440,1))</f>
        <v/>
      </c>
      <c r="M85" s="12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24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","")&amp;IFERROR(IF(AND($J85&gt;0,$K85&gt;0,COUNTIF(Mapa_Chave,$B85&amp;"#"&amp;$A85&amp;"#"&amp;($K85+1))&gt;0,INDEX(Mapa_RelIni,MATCH($B85&amp;"#"&amp;$A85&amp;"#"&amp;($K85+1),Mapa_Chave,0))-$Q85&lt;Limpeza_Min),"Sem intervalo para limpeza | ",""),"")&amp;IF(AND($J85&gt;0,SUMPRODUCT((Mapa_Sala=$B85)*(Mapa_Data=$A85)*(Mapa_MinOcup&gt;0)*(Mapa_RelIni&lt;$Q85)*(Mapa_RelFim&gt;$P85))&gt;1),"Sobreposição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1">
        <f>IF(NOT(ISNUMBER($C85)),0,ROUND(MOD($C85-Turno_Ini,1)*1440,0))</f>
        <v/>
      </c>
      <c r="Q85" s="11">
        <f>IF($J85&lt;=0,0,$P85+$I85)</f>
        <v/>
      </c>
      <c r="R85" s="11">
        <f>IF($K85="","",$B85&amp;"#"&amp;$A85&amp;"#"&amp;$K85)</f>
        <v/>
      </c>
      <c r="S85" s="11">
        <f>ROW()</f>
        <v/>
      </c>
      <c r="T85" s="11">
        <f>IF($J85&lt;=0,0,MAX(0,MIN($P85+$I85+Limpeza_Min,Turno_Min,IFERROR(INDEX(Mapa_RelIni,MATCH($B85&amp;"#"&amp;$A85&amp;"#"&amp;($K85+1),Mapa_Chave,0)),Turno_Min))-MIN($P85,Turno_Min)))</f>
        <v/>
      </c>
    </row>
    <row r="86">
      <c r="A86" s="19" t="n"/>
      <c r="B86" s="20" t="n"/>
      <c r="C86" s="21" t="n"/>
      <c r="D86" s="21" t="n"/>
      <c r="E86" s="22" t="n"/>
      <c r="F86" s="22" t="n"/>
      <c r="G86" s="22" t="n"/>
      <c r="H86" s="20" t="n"/>
      <c r="I86" s="12">
        <f>IF(OR($B86="",NOT(ISNUMBER($C86)),NOT(ISNUMBER($D86))),"",ROUND(MOD($D86-$C86,1)*1440,0))</f>
        <v/>
      </c>
      <c r="J86" s="12">
        <f>IF(NOT(ISNUMBER($I86)),0,IF(OR($I86&lt;=0,$H86="Cancelada",$H86="Suspensa"),0,$I86+Limpeza_Min))</f>
        <v/>
      </c>
      <c r="K86" s="12">
        <f>IF($J86&lt;=0,"",SUMPRODUCT((Mapa_Sala=$B86)*(Mapa_Data=$A86)*(Mapa_MinOcup&gt;0)*((Mapa_RelIni&lt;$P86)+((Mapa_RelIni=$P86)*(Mapa_Row&lt;=$S86)))))</f>
        <v/>
      </c>
      <c r="L86" s="23">
        <f>IF($J86&lt;=0,"",MOD(Turno_Ini+($Q86+Limpeza_Min)/1440,1))</f>
        <v/>
      </c>
      <c r="M86" s="12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24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","")&amp;IFERROR(IF(AND($J86&gt;0,$K86&gt;0,COUNTIF(Mapa_Chave,$B86&amp;"#"&amp;$A86&amp;"#"&amp;($K86+1))&gt;0,INDEX(Mapa_RelIni,MATCH($B86&amp;"#"&amp;$A86&amp;"#"&amp;($K86+1),Mapa_Chave,0))-$Q86&lt;Limpeza_Min),"Sem intervalo para limpeza | ",""),"")&amp;IF(AND($J86&gt;0,SUMPRODUCT((Mapa_Sala=$B86)*(Mapa_Data=$A86)*(Mapa_MinOcup&gt;0)*(Mapa_RelIni&lt;$Q86)*(Mapa_RelFim&gt;$P86))&gt;1),"Sobreposição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1">
        <f>IF(NOT(ISNUMBER($C86)),0,ROUND(MOD($C86-Turno_Ini,1)*1440,0))</f>
        <v/>
      </c>
      <c r="Q86" s="11">
        <f>IF($J86&lt;=0,0,$P86+$I86)</f>
        <v/>
      </c>
      <c r="R86" s="11">
        <f>IF($K86="","",$B86&amp;"#"&amp;$A86&amp;"#"&amp;$K86)</f>
        <v/>
      </c>
      <c r="S86" s="11">
        <f>ROW()</f>
        <v/>
      </c>
      <c r="T86" s="11">
        <f>IF($J86&lt;=0,0,MAX(0,MIN($P86+$I86+Limpeza_Min,Turno_Min,IFERROR(INDEX(Mapa_RelIni,MATCH($B86&amp;"#"&amp;$A86&amp;"#"&amp;($K86+1),Mapa_Chave,0)),Turno_Min))-MIN($P86,Turno_Min)))</f>
        <v/>
      </c>
    </row>
    <row r="87">
      <c r="A87" s="19" t="n"/>
      <c r="B87" s="20" t="n"/>
      <c r="C87" s="21" t="n"/>
      <c r="D87" s="21" t="n"/>
      <c r="E87" s="22" t="n"/>
      <c r="F87" s="22" t="n"/>
      <c r="G87" s="22" t="n"/>
      <c r="H87" s="20" t="n"/>
      <c r="I87" s="12">
        <f>IF(OR($B87="",NOT(ISNUMBER($C87)),NOT(ISNUMBER($D87))),"",ROUND(MOD($D87-$C87,1)*1440,0))</f>
        <v/>
      </c>
      <c r="J87" s="12">
        <f>IF(NOT(ISNUMBER($I87)),0,IF(OR($I87&lt;=0,$H87="Cancelada",$H87="Suspensa"),0,$I87+Limpeza_Min))</f>
        <v/>
      </c>
      <c r="K87" s="12">
        <f>IF($J87&lt;=0,"",SUMPRODUCT((Mapa_Sala=$B87)*(Mapa_Data=$A87)*(Mapa_MinOcup&gt;0)*((Mapa_RelIni&lt;$P87)+((Mapa_RelIni=$P87)*(Mapa_Row&lt;=$S87)))))</f>
        <v/>
      </c>
      <c r="L87" s="23">
        <f>IF($J87&lt;=0,"",MOD(Turno_Ini+($Q87+Limpeza_Min)/1440,1))</f>
        <v/>
      </c>
      <c r="M87" s="12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24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","")&amp;IFERROR(IF(AND($J87&gt;0,$K87&gt;0,COUNTIF(Mapa_Chave,$B87&amp;"#"&amp;$A87&amp;"#"&amp;($K87+1))&gt;0,INDEX(Mapa_RelIni,MATCH($B87&amp;"#"&amp;$A87&amp;"#"&amp;($K87+1),Mapa_Chave,0))-$Q87&lt;Limpeza_Min),"Sem intervalo para limpeza | ",""),"")&amp;IF(AND($J87&gt;0,SUMPRODUCT((Mapa_Sala=$B87)*(Mapa_Data=$A87)*(Mapa_MinOcup&gt;0)*(Mapa_RelIni&lt;$Q87)*(Mapa_RelFim&gt;$P87))&gt;1),"Sobreposição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1">
        <f>IF(NOT(ISNUMBER($C87)),0,ROUND(MOD($C87-Turno_Ini,1)*1440,0))</f>
        <v/>
      </c>
      <c r="Q87" s="11">
        <f>IF($J87&lt;=0,0,$P87+$I87)</f>
        <v/>
      </c>
      <c r="R87" s="11">
        <f>IF($K87="","",$B87&amp;"#"&amp;$A87&amp;"#"&amp;$K87)</f>
        <v/>
      </c>
      <c r="S87" s="11">
        <f>ROW()</f>
        <v/>
      </c>
      <c r="T87" s="11">
        <f>IF($J87&lt;=0,0,MAX(0,MIN($P87+$I87+Limpeza_Min,Turno_Min,IFERROR(INDEX(Mapa_RelIni,MATCH($B87&amp;"#"&amp;$A87&amp;"#"&amp;($K87+1),Mapa_Chave,0)),Turno_Min))-MIN($P87,Turno_Min)))</f>
        <v/>
      </c>
    </row>
    <row r="88">
      <c r="A88" s="19" t="n"/>
      <c r="B88" s="20" t="n"/>
      <c r="C88" s="21" t="n"/>
      <c r="D88" s="21" t="n"/>
      <c r="E88" s="22" t="n"/>
      <c r="F88" s="22" t="n"/>
      <c r="G88" s="22" t="n"/>
      <c r="H88" s="20" t="n"/>
      <c r="I88" s="12">
        <f>IF(OR($B88="",NOT(ISNUMBER($C88)),NOT(ISNUMBER($D88))),"",ROUND(MOD($D88-$C88,1)*1440,0))</f>
        <v/>
      </c>
      <c r="J88" s="12">
        <f>IF(NOT(ISNUMBER($I88)),0,IF(OR($I88&lt;=0,$H88="Cancelada",$H88="Suspensa"),0,$I88+Limpeza_Min))</f>
        <v/>
      </c>
      <c r="K88" s="12">
        <f>IF($J88&lt;=0,"",SUMPRODUCT((Mapa_Sala=$B88)*(Mapa_Data=$A88)*(Mapa_MinOcup&gt;0)*((Mapa_RelIni&lt;$P88)+((Mapa_RelIni=$P88)*(Mapa_Row&lt;=$S88)))))</f>
        <v/>
      </c>
      <c r="L88" s="23">
        <f>IF($J88&lt;=0,"",MOD(Turno_Ini+($Q88+Limpeza_Min)/1440,1))</f>
        <v/>
      </c>
      <c r="M88" s="12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24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","")&amp;IFERROR(IF(AND($J88&gt;0,$K88&gt;0,COUNTIF(Mapa_Chave,$B88&amp;"#"&amp;$A88&amp;"#"&amp;($K88+1))&gt;0,INDEX(Mapa_RelIni,MATCH($B88&amp;"#"&amp;$A88&amp;"#"&amp;($K88+1),Mapa_Chave,0))-$Q88&lt;Limpeza_Min),"Sem intervalo para limpeza | ",""),"")&amp;IF(AND($J88&gt;0,SUMPRODUCT((Mapa_Sala=$B88)*(Mapa_Data=$A88)*(Mapa_MinOcup&gt;0)*(Mapa_RelIni&lt;$Q88)*(Mapa_RelFim&gt;$P88))&gt;1),"Sobreposição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1">
        <f>IF(NOT(ISNUMBER($C88)),0,ROUND(MOD($C88-Turno_Ini,1)*1440,0))</f>
        <v/>
      </c>
      <c r="Q88" s="11">
        <f>IF($J88&lt;=0,0,$P88+$I88)</f>
        <v/>
      </c>
      <c r="R88" s="11">
        <f>IF($K88="","",$B88&amp;"#"&amp;$A88&amp;"#"&amp;$K88)</f>
        <v/>
      </c>
      <c r="S88" s="11">
        <f>ROW()</f>
        <v/>
      </c>
      <c r="T88" s="11">
        <f>IF($J88&lt;=0,0,MAX(0,MIN($P88+$I88+Limpeza_Min,Turno_Min,IFERROR(INDEX(Mapa_RelIni,MATCH($B88&amp;"#"&amp;$A88&amp;"#"&amp;($K88+1),Mapa_Chave,0)),Turno_Min))-MIN($P88,Turno_Min)))</f>
        <v/>
      </c>
    </row>
    <row r="89">
      <c r="A89" s="19" t="n"/>
      <c r="B89" s="20" t="n"/>
      <c r="C89" s="21" t="n"/>
      <c r="D89" s="21" t="n"/>
      <c r="E89" s="22" t="n"/>
      <c r="F89" s="22" t="n"/>
      <c r="G89" s="22" t="n"/>
      <c r="H89" s="20" t="n"/>
      <c r="I89" s="12">
        <f>IF(OR($B89="",NOT(ISNUMBER($C89)),NOT(ISNUMBER($D89))),"",ROUND(MOD($D89-$C89,1)*1440,0))</f>
        <v/>
      </c>
      <c r="J89" s="12">
        <f>IF(NOT(ISNUMBER($I89)),0,IF(OR($I89&lt;=0,$H89="Cancelada",$H89="Suspensa"),0,$I89+Limpeza_Min))</f>
        <v/>
      </c>
      <c r="K89" s="12">
        <f>IF($J89&lt;=0,"",SUMPRODUCT((Mapa_Sala=$B89)*(Mapa_Data=$A89)*(Mapa_MinOcup&gt;0)*((Mapa_RelIni&lt;$P89)+((Mapa_RelIni=$P89)*(Mapa_Row&lt;=$S89)))))</f>
        <v/>
      </c>
      <c r="L89" s="23">
        <f>IF($J89&lt;=0,"",MOD(Turno_Ini+($Q89+Limpeza_Min)/1440,1))</f>
        <v/>
      </c>
      <c r="M89" s="12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24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","")&amp;IFERROR(IF(AND($J89&gt;0,$K89&gt;0,COUNTIF(Mapa_Chave,$B89&amp;"#"&amp;$A89&amp;"#"&amp;($K89+1))&gt;0,INDEX(Mapa_RelIni,MATCH($B89&amp;"#"&amp;$A89&amp;"#"&amp;($K89+1),Mapa_Chave,0))-$Q89&lt;Limpeza_Min),"Sem intervalo para limpeza | ",""),"")&amp;IF(AND($J89&gt;0,SUMPRODUCT((Mapa_Sala=$B89)*(Mapa_Data=$A89)*(Mapa_MinOcup&gt;0)*(Mapa_RelIni&lt;$Q89)*(Mapa_RelFim&gt;$P89))&gt;1),"Sobreposição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1">
        <f>IF(NOT(ISNUMBER($C89)),0,ROUND(MOD($C89-Turno_Ini,1)*1440,0))</f>
        <v/>
      </c>
      <c r="Q89" s="11">
        <f>IF($J89&lt;=0,0,$P89+$I89)</f>
        <v/>
      </c>
      <c r="R89" s="11">
        <f>IF($K89="","",$B89&amp;"#"&amp;$A89&amp;"#"&amp;$K89)</f>
        <v/>
      </c>
      <c r="S89" s="11">
        <f>ROW()</f>
        <v/>
      </c>
      <c r="T89" s="11">
        <f>IF($J89&lt;=0,0,MAX(0,MIN($P89+$I89+Limpeza_Min,Turno_Min,IFERROR(INDEX(Mapa_RelIni,MATCH($B89&amp;"#"&amp;$A89&amp;"#"&amp;($K89+1),Mapa_Chave,0)),Turno_Min))-MIN($P89,Turno_Min)))</f>
        <v/>
      </c>
    </row>
    <row r="90">
      <c r="A90" s="19" t="n"/>
      <c r="B90" s="20" t="n"/>
      <c r="C90" s="21" t="n"/>
      <c r="D90" s="21" t="n"/>
      <c r="E90" s="22" t="n"/>
      <c r="F90" s="22" t="n"/>
      <c r="G90" s="22" t="n"/>
      <c r="H90" s="20" t="n"/>
      <c r="I90" s="12">
        <f>IF(OR($B90="",NOT(ISNUMBER($C90)),NOT(ISNUMBER($D90))),"",ROUND(MOD($D90-$C90,1)*1440,0))</f>
        <v/>
      </c>
      <c r="J90" s="12">
        <f>IF(NOT(ISNUMBER($I90)),0,IF(OR($I90&lt;=0,$H90="Cancelada",$H90="Suspensa"),0,$I90+Limpeza_Min))</f>
        <v/>
      </c>
      <c r="K90" s="12">
        <f>IF($J90&lt;=0,"",SUMPRODUCT((Mapa_Sala=$B90)*(Mapa_Data=$A90)*(Mapa_MinOcup&gt;0)*((Mapa_RelIni&lt;$P90)+((Mapa_RelIni=$P90)*(Mapa_Row&lt;=$S90)))))</f>
        <v/>
      </c>
      <c r="L90" s="23">
        <f>IF($J90&lt;=0,"",MOD(Turno_Ini+($Q90+Limpeza_Min)/1440,1))</f>
        <v/>
      </c>
      <c r="M90" s="12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24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","")&amp;IFERROR(IF(AND($J90&gt;0,$K90&gt;0,COUNTIF(Mapa_Chave,$B90&amp;"#"&amp;$A90&amp;"#"&amp;($K90+1))&gt;0,INDEX(Mapa_RelIni,MATCH($B90&amp;"#"&amp;$A90&amp;"#"&amp;($K90+1),Mapa_Chave,0))-$Q90&lt;Limpeza_Min),"Sem intervalo para limpeza | ",""),"")&amp;IF(AND($J90&gt;0,SUMPRODUCT((Mapa_Sala=$B90)*(Mapa_Data=$A90)*(Mapa_MinOcup&gt;0)*(Mapa_RelIni&lt;$Q90)*(Mapa_RelFim&gt;$P90))&gt;1),"Sobreposição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1">
        <f>IF(NOT(ISNUMBER($C90)),0,ROUND(MOD($C90-Turno_Ini,1)*1440,0))</f>
        <v/>
      </c>
      <c r="Q90" s="11">
        <f>IF($J90&lt;=0,0,$P90+$I90)</f>
        <v/>
      </c>
      <c r="R90" s="11">
        <f>IF($K90="","",$B90&amp;"#"&amp;$A90&amp;"#"&amp;$K90)</f>
        <v/>
      </c>
      <c r="S90" s="11">
        <f>ROW()</f>
        <v/>
      </c>
      <c r="T90" s="11">
        <f>IF($J90&lt;=0,0,MAX(0,MIN($P90+$I90+Limpeza_Min,Turno_Min,IFERROR(INDEX(Mapa_RelIni,MATCH($B90&amp;"#"&amp;$A90&amp;"#"&amp;($K90+1),Mapa_Chave,0)),Turno_Min))-MIN($P90,Turno_Min)))</f>
        <v/>
      </c>
    </row>
    <row r="91">
      <c r="A91" s="19" t="n"/>
      <c r="B91" s="20" t="n"/>
      <c r="C91" s="21" t="n"/>
      <c r="D91" s="21" t="n"/>
      <c r="E91" s="22" t="n"/>
      <c r="F91" s="22" t="n"/>
      <c r="G91" s="22" t="n"/>
      <c r="H91" s="20" t="n"/>
      <c r="I91" s="12">
        <f>IF(OR($B91="",NOT(ISNUMBER($C91)),NOT(ISNUMBER($D91))),"",ROUND(MOD($D91-$C91,1)*1440,0))</f>
        <v/>
      </c>
      <c r="J91" s="12">
        <f>IF(NOT(ISNUMBER($I91)),0,IF(OR($I91&lt;=0,$H91="Cancelada",$H91="Suspensa"),0,$I91+Limpeza_Min))</f>
        <v/>
      </c>
      <c r="K91" s="12">
        <f>IF($J91&lt;=0,"",SUMPRODUCT((Mapa_Sala=$B91)*(Mapa_Data=$A91)*(Mapa_MinOcup&gt;0)*((Mapa_RelIni&lt;$P91)+((Mapa_RelIni=$P91)*(Mapa_Row&lt;=$S91)))))</f>
        <v/>
      </c>
      <c r="L91" s="23">
        <f>IF($J91&lt;=0,"",MOD(Turno_Ini+($Q91+Limpeza_Min)/1440,1))</f>
        <v/>
      </c>
      <c r="M91" s="12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24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","")&amp;IFERROR(IF(AND($J91&gt;0,$K91&gt;0,COUNTIF(Mapa_Chave,$B91&amp;"#"&amp;$A91&amp;"#"&amp;($K91+1))&gt;0,INDEX(Mapa_RelIni,MATCH($B91&amp;"#"&amp;$A91&amp;"#"&amp;($K91+1),Mapa_Chave,0))-$Q91&lt;Limpeza_Min),"Sem intervalo para limpeza | ",""),"")&amp;IF(AND($J91&gt;0,SUMPRODUCT((Mapa_Sala=$B91)*(Mapa_Data=$A91)*(Mapa_MinOcup&gt;0)*(Mapa_RelIni&lt;$Q91)*(Mapa_RelFim&gt;$P91))&gt;1),"Sobreposição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1">
        <f>IF(NOT(ISNUMBER($C91)),0,ROUND(MOD($C91-Turno_Ini,1)*1440,0))</f>
        <v/>
      </c>
      <c r="Q91" s="11">
        <f>IF($J91&lt;=0,0,$P91+$I91)</f>
        <v/>
      </c>
      <c r="R91" s="11">
        <f>IF($K91="","",$B91&amp;"#"&amp;$A91&amp;"#"&amp;$K91)</f>
        <v/>
      </c>
      <c r="S91" s="11">
        <f>ROW()</f>
        <v/>
      </c>
      <c r="T91" s="11">
        <f>IF($J91&lt;=0,0,MAX(0,MIN($P91+$I91+Limpeza_Min,Turno_Min,IFERROR(INDEX(Mapa_RelIni,MATCH($B91&amp;"#"&amp;$A91&amp;"#"&amp;($K91+1),Mapa_Chave,0)),Turno_Min))-MIN($P91,Turno_Min)))</f>
        <v/>
      </c>
    </row>
    <row r="92">
      <c r="A92" s="19" t="n"/>
      <c r="B92" s="20" t="n"/>
      <c r="C92" s="21" t="n"/>
      <c r="D92" s="21" t="n"/>
      <c r="E92" s="22" t="n"/>
      <c r="F92" s="22" t="n"/>
      <c r="G92" s="22" t="n"/>
      <c r="H92" s="20" t="n"/>
      <c r="I92" s="12">
        <f>IF(OR($B92="",NOT(ISNUMBER($C92)),NOT(ISNUMBER($D92))),"",ROUND(MOD($D92-$C92,1)*1440,0))</f>
        <v/>
      </c>
      <c r="J92" s="12">
        <f>IF(NOT(ISNUMBER($I92)),0,IF(OR($I92&lt;=0,$H92="Cancelada",$H92="Suspensa"),0,$I92+Limpeza_Min))</f>
        <v/>
      </c>
      <c r="K92" s="12">
        <f>IF($J92&lt;=0,"",SUMPRODUCT((Mapa_Sala=$B92)*(Mapa_Data=$A92)*(Mapa_MinOcup&gt;0)*((Mapa_RelIni&lt;$P92)+((Mapa_RelIni=$P92)*(Mapa_Row&lt;=$S92)))))</f>
        <v/>
      </c>
      <c r="L92" s="23">
        <f>IF($J92&lt;=0,"",MOD(Turno_Ini+($Q92+Limpeza_Min)/1440,1))</f>
        <v/>
      </c>
      <c r="M92" s="12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24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","")&amp;IFERROR(IF(AND($J92&gt;0,$K92&gt;0,COUNTIF(Mapa_Chave,$B92&amp;"#"&amp;$A92&amp;"#"&amp;($K92+1))&gt;0,INDEX(Mapa_RelIni,MATCH($B92&amp;"#"&amp;$A92&amp;"#"&amp;($K92+1),Mapa_Chave,0))-$Q92&lt;Limpeza_Min),"Sem intervalo para limpeza | ",""),"")&amp;IF(AND($J92&gt;0,SUMPRODUCT((Mapa_Sala=$B92)*(Mapa_Data=$A92)*(Mapa_MinOcup&gt;0)*(Mapa_RelIni&lt;$Q92)*(Mapa_RelFim&gt;$P92))&gt;1),"Sobreposição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1">
        <f>IF(NOT(ISNUMBER($C92)),0,ROUND(MOD($C92-Turno_Ini,1)*1440,0))</f>
        <v/>
      </c>
      <c r="Q92" s="11">
        <f>IF($J92&lt;=0,0,$P92+$I92)</f>
        <v/>
      </c>
      <c r="R92" s="11">
        <f>IF($K92="","",$B92&amp;"#"&amp;$A92&amp;"#"&amp;$K92)</f>
        <v/>
      </c>
      <c r="S92" s="11">
        <f>ROW()</f>
        <v/>
      </c>
      <c r="T92" s="11">
        <f>IF($J92&lt;=0,0,MAX(0,MIN($P92+$I92+Limpeza_Min,Turno_Min,IFERROR(INDEX(Mapa_RelIni,MATCH($B92&amp;"#"&amp;$A92&amp;"#"&amp;($K92+1),Mapa_Chave,0)),Turno_Min))-MIN($P92,Turno_Min)))</f>
        <v/>
      </c>
    </row>
    <row r="93">
      <c r="A93" s="19" t="n"/>
      <c r="B93" s="20" t="n"/>
      <c r="C93" s="21" t="n"/>
      <c r="D93" s="21" t="n"/>
      <c r="E93" s="22" t="n"/>
      <c r="F93" s="22" t="n"/>
      <c r="G93" s="22" t="n"/>
      <c r="H93" s="20" t="n"/>
      <c r="I93" s="12">
        <f>IF(OR($B93="",NOT(ISNUMBER($C93)),NOT(ISNUMBER($D93))),"",ROUND(MOD($D93-$C93,1)*1440,0))</f>
        <v/>
      </c>
      <c r="J93" s="12">
        <f>IF(NOT(ISNUMBER($I93)),0,IF(OR($I93&lt;=0,$H93="Cancelada",$H93="Suspensa"),0,$I93+Limpeza_Min))</f>
        <v/>
      </c>
      <c r="K93" s="12">
        <f>IF($J93&lt;=0,"",SUMPRODUCT((Mapa_Sala=$B93)*(Mapa_Data=$A93)*(Mapa_MinOcup&gt;0)*((Mapa_RelIni&lt;$P93)+((Mapa_RelIni=$P93)*(Mapa_Row&lt;=$S93)))))</f>
        <v/>
      </c>
      <c r="L93" s="23">
        <f>IF($J93&lt;=0,"",MOD(Turno_Ini+($Q93+Limpeza_Min)/1440,1))</f>
        <v/>
      </c>
      <c r="M93" s="12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24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","")&amp;IFERROR(IF(AND($J93&gt;0,$K93&gt;0,COUNTIF(Mapa_Chave,$B93&amp;"#"&amp;$A93&amp;"#"&amp;($K93+1))&gt;0,INDEX(Mapa_RelIni,MATCH($B93&amp;"#"&amp;$A93&amp;"#"&amp;($K93+1),Mapa_Chave,0))-$Q93&lt;Limpeza_Min),"Sem intervalo para limpeza | ",""),"")&amp;IF(AND($J93&gt;0,SUMPRODUCT((Mapa_Sala=$B93)*(Mapa_Data=$A93)*(Mapa_MinOcup&gt;0)*(Mapa_RelIni&lt;$Q93)*(Mapa_RelFim&gt;$P93))&gt;1),"Sobreposição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1">
        <f>IF(NOT(ISNUMBER($C93)),0,ROUND(MOD($C93-Turno_Ini,1)*1440,0))</f>
        <v/>
      </c>
      <c r="Q93" s="11">
        <f>IF($J93&lt;=0,0,$P93+$I93)</f>
        <v/>
      </c>
      <c r="R93" s="11">
        <f>IF($K93="","",$B93&amp;"#"&amp;$A93&amp;"#"&amp;$K93)</f>
        <v/>
      </c>
      <c r="S93" s="11">
        <f>ROW()</f>
        <v/>
      </c>
      <c r="T93" s="11">
        <f>IF($J93&lt;=0,0,MAX(0,MIN($P93+$I93+Limpeza_Min,Turno_Min,IFERROR(INDEX(Mapa_RelIni,MATCH($B93&amp;"#"&amp;$A93&amp;"#"&amp;($K93+1),Mapa_Chave,0)),Turno_Min))-MIN($P93,Turno_Min)))</f>
        <v/>
      </c>
    </row>
    <row r="94">
      <c r="A94" s="19" t="n"/>
      <c r="B94" s="20" t="n"/>
      <c r="C94" s="21" t="n"/>
      <c r="D94" s="21" t="n"/>
      <c r="E94" s="22" t="n"/>
      <c r="F94" s="22" t="n"/>
      <c r="G94" s="22" t="n"/>
      <c r="H94" s="20" t="n"/>
      <c r="I94" s="12">
        <f>IF(OR($B94="",NOT(ISNUMBER($C94)),NOT(ISNUMBER($D94))),"",ROUND(MOD($D94-$C94,1)*1440,0))</f>
        <v/>
      </c>
      <c r="J94" s="12">
        <f>IF(NOT(ISNUMBER($I94)),0,IF(OR($I94&lt;=0,$H94="Cancelada",$H94="Suspensa"),0,$I94+Limpeza_Min))</f>
        <v/>
      </c>
      <c r="K94" s="12">
        <f>IF($J94&lt;=0,"",SUMPRODUCT((Mapa_Sala=$B94)*(Mapa_Data=$A94)*(Mapa_MinOcup&gt;0)*((Mapa_RelIni&lt;$P94)+((Mapa_RelIni=$P94)*(Mapa_Row&lt;=$S94)))))</f>
        <v/>
      </c>
      <c r="L94" s="23">
        <f>IF($J94&lt;=0,"",MOD(Turno_Ini+($Q94+Limpeza_Min)/1440,1))</f>
        <v/>
      </c>
      <c r="M94" s="12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24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","")&amp;IFERROR(IF(AND($J94&gt;0,$K94&gt;0,COUNTIF(Mapa_Chave,$B94&amp;"#"&amp;$A94&amp;"#"&amp;($K94+1))&gt;0,INDEX(Mapa_RelIni,MATCH($B94&amp;"#"&amp;$A94&amp;"#"&amp;($K94+1),Mapa_Chave,0))-$Q94&lt;Limpeza_Min),"Sem intervalo para limpeza | ",""),"")&amp;IF(AND($J94&gt;0,SUMPRODUCT((Mapa_Sala=$B94)*(Mapa_Data=$A94)*(Mapa_MinOcup&gt;0)*(Mapa_RelIni&lt;$Q94)*(Mapa_RelFim&gt;$P94))&gt;1),"Sobreposição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1">
        <f>IF(NOT(ISNUMBER($C94)),0,ROUND(MOD($C94-Turno_Ini,1)*1440,0))</f>
        <v/>
      </c>
      <c r="Q94" s="11">
        <f>IF($J94&lt;=0,0,$P94+$I94)</f>
        <v/>
      </c>
      <c r="R94" s="11">
        <f>IF($K94="","",$B94&amp;"#"&amp;$A94&amp;"#"&amp;$K94)</f>
        <v/>
      </c>
      <c r="S94" s="11">
        <f>ROW()</f>
        <v/>
      </c>
      <c r="T94" s="11">
        <f>IF($J94&lt;=0,0,MAX(0,MIN($P94+$I94+Limpeza_Min,Turno_Min,IFERROR(INDEX(Mapa_RelIni,MATCH($B94&amp;"#"&amp;$A94&amp;"#"&amp;($K94+1),Mapa_Chave,0)),Turno_Min))-MIN($P94,Turno_Min)))</f>
        <v/>
      </c>
    </row>
    <row r="95">
      <c r="A95" s="19" t="n"/>
      <c r="B95" s="20" t="n"/>
      <c r="C95" s="21" t="n"/>
      <c r="D95" s="21" t="n"/>
      <c r="E95" s="22" t="n"/>
      <c r="F95" s="22" t="n"/>
      <c r="G95" s="22" t="n"/>
      <c r="H95" s="20" t="n"/>
      <c r="I95" s="12">
        <f>IF(OR($B95="",NOT(ISNUMBER($C95)),NOT(ISNUMBER($D95))),"",ROUND(MOD($D95-$C95,1)*1440,0))</f>
        <v/>
      </c>
      <c r="J95" s="12">
        <f>IF(NOT(ISNUMBER($I95)),0,IF(OR($I95&lt;=0,$H95="Cancelada",$H95="Suspensa"),0,$I95+Limpeza_Min))</f>
        <v/>
      </c>
      <c r="K95" s="12">
        <f>IF($J95&lt;=0,"",SUMPRODUCT((Mapa_Sala=$B95)*(Mapa_Data=$A95)*(Mapa_MinOcup&gt;0)*((Mapa_RelIni&lt;$P95)+((Mapa_RelIni=$P95)*(Mapa_Row&lt;=$S95)))))</f>
        <v/>
      </c>
      <c r="L95" s="23">
        <f>IF($J95&lt;=0,"",MOD(Turno_Ini+($Q95+Limpeza_Min)/1440,1))</f>
        <v/>
      </c>
      <c r="M95" s="12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24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","")&amp;IFERROR(IF(AND($J95&gt;0,$K95&gt;0,COUNTIF(Mapa_Chave,$B95&amp;"#"&amp;$A95&amp;"#"&amp;($K95+1))&gt;0,INDEX(Mapa_RelIni,MATCH($B95&amp;"#"&amp;$A95&amp;"#"&amp;($K95+1),Mapa_Chave,0))-$Q95&lt;Limpeza_Min),"Sem intervalo para limpeza | ",""),"")&amp;IF(AND($J95&gt;0,SUMPRODUCT((Mapa_Sala=$B95)*(Mapa_Data=$A95)*(Mapa_MinOcup&gt;0)*(Mapa_RelIni&lt;$Q95)*(Mapa_RelFim&gt;$P95))&gt;1),"Sobreposição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1">
        <f>IF(NOT(ISNUMBER($C95)),0,ROUND(MOD($C95-Turno_Ini,1)*1440,0))</f>
        <v/>
      </c>
      <c r="Q95" s="11">
        <f>IF($J95&lt;=0,0,$P95+$I95)</f>
        <v/>
      </c>
      <c r="R95" s="11">
        <f>IF($K95="","",$B95&amp;"#"&amp;$A95&amp;"#"&amp;$K95)</f>
        <v/>
      </c>
      <c r="S95" s="11">
        <f>ROW()</f>
        <v/>
      </c>
      <c r="T95" s="11">
        <f>IF($J95&lt;=0,0,MAX(0,MIN($P95+$I95+Limpeza_Min,Turno_Min,IFERROR(INDEX(Mapa_RelIni,MATCH($B95&amp;"#"&amp;$A95&amp;"#"&amp;($K95+1),Mapa_Chave,0)),Turno_Min))-MIN($P95,Turno_Min)))</f>
        <v/>
      </c>
    </row>
    <row r="96">
      <c r="A96" s="19" t="n"/>
      <c r="B96" s="20" t="n"/>
      <c r="C96" s="21" t="n"/>
      <c r="D96" s="21" t="n"/>
      <c r="E96" s="22" t="n"/>
      <c r="F96" s="22" t="n"/>
      <c r="G96" s="22" t="n"/>
      <c r="H96" s="20" t="n"/>
      <c r="I96" s="12">
        <f>IF(OR($B96="",NOT(ISNUMBER($C96)),NOT(ISNUMBER($D96))),"",ROUND(MOD($D96-$C96,1)*1440,0))</f>
        <v/>
      </c>
      <c r="J96" s="12">
        <f>IF(NOT(ISNUMBER($I96)),0,IF(OR($I96&lt;=0,$H96="Cancelada",$H96="Suspensa"),0,$I96+Limpeza_Min))</f>
        <v/>
      </c>
      <c r="K96" s="12">
        <f>IF($J96&lt;=0,"",SUMPRODUCT((Mapa_Sala=$B96)*(Mapa_Data=$A96)*(Mapa_MinOcup&gt;0)*((Mapa_RelIni&lt;$P96)+((Mapa_RelIni=$P96)*(Mapa_Row&lt;=$S96)))))</f>
        <v/>
      </c>
      <c r="L96" s="23">
        <f>IF($J96&lt;=0,"",MOD(Turno_Ini+($Q96+Limpeza_Min)/1440,1))</f>
        <v/>
      </c>
      <c r="M96" s="12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24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","")&amp;IFERROR(IF(AND($J96&gt;0,$K96&gt;0,COUNTIF(Mapa_Chave,$B96&amp;"#"&amp;$A96&amp;"#"&amp;($K96+1))&gt;0,INDEX(Mapa_RelIni,MATCH($B96&amp;"#"&amp;$A96&amp;"#"&amp;($K96+1),Mapa_Chave,0))-$Q96&lt;Limpeza_Min),"Sem intervalo para limpeza | ",""),"")&amp;IF(AND($J96&gt;0,SUMPRODUCT((Mapa_Sala=$B96)*(Mapa_Data=$A96)*(Mapa_MinOcup&gt;0)*(Mapa_RelIni&lt;$Q96)*(Mapa_RelFim&gt;$P96))&gt;1),"Sobreposição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1">
        <f>IF(NOT(ISNUMBER($C96)),0,ROUND(MOD($C96-Turno_Ini,1)*1440,0))</f>
        <v/>
      </c>
      <c r="Q96" s="11">
        <f>IF($J96&lt;=0,0,$P96+$I96)</f>
        <v/>
      </c>
      <c r="R96" s="11">
        <f>IF($K96="","",$B96&amp;"#"&amp;$A96&amp;"#"&amp;$K96)</f>
        <v/>
      </c>
      <c r="S96" s="11">
        <f>ROW()</f>
        <v/>
      </c>
      <c r="T96" s="11">
        <f>IF($J96&lt;=0,0,MAX(0,MIN($P96+$I96+Limpeza_Min,Turno_Min,IFERROR(INDEX(Mapa_RelIni,MATCH($B96&amp;"#"&amp;$A96&amp;"#"&amp;($K96+1),Mapa_Chave,0)),Turno_Min))-MIN($P96,Turno_Min)))</f>
        <v/>
      </c>
    </row>
    <row r="97">
      <c r="A97" s="19" t="n"/>
      <c r="B97" s="20" t="n"/>
      <c r="C97" s="21" t="n"/>
      <c r="D97" s="21" t="n"/>
      <c r="E97" s="22" t="n"/>
      <c r="F97" s="22" t="n"/>
      <c r="G97" s="22" t="n"/>
      <c r="H97" s="20" t="n"/>
      <c r="I97" s="12">
        <f>IF(OR($B97="",NOT(ISNUMBER($C97)),NOT(ISNUMBER($D97))),"",ROUND(MOD($D97-$C97,1)*1440,0))</f>
        <v/>
      </c>
      <c r="J97" s="12">
        <f>IF(NOT(ISNUMBER($I97)),0,IF(OR($I97&lt;=0,$H97="Cancelada",$H97="Suspensa"),0,$I97+Limpeza_Min))</f>
        <v/>
      </c>
      <c r="K97" s="12">
        <f>IF($J97&lt;=0,"",SUMPRODUCT((Mapa_Sala=$B97)*(Mapa_Data=$A97)*(Mapa_MinOcup&gt;0)*((Mapa_RelIni&lt;$P97)+((Mapa_RelIni=$P97)*(Mapa_Row&lt;=$S97)))))</f>
        <v/>
      </c>
      <c r="L97" s="23">
        <f>IF($J97&lt;=0,"",MOD(Turno_Ini+($Q97+Limpeza_Min)/1440,1))</f>
        <v/>
      </c>
      <c r="M97" s="12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24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","")&amp;IFERROR(IF(AND($J97&gt;0,$K97&gt;0,COUNTIF(Mapa_Chave,$B97&amp;"#"&amp;$A97&amp;"#"&amp;($K97+1))&gt;0,INDEX(Mapa_RelIni,MATCH($B97&amp;"#"&amp;$A97&amp;"#"&amp;($K97+1),Mapa_Chave,0))-$Q97&lt;Limpeza_Min),"Sem intervalo para limpeza | ",""),"")&amp;IF(AND($J97&gt;0,SUMPRODUCT((Mapa_Sala=$B97)*(Mapa_Data=$A97)*(Mapa_MinOcup&gt;0)*(Mapa_RelIni&lt;$Q97)*(Mapa_RelFim&gt;$P97))&gt;1),"Sobreposição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1">
        <f>IF(NOT(ISNUMBER($C97)),0,ROUND(MOD($C97-Turno_Ini,1)*1440,0))</f>
        <v/>
      </c>
      <c r="Q97" s="11">
        <f>IF($J97&lt;=0,0,$P97+$I97)</f>
        <v/>
      </c>
      <c r="R97" s="11">
        <f>IF($K97="","",$B97&amp;"#"&amp;$A97&amp;"#"&amp;$K97)</f>
        <v/>
      </c>
      <c r="S97" s="11">
        <f>ROW()</f>
        <v/>
      </c>
      <c r="T97" s="11">
        <f>IF($J97&lt;=0,0,MAX(0,MIN($P97+$I97+Limpeza_Min,Turno_Min,IFERROR(INDEX(Mapa_RelIni,MATCH($B97&amp;"#"&amp;$A97&amp;"#"&amp;($K97+1),Mapa_Chave,0)),Turno_Min))-MIN($P97,Turno_Min)))</f>
        <v/>
      </c>
    </row>
    <row r="98">
      <c r="A98" s="19" t="n"/>
      <c r="B98" s="20" t="n"/>
      <c r="C98" s="21" t="n"/>
      <c r="D98" s="21" t="n"/>
      <c r="E98" s="22" t="n"/>
      <c r="F98" s="22" t="n"/>
      <c r="G98" s="22" t="n"/>
      <c r="H98" s="20" t="n"/>
      <c r="I98" s="12">
        <f>IF(OR($B98="",NOT(ISNUMBER($C98)),NOT(ISNUMBER($D98))),"",ROUND(MOD($D98-$C98,1)*1440,0))</f>
        <v/>
      </c>
      <c r="J98" s="12">
        <f>IF(NOT(ISNUMBER($I98)),0,IF(OR($I98&lt;=0,$H98="Cancelada",$H98="Suspensa"),0,$I98+Limpeza_Min))</f>
        <v/>
      </c>
      <c r="K98" s="12">
        <f>IF($J98&lt;=0,"",SUMPRODUCT((Mapa_Sala=$B98)*(Mapa_Data=$A98)*(Mapa_MinOcup&gt;0)*((Mapa_RelIni&lt;$P98)+((Mapa_RelIni=$P98)*(Mapa_Row&lt;=$S98)))))</f>
        <v/>
      </c>
      <c r="L98" s="23">
        <f>IF($J98&lt;=0,"",MOD(Turno_Ini+($Q98+Limpeza_Min)/1440,1))</f>
        <v/>
      </c>
      <c r="M98" s="12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24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","")&amp;IFERROR(IF(AND($J98&gt;0,$K98&gt;0,COUNTIF(Mapa_Chave,$B98&amp;"#"&amp;$A98&amp;"#"&amp;($K98+1))&gt;0,INDEX(Mapa_RelIni,MATCH($B98&amp;"#"&amp;$A98&amp;"#"&amp;($K98+1),Mapa_Chave,0))-$Q98&lt;Limpeza_Min),"Sem intervalo para limpeza | ",""),"")&amp;IF(AND($J98&gt;0,SUMPRODUCT((Mapa_Sala=$B98)*(Mapa_Data=$A98)*(Mapa_MinOcup&gt;0)*(Mapa_RelIni&lt;$Q98)*(Mapa_RelFim&gt;$P98))&gt;1),"Sobreposição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1">
        <f>IF(NOT(ISNUMBER($C98)),0,ROUND(MOD($C98-Turno_Ini,1)*1440,0))</f>
        <v/>
      </c>
      <c r="Q98" s="11">
        <f>IF($J98&lt;=0,0,$P98+$I98)</f>
        <v/>
      </c>
      <c r="R98" s="11">
        <f>IF($K98="","",$B98&amp;"#"&amp;$A98&amp;"#"&amp;$K98)</f>
        <v/>
      </c>
      <c r="S98" s="11">
        <f>ROW()</f>
        <v/>
      </c>
      <c r="T98" s="11">
        <f>IF($J98&lt;=0,0,MAX(0,MIN($P98+$I98+Limpeza_Min,Turno_Min,IFERROR(INDEX(Mapa_RelIni,MATCH($B98&amp;"#"&amp;$A98&amp;"#"&amp;($K98+1),Mapa_Chave,0)),Turno_Min))-MIN($P98,Turno_Min)))</f>
        <v/>
      </c>
    </row>
    <row r="99">
      <c r="A99" s="19" t="n"/>
      <c r="B99" s="20" t="n"/>
      <c r="C99" s="21" t="n"/>
      <c r="D99" s="21" t="n"/>
      <c r="E99" s="22" t="n"/>
      <c r="F99" s="22" t="n"/>
      <c r="G99" s="22" t="n"/>
      <c r="H99" s="20" t="n"/>
      <c r="I99" s="12">
        <f>IF(OR($B99="",NOT(ISNUMBER($C99)),NOT(ISNUMBER($D99))),"",ROUND(MOD($D99-$C99,1)*1440,0))</f>
        <v/>
      </c>
      <c r="J99" s="12">
        <f>IF(NOT(ISNUMBER($I99)),0,IF(OR($I99&lt;=0,$H99="Cancelada",$H99="Suspensa"),0,$I99+Limpeza_Min))</f>
        <v/>
      </c>
      <c r="K99" s="12">
        <f>IF($J99&lt;=0,"",SUMPRODUCT((Mapa_Sala=$B99)*(Mapa_Data=$A99)*(Mapa_MinOcup&gt;0)*((Mapa_RelIni&lt;$P99)+((Mapa_RelIni=$P99)*(Mapa_Row&lt;=$S99)))))</f>
        <v/>
      </c>
      <c r="L99" s="23">
        <f>IF($J99&lt;=0,"",MOD(Turno_Ini+($Q99+Limpeza_Min)/1440,1))</f>
        <v/>
      </c>
      <c r="M99" s="12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24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","")&amp;IFERROR(IF(AND($J99&gt;0,$K99&gt;0,COUNTIF(Mapa_Chave,$B99&amp;"#"&amp;$A99&amp;"#"&amp;($K99+1))&gt;0,INDEX(Mapa_RelIni,MATCH($B99&amp;"#"&amp;$A99&amp;"#"&amp;($K99+1),Mapa_Chave,0))-$Q99&lt;Limpeza_Min),"Sem intervalo para limpeza | ",""),"")&amp;IF(AND($J99&gt;0,SUMPRODUCT((Mapa_Sala=$B99)*(Mapa_Data=$A99)*(Mapa_MinOcup&gt;0)*(Mapa_RelIni&lt;$Q99)*(Mapa_RelFim&gt;$P99))&gt;1),"Sobreposição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1">
        <f>IF(NOT(ISNUMBER($C99)),0,ROUND(MOD($C99-Turno_Ini,1)*1440,0))</f>
        <v/>
      </c>
      <c r="Q99" s="11">
        <f>IF($J99&lt;=0,0,$P99+$I99)</f>
        <v/>
      </c>
      <c r="R99" s="11">
        <f>IF($K99="","",$B99&amp;"#"&amp;$A99&amp;"#"&amp;$K99)</f>
        <v/>
      </c>
      <c r="S99" s="11">
        <f>ROW()</f>
        <v/>
      </c>
      <c r="T99" s="11">
        <f>IF($J99&lt;=0,0,MAX(0,MIN($P99+$I99+Limpeza_Min,Turno_Min,IFERROR(INDEX(Mapa_RelIni,MATCH($B99&amp;"#"&amp;$A99&amp;"#"&amp;($K99+1),Mapa_Chave,0)),Turno_Min))-MIN($P99,Turno_Min)))</f>
        <v/>
      </c>
    </row>
    <row r="100">
      <c r="A100" s="19" t="n"/>
      <c r="B100" s="20" t="n"/>
      <c r="C100" s="21" t="n"/>
      <c r="D100" s="21" t="n"/>
      <c r="E100" s="22" t="n"/>
      <c r="F100" s="22" t="n"/>
      <c r="G100" s="22" t="n"/>
      <c r="H100" s="20" t="n"/>
      <c r="I100" s="12">
        <f>IF(OR($B100="",NOT(ISNUMBER($C100)),NOT(ISNUMBER($D100))),"",ROUND(MOD($D100-$C100,1)*1440,0))</f>
        <v/>
      </c>
      <c r="J100" s="12">
        <f>IF(NOT(ISNUMBER($I100)),0,IF(OR($I100&lt;=0,$H100="Cancelada",$H100="Suspensa"),0,$I100+Limpeza_Min))</f>
        <v/>
      </c>
      <c r="K100" s="12">
        <f>IF($J100&lt;=0,"",SUMPRODUCT((Mapa_Sala=$B100)*(Mapa_Data=$A100)*(Mapa_MinOcup&gt;0)*((Mapa_RelIni&lt;$P100)+((Mapa_RelIni=$P100)*(Mapa_Row&lt;=$S100)))))</f>
        <v/>
      </c>
      <c r="L100" s="23">
        <f>IF($J100&lt;=0,"",MOD(Turno_Ini+($Q100+Limpeza_Min)/1440,1))</f>
        <v/>
      </c>
      <c r="M100" s="12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24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","")&amp;IFERROR(IF(AND($J100&gt;0,$K100&gt;0,COUNTIF(Mapa_Chave,$B100&amp;"#"&amp;$A100&amp;"#"&amp;($K100+1))&gt;0,INDEX(Mapa_RelIni,MATCH($B100&amp;"#"&amp;$A100&amp;"#"&amp;($K100+1),Mapa_Chave,0))-$Q100&lt;Limpeza_Min),"Sem intervalo para limpeza | ",""),"")&amp;IF(AND($J100&gt;0,SUMPRODUCT((Mapa_Sala=$B100)*(Mapa_Data=$A100)*(Mapa_MinOcup&gt;0)*(Mapa_RelIni&lt;$Q100)*(Mapa_RelFim&gt;$P100))&gt;1),"Sobreposição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1">
        <f>IF(NOT(ISNUMBER($C100)),0,ROUND(MOD($C100-Turno_Ini,1)*1440,0))</f>
        <v/>
      </c>
      <c r="Q100" s="11">
        <f>IF($J100&lt;=0,0,$P100+$I100)</f>
        <v/>
      </c>
      <c r="R100" s="11">
        <f>IF($K100="","",$B100&amp;"#"&amp;$A100&amp;"#"&amp;$K100)</f>
        <v/>
      </c>
      <c r="S100" s="11">
        <f>ROW()</f>
        <v/>
      </c>
      <c r="T100" s="11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19" t="n"/>
      <c r="B101" s="20" t="n"/>
      <c r="C101" s="21" t="n"/>
      <c r="D101" s="21" t="n"/>
      <c r="E101" s="22" t="n"/>
      <c r="F101" s="22" t="n"/>
      <c r="G101" s="22" t="n"/>
      <c r="H101" s="20" t="n"/>
      <c r="I101" s="12">
        <f>IF(OR($B101="",NOT(ISNUMBER($C101)),NOT(ISNUMBER($D101))),"",ROUND(MOD($D101-$C101,1)*1440,0))</f>
        <v/>
      </c>
      <c r="J101" s="12">
        <f>IF(NOT(ISNUMBER($I101)),0,IF(OR($I101&lt;=0,$H101="Cancelada",$H101="Suspensa"),0,$I101+Limpeza_Min))</f>
        <v/>
      </c>
      <c r="K101" s="12">
        <f>IF($J101&lt;=0,"",SUMPRODUCT((Mapa_Sala=$B101)*(Mapa_Data=$A101)*(Mapa_MinOcup&gt;0)*((Mapa_RelIni&lt;$P101)+((Mapa_RelIni=$P101)*(Mapa_Row&lt;=$S101)))))</f>
        <v/>
      </c>
      <c r="L101" s="23">
        <f>IF($J101&lt;=0,"",MOD(Turno_Ini+($Q101+Limpeza_Min)/1440,1))</f>
        <v/>
      </c>
      <c r="M101" s="12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24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","")&amp;IFERROR(IF(AND($J101&gt;0,$K101&gt;0,COUNTIF(Mapa_Chave,$B101&amp;"#"&amp;$A101&amp;"#"&amp;($K101+1))&gt;0,INDEX(Mapa_RelIni,MATCH($B101&amp;"#"&amp;$A101&amp;"#"&amp;($K101+1),Mapa_Chave,0))-$Q101&lt;Limpeza_Min),"Sem intervalo para limpeza | ",""),"")&amp;IF(AND($J101&gt;0,SUMPRODUCT((Mapa_Sala=$B101)*(Mapa_Data=$A101)*(Mapa_MinOcup&gt;0)*(Mapa_RelIni&lt;$Q101)*(Mapa_RelFim&gt;$P101))&gt;1),"Sobreposição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1">
        <f>IF(NOT(ISNUMBER($C101)),0,ROUND(MOD($C101-Turno_Ini,1)*1440,0))</f>
        <v/>
      </c>
      <c r="Q101" s="11">
        <f>IF($J101&lt;=0,0,$P101+$I101)</f>
        <v/>
      </c>
      <c r="R101" s="11">
        <f>IF($K101="","",$B101&amp;"#"&amp;$A101&amp;"#"&amp;$K101)</f>
        <v/>
      </c>
      <c r="S101" s="11">
        <f>ROW()</f>
        <v/>
      </c>
      <c r="T101" s="11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19" t="n"/>
      <c r="B102" s="20" t="n"/>
      <c r="C102" s="21" t="n"/>
      <c r="D102" s="21" t="n"/>
      <c r="E102" s="22" t="n"/>
      <c r="F102" s="22" t="n"/>
      <c r="G102" s="22" t="n"/>
      <c r="H102" s="20" t="n"/>
      <c r="I102" s="12">
        <f>IF(OR($B102="",NOT(ISNUMBER($C102)),NOT(ISNUMBER($D102))),"",ROUND(MOD($D102-$C102,1)*1440,0))</f>
        <v/>
      </c>
      <c r="J102" s="12">
        <f>IF(NOT(ISNUMBER($I102)),0,IF(OR($I102&lt;=0,$H102="Cancelada",$H102="Suspensa"),0,$I102+Limpeza_Min))</f>
        <v/>
      </c>
      <c r="K102" s="12">
        <f>IF($J102&lt;=0,"",SUMPRODUCT((Mapa_Sala=$B102)*(Mapa_Data=$A102)*(Mapa_MinOcup&gt;0)*((Mapa_RelIni&lt;$P102)+((Mapa_RelIni=$P102)*(Mapa_Row&lt;=$S102)))))</f>
        <v/>
      </c>
      <c r="L102" s="23">
        <f>IF($J102&lt;=0,"",MOD(Turno_Ini+($Q102+Limpeza_Min)/1440,1))</f>
        <v/>
      </c>
      <c r="M102" s="12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24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","")&amp;IFERROR(IF(AND($J102&gt;0,$K102&gt;0,COUNTIF(Mapa_Chave,$B102&amp;"#"&amp;$A102&amp;"#"&amp;($K102+1))&gt;0,INDEX(Mapa_RelIni,MATCH($B102&amp;"#"&amp;$A102&amp;"#"&amp;($K102+1),Mapa_Chave,0))-$Q102&lt;Limpeza_Min),"Sem intervalo para limpeza | ",""),"")&amp;IF(AND($J102&gt;0,SUMPRODUCT((Mapa_Sala=$B102)*(Mapa_Data=$A102)*(Mapa_MinOcup&gt;0)*(Mapa_RelIni&lt;$Q102)*(Mapa_RelFim&gt;$P102))&gt;1),"Sobreposição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1">
        <f>IF(NOT(ISNUMBER($C102)),0,ROUND(MOD($C102-Turno_Ini,1)*1440,0))</f>
        <v/>
      </c>
      <c r="Q102" s="11">
        <f>IF($J102&lt;=0,0,$P102+$I102)</f>
        <v/>
      </c>
      <c r="R102" s="11">
        <f>IF($K102="","",$B102&amp;"#"&amp;$A102&amp;"#"&amp;$K102)</f>
        <v/>
      </c>
      <c r="S102" s="11">
        <f>ROW()</f>
        <v/>
      </c>
      <c r="T102" s="11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19" t="n"/>
      <c r="B103" s="20" t="n"/>
      <c r="C103" s="21" t="n"/>
      <c r="D103" s="21" t="n"/>
      <c r="E103" s="22" t="n"/>
      <c r="F103" s="22" t="n"/>
      <c r="G103" s="22" t="n"/>
      <c r="H103" s="20" t="n"/>
      <c r="I103" s="12">
        <f>IF(OR($B103="",NOT(ISNUMBER($C103)),NOT(ISNUMBER($D103))),"",ROUND(MOD($D103-$C103,1)*1440,0))</f>
        <v/>
      </c>
      <c r="J103" s="12">
        <f>IF(NOT(ISNUMBER($I103)),0,IF(OR($I103&lt;=0,$H103="Cancelada",$H103="Suspensa"),0,$I103+Limpeza_Min))</f>
        <v/>
      </c>
      <c r="K103" s="12">
        <f>IF($J103&lt;=0,"",SUMPRODUCT((Mapa_Sala=$B103)*(Mapa_Data=$A103)*(Mapa_MinOcup&gt;0)*((Mapa_RelIni&lt;$P103)+((Mapa_RelIni=$P103)*(Mapa_Row&lt;=$S103)))))</f>
        <v/>
      </c>
      <c r="L103" s="23">
        <f>IF($J103&lt;=0,"",MOD(Turno_Ini+($Q103+Limpeza_Min)/1440,1))</f>
        <v/>
      </c>
      <c r="M103" s="12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24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","")&amp;IFERROR(IF(AND($J103&gt;0,$K103&gt;0,COUNTIF(Mapa_Chave,$B103&amp;"#"&amp;$A103&amp;"#"&amp;($K103+1))&gt;0,INDEX(Mapa_RelIni,MATCH($B103&amp;"#"&amp;$A103&amp;"#"&amp;($K103+1),Mapa_Chave,0))-$Q103&lt;Limpeza_Min),"Sem intervalo para limpeza | ",""),"")&amp;IF(AND($J103&gt;0,SUMPRODUCT((Mapa_Sala=$B103)*(Mapa_Data=$A103)*(Mapa_MinOcup&gt;0)*(Mapa_RelIni&lt;$Q103)*(Mapa_RelFim&gt;$P103))&gt;1),"Sobreposição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1">
        <f>IF(NOT(ISNUMBER($C103)),0,ROUND(MOD($C103-Turno_Ini,1)*1440,0))</f>
        <v/>
      </c>
      <c r="Q103" s="11">
        <f>IF($J103&lt;=0,0,$P103+$I103)</f>
        <v/>
      </c>
      <c r="R103" s="11">
        <f>IF($K103="","",$B103&amp;"#"&amp;$A103&amp;"#"&amp;$K103)</f>
        <v/>
      </c>
      <c r="S103" s="11">
        <f>ROW()</f>
        <v/>
      </c>
      <c r="T103" s="11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19" t="n"/>
      <c r="B104" s="20" t="n"/>
      <c r="C104" s="21" t="n"/>
      <c r="D104" s="21" t="n"/>
      <c r="E104" s="22" t="n"/>
      <c r="F104" s="22" t="n"/>
      <c r="G104" s="22" t="n"/>
      <c r="H104" s="20" t="n"/>
      <c r="I104" s="12">
        <f>IF(OR($B104="",NOT(ISNUMBER($C104)),NOT(ISNUMBER($D104))),"",ROUND(MOD($D104-$C104,1)*1440,0))</f>
        <v/>
      </c>
      <c r="J104" s="12">
        <f>IF(NOT(ISNUMBER($I104)),0,IF(OR($I104&lt;=0,$H104="Cancelada",$H104="Suspensa"),0,$I104+Limpeza_Min))</f>
        <v/>
      </c>
      <c r="K104" s="12">
        <f>IF($J104&lt;=0,"",SUMPRODUCT((Mapa_Sala=$B104)*(Mapa_Data=$A104)*(Mapa_MinOcup&gt;0)*((Mapa_RelIni&lt;$P104)+((Mapa_RelIni=$P104)*(Mapa_Row&lt;=$S104)))))</f>
        <v/>
      </c>
      <c r="L104" s="23">
        <f>IF($J104&lt;=0,"",MOD(Turno_Ini+($Q104+Limpeza_Min)/1440,1))</f>
        <v/>
      </c>
      <c r="M104" s="12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24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","")&amp;IFERROR(IF(AND($J104&gt;0,$K104&gt;0,COUNTIF(Mapa_Chave,$B104&amp;"#"&amp;$A104&amp;"#"&amp;($K104+1))&gt;0,INDEX(Mapa_RelIni,MATCH($B104&amp;"#"&amp;$A104&amp;"#"&amp;($K104+1),Mapa_Chave,0))-$Q104&lt;Limpeza_Min),"Sem intervalo para limpeza | ",""),"")&amp;IF(AND($J104&gt;0,SUMPRODUCT((Mapa_Sala=$B104)*(Mapa_Data=$A104)*(Mapa_MinOcup&gt;0)*(Mapa_RelIni&lt;$Q104)*(Mapa_RelFim&gt;$P104))&gt;1),"Sobreposição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1">
        <f>IF(NOT(ISNUMBER($C104)),0,ROUND(MOD($C104-Turno_Ini,1)*1440,0))</f>
        <v/>
      </c>
      <c r="Q104" s="11">
        <f>IF($J104&lt;=0,0,$P104+$I104)</f>
        <v/>
      </c>
      <c r="R104" s="11">
        <f>IF($K104="","",$B104&amp;"#"&amp;$A104&amp;"#"&amp;$K104)</f>
        <v/>
      </c>
      <c r="S104" s="11">
        <f>ROW()</f>
        <v/>
      </c>
      <c r="T104" s="11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19" t="n"/>
      <c r="B105" s="20" t="n"/>
      <c r="C105" s="21" t="n"/>
      <c r="D105" s="21" t="n"/>
      <c r="E105" s="22" t="n"/>
      <c r="F105" s="22" t="n"/>
      <c r="G105" s="22" t="n"/>
      <c r="H105" s="20" t="n"/>
      <c r="I105" s="12">
        <f>IF(OR($B105="",NOT(ISNUMBER($C105)),NOT(ISNUMBER($D105))),"",ROUND(MOD($D105-$C105,1)*1440,0))</f>
        <v/>
      </c>
      <c r="J105" s="12">
        <f>IF(NOT(ISNUMBER($I105)),0,IF(OR($I105&lt;=0,$H105="Cancelada",$H105="Suspensa"),0,$I105+Limpeza_Min))</f>
        <v/>
      </c>
      <c r="K105" s="12">
        <f>IF($J105&lt;=0,"",SUMPRODUCT((Mapa_Sala=$B105)*(Mapa_Data=$A105)*(Mapa_MinOcup&gt;0)*((Mapa_RelIni&lt;$P105)+((Mapa_RelIni=$P105)*(Mapa_Row&lt;=$S105)))))</f>
        <v/>
      </c>
      <c r="L105" s="23">
        <f>IF($J105&lt;=0,"",MOD(Turno_Ini+($Q105+Limpeza_Min)/1440,1))</f>
        <v/>
      </c>
      <c r="M105" s="12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24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","")&amp;IFERROR(IF(AND($J105&gt;0,$K105&gt;0,COUNTIF(Mapa_Chave,$B105&amp;"#"&amp;$A105&amp;"#"&amp;($K105+1))&gt;0,INDEX(Mapa_RelIni,MATCH($B105&amp;"#"&amp;$A105&amp;"#"&amp;($K105+1),Mapa_Chave,0))-$Q105&lt;Limpeza_Min),"Sem intervalo para limpeza | ",""),"")&amp;IF(AND($J105&gt;0,SUMPRODUCT((Mapa_Sala=$B105)*(Mapa_Data=$A105)*(Mapa_MinOcup&gt;0)*(Mapa_RelIni&lt;$Q105)*(Mapa_RelFim&gt;$P105))&gt;1),"Sobreposição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1">
        <f>IF(NOT(ISNUMBER($C105)),0,ROUND(MOD($C105-Turno_Ini,1)*1440,0))</f>
        <v/>
      </c>
      <c r="Q105" s="11">
        <f>IF($J105&lt;=0,0,$P105+$I105)</f>
        <v/>
      </c>
      <c r="R105" s="11">
        <f>IF($K105="","",$B105&amp;"#"&amp;$A105&amp;"#"&amp;$K105)</f>
        <v/>
      </c>
      <c r="S105" s="11">
        <f>ROW()</f>
        <v/>
      </c>
      <c r="T105" s="11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19" t="n"/>
      <c r="B106" s="20" t="n"/>
      <c r="C106" s="21" t="n"/>
      <c r="D106" s="21" t="n"/>
      <c r="E106" s="22" t="n"/>
      <c r="F106" s="22" t="n"/>
      <c r="G106" s="22" t="n"/>
      <c r="H106" s="20" t="n"/>
      <c r="I106" s="12">
        <f>IF(OR($B106="",NOT(ISNUMBER($C106)),NOT(ISNUMBER($D106))),"",ROUND(MOD($D106-$C106,1)*1440,0))</f>
        <v/>
      </c>
      <c r="J106" s="12">
        <f>IF(NOT(ISNUMBER($I106)),0,IF(OR($I106&lt;=0,$H106="Cancelada",$H106="Suspensa"),0,$I106+Limpeza_Min))</f>
        <v/>
      </c>
      <c r="K106" s="12">
        <f>IF($J106&lt;=0,"",SUMPRODUCT((Mapa_Sala=$B106)*(Mapa_Data=$A106)*(Mapa_MinOcup&gt;0)*((Mapa_RelIni&lt;$P106)+((Mapa_RelIni=$P106)*(Mapa_Row&lt;=$S106)))))</f>
        <v/>
      </c>
      <c r="L106" s="23">
        <f>IF($J106&lt;=0,"",MOD(Turno_Ini+($Q106+Limpeza_Min)/1440,1))</f>
        <v/>
      </c>
      <c r="M106" s="12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24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","")&amp;IFERROR(IF(AND($J106&gt;0,$K106&gt;0,COUNTIF(Mapa_Chave,$B106&amp;"#"&amp;$A106&amp;"#"&amp;($K106+1))&gt;0,INDEX(Mapa_RelIni,MATCH($B106&amp;"#"&amp;$A106&amp;"#"&amp;($K106+1),Mapa_Chave,0))-$Q106&lt;Limpeza_Min),"Sem intervalo para limpeza | ",""),"")&amp;IF(AND($J106&gt;0,SUMPRODUCT((Mapa_Sala=$B106)*(Mapa_Data=$A106)*(Mapa_MinOcup&gt;0)*(Mapa_RelIni&lt;$Q106)*(Mapa_RelFim&gt;$P106))&gt;1),"Sobreposição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1">
        <f>IF(NOT(ISNUMBER($C106)),0,ROUND(MOD($C106-Turno_Ini,1)*1440,0))</f>
        <v/>
      </c>
      <c r="Q106" s="11">
        <f>IF($J106&lt;=0,0,$P106+$I106)</f>
        <v/>
      </c>
      <c r="R106" s="11">
        <f>IF($K106="","",$B106&amp;"#"&amp;$A106&amp;"#"&amp;$K106)</f>
        <v/>
      </c>
      <c r="S106" s="11">
        <f>ROW()</f>
        <v/>
      </c>
      <c r="T106" s="11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19" t="n"/>
      <c r="B107" s="20" t="n"/>
      <c r="C107" s="21" t="n"/>
      <c r="D107" s="21" t="n"/>
      <c r="E107" s="22" t="n"/>
      <c r="F107" s="22" t="n"/>
      <c r="G107" s="22" t="n"/>
      <c r="H107" s="20" t="n"/>
      <c r="I107" s="12">
        <f>IF(OR($B107="",NOT(ISNUMBER($C107)),NOT(ISNUMBER($D107))),"",ROUND(MOD($D107-$C107,1)*1440,0))</f>
        <v/>
      </c>
      <c r="J107" s="12">
        <f>IF(NOT(ISNUMBER($I107)),0,IF(OR($I107&lt;=0,$H107="Cancelada",$H107="Suspensa"),0,$I107+Limpeza_Min))</f>
        <v/>
      </c>
      <c r="K107" s="12">
        <f>IF($J107&lt;=0,"",SUMPRODUCT((Mapa_Sala=$B107)*(Mapa_Data=$A107)*(Mapa_MinOcup&gt;0)*((Mapa_RelIni&lt;$P107)+((Mapa_RelIni=$P107)*(Mapa_Row&lt;=$S107)))))</f>
        <v/>
      </c>
      <c r="L107" s="23">
        <f>IF($J107&lt;=0,"",MOD(Turno_Ini+($Q107+Limpeza_Min)/1440,1))</f>
        <v/>
      </c>
      <c r="M107" s="12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24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","")&amp;IFERROR(IF(AND($J107&gt;0,$K107&gt;0,COUNTIF(Mapa_Chave,$B107&amp;"#"&amp;$A107&amp;"#"&amp;($K107+1))&gt;0,INDEX(Mapa_RelIni,MATCH($B107&amp;"#"&amp;$A107&amp;"#"&amp;($K107+1),Mapa_Chave,0))-$Q107&lt;Limpeza_Min),"Sem intervalo para limpeza | ",""),"")&amp;IF(AND($J107&gt;0,SUMPRODUCT((Mapa_Sala=$B107)*(Mapa_Data=$A107)*(Mapa_MinOcup&gt;0)*(Mapa_RelIni&lt;$Q107)*(Mapa_RelFim&gt;$P107))&gt;1),"Sobreposição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1">
        <f>IF(NOT(ISNUMBER($C107)),0,ROUND(MOD($C107-Turno_Ini,1)*1440,0))</f>
        <v/>
      </c>
      <c r="Q107" s="11">
        <f>IF($J107&lt;=0,0,$P107+$I107)</f>
        <v/>
      </c>
      <c r="R107" s="11">
        <f>IF($K107="","",$B107&amp;"#"&amp;$A107&amp;"#"&amp;$K107)</f>
        <v/>
      </c>
      <c r="S107" s="11">
        <f>ROW()</f>
        <v/>
      </c>
      <c r="T107" s="11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19" t="n"/>
      <c r="B108" s="20" t="n"/>
      <c r="C108" s="21" t="n"/>
      <c r="D108" s="21" t="n"/>
      <c r="E108" s="22" t="n"/>
      <c r="F108" s="22" t="n"/>
      <c r="G108" s="22" t="n"/>
      <c r="H108" s="20" t="n"/>
      <c r="I108" s="12">
        <f>IF(OR($B108="",NOT(ISNUMBER($C108)),NOT(ISNUMBER($D108))),"",ROUND(MOD($D108-$C108,1)*1440,0))</f>
        <v/>
      </c>
      <c r="J108" s="12">
        <f>IF(NOT(ISNUMBER($I108)),0,IF(OR($I108&lt;=0,$H108="Cancelada",$H108="Suspensa"),0,$I108+Limpeza_Min))</f>
        <v/>
      </c>
      <c r="K108" s="12">
        <f>IF($J108&lt;=0,"",SUMPRODUCT((Mapa_Sala=$B108)*(Mapa_Data=$A108)*(Mapa_MinOcup&gt;0)*((Mapa_RelIni&lt;$P108)+((Mapa_RelIni=$P108)*(Mapa_Row&lt;=$S108)))))</f>
        <v/>
      </c>
      <c r="L108" s="23">
        <f>IF($J108&lt;=0,"",MOD(Turno_Ini+($Q108+Limpeza_Min)/1440,1))</f>
        <v/>
      </c>
      <c r="M108" s="12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24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","")&amp;IFERROR(IF(AND($J108&gt;0,$K108&gt;0,COUNTIF(Mapa_Chave,$B108&amp;"#"&amp;$A108&amp;"#"&amp;($K108+1))&gt;0,INDEX(Mapa_RelIni,MATCH($B108&amp;"#"&amp;$A108&amp;"#"&amp;($K108+1),Mapa_Chave,0))-$Q108&lt;Limpeza_Min),"Sem intervalo para limpeza | ",""),"")&amp;IF(AND($J108&gt;0,SUMPRODUCT((Mapa_Sala=$B108)*(Mapa_Data=$A108)*(Mapa_MinOcup&gt;0)*(Mapa_RelIni&lt;$Q108)*(Mapa_RelFim&gt;$P108))&gt;1),"Sobreposição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1">
        <f>IF(NOT(ISNUMBER($C108)),0,ROUND(MOD($C108-Turno_Ini,1)*1440,0))</f>
        <v/>
      </c>
      <c r="Q108" s="11">
        <f>IF($J108&lt;=0,0,$P108+$I108)</f>
        <v/>
      </c>
      <c r="R108" s="11">
        <f>IF($K108="","",$B108&amp;"#"&amp;$A108&amp;"#"&amp;$K108)</f>
        <v/>
      </c>
      <c r="S108" s="11">
        <f>ROW()</f>
        <v/>
      </c>
      <c r="T108" s="11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19" t="n"/>
      <c r="B109" s="20" t="n"/>
      <c r="C109" s="21" t="n"/>
      <c r="D109" s="21" t="n"/>
      <c r="E109" s="22" t="n"/>
      <c r="F109" s="22" t="n"/>
      <c r="G109" s="22" t="n"/>
      <c r="H109" s="20" t="n"/>
      <c r="I109" s="12">
        <f>IF(OR($B109="",NOT(ISNUMBER($C109)),NOT(ISNUMBER($D109))),"",ROUND(MOD($D109-$C109,1)*1440,0))</f>
        <v/>
      </c>
      <c r="J109" s="12">
        <f>IF(NOT(ISNUMBER($I109)),0,IF(OR($I109&lt;=0,$H109="Cancelada",$H109="Suspensa"),0,$I109+Limpeza_Min))</f>
        <v/>
      </c>
      <c r="K109" s="12">
        <f>IF($J109&lt;=0,"",SUMPRODUCT((Mapa_Sala=$B109)*(Mapa_Data=$A109)*(Mapa_MinOcup&gt;0)*((Mapa_RelIni&lt;$P109)+((Mapa_RelIni=$P109)*(Mapa_Row&lt;=$S109)))))</f>
        <v/>
      </c>
      <c r="L109" s="23">
        <f>IF($J109&lt;=0,"",MOD(Turno_Ini+($Q109+Limpeza_Min)/1440,1))</f>
        <v/>
      </c>
      <c r="M109" s="12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24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","")&amp;IFERROR(IF(AND($J109&gt;0,$K109&gt;0,COUNTIF(Mapa_Chave,$B109&amp;"#"&amp;$A109&amp;"#"&amp;($K109+1))&gt;0,INDEX(Mapa_RelIni,MATCH($B109&amp;"#"&amp;$A109&amp;"#"&amp;($K109+1),Mapa_Chave,0))-$Q109&lt;Limpeza_Min),"Sem intervalo para limpeza | ",""),"")&amp;IF(AND($J109&gt;0,SUMPRODUCT((Mapa_Sala=$B109)*(Mapa_Data=$A109)*(Mapa_MinOcup&gt;0)*(Mapa_RelIni&lt;$Q109)*(Mapa_RelFim&gt;$P109))&gt;1),"Sobreposição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1">
        <f>IF(NOT(ISNUMBER($C109)),0,ROUND(MOD($C109-Turno_Ini,1)*1440,0))</f>
        <v/>
      </c>
      <c r="Q109" s="11">
        <f>IF($J109&lt;=0,0,$P109+$I109)</f>
        <v/>
      </c>
      <c r="R109" s="11">
        <f>IF($K109="","",$B109&amp;"#"&amp;$A109&amp;"#"&amp;$K109)</f>
        <v/>
      </c>
      <c r="S109" s="11">
        <f>ROW()</f>
        <v/>
      </c>
      <c r="T109" s="11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19" t="n"/>
      <c r="B110" s="20" t="n"/>
      <c r="C110" s="21" t="n"/>
      <c r="D110" s="21" t="n"/>
      <c r="E110" s="22" t="n"/>
      <c r="F110" s="22" t="n"/>
      <c r="G110" s="22" t="n"/>
      <c r="H110" s="20" t="n"/>
      <c r="I110" s="12">
        <f>IF(OR($B110="",NOT(ISNUMBER($C110)),NOT(ISNUMBER($D110))),"",ROUND(MOD($D110-$C110,1)*1440,0))</f>
        <v/>
      </c>
      <c r="J110" s="12">
        <f>IF(NOT(ISNUMBER($I110)),0,IF(OR($I110&lt;=0,$H110="Cancelada",$H110="Suspensa"),0,$I110+Limpeza_Min))</f>
        <v/>
      </c>
      <c r="K110" s="12">
        <f>IF($J110&lt;=0,"",SUMPRODUCT((Mapa_Sala=$B110)*(Mapa_Data=$A110)*(Mapa_MinOcup&gt;0)*((Mapa_RelIni&lt;$P110)+((Mapa_RelIni=$P110)*(Mapa_Row&lt;=$S110)))))</f>
        <v/>
      </c>
      <c r="L110" s="23">
        <f>IF($J110&lt;=0,"",MOD(Turno_Ini+($Q110+Limpeza_Min)/1440,1))</f>
        <v/>
      </c>
      <c r="M110" s="12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24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","")&amp;IFERROR(IF(AND($J110&gt;0,$K110&gt;0,COUNTIF(Mapa_Chave,$B110&amp;"#"&amp;$A110&amp;"#"&amp;($K110+1))&gt;0,INDEX(Mapa_RelIni,MATCH($B110&amp;"#"&amp;$A110&amp;"#"&amp;($K110+1),Mapa_Chave,0))-$Q110&lt;Limpeza_Min),"Sem intervalo para limpeza | ",""),"")&amp;IF(AND($J110&gt;0,SUMPRODUCT((Mapa_Sala=$B110)*(Mapa_Data=$A110)*(Mapa_MinOcup&gt;0)*(Mapa_RelIni&lt;$Q110)*(Mapa_RelFim&gt;$P110))&gt;1),"Sobreposição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1">
        <f>IF(NOT(ISNUMBER($C110)),0,ROUND(MOD($C110-Turno_Ini,1)*1440,0))</f>
        <v/>
      </c>
      <c r="Q110" s="11">
        <f>IF($J110&lt;=0,0,$P110+$I110)</f>
        <v/>
      </c>
      <c r="R110" s="11">
        <f>IF($K110="","",$B110&amp;"#"&amp;$A110&amp;"#"&amp;$K110)</f>
        <v/>
      </c>
      <c r="S110" s="11">
        <f>ROW()</f>
        <v/>
      </c>
      <c r="T110" s="11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19" t="n"/>
      <c r="B111" s="20" t="n"/>
      <c r="C111" s="21" t="n"/>
      <c r="D111" s="21" t="n"/>
      <c r="E111" s="22" t="n"/>
      <c r="F111" s="22" t="n"/>
      <c r="G111" s="22" t="n"/>
      <c r="H111" s="20" t="n"/>
      <c r="I111" s="12">
        <f>IF(OR($B111="",NOT(ISNUMBER($C111)),NOT(ISNUMBER($D111))),"",ROUND(MOD($D111-$C111,1)*1440,0))</f>
        <v/>
      </c>
      <c r="J111" s="12">
        <f>IF(NOT(ISNUMBER($I111)),0,IF(OR($I111&lt;=0,$H111="Cancelada",$H111="Suspensa"),0,$I111+Limpeza_Min))</f>
        <v/>
      </c>
      <c r="K111" s="12">
        <f>IF($J111&lt;=0,"",SUMPRODUCT((Mapa_Sala=$B111)*(Mapa_Data=$A111)*(Mapa_MinOcup&gt;0)*((Mapa_RelIni&lt;$P111)+((Mapa_RelIni=$P111)*(Mapa_Row&lt;=$S111)))))</f>
        <v/>
      </c>
      <c r="L111" s="23">
        <f>IF($J111&lt;=0,"",MOD(Turno_Ini+($Q111+Limpeza_Min)/1440,1))</f>
        <v/>
      </c>
      <c r="M111" s="12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24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","")&amp;IFERROR(IF(AND($J111&gt;0,$K111&gt;0,COUNTIF(Mapa_Chave,$B111&amp;"#"&amp;$A111&amp;"#"&amp;($K111+1))&gt;0,INDEX(Mapa_RelIni,MATCH($B111&amp;"#"&amp;$A111&amp;"#"&amp;($K111+1),Mapa_Chave,0))-$Q111&lt;Limpeza_Min),"Sem intervalo para limpeza | ",""),"")&amp;IF(AND($J111&gt;0,SUMPRODUCT((Mapa_Sala=$B111)*(Mapa_Data=$A111)*(Mapa_MinOcup&gt;0)*(Mapa_RelIni&lt;$Q111)*(Mapa_RelFim&gt;$P111))&gt;1),"Sobreposição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1">
        <f>IF(NOT(ISNUMBER($C111)),0,ROUND(MOD($C111-Turno_Ini,1)*1440,0))</f>
        <v/>
      </c>
      <c r="Q111" s="11">
        <f>IF($J111&lt;=0,0,$P111+$I111)</f>
        <v/>
      </c>
      <c r="R111" s="11">
        <f>IF($K111="","",$B111&amp;"#"&amp;$A111&amp;"#"&amp;$K111)</f>
        <v/>
      </c>
      <c r="S111" s="11">
        <f>ROW()</f>
        <v/>
      </c>
      <c r="T111" s="11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19" t="n"/>
      <c r="B112" s="20" t="n"/>
      <c r="C112" s="21" t="n"/>
      <c r="D112" s="21" t="n"/>
      <c r="E112" s="22" t="n"/>
      <c r="F112" s="22" t="n"/>
      <c r="G112" s="22" t="n"/>
      <c r="H112" s="20" t="n"/>
      <c r="I112" s="12">
        <f>IF(OR($B112="",NOT(ISNUMBER($C112)),NOT(ISNUMBER($D112))),"",ROUND(MOD($D112-$C112,1)*1440,0))</f>
        <v/>
      </c>
      <c r="J112" s="12">
        <f>IF(NOT(ISNUMBER($I112)),0,IF(OR($I112&lt;=0,$H112="Cancelada",$H112="Suspensa"),0,$I112+Limpeza_Min))</f>
        <v/>
      </c>
      <c r="K112" s="12">
        <f>IF($J112&lt;=0,"",SUMPRODUCT((Mapa_Sala=$B112)*(Mapa_Data=$A112)*(Mapa_MinOcup&gt;0)*((Mapa_RelIni&lt;$P112)+((Mapa_RelIni=$P112)*(Mapa_Row&lt;=$S112)))))</f>
        <v/>
      </c>
      <c r="L112" s="23">
        <f>IF($J112&lt;=0,"",MOD(Turno_Ini+($Q112+Limpeza_Min)/1440,1))</f>
        <v/>
      </c>
      <c r="M112" s="12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24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","")&amp;IFERROR(IF(AND($J112&gt;0,$K112&gt;0,COUNTIF(Mapa_Chave,$B112&amp;"#"&amp;$A112&amp;"#"&amp;($K112+1))&gt;0,INDEX(Mapa_RelIni,MATCH($B112&amp;"#"&amp;$A112&amp;"#"&amp;($K112+1),Mapa_Chave,0))-$Q112&lt;Limpeza_Min),"Sem intervalo para limpeza | ",""),"")&amp;IF(AND($J112&gt;0,SUMPRODUCT((Mapa_Sala=$B112)*(Mapa_Data=$A112)*(Mapa_MinOcup&gt;0)*(Mapa_RelIni&lt;$Q112)*(Mapa_RelFim&gt;$P112))&gt;1),"Sobreposição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1">
        <f>IF(NOT(ISNUMBER($C112)),0,ROUND(MOD($C112-Turno_Ini,1)*1440,0))</f>
        <v/>
      </c>
      <c r="Q112" s="11">
        <f>IF($J112&lt;=0,0,$P112+$I112)</f>
        <v/>
      </c>
      <c r="R112" s="11">
        <f>IF($K112="","",$B112&amp;"#"&amp;$A112&amp;"#"&amp;$K112)</f>
        <v/>
      </c>
      <c r="S112" s="11">
        <f>ROW()</f>
        <v/>
      </c>
      <c r="T112" s="11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19" t="n"/>
      <c r="B113" s="20" t="n"/>
      <c r="C113" s="21" t="n"/>
      <c r="D113" s="21" t="n"/>
      <c r="E113" s="22" t="n"/>
      <c r="F113" s="22" t="n"/>
      <c r="G113" s="22" t="n"/>
      <c r="H113" s="20" t="n"/>
      <c r="I113" s="12">
        <f>IF(OR($B113="",NOT(ISNUMBER($C113)),NOT(ISNUMBER($D113))),"",ROUND(MOD($D113-$C113,1)*1440,0))</f>
        <v/>
      </c>
      <c r="J113" s="12">
        <f>IF(NOT(ISNUMBER($I113)),0,IF(OR($I113&lt;=0,$H113="Cancelada",$H113="Suspensa"),0,$I113+Limpeza_Min))</f>
        <v/>
      </c>
      <c r="K113" s="12">
        <f>IF($J113&lt;=0,"",SUMPRODUCT((Mapa_Sala=$B113)*(Mapa_Data=$A113)*(Mapa_MinOcup&gt;0)*((Mapa_RelIni&lt;$P113)+((Mapa_RelIni=$P113)*(Mapa_Row&lt;=$S113)))))</f>
        <v/>
      </c>
      <c r="L113" s="23">
        <f>IF($J113&lt;=0,"",MOD(Turno_Ini+($Q113+Limpeza_Min)/1440,1))</f>
        <v/>
      </c>
      <c r="M113" s="12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24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","")&amp;IFERROR(IF(AND($J113&gt;0,$K113&gt;0,COUNTIF(Mapa_Chave,$B113&amp;"#"&amp;$A113&amp;"#"&amp;($K113+1))&gt;0,INDEX(Mapa_RelIni,MATCH($B113&amp;"#"&amp;$A113&amp;"#"&amp;($K113+1),Mapa_Chave,0))-$Q113&lt;Limpeza_Min),"Sem intervalo para limpeza | ",""),"")&amp;IF(AND($J113&gt;0,SUMPRODUCT((Mapa_Sala=$B113)*(Mapa_Data=$A113)*(Mapa_MinOcup&gt;0)*(Mapa_RelIni&lt;$Q113)*(Mapa_RelFim&gt;$P113))&gt;1),"Sobreposição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1">
        <f>IF(NOT(ISNUMBER($C113)),0,ROUND(MOD($C113-Turno_Ini,1)*1440,0))</f>
        <v/>
      </c>
      <c r="Q113" s="11">
        <f>IF($J113&lt;=0,0,$P113+$I113)</f>
        <v/>
      </c>
      <c r="R113" s="11">
        <f>IF($K113="","",$B113&amp;"#"&amp;$A113&amp;"#"&amp;$K113)</f>
        <v/>
      </c>
      <c r="S113" s="11">
        <f>ROW()</f>
        <v/>
      </c>
      <c r="T113" s="11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19" t="n"/>
      <c r="B114" s="20" t="n"/>
      <c r="C114" s="21" t="n"/>
      <c r="D114" s="21" t="n"/>
      <c r="E114" s="22" t="n"/>
      <c r="F114" s="22" t="n"/>
      <c r="G114" s="22" t="n"/>
      <c r="H114" s="20" t="n"/>
      <c r="I114" s="12">
        <f>IF(OR($B114="",NOT(ISNUMBER($C114)),NOT(ISNUMBER($D114))),"",ROUND(MOD($D114-$C114,1)*1440,0))</f>
        <v/>
      </c>
      <c r="J114" s="12">
        <f>IF(NOT(ISNUMBER($I114)),0,IF(OR($I114&lt;=0,$H114="Cancelada",$H114="Suspensa"),0,$I114+Limpeza_Min))</f>
        <v/>
      </c>
      <c r="K114" s="12">
        <f>IF($J114&lt;=0,"",SUMPRODUCT((Mapa_Sala=$B114)*(Mapa_Data=$A114)*(Mapa_MinOcup&gt;0)*((Mapa_RelIni&lt;$P114)+((Mapa_RelIni=$P114)*(Mapa_Row&lt;=$S114)))))</f>
        <v/>
      </c>
      <c r="L114" s="23">
        <f>IF($J114&lt;=0,"",MOD(Turno_Ini+($Q114+Limpeza_Min)/1440,1))</f>
        <v/>
      </c>
      <c r="M114" s="12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24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","")&amp;IFERROR(IF(AND($J114&gt;0,$K114&gt;0,COUNTIF(Mapa_Chave,$B114&amp;"#"&amp;$A114&amp;"#"&amp;($K114+1))&gt;0,INDEX(Mapa_RelIni,MATCH($B114&amp;"#"&amp;$A114&amp;"#"&amp;($K114+1),Mapa_Chave,0))-$Q114&lt;Limpeza_Min),"Sem intervalo para limpeza | ",""),"")&amp;IF(AND($J114&gt;0,SUMPRODUCT((Mapa_Sala=$B114)*(Mapa_Data=$A114)*(Mapa_MinOcup&gt;0)*(Mapa_RelIni&lt;$Q114)*(Mapa_RelFim&gt;$P114))&gt;1),"Sobreposição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1">
        <f>IF(NOT(ISNUMBER($C114)),0,ROUND(MOD($C114-Turno_Ini,1)*1440,0))</f>
        <v/>
      </c>
      <c r="Q114" s="11">
        <f>IF($J114&lt;=0,0,$P114+$I114)</f>
        <v/>
      </c>
      <c r="R114" s="11">
        <f>IF($K114="","",$B114&amp;"#"&amp;$A114&amp;"#"&amp;$K114)</f>
        <v/>
      </c>
      <c r="S114" s="11">
        <f>ROW()</f>
        <v/>
      </c>
      <c r="T114" s="11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19" t="n"/>
      <c r="B115" s="20" t="n"/>
      <c r="C115" s="21" t="n"/>
      <c r="D115" s="21" t="n"/>
      <c r="E115" s="22" t="n"/>
      <c r="F115" s="22" t="n"/>
      <c r="G115" s="22" t="n"/>
      <c r="H115" s="20" t="n"/>
      <c r="I115" s="12">
        <f>IF(OR($B115="",NOT(ISNUMBER($C115)),NOT(ISNUMBER($D115))),"",ROUND(MOD($D115-$C115,1)*1440,0))</f>
        <v/>
      </c>
      <c r="J115" s="12">
        <f>IF(NOT(ISNUMBER($I115)),0,IF(OR($I115&lt;=0,$H115="Cancelada",$H115="Suspensa"),0,$I115+Limpeza_Min))</f>
        <v/>
      </c>
      <c r="K115" s="12">
        <f>IF($J115&lt;=0,"",SUMPRODUCT((Mapa_Sala=$B115)*(Mapa_Data=$A115)*(Mapa_MinOcup&gt;0)*((Mapa_RelIni&lt;$P115)+((Mapa_RelIni=$P115)*(Mapa_Row&lt;=$S115)))))</f>
        <v/>
      </c>
      <c r="L115" s="23">
        <f>IF($J115&lt;=0,"",MOD(Turno_Ini+($Q115+Limpeza_Min)/1440,1))</f>
        <v/>
      </c>
      <c r="M115" s="12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24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","")&amp;IFERROR(IF(AND($J115&gt;0,$K115&gt;0,COUNTIF(Mapa_Chave,$B115&amp;"#"&amp;$A115&amp;"#"&amp;($K115+1))&gt;0,INDEX(Mapa_RelIni,MATCH($B115&amp;"#"&amp;$A115&amp;"#"&amp;($K115+1),Mapa_Chave,0))-$Q115&lt;Limpeza_Min),"Sem intervalo para limpeza | ",""),"")&amp;IF(AND($J115&gt;0,SUMPRODUCT((Mapa_Sala=$B115)*(Mapa_Data=$A115)*(Mapa_MinOcup&gt;0)*(Mapa_RelIni&lt;$Q115)*(Mapa_RelFim&gt;$P115))&gt;1),"Sobreposição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1">
        <f>IF(NOT(ISNUMBER($C115)),0,ROUND(MOD($C115-Turno_Ini,1)*1440,0))</f>
        <v/>
      </c>
      <c r="Q115" s="11">
        <f>IF($J115&lt;=0,0,$P115+$I115)</f>
        <v/>
      </c>
      <c r="R115" s="11">
        <f>IF($K115="","",$B115&amp;"#"&amp;$A115&amp;"#"&amp;$K115)</f>
        <v/>
      </c>
      <c r="S115" s="11">
        <f>ROW()</f>
        <v/>
      </c>
      <c r="T115" s="11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19" t="n"/>
      <c r="B116" s="20" t="n"/>
      <c r="C116" s="21" t="n"/>
      <c r="D116" s="21" t="n"/>
      <c r="E116" s="22" t="n"/>
      <c r="F116" s="22" t="n"/>
      <c r="G116" s="22" t="n"/>
      <c r="H116" s="20" t="n"/>
      <c r="I116" s="12">
        <f>IF(OR($B116="",NOT(ISNUMBER($C116)),NOT(ISNUMBER($D116))),"",ROUND(MOD($D116-$C116,1)*1440,0))</f>
        <v/>
      </c>
      <c r="J116" s="12">
        <f>IF(NOT(ISNUMBER($I116)),0,IF(OR($I116&lt;=0,$H116="Cancelada",$H116="Suspensa"),0,$I116+Limpeza_Min))</f>
        <v/>
      </c>
      <c r="K116" s="12">
        <f>IF($J116&lt;=0,"",SUMPRODUCT((Mapa_Sala=$B116)*(Mapa_Data=$A116)*(Mapa_MinOcup&gt;0)*((Mapa_RelIni&lt;$P116)+((Mapa_RelIni=$P116)*(Mapa_Row&lt;=$S116)))))</f>
        <v/>
      </c>
      <c r="L116" s="23">
        <f>IF($J116&lt;=0,"",MOD(Turno_Ini+($Q116+Limpeza_Min)/1440,1))</f>
        <v/>
      </c>
      <c r="M116" s="12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24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","")&amp;IFERROR(IF(AND($J116&gt;0,$K116&gt;0,COUNTIF(Mapa_Chave,$B116&amp;"#"&amp;$A116&amp;"#"&amp;($K116+1))&gt;0,INDEX(Mapa_RelIni,MATCH($B116&amp;"#"&amp;$A116&amp;"#"&amp;($K116+1),Mapa_Chave,0))-$Q116&lt;Limpeza_Min),"Sem intervalo para limpeza | ",""),"")&amp;IF(AND($J116&gt;0,SUMPRODUCT((Mapa_Sala=$B116)*(Mapa_Data=$A116)*(Mapa_MinOcup&gt;0)*(Mapa_RelIni&lt;$Q116)*(Mapa_RelFim&gt;$P116))&gt;1),"Sobreposição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1">
        <f>IF(NOT(ISNUMBER($C116)),0,ROUND(MOD($C116-Turno_Ini,1)*1440,0))</f>
        <v/>
      </c>
      <c r="Q116" s="11">
        <f>IF($J116&lt;=0,0,$P116+$I116)</f>
        <v/>
      </c>
      <c r="R116" s="11">
        <f>IF($K116="","",$B116&amp;"#"&amp;$A116&amp;"#"&amp;$K116)</f>
        <v/>
      </c>
      <c r="S116" s="11">
        <f>ROW()</f>
        <v/>
      </c>
      <c r="T116" s="11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19" t="n"/>
      <c r="B117" s="20" t="n"/>
      <c r="C117" s="21" t="n"/>
      <c r="D117" s="21" t="n"/>
      <c r="E117" s="22" t="n"/>
      <c r="F117" s="22" t="n"/>
      <c r="G117" s="22" t="n"/>
      <c r="H117" s="20" t="n"/>
      <c r="I117" s="12">
        <f>IF(OR($B117="",NOT(ISNUMBER($C117)),NOT(ISNUMBER($D117))),"",ROUND(MOD($D117-$C117,1)*1440,0))</f>
        <v/>
      </c>
      <c r="J117" s="12">
        <f>IF(NOT(ISNUMBER($I117)),0,IF(OR($I117&lt;=0,$H117="Cancelada",$H117="Suspensa"),0,$I117+Limpeza_Min))</f>
        <v/>
      </c>
      <c r="K117" s="12">
        <f>IF($J117&lt;=0,"",SUMPRODUCT((Mapa_Sala=$B117)*(Mapa_Data=$A117)*(Mapa_MinOcup&gt;0)*((Mapa_RelIni&lt;$P117)+((Mapa_RelIni=$P117)*(Mapa_Row&lt;=$S117)))))</f>
        <v/>
      </c>
      <c r="L117" s="23">
        <f>IF($J117&lt;=0,"",MOD(Turno_Ini+($Q117+Limpeza_Min)/1440,1))</f>
        <v/>
      </c>
      <c r="M117" s="12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24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","")&amp;IFERROR(IF(AND($J117&gt;0,$K117&gt;0,COUNTIF(Mapa_Chave,$B117&amp;"#"&amp;$A117&amp;"#"&amp;($K117+1))&gt;0,INDEX(Mapa_RelIni,MATCH($B117&amp;"#"&amp;$A117&amp;"#"&amp;($K117+1),Mapa_Chave,0))-$Q117&lt;Limpeza_Min),"Sem intervalo para limpeza | ",""),"")&amp;IF(AND($J117&gt;0,SUMPRODUCT((Mapa_Sala=$B117)*(Mapa_Data=$A117)*(Mapa_MinOcup&gt;0)*(Mapa_RelIni&lt;$Q117)*(Mapa_RelFim&gt;$P117))&gt;1),"Sobreposição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1">
        <f>IF(NOT(ISNUMBER($C117)),0,ROUND(MOD($C117-Turno_Ini,1)*1440,0))</f>
        <v/>
      </c>
      <c r="Q117" s="11">
        <f>IF($J117&lt;=0,0,$P117+$I117)</f>
        <v/>
      </c>
      <c r="R117" s="11">
        <f>IF($K117="","",$B117&amp;"#"&amp;$A117&amp;"#"&amp;$K117)</f>
        <v/>
      </c>
      <c r="S117" s="11">
        <f>ROW()</f>
        <v/>
      </c>
      <c r="T117" s="11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19" t="n"/>
      <c r="B118" s="20" t="n"/>
      <c r="C118" s="21" t="n"/>
      <c r="D118" s="21" t="n"/>
      <c r="E118" s="22" t="n"/>
      <c r="F118" s="22" t="n"/>
      <c r="G118" s="22" t="n"/>
      <c r="H118" s="20" t="n"/>
      <c r="I118" s="12">
        <f>IF(OR($B118="",NOT(ISNUMBER($C118)),NOT(ISNUMBER($D118))),"",ROUND(MOD($D118-$C118,1)*1440,0))</f>
        <v/>
      </c>
      <c r="J118" s="12">
        <f>IF(NOT(ISNUMBER($I118)),0,IF(OR($I118&lt;=0,$H118="Cancelada",$H118="Suspensa"),0,$I118+Limpeza_Min))</f>
        <v/>
      </c>
      <c r="K118" s="12">
        <f>IF($J118&lt;=0,"",SUMPRODUCT((Mapa_Sala=$B118)*(Mapa_Data=$A118)*(Mapa_MinOcup&gt;0)*((Mapa_RelIni&lt;$P118)+((Mapa_RelIni=$P118)*(Mapa_Row&lt;=$S118)))))</f>
        <v/>
      </c>
      <c r="L118" s="23">
        <f>IF($J118&lt;=0,"",MOD(Turno_Ini+($Q118+Limpeza_Min)/1440,1))</f>
        <v/>
      </c>
      <c r="M118" s="12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24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","")&amp;IFERROR(IF(AND($J118&gt;0,$K118&gt;0,COUNTIF(Mapa_Chave,$B118&amp;"#"&amp;$A118&amp;"#"&amp;($K118+1))&gt;0,INDEX(Mapa_RelIni,MATCH($B118&amp;"#"&amp;$A118&amp;"#"&amp;($K118+1),Mapa_Chave,0))-$Q118&lt;Limpeza_Min),"Sem intervalo para limpeza | ",""),"")&amp;IF(AND($J118&gt;0,SUMPRODUCT((Mapa_Sala=$B118)*(Mapa_Data=$A118)*(Mapa_MinOcup&gt;0)*(Mapa_RelIni&lt;$Q118)*(Mapa_RelFim&gt;$P118))&gt;1),"Sobreposição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1">
        <f>IF(NOT(ISNUMBER($C118)),0,ROUND(MOD($C118-Turno_Ini,1)*1440,0))</f>
        <v/>
      </c>
      <c r="Q118" s="11">
        <f>IF($J118&lt;=0,0,$P118+$I118)</f>
        <v/>
      </c>
      <c r="R118" s="11">
        <f>IF($K118="","",$B118&amp;"#"&amp;$A118&amp;"#"&amp;$K118)</f>
        <v/>
      </c>
      <c r="S118" s="11">
        <f>ROW()</f>
        <v/>
      </c>
      <c r="T118" s="11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19" t="n"/>
      <c r="B119" s="20" t="n"/>
      <c r="C119" s="21" t="n"/>
      <c r="D119" s="21" t="n"/>
      <c r="E119" s="22" t="n"/>
      <c r="F119" s="22" t="n"/>
      <c r="G119" s="22" t="n"/>
      <c r="H119" s="20" t="n"/>
      <c r="I119" s="12">
        <f>IF(OR($B119="",NOT(ISNUMBER($C119)),NOT(ISNUMBER($D119))),"",ROUND(MOD($D119-$C119,1)*1440,0))</f>
        <v/>
      </c>
      <c r="J119" s="12">
        <f>IF(NOT(ISNUMBER($I119)),0,IF(OR($I119&lt;=0,$H119="Cancelada",$H119="Suspensa"),0,$I119+Limpeza_Min))</f>
        <v/>
      </c>
      <c r="K119" s="12">
        <f>IF($J119&lt;=0,"",SUMPRODUCT((Mapa_Sala=$B119)*(Mapa_Data=$A119)*(Mapa_MinOcup&gt;0)*((Mapa_RelIni&lt;$P119)+((Mapa_RelIni=$P119)*(Mapa_Row&lt;=$S119)))))</f>
        <v/>
      </c>
      <c r="L119" s="23">
        <f>IF($J119&lt;=0,"",MOD(Turno_Ini+($Q119+Limpeza_Min)/1440,1))</f>
        <v/>
      </c>
      <c r="M119" s="12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24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","")&amp;IFERROR(IF(AND($J119&gt;0,$K119&gt;0,COUNTIF(Mapa_Chave,$B119&amp;"#"&amp;$A119&amp;"#"&amp;($K119+1))&gt;0,INDEX(Mapa_RelIni,MATCH($B119&amp;"#"&amp;$A119&amp;"#"&amp;($K119+1),Mapa_Chave,0))-$Q119&lt;Limpeza_Min),"Sem intervalo para limpeza | ",""),"")&amp;IF(AND($J119&gt;0,SUMPRODUCT((Mapa_Sala=$B119)*(Mapa_Data=$A119)*(Mapa_MinOcup&gt;0)*(Mapa_RelIni&lt;$Q119)*(Mapa_RelFim&gt;$P119))&gt;1),"Sobreposição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1">
        <f>IF(NOT(ISNUMBER($C119)),0,ROUND(MOD($C119-Turno_Ini,1)*1440,0))</f>
        <v/>
      </c>
      <c r="Q119" s="11">
        <f>IF($J119&lt;=0,0,$P119+$I119)</f>
        <v/>
      </c>
      <c r="R119" s="11">
        <f>IF($K119="","",$B119&amp;"#"&amp;$A119&amp;"#"&amp;$K119)</f>
        <v/>
      </c>
      <c r="S119" s="11">
        <f>ROW()</f>
        <v/>
      </c>
      <c r="T119" s="11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19" t="n"/>
      <c r="B120" s="20" t="n"/>
      <c r="C120" s="21" t="n"/>
      <c r="D120" s="21" t="n"/>
      <c r="E120" s="22" t="n"/>
      <c r="F120" s="22" t="n"/>
      <c r="G120" s="22" t="n"/>
      <c r="H120" s="20" t="n"/>
      <c r="I120" s="12">
        <f>IF(OR($B120="",NOT(ISNUMBER($C120)),NOT(ISNUMBER($D120))),"",ROUND(MOD($D120-$C120,1)*1440,0))</f>
        <v/>
      </c>
      <c r="J120" s="12">
        <f>IF(NOT(ISNUMBER($I120)),0,IF(OR($I120&lt;=0,$H120="Cancelada",$H120="Suspensa"),0,$I120+Limpeza_Min))</f>
        <v/>
      </c>
      <c r="K120" s="12">
        <f>IF($J120&lt;=0,"",SUMPRODUCT((Mapa_Sala=$B120)*(Mapa_Data=$A120)*(Mapa_MinOcup&gt;0)*((Mapa_RelIni&lt;$P120)+((Mapa_RelIni=$P120)*(Mapa_Row&lt;=$S120)))))</f>
        <v/>
      </c>
      <c r="L120" s="23">
        <f>IF($J120&lt;=0,"",MOD(Turno_Ini+($Q120+Limpeza_Min)/1440,1))</f>
        <v/>
      </c>
      <c r="M120" s="12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24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","")&amp;IFERROR(IF(AND($J120&gt;0,$K120&gt;0,COUNTIF(Mapa_Chave,$B120&amp;"#"&amp;$A120&amp;"#"&amp;($K120+1))&gt;0,INDEX(Mapa_RelIni,MATCH($B120&amp;"#"&amp;$A120&amp;"#"&amp;($K120+1),Mapa_Chave,0))-$Q120&lt;Limpeza_Min),"Sem intervalo para limpeza | ",""),"")&amp;IF(AND($J120&gt;0,SUMPRODUCT((Mapa_Sala=$B120)*(Mapa_Data=$A120)*(Mapa_MinOcup&gt;0)*(Mapa_RelIni&lt;$Q120)*(Mapa_RelFim&gt;$P120))&gt;1),"Sobreposição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1">
        <f>IF(NOT(ISNUMBER($C120)),0,ROUND(MOD($C120-Turno_Ini,1)*1440,0))</f>
        <v/>
      </c>
      <c r="Q120" s="11">
        <f>IF($J120&lt;=0,0,$P120+$I120)</f>
        <v/>
      </c>
      <c r="R120" s="11">
        <f>IF($K120="","",$B120&amp;"#"&amp;$A120&amp;"#"&amp;$K120)</f>
        <v/>
      </c>
      <c r="S120" s="11">
        <f>ROW()</f>
        <v/>
      </c>
      <c r="T120" s="11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19" t="n"/>
      <c r="B121" s="20" t="n"/>
      <c r="C121" s="21" t="n"/>
      <c r="D121" s="21" t="n"/>
      <c r="E121" s="22" t="n"/>
      <c r="F121" s="22" t="n"/>
      <c r="G121" s="22" t="n"/>
      <c r="H121" s="20" t="n"/>
      <c r="I121" s="12">
        <f>IF(OR($B121="",NOT(ISNUMBER($C121)),NOT(ISNUMBER($D121))),"",ROUND(MOD($D121-$C121,1)*1440,0))</f>
        <v/>
      </c>
      <c r="J121" s="12">
        <f>IF(NOT(ISNUMBER($I121)),0,IF(OR($I121&lt;=0,$H121="Cancelada",$H121="Suspensa"),0,$I121+Limpeza_Min))</f>
        <v/>
      </c>
      <c r="K121" s="12">
        <f>IF($J121&lt;=0,"",SUMPRODUCT((Mapa_Sala=$B121)*(Mapa_Data=$A121)*(Mapa_MinOcup&gt;0)*((Mapa_RelIni&lt;$P121)+((Mapa_RelIni=$P121)*(Mapa_Row&lt;=$S121)))))</f>
        <v/>
      </c>
      <c r="L121" s="23">
        <f>IF($J121&lt;=0,"",MOD(Turno_Ini+($Q121+Limpeza_Min)/1440,1))</f>
        <v/>
      </c>
      <c r="M121" s="12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24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","")&amp;IFERROR(IF(AND($J121&gt;0,$K121&gt;0,COUNTIF(Mapa_Chave,$B121&amp;"#"&amp;$A121&amp;"#"&amp;($K121+1))&gt;0,INDEX(Mapa_RelIni,MATCH($B121&amp;"#"&amp;$A121&amp;"#"&amp;($K121+1),Mapa_Chave,0))-$Q121&lt;Limpeza_Min),"Sem intervalo para limpeza | ",""),"")&amp;IF(AND($J121&gt;0,SUMPRODUCT((Mapa_Sala=$B121)*(Mapa_Data=$A121)*(Mapa_MinOcup&gt;0)*(Mapa_RelIni&lt;$Q121)*(Mapa_RelFim&gt;$P121))&gt;1),"Sobreposição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1">
        <f>IF(NOT(ISNUMBER($C121)),0,ROUND(MOD($C121-Turno_Ini,1)*1440,0))</f>
        <v/>
      </c>
      <c r="Q121" s="11">
        <f>IF($J121&lt;=0,0,$P121+$I121)</f>
        <v/>
      </c>
      <c r="R121" s="11">
        <f>IF($K121="","",$B121&amp;"#"&amp;$A121&amp;"#"&amp;$K121)</f>
        <v/>
      </c>
      <c r="S121" s="11">
        <f>ROW()</f>
        <v/>
      </c>
      <c r="T121" s="11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19" t="n"/>
      <c r="B122" s="20" t="n"/>
      <c r="C122" s="21" t="n"/>
      <c r="D122" s="21" t="n"/>
      <c r="E122" s="22" t="n"/>
      <c r="F122" s="22" t="n"/>
      <c r="G122" s="22" t="n"/>
      <c r="H122" s="20" t="n"/>
      <c r="I122" s="12">
        <f>IF(OR($B122="",NOT(ISNUMBER($C122)),NOT(ISNUMBER($D122))),"",ROUND(MOD($D122-$C122,1)*1440,0))</f>
        <v/>
      </c>
      <c r="J122" s="12">
        <f>IF(NOT(ISNUMBER($I122)),0,IF(OR($I122&lt;=0,$H122="Cancelada",$H122="Suspensa"),0,$I122+Limpeza_Min))</f>
        <v/>
      </c>
      <c r="K122" s="12">
        <f>IF($J122&lt;=0,"",SUMPRODUCT((Mapa_Sala=$B122)*(Mapa_Data=$A122)*(Mapa_MinOcup&gt;0)*((Mapa_RelIni&lt;$P122)+((Mapa_RelIni=$P122)*(Mapa_Row&lt;=$S122)))))</f>
        <v/>
      </c>
      <c r="L122" s="23">
        <f>IF($J122&lt;=0,"",MOD(Turno_Ini+($Q122+Limpeza_Min)/1440,1))</f>
        <v/>
      </c>
      <c r="M122" s="12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24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","")&amp;IFERROR(IF(AND($J122&gt;0,$K122&gt;0,COUNTIF(Mapa_Chave,$B122&amp;"#"&amp;$A122&amp;"#"&amp;($K122+1))&gt;0,INDEX(Mapa_RelIni,MATCH($B122&amp;"#"&amp;$A122&amp;"#"&amp;($K122+1),Mapa_Chave,0))-$Q122&lt;Limpeza_Min),"Sem intervalo para limpeza | ",""),"")&amp;IF(AND($J122&gt;0,SUMPRODUCT((Mapa_Sala=$B122)*(Mapa_Data=$A122)*(Mapa_MinOcup&gt;0)*(Mapa_RelIni&lt;$Q122)*(Mapa_RelFim&gt;$P122))&gt;1),"Sobreposição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1">
        <f>IF(NOT(ISNUMBER($C122)),0,ROUND(MOD($C122-Turno_Ini,1)*1440,0))</f>
        <v/>
      </c>
      <c r="Q122" s="11">
        <f>IF($J122&lt;=0,0,$P122+$I122)</f>
        <v/>
      </c>
      <c r="R122" s="11">
        <f>IF($K122="","",$B122&amp;"#"&amp;$A122&amp;"#"&amp;$K122)</f>
        <v/>
      </c>
      <c r="S122" s="11">
        <f>ROW()</f>
        <v/>
      </c>
      <c r="T122" s="11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19" t="n"/>
      <c r="B123" s="20" t="n"/>
      <c r="C123" s="21" t="n"/>
      <c r="D123" s="21" t="n"/>
      <c r="E123" s="22" t="n"/>
      <c r="F123" s="22" t="n"/>
      <c r="G123" s="22" t="n"/>
      <c r="H123" s="20" t="n"/>
      <c r="I123" s="12">
        <f>IF(OR($B123="",NOT(ISNUMBER($C123)),NOT(ISNUMBER($D123))),"",ROUND(MOD($D123-$C123,1)*1440,0))</f>
        <v/>
      </c>
      <c r="J123" s="12">
        <f>IF(NOT(ISNUMBER($I123)),0,IF(OR($I123&lt;=0,$H123="Cancelada",$H123="Suspensa"),0,$I123+Limpeza_Min))</f>
        <v/>
      </c>
      <c r="K123" s="12">
        <f>IF($J123&lt;=0,"",SUMPRODUCT((Mapa_Sala=$B123)*(Mapa_Data=$A123)*(Mapa_MinOcup&gt;0)*((Mapa_RelIni&lt;$P123)+((Mapa_RelIni=$P123)*(Mapa_Row&lt;=$S123)))))</f>
        <v/>
      </c>
      <c r="L123" s="23">
        <f>IF($J123&lt;=0,"",MOD(Turno_Ini+($Q123+Limpeza_Min)/1440,1))</f>
        <v/>
      </c>
      <c r="M123" s="12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24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","")&amp;IFERROR(IF(AND($J123&gt;0,$K123&gt;0,COUNTIF(Mapa_Chave,$B123&amp;"#"&amp;$A123&amp;"#"&amp;($K123+1))&gt;0,INDEX(Mapa_RelIni,MATCH($B123&amp;"#"&amp;$A123&amp;"#"&amp;($K123+1),Mapa_Chave,0))-$Q123&lt;Limpeza_Min),"Sem intervalo para limpeza | ",""),"")&amp;IF(AND($J123&gt;0,SUMPRODUCT((Mapa_Sala=$B123)*(Mapa_Data=$A123)*(Mapa_MinOcup&gt;0)*(Mapa_RelIni&lt;$Q123)*(Mapa_RelFim&gt;$P123))&gt;1),"Sobreposição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1">
        <f>IF(NOT(ISNUMBER($C123)),0,ROUND(MOD($C123-Turno_Ini,1)*1440,0))</f>
        <v/>
      </c>
      <c r="Q123" s="11">
        <f>IF($J123&lt;=0,0,$P123+$I123)</f>
        <v/>
      </c>
      <c r="R123" s="11">
        <f>IF($K123="","",$B123&amp;"#"&amp;$A123&amp;"#"&amp;$K123)</f>
        <v/>
      </c>
      <c r="S123" s="11">
        <f>ROW()</f>
        <v/>
      </c>
      <c r="T123" s="11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19" t="n"/>
      <c r="B124" s="20" t="n"/>
      <c r="C124" s="21" t="n"/>
      <c r="D124" s="21" t="n"/>
      <c r="E124" s="22" t="n"/>
      <c r="F124" s="22" t="n"/>
      <c r="G124" s="22" t="n"/>
      <c r="H124" s="20" t="n"/>
      <c r="I124" s="12">
        <f>IF(OR($B124="",NOT(ISNUMBER($C124)),NOT(ISNUMBER($D124))),"",ROUND(MOD($D124-$C124,1)*1440,0))</f>
        <v/>
      </c>
      <c r="J124" s="12">
        <f>IF(NOT(ISNUMBER($I124)),0,IF(OR($I124&lt;=0,$H124="Cancelada",$H124="Suspensa"),0,$I124+Limpeza_Min))</f>
        <v/>
      </c>
      <c r="K124" s="12">
        <f>IF($J124&lt;=0,"",SUMPRODUCT((Mapa_Sala=$B124)*(Mapa_Data=$A124)*(Mapa_MinOcup&gt;0)*((Mapa_RelIni&lt;$P124)+((Mapa_RelIni=$P124)*(Mapa_Row&lt;=$S124)))))</f>
        <v/>
      </c>
      <c r="L124" s="23">
        <f>IF($J124&lt;=0,"",MOD(Turno_Ini+($Q124+Limpeza_Min)/1440,1))</f>
        <v/>
      </c>
      <c r="M124" s="12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24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","")&amp;IFERROR(IF(AND($J124&gt;0,$K124&gt;0,COUNTIF(Mapa_Chave,$B124&amp;"#"&amp;$A124&amp;"#"&amp;($K124+1))&gt;0,INDEX(Mapa_RelIni,MATCH($B124&amp;"#"&amp;$A124&amp;"#"&amp;($K124+1),Mapa_Chave,0))-$Q124&lt;Limpeza_Min),"Sem intervalo para limpeza | ",""),"")&amp;IF(AND($J124&gt;0,SUMPRODUCT((Mapa_Sala=$B124)*(Mapa_Data=$A124)*(Mapa_MinOcup&gt;0)*(Mapa_RelIni&lt;$Q124)*(Mapa_RelFim&gt;$P124))&gt;1),"Sobreposição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1">
        <f>IF(NOT(ISNUMBER($C124)),0,ROUND(MOD($C124-Turno_Ini,1)*1440,0))</f>
        <v/>
      </c>
      <c r="Q124" s="11">
        <f>IF($J124&lt;=0,0,$P124+$I124)</f>
        <v/>
      </c>
      <c r="R124" s="11">
        <f>IF($K124="","",$B124&amp;"#"&amp;$A124&amp;"#"&amp;$K124)</f>
        <v/>
      </c>
      <c r="S124" s="11">
        <f>ROW()</f>
        <v/>
      </c>
      <c r="T124" s="11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19" t="n"/>
      <c r="B125" s="20" t="n"/>
      <c r="C125" s="21" t="n"/>
      <c r="D125" s="21" t="n"/>
      <c r="E125" s="22" t="n"/>
      <c r="F125" s="22" t="n"/>
      <c r="G125" s="22" t="n"/>
      <c r="H125" s="20" t="n"/>
      <c r="I125" s="12">
        <f>IF(OR($B125="",NOT(ISNUMBER($C125)),NOT(ISNUMBER($D125))),"",ROUND(MOD($D125-$C125,1)*1440,0))</f>
        <v/>
      </c>
      <c r="J125" s="12">
        <f>IF(NOT(ISNUMBER($I125)),0,IF(OR($I125&lt;=0,$H125="Cancelada",$H125="Suspensa"),0,$I125+Limpeza_Min))</f>
        <v/>
      </c>
      <c r="K125" s="12">
        <f>IF($J125&lt;=0,"",SUMPRODUCT((Mapa_Sala=$B125)*(Mapa_Data=$A125)*(Mapa_MinOcup&gt;0)*((Mapa_RelIni&lt;$P125)+((Mapa_RelIni=$P125)*(Mapa_Row&lt;=$S125)))))</f>
        <v/>
      </c>
      <c r="L125" s="23">
        <f>IF($J125&lt;=0,"",MOD(Turno_Ini+($Q125+Limpeza_Min)/1440,1))</f>
        <v/>
      </c>
      <c r="M125" s="12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24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","")&amp;IFERROR(IF(AND($J125&gt;0,$K125&gt;0,COUNTIF(Mapa_Chave,$B125&amp;"#"&amp;$A125&amp;"#"&amp;($K125+1))&gt;0,INDEX(Mapa_RelIni,MATCH($B125&amp;"#"&amp;$A125&amp;"#"&amp;($K125+1),Mapa_Chave,0))-$Q125&lt;Limpeza_Min),"Sem intervalo para limpeza | ",""),"")&amp;IF(AND($J125&gt;0,SUMPRODUCT((Mapa_Sala=$B125)*(Mapa_Data=$A125)*(Mapa_MinOcup&gt;0)*(Mapa_RelIni&lt;$Q125)*(Mapa_RelFim&gt;$P125))&gt;1),"Sobreposição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1">
        <f>IF(NOT(ISNUMBER($C125)),0,ROUND(MOD($C125-Turno_Ini,1)*1440,0))</f>
        <v/>
      </c>
      <c r="Q125" s="11">
        <f>IF($J125&lt;=0,0,$P125+$I125)</f>
        <v/>
      </c>
      <c r="R125" s="11">
        <f>IF($K125="","",$B125&amp;"#"&amp;$A125&amp;"#"&amp;$K125)</f>
        <v/>
      </c>
      <c r="S125" s="11">
        <f>ROW()</f>
        <v/>
      </c>
      <c r="T125" s="11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19" t="n"/>
      <c r="B126" s="20" t="n"/>
      <c r="C126" s="21" t="n"/>
      <c r="D126" s="21" t="n"/>
      <c r="E126" s="22" t="n"/>
      <c r="F126" s="22" t="n"/>
      <c r="G126" s="22" t="n"/>
      <c r="H126" s="20" t="n"/>
      <c r="I126" s="12">
        <f>IF(OR($B126="",NOT(ISNUMBER($C126)),NOT(ISNUMBER($D126))),"",ROUND(MOD($D126-$C126,1)*1440,0))</f>
        <v/>
      </c>
      <c r="J126" s="12">
        <f>IF(NOT(ISNUMBER($I126)),0,IF(OR($I126&lt;=0,$H126="Cancelada",$H126="Suspensa"),0,$I126+Limpeza_Min))</f>
        <v/>
      </c>
      <c r="K126" s="12">
        <f>IF($J126&lt;=0,"",SUMPRODUCT((Mapa_Sala=$B126)*(Mapa_Data=$A126)*(Mapa_MinOcup&gt;0)*((Mapa_RelIni&lt;$P126)+((Mapa_RelIni=$P126)*(Mapa_Row&lt;=$S126)))))</f>
        <v/>
      </c>
      <c r="L126" s="23">
        <f>IF($J126&lt;=0,"",MOD(Turno_Ini+($Q126+Limpeza_Min)/1440,1))</f>
        <v/>
      </c>
      <c r="M126" s="12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24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","")&amp;IFERROR(IF(AND($J126&gt;0,$K126&gt;0,COUNTIF(Mapa_Chave,$B126&amp;"#"&amp;$A126&amp;"#"&amp;($K126+1))&gt;0,INDEX(Mapa_RelIni,MATCH($B126&amp;"#"&amp;$A126&amp;"#"&amp;($K126+1),Mapa_Chave,0))-$Q126&lt;Limpeza_Min),"Sem intervalo para limpeza | ",""),"")&amp;IF(AND($J126&gt;0,SUMPRODUCT((Mapa_Sala=$B126)*(Mapa_Data=$A126)*(Mapa_MinOcup&gt;0)*(Mapa_RelIni&lt;$Q126)*(Mapa_RelFim&gt;$P126))&gt;1),"Sobreposição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1">
        <f>IF(NOT(ISNUMBER($C126)),0,ROUND(MOD($C126-Turno_Ini,1)*1440,0))</f>
        <v/>
      </c>
      <c r="Q126" s="11">
        <f>IF($J126&lt;=0,0,$P126+$I126)</f>
        <v/>
      </c>
      <c r="R126" s="11">
        <f>IF($K126="","",$B126&amp;"#"&amp;$A126&amp;"#"&amp;$K126)</f>
        <v/>
      </c>
      <c r="S126" s="11">
        <f>ROW()</f>
        <v/>
      </c>
      <c r="T126" s="11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19" t="n"/>
      <c r="B127" s="20" t="n"/>
      <c r="C127" s="21" t="n"/>
      <c r="D127" s="21" t="n"/>
      <c r="E127" s="22" t="n"/>
      <c r="F127" s="22" t="n"/>
      <c r="G127" s="22" t="n"/>
      <c r="H127" s="20" t="n"/>
      <c r="I127" s="12">
        <f>IF(OR($B127="",NOT(ISNUMBER($C127)),NOT(ISNUMBER($D127))),"",ROUND(MOD($D127-$C127,1)*1440,0))</f>
        <v/>
      </c>
      <c r="J127" s="12">
        <f>IF(NOT(ISNUMBER($I127)),0,IF(OR($I127&lt;=0,$H127="Cancelada",$H127="Suspensa"),0,$I127+Limpeza_Min))</f>
        <v/>
      </c>
      <c r="K127" s="12">
        <f>IF($J127&lt;=0,"",SUMPRODUCT((Mapa_Sala=$B127)*(Mapa_Data=$A127)*(Mapa_MinOcup&gt;0)*((Mapa_RelIni&lt;$P127)+((Mapa_RelIni=$P127)*(Mapa_Row&lt;=$S127)))))</f>
        <v/>
      </c>
      <c r="L127" s="23">
        <f>IF($J127&lt;=0,"",MOD(Turno_Ini+($Q127+Limpeza_Min)/1440,1))</f>
        <v/>
      </c>
      <c r="M127" s="12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24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","")&amp;IFERROR(IF(AND($J127&gt;0,$K127&gt;0,COUNTIF(Mapa_Chave,$B127&amp;"#"&amp;$A127&amp;"#"&amp;($K127+1))&gt;0,INDEX(Mapa_RelIni,MATCH($B127&amp;"#"&amp;$A127&amp;"#"&amp;($K127+1),Mapa_Chave,0))-$Q127&lt;Limpeza_Min),"Sem intervalo para limpeza | ",""),"")&amp;IF(AND($J127&gt;0,SUMPRODUCT((Mapa_Sala=$B127)*(Mapa_Data=$A127)*(Mapa_MinOcup&gt;0)*(Mapa_RelIni&lt;$Q127)*(Mapa_RelFim&gt;$P127))&gt;1),"Sobreposição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1">
        <f>IF(NOT(ISNUMBER($C127)),0,ROUND(MOD($C127-Turno_Ini,1)*1440,0))</f>
        <v/>
      </c>
      <c r="Q127" s="11">
        <f>IF($J127&lt;=0,0,$P127+$I127)</f>
        <v/>
      </c>
      <c r="R127" s="11">
        <f>IF($K127="","",$B127&amp;"#"&amp;$A127&amp;"#"&amp;$K127)</f>
        <v/>
      </c>
      <c r="S127" s="11">
        <f>ROW()</f>
        <v/>
      </c>
      <c r="T127" s="11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19" t="n"/>
      <c r="B128" s="20" t="n"/>
      <c r="C128" s="21" t="n"/>
      <c r="D128" s="21" t="n"/>
      <c r="E128" s="22" t="n"/>
      <c r="F128" s="22" t="n"/>
      <c r="G128" s="22" t="n"/>
      <c r="H128" s="20" t="n"/>
      <c r="I128" s="12">
        <f>IF(OR($B128="",NOT(ISNUMBER($C128)),NOT(ISNUMBER($D128))),"",ROUND(MOD($D128-$C128,1)*1440,0))</f>
        <v/>
      </c>
      <c r="J128" s="12">
        <f>IF(NOT(ISNUMBER($I128)),0,IF(OR($I128&lt;=0,$H128="Cancelada",$H128="Suspensa"),0,$I128+Limpeza_Min))</f>
        <v/>
      </c>
      <c r="K128" s="12">
        <f>IF($J128&lt;=0,"",SUMPRODUCT((Mapa_Sala=$B128)*(Mapa_Data=$A128)*(Mapa_MinOcup&gt;0)*((Mapa_RelIni&lt;$P128)+((Mapa_RelIni=$P128)*(Mapa_Row&lt;=$S128)))))</f>
        <v/>
      </c>
      <c r="L128" s="23">
        <f>IF($J128&lt;=0,"",MOD(Turno_Ini+($Q128+Limpeza_Min)/1440,1))</f>
        <v/>
      </c>
      <c r="M128" s="12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24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","")&amp;IFERROR(IF(AND($J128&gt;0,$K128&gt;0,COUNTIF(Mapa_Chave,$B128&amp;"#"&amp;$A128&amp;"#"&amp;($K128+1))&gt;0,INDEX(Mapa_RelIni,MATCH($B128&amp;"#"&amp;$A128&amp;"#"&amp;($K128+1),Mapa_Chave,0))-$Q128&lt;Limpeza_Min),"Sem intervalo para limpeza | ",""),"")&amp;IF(AND($J128&gt;0,SUMPRODUCT((Mapa_Sala=$B128)*(Mapa_Data=$A128)*(Mapa_MinOcup&gt;0)*(Mapa_RelIni&lt;$Q128)*(Mapa_RelFim&gt;$P128))&gt;1),"Sobreposição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1">
        <f>IF(NOT(ISNUMBER($C128)),0,ROUND(MOD($C128-Turno_Ini,1)*1440,0))</f>
        <v/>
      </c>
      <c r="Q128" s="11">
        <f>IF($J128&lt;=0,0,$P128+$I128)</f>
        <v/>
      </c>
      <c r="R128" s="11">
        <f>IF($K128="","",$B128&amp;"#"&amp;$A128&amp;"#"&amp;$K128)</f>
        <v/>
      </c>
      <c r="S128" s="11">
        <f>ROW()</f>
        <v/>
      </c>
      <c r="T128" s="11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19" t="n"/>
      <c r="B129" s="20" t="n"/>
      <c r="C129" s="21" t="n"/>
      <c r="D129" s="21" t="n"/>
      <c r="E129" s="22" t="n"/>
      <c r="F129" s="22" t="n"/>
      <c r="G129" s="22" t="n"/>
      <c r="H129" s="20" t="n"/>
      <c r="I129" s="12">
        <f>IF(OR($B129="",NOT(ISNUMBER($C129)),NOT(ISNUMBER($D129))),"",ROUND(MOD($D129-$C129,1)*1440,0))</f>
        <v/>
      </c>
      <c r="J129" s="12">
        <f>IF(NOT(ISNUMBER($I129)),0,IF(OR($I129&lt;=0,$H129="Cancelada",$H129="Suspensa"),0,$I129+Limpeza_Min))</f>
        <v/>
      </c>
      <c r="K129" s="12">
        <f>IF($J129&lt;=0,"",SUMPRODUCT((Mapa_Sala=$B129)*(Mapa_Data=$A129)*(Mapa_MinOcup&gt;0)*((Mapa_RelIni&lt;$P129)+((Mapa_RelIni=$P129)*(Mapa_Row&lt;=$S129)))))</f>
        <v/>
      </c>
      <c r="L129" s="23">
        <f>IF($J129&lt;=0,"",MOD(Turno_Ini+($Q129+Limpeza_Min)/1440,1))</f>
        <v/>
      </c>
      <c r="M129" s="12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24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","")&amp;IFERROR(IF(AND($J129&gt;0,$K129&gt;0,COUNTIF(Mapa_Chave,$B129&amp;"#"&amp;$A129&amp;"#"&amp;($K129+1))&gt;0,INDEX(Mapa_RelIni,MATCH($B129&amp;"#"&amp;$A129&amp;"#"&amp;($K129+1),Mapa_Chave,0))-$Q129&lt;Limpeza_Min),"Sem intervalo para limpeza | ",""),"")&amp;IF(AND($J129&gt;0,SUMPRODUCT((Mapa_Sala=$B129)*(Mapa_Data=$A129)*(Mapa_MinOcup&gt;0)*(Mapa_RelIni&lt;$Q129)*(Mapa_RelFim&gt;$P129))&gt;1),"Sobreposição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1">
        <f>IF(NOT(ISNUMBER($C129)),0,ROUND(MOD($C129-Turno_Ini,1)*1440,0))</f>
        <v/>
      </c>
      <c r="Q129" s="11">
        <f>IF($J129&lt;=0,0,$P129+$I129)</f>
        <v/>
      </c>
      <c r="R129" s="11">
        <f>IF($K129="","",$B129&amp;"#"&amp;$A129&amp;"#"&amp;$K129)</f>
        <v/>
      </c>
      <c r="S129" s="11">
        <f>ROW()</f>
        <v/>
      </c>
      <c r="T129" s="11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19" t="n"/>
      <c r="B130" s="20" t="n"/>
      <c r="C130" s="21" t="n"/>
      <c r="D130" s="21" t="n"/>
      <c r="E130" s="22" t="n"/>
      <c r="F130" s="22" t="n"/>
      <c r="G130" s="22" t="n"/>
      <c r="H130" s="20" t="n"/>
      <c r="I130" s="12">
        <f>IF(OR($B130="",NOT(ISNUMBER($C130)),NOT(ISNUMBER($D130))),"",ROUND(MOD($D130-$C130,1)*1440,0))</f>
        <v/>
      </c>
      <c r="J130" s="12">
        <f>IF(NOT(ISNUMBER($I130)),0,IF(OR($I130&lt;=0,$H130="Cancelada",$H130="Suspensa"),0,$I130+Limpeza_Min))</f>
        <v/>
      </c>
      <c r="K130" s="12">
        <f>IF($J130&lt;=0,"",SUMPRODUCT((Mapa_Sala=$B130)*(Mapa_Data=$A130)*(Mapa_MinOcup&gt;0)*((Mapa_RelIni&lt;$P130)+((Mapa_RelIni=$P130)*(Mapa_Row&lt;=$S130)))))</f>
        <v/>
      </c>
      <c r="L130" s="23">
        <f>IF($J130&lt;=0,"",MOD(Turno_Ini+($Q130+Limpeza_Min)/1440,1))</f>
        <v/>
      </c>
      <c r="M130" s="12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24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","")&amp;IFERROR(IF(AND($J130&gt;0,$K130&gt;0,COUNTIF(Mapa_Chave,$B130&amp;"#"&amp;$A130&amp;"#"&amp;($K130+1))&gt;0,INDEX(Mapa_RelIni,MATCH($B130&amp;"#"&amp;$A130&amp;"#"&amp;($K130+1),Mapa_Chave,0))-$Q130&lt;Limpeza_Min),"Sem intervalo para limpeza | ",""),"")&amp;IF(AND($J130&gt;0,SUMPRODUCT((Mapa_Sala=$B130)*(Mapa_Data=$A130)*(Mapa_MinOcup&gt;0)*(Mapa_RelIni&lt;$Q130)*(Mapa_RelFim&gt;$P130))&gt;1),"Sobreposição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1">
        <f>IF(NOT(ISNUMBER($C130)),0,ROUND(MOD($C130-Turno_Ini,1)*1440,0))</f>
        <v/>
      </c>
      <c r="Q130" s="11">
        <f>IF($J130&lt;=0,0,$P130+$I130)</f>
        <v/>
      </c>
      <c r="R130" s="11">
        <f>IF($K130="","",$B130&amp;"#"&amp;$A130&amp;"#"&amp;$K130)</f>
        <v/>
      </c>
      <c r="S130" s="11">
        <f>ROW()</f>
        <v/>
      </c>
      <c r="T130" s="11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19" t="n"/>
      <c r="B131" s="20" t="n"/>
      <c r="C131" s="21" t="n"/>
      <c r="D131" s="21" t="n"/>
      <c r="E131" s="22" t="n"/>
      <c r="F131" s="22" t="n"/>
      <c r="G131" s="22" t="n"/>
      <c r="H131" s="20" t="n"/>
      <c r="I131" s="12">
        <f>IF(OR($B131="",NOT(ISNUMBER($C131)),NOT(ISNUMBER($D131))),"",ROUND(MOD($D131-$C131,1)*1440,0))</f>
        <v/>
      </c>
      <c r="J131" s="12">
        <f>IF(NOT(ISNUMBER($I131)),0,IF(OR($I131&lt;=0,$H131="Cancelada",$H131="Suspensa"),0,$I131+Limpeza_Min))</f>
        <v/>
      </c>
      <c r="K131" s="12">
        <f>IF($J131&lt;=0,"",SUMPRODUCT((Mapa_Sala=$B131)*(Mapa_Data=$A131)*(Mapa_MinOcup&gt;0)*((Mapa_RelIni&lt;$P131)+((Mapa_RelIni=$P131)*(Mapa_Row&lt;=$S131)))))</f>
        <v/>
      </c>
      <c r="L131" s="23">
        <f>IF($J131&lt;=0,"",MOD(Turno_Ini+($Q131+Limpeza_Min)/1440,1))</f>
        <v/>
      </c>
      <c r="M131" s="12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24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","")&amp;IFERROR(IF(AND($J131&gt;0,$K131&gt;0,COUNTIF(Mapa_Chave,$B131&amp;"#"&amp;$A131&amp;"#"&amp;($K131+1))&gt;0,INDEX(Mapa_RelIni,MATCH($B131&amp;"#"&amp;$A131&amp;"#"&amp;($K131+1),Mapa_Chave,0))-$Q131&lt;Limpeza_Min),"Sem intervalo para limpeza | ",""),"")&amp;IF(AND($J131&gt;0,SUMPRODUCT((Mapa_Sala=$B131)*(Mapa_Data=$A131)*(Mapa_MinOcup&gt;0)*(Mapa_RelIni&lt;$Q131)*(Mapa_RelFim&gt;$P131))&gt;1),"Sobreposição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1">
        <f>IF(NOT(ISNUMBER($C131)),0,ROUND(MOD($C131-Turno_Ini,1)*1440,0))</f>
        <v/>
      </c>
      <c r="Q131" s="11">
        <f>IF($J131&lt;=0,0,$P131+$I131)</f>
        <v/>
      </c>
      <c r="R131" s="11">
        <f>IF($K131="","",$B131&amp;"#"&amp;$A131&amp;"#"&amp;$K131)</f>
        <v/>
      </c>
      <c r="S131" s="11">
        <f>ROW()</f>
        <v/>
      </c>
      <c r="T131" s="11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19" t="n"/>
      <c r="B132" s="20" t="n"/>
      <c r="C132" s="21" t="n"/>
      <c r="D132" s="21" t="n"/>
      <c r="E132" s="22" t="n"/>
      <c r="F132" s="22" t="n"/>
      <c r="G132" s="22" t="n"/>
      <c r="H132" s="20" t="n"/>
      <c r="I132" s="12">
        <f>IF(OR($B132="",NOT(ISNUMBER($C132)),NOT(ISNUMBER($D132))),"",ROUND(MOD($D132-$C132,1)*1440,0))</f>
        <v/>
      </c>
      <c r="J132" s="12">
        <f>IF(NOT(ISNUMBER($I132)),0,IF(OR($I132&lt;=0,$H132="Cancelada",$H132="Suspensa"),0,$I132+Limpeza_Min))</f>
        <v/>
      </c>
      <c r="K132" s="12">
        <f>IF($J132&lt;=0,"",SUMPRODUCT((Mapa_Sala=$B132)*(Mapa_Data=$A132)*(Mapa_MinOcup&gt;0)*((Mapa_RelIni&lt;$P132)+((Mapa_RelIni=$P132)*(Mapa_Row&lt;=$S132)))))</f>
        <v/>
      </c>
      <c r="L132" s="23">
        <f>IF($J132&lt;=0,"",MOD(Turno_Ini+($Q132+Limpeza_Min)/1440,1))</f>
        <v/>
      </c>
      <c r="M132" s="12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24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","")&amp;IFERROR(IF(AND($J132&gt;0,$K132&gt;0,COUNTIF(Mapa_Chave,$B132&amp;"#"&amp;$A132&amp;"#"&amp;($K132+1))&gt;0,INDEX(Mapa_RelIni,MATCH($B132&amp;"#"&amp;$A132&amp;"#"&amp;($K132+1),Mapa_Chave,0))-$Q132&lt;Limpeza_Min),"Sem intervalo para limpeza | ",""),"")&amp;IF(AND($J132&gt;0,SUMPRODUCT((Mapa_Sala=$B132)*(Mapa_Data=$A132)*(Mapa_MinOcup&gt;0)*(Mapa_RelIni&lt;$Q132)*(Mapa_RelFim&gt;$P132))&gt;1),"Sobreposição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1">
        <f>IF(NOT(ISNUMBER($C132)),0,ROUND(MOD($C132-Turno_Ini,1)*1440,0))</f>
        <v/>
      </c>
      <c r="Q132" s="11">
        <f>IF($J132&lt;=0,0,$P132+$I132)</f>
        <v/>
      </c>
      <c r="R132" s="11">
        <f>IF($K132="","",$B132&amp;"#"&amp;$A132&amp;"#"&amp;$K132)</f>
        <v/>
      </c>
      <c r="S132" s="11">
        <f>ROW()</f>
        <v/>
      </c>
      <c r="T132" s="11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19" t="n"/>
      <c r="B133" s="20" t="n"/>
      <c r="C133" s="21" t="n"/>
      <c r="D133" s="21" t="n"/>
      <c r="E133" s="22" t="n"/>
      <c r="F133" s="22" t="n"/>
      <c r="G133" s="22" t="n"/>
      <c r="H133" s="20" t="n"/>
      <c r="I133" s="12">
        <f>IF(OR($B133="",NOT(ISNUMBER($C133)),NOT(ISNUMBER($D133))),"",ROUND(MOD($D133-$C133,1)*1440,0))</f>
        <v/>
      </c>
      <c r="J133" s="12">
        <f>IF(NOT(ISNUMBER($I133)),0,IF(OR($I133&lt;=0,$H133="Cancelada",$H133="Suspensa"),0,$I133+Limpeza_Min))</f>
        <v/>
      </c>
      <c r="K133" s="12">
        <f>IF($J133&lt;=0,"",SUMPRODUCT((Mapa_Sala=$B133)*(Mapa_Data=$A133)*(Mapa_MinOcup&gt;0)*((Mapa_RelIni&lt;$P133)+((Mapa_RelIni=$P133)*(Mapa_Row&lt;=$S133)))))</f>
        <v/>
      </c>
      <c r="L133" s="23">
        <f>IF($J133&lt;=0,"",MOD(Turno_Ini+($Q133+Limpeza_Min)/1440,1))</f>
        <v/>
      </c>
      <c r="M133" s="12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24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","")&amp;IFERROR(IF(AND($J133&gt;0,$K133&gt;0,COUNTIF(Mapa_Chave,$B133&amp;"#"&amp;$A133&amp;"#"&amp;($K133+1))&gt;0,INDEX(Mapa_RelIni,MATCH($B133&amp;"#"&amp;$A133&amp;"#"&amp;($K133+1),Mapa_Chave,0))-$Q133&lt;Limpeza_Min),"Sem intervalo para limpeza | ",""),"")&amp;IF(AND($J133&gt;0,SUMPRODUCT((Mapa_Sala=$B133)*(Mapa_Data=$A133)*(Mapa_MinOcup&gt;0)*(Mapa_RelIni&lt;$Q133)*(Mapa_RelFim&gt;$P133))&gt;1),"Sobreposição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1">
        <f>IF(NOT(ISNUMBER($C133)),0,ROUND(MOD($C133-Turno_Ini,1)*1440,0))</f>
        <v/>
      </c>
      <c r="Q133" s="11">
        <f>IF($J133&lt;=0,0,$P133+$I133)</f>
        <v/>
      </c>
      <c r="R133" s="11">
        <f>IF($K133="","",$B133&amp;"#"&amp;$A133&amp;"#"&amp;$K133)</f>
        <v/>
      </c>
      <c r="S133" s="11">
        <f>ROW()</f>
        <v/>
      </c>
      <c r="T133" s="11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19" t="n"/>
      <c r="B134" s="20" t="n"/>
      <c r="C134" s="21" t="n"/>
      <c r="D134" s="21" t="n"/>
      <c r="E134" s="22" t="n"/>
      <c r="F134" s="22" t="n"/>
      <c r="G134" s="22" t="n"/>
      <c r="H134" s="20" t="n"/>
      <c r="I134" s="12">
        <f>IF(OR($B134="",NOT(ISNUMBER($C134)),NOT(ISNUMBER($D134))),"",ROUND(MOD($D134-$C134,1)*1440,0))</f>
        <v/>
      </c>
      <c r="J134" s="12">
        <f>IF(NOT(ISNUMBER($I134)),0,IF(OR($I134&lt;=0,$H134="Cancelada",$H134="Suspensa"),0,$I134+Limpeza_Min))</f>
        <v/>
      </c>
      <c r="K134" s="12">
        <f>IF($J134&lt;=0,"",SUMPRODUCT((Mapa_Sala=$B134)*(Mapa_Data=$A134)*(Mapa_MinOcup&gt;0)*((Mapa_RelIni&lt;$P134)+((Mapa_RelIni=$P134)*(Mapa_Row&lt;=$S134)))))</f>
        <v/>
      </c>
      <c r="L134" s="23">
        <f>IF($J134&lt;=0,"",MOD(Turno_Ini+($Q134+Limpeza_Min)/1440,1))</f>
        <v/>
      </c>
      <c r="M134" s="12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24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","")&amp;IFERROR(IF(AND($J134&gt;0,$K134&gt;0,COUNTIF(Mapa_Chave,$B134&amp;"#"&amp;$A134&amp;"#"&amp;($K134+1))&gt;0,INDEX(Mapa_RelIni,MATCH($B134&amp;"#"&amp;$A134&amp;"#"&amp;($K134+1),Mapa_Chave,0))-$Q134&lt;Limpeza_Min),"Sem intervalo para limpeza | ",""),"")&amp;IF(AND($J134&gt;0,SUMPRODUCT((Mapa_Sala=$B134)*(Mapa_Data=$A134)*(Mapa_MinOcup&gt;0)*(Mapa_RelIni&lt;$Q134)*(Mapa_RelFim&gt;$P134))&gt;1),"Sobreposição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1">
        <f>IF(NOT(ISNUMBER($C134)),0,ROUND(MOD($C134-Turno_Ini,1)*1440,0))</f>
        <v/>
      </c>
      <c r="Q134" s="11">
        <f>IF($J134&lt;=0,0,$P134+$I134)</f>
        <v/>
      </c>
      <c r="R134" s="11">
        <f>IF($K134="","",$B134&amp;"#"&amp;$A134&amp;"#"&amp;$K134)</f>
        <v/>
      </c>
      <c r="S134" s="11">
        <f>ROW()</f>
        <v/>
      </c>
      <c r="T134" s="11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19" t="n"/>
      <c r="B135" s="20" t="n"/>
      <c r="C135" s="21" t="n"/>
      <c r="D135" s="21" t="n"/>
      <c r="E135" s="22" t="n"/>
      <c r="F135" s="22" t="n"/>
      <c r="G135" s="22" t="n"/>
      <c r="H135" s="20" t="n"/>
      <c r="I135" s="12">
        <f>IF(OR($B135="",NOT(ISNUMBER($C135)),NOT(ISNUMBER($D135))),"",ROUND(MOD($D135-$C135,1)*1440,0))</f>
        <v/>
      </c>
      <c r="J135" s="12">
        <f>IF(NOT(ISNUMBER($I135)),0,IF(OR($I135&lt;=0,$H135="Cancelada",$H135="Suspensa"),0,$I135+Limpeza_Min))</f>
        <v/>
      </c>
      <c r="K135" s="12">
        <f>IF($J135&lt;=0,"",SUMPRODUCT((Mapa_Sala=$B135)*(Mapa_Data=$A135)*(Mapa_MinOcup&gt;0)*((Mapa_RelIni&lt;$P135)+((Mapa_RelIni=$P135)*(Mapa_Row&lt;=$S135)))))</f>
        <v/>
      </c>
      <c r="L135" s="23">
        <f>IF($J135&lt;=0,"",MOD(Turno_Ini+($Q135+Limpeza_Min)/1440,1))</f>
        <v/>
      </c>
      <c r="M135" s="12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24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","")&amp;IFERROR(IF(AND($J135&gt;0,$K135&gt;0,COUNTIF(Mapa_Chave,$B135&amp;"#"&amp;$A135&amp;"#"&amp;($K135+1))&gt;0,INDEX(Mapa_RelIni,MATCH($B135&amp;"#"&amp;$A135&amp;"#"&amp;($K135+1),Mapa_Chave,0))-$Q135&lt;Limpeza_Min),"Sem intervalo para limpeza | ",""),"")&amp;IF(AND($J135&gt;0,SUMPRODUCT((Mapa_Sala=$B135)*(Mapa_Data=$A135)*(Mapa_MinOcup&gt;0)*(Mapa_RelIni&lt;$Q135)*(Mapa_RelFim&gt;$P135))&gt;1),"Sobreposição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1">
        <f>IF(NOT(ISNUMBER($C135)),0,ROUND(MOD($C135-Turno_Ini,1)*1440,0))</f>
        <v/>
      </c>
      <c r="Q135" s="11">
        <f>IF($J135&lt;=0,0,$P135+$I135)</f>
        <v/>
      </c>
      <c r="R135" s="11">
        <f>IF($K135="","",$B135&amp;"#"&amp;$A135&amp;"#"&amp;$K135)</f>
        <v/>
      </c>
      <c r="S135" s="11">
        <f>ROW()</f>
        <v/>
      </c>
      <c r="T135" s="11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19" t="n"/>
      <c r="B136" s="20" t="n"/>
      <c r="C136" s="21" t="n"/>
      <c r="D136" s="21" t="n"/>
      <c r="E136" s="22" t="n"/>
      <c r="F136" s="22" t="n"/>
      <c r="G136" s="22" t="n"/>
      <c r="H136" s="20" t="n"/>
      <c r="I136" s="12">
        <f>IF(OR($B136="",NOT(ISNUMBER($C136)),NOT(ISNUMBER($D136))),"",ROUND(MOD($D136-$C136,1)*1440,0))</f>
        <v/>
      </c>
      <c r="J136" s="12">
        <f>IF(NOT(ISNUMBER($I136)),0,IF(OR($I136&lt;=0,$H136="Cancelada",$H136="Suspensa"),0,$I136+Limpeza_Min))</f>
        <v/>
      </c>
      <c r="K136" s="12">
        <f>IF($J136&lt;=0,"",SUMPRODUCT((Mapa_Sala=$B136)*(Mapa_Data=$A136)*(Mapa_MinOcup&gt;0)*((Mapa_RelIni&lt;$P136)+((Mapa_RelIni=$P136)*(Mapa_Row&lt;=$S136)))))</f>
        <v/>
      </c>
      <c r="L136" s="23">
        <f>IF($J136&lt;=0,"",MOD(Turno_Ini+($Q136+Limpeza_Min)/1440,1))</f>
        <v/>
      </c>
      <c r="M136" s="12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24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","")&amp;IFERROR(IF(AND($J136&gt;0,$K136&gt;0,COUNTIF(Mapa_Chave,$B136&amp;"#"&amp;$A136&amp;"#"&amp;($K136+1))&gt;0,INDEX(Mapa_RelIni,MATCH($B136&amp;"#"&amp;$A136&amp;"#"&amp;($K136+1),Mapa_Chave,0))-$Q136&lt;Limpeza_Min),"Sem intervalo para limpeza | ",""),"")&amp;IF(AND($J136&gt;0,SUMPRODUCT((Mapa_Sala=$B136)*(Mapa_Data=$A136)*(Mapa_MinOcup&gt;0)*(Mapa_RelIni&lt;$Q136)*(Mapa_RelFim&gt;$P136))&gt;1),"Sobreposição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1">
        <f>IF(NOT(ISNUMBER($C136)),0,ROUND(MOD($C136-Turno_Ini,1)*1440,0))</f>
        <v/>
      </c>
      <c r="Q136" s="11">
        <f>IF($J136&lt;=0,0,$P136+$I136)</f>
        <v/>
      </c>
      <c r="R136" s="11">
        <f>IF($K136="","",$B136&amp;"#"&amp;$A136&amp;"#"&amp;$K136)</f>
        <v/>
      </c>
      <c r="S136" s="11">
        <f>ROW()</f>
        <v/>
      </c>
      <c r="T136" s="11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19" t="n"/>
      <c r="B137" s="20" t="n"/>
      <c r="C137" s="21" t="n"/>
      <c r="D137" s="21" t="n"/>
      <c r="E137" s="22" t="n"/>
      <c r="F137" s="22" t="n"/>
      <c r="G137" s="22" t="n"/>
      <c r="H137" s="20" t="n"/>
      <c r="I137" s="12">
        <f>IF(OR($B137="",NOT(ISNUMBER($C137)),NOT(ISNUMBER($D137))),"",ROUND(MOD($D137-$C137,1)*1440,0))</f>
        <v/>
      </c>
      <c r="J137" s="12">
        <f>IF(NOT(ISNUMBER($I137)),0,IF(OR($I137&lt;=0,$H137="Cancelada",$H137="Suspensa"),0,$I137+Limpeza_Min))</f>
        <v/>
      </c>
      <c r="K137" s="12">
        <f>IF($J137&lt;=0,"",SUMPRODUCT((Mapa_Sala=$B137)*(Mapa_Data=$A137)*(Mapa_MinOcup&gt;0)*((Mapa_RelIni&lt;$P137)+((Mapa_RelIni=$P137)*(Mapa_Row&lt;=$S137)))))</f>
        <v/>
      </c>
      <c r="L137" s="23">
        <f>IF($J137&lt;=0,"",MOD(Turno_Ini+($Q137+Limpeza_Min)/1440,1))</f>
        <v/>
      </c>
      <c r="M137" s="12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24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","")&amp;IFERROR(IF(AND($J137&gt;0,$K137&gt;0,COUNTIF(Mapa_Chave,$B137&amp;"#"&amp;$A137&amp;"#"&amp;($K137+1))&gt;0,INDEX(Mapa_RelIni,MATCH($B137&amp;"#"&amp;$A137&amp;"#"&amp;($K137+1),Mapa_Chave,0))-$Q137&lt;Limpeza_Min),"Sem intervalo para limpeza | ",""),"")&amp;IF(AND($J137&gt;0,SUMPRODUCT((Mapa_Sala=$B137)*(Mapa_Data=$A137)*(Mapa_MinOcup&gt;0)*(Mapa_RelIni&lt;$Q137)*(Mapa_RelFim&gt;$P137))&gt;1),"Sobreposição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1">
        <f>IF(NOT(ISNUMBER($C137)),0,ROUND(MOD($C137-Turno_Ini,1)*1440,0))</f>
        <v/>
      </c>
      <c r="Q137" s="11">
        <f>IF($J137&lt;=0,0,$P137+$I137)</f>
        <v/>
      </c>
      <c r="R137" s="11">
        <f>IF($K137="","",$B137&amp;"#"&amp;$A137&amp;"#"&amp;$K137)</f>
        <v/>
      </c>
      <c r="S137" s="11">
        <f>ROW()</f>
        <v/>
      </c>
      <c r="T137" s="11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19" t="n"/>
      <c r="B138" s="20" t="n"/>
      <c r="C138" s="21" t="n"/>
      <c r="D138" s="21" t="n"/>
      <c r="E138" s="22" t="n"/>
      <c r="F138" s="22" t="n"/>
      <c r="G138" s="22" t="n"/>
      <c r="H138" s="20" t="n"/>
      <c r="I138" s="12">
        <f>IF(OR($B138="",NOT(ISNUMBER($C138)),NOT(ISNUMBER($D138))),"",ROUND(MOD($D138-$C138,1)*1440,0))</f>
        <v/>
      </c>
      <c r="J138" s="12">
        <f>IF(NOT(ISNUMBER($I138)),0,IF(OR($I138&lt;=0,$H138="Cancelada",$H138="Suspensa"),0,$I138+Limpeza_Min))</f>
        <v/>
      </c>
      <c r="K138" s="12">
        <f>IF($J138&lt;=0,"",SUMPRODUCT((Mapa_Sala=$B138)*(Mapa_Data=$A138)*(Mapa_MinOcup&gt;0)*((Mapa_RelIni&lt;$P138)+((Mapa_RelIni=$P138)*(Mapa_Row&lt;=$S138)))))</f>
        <v/>
      </c>
      <c r="L138" s="23">
        <f>IF($J138&lt;=0,"",MOD(Turno_Ini+($Q138+Limpeza_Min)/1440,1))</f>
        <v/>
      </c>
      <c r="M138" s="12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24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","")&amp;IFERROR(IF(AND($J138&gt;0,$K138&gt;0,COUNTIF(Mapa_Chave,$B138&amp;"#"&amp;$A138&amp;"#"&amp;($K138+1))&gt;0,INDEX(Mapa_RelIni,MATCH($B138&amp;"#"&amp;$A138&amp;"#"&amp;($K138+1),Mapa_Chave,0))-$Q138&lt;Limpeza_Min),"Sem intervalo para limpeza | ",""),"")&amp;IF(AND($J138&gt;0,SUMPRODUCT((Mapa_Sala=$B138)*(Mapa_Data=$A138)*(Mapa_MinOcup&gt;0)*(Mapa_RelIni&lt;$Q138)*(Mapa_RelFim&gt;$P138))&gt;1),"Sobreposição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1">
        <f>IF(NOT(ISNUMBER($C138)),0,ROUND(MOD($C138-Turno_Ini,1)*1440,0))</f>
        <v/>
      </c>
      <c r="Q138" s="11">
        <f>IF($J138&lt;=0,0,$P138+$I138)</f>
        <v/>
      </c>
      <c r="R138" s="11">
        <f>IF($K138="","",$B138&amp;"#"&amp;$A138&amp;"#"&amp;$K138)</f>
        <v/>
      </c>
      <c r="S138" s="11">
        <f>ROW()</f>
        <v/>
      </c>
      <c r="T138" s="11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19" t="n"/>
      <c r="B139" s="20" t="n"/>
      <c r="C139" s="21" t="n"/>
      <c r="D139" s="21" t="n"/>
      <c r="E139" s="22" t="n"/>
      <c r="F139" s="22" t="n"/>
      <c r="G139" s="22" t="n"/>
      <c r="H139" s="20" t="n"/>
      <c r="I139" s="12">
        <f>IF(OR($B139="",NOT(ISNUMBER($C139)),NOT(ISNUMBER($D139))),"",ROUND(MOD($D139-$C139,1)*1440,0))</f>
        <v/>
      </c>
      <c r="J139" s="12">
        <f>IF(NOT(ISNUMBER($I139)),0,IF(OR($I139&lt;=0,$H139="Cancelada",$H139="Suspensa"),0,$I139+Limpeza_Min))</f>
        <v/>
      </c>
      <c r="K139" s="12">
        <f>IF($J139&lt;=0,"",SUMPRODUCT((Mapa_Sala=$B139)*(Mapa_Data=$A139)*(Mapa_MinOcup&gt;0)*((Mapa_RelIni&lt;$P139)+((Mapa_RelIni=$P139)*(Mapa_Row&lt;=$S139)))))</f>
        <v/>
      </c>
      <c r="L139" s="23">
        <f>IF($J139&lt;=0,"",MOD(Turno_Ini+($Q139+Limpeza_Min)/1440,1))</f>
        <v/>
      </c>
      <c r="M139" s="12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24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","")&amp;IFERROR(IF(AND($J139&gt;0,$K139&gt;0,COUNTIF(Mapa_Chave,$B139&amp;"#"&amp;$A139&amp;"#"&amp;($K139+1))&gt;0,INDEX(Mapa_RelIni,MATCH($B139&amp;"#"&amp;$A139&amp;"#"&amp;($K139+1),Mapa_Chave,0))-$Q139&lt;Limpeza_Min),"Sem intervalo para limpeza | ",""),"")&amp;IF(AND($J139&gt;0,SUMPRODUCT((Mapa_Sala=$B139)*(Mapa_Data=$A139)*(Mapa_MinOcup&gt;0)*(Mapa_RelIni&lt;$Q139)*(Mapa_RelFim&gt;$P139))&gt;1),"Sobreposição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1">
        <f>IF(NOT(ISNUMBER($C139)),0,ROUND(MOD($C139-Turno_Ini,1)*1440,0))</f>
        <v/>
      </c>
      <c r="Q139" s="11">
        <f>IF($J139&lt;=0,0,$P139+$I139)</f>
        <v/>
      </c>
      <c r="R139" s="11">
        <f>IF($K139="","",$B139&amp;"#"&amp;$A139&amp;"#"&amp;$K139)</f>
        <v/>
      </c>
      <c r="S139" s="11">
        <f>ROW()</f>
        <v/>
      </c>
      <c r="T139" s="11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19" t="n"/>
      <c r="B140" s="20" t="n"/>
      <c r="C140" s="21" t="n"/>
      <c r="D140" s="21" t="n"/>
      <c r="E140" s="22" t="n"/>
      <c r="F140" s="22" t="n"/>
      <c r="G140" s="22" t="n"/>
      <c r="H140" s="20" t="n"/>
      <c r="I140" s="12">
        <f>IF(OR($B140="",NOT(ISNUMBER($C140)),NOT(ISNUMBER($D140))),"",ROUND(MOD($D140-$C140,1)*1440,0))</f>
        <v/>
      </c>
      <c r="J140" s="12">
        <f>IF(NOT(ISNUMBER($I140)),0,IF(OR($I140&lt;=0,$H140="Cancelada",$H140="Suspensa"),0,$I140+Limpeza_Min))</f>
        <v/>
      </c>
      <c r="K140" s="12">
        <f>IF($J140&lt;=0,"",SUMPRODUCT((Mapa_Sala=$B140)*(Mapa_Data=$A140)*(Mapa_MinOcup&gt;0)*((Mapa_RelIni&lt;$P140)+((Mapa_RelIni=$P140)*(Mapa_Row&lt;=$S140)))))</f>
        <v/>
      </c>
      <c r="L140" s="23">
        <f>IF($J140&lt;=0,"",MOD(Turno_Ini+($Q140+Limpeza_Min)/1440,1))</f>
        <v/>
      </c>
      <c r="M140" s="12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24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","")&amp;IFERROR(IF(AND($J140&gt;0,$K140&gt;0,COUNTIF(Mapa_Chave,$B140&amp;"#"&amp;$A140&amp;"#"&amp;($K140+1))&gt;0,INDEX(Mapa_RelIni,MATCH($B140&amp;"#"&amp;$A140&amp;"#"&amp;($K140+1),Mapa_Chave,0))-$Q140&lt;Limpeza_Min),"Sem intervalo para limpeza | ",""),"")&amp;IF(AND($J140&gt;0,SUMPRODUCT((Mapa_Sala=$B140)*(Mapa_Data=$A140)*(Mapa_MinOcup&gt;0)*(Mapa_RelIni&lt;$Q140)*(Mapa_RelFim&gt;$P140))&gt;1),"Sobreposição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1">
        <f>IF(NOT(ISNUMBER($C140)),0,ROUND(MOD($C140-Turno_Ini,1)*1440,0))</f>
        <v/>
      </c>
      <c r="Q140" s="11">
        <f>IF($J140&lt;=0,0,$P140+$I140)</f>
        <v/>
      </c>
      <c r="R140" s="11">
        <f>IF($K140="","",$B140&amp;"#"&amp;$A140&amp;"#"&amp;$K140)</f>
        <v/>
      </c>
      <c r="S140" s="11">
        <f>ROW()</f>
        <v/>
      </c>
      <c r="T140" s="11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19" t="n"/>
      <c r="B141" s="20" t="n"/>
      <c r="C141" s="21" t="n"/>
      <c r="D141" s="21" t="n"/>
      <c r="E141" s="22" t="n"/>
      <c r="F141" s="22" t="n"/>
      <c r="G141" s="22" t="n"/>
      <c r="H141" s="20" t="n"/>
      <c r="I141" s="12">
        <f>IF(OR($B141="",NOT(ISNUMBER($C141)),NOT(ISNUMBER($D141))),"",ROUND(MOD($D141-$C141,1)*1440,0))</f>
        <v/>
      </c>
      <c r="J141" s="12">
        <f>IF(NOT(ISNUMBER($I141)),0,IF(OR($I141&lt;=0,$H141="Cancelada",$H141="Suspensa"),0,$I141+Limpeza_Min))</f>
        <v/>
      </c>
      <c r="K141" s="12">
        <f>IF($J141&lt;=0,"",SUMPRODUCT((Mapa_Sala=$B141)*(Mapa_Data=$A141)*(Mapa_MinOcup&gt;0)*((Mapa_RelIni&lt;$P141)+((Mapa_RelIni=$P141)*(Mapa_Row&lt;=$S141)))))</f>
        <v/>
      </c>
      <c r="L141" s="23">
        <f>IF($J141&lt;=0,"",MOD(Turno_Ini+($Q141+Limpeza_Min)/1440,1))</f>
        <v/>
      </c>
      <c r="M141" s="12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24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","")&amp;IFERROR(IF(AND($J141&gt;0,$K141&gt;0,COUNTIF(Mapa_Chave,$B141&amp;"#"&amp;$A141&amp;"#"&amp;($K141+1))&gt;0,INDEX(Mapa_RelIni,MATCH($B141&amp;"#"&amp;$A141&amp;"#"&amp;($K141+1),Mapa_Chave,0))-$Q141&lt;Limpeza_Min),"Sem intervalo para limpeza | ",""),"")&amp;IF(AND($J141&gt;0,SUMPRODUCT((Mapa_Sala=$B141)*(Mapa_Data=$A141)*(Mapa_MinOcup&gt;0)*(Mapa_RelIni&lt;$Q141)*(Mapa_RelFim&gt;$P141))&gt;1),"Sobreposição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1">
        <f>IF(NOT(ISNUMBER($C141)),0,ROUND(MOD($C141-Turno_Ini,1)*1440,0))</f>
        <v/>
      </c>
      <c r="Q141" s="11">
        <f>IF($J141&lt;=0,0,$P141+$I141)</f>
        <v/>
      </c>
      <c r="R141" s="11">
        <f>IF($K141="","",$B141&amp;"#"&amp;$A141&amp;"#"&amp;$K141)</f>
        <v/>
      </c>
      <c r="S141" s="11">
        <f>ROW()</f>
        <v/>
      </c>
      <c r="T141" s="11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19" t="n"/>
      <c r="B142" s="20" t="n"/>
      <c r="C142" s="21" t="n"/>
      <c r="D142" s="21" t="n"/>
      <c r="E142" s="22" t="n"/>
      <c r="F142" s="22" t="n"/>
      <c r="G142" s="22" t="n"/>
      <c r="H142" s="20" t="n"/>
      <c r="I142" s="12">
        <f>IF(OR($B142="",NOT(ISNUMBER($C142)),NOT(ISNUMBER($D142))),"",ROUND(MOD($D142-$C142,1)*1440,0))</f>
        <v/>
      </c>
      <c r="J142" s="12">
        <f>IF(NOT(ISNUMBER($I142)),0,IF(OR($I142&lt;=0,$H142="Cancelada",$H142="Suspensa"),0,$I142+Limpeza_Min))</f>
        <v/>
      </c>
      <c r="K142" s="12">
        <f>IF($J142&lt;=0,"",SUMPRODUCT((Mapa_Sala=$B142)*(Mapa_Data=$A142)*(Mapa_MinOcup&gt;0)*((Mapa_RelIni&lt;$P142)+((Mapa_RelIni=$P142)*(Mapa_Row&lt;=$S142)))))</f>
        <v/>
      </c>
      <c r="L142" s="23">
        <f>IF($J142&lt;=0,"",MOD(Turno_Ini+($Q142+Limpeza_Min)/1440,1))</f>
        <v/>
      </c>
      <c r="M142" s="12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24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","")&amp;IFERROR(IF(AND($J142&gt;0,$K142&gt;0,COUNTIF(Mapa_Chave,$B142&amp;"#"&amp;$A142&amp;"#"&amp;($K142+1))&gt;0,INDEX(Mapa_RelIni,MATCH($B142&amp;"#"&amp;$A142&amp;"#"&amp;($K142+1),Mapa_Chave,0))-$Q142&lt;Limpeza_Min),"Sem intervalo para limpeza | ",""),"")&amp;IF(AND($J142&gt;0,SUMPRODUCT((Mapa_Sala=$B142)*(Mapa_Data=$A142)*(Mapa_MinOcup&gt;0)*(Mapa_RelIni&lt;$Q142)*(Mapa_RelFim&gt;$P142))&gt;1),"Sobreposição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1">
        <f>IF(NOT(ISNUMBER($C142)),0,ROUND(MOD($C142-Turno_Ini,1)*1440,0))</f>
        <v/>
      </c>
      <c r="Q142" s="11">
        <f>IF($J142&lt;=0,0,$P142+$I142)</f>
        <v/>
      </c>
      <c r="R142" s="11">
        <f>IF($K142="","",$B142&amp;"#"&amp;$A142&amp;"#"&amp;$K142)</f>
        <v/>
      </c>
      <c r="S142" s="11">
        <f>ROW()</f>
        <v/>
      </c>
      <c r="T142" s="11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19" t="n"/>
      <c r="B143" s="20" t="n"/>
      <c r="C143" s="21" t="n"/>
      <c r="D143" s="21" t="n"/>
      <c r="E143" s="22" t="n"/>
      <c r="F143" s="22" t="n"/>
      <c r="G143" s="22" t="n"/>
      <c r="H143" s="20" t="n"/>
      <c r="I143" s="12">
        <f>IF(OR($B143="",NOT(ISNUMBER($C143)),NOT(ISNUMBER($D143))),"",ROUND(MOD($D143-$C143,1)*1440,0))</f>
        <v/>
      </c>
      <c r="J143" s="12">
        <f>IF(NOT(ISNUMBER($I143)),0,IF(OR($I143&lt;=0,$H143="Cancelada",$H143="Suspensa"),0,$I143+Limpeza_Min))</f>
        <v/>
      </c>
      <c r="K143" s="12">
        <f>IF($J143&lt;=0,"",SUMPRODUCT((Mapa_Sala=$B143)*(Mapa_Data=$A143)*(Mapa_MinOcup&gt;0)*((Mapa_RelIni&lt;$P143)+((Mapa_RelIni=$P143)*(Mapa_Row&lt;=$S143)))))</f>
        <v/>
      </c>
      <c r="L143" s="23">
        <f>IF($J143&lt;=0,"",MOD(Turno_Ini+($Q143+Limpeza_Min)/1440,1))</f>
        <v/>
      </c>
      <c r="M143" s="12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24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","")&amp;IFERROR(IF(AND($J143&gt;0,$K143&gt;0,COUNTIF(Mapa_Chave,$B143&amp;"#"&amp;$A143&amp;"#"&amp;($K143+1))&gt;0,INDEX(Mapa_RelIni,MATCH($B143&amp;"#"&amp;$A143&amp;"#"&amp;($K143+1),Mapa_Chave,0))-$Q143&lt;Limpeza_Min),"Sem intervalo para limpeza | ",""),"")&amp;IF(AND($J143&gt;0,SUMPRODUCT((Mapa_Sala=$B143)*(Mapa_Data=$A143)*(Mapa_MinOcup&gt;0)*(Mapa_RelIni&lt;$Q143)*(Mapa_RelFim&gt;$P143))&gt;1),"Sobreposição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1">
        <f>IF(NOT(ISNUMBER($C143)),0,ROUND(MOD($C143-Turno_Ini,1)*1440,0))</f>
        <v/>
      </c>
      <c r="Q143" s="11">
        <f>IF($J143&lt;=0,0,$P143+$I143)</f>
        <v/>
      </c>
      <c r="R143" s="11">
        <f>IF($K143="","",$B143&amp;"#"&amp;$A143&amp;"#"&amp;$K143)</f>
        <v/>
      </c>
      <c r="S143" s="11">
        <f>ROW()</f>
        <v/>
      </c>
      <c r="T143" s="11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19" t="n"/>
      <c r="B144" s="20" t="n"/>
      <c r="C144" s="21" t="n"/>
      <c r="D144" s="21" t="n"/>
      <c r="E144" s="22" t="n"/>
      <c r="F144" s="22" t="n"/>
      <c r="G144" s="22" t="n"/>
      <c r="H144" s="20" t="n"/>
      <c r="I144" s="12">
        <f>IF(OR($B144="",NOT(ISNUMBER($C144)),NOT(ISNUMBER($D144))),"",ROUND(MOD($D144-$C144,1)*1440,0))</f>
        <v/>
      </c>
      <c r="J144" s="12">
        <f>IF(NOT(ISNUMBER($I144)),0,IF(OR($I144&lt;=0,$H144="Cancelada",$H144="Suspensa"),0,$I144+Limpeza_Min))</f>
        <v/>
      </c>
      <c r="K144" s="12">
        <f>IF($J144&lt;=0,"",SUMPRODUCT((Mapa_Sala=$B144)*(Mapa_Data=$A144)*(Mapa_MinOcup&gt;0)*((Mapa_RelIni&lt;$P144)+((Mapa_RelIni=$P144)*(Mapa_Row&lt;=$S144)))))</f>
        <v/>
      </c>
      <c r="L144" s="23">
        <f>IF($J144&lt;=0,"",MOD(Turno_Ini+($Q144+Limpeza_Min)/1440,1))</f>
        <v/>
      </c>
      <c r="M144" s="12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24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","")&amp;IFERROR(IF(AND($J144&gt;0,$K144&gt;0,COUNTIF(Mapa_Chave,$B144&amp;"#"&amp;$A144&amp;"#"&amp;($K144+1))&gt;0,INDEX(Mapa_RelIni,MATCH($B144&amp;"#"&amp;$A144&amp;"#"&amp;($K144+1),Mapa_Chave,0))-$Q144&lt;Limpeza_Min),"Sem intervalo para limpeza | ",""),"")&amp;IF(AND($J144&gt;0,SUMPRODUCT((Mapa_Sala=$B144)*(Mapa_Data=$A144)*(Mapa_MinOcup&gt;0)*(Mapa_RelIni&lt;$Q144)*(Mapa_RelFim&gt;$P144))&gt;1),"Sobreposição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1">
        <f>IF(NOT(ISNUMBER($C144)),0,ROUND(MOD($C144-Turno_Ini,1)*1440,0))</f>
        <v/>
      </c>
      <c r="Q144" s="11">
        <f>IF($J144&lt;=0,0,$P144+$I144)</f>
        <v/>
      </c>
      <c r="R144" s="11">
        <f>IF($K144="","",$B144&amp;"#"&amp;$A144&amp;"#"&amp;$K144)</f>
        <v/>
      </c>
      <c r="S144" s="11">
        <f>ROW()</f>
        <v/>
      </c>
      <c r="T144" s="11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19" t="n"/>
      <c r="B145" s="20" t="n"/>
      <c r="C145" s="21" t="n"/>
      <c r="D145" s="21" t="n"/>
      <c r="E145" s="22" t="n"/>
      <c r="F145" s="22" t="n"/>
      <c r="G145" s="22" t="n"/>
      <c r="H145" s="20" t="n"/>
      <c r="I145" s="12">
        <f>IF(OR($B145="",NOT(ISNUMBER($C145)),NOT(ISNUMBER($D145))),"",ROUND(MOD($D145-$C145,1)*1440,0))</f>
        <v/>
      </c>
      <c r="J145" s="12">
        <f>IF(NOT(ISNUMBER($I145)),0,IF(OR($I145&lt;=0,$H145="Cancelada",$H145="Suspensa"),0,$I145+Limpeza_Min))</f>
        <v/>
      </c>
      <c r="K145" s="12">
        <f>IF($J145&lt;=0,"",SUMPRODUCT((Mapa_Sala=$B145)*(Mapa_Data=$A145)*(Mapa_MinOcup&gt;0)*((Mapa_RelIni&lt;$P145)+((Mapa_RelIni=$P145)*(Mapa_Row&lt;=$S145)))))</f>
        <v/>
      </c>
      <c r="L145" s="23">
        <f>IF($J145&lt;=0,"",MOD(Turno_Ini+($Q145+Limpeza_Min)/1440,1))</f>
        <v/>
      </c>
      <c r="M145" s="12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24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","")&amp;IFERROR(IF(AND($J145&gt;0,$K145&gt;0,COUNTIF(Mapa_Chave,$B145&amp;"#"&amp;$A145&amp;"#"&amp;($K145+1))&gt;0,INDEX(Mapa_RelIni,MATCH($B145&amp;"#"&amp;$A145&amp;"#"&amp;($K145+1),Mapa_Chave,0))-$Q145&lt;Limpeza_Min),"Sem intervalo para limpeza | ",""),"")&amp;IF(AND($J145&gt;0,SUMPRODUCT((Mapa_Sala=$B145)*(Mapa_Data=$A145)*(Mapa_MinOcup&gt;0)*(Mapa_RelIni&lt;$Q145)*(Mapa_RelFim&gt;$P145))&gt;1),"Sobreposição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1">
        <f>IF(NOT(ISNUMBER($C145)),0,ROUND(MOD($C145-Turno_Ini,1)*1440,0))</f>
        <v/>
      </c>
      <c r="Q145" s="11">
        <f>IF($J145&lt;=0,0,$P145+$I145)</f>
        <v/>
      </c>
      <c r="R145" s="11">
        <f>IF($K145="","",$B145&amp;"#"&amp;$A145&amp;"#"&amp;$K145)</f>
        <v/>
      </c>
      <c r="S145" s="11">
        <f>ROW()</f>
        <v/>
      </c>
      <c r="T145" s="11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19" t="n"/>
      <c r="B146" s="20" t="n"/>
      <c r="C146" s="21" t="n"/>
      <c r="D146" s="21" t="n"/>
      <c r="E146" s="22" t="n"/>
      <c r="F146" s="22" t="n"/>
      <c r="G146" s="22" t="n"/>
      <c r="H146" s="20" t="n"/>
      <c r="I146" s="12">
        <f>IF(OR($B146="",NOT(ISNUMBER($C146)),NOT(ISNUMBER($D146))),"",ROUND(MOD($D146-$C146,1)*1440,0))</f>
        <v/>
      </c>
      <c r="J146" s="12">
        <f>IF(NOT(ISNUMBER($I146)),0,IF(OR($I146&lt;=0,$H146="Cancelada",$H146="Suspensa"),0,$I146+Limpeza_Min))</f>
        <v/>
      </c>
      <c r="K146" s="12">
        <f>IF($J146&lt;=0,"",SUMPRODUCT((Mapa_Sala=$B146)*(Mapa_Data=$A146)*(Mapa_MinOcup&gt;0)*((Mapa_RelIni&lt;$P146)+((Mapa_RelIni=$P146)*(Mapa_Row&lt;=$S146)))))</f>
        <v/>
      </c>
      <c r="L146" s="23">
        <f>IF($J146&lt;=0,"",MOD(Turno_Ini+($Q146+Limpeza_Min)/1440,1))</f>
        <v/>
      </c>
      <c r="M146" s="12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24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","")&amp;IFERROR(IF(AND($J146&gt;0,$K146&gt;0,COUNTIF(Mapa_Chave,$B146&amp;"#"&amp;$A146&amp;"#"&amp;($K146+1))&gt;0,INDEX(Mapa_RelIni,MATCH($B146&amp;"#"&amp;$A146&amp;"#"&amp;($K146+1),Mapa_Chave,0))-$Q146&lt;Limpeza_Min),"Sem intervalo para limpeza | ",""),"")&amp;IF(AND($J146&gt;0,SUMPRODUCT((Mapa_Sala=$B146)*(Mapa_Data=$A146)*(Mapa_MinOcup&gt;0)*(Mapa_RelIni&lt;$Q146)*(Mapa_RelFim&gt;$P146))&gt;1),"Sobreposição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1">
        <f>IF(NOT(ISNUMBER($C146)),0,ROUND(MOD($C146-Turno_Ini,1)*1440,0))</f>
        <v/>
      </c>
      <c r="Q146" s="11">
        <f>IF($J146&lt;=0,0,$P146+$I146)</f>
        <v/>
      </c>
      <c r="R146" s="11">
        <f>IF($K146="","",$B146&amp;"#"&amp;$A146&amp;"#"&amp;$K146)</f>
        <v/>
      </c>
      <c r="S146" s="11">
        <f>ROW()</f>
        <v/>
      </c>
      <c r="T146" s="11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19" t="n"/>
      <c r="B147" s="20" t="n"/>
      <c r="C147" s="21" t="n"/>
      <c r="D147" s="21" t="n"/>
      <c r="E147" s="22" t="n"/>
      <c r="F147" s="22" t="n"/>
      <c r="G147" s="22" t="n"/>
      <c r="H147" s="20" t="n"/>
      <c r="I147" s="12">
        <f>IF(OR($B147="",NOT(ISNUMBER($C147)),NOT(ISNUMBER($D147))),"",ROUND(MOD($D147-$C147,1)*1440,0))</f>
        <v/>
      </c>
      <c r="J147" s="12">
        <f>IF(NOT(ISNUMBER($I147)),0,IF(OR($I147&lt;=0,$H147="Cancelada",$H147="Suspensa"),0,$I147+Limpeza_Min))</f>
        <v/>
      </c>
      <c r="K147" s="12">
        <f>IF($J147&lt;=0,"",SUMPRODUCT((Mapa_Sala=$B147)*(Mapa_Data=$A147)*(Mapa_MinOcup&gt;0)*((Mapa_RelIni&lt;$P147)+((Mapa_RelIni=$P147)*(Mapa_Row&lt;=$S147)))))</f>
        <v/>
      </c>
      <c r="L147" s="23">
        <f>IF($J147&lt;=0,"",MOD(Turno_Ini+($Q147+Limpeza_Min)/1440,1))</f>
        <v/>
      </c>
      <c r="M147" s="12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24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","")&amp;IFERROR(IF(AND($J147&gt;0,$K147&gt;0,COUNTIF(Mapa_Chave,$B147&amp;"#"&amp;$A147&amp;"#"&amp;($K147+1))&gt;0,INDEX(Mapa_RelIni,MATCH($B147&amp;"#"&amp;$A147&amp;"#"&amp;($K147+1),Mapa_Chave,0))-$Q147&lt;Limpeza_Min),"Sem intervalo para limpeza | ",""),"")&amp;IF(AND($J147&gt;0,SUMPRODUCT((Mapa_Sala=$B147)*(Mapa_Data=$A147)*(Mapa_MinOcup&gt;0)*(Mapa_RelIni&lt;$Q147)*(Mapa_RelFim&gt;$P147))&gt;1),"Sobreposição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1">
        <f>IF(NOT(ISNUMBER($C147)),0,ROUND(MOD($C147-Turno_Ini,1)*1440,0))</f>
        <v/>
      </c>
      <c r="Q147" s="11">
        <f>IF($J147&lt;=0,0,$P147+$I147)</f>
        <v/>
      </c>
      <c r="R147" s="11">
        <f>IF($K147="","",$B147&amp;"#"&amp;$A147&amp;"#"&amp;$K147)</f>
        <v/>
      </c>
      <c r="S147" s="11">
        <f>ROW()</f>
        <v/>
      </c>
      <c r="T147" s="11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19" t="n"/>
      <c r="B148" s="20" t="n"/>
      <c r="C148" s="21" t="n"/>
      <c r="D148" s="21" t="n"/>
      <c r="E148" s="22" t="n"/>
      <c r="F148" s="22" t="n"/>
      <c r="G148" s="22" t="n"/>
      <c r="H148" s="20" t="n"/>
      <c r="I148" s="12">
        <f>IF(OR($B148="",NOT(ISNUMBER($C148)),NOT(ISNUMBER($D148))),"",ROUND(MOD($D148-$C148,1)*1440,0))</f>
        <v/>
      </c>
      <c r="J148" s="12">
        <f>IF(NOT(ISNUMBER($I148)),0,IF(OR($I148&lt;=0,$H148="Cancelada",$H148="Suspensa"),0,$I148+Limpeza_Min))</f>
        <v/>
      </c>
      <c r="K148" s="12">
        <f>IF($J148&lt;=0,"",SUMPRODUCT((Mapa_Sala=$B148)*(Mapa_Data=$A148)*(Mapa_MinOcup&gt;0)*((Mapa_RelIni&lt;$P148)+((Mapa_RelIni=$P148)*(Mapa_Row&lt;=$S148)))))</f>
        <v/>
      </c>
      <c r="L148" s="23">
        <f>IF($J148&lt;=0,"",MOD(Turno_Ini+($Q148+Limpeza_Min)/1440,1))</f>
        <v/>
      </c>
      <c r="M148" s="12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24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","")&amp;IFERROR(IF(AND($J148&gt;0,$K148&gt;0,COUNTIF(Mapa_Chave,$B148&amp;"#"&amp;$A148&amp;"#"&amp;($K148+1))&gt;0,INDEX(Mapa_RelIni,MATCH($B148&amp;"#"&amp;$A148&amp;"#"&amp;($K148+1),Mapa_Chave,0))-$Q148&lt;Limpeza_Min),"Sem intervalo para limpeza | ",""),"")&amp;IF(AND($J148&gt;0,SUMPRODUCT((Mapa_Sala=$B148)*(Mapa_Data=$A148)*(Mapa_MinOcup&gt;0)*(Mapa_RelIni&lt;$Q148)*(Mapa_RelFim&gt;$P148))&gt;1),"Sobreposição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1">
        <f>IF(NOT(ISNUMBER($C148)),0,ROUND(MOD($C148-Turno_Ini,1)*1440,0))</f>
        <v/>
      </c>
      <c r="Q148" s="11">
        <f>IF($J148&lt;=0,0,$P148+$I148)</f>
        <v/>
      </c>
      <c r="R148" s="11">
        <f>IF($K148="","",$B148&amp;"#"&amp;$A148&amp;"#"&amp;$K148)</f>
        <v/>
      </c>
      <c r="S148" s="11">
        <f>ROW()</f>
        <v/>
      </c>
      <c r="T148" s="11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19" t="n"/>
      <c r="B149" s="20" t="n"/>
      <c r="C149" s="21" t="n"/>
      <c r="D149" s="21" t="n"/>
      <c r="E149" s="22" t="n"/>
      <c r="F149" s="22" t="n"/>
      <c r="G149" s="22" t="n"/>
      <c r="H149" s="20" t="n"/>
      <c r="I149" s="12">
        <f>IF(OR($B149="",NOT(ISNUMBER($C149)),NOT(ISNUMBER($D149))),"",ROUND(MOD($D149-$C149,1)*1440,0))</f>
        <v/>
      </c>
      <c r="J149" s="12">
        <f>IF(NOT(ISNUMBER($I149)),0,IF(OR($I149&lt;=0,$H149="Cancelada",$H149="Suspensa"),0,$I149+Limpeza_Min))</f>
        <v/>
      </c>
      <c r="K149" s="12">
        <f>IF($J149&lt;=0,"",SUMPRODUCT((Mapa_Sala=$B149)*(Mapa_Data=$A149)*(Mapa_MinOcup&gt;0)*((Mapa_RelIni&lt;$P149)+((Mapa_RelIni=$P149)*(Mapa_Row&lt;=$S149)))))</f>
        <v/>
      </c>
      <c r="L149" s="23">
        <f>IF($J149&lt;=0,"",MOD(Turno_Ini+($Q149+Limpeza_Min)/1440,1))</f>
        <v/>
      </c>
      <c r="M149" s="12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24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","")&amp;IFERROR(IF(AND($J149&gt;0,$K149&gt;0,COUNTIF(Mapa_Chave,$B149&amp;"#"&amp;$A149&amp;"#"&amp;($K149+1))&gt;0,INDEX(Mapa_RelIni,MATCH($B149&amp;"#"&amp;$A149&amp;"#"&amp;($K149+1),Mapa_Chave,0))-$Q149&lt;Limpeza_Min),"Sem intervalo para limpeza | ",""),"")&amp;IF(AND($J149&gt;0,SUMPRODUCT((Mapa_Sala=$B149)*(Mapa_Data=$A149)*(Mapa_MinOcup&gt;0)*(Mapa_RelIni&lt;$Q149)*(Mapa_RelFim&gt;$P149))&gt;1),"Sobreposição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1">
        <f>IF(NOT(ISNUMBER($C149)),0,ROUND(MOD($C149-Turno_Ini,1)*1440,0))</f>
        <v/>
      </c>
      <c r="Q149" s="11">
        <f>IF($J149&lt;=0,0,$P149+$I149)</f>
        <v/>
      </c>
      <c r="R149" s="11">
        <f>IF($K149="","",$B149&amp;"#"&amp;$A149&amp;"#"&amp;$K149)</f>
        <v/>
      </c>
      <c r="S149" s="11">
        <f>ROW()</f>
        <v/>
      </c>
      <c r="T149" s="11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19" t="n"/>
      <c r="B150" s="20" t="n"/>
      <c r="C150" s="21" t="n"/>
      <c r="D150" s="21" t="n"/>
      <c r="E150" s="22" t="n"/>
      <c r="F150" s="22" t="n"/>
      <c r="G150" s="22" t="n"/>
      <c r="H150" s="20" t="n"/>
      <c r="I150" s="12">
        <f>IF(OR($B150="",NOT(ISNUMBER($C150)),NOT(ISNUMBER($D150))),"",ROUND(MOD($D150-$C150,1)*1440,0))</f>
        <v/>
      </c>
      <c r="J150" s="12">
        <f>IF(NOT(ISNUMBER($I150)),0,IF(OR($I150&lt;=0,$H150="Cancelada",$H150="Suspensa"),0,$I150+Limpeza_Min))</f>
        <v/>
      </c>
      <c r="K150" s="12">
        <f>IF($J150&lt;=0,"",SUMPRODUCT((Mapa_Sala=$B150)*(Mapa_Data=$A150)*(Mapa_MinOcup&gt;0)*((Mapa_RelIni&lt;$P150)+((Mapa_RelIni=$P150)*(Mapa_Row&lt;=$S150)))))</f>
        <v/>
      </c>
      <c r="L150" s="23">
        <f>IF($J150&lt;=0,"",MOD(Turno_Ini+($Q150+Limpeza_Min)/1440,1))</f>
        <v/>
      </c>
      <c r="M150" s="12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24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","")&amp;IFERROR(IF(AND($J150&gt;0,$K150&gt;0,COUNTIF(Mapa_Chave,$B150&amp;"#"&amp;$A150&amp;"#"&amp;($K150+1))&gt;0,INDEX(Mapa_RelIni,MATCH($B150&amp;"#"&amp;$A150&amp;"#"&amp;($K150+1),Mapa_Chave,0))-$Q150&lt;Limpeza_Min),"Sem intervalo para limpeza | ",""),"")&amp;IF(AND($J150&gt;0,SUMPRODUCT((Mapa_Sala=$B150)*(Mapa_Data=$A150)*(Mapa_MinOcup&gt;0)*(Mapa_RelIni&lt;$Q150)*(Mapa_RelFim&gt;$P150))&gt;1),"Sobreposição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1">
        <f>IF(NOT(ISNUMBER($C150)),0,ROUND(MOD($C150-Turno_Ini,1)*1440,0))</f>
        <v/>
      </c>
      <c r="Q150" s="11">
        <f>IF($J150&lt;=0,0,$P150+$I150)</f>
        <v/>
      </c>
      <c r="R150" s="11">
        <f>IF($K150="","",$B150&amp;"#"&amp;$A150&amp;"#"&amp;$K150)</f>
        <v/>
      </c>
      <c r="S150" s="11">
        <f>ROW()</f>
        <v/>
      </c>
      <c r="T150" s="11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19" t="n"/>
      <c r="B151" s="20" t="n"/>
      <c r="C151" s="21" t="n"/>
      <c r="D151" s="21" t="n"/>
      <c r="E151" s="22" t="n"/>
      <c r="F151" s="22" t="n"/>
      <c r="G151" s="22" t="n"/>
      <c r="H151" s="20" t="n"/>
      <c r="I151" s="12">
        <f>IF(OR($B151="",NOT(ISNUMBER($C151)),NOT(ISNUMBER($D151))),"",ROUND(MOD($D151-$C151,1)*1440,0))</f>
        <v/>
      </c>
      <c r="J151" s="12">
        <f>IF(NOT(ISNUMBER($I151)),0,IF(OR($I151&lt;=0,$H151="Cancelada",$H151="Suspensa"),0,$I151+Limpeza_Min))</f>
        <v/>
      </c>
      <c r="K151" s="12">
        <f>IF($J151&lt;=0,"",SUMPRODUCT((Mapa_Sala=$B151)*(Mapa_Data=$A151)*(Mapa_MinOcup&gt;0)*((Mapa_RelIni&lt;$P151)+((Mapa_RelIni=$P151)*(Mapa_Row&lt;=$S151)))))</f>
        <v/>
      </c>
      <c r="L151" s="23">
        <f>IF($J151&lt;=0,"",MOD(Turno_Ini+($Q151+Limpeza_Min)/1440,1))</f>
        <v/>
      </c>
      <c r="M151" s="12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24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","")&amp;IFERROR(IF(AND($J151&gt;0,$K151&gt;0,COUNTIF(Mapa_Chave,$B151&amp;"#"&amp;$A151&amp;"#"&amp;($K151+1))&gt;0,INDEX(Mapa_RelIni,MATCH($B151&amp;"#"&amp;$A151&amp;"#"&amp;($K151+1),Mapa_Chave,0))-$Q151&lt;Limpeza_Min),"Sem intervalo para limpeza | ",""),"")&amp;IF(AND($J151&gt;0,SUMPRODUCT((Mapa_Sala=$B151)*(Mapa_Data=$A151)*(Mapa_MinOcup&gt;0)*(Mapa_RelIni&lt;$Q151)*(Mapa_RelFim&gt;$P151))&gt;1),"Sobreposição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1">
        <f>IF(NOT(ISNUMBER($C151)),0,ROUND(MOD($C151-Turno_Ini,1)*1440,0))</f>
        <v/>
      </c>
      <c r="Q151" s="11">
        <f>IF($J151&lt;=0,0,$P151+$I151)</f>
        <v/>
      </c>
      <c r="R151" s="11">
        <f>IF($K151="","",$B151&amp;"#"&amp;$A151&amp;"#"&amp;$K151)</f>
        <v/>
      </c>
      <c r="S151" s="11">
        <f>ROW()</f>
        <v/>
      </c>
      <c r="T151" s="11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19" t="n"/>
      <c r="B152" s="20" t="n"/>
      <c r="C152" s="21" t="n"/>
      <c r="D152" s="21" t="n"/>
      <c r="E152" s="22" t="n"/>
      <c r="F152" s="22" t="n"/>
      <c r="G152" s="22" t="n"/>
      <c r="H152" s="20" t="n"/>
      <c r="I152" s="12">
        <f>IF(OR($B152="",NOT(ISNUMBER($C152)),NOT(ISNUMBER($D152))),"",ROUND(MOD($D152-$C152,1)*1440,0))</f>
        <v/>
      </c>
      <c r="J152" s="12">
        <f>IF(NOT(ISNUMBER($I152)),0,IF(OR($I152&lt;=0,$H152="Cancelada",$H152="Suspensa"),0,$I152+Limpeza_Min))</f>
        <v/>
      </c>
      <c r="K152" s="12">
        <f>IF($J152&lt;=0,"",SUMPRODUCT((Mapa_Sala=$B152)*(Mapa_Data=$A152)*(Mapa_MinOcup&gt;0)*((Mapa_RelIni&lt;$P152)+((Mapa_RelIni=$P152)*(Mapa_Row&lt;=$S152)))))</f>
        <v/>
      </c>
      <c r="L152" s="23">
        <f>IF($J152&lt;=0,"",MOD(Turno_Ini+($Q152+Limpeza_Min)/1440,1))</f>
        <v/>
      </c>
      <c r="M152" s="12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24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","")&amp;IFERROR(IF(AND($J152&gt;0,$K152&gt;0,COUNTIF(Mapa_Chave,$B152&amp;"#"&amp;$A152&amp;"#"&amp;($K152+1))&gt;0,INDEX(Mapa_RelIni,MATCH($B152&amp;"#"&amp;$A152&amp;"#"&amp;($K152+1),Mapa_Chave,0))-$Q152&lt;Limpeza_Min),"Sem intervalo para limpeza | ",""),"")&amp;IF(AND($J152&gt;0,SUMPRODUCT((Mapa_Sala=$B152)*(Mapa_Data=$A152)*(Mapa_MinOcup&gt;0)*(Mapa_RelIni&lt;$Q152)*(Mapa_RelFim&gt;$P152))&gt;1),"Sobreposição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1">
        <f>IF(NOT(ISNUMBER($C152)),0,ROUND(MOD($C152-Turno_Ini,1)*1440,0))</f>
        <v/>
      </c>
      <c r="Q152" s="11">
        <f>IF($J152&lt;=0,0,$P152+$I152)</f>
        <v/>
      </c>
      <c r="R152" s="11">
        <f>IF($K152="","",$B152&amp;"#"&amp;$A152&amp;"#"&amp;$K152)</f>
        <v/>
      </c>
      <c r="S152" s="11">
        <f>ROW()</f>
        <v/>
      </c>
      <c r="T152" s="11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19" t="n"/>
      <c r="B153" s="20" t="n"/>
      <c r="C153" s="21" t="n"/>
      <c r="D153" s="21" t="n"/>
      <c r="E153" s="22" t="n"/>
      <c r="F153" s="22" t="n"/>
      <c r="G153" s="22" t="n"/>
      <c r="H153" s="20" t="n"/>
      <c r="I153" s="12">
        <f>IF(OR($B153="",NOT(ISNUMBER($C153)),NOT(ISNUMBER($D153))),"",ROUND(MOD($D153-$C153,1)*1440,0))</f>
        <v/>
      </c>
      <c r="J153" s="12">
        <f>IF(NOT(ISNUMBER($I153)),0,IF(OR($I153&lt;=0,$H153="Cancelada",$H153="Suspensa"),0,$I153+Limpeza_Min))</f>
        <v/>
      </c>
      <c r="K153" s="12">
        <f>IF($J153&lt;=0,"",SUMPRODUCT((Mapa_Sala=$B153)*(Mapa_Data=$A153)*(Mapa_MinOcup&gt;0)*((Mapa_RelIni&lt;$P153)+((Mapa_RelIni=$P153)*(Mapa_Row&lt;=$S153)))))</f>
        <v/>
      </c>
      <c r="L153" s="23">
        <f>IF($J153&lt;=0,"",MOD(Turno_Ini+($Q153+Limpeza_Min)/1440,1))</f>
        <v/>
      </c>
      <c r="M153" s="12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24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","")&amp;IFERROR(IF(AND($J153&gt;0,$K153&gt;0,COUNTIF(Mapa_Chave,$B153&amp;"#"&amp;$A153&amp;"#"&amp;($K153+1))&gt;0,INDEX(Mapa_RelIni,MATCH($B153&amp;"#"&amp;$A153&amp;"#"&amp;($K153+1),Mapa_Chave,0))-$Q153&lt;Limpeza_Min),"Sem intervalo para limpeza | ",""),"")&amp;IF(AND($J153&gt;0,SUMPRODUCT((Mapa_Sala=$B153)*(Mapa_Data=$A153)*(Mapa_MinOcup&gt;0)*(Mapa_RelIni&lt;$Q153)*(Mapa_RelFim&gt;$P153))&gt;1),"Sobreposição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1">
        <f>IF(NOT(ISNUMBER($C153)),0,ROUND(MOD($C153-Turno_Ini,1)*1440,0))</f>
        <v/>
      </c>
      <c r="Q153" s="11">
        <f>IF($J153&lt;=0,0,$P153+$I153)</f>
        <v/>
      </c>
      <c r="R153" s="11">
        <f>IF($K153="","",$B153&amp;"#"&amp;$A153&amp;"#"&amp;$K153)</f>
        <v/>
      </c>
      <c r="S153" s="11">
        <f>ROW()</f>
        <v/>
      </c>
      <c r="T153" s="11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19" t="n"/>
      <c r="B154" s="20" t="n"/>
      <c r="C154" s="21" t="n"/>
      <c r="D154" s="21" t="n"/>
      <c r="E154" s="22" t="n"/>
      <c r="F154" s="22" t="n"/>
      <c r="G154" s="22" t="n"/>
      <c r="H154" s="20" t="n"/>
      <c r="I154" s="12">
        <f>IF(OR($B154="",NOT(ISNUMBER($C154)),NOT(ISNUMBER($D154))),"",ROUND(MOD($D154-$C154,1)*1440,0))</f>
        <v/>
      </c>
      <c r="J154" s="12">
        <f>IF(NOT(ISNUMBER($I154)),0,IF(OR($I154&lt;=0,$H154="Cancelada",$H154="Suspensa"),0,$I154+Limpeza_Min))</f>
        <v/>
      </c>
      <c r="K154" s="12">
        <f>IF($J154&lt;=0,"",SUMPRODUCT((Mapa_Sala=$B154)*(Mapa_Data=$A154)*(Mapa_MinOcup&gt;0)*((Mapa_RelIni&lt;$P154)+((Mapa_RelIni=$P154)*(Mapa_Row&lt;=$S154)))))</f>
        <v/>
      </c>
      <c r="L154" s="23">
        <f>IF($J154&lt;=0,"",MOD(Turno_Ini+($Q154+Limpeza_Min)/1440,1))</f>
        <v/>
      </c>
      <c r="M154" s="12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24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","")&amp;IFERROR(IF(AND($J154&gt;0,$K154&gt;0,COUNTIF(Mapa_Chave,$B154&amp;"#"&amp;$A154&amp;"#"&amp;($K154+1))&gt;0,INDEX(Mapa_RelIni,MATCH($B154&amp;"#"&amp;$A154&amp;"#"&amp;($K154+1),Mapa_Chave,0))-$Q154&lt;Limpeza_Min),"Sem intervalo para limpeza | ",""),"")&amp;IF(AND($J154&gt;0,SUMPRODUCT((Mapa_Sala=$B154)*(Mapa_Data=$A154)*(Mapa_MinOcup&gt;0)*(Mapa_RelIni&lt;$Q154)*(Mapa_RelFim&gt;$P154))&gt;1),"Sobreposição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1">
        <f>IF(NOT(ISNUMBER($C154)),0,ROUND(MOD($C154-Turno_Ini,1)*1440,0))</f>
        <v/>
      </c>
      <c r="Q154" s="11">
        <f>IF($J154&lt;=0,0,$P154+$I154)</f>
        <v/>
      </c>
      <c r="R154" s="11">
        <f>IF($K154="","",$B154&amp;"#"&amp;$A154&amp;"#"&amp;$K154)</f>
        <v/>
      </c>
      <c r="S154" s="11">
        <f>ROW()</f>
        <v/>
      </c>
      <c r="T154" s="11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19" t="n"/>
      <c r="B155" s="20" t="n"/>
      <c r="C155" s="21" t="n"/>
      <c r="D155" s="21" t="n"/>
      <c r="E155" s="22" t="n"/>
      <c r="F155" s="22" t="n"/>
      <c r="G155" s="22" t="n"/>
      <c r="H155" s="20" t="n"/>
      <c r="I155" s="12">
        <f>IF(OR($B155="",NOT(ISNUMBER($C155)),NOT(ISNUMBER($D155))),"",ROUND(MOD($D155-$C155,1)*1440,0))</f>
        <v/>
      </c>
      <c r="J155" s="12">
        <f>IF(NOT(ISNUMBER($I155)),0,IF(OR($I155&lt;=0,$H155="Cancelada",$H155="Suspensa"),0,$I155+Limpeza_Min))</f>
        <v/>
      </c>
      <c r="K155" s="12">
        <f>IF($J155&lt;=0,"",SUMPRODUCT((Mapa_Sala=$B155)*(Mapa_Data=$A155)*(Mapa_MinOcup&gt;0)*((Mapa_RelIni&lt;$P155)+((Mapa_RelIni=$P155)*(Mapa_Row&lt;=$S155)))))</f>
        <v/>
      </c>
      <c r="L155" s="23">
        <f>IF($J155&lt;=0,"",MOD(Turno_Ini+($Q155+Limpeza_Min)/1440,1))</f>
        <v/>
      </c>
      <c r="M155" s="12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24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","")&amp;IFERROR(IF(AND($J155&gt;0,$K155&gt;0,COUNTIF(Mapa_Chave,$B155&amp;"#"&amp;$A155&amp;"#"&amp;($K155+1))&gt;0,INDEX(Mapa_RelIni,MATCH($B155&amp;"#"&amp;$A155&amp;"#"&amp;($K155+1),Mapa_Chave,0))-$Q155&lt;Limpeza_Min),"Sem intervalo para limpeza | ",""),"")&amp;IF(AND($J155&gt;0,SUMPRODUCT((Mapa_Sala=$B155)*(Mapa_Data=$A155)*(Mapa_MinOcup&gt;0)*(Mapa_RelIni&lt;$Q155)*(Mapa_RelFim&gt;$P155))&gt;1),"Sobreposição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1">
        <f>IF(NOT(ISNUMBER($C155)),0,ROUND(MOD($C155-Turno_Ini,1)*1440,0))</f>
        <v/>
      </c>
      <c r="Q155" s="11">
        <f>IF($J155&lt;=0,0,$P155+$I155)</f>
        <v/>
      </c>
      <c r="R155" s="11">
        <f>IF($K155="","",$B155&amp;"#"&amp;$A155&amp;"#"&amp;$K155)</f>
        <v/>
      </c>
      <c r="S155" s="11">
        <f>ROW()</f>
        <v/>
      </c>
      <c r="T155" s="11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19" t="n"/>
      <c r="B156" s="20" t="n"/>
      <c r="C156" s="21" t="n"/>
      <c r="D156" s="21" t="n"/>
      <c r="E156" s="22" t="n"/>
      <c r="F156" s="22" t="n"/>
      <c r="G156" s="22" t="n"/>
      <c r="H156" s="20" t="n"/>
      <c r="I156" s="12">
        <f>IF(OR($B156="",NOT(ISNUMBER($C156)),NOT(ISNUMBER($D156))),"",ROUND(MOD($D156-$C156,1)*1440,0))</f>
        <v/>
      </c>
      <c r="J156" s="12">
        <f>IF(NOT(ISNUMBER($I156)),0,IF(OR($I156&lt;=0,$H156="Cancelada",$H156="Suspensa"),0,$I156+Limpeza_Min))</f>
        <v/>
      </c>
      <c r="K156" s="12">
        <f>IF($J156&lt;=0,"",SUMPRODUCT((Mapa_Sala=$B156)*(Mapa_Data=$A156)*(Mapa_MinOcup&gt;0)*((Mapa_RelIni&lt;$P156)+((Mapa_RelIni=$P156)*(Mapa_Row&lt;=$S156)))))</f>
        <v/>
      </c>
      <c r="L156" s="23">
        <f>IF($J156&lt;=0,"",MOD(Turno_Ini+($Q156+Limpeza_Min)/1440,1))</f>
        <v/>
      </c>
      <c r="M156" s="12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24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","")&amp;IFERROR(IF(AND($J156&gt;0,$K156&gt;0,COUNTIF(Mapa_Chave,$B156&amp;"#"&amp;$A156&amp;"#"&amp;($K156+1))&gt;0,INDEX(Mapa_RelIni,MATCH($B156&amp;"#"&amp;$A156&amp;"#"&amp;($K156+1),Mapa_Chave,0))-$Q156&lt;Limpeza_Min),"Sem intervalo para limpeza | ",""),"")&amp;IF(AND($J156&gt;0,SUMPRODUCT((Mapa_Sala=$B156)*(Mapa_Data=$A156)*(Mapa_MinOcup&gt;0)*(Mapa_RelIni&lt;$Q156)*(Mapa_RelFim&gt;$P156))&gt;1),"Sobreposição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1">
        <f>IF(NOT(ISNUMBER($C156)),0,ROUND(MOD($C156-Turno_Ini,1)*1440,0))</f>
        <v/>
      </c>
      <c r="Q156" s="11">
        <f>IF($J156&lt;=0,0,$P156+$I156)</f>
        <v/>
      </c>
      <c r="R156" s="11">
        <f>IF($K156="","",$B156&amp;"#"&amp;$A156&amp;"#"&amp;$K156)</f>
        <v/>
      </c>
      <c r="S156" s="11">
        <f>ROW()</f>
        <v/>
      </c>
      <c r="T156" s="11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19" t="n"/>
      <c r="B157" s="20" t="n"/>
      <c r="C157" s="21" t="n"/>
      <c r="D157" s="21" t="n"/>
      <c r="E157" s="22" t="n"/>
      <c r="F157" s="22" t="n"/>
      <c r="G157" s="22" t="n"/>
      <c r="H157" s="20" t="n"/>
      <c r="I157" s="12">
        <f>IF(OR($B157="",NOT(ISNUMBER($C157)),NOT(ISNUMBER($D157))),"",ROUND(MOD($D157-$C157,1)*1440,0))</f>
        <v/>
      </c>
      <c r="J157" s="12">
        <f>IF(NOT(ISNUMBER($I157)),0,IF(OR($I157&lt;=0,$H157="Cancelada",$H157="Suspensa"),0,$I157+Limpeza_Min))</f>
        <v/>
      </c>
      <c r="K157" s="12">
        <f>IF($J157&lt;=0,"",SUMPRODUCT((Mapa_Sala=$B157)*(Mapa_Data=$A157)*(Mapa_MinOcup&gt;0)*((Mapa_RelIni&lt;$P157)+((Mapa_RelIni=$P157)*(Mapa_Row&lt;=$S157)))))</f>
        <v/>
      </c>
      <c r="L157" s="23">
        <f>IF($J157&lt;=0,"",MOD(Turno_Ini+($Q157+Limpeza_Min)/1440,1))</f>
        <v/>
      </c>
      <c r="M157" s="12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24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","")&amp;IFERROR(IF(AND($J157&gt;0,$K157&gt;0,COUNTIF(Mapa_Chave,$B157&amp;"#"&amp;$A157&amp;"#"&amp;($K157+1))&gt;0,INDEX(Mapa_RelIni,MATCH($B157&amp;"#"&amp;$A157&amp;"#"&amp;($K157+1),Mapa_Chave,0))-$Q157&lt;Limpeza_Min),"Sem intervalo para limpeza | ",""),"")&amp;IF(AND($J157&gt;0,SUMPRODUCT((Mapa_Sala=$B157)*(Mapa_Data=$A157)*(Mapa_MinOcup&gt;0)*(Mapa_RelIni&lt;$Q157)*(Mapa_RelFim&gt;$P157))&gt;1),"Sobreposição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1">
        <f>IF(NOT(ISNUMBER($C157)),0,ROUND(MOD($C157-Turno_Ini,1)*1440,0))</f>
        <v/>
      </c>
      <c r="Q157" s="11">
        <f>IF($J157&lt;=0,0,$P157+$I157)</f>
        <v/>
      </c>
      <c r="R157" s="11">
        <f>IF($K157="","",$B157&amp;"#"&amp;$A157&amp;"#"&amp;$K157)</f>
        <v/>
      </c>
      <c r="S157" s="11">
        <f>ROW()</f>
        <v/>
      </c>
      <c r="T157" s="11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19" t="n"/>
      <c r="B158" s="20" t="n"/>
      <c r="C158" s="21" t="n"/>
      <c r="D158" s="21" t="n"/>
      <c r="E158" s="22" t="n"/>
      <c r="F158" s="22" t="n"/>
      <c r="G158" s="22" t="n"/>
      <c r="H158" s="20" t="n"/>
      <c r="I158" s="12">
        <f>IF(OR($B158="",NOT(ISNUMBER($C158)),NOT(ISNUMBER($D158))),"",ROUND(MOD($D158-$C158,1)*1440,0))</f>
        <v/>
      </c>
      <c r="J158" s="12">
        <f>IF(NOT(ISNUMBER($I158)),0,IF(OR($I158&lt;=0,$H158="Cancelada",$H158="Suspensa"),0,$I158+Limpeza_Min))</f>
        <v/>
      </c>
      <c r="K158" s="12">
        <f>IF($J158&lt;=0,"",SUMPRODUCT((Mapa_Sala=$B158)*(Mapa_Data=$A158)*(Mapa_MinOcup&gt;0)*((Mapa_RelIni&lt;$P158)+((Mapa_RelIni=$P158)*(Mapa_Row&lt;=$S158)))))</f>
        <v/>
      </c>
      <c r="L158" s="23">
        <f>IF($J158&lt;=0,"",MOD(Turno_Ini+($Q158+Limpeza_Min)/1440,1))</f>
        <v/>
      </c>
      <c r="M158" s="12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24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","")&amp;IFERROR(IF(AND($J158&gt;0,$K158&gt;0,COUNTIF(Mapa_Chave,$B158&amp;"#"&amp;$A158&amp;"#"&amp;($K158+1))&gt;0,INDEX(Mapa_RelIni,MATCH($B158&amp;"#"&amp;$A158&amp;"#"&amp;($K158+1),Mapa_Chave,0))-$Q158&lt;Limpeza_Min),"Sem intervalo para limpeza | ",""),"")&amp;IF(AND($J158&gt;0,SUMPRODUCT((Mapa_Sala=$B158)*(Mapa_Data=$A158)*(Mapa_MinOcup&gt;0)*(Mapa_RelIni&lt;$Q158)*(Mapa_RelFim&gt;$P158))&gt;1),"Sobreposição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1">
        <f>IF(NOT(ISNUMBER($C158)),0,ROUND(MOD($C158-Turno_Ini,1)*1440,0))</f>
        <v/>
      </c>
      <c r="Q158" s="11">
        <f>IF($J158&lt;=0,0,$P158+$I158)</f>
        <v/>
      </c>
      <c r="R158" s="11">
        <f>IF($K158="","",$B158&amp;"#"&amp;$A158&amp;"#"&amp;$K158)</f>
        <v/>
      </c>
      <c r="S158" s="11">
        <f>ROW()</f>
        <v/>
      </c>
      <c r="T158" s="11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19" t="n"/>
      <c r="B159" s="20" t="n"/>
      <c r="C159" s="21" t="n"/>
      <c r="D159" s="21" t="n"/>
      <c r="E159" s="22" t="n"/>
      <c r="F159" s="22" t="n"/>
      <c r="G159" s="22" t="n"/>
      <c r="H159" s="20" t="n"/>
      <c r="I159" s="12">
        <f>IF(OR($B159="",NOT(ISNUMBER($C159)),NOT(ISNUMBER($D159))),"",ROUND(MOD($D159-$C159,1)*1440,0))</f>
        <v/>
      </c>
      <c r="J159" s="12">
        <f>IF(NOT(ISNUMBER($I159)),0,IF(OR($I159&lt;=0,$H159="Cancelada",$H159="Suspensa"),0,$I159+Limpeza_Min))</f>
        <v/>
      </c>
      <c r="K159" s="12">
        <f>IF($J159&lt;=0,"",SUMPRODUCT((Mapa_Sala=$B159)*(Mapa_Data=$A159)*(Mapa_MinOcup&gt;0)*((Mapa_RelIni&lt;$P159)+((Mapa_RelIni=$P159)*(Mapa_Row&lt;=$S159)))))</f>
        <v/>
      </c>
      <c r="L159" s="23">
        <f>IF($J159&lt;=0,"",MOD(Turno_Ini+($Q159+Limpeza_Min)/1440,1))</f>
        <v/>
      </c>
      <c r="M159" s="12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24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","")&amp;IFERROR(IF(AND($J159&gt;0,$K159&gt;0,COUNTIF(Mapa_Chave,$B159&amp;"#"&amp;$A159&amp;"#"&amp;($K159+1))&gt;0,INDEX(Mapa_RelIni,MATCH($B159&amp;"#"&amp;$A159&amp;"#"&amp;($K159+1),Mapa_Chave,0))-$Q159&lt;Limpeza_Min),"Sem intervalo para limpeza | ",""),"")&amp;IF(AND($J159&gt;0,SUMPRODUCT((Mapa_Sala=$B159)*(Mapa_Data=$A159)*(Mapa_MinOcup&gt;0)*(Mapa_RelIni&lt;$Q159)*(Mapa_RelFim&gt;$P159))&gt;1),"Sobreposição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1">
        <f>IF(NOT(ISNUMBER($C159)),0,ROUND(MOD($C159-Turno_Ini,1)*1440,0))</f>
        <v/>
      </c>
      <c r="Q159" s="11">
        <f>IF($J159&lt;=0,0,$P159+$I159)</f>
        <v/>
      </c>
      <c r="R159" s="11">
        <f>IF($K159="","",$B159&amp;"#"&amp;$A159&amp;"#"&amp;$K159)</f>
        <v/>
      </c>
      <c r="S159" s="11">
        <f>ROW()</f>
        <v/>
      </c>
      <c r="T159" s="11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19" t="n"/>
      <c r="B160" s="20" t="n"/>
      <c r="C160" s="21" t="n"/>
      <c r="D160" s="21" t="n"/>
      <c r="E160" s="22" t="n"/>
      <c r="F160" s="22" t="n"/>
      <c r="G160" s="22" t="n"/>
      <c r="H160" s="20" t="n"/>
      <c r="I160" s="12">
        <f>IF(OR($B160="",NOT(ISNUMBER($C160)),NOT(ISNUMBER($D160))),"",ROUND(MOD($D160-$C160,1)*1440,0))</f>
        <v/>
      </c>
      <c r="J160" s="12">
        <f>IF(NOT(ISNUMBER($I160)),0,IF(OR($I160&lt;=0,$H160="Cancelada",$H160="Suspensa"),0,$I160+Limpeza_Min))</f>
        <v/>
      </c>
      <c r="K160" s="12">
        <f>IF($J160&lt;=0,"",SUMPRODUCT((Mapa_Sala=$B160)*(Mapa_Data=$A160)*(Mapa_MinOcup&gt;0)*((Mapa_RelIni&lt;$P160)+((Mapa_RelIni=$P160)*(Mapa_Row&lt;=$S160)))))</f>
        <v/>
      </c>
      <c r="L160" s="23">
        <f>IF($J160&lt;=0,"",MOD(Turno_Ini+($Q160+Limpeza_Min)/1440,1))</f>
        <v/>
      </c>
      <c r="M160" s="12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24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","")&amp;IFERROR(IF(AND($J160&gt;0,$K160&gt;0,COUNTIF(Mapa_Chave,$B160&amp;"#"&amp;$A160&amp;"#"&amp;($K160+1))&gt;0,INDEX(Mapa_RelIni,MATCH($B160&amp;"#"&amp;$A160&amp;"#"&amp;($K160+1),Mapa_Chave,0))-$Q160&lt;Limpeza_Min),"Sem intervalo para limpeza | ",""),"")&amp;IF(AND($J160&gt;0,SUMPRODUCT((Mapa_Sala=$B160)*(Mapa_Data=$A160)*(Mapa_MinOcup&gt;0)*(Mapa_RelIni&lt;$Q160)*(Mapa_RelFim&gt;$P160))&gt;1),"Sobreposição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1">
        <f>IF(NOT(ISNUMBER($C160)),0,ROUND(MOD($C160-Turno_Ini,1)*1440,0))</f>
        <v/>
      </c>
      <c r="Q160" s="11">
        <f>IF($J160&lt;=0,0,$P160+$I160)</f>
        <v/>
      </c>
      <c r="R160" s="11">
        <f>IF($K160="","",$B160&amp;"#"&amp;$A160&amp;"#"&amp;$K160)</f>
        <v/>
      </c>
      <c r="S160" s="11">
        <f>ROW()</f>
        <v/>
      </c>
      <c r="T160" s="11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19" t="n"/>
      <c r="B161" s="20" t="n"/>
      <c r="C161" s="21" t="n"/>
      <c r="D161" s="21" t="n"/>
      <c r="E161" s="22" t="n"/>
      <c r="F161" s="22" t="n"/>
      <c r="G161" s="22" t="n"/>
      <c r="H161" s="20" t="n"/>
      <c r="I161" s="12">
        <f>IF(OR($B161="",NOT(ISNUMBER($C161)),NOT(ISNUMBER($D161))),"",ROUND(MOD($D161-$C161,1)*1440,0))</f>
        <v/>
      </c>
      <c r="J161" s="12">
        <f>IF(NOT(ISNUMBER($I161)),0,IF(OR($I161&lt;=0,$H161="Cancelada",$H161="Suspensa"),0,$I161+Limpeza_Min))</f>
        <v/>
      </c>
      <c r="K161" s="12">
        <f>IF($J161&lt;=0,"",SUMPRODUCT((Mapa_Sala=$B161)*(Mapa_Data=$A161)*(Mapa_MinOcup&gt;0)*((Mapa_RelIni&lt;$P161)+((Mapa_RelIni=$P161)*(Mapa_Row&lt;=$S161)))))</f>
        <v/>
      </c>
      <c r="L161" s="23">
        <f>IF($J161&lt;=0,"",MOD(Turno_Ini+($Q161+Limpeza_Min)/1440,1))</f>
        <v/>
      </c>
      <c r="M161" s="12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24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","")&amp;IFERROR(IF(AND($J161&gt;0,$K161&gt;0,COUNTIF(Mapa_Chave,$B161&amp;"#"&amp;$A161&amp;"#"&amp;($K161+1))&gt;0,INDEX(Mapa_RelIni,MATCH($B161&amp;"#"&amp;$A161&amp;"#"&amp;($K161+1),Mapa_Chave,0))-$Q161&lt;Limpeza_Min),"Sem intervalo para limpeza | ",""),"")&amp;IF(AND($J161&gt;0,SUMPRODUCT((Mapa_Sala=$B161)*(Mapa_Data=$A161)*(Mapa_MinOcup&gt;0)*(Mapa_RelIni&lt;$Q161)*(Mapa_RelFim&gt;$P161))&gt;1),"Sobreposição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1">
        <f>IF(NOT(ISNUMBER($C161)),0,ROUND(MOD($C161-Turno_Ini,1)*1440,0))</f>
        <v/>
      </c>
      <c r="Q161" s="11">
        <f>IF($J161&lt;=0,0,$P161+$I161)</f>
        <v/>
      </c>
      <c r="R161" s="11">
        <f>IF($K161="","",$B161&amp;"#"&amp;$A161&amp;"#"&amp;$K161)</f>
        <v/>
      </c>
      <c r="S161" s="11">
        <f>ROW()</f>
        <v/>
      </c>
      <c r="T161" s="11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19" t="n"/>
      <c r="B162" s="20" t="n"/>
      <c r="C162" s="21" t="n"/>
      <c r="D162" s="21" t="n"/>
      <c r="E162" s="22" t="n"/>
      <c r="F162" s="22" t="n"/>
      <c r="G162" s="22" t="n"/>
      <c r="H162" s="20" t="n"/>
      <c r="I162" s="12">
        <f>IF(OR($B162="",NOT(ISNUMBER($C162)),NOT(ISNUMBER($D162))),"",ROUND(MOD($D162-$C162,1)*1440,0))</f>
        <v/>
      </c>
      <c r="J162" s="12">
        <f>IF(NOT(ISNUMBER($I162)),0,IF(OR($I162&lt;=0,$H162="Cancelada",$H162="Suspensa"),0,$I162+Limpeza_Min))</f>
        <v/>
      </c>
      <c r="K162" s="12">
        <f>IF($J162&lt;=0,"",SUMPRODUCT((Mapa_Sala=$B162)*(Mapa_Data=$A162)*(Mapa_MinOcup&gt;0)*((Mapa_RelIni&lt;$P162)+((Mapa_RelIni=$P162)*(Mapa_Row&lt;=$S162)))))</f>
        <v/>
      </c>
      <c r="L162" s="23">
        <f>IF($J162&lt;=0,"",MOD(Turno_Ini+($Q162+Limpeza_Min)/1440,1))</f>
        <v/>
      </c>
      <c r="M162" s="12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24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","")&amp;IFERROR(IF(AND($J162&gt;0,$K162&gt;0,COUNTIF(Mapa_Chave,$B162&amp;"#"&amp;$A162&amp;"#"&amp;($K162+1))&gt;0,INDEX(Mapa_RelIni,MATCH($B162&amp;"#"&amp;$A162&amp;"#"&amp;($K162+1),Mapa_Chave,0))-$Q162&lt;Limpeza_Min),"Sem intervalo para limpeza | ",""),"")&amp;IF(AND($J162&gt;0,SUMPRODUCT((Mapa_Sala=$B162)*(Mapa_Data=$A162)*(Mapa_MinOcup&gt;0)*(Mapa_RelIni&lt;$Q162)*(Mapa_RelFim&gt;$P162))&gt;1),"Sobreposição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1">
        <f>IF(NOT(ISNUMBER($C162)),0,ROUND(MOD($C162-Turno_Ini,1)*1440,0))</f>
        <v/>
      </c>
      <c r="Q162" s="11">
        <f>IF($J162&lt;=0,0,$P162+$I162)</f>
        <v/>
      </c>
      <c r="R162" s="11">
        <f>IF($K162="","",$B162&amp;"#"&amp;$A162&amp;"#"&amp;$K162)</f>
        <v/>
      </c>
      <c r="S162" s="11">
        <f>ROW()</f>
        <v/>
      </c>
      <c r="T162" s="11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19" t="n"/>
      <c r="B163" s="20" t="n"/>
      <c r="C163" s="21" t="n"/>
      <c r="D163" s="21" t="n"/>
      <c r="E163" s="22" t="n"/>
      <c r="F163" s="22" t="n"/>
      <c r="G163" s="22" t="n"/>
      <c r="H163" s="20" t="n"/>
      <c r="I163" s="12">
        <f>IF(OR($B163="",NOT(ISNUMBER($C163)),NOT(ISNUMBER($D163))),"",ROUND(MOD($D163-$C163,1)*1440,0))</f>
        <v/>
      </c>
      <c r="J163" s="12">
        <f>IF(NOT(ISNUMBER($I163)),0,IF(OR($I163&lt;=0,$H163="Cancelada",$H163="Suspensa"),0,$I163+Limpeza_Min))</f>
        <v/>
      </c>
      <c r="K163" s="12">
        <f>IF($J163&lt;=0,"",SUMPRODUCT((Mapa_Sala=$B163)*(Mapa_Data=$A163)*(Mapa_MinOcup&gt;0)*((Mapa_RelIni&lt;$P163)+((Mapa_RelIni=$P163)*(Mapa_Row&lt;=$S163)))))</f>
        <v/>
      </c>
      <c r="L163" s="23">
        <f>IF($J163&lt;=0,"",MOD(Turno_Ini+($Q163+Limpeza_Min)/1440,1))</f>
        <v/>
      </c>
      <c r="M163" s="12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24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","")&amp;IFERROR(IF(AND($J163&gt;0,$K163&gt;0,COUNTIF(Mapa_Chave,$B163&amp;"#"&amp;$A163&amp;"#"&amp;($K163+1))&gt;0,INDEX(Mapa_RelIni,MATCH($B163&amp;"#"&amp;$A163&amp;"#"&amp;($K163+1),Mapa_Chave,0))-$Q163&lt;Limpeza_Min),"Sem intervalo para limpeza | ",""),"")&amp;IF(AND($J163&gt;0,SUMPRODUCT((Mapa_Sala=$B163)*(Mapa_Data=$A163)*(Mapa_MinOcup&gt;0)*(Mapa_RelIni&lt;$Q163)*(Mapa_RelFim&gt;$P163))&gt;1),"Sobreposição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1">
        <f>IF(NOT(ISNUMBER($C163)),0,ROUND(MOD($C163-Turno_Ini,1)*1440,0))</f>
        <v/>
      </c>
      <c r="Q163" s="11">
        <f>IF($J163&lt;=0,0,$P163+$I163)</f>
        <v/>
      </c>
      <c r="R163" s="11">
        <f>IF($K163="","",$B163&amp;"#"&amp;$A163&amp;"#"&amp;$K163)</f>
        <v/>
      </c>
      <c r="S163" s="11">
        <f>ROW()</f>
        <v/>
      </c>
      <c r="T163" s="11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19" t="n"/>
      <c r="B164" s="20" t="n"/>
      <c r="C164" s="21" t="n"/>
      <c r="D164" s="21" t="n"/>
      <c r="E164" s="22" t="n"/>
      <c r="F164" s="22" t="n"/>
      <c r="G164" s="22" t="n"/>
      <c r="H164" s="20" t="n"/>
      <c r="I164" s="12">
        <f>IF(OR($B164="",NOT(ISNUMBER($C164)),NOT(ISNUMBER($D164))),"",ROUND(MOD($D164-$C164,1)*1440,0))</f>
        <v/>
      </c>
      <c r="J164" s="12">
        <f>IF(NOT(ISNUMBER($I164)),0,IF(OR($I164&lt;=0,$H164="Cancelada",$H164="Suspensa"),0,$I164+Limpeza_Min))</f>
        <v/>
      </c>
      <c r="K164" s="12">
        <f>IF($J164&lt;=0,"",SUMPRODUCT((Mapa_Sala=$B164)*(Mapa_Data=$A164)*(Mapa_MinOcup&gt;0)*((Mapa_RelIni&lt;$P164)+((Mapa_RelIni=$P164)*(Mapa_Row&lt;=$S164)))))</f>
        <v/>
      </c>
      <c r="L164" s="23">
        <f>IF($J164&lt;=0,"",MOD(Turno_Ini+($Q164+Limpeza_Min)/1440,1))</f>
        <v/>
      </c>
      <c r="M164" s="12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24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","")&amp;IFERROR(IF(AND($J164&gt;0,$K164&gt;0,COUNTIF(Mapa_Chave,$B164&amp;"#"&amp;$A164&amp;"#"&amp;($K164+1))&gt;0,INDEX(Mapa_RelIni,MATCH($B164&amp;"#"&amp;$A164&amp;"#"&amp;($K164+1),Mapa_Chave,0))-$Q164&lt;Limpeza_Min),"Sem intervalo para limpeza | ",""),"")&amp;IF(AND($J164&gt;0,SUMPRODUCT((Mapa_Sala=$B164)*(Mapa_Data=$A164)*(Mapa_MinOcup&gt;0)*(Mapa_RelIni&lt;$Q164)*(Mapa_RelFim&gt;$P164))&gt;1),"Sobreposição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1">
        <f>IF(NOT(ISNUMBER($C164)),0,ROUND(MOD($C164-Turno_Ini,1)*1440,0))</f>
        <v/>
      </c>
      <c r="Q164" s="11">
        <f>IF($J164&lt;=0,0,$P164+$I164)</f>
        <v/>
      </c>
      <c r="R164" s="11">
        <f>IF($K164="","",$B164&amp;"#"&amp;$A164&amp;"#"&amp;$K164)</f>
        <v/>
      </c>
      <c r="S164" s="11">
        <f>ROW()</f>
        <v/>
      </c>
      <c r="T164" s="11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19" t="n"/>
      <c r="B165" s="20" t="n"/>
      <c r="C165" s="21" t="n"/>
      <c r="D165" s="21" t="n"/>
      <c r="E165" s="22" t="n"/>
      <c r="F165" s="22" t="n"/>
      <c r="G165" s="22" t="n"/>
      <c r="H165" s="20" t="n"/>
      <c r="I165" s="12">
        <f>IF(OR($B165="",NOT(ISNUMBER($C165)),NOT(ISNUMBER($D165))),"",ROUND(MOD($D165-$C165,1)*1440,0))</f>
        <v/>
      </c>
      <c r="J165" s="12">
        <f>IF(NOT(ISNUMBER($I165)),0,IF(OR($I165&lt;=0,$H165="Cancelada",$H165="Suspensa"),0,$I165+Limpeza_Min))</f>
        <v/>
      </c>
      <c r="K165" s="12">
        <f>IF($J165&lt;=0,"",SUMPRODUCT((Mapa_Sala=$B165)*(Mapa_Data=$A165)*(Mapa_MinOcup&gt;0)*((Mapa_RelIni&lt;$P165)+((Mapa_RelIni=$P165)*(Mapa_Row&lt;=$S165)))))</f>
        <v/>
      </c>
      <c r="L165" s="23">
        <f>IF($J165&lt;=0,"",MOD(Turno_Ini+($Q165+Limpeza_Min)/1440,1))</f>
        <v/>
      </c>
      <c r="M165" s="12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24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","")&amp;IFERROR(IF(AND($J165&gt;0,$K165&gt;0,COUNTIF(Mapa_Chave,$B165&amp;"#"&amp;$A165&amp;"#"&amp;($K165+1))&gt;0,INDEX(Mapa_RelIni,MATCH($B165&amp;"#"&amp;$A165&amp;"#"&amp;($K165+1),Mapa_Chave,0))-$Q165&lt;Limpeza_Min),"Sem intervalo para limpeza | ",""),"")&amp;IF(AND($J165&gt;0,SUMPRODUCT((Mapa_Sala=$B165)*(Mapa_Data=$A165)*(Mapa_MinOcup&gt;0)*(Mapa_RelIni&lt;$Q165)*(Mapa_RelFim&gt;$P165))&gt;1),"Sobreposição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1">
        <f>IF(NOT(ISNUMBER($C165)),0,ROUND(MOD($C165-Turno_Ini,1)*1440,0))</f>
        <v/>
      </c>
      <c r="Q165" s="11">
        <f>IF($J165&lt;=0,0,$P165+$I165)</f>
        <v/>
      </c>
      <c r="R165" s="11">
        <f>IF($K165="","",$B165&amp;"#"&amp;$A165&amp;"#"&amp;$K165)</f>
        <v/>
      </c>
      <c r="S165" s="11">
        <f>ROW()</f>
        <v/>
      </c>
      <c r="T165" s="11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19" t="n"/>
      <c r="B166" s="20" t="n"/>
      <c r="C166" s="21" t="n"/>
      <c r="D166" s="21" t="n"/>
      <c r="E166" s="22" t="n"/>
      <c r="F166" s="22" t="n"/>
      <c r="G166" s="22" t="n"/>
      <c r="H166" s="20" t="n"/>
      <c r="I166" s="12">
        <f>IF(OR($B166="",NOT(ISNUMBER($C166)),NOT(ISNUMBER($D166))),"",ROUND(MOD($D166-$C166,1)*1440,0))</f>
        <v/>
      </c>
      <c r="J166" s="12">
        <f>IF(NOT(ISNUMBER($I166)),0,IF(OR($I166&lt;=0,$H166="Cancelada",$H166="Suspensa"),0,$I166+Limpeza_Min))</f>
        <v/>
      </c>
      <c r="K166" s="12">
        <f>IF($J166&lt;=0,"",SUMPRODUCT((Mapa_Sala=$B166)*(Mapa_Data=$A166)*(Mapa_MinOcup&gt;0)*((Mapa_RelIni&lt;$P166)+((Mapa_RelIni=$P166)*(Mapa_Row&lt;=$S166)))))</f>
        <v/>
      </c>
      <c r="L166" s="23">
        <f>IF($J166&lt;=0,"",MOD(Turno_Ini+($Q166+Limpeza_Min)/1440,1))</f>
        <v/>
      </c>
      <c r="M166" s="12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24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","")&amp;IFERROR(IF(AND($J166&gt;0,$K166&gt;0,COUNTIF(Mapa_Chave,$B166&amp;"#"&amp;$A166&amp;"#"&amp;($K166+1))&gt;0,INDEX(Mapa_RelIni,MATCH($B166&amp;"#"&amp;$A166&amp;"#"&amp;($K166+1),Mapa_Chave,0))-$Q166&lt;Limpeza_Min),"Sem intervalo para limpeza | ",""),"")&amp;IF(AND($J166&gt;0,SUMPRODUCT((Mapa_Sala=$B166)*(Mapa_Data=$A166)*(Mapa_MinOcup&gt;0)*(Mapa_RelIni&lt;$Q166)*(Mapa_RelFim&gt;$P166))&gt;1),"Sobreposição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1">
        <f>IF(NOT(ISNUMBER($C166)),0,ROUND(MOD($C166-Turno_Ini,1)*1440,0))</f>
        <v/>
      </c>
      <c r="Q166" s="11">
        <f>IF($J166&lt;=0,0,$P166+$I166)</f>
        <v/>
      </c>
      <c r="R166" s="11">
        <f>IF($K166="","",$B166&amp;"#"&amp;$A166&amp;"#"&amp;$K166)</f>
        <v/>
      </c>
      <c r="S166" s="11">
        <f>ROW()</f>
        <v/>
      </c>
      <c r="T166" s="11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19" t="n"/>
      <c r="B167" s="20" t="n"/>
      <c r="C167" s="21" t="n"/>
      <c r="D167" s="21" t="n"/>
      <c r="E167" s="22" t="n"/>
      <c r="F167" s="22" t="n"/>
      <c r="G167" s="22" t="n"/>
      <c r="H167" s="20" t="n"/>
      <c r="I167" s="12">
        <f>IF(OR($B167="",NOT(ISNUMBER($C167)),NOT(ISNUMBER($D167))),"",ROUND(MOD($D167-$C167,1)*1440,0))</f>
        <v/>
      </c>
      <c r="J167" s="12">
        <f>IF(NOT(ISNUMBER($I167)),0,IF(OR($I167&lt;=0,$H167="Cancelada",$H167="Suspensa"),0,$I167+Limpeza_Min))</f>
        <v/>
      </c>
      <c r="K167" s="12">
        <f>IF($J167&lt;=0,"",SUMPRODUCT((Mapa_Sala=$B167)*(Mapa_Data=$A167)*(Mapa_MinOcup&gt;0)*((Mapa_RelIni&lt;$P167)+((Mapa_RelIni=$P167)*(Mapa_Row&lt;=$S167)))))</f>
        <v/>
      </c>
      <c r="L167" s="23">
        <f>IF($J167&lt;=0,"",MOD(Turno_Ini+($Q167+Limpeza_Min)/1440,1))</f>
        <v/>
      </c>
      <c r="M167" s="12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24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","")&amp;IFERROR(IF(AND($J167&gt;0,$K167&gt;0,COUNTIF(Mapa_Chave,$B167&amp;"#"&amp;$A167&amp;"#"&amp;($K167+1))&gt;0,INDEX(Mapa_RelIni,MATCH($B167&amp;"#"&amp;$A167&amp;"#"&amp;($K167+1),Mapa_Chave,0))-$Q167&lt;Limpeza_Min),"Sem intervalo para limpeza | ",""),"")&amp;IF(AND($J167&gt;0,SUMPRODUCT((Mapa_Sala=$B167)*(Mapa_Data=$A167)*(Mapa_MinOcup&gt;0)*(Mapa_RelIni&lt;$Q167)*(Mapa_RelFim&gt;$P167))&gt;1),"Sobreposição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1">
        <f>IF(NOT(ISNUMBER($C167)),0,ROUND(MOD($C167-Turno_Ini,1)*1440,0))</f>
        <v/>
      </c>
      <c r="Q167" s="11">
        <f>IF($J167&lt;=0,0,$P167+$I167)</f>
        <v/>
      </c>
      <c r="R167" s="11">
        <f>IF($K167="","",$B167&amp;"#"&amp;$A167&amp;"#"&amp;$K167)</f>
        <v/>
      </c>
      <c r="S167" s="11">
        <f>ROW()</f>
        <v/>
      </c>
      <c r="T167" s="11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19" t="n"/>
      <c r="B168" s="20" t="n"/>
      <c r="C168" s="21" t="n"/>
      <c r="D168" s="21" t="n"/>
      <c r="E168" s="22" t="n"/>
      <c r="F168" s="22" t="n"/>
      <c r="G168" s="22" t="n"/>
      <c r="H168" s="20" t="n"/>
      <c r="I168" s="12">
        <f>IF(OR($B168="",NOT(ISNUMBER($C168)),NOT(ISNUMBER($D168))),"",ROUND(MOD($D168-$C168,1)*1440,0))</f>
        <v/>
      </c>
      <c r="J168" s="12">
        <f>IF(NOT(ISNUMBER($I168)),0,IF(OR($I168&lt;=0,$H168="Cancelada",$H168="Suspensa"),0,$I168+Limpeza_Min))</f>
        <v/>
      </c>
      <c r="K168" s="12">
        <f>IF($J168&lt;=0,"",SUMPRODUCT((Mapa_Sala=$B168)*(Mapa_Data=$A168)*(Mapa_MinOcup&gt;0)*((Mapa_RelIni&lt;$P168)+((Mapa_RelIni=$P168)*(Mapa_Row&lt;=$S168)))))</f>
        <v/>
      </c>
      <c r="L168" s="23">
        <f>IF($J168&lt;=0,"",MOD(Turno_Ini+($Q168+Limpeza_Min)/1440,1))</f>
        <v/>
      </c>
      <c r="M168" s="12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24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","")&amp;IFERROR(IF(AND($J168&gt;0,$K168&gt;0,COUNTIF(Mapa_Chave,$B168&amp;"#"&amp;$A168&amp;"#"&amp;($K168+1))&gt;0,INDEX(Mapa_RelIni,MATCH($B168&amp;"#"&amp;$A168&amp;"#"&amp;($K168+1),Mapa_Chave,0))-$Q168&lt;Limpeza_Min),"Sem intervalo para limpeza | ",""),"")&amp;IF(AND($J168&gt;0,SUMPRODUCT((Mapa_Sala=$B168)*(Mapa_Data=$A168)*(Mapa_MinOcup&gt;0)*(Mapa_RelIni&lt;$Q168)*(Mapa_RelFim&gt;$P168))&gt;1),"Sobreposição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1">
        <f>IF(NOT(ISNUMBER($C168)),0,ROUND(MOD($C168-Turno_Ini,1)*1440,0))</f>
        <v/>
      </c>
      <c r="Q168" s="11">
        <f>IF($J168&lt;=0,0,$P168+$I168)</f>
        <v/>
      </c>
      <c r="R168" s="11">
        <f>IF($K168="","",$B168&amp;"#"&amp;$A168&amp;"#"&amp;$K168)</f>
        <v/>
      </c>
      <c r="S168" s="11">
        <f>ROW()</f>
        <v/>
      </c>
      <c r="T168" s="11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19" t="n"/>
      <c r="B169" s="20" t="n"/>
      <c r="C169" s="21" t="n"/>
      <c r="D169" s="21" t="n"/>
      <c r="E169" s="22" t="n"/>
      <c r="F169" s="22" t="n"/>
      <c r="G169" s="22" t="n"/>
      <c r="H169" s="20" t="n"/>
      <c r="I169" s="12">
        <f>IF(OR($B169="",NOT(ISNUMBER($C169)),NOT(ISNUMBER($D169))),"",ROUND(MOD($D169-$C169,1)*1440,0))</f>
        <v/>
      </c>
      <c r="J169" s="12">
        <f>IF(NOT(ISNUMBER($I169)),0,IF(OR($I169&lt;=0,$H169="Cancelada",$H169="Suspensa"),0,$I169+Limpeza_Min))</f>
        <v/>
      </c>
      <c r="K169" s="12">
        <f>IF($J169&lt;=0,"",SUMPRODUCT((Mapa_Sala=$B169)*(Mapa_Data=$A169)*(Mapa_MinOcup&gt;0)*((Mapa_RelIni&lt;$P169)+((Mapa_RelIni=$P169)*(Mapa_Row&lt;=$S169)))))</f>
        <v/>
      </c>
      <c r="L169" s="23">
        <f>IF($J169&lt;=0,"",MOD(Turno_Ini+($Q169+Limpeza_Min)/1440,1))</f>
        <v/>
      </c>
      <c r="M169" s="12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24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","")&amp;IFERROR(IF(AND($J169&gt;0,$K169&gt;0,COUNTIF(Mapa_Chave,$B169&amp;"#"&amp;$A169&amp;"#"&amp;($K169+1))&gt;0,INDEX(Mapa_RelIni,MATCH($B169&amp;"#"&amp;$A169&amp;"#"&amp;($K169+1),Mapa_Chave,0))-$Q169&lt;Limpeza_Min),"Sem intervalo para limpeza | ",""),"")&amp;IF(AND($J169&gt;0,SUMPRODUCT((Mapa_Sala=$B169)*(Mapa_Data=$A169)*(Mapa_MinOcup&gt;0)*(Mapa_RelIni&lt;$Q169)*(Mapa_RelFim&gt;$P169))&gt;1),"Sobreposição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1">
        <f>IF(NOT(ISNUMBER($C169)),0,ROUND(MOD($C169-Turno_Ini,1)*1440,0))</f>
        <v/>
      </c>
      <c r="Q169" s="11">
        <f>IF($J169&lt;=0,0,$P169+$I169)</f>
        <v/>
      </c>
      <c r="R169" s="11">
        <f>IF($K169="","",$B169&amp;"#"&amp;$A169&amp;"#"&amp;$K169)</f>
        <v/>
      </c>
      <c r="S169" s="11">
        <f>ROW()</f>
        <v/>
      </c>
      <c r="T169" s="11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19" t="n"/>
      <c r="B170" s="20" t="n"/>
      <c r="C170" s="21" t="n"/>
      <c r="D170" s="21" t="n"/>
      <c r="E170" s="22" t="n"/>
      <c r="F170" s="22" t="n"/>
      <c r="G170" s="22" t="n"/>
      <c r="H170" s="20" t="n"/>
      <c r="I170" s="12">
        <f>IF(OR($B170="",NOT(ISNUMBER($C170)),NOT(ISNUMBER($D170))),"",ROUND(MOD($D170-$C170,1)*1440,0))</f>
        <v/>
      </c>
      <c r="J170" s="12">
        <f>IF(NOT(ISNUMBER($I170)),0,IF(OR($I170&lt;=0,$H170="Cancelada",$H170="Suspensa"),0,$I170+Limpeza_Min))</f>
        <v/>
      </c>
      <c r="K170" s="12">
        <f>IF($J170&lt;=0,"",SUMPRODUCT((Mapa_Sala=$B170)*(Mapa_Data=$A170)*(Mapa_MinOcup&gt;0)*((Mapa_RelIni&lt;$P170)+((Mapa_RelIni=$P170)*(Mapa_Row&lt;=$S170)))))</f>
        <v/>
      </c>
      <c r="L170" s="23">
        <f>IF($J170&lt;=0,"",MOD(Turno_Ini+($Q170+Limpeza_Min)/1440,1))</f>
        <v/>
      </c>
      <c r="M170" s="12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24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","")&amp;IFERROR(IF(AND($J170&gt;0,$K170&gt;0,COUNTIF(Mapa_Chave,$B170&amp;"#"&amp;$A170&amp;"#"&amp;($K170+1))&gt;0,INDEX(Mapa_RelIni,MATCH($B170&amp;"#"&amp;$A170&amp;"#"&amp;($K170+1),Mapa_Chave,0))-$Q170&lt;Limpeza_Min),"Sem intervalo para limpeza | ",""),"")&amp;IF(AND($J170&gt;0,SUMPRODUCT((Mapa_Sala=$B170)*(Mapa_Data=$A170)*(Mapa_MinOcup&gt;0)*(Mapa_RelIni&lt;$Q170)*(Mapa_RelFim&gt;$P170))&gt;1),"Sobreposição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1">
        <f>IF(NOT(ISNUMBER($C170)),0,ROUND(MOD($C170-Turno_Ini,1)*1440,0))</f>
        <v/>
      </c>
      <c r="Q170" s="11">
        <f>IF($J170&lt;=0,0,$P170+$I170)</f>
        <v/>
      </c>
      <c r="R170" s="11">
        <f>IF($K170="","",$B170&amp;"#"&amp;$A170&amp;"#"&amp;$K170)</f>
        <v/>
      </c>
      <c r="S170" s="11">
        <f>ROW()</f>
        <v/>
      </c>
      <c r="T170" s="11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19" t="n"/>
      <c r="B171" s="20" t="n"/>
      <c r="C171" s="21" t="n"/>
      <c r="D171" s="21" t="n"/>
      <c r="E171" s="22" t="n"/>
      <c r="F171" s="22" t="n"/>
      <c r="G171" s="22" t="n"/>
      <c r="H171" s="20" t="n"/>
      <c r="I171" s="12">
        <f>IF(OR($B171="",NOT(ISNUMBER($C171)),NOT(ISNUMBER($D171))),"",ROUND(MOD($D171-$C171,1)*1440,0))</f>
        <v/>
      </c>
      <c r="J171" s="12">
        <f>IF(NOT(ISNUMBER($I171)),0,IF(OR($I171&lt;=0,$H171="Cancelada",$H171="Suspensa"),0,$I171+Limpeza_Min))</f>
        <v/>
      </c>
      <c r="K171" s="12">
        <f>IF($J171&lt;=0,"",SUMPRODUCT((Mapa_Sala=$B171)*(Mapa_Data=$A171)*(Mapa_MinOcup&gt;0)*((Mapa_RelIni&lt;$P171)+((Mapa_RelIni=$P171)*(Mapa_Row&lt;=$S171)))))</f>
        <v/>
      </c>
      <c r="L171" s="23">
        <f>IF($J171&lt;=0,"",MOD(Turno_Ini+($Q171+Limpeza_Min)/1440,1))</f>
        <v/>
      </c>
      <c r="M171" s="12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24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","")&amp;IFERROR(IF(AND($J171&gt;0,$K171&gt;0,COUNTIF(Mapa_Chave,$B171&amp;"#"&amp;$A171&amp;"#"&amp;($K171+1))&gt;0,INDEX(Mapa_RelIni,MATCH($B171&amp;"#"&amp;$A171&amp;"#"&amp;($K171+1),Mapa_Chave,0))-$Q171&lt;Limpeza_Min),"Sem intervalo para limpeza | ",""),"")&amp;IF(AND($J171&gt;0,SUMPRODUCT((Mapa_Sala=$B171)*(Mapa_Data=$A171)*(Mapa_MinOcup&gt;0)*(Mapa_RelIni&lt;$Q171)*(Mapa_RelFim&gt;$P171))&gt;1),"Sobreposição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1">
        <f>IF(NOT(ISNUMBER($C171)),0,ROUND(MOD($C171-Turno_Ini,1)*1440,0))</f>
        <v/>
      </c>
      <c r="Q171" s="11">
        <f>IF($J171&lt;=0,0,$P171+$I171)</f>
        <v/>
      </c>
      <c r="R171" s="11">
        <f>IF($K171="","",$B171&amp;"#"&amp;$A171&amp;"#"&amp;$K171)</f>
        <v/>
      </c>
      <c r="S171" s="11">
        <f>ROW()</f>
        <v/>
      </c>
      <c r="T171" s="11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19" t="n"/>
      <c r="B172" s="20" t="n"/>
      <c r="C172" s="21" t="n"/>
      <c r="D172" s="21" t="n"/>
      <c r="E172" s="22" t="n"/>
      <c r="F172" s="22" t="n"/>
      <c r="G172" s="22" t="n"/>
      <c r="H172" s="20" t="n"/>
      <c r="I172" s="12">
        <f>IF(OR($B172="",NOT(ISNUMBER($C172)),NOT(ISNUMBER($D172))),"",ROUND(MOD($D172-$C172,1)*1440,0))</f>
        <v/>
      </c>
      <c r="J172" s="12">
        <f>IF(NOT(ISNUMBER($I172)),0,IF(OR($I172&lt;=0,$H172="Cancelada",$H172="Suspensa"),0,$I172+Limpeza_Min))</f>
        <v/>
      </c>
      <c r="K172" s="12">
        <f>IF($J172&lt;=0,"",SUMPRODUCT((Mapa_Sala=$B172)*(Mapa_Data=$A172)*(Mapa_MinOcup&gt;0)*((Mapa_RelIni&lt;$P172)+((Mapa_RelIni=$P172)*(Mapa_Row&lt;=$S172)))))</f>
        <v/>
      </c>
      <c r="L172" s="23">
        <f>IF($J172&lt;=0,"",MOD(Turno_Ini+($Q172+Limpeza_Min)/1440,1))</f>
        <v/>
      </c>
      <c r="M172" s="12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24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","")&amp;IFERROR(IF(AND($J172&gt;0,$K172&gt;0,COUNTIF(Mapa_Chave,$B172&amp;"#"&amp;$A172&amp;"#"&amp;($K172+1))&gt;0,INDEX(Mapa_RelIni,MATCH($B172&amp;"#"&amp;$A172&amp;"#"&amp;($K172+1),Mapa_Chave,0))-$Q172&lt;Limpeza_Min),"Sem intervalo para limpeza | ",""),"")&amp;IF(AND($J172&gt;0,SUMPRODUCT((Mapa_Sala=$B172)*(Mapa_Data=$A172)*(Mapa_MinOcup&gt;0)*(Mapa_RelIni&lt;$Q172)*(Mapa_RelFim&gt;$P172))&gt;1),"Sobreposição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1">
        <f>IF(NOT(ISNUMBER($C172)),0,ROUND(MOD($C172-Turno_Ini,1)*1440,0))</f>
        <v/>
      </c>
      <c r="Q172" s="11">
        <f>IF($J172&lt;=0,0,$P172+$I172)</f>
        <v/>
      </c>
      <c r="R172" s="11">
        <f>IF($K172="","",$B172&amp;"#"&amp;$A172&amp;"#"&amp;$K172)</f>
        <v/>
      </c>
      <c r="S172" s="11">
        <f>ROW()</f>
        <v/>
      </c>
      <c r="T172" s="11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19" t="n"/>
      <c r="B173" s="20" t="n"/>
      <c r="C173" s="21" t="n"/>
      <c r="D173" s="21" t="n"/>
      <c r="E173" s="22" t="n"/>
      <c r="F173" s="22" t="n"/>
      <c r="G173" s="22" t="n"/>
      <c r="H173" s="20" t="n"/>
      <c r="I173" s="12">
        <f>IF(OR($B173="",NOT(ISNUMBER($C173)),NOT(ISNUMBER($D173))),"",ROUND(MOD($D173-$C173,1)*1440,0))</f>
        <v/>
      </c>
      <c r="J173" s="12">
        <f>IF(NOT(ISNUMBER($I173)),0,IF(OR($I173&lt;=0,$H173="Cancelada",$H173="Suspensa"),0,$I173+Limpeza_Min))</f>
        <v/>
      </c>
      <c r="K173" s="12">
        <f>IF($J173&lt;=0,"",SUMPRODUCT((Mapa_Sala=$B173)*(Mapa_Data=$A173)*(Mapa_MinOcup&gt;0)*((Mapa_RelIni&lt;$P173)+((Mapa_RelIni=$P173)*(Mapa_Row&lt;=$S173)))))</f>
        <v/>
      </c>
      <c r="L173" s="23">
        <f>IF($J173&lt;=0,"",MOD(Turno_Ini+($Q173+Limpeza_Min)/1440,1))</f>
        <v/>
      </c>
      <c r="M173" s="12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24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","")&amp;IFERROR(IF(AND($J173&gt;0,$K173&gt;0,COUNTIF(Mapa_Chave,$B173&amp;"#"&amp;$A173&amp;"#"&amp;($K173+1))&gt;0,INDEX(Mapa_RelIni,MATCH($B173&amp;"#"&amp;$A173&amp;"#"&amp;($K173+1),Mapa_Chave,0))-$Q173&lt;Limpeza_Min),"Sem intervalo para limpeza | ",""),"")&amp;IF(AND($J173&gt;0,SUMPRODUCT((Mapa_Sala=$B173)*(Mapa_Data=$A173)*(Mapa_MinOcup&gt;0)*(Mapa_RelIni&lt;$Q173)*(Mapa_RelFim&gt;$P173))&gt;1),"Sobreposição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1">
        <f>IF(NOT(ISNUMBER($C173)),0,ROUND(MOD($C173-Turno_Ini,1)*1440,0))</f>
        <v/>
      </c>
      <c r="Q173" s="11">
        <f>IF($J173&lt;=0,0,$P173+$I173)</f>
        <v/>
      </c>
      <c r="R173" s="11">
        <f>IF($K173="","",$B173&amp;"#"&amp;$A173&amp;"#"&amp;$K173)</f>
        <v/>
      </c>
      <c r="S173" s="11">
        <f>ROW()</f>
        <v/>
      </c>
      <c r="T173" s="11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19" t="n"/>
      <c r="B174" s="20" t="n"/>
      <c r="C174" s="21" t="n"/>
      <c r="D174" s="21" t="n"/>
      <c r="E174" s="22" t="n"/>
      <c r="F174" s="22" t="n"/>
      <c r="G174" s="22" t="n"/>
      <c r="H174" s="20" t="n"/>
      <c r="I174" s="12">
        <f>IF(OR($B174="",NOT(ISNUMBER($C174)),NOT(ISNUMBER($D174))),"",ROUND(MOD($D174-$C174,1)*1440,0))</f>
        <v/>
      </c>
      <c r="J174" s="12">
        <f>IF(NOT(ISNUMBER($I174)),0,IF(OR($I174&lt;=0,$H174="Cancelada",$H174="Suspensa"),0,$I174+Limpeza_Min))</f>
        <v/>
      </c>
      <c r="K174" s="12">
        <f>IF($J174&lt;=0,"",SUMPRODUCT((Mapa_Sala=$B174)*(Mapa_Data=$A174)*(Mapa_MinOcup&gt;0)*((Mapa_RelIni&lt;$P174)+((Mapa_RelIni=$P174)*(Mapa_Row&lt;=$S174)))))</f>
        <v/>
      </c>
      <c r="L174" s="23">
        <f>IF($J174&lt;=0,"",MOD(Turno_Ini+($Q174+Limpeza_Min)/1440,1))</f>
        <v/>
      </c>
      <c r="M174" s="12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24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","")&amp;IFERROR(IF(AND($J174&gt;0,$K174&gt;0,COUNTIF(Mapa_Chave,$B174&amp;"#"&amp;$A174&amp;"#"&amp;($K174+1))&gt;0,INDEX(Mapa_RelIni,MATCH($B174&amp;"#"&amp;$A174&amp;"#"&amp;($K174+1),Mapa_Chave,0))-$Q174&lt;Limpeza_Min),"Sem intervalo para limpeza | ",""),"")&amp;IF(AND($J174&gt;0,SUMPRODUCT((Mapa_Sala=$B174)*(Mapa_Data=$A174)*(Mapa_MinOcup&gt;0)*(Mapa_RelIni&lt;$Q174)*(Mapa_RelFim&gt;$P174))&gt;1),"Sobreposição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1">
        <f>IF(NOT(ISNUMBER($C174)),0,ROUND(MOD($C174-Turno_Ini,1)*1440,0))</f>
        <v/>
      </c>
      <c r="Q174" s="11">
        <f>IF($J174&lt;=0,0,$P174+$I174)</f>
        <v/>
      </c>
      <c r="R174" s="11">
        <f>IF($K174="","",$B174&amp;"#"&amp;$A174&amp;"#"&amp;$K174)</f>
        <v/>
      </c>
      <c r="S174" s="11">
        <f>ROW()</f>
        <v/>
      </c>
      <c r="T174" s="11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19" t="n"/>
      <c r="B175" s="20" t="n"/>
      <c r="C175" s="21" t="n"/>
      <c r="D175" s="21" t="n"/>
      <c r="E175" s="22" t="n"/>
      <c r="F175" s="22" t="n"/>
      <c r="G175" s="22" t="n"/>
      <c r="H175" s="20" t="n"/>
      <c r="I175" s="12">
        <f>IF(OR($B175="",NOT(ISNUMBER($C175)),NOT(ISNUMBER($D175))),"",ROUND(MOD($D175-$C175,1)*1440,0))</f>
        <v/>
      </c>
      <c r="J175" s="12">
        <f>IF(NOT(ISNUMBER($I175)),0,IF(OR($I175&lt;=0,$H175="Cancelada",$H175="Suspensa"),0,$I175+Limpeza_Min))</f>
        <v/>
      </c>
      <c r="K175" s="12">
        <f>IF($J175&lt;=0,"",SUMPRODUCT((Mapa_Sala=$B175)*(Mapa_Data=$A175)*(Mapa_MinOcup&gt;0)*((Mapa_RelIni&lt;$P175)+((Mapa_RelIni=$P175)*(Mapa_Row&lt;=$S175)))))</f>
        <v/>
      </c>
      <c r="L175" s="23">
        <f>IF($J175&lt;=0,"",MOD(Turno_Ini+($Q175+Limpeza_Min)/1440,1))</f>
        <v/>
      </c>
      <c r="M175" s="12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24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","")&amp;IFERROR(IF(AND($J175&gt;0,$K175&gt;0,COUNTIF(Mapa_Chave,$B175&amp;"#"&amp;$A175&amp;"#"&amp;($K175+1))&gt;0,INDEX(Mapa_RelIni,MATCH($B175&amp;"#"&amp;$A175&amp;"#"&amp;($K175+1),Mapa_Chave,0))-$Q175&lt;Limpeza_Min),"Sem intervalo para limpeza | ",""),"")&amp;IF(AND($J175&gt;0,SUMPRODUCT((Mapa_Sala=$B175)*(Mapa_Data=$A175)*(Mapa_MinOcup&gt;0)*(Mapa_RelIni&lt;$Q175)*(Mapa_RelFim&gt;$P175))&gt;1),"Sobreposição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1">
        <f>IF(NOT(ISNUMBER($C175)),0,ROUND(MOD($C175-Turno_Ini,1)*1440,0))</f>
        <v/>
      </c>
      <c r="Q175" s="11">
        <f>IF($J175&lt;=0,0,$P175+$I175)</f>
        <v/>
      </c>
      <c r="R175" s="11">
        <f>IF($K175="","",$B175&amp;"#"&amp;$A175&amp;"#"&amp;$K175)</f>
        <v/>
      </c>
      <c r="S175" s="11">
        <f>ROW()</f>
        <v/>
      </c>
      <c r="T175" s="11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19" t="n"/>
      <c r="B176" s="20" t="n"/>
      <c r="C176" s="21" t="n"/>
      <c r="D176" s="21" t="n"/>
      <c r="E176" s="22" t="n"/>
      <c r="F176" s="22" t="n"/>
      <c r="G176" s="22" t="n"/>
      <c r="H176" s="20" t="n"/>
      <c r="I176" s="12">
        <f>IF(OR($B176="",NOT(ISNUMBER($C176)),NOT(ISNUMBER($D176))),"",ROUND(MOD($D176-$C176,1)*1440,0))</f>
        <v/>
      </c>
      <c r="J176" s="12">
        <f>IF(NOT(ISNUMBER($I176)),0,IF(OR($I176&lt;=0,$H176="Cancelada",$H176="Suspensa"),0,$I176+Limpeza_Min))</f>
        <v/>
      </c>
      <c r="K176" s="12">
        <f>IF($J176&lt;=0,"",SUMPRODUCT((Mapa_Sala=$B176)*(Mapa_Data=$A176)*(Mapa_MinOcup&gt;0)*((Mapa_RelIni&lt;$P176)+((Mapa_RelIni=$P176)*(Mapa_Row&lt;=$S176)))))</f>
        <v/>
      </c>
      <c r="L176" s="23">
        <f>IF($J176&lt;=0,"",MOD(Turno_Ini+($Q176+Limpeza_Min)/1440,1))</f>
        <v/>
      </c>
      <c r="M176" s="12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24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","")&amp;IFERROR(IF(AND($J176&gt;0,$K176&gt;0,COUNTIF(Mapa_Chave,$B176&amp;"#"&amp;$A176&amp;"#"&amp;($K176+1))&gt;0,INDEX(Mapa_RelIni,MATCH($B176&amp;"#"&amp;$A176&amp;"#"&amp;($K176+1),Mapa_Chave,0))-$Q176&lt;Limpeza_Min),"Sem intervalo para limpeza | ",""),"")&amp;IF(AND($J176&gt;0,SUMPRODUCT((Mapa_Sala=$B176)*(Mapa_Data=$A176)*(Mapa_MinOcup&gt;0)*(Mapa_RelIni&lt;$Q176)*(Mapa_RelFim&gt;$P176))&gt;1),"Sobreposição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1">
        <f>IF(NOT(ISNUMBER($C176)),0,ROUND(MOD($C176-Turno_Ini,1)*1440,0))</f>
        <v/>
      </c>
      <c r="Q176" s="11">
        <f>IF($J176&lt;=0,0,$P176+$I176)</f>
        <v/>
      </c>
      <c r="R176" s="11">
        <f>IF($K176="","",$B176&amp;"#"&amp;$A176&amp;"#"&amp;$K176)</f>
        <v/>
      </c>
      <c r="S176" s="11">
        <f>ROW()</f>
        <v/>
      </c>
      <c r="T176" s="11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19" t="n"/>
      <c r="B177" s="20" t="n"/>
      <c r="C177" s="21" t="n"/>
      <c r="D177" s="21" t="n"/>
      <c r="E177" s="22" t="n"/>
      <c r="F177" s="22" t="n"/>
      <c r="G177" s="22" t="n"/>
      <c r="H177" s="20" t="n"/>
      <c r="I177" s="12">
        <f>IF(OR($B177="",NOT(ISNUMBER($C177)),NOT(ISNUMBER($D177))),"",ROUND(MOD($D177-$C177,1)*1440,0))</f>
        <v/>
      </c>
      <c r="J177" s="12">
        <f>IF(NOT(ISNUMBER($I177)),0,IF(OR($I177&lt;=0,$H177="Cancelada",$H177="Suspensa"),0,$I177+Limpeza_Min))</f>
        <v/>
      </c>
      <c r="K177" s="12">
        <f>IF($J177&lt;=0,"",SUMPRODUCT((Mapa_Sala=$B177)*(Mapa_Data=$A177)*(Mapa_MinOcup&gt;0)*((Mapa_RelIni&lt;$P177)+((Mapa_RelIni=$P177)*(Mapa_Row&lt;=$S177)))))</f>
        <v/>
      </c>
      <c r="L177" s="23">
        <f>IF($J177&lt;=0,"",MOD(Turno_Ini+($Q177+Limpeza_Min)/1440,1))</f>
        <v/>
      </c>
      <c r="M177" s="12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24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","")&amp;IFERROR(IF(AND($J177&gt;0,$K177&gt;0,COUNTIF(Mapa_Chave,$B177&amp;"#"&amp;$A177&amp;"#"&amp;($K177+1))&gt;0,INDEX(Mapa_RelIni,MATCH($B177&amp;"#"&amp;$A177&amp;"#"&amp;($K177+1),Mapa_Chave,0))-$Q177&lt;Limpeza_Min),"Sem intervalo para limpeza | ",""),"")&amp;IF(AND($J177&gt;0,SUMPRODUCT((Mapa_Sala=$B177)*(Mapa_Data=$A177)*(Mapa_MinOcup&gt;0)*(Mapa_RelIni&lt;$Q177)*(Mapa_RelFim&gt;$P177))&gt;1),"Sobreposição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1">
        <f>IF(NOT(ISNUMBER($C177)),0,ROUND(MOD($C177-Turno_Ini,1)*1440,0))</f>
        <v/>
      </c>
      <c r="Q177" s="11">
        <f>IF($J177&lt;=0,0,$P177+$I177)</f>
        <v/>
      </c>
      <c r="R177" s="11">
        <f>IF($K177="","",$B177&amp;"#"&amp;$A177&amp;"#"&amp;$K177)</f>
        <v/>
      </c>
      <c r="S177" s="11">
        <f>ROW()</f>
        <v/>
      </c>
      <c r="T177" s="11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19" t="n"/>
      <c r="B178" s="20" t="n"/>
      <c r="C178" s="21" t="n"/>
      <c r="D178" s="21" t="n"/>
      <c r="E178" s="22" t="n"/>
      <c r="F178" s="22" t="n"/>
      <c r="G178" s="22" t="n"/>
      <c r="H178" s="20" t="n"/>
      <c r="I178" s="12">
        <f>IF(OR($B178="",NOT(ISNUMBER($C178)),NOT(ISNUMBER($D178))),"",ROUND(MOD($D178-$C178,1)*1440,0))</f>
        <v/>
      </c>
      <c r="J178" s="12">
        <f>IF(NOT(ISNUMBER($I178)),0,IF(OR($I178&lt;=0,$H178="Cancelada",$H178="Suspensa"),0,$I178+Limpeza_Min))</f>
        <v/>
      </c>
      <c r="K178" s="12">
        <f>IF($J178&lt;=0,"",SUMPRODUCT((Mapa_Sala=$B178)*(Mapa_Data=$A178)*(Mapa_MinOcup&gt;0)*((Mapa_RelIni&lt;$P178)+((Mapa_RelIni=$P178)*(Mapa_Row&lt;=$S178)))))</f>
        <v/>
      </c>
      <c r="L178" s="23">
        <f>IF($J178&lt;=0,"",MOD(Turno_Ini+($Q178+Limpeza_Min)/1440,1))</f>
        <v/>
      </c>
      <c r="M178" s="12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24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","")&amp;IFERROR(IF(AND($J178&gt;0,$K178&gt;0,COUNTIF(Mapa_Chave,$B178&amp;"#"&amp;$A178&amp;"#"&amp;($K178+1))&gt;0,INDEX(Mapa_RelIni,MATCH($B178&amp;"#"&amp;$A178&amp;"#"&amp;($K178+1),Mapa_Chave,0))-$Q178&lt;Limpeza_Min),"Sem intervalo para limpeza | ",""),"")&amp;IF(AND($J178&gt;0,SUMPRODUCT((Mapa_Sala=$B178)*(Mapa_Data=$A178)*(Mapa_MinOcup&gt;0)*(Mapa_RelIni&lt;$Q178)*(Mapa_RelFim&gt;$P178))&gt;1),"Sobreposição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1">
        <f>IF(NOT(ISNUMBER($C178)),0,ROUND(MOD($C178-Turno_Ini,1)*1440,0))</f>
        <v/>
      </c>
      <c r="Q178" s="11">
        <f>IF($J178&lt;=0,0,$P178+$I178)</f>
        <v/>
      </c>
      <c r="R178" s="11">
        <f>IF($K178="","",$B178&amp;"#"&amp;$A178&amp;"#"&amp;$K178)</f>
        <v/>
      </c>
      <c r="S178" s="11">
        <f>ROW()</f>
        <v/>
      </c>
      <c r="T178" s="11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19" t="n"/>
      <c r="B179" s="20" t="n"/>
      <c r="C179" s="21" t="n"/>
      <c r="D179" s="21" t="n"/>
      <c r="E179" s="22" t="n"/>
      <c r="F179" s="22" t="n"/>
      <c r="G179" s="22" t="n"/>
      <c r="H179" s="20" t="n"/>
      <c r="I179" s="12">
        <f>IF(OR($B179="",NOT(ISNUMBER($C179)),NOT(ISNUMBER($D179))),"",ROUND(MOD($D179-$C179,1)*1440,0))</f>
        <v/>
      </c>
      <c r="J179" s="12">
        <f>IF(NOT(ISNUMBER($I179)),0,IF(OR($I179&lt;=0,$H179="Cancelada",$H179="Suspensa"),0,$I179+Limpeza_Min))</f>
        <v/>
      </c>
      <c r="K179" s="12">
        <f>IF($J179&lt;=0,"",SUMPRODUCT((Mapa_Sala=$B179)*(Mapa_Data=$A179)*(Mapa_MinOcup&gt;0)*((Mapa_RelIni&lt;$P179)+((Mapa_RelIni=$P179)*(Mapa_Row&lt;=$S179)))))</f>
        <v/>
      </c>
      <c r="L179" s="23">
        <f>IF($J179&lt;=0,"",MOD(Turno_Ini+($Q179+Limpeza_Min)/1440,1))</f>
        <v/>
      </c>
      <c r="M179" s="12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24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","")&amp;IFERROR(IF(AND($J179&gt;0,$K179&gt;0,COUNTIF(Mapa_Chave,$B179&amp;"#"&amp;$A179&amp;"#"&amp;($K179+1))&gt;0,INDEX(Mapa_RelIni,MATCH($B179&amp;"#"&amp;$A179&amp;"#"&amp;($K179+1),Mapa_Chave,0))-$Q179&lt;Limpeza_Min),"Sem intervalo para limpeza | ",""),"")&amp;IF(AND($J179&gt;0,SUMPRODUCT((Mapa_Sala=$B179)*(Mapa_Data=$A179)*(Mapa_MinOcup&gt;0)*(Mapa_RelIni&lt;$Q179)*(Mapa_RelFim&gt;$P179))&gt;1),"Sobreposição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1">
        <f>IF(NOT(ISNUMBER($C179)),0,ROUND(MOD($C179-Turno_Ini,1)*1440,0))</f>
        <v/>
      </c>
      <c r="Q179" s="11">
        <f>IF($J179&lt;=0,0,$P179+$I179)</f>
        <v/>
      </c>
      <c r="R179" s="11">
        <f>IF($K179="","",$B179&amp;"#"&amp;$A179&amp;"#"&amp;$K179)</f>
        <v/>
      </c>
      <c r="S179" s="11">
        <f>ROW()</f>
        <v/>
      </c>
      <c r="T179" s="11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19" t="n"/>
      <c r="B180" s="20" t="n"/>
      <c r="C180" s="21" t="n"/>
      <c r="D180" s="21" t="n"/>
      <c r="E180" s="22" t="n"/>
      <c r="F180" s="22" t="n"/>
      <c r="G180" s="22" t="n"/>
      <c r="H180" s="20" t="n"/>
      <c r="I180" s="12">
        <f>IF(OR($B180="",NOT(ISNUMBER($C180)),NOT(ISNUMBER($D180))),"",ROUND(MOD($D180-$C180,1)*1440,0))</f>
        <v/>
      </c>
      <c r="J180" s="12">
        <f>IF(NOT(ISNUMBER($I180)),0,IF(OR($I180&lt;=0,$H180="Cancelada",$H180="Suspensa"),0,$I180+Limpeza_Min))</f>
        <v/>
      </c>
      <c r="K180" s="12">
        <f>IF($J180&lt;=0,"",SUMPRODUCT((Mapa_Sala=$B180)*(Mapa_Data=$A180)*(Mapa_MinOcup&gt;0)*((Mapa_RelIni&lt;$P180)+((Mapa_RelIni=$P180)*(Mapa_Row&lt;=$S180)))))</f>
        <v/>
      </c>
      <c r="L180" s="23">
        <f>IF($J180&lt;=0,"",MOD(Turno_Ini+($Q180+Limpeza_Min)/1440,1))</f>
        <v/>
      </c>
      <c r="M180" s="12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24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","")&amp;IFERROR(IF(AND($J180&gt;0,$K180&gt;0,COUNTIF(Mapa_Chave,$B180&amp;"#"&amp;$A180&amp;"#"&amp;($K180+1))&gt;0,INDEX(Mapa_RelIni,MATCH($B180&amp;"#"&amp;$A180&amp;"#"&amp;($K180+1),Mapa_Chave,0))-$Q180&lt;Limpeza_Min),"Sem intervalo para limpeza | ",""),"")&amp;IF(AND($J180&gt;0,SUMPRODUCT((Mapa_Sala=$B180)*(Mapa_Data=$A180)*(Mapa_MinOcup&gt;0)*(Mapa_RelIni&lt;$Q180)*(Mapa_RelFim&gt;$P180))&gt;1),"Sobreposição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1">
        <f>IF(NOT(ISNUMBER($C180)),0,ROUND(MOD($C180-Turno_Ini,1)*1440,0))</f>
        <v/>
      </c>
      <c r="Q180" s="11">
        <f>IF($J180&lt;=0,0,$P180+$I180)</f>
        <v/>
      </c>
      <c r="R180" s="11">
        <f>IF($K180="","",$B180&amp;"#"&amp;$A180&amp;"#"&amp;$K180)</f>
        <v/>
      </c>
      <c r="S180" s="11">
        <f>ROW()</f>
        <v/>
      </c>
      <c r="T180" s="11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19" t="n"/>
      <c r="B181" s="20" t="n"/>
      <c r="C181" s="21" t="n"/>
      <c r="D181" s="21" t="n"/>
      <c r="E181" s="22" t="n"/>
      <c r="F181" s="22" t="n"/>
      <c r="G181" s="22" t="n"/>
      <c r="H181" s="20" t="n"/>
      <c r="I181" s="12">
        <f>IF(OR($B181="",NOT(ISNUMBER($C181)),NOT(ISNUMBER($D181))),"",ROUND(MOD($D181-$C181,1)*1440,0))</f>
        <v/>
      </c>
      <c r="J181" s="12">
        <f>IF(NOT(ISNUMBER($I181)),0,IF(OR($I181&lt;=0,$H181="Cancelada",$H181="Suspensa"),0,$I181+Limpeza_Min))</f>
        <v/>
      </c>
      <c r="K181" s="12">
        <f>IF($J181&lt;=0,"",SUMPRODUCT((Mapa_Sala=$B181)*(Mapa_Data=$A181)*(Mapa_MinOcup&gt;0)*((Mapa_RelIni&lt;$P181)+((Mapa_RelIni=$P181)*(Mapa_Row&lt;=$S181)))))</f>
        <v/>
      </c>
      <c r="L181" s="23">
        <f>IF($J181&lt;=0,"",MOD(Turno_Ini+($Q181+Limpeza_Min)/1440,1))</f>
        <v/>
      </c>
      <c r="M181" s="12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24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","")&amp;IFERROR(IF(AND($J181&gt;0,$K181&gt;0,COUNTIF(Mapa_Chave,$B181&amp;"#"&amp;$A181&amp;"#"&amp;($K181+1))&gt;0,INDEX(Mapa_RelIni,MATCH($B181&amp;"#"&amp;$A181&amp;"#"&amp;($K181+1),Mapa_Chave,0))-$Q181&lt;Limpeza_Min),"Sem intervalo para limpeza | ",""),"")&amp;IF(AND($J181&gt;0,SUMPRODUCT((Mapa_Sala=$B181)*(Mapa_Data=$A181)*(Mapa_MinOcup&gt;0)*(Mapa_RelIni&lt;$Q181)*(Mapa_RelFim&gt;$P181))&gt;1),"Sobreposição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1">
        <f>IF(NOT(ISNUMBER($C181)),0,ROUND(MOD($C181-Turno_Ini,1)*1440,0))</f>
        <v/>
      </c>
      <c r="Q181" s="11">
        <f>IF($J181&lt;=0,0,$P181+$I181)</f>
        <v/>
      </c>
      <c r="R181" s="11">
        <f>IF($K181="","",$B181&amp;"#"&amp;$A181&amp;"#"&amp;$K181)</f>
        <v/>
      </c>
      <c r="S181" s="11">
        <f>ROW()</f>
        <v/>
      </c>
      <c r="T181" s="11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19" t="n"/>
      <c r="B182" s="20" t="n"/>
      <c r="C182" s="21" t="n"/>
      <c r="D182" s="21" t="n"/>
      <c r="E182" s="22" t="n"/>
      <c r="F182" s="22" t="n"/>
      <c r="G182" s="22" t="n"/>
      <c r="H182" s="20" t="n"/>
      <c r="I182" s="12">
        <f>IF(OR($B182="",NOT(ISNUMBER($C182)),NOT(ISNUMBER($D182))),"",ROUND(MOD($D182-$C182,1)*1440,0))</f>
        <v/>
      </c>
      <c r="J182" s="12">
        <f>IF(NOT(ISNUMBER($I182)),0,IF(OR($I182&lt;=0,$H182="Cancelada",$H182="Suspensa"),0,$I182+Limpeza_Min))</f>
        <v/>
      </c>
      <c r="K182" s="12">
        <f>IF($J182&lt;=0,"",SUMPRODUCT((Mapa_Sala=$B182)*(Mapa_Data=$A182)*(Mapa_MinOcup&gt;0)*((Mapa_RelIni&lt;$P182)+((Mapa_RelIni=$P182)*(Mapa_Row&lt;=$S182)))))</f>
        <v/>
      </c>
      <c r="L182" s="23">
        <f>IF($J182&lt;=0,"",MOD(Turno_Ini+($Q182+Limpeza_Min)/1440,1))</f>
        <v/>
      </c>
      <c r="M182" s="12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24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","")&amp;IFERROR(IF(AND($J182&gt;0,$K182&gt;0,COUNTIF(Mapa_Chave,$B182&amp;"#"&amp;$A182&amp;"#"&amp;($K182+1))&gt;0,INDEX(Mapa_RelIni,MATCH($B182&amp;"#"&amp;$A182&amp;"#"&amp;($K182+1),Mapa_Chave,0))-$Q182&lt;Limpeza_Min),"Sem intervalo para limpeza | ",""),"")&amp;IF(AND($J182&gt;0,SUMPRODUCT((Mapa_Sala=$B182)*(Mapa_Data=$A182)*(Mapa_MinOcup&gt;0)*(Mapa_RelIni&lt;$Q182)*(Mapa_RelFim&gt;$P182))&gt;1),"Sobreposição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1">
        <f>IF(NOT(ISNUMBER($C182)),0,ROUND(MOD($C182-Turno_Ini,1)*1440,0))</f>
        <v/>
      </c>
      <c r="Q182" s="11">
        <f>IF($J182&lt;=0,0,$P182+$I182)</f>
        <v/>
      </c>
      <c r="R182" s="11">
        <f>IF($K182="","",$B182&amp;"#"&amp;$A182&amp;"#"&amp;$K182)</f>
        <v/>
      </c>
      <c r="S182" s="11">
        <f>ROW()</f>
        <v/>
      </c>
      <c r="T182" s="11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19" t="n"/>
      <c r="B183" s="20" t="n"/>
      <c r="C183" s="21" t="n"/>
      <c r="D183" s="21" t="n"/>
      <c r="E183" s="22" t="n"/>
      <c r="F183" s="22" t="n"/>
      <c r="G183" s="22" t="n"/>
      <c r="H183" s="20" t="n"/>
      <c r="I183" s="12">
        <f>IF(OR($B183="",NOT(ISNUMBER($C183)),NOT(ISNUMBER($D183))),"",ROUND(MOD($D183-$C183,1)*1440,0))</f>
        <v/>
      </c>
      <c r="J183" s="12">
        <f>IF(NOT(ISNUMBER($I183)),0,IF(OR($I183&lt;=0,$H183="Cancelada",$H183="Suspensa"),0,$I183+Limpeza_Min))</f>
        <v/>
      </c>
      <c r="K183" s="12">
        <f>IF($J183&lt;=0,"",SUMPRODUCT((Mapa_Sala=$B183)*(Mapa_Data=$A183)*(Mapa_MinOcup&gt;0)*((Mapa_RelIni&lt;$P183)+((Mapa_RelIni=$P183)*(Mapa_Row&lt;=$S183)))))</f>
        <v/>
      </c>
      <c r="L183" s="23">
        <f>IF($J183&lt;=0,"",MOD(Turno_Ini+($Q183+Limpeza_Min)/1440,1))</f>
        <v/>
      </c>
      <c r="M183" s="12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24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","")&amp;IFERROR(IF(AND($J183&gt;0,$K183&gt;0,COUNTIF(Mapa_Chave,$B183&amp;"#"&amp;$A183&amp;"#"&amp;($K183+1))&gt;0,INDEX(Mapa_RelIni,MATCH($B183&amp;"#"&amp;$A183&amp;"#"&amp;($K183+1),Mapa_Chave,0))-$Q183&lt;Limpeza_Min),"Sem intervalo para limpeza | ",""),"")&amp;IF(AND($J183&gt;0,SUMPRODUCT((Mapa_Sala=$B183)*(Mapa_Data=$A183)*(Mapa_MinOcup&gt;0)*(Mapa_RelIni&lt;$Q183)*(Mapa_RelFim&gt;$P183))&gt;1),"Sobreposição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1">
        <f>IF(NOT(ISNUMBER($C183)),0,ROUND(MOD($C183-Turno_Ini,1)*1440,0))</f>
        <v/>
      </c>
      <c r="Q183" s="11">
        <f>IF($J183&lt;=0,0,$P183+$I183)</f>
        <v/>
      </c>
      <c r="R183" s="11">
        <f>IF($K183="","",$B183&amp;"#"&amp;$A183&amp;"#"&amp;$K183)</f>
        <v/>
      </c>
      <c r="S183" s="11">
        <f>ROW()</f>
        <v/>
      </c>
      <c r="T183" s="11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19" t="n"/>
      <c r="B184" s="20" t="n"/>
      <c r="C184" s="21" t="n"/>
      <c r="D184" s="21" t="n"/>
      <c r="E184" s="22" t="n"/>
      <c r="F184" s="22" t="n"/>
      <c r="G184" s="22" t="n"/>
      <c r="H184" s="20" t="n"/>
      <c r="I184" s="12">
        <f>IF(OR($B184="",NOT(ISNUMBER($C184)),NOT(ISNUMBER($D184))),"",ROUND(MOD($D184-$C184,1)*1440,0))</f>
        <v/>
      </c>
      <c r="J184" s="12">
        <f>IF(NOT(ISNUMBER($I184)),0,IF(OR($I184&lt;=0,$H184="Cancelada",$H184="Suspensa"),0,$I184+Limpeza_Min))</f>
        <v/>
      </c>
      <c r="K184" s="12">
        <f>IF($J184&lt;=0,"",SUMPRODUCT((Mapa_Sala=$B184)*(Mapa_Data=$A184)*(Mapa_MinOcup&gt;0)*((Mapa_RelIni&lt;$P184)+((Mapa_RelIni=$P184)*(Mapa_Row&lt;=$S184)))))</f>
        <v/>
      </c>
      <c r="L184" s="23">
        <f>IF($J184&lt;=0,"",MOD(Turno_Ini+($Q184+Limpeza_Min)/1440,1))</f>
        <v/>
      </c>
      <c r="M184" s="12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24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","")&amp;IFERROR(IF(AND($J184&gt;0,$K184&gt;0,COUNTIF(Mapa_Chave,$B184&amp;"#"&amp;$A184&amp;"#"&amp;($K184+1))&gt;0,INDEX(Mapa_RelIni,MATCH($B184&amp;"#"&amp;$A184&amp;"#"&amp;($K184+1),Mapa_Chave,0))-$Q184&lt;Limpeza_Min),"Sem intervalo para limpeza | ",""),"")&amp;IF(AND($J184&gt;0,SUMPRODUCT((Mapa_Sala=$B184)*(Mapa_Data=$A184)*(Mapa_MinOcup&gt;0)*(Mapa_RelIni&lt;$Q184)*(Mapa_RelFim&gt;$P184))&gt;1),"Sobreposição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1">
        <f>IF(NOT(ISNUMBER($C184)),0,ROUND(MOD($C184-Turno_Ini,1)*1440,0))</f>
        <v/>
      </c>
      <c r="Q184" s="11">
        <f>IF($J184&lt;=0,0,$P184+$I184)</f>
        <v/>
      </c>
      <c r="R184" s="11">
        <f>IF($K184="","",$B184&amp;"#"&amp;$A184&amp;"#"&amp;$K184)</f>
        <v/>
      </c>
      <c r="S184" s="11">
        <f>ROW()</f>
        <v/>
      </c>
      <c r="T184" s="11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19" t="n"/>
      <c r="B185" s="20" t="n"/>
      <c r="C185" s="21" t="n"/>
      <c r="D185" s="21" t="n"/>
      <c r="E185" s="22" t="n"/>
      <c r="F185" s="22" t="n"/>
      <c r="G185" s="22" t="n"/>
      <c r="H185" s="20" t="n"/>
      <c r="I185" s="12">
        <f>IF(OR($B185="",NOT(ISNUMBER($C185)),NOT(ISNUMBER($D185))),"",ROUND(MOD($D185-$C185,1)*1440,0))</f>
        <v/>
      </c>
      <c r="J185" s="12">
        <f>IF(NOT(ISNUMBER($I185)),0,IF(OR($I185&lt;=0,$H185="Cancelada",$H185="Suspensa"),0,$I185+Limpeza_Min))</f>
        <v/>
      </c>
      <c r="K185" s="12">
        <f>IF($J185&lt;=0,"",SUMPRODUCT((Mapa_Sala=$B185)*(Mapa_Data=$A185)*(Mapa_MinOcup&gt;0)*((Mapa_RelIni&lt;$P185)+((Mapa_RelIni=$P185)*(Mapa_Row&lt;=$S185)))))</f>
        <v/>
      </c>
      <c r="L185" s="23">
        <f>IF($J185&lt;=0,"",MOD(Turno_Ini+($Q185+Limpeza_Min)/1440,1))</f>
        <v/>
      </c>
      <c r="M185" s="12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24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","")&amp;IFERROR(IF(AND($J185&gt;0,$K185&gt;0,COUNTIF(Mapa_Chave,$B185&amp;"#"&amp;$A185&amp;"#"&amp;($K185+1))&gt;0,INDEX(Mapa_RelIni,MATCH($B185&amp;"#"&amp;$A185&amp;"#"&amp;($K185+1),Mapa_Chave,0))-$Q185&lt;Limpeza_Min),"Sem intervalo para limpeza | ",""),"")&amp;IF(AND($J185&gt;0,SUMPRODUCT((Mapa_Sala=$B185)*(Mapa_Data=$A185)*(Mapa_MinOcup&gt;0)*(Mapa_RelIni&lt;$Q185)*(Mapa_RelFim&gt;$P185))&gt;1),"Sobreposição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1">
        <f>IF(NOT(ISNUMBER($C185)),0,ROUND(MOD($C185-Turno_Ini,1)*1440,0))</f>
        <v/>
      </c>
      <c r="Q185" s="11">
        <f>IF($J185&lt;=0,0,$P185+$I185)</f>
        <v/>
      </c>
      <c r="R185" s="11">
        <f>IF($K185="","",$B185&amp;"#"&amp;$A185&amp;"#"&amp;$K185)</f>
        <v/>
      </c>
      <c r="S185" s="11">
        <f>ROW()</f>
        <v/>
      </c>
      <c r="T185" s="11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19" t="n"/>
      <c r="B186" s="20" t="n"/>
      <c r="C186" s="21" t="n"/>
      <c r="D186" s="21" t="n"/>
      <c r="E186" s="22" t="n"/>
      <c r="F186" s="22" t="n"/>
      <c r="G186" s="22" t="n"/>
      <c r="H186" s="20" t="n"/>
      <c r="I186" s="12">
        <f>IF(OR($B186="",NOT(ISNUMBER($C186)),NOT(ISNUMBER($D186))),"",ROUND(MOD($D186-$C186,1)*1440,0))</f>
        <v/>
      </c>
      <c r="J186" s="12">
        <f>IF(NOT(ISNUMBER($I186)),0,IF(OR($I186&lt;=0,$H186="Cancelada",$H186="Suspensa"),0,$I186+Limpeza_Min))</f>
        <v/>
      </c>
      <c r="K186" s="12">
        <f>IF($J186&lt;=0,"",SUMPRODUCT((Mapa_Sala=$B186)*(Mapa_Data=$A186)*(Mapa_MinOcup&gt;0)*((Mapa_RelIni&lt;$P186)+((Mapa_RelIni=$P186)*(Mapa_Row&lt;=$S186)))))</f>
        <v/>
      </c>
      <c r="L186" s="23">
        <f>IF($J186&lt;=0,"",MOD(Turno_Ini+($Q186+Limpeza_Min)/1440,1))</f>
        <v/>
      </c>
      <c r="M186" s="12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24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","")&amp;IFERROR(IF(AND($J186&gt;0,$K186&gt;0,COUNTIF(Mapa_Chave,$B186&amp;"#"&amp;$A186&amp;"#"&amp;($K186+1))&gt;0,INDEX(Mapa_RelIni,MATCH($B186&amp;"#"&amp;$A186&amp;"#"&amp;($K186+1),Mapa_Chave,0))-$Q186&lt;Limpeza_Min),"Sem intervalo para limpeza | ",""),"")&amp;IF(AND($J186&gt;0,SUMPRODUCT((Mapa_Sala=$B186)*(Mapa_Data=$A186)*(Mapa_MinOcup&gt;0)*(Mapa_RelIni&lt;$Q186)*(Mapa_RelFim&gt;$P186))&gt;1),"Sobreposição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1">
        <f>IF(NOT(ISNUMBER($C186)),0,ROUND(MOD($C186-Turno_Ini,1)*1440,0))</f>
        <v/>
      </c>
      <c r="Q186" s="11">
        <f>IF($J186&lt;=0,0,$P186+$I186)</f>
        <v/>
      </c>
      <c r="R186" s="11">
        <f>IF($K186="","",$B186&amp;"#"&amp;$A186&amp;"#"&amp;$K186)</f>
        <v/>
      </c>
      <c r="S186" s="11">
        <f>ROW()</f>
        <v/>
      </c>
      <c r="T186" s="11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19" t="n"/>
      <c r="B187" s="20" t="n"/>
      <c r="C187" s="21" t="n"/>
      <c r="D187" s="21" t="n"/>
      <c r="E187" s="22" t="n"/>
      <c r="F187" s="22" t="n"/>
      <c r="G187" s="22" t="n"/>
      <c r="H187" s="20" t="n"/>
      <c r="I187" s="12">
        <f>IF(OR($B187="",NOT(ISNUMBER($C187)),NOT(ISNUMBER($D187))),"",ROUND(MOD($D187-$C187,1)*1440,0))</f>
        <v/>
      </c>
      <c r="J187" s="12">
        <f>IF(NOT(ISNUMBER($I187)),0,IF(OR($I187&lt;=0,$H187="Cancelada",$H187="Suspensa"),0,$I187+Limpeza_Min))</f>
        <v/>
      </c>
      <c r="K187" s="12">
        <f>IF($J187&lt;=0,"",SUMPRODUCT((Mapa_Sala=$B187)*(Mapa_Data=$A187)*(Mapa_MinOcup&gt;0)*((Mapa_RelIni&lt;$P187)+((Mapa_RelIni=$P187)*(Mapa_Row&lt;=$S187)))))</f>
        <v/>
      </c>
      <c r="L187" s="23">
        <f>IF($J187&lt;=0,"",MOD(Turno_Ini+($Q187+Limpeza_Min)/1440,1))</f>
        <v/>
      </c>
      <c r="M187" s="12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24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","")&amp;IFERROR(IF(AND($J187&gt;0,$K187&gt;0,COUNTIF(Mapa_Chave,$B187&amp;"#"&amp;$A187&amp;"#"&amp;($K187+1))&gt;0,INDEX(Mapa_RelIni,MATCH($B187&amp;"#"&amp;$A187&amp;"#"&amp;($K187+1),Mapa_Chave,0))-$Q187&lt;Limpeza_Min),"Sem intervalo para limpeza | ",""),"")&amp;IF(AND($J187&gt;0,SUMPRODUCT((Mapa_Sala=$B187)*(Mapa_Data=$A187)*(Mapa_MinOcup&gt;0)*(Mapa_RelIni&lt;$Q187)*(Mapa_RelFim&gt;$P187))&gt;1),"Sobreposição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1">
        <f>IF(NOT(ISNUMBER($C187)),0,ROUND(MOD($C187-Turno_Ini,1)*1440,0))</f>
        <v/>
      </c>
      <c r="Q187" s="11">
        <f>IF($J187&lt;=0,0,$P187+$I187)</f>
        <v/>
      </c>
      <c r="R187" s="11">
        <f>IF($K187="","",$B187&amp;"#"&amp;$A187&amp;"#"&amp;$K187)</f>
        <v/>
      </c>
      <c r="S187" s="11">
        <f>ROW()</f>
        <v/>
      </c>
      <c r="T187" s="11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19" t="n"/>
      <c r="B188" s="20" t="n"/>
      <c r="C188" s="21" t="n"/>
      <c r="D188" s="21" t="n"/>
      <c r="E188" s="22" t="n"/>
      <c r="F188" s="22" t="n"/>
      <c r="G188" s="22" t="n"/>
      <c r="H188" s="20" t="n"/>
      <c r="I188" s="12">
        <f>IF(OR($B188="",NOT(ISNUMBER($C188)),NOT(ISNUMBER($D188))),"",ROUND(MOD($D188-$C188,1)*1440,0))</f>
        <v/>
      </c>
      <c r="J188" s="12">
        <f>IF(NOT(ISNUMBER($I188)),0,IF(OR($I188&lt;=0,$H188="Cancelada",$H188="Suspensa"),0,$I188+Limpeza_Min))</f>
        <v/>
      </c>
      <c r="K188" s="12">
        <f>IF($J188&lt;=0,"",SUMPRODUCT((Mapa_Sala=$B188)*(Mapa_Data=$A188)*(Mapa_MinOcup&gt;0)*((Mapa_RelIni&lt;$P188)+((Mapa_RelIni=$P188)*(Mapa_Row&lt;=$S188)))))</f>
        <v/>
      </c>
      <c r="L188" s="23">
        <f>IF($J188&lt;=0,"",MOD(Turno_Ini+($Q188+Limpeza_Min)/1440,1))</f>
        <v/>
      </c>
      <c r="M188" s="12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24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","")&amp;IFERROR(IF(AND($J188&gt;0,$K188&gt;0,COUNTIF(Mapa_Chave,$B188&amp;"#"&amp;$A188&amp;"#"&amp;($K188+1))&gt;0,INDEX(Mapa_RelIni,MATCH($B188&amp;"#"&amp;$A188&amp;"#"&amp;($K188+1),Mapa_Chave,0))-$Q188&lt;Limpeza_Min),"Sem intervalo para limpeza | ",""),"")&amp;IF(AND($J188&gt;0,SUMPRODUCT((Mapa_Sala=$B188)*(Mapa_Data=$A188)*(Mapa_MinOcup&gt;0)*(Mapa_RelIni&lt;$Q188)*(Mapa_RelFim&gt;$P188))&gt;1),"Sobreposição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1">
        <f>IF(NOT(ISNUMBER($C188)),0,ROUND(MOD($C188-Turno_Ini,1)*1440,0))</f>
        <v/>
      </c>
      <c r="Q188" s="11">
        <f>IF($J188&lt;=0,0,$P188+$I188)</f>
        <v/>
      </c>
      <c r="R188" s="11">
        <f>IF($K188="","",$B188&amp;"#"&amp;$A188&amp;"#"&amp;$K188)</f>
        <v/>
      </c>
      <c r="S188" s="11">
        <f>ROW()</f>
        <v/>
      </c>
      <c r="T188" s="11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19" t="n"/>
      <c r="B189" s="20" t="n"/>
      <c r="C189" s="21" t="n"/>
      <c r="D189" s="21" t="n"/>
      <c r="E189" s="22" t="n"/>
      <c r="F189" s="22" t="n"/>
      <c r="G189" s="22" t="n"/>
      <c r="H189" s="20" t="n"/>
      <c r="I189" s="12">
        <f>IF(OR($B189="",NOT(ISNUMBER($C189)),NOT(ISNUMBER($D189))),"",ROUND(MOD($D189-$C189,1)*1440,0))</f>
        <v/>
      </c>
      <c r="J189" s="12">
        <f>IF(NOT(ISNUMBER($I189)),0,IF(OR($I189&lt;=0,$H189="Cancelada",$H189="Suspensa"),0,$I189+Limpeza_Min))</f>
        <v/>
      </c>
      <c r="K189" s="12">
        <f>IF($J189&lt;=0,"",SUMPRODUCT((Mapa_Sala=$B189)*(Mapa_Data=$A189)*(Mapa_MinOcup&gt;0)*((Mapa_RelIni&lt;$P189)+((Mapa_RelIni=$P189)*(Mapa_Row&lt;=$S189)))))</f>
        <v/>
      </c>
      <c r="L189" s="23">
        <f>IF($J189&lt;=0,"",MOD(Turno_Ini+($Q189+Limpeza_Min)/1440,1))</f>
        <v/>
      </c>
      <c r="M189" s="12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24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","")&amp;IFERROR(IF(AND($J189&gt;0,$K189&gt;0,COUNTIF(Mapa_Chave,$B189&amp;"#"&amp;$A189&amp;"#"&amp;($K189+1))&gt;0,INDEX(Mapa_RelIni,MATCH($B189&amp;"#"&amp;$A189&amp;"#"&amp;($K189+1),Mapa_Chave,0))-$Q189&lt;Limpeza_Min),"Sem intervalo para limpeza | ",""),"")&amp;IF(AND($J189&gt;0,SUMPRODUCT((Mapa_Sala=$B189)*(Mapa_Data=$A189)*(Mapa_MinOcup&gt;0)*(Mapa_RelIni&lt;$Q189)*(Mapa_RelFim&gt;$P189))&gt;1),"Sobreposição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1">
        <f>IF(NOT(ISNUMBER($C189)),0,ROUND(MOD($C189-Turno_Ini,1)*1440,0))</f>
        <v/>
      </c>
      <c r="Q189" s="11">
        <f>IF($J189&lt;=0,0,$P189+$I189)</f>
        <v/>
      </c>
      <c r="R189" s="11">
        <f>IF($K189="","",$B189&amp;"#"&amp;$A189&amp;"#"&amp;$K189)</f>
        <v/>
      </c>
      <c r="S189" s="11">
        <f>ROW()</f>
        <v/>
      </c>
      <c r="T189" s="11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19" t="n"/>
      <c r="B190" s="20" t="n"/>
      <c r="C190" s="21" t="n"/>
      <c r="D190" s="21" t="n"/>
      <c r="E190" s="22" t="n"/>
      <c r="F190" s="22" t="n"/>
      <c r="G190" s="22" t="n"/>
      <c r="H190" s="20" t="n"/>
      <c r="I190" s="12">
        <f>IF(OR($B190="",NOT(ISNUMBER($C190)),NOT(ISNUMBER($D190))),"",ROUND(MOD($D190-$C190,1)*1440,0))</f>
        <v/>
      </c>
      <c r="J190" s="12">
        <f>IF(NOT(ISNUMBER($I190)),0,IF(OR($I190&lt;=0,$H190="Cancelada",$H190="Suspensa"),0,$I190+Limpeza_Min))</f>
        <v/>
      </c>
      <c r="K190" s="12">
        <f>IF($J190&lt;=0,"",SUMPRODUCT((Mapa_Sala=$B190)*(Mapa_Data=$A190)*(Mapa_MinOcup&gt;0)*((Mapa_RelIni&lt;$P190)+((Mapa_RelIni=$P190)*(Mapa_Row&lt;=$S190)))))</f>
        <v/>
      </c>
      <c r="L190" s="23">
        <f>IF($J190&lt;=0,"",MOD(Turno_Ini+($Q190+Limpeza_Min)/1440,1))</f>
        <v/>
      </c>
      <c r="M190" s="12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24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","")&amp;IFERROR(IF(AND($J190&gt;0,$K190&gt;0,COUNTIF(Mapa_Chave,$B190&amp;"#"&amp;$A190&amp;"#"&amp;($K190+1))&gt;0,INDEX(Mapa_RelIni,MATCH($B190&amp;"#"&amp;$A190&amp;"#"&amp;($K190+1),Mapa_Chave,0))-$Q190&lt;Limpeza_Min),"Sem intervalo para limpeza | ",""),"")&amp;IF(AND($J190&gt;0,SUMPRODUCT((Mapa_Sala=$B190)*(Mapa_Data=$A190)*(Mapa_MinOcup&gt;0)*(Mapa_RelIni&lt;$Q190)*(Mapa_RelFim&gt;$P190))&gt;1),"Sobreposição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1">
        <f>IF(NOT(ISNUMBER($C190)),0,ROUND(MOD($C190-Turno_Ini,1)*1440,0))</f>
        <v/>
      </c>
      <c r="Q190" s="11">
        <f>IF($J190&lt;=0,0,$P190+$I190)</f>
        <v/>
      </c>
      <c r="R190" s="11">
        <f>IF($K190="","",$B190&amp;"#"&amp;$A190&amp;"#"&amp;$K190)</f>
        <v/>
      </c>
      <c r="S190" s="11">
        <f>ROW()</f>
        <v/>
      </c>
      <c r="T190" s="11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19" t="n"/>
      <c r="B191" s="20" t="n"/>
      <c r="C191" s="21" t="n"/>
      <c r="D191" s="21" t="n"/>
      <c r="E191" s="22" t="n"/>
      <c r="F191" s="22" t="n"/>
      <c r="G191" s="22" t="n"/>
      <c r="H191" s="20" t="n"/>
      <c r="I191" s="12">
        <f>IF(OR($B191="",NOT(ISNUMBER($C191)),NOT(ISNUMBER($D191))),"",ROUND(MOD($D191-$C191,1)*1440,0))</f>
        <v/>
      </c>
      <c r="J191" s="12">
        <f>IF(NOT(ISNUMBER($I191)),0,IF(OR($I191&lt;=0,$H191="Cancelada",$H191="Suspensa"),0,$I191+Limpeza_Min))</f>
        <v/>
      </c>
      <c r="K191" s="12">
        <f>IF($J191&lt;=0,"",SUMPRODUCT((Mapa_Sala=$B191)*(Mapa_Data=$A191)*(Mapa_MinOcup&gt;0)*((Mapa_RelIni&lt;$P191)+((Mapa_RelIni=$P191)*(Mapa_Row&lt;=$S191)))))</f>
        <v/>
      </c>
      <c r="L191" s="23">
        <f>IF($J191&lt;=0,"",MOD(Turno_Ini+($Q191+Limpeza_Min)/1440,1))</f>
        <v/>
      </c>
      <c r="M191" s="12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24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","")&amp;IFERROR(IF(AND($J191&gt;0,$K191&gt;0,COUNTIF(Mapa_Chave,$B191&amp;"#"&amp;$A191&amp;"#"&amp;($K191+1))&gt;0,INDEX(Mapa_RelIni,MATCH($B191&amp;"#"&amp;$A191&amp;"#"&amp;($K191+1),Mapa_Chave,0))-$Q191&lt;Limpeza_Min),"Sem intervalo para limpeza | ",""),"")&amp;IF(AND($J191&gt;0,SUMPRODUCT((Mapa_Sala=$B191)*(Mapa_Data=$A191)*(Mapa_MinOcup&gt;0)*(Mapa_RelIni&lt;$Q191)*(Mapa_RelFim&gt;$P191))&gt;1),"Sobreposição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1">
        <f>IF(NOT(ISNUMBER($C191)),0,ROUND(MOD($C191-Turno_Ini,1)*1440,0))</f>
        <v/>
      </c>
      <c r="Q191" s="11">
        <f>IF($J191&lt;=0,0,$P191+$I191)</f>
        <v/>
      </c>
      <c r="R191" s="11">
        <f>IF($K191="","",$B191&amp;"#"&amp;$A191&amp;"#"&amp;$K191)</f>
        <v/>
      </c>
      <c r="S191" s="11">
        <f>ROW()</f>
        <v/>
      </c>
      <c r="T191" s="11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19" t="n"/>
      <c r="B192" s="20" t="n"/>
      <c r="C192" s="21" t="n"/>
      <c r="D192" s="21" t="n"/>
      <c r="E192" s="22" t="n"/>
      <c r="F192" s="22" t="n"/>
      <c r="G192" s="22" t="n"/>
      <c r="H192" s="20" t="n"/>
      <c r="I192" s="12">
        <f>IF(OR($B192="",NOT(ISNUMBER($C192)),NOT(ISNUMBER($D192))),"",ROUND(MOD($D192-$C192,1)*1440,0))</f>
        <v/>
      </c>
      <c r="J192" s="12">
        <f>IF(NOT(ISNUMBER($I192)),0,IF(OR($I192&lt;=0,$H192="Cancelada",$H192="Suspensa"),0,$I192+Limpeza_Min))</f>
        <v/>
      </c>
      <c r="K192" s="12">
        <f>IF($J192&lt;=0,"",SUMPRODUCT((Mapa_Sala=$B192)*(Mapa_Data=$A192)*(Mapa_MinOcup&gt;0)*((Mapa_RelIni&lt;$P192)+((Mapa_RelIni=$P192)*(Mapa_Row&lt;=$S192)))))</f>
        <v/>
      </c>
      <c r="L192" s="23">
        <f>IF($J192&lt;=0,"",MOD(Turno_Ini+($Q192+Limpeza_Min)/1440,1))</f>
        <v/>
      </c>
      <c r="M192" s="12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24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","")&amp;IFERROR(IF(AND($J192&gt;0,$K192&gt;0,COUNTIF(Mapa_Chave,$B192&amp;"#"&amp;$A192&amp;"#"&amp;($K192+1))&gt;0,INDEX(Mapa_RelIni,MATCH($B192&amp;"#"&amp;$A192&amp;"#"&amp;($K192+1),Mapa_Chave,0))-$Q192&lt;Limpeza_Min),"Sem intervalo para limpeza | ",""),"")&amp;IF(AND($J192&gt;0,SUMPRODUCT((Mapa_Sala=$B192)*(Mapa_Data=$A192)*(Mapa_MinOcup&gt;0)*(Mapa_RelIni&lt;$Q192)*(Mapa_RelFim&gt;$P192))&gt;1),"Sobreposição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1">
        <f>IF(NOT(ISNUMBER($C192)),0,ROUND(MOD($C192-Turno_Ini,1)*1440,0))</f>
        <v/>
      </c>
      <c r="Q192" s="11">
        <f>IF($J192&lt;=0,0,$P192+$I192)</f>
        <v/>
      </c>
      <c r="R192" s="11">
        <f>IF($K192="","",$B192&amp;"#"&amp;$A192&amp;"#"&amp;$K192)</f>
        <v/>
      </c>
      <c r="S192" s="11">
        <f>ROW()</f>
        <v/>
      </c>
      <c r="T192" s="11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19" t="n"/>
      <c r="B193" s="20" t="n"/>
      <c r="C193" s="21" t="n"/>
      <c r="D193" s="21" t="n"/>
      <c r="E193" s="22" t="n"/>
      <c r="F193" s="22" t="n"/>
      <c r="G193" s="22" t="n"/>
      <c r="H193" s="20" t="n"/>
      <c r="I193" s="12">
        <f>IF(OR($B193="",NOT(ISNUMBER($C193)),NOT(ISNUMBER($D193))),"",ROUND(MOD($D193-$C193,1)*1440,0))</f>
        <v/>
      </c>
      <c r="J193" s="12">
        <f>IF(NOT(ISNUMBER($I193)),0,IF(OR($I193&lt;=0,$H193="Cancelada",$H193="Suspensa"),0,$I193+Limpeza_Min))</f>
        <v/>
      </c>
      <c r="K193" s="12">
        <f>IF($J193&lt;=0,"",SUMPRODUCT((Mapa_Sala=$B193)*(Mapa_Data=$A193)*(Mapa_MinOcup&gt;0)*((Mapa_RelIni&lt;$P193)+((Mapa_RelIni=$P193)*(Mapa_Row&lt;=$S193)))))</f>
        <v/>
      </c>
      <c r="L193" s="23">
        <f>IF($J193&lt;=0,"",MOD(Turno_Ini+($Q193+Limpeza_Min)/1440,1))</f>
        <v/>
      </c>
      <c r="M193" s="12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24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","")&amp;IFERROR(IF(AND($J193&gt;0,$K193&gt;0,COUNTIF(Mapa_Chave,$B193&amp;"#"&amp;$A193&amp;"#"&amp;($K193+1))&gt;0,INDEX(Mapa_RelIni,MATCH($B193&amp;"#"&amp;$A193&amp;"#"&amp;($K193+1),Mapa_Chave,0))-$Q193&lt;Limpeza_Min),"Sem intervalo para limpeza | ",""),"")&amp;IF(AND($J193&gt;0,SUMPRODUCT((Mapa_Sala=$B193)*(Mapa_Data=$A193)*(Mapa_MinOcup&gt;0)*(Mapa_RelIni&lt;$Q193)*(Mapa_RelFim&gt;$P193))&gt;1),"Sobreposição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1">
        <f>IF(NOT(ISNUMBER($C193)),0,ROUND(MOD($C193-Turno_Ini,1)*1440,0))</f>
        <v/>
      </c>
      <c r="Q193" s="11">
        <f>IF($J193&lt;=0,0,$P193+$I193)</f>
        <v/>
      </c>
      <c r="R193" s="11">
        <f>IF($K193="","",$B193&amp;"#"&amp;$A193&amp;"#"&amp;$K193)</f>
        <v/>
      </c>
      <c r="S193" s="11">
        <f>ROW()</f>
        <v/>
      </c>
      <c r="T193" s="11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19" t="n"/>
      <c r="B194" s="20" t="n"/>
      <c r="C194" s="21" t="n"/>
      <c r="D194" s="21" t="n"/>
      <c r="E194" s="22" t="n"/>
      <c r="F194" s="22" t="n"/>
      <c r="G194" s="22" t="n"/>
      <c r="H194" s="20" t="n"/>
      <c r="I194" s="12">
        <f>IF(OR($B194="",NOT(ISNUMBER($C194)),NOT(ISNUMBER($D194))),"",ROUND(MOD($D194-$C194,1)*1440,0))</f>
        <v/>
      </c>
      <c r="J194" s="12">
        <f>IF(NOT(ISNUMBER($I194)),0,IF(OR($I194&lt;=0,$H194="Cancelada",$H194="Suspensa"),0,$I194+Limpeza_Min))</f>
        <v/>
      </c>
      <c r="K194" s="12">
        <f>IF($J194&lt;=0,"",SUMPRODUCT((Mapa_Sala=$B194)*(Mapa_Data=$A194)*(Mapa_MinOcup&gt;0)*((Mapa_RelIni&lt;$P194)+((Mapa_RelIni=$P194)*(Mapa_Row&lt;=$S194)))))</f>
        <v/>
      </c>
      <c r="L194" s="23">
        <f>IF($J194&lt;=0,"",MOD(Turno_Ini+($Q194+Limpeza_Min)/1440,1))</f>
        <v/>
      </c>
      <c r="M194" s="12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24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","")&amp;IFERROR(IF(AND($J194&gt;0,$K194&gt;0,COUNTIF(Mapa_Chave,$B194&amp;"#"&amp;$A194&amp;"#"&amp;($K194+1))&gt;0,INDEX(Mapa_RelIni,MATCH($B194&amp;"#"&amp;$A194&amp;"#"&amp;($K194+1),Mapa_Chave,0))-$Q194&lt;Limpeza_Min),"Sem intervalo para limpeza | ",""),"")&amp;IF(AND($J194&gt;0,SUMPRODUCT((Mapa_Sala=$B194)*(Mapa_Data=$A194)*(Mapa_MinOcup&gt;0)*(Mapa_RelIni&lt;$Q194)*(Mapa_RelFim&gt;$P194))&gt;1),"Sobreposição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1">
        <f>IF(NOT(ISNUMBER($C194)),0,ROUND(MOD($C194-Turno_Ini,1)*1440,0))</f>
        <v/>
      </c>
      <c r="Q194" s="11">
        <f>IF($J194&lt;=0,0,$P194+$I194)</f>
        <v/>
      </c>
      <c r="R194" s="11">
        <f>IF($K194="","",$B194&amp;"#"&amp;$A194&amp;"#"&amp;$K194)</f>
        <v/>
      </c>
      <c r="S194" s="11">
        <f>ROW()</f>
        <v/>
      </c>
      <c r="T194" s="11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19" t="n"/>
      <c r="B195" s="20" t="n"/>
      <c r="C195" s="21" t="n"/>
      <c r="D195" s="21" t="n"/>
      <c r="E195" s="22" t="n"/>
      <c r="F195" s="22" t="n"/>
      <c r="G195" s="22" t="n"/>
      <c r="H195" s="20" t="n"/>
      <c r="I195" s="12">
        <f>IF(OR($B195="",NOT(ISNUMBER($C195)),NOT(ISNUMBER($D195))),"",ROUND(MOD($D195-$C195,1)*1440,0))</f>
        <v/>
      </c>
      <c r="J195" s="12">
        <f>IF(NOT(ISNUMBER($I195)),0,IF(OR($I195&lt;=0,$H195="Cancelada",$H195="Suspensa"),0,$I195+Limpeza_Min))</f>
        <v/>
      </c>
      <c r="K195" s="12">
        <f>IF($J195&lt;=0,"",SUMPRODUCT((Mapa_Sala=$B195)*(Mapa_Data=$A195)*(Mapa_MinOcup&gt;0)*((Mapa_RelIni&lt;$P195)+((Mapa_RelIni=$P195)*(Mapa_Row&lt;=$S195)))))</f>
        <v/>
      </c>
      <c r="L195" s="23">
        <f>IF($J195&lt;=0,"",MOD(Turno_Ini+($Q195+Limpeza_Min)/1440,1))</f>
        <v/>
      </c>
      <c r="M195" s="12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24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","")&amp;IFERROR(IF(AND($J195&gt;0,$K195&gt;0,COUNTIF(Mapa_Chave,$B195&amp;"#"&amp;$A195&amp;"#"&amp;($K195+1))&gt;0,INDEX(Mapa_RelIni,MATCH($B195&amp;"#"&amp;$A195&amp;"#"&amp;($K195+1),Mapa_Chave,0))-$Q195&lt;Limpeza_Min),"Sem intervalo para limpeza | ",""),"")&amp;IF(AND($J195&gt;0,SUMPRODUCT((Mapa_Sala=$B195)*(Mapa_Data=$A195)*(Mapa_MinOcup&gt;0)*(Mapa_RelIni&lt;$Q195)*(Mapa_RelFim&gt;$P195))&gt;1),"Sobreposição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1">
        <f>IF(NOT(ISNUMBER($C195)),0,ROUND(MOD($C195-Turno_Ini,1)*1440,0))</f>
        <v/>
      </c>
      <c r="Q195" s="11">
        <f>IF($J195&lt;=0,0,$P195+$I195)</f>
        <v/>
      </c>
      <c r="R195" s="11">
        <f>IF($K195="","",$B195&amp;"#"&amp;$A195&amp;"#"&amp;$K195)</f>
        <v/>
      </c>
      <c r="S195" s="11">
        <f>ROW()</f>
        <v/>
      </c>
      <c r="T195" s="11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19" t="n"/>
      <c r="B196" s="20" t="n"/>
      <c r="C196" s="21" t="n"/>
      <c r="D196" s="21" t="n"/>
      <c r="E196" s="22" t="n"/>
      <c r="F196" s="22" t="n"/>
      <c r="G196" s="22" t="n"/>
      <c r="H196" s="20" t="n"/>
      <c r="I196" s="12">
        <f>IF(OR($B196="",NOT(ISNUMBER($C196)),NOT(ISNUMBER($D196))),"",ROUND(MOD($D196-$C196,1)*1440,0))</f>
        <v/>
      </c>
      <c r="J196" s="12">
        <f>IF(NOT(ISNUMBER($I196)),0,IF(OR($I196&lt;=0,$H196="Cancelada",$H196="Suspensa"),0,$I196+Limpeza_Min))</f>
        <v/>
      </c>
      <c r="K196" s="12">
        <f>IF($J196&lt;=0,"",SUMPRODUCT((Mapa_Sala=$B196)*(Mapa_Data=$A196)*(Mapa_MinOcup&gt;0)*((Mapa_RelIni&lt;$P196)+((Mapa_RelIni=$P196)*(Mapa_Row&lt;=$S196)))))</f>
        <v/>
      </c>
      <c r="L196" s="23">
        <f>IF($J196&lt;=0,"",MOD(Turno_Ini+($Q196+Limpeza_Min)/1440,1))</f>
        <v/>
      </c>
      <c r="M196" s="12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24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","")&amp;IFERROR(IF(AND($J196&gt;0,$K196&gt;0,COUNTIF(Mapa_Chave,$B196&amp;"#"&amp;$A196&amp;"#"&amp;($K196+1))&gt;0,INDEX(Mapa_RelIni,MATCH($B196&amp;"#"&amp;$A196&amp;"#"&amp;($K196+1),Mapa_Chave,0))-$Q196&lt;Limpeza_Min),"Sem intervalo para limpeza | ",""),"")&amp;IF(AND($J196&gt;0,SUMPRODUCT((Mapa_Sala=$B196)*(Mapa_Data=$A196)*(Mapa_MinOcup&gt;0)*(Mapa_RelIni&lt;$Q196)*(Mapa_RelFim&gt;$P196))&gt;1),"Sobreposição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1">
        <f>IF(NOT(ISNUMBER($C196)),0,ROUND(MOD($C196-Turno_Ini,1)*1440,0))</f>
        <v/>
      </c>
      <c r="Q196" s="11">
        <f>IF($J196&lt;=0,0,$P196+$I196)</f>
        <v/>
      </c>
      <c r="R196" s="11">
        <f>IF($K196="","",$B196&amp;"#"&amp;$A196&amp;"#"&amp;$K196)</f>
        <v/>
      </c>
      <c r="S196" s="11">
        <f>ROW()</f>
        <v/>
      </c>
      <c r="T196" s="11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19" t="n"/>
      <c r="B197" s="20" t="n"/>
      <c r="C197" s="21" t="n"/>
      <c r="D197" s="21" t="n"/>
      <c r="E197" s="22" t="n"/>
      <c r="F197" s="22" t="n"/>
      <c r="G197" s="22" t="n"/>
      <c r="H197" s="20" t="n"/>
      <c r="I197" s="12">
        <f>IF(OR($B197="",NOT(ISNUMBER($C197)),NOT(ISNUMBER($D197))),"",ROUND(MOD($D197-$C197,1)*1440,0))</f>
        <v/>
      </c>
      <c r="J197" s="12">
        <f>IF(NOT(ISNUMBER($I197)),0,IF(OR($I197&lt;=0,$H197="Cancelada",$H197="Suspensa"),0,$I197+Limpeza_Min))</f>
        <v/>
      </c>
      <c r="K197" s="12">
        <f>IF($J197&lt;=0,"",SUMPRODUCT((Mapa_Sala=$B197)*(Mapa_Data=$A197)*(Mapa_MinOcup&gt;0)*((Mapa_RelIni&lt;$P197)+((Mapa_RelIni=$P197)*(Mapa_Row&lt;=$S197)))))</f>
        <v/>
      </c>
      <c r="L197" s="23">
        <f>IF($J197&lt;=0,"",MOD(Turno_Ini+($Q197+Limpeza_Min)/1440,1))</f>
        <v/>
      </c>
      <c r="M197" s="12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24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","")&amp;IFERROR(IF(AND($J197&gt;0,$K197&gt;0,COUNTIF(Mapa_Chave,$B197&amp;"#"&amp;$A197&amp;"#"&amp;($K197+1))&gt;0,INDEX(Mapa_RelIni,MATCH($B197&amp;"#"&amp;$A197&amp;"#"&amp;($K197+1),Mapa_Chave,0))-$Q197&lt;Limpeza_Min),"Sem intervalo para limpeza | ",""),"")&amp;IF(AND($J197&gt;0,SUMPRODUCT((Mapa_Sala=$B197)*(Mapa_Data=$A197)*(Mapa_MinOcup&gt;0)*(Mapa_RelIni&lt;$Q197)*(Mapa_RelFim&gt;$P197))&gt;1),"Sobreposição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1">
        <f>IF(NOT(ISNUMBER($C197)),0,ROUND(MOD($C197-Turno_Ini,1)*1440,0))</f>
        <v/>
      </c>
      <c r="Q197" s="11">
        <f>IF($J197&lt;=0,0,$P197+$I197)</f>
        <v/>
      </c>
      <c r="R197" s="11">
        <f>IF($K197="","",$B197&amp;"#"&amp;$A197&amp;"#"&amp;$K197)</f>
        <v/>
      </c>
      <c r="S197" s="11">
        <f>ROW()</f>
        <v/>
      </c>
      <c r="T197" s="11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19" t="n"/>
      <c r="B198" s="20" t="n"/>
      <c r="C198" s="21" t="n"/>
      <c r="D198" s="21" t="n"/>
      <c r="E198" s="22" t="n"/>
      <c r="F198" s="22" t="n"/>
      <c r="G198" s="22" t="n"/>
      <c r="H198" s="20" t="n"/>
      <c r="I198" s="12">
        <f>IF(OR($B198="",NOT(ISNUMBER($C198)),NOT(ISNUMBER($D198))),"",ROUND(MOD($D198-$C198,1)*1440,0))</f>
        <v/>
      </c>
      <c r="J198" s="12">
        <f>IF(NOT(ISNUMBER($I198)),0,IF(OR($I198&lt;=0,$H198="Cancelada",$H198="Suspensa"),0,$I198+Limpeza_Min))</f>
        <v/>
      </c>
      <c r="K198" s="12">
        <f>IF($J198&lt;=0,"",SUMPRODUCT((Mapa_Sala=$B198)*(Mapa_Data=$A198)*(Mapa_MinOcup&gt;0)*((Mapa_RelIni&lt;$P198)+((Mapa_RelIni=$P198)*(Mapa_Row&lt;=$S198)))))</f>
        <v/>
      </c>
      <c r="L198" s="23">
        <f>IF($J198&lt;=0,"",MOD(Turno_Ini+($Q198+Limpeza_Min)/1440,1))</f>
        <v/>
      </c>
      <c r="M198" s="12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24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","")&amp;IFERROR(IF(AND($J198&gt;0,$K198&gt;0,COUNTIF(Mapa_Chave,$B198&amp;"#"&amp;$A198&amp;"#"&amp;($K198+1))&gt;0,INDEX(Mapa_RelIni,MATCH($B198&amp;"#"&amp;$A198&amp;"#"&amp;($K198+1),Mapa_Chave,0))-$Q198&lt;Limpeza_Min),"Sem intervalo para limpeza | ",""),"")&amp;IF(AND($J198&gt;0,SUMPRODUCT((Mapa_Sala=$B198)*(Mapa_Data=$A198)*(Mapa_MinOcup&gt;0)*(Mapa_RelIni&lt;$Q198)*(Mapa_RelFim&gt;$P198))&gt;1),"Sobreposição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1">
        <f>IF(NOT(ISNUMBER($C198)),0,ROUND(MOD($C198-Turno_Ini,1)*1440,0))</f>
        <v/>
      </c>
      <c r="Q198" s="11">
        <f>IF($J198&lt;=0,0,$P198+$I198)</f>
        <v/>
      </c>
      <c r="R198" s="11">
        <f>IF($K198="","",$B198&amp;"#"&amp;$A198&amp;"#"&amp;$K198)</f>
        <v/>
      </c>
      <c r="S198" s="11">
        <f>ROW()</f>
        <v/>
      </c>
      <c r="T198" s="11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19" t="n"/>
      <c r="B199" s="20" t="n"/>
      <c r="C199" s="21" t="n"/>
      <c r="D199" s="21" t="n"/>
      <c r="E199" s="22" t="n"/>
      <c r="F199" s="22" t="n"/>
      <c r="G199" s="22" t="n"/>
      <c r="H199" s="20" t="n"/>
      <c r="I199" s="12">
        <f>IF(OR($B199="",NOT(ISNUMBER($C199)),NOT(ISNUMBER($D199))),"",ROUND(MOD($D199-$C199,1)*1440,0))</f>
        <v/>
      </c>
      <c r="J199" s="12">
        <f>IF(NOT(ISNUMBER($I199)),0,IF(OR($I199&lt;=0,$H199="Cancelada",$H199="Suspensa"),0,$I199+Limpeza_Min))</f>
        <v/>
      </c>
      <c r="K199" s="12">
        <f>IF($J199&lt;=0,"",SUMPRODUCT((Mapa_Sala=$B199)*(Mapa_Data=$A199)*(Mapa_MinOcup&gt;0)*((Mapa_RelIni&lt;$P199)+((Mapa_RelIni=$P199)*(Mapa_Row&lt;=$S199)))))</f>
        <v/>
      </c>
      <c r="L199" s="23">
        <f>IF($J199&lt;=0,"",MOD(Turno_Ini+($Q199+Limpeza_Min)/1440,1))</f>
        <v/>
      </c>
      <c r="M199" s="12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24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","")&amp;IFERROR(IF(AND($J199&gt;0,$K199&gt;0,COUNTIF(Mapa_Chave,$B199&amp;"#"&amp;$A199&amp;"#"&amp;($K199+1))&gt;0,INDEX(Mapa_RelIni,MATCH($B199&amp;"#"&amp;$A199&amp;"#"&amp;($K199+1),Mapa_Chave,0))-$Q199&lt;Limpeza_Min),"Sem intervalo para limpeza | ",""),"")&amp;IF(AND($J199&gt;0,SUMPRODUCT((Mapa_Sala=$B199)*(Mapa_Data=$A199)*(Mapa_MinOcup&gt;0)*(Mapa_RelIni&lt;$Q199)*(Mapa_RelFim&gt;$P199))&gt;1),"Sobreposição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1">
        <f>IF(NOT(ISNUMBER($C199)),0,ROUND(MOD($C199-Turno_Ini,1)*1440,0))</f>
        <v/>
      </c>
      <c r="Q199" s="11">
        <f>IF($J199&lt;=0,0,$P199+$I199)</f>
        <v/>
      </c>
      <c r="R199" s="11">
        <f>IF($K199="","",$B199&amp;"#"&amp;$A199&amp;"#"&amp;$K199)</f>
        <v/>
      </c>
      <c r="S199" s="11">
        <f>ROW()</f>
        <v/>
      </c>
      <c r="T199" s="11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19" t="n"/>
      <c r="B200" s="20" t="n"/>
      <c r="C200" s="21" t="n"/>
      <c r="D200" s="21" t="n"/>
      <c r="E200" s="22" t="n"/>
      <c r="F200" s="22" t="n"/>
      <c r="G200" s="22" t="n"/>
      <c r="H200" s="20" t="n"/>
      <c r="I200" s="12">
        <f>IF(OR($B200="",NOT(ISNUMBER($C200)),NOT(ISNUMBER($D200))),"",ROUND(MOD($D200-$C200,1)*1440,0))</f>
        <v/>
      </c>
      <c r="J200" s="12">
        <f>IF(NOT(ISNUMBER($I200)),0,IF(OR($I200&lt;=0,$H200="Cancelada",$H200="Suspensa"),0,$I200+Limpeza_Min))</f>
        <v/>
      </c>
      <c r="K200" s="12">
        <f>IF($J200&lt;=0,"",SUMPRODUCT((Mapa_Sala=$B200)*(Mapa_Data=$A200)*(Mapa_MinOcup&gt;0)*((Mapa_RelIni&lt;$P200)+((Mapa_RelIni=$P200)*(Mapa_Row&lt;=$S200)))))</f>
        <v/>
      </c>
      <c r="L200" s="23">
        <f>IF($J200&lt;=0,"",MOD(Turno_Ini+($Q200+Limpeza_Min)/1440,1))</f>
        <v/>
      </c>
      <c r="M200" s="12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24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","")&amp;IFERROR(IF(AND($J200&gt;0,$K200&gt;0,COUNTIF(Mapa_Chave,$B200&amp;"#"&amp;$A200&amp;"#"&amp;($K200+1))&gt;0,INDEX(Mapa_RelIni,MATCH($B200&amp;"#"&amp;$A200&amp;"#"&amp;($K200+1),Mapa_Chave,0))-$Q200&lt;Limpeza_Min),"Sem intervalo para limpeza | ",""),"")&amp;IF(AND($J200&gt;0,SUMPRODUCT((Mapa_Sala=$B200)*(Mapa_Data=$A200)*(Mapa_MinOcup&gt;0)*(Mapa_RelIni&lt;$Q200)*(Mapa_RelFim&gt;$P200))&gt;1),"Sobreposição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1">
        <f>IF(NOT(ISNUMBER($C200)),0,ROUND(MOD($C200-Turno_Ini,1)*1440,0))</f>
        <v/>
      </c>
      <c r="Q200" s="11">
        <f>IF($J200&lt;=0,0,$P200+$I200)</f>
        <v/>
      </c>
      <c r="R200" s="11">
        <f>IF($K200="","",$B200&amp;"#"&amp;$A200&amp;"#"&amp;$K200)</f>
        <v/>
      </c>
      <c r="S200" s="11">
        <f>ROW()</f>
        <v/>
      </c>
      <c r="T200" s="11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19" t="n"/>
      <c r="B201" s="20" t="n"/>
      <c r="C201" s="21" t="n"/>
      <c r="D201" s="21" t="n"/>
      <c r="E201" s="22" t="n"/>
      <c r="F201" s="22" t="n"/>
      <c r="G201" s="22" t="n"/>
      <c r="H201" s="20" t="n"/>
      <c r="I201" s="12">
        <f>IF(OR($B201="",NOT(ISNUMBER($C201)),NOT(ISNUMBER($D201))),"",ROUND(MOD($D201-$C201,1)*1440,0))</f>
        <v/>
      </c>
      <c r="J201" s="12">
        <f>IF(NOT(ISNUMBER($I201)),0,IF(OR($I201&lt;=0,$H201="Cancelada",$H201="Suspensa"),0,$I201+Limpeza_Min))</f>
        <v/>
      </c>
      <c r="K201" s="12">
        <f>IF($J201&lt;=0,"",SUMPRODUCT((Mapa_Sala=$B201)*(Mapa_Data=$A201)*(Mapa_MinOcup&gt;0)*((Mapa_RelIni&lt;$P201)+((Mapa_RelIni=$P201)*(Mapa_Row&lt;=$S201)))))</f>
        <v/>
      </c>
      <c r="L201" s="23">
        <f>IF($J201&lt;=0,"",MOD(Turno_Ini+($Q201+Limpeza_Min)/1440,1))</f>
        <v/>
      </c>
      <c r="M201" s="12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24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","")&amp;IFERROR(IF(AND($J201&gt;0,$K201&gt;0,COUNTIF(Mapa_Chave,$B201&amp;"#"&amp;$A201&amp;"#"&amp;($K201+1))&gt;0,INDEX(Mapa_RelIni,MATCH($B201&amp;"#"&amp;$A201&amp;"#"&amp;($K201+1),Mapa_Chave,0))-$Q201&lt;Limpeza_Min),"Sem intervalo para limpeza | ",""),"")&amp;IF(AND($J201&gt;0,SUMPRODUCT((Mapa_Sala=$B201)*(Mapa_Data=$A201)*(Mapa_MinOcup&gt;0)*(Mapa_RelIni&lt;$Q201)*(Mapa_RelFim&gt;$P201))&gt;1),"Sobreposição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1">
        <f>IF(NOT(ISNUMBER($C201)),0,ROUND(MOD($C201-Turno_Ini,1)*1440,0))</f>
        <v/>
      </c>
      <c r="Q201" s="11">
        <f>IF($J201&lt;=0,0,$P201+$I201)</f>
        <v/>
      </c>
      <c r="R201" s="11">
        <f>IF($K201="","",$B201&amp;"#"&amp;$A201&amp;"#"&amp;$K201)</f>
        <v/>
      </c>
      <c r="S201" s="11">
        <f>ROW()</f>
        <v/>
      </c>
      <c r="T201" s="11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2">
      <formula>AND($N2&lt;&gt;"",$N2&lt;&gt;"OK")</formula>
    </cfRule>
  </conditionalFormatting>
  <conditionalFormatting sqref="H2:H201">
    <cfRule type="expression" priority="2" dxfId="3">
      <formula>OR($H2="Cancelada",$H2="Suspensa")</formula>
    </cfRule>
  </conditionalFormatting>
  <conditionalFormatting sqref="M2:M201">
    <cfRule type="expression" priority="3" dxfId="0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</cols>
  <sheetData>
    <row r="1" ht="170" customHeight="1">
      <c r="A1" s="5" t="inlineStr">
        <is>
          <t>Matrícula</t>
        </is>
      </c>
      <c r="B1" s="5" t="inlineStr">
        <is>
          <t>Nome do técnico</t>
        </is>
      </c>
      <c r="C1" s="5" t="inlineStr">
        <is>
          <t>COREN</t>
        </is>
      </c>
      <c r="D1" s="5" t="inlineStr">
        <is>
          <t>Status</t>
        </is>
      </c>
      <c r="E1" s="5" t="inlineStr">
        <is>
          <t>SITUAÇÃO NA DATA</t>
        </is>
      </c>
      <c r="F1" s="5" t="inlineStr">
        <is>
          <t>Ausente até</t>
        </is>
      </c>
      <c r="G1" s="5" t="inlineStr">
        <is>
          <t>Observação</t>
        </is>
      </c>
      <c r="H1" s="25">
        <f>IF('Configuração'!$B$22="","",'Configuração'!$B$22)</f>
        <v/>
      </c>
      <c r="I1" s="25">
        <f>IF('Configuração'!$B$23="","",'Configuração'!$B$23)</f>
        <v/>
      </c>
      <c r="J1" s="25">
        <f>IF('Configuração'!$B$24="","",'Configuração'!$B$24)</f>
        <v/>
      </c>
      <c r="K1" s="25">
        <f>IF('Configuração'!$B$25="","",'Configuração'!$B$25)</f>
        <v/>
      </c>
      <c r="L1" s="25">
        <f>IF('Configuração'!$B$26="","",'Configuração'!$B$26)</f>
        <v/>
      </c>
      <c r="M1" s="25">
        <f>IF('Configuração'!$B$27="","",'Configuração'!$B$27)</f>
        <v/>
      </c>
      <c r="N1" s="25">
        <f>IF('Configuração'!$B$28="","",'Configuração'!$B$28)</f>
        <v/>
      </c>
      <c r="O1" s="25">
        <f>IF('Configuração'!$B$29="","",'Configuração'!$B$29)</f>
        <v/>
      </c>
      <c r="P1" s="25">
        <f>IF('Configuração'!$B$30="","",'Configuração'!$B$30)</f>
        <v/>
      </c>
      <c r="Q1" s="25">
        <f>IF('Configuração'!$B$31="","",'Configuração'!$B$31)</f>
        <v/>
      </c>
      <c r="R1" s="25">
        <f>IF('Configuração'!$B$32="","",'Configuração'!$B$32)</f>
        <v/>
      </c>
      <c r="S1" s="25">
        <f>IF('Configuração'!$B$33="","",'Configuração'!$B$33)</f>
        <v/>
      </c>
      <c r="T1" s="25">
        <f>IF('Configuração'!$B$34="","",'Configuração'!$B$34)</f>
        <v/>
      </c>
      <c r="U1" s="25">
        <f>IF('Configuração'!$B$35="","",'Configuração'!$B$35)</f>
        <v/>
      </c>
      <c r="V1" s="25">
        <f>IF('Configuração'!$B$36="","",'Configuração'!$B$36)</f>
        <v/>
      </c>
      <c r="W1" s="25">
        <f>IF('Configuração'!$B$37="","",'Configuração'!$B$37)</f>
        <v/>
      </c>
      <c r="X1" s="25">
        <f>IF('Configuração'!$B$38="","",'Configuração'!$B$38)</f>
        <v/>
      </c>
      <c r="Y1" s="25">
        <f>IF('Configuração'!$B$39="","",'Configuração'!$B$39)</f>
        <v/>
      </c>
      <c r="Z1" s="25">
        <f>IF('Configuração'!$B$40="","",'Configuração'!$B$40)</f>
        <v/>
      </c>
      <c r="AA1" s="25">
        <f>IF('Configuração'!$B$41="","",'Configuração'!$B$41)</f>
        <v/>
      </c>
      <c r="AB1" s="5" t="inlineStr">
        <is>
          <t>Nº de especialidades</t>
        </is>
      </c>
    </row>
    <row r="2">
      <c r="A2" s="20" t="inlineStr">
        <is>
          <t>TEC-001</t>
        </is>
      </c>
      <c r="B2" s="22" t="inlineStr">
        <is>
          <t>Adriana Salvi</t>
        </is>
      </c>
      <c r="C2" s="20" t="inlineStr"/>
      <c r="D2" s="20" t="inlineStr">
        <is>
          <t>Ativo</t>
        </is>
      </c>
      <c r="E2" s="11">
        <f>IF($B2="","",IF($D2&lt;&gt;"Ativo",$D2,IFERROR(INDEX(Aus_Tipo,MATCH($B2,Aus_Ativa,0)),"Disponível")))</f>
        <v/>
      </c>
      <c r="F2" s="15">
        <f>IF(OR($B2="",$E2="Disponível"),"",IFERROR(INDEX(Aus_Fim,MATCH($B2,Aus_Ativa,0)),""))</f>
        <v/>
      </c>
      <c r="G2" s="22" t="n"/>
      <c r="H2" s="26" t="inlineStr">
        <is>
          <t>X</t>
        </is>
      </c>
      <c r="I2" s="26" t="inlineStr">
        <is>
          <t>X</t>
        </is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inlineStr">
        <is>
          <t>X</t>
        </is>
      </c>
      <c r="X2" s="26" t="n"/>
      <c r="Y2" s="26" t="n"/>
      <c r="Z2" s="26" t="n"/>
      <c r="AA2" s="26" t="n"/>
      <c r="AB2" s="12">
        <f>IF($B2="","",COUNTIF($H2:$AA2,"X"))</f>
        <v/>
      </c>
    </row>
    <row r="3">
      <c r="A3" s="20" t="inlineStr">
        <is>
          <t>TEC-002</t>
        </is>
      </c>
      <c r="B3" s="22" t="inlineStr">
        <is>
          <t>Bruna Cordeiro</t>
        </is>
      </c>
      <c r="C3" s="20" t="inlineStr"/>
      <c r="D3" s="20" t="inlineStr">
        <is>
          <t>Ativo</t>
        </is>
      </c>
      <c r="E3" s="11">
        <f>IF($B3="","",IF($D3&lt;&gt;"Ativo",$D3,IFERROR(INDEX(Aus_Tipo,MATCH($B3,Aus_Ativa,0)),"Disponível")))</f>
        <v/>
      </c>
      <c r="F3" s="15">
        <f>IF(OR($B3="",$E3="Disponível"),"",IFERROR(INDEX(Aus_Fim,MATCH($B3,Aus_Ativa,0)),""))</f>
        <v/>
      </c>
      <c r="G3" s="22" t="n"/>
      <c r="H3" s="26" t="inlineStr">
        <is>
          <t>X</t>
        </is>
      </c>
      <c r="I3" s="26" t="inlineStr">
        <is>
          <t>X</t>
        </is>
      </c>
      <c r="J3" s="26" t="inlineStr">
        <is>
          <t>X</t>
        </is>
      </c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12">
        <f>IF($B3="","",COUNTIF($H3:$AA3,"X"))</f>
        <v/>
      </c>
    </row>
    <row r="4">
      <c r="A4" s="20" t="inlineStr">
        <is>
          <t>TEC-003</t>
        </is>
      </c>
      <c r="B4" s="22" t="inlineStr">
        <is>
          <t>Camila Bertoldi</t>
        </is>
      </c>
      <c r="C4" s="20" t="inlineStr"/>
      <c r="D4" s="20" t="inlineStr">
        <is>
          <t>Ativo</t>
        </is>
      </c>
      <c r="E4" s="11">
        <f>IF($B4="","",IF($D4&lt;&gt;"Ativo",$D4,IFERROR(INDEX(Aus_Tipo,MATCH($B4,Aus_Ativa,0)),"Disponível")))</f>
        <v/>
      </c>
      <c r="F4" s="15">
        <f>IF(OR($B4="",$E4="Disponível"),"",IFERROR(INDEX(Aus_Fim,MATCH($B4,Aus_Ativa,0)),""))</f>
        <v/>
      </c>
      <c r="G4" s="22" t="n"/>
      <c r="H4" s="26" t="n"/>
      <c r="I4" s="26" t="n"/>
      <c r="J4" s="26" t="inlineStr">
        <is>
          <t>X</t>
        </is>
      </c>
      <c r="K4" s="26" t="inlineStr">
        <is>
          <t>X</t>
        </is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inlineStr">
        <is>
          <t>X</t>
        </is>
      </c>
      <c r="X4" s="26" t="n"/>
      <c r="Y4" s="26" t="n"/>
      <c r="Z4" s="26" t="n"/>
      <c r="AA4" s="26" t="n"/>
      <c r="AB4" s="12">
        <f>IF($B4="","",COUNTIF($H4:$AA4,"X"))</f>
        <v/>
      </c>
    </row>
    <row r="5">
      <c r="A5" s="20" t="inlineStr">
        <is>
          <t>TEC-004</t>
        </is>
      </c>
      <c r="B5" s="22" t="inlineStr">
        <is>
          <t>Daiane Prestes</t>
        </is>
      </c>
      <c r="C5" s="20" t="inlineStr"/>
      <c r="D5" s="20" t="inlineStr">
        <is>
          <t>Ativo</t>
        </is>
      </c>
      <c r="E5" s="11">
        <f>IF($B5="","",IF($D5&lt;&gt;"Ativo",$D5,IFERROR(INDEX(Aus_Tipo,MATCH($B5,Aus_Ativa,0)),"Disponível")))</f>
        <v/>
      </c>
      <c r="F5" s="15">
        <f>IF(OR($B5="",$E5="Disponível"),"",IFERROR(INDEX(Aus_Fim,MATCH($B5,Aus_Ativa,0)),""))</f>
        <v/>
      </c>
      <c r="G5" s="22" t="n"/>
      <c r="H5" s="26" t="n"/>
      <c r="I5" s="26" t="n"/>
      <c r="J5" s="26" t="inlineStr">
        <is>
          <t>X</t>
        </is>
      </c>
      <c r="K5" s="26" t="n"/>
      <c r="L5" s="26" t="inlineStr">
        <is>
          <t>X</t>
        </is>
      </c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inlineStr">
        <is>
          <t>X</t>
        </is>
      </c>
      <c r="X5" s="26" t="n"/>
      <c r="Y5" s="26" t="n"/>
      <c r="Z5" s="26" t="n"/>
      <c r="AA5" s="26" t="n"/>
      <c r="AB5" s="12">
        <f>IF($B5="","",COUNTIF($H5:$AA5,"X"))</f>
        <v/>
      </c>
    </row>
    <row r="6">
      <c r="A6" s="20" t="inlineStr">
        <is>
          <t>TEC-005</t>
        </is>
      </c>
      <c r="B6" s="22" t="inlineStr">
        <is>
          <t>Elaine Mafra</t>
        </is>
      </c>
      <c r="C6" s="20" t="inlineStr"/>
      <c r="D6" s="20" t="inlineStr">
        <is>
          <t>Ativo</t>
        </is>
      </c>
      <c r="E6" s="11">
        <f>IF($B6="","",IF($D6&lt;&gt;"Ativo",$D6,IFERROR(INDEX(Aus_Tipo,MATCH($B6,Aus_Ativa,0)),"Disponível")))</f>
        <v/>
      </c>
      <c r="F6" s="15">
        <f>IF(OR($B6="",$E6="Disponível"),"",IFERROR(INDEX(Aus_Fim,MATCH($B6,Aus_Ativa,0)),""))</f>
        <v/>
      </c>
      <c r="G6" s="22" t="n"/>
      <c r="H6" s="26" t="n"/>
      <c r="I6" s="26" t="n"/>
      <c r="J6" s="26" t="inlineStr">
        <is>
          <t>X</t>
        </is>
      </c>
      <c r="K6" s="26" t="n"/>
      <c r="L6" s="26" t="n"/>
      <c r="M6" s="26" t="inlineStr">
        <is>
          <t>X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12">
        <f>IF($B6="","",COUNTIF($H6:$AA6,"X"))</f>
        <v/>
      </c>
    </row>
    <row r="7">
      <c r="A7" s="20" t="inlineStr">
        <is>
          <t>TEC-006</t>
        </is>
      </c>
      <c r="B7" s="22" t="inlineStr">
        <is>
          <t>Fernanda Klein</t>
        </is>
      </c>
      <c r="C7" s="20" t="inlineStr"/>
      <c r="D7" s="20" t="inlineStr">
        <is>
          <t>Ativo</t>
        </is>
      </c>
      <c r="E7" s="11">
        <f>IF($B7="","",IF($D7&lt;&gt;"Ativo",$D7,IFERROR(INDEX(Aus_Tipo,MATCH($B7,Aus_Ativa,0)),"Disponível")))</f>
        <v/>
      </c>
      <c r="F7" s="15">
        <f>IF(OR($B7="",$E7="Disponível"),"",IFERROR(INDEX(Aus_Fim,MATCH($B7,Aus_Ativa,0)),""))</f>
        <v/>
      </c>
      <c r="G7" s="22" t="n"/>
      <c r="H7" s="26" t="inlineStr">
        <is>
          <t>X</t>
        </is>
      </c>
      <c r="I7" s="26" t="n"/>
      <c r="J7" s="26" t="n"/>
      <c r="K7" s="26" t="n"/>
      <c r="L7" s="26" t="n"/>
      <c r="M7" s="26" t="inlineStr">
        <is>
          <t>X</t>
        </is>
      </c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inlineStr">
        <is>
          <t>X</t>
        </is>
      </c>
      <c r="X7" s="26" t="n"/>
      <c r="Y7" s="26" t="n"/>
      <c r="Z7" s="26" t="n"/>
      <c r="AA7" s="26" t="n"/>
      <c r="AB7" s="12">
        <f>IF($B7="","",COUNTIF($H7:$AA7,"X"))</f>
        <v/>
      </c>
    </row>
    <row r="8">
      <c r="A8" s="20" t="inlineStr">
        <is>
          <t>TEC-007</t>
        </is>
      </c>
      <c r="B8" s="22" t="inlineStr">
        <is>
          <t>Gisele Antunes</t>
        </is>
      </c>
      <c r="C8" s="20" t="inlineStr"/>
      <c r="D8" s="20" t="inlineStr">
        <is>
          <t>Ativo</t>
        </is>
      </c>
      <c r="E8" s="11">
        <f>IF($B8="","",IF($D8&lt;&gt;"Ativo",$D8,IFERROR(INDEX(Aus_Tipo,MATCH($B8,Aus_Ativa,0)),"Disponível")))</f>
        <v/>
      </c>
      <c r="F8" s="15">
        <f>IF(OR($B8="",$E8="Disponível"),"",IFERROR(INDEX(Aus_Fim,MATCH($B8,Aus_Ativa,0)),""))</f>
        <v/>
      </c>
      <c r="G8" s="22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inlineStr">
        <is>
          <t>X</t>
        </is>
      </c>
      <c r="U8" s="26" t="inlineStr">
        <is>
          <t>X</t>
        </is>
      </c>
      <c r="V8" s="26" t="n"/>
      <c r="W8" s="26" t="n"/>
      <c r="X8" s="26" t="n"/>
      <c r="Y8" s="26" t="n"/>
      <c r="Z8" s="26" t="n"/>
      <c r="AA8" s="26" t="n"/>
      <c r="AB8" s="12">
        <f>IF($B8="","",COUNTIF($H8:$AA8,"X"))</f>
        <v/>
      </c>
    </row>
    <row r="9">
      <c r="A9" s="20" t="inlineStr">
        <is>
          <t>TEC-008</t>
        </is>
      </c>
      <c r="B9" s="22" t="inlineStr">
        <is>
          <t>Heloísa Perin</t>
        </is>
      </c>
      <c r="C9" s="20" t="inlineStr"/>
      <c r="D9" s="20" t="inlineStr">
        <is>
          <t>Ativo</t>
        </is>
      </c>
      <c r="E9" s="11">
        <f>IF($B9="","",IF($D9&lt;&gt;"Ativo",$D9,IFERROR(INDEX(Aus_Tipo,MATCH($B9,Aus_Ativa,0)),"Disponível")))</f>
        <v/>
      </c>
      <c r="F9" s="15">
        <f>IF(OR($B9="",$E9="Disponível"),"",IFERROR(INDEX(Aus_Fim,MATCH($B9,Aus_Ativa,0)),""))</f>
        <v/>
      </c>
      <c r="G9" s="22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inlineStr">
        <is>
          <t>X</t>
        </is>
      </c>
      <c r="T9" s="26" t="inlineStr">
        <is>
          <t>X</t>
        </is>
      </c>
      <c r="U9" s="26" t="n"/>
      <c r="V9" s="26" t="n"/>
      <c r="W9" s="26" t="inlineStr">
        <is>
          <t>X</t>
        </is>
      </c>
      <c r="X9" s="26" t="n"/>
      <c r="Y9" s="26" t="n"/>
      <c r="Z9" s="26" t="n"/>
      <c r="AA9" s="26" t="n"/>
      <c r="AB9" s="12">
        <f>IF($B9="","",COUNTIF($H9:$AA9,"X"))</f>
        <v/>
      </c>
    </row>
    <row r="10">
      <c r="A10" s="20" t="inlineStr">
        <is>
          <t>TEC-009</t>
        </is>
      </c>
      <c r="B10" s="22" t="inlineStr">
        <is>
          <t>Ismael Kanitz</t>
        </is>
      </c>
      <c r="C10" s="20" t="inlineStr"/>
      <c r="D10" s="20" t="inlineStr">
        <is>
          <t>Ativo</t>
        </is>
      </c>
      <c r="E10" s="11">
        <f>IF($B10="","",IF($D10&lt;&gt;"Ativo",$D10,IFERROR(INDEX(Aus_Tipo,MATCH($B10,Aus_Ativa,0)),"Disponível")))</f>
        <v/>
      </c>
      <c r="F10" s="15">
        <f>IF(OR($B10="",$E10="Disponível"),"",IFERROR(INDEX(Aus_Fim,MATCH($B10,Aus_Ativa,0)),""))</f>
        <v/>
      </c>
      <c r="G10" s="22" t="n"/>
      <c r="H10" s="26" t="n"/>
      <c r="I10" s="26" t="n"/>
      <c r="J10" s="26" t="n"/>
      <c r="K10" s="26" t="n"/>
      <c r="L10" s="26" t="n"/>
      <c r="M10" s="26" t="n"/>
      <c r="N10" s="26" t="n"/>
      <c r="O10" s="26" t="inlineStr">
        <is>
          <t>X</t>
        </is>
      </c>
      <c r="P10" s="26" t="inlineStr">
        <is>
          <t>X</t>
        </is>
      </c>
      <c r="Q10" s="26" t="n"/>
      <c r="R10" s="26" t="n"/>
      <c r="S10" s="26" t="n"/>
      <c r="T10" s="26" t="n"/>
      <c r="U10" s="26" t="n"/>
      <c r="V10" s="26" t="n"/>
      <c r="W10" s="26" t="inlineStr">
        <is>
          <t>X</t>
        </is>
      </c>
      <c r="X10" s="26" t="n"/>
      <c r="Y10" s="26" t="n"/>
      <c r="Z10" s="26" t="n"/>
      <c r="AA10" s="26" t="n"/>
      <c r="AB10" s="12">
        <f>IF($B10="","",COUNTIF($H10:$AA10,"X"))</f>
        <v/>
      </c>
    </row>
    <row r="11">
      <c r="A11" s="20" t="inlineStr">
        <is>
          <t>TEC-010</t>
        </is>
      </c>
      <c r="B11" s="22" t="inlineStr">
        <is>
          <t>Joana Belincanta</t>
        </is>
      </c>
      <c r="C11" s="20" t="inlineStr"/>
      <c r="D11" s="20" t="inlineStr">
        <is>
          <t>Ativo</t>
        </is>
      </c>
      <c r="E11" s="11">
        <f>IF($B11="","",IF($D11&lt;&gt;"Ativo",$D11,IFERROR(INDEX(Aus_Tipo,MATCH($B11,Aus_Ativa,0)),"Disponível")))</f>
        <v/>
      </c>
      <c r="F11" s="15">
        <f>IF(OR($B11="",$E11="Disponível"),"",IFERROR(INDEX(Aus_Fim,MATCH($B11,Aus_Ativa,0)),""))</f>
        <v/>
      </c>
      <c r="G11" s="22" t="n"/>
      <c r="H11" s="26" t="n"/>
      <c r="I11" s="26" t="n"/>
      <c r="J11" s="26" t="n"/>
      <c r="K11" s="26" t="n"/>
      <c r="L11" s="26" t="n"/>
      <c r="M11" s="26" t="n"/>
      <c r="N11" s="26" t="inlineStr">
        <is>
          <t>X</t>
        </is>
      </c>
      <c r="O11" s="26" t="inlineStr">
        <is>
          <t>X</t>
        </is>
      </c>
      <c r="P11" s="26" t="inlineStr">
        <is>
          <t>X</t>
        </is>
      </c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12">
        <f>IF($B11="","",COUNTIF($H11:$AA11,"X"))</f>
        <v/>
      </c>
    </row>
    <row r="12">
      <c r="A12" s="20" t="inlineStr">
        <is>
          <t>TEC-011</t>
        </is>
      </c>
      <c r="B12" s="22" t="inlineStr">
        <is>
          <t>Kelly Marchi</t>
        </is>
      </c>
      <c r="C12" s="20" t="inlineStr"/>
      <c r="D12" s="20" t="inlineStr">
        <is>
          <t>Ativo</t>
        </is>
      </c>
      <c r="E12" s="11">
        <f>IF($B12="","",IF($D12&lt;&gt;"Ativo",$D12,IFERROR(INDEX(Aus_Tipo,MATCH($B12,Aus_Ativa,0)),"Disponível")))</f>
        <v/>
      </c>
      <c r="F12" s="15">
        <f>IF(OR($B12="",$E12="Disponível"),"",IFERROR(INDEX(Aus_Fim,MATCH($B12,Aus_Ativa,0)),""))</f>
        <v/>
      </c>
      <c r="G12" s="22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inlineStr">
        <is>
          <t>X</t>
        </is>
      </c>
      <c r="R12" s="26" t="inlineStr">
        <is>
          <t>X</t>
        </is>
      </c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12">
        <f>IF($B12="","",COUNTIF($H12:$AA12,"X"))</f>
        <v/>
      </c>
    </row>
    <row r="13">
      <c r="A13" s="20" t="inlineStr">
        <is>
          <t>TEC-012</t>
        </is>
      </c>
      <c r="B13" s="22" t="inlineStr">
        <is>
          <t>Luciano Bordin</t>
        </is>
      </c>
      <c r="C13" s="20" t="inlineStr"/>
      <c r="D13" s="20" t="inlineStr">
        <is>
          <t>Ativo</t>
        </is>
      </c>
      <c r="E13" s="11">
        <f>IF($B13="","",IF($D13&lt;&gt;"Ativo",$D13,IFERROR(INDEX(Aus_Tipo,MATCH($B13,Aus_Ativa,0)),"Disponível")))</f>
        <v/>
      </c>
      <c r="F13" s="15">
        <f>IF(OR($B13="",$E13="Disponível"),"",IFERROR(INDEX(Aus_Fim,MATCH($B13,Aus_Ativa,0)),""))</f>
        <v/>
      </c>
      <c r="G13" s="22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inlineStr">
        <is>
          <t>X</t>
        </is>
      </c>
      <c r="R13" s="26" t="inlineStr">
        <is>
          <t>X</t>
        </is>
      </c>
      <c r="S13" s="26" t="n"/>
      <c r="T13" s="26" t="n"/>
      <c r="U13" s="26" t="n"/>
      <c r="V13" s="26" t="n"/>
      <c r="W13" s="26" t="inlineStr">
        <is>
          <t>X</t>
        </is>
      </c>
      <c r="X13" s="26" t="n"/>
      <c r="Y13" s="26" t="n"/>
      <c r="Z13" s="26" t="n"/>
      <c r="AA13" s="26" t="n"/>
      <c r="AB13" s="12">
        <f>IF($B13="","",COUNTIF($H13:$AA13,"X"))</f>
        <v/>
      </c>
    </row>
    <row r="14">
      <c r="A14" s="20" t="inlineStr">
        <is>
          <t>TEC-013</t>
        </is>
      </c>
      <c r="B14" s="22" t="inlineStr">
        <is>
          <t>Marcia Tonet</t>
        </is>
      </c>
      <c r="C14" s="20" t="inlineStr"/>
      <c r="D14" s="20" t="inlineStr">
        <is>
          <t>Ativo</t>
        </is>
      </c>
      <c r="E14" s="11">
        <f>IF($B14="","",IF($D14&lt;&gt;"Ativo",$D14,IFERROR(INDEX(Aus_Tipo,MATCH($B14,Aus_Ativa,0)),"Disponível")))</f>
        <v/>
      </c>
      <c r="F14" s="15">
        <f>IF(OR($B14="",$E14="Disponível"),"",IFERROR(INDEX(Aus_Fim,MATCH($B14,Aus_Ativa,0)),""))</f>
        <v/>
      </c>
      <c r="G14" s="22" t="n"/>
      <c r="H14" s="26" t="n"/>
      <c r="I14" s="26" t="n"/>
      <c r="J14" s="26" t="n"/>
      <c r="K14" s="26" t="n"/>
      <c r="L14" s="26" t="n"/>
      <c r="M14" s="26" t="n"/>
      <c r="N14" s="26" t="inlineStr">
        <is>
          <t>X</t>
        </is>
      </c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inlineStr">
        <is>
          <t>X</t>
        </is>
      </c>
      <c r="Y14" s="26" t="n"/>
      <c r="Z14" s="26" t="n"/>
      <c r="AA14" s="26" t="n"/>
      <c r="AB14" s="12">
        <f>IF($B14="","",COUNTIF($H14:$AA14,"X"))</f>
        <v/>
      </c>
    </row>
    <row r="15">
      <c r="A15" s="20" t="inlineStr">
        <is>
          <t>TEC-014</t>
        </is>
      </c>
      <c r="B15" s="22" t="inlineStr">
        <is>
          <t>Nádia Fávero</t>
        </is>
      </c>
      <c r="C15" s="20" t="inlineStr"/>
      <c r="D15" s="20" t="inlineStr">
        <is>
          <t>Ativo</t>
        </is>
      </c>
      <c r="E15" s="11">
        <f>IF($B15="","",IF($D15&lt;&gt;"Ativo",$D15,IFERROR(INDEX(Aus_Tipo,MATCH($B15,Aus_Ativa,0)),"Disponível")))</f>
        <v/>
      </c>
      <c r="F15" s="15">
        <f>IF(OR($B15="",$E15="Disponível"),"",IFERROR(INDEX(Aus_Fim,MATCH($B15,Aus_Ativa,0)),""))</f>
        <v/>
      </c>
      <c r="G15" s="22" t="n"/>
      <c r="H15" s="26" t="n"/>
      <c r="I15" s="26" t="n"/>
      <c r="J15" s="26" t="n"/>
      <c r="K15" s="26" t="n"/>
      <c r="L15" s="26" t="n"/>
      <c r="M15" s="26" t="n"/>
      <c r="N15" s="26" t="inlineStr">
        <is>
          <t>X</t>
        </is>
      </c>
      <c r="O15" s="26" t="inlineStr">
        <is>
          <t>X</t>
        </is>
      </c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inlineStr">
        <is>
          <t>X</t>
        </is>
      </c>
      <c r="Y15" s="26" t="n"/>
      <c r="Z15" s="26" t="n"/>
      <c r="AA15" s="26" t="n"/>
      <c r="AB15" s="12">
        <f>IF($B15="","",COUNTIF($H15:$AA15,"X"))</f>
        <v/>
      </c>
    </row>
    <row r="16">
      <c r="A16" s="20" t="inlineStr">
        <is>
          <t>TEC-015</t>
        </is>
      </c>
      <c r="B16" s="22" t="inlineStr">
        <is>
          <t>Odair Bianchi</t>
        </is>
      </c>
      <c r="C16" s="20" t="inlineStr"/>
      <c r="D16" s="20" t="inlineStr">
        <is>
          <t>Ativo</t>
        </is>
      </c>
      <c r="E16" s="11">
        <f>IF($B16="","",IF($D16&lt;&gt;"Ativo",$D16,IFERROR(INDEX(Aus_Tipo,MATCH($B16,Aus_Ativa,0)),"Disponível")))</f>
        <v/>
      </c>
      <c r="F16" s="15">
        <f>IF(OR($B16="",$E16="Disponível"),"",IFERROR(INDEX(Aus_Fim,MATCH($B16,Aus_Ativa,0)),""))</f>
        <v/>
      </c>
      <c r="G16" s="22" t="n"/>
      <c r="H16" s="26" t="n"/>
      <c r="I16" s="26" t="n"/>
      <c r="J16" s="26" t="inlineStr">
        <is>
          <t>X</t>
        </is>
      </c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inlineStr">
        <is>
          <t>X</t>
        </is>
      </c>
      <c r="X16" s="26" t="n"/>
      <c r="Y16" s="26" t="n"/>
      <c r="Z16" s="26" t="n"/>
      <c r="AA16" s="26" t="n"/>
      <c r="AB16" s="12">
        <f>IF($B16="","",COUNTIF($H16:$AA16,"X"))</f>
        <v/>
      </c>
    </row>
    <row r="17">
      <c r="A17" s="20" t="inlineStr">
        <is>
          <t>TEC-016</t>
        </is>
      </c>
      <c r="B17" s="22" t="inlineStr">
        <is>
          <t>Patrícia Zortéa</t>
        </is>
      </c>
      <c r="C17" s="20" t="inlineStr"/>
      <c r="D17" s="20" t="inlineStr">
        <is>
          <t>Ativo</t>
        </is>
      </c>
      <c r="E17" s="11">
        <f>IF($B17="","",IF($D17&lt;&gt;"Ativo",$D17,IFERROR(INDEX(Aus_Tipo,MATCH($B17,Aus_Ativa,0)),"Disponível")))</f>
        <v/>
      </c>
      <c r="F17" s="15">
        <f>IF(OR($B17="",$E17="Disponível"),"",IFERROR(INDEX(Aus_Fim,MATCH($B17,Aus_Ativa,0)),""))</f>
        <v/>
      </c>
      <c r="G17" s="22" t="n"/>
      <c r="H17" s="26" t="inlineStr">
        <is>
          <t>X</t>
        </is>
      </c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inlineStr">
        <is>
          <t>X</t>
        </is>
      </c>
      <c r="X17" s="26" t="n"/>
      <c r="Y17" s="26" t="n"/>
      <c r="Z17" s="26" t="n"/>
      <c r="AA17" s="26" t="n"/>
      <c r="AB17" s="12">
        <f>IF($B17="","",COUNTIF($H17:$AA17,"X"))</f>
        <v/>
      </c>
    </row>
    <row r="18">
      <c r="A18" s="20" t="inlineStr">
        <is>
          <t>TEC-017</t>
        </is>
      </c>
      <c r="B18" s="22" t="inlineStr">
        <is>
          <t>Rafaela Gubert</t>
        </is>
      </c>
      <c r="C18" s="20" t="inlineStr"/>
      <c r="D18" s="20" t="inlineStr">
        <is>
          <t>Ativo</t>
        </is>
      </c>
      <c r="E18" s="11">
        <f>IF($B18="","",IF($D18&lt;&gt;"Ativo",$D18,IFERROR(INDEX(Aus_Tipo,MATCH($B18,Aus_Ativa,0)),"Disponível")))</f>
        <v/>
      </c>
      <c r="F18" s="15">
        <f>IF(OR($B18="",$E18="Disponível"),"",IFERROR(INDEX(Aus_Fim,MATCH($B18,Aus_Ativa,0)),""))</f>
        <v/>
      </c>
      <c r="G18" s="22" t="n"/>
      <c r="H18" s="26" t="n"/>
      <c r="I18" s="26" t="n"/>
      <c r="J18" s="26" t="n"/>
      <c r="K18" s="26" t="n"/>
      <c r="L18" s="26" t="n"/>
      <c r="M18" s="26" t="n"/>
      <c r="N18" s="26" t="inlineStr">
        <is>
          <t>X</t>
        </is>
      </c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inlineStr">
        <is>
          <t>X</t>
        </is>
      </c>
      <c r="Y18" s="26" t="n"/>
      <c r="Z18" s="26" t="n"/>
      <c r="AA18" s="26" t="n"/>
      <c r="AB18" s="12">
        <f>IF($B18="","",COUNTIF($H18:$AA18,"X"))</f>
        <v/>
      </c>
    </row>
    <row r="19">
      <c r="A19" s="20" t="inlineStr">
        <is>
          <t>TEC-018</t>
        </is>
      </c>
      <c r="B19" s="22" t="inlineStr">
        <is>
          <t>Simone Dalpra</t>
        </is>
      </c>
      <c r="C19" s="20" t="inlineStr"/>
      <c r="D19" s="20" t="inlineStr">
        <is>
          <t>Ativo</t>
        </is>
      </c>
      <c r="E19" s="11">
        <f>IF($B19="","",IF($D19&lt;&gt;"Ativo",$D19,IFERROR(INDEX(Aus_Tipo,MATCH($B19,Aus_Ativa,0)),"Disponível")))</f>
        <v/>
      </c>
      <c r="F19" s="15">
        <f>IF(OR($B19="",$E19="Disponível"),"",IFERROR(INDEX(Aus_Fim,MATCH($B19,Aus_Ativa,0)),""))</f>
        <v/>
      </c>
      <c r="G19" s="22" t="n"/>
      <c r="H19" s="26" t="n"/>
      <c r="I19" s="26" t="n"/>
      <c r="J19" s="26" t="inlineStr">
        <is>
          <t>X</t>
        </is>
      </c>
      <c r="K19" s="26" t="inlineStr">
        <is>
          <t>X</t>
        </is>
      </c>
      <c r="L19" s="26" t="inlineStr">
        <is>
          <t>X</t>
        </is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12">
        <f>IF($B19="","",COUNTIF($H19:$AA19,"X"))</f>
        <v/>
      </c>
    </row>
    <row r="20">
      <c r="A20" s="20" t="inlineStr">
        <is>
          <t>TEC-019</t>
        </is>
      </c>
      <c r="B20" s="22" t="inlineStr">
        <is>
          <t>Tatiane Bolzan</t>
        </is>
      </c>
      <c r="C20" s="20" t="inlineStr"/>
      <c r="D20" s="20" t="inlineStr">
        <is>
          <t>Ativo</t>
        </is>
      </c>
      <c r="E20" s="11">
        <f>IF($B20="","",IF($D20&lt;&gt;"Ativo",$D20,IFERROR(INDEX(Aus_Tipo,MATCH($B20,Aus_Ativa,0)),"Disponível")))</f>
        <v/>
      </c>
      <c r="F20" s="15">
        <f>IF(OR($B20="",$E20="Disponível"),"",IFERROR(INDEX(Aus_Fim,MATCH($B20,Aus_Ativa,0)),""))</f>
        <v/>
      </c>
      <c r="G20" s="22" t="n"/>
      <c r="H20" s="26" t="inlineStr">
        <is>
          <t>X</t>
        </is>
      </c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inlineStr">
        <is>
          <t>X</t>
        </is>
      </c>
      <c r="V20" s="26" t="n"/>
      <c r="W20" s="26" t="n"/>
      <c r="X20" s="26" t="n"/>
      <c r="Y20" s="26" t="n"/>
      <c r="Z20" s="26" t="n"/>
      <c r="AA20" s="26" t="n"/>
      <c r="AB20" s="12">
        <f>IF($B20="","",COUNTIF($H20:$AA20,"X"))</f>
        <v/>
      </c>
    </row>
    <row r="21">
      <c r="A21" s="20" t="inlineStr">
        <is>
          <t>TEC-020</t>
        </is>
      </c>
      <c r="B21" s="22" t="inlineStr">
        <is>
          <t>Vagner Sartori</t>
        </is>
      </c>
      <c r="C21" s="20" t="inlineStr"/>
      <c r="D21" s="20" t="inlineStr">
        <is>
          <t>Ativo</t>
        </is>
      </c>
      <c r="E21" s="11">
        <f>IF($B21="","",IF($D21&lt;&gt;"Ativo",$D21,IFERROR(INDEX(Aus_Tipo,MATCH($B21,Aus_Ativa,0)),"Disponível")))</f>
        <v/>
      </c>
      <c r="F21" s="15">
        <f>IF(OR($B21="",$E21="Disponível"),"",IFERROR(INDEX(Aus_Fim,MATCH($B21,Aus_Ativa,0)),""))</f>
        <v/>
      </c>
      <c r="G21" s="22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inlineStr">
        <is>
          <t>X</t>
        </is>
      </c>
      <c r="R21" s="26" t="inlineStr">
        <is>
          <t>X</t>
        </is>
      </c>
      <c r="S21" s="26" t="inlineStr">
        <is>
          <t>X</t>
        </is>
      </c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12">
        <f>IF($B21="","",COUNTIF($H21:$AA21,"X"))</f>
        <v/>
      </c>
    </row>
    <row r="22">
      <c r="A22" s="20" t="inlineStr">
        <is>
          <t>TEC-021</t>
        </is>
      </c>
      <c r="B22" s="22" t="inlineStr">
        <is>
          <t>Wanessa Piccoli</t>
        </is>
      </c>
      <c r="C22" s="20" t="inlineStr"/>
      <c r="D22" s="20" t="inlineStr">
        <is>
          <t>Ativo</t>
        </is>
      </c>
      <c r="E22" s="11">
        <f>IF($B22="","",IF($D22&lt;&gt;"Ativo",$D22,IFERROR(INDEX(Aus_Tipo,MATCH($B22,Aus_Ativa,0)),"Disponível")))</f>
        <v/>
      </c>
      <c r="F22" s="15">
        <f>IF(OR($B22="",$E22="Disponível"),"",IFERROR(INDEX(Aus_Fim,MATCH($B22,Aus_Ativa,0)),""))</f>
        <v/>
      </c>
      <c r="G22" s="22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inlineStr">
        <is>
          <t>X</t>
        </is>
      </c>
      <c r="R22" s="26" t="n"/>
      <c r="S22" s="26" t="n"/>
      <c r="T22" s="26" t="inlineStr">
        <is>
          <t>X</t>
        </is>
      </c>
      <c r="U22" s="26" t="n"/>
      <c r="V22" s="26" t="n"/>
      <c r="W22" s="26" t="n"/>
      <c r="X22" s="26" t="n"/>
      <c r="Y22" s="26" t="n"/>
      <c r="Z22" s="26" t="n"/>
      <c r="AA22" s="26" t="n"/>
      <c r="AB22" s="12">
        <f>IF($B22="","",COUNTIF($H22:$AA22,"X"))</f>
        <v/>
      </c>
    </row>
    <row r="23">
      <c r="A23" s="20" t="inlineStr">
        <is>
          <t>TEC-022</t>
        </is>
      </c>
      <c r="B23" s="22" t="inlineStr">
        <is>
          <t>Zuleide Marcon</t>
        </is>
      </c>
      <c r="C23" s="20" t="inlineStr"/>
      <c r="D23" s="20" t="inlineStr">
        <is>
          <t>Ativo</t>
        </is>
      </c>
      <c r="E23" s="11">
        <f>IF($B23="","",IF($D23&lt;&gt;"Ativo",$D23,IFERROR(INDEX(Aus_Tipo,MATCH($B23,Aus_Ativa,0)),"Disponível")))</f>
        <v/>
      </c>
      <c r="F23" s="15">
        <f>IF(OR($B23="",$E23="Disponível"),"",IFERROR(INDEX(Aus_Fim,MATCH($B23,Aus_Ativa,0)),""))</f>
        <v/>
      </c>
      <c r="G23" s="22" t="n"/>
      <c r="H23" s="26" t="n"/>
      <c r="I23" s="26" t="n"/>
      <c r="J23" s="26" t="inlineStr">
        <is>
          <t>X</t>
        </is>
      </c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inlineStr">
        <is>
          <t>X</t>
        </is>
      </c>
      <c r="X23" s="26" t="inlineStr">
        <is>
          <t>X</t>
        </is>
      </c>
      <c r="Y23" s="26" t="n"/>
      <c r="Z23" s="26" t="n"/>
      <c r="AA23" s="26" t="n"/>
      <c r="AB23" s="12">
        <f>IF($B23="","",COUNTIF($H23:$AA23,"X"))</f>
        <v/>
      </c>
    </row>
    <row r="24">
      <c r="A24" s="20" t="n"/>
      <c r="B24" s="22" t="n"/>
      <c r="C24" s="20" t="n"/>
      <c r="D24" s="20" t="n"/>
      <c r="E24" s="11">
        <f>IF($B24="","",IF($D24&lt;&gt;"Ativo",$D24,IFERROR(INDEX(Aus_Tipo,MATCH($B24,Aus_Ativa,0)),"Disponível")))</f>
        <v/>
      </c>
      <c r="F24" s="15">
        <f>IF(OR($B24="",$E24="Disponível"),"",IFERROR(INDEX(Aus_Fim,MATCH($B24,Aus_Ativa,0)),""))</f>
        <v/>
      </c>
      <c r="G24" s="22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12">
        <f>IF($B24="","",COUNTIF($H24:$AA24,"X"))</f>
        <v/>
      </c>
    </row>
    <row r="25">
      <c r="A25" s="20" t="n"/>
      <c r="B25" s="22" t="n"/>
      <c r="C25" s="20" t="n"/>
      <c r="D25" s="20" t="n"/>
      <c r="E25" s="11">
        <f>IF($B25="","",IF($D25&lt;&gt;"Ativo",$D25,IFERROR(INDEX(Aus_Tipo,MATCH($B25,Aus_Ativa,0)),"Disponível")))</f>
        <v/>
      </c>
      <c r="F25" s="15">
        <f>IF(OR($B25="",$E25="Disponível"),"",IFERROR(INDEX(Aus_Fim,MATCH($B25,Aus_Ativa,0)),""))</f>
        <v/>
      </c>
      <c r="G25" s="22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12">
        <f>IF($B25="","",COUNTIF($H25:$AA25,"X"))</f>
        <v/>
      </c>
    </row>
    <row r="26">
      <c r="A26" s="20" t="n"/>
      <c r="B26" s="22" t="n"/>
      <c r="C26" s="20" t="n"/>
      <c r="D26" s="20" t="n"/>
      <c r="E26" s="11">
        <f>IF($B26="","",IF($D26&lt;&gt;"Ativo",$D26,IFERROR(INDEX(Aus_Tipo,MATCH($B26,Aus_Ativa,0)),"Disponível")))</f>
        <v/>
      </c>
      <c r="F26" s="15">
        <f>IF(OR($B26="",$E26="Disponível"),"",IFERROR(INDEX(Aus_Fim,MATCH($B26,Aus_Ativa,0)),""))</f>
        <v/>
      </c>
      <c r="G26" s="22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12">
        <f>IF($B26="","",COUNTIF($H26:$AA26,"X"))</f>
        <v/>
      </c>
    </row>
    <row r="27">
      <c r="A27" s="20" t="n"/>
      <c r="B27" s="22" t="n"/>
      <c r="C27" s="20" t="n"/>
      <c r="D27" s="20" t="n"/>
      <c r="E27" s="11">
        <f>IF($B27="","",IF($D27&lt;&gt;"Ativo",$D27,IFERROR(INDEX(Aus_Tipo,MATCH($B27,Aus_Ativa,0)),"Disponível")))</f>
        <v/>
      </c>
      <c r="F27" s="15">
        <f>IF(OR($B27="",$E27="Disponível"),"",IFERROR(INDEX(Aus_Fim,MATCH($B27,Aus_Ativa,0)),""))</f>
        <v/>
      </c>
      <c r="G27" s="22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12">
        <f>IF($B27="","",COUNTIF($H27:$AA27,"X"))</f>
        <v/>
      </c>
    </row>
    <row r="28">
      <c r="A28" s="20" t="n"/>
      <c r="B28" s="22" t="n"/>
      <c r="C28" s="20" t="n"/>
      <c r="D28" s="20" t="n"/>
      <c r="E28" s="11">
        <f>IF($B28="","",IF($D28&lt;&gt;"Ativo",$D28,IFERROR(INDEX(Aus_Tipo,MATCH($B28,Aus_Ativa,0)),"Disponível")))</f>
        <v/>
      </c>
      <c r="F28" s="15">
        <f>IF(OR($B28="",$E28="Disponível"),"",IFERROR(INDEX(Aus_Fim,MATCH($B28,Aus_Ativa,0)),""))</f>
        <v/>
      </c>
      <c r="G28" s="22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12">
        <f>IF($B28="","",COUNTIF($H28:$AA28,"X"))</f>
        <v/>
      </c>
    </row>
    <row r="29">
      <c r="A29" s="20" t="n"/>
      <c r="B29" s="22" t="n"/>
      <c r="C29" s="20" t="n"/>
      <c r="D29" s="20" t="n"/>
      <c r="E29" s="11">
        <f>IF($B29="","",IF($D29&lt;&gt;"Ativo",$D29,IFERROR(INDEX(Aus_Tipo,MATCH($B29,Aus_Ativa,0)),"Disponível")))</f>
        <v/>
      </c>
      <c r="F29" s="15">
        <f>IF(OR($B29="",$E29="Disponível"),"",IFERROR(INDEX(Aus_Fim,MATCH($B29,Aus_Ativa,0)),""))</f>
        <v/>
      </c>
      <c r="G29" s="22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12">
        <f>IF($B29="","",COUNTIF($H29:$AA29,"X"))</f>
        <v/>
      </c>
    </row>
    <row r="30">
      <c r="A30" s="20" t="n"/>
      <c r="B30" s="22" t="n"/>
      <c r="C30" s="20" t="n"/>
      <c r="D30" s="20" t="n"/>
      <c r="E30" s="11">
        <f>IF($B30="","",IF($D30&lt;&gt;"Ativo",$D30,IFERROR(INDEX(Aus_Tipo,MATCH($B30,Aus_Ativa,0)),"Disponível")))</f>
        <v/>
      </c>
      <c r="F30" s="15">
        <f>IF(OR($B30="",$E30="Disponível"),"",IFERROR(INDEX(Aus_Fim,MATCH($B30,Aus_Ativa,0)),""))</f>
        <v/>
      </c>
      <c r="G30" s="22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12">
        <f>IF($B30="","",COUNTIF($H30:$AA30,"X"))</f>
        <v/>
      </c>
    </row>
    <row r="31">
      <c r="A31" s="20" t="n"/>
      <c r="B31" s="22" t="n"/>
      <c r="C31" s="20" t="n"/>
      <c r="D31" s="20" t="n"/>
      <c r="E31" s="11">
        <f>IF($B31="","",IF($D31&lt;&gt;"Ativo",$D31,IFERROR(INDEX(Aus_Tipo,MATCH($B31,Aus_Ativa,0)),"Disponível")))</f>
        <v/>
      </c>
      <c r="F31" s="15">
        <f>IF(OR($B31="",$E31="Disponível"),"",IFERROR(INDEX(Aus_Fim,MATCH($B31,Aus_Ativa,0)),""))</f>
        <v/>
      </c>
      <c r="G31" s="22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12">
        <f>IF($B31="","",COUNTIF($H31:$AA31,"X"))</f>
        <v/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0">
      <formula>"X"</formula>
    </cfRule>
  </conditionalFormatting>
  <conditionalFormatting sqref="E2:E31">
    <cfRule type="cellIs" priority="2" operator="equal" dxfId="0">
      <formula>"Disponível"</formula>
    </cfRule>
    <cfRule type="expression" priority="3" dxfId="1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5" t="inlineStr">
        <is>
          <t>Técnico</t>
        </is>
      </c>
      <c r="B1" s="5" t="inlineStr">
        <is>
          <t>Tipo</t>
        </is>
      </c>
      <c r="C1" s="5" t="inlineStr">
        <is>
          <t>Data início</t>
        </is>
      </c>
      <c r="D1" s="5" t="inlineStr">
        <is>
          <t>Data fim</t>
        </is>
      </c>
      <c r="E1" s="5" t="inlineStr">
        <is>
          <t>Dias</t>
        </is>
      </c>
      <c r="F1" s="5" t="inlineStr">
        <is>
          <t>Observação</t>
        </is>
      </c>
      <c r="G1" s="5" t="inlineStr">
        <is>
          <t>aux_ativa</t>
        </is>
      </c>
      <c r="H1" s="5" t="inlineStr">
        <is>
          <t>aux_cod</t>
        </is>
      </c>
      <c r="I1" s="27" t="inlineStr">
        <is>
          <t>Técnico</t>
        </is>
      </c>
      <c r="J1" s="28">
        <f>Periodo_Ini</f>
        <v/>
      </c>
      <c r="K1" s="28">
        <f>J1+1</f>
        <v/>
      </c>
      <c r="L1" s="28">
        <f>K1+1</f>
        <v/>
      </c>
      <c r="M1" s="28">
        <f>L1+1</f>
        <v/>
      </c>
      <c r="N1" s="28">
        <f>M1+1</f>
        <v/>
      </c>
      <c r="O1" s="28">
        <f>N1+1</f>
        <v/>
      </c>
      <c r="P1" s="28">
        <f>O1+1</f>
        <v/>
      </c>
      <c r="Q1" s="28">
        <f>P1+1</f>
        <v/>
      </c>
      <c r="R1" s="28">
        <f>Q1+1</f>
        <v/>
      </c>
      <c r="S1" s="28">
        <f>R1+1</f>
        <v/>
      </c>
      <c r="T1" s="28">
        <f>S1+1</f>
        <v/>
      </c>
      <c r="U1" s="28">
        <f>T1+1</f>
        <v/>
      </c>
      <c r="V1" s="28">
        <f>U1+1</f>
        <v/>
      </c>
      <c r="W1" s="28">
        <f>V1+1</f>
        <v/>
      </c>
      <c r="X1" s="28">
        <f>W1+1</f>
        <v/>
      </c>
      <c r="Y1" s="28">
        <f>X1+1</f>
        <v/>
      </c>
      <c r="Z1" s="28">
        <f>Y1+1</f>
        <v/>
      </c>
      <c r="AA1" s="28">
        <f>Z1+1</f>
        <v/>
      </c>
      <c r="AB1" s="28">
        <f>AA1+1</f>
        <v/>
      </c>
      <c r="AC1" s="28">
        <f>AB1+1</f>
        <v/>
      </c>
      <c r="AD1" s="28">
        <f>AC1+1</f>
        <v/>
      </c>
      <c r="AE1" s="28">
        <f>AD1+1</f>
        <v/>
      </c>
      <c r="AF1" s="28">
        <f>AE1+1</f>
        <v/>
      </c>
      <c r="AG1" s="28">
        <f>AF1+1</f>
        <v/>
      </c>
      <c r="AH1" s="28">
        <f>AG1+1</f>
        <v/>
      </c>
      <c r="AI1" s="28">
        <f>AH1+1</f>
        <v/>
      </c>
      <c r="AJ1" s="28">
        <f>AI1+1</f>
        <v/>
      </c>
      <c r="AK1" s="28">
        <f>AJ1+1</f>
        <v/>
      </c>
      <c r="AL1" s="28">
        <f>AK1+1</f>
        <v/>
      </c>
      <c r="AM1" s="28">
        <f>AL1+1</f>
        <v/>
      </c>
      <c r="AN1" s="28">
        <f>AM1+1</f>
        <v/>
      </c>
    </row>
    <row r="2">
      <c r="A2" s="22" t="inlineStr">
        <is>
          <t>Zuleide Marcon</t>
        </is>
      </c>
      <c r="B2" s="20" t="inlineStr">
        <is>
          <t>Férias</t>
        </is>
      </c>
      <c r="C2" s="19" t="n">
        <v>46244</v>
      </c>
      <c r="D2" s="19" t="n">
        <v>46258</v>
      </c>
      <c r="E2" s="12">
        <f>IF(OR($A2="",NOT(ISNUMBER($C2)),NOT(ISNUMBER($D2))),"",$D2-$C2+1)</f>
        <v/>
      </c>
      <c r="F2" s="22" t="inlineStr">
        <is>
          <t>Férias programadas</t>
        </is>
      </c>
      <c r="G2" s="24">
        <f>IF(AND($A2&lt;&gt;"",ISNUMBER($C2),ISNUMBER($D2),$C2&lt;=Data_Mapa,$D2&gt;=Data_Mapa),$A2,"")</f>
        <v/>
      </c>
      <c r="H2" s="24">
        <f>IF($A2="",0,IFERROR(MATCH($B2,Aus_Tipos,0),0))</f>
        <v/>
      </c>
      <c r="J2" s="29">
        <f>IF(J1="","",CHOOSE(WEEKDAY(J1),"dom","seg","ter","qua","qui","sex","sáb"))</f>
        <v/>
      </c>
      <c r="K2" s="29">
        <f>IF(K1="","",CHOOSE(WEEKDAY(K1),"dom","seg","ter","qua","qui","sex","sáb"))</f>
        <v/>
      </c>
      <c r="L2" s="29">
        <f>IF(L1="","",CHOOSE(WEEKDAY(L1),"dom","seg","ter","qua","qui","sex","sáb"))</f>
        <v/>
      </c>
      <c r="M2" s="29">
        <f>IF(M1="","",CHOOSE(WEEKDAY(M1),"dom","seg","ter","qua","qui","sex","sáb"))</f>
        <v/>
      </c>
      <c r="N2" s="29">
        <f>IF(N1="","",CHOOSE(WEEKDAY(N1),"dom","seg","ter","qua","qui","sex","sáb"))</f>
        <v/>
      </c>
      <c r="O2" s="29">
        <f>IF(O1="","",CHOOSE(WEEKDAY(O1),"dom","seg","ter","qua","qui","sex","sáb"))</f>
        <v/>
      </c>
      <c r="P2" s="29">
        <f>IF(P1="","",CHOOSE(WEEKDAY(P1),"dom","seg","ter","qua","qui","sex","sáb"))</f>
        <v/>
      </c>
      <c r="Q2" s="29">
        <f>IF(Q1="","",CHOOSE(WEEKDAY(Q1),"dom","seg","ter","qua","qui","sex","sáb"))</f>
        <v/>
      </c>
      <c r="R2" s="29">
        <f>IF(R1="","",CHOOSE(WEEKDAY(R1),"dom","seg","ter","qua","qui","sex","sáb"))</f>
        <v/>
      </c>
      <c r="S2" s="29">
        <f>IF(S1="","",CHOOSE(WEEKDAY(S1),"dom","seg","ter","qua","qui","sex","sáb"))</f>
        <v/>
      </c>
      <c r="T2" s="29">
        <f>IF(T1="","",CHOOSE(WEEKDAY(T1),"dom","seg","ter","qua","qui","sex","sáb"))</f>
        <v/>
      </c>
      <c r="U2" s="29">
        <f>IF(U1="","",CHOOSE(WEEKDAY(U1),"dom","seg","ter","qua","qui","sex","sáb"))</f>
        <v/>
      </c>
      <c r="V2" s="29">
        <f>IF(V1="","",CHOOSE(WEEKDAY(V1),"dom","seg","ter","qua","qui","sex","sáb"))</f>
        <v/>
      </c>
      <c r="W2" s="29">
        <f>IF(W1="","",CHOOSE(WEEKDAY(W1),"dom","seg","ter","qua","qui","sex","sáb"))</f>
        <v/>
      </c>
      <c r="X2" s="29">
        <f>IF(X1="","",CHOOSE(WEEKDAY(X1),"dom","seg","ter","qua","qui","sex","sáb"))</f>
        <v/>
      </c>
      <c r="Y2" s="29">
        <f>IF(Y1="","",CHOOSE(WEEKDAY(Y1),"dom","seg","ter","qua","qui","sex","sáb"))</f>
        <v/>
      </c>
      <c r="Z2" s="29">
        <f>IF(Z1="","",CHOOSE(WEEKDAY(Z1),"dom","seg","ter","qua","qui","sex","sáb"))</f>
        <v/>
      </c>
      <c r="AA2" s="29">
        <f>IF(AA1="","",CHOOSE(WEEKDAY(AA1),"dom","seg","ter","qua","qui","sex","sáb"))</f>
        <v/>
      </c>
      <c r="AB2" s="29">
        <f>IF(AB1="","",CHOOSE(WEEKDAY(AB1),"dom","seg","ter","qua","qui","sex","sáb"))</f>
        <v/>
      </c>
      <c r="AC2" s="29">
        <f>IF(AC1="","",CHOOSE(WEEKDAY(AC1),"dom","seg","ter","qua","qui","sex","sáb"))</f>
        <v/>
      </c>
      <c r="AD2" s="29">
        <f>IF(AD1="","",CHOOSE(WEEKDAY(AD1),"dom","seg","ter","qua","qui","sex","sáb"))</f>
        <v/>
      </c>
      <c r="AE2" s="29">
        <f>IF(AE1="","",CHOOSE(WEEKDAY(AE1),"dom","seg","ter","qua","qui","sex","sáb"))</f>
        <v/>
      </c>
      <c r="AF2" s="29">
        <f>IF(AF1="","",CHOOSE(WEEKDAY(AF1),"dom","seg","ter","qua","qui","sex","sáb"))</f>
        <v/>
      </c>
      <c r="AG2" s="29">
        <f>IF(AG1="","",CHOOSE(WEEKDAY(AG1),"dom","seg","ter","qua","qui","sex","sáb"))</f>
        <v/>
      </c>
      <c r="AH2" s="29">
        <f>IF(AH1="","",CHOOSE(WEEKDAY(AH1),"dom","seg","ter","qua","qui","sex","sáb"))</f>
        <v/>
      </c>
      <c r="AI2" s="29">
        <f>IF(AI1="","",CHOOSE(WEEKDAY(AI1),"dom","seg","ter","qua","qui","sex","sáb"))</f>
        <v/>
      </c>
      <c r="AJ2" s="29">
        <f>IF(AJ1="","",CHOOSE(WEEKDAY(AJ1),"dom","seg","ter","qua","qui","sex","sáb"))</f>
        <v/>
      </c>
      <c r="AK2" s="29">
        <f>IF(AK1="","",CHOOSE(WEEKDAY(AK1),"dom","seg","ter","qua","qui","sex","sáb"))</f>
        <v/>
      </c>
      <c r="AL2" s="29">
        <f>IF(AL1="","",CHOOSE(WEEKDAY(AL1),"dom","seg","ter","qua","qui","sex","sáb"))</f>
        <v/>
      </c>
      <c r="AM2" s="29">
        <f>IF(AM1="","",CHOOSE(WEEKDAY(AM1),"dom","seg","ter","qua","qui","sex","sáb"))</f>
        <v/>
      </c>
      <c r="AN2" s="29">
        <f>IF(AN1="","",CHOOSE(WEEKDAY(AN1),"dom","seg","ter","qua","qui","sex","sáb"))</f>
        <v/>
      </c>
    </row>
    <row r="3">
      <c r="A3" s="22" t="inlineStr">
        <is>
          <t>Ismael Kanitz</t>
        </is>
      </c>
      <c r="B3" s="20" t="inlineStr">
        <is>
          <t>Férias</t>
        </is>
      </c>
      <c r="C3" s="19" t="n">
        <v>46240</v>
      </c>
      <c r="D3" s="19" t="n">
        <v>46254</v>
      </c>
      <c r="E3" s="12">
        <f>IF(OR($A3="",NOT(ISNUMBER($C3)),NOT(ISNUMBER($D3))),"",$D3-$C3+1)</f>
        <v/>
      </c>
      <c r="F3" s="22" t="inlineStr">
        <is>
          <t>Férias programadas</t>
        </is>
      </c>
      <c r="G3" s="24">
        <f>IF(AND($A3&lt;&gt;"",ISNUMBER($C3),ISNUMBER($D3),$C3&lt;=Data_Mapa,$D3&gt;=Data_Mapa),$A3,"")</f>
        <v/>
      </c>
      <c r="H3" s="24">
        <f>IF($A3="",0,IFERROR(MATCH($B3,Aus_Tipos,0),0))</f>
        <v/>
      </c>
      <c r="I3" s="30">
        <f>IF('Equipe'!$B$2="","",'Equipe'!$B$2)</f>
        <v/>
      </c>
      <c r="J3" s="31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31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31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31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31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31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31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31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31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31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31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31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31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31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31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31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31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31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31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31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31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31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31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31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31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31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31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31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31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31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31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22" t="inlineStr">
        <is>
          <t>Wanessa Piccoli</t>
        </is>
      </c>
      <c r="B4" s="20" t="inlineStr">
        <is>
          <t>Atestado</t>
        </is>
      </c>
      <c r="C4" s="19" t="n">
        <v>46253</v>
      </c>
      <c r="D4" s="19" t="n">
        <v>46255</v>
      </c>
      <c r="E4" s="12">
        <f>IF(OR($A4="",NOT(ISNUMBER($C4)),NOT(ISNUMBER($D4))),"",$D4-$C4+1)</f>
        <v/>
      </c>
      <c r="F4" s="22" t="inlineStr">
        <is>
          <t>Atestado médico</t>
        </is>
      </c>
      <c r="G4" s="24">
        <f>IF(AND($A4&lt;&gt;"",ISNUMBER($C4),ISNUMBER($D4),$C4&lt;=Data_Mapa,$D4&gt;=Data_Mapa),$A4,"")</f>
        <v/>
      </c>
      <c r="H4" s="24">
        <f>IF($A4="",0,IFERROR(MATCH($B4,Aus_Tipos,0),0))</f>
        <v/>
      </c>
      <c r="I4" s="30">
        <f>IF('Equipe'!$B$3="","",'Equipe'!$B$3)</f>
        <v/>
      </c>
      <c r="J4" s="31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31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31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31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31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31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31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31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31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31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31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31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31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31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31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31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31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31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31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31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31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31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31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31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31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31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31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31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31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31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31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22" t="inlineStr">
        <is>
          <t>Elaine Mafra</t>
        </is>
      </c>
      <c r="B5" s="20" t="inlineStr">
        <is>
          <t>Folga</t>
        </is>
      </c>
      <c r="C5" s="19" t="n">
        <v>46254</v>
      </c>
      <c r="D5" s="19" t="n">
        <v>46254</v>
      </c>
      <c r="E5" s="12">
        <f>IF(OR($A5="",NOT(ISNUMBER($C5)),NOT(ISNUMBER($D5))),"",$D5-$C5+1)</f>
        <v/>
      </c>
      <c r="F5" s="22" t="inlineStr"/>
      <c r="G5" s="24">
        <f>IF(AND($A5&lt;&gt;"",ISNUMBER($C5),ISNUMBER($D5),$C5&lt;=Data_Mapa,$D5&gt;=Data_Mapa),$A5,"")</f>
        <v/>
      </c>
      <c r="H5" s="24">
        <f>IF($A5="",0,IFERROR(MATCH($B5,Aus_Tipos,0),0))</f>
        <v/>
      </c>
      <c r="I5" s="30">
        <f>IF('Equipe'!$B$4="","",'Equipe'!$B$4)</f>
        <v/>
      </c>
      <c r="J5" s="31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31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31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31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31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31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31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31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31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31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31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31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31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31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31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31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31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31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31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31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31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31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31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31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31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31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31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31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31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31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31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22" t="inlineStr">
        <is>
          <t>Adriana Salvi</t>
        </is>
      </c>
      <c r="B6" s="20" t="inlineStr">
        <is>
          <t>Folga</t>
        </is>
      </c>
      <c r="C6" s="19" t="n">
        <v>46246</v>
      </c>
      <c r="D6" s="19" t="n">
        <v>46246</v>
      </c>
      <c r="E6" s="12">
        <f>IF(OR($A6="",NOT(ISNUMBER($C6)),NOT(ISNUMBER($D6))),"",$D6-$C6+1)</f>
        <v/>
      </c>
      <c r="F6" s="22" t="inlineStr"/>
      <c r="G6" s="24">
        <f>IF(AND($A6&lt;&gt;"",ISNUMBER($C6),ISNUMBER($D6),$C6&lt;=Data_Mapa,$D6&gt;=Data_Mapa),$A6,"")</f>
        <v/>
      </c>
      <c r="H6" s="24">
        <f>IF($A6="",0,IFERROR(MATCH($B6,Aus_Tipos,0),0))</f>
        <v/>
      </c>
      <c r="I6" s="30">
        <f>IF('Equipe'!$B$5="","",'Equipe'!$B$5)</f>
        <v/>
      </c>
      <c r="J6" s="31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31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31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31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31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31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31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31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31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31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31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31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31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31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31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31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31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31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31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31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31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31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31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31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31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31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31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31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31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31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31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22" t="inlineStr">
        <is>
          <t>Bruna Cordeiro</t>
        </is>
      </c>
      <c r="B7" s="20" t="inlineStr">
        <is>
          <t>Folga</t>
        </is>
      </c>
      <c r="C7" s="19" t="n">
        <v>46247</v>
      </c>
      <c r="D7" s="19" t="n">
        <v>46247</v>
      </c>
      <c r="E7" s="12">
        <f>IF(OR($A7="",NOT(ISNUMBER($C7)),NOT(ISNUMBER($D7))),"",$D7-$C7+1)</f>
        <v/>
      </c>
      <c r="F7" s="22" t="inlineStr"/>
      <c r="G7" s="24">
        <f>IF(AND($A7&lt;&gt;"",ISNUMBER($C7),ISNUMBER($D7),$C7&lt;=Data_Mapa,$D7&gt;=Data_Mapa),$A7,"")</f>
        <v/>
      </c>
      <c r="H7" s="24">
        <f>IF($A7="",0,IFERROR(MATCH($B7,Aus_Tipos,0),0))</f>
        <v/>
      </c>
      <c r="I7" s="30">
        <f>IF('Equipe'!$B$6="","",'Equipe'!$B$6)</f>
        <v/>
      </c>
      <c r="J7" s="31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31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31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31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31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31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31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31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31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31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31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31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31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31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31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31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31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31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31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31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31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31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31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31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31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31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31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31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31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31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31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22" t="inlineStr">
        <is>
          <t>Camila Bertoldi</t>
        </is>
      </c>
      <c r="B8" s="20" t="inlineStr">
        <is>
          <t>Folga</t>
        </is>
      </c>
      <c r="C8" s="19" t="n">
        <v>46251</v>
      </c>
      <c r="D8" s="19" t="n">
        <v>46251</v>
      </c>
      <c r="E8" s="12">
        <f>IF(OR($A8="",NOT(ISNUMBER($C8)),NOT(ISNUMBER($D8))),"",$D8-$C8+1)</f>
        <v/>
      </c>
      <c r="F8" s="22" t="inlineStr"/>
      <c r="G8" s="24">
        <f>IF(AND($A8&lt;&gt;"",ISNUMBER($C8),ISNUMBER($D8),$C8&lt;=Data_Mapa,$D8&gt;=Data_Mapa),$A8,"")</f>
        <v/>
      </c>
      <c r="H8" s="24">
        <f>IF($A8="",0,IFERROR(MATCH($B8,Aus_Tipos,0),0))</f>
        <v/>
      </c>
      <c r="I8" s="30">
        <f>IF('Equipe'!$B$7="","",'Equipe'!$B$7)</f>
        <v/>
      </c>
      <c r="J8" s="31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31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31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31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31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31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31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31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31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31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31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31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31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31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31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31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31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31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31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31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31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31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31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31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31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31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31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31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31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31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31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22" t="inlineStr">
        <is>
          <t>Daiane Prestes</t>
        </is>
      </c>
      <c r="B9" s="20" t="inlineStr">
        <is>
          <t>Folga</t>
        </is>
      </c>
      <c r="C9" s="19" t="n">
        <v>46252</v>
      </c>
      <c r="D9" s="19" t="n">
        <v>46252</v>
      </c>
      <c r="E9" s="12">
        <f>IF(OR($A9="",NOT(ISNUMBER($C9)),NOT(ISNUMBER($D9))),"",$D9-$C9+1)</f>
        <v/>
      </c>
      <c r="F9" s="22" t="inlineStr"/>
      <c r="G9" s="24">
        <f>IF(AND($A9&lt;&gt;"",ISNUMBER($C9),ISNUMBER($D9),$C9&lt;=Data_Mapa,$D9&gt;=Data_Mapa),$A9,"")</f>
        <v/>
      </c>
      <c r="H9" s="24">
        <f>IF($A9="",0,IFERROR(MATCH($B9,Aus_Tipos,0),0))</f>
        <v/>
      </c>
      <c r="I9" s="30">
        <f>IF('Equipe'!$B$8="","",'Equipe'!$B$8)</f>
        <v/>
      </c>
      <c r="J9" s="31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31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31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31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31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31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31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31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31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31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31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31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31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31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31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31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31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31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31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31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31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31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31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31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31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31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31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31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31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31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31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22" t="inlineStr">
        <is>
          <t>Gisele Antunes</t>
        </is>
      </c>
      <c r="B10" s="20" t="inlineStr">
        <is>
          <t>Treinamento</t>
        </is>
      </c>
      <c r="C10" s="19" t="n">
        <v>46260</v>
      </c>
      <c r="D10" s="19" t="n">
        <v>46261</v>
      </c>
      <c r="E10" s="12">
        <f>IF(OR($A10="",NOT(ISNUMBER($C10)),NOT(ISNUMBER($D10))),"",$D10-$C10+1)</f>
        <v/>
      </c>
      <c r="F10" s="22" t="inlineStr">
        <is>
          <t>Curso de CME</t>
        </is>
      </c>
      <c r="G10" s="24">
        <f>IF(AND($A10&lt;&gt;"",ISNUMBER($C10),ISNUMBER($D10),$C10&lt;=Data_Mapa,$D10&gt;=Data_Mapa),$A10,"")</f>
        <v/>
      </c>
      <c r="H10" s="24">
        <f>IF($A10="",0,IFERROR(MATCH($B10,Aus_Tipos,0),0))</f>
        <v/>
      </c>
      <c r="I10" s="30">
        <f>IF('Equipe'!$B$9="","",'Equipe'!$B$9)</f>
        <v/>
      </c>
      <c r="J10" s="31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31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31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31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31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31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31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31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31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31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31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31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31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31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31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31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31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31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31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31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31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31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31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31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31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31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31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31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31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31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31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22" t="inlineStr">
        <is>
          <t>Odair Bianchi</t>
        </is>
      </c>
      <c r="B11" s="20" t="inlineStr">
        <is>
          <t>Licença</t>
        </is>
      </c>
      <c r="C11" s="19" t="n">
        <v>46262</v>
      </c>
      <c r="D11" s="19" t="n">
        <v>46265</v>
      </c>
      <c r="E11" s="12">
        <f>IF(OR($A11="",NOT(ISNUMBER($C11)),NOT(ISNUMBER($D11))),"",$D11-$C11+1)</f>
        <v/>
      </c>
      <c r="F11" s="22" t="inlineStr"/>
      <c r="G11" s="24">
        <f>IF(AND($A11&lt;&gt;"",ISNUMBER($C11),ISNUMBER($D11),$C11&lt;=Data_Mapa,$D11&gt;=Data_Mapa),$A11,"")</f>
        <v/>
      </c>
      <c r="H11" s="24">
        <f>IF($A11="",0,IFERROR(MATCH($B11,Aus_Tipos,0),0))</f>
        <v/>
      </c>
      <c r="I11" s="30">
        <f>IF('Equipe'!$B$10="","",'Equipe'!$B$10)</f>
        <v/>
      </c>
      <c r="J11" s="31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31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31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31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31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31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31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31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31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31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31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31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31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31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31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31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31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31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31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31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31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31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31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31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31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31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31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31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31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31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31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22" t="n"/>
      <c r="B12" s="20" t="n"/>
      <c r="C12" s="19" t="n"/>
      <c r="D12" s="19" t="n"/>
      <c r="E12" s="12">
        <f>IF(OR($A12="",NOT(ISNUMBER($C12)),NOT(ISNUMBER($D12))),"",$D12-$C12+1)</f>
        <v/>
      </c>
      <c r="F12" s="22" t="n"/>
      <c r="G12" s="24">
        <f>IF(AND($A12&lt;&gt;"",ISNUMBER($C12),ISNUMBER($D12),$C12&lt;=Data_Mapa,$D12&gt;=Data_Mapa),$A12,"")</f>
        <v/>
      </c>
      <c r="H12" s="24">
        <f>IF($A12="",0,IFERROR(MATCH($B12,Aus_Tipos,0),0))</f>
        <v/>
      </c>
      <c r="I12" s="30">
        <f>IF('Equipe'!$B$11="","",'Equipe'!$B$11)</f>
        <v/>
      </c>
      <c r="J12" s="31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31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31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31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31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31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31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31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31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31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31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31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31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31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31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31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31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31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31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31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31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31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31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31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31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31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31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31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31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31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31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22" t="n"/>
      <c r="B13" s="20" t="n"/>
      <c r="C13" s="19" t="n"/>
      <c r="D13" s="19" t="n"/>
      <c r="E13" s="12">
        <f>IF(OR($A13="",NOT(ISNUMBER($C13)),NOT(ISNUMBER($D13))),"",$D13-$C13+1)</f>
        <v/>
      </c>
      <c r="F13" s="22" t="n"/>
      <c r="G13" s="24">
        <f>IF(AND($A13&lt;&gt;"",ISNUMBER($C13),ISNUMBER($D13),$C13&lt;=Data_Mapa,$D13&gt;=Data_Mapa),$A13,"")</f>
        <v/>
      </c>
      <c r="H13" s="24">
        <f>IF($A13="",0,IFERROR(MATCH($B13,Aus_Tipos,0),0))</f>
        <v/>
      </c>
      <c r="I13" s="30">
        <f>IF('Equipe'!$B$12="","",'Equipe'!$B$12)</f>
        <v/>
      </c>
      <c r="J13" s="31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31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31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31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31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31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31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31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31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31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31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31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31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31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31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31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31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31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31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31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31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31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31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31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31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31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31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31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31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31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31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22" t="n"/>
      <c r="B14" s="20" t="n"/>
      <c r="C14" s="19" t="n"/>
      <c r="D14" s="19" t="n"/>
      <c r="E14" s="12">
        <f>IF(OR($A14="",NOT(ISNUMBER($C14)),NOT(ISNUMBER($D14))),"",$D14-$C14+1)</f>
        <v/>
      </c>
      <c r="F14" s="22" t="n"/>
      <c r="G14" s="24">
        <f>IF(AND($A14&lt;&gt;"",ISNUMBER($C14),ISNUMBER($D14),$C14&lt;=Data_Mapa,$D14&gt;=Data_Mapa),$A14,"")</f>
        <v/>
      </c>
      <c r="H14" s="24">
        <f>IF($A14="",0,IFERROR(MATCH($B14,Aus_Tipos,0),0))</f>
        <v/>
      </c>
      <c r="I14" s="30">
        <f>IF('Equipe'!$B$13="","",'Equipe'!$B$13)</f>
        <v/>
      </c>
      <c r="J14" s="31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31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31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31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31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31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31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31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31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31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31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31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31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31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31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31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31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31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31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31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31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31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31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31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31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31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31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31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31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31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31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22" t="n"/>
      <c r="B15" s="20" t="n"/>
      <c r="C15" s="19" t="n"/>
      <c r="D15" s="19" t="n"/>
      <c r="E15" s="12">
        <f>IF(OR($A15="",NOT(ISNUMBER($C15)),NOT(ISNUMBER($D15))),"",$D15-$C15+1)</f>
        <v/>
      </c>
      <c r="F15" s="22" t="n"/>
      <c r="G15" s="24">
        <f>IF(AND($A15&lt;&gt;"",ISNUMBER($C15),ISNUMBER($D15),$C15&lt;=Data_Mapa,$D15&gt;=Data_Mapa),$A15,"")</f>
        <v/>
      </c>
      <c r="H15" s="24">
        <f>IF($A15="",0,IFERROR(MATCH($B15,Aus_Tipos,0),0))</f>
        <v/>
      </c>
      <c r="I15" s="30">
        <f>IF('Equipe'!$B$14="","",'Equipe'!$B$14)</f>
        <v/>
      </c>
      <c r="J15" s="31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31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31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31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31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31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31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31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31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31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31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31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31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31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31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31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31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31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31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31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31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31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31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31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31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31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31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31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31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31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31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22" t="n"/>
      <c r="B16" s="20" t="n"/>
      <c r="C16" s="19" t="n"/>
      <c r="D16" s="19" t="n"/>
      <c r="E16" s="12">
        <f>IF(OR($A16="",NOT(ISNUMBER($C16)),NOT(ISNUMBER($D16))),"",$D16-$C16+1)</f>
        <v/>
      </c>
      <c r="F16" s="22" t="n"/>
      <c r="G16" s="24">
        <f>IF(AND($A16&lt;&gt;"",ISNUMBER($C16),ISNUMBER($D16),$C16&lt;=Data_Mapa,$D16&gt;=Data_Mapa),$A16,"")</f>
        <v/>
      </c>
      <c r="H16" s="24">
        <f>IF($A16="",0,IFERROR(MATCH($B16,Aus_Tipos,0),0))</f>
        <v/>
      </c>
      <c r="I16" s="30">
        <f>IF('Equipe'!$B$15="","",'Equipe'!$B$15)</f>
        <v/>
      </c>
      <c r="J16" s="31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31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31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31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31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31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31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31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31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31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31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31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31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31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31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31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31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31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31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31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31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31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31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31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31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31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31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31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31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31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31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22" t="n"/>
      <c r="B17" s="20" t="n"/>
      <c r="C17" s="19" t="n"/>
      <c r="D17" s="19" t="n"/>
      <c r="E17" s="12">
        <f>IF(OR($A17="",NOT(ISNUMBER($C17)),NOT(ISNUMBER($D17))),"",$D17-$C17+1)</f>
        <v/>
      </c>
      <c r="F17" s="22" t="n"/>
      <c r="G17" s="24">
        <f>IF(AND($A17&lt;&gt;"",ISNUMBER($C17),ISNUMBER($D17),$C17&lt;=Data_Mapa,$D17&gt;=Data_Mapa),$A17,"")</f>
        <v/>
      </c>
      <c r="H17" s="24">
        <f>IF($A17="",0,IFERROR(MATCH($B17,Aus_Tipos,0),0))</f>
        <v/>
      </c>
      <c r="I17" s="30">
        <f>IF('Equipe'!$B$16="","",'Equipe'!$B$16)</f>
        <v/>
      </c>
      <c r="J17" s="31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31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31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31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31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31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31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31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31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31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31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31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31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31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31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31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31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31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31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31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31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31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31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31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31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31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31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31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31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31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31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22" t="n"/>
      <c r="B18" s="20" t="n"/>
      <c r="C18" s="19" t="n"/>
      <c r="D18" s="19" t="n"/>
      <c r="E18" s="12">
        <f>IF(OR($A18="",NOT(ISNUMBER($C18)),NOT(ISNUMBER($D18))),"",$D18-$C18+1)</f>
        <v/>
      </c>
      <c r="F18" s="22" t="n"/>
      <c r="G18" s="24">
        <f>IF(AND($A18&lt;&gt;"",ISNUMBER($C18),ISNUMBER($D18),$C18&lt;=Data_Mapa,$D18&gt;=Data_Mapa),$A18,"")</f>
        <v/>
      </c>
      <c r="H18" s="24">
        <f>IF($A18="",0,IFERROR(MATCH($B18,Aus_Tipos,0),0))</f>
        <v/>
      </c>
      <c r="I18" s="30">
        <f>IF('Equipe'!$B$17="","",'Equipe'!$B$17)</f>
        <v/>
      </c>
      <c r="J18" s="31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31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31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31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31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31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31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31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31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31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31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31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31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31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31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31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31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31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31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31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31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31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31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31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31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31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31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31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31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31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31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22" t="n"/>
      <c r="B19" s="20" t="n"/>
      <c r="C19" s="19" t="n"/>
      <c r="D19" s="19" t="n"/>
      <c r="E19" s="12">
        <f>IF(OR($A19="",NOT(ISNUMBER($C19)),NOT(ISNUMBER($D19))),"",$D19-$C19+1)</f>
        <v/>
      </c>
      <c r="F19" s="22" t="n"/>
      <c r="G19" s="24">
        <f>IF(AND($A19&lt;&gt;"",ISNUMBER($C19),ISNUMBER($D19),$C19&lt;=Data_Mapa,$D19&gt;=Data_Mapa),$A19,"")</f>
        <v/>
      </c>
      <c r="H19" s="24">
        <f>IF($A19="",0,IFERROR(MATCH($B19,Aus_Tipos,0),0))</f>
        <v/>
      </c>
      <c r="I19" s="30">
        <f>IF('Equipe'!$B$18="","",'Equipe'!$B$18)</f>
        <v/>
      </c>
      <c r="J19" s="31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31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31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31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31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31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31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31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31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31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31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31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31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31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31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31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31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31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31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31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31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31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31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31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31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31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31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31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31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31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31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22" t="n"/>
      <c r="B20" s="20" t="n"/>
      <c r="C20" s="19" t="n"/>
      <c r="D20" s="19" t="n"/>
      <c r="E20" s="12">
        <f>IF(OR($A20="",NOT(ISNUMBER($C20)),NOT(ISNUMBER($D20))),"",$D20-$C20+1)</f>
        <v/>
      </c>
      <c r="F20" s="22" t="n"/>
      <c r="G20" s="24">
        <f>IF(AND($A20&lt;&gt;"",ISNUMBER($C20),ISNUMBER($D20),$C20&lt;=Data_Mapa,$D20&gt;=Data_Mapa),$A20,"")</f>
        <v/>
      </c>
      <c r="H20" s="24">
        <f>IF($A20="",0,IFERROR(MATCH($B20,Aus_Tipos,0),0))</f>
        <v/>
      </c>
      <c r="I20" s="30">
        <f>IF('Equipe'!$B$19="","",'Equipe'!$B$19)</f>
        <v/>
      </c>
      <c r="J20" s="31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31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31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31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31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31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31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31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31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31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31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31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31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31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31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31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31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31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31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31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31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31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31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31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31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31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31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31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31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31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31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22" t="n"/>
      <c r="B21" s="20" t="n"/>
      <c r="C21" s="19" t="n"/>
      <c r="D21" s="19" t="n"/>
      <c r="E21" s="12">
        <f>IF(OR($A21="",NOT(ISNUMBER($C21)),NOT(ISNUMBER($D21))),"",$D21-$C21+1)</f>
        <v/>
      </c>
      <c r="F21" s="22" t="n"/>
      <c r="G21" s="24">
        <f>IF(AND($A21&lt;&gt;"",ISNUMBER($C21),ISNUMBER($D21),$C21&lt;=Data_Mapa,$D21&gt;=Data_Mapa),$A21,"")</f>
        <v/>
      </c>
      <c r="H21" s="24">
        <f>IF($A21="",0,IFERROR(MATCH($B21,Aus_Tipos,0),0))</f>
        <v/>
      </c>
      <c r="I21" s="30">
        <f>IF('Equipe'!$B$20="","",'Equipe'!$B$20)</f>
        <v/>
      </c>
      <c r="J21" s="31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31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31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31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31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31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31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31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31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31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31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31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31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31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31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31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31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31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31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31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31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31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31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31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31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31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31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31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31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31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31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22" t="n"/>
      <c r="B22" s="20" t="n"/>
      <c r="C22" s="19" t="n"/>
      <c r="D22" s="19" t="n"/>
      <c r="E22" s="12">
        <f>IF(OR($A22="",NOT(ISNUMBER($C22)),NOT(ISNUMBER($D22))),"",$D22-$C22+1)</f>
        <v/>
      </c>
      <c r="F22" s="22" t="n"/>
      <c r="G22" s="24">
        <f>IF(AND($A22&lt;&gt;"",ISNUMBER($C22),ISNUMBER($D22),$C22&lt;=Data_Mapa,$D22&gt;=Data_Mapa),$A22,"")</f>
        <v/>
      </c>
      <c r="H22" s="24">
        <f>IF($A22="",0,IFERROR(MATCH($B22,Aus_Tipos,0),0))</f>
        <v/>
      </c>
      <c r="I22" s="30">
        <f>IF('Equipe'!$B$21="","",'Equipe'!$B$21)</f>
        <v/>
      </c>
      <c r="J22" s="31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31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31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31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31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31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31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31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31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31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31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31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31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31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31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31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31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31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31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31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31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31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31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31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31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31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31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31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31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31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31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22" t="n"/>
      <c r="B23" s="20" t="n"/>
      <c r="C23" s="19" t="n"/>
      <c r="D23" s="19" t="n"/>
      <c r="E23" s="12">
        <f>IF(OR($A23="",NOT(ISNUMBER($C23)),NOT(ISNUMBER($D23))),"",$D23-$C23+1)</f>
        <v/>
      </c>
      <c r="F23" s="22" t="n"/>
      <c r="G23" s="24">
        <f>IF(AND($A23&lt;&gt;"",ISNUMBER($C23),ISNUMBER($D23),$C23&lt;=Data_Mapa,$D23&gt;=Data_Mapa),$A23,"")</f>
        <v/>
      </c>
      <c r="H23" s="24">
        <f>IF($A23="",0,IFERROR(MATCH($B23,Aus_Tipos,0),0))</f>
        <v/>
      </c>
      <c r="I23" s="30">
        <f>IF('Equipe'!$B$22="","",'Equipe'!$B$22)</f>
        <v/>
      </c>
      <c r="J23" s="31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31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31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31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31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31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31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31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31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31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31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31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31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31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31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31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31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31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31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31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31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31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31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31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31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31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31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31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31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31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31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22" t="n"/>
      <c r="B24" s="20" t="n"/>
      <c r="C24" s="19" t="n"/>
      <c r="D24" s="19" t="n"/>
      <c r="E24" s="12">
        <f>IF(OR($A24="",NOT(ISNUMBER($C24)),NOT(ISNUMBER($D24))),"",$D24-$C24+1)</f>
        <v/>
      </c>
      <c r="F24" s="22" t="n"/>
      <c r="G24" s="24">
        <f>IF(AND($A24&lt;&gt;"",ISNUMBER($C24),ISNUMBER($D24),$C24&lt;=Data_Mapa,$D24&gt;=Data_Mapa),$A24,"")</f>
        <v/>
      </c>
      <c r="H24" s="24">
        <f>IF($A24="",0,IFERROR(MATCH($B24,Aus_Tipos,0),0))</f>
        <v/>
      </c>
      <c r="I24" s="30">
        <f>IF('Equipe'!$B$23="","",'Equipe'!$B$23)</f>
        <v/>
      </c>
      <c r="J24" s="31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31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31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31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31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31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31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31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31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31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31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31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31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31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31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31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31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31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31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31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31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31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31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31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31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31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31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31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31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31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31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22" t="n"/>
      <c r="B25" s="20" t="n"/>
      <c r="C25" s="19" t="n"/>
      <c r="D25" s="19" t="n"/>
      <c r="E25" s="12">
        <f>IF(OR($A25="",NOT(ISNUMBER($C25)),NOT(ISNUMBER($D25))),"",$D25-$C25+1)</f>
        <v/>
      </c>
      <c r="F25" s="22" t="n"/>
      <c r="G25" s="24">
        <f>IF(AND($A25&lt;&gt;"",ISNUMBER($C25),ISNUMBER($D25),$C25&lt;=Data_Mapa,$D25&gt;=Data_Mapa),$A25,"")</f>
        <v/>
      </c>
      <c r="H25" s="24">
        <f>IF($A25="",0,IFERROR(MATCH($B25,Aus_Tipos,0),0))</f>
        <v/>
      </c>
      <c r="I25" s="30">
        <f>IF('Equipe'!$B$24="","",'Equipe'!$B$24)</f>
        <v/>
      </c>
      <c r="J25" s="31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31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31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31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31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31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31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31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31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31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31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31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31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31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31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31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31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31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31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31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31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31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31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31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31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31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31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31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31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31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31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22" t="n"/>
      <c r="B26" s="20" t="n"/>
      <c r="C26" s="19" t="n"/>
      <c r="D26" s="19" t="n"/>
      <c r="E26" s="12">
        <f>IF(OR($A26="",NOT(ISNUMBER($C26)),NOT(ISNUMBER($D26))),"",$D26-$C26+1)</f>
        <v/>
      </c>
      <c r="F26" s="22" t="n"/>
      <c r="G26" s="24">
        <f>IF(AND($A26&lt;&gt;"",ISNUMBER($C26),ISNUMBER($D26),$C26&lt;=Data_Mapa,$D26&gt;=Data_Mapa),$A26,"")</f>
        <v/>
      </c>
      <c r="H26" s="24">
        <f>IF($A26="",0,IFERROR(MATCH($B26,Aus_Tipos,0),0))</f>
        <v/>
      </c>
      <c r="I26" s="30">
        <f>IF('Equipe'!$B$25="","",'Equipe'!$B$25)</f>
        <v/>
      </c>
      <c r="J26" s="31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31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31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31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31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31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31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31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31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31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31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31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31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31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31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31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31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31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31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31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31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31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31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31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31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31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31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31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31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31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31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22" t="n"/>
      <c r="B27" s="20" t="n"/>
      <c r="C27" s="19" t="n"/>
      <c r="D27" s="19" t="n"/>
      <c r="E27" s="12">
        <f>IF(OR($A27="",NOT(ISNUMBER($C27)),NOT(ISNUMBER($D27))),"",$D27-$C27+1)</f>
        <v/>
      </c>
      <c r="F27" s="22" t="n"/>
      <c r="G27" s="24">
        <f>IF(AND($A27&lt;&gt;"",ISNUMBER($C27),ISNUMBER($D27),$C27&lt;=Data_Mapa,$D27&gt;=Data_Mapa),$A27,"")</f>
        <v/>
      </c>
      <c r="H27" s="24">
        <f>IF($A27="",0,IFERROR(MATCH($B27,Aus_Tipos,0),0))</f>
        <v/>
      </c>
      <c r="I27" s="30">
        <f>IF('Equipe'!$B$26="","",'Equipe'!$B$26)</f>
        <v/>
      </c>
      <c r="J27" s="31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31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31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31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31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31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31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31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31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31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31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31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31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31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31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31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31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31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31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31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31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31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31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31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31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31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31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31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31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31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31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22" t="n"/>
      <c r="B28" s="20" t="n"/>
      <c r="C28" s="19" t="n"/>
      <c r="D28" s="19" t="n"/>
      <c r="E28" s="12">
        <f>IF(OR($A28="",NOT(ISNUMBER($C28)),NOT(ISNUMBER($D28))),"",$D28-$C28+1)</f>
        <v/>
      </c>
      <c r="F28" s="22" t="n"/>
      <c r="G28" s="24">
        <f>IF(AND($A28&lt;&gt;"",ISNUMBER($C28),ISNUMBER($D28),$C28&lt;=Data_Mapa,$D28&gt;=Data_Mapa),$A28,"")</f>
        <v/>
      </c>
      <c r="H28" s="24">
        <f>IF($A28="",0,IFERROR(MATCH($B28,Aus_Tipos,0),0))</f>
        <v/>
      </c>
      <c r="I28" s="30">
        <f>IF('Equipe'!$B$27="","",'Equipe'!$B$27)</f>
        <v/>
      </c>
      <c r="J28" s="31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31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31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31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31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31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31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31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31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31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31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31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31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31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31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31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31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31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31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31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31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31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31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31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31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31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31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31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31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31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31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22" t="n"/>
      <c r="B29" s="20" t="n"/>
      <c r="C29" s="19" t="n"/>
      <c r="D29" s="19" t="n"/>
      <c r="E29" s="12">
        <f>IF(OR($A29="",NOT(ISNUMBER($C29)),NOT(ISNUMBER($D29))),"",$D29-$C29+1)</f>
        <v/>
      </c>
      <c r="F29" s="22" t="n"/>
      <c r="G29" s="24">
        <f>IF(AND($A29&lt;&gt;"",ISNUMBER($C29),ISNUMBER($D29),$C29&lt;=Data_Mapa,$D29&gt;=Data_Mapa),$A29,"")</f>
        <v/>
      </c>
      <c r="H29" s="24">
        <f>IF($A29="",0,IFERROR(MATCH($B29,Aus_Tipos,0),0))</f>
        <v/>
      </c>
      <c r="I29" s="30">
        <f>IF('Equipe'!$B$28="","",'Equipe'!$B$28)</f>
        <v/>
      </c>
      <c r="J29" s="31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31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31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31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31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31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31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31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31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31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31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31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31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31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31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31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31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31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31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31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31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31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31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31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31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31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31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31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31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31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31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22" t="n"/>
      <c r="B30" s="20" t="n"/>
      <c r="C30" s="19" t="n"/>
      <c r="D30" s="19" t="n"/>
      <c r="E30" s="12">
        <f>IF(OR($A30="",NOT(ISNUMBER($C30)),NOT(ISNUMBER($D30))),"",$D30-$C30+1)</f>
        <v/>
      </c>
      <c r="F30" s="22" t="n"/>
      <c r="G30" s="24">
        <f>IF(AND($A30&lt;&gt;"",ISNUMBER($C30),ISNUMBER($D30),$C30&lt;=Data_Mapa,$D30&gt;=Data_Mapa),$A30,"")</f>
        <v/>
      </c>
      <c r="H30" s="24">
        <f>IF($A30="",0,IFERROR(MATCH($B30,Aus_Tipos,0),0))</f>
        <v/>
      </c>
      <c r="I30" s="30">
        <f>IF('Equipe'!$B$29="","",'Equipe'!$B$29)</f>
        <v/>
      </c>
      <c r="J30" s="31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31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31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31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31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31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31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31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31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31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31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31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31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31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31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31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31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31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31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31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31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31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31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31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31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31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31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31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31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31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31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22" t="n"/>
      <c r="B31" s="20" t="n"/>
      <c r="C31" s="19" t="n"/>
      <c r="D31" s="19" t="n"/>
      <c r="E31" s="12">
        <f>IF(OR($A31="",NOT(ISNUMBER($C31)),NOT(ISNUMBER($D31))),"",$D31-$C31+1)</f>
        <v/>
      </c>
      <c r="F31" s="22" t="n"/>
      <c r="G31" s="24">
        <f>IF(AND($A31&lt;&gt;"",ISNUMBER($C31),ISNUMBER($D31),$C31&lt;=Data_Mapa,$D31&gt;=Data_Mapa),$A31,"")</f>
        <v/>
      </c>
      <c r="H31" s="24">
        <f>IF($A31="",0,IFERROR(MATCH($B31,Aus_Tipos,0),0))</f>
        <v/>
      </c>
      <c r="I31" s="30">
        <f>IF('Equipe'!$B$30="","",'Equipe'!$B$30)</f>
        <v/>
      </c>
      <c r="J31" s="31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31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31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31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31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31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31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31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31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31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31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31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31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31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31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31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31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31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31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31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31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31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31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31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31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31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31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31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31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31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31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22" t="n"/>
      <c r="B32" s="20" t="n"/>
      <c r="C32" s="19" t="n"/>
      <c r="D32" s="19" t="n"/>
      <c r="E32" s="12">
        <f>IF(OR($A32="",NOT(ISNUMBER($C32)),NOT(ISNUMBER($D32))),"",$D32-$C32+1)</f>
        <v/>
      </c>
      <c r="F32" s="22" t="n"/>
      <c r="G32" s="24">
        <f>IF(AND($A32&lt;&gt;"",ISNUMBER($C32),ISNUMBER($D32),$C32&lt;=Data_Mapa,$D32&gt;=Data_Mapa),$A32,"")</f>
        <v/>
      </c>
      <c r="H32" s="24">
        <f>IF($A32="",0,IFERROR(MATCH($B32,Aus_Tipos,0),0))</f>
        <v/>
      </c>
      <c r="I32" s="30">
        <f>IF('Equipe'!$B$31="","",'Equipe'!$B$31)</f>
        <v/>
      </c>
      <c r="J32" s="31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31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31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31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31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31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31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31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31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31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31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31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31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31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31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31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31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31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31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31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31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31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31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31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31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31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31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31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31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31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31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22" t="n"/>
      <c r="B33" s="20" t="n"/>
      <c r="C33" s="19" t="n"/>
      <c r="D33" s="19" t="n"/>
      <c r="E33" s="12">
        <f>IF(OR($A33="",NOT(ISNUMBER($C33)),NOT(ISNUMBER($D33))),"",$D33-$C33+1)</f>
        <v/>
      </c>
      <c r="F33" s="22" t="n"/>
      <c r="G33" s="24">
        <f>IF(AND($A33&lt;&gt;"",ISNUMBER($C33),ISNUMBER($D33),$C33&lt;=Data_Mapa,$D33&gt;=Data_Mapa),$A33,"")</f>
        <v/>
      </c>
      <c r="H33" s="24">
        <f>IF($A33="",0,IFERROR(MATCH($B33,Aus_Tipos,0),0))</f>
        <v/>
      </c>
    </row>
    <row r="34">
      <c r="A34" s="22" t="n"/>
      <c r="B34" s="20" t="n"/>
      <c r="C34" s="19" t="n"/>
      <c r="D34" s="19" t="n"/>
      <c r="E34" s="12">
        <f>IF(OR($A34="",NOT(ISNUMBER($C34)),NOT(ISNUMBER($D34))),"",$D34-$C34+1)</f>
        <v/>
      </c>
      <c r="F34" s="22" t="n"/>
      <c r="G34" s="24">
        <f>IF(AND($A34&lt;&gt;"",ISNUMBER($C34),ISNUMBER($D34),$C34&lt;=Data_Mapa,$D34&gt;=Data_Mapa),$A34,"")</f>
        <v/>
      </c>
      <c r="H34" s="24">
        <f>IF($A34="",0,IFERROR(MATCH($B34,Aus_Tipos,0),0))</f>
        <v/>
      </c>
      <c r="I34" s="32" t="inlineStr">
        <is>
          <t>Funcionários na data</t>
        </is>
      </c>
      <c r="J34" s="33">
        <f>IF(J$1="","",SUMPRODUCT((Equipe_Nome&lt;&gt;"")*(Equipe_Status="Ativo")*(COUNTIFS(Aus_Tec,Equipe_Nome,Aus_Ini,"&lt;="&amp;J$1,Aus_Fim,"&gt;="&amp;J$1)=0)))</f>
        <v/>
      </c>
      <c r="K34" s="33">
        <f>IF(K$1="","",SUMPRODUCT((Equipe_Nome&lt;&gt;"")*(Equipe_Status="Ativo")*(COUNTIFS(Aus_Tec,Equipe_Nome,Aus_Ini,"&lt;="&amp;K$1,Aus_Fim,"&gt;="&amp;K$1)=0)))</f>
        <v/>
      </c>
      <c r="L34" s="33">
        <f>IF(L$1="","",SUMPRODUCT((Equipe_Nome&lt;&gt;"")*(Equipe_Status="Ativo")*(COUNTIFS(Aus_Tec,Equipe_Nome,Aus_Ini,"&lt;="&amp;L$1,Aus_Fim,"&gt;="&amp;L$1)=0)))</f>
        <v/>
      </c>
      <c r="M34" s="33">
        <f>IF(M$1="","",SUMPRODUCT((Equipe_Nome&lt;&gt;"")*(Equipe_Status="Ativo")*(COUNTIFS(Aus_Tec,Equipe_Nome,Aus_Ini,"&lt;="&amp;M$1,Aus_Fim,"&gt;="&amp;M$1)=0)))</f>
        <v/>
      </c>
      <c r="N34" s="33">
        <f>IF(N$1="","",SUMPRODUCT((Equipe_Nome&lt;&gt;"")*(Equipe_Status="Ativo")*(COUNTIFS(Aus_Tec,Equipe_Nome,Aus_Ini,"&lt;="&amp;N$1,Aus_Fim,"&gt;="&amp;N$1)=0)))</f>
        <v/>
      </c>
      <c r="O34" s="33">
        <f>IF(O$1="","",SUMPRODUCT((Equipe_Nome&lt;&gt;"")*(Equipe_Status="Ativo")*(COUNTIFS(Aus_Tec,Equipe_Nome,Aus_Ini,"&lt;="&amp;O$1,Aus_Fim,"&gt;="&amp;O$1)=0)))</f>
        <v/>
      </c>
      <c r="P34" s="33">
        <f>IF(P$1="","",SUMPRODUCT((Equipe_Nome&lt;&gt;"")*(Equipe_Status="Ativo")*(COUNTIFS(Aus_Tec,Equipe_Nome,Aus_Ini,"&lt;="&amp;P$1,Aus_Fim,"&gt;="&amp;P$1)=0)))</f>
        <v/>
      </c>
      <c r="Q34" s="33">
        <f>IF(Q$1="","",SUMPRODUCT((Equipe_Nome&lt;&gt;"")*(Equipe_Status="Ativo")*(COUNTIFS(Aus_Tec,Equipe_Nome,Aus_Ini,"&lt;="&amp;Q$1,Aus_Fim,"&gt;="&amp;Q$1)=0)))</f>
        <v/>
      </c>
      <c r="R34" s="33">
        <f>IF(R$1="","",SUMPRODUCT((Equipe_Nome&lt;&gt;"")*(Equipe_Status="Ativo")*(COUNTIFS(Aus_Tec,Equipe_Nome,Aus_Ini,"&lt;="&amp;R$1,Aus_Fim,"&gt;="&amp;R$1)=0)))</f>
        <v/>
      </c>
      <c r="S34" s="33">
        <f>IF(S$1="","",SUMPRODUCT((Equipe_Nome&lt;&gt;"")*(Equipe_Status="Ativo")*(COUNTIFS(Aus_Tec,Equipe_Nome,Aus_Ini,"&lt;="&amp;S$1,Aus_Fim,"&gt;="&amp;S$1)=0)))</f>
        <v/>
      </c>
      <c r="T34" s="33">
        <f>IF(T$1="","",SUMPRODUCT((Equipe_Nome&lt;&gt;"")*(Equipe_Status="Ativo")*(COUNTIFS(Aus_Tec,Equipe_Nome,Aus_Ini,"&lt;="&amp;T$1,Aus_Fim,"&gt;="&amp;T$1)=0)))</f>
        <v/>
      </c>
      <c r="U34" s="33">
        <f>IF(U$1="","",SUMPRODUCT((Equipe_Nome&lt;&gt;"")*(Equipe_Status="Ativo")*(COUNTIFS(Aus_Tec,Equipe_Nome,Aus_Ini,"&lt;="&amp;U$1,Aus_Fim,"&gt;="&amp;U$1)=0)))</f>
        <v/>
      </c>
      <c r="V34" s="33">
        <f>IF(V$1="","",SUMPRODUCT((Equipe_Nome&lt;&gt;"")*(Equipe_Status="Ativo")*(COUNTIFS(Aus_Tec,Equipe_Nome,Aus_Ini,"&lt;="&amp;V$1,Aus_Fim,"&gt;="&amp;V$1)=0)))</f>
        <v/>
      </c>
      <c r="W34" s="33">
        <f>IF(W$1="","",SUMPRODUCT((Equipe_Nome&lt;&gt;"")*(Equipe_Status="Ativo")*(COUNTIFS(Aus_Tec,Equipe_Nome,Aus_Ini,"&lt;="&amp;W$1,Aus_Fim,"&gt;="&amp;W$1)=0)))</f>
        <v/>
      </c>
      <c r="X34" s="33">
        <f>IF(X$1="","",SUMPRODUCT((Equipe_Nome&lt;&gt;"")*(Equipe_Status="Ativo")*(COUNTIFS(Aus_Tec,Equipe_Nome,Aus_Ini,"&lt;="&amp;X$1,Aus_Fim,"&gt;="&amp;X$1)=0)))</f>
        <v/>
      </c>
      <c r="Y34" s="33">
        <f>IF(Y$1="","",SUMPRODUCT((Equipe_Nome&lt;&gt;"")*(Equipe_Status="Ativo")*(COUNTIFS(Aus_Tec,Equipe_Nome,Aus_Ini,"&lt;="&amp;Y$1,Aus_Fim,"&gt;="&amp;Y$1)=0)))</f>
        <v/>
      </c>
      <c r="Z34" s="33">
        <f>IF(Z$1="","",SUMPRODUCT((Equipe_Nome&lt;&gt;"")*(Equipe_Status="Ativo")*(COUNTIFS(Aus_Tec,Equipe_Nome,Aus_Ini,"&lt;="&amp;Z$1,Aus_Fim,"&gt;="&amp;Z$1)=0)))</f>
        <v/>
      </c>
      <c r="AA34" s="33">
        <f>IF(AA$1="","",SUMPRODUCT((Equipe_Nome&lt;&gt;"")*(Equipe_Status="Ativo")*(COUNTIFS(Aus_Tec,Equipe_Nome,Aus_Ini,"&lt;="&amp;AA$1,Aus_Fim,"&gt;="&amp;AA$1)=0)))</f>
        <v/>
      </c>
      <c r="AB34" s="33">
        <f>IF(AB$1="","",SUMPRODUCT((Equipe_Nome&lt;&gt;"")*(Equipe_Status="Ativo")*(COUNTIFS(Aus_Tec,Equipe_Nome,Aus_Ini,"&lt;="&amp;AB$1,Aus_Fim,"&gt;="&amp;AB$1)=0)))</f>
        <v/>
      </c>
      <c r="AC34" s="33">
        <f>IF(AC$1="","",SUMPRODUCT((Equipe_Nome&lt;&gt;"")*(Equipe_Status="Ativo")*(COUNTIFS(Aus_Tec,Equipe_Nome,Aus_Ini,"&lt;="&amp;AC$1,Aus_Fim,"&gt;="&amp;AC$1)=0)))</f>
        <v/>
      </c>
      <c r="AD34" s="33">
        <f>IF(AD$1="","",SUMPRODUCT((Equipe_Nome&lt;&gt;"")*(Equipe_Status="Ativo")*(COUNTIFS(Aus_Tec,Equipe_Nome,Aus_Ini,"&lt;="&amp;AD$1,Aus_Fim,"&gt;="&amp;AD$1)=0)))</f>
        <v/>
      </c>
      <c r="AE34" s="33">
        <f>IF(AE$1="","",SUMPRODUCT((Equipe_Nome&lt;&gt;"")*(Equipe_Status="Ativo")*(COUNTIFS(Aus_Tec,Equipe_Nome,Aus_Ini,"&lt;="&amp;AE$1,Aus_Fim,"&gt;="&amp;AE$1)=0)))</f>
        <v/>
      </c>
      <c r="AF34" s="33">
        <f>IF(AF$1="","",SUMPRODUCT((Equipe_Nome&lt;&gt;"")*(Equipe_Status="Ativo")*(COUNTIFS(Aus_Tec,Equipe_Nome,Aus_Ini,"&lt;="&amp;AF$1,Aus_Fim,"&gt;="&amp;AF$1)=0)))</f>
        <v/>
      </c>
      <c r="AG34" s="33">
        <f>IF(AG$1="","",SUMPRODUCT((Equipe_Nome&lt;&gt;"")*(Equipe_Status="Ativo")*(COUNTIFS(Aus_Tec,Equipe_Nome,Aus_Ini,"&lt;="&amp;AG$1,Aus_Fim,"&gt;="&amp;AG$1)=0)))</f>
        <v/>
      </c>
      <c r="AH34" s="33">
        <f>IF(AH$1="","",SUMPRODUCT((Equipe_Nome&lt;&gt;"")*(Equipe_Status="Ativo")*(COUNTIFS(Aus_Tec,Equipe_Nome,Aus_Ini,"&lt;="&amp;AH$1,Aus_Fim,"&gt;="&amp;AH$1)=0)))</f>
        <v/>
      </c>
      <c r="AI34" s="33">
        <f>IF(AI$1="","",SUMPRODUCT((Equipe_Nome&lt;&gt;"")*(Equipe_Status="Ativo")*(COUNTIFS(Aus_Tec,Equipe_Nome,Aus_Ini,"&lt;="&amp;AI$1,Aus_Fim,"&gt;="&amp;AI$1)=0)))</f>
        <v/>
      </c>
      <c r="AJ34" s="33">
        <f>IF(AJ$1="","",SUMPRODUCT((Equipe_Nome&lt;&gt;"")*(Equipe_Status="Ativo")*(COUNTIFS(Aus_Tec,Equipe_Nome,Aus_Ini,"&lt;="&amp;AJ$1,Aus_Fim,"&gt;="&amp;AJ$1)=0)))</f>
        <v/>
      </c>
      <c r="AK34" s="33">
        <f>IF(AK$1="","",SUMPRODUCT((Equipe_Nome&lt;&gt;"")*(Equipe_Status="Ativo")*(COUNTIFS(Aus_Tec,Equipe_Nome,Aus_Ini,"&lt;="&amp;AK$1,Aus_Fim,"&gt;="&amp;AK$1)=0)))</f>
        <v/>
      </c>
      <c r="AL34" s="33">
        <f>IF(AL$1="","",SUMPRODUCT((Equipe_Nome&lt;&gt;"")*(Equipe_Status="Ativo")*(COUNTIFS(Aus_Tec,Equipe_Nome,Aus_Ini,"&lt;="&amp;AL$1,Aus_Fim,"&gt;="&amp;AL$1)=0)))</f>
        <v/>
      </c>
      <c r="AM34" s="33">
        <f>IF(AM$1="","",SUMPRODUCT((Equipe_Nome&lt;&gt;"")*(Equipe_Status="Ativo")*(COUNTIFS(Aus_Tec,Equipe_Nome,Aus_Ini,"&lt;="&amp;AM$1,Aus_Fim,"&gt;="&amp;AM$1)=0)))</f>
        <v/>
      </c>
      <c r="AN34" s="33">
        <f>IF(AN$1="","",SUMPRODUCT((Equipe_Nome&lt;&gt;"")*(Equipe_Status="Ativo")*(COUNTIFS(Aus_Tec,Equipe_Nome,Aus_Ini,"&lt;="&amp;AN$1,Aus_Fim,"&gt;="&amp;AN$1)=0)))</f>
        <v/>
      </c>
    </row>
    <row r="35">
      <c r="A35" s="22" t="n"/>
      <c r="B35" s="20" t="n"/>
      <c r="C35" s="19" t="n"/>
      <c r="D35" s="19" t="n"/>
      <c r="E35" s="12">
        <f>IF(OR($A35="",NOT(ISNUMBER($C35)),NOT(ISNUMBER($D35))),"",$D35-$C35+1)</f>
        <v/>
      </c>
      <c r="F35" s="22" t="n"/>
      <c r="G35" s="24">
        <f>IF(AND($A35&lt;&gt;"",ISNUMBER($C35),ISNUMBER($D35),$C35&lt;=Data_Mapa,$D35&gt;=Data_Mapa),$A35,"")</f>
        <v/>
      </c>
      <c r="H35" s="24">
        <f>IF($A35="",0,IFERROR(MATCH($B35,Aus_Tipos,0),0))</f>
        <v/>
      </c>
      <c r="I35" s="34" t="inlineStr">
        <is>
          <t>Vagas necessárias no dia</t>
        </is>
      </c>
      <c r="J35" s="35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35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35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35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35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35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35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35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35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35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35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35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35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35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35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35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35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35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35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35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35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35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35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35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35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35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35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35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35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35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35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22" t="n"/>
      <c r="B36" s="20" t="n"/>
      <c r="C36" s="19" t="n"/>
      <c r="D36" s="19" t="n"/>
      <c r="E36" s="12">
        <f>IF(OR($A36="",NOT(ISNUMBER($C36)),NOT(ISNUMBER($D36))),"",$D36-$C36+1)</f>
        <v/>
      </c>
      <c r="F36" s="22" t="n"/>
      <c r="G36" s="24">
        <f>IF(AND($A36&lt;&gt;"",ISNUMBER($C36),ISNUMBER($D36),$C36&lt;=Data_Mapa,$D36&gt;=Data_Mapa),$A36,"")</f>
        <v/>
      </c>
      <c r="H36" s="24">
        <f>IF($A36="",0,IFERROR(MATCH($B36,Aus_Tipos,0),0))</f>
        <v/>
      </c>
      <c r="I36" s="34" t="inlineStr">
        <is>
          <t>Déficit do dia</t>
        </is>
      </c>
      <c r="J36" s="33">
        <f>IF(J$1="","",MAX(0,J35-J34))</f>
        <v/>
      </c>
      <c r="K36" s="33">
        <f>IF(K$1="","",MAX(0,K35-K34))</f>
        <v/>
      </c>
      <c r="L36" s="33">
        <f>IF(L$1="","",MAX(0,L35-L34))</f>
        <v/>
      </c>
      <c r="M36" s="33">
        <f>IF(M$1="","",MAX(0,M35-M34))</f>
        <v/>
      </c>
      <c r="N36" s="33">
        <f>IF(N$1="","",MAX(0,N35-N34))</f>
        <v/>
      </c>
      <c r="O36" s="33">
        <f>IF(O$1="","",MAX(0,O35-O34))</f>
        <v/>
      </c>
      <c r="P36" s="33">
        <f>IF(P$1="","",MAX(0,P35-P34))</f>
        <v/>
      </c>
      <c r="Q36" s="33">
        <f>IF(Q$1="","",MAX(0,Q35-Q34))</f>
        <v/>
      </c>
      <c r="R36" s="33">
        <f>IF(R$1="","",MAX(0,R35-R34))</f>
        <v/>
      </c>
      <c r="S36" s="33">
        <f>IF(S$1="","",MAX(0,S35-S34))</f>
        <v/>
      </c>
      <c r="T36" s="33">
        <f>IF(T$1="","",MAX(0,T35-T34))</f>
        <v/>
      </c>
      <c r="U36" s="33">
        <f>IF(U$1="","",MAX(0,U35-U34))</f>
        <v/>
      </c>
      <c r="V36" s="33">
        <f>IF(V$1="","",MAX(0,V35-V34))</f>
        <v/>
      </c>
      <c r="W36" s="33">
        <f>IF(W$1="","",MAX(0,W35-W34))</f>
        <v/>
      </c>
      <c r="X36" s="33">
        <f>IF(X$1="","",MAX(0,X35-X34))</f>
        <v/>
      </c>
      <c r="Y36" s="33">
        <f>IF(Y$1="","",MAX(0,Y35-Y34))</f>
        <v/>
      </c>
      <c r="Z36" s="33">
        <f>IF(Z$1="","",MAX(0,Z35-Z34))</f>
        <v/>
      </c>
      <c r="AA36" s="33">
        <f>IF(AA$1="","",MAX(0,AA35-AA34))</f>
        <v/>
      </c>
      <c r="AB36" s="33">
        <f>IF(AB$1="","",MAX(0,AB35-AB34))</f>
        <v/>
      </c>
      <c r="AC36" s="33">
        <f>IF(AC$1="","",MAX(0,AC35-AC34))</f>
        <v/>
      </c>
      <c r="AD36" s="33">
        <f>IF(AD$1="","",MAX(0,AD35-AD34))</f>
        <v/>
      </c>
      <c r="AE36" s="33">
        <f>IF(AE$1="","",MAX(0,AE35-AE34))</f>
        <v/>
      </c>
      <c r="AF36" s="33">
        <f>IF(AF$1="","",MAX(0,AF35-AF34))</f>
        <v/>
      </c>
      <c r="AG36" s="33">
        <f>IF(AG$1="","",MAX(0,AG35-AG34))</f>
        <v/>
      </c>
      <c r="AH36" s="33">
        <f>IF(AH$1="","",MAX(0,AH35-AH34))</f>
        <v/>
      </c>
      <c r="AI36" s="33">
        <f>IF(AI$1="","",MAX(0,AI35-AI34))</f>
        <v/>
      </c>
      <c r="AJ36" s="33">
        <f>IF(AJ$1="","",MAX(0,AJ35-AJ34))</f>
        <v/>
      </c>
      <c r="AK36" s="33">
        <f>IF(AK$1="","",MAX(0,AK35-AK34))</f>
        <v/>
      </c>
      <c r="AL36" s="33">
        <f>IF(AL$1="","",MAX(0,AL35-AL34))</f>
        <v/>
      </c>
      <c r="AM36" s="33">
        <f>IF(AM$1="","",MAX(0,AM35-AM34))</f>
        <v/>
      </c>
      <c r="AN36" s="33">
        <f>IF(AN$1="","",MAX(0,AN35-AN34))</f>
        <v/>
      </c>
    </row>
    <row r="37">
      <c r="A37" s="22" t="n"/>
      <c r="B37" s="20" t="n"/>
      <c r="C37" s="19" t="n"/>
      <c r="D37" s="19" t="n"/>
      <c r="E37" s="12">
        <f>IF(OR($A37="",NOT(ISNUMBER($C37)),NOT(ISNUMBER($D37))),"",$D37-$C37+1)</f>
        <v/>
      </c>
      <c r="F37" s="22" t="n"/>
      <c r="G37" s="24">
        <f>IF(AND($A37&lt;&gt;"",ISNUMBER($C37),ISNUMBER($D37),$C37&lt;=Data_Mapa,$D37&gt;=Data_Mapa),$A37,"")</f>
        <v/>
      </c>
      <c r="H37" s="24">
        <f>IF($A37="",0,IFERROR(MATCH($B37,Aus_Tipos,0),0))</f>
        <v/>
      </c>
    </row>
    <row r="38">
      <c r="A38" s="22" t="n"/>
      <c r="B38" s="20" t="n"/>
      <c r="C38" s="19" t="n"/>
      <c r="D38" s="19" t="n"/>
      <c r="E38" s="12">
        <f>IF(OR($A38="",NOT(ISNUMBER($C38)),NOT(ISNUMBER($D38))),"",$D38-$C38+1)</f>
        <v/>
      </c>
      <c r="F38" s="22" t="n"/>
      <c r="G38" s="24">
        <f>IF(AND($A38&lt;&gt;"",ISNUMBER($C38),ISNUMBER($D38),$C38&lt;=Data_Mapa,$D38&gt;=Data_Mapa),$A38,"")</f>
        <v/>
      </c>
      <c r="H38" s="24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22" t="n"/>
      <c r="B39" s="20" t="n"/>
      <c r="C39" s="19" t="n"/>
      <c r="D39" s="19" t="n"/>
      <c r="E39" s="12">
        <f>IF(OR($A39="",NOT(ISNUMBER($C39)),NOT(ISNUMBER($D39))),"",$D39-$C39+1)</f>
        <v/>
      </c>
      <c r="F39" s="22" t="n"/>
      <c r="G39" s="24">
        <f>IF(AND($A39&lt;&gt;"",ISNUMBER($C39),ISNUMBER($D39),$C39&lt;=Data_Mapa,$D39&gt;=Data_Mapa),$A39,"")</f>
        <v/>
      </c>
      <c r="H39" s="24">
        <f>IF($A39="",0,IFERROR(MATCH($B39,Aus_Tipos,0),0))</f>
        <v/>
      </c>
    </row>
    <row r="40">
      <c r="A40" s="22" t="n"/>
      <c r="B40" s="20" t="n"/>
      <c r="C40" s="19" t="n"/>
      <c r="D40" s="19" t="n"/>
      <c r="E40" s="12">
        <f>IF(OR($A40="",NOT(ISNUMBER($C40)),NOT(ISNUMBER($D40))),"",$D40-$C40+1)</f>
        <v/>
      </c>
      <c r="F40" s="22" t="n"/>
      <c r="G40" s="24">
        <f>IF(AND($A40&lt;&gt;"",ISNUMBER($C40),ISNUMBER($D40),$C40&lt;=Data_Mapa,$D40&gt;=Data_Mapa),$A40,"")</f>
        <v/>
      </c>
      <c r="H40" s="24">
        <f>IF($A40="",0,IFERROR(MATCH($B40,Aus_Tipos,0),0))</f>
        <v/>
      </c>
    </row>
    <row r="41">
      <c r="A41" s="22" t="n"/>
      <c r="B41" s="20" t="n"/>
      <c r="C41" s="19" t="n"/>
      <c r="D41" s="19" t="n"/>
      <c r="E41" s="12">
        <f>IF(OR($A41="",NOT(ISNUMBER($C41)),NOT(ISNUMBER($D41))),"",$D41-$C41+1)</f>
        <v/>
      </c>
      <c r="F41" s="22" t="n"/>
      <c r="G41" s="24">
        <f>IF(AND($A41&lt;&gt;"",ISNUMBER($C41),ISNUMBER($D41),$C41&lt;=Data_Mapa,$D41&gt;=Data_Mapa),$A41,"")</f>
        <v/>
      </c>
      <c r="H41" s="24">
        <f>IF($A41="",0,IFERROR(MATCH($B41,Aus_Tipos,0),0))</f>
        <v/>
      </c>
    </row>
    <row r="42">
      <c r="A42" s="22" t="n"/>
      <c r="B42" s="20" t="n"/>
      <c r="C42" s="19" t="n"/>
      <c r="D42" s="19" t="n"/>
      <c r="E42" s="12">
        <f>IF(OR($A42="",NOT(ISNUMBER($C42)),NOT(ISNUMBER($D42))),"",$D42-$C42+1)</f>
        <v/>
      </c>
      <c r="F42" s="22" t="n"/>
      <c r="G42" s="24">
        <f>IF(AND($A42&lt;&gt;"",ISNUMBER($C42),ISNUMBER($D42),$C42&lt;=Data_Mapa,$D42&gt;=Data_Mapa),$A42,"")</f>
        <v/>
      </c>
      <c r="H42" s="24">
        <f>IF($A42="",0,IFERROR(MATCH($B42,Aus_Tipos,0),0))</f>
        <v/>
      </c>
    </row>
    <row r="43">
      <c r="A43" s="22" t="n"/>
      <c r="B43" s="20" t="n"/>
      <c r="C43" s="19" t="n"/>
      <c r="D43" s="19" t="n"/>
      <c r="E43" s="12">
        <f>IF(OR($A43="",NOT(ISNUMBER($C43)),NOT(ISNUMBER($D43))),"",$D43-$C43+1)</f>
        <v/>
      </c>
      <c r="F43" s="22" t="n"/>
      <c r="G43" s="24">
        <f>IF(AND($A43&lt;&gt;"",ISNUMBER($C43),ISNUMBER($D43),$C43&lt;=Data_Mapa,$D43&gt;=Data_Mapa),$A43,"")</f>
        <v/>
      </c>
      <c r="H43" s="24">
        <f>IF($A43="",0,IFERROR(MATCH($B43,Aus_Tipos,0),0))</f>
        <v/>
      </c>
    </row>
    <row r="44">
      <c r="A44" s="22" t="n"/>
      <c r="B44" s="20" t="n"/>
      <c r="C44" s="19" t="n"/>
      <c r="D44" s="19" t="n"/>
      <c r="E44" s="12">
        <f>IF(OR($A44="",NOT(ISNUMBER($C44)),NOT(ISNUMBER($D44))),"",$D44-$C44+1)</f>
        <v/>
      </c>
      <c r="F44" s="22" t="n"/>
      <c r="G44" s="24">
        <f>IF(AND($A44&lt;&gt;"",ISNUMBER($C44),ISNUMBER($D44),$C44&lt;=Data_Mapa,$D44&gt;=Data_Mapa),$A44,"")</f>
        <v/>
      </c>
      <c r="H44" s="24">
        <f>IF($A44="",0,IFERROR(MATCH($B44,Aus_Tipos,0),0))</f>
        <v/>
      </c>
    </row>
    <row r="45">
      <c r="A45" s="22" t="n"/>
      <c r="B45" s="20" t="n"/>
      <c r="C45" s="19" t="n"/>
      <c r="D45" s="19" t="n"/>
      <c r="E45" s="12">
        <f>IF(OR($A45="",NOT(ISNUMBER($C45)),NOT(ISNUMBER($D45))),"",$D45-$C45+1)</f>
        <v/>
      </c>
      <c r="F45" s="22" t="n"/>
      <c r="G45" s="24">
        <f>IF(AND($A45&lt;&gt;"",ISNUMBER($C45),ISNUMBER($D45),$C45&lt;=Data_Mapa,$D45&gt;=Data_Mapa),$A45,"")</f>
        <v/>
      </c>
      <c r="H45" s="24">
        <f>IF($A45="",0,IFERROR(MATCH($B45,Aus_Tipos,0),0))</f>
        <v/>
      </c>
    </row>
    <row r="46">
      <c r="A46" s="22" t="n"/>
      <c r="B46" s="20" t="n"/>
      <c r="C46" s="19" t="n"/>
      <c r="D46" s="19" t="n"/>
      <c r="E46" s="12">
        <f>IF(OR($A46="",NOT(ISNUMBER($C46)),NOT(ISNUMBER($D46))),"",$D46-$C46+1)</f>
        <v/>
      </c>
      <c r="F46" s="22" t="n"/>
      <c r="G46" s="24">
        <f>IF(AND($A46&lt;&gt;"",ISNUMBER($C46),ISNUMBER($D46),$C46&lt;=Data_Mapa,$D46&gt;=Data_Mapa),$A46,"")</f>
        <v/>
      </c>
      <c r="H46" s="24">
        <f>IF($A46="",0,IFERROR(MATCH($B46,Aus_Tipos,0),0))</f>
        <v/>
      </c>
    </row>
    <row r="47">
      <c r="A47" s="22" t="n"/>
      <c r="B47" s="20" t="n"/>
      <c r="C47" s="19" t="n"/>
      <c r="D47" s="19" t="n"/>
      <c r="E47" s="12">
        <f>IF(OR($A47="",NOT(ISNUMBER($C47)),NOT(ISNUMBER($D47))),"",$D47-$C47+1)</f>
        <v/>
      </c>
      <c r="F47" s="22" t="n"/>
      <c r="G47" s="24">
        <f>IF(AND($A47&lt;&gt;"",ISNUMBER($C47),ISNUMBER($D47),$C47&lt;=Data_Mapa,$D47&gt;=Data_Mapa),$A47,"")</f>
        <v/>
      </c>
      <c r="H47" s="24">
        <f>IF($A47="",0,IFERROR(MATCH($B47,Aus_Tipos,0),0))</f>
        <v/>
      </c>
    </row>
    <row r="48">
      <c r="A48" s="22" t="n"/>
      <c r="B48" s="20" t="n"/>
      <c r="C48" s="19" t="n"/>
      <c r="D48" s="19" t="n"/>
      <c r="E48" s="12">
        <f>IF(OR($A48="",NOT(ISNUMBER($C48)),NOT(ISNUMBER($D48))),"",$D48-$C48+1)</f>
        <v/>
      </c>
      <c r="F48" s="22" t="n"/>
      <c r="G48" s="24">
        <f>IF(AND($A48&lt;&gt;"",ISNUMBER($C48),ISNUMBER($D48),$C48&lt;=Data_Mapa,$D48&gt;=Data_Mapa),$A48,"")</f>
        <v/>
      </c>
      <c r="H48" s="24">
        <f>IF($A48="",0,IFERROR(MATCH($B48,Aus_Tipos,0),0))</f>
        <v/>
      </c>
    </row>
    <row r="49">
      <c r="A49" s="22" t="n"/>
      <c r="B49" s="20" t="n"/>
      <c r="C49" s="19" t="n"/>
      <c r="D49" s="19" t="n"/>
      <c r="E49" s="12">
        <f>IF(OR($A49="",NOT(ISNUMBER($C49)),NOT(ISNUMBER($D49))),"",$D49-$C49+1)</f>
        <v/>
      </c>
      <c r="F49" s="22" t="n"/>
      <c r="G49" s="24">
        <f>IF(AND($A49&lt;&gt;"",ISNUMBER($C49),ISNUMBER($D49),$C49&lt;=Data_Mapa,$D49&gt;=Data_Mapa),$A49,"")</f>
        <v/>
      </c>
      <c r="H49" s="24">
        <f>IF($A49="",0,IFERROR(MATCH($B49,Aus_Tipos,0),0))</f>
        <v/>
      </c>
    </row>
    <row r="50">
      <c r="A50" s="22" t="n"/>
      <c r="B50" s="20" t="n"/>
      <c r="C50" s="19" t="n"/>
      <c r="D50" s="19" t="n"/>
      <c r="E50" s="12">
        <f>IF(OR($A50="",NOT(ISNUMBER($C50)),NOT(ISNUMBER($D50))),"",$D50-$C50+1)</f>
        <v/>
      </c>
      <c r="F50" s="22" t="n"/>
      <c r="G50" s="24">
        <f>IF(AND($A50&lt;&gt;"",ISNUMBER($C50),ISNUMBER($D50),$C50&lt;=Data_Mapa,$D50&gt;=Data_Mapa),$A50,"")</f>
        <v/>
      </c>
      <c r="H50" s="24">
        <f>IF($A50="",0,IFERROR(MATCH($B50,Aus_Tipos,0),0))</f>
        <v/>
      </c>
    </row>
    <row r="51">
      <c r="A51" s="22" t="n"/>
      <c r="B51" s="20" t="n"/>
      <c r="C51" s="19" t="n"/>
      <c r="D51" s="19" t="n"/>
      <c r="E51" s="12">
        <f>IF(OR($A51="",NOT(ISNUMBER($C51)),NOT(ISNUMBER($D51))),"",$D51-$C51+1)</f>
        <v/>
      </c>
      <c r="F51" s="22" t="n"/>
      <c r="G51" s="24">
        <f>IF(AND($A51&lt;&gt;"",ISNUMBER($C51),ISNUMBER($D51),$C51&lt;=Data_Mapa,$D51&gt;=Data_Mapa),$A51,"")</f>
        <v/>
      </c>
      <c r="H51" s="24">
        <f>IF($A51="",0,IFERROR(MATCH($B51,Aus_Tipos,0),0))</f>
        <v/>
      </c>
    </row>
    <row r="52">
      <c r="A52" s="22" t="n"/>
      <c r="B52" s="20" t="n"/>
      <c r="C52" s="19" t="n"/>
      <c r="D52" s="19" t="n"/>
      <c r="E52" s="12">
        <f>IF(OR($A52="",NOT(ISNUMBER($C52)),NOT(ISNUMBER($D52))),"",$D52-$C52+1)</f>
        <v/>
      </c>
      <c r="F52" s="22" t="n"/>
      <c r="G52" s="24">
        <f>IF(AND($A52&lt;&gt;"",ISNUMBER($C52),ISNUMBER($D52),$C52&lt;=Data_Mapa,$D52&gt;=Data_Mapa),$A52,"")</f>
        <v/>
      </c>
      <c r="H52" s="24">
        <f>IF($A52="",0,IFERROR(MATCH($B52,Aus_Tipos,0),0))</f>
        <v/>
      </c>
    </row>
    <row r="53">
      <c r="A53" s="22" t="n"/>
      <c r="B53" s="20" t="n"/>
      <c r="C53" s="19" t="n"/>
      <c r="D53" s="19" t="n"/>
      <c r="E53" s="12">
        <f>IF(OR($A53="",NOT(ISNUMBER($C53)),NOT(ISNUMBER($D53))),"",$D53-$C53+1)</f>
        <v/>
      </c>
      <c r="F53" s="22" t="n"/>
      <c r="G53" s="24">
        <f>IF(AND($A53&lt;&gt;"",ISNUMBER($C53),ISNUMBER($D53),$C53&lt;=Data_Mapa,$D53&gt;=Data_Mapa),$A53,"")</f>
        <v/>
      </c>
      <c r="H53" s="24">
        <f>IF($A53="",0,IFERROR(MATCH($B53,Aus_Tipos,0),0))</f>
        <v/>
      </c>
    </row>
    <row r="54">
      <c r="A54" s="22" t="n"/>
      <c r="B54" s="20" t="n"/>
      <c r="C54" s="19" t="n"/>
      <c r="D54" s="19" t="n"/>
      <c r="E54" s="12">
        <f>IF(OR($A54="",NOT(ISNUMBER($C54)),NOT(ISNUMBER($D54))),"",$D54-$C54+1)</f>
        <v/>
      </c>
      <c r="F54" s="22" t="n"/>
      <c r="G54" s="24">
        <f>IF(AND($A54&lt;&gt;"",ISNUMBER($C54),ISNUMBER($D54),$C54&lt;=Data_Mapa,$D54&gt;=Data_Mapa),$A54,"")</f>
        <v/>
      </c>
      <c r="H54" s="24">
        <f>IF($A54="",0,IFERROR(MATCH($B54,Aus_Tipos,0),0))</f>
        <v/>
      </c>
    </row>
    <row r="55">
      <c r="A55" s="22" t="n"/>
      <c r="B55" s="20" t="n"/>
      <c r="C55" s="19" t="n"/>
      <c r="D55" s="19" t="n"/>
      <c r="E55" s="12">
        <f>IF(OR($A55="",NOT(ISNUMBER($C55)),NOT(ISNUMBER($D55))),"",$D55-$C55+1)</f>
        <v/>
      </c>
      <c r="F55" s="22" t="n"/>
      <c r="G55" s="24">
        <f>IF(AND($A55&lt;&gt;"",ISNUMBER($C55),ISNUMBER($D55),$C55&lt;=Data_Mapa,$D55&gt;=Data_Mapa),$A55,"")</f>
        <v/>
      </c>
      <c r="H55" s="24">
        <f>IF($A55="",0,IFERROR(MATCH($B55,Aus_Tipos,0),0))</f>
        <v/>
      </c>
    </row>
    <row r="56">
      <c r="A56" s="22" t="n"/>
      <c r="B56" s="20" t="n"/>
      <c r="C56" s="19" t="n"/>
      <c r="D56" s="19" t="n"/>
      <c r="E56" s="12">
        <f>IF(OR($A56="",NOT(ISNUMBER($C56)),NOT(ISNUMBER($D56))),"",$D56-$C56+1)</f>
        <v/>
      </c>
      <c r="F56" s="22" t="n"/>
      <c r="G56" s="24">
        <f>IF(AND($A56&lt;&gt;"",ISNUMBER($C56),ISNUMBER($D56),$C56&lt;=Data_Mapa,$D56&gt;=Data_Mapa),$A56,"")</f>
        <v/>
      </c>
      <c r="H56" s="24">
        <f>IF($A56="",0,IFERROR(MATCH($B56,Aus_Tipos,0),0))</f>
        <v/>
      </c>
    </row>
    <row r="57">
      <c r="A57" s="22" t="n"/>
      <c r="B57" s="20" t="n"/>
      <c r="C57" s="19" t="n"/>
      <c r="D57" s="19" t="n"/>
      <c r="E57" s="12">
        <f>IF(OR($A57="",NOT(ISNUMBER($C57)),NOT(ISNUMBER($D57))),"",$D57-$C57+1)</f>
        <v/>
      </c>
      <c r="F57" s="22" t="n"/>
      <c r="G57" s="24">
        <f>IF(AND($A57&lt;&gt;"",ISNUMBER($C57),ISNUMBER($D57),$C57&lt;=Data_Mapa,$D57&gt;=Data_Mapa),$A57,"")</f>
        <v/>
      </c>
      <c r="H57" s="24">
        <f>IF($A57="",0,IFERROR(MATCH($B57,Aus_Tipos,0),0))</f>
        <v/>
      </c>
    </row>
    <row r="58">
      <c r="A58" s="22" t="n"/>
      <c r="B58" s="20" t="n"/>
      <c r="C58" s="19" t="n"/>
      <c r="D58" s="19" t="n"/>
      <c r="E58" s="12">
        <f>IF(OR($A58="",NOT(ISNUMBER($C58)),NOT(ISNUMBER($D58))),"",$D58-$C58+1)</f>
        <v/>
      </c>
      <c r="F58" s="22" t="n"/>
      <c r="G58" s="24">
        <f>IF(AND($A58&lt;&gt;"",ISNUMBER($C58),ISNUMBER($D58),$C58&lt;=Data_Mapa,$D58&gt;=Data_Mapa),$A58,"")</f>
        <v/>
      </c>
      <c r="H58" s="24">
        <f>IF($A58="",0,IFERROR(MATCH($B58,Aus_Tipos,0),0))</f>
        <v/>
      </c>
    </row>
    <row r="59">
      <c r="A59" s="22" t="n"/>
      <c r="B59" s="20" t="n"/>
      <c r="C59" s="19" t="n"/>
      <c r="D59" s="19" t="n"/>
      <c r="E59" s="12">
        <f>IF(OR($A59="",NOT(ISNUMBER($C59)),NOT(ISNUMBER($D59))),"",$D59-$C59+1)</f>
        <v/>
      </c>
      <c r="F59" s="22" t="n"/>
      <c r="G59" s="24">
        <f>IF(AND($A59&lt;&gt;"",ISNUMBER($C59),ISNUMBER($D59),$C59&lt;=Data_Mapa,$D59&gt;=Data_Mapa),$A59,"")</f>
        <v/>
      </c>
      <c r="H59" s="24">
        <f>IF($A59="",0,IFERROR(MATCH($B59,Aus_Tipos,0),0))</f>
        <v/>
      </c>
    </row>
    <row r="60">
      <c r="A60" s="22" t="n"/>
      <c r="B60" s="20" t="n"/>
      <c r="C60" s="19" t="n"/>
      <c r="D60" s="19" t="n"/>
      <c r="E60" s="12">
        <f>IF(OR($A60="",NOT(ISNUMBER($C60)),NOT(ISNUMBER($D60))),"",$D60-$C60+1)</f>
        <v/>
      </c>
      <c r="F60" s="22" t="n"/>
      <c r="G60" s="24">
        <f>IF(AND($A60&lt;&gt;"",ISNUMBER($C60),ISNUMBER($D60),$C60&lt;=Data_Mapa,$D60&gt;=Data_Mapa),$A60,"")</f>
        <v/>
      </c>
      <c r="H60" s="24">
        <f>IF($A60="",0,IFERROR(MATCH($B60,Aus_Tipos,0),0))</f>
        <v/>
      </c>
    </row>
    <row r="61">
      <c r="A61" s="22" t="n"/>
      <c r="B61" s="20" t="n"/>
      <c r="C61" s="19" t="n"/>
      <c r="D61" s="19" t="n"/>
      <c r="E61" s="12">
        <f>IF(OR($A61="",NOT(ISNUMBER($C61)),NOT(ISNUMBER($D61))),"",$D61-$C61+1)</f>
        <v/>
      </c>
      <c r="F61" s="22" t="n"/>
      <c r="G61" s="24">
        <f>IF(AND($A61&lt;&gt;"",ISNUMBER($C61),ISNUMBER($D61),$C61&lt;=Data_Mapa,$D61&gt;=Data_Mapa),$A61,"")</f>
        <v/>
      </c>
      <c r="H61" s="24">
        <f>IF($A61="",0,IFERROR(MATCH($B61,Aus_Tipos,0),0))</f>
        <v/>
      </c>
    </row>
    <row r="62">
      <c r="A62" s="22" t="n"/>
      <c r="B62" s="20" t="n"/>
      <c r="C62" s="19" t="n"/>
      <c r="D62" s="19" t="n"/>
      <c r="E62" s="12">
        <f>IF(OR($A62="",NOT(ISNUMBER($C62)),NOT(ISNUMBER($D62))),"",$D62-$C62+1)</f>
        <v/>
      </c>
      <c r="F62" s="22" t="n"/>
      <c r="G62" s="24">
        <f>IF(AND($A62&lt;&gt;"",ISNUMBER($C62),ISNUMBER($D62),$C62&lt;=Data_Mapa,$D62&gt;=Data_Mapa),$A62,"")</f>
        <v/>
      </c>
      <c r="H62" s="24">
        <f>IF($A62="",0,IFERROR(MATCH($B62,Aus_Tipos,0),0))</f>
        <v/>
      </c>
    </row>
    <row r="63">
      <c r="A63" s="22" t="n"/>
      <c r="B63" s="20" t="n"/>
      <c r="C63" s="19" t="n"/>
      <c r="D63" s="19" t="n"/>
      <c r="E63" s="12">
        <f>IF(OR($A63="",NOT(ISNUMBER($C63)),NOT(ISNUMBER($D63))),"",$D63-$C63+1)</f>
        <v/>
      </c>
      <c r="F63" s="22" t="n"/>
      <c r="G63" s="24">
        <f>IF(AND($A63&lt;&gt;"",ISNUMBER($C63),ISNUMBER($D63),$C63&lt;=Data_Mapa,$D63&gt;=Data_Mapa),$A63,"")</f>
        <v/>
      </c>
      <c r="H63" s="24">
        <f>IF($A63="",0,IFERROR(MATCH($B63,Aus_Tipos,0),0))</f>
        <v/>
      </c>
    </row>
    <row r="64">
      <c r="A64" s="22" t="n"/>
      <c r="B64" s="20" t="n"/>
      <c r="C64" s="19" t="n"/>
      <c r="D64" s="19" t="n"/>
      <c r="E64" s="12">
        <f>IF(OR($A64="",NOT(ISNUMBER($C64)),NOT(ISNUMBER($D64))),"",$D64-$C64+1)</f>
        <v/>
      </c>
      <c r="F64" s="22" t="n"/>
      <c r="G64" s="24">
        <f>IF(AND($A64&lt;&gt;"",ISNUMBER($C64),ISNUMBER($D64),$C64&lt;=Data_Mapa,$D64&gt;=Data_Mapa),$A64,"")</f>
        <v/>
      </c>
      <c r="H64" s="24">
        <f>IF($A64="",0,IFERROR(MATCH($B64,Aus_Tipos,0),0))</f>
        <v/>
      </c>
    </row>
    <row r="65">
      <c r="A65" s="22" t="n"/>
      <c r="B65" s="20" t="n"/>
      <c r="C65" s="19" t="n"/>
      <c r="D65" s="19" t="n"/>
      <c r="E65" s="12">
        <f>IF(OR($A65="",NOT(ISNUMBER($C65)),NOT(ISNUMBER($D65))),"",$D65-$C65+1)</f>
        <v/>
      </c>
      <c r="F65" s="22" t="n"/>
      <c r="G65" s="24">
        <f>IF(AND($A65&lt;&gt;"",ISNUMBER($C65),ISNUMBER($D65),$C65&lt;=Data_Mapa,$D65&gt;=Data_Mapa),$A65,"")</f>
        <v/>
      </c>
      <c r="H65" s="24">
        <f>IF($A65="",0,IFERROR(MATCH($B65,Aus_Tipos,0),0))</f>
        <v/>
      </c>
    </row>
    <row r="66">
      <c r="A66" s="22" t="n"/>
      <c r="B66" s="20" t="n"/>
      <c r="C66" s="19" t="n"/>
      <c r="D66" s="19" t="n"/>
      <c r="E66" s="12">
        <f>IF(OR($A66="",NOT(ISNUMBER($C66)),NOT(ISNUMBER($D66))),"",$D66-$C66+1)</f>
        <v/>
      </c>
      <c r="F66" s="22" t="n"/>
      <c r="G66" s="24">
        <f>IF(AND($A66&lt;&gt;"",ISNUMBER($C66),ISNUMBER($D66),$C66&lt;=Data_Mapa,$D66&gt;=Data_Mapa),$A66,"")</f>
        <v/>
      </c>
      <c r="H66" s="24">
        <f>IF($A66="",0,IFERROR(MATCH($B66,Aus_Tipos,0),0))</f>
        <v/>
      </c>
    </row>
    <row r="67">
      <c r="A67" s="22" t="n"/>
      <c r="B67" s="20" t="n"/>
      <c r="C67" s="19" t="n"/>
      <c r="D67" s="19" t="n"/>
      <c r="E67" s="12">
        <f>IF(OR($A67="",NOT(ISNUMBER($C67)),NOT(ISNUMBER($D67))),"",$D67-$C67+1)</f>
        <v/>
      </c>
      <c r="F67" s="22" t="n"/>
      <c r="G67" s="24">
        <f>IF(AND($A67&lt;&gt;"",ISNUMBER($C67),ISNUMBER($D67),$C67&lt;=Data_Mapa,$D67&gt;=Data_Mapa),$A67,"")</f>
        <v/>
      </c>
      <c r="H67" s="24">
        <f>IF($A67="",0,IFERROR(MATCH($B67,Aus_Tipos,0),0))</f>
        <v/>
      </c>
    </row>
    <row r="68">
      <c r="A68" s="22" t="n"/>
      <c r="B68" s="20" t="n"/>
      <c r="C68" s="19" t="n"/>
      <c r="D68" s="19" t="n"/>
      <c r="E68" s="12">
        <f>IF(OR($A68="",NOT(ISNUMBER($C68)),NOT(ISNUMBER($D68))),"",$D68-$C68+1)</f>
        <v/>
      </c>
      <c r="F68" s="22" t="n"/>
      <c r="G68" s="24">
        <f>IF(AND($A68&lt;&gt;"",ISNUMBER($C68),ISNUMBER($D68),$C68&lt;=Data_Mapa,$D68&gt;=Data_Mapa),$A68,"")</f>
        <v/>
      </c>
      <c r="H68" s="24">
        <f>IF($A68="",0,IFERROR(MATCH($B68,Aus_Tipos,0),0))</f>
        <v/>
      </c>
    </row>
    <row r="69">
      <c r="A69" s="22" t="n"/>
      <c r="B69" s="20" t="n"/>
      <c r="C69" s="19" t="n"/>
      <c r="D69" s="19" t="n"/>
      <c r="E69" s="12">
        <f>IF(OR($A69="",NOT(ISNUMBER($C69)),NOT(ISNUMBER($D69))),"",$D69-$C69+1)</f>
        <v/>
      </c>
      <c r="F69" s="22" t="n"/>
      <c r="G69" s="24">
        <f>IF(AND($A69&lt;&gt;"",ISNUMBER($C69),ISNUMBER($D69),$C69&lt;=Data_Mapa,$D69&gt;=Data_Mapa),$A69,"")</f>
        <v/>
      </c>
      <c r="H69" s="24">
        <f>IF($A69="",0,IFERROR(MATCH($B69,Aus_Tipos,0),0))</f>
        <v/>
      </c>
    </row>
    <row r="70">
      <c r="A70" s="22" t="n"/>
      <c r="B70" s="20" t="n"/>
      <c r="C70" s="19" t="n"/>
      <c r="D70" s="19" t="n"/>
      <c r="E70" s="12">
        <f>IF(OR($A70="",NOT(ISNUMBER($C70)),NOT(ISNUMBER($D70))),"",$D70-$C70+1)</f>
        <v/>
      </c>
      <c r="F70" s="22" t="n"/>
      <c r="G70" s="24">
        <f>IF(AND($A70&lt;&gt;"",ISNUMBER($C70),ISNUMBER($D70),$C70&lt;=Data_Mapa,$D70&gt;=Data_Mapa),$A70,"")</f>
        <v/>
      </c>
      <c r="H70" s="24">
        <f>IF($A70="",0,IFERROR(MATCH($B70,Aus_Tipos,0),0))</f>
        <v/>
      </c>
    </row>
    <row r="71">
      <c r="A71" s="22" t="n"/>
      <c r="B71" s="20" t="n"/>
      <c r="C71" s="19" t="n"/>
      <c r="D71" s="19" t="n"/>
      <c r="E71" s="12">
        <f>IF(OR($A71="",NOT(ISNUMBER($C71)),NOT(ISNUMBER($D71))),"",$D71-$C71+1)</f>
        <v/>
      </c>
      <c r="F71" s="22" t="n"/>
      <c r="G71" s="24">
        <f>IF(AND($A71&lt;&gt;"",ISNUMBER($C71),ISNUMBER($D71),$C71&lt;=Data_Mapa,$D71&gt;=Data_Mapa),$A71,"")</f>
        <v/>
      </c>
      <c r="H71" s="24">
        <f>IF($A71="",0,IFERROR(MATCH($B71,Aus_Tipos,0),0))</f>
        <v/>
      </c>
    </row>
    <row r="72">
      <c r="A72" s="22" t="n"/>
      <c r="B72" s="20" t="n"/>
      <c r="C72" s="19" t="n"/>
      <c r="D72" s="19" t="n"/>
      <c r="E72" s="12">
        <f>IF(OR($A72="",NOT(ISNUMBER($C72)),NOT(ISNUMBER($D72))),"",$D72-$C72+1)</f>
        <v/>
      </c>
      <c r="F72" s="22" t="n"/>
      <c r="G72" s="24">
        <f>IF(AND($A72&lt;&gt;"",ISNUMBER($C72),ISNUMBER($D72),$C72&lt;=Data_Mapa,$D72&gt;=Data_Mapa),$A72,"")</f>
        <v/>
      </c>
      <c r="H72" s="24">
        <f>IF($A72="",0,IFERROR(MATCH($B72,Aus_Tipos,0),0))</f>
        <v/>
      </c>
    </row>
    <row r="73">
      <c r="A73" s="22" t="n"/>
      <c r="B73" s="20" t="n"/>
      <c r="C73" s="19" t="n"/>
      <c r="D73" s="19" t="n"/>
      <c r="E73" s="12">
        <f>IF(OR($A73="",NOT(ISNUMBER($C73)),NOT(ISNUMBER($D73))),"",$D73-$C73+1)</f>
        <v/>
      </c>
      <c r="F73" s="22" t="n"/>
      <c r="G73" s="24">
        <f>IF(AND($A73&lt;&gt;"",ISNUMBER($C73),ISNUMBER($D73),$C73&lt;=Data_Mapa,$D73&gt;=Data_Mapa),$A73,"")</f>
        <v/>
      </c>
      <c r="H73" s="24">
        <f>IF($A73="",0,IFERROR(MATCH($B73,Aus_Tipos,0),0))</f>
        <v/>
      </c>
    </row>
    <row r="74">
      <c r="A74" s="22" t="n"/>
      <c r="B74" s="20" t="n"/>
      <c r="C74" s="19" t="n"/>
      <c r="D74" s="19" t="n"/>
      <c r="E74" s="12">
        <f>IF(OR($A74="",NOT(ISNUMBER($C74)),NOT(ISNUMBER($D74))),"",$D74-$C74+1)</f>
        <v/>
      </c>
      <c r="F74" s="22" t="n"/>
      <c r="G74" s="24">
        <f>IF(AND($A74&lt;&gt;"",ISNUMBER($C74),ISNUMBER($D74),$C74&lt;=Data_Mapa,$D74&gt;=Data_Mapa),$A74,"")</f>
        <v/>
      </c>
      <c r="H74" s="24">
        <f>IF($A74="",0,IFERROR(MATCH($B74,Aus_Tipos,0),0))</f>
        <v/>
      </c>
    </row>
    <row r="75">
      <c r="A75" s="22" t="n"/>
      <c r="B75" s="20" t="n"/>
      <c r="C75" s="19" t="n"/>
      <c r="D75" s="19" t="n"/>
      <c r="E75" s="12">
        <f>IF(OR($A75="",NOT(ISNUMBER($C75)),NOT(ISNUMBER($D75))),"",$D75-$C75+1)</f>
        <v/>
      </c>
      <c r="F75" s="22" t="n"/>
      <c r="G75" s="24">
        <f>IF(AND($A75&lt;&gt;"",ISNUMBER($C75),ISNUMBER($D75),$C75&lt;=Data_Mapa,$D75&gt;=Data_Mapa),$A75,"")</f>
        <v/>
      </c>
      <c r="H75" s="24">
        <f>IF($A75="",0,IFERROR(MATCH($B75,Aus_Tipos,0),0))</f>
        <v/>
      </c>
    </row>
    <row r="76">
      <c r="A76" s="22" t="n"/>
      <c r="B76" s="20" t="n"/>
      <c r="C76" s="19" t="n"/>
      <c r="D76" s="19" t="n"/>
      <c r="E76" s="12">
        <f>IF(OR($A76="",NOT(ISNUMBER($C76)),NOT(ISNUMBER($D76))),"",$D76-$C76+1)</f>
        <v/>
      </c>
      <c r="F76" s="22" t="n"/>
      <c r="G76" s="24">
        <f>IF(AND($A76&lt;&gt;"",ISNUMBER($C76),ISNUMBER($D76),$C76&lt;=Data_Mapa,$D76&gt;=Data_Mapa),$A76,"")</f>
        <v/>
      </c>
      <c r="H76" s="24">
        <f>IF($A76="",0,IFERROR(MATCH($B76,Aus_Tipos,0),0))</f>
        <v/>
      </c>
    </row>
    <row r="77">
      <c r="A77" s="22" t="n"/>
      <c r="B77" s="20" t="n"/>
      <c r="C77" s="19" t="n"/>
      <c r="D77" s="19" t="n"/>
      <c r="E77" s="12">
        <f>IF(OR($A77="",NOT(ISNUMBER($C77)),NOT(ISNUMBER($D77))),"",$D77-$C77+1)</f>
        <v/>
      </c>
      <c r="F77" s="22" t="n"/>
      <c r="G77" s="24">
        <f>IF(AND($A77&lt;&gt;"",ISNUMBER($C77),ISNUMBER($D77),$C77&lt;=Data_Mapa,$D77&gt;=Data_Mapa),$A77,"")</f>
        <v/>
      </c>
      <c r="H77" s="24">
        <f>IF($A77="",0,IFERROR(MATCH($B77,Aus_Tipos,0),0))</f>
        <v/>
      </c>
    </row>
    <row r="78">
      <c r="A78" s="22" t="n"/>
      <c r="B78" s="20" t="n"/>
      <c r="C78" s="19" t="n"/>
      <c r="D78" s="19" t="n"/>
      <c r="E78" s="12">
        <f>IF(OR($A78="",NOT(ISNUMBER($C78)),NOT(ISNUMBER($D78))),"",$D78-$C78+1)</f>
        <v/>
      </c>
      <c r="F78" s="22" t="n"/>
      <c r="G78" s="24">
        <f>IF(AND($A78&lt;&gt;"",ISNUMBER($C78),ISNUMBER($D78),$C78&lt;=Data_Mapa,$D78&gt;=Data_Mapa),$A78,"")</f>
        <v/>
      </c>
      <c r="H78" s="24">
        <f>IF($A78="",0,IFERROR(MATCH($B78,Aus_Tipos,0),0))</f>
        <v/>
      </c>
    </row>
    <row r="79">
      <c r="A79" s="22" t="n"/>
      <c r="B79" s="20" t="n"/>
      <c r="C79" s="19" t="n"/>
      <c r="D79" s="19" t="n"/>
      <c r="E79" s="12">
        <f>IF(OR($A79="",NOT(ISNUMBER($C79)),NOT(ISNUMBER($D79))),"",$D79-$C79+1)</f>
        <v/>
      </c>
      <c r="F79" s="22" t="n"/>
      <c r="G79" s="24">
        <f>IF(AND($A79&lt;&gt;"",ISNUMBER($C79),ISNUMBER($D79),$C79&lt;=Data_Mapa,$D79&gt;=Data_Mapa),$A79,"")</f>
        <v/>
      </c>
      <c r="H79" s="24">
        <f>IF($A79="",0,IFERROR(MATCH($B79,Aus_Tipos,0),0))</f>
        <v/>
      </c>
    </row>
    <row r="80">
      <c r="A80" s="22" t="n"/>
      <c r="B80" s="20" t="n"/>
      <c r="C80" s="19" t="n"/>
      <c r="D80" s="19" t="n"/>
      <c r="E80" s="12">
        <f>IF(OR($A80="",NOT(ISNUMBER($C80)),NOT(ISNUMBER($D80))),"",$D80-$C80+1)</f>
        <v/>
      </c>
      <c r="F80" s="22" t="n"/>
      <c r="G80" s="24">
        <f>IF(AND($A80&lt;&gt;"",ISNUMBER($C80),ISNUMBER($D80),$C80&lt;=Data_Mapa,$D80&gt;=Data_Mapa),$A80,"")</f>
        <v/>
      </c>
      <c r="H80" s="24">
        <f>IF($A80="",0,IFERROR(MATCH($B80,Aus_Tipos,0),0))</f>
        <v/>
      </c>
    </row>
    <row r="81">
      <c r="A81" s="22" t="n"/>
      <c r="B81" s="20" t="n"/>
      <c r="C81" s="19" t="n"/>
      <c r="D81" s="19" t="n"/>
      <c r="E81" s="12">
        <f>IF(OR($A81="",NOT(ISNUMBER($C81)),NOT(ISNUMBER($D81))),"",$D81-$C81+1)</f>
        <v/>
      </c>
      <c r="F81" s="22" t="n"/>
      <c r="G81" s="24">
        <f>IF(AND($A81&lt;&gt;"",ISNUMBER($C81),ISNUMBER($D81),$C81&lt;=Data_Mapa,$D81&gt;=Data_Mapa),$A81,"")</f>
        <v/>
      </c>
      <c r="H81" s="24">
        <f>IF($A81="",0,IFERROR(MATCH($B81,Aus_Tipos,0),0))</f>
        <v/>
      </c>
    </row>
    <row r="82">
      <c r="A82" s="22" t="n"/>
      <c r="B82" s="20" t="n"/>
      <c r="C82" s="19" t="n"/>
      <c r="D82" s="19" t="n"/>
      <c r="E82" s="12">
        <f>IF(OR($A82="",NOT(ISNUMBER($C82)),NOT(ISNUMBER($D82))),"",$D82-$C82+1)</f>
        <v/>
      </c>
      <c r="F82" s="22" t="n"/>
      <c r="G82" s="24">
        <f>IF(AND($A82&lt;&gt;"",ISNUMBER($C82),ISNUMBER($D82),$C82&lt;=Data_Mapa,$D82&gt;=Data_Mapa),$A82,"")</f>
        <v/>
      </c>
      <c r="H82" s="24">
        <f>IF($A82="",0,IFERROR(MATCH($B82,Aus_Tipos,0),0))</f>
        <v/>
      </c>
    </row>
    <row r="83">
      <c r="A83" s="22" t="n"/>
      <c r="B83" s="20" t="n"/>
      <c r="C83" s="19" t="n"/>
      <c r="D83" s="19" t="n"/>
      <c r="E83" s="12">
        <f>IF(OR($A83="",NOT(ISNUMBER($C83)),NOT(ISNUMBER($D83))),"",$D83-$C83+1)</f>
        <v/>
      </c>
      <c r="F83" s="22" t="n"/>
      <c r="G83" s="24">
        <f>IF(AND($A83&lt;&gt;"",ISNUMBER($C83),ISNUMBER($D83),$C83&lt;=Data_Mapa,$D83&gt;=Data_Mapa),$A83,"")</f>
        <v/>
      </c>
      <c r="H83" s="24">
        <f>IF($A83="",0,IFERROR(MATCH($B83,Aus_Tipos,0),0))</f>
        <v/>
      </c>
    </row>
    <row r="84">
      <c r="A84" s="22" t="n"/>
      <c r="B84" s="20" t="n"/>
      <c r="C84" s="19" t="n"/>
      <c r="D84" s="19" t="n"/>
      <c r="E84" s="12">
        <f>IF(OR($A84="",NOT(ISNUMBER($C84)),NOT(ISNUMBER($D84))),"",$D84-$C84+1)</f>
        <v/>
      </c>
      <c r="F84" s="22" t="n"/>
      <c r="G84" s="24">
        <f>IF(AND($A84&lt;&gt;"",ISNUMBER($C84),ISNUMBER($D84),$C84&lt;=Data_Mapa,$D84&gt;=Data_Mapa),$A84,"")</f>
        <v/>
      </c>
      <c r="H84" s="24">
        <f>IF($A84="",0,IFERROR(MATCH($B84,Aus_Tipos,0),0))</f>
        <v/>
      </c>
    </row>
    <row r="85">
      <c r="A85" s="22" t="n"/>
      <c r="B85" s="20" t="n"/>
      <c r="C85" s="19" t="n"/>
      <c r="D85" s="19" t="n"/>
      <c r="E85" s="12">
        <f>IF(OR($A85="",NOT(ISNUMBER($C85)),NOT(ISNUMBER($D85))),"",$D85-$C85+1)</f>
        <v/>
      </c>
      <c r="F85" s="22" t="n"/>
      <c r="G85" s="24">
        <f>IF(AND($A85&lt;&gt;"",ISNUMBER($C85),ISNUMBER($D85),$C85&lt;=Data_Mapa,$D85&gt;=Data_Mapa),$A85,"")</f>
        <v/>
      </c>
      <c r="H85" s="24">
        <f>IF($A85="",0,IFERROR(MATCH($B85,Aus_Tipos,0),0))</f>
        <v/>
      </c>
    </row>
    <row r="86">
      <c r="A86" s="22" t="n"/>
      <c r="B86" s="20" t="n"/>
      <c r="C86" s="19" t="n"/>
      <c r="D86" s="19" t="n"/>
      <c r="E86" s="12">
        <f>IF(OR($A86="",NOT(ISNUMBER($C86)),NOT(ISNUMBER($D86))),"",$D86-$C86+1)</f>
        <v/>
      </c>
      <c r="F86" s="22" t="n"/>
      <c r="G86" s="24">
        <f>IF(AND($A86&lt;&gt;"",ISNUMBER($C86),ISNUMBER($D86),$C86&lt;=Data_Mapa,$D86&gt;=Data_Mapa),$A86,"")</f>
        <v/>
      </c>
      <c r="H86" s="24">
        <f>IF($A86="",0,IFERROR(MATCH($B86,Aus_Tipos,0),0))</f>
        <v/>
      </c>
    </row>
    <row r="87">
      <c r="A87" s="22" t="n"/>
      <c r="B87" s="20" t="n"/>
      <c r="C87" s="19" t="n"/>
      <c r="D87" s="19" t="n"/>
      <c r="E87" s="12">
        <f>IF(OR($A87="",NOT(ISNUMBER($C87)),NOT(ISNUMBER($D87))),"",$D87-$C87+1)</f>
        <v/>
      </c>
      <c r="F87" s="22" t="n"/>
      <c r="G87" s="24">
        <f>IF(AND($A87&lt;&gt;"",ISNUMBER($C87),ISNUMBER($D87),$C87&lt;=Data_Mapa,$D87&gt;=Data_Mapa),$A87,"")</f>
        <v/>
      </c>
      <c r="H87" s="24">
        <f>IF($A87="",0,IFERROR(MATCH($B87,Aus_Tipos,0),0))</f>
        <v/>
      </c>
    </row>
    <row r="88">
      <c r="A88" s="22" t="n"/>
      <c r="B88" s="20" t="n"/>
      <c r="C88" s="19" t="n"/>
      <c r="D88" s="19" t="n"/>
      <c r="E88" s="12">
        <f>IF(OR($A88="",NOT(ISNUMBER($C88)),NOT(ISNUMBER($D88))),"",$D88-$C88+1)</f>
        <v/>
      </c>
      <c r="F88" s="22" t="n"/>
      <c r="G88" s="24">
        <f>IF(AND($A88&lt;&gt;"",ISNUMBER($C88),ISNUMBER($D88),$C88&lt;=Data_Mapa,$D88&gt;=Data_Mapa),$A88,"")</f>
        <v/>
      </c>
      <c r="H88" s="24">
        <f>IF($A88="",0,IFERROR(MATCH($B88,Aus_Tipos,0),0))</f>
        <v/>
      </c>
    </row>
    <row r="89">
      <c r="A89" s="22" t="n"/>
      <c r="B89" s="20" t="n"/>
      <c r="C89" s="19" t="n"/>
      <c r="D89" s="19" t="n"/>
      <c r="E89" s="12">
        <f>IF(OR($A89="",NOT(ISNUMBER($C89)),NOT(ISNUMBER($D89))),"",$D89-$C89+1)</f>
        <v/>
      </c>
      <c r="F89" s="22" t="n"/>
      <c r="G89" s="24">
        <f>IF(AND($A89&lt;&gt;"",ISNUMBER($C89),ISNUMBER($D89),$C89&lt;=Data_Mapa,$D89&gt;=Data_Mapa),$A89,"")</f>
        <v/>
      </c>
      <c r="H89" s="24">
        <f>IF($A89="",0,IFERROR(MATCH($B89,Aus_Tipos,0),0))</f>
        <v/>
      </c>
    </row>
    <row r="90">
      <c r="A90" s="22" t="n"/>
      <c r="B90" s="20" t="n"/>
      <c r="C90" s="19" t="n"/>
      <c r="D90" s="19" t="n"/>
      <c r="E90" s="12">
        <f>IF(OR($A90="",NOT(ISNUMBER($C90)),NOT(ISNUMBER($D90))),"",$D90-$C90+1)</f>
        <v/>
      </c>
      <c r="F90" s="22" t="n"/>
      <c r="G90" s="24">
        <f>IF(AND($A90&lt;&gt;"",ISNUMBER($C90),ISNUMBER($D90),$C90&lt;=Data_Mapa,$D90&gt;=Data_Mapa),$A90,"")</f>
        <v/>
      </c>
      <c r="H90" s="24">
        <f>IF($A90="",0,IFERROR(MATCH($B90,Aus_Tipos,0),0))</f>
        <v/>
      </c>
    </row>
    <row r="91">
      <c r="A91" s="22" t="n"/>
      <c r="B91" s="20" t="n"/>
      <c r="C91" s="19" t="n"/>
      <c r="D91" s="19" t="n"/>
      <c r="E91" s="12">
        <f>IF(OR($A91="",NOT(ISNUMBER($C91)),NOT(ISNUMBER($D91))),"",$D91-$C91+1)</f>
        <v/>
      </c>
      <c r="F91" s="22" t="n"/>
      <c r="G91" s="24">
        <f>IF(AND($A91&lt;&gt;"",ISNUMBER($C91),ISNUMBER($D91),$C91&lt;=Data_Mapa,$D91&gt;=Data_Mapa),$A91,"")</f>
        <v/>
      </c>
      <c r="H91" s="24">
        <f>IF($A91="",0,IFERROR(MATCH($B91,Aus_Tipos,0),0))</f>
        <v/>
      </c>
    </row>
    <row r="92">
      <c r="A92" s="22" t="n"/>
      <c r="B92" s="20" t="n"/>
      <c r="C92" s="19" t="n"/>
      <c r="D92" s="19" t="n"/>
      <c r="E92" s="12">
        <f>IF(OR($A92="",NOT(ISNUMBER($C92)),NOT(ISNUMBER($D92))),"",$D92-$C92+1)</f>
        <v/>
      </c>
      <c r="F92" s="22" t="n"/>
      <c r="G92" s="24">
        <f>IF(AND($A92&lt;&gt;"",ISNUMBER($C92),ISNUMBER($D92),$C92&lt;=Data_Mapa,$D92&gt;=Data_Mapa),$A92,"")</f>
        <v/>
      </c>
      <c r="H92" s="24">
        <f>IF($A92="",0,IFERROR(MATCH($B92,Aus_Tipos,0),0))</f>
        <v/>
      </c>
    </row>
    <row r="93">
      <c r="A93" s="22" t="n"/>
      <c r="B93" s="20" t="n"/>
      <c r="C93" s="19" t="n"/>
      <c r="D93" s="19" t="n"/>
      <c r="E93" s="12">
        <f>IF(OR($A93="",NOT(ISNUMBER($C93)),NOT(ISNUMBER($D93))),"",$D93-$C93+1)</f>
        <v/>
      </c>
      <c r="F93" s="22" t="n"/>
      <c r="G93" s="24">
        <f>IF(AND($A93&lt;&gt;"",ISNUMBER($C93),ISNUMBER($D93),$C93&lt;=Data_Mapa,$D93&gt;=Data_Mapa),$A93,"")</f>
        <v/>
      </c>
      <c r="H93" s="24">
        <f>IF($A93="",0,IFERROR(MATCH($B93,Aus_Tipos,0),0))</f>
        <v/>
      </c>
    </row>
    <row r="94">
      <c r="A94" s="22" t="n"/>
      <c r="B94" s="20" t="n"/>
      <c r="C94" s="19" t="n"/>
      <c r="D94" s="19" t="n"/>
      <c r="E94" s="12">
        <f>IF(OR($A94="",NOT(ISNUMBER($C94)),NOT(ISNUMBER($D94))),"",$D94-$C94+1)</f>
        <v/>
      </c>
      <c r="F94" s="22" t="n"/>
      <c r="G94" s="24">
        <f>IF(AND($A94&lt;&gt;"",ISNUMBER($C94),ISNUMBER($D94),$C94&lt;=Data_Mapa,$D94&gt;=Data_Mapa),$A94,"")</f>
        <v/>
      </c>
      <c r="H94" s="24">
        <f>IF($A94="",0,IFERROR(MATCH($B94,Aus_Tipos,0),0))</f>
        <v/>
      </c>
    </row>
    <row r="95">
      <c r="A95" s="22" t="n"/>
      <c r="B95" s="20" t="n"/>
      <c r="C95" s="19" t="n"/>
      <c r="D95" s="19" t="n"/>
      <c r="E95" s="12">
        <f>IF(OR($A95="",NOT(ISNUMBER($C95)),NOT(ISNUMBER($D95))),"",$D95-$C95+1)</f>
        <v/>
      </c>
      <c r="F95" s="22" t="n"/>
      <c r="G95" s="24">
        <f>IF(AND($A95&lt;&gt;"",ISNUMBER($C95),ISNUMBER($D95),$C95&lt;=Data_Mapa,$D95&gt;=Data_Mapa),$A95,"")</f>
        <v/>
      </c>
      <c r="H95" s="24">
        <f>IF($A95="",0,IFERROR(MATCH($B95,Aus_Tipos,0),0))</f>
        <v/>
      </c>
    </row>
    <row r="96">
      <c r="A96" s="22" t="n"/>
      <c r="B96" s="20" t="n"/>
      <c r="C96" s="19" t="n"/>
      <c r="D96" s="19" t="n"/>
      <c r="E96" s="12">
        <f>IF(OR($A96="",NOT(ISNUMBER($C96)),NOT(ISNUMBER($D96))),"",$D96-$C96+1)</f>
        <v/>
      </c>
      <c r="F96" s="22" t="n"/>
      <c r="G96" s="24">
        <f>IF(AND($A96&lt;&gt;"",ISNUMBER($C96),ISNUMBER($D96),$C96&lt;=Data_Mapa,$D96&gt;=Data_Mapa),$A96,"")</f>
        <v/>
      </c>
      <c r="H96" s="24">
        <f>IF($A96="",0,IFERROR(MATCH($B96,Aus_Tipos,0),0))</f>
        <v/>
      </c>
    </row>
    <row r="97">
      <c r="A97" s="22" t="n"/>
      <c r="B97" s="20" t="n"/>
      <c r="C97" s="19" t="n"/>
      <c r="D97" s="19" t="n"/>
      <c r="E97" s="12">
        <f>IF(OR($A97="",NOT(ISNUMBER($C97)),NOT(ISNUMBER($D97))),"",$D97-$C97+1)</f>
        <v/>
      </c>
      <c r="F97" s="22" t="n"/>
      <c r="G97" s="24">
        <f>IF(AND($A97&lt;&gt;"",ISNUMBER($C97),ISNUMBER($D97),$C97&lt;=Data_Mapa,$D97&gt;=Data_Mapa),$A97,"")</f>
        <v/>
      </c>
      <c r="H97" s="24">
        <f>IF($A97="",0,IFERROR(MATCH($B97,Aus_Tipos,0),0))</f>
        <v/>
      </c>
    </row>
    <row r="98">
      <c r="A98" s="22" t="n"/>
      <c r="B98" s="20" t="n"/>
      <c r="C98" s="19" t="n"/>
      <c r="D98" s="19" t="n"/>
      <c r="E98" s="12">
        <f>IF(OR($A98="",NOT(ISNUMBER($C98)),NOT(ISNUMBER($D98))),"",$D98-$C98+1)</f>
        <v/>
      </c>
      <c r="F98" s="22" t="n"/>
      <c r="G98" s="24">
        <f>IF(AND($A98&lt;&gt;"",ISNUMBER($C98),ISNUMBER($D98),$C98&lt;=Data_Mapa,$D98&gt;=Data_Mapa),$A98,"")</f>
        <v/>
      </c>
      <c r="H98" s="24">
        <f>IF($A98="",0,IFERROR(MATCH($B98,Aus_Tipos,0),0))</f>
        <v/>
      </c>
    </row>
    <row r="99">
      <c r="A99" s="22" t="n"/>
      <c r="B99" s="20" t="n"/>
      <c r="C99" s="19" t="n"/>
      <c r="D99" s="19" t="n"/>
      <c r="E99" s="12">
        <f>IF(OR($A99="",NOT(ISNUMBER($C99)),NOT(ISNUMBER($D99))),"",$D99-$C99+1)</f>
        <v/>
      </c>
      <c r="F99" s="22" t="n"/>
      <c r="G99" s="24">
        <f>IF(AND($A99&lt;&gt;"",ISNUMBER($C99),ISNUMBER($D99),$C99&lt;=Data_Mapa,$D99&gt;=Data_Mapa),$A99,"")</f>
        <v/>
      </c>
      <c r="H99" s="24">
        <f>IF($A99="",0,IFERROR(MATCH($B99,Aus_Tipos,0),0))</f>
        <v/>
      </c>
    </row>
    <row r="100">
      <c r="A100" s="22" t="n"/>
      <c r="B100" s="20" t="n"/>
      <c r="C100" s="19" t="n"/>
      <c r="D100" s="19" t="n"/>
      <c r="E100" s="12">
        <f>IF(OR($A100="",NOT(ISNUMBER($C100)),NOT(ISNUMBER($D100))),"",$D100-$C100+1)</f>
        <v/>
      </c>
      <c r="F100" s="22" t="n"/>
      <c r="G100" s="24">
        <f>IF(AND($A100&lt;&gt;"",ISNUMBER($C100),ISNUMBER($D100),$C100&lt;=Data_Mapa,$D100&gt;=Data_Mapa),$A100,"")</f>
        <v/>
      </c>
      <c r="H100" s="24">
        <f>IF($A100="",0,IFERROR(MATCH($B100,Aus_Tipos,0),0))</f>
        <v/>
      </c>
    </row>
    <row r="101">
      <c r="A101" s="22" t="n"/>
      <c r="B101" s="20" t="n"/>
      <c r="C101" s="19" t="n"/>
      <c r="D101" s="19" t="n"/>
      <c r="E101" s="12">
        <f>IF(OR($A101="",NOT(ISNUMBER($C101)),NOT(ISNUMBER($D101))),"",$D101-$C101+1)</f>
        <v/>
      </c>
      <c r="F101" s="22" t="n"/>
      <c r="G101" s="24">
        <f>IF(AND($A101&lt;&gt;"",ISNUMBER($C101),ISNUMBER($D101),$C101&lt;=Data_Mapa,$D101&gt;=Data_Mapa),$A101,"")</f>
        <v/>
      </c>
      <c r="H101" s="24">
        <f>IF($A101="",0,IFERROR(MATCH($B101,Aus_Tipos,0),0))</f>
        <v/>
      </c>
    </row>
    <row r="102">
      <c r="A102" s="22" t="n"/>
      <c r="B102" s="20" t="n"/>
      <c r="C102" s="19" t="n"/>
      <c r="D102" s="19" t="n"/>
      <c r="E102" s="12">
        <f>IF(OR($A102="",NOT(ISNUMBER($C102)),NOT(ISNUMBER($D102))),"",$D102-$C102+1)</f>
        <v/>
      </c>
      <c r="F102" s="22" t="n"/>
      <c r="G102" s="24">
        <f>IF(AND($A102&lt;&gt;"",ISNUMBER($C102),ISNUMBER($D102),$C102&lt;=Data_Mapa,$D102&gt;=Data_Mapa),$A102,"")</f>
        <v/>
      </c>
      <c r="H102" s="24">
        <f>IF($A102="",0,IFERROR(MATCH($B102,Aus_Tipos,0),0))</f>
        <v/>
      </c>
    </row>
    <row r="103">
      <c r="A103" s="22" t="n"/>
      <c r="B103" s="20" t="n"/>
      <c r="C103" s="19" t="n"/>
      <c r="D103" s="19" t="n"/>
      <c r="E103" s="12">
        <f>IF(OR($A103="",NOT(ISNUMBER($C103)),NOT(ISNUMBER($D103))),"",$D103-$C103+1)</f>
        <v/>
      </c>
      <c r="F103" s="22" t="n"/>
      <c r="G103" s="24">
        <f>IF(AND($A103&lt;&gt;"",ISNUMBER($C103),ISNUMBER($D103),$C103&lt;=Data_Mapa,$D103&gt;=Data_Mapa),$A103,"")</f>
        <v/>
      </c>
      <c r="H103" s="24">
        <f>IF($A103="",0,IFERROR(MATCH($B103,Aus_Tipos,0),0))</f>
        <v/>
      </c>
    </row>
    <row r="104">
      <c r="A104" s="22" t="n"/>
      <c r="B104" s="20" t="n"/>
      <c r="C104" s="19" t="n"/>
      <c r="D104" s="19" t="n"/>
      <c r="E104" s="12">
        <f>IF(OR($A104="",NOT(ISNUMBER($C104)),NOT(ISNUMBER($D104))),"",$D104-$C104+1)</f>
        <v/>
      </c>
      <c r="F104" s="22" t="n"/>
      <c r="G104" s="24">
        <f>IF(AND($A104&lt;&gt;"",ISNUMBER($C104),ISNUMBER($D104),$C104&lt;=Data_Mapa,$D104&gt;=Data_Mapa),$A104,"")</f>
        <v/>
      </c>
      <c r="H104" s="24">
        <f>IF($A104="",0,IFERROR(MATCH($B104,Aus_Tipos,0),0))</f>
        <v/>
      </c>
    </row>
    <row r="105">
      <c r="A105" s="22" t="n"/>
      <c r="B105" s="20" t="n"/>
      <c r="C105" s="19" t="n"/>
      <c r="D105" s="19" t="n"/>
      <c r="E105" s="12">
        <f>IF(OR($A105="",NOT(ISNUMBER($C105)),NOT(ISNUMBER($D105))),"",$D105-$C105+1)</f>
        <v/>
      </c>
      <c r="F105" s="22" t="n"/>
      <c r="G105" s="24">
        <f>IF(AND($A105&lt;&gt;"",ISNUMBER($C105),ISNUMBER($D105),$C105&lt;=Data_Mapa,$D105&gt;=Data_Mapa),$A105,"")</f>
        <v/>
      </c>
      <c r="H105" s="24">
        <f>IF($A105="",0,IFERROR(MATCH($B105,Aus_Tipos,0),0))</f>
        <v/>
      </c>
    </row>
    <row r="106">
      <c r="A106" s="22" t="n"/>
      <c r="B106" s="20" t="n"/>
      <c r="C106" s="19" t="n"/>
      <c r="D106" s="19" t="n"/>
      <c r="E106" s="12">
        <f>IF(OR($A106="",NOT(ISNUMBER($C106)),NOT(ISNUMBER($D106))),"",$D106-$C106+1)</f>
        <v/>
      </c>
      <c r="F106" s="22" t="n"/>
      <c r="G106" s="24">
        <f>IF(AND($A106&lt;&gt;"",ISNUMBER($C106),ISNUMBER($D106),$C106&lt;=Data_Mapa,$D106&gt;=Data_Mapa),$A106,"")</f>
        <v/>
      </c>
      <c r="H106" s="24">
        <f>IF($A106="",0,IFERROR(MATCH($B106,Aus_Tipos,0),0))</f>
        <v/>
      </c>
    </row>
    <row r="107">
      <c r="A107" s="22" t="n"/>
      <c r="B107" s="20" t="n"/>
      <c r="C107" s="19" t="n"/>
      <c r="D107" s="19" t="n"/>
      <c r="E107" s="12">
        <f>IF(OR($A107="",NOT(ISNUMBER($C107)),NOT(ISNUMBER($D107))),"",$D107-$C107+1)</f>
        <v/>
      </c>
      <c r="F107" s="22" t="n"/>
      <c r="G107" s="24">
        <f>IF(AND($A107&lt;&gt;"",ISNUMBER($C107),ISNUMBER($D107),$C107&lt;=Data_Mapa,$D107&gt;=Data_Mapa),$A107,"")</f>
        <v/>
      </c>
      <c r="H107" s="24">
        <f>IF($A107="",0,IFERROR(MATCH($B107,Aus_Tipos,0),0))</f>
        <v/>
      </c>
    </row>
    <row r="108">
      <c r="A108" s="22" t="n"/>
      <c r="B108" s="20" t="n"/>
      <c r="C108" s="19" t="n"/>
      <c r="D108" s="19" t="n"/>
      <c r="E108" s="12">
        <f>IF(OR($A108="",NOT(ISNUMBER($C108)),NOT(ISNUMBER($D108))),"",$D108-$C108+1)</f>
        <v/>
      </c>
      <c r="F108" s="22" t="n"/>
      <c r="G108" s="24">
        <f>IF(AND($A108&lt;&gt;"",ISNUMBER($C108),ISNUMBER($D108),$C108&lt;=Data_Mapa,$D108&gt;=Data_Mapa),$A108,"")</f>
        <v/>
      </c>
      <c r="H108" s="24">
        <f>IF($A108="",0,IFERROR(MATCH($B108,Aus_Tipos,0),0))</f>
        <v/>
      </c>
    </row>
    <row r="109">
      <c r="A109" s="22" t="n"/>
      <c r="B109" s="20" t="n"/>
      <c r="C109" s="19" t="n"/>
      <c r="D109" s="19" t="n"/>
      <c r="E109" s="12">
        <f>IF(OR($A109="",NOT(ISNUMBER($C109)),NOT(ISNUMBER($D109))),"",$D109-$C109+1)</f>
        <v/>
      </c>
      <c r="F109" s="22" t="n"/>
      <c r="G109" s="24">
        <f>IF(AND($A109&lt;&gt;"",ISNUMBER($C109),ISNUMBER($D109),$C109&lt;=Data_Mapa,$D109&gt;=Data_Mapa),$A109,"")</f>
        <v/>
      </c>
      <c r="H109" s="24">
        <f>IF($A109="",0,IFERROR(MATCH($B109,Aus_Tipos,0),0))</f>
        <v/>
      </c>
    </row>
    <row r="110">
      <c r="A110" s="22" t="n"/>
      <c r="B110" s="20" t="n"/>
      <c r="C110" s="19" t="n"/>
      <c r="D110" s="19" t="n"/>
      <c r="E110" s="12">
        <f>IF(OR($A110="",NOT(ISNUMBER($C110)),NOT(ISNUMBER($D110))),"",$D110-$C110+1)</f>
        <v/>
      </c>
      <c r="F110" s="22" t="n"/>
      <c r="G110" s="24">
        <f>IF(AND($A110&lt;&gt;"",ISNUMBER($C110),ISNUMBER($D110),$C110&lt;=Data_Mapa,$D110&gt;=Data_Mapa),$A110,"")</f>
        <v/>
      </c>
      <c r="H110" s="24">
        <f>IF($A110="",0,IFERROR(MATCH($B110,Aus_Tipos,0),0))</f>
        <v/>
      </c>
    </row>
    <row r="111">
      <c r="A111" s="22" t="n"/>
      <c r="B111" s="20" t="n"/>
      <c r="C111" s="19" t="n"/>
      <c r="D111" s="19" t="n"/>
      <c r="E111" s="12">
        <f>IF(OR($A111="",NOT(ISNUMBER($C111)),NOT(ISNUMBER($D111))),"",$D111-$C111+1)</f>
        <v/>
      </c>
      <c r="F111" s="22" t="n"/>
      <c r="G111" s="24">
        <f>IF(AND($A111&lt;&gt;"",ISNUMBER($C111),ISNUMBER($D111),$C111&lt;=Data_Mapa,$D111&gt;=Data_Mapa),$A111,"")</f>
        <v/>
      </c>
      <c r="H111" s="24">
        <f>IF($A111="",0,IFERROR(MATCH($B111,Aus_Tipos,0),0))</f>
        <v/>
      </c>
    </row>
    <row r="112">
      <c r="A112" s="22" t="n"/>
      <c r="B112" s="20" t="n"/>
      <c r="C112" s="19" t="n"/>
      <c r="D112" s="19" t="n"/>
      <c r="E112" s="12">
        <f>IF(OR($A112="",NOT(ISNUMBER($C112)),NOT(ISNUMBER($D112))),"",$D112-$C112+1)</f>
        <v/>
      </c>
      <c r="F112" s="22" t="n"/>
      <c r="G112" s="24">
        <f>IF(AND($A112&lt;&gt;"",ISNUMBER($C112),ISNUMBER($D112),$C112&lt;=Data_Mapa,$D112&gt;=Data_Mapa),$A112,"")</f>
        <v/>
      </c>
      <c r="H112" s="24">
        <f>IF($A112="",0,IFERROR(MATCH($B112,Aus_Tipos,0),0))</f>
        <v/>
      </c>
    </row>
    <row r="113">
      <c r="A113" s="22" t="n"/>
      <c r="B113" s="20" t="n"/>
      <c r="C113" s="19" t="n"/>
      <c r="D113" s="19" t="n"/>
      <c r="E113" s="12">
        <f>IF(OR($A113="",NOT(ISNUMBER($C113)),NOT(ISNUMBER($D113))),"",$D113-$C113+1)</f>
        <v/>
      </c>
      <c r="F113" s="22" t="n"/>
      <c r="G113" s="24">
        <f>IF(AND($A113&lt;&gt;"",ISNUMBER($C113),ISNUMBER($D113),$C113&lt;=Data_Mapa,$D113&gt;=Data_Mapa),$A113,"")</f>
        <v/>
      </c>
      <c r="H113" s="24">
        <f>IF($A113="",0,IFERROR(MATCH($B113,Aus_Tipos,0),0))</f>
        <v/>
      </c>
    </row>
    <row r="114">
      <c r="A114" s="22" t="n"/>
      <c r="B114" s="20" t="n"/>
      <c r="C114" s="19" t="n"/>
      <c r="D114" s="19" t="n"/>
      <c r="E114" s="12">
        <f>IF(OR($A114="",NOT(ISNUMBER($C114)),NOT(ISNUMBER($D114))),"",$D114-$C114+1)</f>
        <v/>
      </c>
      <c r="F114" s="22" t="n"/>
      <c r="G114" s="24">
        <f>IF(AND($A114&lt;&gt;"",ISNUMBER($C114),ISNUMBER($D114),$C114&lt;=Data_Mapa,$D114&gt;=Data_Mapa),$A114,"")</f>
        <v/>
      </c>
      <c r="H114" s="24">
        <f>IF($A114="",0,IFERROR(MATCH($B114,Aus_Tipos,0),0))</f>
        <v/>
      </c>
    </row>
    <row r="115">
      <c r="A115" s="22" t="n"/>
      <c r="B115" s="20" t="n"/>
      <c r="C115" s="19" t="n"/>
      <c r="D115" s="19" t="n"/>
      <c r="E115" s="12">
        <f>IF(OR($A115="",NOT(ISNUMBER($C115)),NOT(ISNUMBER($D115))),"",$D115-$C115+1)</f>
        <v/>
      </c>
      <c r="F115" s="22" t="n"/>
      <c r="G115" s="24">
        <f>IF(AND($A115&lt;&gt;"",ISNUMBER($C115),ISNUMBER($D115),$C115&lt;=Data_Mapa,$D115&gt;=Data_Mapa),$A115,"")</f>
        <v/>
      </c>
      <c r="H115" s="24">
        <f>IF($A115="",0,IFERROR(MATCH($B115,Aus_Tipos,0),0))</f>
        <v/>
      </c>
    </row>
    <row r="116">
      <c r="A116" s="22" t="n"/>
      <c r="B116" s="20" t="n"/>
      <c r="C116" s="19" t="n"/>
      <c r="D116" s="19" t="n"/>
      <c r="E116" s="12">
        <f>IF(OR($A116="",NOT(ISNUMBER($C116)),NOT(ISNUMBER($D116))),"",$D116-$C116+1)</f>
        <v/>
      </c>
      <c r="F116" s="22" t="n"/>
      <c r="G116" s="24">
        <f>IF(AND($A116&lt;&gt;"",ISNUMBER($C116),ISNUMBER($D116),$C116&lt;=Data_Mapa,$D116&gt;=Data_Mapa),$A116,"")</f>
        <v/>
      </c>
      <c r="H116" s="24">
        <f>IF($A116="",0,IFERROR(MATCH($B116,Aus_Tipos,0),0))</f>
        <v/>
      </c>
    </row>
    <row r="117">
      <c r="A117" s="22" t="n"/>
      <c r="B117" s="20" t="n"/>
      <c r="C117" s="19" t="n"/>
      <c r="D117" s="19" t="n"/>
      <c r="E117" s="12">
        <f>IF(OR($A117="",NOT(ISNUMBER($C117)),NOT(ISNUMBER($D117))),"",$D117-$C117+1)</f>
        <v/>
      </c>
      <c r="F117" s="22" t="n"/>
      <c r="G117" s="24">
        <f>IF(AND($A117&lt;&gt;"",ISNUMBER($C117),ISNUMBER($D117),$C117&lt;=Data_Mapa,$D117&gt;=Data_Mapa),$A117,"")</f>
        <v/>
      </c>
      <c r="H117" s="24">
        <f>IF($A117="",0,IFERROR(MATCH($B117,Aus_Tipos,0),0))</f>
        <v/>
      </c>
    </row>
    <row r="118">
      <c r="A118" s="22" t="n"/>
      <c r="B118" s="20" t="n"/>
      <c r="C118" s="19" t="n"/>
      <c r="D118" s="19" t="n"/>
      <c r="E118" s="12">
        <f>IF(OR($A118="",NOT(ISNUMBER($C118)),NOT(ISNUMBER($D118))),"",$D118-$C118+1)</f>
        <v/>
      </c>
      <c r="F118" s="22" t="n"/>
      <c r="G118" s="24">
        <f>IF(AND($A118&lt;&gt;"",ISNUMBER($C118),ISNUMBER($D118),$C118&lt;=Data_Mapa,$D118&gt;=Data_Mapa),$A118,"")</f>
        <v/>
      </c>
      <c r="H118" s="24">
        <f>IF($A118="",0,IFERROR(MATCH($B118,Aus_Tipos,0),0))</f>
        <v/>
      </c>
    </row>
    <row r="119">
      <c r="A119" s="22" t="n"/>
      <c r="B119" s="20" t="n"/>
      <c r="C119" s="19" t="n"/>
      <c r="D119" s="19" t="n"/>
      <c r="E119" s="12">
        <f>IF(OR($A119="",NOT(ISNUMBER($C119)),NOT(ISNUMBER($D119))),"",$D119-$C119+1)</f>
        <v/>
      </c>
      <c r="F119" s="22" t="n"/>
      <c r="G119" s="24">
        <f>IF(AND($A119&lt;&gt;"",ISNUMBER($C119),ISNUMBER($D119),$C119&lt;=Data_Mapa,$D119&gt;=Data_Mapa),$A119,"")</f>
        <v/>
      </c>
      <c r="H119" s="24">
        <f>IF($A119="",0,IFERROR(MATCH($B119,Aus_Tipos,0),0))</f>
        <v/>
      </c>
    </row>
    <row r="120">
      <c r="A120" s="22" t="n"/>
      <c r="B120" s="20" t="n"/>
      <c r="C120" s="19" t="n"/>
      <c r="D120" s="19" t="n"/>
      <c r="E120" s="12">
        <f>IF(OR($A120="",NOT(ISNUMBER($C120)),NOT(ISNUMBER($D120))),"",$D120-$C120+1)</f>
        <v/>
      </c>
      <c r="F120" s="22" t="n"/>
      <c r="G120" s="24">
        <f>IF(AND($A120&lt;&gt;"",ISNUMBER($C120),ISNUMBER($D120),$C120&lt;=Data_Mapa,$D120&gt;=Data_Mapa),$A120,"")</f>
        <v/>
      </c>
      <c r="H120" s="24">
        <f>IF($A120="",0,IFERROR(MATCH($B120,Aus_Tipos,0),0))</f>
        <v/>
      </c>
    </row>
    <row r="121">
      <c r="A121" s="22" t="n"/>
      <c r="B121" s="20" t="n"/>
      <c r="C121" s="19" t="n"/>
      <c r="D121" s="19" t="n"/>
      <c r="E121" s="12">
        <f>IF(OR($A121="",NOT(ISNUMBER($C121)),NOT(ISNUMBER($D121))),"",$D121-$C121+1)</f>
        <v/>
      </c>
      <c r="F121" s="22" t="n"/>
      <c r="G121" s="24">
        <f>IF(AND($A121&lt;&gt;"",ISNUMBER($C121),ISNUMBER($D121),$C121&lt;=Data_Mapa,$D121&gt;=Data_Mapa),$A121,"")</f>
        <v/>
      </c>
      <c r="H121" s="24">
        <f>IF($A121="",0,IFERROR(MATCH($B121,Aus_Tipos,0),0))</f>
        <v/>
      </c>
    </row>
    <row r="122">
      <c r="A122" s="22" t="n"/>
      <c r="B122" s="20" t="n"/>
      <c r="C122" s="19" t="n"/>
      <c r="D122" s="19" t="n"/>
      <c r="E122" s="12">
        <f>IF(OR($A122="",NOT(ISNUMBER($C122)),NOT(ISNUMBER($D122))),"",$D122-$C122+1)</f>
        <v/>
      </c>
      <c r="F122" s="22" t="n"/>
      <c r="G122" s="24">
        <f>IF(AND($A122&lt;&gt;"",ISNUMBER($C122),ISNUMBER($D122),$C122&lt;=Data_Mapa,$D122&gt;=Data_Mapa),$A122,"")</f>
        <v/>
      </c>
      <c r="H122" s="24">
        <f>IF($A122="",0,IFERROR(MATCH($B122,Aus_Tipos,0),0))</f>
        <v/>
      </c>
    </row>
    <row r="123">
      <c r="A123" s="22" t="n"/>
      <c r="B123" s="20" t="n"/>
      <c r="C123" s="19" t="n"/>
      <c r="D123" s="19" t="n"/>
      <c r="E123" s="12">
        <f>IF(OR($A123="",NOT(ISNUMBER($C123)),NOT(ISNUMBER($D123))),"",$D123-$C123+1)</f>
        <v/>
      </c>
      <c r="F123" s="22" t="n"/>
      <c r="G123" s="24">
        <f>IF(AND($A123&lt;&gt;"",ISNUMBER($C123),ISNUMBER($D123),$C123&lt;=Data_Mapa,$D123&gt;=Data_Mapa),$A123,"")</f>
        <v/>
      </c>
      <c r="H123" s="24">
        <f>IF($A123="",0,IFERROR(MATCH($B123,Aus_Tipos,0),0))</f>
        <v/>
      </c>
    </row>
    <row r="124">
      <c r="A124" s="22" t="n"/>
      <c r="B124" s="20" t="n"/>
      <c r="C124" s="19" t="n"/>
      <c r="D124" s="19" t="n"/>
      <c r="E124" s="12">
        <f>IF(OR($A124="",NOT(ISNUMBER($C124)),NOT(ISNUMBER($D124))),"",$D124-$C124+1)</f>
        <v/>
      </c>
      <c r="F124" s="22" t="n"/>
      <c r="G124" s="24">
        <f>IF(AND($A124&lt;&gt;"",ISNUMBER($C124),ISNUMBER($D124),$C124&lt;=Data_Mapa,$D124&gt;=Data_Mapa),$A124,"")</f>
        <v/>
      </c>
      <c r="H124" s="24">
        <f>IF($A124="",0,IFERROR(MATCH($B124,Aus_Tipos,0),0))</f>
        <v/>
      </c>
    </row>
    <row r="125">
      <c r="A125" s="22" t="n"/>
      <c r="B125" s="20" t="n"/>
      <c r="C125" s="19" t="n"/>
      <c r="D125" s="19" t="n"/>
      <c r="E125" s="12">
        <f>IF(OR($A125="",NOT(ISNUMBER($C125)),NOT(ISNUMBER($D125))),"",$D125-$C125+1)</f>
        <v/>
      </c>
      <c r="F125" s="22" t="n"/>
      <c r="G125" s="24">
        <f>IF(AND($A125&lt;&gt;"",ISNUMBER($C125),ISNUMBER($D125),$C125&lt;=Data_Mapa,$D125&gt;=Data_Mapa),$A125,"")</f>
        <v/>
      </c>
      <c r="H125" s="24">
        <f>IF($A125="",0,IFERROR(MATCH($B125,Aus_Tipos,0),0))</f>
        <v/>
      </c>
    </row>
    <row r="126">
      <c r="A126" s="22" t="n"/>
      <c r="B126" s="20" t="n"/>
      <c r="C126" s="19" t="n"/>
      <c r="D126" s="19" t="n"/>
      <c r="E126" s="12">
        <f>IF(OR($A126="",NOT(ISNUMBER($C126)),NOT(ISNUMBER($D126))),"",$D126-$C126+1)</f>
        <v/>
      </c>
      <c r="F126" s="22" t="n"/>
      <c r="G126" s="24">
        <f>IF(AND($A126&lt;&gt;"",ISNUMBER($C126),ISNUMBER($D126),$C126&lt;=Data_Mapa,$D126&gt;=Data_Mapa),$A126,"")</f>
        <v/>
      </c>
      <c r="H126" s="24">
        <f>IF($A126="",0,IFERROR(MATCH($B126,Aus_Tipos,0),0))</f>
        <v/>
      </c>
    </row>
    <row r="127">
      <c r="A127" s="22" t="n"/>
      <c r="B127" s="20" t="n"/>
      <c r="C127" s="19" t="n"/>
      <c r="D127" s="19" t="n"/>
      <c r="E127" s="12">
        <f>IF(OR($A127="",NOT(ISNUMBER($C127)),NOT(ISNUMBER($D127))),"",$D127-$C127+1)</f>
        <v/>
      </c>
      <c r="F127" s="22" t="n"/>
      <c r="G127" s="24">
        <f>IF(AND($A127&lt;&gt;"",ISNUMBER($C127),ISNUMBER($D127),$C127&lt;=Data_Mapa,$D127&gt;=Data_Mapa),$A127,"")</f>
        <v/>
      </c>
      <c r="H127" s="24">
        <f>IF($A127="",0,IFERROR(MATCH($B127,Aus_Tipos,0),0))</f>
        <v/>
      </c>
    </row>
    <row r="128">
      <c r="A128" s="22" t="n"/>
      <c r="B128" s="20" t="n"/>
      <c r="C128" s="19" t="n"/>
      <c r="D128" s="19" t="n"/>
      <c r="E128" s="12">
        <f>IF(OR($A128="",NOT(ISNUMBER($C128)),NOT(ISNUMBER($D128))),"",$D128-$C128+1)</f>
        <v/>
      </c>
      <c r="F128" s="22" t="n"/>
      <c r="G128" s="24">
        <f>IF(AND($A128&lt;&gt;"",ISNUMBER($C128),ISNUMBER($D128),$C128&lt;=Data_Mapa,$D128&gt;=Data_Mapa),$A128,"")</f>
        <v/>
      </c>
      <c r="H128" s="24">
        <f>IF($A128="",0,IFERROR(MATCH($B128,Aus_Tipos,0),0))</f>
        <v/>
      </c>
    </row>
    <row r="129">
      <c r="A129" s="22" t="n"/>
      <c r="B129" s="20" t="n"/>
      <c r="C129" s="19" t="n"/>
      <c r="D129" s="19" t="n"/>
      <c r="E129" s="12">
        <f>IF(OR($A129="",NOT(ISNUMBER($C129)),NOT(ISNUMBER($D129))),"",$D129-$C129+1)</f>
        <v/>
      </c>
      <c r="F129" s="22" t="n"/>
      <c r="G129" s="24">
        <f>IF(AND($A129&lt;&gt;"",ISNUMBER($C129),ISNUMBER($D129),$C129&lt;=Data_Mapa,$D129&gt;=Data_Mapa),$A129,"")</f>
        <v/>
      </c>
      <c r="H129" s="24">
        <f>IF($A129="",0,IFERROR(MATCH($B129,Aus_Tipos,0),0))</f>
        <v/>
      </c>
    </row>
    <row r="130">
      <c r="A130" s="22" t="n"/>
      <c r="B130" s="20" t="n"/>
      <c r="C130" s="19" t="n"/>
      <c r="D130" s="19" t="n"/>
      <c r="E130" s="12">
        <f>IF(OR($A130="",NOT(ISNUMBER($C130)),NOT(ISNUMBER($D130))),"",$D130-$C130+1)</f>
        <v/>
      </c>
      <c r="F130" s="22" t="n"/>
      <c r="G130" s="24">
        <f>IF(AND($A130&lt;&gt;"",ISNUMBER($C130),ISNUMBER($D130),$C130&lt;=Data_Mapa,$D130&gt;=Data_Mapa),$A130,"")</f>
        <v/>
      </c>
      <c r="H130" s="24">
        <f>IF($A130="",0,IFERROR(MATCH($B130,Aus_Tipos,0),0))</f>
        <v/>
      </c>
    </row>
    <row r="131">
      <c r="A131" s="22" t="n"/>
      <c r="B131" s="20" t="n"/>
      <c r="C131" s="19" t="n"/>
      <c r="D131" s="19" t="n"/>
      <c r="E131" s="12">
        <f>IF(OR($A131="",NOT(ISNUMBER($C131)),NOT(ISNUMBER($D131))),"",$D131-$C131+1)</f>
        <v/>
      </c>
      <c r="F131" s="22" t="n"/>
      <c r="G131" s="24">
        <f>IF(AND($A131&lt;&gt;"",ISNUMBER($C131),ISNUMBER($D131),$C131&lt;=Data_Mapa,$D131&gt;=Data_Mapa),$A131,"")</f>
        <v/>
      </c>
      <c r="H131" s="24">
        <f>IF($A131="",0,IFERROR(MATCH($B131,Aus_Tipos,0),0))</f>
        <v/>
      </c>
    </row>
    <row r="132">
      <c r="A132" s="22" t="n"/>
      <c r="B132" s="20" t="n"/>
      <c r="C132" s="19" t="n"/>
      <c r="D132" s="19" t="n"/>
      <c r="E132" s="12">
        <f>IF(OR($A132="",NOT(ISNUMBER($C132)),NOT(ISNUMBER($D132))),"",$D132-$C132+1)</f>
        <v/>
      </c>
      <c r="F132" s="22" t="n"/>
      <c r="G132" s="24">
        <f>IF(AND($A132&lt;&gt;"",ISNUMBER($C132),ISNUMBER($D132),$C132&lt;=Data_Mapa,$D132&gt;=Data_Mapa),$A132,"")</f>
        <v/>
      </c>
      <c r="H132" s="24">
        <f>IF($A132="",0,IFERROR(MATCH($B132,Aus_Tipos,0),0))</f>
        <v/>
      </c>
    </row>
    <row r="133">
      <c r="A133" s="22" t="n"/>
      <c r="B133" s="20" t="n"/>
      <c r="C133" s="19" t="n"/>
      <c r="D133" s="19" t="n"/>
      <c r="E133" s="12">
        <f>IF(OR($A133="",NOT(ISNUMBER($C133)),NOT(ISNUMBER($D133))),"",$D133-$C133+1)</f>
        <v/>
      </c>
      <c r="F133" s="22" t="n"/>
      <c r="G133" s="24">
        <f>IF(AND($A133&lt;&gt;"",ISNUMBER($C133),ISNUMBER($D133),$C133&lt;=Data_Mapa,$D133&gt;=Data_Mapa),$A133,"")</f>
        <v/>
      </c>
      <c r="H133" s="24">
        <f>IF($A133="",0,IFERROR(MATCH($B133,Aus_Tipos,0),0))</f>
        <v/>
      </c>
    </row>
    <row r="134">
      <c r="A134" s="22" t="n"/>
      <c r="B134" s="20" t="n"/>
      <c r="C134" s="19" t="n"/>
      <c r="D134" s="19" t="n"/>
      <c r="E134" s="12">
        <f>IF(OR($A134="",NOT(ISNUMBER($C134)),NOT(ISNUMBER($D134))),"",$D134-$C134+1)</f>
        <v/>
      </c>
      <c r="F134" s="22" t="n"/>
      <c r="G134" s="24">
        <f>IF(AND($A134&lt;&gt;"",ISNUMBER($C134),ISNUMBER($D134),$C134&lt;=Data_Mapa,$D134&gt;=Data_Mapa),$A134,"")</f>
        <v/>
      </c>
      <c r="H134" s="24">
        <f>IF($A134="",0,IFERROR(MATCH($B134,Aus_Tipos,0),0))</f>
        <v/>
      </c>
    </row>
    <row r="135">
      <c r="A135" s="22" t="n"/>
      <c r="B135" s="20" t="n"/>
      <c r="C135" s="19" t="n"/>
      <c r="D135" s="19" t="n"/>
      <c r="E135" s="12">
        <f>IF(OR($A135="",NOT(ISNUMBER($C135)),NOT(ISNUMBER($D135))),"",$D135-$C135+1)</f>
        <v/>
      </c>
      <c r="F135" s="22" t="n"/>
      <c r="G135" s="24">
        <f>IF(AND($A135&lt;&gt;"",ISNUMBER($C135),ISNUMBER($D135),$C135&lt;=Data_Mapa,$D135&gt;=Data_Mapa),$A135,"")</f>
        <v/>
      </c>
      <c r="H135" s="24">
        <f>IF($A135="",0,IFERROR(MATCH($B135,Aus_Tipos,0),0))</f>
        <v/>
      </c>
    </row>
    <row r="136">
      <c r="A136" s="22" t="n"/>
      <c r="B136" s="20" t="n"/>
      <c r="C136" s="19" t="n"/>
      <c r="D136" s="19" t="n"/>
      <c r="E136" s="12">
        <f>IF(OR($A136="",NOT(ISNUMBER($C136)),NOT(ISNUMBER($D136))),"",$D136-$C136+1)</f>
        <v/>
      </c>
      <c r="F136" s="22" t="n"/>
      <c r="G136" s="24">
        <f>IF(AND($A136&lt;&gt;"",ISNUMBER($C136),ISNUMBER($D136),$C136&lt;=Data_Mapa,$D136&gt;=Data_Mapa),$A136,"")</f>
        <v/>
      </c>
      <c r="H136" s="24">
        <f>IF($A136="",0,IFERROR(MATCH($B136,Aus_Tipos,0),0))</f>
        <v/>
      </c>
    </row>
    <row r="137">
      <c r="A137" s="22" t="n"/>
      <c r="B137" s="20" t="n"/>
      <c r="C137" s="19" t="n"/>
      <c r="D137" s="19" t="n"/>
      <c r="E137" s="12">
        <f>IF(OR($A137="",NOT(ISNUMBER($C137)),NOT(ISNUMBER($D137))),"",$D137-$C137+1)</f>
        <v/>
      </c>
      <c r="F137" s="22" t="n"/>
      <c r="G137" s="24">
        <f>IF(AND($A137&lt;&gt;"",ISNUMBER($C137),ISNUMBER($D137),$C137&lt;=Data_Mapa,$D137&gt;=Data_Mapa),$A137,"")</f>
        <v/>
      </c>
      <c r="H137" s="24">
        <f>IF($A137="",0,IFERROR(MATCH($B137,Aus_Tipos,0),0))</f>
        <v/>
      </c>
    </row>
    <row r="138">
      <c r="A138" s="22" t="n"/>
      <c r="B138" s="20" t="n"/>
      <c r="C138" s="19" t="n"/>
      <c r="D138" s="19" t="n"/>
      <c r="E138" s="12">
        <f>IF(OR($A138="",NOT(ISNUMBER($C138)),NOT(ISNUMBER($D138))),"",$D138-$C138+1)</f>
        <v/>
      </c>
      <c r="F138" s="22" t="n"/>
      <c r="G138" s="24">
        <f>IF(AND($A138&lt;&gt;"",ISNUMBER($C138),ISNUMBER($D138),$C138&lt;=Data_Mapa,$D138&gt;=Data_Mapa),$A138,"")</f>
        <v/>
      </c>
      <c r="H138" s="24">
        <f>IF($A138="",0,IFERROR(MATCH($B138,Aus_Tipos,0),0))</f>
        <v/>
      </c>
    </row>
    <row r="139">
      <c r="A139" s="22" t="n"/>
      <c r="B139" s="20" t="n"/>
      <c r="C139" s="19" t="n"/>
      <c r="D139" s="19" t="n"/>
      <c r="E139" s="12">
        <f>IF(OR($A139="",NOT(ISNUMBER($C139)),NOT(ISNUMBER($D139))),"",$D139-$C139+1)</f>
        <v/>
      </c>
      <c r="F139" s="22" t="n"/>
      <c r="G139" s="24">
        <f>IF(AND($A139&lt;&gt;"",ISNUMBER($C139),ISNUMBER($D139),$C139&lt;=Data_Mapa,$D139&gt;=Data_Mapa),$A139,"")</f>
        <v/>
      </c>
      <c r="H139" s="24">
        <f>IF($A139="",0,IFERROR(MATCH($B139,Aus_Tipos,0),0))</f>
        <v/>
      </c>
    </row>
    <row r="140">
      <c r="A140" s="22" t="n"/>
      <c r="B140" s="20" t="n"/>
      <c r="C140" s="19" t="n"/>
      <c r="D140" s="19" t="n"/>
      <c r="E140" s="12">
        <f>IF(OR($A140="",NOT(ISNUMBER($C140)),NOT(ISNUMBER($D140))),"",$D140-$C140+1)</f>
        <v/>
      </c>
      <c r="F140" s="22" t="n"/>
      <c r="G140" s="24">
        <f>IF(AND($A140&lt;&gt;"",ISNUMBER($C140),ISNUMBER($D140),$C140&lt;=Data_Mapa,$D140&gt;=Data_Mapa),$A140,"")</f>
        <v/>
      </c>
      <c r="H140" s="24">
        <f>IF($A140="",0,IFERROR(MATCH($B140,Aus_Tipos,0),0))</f>
        <v/>
      </c>
    </row>
    <row r="141">
      <c r="A141" s="22" t="n"/>
      <c r="B141" s="20" t="n"/>
      <c r="C141" s="19" t="n"/>
      <c r="D141" s="19" t="n"/>
      <c r="E141" s="12">
        <f>IF(OR($A141="",NOT(ISNUMBER($C141)),NOT(ISNUMBER($D141))),"",$D141-$C141+1)</f>
        <v/>
      </c>
      <c r="F141" s="22" t="n"/>
      <c r="G141" s="24">
        <f>IF(AND($A141&lt;&gt;"",ISNUMBER($C141),ISNUMBER($D141),$C141&lt;=Data_Mapa,$D141&gt;=Data_Mapa),$A141,"")</f>
        <v/>
      </c>
      <c r="H141" s="24">
        <f>IF($A141="",0,IFERROR(MATCH($B141,Aus_Tipos,0),0))</f>
        <v/>
      </c>
    </row>
    <row r="142">
      <c r="A142" s="22" t="n"/>
      <c r="B142" s="20" t="n"/>
      <c r="C142" s="19" t="n"/>
      <c r="D142" s="19" t="n"/>
      <c r="E142" s="12">
        <f>IF(OR($A142="",NOT(ISNUMBER($C142)),NOT(ISNUMBER($D142))),"",$D142-$C142+1)</f>
        <v/>
      </c>
      <c r="F142" s="22" t="n"/>
      <c r="G142" s="24">
        <f>IF(AND($A142&lt;&gt;"",ISNUMBER($C142),ISNUMBER($D142),$C142&lt;=Data_Mapa,$D142&gt;=Data_Mapa),$A142,"")</f>
        <v/>
      </c>
      <c r="H142" s="24">
        <f>IF($A142="",0,IFERROR(MATCH($B142,Aus_Tipos,0),0))</f>
        <v/>
      </c>
    </row>
    <row r="143">
      <c r="A143" s="22" t="n"/>
      <c r="B143" s="20" t="n"/>
      <c r="C143" s="19" t="n"/>
      <c r="D143" s="19" t="n"/>
      <c r="E143" s="12">
        <f>IF(OR($A143="",NOT(ISNUMBER($C143)),NOT(ISNUMBER($D143))),"",$D143-$C143+1)</f>
        <v/>
      </c>
      <c r="F143" s="22" t="n"/>
      <c r="G143" s="24">
        <f>IF(AND($A143&lt;&gt;"",ISNUMBER($C143),ISNUMBER($D143),$C143&lt;=Data_Mapa,$D143&gt;=Data_Mapa),$A143,"")</f>
        <v/>
      </c>
      <c r="H143" s="24">
        <f>IF($A143="",0,IFERROR(MATCH($B143,Aus_Tipos,0),0))</f>
        <v/>
      </c>
    </row>
    <row r="144">
      <c r="A144" s="22" t="n"/>
      <c r="B144" s="20" t="n"/>
      <c r="C144" s="19" t="n"/>
      <c r="D144" s="19" t="n"/>
      <c r="E144" s="12">
        <f>IF(OR($A144="",NOT(ISNUMBER($C144)),NOT(ISNUMBER($D144))),"",$D144-$C144+1)</f>
        <v/>
      </c>
      <c r="F144" s="22" t="n"/>
      <c r="G144" s="24">
        <f>IF(AND($A144&lt;&gt;"",ISNUMBER($C144),ISNUMBER($D144),$C144&lt;=Data_Mapa,$D144&gt;=Data_Mapa),$A144,"")</f>
        <v/>
      </c>
      <c r="H144" s="24">
        <f>IF($A144="",0,IFERROR(MATCH($B144,Aus_Tipos,0),0))</f>
        <v/>
      </c>
    </row>
    <row r="145">
      <c r="A145" s="22" t="n"/>
      <c r="B145" s="20" t="n"/>
      <c r="C145" s="19" t="n"/>
      <c r="D145" s="19" t="n"/>
      <c r="E145" s="12">
        <f>IF(OR($A145="",NOT(ISNUMBER($C145)),NOT(ISNUMBER($D145))),"",$D145-$C145+1)</f>
        <v/>
      </c>
      <c r="F145" s="22" t="n"/>
      <c r="G145" s="24">
        <f>IF(AND($A145&lt;&gt;"",ISNUMBER($C145),ISNUMBER($D145),$C145&lt;=Data_Mapa,$D145&gt;=Data_Mapa),$A145,"")</f>
        <v/>
      </c>
      <c r="H145" s="24">
        <f>IF($A145="",0,IFERROR(MATCH($B145,Aus_Tipos,0),0))</f>
        <v/>
      </c>
    </row>
    <row r="146">
      <c r="A146" s="22" t="n"/>
      <c r="B146" s="20" t="n"/>
      <c r="C146" s="19" t="n"/>
      <c r="D146" s="19" t="n"/>
      <c r="E146" s="12">
        <f>IF(OR($A146="",NOT(ISNUMBER($C146)),NOT(ISNUMBER($D146))),"",$D146-$C146+1)</f>
        <v/>
      </c>
      <c r="F146" s="22" t="n"/>
      <c r="G146" s="24">
        <f>IF(AND($A146&lt;&gt;"",ISNUMBER($C146),ISNUMBER($D146),$C146&lt;=Data_Mapa,$D146&gt;=Data_Mapa),$A146,"")</f>
        <v/>
      </c>
      <c r="H146" s="24">
        <f>IF($A146="",0,IFERROR(MATCH($B146,Aus_Tipos,0),0))</f>
        <v/>
      </c>
    </row>
    <row r="147">
      <c r="A147" s="22" t="n"/>
      <c r="B147" s="20" t="n"/>
      <c r="C147" s="19" t="n"/>
      <c r="D147" s="19" t="n"/>
      <c r="E147" s="12">
        <f>IF(OR($A147="",NOT(ISNUMBER($C147)),NOT(ISNUMBER($D147))),"",$D147-$C147+1)</f>
        <v/>
      </c>
      <c r="F147" s="22" t="n"/>
      <c r="G147" s="24">
        <f>IF(AND($A147&lt;&gt;"",ISNUMBER($C147),ISNUMBER($D147),$C147&lt;=Data_Mapa,$D147&gt;=Data_Mapa),$A147,"")</f>
        <v/>
      </c>
      <c r="H147" s="24">
        <f>IF($A147="",0,IFERROR(MATCH($B147,Aus_Tipos,0),0))</f>
        <v/>
      </c>
    </row>
    <row r="148">
      <c r="A148" s="22" t="n"/>
      <c r="B148" s="20" t="n"/>
      <c r="C148" s="19" t="n"/>
      <c r="D148" s="19" t="n"/>
      <c r="E148" s="12">
        <f>IF(OR($A148="",NOT(ISNUMBER($C148)),NOT(ISNUMBER($D148))),"",$D148-$C148+1)</f>
        <v/>
      </c>
      <c r="F148" s="22" t="n"/>
      <c r="G148" s="24">
        <f>IF(AND($A148&lt;&gt;"",ISNUMBER($C148),ISNUMBER($D148),$C148&lt;=Data_Mapa,$D148&gt;=Data_Mapa),$A148,"")</f>
        <v/>
      </c>
      <c r="H148" s="24">
        <f>IF($A148="",0,IFERROR(MATCH($B148,Aus_Tipos,0),0))</f>
        <v/>
      </c>
    </row>
    <row r="149">
      <c r="A149" s="22" t="n"/>
      <c r="B149" s="20" t="n"/>
      <c r="C149" s="19" t="n"/>
      <c r="D149" s="19" t="n"/>
      <c r="E149" s="12">
        <f>IF(OR($A149="",NOT(ISNUMBER($C149)),NOT(ISNUMBER($D149))),"",$D149-$C149+1)</f>
        <v/>
      </c>
      <c r="F149" s="22" t="n"/>
      <c r="G149" s="24">
        <f>IF(AND($A149&lt;&gt;"",ISNUMBER($C149),ISNUMBER($D149),$C149&lt;=Data_Mapa,$D149&gt;=Data_Mapa),$A149,"")</f>
        <v/>
      </c>
      <c r="H149" s="24">
        <f>IF($A149="",0,IFERROR(MATCH($B149,Aus_Tipos,0),0))</f>
        <v/>
      </c>
    </row>
    <row r="150">
      <c r="A150" s="22" t="n"/>
      <c r="B150" s="20" t="n"/>
      <c r="C150" s="19" t="n"/>
      <c r="D150" s="19" t="n"/>
      <c r="E150" s="12">
        <f>IF(OR($A150="",NOT(ISNUMBER($C150)),NOT(ISNUMBER($D150))),"",$D150-$C150+1)</f>
        <v/>
      </c>
      <c r="F150" s="22" t="n"/>
      <c r="G150" s="24">
        <f>IF(AND($A150&lt;&gt;"",ISNUMBER($C150),ISNUMBER($D150),$C150&lt;=Data_Mapa,$D150&gt;=Data_Mapa),$A150,"")</f>
        <v/>
      </c>
      <c r="H150" s="24">
        <f>IF($A150="",0,IFERROR(MATCH($B150,Aus_Tipos,0),0))</f>
        <v/>
      </c>
    </row>
    <row r="151">
      <c r="A151" s="22" t="n"/>
      <c r="B151" s="20" t="n"/>
      <c r="C151" s="19" t="n"/>
      <c r="D151" s="19" t="n"/>
      <c r="E151" s="12">
        <f>IF(OR($A151="",NOT(ISNUMBER($C151)),NOT(ISNUMBER($D151))),"",$D151-$C151+1)</f>
        <v/>
      </c>
      <c r="F151" s="22" t="n"/>
      <c r="G151" s="24">
        <f>IF(AND($A151&lt;&gt;"",ISNUMBER($C151),ISNUMBER($D151),$C151&lt;=Data_Mapa,$D151&gt;=Data_Mapa),$A151,"")</f>
        <v/>
      </c>
      <c r="H151" s="24">
        <f>IF($A151="",0,IFERROR(MATCH($B151,Aus_Tipos,0),0))</f>
        <v/>
      </c>
    </row>
  </sheetData>
  <autoFilter ref="A1:F151"/>
  <conditionalFormatting sqref="E2:E151">
    <cfRule type="expression" priority="1" dxfId="2">
      <formula>AND($E2&lt;&gt;"",$E2&lt;=0)</formula>
    </cfRule>
  </conditionalFormatting>
  <conditionalFormatting sqref="J3:AN32">
    <cfRule type="cellIs" priority="2" operator="equal" dxfId="5">
      <formula>"F"</formula>
    </cfRule>
    <cfRule type="cellIs" priority="3" operator="equal" dxfId="6">
      <formula>"FR"</formula>
    </cfRule>
    <cfRule type="cellIs" priority="4" operator="equal" dxfId="7">
      <formula>"AT"</formula>
    </cfRule>
    <cfRule type="cellIs" priority="5" operator="equal" dxfId="8">
      <formula>"LI"</formula>
    </cfRule>
    <cfRule type="cellIs" priority="6" operator="equal" dxfId="9">
      <formula>"TR"</formula>
    </cfRule>
    <cfRule type="cellIs" priority="7" operator="equal" dxfId="10">
      <formula>"FH"</formula>
    </cfRule>
    <cfRule type="cellIs" priority="8" operator="equal" dxfId="11">
      <formula>"LG"</formula>
    </cfRule>
    <cfRule type="cellIs" priority="9" operator="equal" dxfId="2">
      <formula>"!"</formula>
    </cfRule>
    <cfRule type="expression" priority="10" dxfId="12">
      <formula>J$1=Data_Mapa</formula>
    </cfRule>
    <cfRule type="expression" priority="11" dxfId="13">
      <formula>AND(J$1&lt;&gt;"",OR(WEEKDAY(J$1)=1,WEEKDAY(J$1)=7,COUNTIF(Feriados,J$1)&gt;0))</formula>
    </cfRule>
  </conditionalFormatting>
  <conditionalFormatting sqref="J36:AN36">
    <cfRule type="cellIs" priority="12" operator="greaterThan" dxfId="2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3" t="inlineStr">
        <is>
          <t>1. IDENTIFICAÇÃO</t>
        </is>
      </c>
      <c r="B4" s="4" t="n"/>
      <c r="C4" s="4" t="n"/>
      <c r="G4" s="36" t="inlineStr">
        <is>
          <t>LISTAS AUXILIARES</t>
        </is>
      </c>
    </row>
    <row r="5" ht="28" customHeight="1">
      <c r="A5" s="24" t="inlineStr">
        <is>
          <t>Unidade / Hospital</t>
        </is>
      </c>
      <c r="B5" s="37" t="inlineStr">
        <is>
          <t>Hospital — preencher</t>
        </is>
      </c>
      <c r="C5" s="38" t="n"/>
      <c r="G5" s="5" t="inlineStr">
        <is>
          <t>Status cadastral</t>
        </is>
      </c>
      <c r="H5" s="5" t="inlineStr">
        <is>
          <t>Status da cirurgia</t>
        </is>
      </c>
      <c r="I5" s="5" t="inlineStr">
        <is>
          <t>Tipo de posto</t>
        </is>
      </c>
    </row>
    <row r="6">
      <c r="A6" s="24" t="inlineStr">
        <is>
          <t>Setor</t>
        </is>
      </c>
      <c r="B6" s="37" t="inlineStr">
        <is>
          <t>Centro Cirúrgico</t>
        </is>
      </c>
      <c r="C6" s="38" t="n"/>
      <c r="G6" s="11" t="inlineStr">
        <is>
          <t>Ativo</t>
        </is>
      </c>
      <c r="H6" s="11" t="inlineStr">
        <is>
          <t>Agendada</t>
        </is>
      </c>
      <c r="I6" s="11" t="inlineStr">
        <is>
          <t>Sala cirúrgica</t>
        </is>
      </c>
    </row>
    <row r="7">
      <c r="A7" s="24" t="inlineStr">
        <is>
          <t>Coordenação responsável</t>
        </is>
      </c>
      <c r="B7" s="37" t="inlineStr">
        <is>
          <t>Coordenação de Enfermagem</t>
        </is>
      </c>
      <c r="C7" s="38" t="n"/>
      <c r="G7" s="11" t="inlineStr">
        <is>
          <t>Afastado</t>
        </is>
      </c>
      <c r="H7" s="11" t="inlineStr">
        <is>
          <t>Realizada</t>
        </is>
      </c>
      <c r="I7" s="11" t="inlineStr">
        <is>
          <t>Apoio</t>
        </is>
      </c>
    </row>
    <row r="8">
      <c r="A8" s="24" t="inlineStr">
        <is>
          <t>Primeiro dia do período da escala</t>
        </is>
      </c>
      <c r="B8" s="39" t="n">
        <v>46250</v>
      </c>
      <c r="C8" s="2" t="inlineStr">
        <is>
          <t>Periodo_Ini</t>
        </is>
      </c>
      <c r="G8" s="11" t="inlineStr">
        <is>
          <t>Desligado</t>
        </is>
      </c>
      <c r="H8" s="11" t="inlineStr">
        <is>
          <t>Cancelada</t>
        </is>
      </c>
    </row>
    <row r="9">
      <c r="H9" s="11" t="inlineStr">
        <is>
          <t>Suspensa</t>
        </is>
      </c>
    </row>
    <row r="10">
      <c r="A10" s="3" t="inlineStr">
        <is>
          <t>2. PLANTÃO</t>
        </is>
      </c>
      <c r="B10" s="4" t="n"/>
      <c r="C10" s="4" t="n"/>
    </row>
    <row r="11">
      <c r="A11" s="24" t="inlineStr">
        <is>
          <t>Início do plantão</t>
        </is>
      </c>
      <c r="B11" s="40" t="n">
        <v>0.2916666666666667</v>
      </c>
      <c r="C11" s="2" t="inlineStr">
        <is>
          <t>Turno_Ini</t>
        </is>
      </c>
    </row>
    <row r="12">
      <c r="A12" s="24" t="inlineStr">
        <is>
          <t>Fim do plantão</t>
        </is>
      </c>
      <c r="B12" s="40" t="n">
        <v>0.5416666666666666</v>
      </c>
      <c r="C12" s="2" t="inlineStr">
        <is>
          <t>Turno_Fim</t>
        </is>
      </c>
    </row>
    <row r="13">
      <c r="A13" s="24" t="inlineStr">
        <is>
          <t>Minutos do plantão</t>
        </is>
      </c>
      <c r="B13" s="41">
        <f>MOD(B12-B11,1)*1440</f>
        <v/>
      </c>
      <c r="C13" s="2" t="inlineStr">
        <is>
          <t>Turno_Min</t>
        </is>
      </c>
    </row>
    <row r="15">
      <c r="A15" s="3" t="inlineStr">
        <is>
          <t>3. OPERAÇÃO</t>
        </is>
      </c>
      <c r="B15" s="4" t="n"/>
      <c r="C15" s="4" t="n"/>
    </row>
    <row r="16">
      <c r="A16" s="24" t="inlineStr">
        <is>
          <t>Limpeza e preparação após cada cirurgia (min)</t>
        </is>
      </c>
      <c r="B16" s="42" t="n">
        <v>20</v>
      </c>
      <c r="C16" s="2" t="inlineStr">
        <is>
          <t>Limpeza_Min</t>
        </is>
      </c>
    </row>
    <row r="17">
      <c r="A17" s="24" t="inlineStr">
        <is>
          <t>Janela mínima para considerar encaixe (min)</t>
        </is>
      </c>
      <c r="B17" s="42" t="n">
        <v>30</v>
      </c>
      <c r="C17" s="2" t="inlineStr">
        <is>
          <t>Janela_Min</t>
        </is>
      </c>
    </row>
    <row r="20">
      <c r="A20" s="3" t="inlineStr">
        <is>
          <t>4. ESPECIALIDADES — viram as colunas de habilidade na aba Equipe</t>
        </is>
      </c>
      <c r="B20" s="4" t="n"/>
      <c r="C20" s="4" t="n"/>
      <c r="D20" s="4" t="n"/>
      <c r="E20" s="4" t="n"/>
    </row>
    <row r="21" ht="28" customHeight="1">
      <c r="A21" s="5" t="inlineStr">
        <is>
          <t>Código</t>
        </is>
      </c>
      <c r="B21" s="5" t="inlineStr">
        <is>
          <t>Especialidade</t>
        </is>
      </c>
      <c r="C21" s="5" t="inlineStr">
        <is>
          <t>Tipo</t>
        </is>
      </c>
      <c r="D21" s="5" t="inlineStr">
        <is>
          <t>Duração média (min)</t>
        </is>
      </c>
      <c r="E21" s="5" t="inlineStr">
        <is>
          <t>Ativa</t>
        </is>
      </c>
    </row>
    <row r="22">
      <c r="A22" s="20" t="inlineStr">
        <is>
          <t>ORT</t>
        </is>
      </c>
      <c r="B22" s="22" t="inlineStr">
        <is>
          <t>Ortopedia</t>
        </is>
      </c>
      <c r="C22" s="20" t="inlineStr">
        <is>
          <t>Cirúrgica</t>
        </is>
      </c>
      <c r="D22" s="20" t="n">
        <v>120</v>
      </c>
      <c r="E22" s="20" t="inlineStr">
        <is>
          <t>Sim</t>
        </is>
      </c>
    </row>
    <row r="23">
      <c r="A23" s="20" t="inlineStr">
        <is>
          <t>TRA</t>
        </is>
      </c>
      <c r="B23" s="22" t="inlineStr">
        <is>
          <t>Traumatologia</t>
        </is>
      </c>
      <c r="C23" s="20" t="inlineStr">
        <is>
          <t>Cirúrgica</t>
        </is>
      </c>
      <c r="D23" s="20" t="n">
        <v>90</v>
      </c>
      <c r="E23" s="20" t="inlineStr">
        <is>
          <t>Sim</t>
        </is>
      </c>
    </row>
    <row r="24">
      <c r="A24" s="20" t="inlineStr">
        <is>
          <t>CGE</t>
        </is>
      </c>
      <c r="B24" s="22" t="inlineStr">
        <is>
          <t>Cirurgia Geral</t>
        </is>
      </c>
      <c r="C24" s="20" t="inlineStr">
        <is>
          <t>Cirúrgica</t>
        </is>
      </c>
      <c r="D24" s="20" t="n">
        <v>90</v>
      </c>
      <c r="E24" s="20" t="inlineStr">
        <is>
          <t>Sim</t>
        </is>
      </c>
    </row>
    <row r="25">
      <c r="A25" s="20" t="inlineStr">
        <is>
          <t>BAR</t>
        </is>
      </c>
      <c r="B25" s="22" t="inlineStr">
        <is>
          <t>Cirurgia Bariátrica</t>
        </is>
      </c>
      <c r="C25" s="20" t="inlineStr">
        <is>
          <t>Cirúrgica</t>
        </is>
      </c>
      <c r="D25" s="20" t="n">
        <v>150</v>
      </c>
      <c r="E25" s="20" t="inlineStr">
        <is>
          <t>Sim</t>
        </is>
      </c>
    </row>
    <row r="26">
      <c r="A26" s="20" t="inlineStr">
        <is>
          <t>PED</t>
        </is>
      </c>
      <c r="B26" s="22" t="inlineStr">
        <is>
          <t>Cirurgia Pediátrica</t>
        </is>
      </c>
      <c r="C26" s="20" t="inlineStr">
        <is>
          <t>Cirúrgica</t>
        </is>
      </c>
      <c r="D26" s="20" t="n">
        <v>75</v>
      </c>
      <c r="E26" s="20" t="inlineStr">
        <is>
          <t>Sim</t>
        </is>
      </c>
    </row>
    <row r="27">
      <c r="A27" s="20" t="inlineStr">
        <is>
          <t>NEU</t>
        </is>
      </c>
      <c r="B27" s="22" t="inlineStr">
        <is>
          <t>Neurocirurgia</t>
        </is>
      </c>
      <c r="C27" s="20" t="inlineStr">
        <is>
          <t>Cirúrgica</t>
        </is>
      </c>
      <c r="D27" s="20" t="n">
        <v>210</v>
      </c>
      <c r="E27" s="20" t="inlineStr">
        <is>
          <t>Sim</t>
        </is>
      </c>
    </row>
    <row r="28">
      <c r="A28" s="20" t="inlineStr">
        <is>
          <t>CES</t>
        </is>
      </c>
      <c r="B28" s="22" t="inlineStr">
        <is>
          <t>Cesariana</t>
        </is>
      </c>
      <c r="C28" s="20" t="inlineStr">
        <is>
          <t>Cirúrgica</t>
        </is>
      </c>
      <c r="D28" s="20" t="n">
        <v>60</v>
      </c>
      <c r="E28" s="20" t="inlineStr">
        <is>
          <t>Sim</t>
        </is>
      </c>
    </row>
    <row r="29">
      <c r="A29" s="20" t="inlineStr">
        <is>
          <t>GIN</t>
        </is>
      </c>
      <c r="B29" s="22" t="inlineStr">
        <is>
          <t>Ginecologia</t>
        </is>
      </c>
      <c r="C29" s="20" t="inlineStr">
        <is>
          <t>Cirúrgica</t>
        </is>
      </c>
      <c r="D29" s="20" t="n">
        <v>90</v>
      </c>
      <c r="E29" s="20" t="inlineStr">
        <is>
          <t>Sim</t>
        </is>
      </c>
    </row>
    <row r="30">
      <c r="A30" s="20" t="inlineStr">
        <is>
          <t>URO</t>
        </is>
      </c>
      <c r="B30" s="22" t="inlineStr">
        <is>
          <t>Urologia</t>
        </is>
      </c>
      <c r="C30" s="20" t="inlineStr">
        <is>
          <t>Cirúrgica</t>
        </is>
      </c>
      <c r="D30" s="20" t="n">
        <v>90</v>
      </c>
      <c r="E30" s="20" t="inlineStr">
        <is>
          <t>Sim</t>
        </is>
      </c>
    </row>
    <row r="31">
      <c r="A31" s="20" t="inlineStr">
        <is>
          <t>OFT</t>
        </is>
      </c>
      <c r="B31" s="22" t="inlineStr">
        <is>
          <t>Oftalmologia</t>
        </is>
      </c>
      <c r="C31" s="20" t="inlineStr">
        <is>
          <t>Cirúrgica</t>
        </is>
      </c>
      <c r="D31" s="20" t="n">
        <v>45</v>
      </c>
      <c r="E31" s="20" t="inlineStr">
        <is>
          <t>Sim</t>
        </is>
      </c>
    </row>
    <row r="32">
      <c r="A32" s="20" t="inlineStr">
        <is>
          <t>OTO</t>
        </is>
      </c>
      <c r="B32" s="22" t="inlineStr">
        <is>
          <t>Otorrinolaringologia</t>
        </is>
      </c>
      <c r="C32" s="20" t="inlineStr">
        <is>
          <t>Cirúrgica</t>
        </is>
      </c>
      <c r="D32" s="20" t="n">
        <v>75</v>
      </c>
      <c r="E32" s="20" t="inlineStr">
        <is>
          <t>Sim</t>
        </is>
      </c>
    </row>
    <row r="33">
      <c r="A33" s="20" t="inlineStr">
        <is>
          <t>BMF</t>
        </is>
      </c>
      <c r="B33" s="22" t="inlineStr">
        <is>
          <t>Buco-Maxilo-Facial</t>
        </is>
      </c>
      <c r="C33" s="20" t="inlineStr">
        <is>
          <t>Cirúrgica</t>
        </is>
      </c>
      <c r="D33" s="20" t="n">
        <v>120</v>
      </c>
      <c r="E33" s="20" t="inlineStr">
        <is>
          <t>Sim</t>
        </is>
      </c>
    </row>
    <row r="34">
      <c r="A34" s="20" t="inlineStr">
        <is>
          <t>PLA</t>
        </is>
      </c>
      <c r="B34" s="22" t="inlineStr">
        <is>
          <t>Cirurgia Plástica</t>
        </is>
      </c>
      <c r="C34" s="20" t="inlineStr">
        <is>
          <t>Cirúrgica</t>
        </is>
      </c>
      <c r="D34" s="20" t="n">
        <v>120</v>
      </c>
      <c r="E34" s="20" t="inlineStr">
        <is>
          <t>Sim</t>
        </is>
      </c>
    </row>
    <row r="35">
      <c r="A35" s="20" t="inlineStr">
        <is>
          <t>VAS</t>
        </is>
      </c>
      <c r="B35" s="22" t="inlineStr">
        <is>
          <t>Cirurgia Vascular</t>
        </is>
      </c>
      <c r="C35" s="20" t="inlineStr">
        <is>
          <t>Cirúrgica</t>
        </is>
      </c>
      <c r="D35" s="20" t="n">
        <v>150</v>
      </c>
      <c r="E35" s="20" t="inlineStr">
        <is>
          <t>Sim</t>
        </is>
      </c>
    </row>
    <row r="36">
      <c r="A36" s="20" t="inlineStr">
        <is>
          <t>TOR</t>
        </is>
      </c>
      <c r="B36" s="22" t="inlineStr">
        <is>
          <t>Cirurgia Torácica</t>
        </is>
      </c>
      <c r="C36" s="20" t="inlineStr">
        <is>
          <t>Cirúrgica</t>
        </is>
      </c>
      <c r="D36" s="20" t="n">
        <v>120</v>
      </c>
      <c r="E36" s="20" t="inlineStr">
        <is>
          <t>Sim</t>
        </is>
      </c>
    </row>
    <row r="37">
      <c r="A37" s="20" t="inlineStr">
        <is>
          <t>ADM</t>
        </is>
      </c>
      <c r="B37" s="22" t="inlineStr">
        <is>
          <t>Admissão</t>
        </is>
      </c>
      <c r="C37" s="20" t="inlineStr">
        <is>
          <t>Apoio</t>
        </is>
      </c>
      <c r="D37" s="20" t="n">
        <v>0</v>
      </c>
      <c r="E37" s="20" t="inlineStr">
        <is>
          <t>Sim</t>
        </is>
      </c>
    </row>
    <row r="38">
      <c r="A38" s="20" t="inlineStr">
        <is>
          <t>RN</t>
        </is>
      </c>
      <c r="B38" s="22" t="inlineStr">
        <is>
          <t>Sala de recém-nascido</t>
        </is>
      </c>
      <c r="C38" s="20" t="inlineStr">
        <is>
          <t>Apoio</t>
        </is>
      </c>
      <c r="D38" s="20" t="n">
        <v>0</v>
      </c>
      <c r="E38" s="20" t="inlineStr">
        <is>
          <t>Sim</t>
        </is>
      </c>
    </row>
    <row r="39">
      <c r="A39" s="20" t="n"/>
      <c r="B39" s="22" t="n"/>
      <c r="C39" s="20" t="n"/>
      <c r="D39" s="20" t="n"/>
      <c r="E39" s="20" t="n"/>
    </row>
    <row r="40">
      <c r="A40" s="20" t="n"/>
      <c r="B40" s="22" t="n"/>
      <c r="C40" s="20" t="n"/>
      <c r="D40" s="20" t="n"/>
      <c r="E40" s="20" t="n"/>
    </row>
    <row r="41">
      <c r="A41" s="20" t="n"/>
      <c r="B41" s="22" t="n"/>
      <c r="C41" s="20" t="n"/>
      <c r="D41" s="20" t="n"/>
      <c r="E41" s="20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3" t="inlineStr">
        <is>
          <t>5. POSTOS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 ht="32" customHeight="1">
      <c r="A44" s="5" t="inlineStr">
        <is>
          <t>Código</t>
        </is>
      </c>
      <c r="B44" s="5" t="inlineStr">
        <is>
          <t>Posto</t>
        </is>
      </c>
      <c r="C44" s="5" t="inlineStr">
        <is>
          <t>Tipo</t>
        </is>
      </c>
      <c r="D44" s="5" t="inlineStr">
        <is>
          <t>Técnicos</t>
        </is>
      </c>
      <c r="E44" s="5" t="inlineStr">
        <is>
          <t>Mínimo</t>
        </is>
      </c>
      <c r="F44" s="5" t="inlineStr">
        <is>
          <t>Prioridade</t>
        </is>
      </c>
      <c r="G44" s="5" t="inlineStr">
        <is>
          <t>Especialidade de referência</t>
        </is>
      </c>
      <c r="H44" s="5" t="inlineStr">
        <is>
          <t>Funciona em</t>
        </is>
      </c>
      <c r="I44" s="5" t="inlineStr">
        <is>
          <t>Status</t>
        </is>
      </c>
      <c r="J44" s="5" t="inlineStr">
        <is>
          <t>Observação</t>
        </is>
      </c>
    </row>
    <row r="45">
      <c r="A45" s="20" t="inlineStr">
        <is>
          <t>SO-01</t>
        </is>
      </c>
      <c r="B45" s="22" t="inlineStr">
        <is>
          <t>Sala 1</t>
        </is>
      </c>
      <c r="C45" s="20" t="inlineStr">
        <is>
          <t>Sala cirúrgica</t>
        </is>
      </c>
      <c r="D45" s="20" t="n">
        <v>2</v>
      </c>
      <c r="E45" s="20" t="n">
        <v>2</v>
      </c>
      <c r="F45" s="20" t="n">
        <v>5</v>
      </c>
      <c r="G45" s="22" t="inlineStr">
        <is>
          <t>Ortopedia</t>
        </is>
      </c>
      <c r="H45" s="20" t="inlineStr">
        <is>
          <t>Seg a Sex</t>
        </is>
      </c>
      <c r="I45" s="20" t="inlineStr">
        <is>
          <t>Ativo</t>
        </is>
      </c>
      <c r="J45" s="22" t="inlineStr">
        <is>
          <t>Eletivas de ortopedia</t>
        </is>
      </c>
    </row>
    <row r="46">
      <c r="A46" s="20" t="inlineStr">
        <is>
          <t>SO-02</t>
        </is>
      </c>
      <c r="B46" s="22" t="inlineStr">
        <is>
          <t>Sala 2</t>
        </is>
      </c>
      <c r="C46" s="20" t="inlineStr">
        <is>
          <t>Sala cirúrgica</t>
        </is>
      </c>
      <c r="D46" s="20" t="n">
        <v>2</v>
      </c>
      <c r="E46" s="20" t="n">
        <v>2</v>
      </c>
      <c r="F46" s="20" t="n">
        <v>6</v>
      </c>
      <c r="G46" s="22" t="inlineStr">
        <is>
          <t>Cirurgia Geral</t>
        </is>
      </c>
      <c r="H46" s="20" t="inlineStr">
        <is>
          <t>Seg a Sex</t>
        </is>
      </c>
      <c r="I46" s="20" t="inlineStr">
        <is>
          <t>Ativo</t>
        </is>
      </c>
      <c r="J46" s="22" t="inlineStr">
        <is>
          <t>Eletivas de cirurgia geral</t>
        </is>
      </c>
    </row>
    <row r="47">
      <c r="A47" s="20" t="inlineStr">
        <is>
          <t>SO-03</t>
        </is>
      </c>
      <c r="B47" s="22" t="inlineStr">
        <is>
          <t>Sala 3</t>
        </is>
      </c>
      <c r="C47" s="20" t="inlineStr">
        <is>
          <t>Sala cirúrgica</t>
        </is>
      </c>
      <c r="D47" s="20" t="n">
        <v>2</v>
      </c>
      <c r="E47" s="20" t="n">
        <v>2</v>
      </c>
      <c r="F47" s="20" t="n">
        <v>9</v>
      </c>
      <c r="G47" s="22" t="inlineStr">
        <is>
          <t>Neurocirurgia</t>
        </is>
      </c>
      <c r="H47" s="20" t="inlineStr">
        <is>
          <t>Seg a Sex</t>
        </is>
      </c>
      <c r="I47" s="20" t="inlineStr">
        <is>
          <t>Ativo</t>
        </is>
      </c>
      <c r="J47" s="22" t="inlineStr">
        <is>
          <t>Eletivas de neurocirurgia</t>
        </is>
      </c>
    </row>
    <row r="48">
      <c r="A48" s="20" t="inlineStr">
        <is>
          <t>SO-04</t>
        </is>
      </c>
      <c r="B48" s="22" t="inlineStr">
        <is>
          <t>Sala 4</t>
        </is>
      </c>
      <c r="C48" s="20" t="inlineStr">
        <is>
          <t>Sala cirúrgica</t>
        </is>
      </c>
      <c r="D48" s="20" t="n">
        <v>2</v>
      </c>
      <c r="E48" s="20" t="n">
        <v>2</v>
      </c>
      <c r="F48" s="20" t="n">
        <v>10</v>
      </c>
      <c r="G48" s="22" t="inlineStr">
        <is>
          <t>Cirurgia Plástica</t>
        </is>
      </c>
      <c r="H48" s="20" t="inlineStr">
        <is>
          <t>Seg a Sex</t>
        </is>
      </c>
      <c r="I48" s="20" t="inlineStr">
        <is>
          <t>Ativo</t>
        </is>
      </c>
      <c r="J48" s="22" t="inlineStr">
        <is>
          <t>Plástica e vascular</t>
        </is>
      </c>
    </row>
    <row r="49">
      <c r="A49" s="20" t="inlineStr">
        <is>
          <t>SO-05</t>
        </is>
      </c>
      <c r="B49" s="22" t="inlineStr">
        <is>
          <t>Sala 5</t>
        </is>
      </c>
      <c r="C49" s="20" t="inlineStr">
        <is>
          <t>Sala cirúrgica</t>
        </is>
      </c>
      <c r="D49" s="20" t="n">
        <v>2</v>
      </c>
      <c r="E49" s="20" t="n">
        <v>2</v>
      </c>
      <c r="F49" s="20" t="n">
        <v>7</v>
      </c>
      <c r="G49" s="22" t="inlineStr">
        <is>
          <t>Ginecologia</t>
        </is>
      </c>
      <c r="H49" s="20" t="inlineStr">
        <is>
          <t>Seg a Sex</t>
        </is>
      </c>
      <c r="I49" s="20" t="inlineStr">
        <is>
          <t>Ativo</t>
        </is>
      </c>
      <c r="J49" s="22" t="inlineStr">
        <is>
          <t>Gineco e urologia</t>
        </is>
      </c>
    </row>
    <row r="50">
      <c r="A50" s="20" t="inlineStr">
        <is>
          <t>SO-06</t>
        </is>
      </c>
      <c r="B50" s="22" t="inlineStr">
        <is>
          <t>Sala 6</t>
        </is>
      </c>
      <c r="C50" s="20" t="inlineStr">
        <is>
          <t>Sala cirúrgica</t>
        </is>
      </c>
      <c r="D50" s="20" t="n">
        <v>2</v>
      </c>
      <c r="E50" s="20" t="n">
        <v>2</v>
      </c>
      <c r="F50" s="20" t="n">
        <v>2</v>
      </c>
      <c r="G50" s="22" t="inlineStr">
        <is>
          <t>Cesariana</t>
        </is>
      </c>
      <c r="H50" s="20" t="inlineStr">
        <is>
          <t>Todos os dias</t>
        </is>
      </c>
      <c r="I50" s="20" t="inlineStr">
        <is>
          <t>Ativo</t>
        </is>
      </c>
      <c r="J50" s="22" t="inlineStr">
        <is>
          <t>EXCLUSIVA do centro obstétrico</t>
        </is>
      </c>
    </row>
    <row r="51">
      <c r="A51" s="20" t="inlineStr">
        <is>
          <t>SO-07</t>
        </is>
      </c>
      <c r="B51" s="22" t="inlineStr">
        <is>
          <t>Sala 7</t>
        </is>
      </c>
      <c r="C51" s="20" t="inlineStr">
        <is>
          <t>Sala cirúrgica</t>
        </is>
      </c>
      <c r="D51" s="20" t="n">
        <v>2</v>
      </c>
      <c r="E51" s="20" t="n">
        <v>2</v>
      </c>
      <c r="F51" s="20" t="n">
        <v>1</v>
      </c>
      <c r="G51" s="22" t="inlineStr">
        <is>
          <t>Cirurgia Geral</t>
        </is>
      </c>
      <c r="H51" s="20" t="inlineStr">
        <is>
          <t>Todos os dias</t>
        </is>
      </c>
      <c r="I51" s="20" t="inlineStr">
        <is>
          <t>Ativo</t>
        </is>
      </c>
      <c r="J51" s="22" t="inlineStr">
        <is>
          <t>RESERVADA a urgências</t>
        </is>
      </c>
    </row>
    <row r="52">
      <c r="A52" s="20" t="inlineStr">
        <is>
          <t>SO-08</t>
        </is>
      </c>
      <c r="B52" s="22" t="inlineStr">
        <is>
          <t>Sala 8</t>
        </is>
      </c>
      <c r="C52" s="20" t="inlineStr">
        <is>
          <t>Sala cirúrgica</t>
        </is>
      </c>
      <c r="D52" s="20" t="n">
        <v>2</v>
      </c>
      <c r="E52" s="20" t="n">
        <v>2</v>
      </c>
      <c r="F52" s="20" t="n">
        <v>8</v>
      </c>
      <c r="G52" s="22" t="inlineStr">
        <is>
          <t>Oftalmologia</t>
        </is>
      </c>
      <c r="H52" s="20" t="inlineStr">
        <is>
          <t>Seg a Sex</t>
        </is>
      </c>
      <c r="I52" s="20" t="inlineStr">
        <is>
          <t>Ativo</t>
        </is>
      </c>
      <c r="J52" s="22" t="inlineStr">
        <is>
          <t>Oftalmologia</t>
        </is>
      </c>
    </row>
    <row r="53">
      <c r="A53" s="20" t="inlineStr">
        <is>
          <t>ADM</t>
        </is>
      </c>
      <c r="B53" s="22" t="inlineStr">
        <is>
          <t>Admissão</t>
        </is>
      </c>
      <c r="C53" s="20" t="inlineStr">
        <is>
          <t>Apoio</t>
        </is>
      </c>
      <c r="D53" s="20" t="n">
        <v>2</v>
      </c>
      <c r="E53" s="20" t="n">
        <v>1</v>
      </c>
      <c r="F53" s="20" t="n">
        <v>4</v>
      </c>
      <c r="G53" s="22" t="inlineStr">
        <is>
          <t>Admissão</t>
        </is>
      </c>
      <c r="H53" s="20" t="inlineStr">
        <is>
          <t>Todos os dias</t>
        </is>
      </c>
      <c r="I53" s="20" t="inlineStr">
        <is>
          <t>Ativo</t>
        </is>
      </c>
      <c r="J53" s="22" t="inlineStr">
        <is>
          <t>Recepção e preparo do paciente</t>
        </is>
      </c>
    </row>
    <row r="54">
      <c r="A54" s="20" t="inlineStr">
        <is>
          <t>BOX</t>
        </is>
      </c>
      <c r="B54" s="22" t="inlineStr">
        <is>
          <t>Box de preparo oftalmológico</t>
        </is>
      </c>
      <c r="C54" s="20" t="inlineStr">
        <is>
          <t>Apoio</t>
        </is>
      </c>
      <c r="D54" s="20" t="n">
        <v>1</v>
      </c>
      <c r="E54" s="20" t="n">
        <v>1</v>
      </c>
      <c r="F54" s="20" t="n">
        <v>11</v>
      </c>
      <c r="G54" s="22" t="inlineStr">
        <is>
          <t>Oftalmologia</t>
        </is>
      </c>
      <c r="H54" s="20" t="inlineStr">
        <is>
          <t>Seg a Sex</t>
        </is>
      </c>
      <c r="I54" s="20" t="inlineStr">
        <is>
          <t>Ativo</t>
        </is>
      </c>
      <c r="J54" s="22" t="inlineStr">
        <is>
          <t>Apoio da Sala 8</t>
        </is>
      </c>
    </row>
    <row r="55">
      <c r="A55" s="20" t="inlineStr">
        <is>
          <t>RN</t>
        </is>
      </c>
      <c r="B55" s="22" t="inlineStr">
        <is>
          <t>Sala de recém-nascido</t>
        </is>
      </c>
      <c r="C55" s="20" t="inlineStr">
        <is>
          <t>Apoio</t>
        </is>
      </c>
      <c r="D55" s="20" t="n">
        <v>1</v>
      </c>
      <c r="E55" s="20" t="n">
        <v>1</v>
      </c>
      <c r="F55" s="20" t="n">
        <v>3</v>
      </c>
      <c r="G55" s="22" t="inlineStr">
        <is>
          <t>Sala de recém-nascido</t>
        </is>
      </c>
      <c r="H55" s="20" t="inlineStr">
        <is>
          <t>Todos os dias</t>
        </is>
      </c>
      <c r="I55" s="20" t="inlineStr">
        <is>
          <t>Ativo</t>
        </is>
      </c>
      <c r="J55" s="22" t="inlineStr">
        <is>
          <t>Bloco obstétrico</t>
        </is>
      </c>
    </row>
    <row r="56">
      <c r="A56" s="20" t="n"/>
      <c r="B56" s="22" t="n"/>
      <c r="C56" s="20" t="n"/>
      <c r="D56" s="20" t="n"/>
      <c r="E56" s="20" t="n"/>
      <c r="F56" s="20" t="n"/>
      <c r="G56" s="22" t="n"/>
      <c r="H56" s="20" t="n"/>
      <c r="I56" s="20" t="n"/>
      <c r="J56" s="22" t="n"/>
    </row>
    <row r="57">
      <c r="A57" s="20" t="n"/>
      <c r="B57" s="22" t="n"/>
      <c r="C57" s="20" t="n"/>
      <c r="D57" s="20" t="n"/>
      <c r="E57" s="20" t="n"/>
      <c r="F57" s="20" t="n"/>
      <c r="G57" s="22" t="n"/>
      <c r="H57" s="20" t="n"/>
      <c r="I57" s="20" t="n"/>
      <c r="J57" s="22" t="n"/>
    </row>
    <row r="58">
      <c r="A58" s="20" t="n"/>
      <c r="B58" s="22" t="n"/>
      <c r="C58" s="20" t="n"/>
      <c r="D58" s="20" t="n"/>
      <c r="E58" s="20" t="n"/>
      <c r="F58" s="20" t="n"/>
      <c r="G58" s="22" t="n"/>
      <c r="H58" s="20" t="n"/>
      <c r="I58" s="20" t="n"/>
      <c r="J58" s="22" t="n"/>
    </row>
    <row r="59">
      <c r="A59" s="20" t="n"/>
      <c r="B59" s="22" t="n"/>
      <c r="C59" s="20" t="n"/>
      <c r="D59" s="20" t="n"/>
      <c r="E59" s="20" t="n"/>
      <c r="F59" s="20" t="n"/>
      <c r="G59" s="22" t="n"/>
      <c r="H59" s="20" t="n"/>
      <c r="I59" s="20" t="n"/>
      <c r="J59" s="22" t="n"/>
    </row>
    <row r="60">
      <c r="A60" s="20" t="n"/>
      <c r="B60" s="22" t="n"/>
      <c r="C60" s="20" t="n"/>
      <c r="D60" s="20" t="n"/>
      <c r="E60" s="20" t="n"/>
      <c r="F60" s="20" t="n"/>
      <c r="G60" s="22" t="n"/>
      <c r="H60" s="20" t="n"/>
      <c r="I60" s="20" t="n"/>
      <c r="J60" s="22" t="n"/>
    </row>
    <row r="61">
      <c r="A61" s="2" t="inlineStr">
        <is>
          <t>Prioridade 1 é coberta primeiro quando falta gente. 'Funciona em' define os dias: nos fins de semana e feriados os postos de dia útil não operam e as vagas do dia caem junto.</t>
        </is>
      </c>
    </row>
    <row r="62">
      <c r="A62" s="3" t="inlineStr">
        <is>
          <t>6. FERIADOS — nesses dias os postos de dia útil não operam</t>
        </is>
      </c>
      <c r="B62" s="4" t="n"/>
      <c r="C62" s="4" t="n"/>
    </row>
    <row r="63" ht="18" customHeight="1">
      <c r="A63" s="5" t="inlineStr">
        <is>
          <t>Data</t>
        </is>
      </c>
      <c r="B63" s="5" t="inlineStr">
        <is>
          <t>Feriado</t>
        </is>
      </c>
      <c r="C63" s="5" t="inlineStr"/>
    </row>
    <row r="64">
      <c r="A64" s="39" t="n">
        <v>46023</v>
      </c>
      <c r="B64" s="37" t="inlineStr">
        <is>
          <t>Confraternização Universal</t>
        </is>
      </c>
    </row>
    <row r="65">
      <c r="A65" s="39" t="n">
        <v>46069</v>
      </c>
      <c r="B65" s="37" t="inlineStr">
        <is>
          <t>Carnaval</t>
        </is>
      </c>
    </row>
    <row r="66">
      <c r="A66" s="39" t="n">
        <v>46070</v>
      </c>
      <c r="B66" s="37" t="inlineStr">
        <is>
          <t>Carnaval</t>
        </is>
      </c>
    </row>
    <row r="67">
      <c r="A67" s="39" t="n">
        <v>46115</v>
      </c>
      <c r="B67" s="37" t="inlineStr">
        <is>
          <t>Sexta-feira Santa</t>
        </is>
      </c>
    </row>
    <row r="68">
      <c r="A68" s="39" t="n">
        <v>46133</v>
      </c>
      <c r="B68" s="37" t="inlineStr">
        <is>
          <t>Tiradentes</t>
        </is>
      </c>
    </row>
    <row r="69">
      <c r="A69" s="39" t="n">
        <v>46143</v>
      </c>
      <c r="B69" s="37" t="inlineStr">
        <is>
          <t>Dia do Trabalho</t>
        </is>
      </c>
    </row>
    <row r="70">
      <c r="A70" s="39" t="n">
        <v>46177</v>
      </c>
      <c r="B70" s="37" t="inlineStr">
        <is>
          <t>Corpus Christi</t>
        </is>
      </c>
    </row>
    <row r="71">
      <c r="A71" s="39" t="n">
        <v>46272</v>
      </c>
      <c r="B71" s="37" t="inlineStr">
        <is>
          <t>Independência</t>
        </is>
      </c>
    </row>
    <row r="72">
      <c r="A72" s="39" t="n">
        <v>46307</v>
      </c>
      <c r="B72" s="37" t="inlineStr">
        <is>
          <t>Nossa Senhora Aparecida</t>
        </is>
      </c>
    </row>
    <row r="73">
      <c r="A73" s="39" t="n">
        <v>46328</v>
      </c>
      <c r="B73" s="37" t="inlineStr">
        <is>
          <t>Finados</t>
        </is>
      </c>
    </row>
    <row r="74">
      <c r="A74" s="39" t="n">
        <v>46341</v>
      </c>
      <c r="B74" s="37" t="inlineStr">
        <is>
          <t>Proclamação da República</t>
        </is>
      </c>
    </row>
    <row r="75">
      <c r="A75" s="39" t="n">
        <v>46381</v>
      </c>
      <c r="B75" s="37" t="inlineStr">
        <is>
          <t>Natal</t>
        </is>
      </c>
    </row>
    <row r="76">
      <c r="A76" s="39" t="n"/>
      <c r="B76" s="37" t="n"/>
    </row>
    <row r="77">
      <c r="A77" s="39" t="n"/>
      <c r="B77" s="37" t="n"/>
    </row>
    <row r="78">
      <c r="A78" s="39" t="n"/>
      <c r="B78" s="37" t="n"/>
    </row>
    <row r="79">
      <c r="A79" s="39" t="n"/>
      <c r="B79" s="37" t="n"/>
    </row>
    <row r="80">
      <c r="A80" s="39" t="n"/>
      <c r="B80" s="37" t="n"/>
    </row>
    <row r="81">
      <c r="A81" s="39" t="n"/>
      <c r="B81" s="37" t="n"/>
    </row>
    <row r="82">
      <c r="A82" s="39" t="n"/>
      <c r="B82" s="37" t="n"/>
    </row>
    <row r="83">
      <c r="A83" s="39" t="n"/>
      <c r="B83" s="37" t="n"/>
    </row>
    <row r="85">
      <c r="A85" s="3" t="inlineStr">
        <is>
          <t>7. TIPOS DE AUSÊNCIA</t>
        </is>
      </c>
      <c r="B85" s="4" t="n"/>
      <c r="C85" s="4" t="n"/>
    </row>
    <row r="86" ht="18" customHeight="1">
      <c r="A86" s="5" t="inlineStr">
        <is>
          <t>Tipo</t>
        </is>
      </c>
      <c r="B86" s="5" t="inlineStr">
        <is>
          <t>Sigla</t>
        </is>
      </c>
      <c r="C86" s="5" t="inlineStr">
        <is>
          <t>Cor</t>
        </is>
      </c>
    </row>
    <row r="87">
      <c r="A87" s="14" t="inlineStr">
        <is>
          <t>Folga</t>
        </is>
      </c>
      <c r="B87" s="11" t="inlineStr">
        <is>
          <t>F</t>
        </is>
      </c>
      <c r="C87" s="43" t="n"/>
    </row>
    <row r="88">
      <c r="A88" s="14" t="inlineStr">
        <is>
          <t>Férias</t>
        </is>
      </c>
      <c r="B88" s="11" t="inlineStr">
        <is>
          <t>FR</t>
        </is>
      </c>
      <c r="C88" s="44" t="n"/>
    </row>
    <row r="89">
      <c r="A89" s="14" t="inlineStr">
        <is>
          <t>Atestado</t>
        </is>
      </c>
      <c r="B89" s="11" t="inlineStr">
        <is>
          <t>AT</t>
        </is>
      </c>
      <c r="C89" s="45" t="n"/>
    </row>
    <row r="90">
      <c r="A90" s="14" t="inlineStr">
        <is>
          <t>Licença</t>
        </is>
      </c>
      <c r="B90" s="11" t="inlineStr">
        <is>
          <t>LI</t>
        </is>
      </c>
      <c r="C90" s="46" t="n"/>
    </row>
    <row r="91">
      <c r="A91" s="14" t="inlineStr">
        <is>
          <t>Treinamento</t>
        </is>
      </c>
      <c r="B91" s="11" t="inlineStr">
        <is>
          <t>TR</t>
        </is>
      </c>
      <c r="C91" s="47" t="n"/>
    </row>
    <row r="92">
      <c r="A92" s="14" t="inlineStr">
        <is>
          <t>FH</t>
        </is>
      </c>
      <c r="B92" s="11" t="inlineStr">
        <is>
          <t>FH</t>
        </is>
      </c>
      <c r="C92" s="48" t="n"/>
    </row>
    <row r="93">
      <c r="A93" s="14" t="inlineStr">
        <is>
          <t>Licença gestação</t>
        </is>
      </c>
      <c r="B93" s="11" t="inlineStr">
        <is>
          <t>LG</t>
        </is>
      </c>
      <c r="C93" s="49" t="n"/>
    </row>
    <row r="95">
      <c r="A95" s="3" t="inlineStr">
        <is>
          <t>8. CIRURGIÕES — de/para usado ao importar a agenda do dia</t>
        </is>
      </c>
      <c r="B95" s="4" t="n"/>
      <c r="C95" s="4" t="n"/>
    </row>
    <row r="96" ht="28" customHeight="1">
      <c r="A96" s="5" t="inlineStr">
        <is>
          <t>Cirurgião (como sai na agenda)</t>
        </is>
      </c>
      <c r="B96" s="5" t="inlineStr">
        <is>
          <t>Especialidade</t>
        </is>
      </c>
      <c r="C96" s="5" t="inlineStr">
        <is>
          <t>Observação</t>
        </is>
      </c>
    </row>
    <row r="97">
      <c r="A97" s="37" t="inlineStr">
        <is>
          <t>Dr. Almeida</t>
        </is>
      </c>
      <c r="B97" s="37" t="inlineStr">
        <is>
          <t>Ortopedia</t>
        </is>
      </c>
      <c r="C97" s="37" t="inlineStr"/>
    </row>
    <row r="98">
      <c r="A98" s="37" t="inlineStr">
        <is>
          <t>Dra. Bernardes</t>
        </is>
      </c>
      <c r="B98" s="37" t="inlineStr">
        <is>
          <t>Cirurgia Geral</t>
        </is>
      </c>
      <c r="C98" s="37" t="inlineStr"/>
    </row>
    <row r="99">
      <c r="A99" s="37" t="inlineStr">
        <is>
          <t>Dr. Coelho</t>
        </is>
      </c>
      <c r="B99" s="37" t="inlineStr">
        <is>
          <t>Neurocirurgia</t>
        </is>
      </c>
      <c r="C99" s="37" t="inlineStr"/>
    </row>
    <row r="100">
      <c r="A100" s="37" t="inlineStr">
        <is>
          <t>Dra. Delgado</t>
        </is>
      </c>
      <c r="B100" s="37" t="inlineStr">
        <is>
          <t>Cirurgia Plástica</t>
        </is>
      </c>
      <c r="C100" s="37" t="inlineStr"/>
    </row>
    <row r="101">
      <c r="A101" s="37" t="inlineStr">
        <is>
          <t>Dr. Esteves</t>
        </is>
      </c>
      <c r="B101" s="37" t="inlineStr">
        <is>
          <t>Ginecologia</t>
        </is>
      </c>
      <c r="C101" s="37" t="inlineStr"/>
    </row>
    <row r="102">
      <c r="A102" s="37" t="inlineStr">
        <is>
          <t>Dra. Fialho</t>
        </is>
      </c>
      <c r="B102" s="37" t="inlineStr">
        <is>
          <t>Urologia</t>
        </is>
      </c>
      <c r="C102" s="37" t="inlineStr"/>
    </row>
    <row r="103">
      <c r="A103" s="37" t="inlineStr">
        <is>
          <t>Dr. Gouveia</t>
        </is>
      </c>
      <c r="B103" s="37" t="inlineStr">
        <is>
          <t>Oftalmologia</t>
        </is>
      </c>
      <c r="C103" s="37" t="inlineStr"/>
    </row>
    <row r="104">
      <c r="A104" s="37" t="inlineStr">
        <is>
          <t>Dra. Hirano</t>
        </is>
      </c>
      <c r="B104" s="37" t="inlineStr">
        <is>
          <t>Cirurgia Vascular</t>
        </is>
      </c>
      <c r="C104" s="37" t="inlineStr"/>
    </row>
    <row r="105">
      <c r="A105" s="37" t="n"/>
      <c r="B105" s="37" t="n"/>
      <c r="C105" s="37" t="n"/>
    </row>
    <row r="106">
      <c r="A106" s="37" t="n"/>
      <c r="B106" s="37" t="n"/>
      <c r="C106" s="37" t="n"/>
    </row>
    <row r="107">
      <c r="A107" s="37" t="n"/>
      <c r="B107" s="37" t="n"/>
      <c r="C107" s="37" t="n"/>
    </row>
    <row r="108">
      <c r="A108" s="37" t="n"/>
      <c r="B108" s="37" t="n"/>
      <c r="C108" s="37" t="n"/>
    </row>
    <row r="109">
      <c r="A109" s="37" t="n"/>
      <c r="B109" s="37" t="n"/>
      <c r="C109" s="37" t="n"/>
    </row>
    <row r="110">
      <c r="A110" s="37" t="n"/>
      <c r="B110" s="37" t="n"/>
      <c r="C110" s="37" t="n"/>
    </row>
    <row r="111">
      <c r="A111" s="37" t="n"/>
      <c r="B111" s="37" t="n"/>
      <c r="C111" s="37" t="n"/>
    </row>
    <row r="112">
      <c r="A112" s="37" t="n"/>
      <c r="B112" s="37" t="n"/>
      <c r="C112" s="37" t="n"/>
    </row>
    <row r="113">
      <c r="A113" s="37" t="n"/>
      <c r="B113" s="37" t="n"/>
      <c r="C113" s="37" t="n"/>
    </row>
    <row r="114">
      <c r="A114" s="37" t="n"/>
      <c r="B114" s="37" t="n"/>
      <c r="C114" s="37" t="n"/>
    </row>
    <row r="115">
      <c r="A115" s="37" t="n"/>
      <c r="B115" s="37" t="n"/>
      <c r="C115" s="37" t="n"/>
    </row>
    <row r="116">
      <c r="A116" s="37" t="n"/>
      <c r="B116" s="37" t="n"/>
      <c r="C116" s="37" t="n"/>
    </row>
    <row r="117">
      <c r="A117" s="37" t="n"/>
      <c r="B117" s="37" t="n"/>
      <c r="C117" s="37" t="n"/>
    </row>
    <row r="118">
      <c r="A118" s="37" t="n"/>
      <c r="B118" s="37" t="n"/>
      <c r="C118" s="37" t="n"/>
    </row>
    <row r="119">
      <c r="A119" s="37" t="n"/>
      <c r="B119" s="37" t="n"/>
      <c r="C119" s="37" t="n"/>
    </row>
    <row r="120">
      <c r="A120" s="37" t="n"/>
      <c r="B120" s="37" t="n"/>
      <c r="C120" s="37" t="n"/>
    </row>
    <row r="121">
      <c r="A121" s="37" t="n"/>
      <c r="B121" s="37" t="n"/>
      <c r="C121" s="37" t="n"/>
    </row>
    <row r="122">
      <c r="A122" s="37" t="n"/>
      <c r="B122" s="37" t="n"/>
      <c r="C122" s="37" t="n"/>
    </row>
    <row r="123">
      <c r="A123" s="37" t="n"/>
      <c r="B123" s="37" t="n"/>
      <c r="C123" s="37" t="n"/>
    </row>
    <row r="124">
      <c r="A124" s="37" t="n"/>
      <c r="B124" s="37" t="n"/>
      <c r="C124" s="37" t="n"/>
    </row>
    <row r="125">
      <c r="A125" s="37" t="n"/>
      <c r="B125" s="37" t="n"/>
      <c r="C125" s="37" t="n"/>
    </row>
    <row r="126">
      <c r="A126" s="37" t="n"/>
      <c r="B126" s="37" t="n"/>
      <c r="C126" s="37" t="n"/>
    </row>
    <row r="127">
      <c r="A127" s="37" t="n"/>
      <c r="B127" s="37" t="n"/>
      <c r="C127" s="37" t="n"/>
    </row>
    <row r="128">
      <c r="A128" s="37" t="n"/>
      <c r="B128" s="37" t="n"/>
      <c r="C128" s="37" t="n"/>
    </row>
    <row r="129">
      <c r="A129" s="37" t="n"/>
      <c r="B129" s="37" t="n"/>
      <c r="C129" s="37" t="n"/>
    </row>
    <row r="130">
      <c r="A130" s="37" t="n"/>
      <c r="B130" s="37" t="n"/>
      <c r="C130" s="37" t="n"/>
    </row>
    <row r="131">
      <c r="A131" s="37" t="n"/>
      <c r="B131" s="37" t="n"/>
      <c r="C131" s="37" t="n"/>
    </row>
    <row r="132">
      <c r="A132" s="37" t="n"/>
      <c r="B132" s="37" t="n"/>
      <c r="C132" s="37" t="n"/>
    </row>
    <row r="133">
      <c r="A133" s="37" t="n"/>
      <c r="B133" s="37" t="n"/>
      <c r="C133" s="37" t="n"/>
    </row>
    <row r="134">
      <c r="A134" s="37" t="n"/>
      <c r="B134" s="37" t="n"/>
      <c r="C134" s="37" t="n"/>
    </row>
    <row r="135">
      <c r="A135" s="37" t="n"/>
      <c r="B135" s="37" t="n"/>
      <c r="C135" s="37" t="n"/>
    </row>
    <row r="136">
      <c r="A136" s="37" t="n"/>
      <c r="B136" s="37" t="n"/>
      <c r="C136" s="37" t="n"/>
    </row>
    <row r="137">
      <c r="A137" s="37" t="n"/>
      <c r="B137" s="37" t="n"/>
      <c r="C137" s="37" t="n"/>
    </row>
    <row r="138">
      <c r="A138" s="37" t="n"/>
      <c r="B138" s="37" t="n"/>
      <c r="C138" s="37" t="n"/>
    </row>
    <row r="139">
      <c r="A139" s="37" t="n"/>
      <c r="B139" s="37" t="n"/>
      <c r="C139" s="37" t="n"/>
    </row>
    <row r="140">
      <c r="A140" s="37" t="n"/>
      <c r="B140" s="37" t="n"/>
      <c r="C140" s="37" t="n"/>
    </row>
    <row r="141">
      <c r="A141" s="37" t="n"/>
      <c r="B141" s="37" t="n"/>
      <c r="C141" s="37" t="n"/>
    </row>
    <row r="142">
      <c r="A142" s="37" t="n"/>
      <c r="B142" s="37" t="n"/>
      <c r="C142" s="37" t="n"/>
    </row>
    <row r="143">
      <c r="A143" s="37" t="n"/>
      <c r="B143" s="37" t="n"/>
      <c r="C143" s="37" t="n"/>
    </row>
    <row r="144">
      <c r="A144" s="37" t="n"/>
      <c r="B144" s="37" t="n"/>
      <c r="C144" s="37" t="n"/>
    </row>
    <row r="145">
      <c r="A145" s="37" t="n"/>
      <c r="B145" s="37" t="n"/>
      <c r="C145" s="37" t="n"/>
    </row>
    <row r="146">
      <c r="A146" s="37" t="n"/>
      <c r="B146" s="37" t="n"/>
      <c r="C146" s="37" t="n"/>
    </row>
    <row r="147">
      <c r="A147" s="37" t="n"/>
      <c r="B147" s="37" t="n"/>
      <c r="C147" s="37" t="n"/>
    </row>
    <row r="148">
      <c r="A148" s="37" t="n"/>
      <c r="B148" s="37" t="n"/>
      <c r="C148" s="37" t="n"/>
    </row>
    <row r="149">
      <c r="A149" s="37" t="n"/>
      <c r="B149" s="37" t="n"/>
      <c r="C149" s="37" t="n"/>
    </row>
    <row r="150">
      <c r="A150" s="37" t="n"/>
      <c r="B150" s="37" t="n"/>
      <c r="C150" s="37" t="n"/>
    </row>
    <row r="151">
      <c r="A151" s="37" t="n"/>
      <c r="B151" s="37" t="n"/>
      <c r="C151" s="37" t="n"/>
    </row>
    <row r="152">
      <c r="A152" s="37" t="n"/>
      <c r="B152" s="37" t="n"/>
      <c r="C152" s="37" t="n"/>
    </row>
    <row r="153">
      <c r="A153" s="37" t="n"/>
      <c r="B153" s="37" t="n"/>
      <c r="C153" s="37" t="n"/>
    </row>
    <row r="154">
      <c r="A154" s="37" t="n"/>
      <c r="B154" s="37" t="n"/>
      <c r="C154" s="37" t="n"/>
    </row>
    <row r="155">
      <c r="A155" s="37" t="n"/>
      <c r="B155" s="37" t="n"/>
      <c r="C155" s="37" t="n"/>
    </row>
    <row r="156">
      <c r="A156" s="37" t="n"/>
      <c r="B156" s="37" t="n"/>
      <c r="C156" s="37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8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5" t="inlineStr">
        <is>
          <t>Posto</t>
        </is>
      </c>
      <c r="B1" s="5" t="inlineStr">
        <is>
          <t>Tipo</t>
        </is>
      </c>
      <c r="C1" s="5" t="inlineStr">
        <is>
          <t>Especialidade de referência</t>
        </is>
      </c>
      <c r="D1" s="5" t="inlineStr">
        <is>
          <t>Min. agendados</t>
        </is>
      </c>
      <c r="E1" s="25">
        <f>IF('Configuração'!$B$22="","",'Configuração'!$B$22)</f>
        <v/>
      </c>
      <c r="F1" s="25">
        <f>IF('Configuração'!$B$23="","",'Configuração'!$B$23)</f>
        <v/>
      </c>
      <c r="G1" s="25">
        <f>IF('Configuração'!$B$24="","",'Configuração'!$B$24)</f>
        <v/>
      </c>
      <c r="H1" s="25">
        <f>IF('Configuração'!$B$25="","",'Configuração'!$B$25)</f>
        <v/>
      </c>
      <c r="I1" s="25">
        <f>IF('Configuração'!$B$26="","",'Configuração'!$B$26)</f>
        <v/>
      </c>
      <c r="J1" s="25">
        <f>IF('Configuração'!$B$27="","",'Configuração'!$B$27)</f>
        <v/>
      </c>
      <c r="K1" s="25">
        <f>IF('Configuração'!$B$28="","",'Configuração'!$B$28)</f>
        <v/>
      </c>
      <c r="L1" s="25">
        <f>IF('Configuração'!$B$29="","",'Configuração'!$B$29)</f>
        <v/>
      </c>
      <c r="M1" s="25">
        <f>IF('Configuração'!$B$30="","",'Configuração'!$B$30)</f>
        <v/>
      </c>
      <c r="N1" s="25">
        <f>IF('Configuração'!$B$31="","",'Configuração'!$B$31)</f>
        <v/>
      </c>
      <c r="O1" s="25">
        <f>IF('Configuração'!$B$32="","",'Configuração'!$B$32)</f>
        <v/>
      </c>
      <c r="P1" s="25">
        <f>IF('Configuração'!$B$33="","",'Configuração'!$B$33)</f>
        <v/>
      </c>
      <c r="Q1" s="25">
        <f>IF('Configuração'!$B$34="","",'Configuração'!$B$34)</f>
        <v/>
      </c>
      <c r="R1" s="25">
        <f>IF('Configuração'!$B$35="","",'Configuração'!$B$35)</f>
        <v/>
      </c>
      <c r="S1" s="25">
        <f>IF('Configuração'!$B$36="","",'Configuração'!$B$36)</f>
        <v/>
      </c>
      <c r="T1" s="25">
        <f>IF('Configuração'!$B$37="","",'Configuração'!$B$37)</f>
        <v/>
      </c>
      <c r="U1" s="25">
        <f>IF('Configuração'!$B$38="","",'Configuração'!$B$38)</f>
        <v/>
      </c>
      <c r="V1" s="25">
        <f>IF('Configuração'!$B$39="","",'Configuração'!$B$39)</f>
        <v/>
      </c>
      <c r="W1" s="25">
        <f>IF('Configuração'!$B$40="","",'Configuração'!$B$40)</f>
        <v/>
      </c>
      <c r="X1" s="25">
        <f>IF('Configuração'!$B$41="","",'Configuração'!$B$41)</f>
        <v/>
      </c>
      <c r="Y1" s="5" t="inlineStr">
        <is>
          <t>Total</t>
        </is>
      </c>
      <c r="Z1" s="5" t="inlineStr">
        <is>
          <t>Min. do plantão</t>
        </is>
      </c>
      <c r="AA1" s="5" t="inlineStr">
        <is>
          <t>Ocupação</t>
        </is>
      </c>
      <c r="AD1" s="50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5" t="inlineStr">
        <is>
          <t>Posto</t>
        </is>
      </c>
      <c r="B19" s="5" t="inlineStr"/>
      <c r="C19" s="5" t="inlineStr"/>
      <c r="D19" s="5" t="inlineStr"/>
      <c r="E19" s="25">
        <f>E$1</f>
        <v/>
      </c>
      <c r="F19" s="25">
        <f>F$1</f>
        <v/>
      </c>
      <c r="G19" s="25">
        <f>G$1</f>
        <v/>
      </c>
      <c r="H19" s="25">
        <f>H$1</f>
        <v/>
      </c>
      <c r="I19" s="25">
        <f>I$1</f>
        <v/>
      </c>
      <c r="J19" s="25">
        <f>J$1</f>
        <v/>
      </c>
      <c r="K19" s="25">
        <f>K$1</f>
        <v/>
      </c>
      <c r="L19" s="25">
        <f>L$1</f>
        <v/>
      </c>
      <c r="M19" s="25">
        <f>M$1</f>
        <v/>
      </c>
      <c r="N19" s="25">
        <f>N$1</f>
        <v/>
      </c>
      <c r="O19" s="25">
        <f>O$1</f>
        <v/>
      </c>
      <c r="P19" s="25">
        <f>P$1</f>
        <v/>
      </c>
      <c r="Q19" s="25">
        <f>Q$1</f>
        <v/>
      </c>
      <c r="R19" s="25">
        <f>R$1</f>
        <v/>
      </c>
      <c r="S19" s="25">
        <f>S$1</f>
        <v/>
      </c>
      <c r="T19" s="25">
        <f>T$1</f>
        <v/>
      </c>
      <c r="U19" s="25">
        <f>U$1</f>
        <v/>
      </c>
      <c r="V19" s="25">
        <f>V$1</f>
        <v/>
      </c>
      <c r="W19" s="25">
        <f>W$1</f>
        <v/>
      </c>
      <c r="X19" s="25">
        <f>X$1</f>
        <v/>
      </c>
      <c r="Y19" s="5" t="inlineStr">
        <is>
          <t>Nº especialidades do dia</t>
        </is>
      </c>
      <c r="Z19" s="5" t="inlineStr">
        <is>
          <t>Descobertas</t>
        </is>
      </c>
      <c r="AA19" s="5" t="inlineStr">
        <is>
          <t>Cobertas por 1 só</t>
        </is>
      </c>
      <c r="AB19" s="5" t="inlineStr">
        <is>
          <t>Especialidades do dia</t>
        </is>
      </c>
      <c r="AC19" s="5" t="inlineStr">
        <is>
          <t>Especialidades descobertas</t>
        </is>
      </c>
    </row>
    <row r="20">
      <c r="A20">
        <f>IF($A2="","",$A2)</f>
        <v/>
      </c>
      <c r="E20">
        <f>IF(E2=0,"",IF('Mapa do Dia'!$C10="",0,--(IFERROR(INDEX(Equipe_X,MATCH('Mapa do Dia'!$C10,Equipe_Nome,0),1),"")="X"))+IF('Mapa do Dia'!$D10="",0,--(IFERROR(INDEX(Equipe_X,MATCH('Mapa do Dia'!$D10,Equipe_Nome,0),1),"")="X")))</f>
        <v/>
      </c>
      <c r="F20">
        <f>IF(F2=0,"",IF('Mapa do Dia'!$C10="",0,--(IFERROR(INDEX(Equipe_X,MATCH('Mapa do Dia'!$C10,Equipe_Nome,0),2),"")="X"))+IF('Mapa do Dia'!$D10="",0,--(IFERROR(INDEX(Equipe_X,MATCH('Mapa do Dia'!$D10,Equipe_Nome,0),2),"")="X")))</f>
        <v/>
      </c>
      <c r="G20">
        <f>IF(G2=0,"",IF('Mapa do Dia'!$C10="",0,--(IFERROR(INDEX(Equipe_X,MATCH('Mapa do Dia'!$C10,Equipe_Nome,0),3),"")="X"))+IF('Mapa do Dia'!$D10="",0,--(IFERROR(INDEX(Equipe_X,MATCH('Mapa do Dia'!$D10,Equipe_Nome,0),3),"")="X")))</f>
        <v/>
      </c>
      <c r="H20">
        <f>IF(H2=0,"",IF('Mapa do Dia'!$C10="",0,--(IFERROR(INDEX(Equipe_X,MATCH('Mapa do Dia'!$C10,Equipe_Nome,0),4),"")="X"))+IF('Mapa do Dia'!$D10="",0,--(IFERROR(INDEX(Equipe_X,MATCH('Mapa do Dia'!$D10,Equipe_Nome,0),4),"")="X")))</f>
        <v/>
      </c>
      <c r="I20">
        <f>IF(I2=0,"",IF('Mapa do Dia'!$C10="",0,--(IFERROR(INDEX(Equipe_X,MATCH('Mapa do Dia'!$C10,Equipe_Nome,0),5),"")="X"))+IF('Mapa do Dia'!$D10="",0,--(IFERROR(INDEX(Equipe_X,MATCH('Mapa do Dia'!$D10,Equipe_Nome,0),5),"")="X")))</f>
        <v/>
      </c>
      <c r="J20">
        <f>IF(J2=0,"",IF('Mapa do Dia'!$C10="",0,--(IFERROR(INDEX(Equipe_X,MATCH('Mapa do Dia'!$C10,Equipe_Nome,0),6),"")="X"))+IF('Mapa do Dia'!$D10="",0,--(IFERROR(INDEX(Equipe_X,MATCH('Mapa do Dia'!$D10,Equipe_Nome,0),6),"")="X")))</f>
        <v/>
      </c>
      <c r="K20">
        <f>IF(K2=0,"",IF('Mapa do Dia'!$C10="",0,--(IFERROR(INDEX(Equipe_X,MATCH('Mapa do Dia'!$C10,Equipe_Nome,0),7),"")="X"))+IF('Mapa do Dia'!$D10="",0,--(IFERROR(INDEX(Equipe_X,MATCH('Mapa do Dia'!$D10,Equipe_Nome,0),7),"")="X")))</f>
        <v/>
      </c>
      <c r="L20">
        <f>IF(L2=0,"",IF('Mapa do Dia'!$C10="",0,--(IFERROR(INDEX(Equipe_X,MATCH('Mapa do Dia'!$C10,Equipe_Nome,0),8),"")="X"))+IF('Mapa do Dia'!$D10="",0,--(IFERROR(INDEX(Equipe_X,MATCH('Mapa do Dia'!$D10,Equipe_Nome,0),8),"")="X")))</f>
        <v/>
      </c>
      <c r="M20">
        <f>IF(M2=0,"",IF('Mapa do Dia'!$C10="",0,--(IFERROR(INDEX(Equipe_X,MATCH('Mapa do Dia'!$C10,Equipe_Nome,0),9),"")="X"))+IF('Mapa do Dia'!$D10="",0,--(IFERROR(INDEX(Equipe_X,MATCH('Mapa do Dia'!$D10,Equipe_Nome,0),9),"")="X")))</f>
        <v/>
      </c>
      <c r="N20">
        <f>IF(N2=0,"",IF('Mapa do Dia'!$C10="",0,--(IFERROR(INDEX(Equipe_X,MATCH('Mapa do Dia'!$C10,Equipe_Nome,0),10),"")="X"))+IF('Mapa do Dia'!$D10="",0,--(IFERROR(INDEX(Equipe_X,MATCH('Mapa do Dia'!$D10,Equipe_Nome,0),10),"")="X")))</f>
        <v/>
      </c>
      <c r="O20">
        <f>IF(O2=0,"",IF('Mapa do Dia'!$C10="",0,--(IFERROR(INDEX(Equipe_X,MATCH('Mapa do Dia'!$C10,Equipe_Nome,0),11),"")="X"))+IF('Mapa do Dia'!$D10="",0,--(IFERROR(INDEX(Equipe_X,MATCH('Mapa do Dia'!$D10,Equipe_Nome,0),11),"")="X")))</f>
        <v/>
      </c>
      <c r="P20">
        <f>IF(P2=0,"",IF('Mapa do Dia'!$C10="",0,--(IFERROR(INDEX(Equipe_X,MATCH('Mapa do Dia'!$C10,Equipe_Nome,0),12),"")="X"))+IF('Mapa do Dia'!$D10="",0,--(IFERROR(INDEX(Equipe_X,MATCH('Mapa do Dia'!$D10,Equipe_Nome,0),12),"")="X")))</f>
        <v/>
      </c>
      <c r="Q20">
        <f>IF(Q2=0,"",IF('Mapa do Dia'!$C10="",0,--(IFERROR(INDEX(Equipe_X,MATCH('Mapa do Dia'!$C10,Equipe_Nome,0),13),"")="X"))+IF('Mapa do Dia'!$D10="",0,--(IFERROR(INDEX(Equipe_X,MATCH('Mapa do Dia'!$D10,Equipe_Nome,0),13),"")="X")))</f>
        <v/>
      </c>
      <c r="R20">
        <f>IF(R2=0,"",IF('Mapa do Dia'!$C10="",0,--(IFERROR(INDEX(Equipe_X,MATCH('Mapa do Dia'!$C10,Equipe_Nome,0),14),"")="X"))+IF('Mapa do Dia'!$D10="",0,--(IFERROR(INDEX(Equipe_X,MATCH('Mapa do Dia'!$D10,Equipe_Nome,0),14),"")="X")))</f>
        <v/>
      </c>
      <c r="S20">
        <f>IF(S2=0,"",IF('Mapa do Dia'!$C10="",0,--(IFERROR(INDEX(Equipe_X,MATCH('Mapa do Dia'!$C10,Equipe_Nome,0),15),"")="X"))+IF('Mapa do Dia'!$D10="",0,--(IFERROR(INDEX(Equipe_X,MATCH('Mapa do Dia'!$D10,Equipe_Nome,0),15),"")="X")))</f>
        <v/>
      </c>
      <c r="T20">
        <f>IF(T2=0,"",IF('Mapa do Dia'!$C10="",0,--(IFERROR(INDEX(Equipe_X,MATCH('Mapa do Dia'!$C10,Equipe_Nome,0),16),"")="X"))+IF('Mapa do Dia'!$D10="",0,--(IFERROR(INDEX(Equipe_X,MATCH('Mapa do Dia'!$D10,Equipe_Nome,0),16),"")="X")))</f>
        <v/>
      </c>
      <c r="U20">
        <f>IF(U2=0,"",IF('Mapa do Dia'!$C10="",0,--(IFERROR(INDEX(Equipe_X,MATCH('Mapa do Dia'!$C10,Equipe_Nome,0),17),"")="X"))+IF('Mapa do Dia'!$D10="",0,--(IFERROR(INDEX(Equipe_X,MATCH('Mapa do Dia'!$D10,Equipe_Nome,0),17),"")="X")))</f>
        <v/>
      </c>
      <c r="V20">
        <f>IF(V2=0,"",IF('Mapa do Dia'!$C10="",0,--(IFERROR(INDEX(Equipe_X,MATCH('Mapa do Dia'!$C10,Equipe_Nome,0),18),"")="X"))+IF('Mapa do Dia'!$D10="",0,--(IFERROR(INDEX(Equipe_X,MATCH('Mapa do Dia'!$D10,Equipe_Nome,0),18),"")="X")))</f>
        <v/>
      </c>
      <c r="W20">
        <f>IF(W2=0,"",IF('Mapa do Dia'!$C10="",0,--(IFERROR(INDEX(Equipe_X,MATCH('Mapa do Dia'!$C10,Equipe_Nome,0),19),"")="X"))+IF('Mapa do Dia'!$D10="",0,--(IFERROR(INDEX(Equipe_X,MATCH('Mapa do Dia'!$D10,Equipe_Nome,0),19),"")="X")))</f>
        <v/>
      </c>
      <c r="X20">
        <f>IF(X2=0,"",IF('Mapa do Dia'!$C10="",0,--(IFERROR(INDEX(Equipe_X,MATCH('Mapa do Dia'!$C10,Equipe_Nome,0),20),"")="X"))+IF('Mapa do Dia'!$D10="",0,--(IFERROR(INDEX(Equipe_X,MATCH('Mapa do Dia'!$D10,Equipe_Nome,0),20),"")="X")))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Dia'!$C11="",0,--(IFERROR(INDEX(Equipe_X,MATCH('Mapa do Dia'!$C11,Equipe_Nome,0),1),"")="X"))+IF('Mapa do Dia'!$D11="",0,--(IFERROR(INDEX(Equipe_X,MATCH('Mapa do Dia'!$D11,Equipe_Nome,0),1),"")="X")))</f>
        <v/>
      </c>
      <c r="F21">
        <f>IF(F3=0,"",IF('Mapa do Dia'!$C11="",0,--(IFERROR(INDEX(Equipe_X,MATCH('Mapa do Dia'!$C11,Equipe_Nome,0),2),"")="X"))+IF('Mapa do Dia'!$D11="",0,--(IFERROR(INDEX(Equipe_X,MATCH('Mapa do Dia'!$D11,Equipe_Nome,0),2),"")="X")))</f>
        <v/>
      </c>
      <c r="G21">
        <f>IF(G3=0,"",IF('Mapa do Dia'!$C11="",0,--(IFERROR(INDEX(Equipe_X,MATCH('Mapa do Dia'!$C11,Equipe_Nome,0),3),"")="X"))+IF('Mapa do Dia'!$D11="",0,--(IFERROR(INDEX(Equipe_X,MATCH('Mapa do Dia'!$D11,Equipe_Nome,0),3),"")="X")))</f>
        <v/>
      </c>
      <c r="H21">
        <f>IF(H3=0,"",IF('Mapa do Dia'!$C11="",0,--(IFERROR(INDEX(Equipe_X,MATCH('Mapa do Dia'!$C11,Equipe_Nome,0),4),"")="X"))+IF('Mapa do Dia'!$D11="",0,--(IFERROR(INDEX(Equipe_X,MATCH('Mapa do Dia'!$D11,Equipe_Nome,0),4),"")="X")))</f>
        <v/>
      </c>
      <c r="I21">
        <f>IF(I3=0,"",IF('Mapa do Dia'!$C11="",0,--(IFERROR(INDEX(Equipe_X,MATCH('Mapa do Dia'!$C11,Equipe_Nome,0),5),"")="X"))+IF('Mapa do Dia'!$D11="",0,--(IFERROR(INDEX(Equipe_X,MATCH('Mapa do Dia'!$D11,Equipe_Nome,0),5),"")="X")))</f>
        <v/>
      </c>
      <c r="J21">
        <f>IF(J3=0,"",IF('Mapa do Dia'!$C11="",0,--(IFERROR(INDEX(Equipe_X,MATCH('Mapa do Dia'!$C11,Equipe_Nome,0),6),"")="X"))+IF('Mapa do Dia'!$D11="",0,--(IFERROR(INDEX(Equipe_X,MATCH('Mapa do Dia'!$D11,Equipe_Nome,0),6),"")="X")))</f>
        <v/>
      </c>
      <c r="K21">
        <f>IF(K3=0,"",IF('Mapa do Dia'!$C11="",0,--(IFERROR(INDEX(Equipe_X,MATCH('Mapa do Dia'!$C11,Equipe_Nome,0),7),"")="X"))+IF('Mapa do Dia'!$D11="",0,--(IFERROR(INDEX(Equipe_X,MATCH('Mapa do Dia'!$D11,Equipe_Nome,0),7),"")="X")))</f>
        <v/>
      </c>
      <c r="L21">
        <f>IF(L3=0,"",IF('Mapa do Dia'!$C11="",0,--(IFERROR(INDEX(Equipe_X,MATCH('Mapa do Dia'!$C11,Equipe_Nome,0),8),"")="X"))+IF('Mapa do Dia'!$D11="",0,--(IFERROR(INDEX(Equipe_X,MATCH('Mapa do Dia'!$D11,Equipe_Nome,0),8),"")="X")))</f>
        <v/>
      </c>
      <c r="M21">
        <f>IF(M3=0,"",IF('Mapa do Dia'!$C11="",0,--(IFERROR(INDEX(Equipe_X,MATCH('Mapa do Dia'!$C11,Equipe_Nome,0),9),"")="X"))+IF('Mapa do Dia'!$D11="",0,--(IFERROR(INDEX(Equipe_X,MATCH('Mapa do Dia'!$D11,Equipe_Nome,0),9),"")="X")))</f>
        <v/>
      </c>
      <c r="N21">
        <f>IF(N3=0,"",IF('Mapa do Dia'!$C11="",0,--(IFERROR(INDEX(Equipe_X,MATCH('Mapa do Dia'!$C11,Equipe_Nome,0),10),"")="X"))+IF('Mapa do Dia'!$D11="",0,--(IFERROR(INDEX(Equipe_X,MATCH('Mapa do Dia'!$D11,Equipe_Nome,0),10),"")="X")))</f>
        <v/>
      </c>
      <c r="O21">
        <f>IF(O3=0,"",IF('Mapa do Dia'!$C11="",0,--(IFERROR(INDEX(Equipe_X,MATCH('Mapa do Dia'!$C11,Equipe_Nome,0),11),"")="X"))+IF('Mapa do Dia'!$D11="",0,--(IFERROR(INDEX(Equipe_X,MATCH('Mapa do Dia'!$D11,Equipe_Nome,0),11),"")="X")))</f>
        <v/>
      </c>
      <c r="P21">
        <f>IF(P3=0,"",IF('Mapa do Dia'!$C11="",0,--(IFERROR(INDEX(Equipe_X,MATCH('Mapa do Dia'!$C11,Equipe_Nome,0),12),"")="X"))+IF('Mapa do Dia'!$D11="",0,--(IFERROR(INDEX(Equipe_X,MATCH('Mapa do Dia'!$D11,Equipe_Nome,0),12),"")="X")))</f>
        <v/>
      </c>
      <c r="Q21">
        <f>IF(Q3=0,"",IF('Mapa do Dia'!$C11="",0,--(IFERROR(INDEX(Equipe_X,MATCH('Mapa do Dia'!$C11,Equipe_Nome,0),13),"")="X"))+IF('Mapa do Dia'!$D11="",0,--(IFERROR(INDEX(Equipe_X,MATCH('Mapa do Dia'!$D11,Equipe_Nome,0),13),"")="X")))</f>
        <v/>
      </c>
      <c r="R21">
        <f>IF(R3=0,"",IF('Mapa do Dia'!$C11="",0,--(IFERROR(INDEX(Equipe_X,MATCH('Mapa do Dia'!$C11,Equipe_Nome,0),14),"")="X"))+IF('Mapa do Dia'!$D11="",0,--(IFERROR(INDEX(Equipe_X,MATCH('Mapa do Dia'!$D11,Equipe_Nome,0),14),"")="X")))</f>
        <v/>
      </c>
      <c r="S21">
        <f>IF(S3=0,"",IF('Mapa do Dia'!$C11="",0,--(IFERROR(INDEX(Equipe_X,MATCH('Mapa do Dia'!$C11,Equipe_Nome,0),15),"")="X"))+IF('Mapa do Dia'!$D11="",0,--(IFERROR(INDEX(Equipe_X,MATCH('Mapa do Dia'!$D11,Equipe_Nome,0),15),"")="X")))</f>
        <v/>
      </c>
      <c r="T21">
        <f>IF(T3=0,"",IF('Mapa do Dia'!$C11="",0,--(IFERROR(INDEX(Equipe_X,MATCH('Mapa do Dia'!$C11,Equipe_Nome,0),16),"")="X"))+IF('Mapa do Dia'!$D11="",0,--(IFERROR(INDEX(Equipe_X,MATCH('Mapa do Dia'!$D11,Equipe_Nome,0),16),"")="X")))</f>
        <v/>
      </c>
      <c r="U21">
        <f>IF(U3=0,"",IF('Mapa do Dia'!$C11="",0,--(IFERROR(INDEX(Equipe_X,MATCH('Mapa do Dia'!$C11,Equipe_Nome,0),17),"")="X"))+IF('Mapa do Dia'!$D11="",0,--(IFERROR(INDEX(Equipe_X,MATCH('Mapa do Dia'!$D11,Equipe_Nome,0),17),"")="X")))</f>
        <v/>
      </c>
      <c r="V21">
        <f>IF(V3=0,"",IF('Mapa do Dia'!$C11="",0,--(IFERROR(INDEX(Equipe_X,MATCH('Mapa do Dia'!$C11,Equipe_Nome,0),18),"")="X"))+IF('Mapa do Dia'!$D11="",0,--(IFERROR(INDEX(Equipe_X,MATCH('Mapa do Dia'!$D11,Equipe_Nome,0),18),"")="X")))</f>
        <v/>
      </c>
      <c r="W21">
        <f>IF(W3=0,"",IF('Mapa do Dia'!$C11="",0,--(IFERROR(INDEX(Equipe_X,MATCH('Mapa do Dia'!$C11,Equipe_Nome,0),19),"")="X"))+IF('Mapa do Dia'!$D11="",0,--(IFERROR(INDEX(Equipe_X,MATCH('Mapa do Dia'!$D11,Equipe_Nome,0),19),"")="X")))</f>
        <v/>
      </c>
      <c r="X21">
        <f>IF(X3=0,"",IF('Mapa do Dia'!$C11="",0,--(IFERROR(INDEX(Equipe_X,MATCH('Mapa do Dia'!$C11,Equipe_Nome,0),20),"")="X"))+IF('Mapa do Dia'!$D11="",0,--(IFERROR(INDEX(Equipe_X,MATCH('Mapa do Dia'!$D11,Equipe_Nome,0),20),"")="X")))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Dia'!$C12="",0,--(IFERROR(INDEX(Equipe_X,MATCH('Mapa do Dia'!$C12,Equipe_Nome,0),1),"")="X"))+IF('Mapa do Dia'!$D12="",0,--(IFERROR(INDEX(Equipe_X,MATCH('Mapa do Dia'!$D12,Equipe_Nome,0),1),"")="X")))</f>
        <v/>
      </c>
      <c r="F22">
        <f>IF(F4=0,"",IF('Mapa do Dia'!$C12="",0,--(IFERROR(INDEX(Equipe_X,MATCH('Mapa do Dia'!$C12,Equipe_Nome,0),2),"")="X"))+IF('Mapa do Dia'!$D12="",0,--(IFERROR(INDEX(Equipe_X,MATCH('Mapa do Dia'!$D12,Equipe_Nome,0),2),"")="X")))</f>
        <v/>
      </c>
      <c r="G22">
        <f>IF(G4=0,"",IF('Mapa do Dia'!$C12="",0,--(IFERROR(INDEX(Equipe_X,MATCH('Mapa do Dia'!$C12,Equipe_Nome,0),3),"")="X"))+IF('Mapa do Dia'!$D12="",0,--(IFERROR(INDEX(Equipe_X,MATCH('Mapa do Dia'!$D12,Equipe_Nome,0),3),"")="X")))</f>
        <v/>
      </c>
      <c r="H22">
        <f>IF(H4=0,"",IF('Mapa do Dia'!$C12="",0,--(IFERROR(INDEX(Equipe_X,MATCH('Mapa do Dia'!$C12,Equipe_Nome,0),4),"")="X"))+IF('Mapa do Dia'!$D12="",0,--(IFERROR(INDEX(Equipe_X,MATCH('Mapa do Dia'!$D12,Equipe_Nome,0),4),"")="X")))</f>
        <v/>
      </c>
      <c r="I22">
        <f>IF(I4=0,"",IF('Mapa do Dia'!$C12="",0,--(IFERROR(INDEX(Equipe_X,MATCH('Mapa do Dia'!$C12,Equipe_Nome,0),5),"")="X"))+IF('Mapa do Dia'!$D12="",0,--(IFERROR(INDEX(Equipe_X,MATCH('Mapa do Dia'!$D12,Equipe_Nome,0),5),"")="X")))</f>
        <v/>
      </c>
      <c r="J22">
        <f>IF(J4=0,"",IF('Mapa do Dia'!$C12="",0,--(IFERROR(INDEX(Equipe_X,MATCH('Mapa do Dia'!$C12,Equipe_Nome,0),6),"")="X"))+IF('Mapa do Dia'!$D12="",0,--(IFERROR(INDEX(Equipe_X,MATCH('Mapa do Dia'!$D12,Equipe_Nome,0),6),"")="X")))</f>
        <v/>
      </c>
      <c r="K22">
        <f>IF(K4=0,"",IF('Mapa do Dia'!$C12="",0,--(IFERROR(INDEX(Equipe_X,MATCH('Mapa do Dia'!$C12,Equipe_Nome,0),7),"")="X"))+IF('Mapa do Dia'!$D12="",0,--(IFERROR(INDEX(Equipe_X,MATCH('Mapa do Dia'!$D12,Equipe_Nome,0),7),"")="X")))</f>
        <v/>
      </c>
      <c r="L22">
        <f>IF(L4=0,"",IF('Mapa do Dia'!$C12="",0,--(IFERROR(INDEX(Equipe_X,MATCH('Mapa do Dia'!$C12,Equipe_Nome,0),8),"")="X"))+IF('Mapa do Dia'!$D12="",0,--(IFERROR(INDEX(Equipe_X,MATCH('Mapa do Dia'!$D12,Equipe_Nome,0),8),"")="X")))</f>
        <v/>
      </c>
      <c r="M22">
        <f>IF(M4=0,"",IF('Mapa do Dia'!$C12="",0,--(IFERROR(INDEX(Equipe_X,MATCH('Mapa do Dia'!$C12,Equipe_Nome,0),9),"")="X"))+IF('Mapa do Dia'!$D12="",0,--(IFERROR(INDEX(Equipe_X,MATCH('Mapa do Dia'!$D12,Equipe_Nome,0),9),"")="X")))</f>
        <v/>
      </c>
      <c r="N22">
        <f>IF(N4=0,"",IF('Mapa do Dia'!$C12="",0,--(IFERROR(INDEX(Equipe_X,MATCH('Mapa do Dia'!$C12,Equipe_Nome,0),10),"")="X"))+IF('Mapa do Dia'!$D12="",0,--(IFERROR(INDEX(Equipe_X,MATCH('Mapa do Dia'!$D12,Equipe_Nome,0),10),"")="X")))</f>
        <v/>
      </c>
      <c r="O22">
        <f>IF(O4=0,"",IF('Mapa do Dia'!$C12="",0,--(IFERROR(INDEX(Equipe_X,MATCH('Mapa do Dia'!$C12,Equipe_Nome,0),11),"")="X"))+IF('Mapa do Dia'!$D12="",0,--(IFERROR(INDEX(Equipe_X,MATCH('Mapa do Dia'!$D12,Equipe_Nome,0),11),"")="X")))</f>
        <v/>
      </c>
      <c r="P22">
        <f>IF(P4=0,"",IF('Mapa do Dia'!$C12="",0,--(IFERROR(INDEX(Equipe_X,MATCH('Mapa do Dia'!$C12,Equipe_Nome,0),12),"")="X"))+IF('Mapa do Dia'!$D12="",0,--(IFERROR(INDEX(Equipe_X,MATCH('Mapa do Dia'!$D12,Equipe_Nome,0),12),"")="X")))</f>
        <v/>
      </c>
      <c r="Q22">
        <f>IF(Q4=0,"",IF('Mapa do Dia'!$C12="",0,--(IFERROR(INDEX(Equipe_X,MATCH('Mapa do Dia'!$C12,Equipe_Nome,0),13),"")="X"))+IF('Mapa do Dia'!$D12="",0,--(IFERROR(INDEX(Equipe_X,MATCH('Mapa do Dia'!$D12,Equipe_Nome,0),13),"")="X")))</f>
        <v/>
      </c>
      <c r="R22">
        <f>IF(R4=0,"",IF('Mapa do Dia'!$C12="",0,--(IFERROR(INDEX(Equipe_X,MATCH('Mapa do Dia'!$C12,Equipe_Nome,0),14),"")="X"))+IF('Mapa do Dia'!$D12="",0,--(IFERROR(INDEX(Equipe_X,MATCH('Mapa do Dia'!$D12,Equipe_Nome,0),14),"")="X")))</f>
        <v/>
      </c>
      <c r="S22">
        <f>IF(S4=0,"",IF('Mapa do Dia'!$C12="",0,--(IFERROR(INDEX(Equipe_X,MATCH('Mapa do Dia'!$C12,Equipe_Nome,0),15),"")="X"))+IF('Mapa do Dia'!$D12="",0,--(IFERROR(INDEX(Equipe_X,MATCH('Mapa do Dia'!$D12,Equipe_Nome,0),15),"")="X")))</f>
        <v/>
      </c>
      <c r="T22">
        <f>IF(T4=0,"",IF('Mapa do Dia'!$C12="",0,--(IFERROR(INDEX(Equipe_X,MATCH('Mapa do Dia'!$C12,Equipe_Nome,0),16),"")="X"))+IF('Mapa do Dia'!$D12="",0,--(IFERROR(INDEX(Equipe_X,MATCH('Mapa do Dia'!$D12,Equipe_Nome,0),16),"")="X")))</f>
        <v/>
      </c>
      <c r="U22">
        <f>IF(U4=0,"",IF('Mapa do Dia'!$C12="",0,--(IFERROR(INDEX(Equipe_X,MATCH('Mapa do Dia'!$C12,Equipe_Nome,0),17),"")="X"))+IF('Mapa do Dia'!$D12="",0,--(IFERROR(INDEX(Equipe_X,MATCH('Mapa do Dia'!$D12,Equipe_Nome,0),17),"")="X")))</f>
        <v/>
      </c>
      <c r="V22">
        <f>IF(V4=0,"",IF('Mapa do Dia'!$C12="",0,--(IFERROR(INDEX(Equipe_X,MATCH('Mapa do Dia'!$C12,Equipe_Nome,0),18),"")="X"))+IF('Mapa do Dia'!$D12="",0,--(IFERROR(INDEX(Equipe_X,MATCH('Mapa do Dia'!$D12,Equipe_Nome,0),18),"")="X")))</f>
        <v/>
      </c>
      <c r="W22">
        <f>IF(W4=0,"",IF('Mapa do Dia'!$C12="",0,--(IFERROR(INDEX(Equipe_X,MATCH('Mapa do Dia'!$C12,Equipe_Nome,0),19),"")="X"))+IF('Mapa do Dia'!$D12="",0,--(IFERROR(INDEX(Equipe_X,MATCH('Mapa do Dia'!$D12,Equipe_Nome,0),19),"")="X")))</f>
        <v/>
      </c>
      <c r="X22">
        <f>IF(X4=0,"",IF('Mapa do Dia'!$C12="",0,--(IFERROR(INDEX(Equipe_X,MATCH('Mapa do Dia'!$C12,Equipe_Nome,0),20),"")="X"))+IF('Mapa do Dia'!$D12="",0,--(IFERROR(INDEX(Equipe_X,MATCH('Mapa do Dia'!$D12,Equipe_Nome,0),20),"")="X")))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Dia'!$C13="",0,--(IFERROR(INDEX(Equipe_X,MATCH('Mapa do Dia'!$C13,Equipe_Nome,0),1),"")="X"))+IF('Mapa do Dia'!$D13="",0,--(IFERROR(INDEX(Equipe_X,MATCH('Mapa do Dia'!$D13,Equipe_Nome,0),1),"")="X")))</f>
        <v/>
      </c>
      <c r="F23">
        <f>IF(F5=0,"",IF('Mapa do Dia'!$C13="",0,--(IFERROR(INDEX(Equipe_X,MATCH('Mapa do Dia'!$C13,Equipe_Nome,0),2),"")="X"))+IF('Mapa do Dia'!$D13="",0,--(IFERROR(INDEX(Equipe_X,MATCH('Mapa do Dia'!$D13,Equipe_Nome,0),2),"")="X")))</f>
        <v/>
      </c>
      <c r="G23">
        <f>IF(G5=0,"",IF('Mapa do Dia'!$C13="",0,--(IFERROR(INDEX(Equipe_X,MATCH('Mapa do Dia'!$C13,Equipe_Nome,0),3),"")="X"))+IF('Mapa do Dia'!$D13="",0,--(IFERROR(INDEX(Equipe_X,MATCH('Mapa do Dia'!$D13,Equipe_Nome,0),3),"")="X")))</f>
        <v/>
      </c>
      <c r="H23">
        <f>IF(H5=0,"",IF('Mapa do Dia'!$C13="",0,--(IFERROR(INDEX(Equipe_X,MATCH('Mapa do Dia'!$C13,Equipe_Nome,0),4),"")="X"))+IF('Mapa do Dia'!$D13="",0,--(IFERROR(INDEX(Equipe_X,MATCH('Mapa do Dia'!$D13,Equipe_Nome,0),4),"")="X")))</f>
        <v/>
      </c>
      <c r="I23">
        <f>IF(I5=0,"",IF('Mapa do Dia'!$C13="",0,--(IFERROR(INDEX(Equipe_X,MATCH('Mapa do Dia'!$C13,Equipe_Nome,0),5),"")="X"))+IF('Mapa do Dia'!$D13="",0,--(IFERROR(INDEX(Equipe_X,MATCH('Mapa do Dia'!$D13,Equipe_Nome,0),5),"")="X")))</f>
        <v/>
      </c>
      <c r="J23">
        <f>IF(J5=0,"",IF('Mapa do Dia'!$C13="",0,--(IFERROR(INDEX(Equipe_X,MATCH('Mapa do Dia'!$C13,Equipe_Nome,0),6),"")="X"))+IF('Mapa do Dia'!$D13="",0,--(IFERROR(INDEX(Equipe_X,MATCH('Mapa do Dia'!$D13,Equipe_Nome,0),6),"")="X")))</f>
        <v/>
      </c>
      <c r="K23">
        <f>IF(K5=0,"",IF('Mapa do Dia'!$C13="",0,--(IFERROR(INDEX(Equipe_X,MATCH('Mapa do Dia'!$C13,Equipe_Nome,0),7),"")="X"))+IF('Mapa do Dia'!$D13="",0,--(IFERROR(INDEX(Equipe_X,MATCH('Mapa do Dia'!$D13,Equipe_Nome,0),7),"")="X")))</f>
        <v/>
      </c>
      <c r="L23">
        <f>IF(L5=0,"",IF('Mapa do Dia'!$C13="",0,--(IFERROR(INDEX(Equipe_X,MATCH('Mapa do Dia'!$C13,Equipe_Nome,0),8),"")="X"))+IF('Mapa do Dia'!$D13="",0,--(IFERROR(INDEX(Equipe_X,MATCH('Mapa do Dia'!$D13,Equipe_Nome,0),8),"")="X")))</f>
        <v/>
      </c>
      <c r="M23">
        <f>IF(M5=0,"",IF('Mapa do Dia'!$C13="",0,--(IFERROR(INDEX(Equipe_X,MATCH('Mapa do Dia'!$C13,Equipe_Nome,0),9),"")="X"))+IF('Mapa do Dia'!$D13="",0,--(IFERROR(INDEX(Equipe_X,MATCH('Mapa do Dia'!$D13,Equipe_Nome,0),9),"")="X")))</f>
        <v/>
      </c>
      <c r="N23">
        <f>IF(N5=0,"",IF('Mapa do Dia'!$C13="",0,--(IFERROR(INDEX(Equipe_X,MATCH('Mapa do Dia'!$C13,Equipe_Nome,0),10),"")="X"))+IF('Mapa do Dia'!$D13="",0,--(IFERROR(INDEX(Equipe_X,MATCH('Mapa do Dia'!$D13,Equipe_Nome,0),10),"")="X")))</f>
        <v/>
      </c>
      <c r="O23">
        <f>IF(O5=0,"",IF('Mapa do Dia'!$C13="",0,--(IFERROR(INDEX(Equipe_X,MATCH('Mapa do Dia'!$C13,Equipe_Nome,0),11),"")="X"))+IF('Mapa do Dia'!$D13="",0,--(IFERROR(INDEX(Equipe_X,MATCH('Mapa do Dia'!$D13,Equipe_Nome,0),11),"")="X")))</f>
        <v/>
      </c>
      <c r="P23">
        <f>IF(P5=0,"",IF('Mapa do Dia'!$C13="",0,--(IFERROR(INDEX(Equipe_X,MATCH('Mapa do Dia'!$C13,Equipe_Nome,0),12),"")="X"))+IF('Mapa do Dia'!$D13="",0,--(IFERROR(INDEX(Equipe_X,MATCH('Mapa do Dia'!$D13,Equipe_Nome,0),12),"")="X")))</f>
        <v/>
      </c>
      <c r="Q23">
        <f>IF(Q5=0,"",IF('Mapa do Dia'!$C13="",0,--(IFERROR(INDEX(Equipe_X,MATCH('Mapa do Dia'!$C13,Equipe_Nome,0),13),"")="X"))+IF('Mapa do Dia'!$D13="",0,--(IFERROR(INDEX(Equipe_X,MATCH('Mapa do Dia'!$D13,Equipe_Nome,0),13),"")="X")))</f>
        <v/>
      </c>
      <c r="R23">
        <f>IF(R5=0,"",IF('Mapa do Dia'!$C13="",0,--(IFERROR(INDEX(Equipe_X,MATCH('Mapa do Dia'!$C13,Equipe_Nome,0),14),"")="X"))+IF('Mapa do Dia'!$D13="",0,--(IFERROR(INDEX(Equipe_X,MATCH('Mapa do Dia'!$D13,Equipe_Nome,0),14),"")="X")))</f>
        <v/>
      </c>
      <c r="S23">
        <f>IF(S5=0,"",IF('Mapa do Dia'!$C13="",0,--(IFERROR(INDEX(Equipe_X,MATCH('Mapa do Dia'!$C13,Equipe_Nome,0),15),"")="X"))+IF('Mapa do Dia'!$D13="",0,--(IFERROR(INDEX(Equipe_X,MATCH('Mapa do Dia'!$D13,Equipe_Nome,0),15),"")="X")))</f>
        <v/>
      </c>
      <c r="T23">
        <f>IF(T5=0,"",IF('Mapa do Dia'!$C13="",0,--(IFERROR(INDEX(Equipe_X,MATCH('Mapa do Dia'!$C13,Equipe_Nome,0),16),"")="X"))+IF('Mapa do Dia'!$D13="",0,--(IFERROR(INDEX(Equipe_X,MATCH('Mapa do Dia'!$D13,Equipe_Nome,0),16),"")="X")))</f>
        <v/>
      </c>
      <c r="U23">
        <f>IF(U5=0,"",IF('Mapa do Dia'!$C13="",0,--(IFERROR(INDEX(Equipe_X,MATCH('Mapa do Dia'!$C13,Equipe_Nome,0),17),"")="X"))+IF('Mapa do Dia'!$D13="",0,--(IFERROR(INDEX(Equipe_X,MATCH('Mapa do Dia'!$D13,Equipe_Nome,0),17),"")="X")))</f>
        <v/>
      </c>
      <c r="V23">
        <f>IF(V5=0,"",IF('Mapa do Dia'!$C13="",0,--(IFERROR(INDEX(Equipe_X,MATCH('Mapa do Dia'!$C13,Equipe_Nome,0),18),"")="X"))+IF('Mapa do Dia'!$D13="",0,--(IFERROR(INDEX(Equipe_X,MATCH('Mapa do Dia'!$D13,Equipe_Nome,0),18),"")="X")))</f>
        <v/>
      </c>
      <c r="W23">
        <f>IF(W5=0,"",IF('Mapa do Dia'!$C13="",0,--(IFERROR(INDEX(Equipe_X,MATCH('Mapa do Dia'!$C13,Equipe_Nome,0),19),"")="X"))+IF('Mapa do Dia'!$D13="",0,--(IFERROR(INDEX(Equipe_X,MATCH('Mapa do Dia'!$D13,Equipe_Nome,0),19),"")="X")))</f>
        <v/>
      </c>
      <c r="X23">
        <f>IF(X5=0,"",IF('Mapa do Dia'!$C13="",0,--(IFERROR(INDEX(Equipe_X,MATCH('Mapa do Dia'!$C13,Equipe_Nome,0),20),"")="X"))+IF('Mapa do Dia'!$D13="",0,--(IFERROR(INDEX(Equipe_X,MATCH('Mapa do Dia'!$D13,Equipe_Nome,0),20),"")="X")))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Dia'!$C14="",0,--(IFERROR(INDEX(Equipe_X,MATCH('Mapa do Dia'!$C14,Equipe_Nome,0),1),"")="X"))+IF('Mapa do Dia'!$D14="",0,--(IFERROR(INDEX(Equipe_X,MATCH('Mapa do Dia'!$D14,Equipe_Nome,0),1),"")="X")))</f>
        <v/>
      </c>
      <c r="F24">
        <f>IF(F6=0,"",IF('Mapa do Dia'!$C14="",0,--(IFERROR(INDEX(Equipe_X,MATCH('Mapa do Dia'!$C14,Equipe_Nome,0),2),"")="X"))+IF('Mapa do Dia'!$D14="",0,--(IFERROR(INDEX(Equipe_X,MATCH('Mapa do Dia'!$D14,Equipe_Nome,0),2),"")="X")))</f>
        <v/>
      </c>
      <c r="G24">
        <f>IF(G6=0,"",IF('Mapa do Dia'!$C14="",0,--(IFERROR(INDEX(Equipe_X,MATCH('Mapa do Dia'!$C14,Equipe_Nome,0),3),"")="X"))+IF('Mapa do Dia'!$D14="",0,--(IFERROR(INDEX(Equipe_X,MATCH('Mapa do Dia'!$D14,Equipe_Nome,0),3),"")="X")))</f>
        <v/>
      </c>
      <c r="H24">
        <f>IF(H6=0,"",IF('Mapa do Dia'!$C14="",0,--(IFERROR(INDEX(Equipe_X,MATCH('Mapa do Dia'!$C14,Equipe_Nome,0),4),"")="X"))+IF('Mapa do Dia'!$D14="",0,--(IFERROR(INDEX(Equipe_X,MATCH('Mapa do Dia'!$D14,Equipe_Nome,0),4),"")="X")))</f>
        <v/>
      </c>
      <c r="I24">
        <f>IF(I6=0,"",IF('Mapa do Dia'!$C14="",0,--(IFERROR(INDEX(Equipe_X,MATCH('Mapa do Dia'!$C14,Equipe_Nome,0),5),"")="X"))+IF('Mapa do Dia'!$D14="",0,--(IFERROR(INDEX(Equipe_X,MATCH('Mapa do Dia'!$D14,Equipe_Nome,0),5),"")="X")))</f>
        <v/>
      </c>
      <c r="J24">
        <f>IF(J6=0,"",IF('Mapa do Dia'!$C14="",0,--(IFERROR(INDEX(Equipe_X,MATCH('Mapa do Dia'!$C14,Equipe_Nome,0),6),"")="X"))+IF('Mapa do Dia'!$D14="",0,--(IFERROR(INDEX(Equipe_X,MATCH('Mapa do Dia'!$D14,Equipe_Nome,0),6),"")="X")))</f>
        <v/>
      </c>
      <c r="K24">
        <f>IF(K6=0,"",IF('Mapa do Dia'!$C14="",0,--(IFERROR(INDEX(Equipe_X,MATCH('Mapa do Dia'!$C14,Equipe_Nome,0),7),"")="X"))+IF('Mapa do Dia'!$D14="",0,--(IFERROR(INDEX(Equipe_X,MATCH('Mapa do Dia'!$D14,Equipe_Nome,0),7),"")="X")))</f>
        <v/>
      </c>
      <c r="L24">
        <f>IF(L6=0,"",IF('Mapa do Dia'!$C14="",0,--(IFERROR(INDEX(Equipe_X,MATCH('Mapa do Dia'!$C14,Equipe_Nome,0),8),"")="X"))+IF('Mapa do Dia'!$D14="",0,--(IFERROR(INDEX(Equipe_X,MATCH('Mapa do Dia'!$D14,Equipe_Nome,0),8),"")="X")))</f>
        <v/>
      </c>
      <c r="M24">
        <f>IF(M6=0,"",IF('Mapa do Dia'!$C14="",0,--(IFERROR(INDEX(Equipe_X,MATCH('Mapa do Dia'!$C14,Equipe_Nome,0),9),"")="X"))+IF('Mapa do Dia'!$D14="",0,--(IFERROR(INDEX(Equipe_X,MATCH('Mapa do Dia'!$D14,Equipe_Nome,0),9),"")="X")))</f>
        <v/>
      </c>
      <c r="N24">
        <f>IF(N6=0,"",IF('Mapa do Dia'!$C14="",0,--(IFERROR(INDEX(Equipe_X,MATCH('Mapa do Dia'!$C14,Equipe_Nome,0),10),"")="X"))+IF('Mapa do Dia'!$D14="",0,--(IFERROR(INDEX(Equipe_X,MATCH('Mapa do Dia'!$D14,Equipe_Nome,0),10),"")="X")))</f>
        <v/>
      </c>
      <c r="O24">
        <f>IF(O6=0,"",IF('Mapa do Dia'!$C14="",0,--(IFERROR(INDEX(Equipe_X,MATCH('Mapa do Dia'!$C14,Equipe_Nome,0),11),"")="X"))+IF('Mapa do Dia'!$D14="",0,--(IFERROR(INDEX(Equipe_X,MATCH('Mapa do Dia'!$D14,Equipe_Nome,0),11),"")="X")))</f>
        <v/>
      </c>
      <c r="P24">
        <f>IF(P6=0,"",IF('Mapa do Dia'!$C14="",0,--(IFERROR(INDEX(Equipe_X,MATCH('Mapa do Dia'!$C14,Equipe_Nome,0),12),"")="X"))+IF('Mapa do Dia'!$D14="",0,--(IFERROR(INDEX(Equipe_X,MATCH('Mapa do Dia'!$D14,Equipe_Nome,0),12),"")="X")))</f>
        <v/>
      </c>
      <c r="Q24">
        <f>IF(Q6=0,"",IF('Mapa do Dia'!$C14="",0,--(IFERROR(INDEX(Equipe_X,MATCH('Mapa do Dia'!$C14,Equipe_Nome,0),13),"")="X"))+IF('Mapa do Dia'!$D14="",0,--(IFERROR(INDEX(Equipe_X,MATCH('Mapa do Dia'!$D14,Equipe_Nome,0),13),"")="X")))</f>
        <v/>
      </c>
      <c r="R24">
        <f>IF(R6=0,"",IF('Mapa do Dia'!$C14="",0,--(IFERROR(INDEX(Equipe_X,MATCH('Mapa do Dia'!$C14,Equipe_Nome,0),14),"")="X"))+IF('Mapa do Dia'!$D14="",0,--(IFERROR(INDEX(Equipe_X,MATCH('Mapa do Dia'!$D14,Equipe_Nome,0),14),"")="X")))</f>
        <v/>
      </c>
      <c r="S24">
        <f>IF(S6=0,"",IF('Mapa do Dia'!$C14="",0,--(IFERROR(INDEX(Equipe_X,MATCH('Mapa do Dia'!$C14,Equipe_Nome,0),15),"")="X"))+IF('Mapa do Dia'!$D14="",0,--(IFERROR(INDEX(Equipe_X,MATCH('Mapa do Dia'!$D14,Equipe_Nome,0),15),"")="X")))</f>
        <v/>
      </c>
      <c r="T24">
        <f>IF(T6=0,"",IF('Mapa do Dia'!$C14="",0,--(IFERROR(INDEX(Equipe_X,MATCH('Mapa do Dia'!$C14,Equipe_Nome,0),16),"")="X"))+IF('Mapa do Dia'!$D14="",0,--(IFERROR(INDEX(Equipe_X,MATCH('Mapa do Dia'!$D14,Equipe_Nome,0),16),"")="X")))</f>
        <v/>
      </c>
      <c r="U24">
        <f>IF(U6=0,"",IF('Mapa do Dia'!$C14="",0,--(IFERROR(INDEX(Equipe_X,MATCH('Mapa do Dia'!$C14,Equipe_Nome,0),17),"")="X"))+IF('Mapa do Dia'!$D14="",0,--(IFERROR(INDEX(Equipe_X,MATCH('Mapa do Dia'!$D14,Equipe_Nome,0),17),"")="X")))</f>
        <v/>
      </c>
      <c r="V24">
        <f>IF(V6=0,"",IF('Mapa do Dia'!$C14="",0,--(IFERROR(INDEX(Equipe_X,MATCH('Mapa do Dia'!$C14,Equipe_Nome,0),18),"")="X"))+IF('Mapa do Dia'!$D14="",0,--(IFERROR(INDEX(Equipe_X,MATCH('Mapa do Dia'!$D14,Equipe_Nome,0),18),"")="X")))</f>
        <v/>
      </c>
      <c r="W24">
        <f>IF(W6=0,"",IF('Mapa do Dia'!$C14="",0,--(IFERROR(INDEX(Equipe_X,MATCH('Mapa do Dia'!$C14,Equipe_Nome,0),19),"")="X"))+IF('Mapa do Dia'!$D14="",0,--(IFERROR(INDEX(Equipe_X,MATCH('Mapa do Dia'!$D14,Equipe_Nome,0),19),"")="X")))</f>
        <v/>
      </c>
      <c r="X24">
        <f>IF(X6=0,"",IF('Mapa do Dia'!$C14="",0,--(IFERROR(INDEX(Equipe_X,MATCH('Mapa do Dia'!$C14,Equipe_Nome,0),20),"")="X"))+IF('Mapa do Dia'!$D14="",0,--(IFERROR(INDEX(Equipe_X,MATCH('Mapa do Dia'!$D14,Equipe_Nome,0),20),"")="X")))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Dia'!$C15="",0,--(IFERROR(INDEX(Equipe_X,MATCH('Mapa do Dia'!$C15,Equipe_Nome,0),1),"")="X"))+IF('Mapa do Dia'!$D15="",0,--(IFERROR(INDEX(Equipe_X,MATCH('Mapa do Dia'!$D15,Equipe_Nome,0),1),"")="X")))</f>
        <v/>
      </c>
      <c r="F25">
        <f>IF(F7=0,"",IF('Mapa do Dia'!$C15="",0,--(IFERROR(INDEX(Equipe_X,MATCH('Mapa do Dia'!$C15,Equipe_Nome,0),2),"")="X"))+IF('Mapa do Dia'!$D15="",0,--(IFERROR(INDEX(Equipe_X,MATCH('Mapa do Dia'!$D15,Equipe_Nome,0),2),"")="X")))</f>
        <v/>
      </c>
      <c r="G25">
        <f>IF(G7=0,"",IF('Mapa do Dia'!$C15="",0,--(IFERROR(INDEX(Equipe_X,MATCH('Mapa do Dia'!$C15,Equipe_Nome,0),3),"")="X"))+IF('Mapa do Dia'!$D15="",0,--(IFERROR(INDEX(Equipe_X,MATCH('Mapa do Dia'!$D15,Equipe_Nome,0),3),"")="X")))</f>
        <v/>
      </c>
      <c r="H25">
        <f>IF(H7=0,"",IF('Mapa do Dia'!$C15="",0,--(IFERROR(INDEX(Equipe_X,MATCH('Mapa do Dia'!$C15,Equipe_Nome,0),4),"")="X"))+IF('Mapa do Dia'!$D15="",0,--(IFERROR(INDEX(Equipe_X,MATCH('Mapa do Dia'!$D15,Equipe_Nome,0),4),"")="X")))</f>
        <v/>
      </c>
      <c r="I25">
        <f>IF(I7=0,"",IF('Mapa do Dia'!$C15="",0,--(IFERROR(INDEX(Equipe_X,MATCH('Mapa do Dia'!$C15,Equipe_Nome,0),5),"")="X"))+IF('Mapa do Dia'!$D15="",0,--(IFERROR(INDEX(Equipe_X,MATCH('Mapa do Dia'!$D15,Equipe_Nome,0),5),"")="X")))</f>
        <v/>
      </c>
      <c r="J25">
        <f>IF(J7=0,"",IF('Mapa do Dia'!$C15="",0,--(IFERROR(INDEX(Equipe_X,MATCH('Mapa do Dia'!$C15,Equipe_Nome,0),6),"")="X"))+IF('Mapa do Dia'!$D15="",0,--(IFERROR(INDEX(Equipe_X,MATCH('Mapa do Dia'!$D15,Equipe_Nome,0),6),"")="X")))</f>
        <v/>
      </c>
      <c r="K25">
        <f>IF(K7=0,"",IF('Mapa do Dia'!$C15="",0,--(IFERROR(INDEX(Equipe_X,MATCH('Mapa do Dia'!$C15,Equipe_Nome,0),7),"")="X"))+IF('Mapa do Dia'!$D15="",0,--(IFERROR(INDEX(Equipe_X,MATCH('Mapa do Dia'!$D15,Equipe_Nome,0),7),"")="X")))</f>
        <v/>
      </c>
      <c r="L25">
        <f>IF(L7=0,"",IF('Mapa do Dia'!$C15="",0,--(IFERROR(INDEX(Equipe_X,MATCH('Mapa do Dia'!$C15,Equipe_Nome,0),8),"")="X"))+IF('Mapa do Dia'!$D15="",0,--(IFERROR(INDEX(Equipe_X,MATCH('Mapa do Dia'!$D15,Equipe_Nome,0),8),"")="X")))</f>
        <v/>
      </c>
      <c r="M25">
        <f>IF(M7=0,"",IF('Mapa do Dia'!$C15="",0,--(IFERROR(INDEX(Equipe_X,MATCH('Mapa do Dia'!$C15,Equipe_Nome,0),9),"")="X"))+IF('Mapa do Dia'!$D15="",0,--(IFERROR(INDEX(Equipe_X,MATCH('Mapa do Dia'!$D15,Equipe_Nome,0),9),"")="X")))</f>
        <v/>
      </c>
      <c r="N25">
        <f>IF(N7=0,"",IF('Mapa do Dia'!$C15="",0,--(IFERROR(INDEX(Equipe_X,MATCH('Mapa do Dia'!$C15,Equipe_Nome,0),10),"")="X"))+IF('Mapa do Dia'!$D15="",0,--(IFERROR(INDEX(Equipe_X,MATCH('Mapa do Dia'!$D15,Equipe_Nome,0),10),"")="X")))</f>
        <v/>
      </c>
      <c r="O25">
        <f>IF(O7=0,"",IF('Mapa do Dia'!$C15="",0,--(IFERROR(INDEX(Equipe_X,MATCH('Mapa do Dia'!$C15,Equipe_Nome,0),11),"")="X"))+IF('Mapa do Dia'!$D15="",0,--(IFERROR(INDEX(Equipe_X,MATCH('Mapa do Dia'!$D15,Equipe_Nome,0),11),"")="X")))</f>
        <v/>
      </c>
      <c r="P25">
        <f>IF(P7=0,"",IF('Mapa do Dia'!$C15="",0,--(IFERROR(INDEX(Equipe_X,MATCH('Mapa do Dia'!$C15,Equipe_Nome,0),12),"")="X"))+IF('Mapa do Dia'!$D15="",0,--(IFERROR(INDEX(Equipe_X,MATCH('Mapa do Dia'!$D15,Equipe_Nome,0),12),"")="X")))</f>
        <v/>
      </c>
      <c r="Q25">
        <f>IF(Q7=0,"",IF('Mapa do Dia'!$C15="",0,--(IFERROR(INDEX(Equipe_X,MATCH('Mapa do Dia'!$C15,Equipe_Nome,0),13),"")="X"))+IF('Mapa do Dia'!$D15="",0,--(IFERROR(INDEX(Equipe_X,MATCH('Mapa do Dia'!$D15,Equipe_Nome,0),13),"")="X")))</f>
        <v/>
      </c>
      <c r="R25">
        <f>IF(R7=0,"",IF('Mapa do Dia'!$C15="",0,--(IFERROR(INDEX(Equipe_X,MATCH('Mapa do Dia'!$C15,Equipe_Nome,0),14),"")="X"))+IF('Mapa do Dia'!$D15="",0,--(IFERROR(INDEX(Equipe_X,MATCH('Mapa do Dia'!$D15,Equipe_Nome,0),14),"")="X")))</f>
        <v/>
      </c>
      <c r="S25">
        <f>IF(S7=0,"",IF('Mapa do Dia'!$C15="",0,--(IFERROR(INDEX(Equipe_X,MATCH('Mapa do Dia'!$C15,Equipe_Nome,0),15),"")="X"))+IF('Mapa do Dia'!$D15="",0,--(IFERROR(INDEX(Equipe_X,MATCH('Mapa do Dia'!$D15,Equipe_Nome,0),15),"")="X")))</f>
        <v/>
      </c>
      <c r="T25">
        <f>IF(T7=0,"",IF('Mapa do Dia'!$C15="",0,--(IFERROR(INDEX(Equipe_X,MATCH('Mapa do Dia'!$C15,Equipe_Nome,0),16),"")="X"))+IF('Mapa do Dia'!$D15="",0,--(IFERROR(INDEX(Equipe_X,MATCH('Mapa do Dia'!$D15,Equipe_Nome,0),16),"")="X")))</f>
        <v/>
      </c>
      <c r="U25">
        <f>IF(U7=0,"",IF('Mapa do Dia'!$C15="",0,--(IFERROR(INDEX(Equipe_X,MATCH('Mapa do Dia'!$C15,Equipe_Nome,0),17),"")="X"))+IF('Mapa do Dia'!$D15="",0,--(IFERROR(INDEX(Equipe_X,MATCH('Mapa do Dia'!$D15,Equipe_Nome,0),17),"")="X")))</f>
        <v/>
      </c>
      <c r="V25">
        <f>IF(V7=0,"",IF('Mapa do Dia'!$C15="",0,--(IFERROR(INDEX(Equipe_X,MATCH('Mapa do Dia'!$C15,Equipe_Nome,0),18),"")="X"))+IF('Mapa do Dia'!$D15="",0,--(IFERROR(INDEX(Equipe_X,MATCH('Mapa do Dia'!$D15,Equipe_Nome,0),18),"")="X")))</f>
        <v/>
      </c>
      <c r="W25">
        <f>IF(W7=0,"",IF('Mapa do Dia'!$C15="",0,--(IFERROR(INDEX(Equipe_X,MATCH('Mapa do Dia'!$C15,Equipe_Nome,0),19),"")="X"))+IF('Mapa do Dia'!$D15="",0,--(IFERROR(INDEX(Equipe_X,MATCH('Mapa do Dia'!$D15,Equipe_Nome,0),19),"")="X")))</f>
        <v/>
      </c>
      <c r="X25">
        <f>IF(X7=0,"",IF('Mapa do Dia'!$C15="",0,--(IFERROR(INDEX(Equipe_X,MATCH('Mapa do Dia'!$C15,Equipe_Nome,0),20),"")="X"))+IF('Mapa do Dia'!$D15="",0,--(IFERROR(INDEX(Equipe_X,MATCH('Mapa do Dia'!$D15,Equipe_Nome,0),20),"")="X")))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Dia'!$C16="",0,--(IFERROR(INDEX(Equipe_X,MATCH('Mapa do Dia'!$C16,Equipe_Nome,0),1),"")="X"))+IF('Mapa do Dia'!$D16="",0,--(IFERROR(INDEX(Equipe_X,MATCH('Mapa do Dia'!$D16,Equipe_Nome,0),1),"")="X")))</f>
        <v/>
      </c>
      <c r="F26">
        <f>IF(F8=0,"",IF('Mapa do Dia'!$C16="",0,--(IFERROR(INDEX(Equipe_X,MATCH('Mapa do Dia'!$C16,Equipe_Nome,0),2),"")="X"))+IF('Mapa do Dia'!$D16="",0,--(IFERROR(INDEX(Equipe_X,MATCH('Mapa do Dia'!$D16,Equipe_Nome,0),2),"")="X")))</f>
        <v/>
      </c>
      <c r="G26">
        <f>IF(G8=0,"",IF('Mapa do Dia'!$C16="",0,--(IFERROR(INDEX(Equipe_X,MATCH('Mapa do Dia'!$C16,Equipe_Nome,0),3),"")="X"))+IF('Mapa do Dia'!$D16="",0,--(IFERROR(INDEX(Equipe_X,MATCH('Mapa do Dia'!$D16,Equipe_Nome,0),3),"")="X")))</f>
        <v/>
      </c>
      <c r="H26">
        <f>IF(H8=0,"",IF('Mapa do Dia'!$C16="",0,--(IFERROR(INDEX(Equipe_X,MATCH('Mapa do Dia'!$C16,Equipe_Nome,0),4),"")="X"))+IF('Mapa do Dia'!$D16="",0,--(IFERROR(INDEX(Equipe_X,MATCH('Mapa do Dia'!$D16,Equipe_Nome,0),4),"")="X")))</f>
        <v/>
      </c>
      <c r="I26">
        <f>IF(I8=0,"",IF('Mapa do Dia'!$C16="",0,--(IFERROR(INDEX(Equipe_X,MATCH('Mapa do Dia'!$C16,Equipe_Nome,0),5),"")="X"))+IF('Mapa do Dia'!$D16="",0,--(IFERROR(INDEX(Equipe_X,MATCH('Mapa do Dia'!$D16,Equipe_Nome,0),5),"")="X")))</f>
        <v/>
      </c>
      <c r="J26">
        <f>IF(J8=0,"",IF('Mapa do Dia'!$C16="",0,--(IFERROR(INDEX(Equipe_X,MATCH('Mapa do Dia'!$C16,Equipe_Nome,0),6),"")="X"))+IF('Mapa do Dia'!$D16="",0,--(IFERROR(INDEX(Equipe_X,MATCH('Mapa do Dia'!$D16,Equipe_Nome,0),6),"")="X")))</f>
        <v/>
      </c>
      <c r="K26">
        <f>IF(K8=0,"",IF('Mapa do Dia'!$C16="",0,--(IFERROR(INDEX(Equipe_X,MATCH('Mapa do Dia'!$C16,Equipe_Nome,0),7),"")="X"))+IF('Mapa do Dia'!$D16="",0,--(IFERROR(INDEX(Equipe_X,MATCH('Mapa do Dia'!$D16,Equipe_Nome,0),7),"")="X")))</f>
        <v/>
      </c>
      <c r="L26">
        <f>IF(L8=0,"",IF('Mapa do Dia'!$C16="",0,--(IFERROR(INDEX(Equipe_X,MATCH('Mapa do Dia'!$C16,Equipe_Nome,0),8),"")="X"))+IF('Mapa do Dia'!$D16="",0,--(IFERROR(INDEX(Equipe_X,MATCH('Mapa do Dia'!$D16,Equipe_Nome,0),8),"")="X")))</f>
        <v/>
      </c>
      <c r="M26">
        <f>IF(M8=0,"",IF('Mapa do Dia'!$C16="",0,--(IFERROR(INDEX(Equipe_X,MATCH('Mapa do Dia'!$C16,Equipe_Nome,0),9),"")="X"))+IF('Mapa do Dia'!$D16="",0,--(IFERROR(INDEX(Equipe_X,MATCH('Mapa do Dia'!$D16,Equipe_Nome,0),9),"")="X")))</f>
        <v/>
      </c>
      <c r="N26">
        <f>IF(N8=0,"",IF('Mapa do Dia'!$C16="",0,--(IFERROR(INDEX(Equipe_X,MATCH('Mapa do Dia'!$C16,Equipe_Nome,0),10),"")="X"))+IF('Mapa do Dia'!$D16="",0,--(IFERROR(INDEX(Equipe_X,MATCH('Mapa do Dia'!$D16,Equipe_Nome,0),10),"")="X")))</f>
        <v/>
      </c>
      <c r="O26">
        <f>IF(O8=0,"",IF('Mapa do Dia'!$C16="",0,--(IFERROR(INDEX(Equipe_X,MATCH('Mapa do Dia'!$C16,Equipe_Nome,0),11),"")="X"))+IF('Mapa do Dia'!$D16="",0,--(IFERROR(INDEX(Equipe_X,MATCH('Mapa do Dia'!$D16,Equipe_Nome,0),11),"")="X")))</f>
        <v/>
      </c>
      <c r="P26">
        <f>IF(P8=0,"",IF('Mapa do Dia'!$C16="",0,--(IFERROR(INDEX(Equipe_X,MATCH('Mapa do Dia'!$C16,Equipe_Nome,0),12),"")="X"))+IF('Mapa do Dia'!$D16="",0,--(IFERROR(INDEX(Equipe_X,MATCH('Mapa do Dia'!$D16,Equipe_Nome,0),12),"")="X")))</f>
        <v/>
      </c>
      <c r="Q26">
        <f>IF(Q8=0,"",IF('Mapa do Dia'!$C16="",0,--(IFERROR(INDEX(Equipe_X,MATCH('Mapa do Dia'!$C16,Equipe_Nome,0),13),"")="X"))+IF('Mapa do Dia'!$D16="",0,--(IFERROR(INDEX(Equipe_X,MATCH('Mapa do Dia'!$D16,Equipe_Nome,0),13),"")="X")))</f>
        <v/>
      </c>
      <c r="R26">
        <f>IF(R8=0,"",IF('Mapa do Dia'!$C16="",0,--(IFERROR(INDEX(Equipe_X,MATCH('Mapa do Dia'!$C16,Equipe_Nome,0),14),"")="X"))+IF('Mapa do Dia'!$D16="",0,--(IFERROR(INDEX(Equipe_X,MATCH('Mapa do Dia'!$D16,Equipe_Nome,0),14),"")="X")))</f>
        <v/>
      </c>
      <c r="S26">
        <f>IF(S8=0,"",IF('Mapa do Dia'!$C16="",0,--(IFERROR(INDEX(Equipe_X,MATCH('Mapa do Dia'!$C16,Equipe_Nome,0),15),"")="X"))+IF('Mapa do Dia'!$D16="",0,--(IFERROR(INDEX(Equipe_X,MATCH('Mapa do Dia'!$D16,Equipe_Nome,0),15),"")="X")))</f>
        <v/>
      </c>
      <c r="T26">
        <f>IF(T8=0,"",IF('Mapa do Dia'!$C16="",0,--(IFERROR(INDEX(Equipe_X,MATCH('Mapa do Dia'!$C16,Equipe_Nome,0),16),"")="X"))+IF('Mapa do Dia'!$D16="",0,--(IFERROR(INDEX(Equipe_X,MATCH('Mapa do Dia'!$D16,Equipe_Nome,0),16),"")="X")))</f>
        <v/>
      </c>
      <c r="U26">
        <f>IF(U8=0,"",IF('Mapa do Dia'!$C16="",0,--(IFERROR(INDEX(Equipe_X,MATCH('Mapa do Dia'!$C16,Equipe_Nome,0),17),"")="X"))+IF('Mapa do Dia'!$D16="",0,--(IFERROR(INDEX(Equipe_X,MATCH('Mapa do Dia'!$D16,Equipe_Nome,0),17),"")="X")))</f>
        <v/>
      </c>
      <c r="V26">
        <f>IF(V8=0,"",IF('Mapa do Dia'!$C16="",0,--(IFERROR(INDEX(Equipe_X,MATCH('Mapa do Dia'!$C16,Equipe_Nome,0),18),"")="X"))+IF('Mapa do Dia'!$D16="",0,--(IFERROR(INDEX(Equipe_X,MATCH('Mapa do Dia'!$D16,Equipe_Nome,0),18),"")="X")))</f>
        <v/>
      </c>
      <c r="W26">
        <f>IF(W8=0,"",IF('Mapa do Dia'!$C16="",0,--(IFERROR(INDEX(Equipe_X,MATCH('Mapa do Dia'!$C16,Equipe_Nome,0),19),"")="X"))+IF('Mapa do Dia'!$D16="",0,--(IFERROR(INDEX(Equipe_X,MATCH('Mapa do Dia'!$D16,Equipe_Nome,0),19),"")="X")))</f>
        <v/>
      </c>
      <c r="X26">
        <f>IF(X8=0,"",IF('Mapa do Dia'!$C16="",0,--(IFERROR(INDEX(Equipe_X,MATCH('Mapa do Dia'!$C16,Equipe_Nome,0),20),"")="X"))+IF('Mapa do Dia'!$D16="",0,--(IFERROR(INDEX(Equipe_X,MATCH('Mapa do Dia'!$D16,Equipe_Nome,0),20),"")="X")))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Dia'!$C17="",0,--(IFERROR(INDEX(Equipe_X,MATCH('Mapa do Dia'!$C17,Equipe_Nome,0),1),"")="X"))+IF('Mapa do Dia'!$D17="",0,--(IFERROR(INDEX(Equipe_X,MATCH('Mapa do Dia'!$D17,Equipe_Nome,0),1),"")="X")))</f>
        <v/>
      </c>
      <c r="F27">
        <f>IF(F9=0,"",IF('Mapa do Dia'!$C17="",0,--(IFERROR(INDEX(Equipe_X,MATCH('Mapa do Dia'!$C17,Equipe_Nome,0),2),"")="X"))+IF('Mapa do Dia'!$D17="",0,--(IFERROR(INDEX(Equipe_X,MATCH('Mapa do Dia'!$D17,Equipe_Nome,0),2),"")="X")))</f>
        <v/>
      </c>
      <c r="G27">
        <f>IF(G9=0,"",IF('Mapa do Dia'!$C17="",0,--(IFERROR(INDEX(Equipe_X,MATCH('Mapa do Dia'!$C17,Equipe_Nome,0),3),"")="X"))+IF('Mapa do Dia'!$D17="",0,--(IFERROR(INDEX(Equipe_X,MATCH('Mapa do Dia'!$D17,Equipe_Nome,0),3),"")="X")))</f>
        <v/>
      </c>
      <c r="H27">
        <f>IF(H9=0,"",IF('Mapa do Dia'!$C17="",0,--(IFERROR(INDEX(Equipe_X,MATCH('Mapa do Dia'!$C17,Equipe_Nome,0),4),"")="X"))+IF('Mapa do Dia'!$D17="",0,--(IFERROR(INDEX(Equipe_X,MATCH('Mapa do Dia'!$D17,Equipe_Nome,0),4),"")="X")))</f>
        <v/>
      </c>
      <c r="I27">
        <f>IF(I9=0,"",IF('Mapa do Dia'!$C17="",0,--(IFERROR(INDEX(Equipe_X,MATCH('Mapa do Dia'!$C17,Equipe_Nome,0),5),"")="X"))+IF('Mapa do Dia'!$D17="",0,--(IFERROR(INDEX(Equipe_X,MATCH('Mapa do Dia'!$D17,Equipe_Nome,0),5),"")="X")))</f>
        <v/>
      </c>
      <c r="J27">
        <f>IF(J9=0,"",IF('Mapa do Dia'!$C17="",0,--(IFERROR(INDEX(Equipe_X,MATCH('Mapa do Dia'!$C17,Equipe_Nome,0),6),"")="X"))+IF('Mapa do Dia'!$D17="",0,--(IFERROR(INDEX(Equipe_X,MATCH('Mapa do Dia'!$D17,Equipe_Nome,0),6),"")="X")))</f>
        <v/>
      </c>
      <c r="K27">
        <f>IF(K9=0,"",IF('Mapa do Dia'!$C17="",0,--(IFERROR(INDEX(Equipe_X,MATCH('Mapa do Dia'!$C17,Equipe_Nome,0),7),"")="X"))+IF('Mapa do Dia'!$D17="",0,--(IFERROR(INDEX(Equipe_X,MATCH('Mapa do Dia'!$D17,Equipe_Nome,0),7),"")="X")))</f>
        <v/>
      </c>
      <c r="L27">
        <f>IF(L9=0,"",IF('Mapa do Dia'!$C17="",0,--(IFERROR(INDEX(Equipe_X,MATCH('Mapa do Dia'!$C17,Equipe_Nome,0),8),"")="X"))+IF('Mapa do Dia'!$D17="",0,--(IFERROR(INDEX(Equipe_X,MATCH('Mapa do Dia'!$D17,Equipe_Nome,0),8),"")="X")))</f>
        <v/>
      </c>
      <c r="M27">
        <f>IF(M9=0,"",IF('Mapa do Dia'!$C17="",0,--(IFERROR(INDEX(Equipe_X,MATCH('Mapa do Dia'!$C17,Equipe_Nome,0),9),"")="X"))+IF('Mapa do Dia'!$D17="",0,--(IFERROR(INDEX(Equipe_X,MATCH('Mapa do Dia'!$D17,Equipe_Nome,0),9),"")="X")))</f>
        <v/>
      </c>
      <c r="N27">
        <f>IF(N9=0,"",IF('Mapa do Dia'!$C17="",0,--(IFERROR(INDEX(Equipe_X,MATCH('Mapa do Dia'!$C17,Equipe_Nome,0),10),"")="X"))+IF('Mapa do Dia'!$D17="",0,--(IFERROR(INDEX(Equipe_X,MATCH('Mapa do Dia'!$D17,Equipe_Nome,0),10),"")="X")))</f>
        <v/>
      </c>
      <c r="O27">
        <f>IF(O9=0,"",IF('Mapa do Dia'!$C17="",0,--(IFERROR(INDEX(Equipe_X,MATCH('Mapa do Dia'!$C17,Equipe_Nome,0),11),"")="X"))+IF('Mapa do Dia'!$D17="",0,--(IFERROR(INDEX(Equipe_X,MATCH('Mapa do Dia'!$D17,Equipe_Nome,0),11),"")="X")))</f>
        <v/>
      </c>
      <c r="P27">
        <f>IF(P9=0,"",IF('Mapa do Dia'!$C17="",0,--(IFERROR(INDEX(Equipe_X,MATCH('Mapa do Dia'!$C17,Equipe_Nome,0),12),"")="X"))+IF('Mapa do Dia'!$D17="",0,--(IFERROR(INDEX(Equipe_X,MATCH('Mapa do Dia'!$D17,Equipe_Nome,0),12),"")="X")))</f>
        <v/>
      </c>
      <c r="Q27">
        <f>IF(Q9=0,"",IF('Mapa do Dia'!$C17="",0,--(IFERROR(INDEX(Equipe_X,MATCH('Mapa do Dia'!$C17,Equipe_Nome,0),13),"")="X"))+IF('Mapa do Dia'!$D17="",0,--(IFERROR(INDEX(Equipe_X,MATCH('Mapa do Dia'!$D17,Equipe_Nome,0),13),"")="X")))</f>
        <v/>
      </c>
      <c r="R27">
        <f>IF(R9=0,"",IF('Mapa do Dia'!$C17="",0,--(IFERROR(INDEX(Equipe_X,MATCH('Mapa do Dia'!$C17,Equipe_Nome,0),14),"")="X"))+IF('Mapa do Dia'!$D17="",0,--(IFERROR(INDEX(Equipe_X,MATCH('Mapa do Dia'!$D17,Equipe_Nome,0),14),"")="X")))</f>
        <v/>
      </c>
      <c r="S27">
        <f>IF(S9=0,"",IF('Mapa do Dia'!$C17="",0,--(IFERROR(INDEX(Equipe_X,MATCH('Mapa do Dia'!$C17,Equipe_Nome,0),15),"")="X"))+IF('Mapa do Dia'!$D17="",0,--(IFERROR(INDEX(Equipe_X,MATCH('Mapa do Dia'!$D17,Equipe_Nome,0),15),"")="X")))</f>
        <v/>
      </c>
      <c r="T27">
        <f>IF(T9=0,"",IF('Mapa do Dia'!$C17="",0,--(IFERROR(INDEX(Equipe_X,MATCH('Mapa do Dia'!$C17,Equipe_Nome,0),16),"")="X"))+IF('Mapa do Dia'!$D17="",0,--(IFERROR(INDEX(Equipe_X,MATCH('Mapa do Dia'!$D17,Equipe_Nome,0),16),"")="X")))</f>
        <v/>
      </c>
      <c r="U27">
        <f>IF(U9=0,"",IF('Mapa do Dia'!$C17="",0,--(IFERROR(INDEX(Equipe_X,MATCH('Mapa do Dia'!$C17,Equipe_Nome,0),17),"")="X"))+IF('Mapa do Dia'!$D17="",0,--(IFERROR(INDEX(Equipe_X,MATCH('Mapa do Dia'!$D17,Equipe_Nome,0),17),"")="X")))</f>
        <v/>
      </c>
      <c r="V27">
        <f>IF(V9=0,"",IF('Mapa do Dia'!$C17="",0,--(IFERROR(INDEX(Equipe_X,MATCH('Mapa do Dia'!$C17,Equipe_Nome,0),18),"")="X"))+IF('Mapa do Dia'!$D17="",0,--(IFERROR(INDEX(Equipe_X,MATCH('Mapa do Dia'!$D17,Equipe_Nome,0),18),"")="X")))</f>
        <v/>
      </c>
      <c r="W27">
        <f>IF(W9=0,"",IF('Mapa do Dia'!$C17="",0,--(IFERROR(INDEX(Equipe_X,MATCH('Mapa do Dia'!$C17,Equipe_Nome,0),19),"")="X"))+IF('Mapa do Dia'!$D17="",0,--(IFERROR(INDEX(Equipe_X,MATCH('Mapa do Dia'!$D17,Equipe_Nome,0),19),"")="X")))</f>
        <v/>
      </c>
      <c r="X27">
        <f>IF(X9=0,"",IF('Mapa do Dia'!$C17="",0,--(IFERROR(INDEX(Equipe_X,MATCH('Mapa do Dia'!$C17,Equipe_Nome,0),20),"")="X"))+IF('Mapa do Dia'!$D17="",0,--(IFERROR(INDEX(Equipe_X,MATCH('Mapa do Dia'!$D17,Equipe_Nome,0),20),"")="X")))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Dia'!$C18="",0,--(IFERROR(INDEX(Equipe_X,MATCH('Mapa do Dia'!$C18,Equipe_Nome,0),1),"")="X"))+IF('Mapa do Dia'!$D18="",0,--(IFERROR(INDEX(Equipe_X,MATCH('Mapa do Dia'!$D18,Equipe_Nome,0),1),"")="X")))</f>
        <v/>
      </c>
      <c r="F28">
        <f>IF(F10=0,"",IF('Mapa do Dia'!$C18="",0,--(IFERROR(INDEX(Equipe_X,MATCH('Mapa do Dia'!$C18,Equipe_Nome,0),2),"")="X"))+IF('Mapa do Dia'!$D18="",0,--(IFERROR(INDEX(Equipe_X,MATCH('Mapa do Dia'!$D18,Equipe_Nome,0),2),"")="X")))</f>
        <v/>
      </c>
      <c r="G28">
        <f>IF(G10=0,"",IF('Mapa do Dia'!$C18="",0,--(IFERROR(INDEX(Equipe_X,MATCH('Mapa do Dia'!$C18,Equipe_Nome,0),3),"")="X"))+IF('Mapa do Dia'!$D18="",0,--(IFERROR(INDEX(Equipe_X,MATCH('Mapa do Dia'!$D18,Equipe_Nome,0),3),"")="X")))</f>
        <v/>
      </c>
      <c r="H28">
        <f>IF(H10=0,"",IF('Mapa do Dia'!$C18="",0,--(IFERROR(INDEX(Equipe_X,MATCH('Mapa do Dia'!$C18,Equipe_Nome,0),4),"")="X"))+IF('Mapa do Dia'!$D18="",0,--(IFERROR(INDEX(Equipe_X,MATCH('Mapa do Dia'!$D18,Equipe_Nome,0),4),"")="X")))</f>
        <v/>
      </c>
      <c r="I28">
        <f>IF(I10=0,"",IF('Mapa do Dia'!$C18="",0,--(IFERROR(INDEX(Equipe_X,MATCH('Mapa do Dia'!$C18,Equipe_Nome,0),5),"")="X"))+IF('Mapa do Dia'!$D18="",0,--(IFERROR(INDEX(Equipe_X,MATCH('Mapa do Dia'!$D18,Equipe_Nome,0),5),"")="X")))</f>
        <v/>
      </c>
      <c r="J28">
        <f>IF(J10=0,"",IF('Mapa do Dia'!$C18="",0,--(IFERROR(INDEX(Equipe_X,MATCH('Mapa do Dia'!$C18,Equipe_Nome,0),6),"")="X"))+IF('Mapa do Dia'!$D18="",0,--(IFERROR(INDEX(Equipe_X,MATCH('Mapa do Dia'!$D18,Equipe_Nome,0),6),"")="X")))</f>
        <v/>
      </c>
      <c r="K28">
        <f>IF(K10=0,"",IF('Mapa do Dia'!$C18="",0,--(IFERROR(INDEX(Equipe_X,MATCH('Mapa do Dia'!$C18,Equipe_Nome,0),7),"")="X"))+IF('Mapa do Dia'!$D18="",0,--(IFERROR(INDEX(Equipe_X,MATCH('Mapa do Dia'!$D18,Equipe_Nome,0),7),"")="X")))</f>
        <v/>
      </c>
      <c r="L28">
        <f>IF(L10=0,"",IF('Mapa do Dia'!$C18="",0,--(IFERROR(INDEX(Equipe_X,MATCH('Mapa do Dia'!$C18,Equipe_Nome,0),8),"")="X"))+IF('Mapa do Dia'!$D18="",0,--(IFERROR(INDEX(Equipe_X,MATCH('Mapa do Dia'!$D18,Equipe_Nome,0),8),"")="X")))</f>
        <v/>
      </c>
      <c r="M28">
        <f>IF(M10=0,"",IF('Mapa do Dia'!$C18="",0,--(IFERROR(INDEX(Equipe_X,MATCH('Mapa do Dia'!$C18,Equipe_Nome,0),9),"")="X"))+IF('Mapa do Dia'!$D18="",0,--(IFERROR(INDEX(Equipe_X,MATCH('Mapa do Dia'!$D18,Equipe_Nome,0),9),"")="X")))</f>
        <v/>
      </c>
      <c r="N28">
        <f>IF(N10=0,"",IF('Mapa do Dia'!$C18="",0,--(IFERROR(INDEX(Equipe_X,MATCH('Mapa do Dia'!$C18,Equipe_Nome,0),10),"")="X"))+IF('Mapa do Dia'!$D18="",0,--(IFERROR(INDEX(Equipe_X,MATCH('Mapa do Dia'!$D18,Equipe_Nome,0),10),"")="X")))</f>
        <v/>
      </c>
      <c r="O28">
        <f>IF(O10=0,"",IF('Mapa do Dia'!$C18="",0,--(IFERROR(INDEX(Equipe_X,MATCH('Mapa do Dia'!$C18,Equipe_Nome,0),11),"")="X"))+IF('Mapa do Dia'!$D18="",0,--(IFERROR(INDEX(Equipe_X,MATCH('Mapa do Dia'!$D18,Equipe_Nome,0),11),"")="X")))</f>
        <v/>
      </c>
      <c r="P28">
        <f>IF(P10=0,"",IF('Mapa do Dia'!$C18="",0,--(IFERROR(INDEX(Equipe_X,MATCH('Mapa do Dia'!$C18,Equipe_Nome,0),12),"")="X"))+IF('Mapa do Dia'!$D18="",0,--(IFERROR(INDEX(Equipe_X,MATCH('Mapa do Dia'!$D18,Equipe_Nome,0),12),"")="X")))</f>
        <v/>
      </c>
      <c r="Q28">
        <f>IF(Q10=0,"",IF('Mapa do Dia'!$C18="",0,--(IFERROR(INDEX(Equipe_X,MATCH('Mapa do Dia'!$C18,Equipe_Nome,0),13),"")="X"))+IF('Mapa do Dia'!$D18="",0,--(IFERROR(INDEX(Equipe_X,MATCH('Mapa do Dia'!$D18,Equipe_Nome,0),13),"")="X")))</f>
        <v/>
      </c>
      <c r="R28">
        <f>IF(R10=0,"",IF('Mapa do Dia'!$C18="",0,--(IFERROR(INDEX(Equipe_X,MATCH('Mapa do Dia'!$C18,Equipe_Nome,0),14),"")="X"))+IF('Mapa do Dia'!$D18="",0,--(IFERROR(INDEX(Equipe_X,MATCH('Mapa do Dia'!$D18,Equipe_Nome,0),14),"")="X")))</f>
        <v/>
      </c>
      <c r="S28">
        <f>IF(S10=0,"",IF('Mapa do Dia'!$C18="",0,--(IFERROR(INDEX(Equipe_X,MATCH('Mapa do Dia'!$C18,Equipe_Nome,0),15),"")="X"))+IF('Mapa do Dia'!$D18="",0,--(IFERROR(INDEX(Equipe_X,MATCH('Mapa do Dia'!$D18,Equipe_Nome,0),15),"")="X")))</f>
        <v/>
      </c>
      <c r="T28">
        <f>IF(T10=0,"",IF('Mapa do Dia'!$C18="",0,--(IFERROR(INDEX(Equipe_X,MATCH('Mapa do Dia'!$C18,Equipe_Nome,0),16),"")="X"))+IF('Mapa do Dia'!$D18="",0,--(IFERROR(INDEX(Equipe_X,MATCH('Mapa do Dia'!$D18,Equipe_Nome,0),16),"")="X")))</f>
        <v/>
      </c>
      <c r="U28">
        <f>IF(U10=0,"",IF('Mapa do Dia'!$C18="",0,--(IFERROR(INDEX(Equipe_X,MATCH('Mapa do Dia'!$C18,Equipe_Nome,0),17),"")="X"))+IF('Mapa do Dia'!$D18="",0,--(IFERROR(INDEX(Equipe_X,MATCH('Mapa do Dia'!$D18,Equipe_Nome,0),17),"")="X")))</f>
        <v/>
      </c>
      <c r="V28">
        <f>IF(V10=0,"",IF('Mapa do Dia'!$C18="",0,--(IFERROR(INDEX(Equipe_X,MATCH('Mapa do Dia'!$C18,Equipe_Nome,0),18),"")="X"))+IF('Mapa do Dia'!$D18="",0,--(IFERROR(INDEX(Equipe_X,MATCH('Mapa do Dia'!$D18,Equipe_Nome,0),18),"")="X")))</f>
        <v/>
      </c>
      <c r="W28">
        <f>IF(W10=0,"",IF('Mapa do Dia'!$C18="",0,--(IFERROR(INDEX(Equipe_X,MATCH('Mapa do Dia'!$C18,Equipe_Nome,0),19),"")="X"))+IF('Mapa do Dia'!$D18="",0,--(IFERROR(INDEX(Equipe_X,MATCH('Mapa do Dia'!$D18,Equipe_Nome,0),19),"")="X")))</f>
        <v/>
      </c>
      <c r="X28">
        <f>IF(X10=0,"",IF('Mapa do Dia'!$C18="",0,--(IFERROR(INDEX(Equipe_X,MATCH('Mapa do Dia'!$C18,Equipe_Nome,0),20),"")="X"))+IF('Mapa do Dia'!$D18="",0,--(IFERROR(INDEX(Equipe_X,MATCH('Mapa do Dia'!$D18,Equipe_Nome,0),20),"")="X")))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Dia'!$C19="",0,--(IFERROR(INDEX(Equipe_X,MATCH('Mapa do Dia'!$C19,Equipe_Nome,0),1),"")="X"))+IF('Mapa do Dia'!$D19="",0,--(IFERROR(INDEX(Equipe_X,MATCH('Mapa do Dia'!$D19,Equipe_Nome,0),1),"")="X")))</f>
        <v/>
      </c>
      <c r="F29">
        <f>IF(F11=0,"",IF('Mapa do Dia'!$C19="",0,--(IFERROR(INDEX(Equipe_X,MATCH('Mapa do Dia'!$C19,Equipe_Nome,0),2),"")="X"))+IF('Mapa do Dia'!$D19="",0,--(IFERROR(INDEX(Equipe_X,MATCH('Mapa do Dia'!$D19,Equipe_Nome,0),2),"")="X")))</f>
        <v/>
      </c>
      <c r="G29">
        <f>IF(G11=0,"",IF('Mapa do Dia'!$C19="",0,--(IFERROR(INDEX(Equipe_X,MATCH('Mapa do Dia'!$C19,Equipe_Nome,0),3),"")="X"))+IF('Mapa do Dia'!$D19="",0,--(IFERROR(INDEX(Equipe_X,MATCH('Mapa do Dia'!$D19,Equipe_Nome,0),3),"")="X")))</f>
        <v/>
      </c>
      <c r="H29">
        <f>IF(H11=0,"",IF('Mapa do Dia'!$C19="",0,--(IFERROR(INDEX(Equipe_X,MATCH('Mapa do Dia'!$C19,Equipe_Nome,0),4),"")="X"))+IF('Mapa do Dia'!$D19="",0,--(IFERROR(INDEX(Equipe_X,MATCH('Mapa do Dia'!$D19,Equipe_Nome,0),4),"")="X")))</f>
        <v/>
      </c>
      <c r="I29">
        <f>IF(I11=0,"",IF('Mapa do Dia'!$C19="",0,--(IFERROR(INDEX(Equipe_X,MATCH('Mapa do Dia'!$C19,Equipe_Nome,0),5),"")="X"))+IF('Mapa do Dia'!$D19="",0,--(IFERROR(INDEX(Equipe_X,MATCH('Mapa do Dia'!$D19,Equipe_Nome,0),5),"")="X")))</f>
        <v/>
      </c>
      <c r="J29">
        <f>IF(J11=0,"",IF('Mapa do Dia'!$C19="",0,--(IFERROR(INDEX(Equipe_X,MATCH('Mapa do Dia'!$C19,Equipe_Nome,0),6),"")="X"))+IF('Mapa do Dia'!$D19="",0,--(IFERROR(INDEX(Equipe_X,MATCH('Mapa do Dia'!$D19,Equipe_Nome,0),6),"")="X")))</f>
        <v/>
      </c>
      <c r="K29">
        <f>IF(K11=0,"",IF('Mapa do Dia'!$C19="",0,--(IFERROR(INDEX(Equipe_X,MATCH('Mapa do Dia'!$C19,Equipe_Nome,0),7),"")="X"))+IF('Mapa do Dia'!$D19="",0,--(IFERROR(INDEX(Equipe_X,MATCH('Mapa do Dia'!$D19,Equipe_Nome,0),7),"")="X")))</f>
        <v/>
      </c>
      <c r="L29">
        <f>IF(L11=0,"",IF('Mapa do Dia'!$C19="",0,--(IFERROR(INDEX(Equipe_X,MATCH('Mapa do Dia'!$C19,Equipe_Nome,0),8),"")="X"))+IF('Mapa do Dia'!$D19="",0,--(IFERROR(INDEX(Equipe_X,MATCH('Mapa do Dia'!$D19,Equipe_Nome,0),8),"")="X")))</f>
        <v/>
      </c>
      <c r="M29">
        <f>IF(M11=0,"",IF('Mapa do Dia'!$C19="",0,--(IFERROR(INDEX(Equipe_X,MATCH('Mapa do Dia'!$C19,Equipe_Nome,0),9),"")="X"))+IF('Mapa do Dia'!$D19="",0,--(IFERROR(INDEX(Equipe_X,MATCH('Mapa do Dia'!$D19,Equipe_Nome,0),9),"")="X")))</f>
        <v/>
      </c>
      <c r="N29">
        <f>IF(N11=0,"",IF('Mapa do Dia'!$C19="",0,--(IFERROR(INDEX(Equipe_X,MATCH('Mapa do Dia'!$C19,Equipe_Nome,0),10),"")="X"))+IF('Mapa do Dia'!$D19="",0,--(IFERROR(INDEX(Equipe_X,MATCH('Mapa do Dia'!$D19,Equipe_Nome,0),10),"")="X")))</f>
        <v/>
      </c>
      <c r="O29">
        <f>IF(O11=0,"",IF('Mapa do Dia'!$C19="",0,--(IFERROR(INDEX(Equipe_X,MATCH('Mapa do Dia'!$C19,Equipe_Nome,0),11),"")="X"))+IF('Mapa do Dia'!$D19="",0,--(IFERROR(INDEX(Equipe_X,MATCH('Mapa do Dia'!$D19,Equipe_Nome,0),11),"")="X")))</f>
        <v/>
      </c>
      <c r="P29">
        <f>IF(P11=0,"",IF('Mapa do Dia'!$C19="",0,--(IFERROR(INDEX(Equipe_X,MATCH('Mapa do Dia'!$C19,Equipe_Nome,0),12),"")="X"))+IF('Mapa do Dia'!$D19="",0,--(IFERROR(INDEX(Equipe_X,MATCH('Mapa do Dia'!$D19,Equipe_Nome,0),12),"")="X")))</f>
        <v/>
      </c>
      <c r="Q29">
        <f>IF(Q11=0,"",IF('Mapa do Dia'!$C19="",0,--(IFERROR(INDEX(Equipe_X,MATCH('Mapa do Dia'!$C19,Equipe_Nome,0),13),"")="X"))+IF('Mapa do Dia'!$D19="",0,--(IFERROR(INDEX(Equipe_X,MATCH('Mapa do Dia'!$D19,Equipe_Nome,0),13),"")="X")))</f>
        <v/>
      </c>
      <c r="R29">
        <f>IF(R11=0,"",IF('Mapa do Dia'!$C19="",0,--(IFERROR(INDEX(Equipe_X,MATCH('Mapa do Dia'!$C19,Equipe_Nome,0),14),"")="X"))+IF('Mapa do Dia'!$D19="",0,--(IFERROR(INDEX(Equipe_X,MATCH('Mapa do Dia'!$D19,Equipe_Nome,0),14),"")="X")))</f>
        <v/>
      </c>
      <c r="S29">
        <f>IF(S11=0,"",IF('Mapa do Dia'!$C19="",0,--(IFERROR(INDEX(Equipe_X,MATCH('Mapa do Dia'!$C19,Equipe_Nome,0),15),"")="X"))+IF('Mapa do Dia'!$D19="",0,--(IFERROR(INDEX(Equipe_X,MATCH('Mapa do Dia'!$D19,Equipe_Nome,0),15),"")="X")))</f>
        <v/>
      </c>
      <c r="T29">
        <f>IF(T11=0,"",IF('Mapa do Dia'!$C19="",0,--(IFERROR(INDEX(Equipe_X,MATCH('Mapa do Dia'!$C19,Equipe_Nome,0),16),"")="X"))+IF('Mapa do Dia'!$D19="",0,--(IFERROR(INDEX(Equipe_X,MATCH('Mapa do Dia'!$D19,Equipe_Nome,0),16),"")="X")))</f>
        <v/>
      </c>
      <c r="U29">
        <f>IF(U11=0,"",IF('Mapa do Dia'!$C19="",0,--(IFERROR(INDEX(Equipe_X,MATCH('Mapa do Dia'!$C19,Equipe_Nome,0),17),"")="X"))+IF('Mapa do Dia'!$D19="",0,--(IFERROR(INDEX(Equipe_X,MATCH('Mapa do Dia'!$D19,Equipe_Nome,0),17),"")="X")))</f>
        <v/>
      </c>
      <c r="V29">
        <f>IF(V11=0,"",IF('Mapa do Dia'!$C19="",0,--(IFERROR(INDEX(Equipe_X,MATCH('Mapa do Dia'!$C19,Equipe_Nome,0),18),"")="X"))+IF('Mapa do Dia'!$D19="",0,--(IFERROR(INDEX(Equipe_X,MATCH('Mapa do Dia'!$D19,Equipe_Nome,0),18),"")="X")))</f>
        <v/>
      </c>
      <c r="W29">
        <f>IF(W11=0,"",IF('Mapa do Dia'!$C19="",0,--(IFERROR(INDEX(Equipe_X,MATCH('Mapa do Dia'!$C19,Equipe_Nome,0),19),"")="X"))+IF('Mapa do Dia'!$D19="",0,--(IFERROR(INDEX(Equipe_X,MATCH('Mapa do Dia'!$D19,Equipe_Nome,0),19),"")="X")))</f>
        <v/>
      </c>
      <c r="X29">
        <f>IF(X11=0,"",IF('Mapa do Dia'!$C19="",0,--(IFERROR(INDEX(Equipe_X,MATCH('Mapa do Dia'!$C19,Equipe_Nome,0),20),"")="X"))+IF('Mapa do Dia'!$D19="",0,--(IFERROR(INDEX(Equipe_X,MATCH('Mapa do Dia'!$D19,Equipe_Nome,0),20),"")="X")))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Dia'!$C20="",0,--(IFERROR(INDEX(Equipe_X,MATCH('Mapa do Dia'!$C20,Equipe_Nome,0),1),"")="X"))+IF('Mapa do Dia'!$D20="",0,--(IFERROR(INDEX(Equipe_X,MATCH('Mapa do Dia'!$D20,Equipe_Nome,0),1),"")="X")))</f>
        <v/>
      </c>
      <c r="F30">
        <f>IF(F12=0,"",IF('Mapa do Dia'!$C20="",0,--(IFERROR(INDEX(Equipe_X,MATCH('Mapa do Dia'!$C20,Equipe_Nome,0),2),"")="X"))+IF('Mapa do Dia'!$D20="",0,--(IFERROR(INDEX(Equipe_X,MATCH('Mapa do Dia'!$D20,Equipe_Nome,0),2),"")="X")))</f>
        <v/>
      </c>
      <c r="G30">
        <f>IF(G12=0,"",IF('Mapa do Dia'!$C20="",0,--(IFERROR(INDEX(Equipe_X,MATCH('Mapa do Dia'!$C20,Equipe_Nome,0),3),"")="X"))+IF('Mapa do Dia'!$D20="",0,--(IFERROR(INDEX(Equipe_X,MATCH('Mapa do Dia'!$D20,Equipe_Nome,0),3),"")="X")))</f>
        <v/>
      </c>
      <c r="H30">
        <f>IF(H12=0,"",IF('Mapa do Dia'!$C20="",0,--(IFERROR(INDEX(Equipe_X,MATCH('Mapa do Dia'!$C20,Equipe_Nome,0),4),"")="X"))+IF('Mapa do Dia'!$D20="",0,--(IFERROR(INDEX(Equipe_X,MATCH('Mapa do Dia'!$D20,Equipe_Nome,0),4),"")="X")))</f>
        <v/>
      </c>
      <c r="I30">
        <f>IF(I12=0,"",IF('Mapa do Dia'!$C20="",0,--(IFERROR(INDEX(Equipe_X,MATCH('Mapa do Dia'!$C20,Equipe_Nome,0),5),"")="X"))+IF('Mapa do Dia'!$D20="",0,--(IFERROR(INDEX(Equipe_X,MATCH('Mapa do Dia'!$D20,Equipe_Nome,0),5),"")="X")))</f>
        <v/>
      </c>
      <c r="J30">
        <f>IF(J12=0,"",IF('Mapa do Dia'!$C20="",0,--(IFERROR(INDEX(Equipe_X,MATCH('Mapa do Dia'!$C20,Equipe_Nome,0),6),"")="X"))+IF('Mapa do Dia'!$D20="",0,--(IFERROR(INDEX(Equipe_X,MATCH('Mapa do Dia'!$D20,Equipe_Nome,0),6),"")="X")))</f>
        <v/>
      </c>
      <c r="K30">
        <f>IF(K12=0,"",IF('Mapa do Dia'!$C20="",0,--(IFERROR(INDEX(Equipe_X,MATCH('Mapa do Dia'!$C20,Equipe_Nome,0),7),"")="X"))+IF('Mapa do Dia'!$D20="",0,--(IFERROR(INDEX(Equipe_X,MATCH('Mapa do Dia'!$D20,Equipe_Nome,0),7),"")="X")))</f>
        <v/>
      </c>
      <c r="L30">
        <f>IF(L12=0,"",IF('Mapa do Dia'!$C20="",0,--(IFERROR(INDEX(Equipe_X,MATCH('Mapa do Dia'!$C20,Equipe_Nome,0),8),"")="X"))+IF('Mapa do Dia'!$D20="",0,--(IFERROR(INDEX(Equipe_X,MATCH('Mapa do Dia'!$D20,Equipe_Nome,0),8),"")="X")))</f>
        <v/>
      </c>
      <c r="M30">
        <f>IF(M12=0,"",IF('Mapa do Dia'!$C20="",0,--(IFERROR(INDEX(Equipe_X,MATCH('Mapa do Dia'!$C20,Equipe_Nome,0),9),"")="X"))+IF('Mapa do Dia'!$D20="",0,--(IFERROR(INDEX(Equipe_X,MATCH('Mapa do Dia'!$D20,Equipe_Nome,0),9),"")="X")))</f>
        <v/>
      </c>
      <c r="N30">
        <f>IF(N12=0,"",IF('Mapa do Dia'!$C20="",0,--(IFERROR(INDEX(Equipe_X,MATCH('Mapa do Dia'!$C20,Equipe_Nome,0),10),"")="X"))+IF('Mapa do Dia'!$D20="",0,--(IFERROR(INDEX(Equipe_X,MATCH('Mapa do Dia'!$D20,Equipe_Nome,0),10),"")="X")))</f>
        <v/>
      </c>
      <c r="O30">
        <f>IF(O12=0,"",IF('Mapa do Dia'!$C20="",0,--(IFERROR(INDEX(Equipe_X,MATCH('Mapa do Dia'!$C20,Equipe_Nome,0),11),"")="X"))+IF('Mapa do Dia'!$D20="",0,--(IFERROR(INDEX(Equipe_X,MATCH('Mapa do Dia'!$D20,Equipe_Nome,0),11),"")="X")))</f>
        <v/>
      </c>
      <c r="P30">
        <f>IF(P12=0,"",IF('Mapa do Dia'!$C20="",0,--(IFERROR(INDEX(Equipe_X,MATCH('Mapa do Dia'!$C20,Equipe_Nome,0),12),"")="X"))+IF('Mapa do Dia'!$D20="",0,--(IFERROR(INDEX(Equipe_X,MATCH('Mapa do Dia'!$D20,Equipe_Nome,0),12),"")="X")))</f>
        <v/>
      </c>
      <c r="Q30">
        <f>IF(Q12=0,"",IF('Mapa do Dia'!$C20="",0,--(IFERROR(INDEX(Equipe_X,MATCH('Mapa do Dia'!$C20,Equipe_Nome,0),13),"")="X"))+IF('Mapa do Dia'!$D20="",0,--(IFERROR(INDEX(Equipe_X,MATCH('Mapa do Dia'!$D20,Equipe_Nome,0),13),"")="X")))</f>
        <v/>
      </c>
      <c r="R30">
        <f>IF(R12=0,"",IF('Mapa do Dia'!$C20="",0,--(IFERROR(INDEX(Equipe_X,MATCH('Mapa do Dia'!$C20,Equipe_Nome,0),14),"")="X"))+IF('Mapa do Dia'!$D20="",0,--(IFERROR(INDEX(Equipe_X,MATCH('Mapa do Dia'!$D20,Equipe_Nome,0),14),"")="X")))</f>
        <v/>
      </c>
      <c r="S30">
        <f>IF(S12=0,"",IF('Mapa do Dia'!$C20="",0,--(IFERROR(INDEX(Equipe_X,MATCH('Mapa do Dia'!$C20,Equipe_Nome,0),15),"")="X"))+IF('Mapa do Dia'!$D20="",0,--(IFERROR(INDEX(Equipe_X,MATCH('Mapa do Dia'!$D20,Equipe_Nome,0),15),"")="X")))</f>
        <v/>
      </c>
      <c r="T30">
        <f>IF(T12=0,"",IF('Mapa do Dia'!$C20="",0,--(IFERROR(INDEX(Equipe_X,MATCH('Mapa do Dia'!$C20,Equipe_Nome,0),16),"")="X"))+IF('Mapa do Dia'!$D20="",0,--(IFERROR(INDEX(Equipe_X,MATCH('Mapa do Dia'!$D20,Equipe_Nome,0),16),"")="X")))</f>
        <v/>
      </c>
      <c r="U30">
        <f>IF(U12=0,"",IF('Mapa do Dia'!$C20="",0,--(IFERROR(INDEX(Equipe_X,MATCH('Mapa do Dia'!$C20,Equipe_Nome,0),17),"")="X"))+IF('Mapa do Dia'!$D20="",0,--(IFERROR(INDEX(Equipe_X,MATCH('Mapa do Dia'!$D20,Equipe_Nome,0),17),"")="X")))</f>
        <v/>
      </c>
      <c r="V30">
        <f>IF(V12=0,"",IF('Mapa do Dia'!$C20="",0,--(IFERROR(INDEX(Equipe_X,MATCH('Mapa do Dia'!$C20,Equipe_Nome,0),18),"")="X"))+IF('Mapa do Dia'!$D20="",0,--(IFERROR(INDEX(Equipe_X,MATCH('Mapa do Dia'!$D20,Equipe_Nome,0),18),"")="X")))</f>
        <v/>
      </c>
      <c r="W30">
        <f>IF(W12=0,"",IF('Mapa do Dia'!$C20="",0,--(IFERROR(INDEX(Equipe_X,MATCH('Mapa do Dia'!$C20,Equipe_Nome,0),19),"")="X"))+IF('Mapa do Dia'!$D20="",0,--(IFERROR(INDEX(Equipe_X,MATCH('Mapa do Dia'!$D20,Equipe_Nome,0),19),"")="X")))</f>
        <v/>
      </c>
      <c r="X30">
        <f>IF(X12=0,"",IF('Mapa do Dia'!$C20="",0,--(IFERROR(INDEX(Equipe_X,MATCH('Mapa do Dia'!$C20,Equipe_Nome,0),20),"")="X"))+IF('Mapa do Dia'!$D20="",0,--(IFERROR(INDEX(Equipe_X,MATCH('Mapa do Dia'!$D20,Equipe_Nome,0),20),"")="X")))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Dia'!$C21="",0,--(IFERROR(INDEX(Equipe_X,MATCH('Mapa do Dia'!$C21,Equipe_Nome,0),1),"")="X"))+IF('Mapa do Dia'!$D21="",0,--(IFERROR(INDEX(Equipe_X,MATCH('Mapa do Dia'!$D21,Equipe_Nome,0),1),"")="X")))</f>
        <v/>
      </c>
      <c r="F31">
        <f>IF(F13=0,"",IF('Mapa do Dia'!$C21="",0,--(IFERROR(INDEX(Equipe_X,MATCH('Mapa do Dia'!$C21,Equipe_Nome,0),2),"")="X"))+IF('Mapa do Dia'!$D21="",0,--(IFERROR(INDEX(Equipe_X,MATCH('Mapa do Dia'!$D21,Equipe_Nome,0),2),"")="X")))</f>
        <v/>
      </c>
      <c r="G31">
        <f>IF(G13=0,"",IF('Mapa do Dia'!$C21="",0,--(IFERROR(INDEX(Equipe_X,MATCH('Mapa do Dia'!$C21,Equipe_Nome,0),3),"")="X"))+IF('Mapa do Dia'!$D21="",0,--(IFERROR(INDEX(Equipe_X,MATCH('Mapa do Dia'!$D21,Equipe_Nome,0),3),"")="X")))</f>
        <v/>
      </c>
      <c r="H31">
        <f>IF(H13=0,"",IF('Mapa do Dia'!$C21="",0,--(IFERROR(INDEX(Equipe_X,MATCH('Mapa do Dia'!$C21,Equipe_Nome,0),4),"")="X"))+IF('Mapa do Dia'!$D21="",0,--(IFERROR(INDEX(Equipe_X,MATCH('Mapa do Dia'!$D21,Equipe_Nome,0),4),"")="X")))</f>
        <v/>
      </c>
      <c r="I31">
        <f>IF(I13=0,"",IF('Mapa do Dia'!$C21="",0,--(IFERROR(INDEX(Equipe_X,MATCH('Mapa do Dia'!$C21,Equipe_Nome,0),5),"")="X"))+IF('Mapa do Dia'!$D21="",0,--(IFERROR(INDEX(Equipe_X,MATCH('Mapa do Dia'!$D21,Equipe_Nome,0),5),"")="X")))</f>
        <v/>
      </c>
      <c r="J31">
        <f>IF(J13=0,"",IF('Mapa do Dia'!$C21="",0,--(IFERROR(INDEX(Equipe_X,MATCH('Mapa do Dia'!$C21,Equipe_Nome,0),6),"")="X"))+IF('Mapa do Dia'!$D21="",0,--(IFERROR(INDEX(Equipe_X,MATCH('Mapa do Dia'!$D21,Equipe_Nome,0),6),"")="X")))</f>
        <v/>
      </c>
      <c r="K31">
        <f>IF(K13=0,"",IF('Mapa do Dia'!$C21="",0,--(IFERROR(INDEX(Equipe_X,MATCH('Mapa do Dia'!$C21,Equipe_Nome,0),7),"")="X"))+IF('Mapa do Dia'!$D21="",0,--(IFERROR(INDEX(Equipe_X,MATCH('Mapa do Dia'!$D21,Equipe_Nome,0),7),"")="X")))</f>
        <v/>
      </c>
      <c r="L31">
        <f>IF(L13=0,"",IF('Mapa do Dia'!$C21="",0,--(IFERROR(INDEX(Equipe_X,MATCH('Mapa do Dia'!$C21,Equipe_Nome,0),8),"")="X"))+IF('Mapa do Dia'!$D21="",0,--(IFERROR(INDEX(Equipe_X,MATCH('Mapa do Dia'!$D21,Equipe_Nome,0),8),"")="X")))</f>
        <v/>
      </c>
      <c r="M31">
        <f>IF(M13=0,"",IF('Mapa do Dia'!$C21="",0,--(IFERROR(INDEX(Equipe_X,MATCH('Mapa do Dia'!$C21,Equipe_Nome,0),9),"")="X"))+IF('Mapa do Dia'!$D21="",0,--(IFERROR(INDEX(Equipe_X,MATCH('Mapa do Dia'!$D21,Equipe_Nome,0),9),"")="X")))</f>
        <v/>
      </c>
      <c r="N31">
        <f>IF(N13=0,"",IF('Mapa do Dia'!$C21="",0,--(IFERROR(INDEX(Equipe_X,MATCH('Mapa do Dia'!$C21,Equipe_Nome,0),10),"")="X"))+IF('Mapa do Dia'!$D21="",0,--(IFERROR(INDEX(Equipe_X,MATCH('Mapa do Dia'!$D21,Equipe_Nome,0),10),"")="X")))</f>
        <v/>
      </c>
      <c r="O31">
        <f>IF(O13=0,"",IF('Mapa do Dia'!$C21="",0,--(IFERROR(INDEX(Equipe_X,MATCH('Mapa do Dia'!$C21,Equipe_Nome,0),11),"")="X"))+IF('Mapa do Dia'!$D21="",0,--(IFERROR(INDEX(Equipe_X,MATCH('Mapa do Dia'!$D21,Equipe_Nome,0),11),"")="X")))</f>
        <v/>
      </c>
      <c r="P31">
        <f>IF(P13=0,"",IF('Mapa do Dia'!$C21="",0,--(IFERROR(INDEX(Equipe_X,MATCH('Mapa do Dia'!$C21,Equipe_Nome,0),12),"")="X"))+IF('Mapa do Dia'!$D21="",0,--(IFERROR(INDEX(Equipe_X,MATCH('Mapa do Dia'!$D21,Equipe_Nome,0),12),"")="X")))</f>
        <v/>
      </c>
      <c r="Q31">
        <f>IF(Q13=0,"",IF('Mapa do Dia'!$C21="",0,--(IFERROR(INDEX(Equipe_X,MATCH('Mapa do Dia'!$C21,Equipe_Nome,0),13),"")="X"))+IF('Mapa do Dia'!$D21="",0,--(IFERROR(INDEX(Equipe_X,MATCH('Mapa do Dia'!$D21,Equipe_Nome,0),13),"")="X")))</f>
        <v/>
      </c>
      <c r="R31">
        <f>IF(R13=0,"",IF('Mapa do Dia'!$C21="",0,--(IFERROR(INDEX(Equipe_X,MATCH('Mapa do Dia'!$C21,Equipe_Nome,0),14),"")="X"))+IF('Mapa do Dia'!$D21="",0,--(IFERROR(INDEX(Equipe_X,MATCH('Mapa do Dia'!$D21,Equipe_Nome,0),14),"")="X")))</f>
        <v/>
      </c>
      <c r="S31">
        <f>IF(S13=0,"",IF('Mapa do Dia'!$C21="",0,--(IFERROR(INDEX(Equipe_X,MATCH('Mapa do Dia'!$C21,Equipe_Nome,0),15),"")="X"))+IF('Mapa do Dia'!$D21="",0,--(IFERROR(INDEX(Equipe_X,MATCH('Mapa do Dia'!$D21,Equipe_Nome,0),15),"")="X")))</f>
        <v/>
      </c>
      <c r="T31">
        <f>IF(T13=0,"",IF('Mapa do Dia'!$C21="",0,--(IFERROR(INDEX(Equipe_X,MATCH('Mapa do Dia'!$C21,Equipe_Nome,0),16),"")="X"))+IF('Mapa do Dia'!$D21="",0,--(IFERROR(INDEX(Equipe_X,MATCH('Mapa do Dia'!$D21,Equipe_Nome,0),16),"")="X")))</f>
        <v/>
      </c>
      <c r="U31">
        <f>IF(U13=0,"",IF('Mapa do Dia'!$C21="",0,--(IFERROR(INDEX(Equipe_X,MATCH('Mapa do Dia'!$C21,Equipe_Nome,0),17),"")="X"))+IF('Mapa do Dia'!$D21="",0,--(IFERROR(INDEX(Equipe_X,MATCH('Mapa do Dia'!$D21,Equipe_Nome,0),17),"")="X")))</f>
        <v/>
      </c>
      <c r="V31">
        <f>IF(V13=0,"",IF('Mapa do Dia'!$C21="",0,--(IFERROR(INDEX(Equipe_X,MATCH('Mapa do Dia'!$C21,Equipe_Nome,0),18),"")="X"))+IF('Mapa do Dia'!$D21="",0,--(IFERROR(INDEX(Equipe_X,MATCH('Mapa do Dia'!$D21,Equipe_Nome,0),18),"")="X")))</f>
        <v/>
      </c>
      <c r="W31">
        <f>IF(W13=0,"",IF('Mapa do Dia'!$C21="",0,--(IFERROR(INDEX(Equipe_X,MATCH('Mapa do Dia'!$C21,Equipe_Nome,0),19),"")="X"))+IF('Mapa do Dia'!$D21="",0,--(IFERROR(INDEX(Equipe_X,MATCH('Mapa do Dia'!$D21,Equipe_Nome,0),19),"")="X")))</f>
        <v/>
      </c>
      <c r="X31">
        <f>IF(X13=0,"",IF('Mapa do Dia'!$C21="",0,--(IFERROR(INDEX(Equipe_X,MATCH('Mapa do Dia'!$C21,Equipe_Nome,0),20),"")="X"))+IF('Mapa do Dia'!$D21="",0,--(IFERROR(INDEX(Equipe_X,MATCH('Mapa do Dia'!$D21,Equipe_Nome,0),20),"")="X")))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Dia'!$C22="",0,--(IFERROR(INDEX(Equipe_X,MATCH('Mapa do Dia'!$C22,Equipe_Nome,0),1),"")="X"))+IF('Mapa do Dia'!$D22="",0,--(IFERROR(INDEX(Equipe_X,MATCH('Mapa do Dia'!$D22,Equipe_Nome,0),1),"")="X")))</f>
        <v/>
      </c>
      <c r="F32">
        <f>IF(F14=0,"",IF('Mapa do Dia'!$C22="",0,--(IFERROR(INDEX(Equipe_X,MATCH('Mapa do Dia'!$C22,Equipe_Nome,0),2),"")="X"))+IF('Mapa do Dia'!$D22="",0,--(IFERROR(INDEX(Equipe_X,MATCH('Mapa do Dia'!$D22,Equipe_Nome,0),2),"")="X")))</f>
        <v/>
      </c>
      <c r="G32">
        <f>IF(G14=0,"",IF('Mapa do Dia'!$C22="",0,--(IFERROR(INDEX(Equipe_X,MATCH('Mapa do Dia'!$C22,Equipe_Nome,0),3),"")="X"))+IF('Mapa do Dia'!$D22="",0,--(IFERROR(INDEX(Equipe_X,MATCH('Mapa do Dia'!$D22,Equipe_Nome,0),3),"")="X")))</f>
        <v/>
      </c>
      <c r="H32">
        <f>IF(H14=0,"",IF('Mapa do Dia'!$C22="",0,--(IFERROR(INDEX(Equipe_X,MATCH('Mapa do Dia'!$C22,Equipe_Nome,0),4),"")="X"))+IF('Mapa do Dia'!$D22="",0,--(IFERROR(INDEX(Equipe_X,MATCH('Mapa do Dia'!$D22,Equipe_Nome,0),4),"")="X")))</f>
        <v/>
      </c>
      <c r="I32">
        <f>IF(I14=0,"",IF('Mapa do Dia'!$C22="",0,--(IFERROR(INDEX(Equipe_X,MATCH('Mapa do Dia'!$C22,Equipe_Nome,0),5),"")="X"))+IF('Mapa do Dia'!$D22="",0,--(IFERROR(INDEX(Equipe_X,MATCH('Mapa do Dia'!$D22,Equipe_Nome,0),5),"")="X")))</f>
        <v/>
      </c>
      <c r="J32">
        <f>IF(J14=0,"",IF('Mapa do Dia'!$C22="",0,--(IFERROR(INDEX(Equipe_X,MATCH('Mapa do Dia'!$C22,Equipe_Nome,0),6),"")="X"))+IF('Mapa do Dia'!$D22="",0,--(IFERROR(INDEX(Equipe_X,MATCH('Mapa do Dia'!$D22,Equipe_Nome,0),6),"")="X")))</f>
        <v/>
      </c>
      <c r="K32">
        <f>IF(K14=0,"",IF('Mapa do Dia'!$C22="",0,--(IFERROR(INDEX(Equipe_X,MATCH('Mapa do Dia'!$C22,Equipe_Nome,0),7),"")="X"))+IF('Mapa do Dia'!$D22="",0,--(IFERROR(INDEX(Equipe_X,MATCH('Mapa do Dia'!$D22,Equipe_Nome,0),7),"")="X")))</f>
        <v/>
      </c>
      <c r="L32">
        <f>IF(L14=0,"",IF('Mapa do Dia'!$C22="",0,--(IFERROR(INDEX(Equipe_X,MATCH('Mapa do Dia'!$C22,Equipe_Nome,0),8),"")="X"))+IF('Mapa do Dia'!$D22="",0,--(IFERROR(INDEX(Equipe_X,MATCH('Mapa do Dia'!$D22,Equipe_Nome,0),8),"")="X")))</f>
        <v/>
      </c>
      <c r="M32">
        <f>IF(M14=0,"",IF('Mapa do Dia'!$C22="",0,--(IFERROR(INDEX(Equipe_X,MATCH('Mapa do Dia'!$C22,Equipe_Nome,0),9),"")="X"))+IF('Mapa do Dia'!$D22="",0,--(IFERROR(INDEX(Equipe_X,MATCH('Mapa do Dia'!$D22,Equipe_Nome,0),9),"")="X")))</f>
        <v/>
      </c>
      <c r="N32">
        <f>IF(N14=0,"",IF('Mapa do Dia'!$C22="",0,--(IFERROR(INDEX(Equipe_X,MATCH('Mapa do Dia'!$C22,Equipe_Nome,0),10),"")="X"))+IF('Mapa do Dia'!$D22="",0,--(IFERROR(INDEX(Equipe_X,MATCH('Mapa do Dia'!$D22,Equipe_Nome,0),10),"")="X")))</f>
        <v/>
      </c>
      <c r="O32">
        <f>IF(O14=0,"",IF('Mapa do Dia'!$C22="",0,--(IFERROR(INDEX(Equipe_X,MATCH('Mapa do Dia'!$C22,Equipe_Nome,0),11),"")="X"))+IF('Mapa do Dia'!$D22="",0,--(IFERROR(INDEX(Equipe_X,MATCH('Mapa do Dia'!$D22,Equipe_Nome,0),11),"")="X")))</f>
        <v/>
      </c>
      <c r="P32">
        <f>IF(P14=0,"",IF('Mapa do Dia'!$C22="",0,--(IFERROR(INDEX(Equipe_X,MATCH('Mapa do Dia'!$C22,Equipe_Nome,0),12),"")="X"))+IF('Mapa do Dia'!$D22="",0,--(IFERROR(INDEX(Equipe_X,MATCH('Mapa do Dia'!$D22,Equipe_Nome,0),12),"")="X")))</f>
        <v/>
      </c>
      <c r="Q32">
        <f>IF(Q14=0,"",IF('Mapa do Dia'!$C22="",0,--(IFERROR(INDEX(Equipe_X,MATCH('Mapa do Dia'!$C22,Equipe_Nome,0),13),"")="X"))+IF('Mapa do Dia'!$D22="",0,--(IFERROR(INDEX(Equipe_X,MATCH('Mapa do Dia'!$D22,Equipe_Nome,0),13),"")="X")))</f>
        <v/>
      </c>
      <c r="R32">
        <f>IF(R14=0,"",IF('Mapa do Dia'!$C22="",0,--(IFERROR(INDEX(Equipe_X,MATCH('Mapa do Dia'!$C22,Equipe_Nome,0),14),"")="X"))+IF('Mapa do Dia'!$D22="",0,--(IFERROR(INDEX(Equipe_X,MATCH('Mapa do Dia'!$D22,Equipe_Nome,0),14),"")="X")))</f>
        <v/>
      </c>
      <c r="S32">
        <f>IF(S14=0,"",IF('Mapa do Dia'!$C22="",0,--(IFERROR(INDEX(Equipe_X,MATCH('Mapa do Dia'!$C22,Equipe_Nome,0),15),"")="X"))+IF('Mapa do Dia'!$D22="",0,--(IFERROR(INDEX(Equipe_X,MATCH('Mapa do Dia'!$D22,Equipe_Nome,0),15),"")="X")))</f>
        <v/>
      </c>
      <c r="T32">
        <f>IF(T14=0,"",IF('Mapa do Dia'!$C22="",0,--(IFERROR(INDEX(Equipe_X,MATCH('Mapa do Dia'!$C22,Equipe_Nome,0),16),"")="X"))+IF('Mapa do Dia'!$D22="",0,--(IFERROR(INDEX(Equipe_X,MATCH('Mapa do Dia'!$D22,Equipe_Nome,0),16),"")="X")))</f>
        <v/>
      </c>
      <c r="U32">
        <f>IF(U14=0,"",IF('Mapa do Dia'!$C22="",0,--(IFERROR(INDEX(Equipe_X,MATCH('Mapa do Dia'!$C22,Equipe_Nome,0),17),"")="X"))+IF('Mapa do Dia'!$D22="",0,--(IFERROR(INDEX(Equipe_X,MATCH('Mapa do Dia'!$D22,Equipe_Nome,0),17),"")="X")))</f>
        <v/>
      </c>
      <c r="V32">
        <f>IF(V14=0,"",IF('Mapa do Dia'!$C22="",0,--(IFERROR(INDEX(Equipe_X,MATCH('Mapa do Dia'!$C22,Equipe_Nome,0),18),"")="X"))+IF('Mapa do Dia'!$D22="",0,--(IFERROR(INDEX(Equipe_X,MATCH('Mapa do Dia'!$D22,Equipe_Nome,0),18),"")="X")))</f>
        <v/>
      </c>
      <c r="W32">
        <f>IF(W14=0,"",IF('Mapa do Dia'!$C22="",0,--(IFERROR(INDEX(Equipe_X,MATCH('Mapa do Dia'!$C22,Equipe_Nome,0),19),"")="X"))+IF('Mapa do Dia'!$D22="",0,--(IFERROR(INDEX(Equipe_X,MATCH('Mapa do Dia'!$D22,Equipe_Nome,0),19),"")="X")))</f>
        <v/>
      </c>
      <c r="X32">
        <f>IF(X14=0,"",IF('Mapa do Dia'!$C22="",0,--(IFERROR(INDEX(Equipe_X,MATCH('Mapa do Dia'!$C22,Equipe_Nome,0),20),"")="X"))+IF('Mapa do Dia'!$D22="",0,--(IFERROR(INDEX(Equipe_X,MATCH('Mapa do Dia'!$D22,Equipe_Nome,0),20),"")="X")))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Dia'!$C23="",0,--(IFERROR(INDEX(Equipe_X,MATCH('Mapa do Dia'!$C23,Equipe_Nome,0),1),"")="X"))+IF('Mapa do Dia'!$D23="",0,--(IFERROR(INDEX(Equipe_X,MATCH('Mapa do Dia'!$D23,Equipe_Nome,0),1),"")="X")))</f>
        <v/>
      </c>
      <c r="F33">
        <f>IF(F15=0,"",IF('Mapa do Dia'!$C23="",0,--(IFERROR(INDEX(Equipe_X,MATCH('Mapa do Dia'!$C23,Equipe_Nome,0),2),"")="X"))+IF('Mapa do Dia'!$D23="",0,--(IFERROR(INDEX(Equipe_X,MATCH('Mapa do Dia'!$D23,Equipe_Nome,0),2),"")="X")))</f>
        <v/>
      </c>
      <c r="G33">
        <f>IF(G15=0,"",IF('Mapa do Dia'!$C23="",0,--(IFERROR(INDEX(Equipe_X,MATCH('Mapa do Dia'!$C23,Equipe_Nome,0),3),"")="X"))+IF('Mapa do Dia'!$D23="",0,--(IFERROR(INDEX(Equipe_X,MATCH('Mapa do Dia'!$D23,Equipe_Nome,0),3),"")="X")))</f>
        <v/>
      </c>
      <c r="H33">
        <f>IF(H15=0,"",IF('Mapa do Dia'!$C23="",0,--(IFERROR(INDEX(Equipe_X,MATCH('Mapa do Dia'!$C23,Equipe_Nome,0),4),"")="X"))+IF('Mapa do Dia'!$D23="",0,--(IFERROR(INDEX(Equipe_X,MATCH('Mapa do Dia'!$D23,Equipe_Nome,0),4),"")="X")))</f>
        <v/>
      </c>
      <c r="I33">
        <f>IF(I15=0,"",IF('Mapa do Dia'!$C23="",0,--(IFERROR(INDEX(Equipe_X,MATCH('Mapa do Dia'!$C23,Equipe_Nome,0),5),"")="X"))+IF('Mapa do Dia'!$D23="",0,--(IFERROR(INDEX(Equipe_X,MATCH('Mapa do Dia'!$D23,Equipe_Nome,0),5),"")="X")))</f>
        <v/>
      </c>
      <c r="J33">
        <f>IF(J15=0,"",IF('Mapa do Dia'!$C23="",0,--(IFERROR(INDEX(Equipe_X,MATCH('Mapa do Dia'!$C23,Equipe_Nome,0),6),"")="X"))+IF('Mapa do Dia'!$D23="",0,--(IFERROR(INDEX(Equipe_X,MATCH('Mapa do Dia'!$D23,Equipe_Nome,0),6),"")="X")))</f>
        <v/>
      </c>
      <c r="K33">
        <f>IF(K15=0,"",IF('Mapa do Dia'!$C23="",0,--(IFERROR(INDEX(Equipe_X,MATCH('Mapa do Dia'!$C23,Equipe_Nome,0),7),"")="X"))+IF('Mapa do Dia'!$D23="",0,--(IFERROR(INDEX(Equipe_X,MATCH('Mapa do Dia'!$D23,Equipe_Nome,0),7),"")="X")))</f>
        <v/>
      </c>
      <c r="L33">
        <f>IF(L15=0,"",IF('Mapa do Dia'!$C23="",0,--(IFERROR(INDEX(Equipe_X,MATCH('Mapa do Dia'!$C23,Equipe_Nome,0),8),"")="X"))+IF('Mapa do Dia'!$D23="",0,--(IFERROR(INDEX(Equipe_X,MATCH('Mapa do Dia'!$D23,Equipe_Nome,0),8),"")="X")))</f>
        <v/>
      </c>
      <c r="M33">
        <f>IF(M15=0,"",IF('Mapa do Dia'!$C23="",0,--(IFERROR(INDEX(Equipe_X,MATCH('Mapa do Dia'!$C23,Equipe_Nome,0),9),"")="X"))+IF('Mapa do Dia'!$D23="",0,--(IFERROR(INDEX(Equipe_X,MATCH('Mapa do Dia'!$D23,Equipe_Nome,0),9),"")="X")))</f>
        <v/>
      </c>
      <c r="N33">
        <f>IF(N15=0,"",IF('Mapa do Dia'!$C23="",0,--(IFERROR(INDEX(Equipe_X,MATCH('Mapa do Dia'!$C23,Equipe_Nome,0),10),"")="X"))+IF('Mapa do Dia'!$D23="",0,--(IFERROR(INDEX(Equipe_X,MATCH('Mapa do Dia'!$D23,Equipe_Nome,0),10),"")="X")))</f>
        <v/>
      </c>
      <c r="O33">
        <f>IF(O15=0,"",IF('Mapa do Dia'!$C23="",0,--(IFERROR(INDEX(Equipe_X,MATCH('Mapa do Dia'!$C23,Equipe_Nome,0),11),"")="X"))+IF('Mapa do Dia'!$D23="",0,--(IFERROR(INDEX(Equipe_X,MATCH('Mapa do Dia'!$D23,Equipe_Nome,0),11),"")="X")))</f>
        <v/>
      </c>
      <c r="P33">
        <f>IF(P15=0,"",IF('Mapa do Dia'!$C23="",0,--(IFERROR(INDEX(Equipe_X,MATCH('Mapa do Dia'!$C23,Equipe_Nome,0),12),"")="X"))+IF('Mapa do Dia'!$D23="",0,--(IFERROR(INDEX(Equipe_X,MATCH('Mapa do Dia'!$D23,Equipe_Nome,0),12),"")="X")))</f>
        <v/>
      </c>
      <c r="Q33">
        <f>IF(Q15=0,"",IF('Mapa do Dia'!$C23="",0,--(IFERROR(INDEX(Equipe_X,MATCH('Mapa do Dia'!$C23,Equipe_Nome,0),13),"")="X"))+IF('Mapa do Dia'!$D23="",0,--(IFERROR(INDEX(Equipe_X,MATCH('Mapa do Dia'!$D23,Equipe_Nome,0),13),"")="X")))</f>
        <v/>
      </c>
      <c r="R33">
        <f>IF(R15=0,"",IF('Mapa do Dia'!$C23="",0,--(IFERROR(INDEX(Equipe_X,MATCH('Mapa do Dia'!$C23,Equipe_Nome,0),14),"")="X"))+IF('Mapa do Dia'!$D23="",0,--(IFERROR(INDEX(Equipe_X,MATCH('Mapa do Dia'!$D23,Equipe_Nome,0),14),"")="X")))</f>
        <v/>
      </c>
      <c r="S33">
        <f>IF(S15=0,"",IF('Mapa do Dia'!$C23="",0,--(IFERROR(INDEX(Equipe_X,MATCH('Mapa do Dia'!$C23,Equipe_Nome,0),15),"")="X"))+IF('Mapa do Dia'!$D23="",0,--(IFERROR(INDEX(Equipe_X,MATCH('Mapa do Dia'!$D23,Equipe_Nome,0),15),"")="X")))</f>
        <v/>
      </c>
      <c r="T33">
        <f>IF(T15=0,"",IF('Mapa do Dia'!$C23="",0,--(IFERROR(INDEX(Equipe_X,MATCH('Mapa do Dia'!$C23,Equipe_Nome,0),16),"")="X"))+IF('Mapa do Dia'!$D23="",0,--(IFERROR(INDEX(Equipe_X,MATCH('Mapa do Dia'!$D23,Equipe_Nome,0),16),"")="X")))</f>
        <v/>
      </c>
      <c r="U33">
        <f>IF(U15=0,"",IF('Mapa do Dia'!$C23="",0,--(IFERROR(INDEX(Equipe_X,MATCH('Mapa do Dia'!$C23,Equipe_Nome,0),17),"")="X"))+IF('Mapa do Dia'!$D23="",0,--(IFERROR(INDEX(Equipe_X,MATCH('Mapa do Dia'!$D23,Equipe_Nome,0),17),"")="X")))</f>
        <v/>
      </c>
      <c r="V33">
        <f>IF(V15=0,"",IF('Mapa do Dia'!$C23="",0,--(IFERROR(INDEX(Equipe_X,MATCH('Mapa do Dia'!$C23,Equipe_Nome,0),18),"")="X"))+IF('Mapa do Dia'!$D23="",0,--(IFERROR(INDEX(Equipe_X,MATCH('Mapa do Dia'!$D23,Equipe_Nome,0),18),"")="X")))</f>
        <v/>
      </c>
      <c r="W33">
        <f>IF(W15=0,"",IF('Mapa do Dia'!$C23="",0,--(IFERROR(INDEX(Equipe_X,MATCH('Mapa do Dia'!$C23,Equipe_Nome,0),19),"")="X"))+IF('Mapa do Dia'!$D23="",0,--(IFERROR(INDEX(Equipe_X,MATCH('Mapa do Dia'!$D23,Equipe_Nome,0),19),"")="X")))</f>
        <v/>
      </c>
      <c r="X33">
        <f>IF(X15=0,"",IF('Mapa do Dia'!$C23="",0,--(IFERROR(INDEX(Equipe_X,MATCH('Mapa do Dia'!$C23,Equipe_Nome,0),20),"")="X"))+IF('Mapa do Dia'!$D23="",0,--(IFERROR(INDEX(Equipe_X,MATCH('Mapa do Dia'!$D23,Equipe_Nome,0),20),"")="X")))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Dia'!$C24="",0,--(IFERROR(INDEX(Equipe_X,MATCH('Mapa do Dia'!$C24,Equipe_Nome,0),1),"")="X"))+IF('Mapa do Dia'!$D24="",0,--(IFERROR(INDEX(Equipe_X,MATCH('Mapa do Dia'!$D24,Equipe_Nome,0),1),"")="X")))</f>
        <v/>
      </c>
      <c r="F34">
        <f>IF(F16=0,"",IF('Mapa do Dia'!$C24="",0,--(IFERROR(INDEX(Equipe_X,MATCH('Mapa do Dia'!$C24,Equipe_Nome,0),2),"")="X"))+IF('Mapa do Dia'!$D24="",0,--(IFERROR(INDEX(Equipe_X,MATCH('Mapa do Dia'!$D24,Equipe_Nome,0),2),"")="X")))</f>
        <v/>
      </c>
      <c r="G34">
        <f>IF(G16=0,"",IF('Mapa do Dia'!$C24="",0,--(IFERROR(INDEX(Equipe_X,MATCH('Mapa do Dia'!$C24,Equipe_Nome,0),3),"")="X"))+IF('Mapa do Dia'!$D24="",0,--(IFERROR(INDEX(Equipe_X,MATCH('Mapa do Dia'!$D24,Equipe_Nome,0),3),"")="X")))</f>
        <v/>
      </c>
      <c r="H34">
        <f>IF(H16=0,"",IF('Mapa do Dia'!$C24="",0,--(IFERROR(INDEX(Equipe_X,MATCH('Mapa do Dia'!$C24,Equipe_Nome,0),4),"")="X"))+IF('Mapa do Dia'!$D24="",0,--(IFERROR(INDEX(Equipe_X,MATCH('Mapa do Dia'!$D24,Equipe_Nome,0),4),"")="X")))</f>
        <v/>
      </c>
      <c r="I34">
        <f>IF(I16=0,"",IF('Mapa do Dia'!$C24="",0,--(IFERROR(INDEX(Equipe_X,MATCH('Mapa do Dia'!$C24,Equipe_Nome,0),5),"")="X"))+IF('Mapa do Dia'!$D24="",0,--(IFERROR(INDEX(Equipe_X,MATCH('Mapa do Dia'!$D24,Equipe_Nome,0),5),"")="X")))</f>
        <v/>
      </c>
      <c r="J34">
        <f>IF(J16=0,"",IF('Mapa do Dia'!$C24="",0,--(IFERROR(INDEX(Equipe_X,MATCH('Mapa do Dia'!$C24,Equipe_Nome,0),6),"")="X"))+IF('Mapa do Dia'!$D24="",0,--(IFERROR(INDEX(Equipe_X,MATCH('Mapa do Dia'!$D24,Equipe_Nome,0),6),"")="X")))</f>
        <v/>
      </c>
      <c r="K34">
        <f>IF(K16=0,"",IF('Mapa do Dia'!$C24="",0,--(IFERROR(INDEX(Equipe_X,MATCH('Mapa do Dia'!$C24,Equipe_Nome,0),7),"")="X"))+IF('Mapa do Dia'!$D24="",0,--(IFERROR(INDEX(Equipe_X,MATCH('Mapa do Dia'!$D24,Equipe_Nome,0),7),"")="X")))</f>
        <v/>
      </c>
      <c r="L34">
        <f>IF(L16=0,"",IF('Mapa do Dia'!$C24="",0,--(IFERROR(INDEX(Equipe_X,MATCH('Mapa do Dia'!$C24,Equipe_Nome,0),8),"")="X"))+IF('Mapa do Dia'!$D24="",0,--(IFERROR(INDEX(Equipe_X,MATCH('Mapa do Dia'!$D24,Equipe_Nome,0),8),"")="X")))</f>
        <v/>
      </c>
      <c r="M34">
        <f>IF(M16=0,"",IF('Mapa do Dia'!$C24="",0,--(IFERROR(INDEX(Equipe_X,MATCH('Mapa do Dia'!$C24,Equipe_Nome,0),9),"")="X"))+IF('Mapa do Dia'!$D24="",0,--(IFERROR(INDEX(Equipe_X,MATCH('Mapa do Dia'!$D24,Equipe_Nome,0),9),"")="X")))</f>
        <v/>
      </c>
      <c r="N34">
        <f>IF(N16=0,"",IF('Mapa do Dia'!$C24="",0,--(IFERROR(INDEX(Equipe_X,MATCH('Mapa do Dia'!$C24,Equipe_Nome,0),10),"")="X"))+IF('Mapa do Dia'!$D24="",0,--(IFERROR(INDEX(Equipe_X,MATCH('Mapa do Dia'!$D24,Equipe_Nome,0),10),"")="X")))</f>
        <v/>
      </c>
      <c r="O34">
        <f>IF(O16=0,"",IF('Mapa do Dia'!$C24="",0,--(IFERROR(INDEX(Equipe_X,MATCH('Mapa do Dia'!$C24,Equipe_Nome,0),11),"")="X"))+IF('Mapa do Dia'!$D24="",0,--(IFERROR(INDEX(Equipe_X,MATCH('Mapa do Dia'!$D24,Equipe_Nome,0),11),"")="X")))</f>
        <v/>
      </c>
      <c r="P34">
        <f>IF(P16=0,"",IF('Mapa do Dia'!$C24="",0,--(IFERROR(INDEX(Equipe_X,MATCH('Mapa do Dia'!$C24,Equipe_Nome,0),12),"")="X"))+IF('Mapa do Dia'!$D24="",0,--(IFERROR(INDEX(Equipe_X,MATCH('Mapa do Dia'!$D24,Equipe_Nome,0),12),"")="X")))</f>
        <v/>
      </c>
      <c r="Q34">
        <f>IF(Q16=0,"",IF('Mapa do Dia'!$C24="",0,--(IFERROR(INDEX(Equipe_X,MATCH('Mapa do Dia'!$C24,Equipe_Nome,0),13),"")="X"))+IF('Mapa do Dia'!$D24="",0,--(IFERROR(INDEX(Equipe_X,MATCH('Mapa do Dia'!$D24,Equipe_Nome,0),13),"")="X")))</f>
        <v/>
      </c>
      <c r="R34">
        <f>IF(R16=0,"",IF('Mapa do Dia'!$C24="",0,--(IFERROR(INDEX(Equipe_X,MATCH('Mapa do Dia'!$C24,Equipe_Nome,0),14),"")="X"))+IF('Mapa do Dia'!$D24="",0,--(IFERROR(INDEX(Equipe_X,MATCH('Mapa do Dia'!$D24,Equipe_Nome,0),14),"")="X")))</f>
        <v/>
      </c>
      <c r="S34">
        <f>IF(S16=0,"",IF('Mapa do Dia'!$C24="",0,--(IFERROR(INDEX(Equipe_X,MATCH('Mapa do Dia'!$C24,Equipe_Nome,0),15),"")="X"))+IF('Mapa do Dia'!$D24="",0,--(IFERROR(INDEX(Equipe_X,MATCH('Mapa do Dia'!$D24,Equipe_Nome,0),15),"")="X")))</f>
        <v/>
      </c>
      <c r="T34">
        <f>IF(T16=0,"",IF('Mapa do Dia'!$C24="",0,--(IFERROR(INDEX(Equipe_X,MATCH('Mapa do Dia'!$C24,Equipe_Nome,0),16),"")="X"))+IF('Mapa do Dia'!$D24="",0,--(IFERROR(INDEX(Equipe_X,MATCH('Mapa do Dia'!$D24,Equipe_Nome,0),16),"")="X")))</f>
        <v/>
      </c>
      <c r="U34">
        <f>IF(U16=0,"",IF('Mapa do Dia'!$C24="",0,--(IFERROR(INDEX(Equipe_X,MATCH('Mapa do Dia'!$C24,Equipe_Nome,0),17),"")="X"))+IF('Mapa do Dia'!$D24="",0,--(IFERROR(INDEX(Equipe_X,MATCH('Mapa do Dia'!$D24,Equipe_Nome,0),17),"")="X")))</f>
        <v/>
      </c>
      <c r="V34">
        <f>IF(V16=0,"",IF('Mapa do Dia'!$C24="",0,--(IFERROR(INDEX(Equipe_X,MATCH('Mapa do Dia'!$C24,Equipe_Nome,0),18),"")="X"))+IF('Mapa do Dia'!$D24="",0,--(IFERROR(INDEX(Equipe_X,MATCH('Mapa do Dia'!$D24,Equipe_Nome,0),18),"")="X")))</f>
        <v/>
      </c>
      <c r="W34">
        <f>IF(W16=0,"",IF('Mapa do Dia'!$C24="",0,--(IFERROR(INDEX(Equipe_X,MATCH('Mapa do Dia'!$C24,Equipe_Nome,0),19),"")="X"))+IF('Mapa do Dia'!$D24="",0,--(IFERROR(INDEX(Equipe_X,MATCH('Mapa do Dia'!$D24,Equipe_Nome,0),19),"")="X")))</f>
        <v/>
      </c>
      <c r="X34">
        <f>IF(X16=0,"",IF('Mapa do Dia'!$C24="",0,--(IFERROR(INDEX(Equipe_X,MATCH('Mapa do Dia'!$C24,Equipe_Nome,0),20),"")="X"))+IF('Mapa do Dia'!$D24="",0,--(IFERROR(INDEX(Equipe_X,MATCH('Mapa do Dia'!$D24,Equipe_Nome,0),20),"")="X")))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Dia'!$C25="",0,--(IFERROR(INDEX(Equipe_X,MATCH('Mapa do Dia'!$C25,Equipe_Nome,0),1),"")="X"))+IF('Mapa do Dia'!$D25="",0,--(IFERROR(INDEX(Equipe_X,MATCH('Mapa do Dia'!$D25,Equipe_Nome,0),1),"")="X")))</f>
        <v/>
      </c>
      <c r="F35">
        <f>IF(F17=0,"",IF('Mapa do Dia'!$C25="",0,--(IFERROR(INDEX(Equipe_X,MATCH('Mapa do Dia'!$C25,Equipe_Nome,0),2),"")="X"))+IF('Mapa do Dia'!$D25="",0,--(IFERROR(INDEX(Equipe_X,MATCH('Mapa do Dia'!$D25,Equipe_Nome,0),2),"")="X")))</f>
        <v/>
      </c>
      <c r="G35">
        <f>IF(G17=0,"",IF('Mapa do Dia'!$C25="",0,--(IFERROR(INDEX(Equipe_X,MATCH('Mapa do Dia'!$C25,Equipe_Nome,0),3),"")="X"))+IF('Mapa do Dia'!$D25="",0,--(IFERROR(INDEX(Equipe_X,MATCH('Mapa do Dia'!$D25,Equipe_Nome,0),3),"")="X")))</f>
        <v/>
      </c>
      <c r="H35">
        <f>IF(H17=0,"",IF('Mapa do Dia'!$C25="",0,--(IFERROR(INDEX(Equipe_X,MATCH('Mapa do Dia'!$C25,Equipe_Nome,0),4),"")="X"))+IF('Mapa do Dia'!$D25="",0,--(IFERROR(INDEX(Equipe_X,MATCH('Mapa do Dia'!$D25,Equipe_Nome,0),4),"")="X")))</f>
        <v/>
      </c>
      <c r="I35">
        <f>IF(I17=0,"",IF('Mapa do Dia'!$C25="",0,--(IFERROR(INDEX(Equipe_X,MATCH('Mapa do Dia'!$C25,Equipe_Nome,0),5),"")="X"))+IF('Mapa do Dia'!$D25="",0,--(IFERROR(INDEX(Equipe_X,MATCH('Mapa do Dia'!$D25,Equipe_Nome,0),5),"")="X")))</f>
        <v/>
      </c>
      <c r="J35">
        <f>IF(J17=0,"",IF('Mapa do Dia'!$C25="",0,--(IFERROR(INDEX(Equipe_X,MATCH('Mapa do Dia'!$C25,Equipe_Nome,0),6),"")="X"))+IF('Mapa do Dia'!$D25="",0,--(IFERROR(INDEX(Equipe_X,MATCH('Mapa do Dia'!$D25,Equipe_Nome,0),6),"")="X")))</f>
        <v/>
      </c>
      <c r="K35">
        <f>IF(K17=0,"",IF('Mapa do Dia'!$C25="",0,--(IFERROR(INDEX(Equipe_X,MATCH('Mapa do Dia'!$C25,Equipe_Nome,0),7),"")="X"))+IF('Mapa do Dia'!$D25="",0,--(IFERROR(INDEX(Equipe_X,MATCH('Mapa do Dia'!$D25,Equipe_Nome,0),7),"")="X")))</f>
        <v/>
      </c>
      <c r="L35">
        <f>IF(L17=0,"",IF('Mapa do Dia'!$C25="",0,--(IFERROR(INDEX(Equipe_X,MATCH('Mapa do Dia'!$C25,Equipe_Nome,0),8),"")="X"))+IF('Mapa do Dia'!$D25="",0,--(IFERROR(INDEX(Equipe_X,MATCH('Mapa do Dia'!$D25,Equipe_Nome,0),8),"")="X")))</f>
        <v/>
      </c>
      <c r="M35">
        <f>IF(M17=0,"",IF('Mapa do Dia'!$C25="",0,--(IFERROR(INDEX(Equipe_X,MATCH('Mapa do Dia'!$C25,Equipe_Nome,0),9),"")="X"))+IF('Mapa do Dia'!$D25="",0,--(IFERROR(INDEX(Equipe_X,MATCH('Mapa do Dia'!$D25,Equipe_Nome,0),9),"")="X")))</f>
        <v/>
      </c>
      <c r="N35">
        <f>IF(N17=0,"",IF('Mapa do Dia'!$C25="",0,--(IFERROR(INDEX(Equipe_X,MATCH('Mapa do Dia'!$C25,Equipe_Nome,0),10),"")="X"))+IF('Mapa do Dia'!$D25="",0,--(IFERROR(INDEX(Equipe_X,MATCH('Mapa do Dia'!$D25,Equipe_Nome,0),10),"")="X")))</f>
        <v/>
      </c>
      <c r="O35">
        <f>IF(O17=0,"",IF('Mapa do Dia'!$C25="",0,--(IFERROR(INDEX(Equipe_X,MATCH('Mapa do Dia'!$C25,Equipe_Nome,0),11),"")="X"))+IF('Mapa do Dia'!$D25="",0,--(IFERROR(INDEX(Equipe_X,MATCH('Mapa do Dia'!$D25,Equipe_Nome,0),11),"")="X")))</f>
        <v/>
      </c>
      <c r="P35">
        <f>IF(P17=0,"",IF('Mapa do Dia'!$C25="",0,--(IFERROR(INDEX(Equipe_X,MATCH('Mapa do Dia'!$C25,Equipe_Nome,0),12),"")="X"))+IF('Mapa do Dia'!$D25="",0,--(IFERROR(INDEX(Equipe_X,MATCH('Mapa do Dia'!$D25,Equipe_Nome,0),12),"")="X")))</f>
        <v/>
      </c>
      <c r="Q35">
        <f>IF(Q17=0,"",IF('Mapa do Dia'!$C25="",0,--(IFERROR(INDEX(Equipe_X,MATCH('Mapa do Dia'!$C25,Equipe_Nome,0),13),"")="X"))+IF('Mapa do Dia'!$D25="",0,--(IFERROR(INDEX(Equipe_X,MATCH('Mapa do Dia'!$D25,Equipe_Nome,0),13),"")="X")))</f>
        <v/>
      </c>
      <c r="R35">
        <f>IF(R17=0,"",IF('Mapa do Dia'!$C25="",0,--(IFERROR(INDEX(Equipe_X,MATCH('Mapa do Dia'!$C25,Equipe_Nome,0),14),"")="X"))+IF('Mapa do Dia'!$D25="",0,--(IFERROR(INDEX(Equipe_X,MATCH('Mapa do Dia'!$D25,Equipe_Nome,0),14),"")="X")))</f>
        <v/>
      </c>
      <c r="S35">
        <f>IF(S17=0,"",IF('Mapa do Dia'!$C25="",0,--(IFERROR(INDEX(Equipe_X,MATCH('Mapa do Dia'!$C25,Equipe_Nome,0),15),"")="X"))+IF('Mapa do Dia'!$D25="",0,--(IFERROR(INDEX(Equipe_X,MATCH('Mapa do Dia'!$D25,Equipe_Nome,0),15),"")="X")))</f>
        <v/>
      </c>
      <c r="T35">
        <f>IF(T17=0,"",IF('Mapa do Dia'!$C25="",0,--(IFERROR(INDEX(Equipe_X,MATCH('Mapa do Dia'!$C25,Equipe_Nome,0),16),"")="X"))+IF('Mapa do Dia'!$D25="",0,--(IFERROR(INDEX(Equipe_X,MATCH('Mapa do Dia'!$D25,Equipe_Nome,0),16),"")="X")))</f>
        <v/>
      </c>
      <c r="U35">
        <f>IF(U17=0,"",IF('Mapa do Dia'!$C25="",0,--(IFERROR(INDEX(Equipe_X,MATCH('Mapa do Dia'!$C25,Equipe_Nome,0),17),"")="X"))+IF('Mapa do Dia'!$D25="",0,--(IFERROR(INDEX(Equipe_X,MATCH('Mapa do Dia'!$D25,Equipe_Nome,0),17),"")="X")))</f>
        <v/>
      </c>
      <c r="V35">
        <f>IF(V17=0,"",IF('Mapa do Dia'!$C25="",0,--(IFERROR(INDEX(Equipe_X,MATCH('Mapa do Dia'!$C25,Equipe_Nome,0),18),"")="X"))+IF('Mapa do Dia'!$D25="",0,--(IFERROR(INDEX(Equipe_X,MATCH('Mapa do Dia'!$D25,Equipe_Nome,0),18),"")="X")))</f>
        <v/>
      </c>
      <c r="W35">
        <f>IF(W17=0,"",IF('Mapa do Dia'!$C25="",0,--(IFERROR(INDEX(Equipe_X,MATCH('Mapa do Dia'!$C25,Equipe_Nome,0),19),"")="X"))+IF('Mapa do Dia'!$D25="",0,--(IFERROR(INDEX(Equipe_X,MATCH('Mapa do Dia'!$D25,Equipe_Nome,0),19),"")="X")))</f>
        <v/>
      </c>
      <c r="X35">
        <f>IF(X17=0,"",IF('Mapa do Dia'!$C25="",0,--(IFERROR(INDEX(Equipe_X,MATCH('Mapa do Dia'!$C25,Equipe_Nome,0),20),"")="X"))+IF('Mapa do Dia'!$D25="",0,--(IFERROR(INDEX(Equipe_X,MATCH('Mapa do Dia'!$D25,Equipe_Nome,0),20),"")="X")))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5" t="inlineStr">
        <is>
          <t>Técnico</t>
        </is>
      </c>
      <c r="B37" s="5" t="inlineStr">
        <is>
          <t>Situação</t>
        </is>
      </c>
      <c r="C37" s="5" t="inlineStr"/>
      <c r="D37" s="5" t="inlineStr"/>
      <c r="E37" s="5" t="inlineStr">
        <is>
          <t>P1</t>
        </is>
      </c>
      <c r="F37" s="5" t="inlineStr">
        <is>
          <t>P2</t>
        </is>
      </c>
      <c r="G37" s="5" t="inlineStr">
        <is>
          <t>P3</t>
        </is>
      </c>
      <c r="H37" s="5" t="inlineStr">
        <is>
          <t>P4</t>
        </is>
      </c>
      <c r="I37" s="5" t="inlineStr">
        <is>
          <t>P5</t>
        </is>
      </c>
      <c r="J37" s="5" t="inlineStr">
        <is>
          <t>P6</t>
        </is>
      </c>
      <c r="K37" s="5" t="inlineStr">
        <is>
          <t>P7</t>
        </is>
      </c>
      <c r="L37" s="5" t="inlineStr">
        <is>
          <t>P8</t>
        </is>
      </c>
      <c r="M37" s="5" t="inlineStr">
        <is>
          <t>P9</t>
        </is>
      </c>
      <c r="N37" s="5" t="inlineStr">
        <is>
          <t>P10</t>
        </is>
      </c>
      <c r="O37" s="5" t="inlineStr">
        <is>
          <t>P11</t>
        </is>
      </c>
      <c r="P37" s="5" t="inlineStr">
        <is>
          <t>P12</t>
        </is>
      </c>
      <c r="Q37" s="5" t="inlineStr">
        <is>
          <t>P13</t>
        </is>
      </c>
      <c r="R37" s="5" t="inlineStr">
        <is>
          <t>P14</t>
        </is>
      </c>
      <c r="S37" s="5" t="inlineStr">
        <is>
          <t>P15</t>
        </is>
      </c>
      <c r="T37" s="5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5" t="inlineStr">
        <is>
          <t>Sala</t>
        </is>
      </c>
      <c r="B1" s="5" t="inlineStr">
        <is>
          <t>Janela</t>
        </is>
      </c>
      <c r="C1" s="5" t="inlineStr">
        <is>
          <t>iniRel</t>
        </is>
      </c>
      <c r="D1" s="5" t="inlineStr">
        <is>
          <t>fimRel</t>
        </is>
      </c>
      <c r="E1" s="5" t="inlineStr">
        <is>
          <t>Duração (min)</t>
        </is>
      </c>
      <c r="F1" s="5" t="inlineStr">
        <is>
          <t>Cabe até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2026-08-21T03:26:08Z</dcterms:created>
  <dcterms:modified xsi:type="dcterms:W3CDTF">2026-08-21T03:26:08Z</dcterms:modified>
</cp:coreProperties>
</file>